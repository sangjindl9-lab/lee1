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매요청서" sheetId="1" state="visible" r:id="rId1"/>
    <sheet xmlns:r="http://schemas.openxmlformats.org/officeDocument/2006/relationships" name="구매내역현황" sheetId="2" state="visible" r:id="rId2"/>
    <sheet xmlns:r="http://schemas.openxmlformats.org/officeDocument/2006/relationships" name="관급단가 비교표" sheetId="3" state="visible" r:id="rId3"/>
    <sheet xmlns:r="http://schemas.openxmlformats.org/officeDocument/2006/relationships" name="단가및인증현황조사" sheetId="4" state="visible" r:id="rId4"/>
  </sheets>
  <definedNames>
    <definedName name="_xlnm.Print_Titles" localSheetId="0">'구매요청서'!$12:$12</definedName>
    <definedName name="_xlnm.Print_Area" localSheetId="0">'구매요청서'!$A$1:$N$44</definedName>
    <definedName name="_xlnm.Print_Titles" localSheetId="1">'구매내역현황'!$5:$6</definedName>
    <definedName name="_xlnm.Print_Area" localSheetId="1">'구매내역현황'!$A$1:$T$29</definedName>
    <definedName name="_xlnm.Print_Area" localSheetId="2">'관급단가 비교표'!$C$1:$Q$13</definedName>
    <definedName name="_xlnm.Print_Area" localSheetId="3">'단가및인증현황조사'!$A$1:$BF$26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_ "/>
    <numFmt numFmtId="165" formatCode="_-* #,##0_-;\-* #,##0_-;_-* &quot;-&quot;_-;_-@_-"/>
    <numFmt numFmtId="166" formatCode="_-* #,##0.0_-;\-* #,##0.0_-;_-* &quot;-&quot;_-;_-@_-"/>
    <numFmt numFmtId="167" formatCode="mm&quot;월&quot;\ dd&quot;일&quot;"/>
    <numFmt numFmtId="168" formatCode="#,##0;[Red]#,##0"/>
    <numFmt numFmtId="169" formatCode="_-* #,##0_-;\-* #,##0_-;_-* &quot;-&quot;?_-;_-@_-"/>
    <numFmt numFmtId="170" formatCode="#,##0_-;\-#,##0_-;&quot;-&quot;_-"/>
    <numFmt numFmtId="171" formatCode="&quot;인증개수 : &quot;#,##0&quot; 개&quot;"/>
  </numFmts>
  <fonts count="56">
    <font>
      <name val="Calibri"/>
      <family val="2"/>
      <color theme="1"/>
      <sz val="11"/>
      <scheme val="minor"/>
    </font>
    <font>
      <name val="HY헤드라인M"/>
      <charset val="129"/>
      <family val="1"/>
      <sz val="30"/>
      <u val="single"/>
    </font>
    <font>
      <name val="굴림"/>
      <charset val="129"/>
      <family val="3"/>
      <b val="1"/>
      <sz val="26"/>
      <u val="single"/>
    </font>
    <font>
      <name val="HY견고딕"/>
      <charset val="129"/>
      <family val="1"/>
      <sz val="16"/>
    </font>
    <font>
      <name val="HY견고딕"/>
      <charset val="129"/>
      <family val="1"/>
      <sz val="16"/>
      <u val="single"/>
    </font>
    <font>
      <name val="맑은 고딕"/>
      <charset val="129"/>
      <family val="3"/>
      <sz val="13"/>
      <scheme val="minor"/>
    </font>
    <font>
      <name val="굴림"/>
      <charset val="129"/>
      <family val="3"/>
      <b val="1"/>
      <sz val="12"/>
    </font>
    <font>
      <name val="굴림"/>
      <charset val="129"/>
      <family val="3"/>
      <sz val="11"/>
    </font>
    <font>
      <name val="HY견고딕"/>
      <charset val="129"/>
      <family val="1"/>
      <sz val="14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3"/>
    </font>
    <font>
      <name val="맑은 고딕"/>
      <charset val="129"/>
      <family val="3"/>
      <color rgb="FFFF0000"/>
      <sz val="13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color theme="1"/>
      <sz val="13"/>
      <scheme val="minor"/>
    </font>
    <font>
      <name val="HY헤드라인M"/>
      <charset val="129"/>
      <family val="1"/>
      <color indexed="8"/>
      <sz val="26"/>
      <u val="single"/>
    </font>
    <font>
      <name val="굴림"/>
      <charset val="129"/>
      <family val="3"/>
      <b val="1"/>
      <color indexed="8"/>
      <sz val="26"/>
      <u val="single"/>
    </font>
    <font>
      <name val="굴림"/>
      <charset val="129"/>
      <family val="3"/>
      <b val="1"/>
      <color indexed="8"/>
      <sz val="14"/>
    </font>
    <font>
      <name val="굴림"/>
      <charset val="129"/>
      <family val="3"/>
      <color indexed="8"/>
      <sz val="14"/>
    </font>
    <font>
      <name val="맑은 고딕"/>
      <charset val="129"/>
      <family val="3"/>
      <b val="1"/>
      <color indexed="8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rgb="FFFF0000"/>
      <sz val="12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b val="1"/>
      <color indexed="8"/>
      <sz val="14"/>
      <scheme val="minor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theme="1"/>
      <sz val="11"/>
    </font>
    <font>
      <name val="굴림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11"/>
      <scheme val="minor"/>
    </font>
    <font>
      <name val="굴림"/>
      <charset val="129"/>
      <family val="3"/>
      <sz val="10"/>
    </font>
    <font>
      <name val="굴림"/>
      <charset val="129"/>
      <family val="3"/>
      <color indexed="8"/>
      <sz val="9"/>
    </font>
    <font>
      <name val="맑은 고딕"/>
      <charset val="129"/>
      <family val="3"/>
      <color indexed="8"/>
      <sz val="11"/>
      <scheme val="minor"/>
    </font>
    <font>
      <name val="맑은 고딕"/>
      <charset val="129"/>
      <family val="3"/>
      <color theme="1"/>
      <sz val="11"/>
      <scheme val="minor"/>
    </font>
    <font>
      <name val="HY견명조"/>
      <charset val="129"/>
      <family val="1"/>
      <b val="1"/>
      <color rgb="FFFF0000"/>
      <sz val="11"/>
    </font>
    <font>
      <name val="HY견명조"/>
      <charset val="129"/>
      <family val="1"/>
      <color theme="0" tint="-0.499984740745262"/>
      <sz val="11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1"/>
      <color theme="1"/>
      <sz val="11"/>
      <scheme val="minor"/>
    </font>
    <font>
      <name val="함초롬바탕"/>
      <charset val="129"/>
      <family val="1"/>
      <color theme="1"/>
      <sz val="11"/>
    </font>
    <font>
      <name val="맑은 고딕"/>
      <charset val="129"/>
      <family val="2"/>
      <b val="1"/>
      <color theme="1"/>
      <sz val="36"/>
      <scheme val="minor"/>
    </font>
    <font>
      <name val="맑은 고딕"/>
      <charset val="129"/>
      <family val="2"/>
      <b val="1"/>
      <color theme="1"/>
      <sz val="16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color theme="1"/>
      <sz val="16"/>
      <scheme val="minor"/>
    </font>
    <font>
      <name val="경기천년바탕 Regular"/>
      <charset val="129"/>
      <family val="1"/>
      <b val="1"/>
      <color theme="1"/>
      <sz val="14"/>
    </font>
    <font>
      <name val="HY헤드라인M"/>
      <charset val="129"/>
      <family val="1"/>
      <color theme="1"/>
      <sz val="18"/>
    </font>
    <font>
      <name val="맑은 고딕"/>
      <charset val="129"/>
      <family val="1"/>
      <b val="1"/>
      <color theme="1"/>
      <sz val="18"/>
    </font>
    <font>
      <name val="Arial Unicode MS"/>
      <charset val="129"/>
      <family val="1"/>
      <b val="1"/>
      <color theme="1"/>
      <sz val="14"/>
    </font>
    <font>
      <name val="맑은 고딕"/>
      <charset val="129"/>
      <family val="1"/>
      <b val="1"/>
      <color theme="1"/>
      <sz val="15"/>
    </font>
    <font>
      <name val="경기천년바탕 Regular"/>
      <charset val="129"/>
      <family val="1"/>
      <b val="1"/>
      <color theme="1"/>
      <sz val="16"/>
    </font>
    <font>
      <name val="경기천년바탕 Regular"/>
      <charset val="129"/>
      <family val="1"/>
      <b val="1"/>
      <color theme="1"/>
      <sz val="20"/>
    </font>
    <font>
      <name val="함초롬바탕"/>
      <charset val="129"/>
      <family val="1"/>
      <b val="1"/>
      <color theme="1"/>
      <sz val="16"/>
    </font>
    <font>
      <name val="HY견고딕"/>
      <charset val="129"/>
      <family val="1"/>
      <b val="1"/>
      <color rgb="FFFF0000"/>
      <sz val="16"/>
    </font>
    <font>
      <name val="HY견고딕"/>
      <charset val="129"/>
      <family val="1"/>
      <b val="1"/>
      <color theme="1"/>
      <sz val="16"/>
    </font>
    <font>
      <name val="Segoe UI Symbol"/>
      <family val="1"/>
      <b val="1"/>
      <color theme="1"/>
      <sz val="16"/>
    </font>
    <font>
      <name val="HyhwpEQ"/>
      <charset val="129"/>
      <family val="1"/>
      <b val="1"/>
      <color theme="1"/>
      <sz val="16"/>
    </font>
    <font>
      <name val="함초롬바탕"/>
      <charset val="129"/>
      <family val="1"/>
      <b val="1"/>
      <color theme="0"/>
      <sz val="16"/>
    </font>
    <font>
      <name val="함초롬바탕"/>
      <charset val="129"/>
      <family val="1"/>
      <b val="1"/>
      <color theme="1"/>
      <sz val="15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rgb="FFFF0000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/>
      <right/>
      <top style="medium">
        <color rgb="FFFF0000"/>
      </top>
      <bottom style="hair">
        <color indexed="64"/>
      </bottom>
      <diagonal/>
    </border>
    <border>
      <left/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rgb="FFFF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medium">
        <color rgb="FFFF0000"/>
      </top>
      <bottom/>
      <diagonal/>
    </border>
    <border>
      <left/>
      <right style="hair">
        <color indexed="64"/>
      </right>
      <top style="medium">
        <color rgb="FFFF0000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/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/>
      <right style="hair">
        <color theme="1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ck">
        <color rgb="FFFF0000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theme="1"/>
      </right>
      <top/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thick">
        <color rgb="FFFF0000"/>
      </left>
      <right style="thick">
        <color rgb="FFFF0000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</borders>
  <cellStyleXfs count="1">
    <xf numFmtId="0" fontId="0" fillId="0" borderId="0"/>
  </cellStyleXfs>
  <cellXfs count="29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distributed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0" fillId="2" borderId="4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2" fillId="3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10" fillId="3" borderId="9" applyAlignment="1" pivotButton="0" quotePrefix="0" xfId="0">
      <alignment horizontal="center" vertical="center"/>
    </xf>
    <xf numFmtId="0" fontId="10" fillId="3" borderId="8" applyAlignment="1" pivotButton="0" quotePrefix="0" xfId="0">
      <alignment horizontal="center" vertical="center"/>
    </xf>
    <xf numFmtId="0" fontId="5" fillId="3" borderId="10" applyAlignment="1" pivotButton="0" quotePrefix="0" xfId="0">
      <alignment vertical="center"/>
    </xf>
    <xf numFmtId="164" fontId="10" fillId="3" borderId="10" applyAlignment="1" pivotButton="0" quotePrefix="0" xfId="0">
      <alignment horizontal="right" vertical="center"/>
    </xf>
    <xf numFmtId="0" fontId="5" fillId="3" borderId="10" applyAlignment="1" pivotButton="0" quotePrefix="0" xfId="0">
      <alignment horizontal="center" vertical="center"/>
    </xf>
    <xf numFmtId="165" fontId="10" fillId="3" borderId="10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166" fontId="14" fillId="0" borderId="12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10" fillId="3" borderId="15" applyAlignment="1" pivotButton="0" quotePrefix="0" xfId="0">
      <alignment horizontal="center" vertical="center"/>
    </xf>
    <xf numFmtId="0" fontId="10" fillId="3" borderId="16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 vertical="center"/>
    </xf>
    <xf numFmtId="0" fontId="5" fillId="3" borderId="18" applyAlignment="1" pivotButton="0" quotePrefix="0" xfId="0">
      <alignment vertical="center"/>
    </xf>
    <xf numFmtId="164" fontId="10" fillId="3" borderId="18" applyAlignment="1" pivotButton="0" quotePrefix="0" xfId="0">
      <alignment horizontal="right" vertical="center"/>
    </xf>
    <xf numFmtId="0" fontId="5" fillId="3" borderId="18" applyAlignment="1" pivotButton="0" quotePrefix="0" xfId="0">
      <alignment horizontal="center" vertical="center"/>
    </xf>
    <xf numFmtId="165" fontId="14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0" fillId="3" borderId="20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0" fillId="3" borderId="21" applyAlignment="1" pivotButton="0" quotePrefix="0" xfId="0">
      <alignment horizontal="center" vertical="center"/>
    </xf>
    <xf numFmtId="165" fontId="10" fillId="3" borderId="21" applyAlignment="1" pivotButton="0" quotePrefix="0" xfId="0">
      <alignment horizontal="center" vertical="center"/>
    </xf>
    <xf numFmtId="0" fontId="5" fillId="3" borderId="21" applyAlignment="1" pivotButton="0" quotePrefix="0" xfId="0">
      <alignment horizontal="center" vertical="center"/>
    </xf>
    <xf numFmtId="165" fontId="14" fillId="3" borderId="21" applyAlignment="1" pivotButton="0" quotePrefix="0" xfId="0">
      <alignment vertical="center"/>
    </xf>
    <xf numFmtId="0" fontId="10" fillId="3" borderId="22" applyAlignment="1" pivotButton="0" quotePrefix="0" xfId="0">
      <alignment horizontal="center" vertical="center"/>
    </xf>
    <xf numFmtId="166" fontId="9" fillId="0" borderId="12" applyAlignment="1" pivotButton="0" quotePrefix="0" xfId="0">
      <alignment vertical="center"/>
    </xf>
    <xf numFmtId="49" fontId="9" fillId="0" borderId="23" applyAlignment="1" pivotButton="0" quotePrefix="0" xfId="0">
      <alignment horizontal="left" vertical="center"/>
    </xf>
    <xf numFmtId="0" fontId="9" fillId="0" borderId="21" applyAlignment="1" pivotButton="0" quotePrefix="0" xfId="0">
      <alignment horizontal="center" vertical="center"/>
    </xf>
    <xf numFmtId="165" fontId="9" fillId="0" borderId="21" applyAlignment="1" pivotButton="0" quotePrefix="0" xfId="0">
      <alignment vertical="center"/>
    </xf>
    <xf numFmtId="165" fontId="9" fillId="3" borderId="21" applyAlignment="1" pivotButton="0" quotePrefix="0" xfId="0">
      <alignment vertical="center"/>
    </xf>
    <xf numFmtId="0" fontId="13" fillId="0" borderId="22" applyAlignment="1" pivotButton="0" quotePrefix="0" xfId="0">
      <alignment vertical="center" wrapText="1"/>
    </xf>
    <xf numFmtId="0" fontId="9" fillId="0" borderId="20" applyAlignment="1" pivotButton="0" quotePrefix="0" xfId="0">
      <alignment horizontal="left" vertical="center"/>
    </xf>
    <xf numFmtId="165" fontId="14" fillId="0" borderId="21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20" fillId="2" borderId="30" applyAlignment="1" pivotButton="0" quotePrefix="0" xfId="0">
      <alignment horizontal="center" vertical="center"/>
    </xf>
    <xf numFmtId="0" fontId="20" fillId="2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1" fillId="2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21" fillId="2" borderId="33" applyAlignment="1" pivotButton="0" quotePrefix="0" xfId="0">
      <alignment horizontal="center" vertical="center"/>
    </xf>
    <xf numFmtId="0" fontId="20" fillId="2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20" fillId="2" borderId="40" applyAlignment="1" pivotButton="0" quotePrefix="0" xfId="0">
      <alignment horizontal="center" vertical="center"/>
    </xf>
    <xf numFmtId="0" fontId="20" fillId="2" borderId="40" applyAlignment="1" pivotButton="0" quotePrefix="0" xfId="0">
      <alignment horizontal="center" vertical="center" wrapText="1"/>
    </xf>
    <xf numFmtId="0" fontId="20" fillId="2" borderId="41" applyAlignment="1" pivotButton="0" quotePrefix="0" xfId="0">
      <alignment horizontal="center" vertical="center"/>
    </xf>
    <xf numFmtId="0" fontId="21" fillId="2" borderId="42" applyAlignment="1" pivotButton="0" quotePrefix="0" xfId="0">
      <alignment horizontal="center" vertical="center" wrapText="1"/>
    </xf>
    <xf numFmtId="0" fontId="21" fillId="2" borderId="40" applyAlignment="1" pivotButton="0" quotePrefix="0" xfId="0">
      <alignment horizontal="center" vertical="center" wrapText="1"/>
    </xf>
    <xf numFmtId="0" fontId="21" fillId="2" borderId="43" applyAlignment="1" pivotButton="0" quotePrefix="0" xfId="0">
      <alignment horizontal="center" vertical="center"/>
    </xf>
    <xf numFmtId="0" fontId="21" fillId="2" borderId="44" applyAlignment="1" pivotButton="0" quotePrefix="0" xfId="0">
      <alignment horizontal="center" vertical="center" wrapText="1"/>
    </xf>
    <xf numFmtId="0" fontId="21" fillId="2" borderId="40" applyAlignment="1" pivotButton="0" quotePrefix="0" xfId="0">
      <alignment horizontal="center" vertical="center"/>
    </xf>
    <xf numFmtId="0" fontId="0" fillId="0" borderId="19" pivotButton="0" quotePrefix="0" xfId="0"/>
    <xf numFmtId="0" fontId="14" fillId="3" borderId="30" applyAlignment="1" pivotButton="0" quotePrefix="0" xfId="0">
      <alignment horizontal="left" vertical="center"/>
    </xf>
    <xf numFmtId="0" fontId="14" fillId="3" borderId="31" applyAlignment="1" pivotButton="0" quotePrefix="0" xfId="0">
      <alignment vertical="center"/>
    </xf>
    <xf numFmtId="0" fontId="14" fillId="3" borderId="31" applyAlignment="1" pivotButton="0" quotePrefix="0" xfId="0">
      <alignment horizontal="center" vertical="center"/>
    </xf>
    <xf numFmtId="165" fontId="14" fillId="3" borderId="31" applyAlignment="1" pivotButton="0" quotePrefix="0" xfId="0">
      <alignment vertical="center"/>
    </xf>
    <xf numFmtId="165" fontId="21" fillId="3" borderId="45" applyAlignment="1" pivotButton="0" quotePrefix="0" xfId="0">
      <alignment vertical="center"/>
    </xf>
    <xf numFmtId="165" fontId="21" fillId="3" borderId="31" applyAlignment="1" pivotButton="0" quotePrefix="0" xfId="0">
      <alignment vertical="center"/>
    </xf>
    <xf numFmtId="168" fontId="22" fillId="3" borderId="31" applyAlignment="1" pivotButton="0" quotePrefix="0" xfId="0">
      <alignment vertical="center"/>
    </xf>
    <xf numFmtId="165" fontId="14" fillId="3" borderId="37" applyAlignment="1" pivotButton="0" quotePrefix="0" xfId="0">
      <alignment vertical="center"/>
    </xf>
    <xf numFmtId="0" fontId="14" fillId="3" borderId="12" applyAlignment="1" pivotButton="0" quotePrefix="0" xfId="0">
      <alignment vertical="center"/>
    </xf>
    <xf numFmtId="0" fontId="14" fillId="3" borderId="21" applyAlignment="1" pivotButton="0" quotePrefix="0" xfId="0">
      <alignment vertical="center"/>
    </xf>
    <xf numFmtId="0" fontId="14" fillId="3" borderId="21" applyAlignment="1" pivotButton="0" quotePrefix="0" xfId="0">
      <alignment horizontal="center" vertical="center"/>
    </xf>
    <xf numFmtId="165" fontId="21" fillId="3" borderId="53" applyAlignment="1" pivotButton="0" quotePrefix="0" xfId="0">
      <alignment vertical="center"/>
    </xf>
    <xf numFmtId="165" fontId="14" fillId="3" borderId="54" applyAlignment="1" pivotButton="0" quotePrefix="0" xfId="0">
      <alignment vertical="center"/>
    </xf>
    <xf numFmtId="165" fontId="21" fillId="3" borderId="14" applyAlignment="1" pivotButton="0" quotePrefix="0" xfId="0">
      <alignment vertical="center"/>
    </xf>
    <xf numFmtId="169" fontId="14" fillId="3" borderId="22" applyAlignment="1" pivotButton="0" quotePrefix="0" xfId="0">
      <alignment vertical="center"/>
    </xf>
    <xf numFmtId="49" fontId="21" fillId="0" borderId="12" applyAlignment="1" pivotButton="0" quotePrefix="0" xfId="0">
      <alignment vertical="center"/>
    </xf>
    <xf numFmtId="0" fontId="21" fillId="0" borderId="21" applyAlignment="1" pivotButton="0" quotePrefix="0" xfId="0">
      <alignment vertical="center"/>
    </xf>
    <xf numFmtId="0" fontId="14" fillId="0" borderId="21" applyAlignment="1" pivotButton="0" quotePrefix="0" xfId="0">
      <alignment horizontal="center" vertical="center"/>
    </xf>
    <xf numFmtId="170" fontId="14" fillId="0" borderId="21" applyAlignment="1" pivotButton="0" quotePrefix="0" xfId="0">
      <alignment vertical="center"/>
    </xf>
    <xf numFmtId="165" fontId="14" fillId="3" borderId="20" applyAlignment="1" pivotButton="0" quotePrefix="0" xfId="0">
      <alignment vertical="center"/>
    </xf>
    <xf numFmtId="165" fontId="23" fillId="3" borderId="53" applyAlignment="1" pivotButton="0" quotePrefix="0" xfId="0">
      <alignment vertical="center"/>
    </xf>
    <xf numFmtId="165" fontId="23" fillId="3" borderId="21" applyAlignment="1" pivotButton="0" quotePrefix="0" xfId="0">
      <alignment vertical="center"/>
    </xf>
    <xf numFmtId="165" fontId="23" fillId="3" borderId="14" applyAlignment="1" pivotButton="0" quotePrefix="0" xfId="0">
      <alignment vertical="center"/>
    </xf>
    <xf numFmtId="38" fontId="23" fillId="3" borderId="21" applyAlignment="1" pivotButton="0" quotePrefix="0" xfId="0">
      <alignment vertical="center"/>
    </xf>
    <xf numFmtId="49" fontId="23" fillId="0" borderId="55" applyAlignment="1" pivotButton="0" quotePrefix="0" xfId="0">
      <alignment vertical="center"/>
    </xf>
    <xf numFmtId="49" fontId="23" fillId="0" borderId="40" applyAlignment="1" pivotButton="0" quotePrefix="0" xfId="0">
      <alignment vertical="center"/>
    </xf>
    <xf numFmtId="0" fontId="9" fillId="0" borderId="40" applyAlignment="1" pivotButton="0" quotePrefix="0" xfId="0">
      <alignment horizontal="center" vertical="center"/>
    </xf>
    <xf numFmtId="0" fontId="14" fillId="3" borderId="40" applyAlignment="1" pivotButton="0" quotePrefix="0" xfId="0">
      <alignment horizontal="center" vertical="center"/>
    </xf>
    <xf numFmtId="170" fontId="9" fillId="0" borderId="40" applyAlignment="1" pivotButton="0" quotePrefix="0" xfId="0">
      <alignment vertical="center"/>
    </xf>
    <xf numFmtId="165" fontId="14" fillId="3" borderId="40" applyAlignment="1" pivotButton="0" quotePrefix="0" xfId="0">
      <alignment vertical="center"/>
    </xf>
    <xf numFmtId="165" fontId="9" fillId="3" borderId="40" applyAlignment="1" pivotButton="0" quotePrefix="0" xfId="0">
      <alignment vertical="center"/>
    </xf>
    <xf numFmtId="165" fontId="9" fillId="3" borderId="41" applyAlignment="1" pivotButton="0" quotePrefix="0" xfId="0">
      <alignment vertical="center"/>
    </xf>
    <xf numFmtId="165" fontId="23" fillId="3" borderId="42" applyAlignment="1" pivotButton="0" quotePrefix="0" xfId="0">
      <alignment vertical="center"/>
    </xf>
    <xf numFmtId="165" fontId="23" fillId="3" borderId="40" applyAlignment="1" pivotButton="0" quotePrefix="0" xfId="0">
      <alignment vertical="center"/>
    </xf>
    <xf numFmtId="165" fontId="23" fillId="3" borderId="54" applyAlignment="1" pivotButton="0" quotePrefix="0" xfId="0">
      <alignment vertical="center"/>
    </xf>
    <xf numFmtId="165" fontId="23" fillId="3" borderId="44" applyAlignment="1" pivotButton="0" quotePrefix="0" xfId="0">
      <alignment vertical="center"/>
    </xf>
    <xf numFmtId="38" fontId="23" fillId="3" borderId="40" applyAlignment="1" pivotButton="0" quotePrefix="0" xfId="0">
      <alignment vertical="center"/>
    </xf>
    <xf numFmtId="169" fontId="14" fillId="3" borderId="56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27" fillId="0" borderId="57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center" vertical="center"/>
    </xf>
    <xf numFmtId="0" fontId="0" fillId="0" borderId="58" pivotButton="0" quotePrefix="0" xfId="0"/>
    <xf numFmtId="0" fontId="11" fillId="0" borderId="59" applyAlignment="1" pivotButton="0" quotePrefix="0" xfId="0">
      <alignment vertical="center"/>
    </xf>
    <xf numFmtId="0" fontId="11" fillId="0" borderId="60" applyAlignment="1" pivotButton="0" quotePrefix="0" xfId="0">
      <alignment vertical="center"/>
    </xf>
    <xf numFmtId="0" fontId="11" fillId="0" borderId="61" applyAlignment="1" pivotButton="0" quotePrefix="0" xfId="0">
      <alignment vertical="center"/>
    </xf>
    <xf numFmtId="0" fontId="29" fillId="0" borderId="57" applyAlignment="1" pivotButton="0" quotePrefix="0" xfId="0">
      <alignment horizontal="center" vertical="center" wrapText="1"/>
    </xf>
    <xf numFmtId="0" fontId="30" fillId="0" borderId="62" applyAlignment="1" pivotButton="0" quotePrefix="0" xfId="0">
      <alignment horizontal="center" vertical="center" wrapText="1"/>
    </xf>
    <xf numFmtId="0" fontId="31" fillId="0" borderId="62" applyAlignment="1" pivotButton="0" quotePrefix="0" xfId="0">
      <alignment horizontal="center" vertical="center" wrapText="1"/>
    </xf>
    <xf numFmtId="0" fontId="32" fillId="0" borderId="62" applyAlignment="1" pivotButton="0" quotePrefix="0" xfId="0">
      <alignment horizontal="center" vertical="center" wrapText="1"/>
    </xf>
    <xf numFmtId="165" fontId="32" fillId="0" borderId="62" applyAlignment="1" pivotButton="0" quotePrefix="0" xfId="0">
      <alignment horizontal="center" vertical="center" wrapText="1"/>
    </xf>
    <xf numFmtId="0" fontId="32" fillId="0" borderId="62" applyAlignment="1" pivotButton="0" quotePrefix="0" xfId="0">
      <alignment horizontal="center" vertical="center"/>
    </xf>
    <xf numFmtId="165" fontId="32" fillId="0" borderId="62" applyAlignment="1" pivotButton="0" quotePrefix="0" xfId="0">
      <alignment vertical="center"/>
    </xf>
    <xf numFmtId="0" fontId="33" fillId="0" borderId="18" applyAlignment="1" pivotButton="0" quotePrefix="0" xfId="0">
      <alignment horizontal="center" vertical="center" wrapText="1"/>
    </xf>
    <xf numFmtId="0" fontId="34" fillId="0" borderId="31" applyAlignment="1" pivotButton="0" quotePrefix="0" xfId="0">
      <alignment horizontal="center" vertical="center" wrapText="1"/>
    </xf>
    <xf numFmtId="0" fontId="32" fillId="0" borderId="31" applyAlignment="1" pivotButton="0" quotePrefix="0" xfId="0">
      <alignment vertical="center" wrapText="1"/>
    </xf>
    <xf numFmtId="0" fontId="33" fillId="0" borderId="31" applyAlignment="1" pivotButton="0" quotePrefix="0" xfId="0">
      <alignment horizontal="center" vertical="center" wrapText="1"/>
    </xf>
    <xf numFmtId="0" fontId="32" fillId="0" borderId="62" applyAlignment="1" pivotButton="0" quotePrefix="0" xfId="0">
      <alignment vertical="center" wrapText="1"/>
    </xf>
    <xf numFmtId="0" fontId="0" fillId="0" borderId="63" pivotButton="0" quotePrefix="0" xfId="0"/>
    <xf numFmtId="0" fontId="31" fillId="0" borderId="64" applyAlignment="1" pivotButton="0" quotePrefix="0" xfId="0">
      <alignment horizontal="center" vertical="center"/>
    </xf>
    <xf numFmtId="0" fontId="32" fillId="0" borderId="64" applyAlignment="1" pivotButton="0" quotePrefix="0" xfId="0">
      <alignment horizontal="center" vertical="center" wrapText="1"/>
    </xf>
    <xf numFmtId="165" fontId="32" fillId="0" borderId="64" applyAlignment="1" pivotButton="0" quotePrefix="0" xfId="0">
      <alignment horizontal="center" vertical="center"/>
    </xf>
    <xf numFmtId="165" fontId="32" fillId="0" borderId="64" applyAlignment="1" pivotButton="0" quotePrefix="0" xfId="0">
      <alignment vertical="center"/>
    </xf>
    <xf numFmtId="0" fontId="32" fillId="0" borderId="64" applyAlignment="1" pivotButton="0" quotePrefix="0" xfId="0">
      <alignment vertical="center" wrapText="1"/>
    </xf>
    <xf numFmtId="0" fontId="33" fillId="0" borderId="64" applyAlignment="1" pivotButton="0" quotePrefix="0" xfId="0">
      <alignment horizontal="center" vertical="center" wrapText="1"/>
    </xf>
    <xf numFmtId="0" fontId="32" fillId="0" borderId="65" applyAlignment="1" pivotButton="0" quotePrefix="0" xfId="0">
      <alignment horizontal="center" vertical="center" wrapText="1"/>
    </xf>
    <xf numFmtId="165" fontId="32" fillId="0" borderId="65" applyAlignment="1" pivotButton="0" quotePrefix="0" xfId="0">
      <alignment horizontal="center" vertical="center"/>
    </xf>
    <xf numFmtId="0" fontId="32" fillId="0" borderId="65" applyAlignment="1" pivotButton="0" quotePrefix="0" xfId="0">
      <alignment horizontal="center" vertical="center"/>
    </xf>
    <xf numFmtId="165" fontId="32" fillId="0" borderId="65" applyAlignment="1" pivotButton="0" quotePrefix="0" xfId="0">
      <alignment vertical="center"/>
    </xf>
    <xf numFmtId="0" fontId="34" fillId="0" borderId="38" applyAlignment="1" pivotButton="0" quotePrefix="0" xfId="0">
      <alignment horizontal="center" vertical="center" wrapText="1"/>
    </xf>
    <xf numFmtId="0" fontId="34" fillId="0" borderId="18" applyAlignment="1" pivotButton="0" quotePrefix="0" xfId="0">
      <alignment horizontal="center" vertical="center" wrapText="1"/>
    </xf>
    <xf numFmtId="0" fontId="32" fillId="0" borderId="18" applyAlignment="1" pivotButton="0" quotePrefix="0" xfId="0">
      <alignment vertical="center" wrapText="1"/>
    </xf>
    <xf numFmtId="0" fontId="32" fillId="0" borderId="64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 wrapText="1"/>
    </xf>
    <xf numFmtId="0" fontId="34" fillId="0" borderId="21" applyAlignment="1" pivotButton="0" quotePrefix="0" xfId="0">
      <alignment horizontal="center" vertical="center" wrapText="1"/>
    </xf>
    <xf numFmtId="0" fontId="32" fillId="0" borderId="21" applyAlignment="1" pivotButton="0" quotePrefix="0" xfId="0">
      <alignment vertical="center" wrapText="1"/>
    </xf>
    <xf numFmtId="0" fontId="33" fillId="0" borderId="21" applyAlignment="1" pivotButton="0" quotePrefix="0" xfId="0">
      <alignment horizontal="center" vertical="center" wrapText="1"/>
    </xf>
    <xf numFmtId="0" fontId="32" fillId="0" borderId="66" applyAlignment="1" pivotButton="0" quotePrefix="0" xfId="0">
      <alignment horizontal="center" vertical="center" wrapText="1"/>
    </xf>
    <xf numFmtId="165" fontId="32" fillId="0" borderId="66" applyAlignment="1" pivotButton="0" quotePrefix="0" xfId="0">
      <alignment horizontal="center" vertical="center"/>
    </xf>
    <xf numFmtId="0" fontId="32" fillId="0" borderId="66" applyAlignment="1" pivotButton="0" quotePrefix="0" xfId="0">
      <alignment horizontal="center" vertical="center"/>
    </xf>
    <xf numFmtId="165" fontId="32" fillId="0" borderId="66" applyAlignment="1" pivotButton="0" quotePrefix="0" xfId="0">
      <alignment vertical="center"/>
    </xf>
    <xf numFmtId="0" fontId="32" fillId="0" borderId="67" applyAlignment="1" pivotButton="0" quotePrefix="0" xfId="0">
      <alignment vertical="center" wrapText="1"/>
    </xf>
    <xf numFmtId="0" fontId="34" fillId="0" borderId="68" applyAlignment="1" pivotButton="0" quotePrefix="0" xfId="0">
      <alignment horizontal="center" vertical="center" wrapText="1"/>
    </xf>
    <xf numFmtId="0" fontId="33" fillId="0" borderId="68" applyAlignment="1" pivotButton="0" quotePrefix="0" xfId="0">
      <alignment horizontal="center" vertical="center" wrapText="1"/>
    </xf>
    <xf numFmtId="0" fontId="35" fillId="0" borderId="68" applyAlignment="1" pivotButton="0" quotePrefix="0" xfId="0">
      <alignment horizontal="center" vertical="center" wrapText="1"/>
    </xf>
    <xf numFmtId="0" fontId="32" fillId="0" borderId="69" applyAlignment="1" pivotButton="0" quotePrefix="0" xfId="0">
      <alignment vertical="center" wrapText="1"/>
    </xf>
    <xf numFmtId="0" fontId="32" fillId="0" borderId="66" applyAlignment="1" pivotButton="0" quotePrefix="0" xfId="0">
      <alignment vertical="center" wrapText="1"/>
    </xf>
    <xf numFmtId="0" fontId="32" fillId="0" borderId="12" applyAlignment="1" pivotButton="0" quotePrefix="0" xfId="0">
      <alignment vertical="center" wrapText="1"/>
    </xf>
    <xf numFmtId="0" fontId="35" fillId="0" borderId="21" applyAlignment="1" pivotButton="0" quotePrefix="0" xfId="0">
      <alignment horizontal="center" vertical="center" wrapText="1"/>
    </xf>
    <xf numFmtId="0" fontId="32" fillId="0" borderId="22" applyAlignment="1" pivotButton="0" quotePrefix="0" xfId="0">
      <alignment vertical="center" wrapText="1"/>
    </xf>
    <xf numFmtId="0" fontId="0" fillId="0" borderId="65" pivotButton="0" quotePrefix="0" xfId="0"/>
    <xf numFmtId="0" fontId="32" fillId="0" borderId="58" applyAlignment="1" pivotButton="0" quotePrefix="0" xfId="0">
      <alignment horizontal="center" vertical="center" wrapText="1"/>
    </xf>
    <xf numFmtId="165" fontId="32" fillId="0" borderId="58" applyAlignment="1" pivotButton="0" quotePrefix="0" xfId="0">
      <alignment horizontal="center" vertical="center"/>
    </xf>
    <xf numFmtId="0" fontId="32" fillId="0" borderId="58" applyAlignment="1" pivotButton="0" quotePrefix="0" xfId="0">
      <alignment horizontal="center" vertical="center"/>
    </xf>
    <xf numFmtId="165" fontId="32" fillId="0" borderId="58" applyAlignment="1" pivotButton="0" quotePrefix="0" xfId="0">
      <alignment vertical="center"/>
    </xf>
    <xf numFmtId="0" fontId="32" fillId="0" borderId="59" applyAlignment="1" pivotButton="0" quotePrefix="0" xfId="0">
      <alignment vertical="center" wrapText="1"/>
    </xf>
    <xf numFmtId="0" fontId="34" fillId="0" borderId="60" applyAlignment="1" pivotButton="0" quotePrefix="0" xfId="0">
      <alignment horizontal="center" vertical="center" wrapText="1"/>
    </xf>
    <xf numFmtId="0" fontId="32" fillId="0" borderId="60" applyAlignment="1" pivotButton="0" quotePrefix="0" xfId="0">
      <alignment vertical="center" wrapText="1"/>
    </xf>
    <xf numFmtId="0" fontId="35" fillId="0" borderId="60" applyAlignment="1" pivotButton="0" quotePrefix="0" xfId="0">
      <alignment horizontal="center" vertical="center" wrapText="1"/>
    </xf>
    <xf numFmtId="0" fontId="33" fillId="0" borderId="60" applyAlignment="1" pivotButton="0" quotePrefix="0" xfId="0">
      <alignment horizontal="center" vertical="center" wrapText="1"/>
    </xf>
    <xf numFmtId="0" fontId="32" fillId="0" borderId="61" applyAlignment="1" pivotButton="0" quotePrefix="0" xfId="0">
      <alignment vertical="center" wrapText="1"/>
    </xf>
    <xf numFmtId="0" fontId="32" fillId="0" borderId="58" applyAlignment="1" pivotButton="0" quotePrefix="0" xfId="0">
      <alignment vertical="center" wrapText="1"/>
    </xf>
    <xf numFmtId="0" fontId="29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/>
    </xf>
    <xf numFmtId="0" fontId="36" fillId="0" borderId="27" applyAlignment="1" pivotButton="0" quotePrefix="0" xfId="0">
      <alignment horizontal="left" vertical="center"/>
    </xf>
    <xf numFmtId="0" fontId="0" fillId="0" borderId="27" pivotButton="0" quotePrefix="0" xfId="0"/>
    <xf numFmtId="165" fontId="32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165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 wrapText="1"/>
    </xf>
    <xf numFmtId="0" fontId="37" fillId="0" borderId="27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2" fillId="2" borderId="57" applyAlignment="1" pivotButton="0" quotePrefix="0" xfId="0">
      <alignment horizontal="center" vertical="center"/>
    </xf>
    <xf numFmtId="0" fontId="42" fillId="2" borderId="70" applyAlignment="1" pivotButton="0" quotePrefix="0" xfId="0">
      <alignment horizontal="center" vertical="center"/>
    </xf>
    <xf numFmtId="0" fontId="0" fillId="0" borderId="71" pivotButton="0" quotePrefix="0" xfId="0"/>
    <xf numFmtId="0" fontId="43" fillId="2" borderId="72" applyAlignment="1" pivotButton="0" quotePrefix="0" xfId="0">
      <alignment horizontal="center" vertical="center"/>
    </xf>
    <xf numFmtId="0" fontId="0" fillId="0" borderId="73" pivotButton="0" quotePrefix="0" xfId="0"/>
    <xf numFmtId="0" fontId="43" fillId="2" borderId="30" applyAlignment="1" pivotButton="0" quotePrefix="0" xfId="0">
      <alignment vertical="center"/>
    </xf>
    <xf numFmtId="0" fontId="43" fillId="2" borderId="31" applyAlignment="1" pivotButton="0" quotePrefix="0" xfId="0">
      <alignment horizontal="center" vertical="center"/>
    </xf>
    <xf numFmtId="0" fontId="43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43" fillId="2" borderId="75" applyAlignment="1" pivotButton="0" quotePrefix="0" xfId="0">
      <alignment horizontal="center" vertical="center"/>
    </xf>
    <xf numFmtId="0" fontId="0" fillId="0" borderId="76" pivotButton="0" quotePrefix="0" xfId="0"/>
    <xf numFmtId="0" fontId="43" fillId="2" borderId="75" applyAlignment="1" pivotButton="0" quotePrefix="0" xfId="0">
      <alignment horizontal="center" vertical="center" wrapText="1"/>
    </xf>
    <xf numFmtId="0" fontId="44" fillId="4" borderId="77" applyAlignment="1" pivotButton="0" quotePrefix="0" xfId="0">
      <alignment horizontal="center" vertical="center"/>
    </xf>
    <xf numFmtId="0" fontId="45" fillId="2" borderId="55" applyAlignment="1" pivotButton="0" quotePrefix="0" xfId="0">
      <alignment horizontal="center" vertical="center"/>
    </xf>
    <xf numFmtId="0" fontId="42" fillId="2" borderId="40" applyAlignment="1" pivotButton="0" quotePrefix="0" xfId="0">
      <alignment horizontal="center" vertical="center"/>
    </xf>
    <xf numFmtId="0" fontId="42" fillId="2" borderId="56" applyAlignment="1" pivotButton="0" quotePrefix="0" xfId="0">
      <alignment horizontal="center" vertical="center"/>
    </xf>
    <xf numFmtId="0" fontId="42" fillId="2" borderId="55" applyAlignment="1" pivotButton="0" quotePrefix="0" xfId="0">
      <alignment horizontal="center" vertical="center"/>
    </xf>
    <xf numFmtId="0" fontId="42" fillId="2" borderId="40" applyAlignment="1" pivotButton="0" quotePrefix="0" xfId="0">
      <alignment horizontal="center" vertical="top" wrapText="1"/>
    </xf>
    <xf numFmtId="0" fontId="42" fillId="2" borderId="40" applyAlignment="1" pivotButton="0" quotePrefix="0" xfId="0">
      <alignment horizontal="center" vertical="top"/>
    </xf>
    <xf numFmtId="0" fontId="42" fillId="2" borderId="78" applyAlignment="1" pivotButton="0" quotePrefix="0" xfId="0">
      <alignment horizontal="center" vertical="top" wrapText="1"/>
    </xf>
    <xf numFmtId="0" fontId="42" fillId="2" borderId="79" applyAlignment="1" pivotButton="0" quotePrefix="0" xfId="0">
      <alignment horizontal="center" vertical="center"/>
    </xf>
    <xf numFmtId="0" fontId="42" fillId="2" borderId="80" applyAlignment="1" pivotButton="0" quotePrefix="0" xfId="0">
      <alignment horizontal="center" vertical="center"/>
    </xf>
    <xf numFmtId="0" fontId="42" fillId="2" borderId="81" applyAlignment="1" pivotButton="0" quotePrefix="0" xfId="0">
      <alignment horizontal="center" vertical="center"/>
    </xf>
    <xf numFmtId="0" fontId="42" fillId="2" borderId="56" applyAlignment="1" pivotButton="0" quotePrefix="0" xfId="0">
      <alignment horizontal="center" vertical="top" wrapText="1"/>
    </xf>
    <xf numFmtId="0" fontId="42" fillId="2" borderId="44" applyAlignment="1" pivotButton="0" quotePrefix="0" xfId="0">
      <alignment horizontal="center" vertical="center"/>
    </xf>
    <xf numFmtId="0" fontId="42" fillId="2" borderId="40" applyAlignment="1" pivotButton="0" quotePrefix="0" xfId="0">
      <alignment horizontal="center" vertical="center" wrapText="1"/>
    </xf>
    <xf numFmtId="0" fontId="42" fillId="2" borderId="78" applyAlignment="1" pivotButton="0" quotePrefix="0" xfId="0">
      <alignment horizontal="center" vertical="center" wrapText="1"/>
    </xf>
    <xf numFmtId="0" fontId="42" fillId="2" borderId="41" applyAlignment="1" pivotButton="0" quotePrefix="0" xfId="0">
      <alignment horizontal="center" vertical="center" wrapText="1"/>
    </xf>
    <xf numFmtId="0" fontId="46" fillId="4" borderId="82" applyAlignment="1" pivotButton="0" quotePrefix="0" xfId="0">
      <alignment horizontal="center" vertical="center"/>
    </xf>
    <xf numFmtId="0" fontId="47" fillId="0" borderId="57" applyAlignment="1" pivotButton="0" quotePrefix="0" xfId="0">
      <alignment horizontal="center" vertical="center"/>
    </xf>
    <xf numFmtId="0" fontId="0" fillId="0" borderId="83" pivotButton="0" quotePrefix="0" xfId="0"/>
    <xf numFmtId="0" fontId="42" fillId="0" borderId="57" applyAlignment="1" pivotButton="0" quotePrefix="0" xfId="0">
      <alignment horizontal="center" vertical="center"/>
    </xf>
    <xf numFmtId="0" fontId="42" fillId="0" borderId="84" applyAlignment="1" pivotButton="0" quotePrefix="0" xfId="0">
      <alignment horizontal="center" vertical="center"/>
    </xf>
    <xf numFmtId="0" fontId="42" fillId="0" borderId="85" applyAlignment="1" pivotButton="0" quotePrefix="0" xfId="0">
      <alignment horizontal="center" vertical="center"/>
    </xf>
    <xf numFmtId="0" fontId="42" fillId="0" borderId="86" applyAlignment="1" pivotButton="0" quotePrefix="0" xfId="0">
      <alignment horizontal="center" vertical="center"/>
    </xf>
    <xf numFmtId="0" fontId="42" fillId="0" borderId="85" applyAlignment="1" pivotButton="0" quotePrefix="0" xfId="0">
      <alignment horizontal="center" vertical="top" wrapText="1"/>
    </xf>
    <xf numFmtId="0" fontId="42" fillId="0" borderId="85" applyAlignment="1" pivotButton="0" quotePrefix="0" xfId="0">
      <alignment horizontal="center" vertical="top"/>
    </xf>
    <xf numFmtId="0" fontId="42" fillId="0" borderId="87" applyAlignment="1" pivotButton="0" quotePrefix="0" xfId="0">
      <alignment horizontal="center" vertical="top" wrapText="1"/>
    </xf>
    <xf numFmtId="0" fontId="42" fillId="0" borderId="88" applyAlignment="1" pivotButton="0" quotePrefix="0" xfId="0">
      <alignment horizontal="center" vertical="center"/>
    </xf>
    <xf numFmtId="0" fontId="42" fillId="0" borderId="89" applyAlignment="1" pivotButton="0" quotePrefix="0" xfId="0">
      <alignment horizontal="center" vertical="center"/>
    </xf>
    <xf numFmtId="0" fontId="42" fillId="0" borderId="90" applyAlignment="1" pivotButton="0" quotePrefix="0" xfId="0">
      <alignment horizontal="center" vertical="center"/>
    </xf>
    <xf numFmtId="0" fontId="42" fillId="0" borderId="91" applyAlignment="1" pivotButton="0" quotePrefix="0" xfId="0">
      <alignment horizontal="center" vertical="top" wrapText="1"/>
    </xf>
    <xf numFmtId="0" fontId="42" fillId="0" borderId="86" applyAlignment="1" pivotButton="0" quotePrefix="0" xfId="0">
      <alignment horizontal="center" vertical="top" wrapText="1"/>
    </xf>
    <xf numFmtId="0" fontId="42" fillId="0" borderId="91" applyAlignment="1" pivotButton="0" quotePrefix="0" xfId="0">
      <alignment horizontal="center" vertical="center"/>
    </xf>
    <xf numFmtId="0" fontId="42" fillId="0" borderId="85" applyAlignment="1" pivotButton="0" quotePrefix="0" xfId="0">
      <alignment horizontal="center" vertical="center" wrapText="1"/>
    </xf>
    <xf numFmtId="0" fontId="42" fillId="0" borderId="87" applyAlignment="1" pivotButton="0" quotePrefix="0" xfId="0">
      <alignment horizontal="center" vertical="center" wrapText="1"/>
    </xf>
    <xf numFmtId="0" fontId="42" fillId="0" borderId="92" applyAlignment="1" pivotButton="0" quotePrefix="0" xfId="0">
      <alignment horizontal="center" vertical="center" wrapText="1"/>
    </xf>
    <xf numFmtId="0" fontId="48" fillId="0" borderId="93" applyAlignment="1" pivotButton="0" quotePrefix="0" xfId="0">
      <alignment horizontal="center" vertical="center"/>
    </xf>
    <xf numFmtId="0" fontId="49" fillId="0" borderId="65" applyAlignment="1" pivotButton="0" quotePrefix="0" xfId="0">
      <alignment vertical="center"/>
    </xf>
    <xf numFmtId="0" fontId="49" fillId="0" borderId="65" applyAlignment="1" pivotButton="0" quotePrefix="0" xfId="0">
      <alignment vertical="center" wrapText="1"/>
    </xf>
    <xf numFmtId="0" fontId="49" fillId="0" borderId="65" applyAlignment="1" pivotButton="0" quotePrefix="0" xfId="0">
      <alignment horizontal="center" vertical="center"/>
    </xf>
    <xf numFmtId="165" fontId="49" fillId="0" borderId="18" applyAlignment="1" pivotButton="0" quotePrefix="0" xfId="0">
      <alignment horizontal="center" vertical="center"/>
    </xf>
    <xf numFmtId="165" fontId="49" fillId="0" borderId="22" applyAlignment="1" pivotButton="0" quotePrefix="0" xfId="0">
      <alignment horizontal="center" vertical="center"/>
    </xf>
    <xf numFmtId="0" fontId="49" fillId="0" borderId="38" applyAlignment="1" pivotButton="0" quotePrefix="0" xfId="0">
      <alignment vertical="center"/>
    </xf>
    <xf numFmtId="165" fontId="49" fillId="0" borderId="18" applyAlignment="1" pivotButton="0" quotePrefix="0" xfId="0">
      <alignment vertical="center"/>
    </xf>
    <xf numFmtId="165" fontId="50" fillId="0" borderId="31" applyAlignment="1" pivotButton="0" quotePrefix="0" xfId="0">
      <alignment vertical="center"/>
    </xf>
    <xf numFmtId="165" fontId="51" fillId="0" borderId="31" applyAlignment="1" pivotButton="0" quotePrefix="0" xfId="0">
      <alignment horizontal="center" vertical="center"/>
    </xf>
    <xf numFmtId="165" fontId="51" fillId="0" borderId="31" applyAlignment="1" pivotButton="0" quotePrefix="0" xfId="0">
      <alignment vertical="center"/>
    </xf>
    <xf numFmtId="165" fontId="50" fillId="0" borderId="31" applyAlignment="1" pivotButton="0" quotePrefix="0" xfId="0">
      <alignment horizontal="center" vertical="center"/>
    </xf>
    <xf numFmtId="165" fontId="50" fillId="0" borderId="96" applyAlignment="1" pivotButton="0" quotePrefix="0" xfId="0">
      <alignment horizontal="center" vertical="center"/>
    </xf>
    <xf numFmtId="0" fontId="49" fillId="0" borderId="17" applyAlignment="1" pivotButton="0" quotePrefix="0" xfId="0">
      <alignment vertical="center"/>
    </xf>
    <xf numFmtId="165" fontId="52" fillId="0" borderId="96" applyAlignment="1" pivotButton="0" quotePrefix="0" xfId="0">
      <alignment vertical="center"/>
    </xf>
    <xf numFmtId="0" fontId="49" fillId="0" borderId="97" applyAlignment="1" pivotButton="0" quotePrefix="0" xfId="0">
      <alignment vertical="center"/>
    </xf>
    <xf numFmtId="165" fontId="49" fillId="0" borderId="98" applyAlignment="1" pivotButton="0" quotePrefix="0" xfId="0">
      <alignment vertical="center"/>
    </xf>
    <xf numFmtId="165" fontId="50" fillId="0" borderId="18" applyAlignment="1" pivotButton="0" quotePrefix="0" xfId="0">
      <alignment horizontal="center" vertical="center"/>
    </xf>
    <xf numFmtId="165" fontId="51" fillId="0" borderId="99" applyAlignment="1" pivotButton="0" quotePrefix="0" xfId="0">
      <alignment horizontal="center" vertical="center"/>
    </xf>
    <xf numFmtId="165" fontId="53" fillId="0" borderId="18" applyAlignment="1" pivotButton="0" quotePrefix="0" xfId="0">
      <alignment vertical="center"/>
    </xf>
    <xf numFmtId="165" fontId="51" fillId="0" borderId="18" applyAlignment="1" pivotButton="0" quotePrefix="0" xfId="0">
      <alignment horizontal="center" vertical="center"/>
    </xf>
    <xf numFmtId="165" fontId="53" fillId="0" borderId="18" applyAlignment="1" pivotButton="0" quotePrefix="0" xfId="0">
      <alignment horizontal="center" vertical="center"/>
    </xf>
    <xf numFmtId="165" fontId="53" fillId="0" borderId="100" applyAlignment="1" pivotButton="0" quotePrefix="0" xfId="0">
      <alignment vertical="center"/>
    </xf>
    <xf numFmtId="165" fontId="53" fillId="0" borderId="15" applyAlignment="1" pivotButton="0" quotePrefix="0" xfId="0">
      <alignment vertical="center"/>
    </xf>
    <xf numFmtId="165" fontId="40" fillId="0" borderId="101" applyAlignment="1" pivotButton="0" quotePrefix="0" xfId="0">
      <alignment vertical="center"/>
    </xf>
    <xf numFmtId="0" fontId="49" fillId="0" borderId="57" applyAlignment="1" pivotButton="0" quotePrefix="0" xfId="0">
      <alignment horizontal="center" vertical="center"/>
    </xf>
    <xf numFmtId="0" fontId="49" fillId="0" borderId="84" applyAlignment="1" pivotButton="0" quotePrefix="0" xfId="0">
      <alignment horizontal="center" vertical="center"/>
    </xf>
    <xf numFmtId="0" fontId="49" fillId="0" borderId="85" applyAlignment="1" pivotButton="0" quotePrefix="0" xfId="0">
      <alignment horizontal="center" vertical="center"/>
    </xf>
    <xf numFmtId="0" fontId="49" fillId="0" borderId="86" applyAlignment="1" pivotButton="0" quotePrefix="0" xfId="0">
      <alignment horizontal="center" vertical="center"/>
    </xf>
    <xf numFmtId="0" fontId="49" fillId="0" borderId="84" applyAlignment="1" pivotButton="0" quotePrefix="0" xfId="0">
      <alignment vertical="center"/>
    </xf>
    <xf numFmtId="165" fontId="54" fillId="0" borderId="85" applyAlignment="1" pivotButton="0" quotePrefix="0" xfId="0">
      <alignment vertical="center"/>
    </xf>
    <xf numFmtId="165" fontId="49" fillId="0" borderId="85" applyAlignment="1" pivotButton="0" quotePrefix="0" xfId="0">
      <alignment vertical="center"/>
    </xf>
    <xf numFmtId="171" fontId="49" fillId="0" borderId="85" applyAlignment="1" pivotButton="0" quotePrefix="0" xfId="0">
      <alignment horizontal="center" vertical="center"/>
    </xf>
    <xf numFmtId="0" fontId="0" fillId="0" borderId="102" pivotButton="0" quotePrefix="0" xfId="0"/>
    <xf numFmtId="0" fontId="0" fillId="0" borderId="103" pivotButton="0" quotePrefix="0" xfId="0"/>
    <xf numFmtId="0" fontId="49" fillId="0" borderId="104" applyAlignment="1" pivotButton="0" quotePrefix="0" xfId="0">
      <alignment vertical="center"/>
    </xf>
    <xf numFmtId="165" fontId="55" fillId="0" borderId="85" applyAlignment="1" pivotButton="0" quotePrefix="0" xfId="0">
      <alignment vertical="center"/>
    </xf>
    <xf numFmtId="0" fontId="49" fillId="0" borderId="88" applyAlignment="1" pivotButton="0" quotePrefix="0" xfId="0">
      <alignment vertical="center"/>
    </xf>
    <xf numFmtId="165" fontId="54" fillId="0" borderId="89" applyAlignment="1" pivotButton="0" quotePrefix="0" xfId="0">
      <alignment vertical="center"/>
    </xf>
    <xf numFmtId="165" fontId="48" fillId="0" borderId="10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jpe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jpe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jpe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jpe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jpe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jpe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jpe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jpe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jpe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jpe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jpe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jpe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jpe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jpe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jpe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jpe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jpe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jpe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jpe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61.png" Id="rId1"/><Relationship Type="http://schemas.openxmlformats.org/officeDocument/2006/relationships/image" Target="/xl/media/image162.png" Id="rId2"/><Relationship Type="http://schemas.openxmlformats.org/officeDocument/2006/relationships/image" Target="/xl/media/image163.png" Id="rId3"/><Relationship Type="http://schemas.openxmlformats.org/officeDocument/2006/relationships/image" Target="/xl/media/image164.png" Id="rId4"/><Relationship Type="http://schemas.openxmlformats.org/officeDocument/2006/relationships/image" Target="/xl/media/image165.jpeg" Id="rId5"/><Relationship Type="http://schemas.openxmlformats.org/officeDocument/2006/relationships/image" Target="/xl/media/image166.png" Id="rId6"/><Relationship Type="http://schemas.openxmlformats.org/officeDocument/2006/relationships/image" Target="/xl/media/image167.png" Id="rId7"/><Relationship Type="http://schemas.openxmlformats.org/officeDocument/2006/relationships/image" Target="/xl/media/image168.png" Id="rId8"/><Relationship Type="http://schemas.openxmlformats.org/officeDocument/2006/relationships/image" Target="/xl/media/image169.png" Id="rId9"/></Relationships>
</file>

<file path=xl/drawings/drawing1.xml><?xml version="1.0" encoding="utf-8"?>
<wsDr xmlns="http://schemas.openxmlformats.org/drawingml/2006/spreadsheetDrawing">
  <twoCellAnchor editAs="oneCell">
    <from>
      <col>8</col>
      <colOff>47626</colOff>
      <row>3</row>
      <rowOff>47626</rowOff>
    </from>
    <to>
      <col>8</col>
      <colOff>211932</colOff>
      <row>3</row>
      <rowOff>219076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3</row>
      <rowOff>57150</rowOff>
    </from>
    <to>
      <col>11</col>
      <colOff>219075</colOff>
      <row>3</row>
      <rowOff>219075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3</row>
      <rowOff>57151</rowOff>
    </from>
    <to>
      <col>12</col>
      <colOff>241936</colOff>
      <row>3</row>
      <rowOff>228601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3</row>
      <rowOff>47625</rowOff>
    </from>
    <to>
      <col>13</col>
      <colOff>230981</colOff>
      <row>3</row>
      <rowOff>217407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3</row>
      <rowOff>38100</rowOff>
    </from>
    <to>
      <col>14</col>
      <colOff>219075</colOff>
      <row>3</row>
      <rowOff>239806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3</row>
      <rowOff>42333</rowOff>
    </from>
    <to>
      <col>9</col>
      <colOff>243416</colOff>
      <row>4</row>
      <rowOff>733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3</row>
      <rowOff>52915</rowOff>
    </from>
    <to>
      <col>10</col>
      <colOff>236298</colOff>
      <row>3</row>
      <rowOff>218515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11</row>
      <rowOff>10583</rowOff>
    </from>
    <to>
      <col>15</col>
      <colOff>343127</colOff>
      <row>12</row>
      <rowOff>222250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16</row>
      <rowOff>47626</rowOff>
    </from>
    <to>
      <col>8</col>
      <colOff>211932</colOff>
      <row>16</row>
      <rowOff>219076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16</row>
      <rowOff>57150</rowOff>
    </from>
    <to>
      <col>11</col>
      <colOff>219075</colOff>
      <row>16</row>
      <rowOff>219075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16</row>
      <rowOff>57151</rowOff>
    </from>
    <to>
      <col>12</col>
      <colOff>241936</colOff>
      <row>16</row>
      <rowOff>228601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16</row>
      <rowOff>47625</rowOff>
    </from>
    <to>
      <col>13</col>
      <colOff>230981</colOff>
      <row>16</row>
      <rowOff>217407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16</row>
      <rowOff>38100</rowOff>
    </from>
    <to>
      <col>14</col>
      <colOff>219075</colOff>
      <row>16</row>
      <rowOff>239806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16</row>
      <rowOff>42333</rowOff>
    </from>
    <to>
      <col>9</col>
      <colOff>243416</colOff>
      <row>17</row>
      <rowOff>733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16</row>
      <rowOff>52915</rowOff>
    </from>
    <to>
      <col>10</col>
      <colOff>236298</colOff>
      <row>16</row>
      <rowOff>218515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24</row>
      <rowOff>10583</rowOff>
    </from>
    <to>
      <col>15</col>
      <colOff>343127</colOff>
      <row>25</row>
      <rowOff>222250</rowOff>
    </to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29</row>
      <rowOff>47626</rowOff>
    </from>
    <to>
      <col>8</col>
      <colOff>211932</colOff>
      <row>29</row>
      <rowOff>219076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29</row>
      <rowOff>57150</rowOff>
    </from>
    <to>
      <col>11</col>
      <colOff>219075</colOff>
      <row>29</row>
      <rowOff>219075</rowOff>
    </to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29</row>
      <rowOff>57151</rowOff>
    </from>
    <to>
      <col>12</col>
      <colOff>241936</colOff>
      <row>29</row>
      <rowOff>228601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29</row>
      <rowOff>47625</rowOff>
    </from>
    <to>
      <col>13</col>
      <colOff>230981</colOff>
      <row>29</row>
      <rowOff>217407</rowOff>
    </to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29</row>
      <rowOff>38100</rowOff>
    </from>
    <to>
      <col>14</col>
      <colOff>219075</colOff>
      <row>29</row>
      <rowOff>239806</rowOff>
    </to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29</row>
      <rowOff>42333</rowOff>
    </from>
    <to>
      <col>9</col>
      <colOff>243416</colOff>
      <row>30</row>
      <rowOff>733</rowOff>
    </to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29</row>
      <rowOff>52915</rowOff>
    </from>
    <to>
      <col>10</col>
      <colOff>236298</colOff>
      <row>29</row>
      <rowOff>218515</rowOff>
    </to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37</row>
      <rowOff>10583</rowOff>
    </from>
    <to>
      <col>15</col>
      <colOff>343127</colOff>
      <row>38</row>
      <rowOff>222250</rowOff>
    </to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42</row>
      <rowOff>47626</rowOff>
    </from>
    <to>
      <col>8</col>
      <colOff>211932</colOff>
      <row>42</row>
      <rowOff>219076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42</row>
      <rowOff>57150</rowOff>
    </from>
    <to>
      <col>11</col>
      <colOff>219075</colOff>
      <row>42</row>
      <rowOff>219075</rowOff>
    </to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42</row>
      <rowOff>57151</rowOff>
    </from>
    <to>
      <col>12</col>
      <colOff>241936</colOff>
      <row>42</row>
      <rowOff>228601</rowOff>
    </to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42</row>
      <rowOff>47625</rowOff>
    </from>
    <to>
      <col>13</col>
      <colOff>230981</colOff>
      <row>42</row>
      <rowOff>217407</rowOff>
    </to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42</row>
      <rowOff>38100</rowOff>
    </from>
    <to>
      <col>14</col>
      <colOff>219075</colOff>
      <row>42</row>
      <rowOff>239806</rowOff>
    </to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42</row>
      <rowOff>42333</rowOff>
    </from>
    <to>
      <col>9</col>
      <colOff>243416</colOff>
      <row>43</row>
      <rowOff>733</rowOff>
    </to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42</row>
      <rowOff>52915</rowOff>
    </from>
    <to>
      <col>10</col>
      <colOff>236298</colOff>
      <row>42</row>
      <rowOff>218515</rowOff>
    </to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50</row>
      <rowOff>10583</rowOff>
    </from>
    <to>
      <col>15</col>
      <colOff>343127</colOff>
      <row>51</row>
      <rowOff>222250</rowOff>
    </to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55</row>
      <rowOff>47626</rowOff>
    </from>
    <to>
      <col>8</col>
      <colOff>211932</colOff>
      <row>55</row>
      <rowOff>219076</rowOff>
    </to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55</row>
      <rowOff>57150</rowOff>
    </from>
    <to>
      <col>11</col>
      <colOff>219075</colOff>
      <row>55</row>
      <rowOff>219075</rowOff>
    </to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55</row>
      <rowOff>57151</rowOff>
    </from>
    <to>
      <col>12</col>
      <colOff>241936</colOff>
      <row>55</row>
      <rowOff>228601</rowOff>
    </to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55</row>
      <rowOff>47625</rowOff>
    </from>
    <to>
      <col>13</col>
      <colOff>230981</colOff>
      <row>55</row>
      <rowOff>217407</rowOff>
    </to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55</row>
      <rowOff>38100</rowOff>
    </from>
    <to>
      <col>14</col>
      <colOff>219075</colOff>
      <row>55</row>
      <rowOff>239806</rowOff>
    </to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55</row>
      <rowOff>42333</rowOff>
    </from>
    <to>
      <col>9</col>
      <colOff>243416</colOff>
      <row>56</row>
      <rowOff>733</rowOff>
    </to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55</row>
      <rowOff>52915</rowOff>
    </from>
    <to>
      <col>10</col>
      <colOff>236298</colOff>
      <row>55</row>
      <rowOff>218515</rowOff>
    </to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63</row>
      <rowOff>10583</rowOff>
    </from>
    <to>
      <col>15</col>
      <colOff>343127</colOff>
      <row>64</row>
      <rowOff>222250</rowOff>
    </to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68</row>
      <rowOff>47626</rowOff>
    </from>
    <to>
      <col>8</col>
      <colOff>211932</colOff>
      <row>68</row>
      <rowOff>219076</rowOff>
    </to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68</row>
      <rowOff>57150</rowOff>
    </from>
    <to>
      <col>11</col>
      <colOff>219075</colOff>
      <row>68</row>
      <rowOff>219075</rowOff>
    </to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68</row>
      <rowOff>57151</rowOff>
    </from>
    <to>
      <col>12</col>
      <colOff>241936</colOff>
      <row>68</row>
      <rowOff>228601</rowOff>
    </to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68</row>
      <rowOff>47625</rowOff>
    </from>
    <to>
      <col>13</col>
      <colOff>230981</colOff>
      <row>68</row>
      <rowOff>217407</rowOff>
    </to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68</row>
      <rowOff>38100</rowOff>
    </from>
    <to>
      <col>14</col>
      <colOff>219075</colOff>
      <row>68</row>
      <rowOff>239806</rowOff>
    </to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68</row>
      <rowOff>42333</rowOff>
    </from>
    <to>
      <col>9</col>
      <colOff>243416</colOff>
      <row>69</row>
      <rowOff>733</rowOff>
    </to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68</row>
      <rowOff>52915</rowOff>
    </from>
    <to>
      <col>10</col>
      <colOff>236298</colOff>
      <row>68</row>
      <rowOff>218515</rowOff>
    </to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76</row>
      <rowOff>10583</rowOff>
    </from>
    <to>
      <col>15</col>
      <colOff>343127</colOff>
      <row>77</row>
      <rowOff>222250</rowOff>
    </to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81</row>
      <rowOff>47626</rowOff>
    </from>
    <to>
      <col>8</col>
      <colOff>211932</colOff>
      <row>81</row>
      <rowOff>219076</rowOff>
    </to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81</row>
      <rowOff>57150</rowOff>
    </from>
    <to>
      <col>11</col>
      <colOff>219075</colOff>
      <row>81</row>
      <rowOff>219075</rowOff>
    </to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81</row>
      <rowOff>57151</rowOff>
    </from>
    <to>
      <col>12</col>
      <colOff>241936</colOff>
      <row>81</row>
      <rowOff>228601</rowOff>
    </to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81</row>
      <rowOff>47625</rowOff>
    </from>
    <to>
      <col>13</col>
      <colOff>230981</colOff>
      <row>81</row>
      <rowOff>217407</rowOff>
    </to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81</row>
      <rowOff>38100</rowOff>
    </from>
    <to>
      <col>14</col>
      <colOff>219075</colOff>
      <row>81</row>
      <rowOff>239806</rowOff>
    </to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81</row>
      <rowOff>42333</rowOff>
    </from>
    <to>
      <col>9</col>
      <colOff>243416</colOff>
      <row>82</row>
      <rowOff>733</rowOff>
    </to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81</row>
      <rowOff>52915</rowOff>
    </from>
    <to>
      <col>10</col>
      <colOff>236298</colOff>
      <row>81</row>
      <rowOff>218515</rowOff>
    </to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89</row>
      <rowOff>10583</rowOff>
    </from>
    <to>
      <col>15</col>
      <colOff>343127</colOff>
      <row>90</row>
      <rowOff>222250</rowOff>
    </to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94</row>
      <rowOff>47626</rowOff>
    </from>
    <to>
      <col>8</col>
      <colOff>211932</colOff>
      <row>94</row>
      <rowOff>219076</rowOff>
    </to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94</row>
      <rowOff>57150</rowOff>
    </from>
    <to>
      <col>11</col>
      <colOff>219075</colOff>
      <row>94</row>
      <rowOff>219075</rowOff>
    </to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94</row>
      <rowOff>57151</rowOff>
    </from>
    <to>
      <col>12</col>
      <colOff>241936</colOff>
      <row>94</row>
      <rowOff>228601</rowOff>
    </to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94</row>
      <rowOff>47625</rowOff>
    </from>
    <to>
      <col>13</col>
      <colOff>230981</colOff>
      <row>94</row>
      <rowOff>217407</rowOff>
    </to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94</row>
      <rowOff>38100</rowOff>
    </from>
    <to>
      <col>14</col>
      <colOff>219075</colOff>
      <row>94</row>
      <rowOff>239806</rowOff>
    </to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94</row>
      <rowOff>42333</rowOff>
    </from>
    <to>
      <col>9</col>
      <colOff>243416</colOff>
      <row>95</row>
      <rowOff>733</rowOff>
    </to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94</row>
      <rowOff>52915</rowOff>
    </from>
    <to>
      <col>10</col>
      <colOff>236298</colOff>
      <row>94</row>
      <rowOff>218515</rowOff>
    </to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102</row>
      <rowOff>10583</rowOff>
    </from>
    <to>
      <col>15</col>
      <colOff>343127</colOff>
      <row>103</row>
      <rowOff>222250</rowOff>
    </to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107</row>
      <rowOff>47626</rowOff>
    </from>
    <to>
      <col>8</col>
      <colOff>211932</colOff>
      <row>107</row>
      <rowOff>219076</rowOff>
    </to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107</row>
      <rowOff>57150</rowOff>
    </from>
    <to>
      <col>11</col>
      <colOff>219075</colOff>
      <row>107</row>
      <rowOff>219075</rowOff>
    </to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107</row>
      <rowOff>57151</rowOff>
    </from>
    <to>
      <col>12</col>
      <colOff>241936</colOff>
      <row>107</row>
      <rowOff>228601</rowOff>
    </to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107</row>
      <rowOff>47625</rowOff>
    </from>
    <to>
      <col>13</col>
      <colOff>230981</colOff>
      <row>107</row>
      <rowOff>217407</rowOff>
    </to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107</row>
      <rowOff>38100</rowOff>
    </from>
    <to>
      <col>14</col>
      <colOff>219075</colOff>
      <row>107</row>
      <rowOff>239806</rowOff>
    </to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107</row>
      <rowOff>42333</rowOff>
    </from>
    <to>
      <col>9</col>
      <colOff>243416</colOff>
      <row>108</row>
      <rowOff>733</rowOff>
    </to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107</row>
      <rowOff>52915</rowOff>
    </from>
    <to>
      <col>10</col>
      <colOff>236298</colOff>
      <row>107</row>
      <rowOff>218515</rowOff>
    </to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115</row>
      <rowOff>10583</rowOff>
    </from>
    <to>
      <col>15</col>
      <colOff>343127</colOff>
      <row>116</row>
      <rowOff>222250</rowOff>
    </to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120</row>
      <rowOff>47626</rowOff>
    </from>
    <to>
      <col>8</col>
      <colOff>211932</colOff>
      <row>120</row>
      <rowOff>219076</rowOff>
    </to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120</row>
      <rowOff>57150</rowOff>
    </from>
    <to>
      <col>11</col>
      <colOff>219075</colOff>
      <row>120</row>
      <rowOff>219075</rowOff>
    </to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120</row>
      <rowOff>57151</rowOff>
    </from>
    <to>
      <col>12</col>
      <colOff>241936</colOff>
      <row>120</row>
      <rowOff>228601</rowOff>
    </to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120</row>
      <rowOff>47625</rowOff>
    </from>
    <to>
      <col>13</col>
      <colOff>230981</colOff>
      <row>120</row>
      <rowOff>217407</rowOff>
    </to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120</row>
      <rowOff>38100</rowOff>
    </from>
    <to>
      <col>14</col>
      <colOff>219075</colOff>
      <row>120</row>
      <rowOff>239806</rowOff>
    </to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120</row>
      <rowOff>42333</rowOff>
    </from>
    <to>
      <col>9</col>
      <colOff>243416</colOff>
      <row>121</row>
      <rowOff>733</rowOff>
    </to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120</row>
      <rowOff>52915</rowOff>
    </from>
    <to>
      <col>10</col>
      <colOff>236298</colOff>
      <row>120</row>
      <rowOff>218515</rowOff>
    </to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128</row>
      <rowOff>10583</rowOff>
    </from>
    <to>
      <col>15</col>
      <colOff>343127</colOff>
      <row>129</row>
      <rowOff>222250</rowOff>
    </to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133</row>
      <rowOff>47626</rowOff>
    </from>
    <to>
      <col>8</col>
      <colOff>211932</colOff>
      <row>133</row>
      <rowOff>219076</rowOff>
    </to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133</row>
      <rowOff>57150</rowOff>
    </from>
    <to>
      <col>11</col>
      <colOff>219075</colOff>
      <row>133</row>
      <rowOff>219075</rowOff>
    </to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133</row>
      <rowOff>57151</rowOff>
    </from>
    <to>
      <col>12</col>
      <colOff>241936</colOff>
      <row>133</row>
      <rowOff>228601</rowOff>
    </to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133</row>
      <rowOff>47625</rowOff>
    </from>
    <to>
      <col>13</col>
      <colOff>230981</colOff>
      <row>133</row>
      <rowOff>217407</rowOff>
    </to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133</row>
      <rowOff>38100</rowOff>
    </from>
    <to>
      <col>14</col>
      <colOff>219075</colOff>
      <row>133</row>
      <rowOff>239806</rowOff>
    </to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133</row>
      <rowOff>42333</rowOff>
    </from>
    <to>
      <col>9</col>
      <colOff>243416</colOff>
      <row>134</row>
      <rowOff>733</rowOff>
    </to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133</row>
      <rowOff>52915</rowOff>
    </from>
    <to>
      <col>10</col>
      <colOff>236298</colOff>
      <row>133</row>
      <rowOff>218515</rowOff>
    </to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141</row>
      <rowOff>10583</rowOff>
    </from>
    <to>
      <col>15</col>
      <colOff>343127</colOff>
      <row>142</row>
      <rowOff>222250</rowOff>
    </to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146</row>
      <rowOff>47626</rowOff>
    </from>
    <to>
      <col>8</col>
      <colOff>211932</colOff>
      <row>146</row>
      <rowOff>219076</rowOff>
    </to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146</row>
      <rowOff>57150</rowOff>
    </from>
    <to>
      <col>11</col>
      <colOff>219075</colOff>
      <row>146</row>
      <rowOff>219075</rowOff>
    </to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146</row>
      <rowOff>57151</rowOff>
    </from>
    <to>
      <col>12</col>
      <colOff>241936</colOff>
      <row>146</row>
      <rowOff>228601</rowOff>
    </to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146</row>
      <rowOff>47625</rowOff>
    </from>
    <to>
      <col>13</col>
      <colOff>230981</colOff>
      <row>146</row>
      <rowOff>217407</rowOff>
    </to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146</row>
      <rowOff>38100</rowOff>
    </from>
    <to>
      <col>14</col>
      <colOff>219075</colOff>
      <row>146</row>
      <rowOff>239806</rowOff>
    </to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146</row>
      <rowOff>42333</rowOff>
    </from>
    <to>
      <col>9</col>
      <colOff>243416</colOff>
      <row>147</row>
      <rowOff>733</rowOff>
    </to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146</row>
      <rowOff>52915</rowOff>
    </from>
    <to>
      <col>10</col>
      <colOff>236298</colOff>
      <row>146</row>
      <rowOff>218515</rowOff>
    </to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154</row>
      <rowOff>10583</rowOff>
    </from>
    <to>
      <col>15</col>
      <colOff>343127</colOff>
      <row>155</row>
      <rowOff>222250</rowOff>
    </to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159</row>
      <rowOff>47626</rowOff>
    </from>
    <to>
      <col>8</col>
      <colOff>211932</colOff>
      <row>159</row>
      <rowOff>219076</rowOff>
    </to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159</row>
      <rowOff>57150</rowOff>
    </from>
    <to>
      <col>11</col>
      <colOff>219075</colOff>
      <row>159</row>
      <rowOff>219075</rowOff>
    </to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159</row>
      <rowOff>57151</rowOff>
    </from>
    <to>
      <col>12</col>
      <colOff>241936</colOff>
      <row>159</row>
      <rowOff>228601</rowOff>
    </to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159</row>
      <rowOff>47625</rowOff>
    </from>
    <to>
      <col>13</col>
      <colOff>230981</colOff>
      <row>159</row>
      <rowOff>217407</rowOff>
    </to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159</row>
      <rowOff>38100</rowOff>
    </from>
    <to>
      <col>14</col>
      <colOff>219075</colOff>
      <row>159</row>
      <rowOff>239806</rowOff>
    </to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159</row>
      <rowOff>42333</rowOff>
    </from>
    <to>
      <col>9</col>
      <colOff>243416</colOff>
      <row>160</row>
      <rowOff>733</rowOff>
    </to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159</row>
      <rowOff>52915</rowOff>
    </from>
    <to>
      <col>10</col>
      <colOff>236298</colOff>
      <row>159</row>
      <rowOff>218515</rowOff>
    </to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167</row>
      <rowOff>10583</rowOff>
    </from>
    <to>
      <col>15</col>
      <colOff>343127</colOff>
      <row>168</row>
      <rowOff>222250</rowOff>
    </to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172</row>
      <rowOff>47626</rowOff>
    </from>
    <to>
      <col>8</col>
      <colOff>211932</colOff>
      <row>172</row>
      <rowOff>219076</rowOff>
    </to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172</row>
      <rowOff>57150</rowOff>
    </from>
    <to>
      <col>11</col>
      <colOff>219075</colOff>
      <row>172</row>
      <rowOff>219075</rowOff>
    </to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172</row>
      <rowOff>57151</rowOff>
    </from>
    <to>
      <col>12</col>
      <colOff>241936</colOff>
      <row>172</row>
      <rowOff>228601</rowOff>
    </to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172</row>
      <rowOff>47625</rowOff>
    </from>
    <to>
      <col>13</col>
      <colOff>230981</colOff>
      <row>172</row>
      <rowOff>217407</rowOff>
    </to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172</row>
      <rowOff>38100</rowOff>
    </from>
    <to>
      <col>14</col>
      <colOff>219075</colOff>
      <row>172</row>
      <rowOff>239806</rowOff>
    </to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172</row>
      <rowOff>42333</rowOff>
    </from>
    <to>
      <col>9</col>
      <colOff>243416</colOff>
      <row>173</row>
      <rowOff>733</rowOff>
    </to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172</row>
      <rowOff>52915</rowOff>
    </from>
    <to>
      <col>10</col>
      <colOff>236298</colOff>
      <row>172</row>
      <rowOff>218515</rowOff>
    </to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180</row>
      <rowOff>10583</rowOff>
    </from>
    <to>
      <col>15</col>
      <colOff>343127</colOff>
      <row>181</row>
      <rowOff>222250</rowOff>
    </to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185</row>
      <rowOff>47626</rowOff>
    </from>
    <to>
      <col>8</col>
      <colOff>211932</colOff>
      <row>185</row>
      <rowOff>219076</rowOff>
    </to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185</row>
      <rowOff>57150</rowOff>
    </from>
    <to>
      <col>11</col>
      <colOff>219075</colOff>
      <row>185</row>
      <rowOff>219075</rowOff>
    </to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185</row>
      <rowOff>57151</rowOff>
    </from>
    <to>
      <col>12</col>
      <colOff>241936</colOff>
      <row>185</row>
      <rowOff>228601</rowOff>
    </to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185</row>
      <rowOff>47625</rowOff>
    </from>
    <to>
      <col>13</col>
      <colOff>230981</colOff>
      <row>185</row>
      <rowOff>217407</rowOff>
    </to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185</row>
      <rowOff>38100</rowOff>
    </from>
    <to>
      <col>14</col>
      <colOff>219075</colOff>
      <row>185</row>
      <rowOff>239806</rowOff>
    </to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185</row>
      <rowOff>42333</rowOff>
    </from>
    <to>
      <col>9</col>
      <colOff>243416</colOff>
      <row>186</row>
      <rowOff>733</rowOff>
    </to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185</row>
      <rowOff>52915</rowOff>
    </from>
    <to>
      <col>10</col>
      <colOff>236298</colOff>
      <row>185</row>
      <rowOff>218515</rowOff>
    </to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193</row>
      <rowOff>10583</rowOff>
    </from>
    <to>
      <col>15</col>
      <colOff>343127</colOff>
      <row>194</row>
      <rowOff>222250</rowOff>
    </to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198</row>
      <rowOff>47626</rowOff>
    </from>
    <to>
      <col>8</col>
      <colOff>211932</colOff>
      <row>198</row>
      <rowOff>219076</rowOff>
    </to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198</row>
      <rowOff>57150</rowOff>
    </from>
    <to>
      <col>11</col>
      <colOff>219075</colOff>
      <row>198</row>
      <rowOff>219075</rowOff>
    </to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198</row>
      <rowOff>57151</rowOff>
    </from>
    <to>
      <col>12</col>
      <colOff>241936</colOff>
      <row>198</row>
      <rowOff>228601</rowOff>
    </to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198</row>
      <rowOff>47625</rowOff>
    </from>
    <to>
      <col>13</col>
      <colOff>230981</colOff>
      <row>198</row>
      <rowOff>217407</rowOff>
    </to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198</row>
      <rowOff>38100</rowOff>
    </from>
    <to>
      <col>14</col>
      <colOff>219075</colOff>
      <row>198</row>
      <rowOff>239806</rowOff>
    </to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198</row>
      <rowOff>42333</rowOff>
    </from>
    <to>
      <col>9</col>
      <colOff>243416</colOff>
      <row>199</row>
      <rowOff>733</rowOff>
    </to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198</row>
      <rowOff>52915</rowOff>
    </from>
    <to>
      <col>10</col>
      <colOff>236298</colOff>
      <row>198</row>
      <rowOff>218515</rowOff>
    </to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206</row>
      <rowOff>10583</rowOff>
    </from>
    <to>
      <col>15</col>
      <colOff>343127</colOff>
      <row>207</row>
      <rowOff>222250</rowOff>
    </to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211</row>
      <rowOff>47626</rowOff>
    </from>
    <to>
      <col>8</col>
      <colOff>211932</colOff>
      <row>211</row>
      <rowOff>219076</rowOff>
    </to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211</row>
      <rowOff>57150</rowOff>
    </from>
    <to>
      <col>11</col>
      <colOff>219075</colOff>
      <row>211</row>
      <rowOff>219075</rowOff>
    </to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211</row>
      <rowOff>57151</rowOff>
    </from>
    <to>
      <col>12</col>
      <colOff>241936</colOff>
      <row>211</row>
      <rowOff>228601</rowOff>
    </to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211</row>
      <rowOff>47625</rowOff>
    </from>
    <to>
      <col>13</col>
      <colOff>230981</colOff>
      <row>211</row>
      <rowOff>217407</rowOff>
    </to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211</row>
      <rowOff>38100</rowOff>
    </from>
    <to>
      <col>14</col>
      <colOff>219075</colOff>
      <row>211</row>
      <rowOff>239806</rowOff>
    </to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211</row>
      <rowOff>42333</rowOff>
    </from>
    <to>
      <col>9</col>
      <colOff>243416</colOff>
      <row>212</row>
      <rowOff>733</rowOff>
    </to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211</row>
      <rowOff>52915</rowOff>
    </from>
    <to>
      <col>10</col>
      <colOff>236298</colOff>
      <row>211</row>
      <rowOff>218515</rowOff>
    </to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219</row>
      <rowOff>10583</rowOff>
    </from>
    <to>
      <col>15</col>
      <colOff>343127</colOff>
      <row>220</row>
      <rowOff>222250</rowOff>
    </to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224</row>
      <rowOff>47626</rowOff>
    </from>
    <to>
      <col>8</col>
      <colOff>211932</colOff>
      <row>224</row>
      <rowOff>219076</rowOff>
    </to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224</row>
      <rowOff>57150</rowOff>
    </from>
    <to>
      <col>11</col>
      <colOff>219075</colOff>
      <row>224</row>
      <rowOff>219075</rowOff>
    </to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224</row>
      <rowOff>57151</rowOff>
    </from>
    <to>
      <col>12</col>
      <colOff>241936</colOff>
      <row>224</row>
      <rowOff>228601</rowOff>
    </to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224</row>
      <rowOff>47625</rowOff>
    </from>
    <to>
      <col>13</col>
      <colOff>230981</colOff>
      <row>224</row>
      <rowOff>217407</rowOff>
    </to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224</row>
      <rowOff>38100</rowOff>
    </from>
    <to>
      <col>14</col>
      <colOff>219075</colOff>
      <row>224</row>
      <rowOff>239806</rowOff>
    </to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224</row>
      <rowOff>42333</rowOff>
    </from>
    <to>
      <col>9</col>
      <colOff>243416</colOff>
      <row>225</row>
      <rowOff>733</rowOff>
    </to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224</row>
      <rowOff>52915</rowOff>
    </from>
    <to>
      <col>10</col>
      <colOff>236298</colOff>
      <row>224</row>
      <rowOff>218515</rowOff>
    </to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232</row>
      <rowOff>10583</rowOff>
    </from>
    <to>
      <col>15</col>
      <colOff>343127</colOff>
      <row>233</row>
      <rowOff>222250</rowOff>
    </to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237</row>
      <rowOff>47626</rowOff>
    </from>
    <to>
      <col>8</col>
      <colOff>211932</colOff>
      <row>237</row>
      <rowOff>219076</rowOff>
    </to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237</row>
      <rowOff>57150</rowOff>
    </from>
    <to>
      <col>11</col>
      <colOff>219075</colOff>
      <row>237</row>
      <rowOff>219075</rowOff>
    </to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237</row>
      <rowOff>57151</rowOff>
    </from>
    <to>
      <col>12</col>
      <colOff>241936</colOff>
      <row>237</row>
      <rowOff>228601</rowOff>
    </to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237</row>
      <rowOff>47625</rowOff>
    </from>
    <to>
      <col>13</col>
      <colOff>230981</colOff>
      <row>237</row>
      <rowOff>217407</rowOff>
    </to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237</row>
      <rowOff>38100</rowOff>
    </from>
    <to>
      <col>14</col>
      <colOff>219075</colOff>
      <row>237</row>
      <rowOff>239806</rowOff>
    </to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237</row>
      <rowOff>42333</rowOff>
    </from>
    <to>
      <col>9</col>
      <colOff>243416</colOff>
      <row>238</row>
      <rowOff>733</rowOff>
    </to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237</row>
      <rowOff>52915</rowOff>
    </from>
    <to>
      <col>10</col>
      <colOff>236298</colOff>
      <row>237</row>
      <rowOff>218515</rowOff>
    </to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245</row>
      <rowOff>10583</rowOff>
    </from>
    <to>
      <col>15</col>
      <colOff>343127</colOff>
      <row>246</row>
      <rowOff>222250</rowOff>
    </to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8</col>
      <colOff>47626</colOff>
      <row>250</row>
      <rowOff>47626</rowOff>
    </from>
    <to>
      <col>8</col>
      <colOff>211932</colOff>
      <row>250</row>
      <rowOff>219076</rowOff>
    </to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50110</colOff>
      <row>250</row>
      <rowOff>57150</rowOff>
    </from>
    <to>
      <col>11</col>
      <colOff>219075</colOff>
      <row>250</row>
      <rowOff>219075</rowOff>
    </to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19051</colOff>
      <row>250</row>
      <rowOff>57151</rowOff>
    </from>
    <to>
      <col>12</col>
      <colOff>241936</colOff>
      <row>250</row>
      <rowOff>228601</rowOff>
    </to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66675</colOff>
      <row>250</row>
      <rowOff>47625</rowOff>
    </from>
    <to>
      <col>13</col>
      <colOff>230981</colOff>
      <row>250</row>
      <rowOff>217407</rowOff>
    </to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28575</colOff>
      <row>250</row>
      <rowOff>38100</rowOff>
    </from>
    <to>
      <col>14</col>
      <colOff>219075</colOff>
      <row>250</row>
      <rowOff>239806</rowOff>
    </to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9</col>
      <colOff>31749</colOff>
      <row>250</row>
      <rowOff>42333</rowOff>
    </from>
    <to>
      <col>9</col>
      <colOff>243416</colOff>
      <row>251</row>
      <rowOff>733</rowOff>
    </to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10</col>
      <colOff>63498</colOff>
      <row>250</row>
      <rowOff>52915</rowOff>
    </from>
    <to>
      <col>10</col>
      <colOff>236298</colOff>
      <row>250</row>
      <rowOff>218515</rowOff>
    </to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486827</colOff>
      <row>258</row>
      <rowOff>10583</rowOff>
    </from>
    <to>
      <col>15</col>
      <colOff>343127</colOff>
      <row>259</row>
      <rowOff>222250</rowOff>
    </to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10</col>
      <colOff>122463</colOff>
      <row>4</row>
      <rowOff>77561</rowOff>
    </from>
    <to>
      <col>10</col>
      <colOff>480416</colOff>
      <row>4</row>
      <rowOff>451078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13</col>
      <colOff>96374</colOff>
      <row>4</row>
      <rowOff>100693</rowOff>
    </from>
    <to>
      <col>13</col>
      <colOff>464477</colOff>
      <row>4</row>
      <rowOff>453459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14</col>
      <colOff>55788</colOff>
      <row>4</row>
      <rowOff>73479</rowOff>
    </from>
    <to>
      <col>14</col>
      <colOff>541360</colOff>
      <row>4</row>
      <rowOff>446996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89805</colOff>
      <row>4</row>
      <rowOff>59871</rowOff>
    </from>
    <to>
      <col>15</col>
      <colOff>447758</colOff>
      <row>4</row>
      <rowOff>429754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16</col>
      <colOff>47623</colOff>
      <row>4</row>
      <rowOff>40821</rowOff>
    </from>
    <to>
      <col>16</col>
      <colOff>462642</colOff>
      <row>4</row>
      <rowOff>480253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11</col>
      <colOff>47626</colOff>
      <row>4</row>
      <rowOff>79375</rowOff>
    </from>
    <to>
      <col>11</col>
      <colOff>525950</colOff>
      <row>4</row>
      <rowOff>511375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12</col>
      <colOff>117474</colOff>
      <row>4</row>
      <rowOff>79375</rowOff>
    </from>
    <to>
      <col>12</col>
      <colOff>513474</colOff>
      <row>4</row>
      <rowOff>439375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20</col>
      <colOff>158750</colOff>
      <row>4</row>
      <rowOff>31750</rowOff>
    </from>
    <to>
      <col>26</col>
      <colOff>499698</colOff>
      <row>4</row>
      <rowOff>501183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30</col>
      <colOff>158750</colOff>
      <row>4</row>
      <rowOff>47625</rowOff>
    </from>
    <to>
      <col>36</col>
      <colOff>499699</colOff>
      <row>4</row>
      <rowOff>517058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zoomScale="70" workbookViewId="0">
      <selection activeCell="A1" sqref="A1"/>
    </sheetView>
  </sheetViews>
  <sheetFormatPr baseColWidth="8" defaultRowHeight="15"/>
  <cols>
    <col width="1.5" customWidth="1" min="1" max="1"/>
    <col width="3.375" customWidth="1" min="2" max="2"/>
    <col width="16.375" customWidth="1" min="3" max="3"/>
    <col width="1.75" customWidth="1" min="4" max="4"/>
    <col width="8.375" customWidth="1" min="5" max="5"/>
    <col width="7" customWidth="1" min="6" max="6"/>
    <col width="8.625" customWidth="1" min="7" max="7"/>
    <col width="17.625" customWidth="1" min="8" max="8"/>
    <col width="5.25" customWidth="1" min="9" max="9"/>
    <col width="6.25" customWidth="1" min="10" max="10"/>
    <col width="10.75" customWidth="1" min="11" max="11"/>
    <col width="14" customWidth="1" min="12" max="12"/>
    <col width="19" customWidth="1" min="13" max="13"/>
    <col width="11.625" customWidth="1" min="14" max="14"/>
  </cols>
  <sheetData>
    <row r="1" ht="35.25" customHeight="1">
      <c r="A1" s="1" t="inlineStr">
        <is>
          <t>관급자재 구매 요청서</t>
        </is>
      </c>
    </row>
    <row r="2" ht="26.2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1.95" customHeight="1">
      <c r="A3" s="3" t="inlineStr">
        <is>
          <t xml:space="preserve"> □ 공사개요</t>
        </is>
      </c>
      <c r="G3" s="4" t="n"/>
      <c r="H3" s="4" t="n"/>
      <c r="I3" s="4" t="n"/>
      <c r="J3" s="4" t="n"/>
      <c r="K3" s="4" t="n"/>
      <c r="L3" s="4" t="n"/>
      <c r="M3" s="4" t="n"/>
    </row>
    <row r="4" ht="24" customHeight="1">
      <c r="A4" s="5" t="n"/>
      <c r="B4" s="6" t="inlineStr">
        <is>
          <t>○</t>
        </is>
      </c>
      <c r="C4" s="7" t="inlineStr">
        <is>
          <t>공사명</t>
        </is>
      </c>
      <c r="D4" s="5" t="inlineStr">
        <is>
          <t>:</t>
        </is>
      </c>
      <c r="E4" s="8" t="inlineStr">
        <is>
          <t>국도5호선 신림~판부1 도로건설 전기공사(4차)</t>
        </is>
      </c>
    </row>
    <row r="5" ht="24" customHeight="1">
      <c r="A5" s="5" t="n"/>
      <c r="B5" s="6" t="inlineStr">
        <is>
          <t>○</t>
        </is>
      </c>
      <c r="C5" s="7" t="inlineStr">
        <is>
          <t>주요공종</t>
        </is>
      </c>
      <c r="D5" s="5" t="inlineStr">
        <is>
          <t>:</t>
        </is>
      </c>
      <c r="E5" s="8" t="inlineStr">
        <is>
          <t>CABLE TRAY 및 접지설비 공사</t>
        </is>
      </c>
    </row>
    <row r="6" ht="24" customHeight="1">
      <c r="A6" s="5" t="n"/>
      <c r="B6" s="6" t="inlineStr">
        <is>
          <t>○</t>
        </is>
      </c>
      <c r="C6" s="7" t="inlineStr">
        <is>
          <t>관급자재품목</t>
        </is>
      </c>
      <c r="D6" s="5" t="inlineStr">
        <is>
          <t>:</t>
        </is>
      </c>
      <c r="E6" s="8" t="inlineStr">
        <is>
          <t>케이블트레이,조이너</t>
        </is>
      </c>
    </row>
    <row r="7" ht="24" customHeight="1">
      <c r="A7" s="5" t="n"/>
      <c r="B7" s="6" t="inlineStr">
        <is>
          <t>○</t>
        </is>
      </c>
      <c r="C7" s="7" t="inlineStr">
        <is>
          <t>공사기간</t>
        </is>
      </c>
      <c r="D7" s="5" t="inlineStr">
        <is>
          <t>:</t>
        </is>
      </c>
      <c r="E7" s="8" t="inlineStr">
        <is>
          <t>2026. 03. 16 ~ 2027. 11. 12</t>
        </is>
      </c>
    </row>
    <row r="8" ht="24" customHeight="1">
      <c r="A8" s="5" t="n"/>
      <c r="B8" s="6" t="inlineStr">
        <is>
          <t>○</t>
        </is>
      </c>
      <c r="C8" s="7" t="inlineStr">
        <is>
          <t>공사위치</t>
        </is>
      </c>
      <c r="D8" s="5" t="inlineStr">
        <is>
          <t>:</t>
        </is>
      </c>
      <c r="E8" s="8" t="inlineStr">
        <is>
          <t>강원특별자치도 원주시 신림면 신림리 ~ 원주시 판부면 금대리</t>
        </is>
      </c>
    </row>
    <row r="9" ht="21" customHeight="1">
      <c r="A9" s="9" t="n"/>
      <c r="B9" s="9" t="n"/>
      <c r="C9" s="9" t="n"/>
      <c r="D9" s="9" t="n"/>
      <c r="E9" s="9" t="n"/>
      <c r="F9" s="9" t="n"/>
      <c r="G9" s="10" t="n"/>
      <c r="H9" s="10" t="n"/>
      <c r="I9" s="10" t="n"/>
      <c r="J9" s="10" t="n"/>
      <c r="K9" s="10" t="n"/>
      <c r="L9" s="10" t="n"/>
      <c r="M9" s="10" t="n"/>
    </row>
    <row r="10" ht="20.1" customHeight="1">
      <c r="A10" s="11" t="inlineStr">
        <is>
          <t xml:space="preserve"> □ 관급자재 요구내역</t>
        </is>
      </c>
      <c r="B10" s="3" t="n"/>
      <c r="C10" s="3" t="n"/>
      <c r="D10" s="3" t="n"/>
      <c r="E10" s="3" t="n"/>
      <c r="M10" s="12" t="inlineStr">
        <is>
          <t>(부가세 포함)</t>
        </is>
      </c>
    </row>
    <row r="11" ht="5.1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 ht="35.25" customHeight="1">
      <c r="A12" s="13" t="inlineStr">
        <is>
          <t>자 재 명</t>
        </is>
      </c>
      <c r="B12" s="14" t="n"/>
      <c r="C12" s="14" t="n"/>
      <c r="D12" s="14" t="n"/>
      <c r="E12" s="15" t="n"/>
      <c r="F12" s="16" t="inlineStr">
        <is>
          <t>규   격</t>
        </is>
      </c>
      <c r="G12" s="14" t="n"/>
      <c r="H12" s="14" t="n"/>
      <c r="I12" s="15" t="n"/>
      <c r="J12" s="16" t="inlineStr">
        <is>
          <t>단위</t>
        </is>
      </c>
      <c r="K12" s="16" t="inlineStr">
        <is>
          <t>수  량</t>
        </is>
      </c>
      <c r="L12" s="16" t="inlineStr">
        <is>
          <t>단 가(원)</t>
        </is>
      </c>
      <c r="M12" s="16" t="inlineStr">
        <is>
          <t>금 액(원)</t>
        </is>
      </c>
      <c r="N12" s="17" t="inlineStr">
        <is>
          <t>비 고</t>
        </is>
      </c>
    </row>
    <row r="13" ht="26.25" customHeight="1">
      <c r="A13" s="18" t="inlineStr">
        <is>
          <t>Ⅱ 전기공사 관급자재</t>
        </is>
      </c>
      <c r="B13" s="19" t="n"/>
      <c r="C13" s="19" t="n"/>
      <c r="D13" s="19" t="n"/>
      <c r="E13" s="20" t="n"/>
      <c r="F13" s="21" t="n"/>
      <c r="G13" s="19" t="n"/>
      <c r="H13" s="19" t="n"/>
      <c r="I13" s="22" t="n"/>
      <c r="J13" s="23" t="n"/>
      <c r="K13" s="24" t="n"/>
      <c r="L13" s="25" t="n"/>
      <c r="M13" s="26">
        <f>SUM(M15)</f>
        <v/>
      </c>
      <c r="N13" s="27" t="inlineStr"/>
    </row>
    <row r="14" ht="26.25" customHeight="1">
      <c r="A14" s="28" t="inlineStr">
        <is>
          <t>1. 도급자관급</t>
        </is>
      </c>
      <c r="B14" s="29" t="n"/>
      <c r="C14" s="29" t="n"/>
      <c r="D14" s="29" t="n"/>
      <c r="E14" s="30" t="n"/>
      <c r="F14" s="31" t="n"/>
      <c r="G14" s="32" t="n"/>
      <c r="H14" s="32" t="n"/>
      <c r="I14" s="33" t="n"/>
      <c r="J14" s="34" t="n"/>
      <c r="K14" s="35" t="n"/>
      <c r="L14" s="36" t="n"/>
      <c r="M14" s="37">
        <f>M15</f>
        <v/>
      </c>
      <c r="N14" s="38" t="n"/>
    </row>
    <row r="15" ht="26.25" customHeight="1">
      <c r="A15" s="28" t="inlineStr"/>
      <c r="B15" s="29" t="n"/>
      <c r="C15" s="29" t="n"/>
      <c r="D15" s="29" t="n"/>
      <c r="E15" s="30" t="n"/>
      <c r="F15" s="39" t="n"/>
      <c r="G15" s="29" t="n"/>
      <c r="H15" s="29" t="n"/>
      <c r="I15" s="40" t="n"/>
      <c r="J15" s="41" t="n"/>
      <c r="K15" s="42" t="n"/>
      <c r="L15" s="43" t="n"/>
      <c r="M15" s="44">
        <f>SUM(M16:M35)</f>
        <v/>
      </c>
      <c r="N15" s="45" t="n"/>
    </row>
    <row r="16" ht="26.25" customHeight="1">
      <c r="A16" s="46">
        <f>IF(구매내역현황!A10="","",구매내역현황!A10)</f>
        <v/>
      </c>
      <c r="B16" s="29" t="n"/>
      <c r="C16" s="29" t="n"/>
      <c r="D16" s="29" t="n"/>
      <c r="E16" s="30" t="n"/>
      <c r="F16" s="47">
        <f>IF(구매내역현황!A10="","",구매내역현황!B10)</f>
        <v/>
      </c>
      <c r="G16" s="29" t="n"/>
      <c r="H16" s="29" t="n"/>
      <c r="I16" s="30" t="n"/>
      <c r="J16" s="48">
        <f>IF(구매내역현황!A10="","",구매내역현황!C10)</f>
        <v/>
      </c>
      <c r="K16" s="49">
        <f>IF(구매내역현황!A10="","",구매내역현황!N10)</f>
        <v/>
      </c>
      <c r="L16" s="50">
        <f>IF(구매내역현황!A10="","",구매내역현황!O10)</f>
        <v/>
      </c>
      <c r="M16" s="49">
        <f>IF(구매내역현황!A10="","",TRUNC(K16*L16,0))</f>
        <v/>
      </c>
      <c r="N16" s="51" t="n"/>
    </row>
    <row r="17" ht="26.25" customHeight="1">
      <c r="A17" s="46">
        <f>IF(구매내역현황!A11="","",구매내역현황!A11)</f>
        <v/>
      </c>
      <c r="B17" s="29" t="n"/>
      <c r="C17" s="29" t="n"/>
      <c r="D17" s="29" t="n"/>
      <c r="E17" s="30" t="n"/>
      <c r="F17" s="47">
        <f>IF(구매내역현황!A11="","",구매내역현황!B11)</f>
        <v/>
      </c>
      <c r="G17" s="29" t="n"/>
      <c r="H17" s="29" t="n"/>
      <c r="I17" s="30" t="n"/>
      <c r="J17" s="48">
        <f>IF(구매내역현황!A11="","",구매내역현황!C11)</f>
        <v/>
      </c>
      <c r="K17" s="49">
        <f>IF(구매내역현황!A11="","",구매내역현황!N11)</f>
        <v/>
      </c>
      <c r="L17" s="50">
        <f>IF(구매내역현황!A11="","",구매내역현황!O11)</f>
        <v/>
      </c>
      <c r="M17" s="49">
        <f>IF(구매내역현황!A11="","",TRUNC(K17*L17,0))</f>
        <v/>
      </c>
      <c r="N17" s="51" t="n"/>
    </row>
    <row r="18" ht="26.25" customHeight="1">
      <c r="A18" s="46">
        <f>IF(구매내역현황!A12="","",구매내역현황!A12)</f>
        <v/>
      </c>
      <c r="B18" s="29" t="n"/>
      <c r="C18" s="29" t="n"/>
      <c r="D18" s="29" t="n"/>
      <c r="E18" s="30" t="n"/>
      <c r="F18" s="47">
        <f>IF(구매내역현황!A12="","",구매내역현황!B12)</f>
        <v/>
      </c>
      <c r="G18" s="29" t="n"/>
      <c r="H18" s="29" t="n"/>
      <c r="I18" s="30" t="n"/>
      <c r="J18" s="48">
        <f>IF(구매내역현황!A12="","",구매내역현황!C12)</f>
        <v/>
      </c>
      <c r="K18" s="49">
        <f>IF(구매내역현황!A12="","",구매내역현황!N12)</f>
        <v/>
      </c>
      <c r="L18" s="50">
        <f>IF(구매내역현황!A12="","",구매내역현황!O12)</f>
        <v/>
      </c>
      <c r="M18" s="49">
        <f>IF(구매내역현황!A12="","",TRUNC(K18*L18,0))</f>
        <v/>
      </c>
      <c r="N18" s="51" t="n"/>
    </row>
    <row r="19" ht="26.25" customHeight="1">
      <c r="A19" s="46">
        <f>IF(구매내역현황!A13="","",구매내역현황!A13)</f>
        <v/>
      </c>
      <c r="B19" s="29" t="n"/>
      <c r="C19" s="29" t="n"/>
      <c r="D19" s="29" t="n"/>
      <c r="E19" s="30" t="n"/>
      <c r="F19" s="47">
        <f>IF(구매내역현황!A13="","",구매내역현황!B13)</f>
        <v/>
      </c>
      <c r="G19" s="29" t="n"/>
      <c r="H19" s="29" t="n"/>
      <c r="I19" s="30" t="n"/>
      <c r="J19" s="48">
        <f>IF(구매내역현황!A13="","",구매내역현황!C13)</f>
        <v/>
      </c>
      <c r="K19" s="49">
        <f>IF(구매내역현황!A13="","",구매내역현황!N13)</f>
        <v/>
      </c>
      <c r="L19" s="50">
        <f>IF(구매내역현황!A13="","",구매내역현황!O13)</f>
        <v/>
      </c>
      <c r="M19" s="49">
        <f>IF(구매내역현황!A13="","",TRUNC(K19*L19,0))</f>
        <v/>
      </c>
      <c r="N19" s="51" t="n"/>
    </row>
    <row r="20" ht="26.25" customHeight="1">
      <c r="A20" s="46">
        <f>IF(구매내역현황!A14="","",구매내역현황!A14)</f>
        <v/>
      </c>
      <c r="B20" s="29" t="n"/>
      <c r="C20" s="29" t="n"/>
      <c r="D20" s="29" t="n"/>
      <c r="E20" s="30" t="n"/>
      <c r="F20" s="47">
        <f>IF(구매내역현황!A14="","",구매내역현황!B14)</f>
        <v/>
      </c>
      <c r="G20" s="29" t="n"/>
      <c r="H20" s="29" t="n"/>
      <c r="I20" s="30" t="n"/>
      <c r="J20" s="48">
        <f>IF(구매내역현황!A14="","",구매내역현황!C14)</f>
        <v/>
      </c>
      <c r="K20" s="49">
        <f>IF(구매내역현황!A14="","",구매내역현황!N14)</f>
        <v/>
      </c>
      <c r="L20" s="50">
        <f>IF(구매내역현황!A14="","",구매내역현황!O14)</f>
        <v/>
      </c>
      <c r="M20" s="49">
        <f>IF(구매내역현황!A14="","",TRUNC(K20*L20,0))</f>
        <v/>
      </c>
      <c r="N20" s="51" t="n"/>
    </row>
    <row r="21" ht="26.25" customHeight="1">
      <c r="A21" s="46">
        <f>IF(구매내역현황!A15="","",구매내역현황!A15)</f>
        <v/>
      </c>
      <c r="B21" s="29" t="n"/>
      <c r="C21" s="29" t="n"/>
      <c r="D21" s="29" t="n"/>
      <c r="E21" s="30" t="n"/>
      <c r="F21" s="47">
        <f>IF(구매내역현황!A15="","",구매내역현황!B15)</f>
        <v/>
      </c>
      <c r="G21" s="29" t="n"/>
      <c r="H21" s="29" t="n"/>
      <c r="I21" s="30" t="n"/>
      <c r="J21" s="48">
        <f>IF(구매내역현황!A15="","",구매내역현황!C15)</f>
        <v/>
      </c>
      <c r="K21" s="49">
        <f>IF(구매내역현황!A15="","",구매내역현황!N15)</f>
        <v/>
      </c>
      <c r="L21" s="50">
        <f>IF(구매내역현황!A15="","",구매내역현황!O15)</f>
        <v/>
      </c>
      <c r="M21" s="49">
        <f>IF(구매내역현황!A15="","",TRUNC(K21*L21,0))</f>
        <v/>
      </c>
      <c r="N21" s="51" t="n"/>
    </row>
    <row r="22" ht="26.25" customHeight="1">
      <c r="A22" s="46">
        <f>IF(구매내역현황!A16="","",구매내역현황!A16)</f>
        <v/>
      </c>
      <c r="B22" s="29" t="n"/>
      <c r="C22" s="29" t="n"/>
      <c r="D22" s="29" t="n"/>
      <c r="E22" s="30" t="n"/>
      <c r="F22" s="47">
        <f>IF(구매내역현황!A16="","",구매내역현황!B16)</f>
        <v/>
      </c>
      <c r="G22" s="29" t="n"/>
      <c r="H22" s="29" t="n"/>
      <c r="I22" s="30" t="n"/>
      <c r="J22" s="48">
        <f>IF(구매내역현황!A16="","",구매내역현황!C16)</f>
        <v/>
      </c>
      <c r="K22" s="49">
        <f>IF(구매내역현황!A16="","",구매내역현황!N16)</f>
        <v/>
      </c>
      <c r="L22" s="50">
        <f>IF(구매내역현황!A16="","",구매내역현황!O16)</f>
        <v/>
      </c>
      <c r="M22" s="49">
        <f>IF(구매내역현황!A16="","",TRUNC(K22*L22,0))</f>
        <v/>
      </c>
      <c r="N22" s="51" t="n"/>
    </row>
    <row r="23" ht="26.25" customHeight="1">
      <c r="A23" s="46">
        <f>IF(구매내역현황!A17="","",구매내역현황!A17)</f>
        <v/>
      </c>
      <c r="B23" s="29" t="n"/>
      <c r="C23" s="29" t="n"/>
      <c r="D23" s="29" t="n"/>
      <c r="E23" s="30" t="n"/>
      <c r="F23" s="47">
        <f>IF(구매내역현황!A17="","",구매내역현황!B17)</f>
        <v/>
      </c>
      <c r="G23" s="29" t="n"/>
      <c r="H23" s="29" t="n"/>
      <c r="I23" s="30" t="n"/>
      <c r="J23" s="48">
        <f>IF(구매내역현황!A17="","",구매내역현황!C17)</f>
        <v/>
      </c>
      <c r="K23" s="49">
        <f>IF(구매내역현황!A17="","",구매내역현황!N17)</f>
        <v/>
      </c>
      <c r="L23" s="50">
        <f>IF(구매내역현황!A17="","",구매내역현황!O17)</f>
        <v/>
      </c>
      <c r="M23" s="49">
        <f>IF(구매내역현황!A17="","",TRUNC(K23*L23,0))</f>
        <v/>
      </c>
      <c r="N23" s="51" t="n"/>
    </row>
    <row r="24" ht="26.25" customHeight="1">
      <c r="A24" s="46">
        <f>IF(구매내역현황!A18="","",구매내역현황!A18)</f>
        <v/>
      </c>
      <c r="B24" s="29" t="n"/>
      <c r="C24" s="29" t="n"/>
      <c r="D24" s="29" t="n"/>
      <c r="E24" s="30" t="n"/>
      <c r="F24" s="47">
        <f>IF(구매내역현황!A18="","",구매내역현황!B18)</f>
        <v/>
      </c>
      <c r="G24" s="29" t="n"/>
      <c r="H24" s="29" t="n"/>
      <c r="I24" s="30" t="n"/>
      <c r="J24" s="48">
        <f>IF(구매내역현황!A18="","",구매내역현황!C18)</f>
        <v/>
      </c>
      <c r="K24" s="49">
        <f>IF(구매내역현황!A18="","",구매내역현황!N18)</f>
        <v/>
      </c>
      <c r="L24" s="50">
        <f>IF(구매내역현황!A18="","",구매내역현황!O18)</f>
        <v/>
      </c>
      <c r="M24" s="49">
        <f>IF(구매내역현황!A18="","",TRUNC(K24*L24,0))</f>
        <v/>
      </c>
      <c r="N24" s="51" t="n"/>
    </row>
    <row r="25" ht="26.25" customHeight="1">
      <c r="A25" s="46">
        <f>IF(구매내역현황!A19="","",구매내역현황!A19)</f>
        <v/>
      </c>
      <c r="B25" s="29" t="n"/>
      <c r="C25" s="29" t="n"/>
      <c r="D25" s="29" t="n"/>
      <c r="E25" s="30" t="n"/>
      <c r="F25" s="47">
        <f>IF(구매내역현황!A19="","",구매내역현황!B19)</f>
        <v/>
      </c>
      <c r="G25" s="29" t="n"/>
      <c r="H25" s="29" t="n"/>
      <c r="I25" s="30" t="n"/>
      <c r="J25" s="48">
        <f>IF(구매내역현황!A19="","",구매내역현황!C19)</f>
        <v/>
      </c>
      <c r="K25" s="49">
        <f>IF(구매내역현황!A19="","",구매내역현황!N19)</f>
        <v/>
      </c>
      <c r="L25" s="50">
        <f>IF(구매내역현황!A19="","",구매내역현황!O19)</f>
        <v/>
      </c>
      <c r="M25" s="49">
        <f>IF(구매내역현황!A19="","",TRUNC(K25*L25,0))</f>
        <v/>
      </c>
      <c r="N25" s="51" t="n"/>
    </row>
    <row r="26" ht="26.25" customHeight="1">
      <c r="A26" s="46">
        <f>IF(구매내역현황!A20="","",구매내역현황!A20)</f>
        <v/>
      </c>
      <c r="B26" s="29" t="n"/>
      <c r="C26" s="29" t="n"/>
      <c r="D26" s="29" t="n"/>
      <c r="E26" s="30" t="n"/>
      <c r="F26" s="47">
        <f>IF(구매내역현황!A20="","",구매내역현황!B20)</f>
        <v/>
      </c>
      <c r="G26" s="29" t="n"/>
      <c r="H26" s="29" t="n"/>
      <c r="I26" s="30" t="n"/>
      <c r="J26" s="48">
        <f>IF(구매내역현황!A20="","",구매내역현황!C20)</f>
        <v/>
      </c>
      <c r="K26" s="49">
        <f>IF(구매내역현황!A20="","",구매내역현황!N20)</f>
        <v/>
      </c>
      <c r="L26" s="50">
        <f>IF(구매내역현황!A20="","",구매내역현황!O20)</f>
        <v/>
      </c>
      <c r="M26" s="49">
        <f>IF(구매내역현황!A20="","",TRUNC(K26*L26,0))</f>
        <v/>
      </c>
      <c r="N26" s="51" t="n"/>
    </row>
    <row r="27" ht="26.25" customHeight="1">
      <c r="A27" s="46">
        <f>IF(구매내역현황!A21="","",구매내역현황!A21)</f>
        <v/>
      </c>
      <c r="B27" s="29" t="n"/>
      <c r="C27" s="29" t="n"/>
      <c r="D27" s="29" t="n"/>
      <c r="E27" s="30" t="n"/>
      <c r="F27" s="47">
        <f>IF(구매내역현황!A21="","",구매내역현황!B21)</f>
        <v/>
      </c>
      <c r="G27" s="29" t="n"/>
      <c r="H27" s="29" t="n"/>
      <c r="I27" s="30" t="n"/>
      <c r="J27" s="48">
        <f>IF(구매내역현황!A21="","",구매내역현황!C21)</f>
        <v/>
      </c>
      <c r="K27" s="49">
        <f>IF(구매내역현황!A21="","",구매내역현황!N21)</f>
        <v/>
      </c>
      <c r="L27" s="50">
        <f>IF(구매내역현황!A21="","",구매내역현황!O21)</f>
        <v/>
      </c>
      <c r="M27" s="49">
        <f>IF(구매내역현황!A21="","",TRUNC(K27*L27,0))</f>
        <v/>
      </c>
      <c r="N27" s="51" t="n"/>
    </row>
    <row r="28" ht="26.25" customHeight="1">
      <c r="A28" s="46">
        <f>IF(구매내역현황!A22="","",구매내역현황!A22)</f>
        <v/>
      </c>
      <c r="B28" s="29" t="n"/>
      <c r="C28" s="29" t="n"/>
      <c r="D28" s="29" t="n"/>
      <c r="E28" s="30" t="n"/>
      <c r="F28" s="47">
        <f>IF(구매내역현황!A22="","",구매내역현황!B22)</f>
        <v/>
      </c>
      <c r="G28" s="29" t="n"/>
      <c r="H28" s="29" t="n"/>
      <c r="I28" s="30" t="n"/>
      <c r="J28" s="48">
        <f>IF(구매내역현황!A22="","",구매내역현황!C22)</f>
        <v/>
      </c>
      <c r="K28" s="49">
        <f>IF(구매내역현황!A22="","",구매내역현황!N22)</f>
        <v/>
      </c>
      <c r="L28" s="50">
        <f>IF(구매내역현황!A22="","",구매내역현황!O22)</f>
        <v/>
      </c>
      <c r="M28" s="49">
        <f>IF(구매내역현황!A22="","",TRUNC(K28*L28,0))</f>
        <v/>
      </c>
      <c r="N28" s="51" t="n"/>
    </row>
    <row r="29" ht="26.25" customHeight="1">
      <c r="A29" s="46">
        <f>IF(구매내역현황!A23="","",구매내역현황!A23)</f>
        <v/>
      </c>
      <c r="B29" s="29" t="n"/>
      <c r="C29" s="29" t="n"/>
      <c r="D29" s="29" t="n"/>
      <c r="E29" s="30" t="n"/>
      <c r="F29" s="47">
        <f>IF(구매내역현황!A23="","",구매내역현황!B23)</f>
        <v/>
      </c>
      <c r="G29" s="29" t="n"/>
      <c r="H29" s="29" t="n"/>
      <c r="I29" s="30" t="n"/>
      <c r="J29" s="48">
        <f>IF(구매내역현황!A23="","",구매내역현황!C23)</f>
        <v/>
      </c>
      <c r="K29" s="49">
        <f>IF(구매내역현황!A23="","",구매내역현황!N23)</f>
        <v/>
      </c>
      <c r="L29" s="50">
        <f>IF(구매내역현황!A23="","",구매내역현황!O23)</f>
        <v/>
      </c>
      <c r="M29" s="49">
        <f>IF(구매내역현황!A23="","",TRUNC(K29*L29,0))</f>
        <v/>
      </c>
      <c r="N29" s="51" t="n"/>
    </row>
    <row r="30" ht="26.25" customHeight="1">
      <c r="A30" s="46">
        <f>IF(구매내역현황!A24="","",구매내역현황!A24)</f>
        <v/>
      </c>
      <c r="B30" s="29" t="n"/>
      <c r="C30" s="29" t="n"/>
      <c r="D30" s="29" t="n"/>
      <c r="E30" s="30" t="n"/>
      <c r="F30" s="47">
        <f>IF(구매내역현황!A24="","",구매내역현황!B24)</f>
        <v/>
      </c>
      <c r="G30" s="29" t="n"/>
      <c r="H30" s="29" t="n"/>
      <c r="I30" s="30" t="n"/>
      <c r="J30" s="48">
        <f>IF(구매내역현황!A24="","",구매내역현황!C24)</f>
        <v/>
      </c>
      <c r="K30" s="49">
        <f>IF(구매내역현황!A24="","",구매내역현황!N24)</f>
        <v/>
      </c>
      <c r="L30" s="50">
        <f>IF(구매내역현황!A24="","",구매내역현황!O24)</f>
        <v/>
      </c>
      <c r="M30" s="49">
        <f>IF(구매내역현황!A24="","",TRUNC(K30*L30,0))</f>
        <v/>
      </c>
      <c r="N30" s="51" t="n"/>
    </row>
    <row r="31" ht="26.25" customHeight="1">
      <c r="A31" s="46">
        <f>IF(구매내역현황!A25="","",구매내역현황!A25)</f>
        <v/>
      </c>
      <c r="B31" s="29" t="n"/>
      <c r="C31" s="29" t="n"/>
      <c r="D31" s="29" t="n"/>
      <c r="E31" s="30" t="n"/>
      <c r="F31" s="47">
        <f>IF(구매내역현황!A25="","",구매내역현황!B25)</f>
        <v/>
      </c>
      <c r="G31" s="29" t="n"/>
      <c r="H31" s="29" t="n"/>
      <c r="I31" s="30" t="n"/>
      <c r="J31" s="48">
        <f>IF(구매내역현황!A25="","",구매내역현황!C25)</f>
        <v/>
      </c>
      <c r="K31" s="49">
        <f>IF(구매내역현황!A25="","",구매내역현황!N25)</f>
        <v/>
      </c>
      <c r="L31" s="50">
        <f>IF(구매내역현황!A25="","",구매내역현황!O25)</f>
        <v/>
      </c>
      <c r="M31" s="49">
        <f>IF(구매내역현황!A25="","",TRUNC(K31*L31,0))</f>
        <v/>
      </c>
      <c r="N31" s="51" t="n"/>
    </row>
    <row r="32" ht="26.25" customHeight="1">
      <c r="A32" s="46">
        <f>IF(구매내역현황!A26="","",구매내역현황!A26)</f>
        <v/>
      </c>
      <c r="B32" s="29" t="n"/>
      <c r="C32" s="29" t="n"/>
      <c r="D32" s="29" t="n"/>
      <c r="E32" s="30" t="n"/>
      <c r="F32" s="47">
        <f>IF(구매내역현황!A26="","",구매내역현황!B26)</f>
        <v/>
      </c>
      <c r="G32" s="29" t="n"/>
      <c r="H32" s="29" t="n"/>
      <c r="I32" s="30" t="n"/>
      <c r="J32" s="48">
        <f>IF(구매내역현황!A26="","",구매내역현황!C26)</f>
        <v/>
      </c>
      <c r="K32" s="49">
        <f>IF(구매내역현황!A26="","",구매내역현황!N26)</f>
        <v/>
      </c>
      <c r="L32" s="50">
        <f>IF(구매내역현황!A26="","",구매내역현황!O26)</f>
        <v/>
      </c>
      <c r="M32" s="49">
        <f>IF(구매내역현황!A26="","",TRUNC(K32*L32,0))</f>
        <v/>
      </c>
      <c r="N32" s="51" t="n"/>
    </row>
    <row r="33" ht="26.25" customHeight="1">
      <c r="A33" s="46">
        <f>IF(구매내역현황!A27="","",구매내역현황!A27)</f>
        <v/>
      </c>
      <c r="B33" s="29" t="n"/>
      <c r="C33" s="29" t="n"/>
      <c r="D33" s="29" t="n"/>
      <c r="E33" s="30" t="n"/>
      <c r="F33" s="47">
        <f>IF(구매내역현황!A27="","",구매내역현황!B27)</f>
        <v/>
      </c>
      <c r="G33" s="29" t="n"/>
      <c r="H33" s="29" t="n"/>
      <c r="I33" s="30" t="n"/>
      <c r="J33" s="48">
        <f>IF(구매내역현황!A27="","",구매내역현황!C27)</f>
        <v/>
      </c>
      <c r="K33" s="49">
        <f>IF(구매내역현황!A27="","",구매내역현황!N27)</f>
        <v/>
      </c>
      <c r="L33" s="50">
        <f>IF(구매내역현황!A27="","",구매내역현황!O27)</f>
        <v/>
      </c>
      <c r="M33" s="49">
        <f>IF(구매내역현황!A27="","",TRUNC(K33*L33,0))</f>
        <v/>
      </c>
      <c r="N33" s="51" t="n"/>
    </row>
    <row r="34" ht="26.25" customHeight="1">
      <c r="A34" s="46">
        <f>IF(구매내역현황!A28="","",구매내역현황!A28)</f>
        <v/>
      </c>
      <c r="B34" s="29" t="n"/>
      <c r="C34" s="29" t="n"/>
      <c r="D34" s="29" t="n"/>
      <c r="E34" s="30" t="n"/>
      <c r="F34" s="47">
        <f>IF(구매내역현황!A28="","",구매내역현황!B28)</f>
        <v/>
      </c>
      <c r="G34" s="29" t="n"/>
      <c r="H34" s="29" t="n"/>
      <c r="I34" s="30" t="n"/>
      <c r="J34" s="48">
        <f>IF(구매내역현황!A28="","",구매내역현황!C28)</f>
        <v/>
      </c>
      <c r="K34" s="49">
        <f>IF(구매내역현황!A28="","",구매내역현황!N28)</f>
        <v/>
      </c>
      <c r="L34" s="50">
        <f>IF(구매내역현황!A28="","",구매내역현황!O28)</f>
        <v/>
      </c>
      <c r="M34" s="49">
        <f>IF(구매내역현황!A28="","",TRUNC(K34*L34,0))</f>
        <v/>
      </c>
      <c r="N34" s="51" t="n"/>
    </row>
    <row r="35" ht="26.25" customHeight="1">
      <c r="A35" s="46">
        <f>IF(구매내역현황!A29="","",구매내역현황!A29)</f>
        <v/>
      </c>
      <c r="B35" s="29" t="n"/>
      <c r="C35" s="29" t="n"/>
      <c r="D35" s="29" t="n"/>
      <c r="E35" s="30" t="n"/>
      <c r="F35" s="47">
        <f>IF(구매내역현황!A29="","",구매내역현황!B29)</f>
        <v/>
      </c>
      <c r="G35" s="29" t="n"/>
      <c r="H35" s="29" t="n"/>
      <c r="I35" s="30" t="n"/>
      <c r="J35" s="48">
        <f>IF(구매내역현황!A29="","",구매내역현황!C29)</f>
        <v/>
      </c>
      <c r="K35" s="49">
        <f>IF(구매내역현황!A29="","",구매내역현황!N29)</f>
        <v/>
      </c>
      <c r="L35" s="50">
        <f>IF(구매내역현황!A29="","",구매내역현황!O29)</f>
        <v/>
      </c>
      <c r="M35" s="49">
        <f>IF(구매내역현황!A29="","",TRUNC(K35*L35,0))</f>
        <v/>
      </c>
      <c r="N35" s="51" t="n"/>
    </row>
    <row r="36" ht="26.25" customHeight="1">
      <c r="A36" s="28" t="n"/>
      <c r="B36" s="29" t="n"/>
      <c r="C36" s="29" t="n"/>
      <c r="D36" s="29" t="n"/>
      <c r="E36" s="30" t="n"/>
      <c r="F36" s="52" t="n"/>
      <c r="G36" s="29" t="n"/>
      <c r="H36" s="29" t="n"/>
      <c r="I36" s="30" t="n"/>
      <c r="J36" s="48" t="n"/>
      <c r="K36" s="49" t="n"/>
      <c r="L36" s="49" t="n"/>
      <c r="M36" s="53" t="n"/>
      <c r="N36" s="51" t="n"/>
    </row>
    <row r="37" ht="26.25" customHeight="1">
      <c r="A37" s="28" t="n"/>
      <c r="B37" s="29" t="n"/>
      <c r="C37" s="29" t="n"/>
      <c r="D37" s="29" t="n"/>
      <c r="E37" s="30" t="n"/>
      <c r="F37" s="52" t="n"/>
      <c r="G37" s="29" t="n"/>
      <c r="H37" s="29" t="n"/>
      <c r="I37" s="30" t="n"/>
      <c r="J37" s="48" t="n"/>
      <c r="K37" s="49" t="n"/>
      <c r="L37" s="49" t="n"/>
      <c r="M37" s="53" t="n"/>
      <c r="N37" s="51" t="n"/>
    </row>
    <row r="38" ht="26.25" customHeight="1">
      <c r="A38" s="28" t="n"/>
      <c r="B38" s="29" t="n"/>
      <c r="C38" s="29" t="n"/>
      <c r="D38" s="29" t="n"/>
      <c r="E38" s="30" t="n"/>
      <c r="F38" s="52" t="n"/>
      <c r="G38" s="29" t="n"/>
      <c r="H38" s="29" t="n"/>
      <c r="I38" s="30" t="n"/>
      <c r="J38" s="48" t="n"/>
      <c r="K38" s="49" t="n"/>
      <c r="L38" s="49" t="n"/>
      <c r="M38" s="53" t="n"/>
      <c r="N38" s="51" t="n"/>
    </row>
    <row r="39" ht="26.25" customHeight="1">
      <c r="A39" s="28" t="n"/>
      <c r="B39" s="29" t="n"/>
      <c r="C39" s="29" t="n"/>
      <c r="D39" s="29" t="n"/>
      <c r="E39" s="30" t="n"/>
      <c r="F39" s="52" t="n"/>
      <c r="G39" s="29" t="n"/>
      <c r="H39" s="29" t="n"/>
      <c r="I39" s="30" t="n"/>
      <c r="J39" s="48" t="n"/>
      <c r="K39" s="49" t="n"/>
      <c r="L39" s="49" t="n"/>
      <c r="M39" s="53" t="n"/>
      <c r="N39" s="51" t="n"/>
    </row>
    <row r="40" ht="26.25" customHeight="1">
      <c r="A40" s="28" t="n"/>
      <c r="B40" s="29" t="n"/>
      <c r="C40" s="29" t="n"/>
      <c r="D40" s="29" t="n"/>
      <c r="E40" s="30" t="n"/>
      <c r="F40" s="52" t="n"/>
      <c r="G40" s="29" t="n"/>
      <c r="H40" s="29" t="n"/>
      <c r="I40" s="30" t="n"/>
      <c r="J40" s="48" t="n"/>
      <c r="K40" s="49" t="n"/>
      <c r="L40" s="49" t="n"/>
      <c r="M40" s="53" t="n"/>
      <c r="N40" s="51" t="n"/>
    </row>
    <row r="41" ht="26.25" customHeight="1">
      <c r="A41" s="28" t="n"/>
      <c r="B41" s="29" t="n"/>
      <c r="C41" s="29" t="n"/>
      <c r="D41" s="29" t="n"/>
      <c r="E41" s="30" t="n"/>
      <c r="F41" s="52" t="n"/>
      <c r="G41" s="29" t="n"/>
      <c r="H41" s="29" t="n"/>
      <c r="I41" s="30" t="n"/>
      <c r="J41" s="48" t="n"/>
      <c r="K41" s="49" t="n"/>
      <c r="L41" s="49" t="n"/>
      <c r="M41" s="53" t="n"/>
      <c r="N41" s="51" t="n"/>
    </row>
    <row r="42" ht="26.25" customHeight="1">
      <c r="A42" s="28" t="n"/>
      <c r="B42" s="29" t="n"/>
      <c r="C42" s="29" t="n"/>
      <c r="D42" s="29" t="n"/>
      <c r="E42" s="30" t="n"/>
      <c r="F42" s="52" t="n"/>
      <c r="G42" s="29" t="n"/>
      <c r="H42" s="29" t="n"/>
      <c r="I42" s="30" t="n"/>
      <c r="J42" s="48" t="n"/>
      <c r="K42" s="49" t="n"/>
      <c r="L42" s="49" t="n"/>
      <c r="M42" s="53" t="n"/>
      <c r="N42" s="51" t="n"/>
    </row>
    <row r="43" ht="26.25" customHeight="1">
      <c r="A43" s="28" t="n"/>
      <c r="B43" s="29" t="n"/>
      <c r="C43" s="29" t="n"/>
      <c r="D43" s="29" t="n"/>
      <c r="E43" s="30" t="n"/>
      <c r="F43" s="52" t="n"/>
      <c r="G43" s="29" t="n"/>
      <c r="H43" s="29" t="n"/>
      <c r="I43" s="30" t="n"/>
      <c r="J43" s="48" t="n"/>
      <c r="K43" s="49" t="n"/>
      <c r="L43" s="49" t="n"/>
      <c r="M43" s="53" t="n"/>
      <c r="N43" s="51" t="n"/>
    </row>
    <row r="44" ht="26.25" customHeight="1">
      <c r="A44" s="28" t="n"/>
      <c r="B44" s="29" t="n"/>
      <c r="C44" s="29" t="n"/>
      <c r="D44" s="29" t="n"/>
      <c r="E44" s="30" t="n"/>
      <c r="F44" s="52" t="n"/>
      <c r="G44" s="29" t="n"/>
      <c r="H44" s="29" t="n"/>
      <c r="I44" s="30" t="n"/>
      <c r="J44" s="48" t="n"/>
      <c r="K44" s="49" t="n"/>
      <c r="L44" s="49" t="n"/>
      <c r="M44" s="53" t="n"/>
      <c r="N44" s="51" t="n"/>
    </row>
  </sheetData>
  <mergeCells count="67">
    <mergeCell ref="A30:E30"/>
    <mergeCell ref="A39:E39"/>
    <mergeCell ref="A34:E34"/>
    <mergeCell ref="F31:I31"/>
    <mergeCell ref="F27:I27"/>
    <mergeCell ref="A24:E24"/>
    <mergeCell ref="A15:E15"/>
    <mergeCell ref="F43:I43"/>
    <mergeCell ref="F39:I39"/>
    <mergeCell ref="F37:I37"/>
    <mergeCell ref="A36:E36"/>
    <mergeCell ref="A1:N1"/>
    <mergeCell ref="A16:E16"/>
    <mergeCell ref="F13:H13"/>
    <mergeCell ref="A25:E25"/>
    <mergeCell ref="M10:N10"/>
    <mergeCell ref="A41:E41"/>
    <mergeCell ref="F44:I44"/>
    <mergeCell ref="F29:I29"/>
    <mergeCell ref="F16:I16"/>
    <mergeCell ref="A37:E37"/>
    <mergeCell ref="F19:I19"/>
    <mergeCell ref="F25:I25"/>
    <mergeCell ref="F34:I34"/>
    <mergeCell ref="A18:E18"/>
    <mergeCell ref="A27:E27"/>
    <mergeCell ref="A21:E21"/>
    <mergeCell ref="A12:E12"/>
    <mergeCell ref="F28:I28"/>
    <mergeCell ref="F40:I40"/>
    <mergeCell ref="A26:E26"/>
    <mergeCell ref="A42:E42"/>
    <mergeCell ref="F12:I12"/>
    <mergeCell ref="F24:I24"/>
    <mergeCell ref="F30:I30"/>
    <mergeCell ref="A33:E33"/>
    <mergeCell ref="F21:I21"/>
    <mergeCell ref="A23:E23"/>
    <mergeCell ref="A32:E32"/>
    <mergeCell ref="A14:E14"/>
    <mergeCell ref="F20:I20"/>
    <mergeCell ref="A22:E22"/>
    <mergeCell ref="A17:E17"/>
    <mergeCell ref="F33:I33"/>
    <mergeCell ref="F36:I36"/>
    <mergeCell ref="F42:I42"/>
    <mergeCell ref="F18:I18"/>
    <mergeCell ref="F32:I32"/>
    <mergeCell ref="A29:E29"/>
    <mergeCell ref="F26:I26"/>
    <mergeCell ref="A35:E35"/>
    <mergeCell ref="A20:E20"/>
    <mergeCell ref="F17:I17"/>
    <mergeCell ref="F35:I35"/>
    <mergeCell ref="A38:E38"/>
    <mergeCell ref="F41:I41"/>
    <mergeCell ref="A43:E43"/>
    <mergeCell ref="A28:E28"/>
    <mergeCell ref="A19:E19"/>
    <mergeCell ref="F38:I38"/>
    <mergeCell ref="A13:E13"/>
    <mergeCell ref="A31:E31"/>
    <mergeCell ref="A44:E44"/>
    <mergeCell ref="F23:I23"/>
    <mergeCell ref="F15:H15"/>
    <mergeCell ref="A40:E40"/>
    <mergeCell ref="F22:I22"/>
  </mergeCells>
  <printOptions horizontalCentered="1"/>
  <pageMargins left="0.3937007874015748" right="0.3543307086614174" top="0.5511811023622047" bottom="0.3937007874015748" header="0.3149606299212598" footer="0.1968503937007874"/>
  <pageSetup orientation="portrait" paperSize="9" scale="6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zoomScale="70" workbookViewId="0">
      <selection activeCell="A1" sqref="A1"/>
    </sheetView>
  </sheetViews>
  <sheetFormatPr baseColWidth="8" defaultRowHeight="15"/>
  <cols>
    <col width="28.625" customWidth="1" min="1" max="1"/>
    <col width="28.625" customWidth="1" min="2" max="2"/>
    <col width="7" customWidth="1" min="3" max="3"/>
    <col hidden="1" width="6.75" customWidth="1" min="4" max="4"/>
    <col width="8.875" customWidth="1" min="5" max="5"/>
    <col hidden="1" width="9.625" customWidth="1" min="6" max="6"/>
    <col width="9.625" customWidth="1" min="7" max="7"/>
    <col width="14.625" customWidth="1" min="8" max="8"/>
    <col width="16.5" customWidth="1" min="9" max="9"/>
    <col width="16.625" customWidth="1" min="10" max="10"/>
    <col width="8.875" customWidth="1" min="11" max="11"/>
    <col width="13.625" customWidth="1" min="12" max="12"/>
    <col width="20" customWidth="1" min="13" max="13"/>
    <col width="8.875" customWidth="1" min="14" max="14"/>
    <col width="13.625" customWidth="1" min="15" max="15"/>
    <col width="16.625" customWidth="1" min="16" max="16"/>
    <col width="8.875" customWidth="1" min="17" max="17"/>
    <col width="13.625" customWidth="1" min="18" max="18"/>
    <col width="16.625" customWidth="1" min="19" max="19"/>
    <col width="10.75" customWidth="1" min="20" max="20"/>
  </cols>
  <sheetData>
    <row r="1" ht="36.75" customHeight="1">
      <c r="A1" s="54" t="inlineStr">
        <is>
          <t>관급자재 내역현황</t>
        </is>
      </c>
    </row>
    <row r="2" ht="9.75" customHeight="1">
      <c r="A2" s="55" t="n"/>
      <c r="B2" s="55" t="n"/>
      <c r="C2" s="55" t="n"/>
      <c r="D2" s="55" t="n"/>
      <c r="E2" s="55" t="n"/>
      <c r="F2" s="55" t="n"/>
      <c r="G2" s="55" t="n"/>
      <c r="H2" s="56" t="n"/>
      <c r="I2" s="56" t="n"/>
      <c r="J2" s="55" t="n"/>
      <c r="K2" s="55" t="n"/>
      <c r="L2" s="56" t="n"/>
      <c r="M2" s="55" t="n"/>
      <c r="N2" s="55" t="n"/>
      <c r="O2" s="55" t="n"/>
      <c r="P2" s="55" t="n"/>
      <c r="Q2" s="55" t="n"/>
      <c r="R2" s="55" t="n"/>
      <c r="S2" s="55" t="n"/>
      <c r="T2" s="55" t="n"/>
    </row>
    <row r="3" ht="26.25" customHeight="1">
      <c r="A3" s="57" t="inlineStr">
        <is>
          <t xml:space="preserve"> □ 공    사    명  :  국도5호선 신림~판부1 도로건설 전기공사(3차)</t>
        </is>
      </c>
      <c r="B3" s="58" t="n"/>
      <c r="C3" s="59" t="n"/>
      <c r="D3" s="59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</row>
    <row r="4" ht="24.75" customHeight="1">
      <c r="A4" s="57" t="inlineStr">
        <is>
          <t xml:space="preserve"> □ 관급자재품목</t>
        </is>
      </c>
      <c r="B4" s="58" t="n"/>
      <c r="C4" s="59" t="n"/>
      <c r="D4" s="59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</row>
    <row r="5" ht="24.95" customHeight="1">
      <c r="A5" s="60" t="inlineStr">
        <is>
          <t>명    칭</t>
        </is>
      </c>
      <c r="B5" s="61" t="inlineStr">
        <is>
          <t>규   격</t>
        </is>
      </c>
      <c r="C5" s="61" t="inlineStr">
        <is>
          <t>단위</t>
        </is>
      </c>
      <c r="D5" s="61" t="n"/>
      <c r="E5" s="61" t="inlineStr">
        <is>
          <t xml:space="preserve">설계내역 </t>
        </is>
      </c>
      <c r="F5" s="62" t="n"/>
      <c r="G5" s="62" t="n"/>
      <c r="H5" s="62" t="n"/>
      <c r="I5" s="62" t="n"/>
      <c r="J5" s="63" t="n"/>
      <c r="K5" s="61" t="inlineStr">
        <is>
          <t>기구매 내역</t>
        </is>
      </c>
      <c r="L5" s="62" t="n"/>
      <c r="M5" s="63" t="n"/>
      <c r="N5" s="64" t="inlineStr">
        <is>
          <t>금회 구매요청 내역</t>
        </is>
      </c>
      <c r="O5" s="65" t="n"/>
      <c r="P5" s="66" t="n"/>
      <c r="Q5" s="67" t="inlineStr">
        <is>
          <t>잔여 내역</t>
        </is>
      </c>
      <c r="R5" s="62" t="n"/>
      <c r="S5" s="63" t="n"/>
      <c r="T5" s="68" t="inlineStr">
        <is>
          <t>비   고</t>
        </is>
      </c>
    </row>
    <row r="6" ht="24.95" customHeight="1">
      <c r="A6" s="69" t="n"/>
      <c r="B6" s="70" t="n"/>
      <c r="C6" s="70" t="n"/>
      <c r="D6" s="71" t="n"/>
      <c r="E6" s="72" t="inlineStr">
        <is>
          <t>전체수량</t>
        </is>
      </c>
      <c r="F6" s="72" t="n"/>
      <c r="G6" s="72" t="inlineStr">
        <is>
          <t>4차수량</t>
        </is>
      </c>
      <c r="H6" s="71" t="inlineStr">
        <is>
          <t>단 가</t>
        </is>
      </c>
      <c r="I6" s="71" t="inlineStr">
        <is>
          <t>전 체</t>
        </is>
      </c>
      <c r="J6" s="71" t="inlineStr">
        <is>
          <t>금 회 4차</t>
        </is>
      </c>
      <c r="K6" s="72" t="inlineStr">
        <is>
          <t>수 량</t>
        </is>
      </c>
      <c r="L6" s="71" t="inlineStr">
        <is>
          <t>단 가</t>
        </is>
      </c>
      <c r="M6" s="73" t="inlineStr">
        <is>
          <t>금   액</t>
        </is>
      </c>
      <c r="N6" s="74" t="inlineStr">
        <is>
          <t>수 량</t>
        </is>
      </c>
      <c r="O6" s="75" t="inlineStr">
        <is>
          <t>단 가</t>
        </is>
      </c>
      <c r="P6" s="76" t="inlineStr">
        <is>
          <t>금   액</t>
        </is>
      </c>
      <c r="Q6" s="77" t="inlineStr">
        <is>
          <t>수 량</t>
        </is>
      </c>
      <c r="R6" s="75" t="inlineStr">
        <is>
          <t>단 가</t>
        </is>
      </c>
      <c r="S6" s="78" t="inlineStr">
        <is>
          <t>금   액</t>
        </is>
      </c>
      <c r="T6" s="79" t="n"/>
    </row>
    <row r="7" ht="32.25" customHeight="1">
      <c r="A7" s="80" t="inlineStr">
        <is>
          <t xml:space="preserve"> Ⅱ. 관급자재대</t>
        </is>
      </c>
      <c r="B7" s="81" t="n"/>
      <c r="C7" s="82" t="n"/>
      <c r="D7" s="82" t="n"/>
      <c r="E7" s="83" t="n"/>
      <c r="F7" s="83" t="n"/>
      <c r="G7" s="83" t="n"/>
      <c r="H7" s="83" t="n"/>
      <c r="I7" s="83">
        <f>I8</f>
        <v/>
      </c>
      <c r="J7" s="83">
        <f>J8</f>
        <v/>
      </c>
      <c r="K7" s="83" t="n"/>
      <c r="L7" s="83" t="n"/>
      <c r="M7" s="83">
        <f>M8</f>
        <v/>
      </c>
      <c r="N7" s="84" t="n"/>
      <c r="O7" s="85" t="n"/>
      <c r="P7" s="83">
        <f>P8</f>
        <v/>
      </c>
      <c r="Q7" s="84" t="n"/>
      <c r="R7" s="85" t="n"/>
      <c r="S7" s="86">
        <f>S8</f>
        <v/>
      </c>
      <c r="T7" s="87" t="n"/>
    </row>
    <row r="8" ht="32.25" customHeight="1">
      <c r="A8" s="88" t="inlineStr">
        <is>
          <t>1. 도급자관급</t>
        </is>
      </c>
      <c r="B8" s="89" t="n"/>
      <c r="C8" s="90" t="n"/>
      <c r="D8" s="90" t="n"/>
      <c r="E8" s="44" t="n"/>
      <c r="F8" s="44" t="n"/>
      <c r="G8" s="44" t="n"/>
      <c r="H8" s="44" t="n"/>
      <c r="I8" s="44">
        <f>I9</f>
        <v/>
      </c>
      <c r="J8" s="44">
        <f>J9</f>
        <v/>
      </c>
      <c r="K8" s="44" t="n"/>
      <c r="L8" s="44" t="n"/>
      <c r="M8" s="44">
        <f>M9</f>
        <v/>
      </c>
      <c r="N8" s="91" t="n"/>
      <c r="O8" s="44" t="n"/>
      <c r="P8" s="92">
        <f>P9</f>
        <v/>
      </c>
      <c r="Q8" s="93" t="n"/>
      <c r="R8" s="44" t="n"/>
      <c r="S8" s="44">
        <f>S9</f>
        <v/>
      </c>
      <c r="T8" s="94" t="n"/>
    </row>
    <row r="9" ht="32.25" customHeight="1">
      <c r="A9" s="95" t="inlineStr"/>
      <c r="B9" s="96" t="n"/>
      <c r="C9" s="97" t="n"/>
      <c r="D9" s="90" t="n"/>
      <c r="E9" s="98" t="n"/>
      <c r="F9" s="44" t="n"/>
      <c r="G9" s="44" t="n"/>
      <c r="H9" s="44" t="n"/>
      <c r="I9" s="44">
        <f>SUM(I10:I29)</f>
        <v/>
      </c>
      <c r="J9" s="44">
        <f>SUM(J10:J29)</f>
        <v/>
      </c>
      <c r="K9" s="44" t="n"/>
      <c r="L9" s="44" t="n"/>
      <c r="M9" s="99">
        <f>SUM(M10:M29)</f>
        <v/>
      </c>
      <c r="N9" s="100" t="n"/>
      <c r="O9" s="101" t="n"/>
      <c r="P9" s="44">
        <f>SUM(P10:P29)</f>
        <v/>
      </c>
      <c r="Q9" s="102" t="n"/>
      <c r="R9" s="103" t="n"/>
      <c r="S9" s="44">
        <f>SUM(S10:S29)</f>
        <v/>
      </c>
      <c r="T9" s="94" t="n"/>
    </row>
    <row r="10" ht="32.25" customHeight="1">
      <c r="A10" s="104" t="n"/>
      <c r="B10" s="105" t="n"/>
      <c r="C10" s="106" t="n"/>
      <c r="D10" s="107" t="n"/>
      <c r="E10" s="108" t="n"/>
      <c r="F10" s="109" t="n"/>
      <c r="G10" s="110" t="n"/>
      <c r="H10" s="108" t="n"/>
      <c r="I10" s="108">
        <f>IF(A10="","",E10*H10)</f>
        <v/>
      </c>
      <c r="J10" s="108">
        <f>IF(A10="","",G10*H10)</f>
        <v/>
      </c>
      <c r="K10" s="110" t="n"/>
      <c r="L10" s="110" t="n"/>
      <c r="M10" s="111">
        <f>IF(A10="","",TRUNC(K10*L10))</f>
        <v/>
      </c>
      <c r="N10" s="112" t="n"/>
      <c r="O10" s="113">
        <f>IF(A10="","",단가및인증현황조사!BF6)</f>
        <v/>
      </c>
      <c r="P10" s="114">
        <f>IF(A10="","",TRUNC(N10*O10))</f>
        <v/>
      </c>
      <c r="Q10" s="115">
        <f>IF(A10="","",E10-K10-N10)</f>
        <v/>
      </c>
      <c r="R10" s="116">
        <f>IF(A10="","",H10-O10)</f>
        <v/>
      </c>
      <c r="S10" s="116">
        <f>IF(A10="","",J10-M10-P10)</f>
        <v/>
      </c>
      <c r="T10" s="117" t="n"/>
    </row>
    <row r="11" ht="32.25" customHeight="1">
      <c r="A11" s="104" t="n"/>
      <c r="B11" s="105" t="n"/>
      <c r="C11" s="106" t="n"/>
      <c r="D11" s="107" t="n"/>
      <c r="E11" s="108" t="n"/>
      <c r="F11" s="109" t="n"/>
      <c r="G11" s="110" t="n"/>
      <c r="H11" s="108" t="n"/>
      <c r="I11" s="108">
        <f>IF(A11="","",E11*H11)</f>
        <v/>
      </c>
      <c r="J11" s="108">
        <f>IF(A11="","",G11*H11)</f>
        <v/>
      </c>
      <c r="K11" s="110" t="n"/>
      <c r="L11" s="110" t="n"/>
      <c r="M11" s="111">
        <f>IF(A11="","",TRUNC(K11*L11))</f>
        <v/>
      </c>
      <c r="N11" s="112" t="n"/>
      <c r="O11" s="113">
        <f>IF(A11="","",단가및인증현황조사!BF7)</f>
        <v/>
      </c>
      <c r="P11" s="114">
        <f>IF(A11="","",TRUNC(N11*O11))</f>
        <v/>
      </c>
      <c r="Q11" s="115">
        <f>IF(A11="","",E11-K11-N11)</f>
        <v/>
      </c>
      <c r="R11" s="116">
        <f>IF(A11="","",H11-O11)</f>
        <v/>
      </c>
      <c r="S11" s="116">
        <f>IF(A11="","",J11-M11-P11)</f>
        <v/>
      </c>
      <c r="T11" s="117" t="n"/>
    </row>
    <row r="12" ht="32.25" customHeight="1">
      <c r="A12" s="104" t="n"/>
      <c r="B12" s="105" t="n"/>
      <c r="C12" s="106" t="n"/>
      <c r="D12" s="107" t="n"/>
      <c r="E12" s="108" t="n"/>
      <c r="F12" s="109" t="n"/>
      <c r="G12" s="110" t="n"/>
      <c r="H12" s="108" t="n"/>
      <c r="I12" s="108">
        <f>IF(A12="","",E12*H12)</f>
        <v/>
      </c>
      <c r="J12" s="108">
        <f>IF(A12="","",G12*H12)</f>
        <v/>
      </c>
      <c r="K12" s="110" t="n"/>
      <c r="L12" s="110" t="n"/>
      <c r="M12" s="111">
        <f>IF(A12="","",TRUNC(K12*L12))</f>
        <v/>
      </c>
      <c r="N12" s="112" t="n"/>
      <c r="O12" s="113">
        <f>IF(A12="","",단가및인증현황조사!BF8)</f>
        <v/>
      </c>
      <c r="P12" s="114">
        <f>IF(A12="","",TRUNC(N12*O12))</f>
        <v/>
      </c>
      <c r="Q12" s="115">
        <f>IF(A12="","",E12-K12-N12)</f>
        <v/>
      </c>
      <c r="R12" s="116">
        <f>IF(A12="","",H12-O12)</f>
        <v/>
      </c>
      <c r="S12" s="116">
        <f>IF(A12="","",J12-M12-P12)</f>
        <v/>
      </c>
      <c r="T12" s="117" t="n"/>
    </row>
    <row r="13" ht="32.25" customHeight="1">
      <c r="A13" s="104" t="n"/>
      <c r="B13" s="105" t="n"/>
      <c r="C13" s="106" t="n"/>
      <c r="D13" s="107" t="n"/>
      <c r="E13" s="108" t="n"/>
      <c r="F13" s="109" t="n"/>
      <c r="G13" s="110" t="n"/>
      <c r="H13" s="108" t="n"/>
      <c r="I13" s="108">
        <f>IF(A13="","",E13*H13)</f>
        <v/>
      </c>
      <c r="J13" s="108">
        <f>IF(A13="","",G13*H13)</f>
        <v/>
      </c>
      <c r="K13" s="110" t="n"/>
      <c r="L13" s="110" t="n"/>
      <c r="M13" s="111">
        <f>IF(A13="","",TRUNC(K13*L13))</f>
        <v/>
      </c>
      <c r="N13" s="112" t="n"/>
      <c r="O13" s="113">
        <f>IF(A13="","",단가및인증현황조사!BF9)</f>
        <v/>
      </c>
      <c r="P13" s="114">
        <f>IF(A13="","",TRUNC(N13*O13))</f>
        <v/>
      </c>
      <c r="Q13" s="115">
        <f>IF(A13="","",E13-K13-N13)</f>
        <v/>
      </c>
      <c r="R13" s="116">
        <f>IF(A13="","",H13-O13)</f>
        <v/>
      </c>
      <c r="S13" s="116">
        <f>IF(A13="","",J13-M13-P13)</f>
        <v/>
      </c>
      <c r="T13" s="117" t="n"/>
    </row>
    <row r="14" ht="32.25" customHeight="1">
      <c r="A14" s="104" t="n"/>
      <c r="B14" s="105" t="n"/>
      <c r="C14" s="106" t="n"/>
      <c r="D14" s="107" t="n"/>
      <c r="E14" s="108" t="n"/>
      <c r="F14" s="109" t="n"/>
      <c r="G14" s="110" t="n"/>
      <c r="H14" s="108" t="n"/>
      <c r="I14" s="108">
        <f>IF(A14="","",E14*H14)</f>
        <v/>
      </c>
      <c r="J14" s="108">
        <f>IF(A14="","",G14*H14)</f>
        <v/>
      </c>
      <c r="K14" s="110" t="n"/>
      <c r="L14" s="110" t="n"/>
      <c r="M14" s="111">
        <f>IF(A14="","",TRUNC(K14*L14))</f>
        <v/>
      </c>
      <c r="N14" s="112" t="n"/>
      <c r="O14" s="113">
        <f>IF(A14="","",단가및인증현황조사!BF10)</f>
        <v/>
      </c>
      <c r="P14" s="114">
        <f>IF(A14="","",TRUNC(N14*O14))</f>
        <v/>
      </c>
      <c r="Q14" s="115">
        <f>IF(A14="","",E14-K14-N14)</f>
        <v/>
      </c>
      <c r="R14" s="116">
        <f>IF(A14="","",H14-O14)</f>
        <v/>
      </c>
      <c r="S14" s="116">
        <f>IF(A14="","",J14-M14-P14)</f>
        <v/>
      </c>
      <c r="T14" s="117" t="n"/>
    </row>
    <row r="15" ht="32.25" customHeight="1">
      <c r="A15" s="104" t="n"/>
      <c r="B15" s="105" t="n"/>
      <c r="C15" s="106" t="n"/>
      <c r="D15" s="107" t="n"/>
      <c r="E15" s="108" t="n"/>
      <c r="F15" s="109" t="n"/>
      <c r="G15" s="110" t="n"/>
      <c r="H15" s="108" t="n"/>
      <c r="I15" s="108">
        <f>IF(A15="","",E15*H15)</f>
        <v/>
      </c>
      <c r="J15" s="108">
        <f>IF(A15="","",G15*H15)</f>
        <v/>
      </c>
      <c r="K15" s="110" t="n"/>
      <c r="L15" s="110" t="n"/>
      <c r="M15" s="111">
        <f>IF(A15="","",TRUNC(K15*L15))</f>
        <v/>
      </c>
      <c r="N15" s="112" t="n"/>
      <c r="O15" s="113">
        <f>IF(A15="","",단가및인증현황조사!BF11)</f>
        <v/>
      </c>
      <c r="P15" s="114">
        <f>IF(A15="","",TRUNC(N15*O15))</f>
        <v/>
      </c>
      <c r="Q15" s="115">
        <f>IF(A15="","",E15-K15-N15)</f>
        <v/>
      </c>
      <c r="R15" s="116">
        <f>IF(A15="","",H15-O15)</f>
        <v/>
      </c>
      <c r="S15" s="116">
        <f>IF(A15="","",J15-M15-P15)</f>
        <v/>
      </c>
      <c r="T15" s="117" t="n"/>
    </row>
    <row r="16" ht="32.25" customHeight="1">
      <c r="A16" s="104" t="n"/>
      <c r="B16" s="105" t="n"/>
      <c r="C16" s="106" t="n"/>
      <c r="D16" s="107" t="n"/>
      <c r="E16" s="108" t="n"/>
      <c r="F16" s="109" t="n"/>
      <c r="G16" s="110" t="n"/>
      <c r="H16" s="108" t="n"/>
      <c r="I16" s="108">
        <f>IF(A16="","",E16*H16)</f>
        <v/>
      </c>
      <c r="J16" s="108">
        <f>IF(A16="","",G16*H16)</f>
        <v/>
      </c>
      <c r="K16" s="110" t="n"/>
      <c r="L16" s="110" t="n"/>
      <c r="M16" s="111">
        <f>IF(A16="","",TRUNC(K16*L16))</f>
        <v/>
      </c>
      <c r="N16" s="112" t="n"/>
      <c r="O16" s="113">
        <f>IF(A16="","",단가및인증현황조사!BF12)</f>
        <v/>
      </c>
      <c r="P16" s="114">
        <f>IF(A16="","",TRUNC(N16*O16))</f>
        <v/>
      </c>
      <c r="Q16" s="115">
        <f>IF(A16="","",E16-K16-N16)</f>
        <v/>
      </c>
      <c r="R16" s="116">
        <f>IF(A16="","",H16-O16)</f>
        <v/>
      </c>
      <c r="S16" s="116">
        <f>IF(A16="","",J16-M16-P16)</f>
        <v/>
      </c>
      <c r="T16" s="117" t="n"/>
    </row>
    <row r="17" ht="32.25" customHeight="1">
      <c r="A17" s="104" t="n"/>
      <c r="B17" s="105" t="n"/>
      <c r="C17" s="106" t="n"/>
      <c r="D17" s="107" t="n"/>
      <c r="E17" s="108" t="n"/>
      <c r="F17" s="109" t="n"/>
      <c r="G17" s="110" t="n"/>
      <c r="H17" s="108" t="n"/>
      <c r="I17" s="108">
        <f>IF(A17="","",E17*H17)</f>
        <v/>
      </c>
      <c r="J17" s="108">
        <f>IF(A17="","",G17*H17)</f>
        <v/>
      </c>
      <c r="K17" s="110" t="n"/>
      <c r="L17" s="110" t="n"/>
      <c r="M17" s="111">
        <f>IF(A17="","",TRUNC(K17*L17))</f>
        <v/>
      </c>
      <c r="N17" s="112" t="n"/>
      <c r="O17" s="113">
        <f>IF(A17="","",단가및인증현황조사!BF13)</f>
        <v/>
      </c>
      <c r="P17" s="114">
        <f>IF(A17="","",TRUNC(N17*O17))</f>
        <v/>
      </c>
      <c r="Q17" s="115">
        <f>IF(A17="","",E17-K17-N17)</f>
        <v/>
      </c>
      <c r="R17" s="116">
        <f>IF(A17="","",H17-O17)</f>
        <v/>
      </c>
      <c r="S17" s="116">
        <f>IF(A17="","",J17-M17-P17)</f>
        <v/>
      </c>
      <c r="T17" s="117" t="n"/>
    </row>
    <row r="18" ht="32.25" customHeight="1">
      <c r="A18" s="104" t="n"/>
      <c r="B18" s="105" t="n"/>
      <c r="C18" s="106" t="n"/>
      <c r="D18" s="107" t="n"/>
      <c r="E18" s="108" t="n"/>
      <c r="F18" s="109" t="n"/>
      <c r="G18" s="110" t="n"/>
      <c r="H18" s="108" t="n"/>
      <c r="I18" s="108">
        <f>IF(A18="","",E18*H18)</f>
        <v/>
      </c>
      <c r="J18" s="108">
        <f>IF(A18="","",G18*H18)</f>
        <v/>
      </c>
      <c r="K18" s="110" t="n"/>
      <c r="L18" s="110" t="n"/>
      <c r="M18" s="111">
        <f>IF(A18="","",TRUNC(K18*L18))</f>
        <v/>
      </c>
      <c r="N18" s="112" t="n"/>
      <c r="O18" s="113">
        <f>IF(A18="","",단가및인증현황조사!BF14)</f>
        <v/>
      </c>
      <c r="P18" s="114">
        <f>IF(A18="","",TRUNC(N18*O18))</f>
        <v/>
      </c>
      <c r="Q18" s="115">
        <f>IF(A18="","",E18-K18-N18)</f>
        <v/>
      </c>
      <c r="R18" s="116">
        <f>IF(A18="","",H18-O18)</f>
        <v/>
      </c>
      <c r="S18" s="116">
        <f>IF(A18="","",J18-M18-P18)</f>
        <v/>
      </c>
      <c r="T18" s="117" t="n"/>
    </row>
    <row r="19" ht="32.25" customHeight="1">
      <c r="A19" s="104" t="n"/>
      <c r="B19" s="105" t="n"/>
      <c r="C19" s="106" t="n"/>
      <c r="D19" s="107" t="n"/>
      <c r="E19" s="108" t="n"/>
      <c r="F19" s="109" t="n"/>
      <c r="G19" s="110" t="n"/>
      <c r="H19" s="108" t="n"/>
      <c r="I19" s="108">
        <f>IF(A19="","",E19*H19)</f>
        <v/>
      </c>
      <c r="J19" s="108">
        <f>IF(A19="","",G19*H19)</f>
        <v/>
      </c>
      <c r="K19" s="110" t="n"/>
      <c r="L19" s="110" t="n"/>
      <c r="M19" s="111">
        <f>IF(A19="","",TRUNC(K19*L19))</f>
        <v/>
      </c>
      <c r="N19" s="112" t="n"/>
      <c r="O19" s="113">
        <f>IF(A19="","",단가및인증현황조사!BF15)</f>
        <v/>
      </c>
      <c r="P19" s="114">
        <f>IF(A19="","",TRUNC(N19*O19))</f>
        <v/>
      </c>
      <c r="Q19" s="115">
        <f>IF(A19="","",E19-K19-N19)</f>
        <v/>
      </c>
      <c r="R19" s="116">
        <f>IF(A19="","",H19-O19)</f>
        <v/>
      </c>
      <c r="S19" s="116">
        <f>IF(A19="","",J19-M19-P19)</f>
        <v/>
      </c>
      <c r="T19" s="117" t="n"/>
    </row>
    <row r="20" ht="32.25" customHeight="1">
      <c r="A20" s="104" t="n"/>
      <c r="B20" s="105" t="n"/>
      <c r="C20" s="106" t="n"/>
      <c r="D20" s="107" t="n"/>
      <c r="E20" s="108" t="n"/>
      <c r="F20" s="109" t="n"/>
      <c r="G20" s="110" t="n"/>
      <c r="H20" s="108" t="n"/>
      <c r="I20" s="108">
        <f>IF(A20="","",E20*H20)</f>
        <v/>
      </c>
      <c r="J20" s="108">
        <f>IF(A20="","",G20*H20)</f>
        <v/>
      </c>
      <c r="K20" s="110" t="n"/>
      <c r="L20" s="110" t="n"/>
      <c r="M20" s="111">
        <f>IF(A20="","",TRUNC(K20*L20))</f>
        <v/>
      </c>
      <c r="N20" s="112" t="n"/>
      <c r="O20" s="113">
        <f>IF(A20="","",단가및인증현황조사!BF16)</f>
        <v/>
      </c>
      <c r="P20" s="114">
        <f>IF(A20="","",TRUNC(N20*O20))</f>
        <v/>
      </c>
      <c r="Q20" s="115">
        <f>IF(A20="","",E20-K20-N20)</f>
        <v/>
      </c>
      <c r="R20" s="116">
        <f>IF(A20="","",H20-O20)</f>
        <v/>
      </c>
      <c r="S20" s="116">
        <f>IF(A20="","",J20-M20-P20)</f>
        <v/>
      </c>
      <c r="T20" s="117" t="n"/>
    </row>
    <row r="21" ht="32.25" customHeight="1">
      <c r="A21" s="104" t="n"/>
      <c r="B21" s="105" t="n"/>
      <c r="C21" s="106" t="n"/>
      <c r="D21" s="107" t="n"/>
      <c r="E21" s="108" t="n"/>
      <c r="F21" s="109" t="n"/>
      <c r="G21" s="110" t="n"/>
      <c r="H21" s="108" t="n"/>
      <c r="I21" s="108">
        <f>IF(A21="","",E21*H21)</f>
        <v/>
      </c>
      <c r="J21" s="108">
        <f>IF(A21="","",G21*H21)</f>
        <v/>
      </c>
      <c r="K21" s="110" t="n"/>
      <c r="L21" s="110" t="n"/>
      <c r="M21" s="111">
        <f>IF(A21="","",TRUNC(K21*L21))</f>
        <v/>
      </c>
      <c r="N21" s="112" t="n"/>
      <c r="O21" s="113">
        <f>IF(A21="","",단가및인증현황조사!BF17)</f>
        <v/>
      </c>
      <c r="P21" s="114">
        <f>IF(A21="","",TRUNC(N21*O21))</f>
        <v/>
      </c>
      <c r="Q21" s="115">
        <f>IF(A21="","",E21-K21-N21)</f>
        <v/>
      </c>
      <c r="R21" s="116">
        <f>IF(A21="","",H21-O21)</f>
        <v/>
      </c>
      <c r="S21" s="116">
        <f>IF(A21="","",J21-M21-P21)</f>
        <v/>
      </c>
      <c r="T21" s="117" t="n"/>
    </row>
    <row r="22" ht="32.25" customHeight="1">
      <c r="A22" s="104" t="n"/>
      <c r="B22" s="105" t="n"/>
      <c r="C22" s="106" t="n"/>
      <c r="D22" s="107" t="n"/>
      <c r="E22" s="108" t="n"/>
      <c r="F22" s="109" t="n"/>
      <c r="G22" s="110" t="n"/>
      <c r="H22" s="108" t="n"/>
      <c r="I22" s="108">
        <f>IF(A22="","",E22*H22)</f>
        <v/>
      </c>
      <c r="J22" s="108">
        <f>IF(A22="","",G22*H22)</f>
        <v/>
      </c>
      <c r="K22" s="110" t="n"/>
      <c r="L22" s="110" t="n"/>
      <c r="M22" s="111">
        <f>IF(A22="","",TRUNC(K22*L22))</f>
        <v/>
      </c>
      <c r="N22" s="112" t="n"/>
      <c r="O22" s="113">
        <f>IF(A22="","",단가및인증현황조사!BF18)</f>
        <v/>
      </c>
      <c r="P22" s="114">
        <f>IF(A22="","",TRUNC(N22*O22))</f>
        <v/>
      </c>
      <c r="Q22" s="115">
        <f>IF(A22="","",E22-K22-N22)</f>
        <v/>
      </c>
      <c r="R22" s="116">
        <f>IF(A22="","",H22-O22)</f>
        <v/>
      </c>
      <c r="S22" s="116">
        <f>IF(A22="","",J22-M22-P22)</f>
        <v/>
      </c>
      <c r="T22" s="117" t="n"/>
    </row>
    <row r="23" ht="32.25" customHeight="1">
      <c r="A23" s="104" t="n"/>
      <c r="B23" s="105" t="n"/>
      <c r="C23" s="106" t="n"/>
      <c r="D23" s="107" t="n"/>
      <c r="E23" s="108" t="n"/>
      <c r="F23" s="109" t="n"/>
      <c r="G23" s="110" t="n"/>
      <c r="H23" s="108" t="n"/>
      <c r="I23" s="108">
        <f>IF(A23="","",E23*H23)</f>
        <v/>
      </c>
      <c r="J23" s="108">
        <f>IF(A23="","",G23*H23)</f>
        <v/>
      </c>
      <c r="K23" s="110" t="n"/>
      <c r="L23" s="110" t="n"/>
      <c r="M23" s="111">
        <f>IF(A23="","",TRUNC(K23*L23))</f>
        <v/>
      </c>
      <c r="N23" s="112" t="n"/>
      <c r="O23" s="113">
        <f>IF(A23="","",단가및인증현황조사!BF19)</f>
        <v/>
      </c>
      <c r="P23" s="114">
        <f>IF(A23="","",TRUNC(N23*O23))</f>
        <v/>
      </c>
      <c r="Q23" s="115">
        <f>IF(A23="","",E23-K23-N23)</f>
        <v/>
      </c>
      <c r="R23" s="116">
        <f>IF(A23="","",H23-O23)</f>
        <v/>
      </c>
      <c r="S23" s="116">
        <f>IF(A23="","",J23-M23-P23)</f>
        <v/>
      </c>
      <c r="T23" s="117" t="n"/>
    </row>
    <row r="24" ht="32.25" customHeight="1">
      <c r="A24" s="104" t="n"/>
      <c r="B24" s="105" t="n"/>
      <c r="C24" s="106" t="n"/>
      <c r="D24" s="107" t="n"/>
      <c r="E24" s="108" t="n"/>
      <c r="F24" s="109" t="n"/>
      <c r="G24" s="110" t="n"/>
      <c r="H24" s="108" t="n"/>
      <c r="I24" s="108">
        <f>IF(A24="","",E24*H24)</f>
        <v/>
      </c>
      <c r="J24" s="108">
        <f>IF(A24="","",G24*H24)</f>
        <v/>
      </c>
      <c r="K24" s="110" t="n"/>
      <c r="L24" s="110" t="n"/>
      <c r="M24" s="111">
        <f>IF(A24="","",TRUNC(K24*L24))</f>
        <v/>
      </c>
      <c r="N24" s="112" t="n"/>
      <c r="O24" s="113">
        <f>IF(A24="","",단가및인증현황조사!BF20)</f>
        <v/>
      </c>
      <c r="P24" s="114">
        <f>IF(A24="","",TRUNC(N24*O24))</f>
        <v/>
      </c>
      <c r="Q24" s="115">
        <f>IF(A24="","",E24-K24-N24)</f>
        <v/>
      </c>
      <c r="R24" s="116">
        <f>IF(A24="","",H24-O24)</f>
        <v/>
      </c>
      <c r="S24" s="116">
        <f>IF(A24="","",J24-M24-P24)</f>
        <v/>
      </c>
      <c r="T24" s="117" t="n"/>
    </row>
    <row r="25" ht="32.25" customHeight="1">
      <c r="A25" s="104" t="n"/>
      <c r="B25" s="105" t="n"/>
      <c r="C25" s="106" t="n"/>
      <c r="D25" s="107" t="n"/>
      <c r="E25" s="108" t="n"/>
      <c r="F25" s="109" t="n"/>
      <c r="G25" s="110" t="n"/>
      <c r="H25" s="108" t="n"/>
      <c r="I25" s="108">
        <f>IF(A25="","",E25*H25)</f>
        <v/>
      </c>
      <c r="J25" s="108">
        <f>IF(A25="","",G25*H25)</f>
        <v/>
      </c>
      <c r="K25" s="110" t="n"/>
      <c r="L25" s="110" t="n"/>
      <c r="M25" s="111">
        <f>IF(A25="","",TRUNC(K25*L25))</f>
        <v/>
      </c>
      <c r="N25" s="112" t="n"/>
      <c r="O25" s="113">
        <f>IF(A25="","",단가및인증현황조사!BF21)</f>
        <v/>
      </c>
      <c r="P25" s="114">
        <f>IF(A25="","",TRUNC(N25*O25))</f>
        <v/>
      </c>
      <c r="Q25" s="115">
        <f>IF(A25="","",E25-K25-N25)</f>
        <v/>
      </c>
      <c r="R25" s="116">
        <f>IF(A25="","",H25-O25)</f>
        <v/>
      </c>
      <c r="S25" s="116">
        <f>IF(A25="","",J25-M25-P25)</f>
        <v/>
      </c>
      <c r="T25" s="117" t="n"/>
    </row>
    <row r="26" ht="32.25" customHeight="1">
      <c r="A26" s="104" t="n"/>
      <c r="B26" s="105" t="n"/>
      <c r="C26" s="106" t="n"/>
      <c r="D26" s="107" t="n"/>
      <c r="E26" s="108" t="n"/>
      <c r="F26" s="109" t="n"/>
      <c r="G26" s="110" t="n"/>
      <c r="H26" s="108" t="n"/>
      <c r="I26" s="108">
        <f>IF(A26="","",E26*H26)</f>
        <v/>
      </c>
      <c r="J26" s="108">
        <f>IF(A26="","",G26*H26)</f>
        <v/>
      </c>
      <c r="K26" s="110" t="n"/>
      <c r="L26" s="110" t="n"/>
      <c r="M26" s="111">
        <f>IF(A26="","",TRUNC(K26*L26))</f>
        <v/>
      </c>
      <c r="N26" s="112" t="n"/>
      <c r="O26" s="113">
        <f>IF(A26="","",단가및인증현황조사!BF22)</f>
        <v/>
      </c>
      <c r="P26" s="114">
        <f>IF(A26="","",TRUNC(N26*O26))</f>
        <v/>
      </c>
      <c r="Q26" s="115">
        <f>IF(A26="","",E26-K26-N26)</f>
        <v/>
      </c>
      <c r="R26" s="116">
        <f>IF(A26="","",H26-O26)</f>
        <v/>
      </c>
      <c r="S26" s="116">
        <f>IF(A26="","",J26-M26-P26)</f>
        <v/>
      </c>
      <c r="T26" s="117" t="n"/>
    </row>
    <row r="27" ht="32.25" customHeight="1">
      <c r="A27" s="104" t="n"/>
      <c r="B27" s="105" t="n"/>
      <c r="C27" s="106" t="n"/>
      <c r="D27" s="107" t="n"/>
      <c r="E27" s="108" t="n"/>
      <c r="F27" s="109" t="n"/>
      <c r="G27" s="110" t="n"/>
      <c r="H27" s="108" t="n"/>
      <c r="I27" s="108">
        <f>IF(A27="","",E27*H27)</f>
        <v/>
      </c>
      <c r="J27" s="108">
        <f>IF(A27="","",G27*H27)</f>
        <v/>
      </c>
      <c r="K27" s="110" t="n"/>
      <c r="L27" s="110" t="n"/>
      <c r="M27" s="111">
        <f>IF(A27="","",TRUNC(K27*L27))</f>
        <v/>
      </c>
      <c r="N27" s="112" t="n"/>
      <c r="O27" s="113">
        <f>IF(A27="","",단가및인증현황조사!BF23)</f>
        <v/>
      </c>
      <c r="P27" s="114">
        <f>IF(A27="","",TRUNC(N27*O27))</f>
        <v/>
      </c>
      <c r="Q27" s="115">
        <f>IF(A27="","",E27-K27-N27)</f>
        <v/>
      </c>
      <c r="R27" s="116">
        <f>IF(A27="","",H27-O27)</f>
        <v/>
      </c>
      <c r="S27" s="116">
        <f>IF(A27="","",J27-M27-P27)</f>
        <v/>
      </c>
      <c r="T27" s="117" t="n"/>
    </row>
    <row r="28" ht="32.25" customHeight="1">
      <c r="A28" s="104" t="n"/>
      <c r="B28" s="105" t="n"/>
      <c r="C28" s="106" t="n"/>
      <c r="D28" s="107" t="n"/>
      <c r="E28" s="108" t="n"/>
      <c r="F28" s="109" t="n"/>
      <c r="G28" s="110" t="n"/>
      <c r="H28" s="108" t="n"/>
      <c r="I28" s="108">
        <f>IF(A28="","",E28*H28)</f>
        <v/>
      </c>
      <c r="J28" s="108">
        <f>IF(A28="","",G28*H28)</f>
        <v/>
      </c>
      <c r="K28" s="110" t="n"/>
      <c r="L28" s="110" t="n"/>
      <c r="M28" s="111">
        <f>IF(A28="","",TRUNC(K28*L28))</f>
        <v/>
      </c>
      <c r="N28" s="112" t="n"/>
      <c r="O28" s="113">
        <f>IF(A28="","",단가및인증현황조사!BF24)</f>
        <v/>
      </c>
      <c r="P28" s="114">
        <f>IF(A28="","",TRUNC(N28*O28))</f>
        <v/>
      </c>
      <c r="Q28" s="115">
        <f>IF(A28="","",E28-K28-N28)</f>
        <v/>
      </c>
      <c r="R28" s="116">
        <f>IF(A28="","",H28-O28)</f>
        <v/>
      </c>
      <c r="S28" s="116">
        <f>IF(A28="","",J28-M28-P28)</f>
        <v/>
      </c>
      <c r="T28" s="117" t="n"/>
    </row>
    <row r="29" ht="32.25" customHeight="1">
      <c r="A29" s="104" t="n"/>
      <c r="B29" s="105" t="n"/>
      <c r="C29" s="106" t="n"/>
      <c r="D29" s="107" t="n"/>
      <c r="E29" s="108" t="n"/>
      <c r="F29" s="109" t="n"/>
      <c r="G29" s="110" t="n"/>
      <c r="H29" s="108" t="n"/>
      <c r="I29" s="108">
        <f>IF(A29="","",E29*H29)</f>
        <v/>
      </c>
      <c r="J29" s="108">
        <f>IF(A29="","",G29*H29)</f>
        <v/>
      </c>
      <c r="K29" s="110" t="n"/>
      <c r="L29" s="110" t="n"/>
      <c r="M29" s="111">
        <f>IF(A29="","",TRUNC(K29*L29))</f>
        <v/>
      </c>
      <c r="N29" s="112" t="n"/>
      <c r="O29" s="113">
        <f>IF(A29="","",단가및인증현황조사!BF25)</f>
        <v/>
      </c>
      <c r="P29" s="114">
        <f>IF(A29="","",TRUNC(N29*O29))</f>
        <v/>
      </c>
      <c r="Q29" s="115">
        <f>IF(A29="","",E29-K29-N29)</f>
        <v/>
      </c>
      <c r="R29" s="116">
        <f>IF(A29="","",H29-O29)</f>
        <v/>
      </c>
      <c r="S29" s="116">
        <f>IF(A29="","",J29-M29-P29)</f>
        <v/>
      </c>
      <c r="T29" s="117" t="n"/>
    </row>
  </sheetData>
  <mergeCells count="9">
    <mergeCell ref="A1:T1"/>
    <mergeCell ref="A5:A6"/>
    <mergeCell ref="Q5:S5"/>
    <mergeCell ref="K5:M5"/>
    <mergeCell ref="E5:J5"/>
    <mergeCell ref="N5:P5"/>
    <mergeCell ref="T5:T6"/>
    <mergeCell ref="B5:B6"/>
    <mergeCell ref="C5:C6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4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0"/>
  <sheetViews>
    <sheetView zoomScale="85" workbookViewId="0">
      <selection activeCell="A1" sqref="A1"/>
    </sheetView>
  </sheetViews>
  <sheetFormatPr baseColWidth="8" defaultRowHeight="15"/>
  <cols>
    <col hidden="1" width="12.75" customWidth="1" min="1" max="1"/>
    <col hidden="1" width="11.375" customWidth="1" min="2" max="2"/>
    <col width="7.625" customWidth="1" min="3" max="3"/>
    <col width="17.625" customWidth="1" min="4" max="4"/>
    <col width="13.625" customWidth="1" min="5" max="5"/>
    <col width="15.625" customWidth="1" min="6" max="6"/>
    <col width="6.625" customWidth="1" min="7" max="7"/>
    <col width="13.625" customWidth="1" min="8" max="8"/>
    <col width="3.625" customWidth="1" min="9" max="9"/>
    <col width="3.625" customWidth="1" min="10" max="10"/>
    <col width="3.625" customWidth="1" min="11" max="11"/>
    <col width="3.625" customWidth="1" min="12" max="12"/>
    <col width="3.625" customWidth="1" min="13" max="13"/>
    <col width="3.625" customWidth="1" min="14" max="14"/>
    <col width="3.625" customWidth="1" min="15" max="15"/>
    <col width="64.625" customWidth="1" min="16" max="16"/>
    <col width="15.625" customWidth="1" min="17" max="17"/>
  </cols>
  <sheetData>
    <row r="1" ht="23.25" customHeight="1">
      <c r="A1" s="57" t="n"/>
      <c r="B1" s="58" t="n"/>
      <c r="C1" s="118" t="inlineStr">
        <is>
          <t xml:space="preserve"> □ 품목명 : </t>
        </is>
      </c>
      <c r="D1" s="59" t="n"/>
      <c r="E1" s="59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119" t="n"/>
    </row>
    <row r="2" ht="6.95" customHeight="1">
      <c r="A2" s="120" t="n"/>
      <c r="B2" s="120" t="n"/>
      <c r="C2" s="120" t="n"/>
      <c r="D2" s="121" t="n"/>
      <c r="E2" s="121" t="n"/>
      <c r="F2" s="120" t="n"/>
      <c r="G2" s="120" t="n"/>
      <c r="H2" s="120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2" t="n"/>
    </row>
    <row r="3" ht="20.1" customHeight="1">
      <c r="A3" s="123" t="n"/>
      <c r="B3" s="123" t="n"/>
      <c r="C3" s="124" t="inlineStr">
        <is>
          <t>구분</t>
        </is>
      </c>
      <c r="D3" s="124" t="inlineStr">
        <is>
          <t>제 조 사</t>
        </is>
      </c>
      <c r="E3" s="125" t="inlineStr">
        <is>
          <t>본  사
소재지</t>
        </is>
      </c>
      <c r="F3" s="124" t="inlineStr">
        <is>
          <t>물품식별번호</t>
        </is>
      </c>
      <c r="G3" s="124" t="inlineStr">
        <is>
          <t>단위</t>
        </is>
      </c>
      <c r="H3" s="125" t="inlineStr">
        <is>
          <t>단   가
(부가세포함)</t>
        </is>
      </c>
      <c r="I3" s="126" t="inlineStr">
        <is>
          <t>인  증  현  황</t>
        </is>
      </c>
      <c r="J3" s="62" t="n"/>
      <c r="K3" s="62" t="n"/>
      <c r="L3" s="62" t="n"/>
      <c r="M3" s="62" t="n"/>
      <c r="N3" s="62" t="n"/>
      <c r="O3" s="63" t="n"/>
      <c r="P3" s="124" t="inlineStr">
        <is>
          <t>외   형   도</t>
        </is>
      </c>
      <c r="Q3" s="124" t="inlineStr">
        <is>
          <t>비   고</t>
        </is>
      </c>
    </row>
    <row r="4" ht="20.25" customHeight="1">
      <c r="A4" s="127" t="n"/>
      <c r="B4" s="127" t="n"/>
      <c r="C4" s="127" t="n"/>
      <c r="D4" s="127" t="n"/>
      <c r="E4" s="127" t="n"/>
      <c r="F4" s="127" t="n"/>
      <c r="G4" s="127" t="n"/>
      <c r="H4" s="127" t="n"/>
      <c r="I4" s="128" t="n"/>
      <c r="J4" s="129" t="n"/>
      <c r="K4" s="129" t="n"/>
      <c r="L4" s="129" t="n"/>
      <c r="M4" s="129" t="n"/>
      <c r="N4" s="129" t="n"/>
      <c r="O4" s="130" t="n"/>
      <c r="P4" s="127" t="n"/>
      <c r="Q4" s="127" t="n"/>
    </row>
    <row r="5" ht="93" customHeight="1">
      <c r="A5" s="131" t="n"/>
      <c r="B5" s="132" t="n"/>
      <c r="C5" s="133" t="n">
        <v>1</v>
      </c>
      <c r="D5" s="134" t="n"/>
      <c r="E5" s="135" t="n"/>
      <c r="F5" s="136" t="n"/>
      <c r="G5" s="136" t="n"/>
      <c r="H5" s="137" t="n"/>
      <c r="I5" s="138" t="n"/>
      <c r="J5" s="139" t="n"/>
      <c r="K5" s="140" t="n"/>
      <c r="L5" s="141" t="n"/>
      <c r="M5" s="138" t="n"/>
      <c r="N5" s="141" t="n"/>
      <c r="O5" s="138" t="n"/>
      <c r="P5" s="142" t="n"/>
      <c r="Q5" s="142" t="n"/>
    </row>
    <row r="6" ht="93" customHeight="1">
      <c r="A6" s="143" t="n"/>
      <c r="B6" s="143" t="n"/>
      <c r="C6" s="144" t="n">
        <v>2</v>
      </c>
      <c r="D6" s="145" t="n"/>
      <c r="E6" s="146" t="n"/>
      <c r="F6" s="145" t="n"/>
      <c r="G6" s="136" t="n"/>
      <c r="H6" s="147" t="n"/>
      <c r="I6" s="138" t="n"/>
      <c r="J6" s="138" t="n"/>
      <c r="K6" s="138" t="n"/>
      <c r="L6" s="138" t="n"/>
      <c r="M6" s="138" t="n"/>
      <c r="N6" s="138" t="n"/>
      <c r="O6" s="138" t="n"/>
      <c r="P6" s="148" t="n"/>
      <c r="Q6" s="149" t="n"/>
    </row>
    <row r="7" ht="93" customHeight="1">
      <c r="A7" s="143" t="n"/>
      <c r="B7" s="143" t="n"/>
      <c r="C7" s="144" t="n">
        <v>3</v>
      </c>
      <c r="D7" s="150" t="n"/>
      <c r="E7" s="151" t="n"/>
      <c r="F7" s="152" t="n"/>
      <c r="G7" s="136" t="n"/>
      <c r="H7" s="153" t="n"/>
      <c r="I7" s="154" t="n"/>
      <c r="J7" s="155" t="n"/>
      <c r="K7" s="156" t="n"/>
      <c r="L7" s="138" t="n"/>
      <c r="M7" s="138" t="n"/>
      <c r="N7" s="138" t="n"/>
      <c r="O7" s="155" t="n"/>
      <c r="P7" s="148" t="n"/>
      <c r="Q7" s="145" t="n"/>
    </row>
    <row r="8" ht="93" customHeight="1">
      <c r="A8" s="143" t="n"/>
      <c r="B8" s="143" t="n"/>
      <c r="C8" s="144" t="n">
        <v>4</v>
      </c>
      <c r="D8" s="145" t="n"/>
      <c r="E8" s="151" t="n"/>
      <c r="F8" s="157" t="n"/>
      <c r="G8" s="136" t="n"/>
      <c r="H8" s="153" t="n"/>
      <c r="I8" s="158" t="n"/>
      <c r="J8" s="159" t="n"/>
      <c r="K8" s="160" t="n"/>
      <c r="L8" s="138" t="n"/>
      <c r="M8" s="138" t="n"/>
      <c r="N8" s="161" t="n"/>
      <c r="O8" s="138" t="n"/>
      <c r="P8" s="148" t="n"/>
      <c r="Q8" s="145" t="n"/>
    </row>
    <row r="9" ht="93" customHeight="1">
      <c r="A9" s="143" t="n"/>
      <c r="B9" s="143" t="n"/>
      <c r="C9" s="144" t="n">
        <v>5</v>
      </c>
      <c r="D9" s="162" t="n"/>
      <c r="E9" s="163" t="n"/>
      <c r="F9" s="162" t="n"/>
      <c r="G9" s="164" t="n"/>
      <c r="H9" s="165" t="n"/>
      <c r="I9" s="166" t="n"/>
      <c r="J9" s="167" t="n"/>
      <c r="K9" s="168" t="n"/>
      <c r="L9" s="169" t="n"/>
      <c r="M9" s="168" t="n"/>
      <c r="N9" s="168" t="n"/>
      <c r="O9" s="170" t="n"/>
      <c r="P9" s="171" t="n"/>
      <c r="Q9" s="171" t="n"/>
    </row>
    <row r="10" ht="93" customHeight="1">
      <c r="A10" s="143" t="n"/>
      <c r="B10" s="143" t="n"/>
      <c r="C10" s="144" t="n">
        <v>6</v>
      </c>
      <c r="D10" s="145" t="n"/>
      <c r="E10" s="146" t="n"/>
      <c r="F10" s="145" t="n"/>
      <c r="G10" s="157" t="n"/>
      <c r="H10" s="147" t="n"/>
      <c r="I10" s="172" t="n"/>
      <c r="J10" s="159" t="n"/>
      <c r="K10" s="160" t="n"/>
      <c r="L10" s="173" t="n"/>
      <c r="M10" s="161" t="n"/>
      <c r="N10" s="161" t="n"/>
      <c r="O10" s="174" t="n"/>
      <c r="P10" s="148" t="n"/>
      <c r="Q10" s="148" t="n"/>
    </row>
    <row r="11" ht="93" customHeight="1">
      <c r="A11" s="127" t="n"/>
      <c r="B11" s="175" t="n"/>
      <c r="C11" s="144" t="n">
        <v>7</v>
      </c>
      <c r="D11" s="176" t="n"/>
      <c r="E11" s="177" t="n"/>
      <c r="F11" s="176" t="n"/>
      <c r="G11" s="178" t="n"/>
      <c r="H11" s="179" t="n"/>
      <c r="I11" s="180" t="n"/>
      <c r="J11" s="181" t="n"/>
      <c r="K11" s="182" t="n"/>
      <c r="L11" s="183" t="n"/>
      <c r="M11" s="184" t="n"/>
      <c r="N11" s="184" t="n"/>
      <c r="O11" s="185" t="n"/>
      <c r="P11" s="186" t="n"/>
      <c r="Q11" s="186" t="n"/>
    </row>
    <row r="12" ht="8.25" customHeight="1">
      <c r="A12" s="187" t="n"/>
      <c r="B12" s="188" t="n"/>
      <c r="C12" s="189" t="inlineStr">
        <is>
          <t>※ 인증마크 :</t>
        </is>
      </c>
      <c r="D12" s="190" t="n"/>
      <c r="E12" s="191" t="n"/>
      <c r="F12" s="192" t="n"/>
      <c r="G12" s="193" t="n"/>
      <c r="H12" s="194" t="n"/>
      <c r="I12" s="195" t="n"/>
      <c r="J12" s="195" t="n"/>
      <c r="K12" s="195" t="n"/>
      <c r="L12" s="195" t="n"/>
      <c r="M12" s="195" t="n"/>
      <c r="N12" s="195" t="n"/>
      <c r="O12" s="195" t="n"/>
      <c r="P12" s="196" t="inlineStr">
        <is>
          <t>◎ : 우선(의무) 구매대상</t>
        </is>
      </c>
      <c r="Q12" s="195" t="n"/>
    </row>
    <row r="13" ht="20.25" customHeight="1">
      <c r="E13" s="197" t="n"/>
    </row>
    <row r="14" ht="23.25" customHeight="1">
      <c r="A14" s="57" t="n"/>
      <c r="B14" s="58" t="n"/>
      <c r="C14" s="118" t="inlineStr">
        <is>
          <t xml:space="preserve"> □ 품목명 : </t>
        </is>
      </c>
      <c r="D14" s="59" t="n"/>
      <c r="E14" s="59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119" t="n"/>
    </row>
    <row r="15" ht="6.95" customHeight="1">
      <c r="A15" s="120" t="n"/>
      <c r="B15" s="120" t="n"/>
      <c r="C15" s="120" t="n"/>
      <c r="D15" s="121" t="n"/>
      <c r="E15" s="121" t="n"/>
      <c r="F15" s="120" t="n"/>
      <c r="G15" s="120" t="n"/>
      <c r="H15" s="120" t="n"/>
      <c r="I15" s="120" t="n"/>
      <c r="J15" s="120" t="n"/>
      <c r="K15" s="120" t="n"/>
      <c r="L15" s="120" t="n"/>
      <c r="M15" s="120" t="n"/>
      <c r="N15" s="120" t="n"/>
      <c r="O15" s="120" t="n"/>
      <c r="P15" s="120" t="n"/>
      <c r="Q15" s="122" t="n"/>
    </row>
    <row r="16" ht="20.1" customHeight="1">
      <c r="A16" s="123" t="n"/>
      <c r="B16" s="123" t="n"/>
      <c r="C16" s="124" t="inlineStr">
        <is>
          <t>구분</t>
        </is>
      </c>
      <c r="D16" s="124" t="inlineStr">
        <is>
          <t>제 조 사</t>
        </is>
      </c>
      <c r="E16" s="125" t="inlineStr">
        <is>
          <t>본  사
소재지</t>
        </is>
      </c>
      <c r="F16" s="124" t="inlineStr">
        <is>
          <t>물품식별번호</t>
        </is>
      </c>
      <c r="G16" s="124" t="inlineStr">
        <is>
          <t>단위</t>
        </is>
      </c>
      <c r="H16" s="125" t="inlineStr">
        <is>
          <t>단   가
(부가세포함)</t>
        </is>
      </c>
      <c r="I16" s="126" t="inlineStr">
        <is>
          <t>인  증  현  황</t>
        </is>
      </c>
      <c r="J16" s="62" t="n"/>
      <c r="K16" s="62" t="n"/>
      <c r="L16" s="62" t="n"/>
      <c r="M16" s="62" t="n"/>
      <c r="N16" s="62" t="n"/>
      <c r="O16" s="63" t="n"/>
      <c r="P16" s="124" t="inlineStr">
        <is>
          <t>외   형   도</t>
        </is>
      </c>
      <c r="Q16" s="124" t="inlineStr">
        <is>
          <t>비   고</t>
        </is>
      </c>
    </row>
    <row r="17" ht="20.25" customHeight="1">
      <c r="A17" s="127" t="n"/>
      <c r="B17" s="127" t="n"/>
      <c r="C17" s="127" t="n"/>
      <c r="D17" s="127" t="n"/>
      <c r="E17" s="127" t="n"/>
      <c r="F17" s="127" t="n"/>
      <c r="G17" s="127" t="n"/>
      <c r="H17" s="127" t="n"/>
      <c r="I17" s="128" t="n"/>
      <c r="J17" s="129" t="n"/>
      <c r="K17" s="129" t="n"/>
      <c r="L17" s="129" t="n"/>
      <c r="M17" s="129" t="n"/>
      <c r="N17" s="129" t="n"/>
      <c r="O17" s="130" t="n"/>
      <c r="P17" s="127" t="n"/>
      <c r="Q17" s="127" t="n"/>
    </row>
    <row r="18" ht="93" customHeight="1">
      <c r="A18" s="131" t="n"/>
      <c r="B18" s="132" t="n"/>
      <c r="C18" s="133" t="n">
        <v>1</v>
      </c>
      <c r="D18" s="134" t="n"/>
      <c r="E18" s="135" t="n"/>
      <c r="F18" s="136" t="n"/>
      <c r="G18" s="136" t="n"/>
      <c r="H18" s="137" t="n"/>
      <c r="I18" s="138" t="n"/>
      <c r="J18" s="139" t="n"/>
      <c r="K18" s="140" t="n"/>
      <c r="L18" s="141" t="n"/>
      <c r="M18" s="138" t="n"/>
      <c r="N18" s="141" t="n"/>
      <c r="O18" s="138" t="n"/>
      <c r="P18" s="142" t="n"/>
      <c r="Q18" s="142" t="n"/>
    </row>
    <row r="19" ht="93" customHeight="1">
      <c r="A19" s="143" t="n"/>
      <c r="B19" s="143" t="n"/>
      <c r="C19" s="144" t="n">
        <v>2</v>
      </c>
      <c r="D19" s="145" t="n"/>
      <c r="E19" s="146" t="n"/>
      <c r="F19" s="145" t="n"/>
      <c r="G19" s="136" t="n"/>
      <c r="H19" s="147" t="n"/>
      <c r="I19" s="138" t="n"/>
      <c r="J19" s="138" t="n"/>
      <c r="K19" s="138" t="n"/>
      <c r="L19" s="138" t="n"/>
      <c r="M19" s="138" t="n"/>
      <c r="N19" s="138" t="n"/>
      <c r="O19" s="138" t="n"/>
      <c r="P19" s="148" t="n"/>
      <c r="Q19" s="149" t="n"/>
    </row>
    <row r="20" ht="93" customHeight="1">
      <c r="A20" s="143" t="n"/>
      <c r="B20" s="143" t="n"/>
      <c r="C20" s="144" t="n">
        <v>3</v>
      </c>
      <c r="D20" s="150" t="n"/>
      <c r="E20" s="151" t="n"/>
      <c r="F20" s="152" t="n"/>
      <c r="G20" s="136" t="n"/>
      <c r="H20" s="153" t="n"/>
      <c r="I20" s="154" t="n"/>
      <c r="J20" s="155" t="n"/>
      <c r="K20" s="156" t="n"/>
      <c r="L20" s="138" t="n"/>
      <c r="M20" s="138" t="n"/>
      <c r="N20" s="138" t="n"/>
      <c r="O20" s="155" t="n"/>
      <c r="P20" s="148" t="n"/>
      <c r="Q20" s="145" t="n"/>
    </row>
    <row r="21" ht="93" customHeight="1">
      <c r="A21" s="143" t="n"/>
      <c r="B21" s="143" t="n"/>
      <c r="C21" s="144" t="n">
        <v>4</v>
      </c>
      <c r="D21" s="145" t="n"/>
      <c r="E21" s="151" t="n"/>
      <c r="F21" s="157" t="n"/>
      <c r="G21" s="136" t="n"/>
      <c r="H21" s="153" t="n"/>
      <c r="I21" s="158" t="n"/>
      <c r="J21" s="159" t="n"/>
      <c r="K21" s="160" t="n"/>
      <c r="L21" s="138" t="n"/>
      <c r="M21" s="138" t="n"/>
      <c r="N21" s="161" t="n"/>
      <c r="O21" s="138" t="n"/>
      <c r="P21" s="148" t="n"/>
      <c r="Q21" s="145" t="n"/>
    </row>
    <row r="22" ht="93" customHeight="1">
      <c r="A22" s="143" t="n"/>
      <c r="B22" s="143" t="n"/>
      <c r="C22" s="144" t="n">
        <v>5</v>
      </c>
      <c r="D22" s="162" t="n"/>
      <c r="E22" s="163" t="n"/>
      <c r="F22" s="162" t="n"/>
      <c r="G22" s="164" t="n"/>
      <c r="H22" s="165" t="n"/>
      <c r="I22" s="166" t="n"/>
      <c r="J22" s="167" t="n"/>
      <c r="K22" s="168" t="n"/>
      <c r="L22" s="169" t="n"/>
      <c r="M22" s="168" t="n"/>
      <c r="N22" s="168" t="n"/>
      <c r="O22" s="170" t="n"/>
      <c r="P22" s="171" t="n"/>
      <c r="Q22" s="171" t="n"/>
    </row>
    <row r="23" ht="93" customHeight="1">
      <c r="A23" s="143" t="n"/>
      <c r="B23" s="143" t="n"/>
      <c r="C23" s="144" t="n">
        <v>6</v>
      </c>
      <c r="D23" s="145" t="n"/>
      <c r="E23" s="146" t="n"/>
      <c r="F23" s="145" t="n"/>
      <c r="G23" s="157" t="n"/>
      <c r="H23" s="147" t="n"/>
      <c r="I23" s="172" t="n"/>
      <c r="J23" s="159" t="n"/>
      <c r="K23" s="160" t="n"/>
      <c r="L23" s="173" t="n"/>
      <c r="M23" s="161" t="n"/>
      <c r="N23" s="161" t="n"/>
      <c r="O23" s="174" t="n"/>
      <c r="P23" s="148" t="n"/>
      <c r="Q23" s="148" t="n"/>
    </row>
    <row r="24" ht="93" customHeight="1">
      <c r="A24" s="127" t="n"/>
      <c r="B24" s="175" t="n"/>
      <c r="C24" s="144" t="n">
        <v>7</v>
      </c>
      <c r="D24" s="176" t="n"/>
      <c r="E24" s="177" t="n"/>
      <c r="F24" s="176" t="n"/>
      <c r="G24" s="178" t="n"/>
      <c r="H24" s="179" t="n"/>
      <c r="I24" s="180" t="n"/>
      <c r="J24" s="181" t="n"/>
      <c r="K24" s="182" t="n"/>
      <c r="L24" s="183" t="n"/>
      <c r="M24" s="184" t="n"/>
      <c r="N24" s="184" t="n"/>
      <c r="O24" s="185" t="n"/>
      <c r="P24" s="186" t="n"/>
      <c r="Q24" s="186" t="n"/>
    </row>
    <row r="25" ht="8.25" customHeight="1">
      <c r="A25" s="187" t="n"/>
      <c r="B25" s="188" t="n"/>
      <c r="C25" s="189" t="inlineStr">
        <is>
          <t>※ 인증마크 :</t>
        </is>
      </c>
      <c r="D25" s="190" t="n"/>
      <c r="E25" s="191" t="n"/>
      <c r="F25" s="192" t="n"/>
      <c r="G25" s="193" t="n"/>
      <c r="H25" s="194" t="n"/>
      <c r="I25" s="195" t="n"/>
      <c r="J25" s="195" t="n"/>
      <c r="K25" s="195" t="n"/>
      <c r="L25" s="195" t="n"/>
      <c r="M25" s="195" t="n"/>
      <c r="N25" s="195" t="n"/>
      <c r="O25" s="195" t="n"/>
      <c r="P25" s="196" t="inlineStr">
        <is>
          <t>◎ : 우선(의무) 구매대상</t>
        </is>
      </c>
      <c r="Q25" s="195" t="n"/>
    </row>
    <row r="26" ht="20.25" customHeight="1">
      <c r="E26" s="197" t="n"/>
    </row>
    <row r="27" ht="23.25" customHeight="1">
      <c r="A27" s="57" t="n"/>
      <c r="B27" s="58" t="n"/>
      <c r="C27" s="118" t="inlineStr">
        <is>
          <t xml:space="preserve"> □ 품목명 : </t>
        </is>
      </c>
      <c r="D27" s="59" t="n"/>
      <c r="E27" s="59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119" t="n"/>
    </row>
    <row r="28" ht="6.95" customHeight="1">
      <c r="A28" s="120" t="n"/>
      <c r="B28" s="120" t="n"/>
      <c r="C28" s="120" t="n"/>
      <c r="D28" s="121" t="n"/>
      <c r="E28" s="121" t="n"/>
      <c r="F28" s="120" t="n"/>
      <c r="G28" s="120" t="n"/>
      <c r="H28" s="120" t="n"/>
      <c r="I28" s="120" t="n"/>
      <c r="J28" s="120" t="n"/>
      <c r="K28" s="120" t="n"/>
      <c r="L28" s="120" t="n"/>
      <c r="M28" s="120" t="n"/>
      <c r="N28" s="120" t="n"/>
      <c r="O28" s="120" t="n"/>
      <c r="P28" s="120" t="n"/>
      <c r="Q28" s="122" t="n"/>
    </row>
    <row r="29" ht="20.1" customHeight="1">
      <c r="A29" s="123" t="n"/>
      <c r="B29" s="123" t="n"/>
      <c r="C29" s="124" t="inlineStr">
        <is>
          <t>구분</t>
        </is>
      </c>
      <c r="D29" s="124" t="inlineStr">
        <is>
          <t>제 조 사</t>
        </is>
      </c>
      <c r="E29" s="125" t="inlineStr">
        <is>
          <t>본  사
소재지</t>
        </is>
      </c>
      <c r="F29" s="124" t="inlineStr">
        <is>
          <t>물품식별번호</t>
        </is>
      </c>
      <c r="G29" s="124" t="inlineStr">
        <is>
          <t>단위</t>
        </is>
      </c>
      <c r="H29" s="125" t="inlineStr">
        <is>
          <t>단   가
(부가세포함)</t>
        </is>
      </c>
      <c r="I29" s="126" t="inlineStr">
        <is>
          <t>인  증  현  황</t>
        </is>
      </c>
      <c r="J29" s="62" t="n"/>
      <c r="K29" s="62" t="n"/>
      <c r="L29" s="62" t="n"/>
      <c r="M29" s="62" t="n"/>
      <c r="N29" s="62" t="n"/>
      <c r="O29" s="63" t="n"/>
      <c r="P29" s="124" t="inlineStr">
        <is>
          <t>외   형   도</t>
        </is>
      </c>
      <c r="Q29" s="124" t="inlineStr">
        <is>
          <t>비   고</t>
        </is>
      </c>
    </row>
    <row r="30" ht="20.25" customHeight="1">
      <c r="A30" s="127" t="n"/>
      <c r="B30" s="127" t="n"/>
      <c r="C30" s="127" t="n"/>
      <c r="D30" s="127" t="n"/>
      <c r="E30" s="127" t="n"/>
      <c r="F30" s="127" t="n"/>
      <c r="G30" s="127" t="n"/>
      <c r="H30" s="127" t="n"/>
      <c r="I30" s="128" t="n"/>
      <c r="J30" s="129" t="n"/>
      <c r="K30" s="129" t="n"/>
      <c r="L30" s="129" t="n"/>
      <c r="M30" s="129" t="n"/>
      <c r="N30" s="129" t="n"/>
      <c r="O30" s="130" t="n"/>
      <c r="P30" s="127" t="n"/>
      <c r="Q30" s="127" t="n"/>
    </row>
    <row r="31" ht="93" customHeight="1">
      <c r="A31" s="131" t="n"/>
      <c r="B31" s="132" t="n"/>
      <c r="C31" s="133" t="n">
        <v>1</v>
      </c>
      <c r="D31" s="134" t="n"/>
      <c r="E31" s="135" t="n"/>
      <c r="F31" s="136" t="n"/>
      <c r="G31" s="136" t="n"/>
      <c r="H31" s="137" t="n"/>
      <c r="I31" s="138" t="n"/>
      <c r="J31" s="139" t="n"/>
      <c r="K31" s="140" t="n"/>
      <c r="L31" s="141" t="n"/>
      <c r="M31" s="138" t="n"/>
      <c r="N31" s="141" t="n"/>
      <c r="O31" s="138" t="n"/>
      <c r="P31" s="142" t="n"/>
      <c r="Q31" s="142" t="n"/>
    </row>
    <row r="32" ht="93" customHeight="1">
      <c r="A32" s="143" t="n"/>
      <c r="B32" s="143" t="n"/>
      <c r="C32" s="144" t="n">
        <v>2</v>
      </c>
      <c r="D32" s="145" t="n"/>
      <c r="E32" s="146" t="n"/>
      <c r="F32" s="145" t="n"/>
      <c r="G32" s="136" t="n"/>
      <c r="H32" s="147" t="n"/>
      <c r="I32" s="138" t="n"/>
      <c r="J32" s="138" t="n"/>
      <c r="K32" s="138" t="n"/>
      <c r="L32" s="138" t="n"/>
      <c r="M32" s="138" t="n"/>
      <c r="N32" s="138" t="n"/>
      <c r="O32" s="138" t="n"/>
      <c r="P32" s="148" t="n"/>
      <c r="Q32" s="149" t="n"/>
    </row>
    <row r="33" ht="93" customHeight="1">
      <c r="A33" s="143" t="n"/>
      <c r="B33" s="143" t="n"/>
      <c r="C33" s="144" t="n">
        <v>3</v>
      </c>
      <c r="D33" s="150" t="n"/>
      <c r="E33" s="151" t="n"/>
      <c r="F33" s="152" t="n"/>
      <c r="G33" s="136" t="n"/>
      <c r="H33" s="153" t="n"/>
      <c r="I33" s="154" t="n"/>
      <c r="J33" s="155" t="n"/>
      <c r="K33" s="156" t="n"/>
      <c r="L33" s="138" t="n"/>
      <c r="M33" s="138" t="n"/>
      <c r="N33" s="138" t="n"/>
      <c r="O33" s="155" t="n"/>
      <c r="P33" s="148" t="n"/>
      <c r="Q33" s="145" t="n"/>
    </row>
    <row r="34" ht="93" customHeight="1">
      <c r="A34" s="143" t="n"/>
      <c r="B34" s="143" t="n"/>
      <c r="C34" s="144" t="n">
        <v>4</v>
      </c>
      <c r="D34" s="145" t="n"/>
      <c r="E34" s="151" t="n"/>
      <c r="F34" s="157" t="n"/>
      <c r="G34" s="136" t="n"/>
      <c r="H34" s="153" t="n"/>
      <c r="I34" s="158" t="n"/>
      <c r="J34" s="159" t="n"/>
      <c r="K34" s="160" t="n"/>
      <c r="L34" s="138" t="n"/>
      <c r="M34" s="138" t="n"/>
      <c r="N34" s="161" t="n"/>
      <c r="O34" s="138" t="n"/>
      <c r="P34" s="148" t="n"/>
      <c r="Q34" s="145" t="n"/>
    </row>
    <row r="35" ht="93" customHeight="1">
      <c r="A35" s="143" t="n"/>
      <c r="B35" s="143" t="n"/>
      <c r="C35" s="144" t="n">
        <v>5</v>
      </c>
      <c r="D35" s="162" t="n"/>
      <c r="E35" s="163" t="n"/>
      <c r="F35" s="162" t="n"/>
      <c r="G35" s="164" t="n"/>
      <c r="H35" s="165" t="n"/>
      <c r="I35" s="166" t="n"/>
      <c r="J35" s="167" t="n"/>
      <c r="K35" s="168" t="n"/>
      <c r="L35" s="169" t="n"/>
      <c r="M35" s="168" t="n"/>
      <c r="N35" s="168" t="n"/>
      <c r="O35" s="170" t="n"/>
      <c r="P35" s="171" t="n"/>
      <c r="Q35" s="171" t="n"/>
    </row>
    <row r="36" ht="93" customHeight="1">
      <c r="A36" s="143" t="n"/>
      <c r="B36" s="143" t="n"/>
      <c r="C36" s="144" t="n">
        <v>6</v>
      </c>
      <c r="D36" s="145" t="n"/>
      <c r="E36" s="146" t="n"/>
      <c r="F36" s="145" t="n"/>
      <c r="G36" s="157" t="n"/>
      <c r="H36" s="147" t="n"/>
      <c r="I36" s="172" t="n"/>
      <c r="J36" s="159" t="n"/>
      <c r="K36" s="160" t="n"/>
      <c r="L36" s="173" t="n"/>
      <c r="M36" s="161" t="n"/>
      <c r="N36" s="161" t="n"/>
      <c r="O36" s="174" t="n"/>
      <c r="P36" s="148" t="n"/>
      <c r="Q36" s="148" t="n"/>
    </row>
    <row r="37" ht="93" customHeight="1">
      <c r="A37" s="127" t="n"/>
      <c r="B37" s="175" t="n"/>
      <c r="C37" s="144" t="n">
        <v>7</v>
      </c>
      <c r="D37" s="176" t="n"/>
      <c r="E37" s="177" t="n"/>
      <c r="F37" s="176" t="n"/>
      <c r="G37" s="178" t="n"/>
      <c r="H37" s="179" t="n"/>
      <c r="I37" s="180" t="n"/>
      <c r="J37" s="181" t="n"/>
      <c r="K37" s="182" t="n"/>
      <c r="L37" s="183" t="n"/>
      <c r="M37" s="184" t="n"/>
      <c r="N37" s="184" t="n"/>
      <c r="O37" s="185" t="n"/>
      <c r="P37" s="186" t="n"/>
      <c r="Q37" s="186" t="n"/>
    </row>
    <row r="38" ht="8.25" customHeight="1">
      <c r="A38" s="187" t="n"/>
      <c r="B38" s="188" t="n"/>
      <c r="C38" s="189" t="inlineStr">
        <is>
          <t>※ 인증마크 :</t>
        </is>
      </c>
      <c r="D38" s="190" t="n"/>
      <c r="E38" s="191" t="n"/>
      <c r="F38" s="192" t="n"/>
      <c r="G38" s="193" t="n"/>
      <c r="H38" s="194" t="n"/>
      <c r="I38" s="195" t="n"/>
      <c r="J38" s="195" t="n"/>
      <c r="K38" s="195" t="n"/>
      <c r="L38" s="195" t="n"/>
      <c r="M38" s="195" t="n"/>
      <c r="N38" s="195" t="n"/>
      <c r="O38" s="195" t="n"/>
      <c r="P38" s="196" t="inlineStr">
        <is>
          <t>◎ : 우선(의무) 구매대상</t>
        </is>
      </c>
      <c r="Q38" s="195" t="n"/>
    </row>
    <row r="39" ht="20.25" customHeight="1">
      <c r="E39" s="197" t="n"/>
    </row>
    <row r="40" ht="23.25" customHeight="1">
      <c r="A40" s="57" t="n"/>
      <c r="B40" s="58" t="n"/>
      <c r="C40" s="118" t="inlineStr">
        <is>
          <t xml:space="preserve"> □ 품목명 : </t>
        </is>
      </c>
      <c r="D40" s="59" t="n"/>
      <c r="E40" s="59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119" t="n"/>
    </row>
    <row r="41" ht="6.95" customHeight="1">
      <c r="A41" s="120" t="n"/>
      <c r="B41" s="120" t="n"/>
      <c r="C41" s="120" t="n"/>
      <c r="D41" s="121" t="n"/>
      <c r="E41" s="121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  <c r="O41" s="120" t="n"/>
      <c r="P41" s="120" t="n"/>
      <c r="Q41" s="122" t="n"/>
    </row>
    <row r="42" ht="20.1" customHeight="1">
      <c r="A42" s="123" t="n"/>
      <c r="B42" s="123" t="n"/>
      <c r="C42" s="124" t="inlineStr">
        <is>
          <t>구분</t>
        </is>
      </c>
      <c r="D42" s="124" t="inlineStr">
        <is>
          <t>제 조 사</t>
        </is>
      </c>
      <c r="E42" s="125" t="inlineStr">
        <is>
          <t>본  사
소재지</t>
        </is>
      </c>
      <c r="F42" s="124" t="inlineStr">
        <is>
          <t>물품식별번호</t>
        </is>
      </c>
      <c r="G42" s="124" t="inlineStr">
        <is>
          <t>단위</t>
        </is>
      </c>
      <c r="H42" s="125" t="inlineStr">
        <is>
          <t>단   가
(부가세포함)</t>
        </is>
      </c>
      <c r="I42" s="126" t="inlineStr">
        <is>
          <t>인  증  현  황</t>
        </is>
      </c>
      <c r="J42" s="62" t="n"/>
      <c r="K42" s="62" t="n"/>
      <c r="L42" s="62" t="n"/>
      <c r="M42" s="62" t="n"/>
      <c r="N42" s="62" t="n"/>
      <c r="O42" s="63" t="n"/>
      <c r="P42" s="124" t="inlineStr">
        <is>
          <t>외   형   도</t>
        </is>
      </c>
      <c r="Q42" s="124" t="inlineStr">
        <is>
          <t>비   고</t>
        </is>
      </c>
    </row>
    <row r="43" ht="20.25" customHeight="1">
      <c r="A43" s="127" t="n"/>
      <c r="B43" s="127" t="n"/>
      <c r="C43" s="127" t="n"/>
      <c r="D43" s="127" t="n"/>
      <c r="E43" s="127" t="n"/>
      <c r="F43" s="127" t="n"/>
      <c r="G43" s="127" t="n"/>
      <c r="H43" s="127" t="n"/>
      <c r="I43" s="128" t="n"/>
      <c r="J43" s="129" t="n"/>
      <c r="K43" s="129" t="n"/>
      <c r="L43" s="129" t="n"/>
      <c r="M43" s="129" t="n"/>
      <c r="N43" s="129" t="n"/>
      <c r="O43" s="130" t="n"/>
      <c r="P43" s="127" t="n"/>
      <c r="Q43" s="127" t="n"/>
    </row>
    <row r="44" ht="93" customHeight="1">
      <c r="A44" s="131" t="n"/>
      <c r="B44" s="132" t="n"/>
      <c r="C44" s="133" t="n">
        <v>1</v>
      </c>
      <c r="D44" s="134" t="n"/>
      <c r="E44" s="135" t="n"/>
      <c r="F44" s="136" t="n"/>
      <c r="G44" s="136" t="n"/>
      <c r="H44" s="137" t="n"/>
      <c r="I44" s="138" t="n"/>
      <c r="J44" s="139" t="n"/>
      <c r="K44" s="140" t="n"/>
      <c r="L44" s="141" t="n"/>
      <c r="M44" s="138" t="n"/>
      <c r="N44" s="141" t="n"/>
      <c r="O44" s="138" t="n"/>
      <c r="P44" s="142" t="n"/>
      <c r="Q44" s="142" t="n"/>
    </row>
    <row r="45" ht="93" customHeight="1">
      <c r="A45" s="143" t="n"/>
      <c r="B45" s="143" t="n"/>
      <c r="C45" s="144" t="n">
        <v>2</v>
      </c>
      <c r="D45" s="145" t="n"/>
      <c r="E45" s="146" t="n"/>
      <c r="F45" s="145" t="n"/>
      <c r="G45" s="136" t="n"/>
      <c r="H45" s="147" t="n"/>
      <c r="I45" s="138" t="n"/>
      <c r="J45" s="138" t="n"/>
      <c r="K45" s="138" t="n"/>
      <c r="L45" s="138" t="n"/>
      <c r="M45" s="138" t="n"/>
      <c r="N45" s="138" t="n"/>
      <c r="O45" s="138" t="n"/>
      <c r="P45" s="148" t="n"/>
      <c r="Q45" s="149" t="n"/>
    </row>
    <row r="46" ht="93" customHeight="1">
      <c r="A46" s="143" t="n"/>
      <c r="B46" s="143" t="n"/>
      <c r="C46" s="144" t="n">
        <v>3</v>
      </c>
      <c r="D46" s="150" t="n"/>
      <c r="E46" s="151" t="n"/>
      <c r="F46" s="152" t="n"/>
      <c r="G46" s="136" t="n"/>
      <c r="H46" s="153" t="n"/>
      <c r="I46" s="154" t="n"/>
      <c r="J46" s="155" t="n"/>
      <c r="K46" s="156" t="n"/>
      <c r="L46" s="138" t="n"/>
      <c r="M46" s="138" t="n"/>
      <c r="N46" s="138" t="n"/>
      <c r="O46" s="155" t="n"/>
      <c r="P46" s="148" t="n"/>
      <c r="Q46" s="145" t="n"/>
    </row>
    <row r="47" ht="93" customHeight="1">
      <c r="A47" s="143" t="n"/>
      <c r="B47" s="143" t="n"/>
      <c r="C47" s="144" t="n">
        <v>4</v>
      </c>
      <c r="D47" s="145" t="n"/>
      <c r="E47" s="151" t="n"/>
      <c r="F47" s="157" t="n"/>
      <c r="G47" s="136" t="n"/>
      <c r="H47" s="153" t="n"/>
      <c r="I47" s="158" t="n"/>
      <c r="J47" s="159" t="n"/>
      <c r="K47" s="160" t="n"/>
      <c r="L47" s="138" t="n"/>
      <c r="M47" s="138" t="n"/>
      <c r="N47" s="161" t="n"/>
      <c r="O47" s="138" t="n"/>
      <c r="P47" s="148" t="n"/>
      <c r="Q47" s="145" t="n"/>
    </row>
    <row r="48" ht="93" customHeight="1">
      <c r="A48" s="143" t="n"/>
      <c r="B48" s="143" t="n"/>
      <c r="C48" s="144" t="n">
        <v>5</v>
      </c>
      <c r="D48" s="162" t="n"/>
      <c r="E48" s="163" t="n"/>
      <c r="F48" s="162" t="n"/>
      <c r="G48" s="164" t="n"/>
      <c r="H48" s="165" t="n"/>
      <c r="I48" s="166" t="n"/>
      <c r="J48" s="167" t="n"/>
      <c r="K48" s="168" t="n"/>
      <c r="L48" s="169" t="n"/>
      <c r="M48" s="168" t="n"/>
      <c r="N48" s="168" t="n"/>
      <c r="O48" s="170" t="n"/>
      <c r="P48" s="171" t="n"/>
      <c r="Q48" s="171" t="n"/>
    </row>
    <row r="49" ht="93" customHeight="1">
      <c r="A49" s="143" t="n"/>
      <c r="B49" s="143" t="n"/>
      <c r="C49" s="144" t="n">
        <v>6</v>
      </c>
      <c r="D49" s="145" t="n"/>
      <c r="E49" s="146" t="n"/>
      <c r="F49" s="145" t="n"/>
      <c r="G49" s="157" t="n"/>
      <c r="H49" s="147" t="n"/>
      <c r="I49" s="172" t="n"/>
      <c r="J49" s="159" t="n"/>
      <c r="K49" s="160" t="n"/>
      <c r="L49" s="173" t="n"/>
      <c r="M49" s="161" t="n"/>
      <c r="N49" s="161" t="n"/>
      <c r="O49" s="174" t="n"/>
      <c r="P49" s="148" t="n"/>
      <c r="Q49" s="148" t="n"/>
    </row>
    <row r="50" ht="93" customHeight="1">
      <c r="A50" s="127" t="n"/>
      <c r="B50" s="175" t="n"/>
      <c r="C50" s="144" t="n">
        <v>7</v>
      </c>
      <c r="D50" s="176" t="n"/>
      <c r="E50" s="177" t="n"/>
      <c r="F50" s="176" t="n"/>
      <c r="G50" s="178" t="n"/>
      <c r="H50" s="179" t="n"/>
      <c r="I50" s="180" t="n"/>
      <c r="J50" s="181" t="n"/>
      <c r="K50" s="182" t="n"/>
      <c r="L50" s="183" t="n"/>
      <c r="M50" s="184" t="n"/>
      <c r="N50" s="184" t="n"/>
      <c r="O50" s="185" t="n"/>
      <c r="P50" s="186" t="n"/>
      <c r="Q50" s="186" t="n"/>
    </row>
    <row r="51" ht="8.25" customHeight="1">
      <c r="A51" s="187" t="n"/>
      <c r="B51" s="188" t="n"/>
      <c r="C51" s="189" t="inlineStr">
        <is>
          <t>※ 인증마크 :</t>
        </is>
      </c>
      <c r="D51" s="190" t="n"/>
      <c r="E51" s="191" t="n"/>
      <c r="F51" s="192" t="n"/>
      <c r="G51" s="193" t="n"/>
      <c r="H51" s="194" t="n"/>
      <c r="I51" s="195" t="n"/>
      <c r="J51" s="195" t="n"/>
      <c r="K51" s="195" t="n"/>
      <c r="L51" s="195" t="n"/>
      <c r="M51" s="195" t="n"/>
      <c r="N51" s="195" t="n"/>
      <c r="O51" s="195" t="n"/>
      <c r="P51" s="196" t="inlineStr">
        <is>
          <t>◎ : 우선(의무) 구매대상</t>
        </is>
      </c>
      <c r="Q51" s="195" t="n"/>
    </row>
    <row r="52" ht="20.25" customHeight="1">
      <c r="E52" s="197" t="n"/>
    </row>
    <row r="53" ht="23.25" customHeight="1">
      <c r="A53" s="57" t="n"/>
      <c r="B53" s="58" t="n"/>
      <c r="C53" s="118" t="inlineStr">
        <is>
          <t xml:space="preserve"> □ 품목명 : </t>
        </is>
      </c>
      <c r="D53" s="59" t="n"/>
      <c r="E53" s="59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119" t="n"/>
    </row>
    <row r="54" ht="6.95" customHeight="1">
      <c r="A54" s="120" t="n"/>
      <c r="B54" s="120" t="n"/>
      <c r="C54" s="120" t="n"/>
      <c r="D54" s="121" t="n"/>
      <c r="E54" s="121" t="n"/>
      <c r="F54" s="120" t="n"/>
      <c r="G54" s="120" t="n"/>
      <c r="H54" s="120" t="n"/>
      <c r="I54" s="120" t="n"/>
      <c r="J54" s="120" t="n"/>
      <c r="K54" s="120" t="n"/>
      <c r="L54" s="120" t="n"/>
      <c r="M54" s="120" t="n"/>
      <c r="N54" s="120" t="n"/>
      <c r="O54" s="120" t="n"/>
      <c r="P54" s="120" t="n"/>
      <c r="Q54" s="122" t="n"/>
    </row>
    <row r="55" ht="20.1" customHeight="1">
      <c r="A55" s="123" t="n"/>
      <c r="B55" s="123" t="n"/>
      <c r="C55" s="124" t="inlineStr">
        <is>
          <t>구분</t>
        </is>
      </c>
      <c r="D55" s="124" t="inlineStr">
        <is>
          <t>제 조 사</t>
        </is>
      </c>
      <c r="E55" s="125" t="inlineStr">
        <is>
          <t>본  사
소재지</t>
        </is>
      </c>
      <c r="F55" s="124" t="inlineStr">
        <is>
          <t>물품식별번호</t>
        </is>
      </c>
      <c r="G55" s="124" t="inlineStr">
        <is>
          <t>단위</t>
        </is>
      </c>
      <c r="H55" s="125" t="inlineStr">
        <is>
          <t>단   가
(부가세포함)</t>
        </is>
      </c>
      <c r="I55" s="126" t="inlineStr">
        <is>
          <t>인  증  현  황</t>
        </is>
      </c>
      <c r="J55" s="62" t="n"/>
      <c r="K55" s="62" t="n"/>
      <c r="L55" s="62" t="n"/>
      <c r="M55" s="62" t="n"/>
      <c r="N55" s="62" t="n"/>
      <c r="O55" s="63" t="n"/>
      <c r="P55" s="124" t="inlineStr">
        <is>
          <t>외   형   도</t>
        </is>
      </c>
      <c r="Q55" s="124" t="inlineStr">
        <is>
          <t>비   고</t>
        </is>
      </c>
    </row>
    <row r="56" ht="20.25" customHeight="1">
      <c r="A56" s="127" t="n"/>
      <c r="B56" s="127" t="n"/>
      <c r="C56" s="127" t="n"/>
      <c r="D56" s="127" t="n"/>
      <c r="E56" s="127" t="n"/>
      <c r="F56" s="127" t="n"/>
      <c r="G56" s="127" t="n"/>
      <c r="H56" s="127" t="n"/>
      <c r="I56" s="128" t="n"/>
      <c r="J56" s="129" t="n"/>
      <c r="K56" s="129" t="n"/>
      <c r="L56" s="129" t="n"/>
      <c r="M56" s="129" t="n"/>
      <c r="N56" s="129" t="n"/>
      <c r="O56" s="130" t="n"/>
      <c r="P56" s="127" t="n"/>
      <c r="Q56" s="127" t="n"/>
    </row>
    <row r="57" ht="93" customHeight="1">
      <c r="A57" s="131" t="n"/>
      <c r="B57" s="132" t="n"/>
      <c r="C57" s="133" t="n">
        <v>1</v>
      </c>
      <c r="D57" s="134" t="n"/>
      <c r="E57" s="135" t="n"/>
      <c r="F57" s="136" t="n"/>
      <c r="G57" s="136" t="n"/>
      <c r="H57" s="137" t="n"/>
      <c r="I57" s="138" t="n"/>
      <c r="J57" s="139" t="n"/>
      <c r="K57" s="140" t="n"/>
      <c r="L57" s="141" t="n"/>
      <c r="M57" s="138" t="n"/>
      <c r="N57" s="141" t="n"/>
      <c r="O57" s="138" t="n"/>
      <c r="P57" s="142" t="n"/>
      <c r="Q57" s="142" t="n"/>
    </row>
    <row r="58" ht="93" customHeight="1">
      <c r="A58" s="143" t="n"/>
      <c r="B58" s="143" t="n"/>
      <c r="C58" s="144" t="n">
        <v>2</v>
      </c>
      <c r="D58" s="145" t="n"/>
      <c r="E58" s="146" t="n"/>
      <c r="F58" s="145" t="n"/>
      <c r="G58" s="136" t="n"/>
      <c r="H58" s="147" t="n"/>
      <c r="I58" s="138" t="n"/>
      <c r="J58" s="138" t="n"/>
      <c r="K58" s="138" t="n"/>
      <c r="L58" s="138" t="n"/>
      <c r="M58" s="138" t="n"/>
      <c r="N58" s="138" t="n"/>
      <c r="O58" s="138" t="n"/>
      <c r="P58" s="148" t="n"/>
      <c r="Q58" s="149" t="n"/>
    </row>
    <row r="59" ht="93" customHeight="1">
      <c r="A59" s="143" t="n"/>
      <c r="B59" s="143" t="n"/>
      <c r="C59" s="144" t="n">
        <v>3</v>
      </c>
      <c r="D59" s="150" t="n"/>
      <c r="E59" s="151" t="n"/>
      <c r="F59" s="152" t="n"/>
      <c r="G59" s="136" t="n"/>
      <c r="H59" s="153" t="n"/>
      <c r="I59" s="154" t="n"/>
      <c r="J59" s="155" t="n"/>
      <c r="K59" s="156" t="n"/>
      <c r="L59" s="138" t="n"/>
      <c r="M59" s="138" t="n"/>
      <c r="N59" s="138" t="n"/>
      <c r="O59" s="155" t="n"/>
      <c r="P59" s="148" t="n"/>
      <c r="Q59" s="145" t="n"/>
    </row>
    <row r="60" ht="93" customHeight="1">
      <c r="A60" s="143" t="n"/>
      <c r="B60" s="143" t="n"/>
      <c r="C60" s="144" t="n">
        <v>4</v>
      </c>
      <c r="D60" s="145" t="n"/>
      <c r="E60" s="151" t="n"/>
      <c r="F60" s="157" t="n"/>
      <c r="G60" s="136" t="n"/>
      <c r="H60" s="153" t="n"/>
      <c r="I60" s="158" t="n"/>
      <c r="J60" s="159" t="n"/>
      <c r="K60" s="160" t="n"/>
      <c r="L60" s="138" t="n"/>
      <c r="M60" s="138" t="n"/>
      <c r="N60" s="161" t="n"/>
      <c r="O60" s="138" t="n"/>
      <c r="P60" s="148" t="n"/>
      <c r="Q60" s="145" t="n"/>
    </row>
    <row r="61" ht="93" customHeight="1">
      <c r="A61" s="143" t="n"/>
      <c r="B61" s="143" t="n"/>
      <c r="C61" s="144" t="n">
        <v>5</v>
      </c>
      <c r="D61" s="162" t="n"/>
      <c r="E61" s="163" t="n"/>
      <c r="F61" s="162" t="n"/>
      <c r="G61" s="164" t="n"/>
      <c r="H61" s="165" t="n"/>
      <c r="I61" s="166" t="n"/>
      <c r="J61" s="167" t="n"/>
      <c r="K61" s="168" t="n"/>
      <c r="L61" s="169" t="n"/>
      <c r="M61" s="168" t="n"/>
      <c r="N61" s="168" t="n"/>
      <c r="O61" s="170" t="n"/>
      <c r="P61" s="171" t="n"/>
      <c r="Q61" s="171" t="n"/>
    </row>
    <row r="62" ht="93" customHeight="1">
      <c r="A62" s="143" t="n"/>
      <c r="B62" s="143" t="n"/>
      <c r="C62" s="144" t="n">
        <v>6</v>
      </c>
      <c r="D62" s="145" t="n"/>
      <c r="E62" s="146" t="n"/>
      <c r="F62" s="145" t="n"/>
      <c r="G62" s="157" t="n"/>
      <c r="H62" s="147" t="n"/>
      <c r="I62" s="172" t="n"/>
      <c r="J62" s="159" t="n"/>
      <c r="K62" s="160" t="n"/>
      <c r="L62" s="173" t="n"/>
      <c r="M62" s="161" t="n"/>
      <c r="N62" s="161" t="n"/>
      <c r="O62" s="174" t="n"/>
      <c r="P62" s="148" t="n"/>
      <c r="Q62" s="148" t="n"/>
    </row>
    <row r="63" ht="93" customHeight="1">
      <c r="A63" s="127" t="n"/>
      <c r="B63" s="175" t="n"/>
      <c r="C63" s="144" t="n">
        <v>7</v>
      </c>
      <c r="D63" s="176" t="n"/>
      <c r="E63" s="177" t="n"/>
      <c r="F63" s="176" t="n"/>
      <c r="G63" s="178" t="n"/>
      <c r="H63" s="179" t="n"/>
      <c r="I63" s="180" t="n"/>
      <c r="J63" s="181" t="n"/>
      <c r="K63" s="182" t="n"/>
      <c r="L63" s="183" t="n"/>
      <c r="M63" s="184" t="n"/>
      <c r="N63" s="184" t="n"/>
      <c r="O63" s="185" t="n"/>
      <c r="P63" s="186" t="n"/>
      <c r="Q63" s="186" t="n"/>
    </row>
    <row r="64" ht="8.25" customHeight="1">
      <c r="A64" s="187" t="n"/>
      <c r="B64" s="188" t="n"/>
      <c r="C64" s="189" t="inlineStr">
        <is>
          <t>※ 인증마크 :</t>
        </is>
      </c>
      <c r="D64" s="190" t="n"/>
      <c r="E64" s="191" t="n"/>
      <c r="F64" s="192" t="n"/>
      <c r="G64" s="193" t="n"/>
      <c r="H64" s="194" t="n"/>
      <c r="I64" s="195" t="n"/>
      <c r="J64" s="195" t="n"/>
      <c r="K64" s="195" t="n"/>
      <c r="L64" s="195" t="n"/>
      <c r="M64" s="195" t="n"/>
      <c r="N64" s="195" t="n"/>
      <c r="O64" s="195" t="n"/>
      <c r="P64" s="196" t="inlineStr">
        <is>
          <t>◎ : 우선(의무) 구매대상</t>
        </is>
      </c>
      <c r="Q64" s="195" t="n"/>
    </row>
    <row r="65" ht="20.25" customHeight="1">
      <c r="E65" s="197" t="n"/>
    </row>
    <row r="66" ht="23.25" customHeight="1">
      <c r="A66" s="57" t="n"/>
      <c r="B66" s="58" t="n"/>
      <c r="C66" s="118" t="inlineStr">
        <is>
          <t xml:space="preserve"> □ 품목명 : </t>
        </is>
      </c>
      <c r="D66" s="59" t="n"/>
      <c r="E66" s="59" t="n"/>
      <c r="G66" s="58" t="n"/>
      <c r="H66" s="58" t="n"/>
      <c r="I66" s="58" t="n"/>
      <c r="J66" s="58" t="n"/>
      <c r="K66" s="58" t="n"/>
      <c r="L66" s="58" t="n"/>
      <c r="M66" s="58" t="n"/>
      <c r="N66" s="58" t="n"/>
      <c r="O66" s="58" t="n"/>
      <c r="P66" s="58" t="n"/>
      <c r="Q66" s="119" t="n"/>
    </row>
    <row r="67" ht="6.95" customHeight="1">
      <c r="A67" s="120" t="n"/>
      <c r="B67" s="120" t="n"/>
      <c r="C67" s="120" t="n"/>
      <c r="D67" s="121" t="n"/>
      <c r="E67" s="121" t="n"/>
      <c r="F67" s="120" t="n"/>
      <c r="G67" s="120" t="n"/>
      <c r="H67" s="120" t="n"/>
      <c r="I67" s="120" t="n"/>
      <c r="J67" s="120" t="n"/>
      <c r="K67" s="120" t="n"/>
      <c r="L67" s="120" t="n"/>
      <c r="M67" s="120" t="n"/>
      <c r="N67" s="120" t="n"/>
      <c r="O67" s="120" t="n"/>
      <c r="P67" s="120" t="n"/>
      <c r="Q67" s="122" t="n"/>
    </row>
    <row r="68" ht="20.1" customHeight="1">
      <c r="A68" s="123" t="n"/>
      <c r="B68" s="123" t="n"/>
      <c r="C68" s="124" t="inlineStr">
        <is>
          <t>구분</t>
        </is>
      </c>
      <c r="D68" s="124" t="inlineStr">
        <is>
          <t>제 조 사</t>
        </is>
      </c>
      <c r="E68" s="125" t="inlineStr">
        <is>
          <t>본  사
소재지</t>
        </is>
      </c>
      <c r="F68" s="124" t="inlineStr">
        <is>
          <t>물품식별번호</t>
        </is>
      </c>
      <c r="G68" s="124" t="inlineStr">
        <is>
          <t>단위</t>
        </is>
      </c>
      <c r="H68" s="125" t="inlineStr">
        <is>
          <t>단   가
(부가세포함)</t>
        </is>
      </c>
      <c r="I68" s="126" t="inlineStr">
        <is>
          <t>인  증  현  황</t>
        </is>
      </c>
      <c r="J68" s="62" t="n"/>
      <c r="K68" s="62" t="n"/>
      <c r="L68" s="62" t="n"/>
      <c r="M68" s="62" t="n"/>
      <c r="N68" s="62" t="n"/>
      <c r="O68" s="63" t="n"/>
      <c r="P68" s="124" t="inlineStr">
        <is>
          <t>외   형   도</t>
        </is>
      </c>
      <c r="Q68" s="124" t="inlineStr">
        <is>
          <t>비   고</t>
        </is>
      </c>
    </row>
    <row r="69" ht="20.25" customHeight="1">
      <c r="A69" s="127" t="n"/>
      <c r="B69" s="127" t="n"/>
      <c r="C69" s="127" t="n"/>
      <c r="D69" s="127" t="n"/>
      <c r="E69" s="127" t="n"/>
      <c r="F69" s="127" t="n"/>
      <c r="G69" s="127" t="n"/>
      <c r="H69" s="127" t="n"/>
      <c r="I69" s="128" t="n"/>
      <c r="J69" s="129" t="n"/>
      <c r="K69" s="129" t="n"/>
      <c r="L69" s="129" t="n"/>
      <c r="M69" s="129" t="n"/>
      <c r="N69" s="129" t="n"/>
      <c r="O69" s="130" t="n"/>
      <c r="P69" s="127" t="n"/>
      <c r="Q69" s="127" t="n"/>
    </row>
    <row r="70" ht="93" customHeight="1">
      <c r="A70" s="131" t="n"/>
      <c r="B70" s="132" t="n"/>
      <c r="C70" s="133" t="n">
        <v>1</v>
      </c>
      <c r="D70" s="134" t="n"/>
      <c r="E70" s="135" t="n"/>
      <c r="F70" s="136" t="n"/>
      <c r="G70" s="136" t="n"/>
      <c r="H70" s="137" t="n"/>
      <c r="I70" s="138" t="n"/>
      <c r="J70" s="139" t="n"/>
      <c r="K70" s="140" t="n"/>
      <c r="L70" s="141" t="n"/>
      <c r="M70" s="138" t="n"/>
      <c r="N70" s="141" t="n"/>
      <c r="O70" s="138" t="n"/>
      <c r="P70" s="142" t="n"/>
      <c r="Q70" s="142" t="n"/>
    </row>
    <row r="71" ht="93" customHeight="1">
      <c r="A71" s="143" t="n"/>
      <c r="B71" s="143" t="n"/>
      <c r="C71" s="144" t="n">
        <v>2</v>
      </c>
      <c r="D71" s="145" t="n"/>
      <c r="E71" s="146" t="n"/>
      <c r="F71" s="145" t="n"/>
      <c r="G71" s="136" t="n"/>
      <c r="H71" s="147" t="n"/>
      <c r="I71" s="138" t="n"/>
      <c r="J71" s="138" t="n"/>
      <c r="K71" s="138" t="n"/>
      <c r="L71" s="138" t="n"/>
      <c r="M71" s="138" t="n"/>
      <c r="N71" s="138" t="n"/>
      <c r="O71" s="138" t="n"/>
      <c r="P71" s="148" t="n"/>
      <c r="Q71" s="149" t="n"/>
    </row>
    <row r="72" ht="93" customHeight="1">
      <c r="A72" s="143" t="n"/>
      <c r="B72" s="143" t="n"/>
      <c r="C72" s="144" t="n">
        <v>3</v>
      </c>
      <c r="D72" s="150" t="n"/>
      <c r="E72" s="151" t="n"/>
      <c r="F72" s="152" t="n"/>
      <c r="G72" s="136" t="n"/>
      <c r="H72" s="153" t="n"/>
      <c r="I72" s="154" t="n"/>
      <c r="J72" s="155" t="n"/>
      <c r="K72" s="156" t="n"/>
      <c r="L72" s="138" t="n"/>
      <c r="M72" s="138" t="n"/>
      <c r="N72" s="138" t="n"/>
      <c r="O72" s="155" t="n"/>
      <c r="P72" s="148" t="n"/>
      <c r="Q72" s="145" t="n"/>
    </row>
    <row r="73" ht="93" customHeight="1">
      <c r="A73" s="143" t="n"/>
      <c r="B73" s="143" t="n"/>
      <c r="C73" s="144" t="n">
        <v>4</v>
      </c>
      <c r="D73" s="145" t="n"/>
      <c r="E73" s="151" t="n"/>
      <c r="F73" s="157" t="n"/>
      <c r="G73" s="136" t="n"/>
      <c r="H73" s="153" t="n"/>
      <c r="I73" s="158" t="n"/>
      <c r="J73" s="159" t="n"/>
      <c r="K73" s="160" t="n"/>
      <c r="L73" s="138" t="n"/>
      <c r="M73" s="138" t="n"/>
      <c r="N73" s="161" t="n"/>
      <c r="O73" s="138" t="n"/>
      <c r="P73" s="148" t="n"/>
      <c r="Q73" s="145" t="n"/>
    </row>
    <row r="74" ht="93" customHeight="1">
      <c r="A74" s="143" t="n"/>
      <c r="B74" s="143" t="n"/>
      <c r="C74" s="144" t="n">
        <v>5</v>
      </c>
      <c r="D74" s="162" t="n"/>
      <c r="E74" s="163" t="n"/>
      <c r="F74" s="162" t="n"/>
      <c r="G74" s="164" t="n"/>
      <c r="H74" s="165" t="n"/>
      <c r="I74" s="166" t="n"/>
      <c r="J74" s="167" t="n"/>
      <c r="K74" s="168" t="n"/>
      <c r="L74" s="169" t="n"/>
      <c r="M74" s="168" t="n"/>
      <c r="N74" s="168" t="n"/>
      <c r="O74" s="170" t="n"/>
      <c r="P74" s="171" t="n"/>
      <c r="Q74" s="171" t="n"/>
    </row>
    <row r="75" ht="93" customHeight="1">
      <c r="A75" s="143" t="n"/>
      <c r="B75" s="143" t="n"/>
      <c r="C75" s="144" t="n">
        <v>6</v>
      </c>
      <c r="D75" s="145" t="n"/>
      <c r="E75" s="146" t="n"/>
      <c r="F75" s="145" t="n"/>
      <c r="G75" s="157" t="n"/>
      <c r="H75" s="147" t="n"/>
      <c r="I75" s="172" t="n"/>
      <c r="J75" s="159" t="n"/>
      <c r="K75" s="160" t="n"/>
      <c r="L75" s="173" t="n"/>
      <c r="M75" s="161" t="n"/>
      <c r="N75" s="161" t="n"/>
      <c r="O75" s="174" t="n"/>
      <c r="P75" s="148" t="n"/>
      <c r="Q75" s="148" t="n"/>
    </row>
    <row r="76" ht="93" customHeight="1">
      <c r="A76" s="127" t="n"/>
      <c r="B76" s="175" t="n"/>
      <c r="C76" s="144" t="n">
        <v>7</v>
      </c>
      <c r="D76" s="176" t="n"/>
      <c r="E76" s="177" t="n"/>
      <c r="F76" s="176" t="n"/>
      <c r="G76" s="178" t="n"/>
      <c r="H76" s="179" t="n"/>
      <c r="I76" s="180" t="n"/>
      <c r="J76" s="181" t="n"/>
      <c r="K76" s="182" t="n"/>
      <c r="L76" s="183" t="n"/>
      <c r="M76" s="184" t="n"/>
      <c r="N76" s="184" t="n"/>
      <c r="O76" s="185" t="n"/>
      <c r="P76" s="186" t="n"/>
      <c r="Q76" s="186" t="n"/>
    </row>
    <row r="77" ht="8.25" customHeight="1">
      <c r="A77" s="187" t="n"/>
      <c r="B77" s="188" t="n"/>
      <c r="C77" s="189" t="inlineStr">
        <is>
          <t>※ 인증마크 :</t>
        </is>
      </c>
      <c r="D77" s="190" t="n"/>
      <c r="E77" s="191" t="n"/>
      <c r="F77" s="192" t="n"/>
      <c r="G77" s="193" t="n"/>
      <c r="H77" s="194" t="n"/>
      <c r="I77" s="195" t="n"/>
      <c r="J77" s="195" t="n"/>
      <c r="K77" s="195" t="n"/>
      <c r="L77" s="195" t="n"/>
      <c r="M77" s="195" t="n"/>
      <c r="N77" s="195" t="n"/>
      <c r="O77" s="195" t="n"/>
      <c r="P77" s="196" t="inlineStr">
        <is>
          <t>◎ : 우선(의무) 구매대상</t>
        </is>
      </c>
      <c r="Q77" s="195" t="n"/>
    </row>
    <row r="78" ht="20.25" customHeight="1">
      <c r="E78" s="197" t="n"/>
    </row>
    <row r="79" ht="23.25" customHeight="1">
      <c r="A79" s="57" t="n"/>
      <c r="B79" s="58" t="n"/>
      <c r="C79" s="118" t="inlineStr">
        <is>
          <t xml:space="preserve"> □ 품목명 : </t>
        </is>
      </c>
      <c r="D79" s="59" t="n"/>
      <c r="E79" s="59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119" t="n"/>
    </row>
    <row r="80" ht="6.95" customHeight="1">
      <c r="A80" s="120" t="n"/>
      <c r="B80" s="120" t="n"/>
      <c r="C80" s="120" t="n"/>
      <c r="D80" s="121" t="n"/>
      <c r="E80" s="121" t="n"/>
      <c r="F80" s="120" t="n"/>
      <c r="G80" s="120" t="n"/>
      <c r="H80" s="120" t="n"/>
      <c r="I80" s="120" t="n"/>
      <c r="J80" s="120" t="n"/>
      <c r="K80" s="120" t="n"/>
      <c r="L80" s="120" t="n"/>
      <c r="M80" s="120" t="n"/>
      <c r="N80" s="120" t="n"/>
      <c r="O80" s="120" t="n"/>
      <c r="P80" s="120" t="n"/>
      <c r="Q80" s="122" t="n"/>
    </row>
    <row r="81" ht="20.1" customHeight="1">
      <c r="A81" s="123" t="n"/>
      <c r="B81" s="123" t="n"/>
      <c r="C81" s="124" t="inlineStr">
        <is>
          <t>구분</t>
        </is>
      </c>
      <c r="D81" s="124" t="inlineStr">
        <is>
          <t>제 조 사</t>
        </is>
      </c>
      <c r="E81" s="125" t="inlineStr">
        <is>
          <t>본  사
소재지</t>
        </is>
      </c>
      <c r="F81" s="124" t="inlineStr">
        <is>
          <t>물품식별번호</t>
        </is>
      </c>
      <c r="G81" s="124" t="inlineStr">
        <is>
          <t>단위</t>
        </is>
      </c>
      <c r="H81" s="125" t="inlineStr">
        <is>
          <t>단   가
(부가세포함)</t>
        </is>
      </c>
      <c r="I81" s="126" t="inlineStr">
        <is>
          <t>인  증  현  황</t>
        </is>
      </c>
      <c r="J81" s="62" t="n"/>
      <c r="K81" s="62" t="n"/>
      <c r="L81" s="62" t="n"/>
      <c r="M81" s="62" t="n"/>
      <c r="N81" s="62" t="n"/>
      <c r="O81" s="63" t="n"/>
      <c r="P81" s="124" t="inlineStr">
        <is>
          <t>외   형   도</t>
        </is>
      </c>
      <c r="Q81" s="124" t="inlineStr">
        <is>
          <t>비   고</t>
        </is>
      </c>
    </row>
    <row r="82" ht="20.25" customHeight="1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8" t="n"/>
      <c r="J82" s="129" t="n"/>
      <c r="K82" s="129" t="n"/>
      <c r="L82" s="129" t="n"/>
      <c r="M82" s="129" t="n"/>
      <c r="N82" s="129" t="n"/>
      <c r="O82" s="130" t="n"/>
      <c r="P82" s="127" t="n"/>
      <c r="Q82" s="127" t="n"/>
    </row>
    <row r="83" ht="93" customHeight="1">
      <c r="A83" s="131" t="n"/>
      <c r="B83" s="132" t="n"/>
      <c r="C83" s="133" t="n">
        <v>1</v>
      </c>
      <c r="D83" s="134" t="n"/>
      <c r="E83" s="135" t="n"/>
      <c r="F83" s="136" t="n"/>
      <c r="G83" s="136" t="n"/>
      <c r="H83" s="137" t="n"/>
      <c r="I83" s="138" t="n"/>
      <c r="J83" s="139" t="n"/>
      <c r="K83" s="140" t="n"/>
      <c r="L83" s="141" t="n"/>
      <c r="M83" s="138" t="n"/>
      <c r="N83" s="141" t="n"/>
      <c r="O83" s="138" t="n"/>
      <c r="P83" s="142" t="n"/>
      <c r="Q83" s="142" t="n"/>
    </row>
    <row r="84" ht="93" customHeight="1">
      <c r="A84" s="143" t="n"/>
      <c r="B84" s="143" t="n"/>
      <c r="C84" s="144" t="n">
        <v>2</v>
      </c>
      <c r="D84" s="145" t="n"/>
      <c r="E84" s="146" t="n"/>
      <c r="F84" s="145" t="n"/>
      <c r="G84" s="136" t="n"/>
      <c r="H84" s="147" t="n"/>
      <c r="I84" s="138" t="n"/>
      <c r="J84" s="138" t="n"/>
      <c r="K84" s="138" t="n"/>
      <c r="L84" s="138" t="n"/>
      <c r="M84" s="138" t="n"/>
      <c r="N84" s="138" t="n"/>
      <c r="O84" s="138" t="n"/>
      <c r="P84" s="148" t="n"/>
      <c r="Q84" s="149" t="n"/>
    </row>
    <row r="85" ht="93" customHeight="1">
      <c r="A85" s="143" t="n"/>
      <c r="B85" s="143" t="n"/>
      <c r="C85" s="144" t="n">
        <v>3</v>
      </c>
      <c r="D85" s="150" t="n"/>
      <c r="E85" s="151" t="n"/>
      <c r="F85" s="152" t="n"/>
      <c r="G85" s="136" t="n"/>
      <c r="H85" s="153" t="n"/>
      <c r="I85" s="154" t="n"/>
      <c r="J85" s="155" t="n"/>
      <c r="K85" s="156" t="n"/>
      <c r="L85" s="138" t="n"/>
      <c r="M85" s="138" t="n"/>
      <c r="N85" s="138" t="n"/>
      <c r="O85" s="155" t="n"/>
      <c r="P85" s="148" t="n"/>
      <c r="Q85" s="145" t="n"/>
    </row>
    <row r="86" ht="93" customHeight="1">
      <c r="A86" s="143" t="n"/>
      <c r="B86" s="143" t="n"/>
      <c r="C86" s="144" t="n">
        <v>4</v>
      </c>
      <c r="D86" s="145" t="n"/>
      <c r="E86" s="151" t="n"/>
      <c r="F86" s="157" t="n"/>
      <c r="G86" s="136" t="n"/>
      <c r="H86" s="153" t="n"/>
      <c r="I86" s="158" t="n"/>
      <c r="J86" s="159" t="n"/>
      <c r="K86" s="160" t="n"/>
      <c r="L86" s="138" t="n"/>
      <c r="M86" s="138" t="n"/>
      <c r="N86" s="161" t="n"/>
      <c r="O86" s="138" t="n"/>
      <c r="P86" s="148" t="n"/>
      <c r="Q86" s="145" t="n"/>
    </row>
    <row r="87" ht="93" customHeight="1">
      <c r="A87" s="143" t="n"/>
      <c r="B87" s="143" t="n"/>
      <c r="C87" s="144" t="n">
        <v>5</v>
      </c>
      <c r="D87" s="162" t="n"/>
      <c r="E87" s="163" t="n"/>
      <c r="F87" s="162" t="n"/>
      <c r="G87" s="164" t="n"/>
      <c r="H87" s="165" t="n"/>
      <c r="I87" s="166" t="n"/>
      <c r="J87" s="167" t="n"/>
      <c r="K87" s="168" t="n"/>
      <c r="L87" s="169" t="n"/>
      <c r="M87" s="168" t="n"/>
      <c r="N87" s="168" t="n"/>
      <c r="O87" s="170" t="n"/>
      <c r="P87" s="171" t="n"/>
      <c r="Q87" s="171" t="n"/>
    </row>
    <row r="88" ht="93" customHeight="1">
      <c r="A88" s="143" t="n"/>
      <c r="B88" s="143" t="n"/>
      <c r="C88" s="144" t="n">
        <v>6</v>
      </c>
      <c r="D88" s="145" t="n"/>
      <c r="E88" s="146" t="n"/>
      <c r="F88" s="145" t="n"/>
      <c r="G88" s="157" t="n"/>
      <c r="H88" s="147" t="n"/>
      <c r="I88" s="172" t="n"/>
      <c r="J88" s="159" t="n"/>
      <c r="K88" s="160" t="n"/>
      <c r="L88" s="173" t="n"/>
      <c r="M88" s="161" t="n"/>
      <c r="N88" s="161" t="n"/>
      <c r="O88" s="174" t="n"/>
      <c r="P88" s="148" t="n"/>
      <c r="Q88" s="148" t="n"/>
    </row>
    <row r="89" ht="93" customHeight="1">
      <c r="A89" s="127" t="n"/>
      <c r="B89" s="175" t="n"/>
      <c r="C89" s="144" t="n">
        <v>7</v>
      </c>
      <c r="D89" s="176" t="n"/>
      <c r="E89" s="177" t="n"/>
      <c r="F89" s="176" t="n"/>
      <c r="G89" s="178" t="n"/>
      <c r="H89" s="179" t="n"/>
      <c r="I89" s="180" t="n"/>
      <c r="J89" s="181" t="n"/>
      <c r="K89" s="182" t="n"/>
      <c r="L89" s="183" t="n"/>
      <c r="M89" s="184" t="n"/>
      <c r="N89" s="184" t="n"/>
      <c r="O89" s="185" t="n"/>
      <c r="P89" s="186" t="n"/>
      <c r="Q89" s="186" t="n"/>
    </row>
    <row r="90" ht="8.25" customHeight="1">
      <c r="A90" s="187" t="n"/>
      <c r="B90" s="188" t="n"/>
      <c r="C90" s="189" t="inlineStr">
        <is>
          <t>※ 인증마크 :</t>
        </is>
      </c>
      <c r="D90" s="190" t="n"/>
      <c r="E90" s="191" t="n"/>
      <c r="F90" s="192" t="n"/>
      <c r="G90" s="193" t="n"/>
      <c r="H90" s="194" t="n"/>
      <c r="I90" s="195" t="n"/>
      <c r="J90" s="195" t="n"/>
      <c r="K90" s="195" t="n"/>
      <c r="L90" s="195" t="n"/>
      <c r="M90" s="195" t="n"/>
      <c r="N90" s="195" t="n"/>
      <c r="O90" s="195" t="n"/>
      <c r="P90" s="196" t="inlineStr">
        <is>
          <t>◎ : 우선(의무) 구매대상</t>
        </is>
      </c>
      <c r="Q90" s="195" t="n"/>
    </row>
    <row r="91" ht="20.25" customHeight="1">
      <c r="E91" s="197" t="n"/>
    </row>
    <row r="92" ht="23.25" customHeight="1">
      <c r="A92" s="57" t="n"/>
      <c r="B92" s="58" t="n"/>
      <c r="C92" s="118" t="inlineStr">
        <is>
          <t xml:space="preserve"> □ 품목명 : </t>
        </is>
      </c>
      <c r="D92" s="59" t="n"/>
      <c r="E92" s="59" t="n"/>
      <c r="G92" s="58" t="n"/>
      <c r="H92" s="58" t="n"/>
      <c r="I92" s="58" t="n"/>
      <c r="J92" s="58" t="n"/>
      <c r="K92" s="58" t="n"/>
      <c r="L92" s="58" t="n"/>
      <c r="M92" s="58" t="n"/>
      <c r="N92" s="58" t="n"/>
      <c r="O92" s="58" t="n"/>
      <c r="P92" s="58" t="n"/>
      <c r="Q92" s="119" t="n"/>
    </row>
    <row r="93" ht="6.95" customHeight="1">
      <c r="A93" s="120" t="n"/>
      <c r="B93" s="120" t="n"/>
      <c r="C93" s="120" t="n"/>
      <c r="D93" s="121" t="n"/>
      <c r="E93" s="121" t="n"/>
      <c r="F93" s="120" t="n"/>
      <c r="G93" s="120" t="n"/>
      <c r="H93" s="120" t="n"/>
      <c r="I93" s="120" t="n"/>
      <c r="J93" s="120" t="n"/>
      <c r="K93" s="120" t="n"/>
      <c r="L93" s="120" t="n"/>
      <c r="M93" s="120" t="n"/>
      <c r="N93" s="120" t="n"/>
      <c r="O93" s="120" t="n"/>
      <c r="P93" s="120" t="n"/>
      <c r="Q93" s="122" t="n"/>
    </row>
    <row r="94" ht="20.1" customHeight="1">
      <c r="A94" s="123" t="n"/>
      <c r="B94" s="123" t="n"/>
      <c r="C94" s="124" t="inlineStr">
        <is>
          <t>구분</t>
        </is>
      </c>
      <c r="D94" s="124" t="inlineStr">
        <is>
          <t>제 조 사</t>
        </is>
      </c>
      <c r="E94" s="125" t="inlineStr">
        <is>
          <t>본  사
소재지</t>
        </is>
      </c>
      <c r="F94" s="124" t="inlineStr">
        <is>
          <t>물품식별번호</t>
        </is>
      </c>
      <c r="G94" s="124" t="inlineStr">
        <is>
          <t>단위</t>
        </is>
      </c>
      <c r="H94" s="125" t="inlineStr">
        <is>
          <t>단   가
(부가세포함)</t>
        </is>
      </c>
      <c r="I94" s="126" t="inlineStr">
        <is>
          <t>인  증  현  황</t>
        </is>
      </c>
      <c r="J94" s="62" t="n"/>
      <c r="K94" s="62" t="n"/>
      <c r="L94" s="62" t="n"/>
      <c r="M94" s="62" t="n"/>
      <c r="N94" s="62" t="n"/>
      <c r="O94" s="63" t="n"/>
      <c r="P94" s="124" t="inlineStr">
        <is>
          <t>외   형   도</t>
        </is>
      </c>
      <c r="Q94" s="124" t="inlineStr">
        <is>
          <t>비   고</t>
        </is>
      </c>
    </row>
    <row r="95" ht="20.25" customHeight="1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8" t="n"/>
      <c r="J95" s="129" t="n"/>
      <c r="K95" s="129" t="n"/>
      <c r="L95" s="129" t="n"/>
      <c r="M95" s="129" t="n"/>
      <c r="N95" s="129" t="n"/>
      <c r="O95" s="130" t="n"/>
      <c r="P95" s="127" t="n"/>
      <c r="Q95" s="127" t="n"/>
    </row>
    <row r="96" ht="93" customHeight="1">
      <c r="A96" s="131" t="n"/>
      <c r="B96" s="132" t="n"/>
      <c r="C96" s="133" t="n">
        <v>1</v>
      </c>
      <c r="D96" s="134" t="n"/>
      <c r="E96" s="135" t="n"/>
      <c r="F96" s="136" t="n"/>
      <c r="G96" s="136" t="n"/>
      <c r="H96" s="137" t="n"/>
      <c r="I96" s="138" t="n"/>
      <c r="J96" s="139" t="n"/>
      <c r="K96" s="140" t="n"/>
      <c r="L96" s="141" t="n"/>
      <c r="M96" s="138" t="n"/>
      <c r="N96" s="141" t="n"/>
      <c r="O96" s="138" t="n"/>
      <c r="P96" s="142" t="n"/>
      <c r="Q96" s="142" t="n"/>
    </row>
    <row r="97" ht="93" customHeight="1">
      <c r="A97" s="143" t="n"/>
      <c r="B97" s="143" t="n"/>
      <c r="C97" s="144" t="n">
        <v>2</v>
      </c>
      <c r="D97" s="145" t="n"/>
      <c r="E97" s="146" t="n"/>
      <c r="F97" s="145" t="n"/>
      <c r="G97" s="136" t="n"/>
      <c r="H97" s="147" t="n"/>
      <c r="I97" s="138" t="n"/>
      <c r="J97" s="138" t="n"/>
      <c r="K97" s="138" t="n"/>
      <c r="L97" s="138" t="n"/>
      <c r="M97" s="138" t="n"/>
      <c r="N97" s="138" t="n"/>
      <c r="O97" s="138" t="n"/>
      <c r="P97" s="148" t="n"/>
      <c r="Q97" s="149" t="n"/>
    </row>
    <row r="98" ht="93" customHeight="1">
      <c r="A98" s="143" t="n"/>
      <c r="B98" s="143" t="n"/>
      <c r="C98" s="144" t="n">
        <v>3</v>
      </c>
      <c r="D98" s="150" t="n"/>
      <c r="E98" s="151" t="n"/>
      <c r="F98" s="152" t="n"/>
      <c r="G98" s="136" t="n"/>
      <c r="H98" s="153" t="n"/>
      <c r="I98" s="154" t="n"/>
      <c r="J98" s="155" t="n"/>
      <c r="K98" s="156" t="n"/>
      <c r="L98" s="138" t="n"/>
      <c r="M98" s="138" t="n"/>
      <c r="N98" s="138" t="n"/>
      <c r="O98" s="155" t="n"/>
      <c r="P98" s="148" t="n"/>
      <c r="Q98" s="145" t="n"/>
    </row>
    <row r="99" ht="93" customHeight="1">
      <c r="A99" s="143" t="n"/>
      <c r="B99" s="143" t="n"/>
      <c r="C99" s="144" t="n">
        <v>4</v>
      </c>
      <c r="D99" s="145" t="n"/>
      <c r="E99" s="151" t="n"/>
      <c r="F99" s="157" t="n"/>
      <c r="G99" s="136" t="n"/>
      <c r="H99" s="153" t="n"/>
      <c r="I99" s="158" t="n"/>
      <c r="J99" s="159" t="n"/>
      <c r="K99" s="160" t="n"/>
      <c r="L99" s="138" t="n"/>
      <c r="M99" s="138" t="n"/>
      <c r="N99" s="161" t="n"/>
      <c r="O99" s="138" t="n"/>
      <c r="P99" s="148" t="n"/>
      <c r="Q99" s="145" t="n"/>
    </row>
    <row r="100" ht="93" customHeight="1">
      <c r="A100" s="143" t="n"/>
      <c r="B100" s="143" t="n"/>
      <c r="C100" s="144" t="n">
        <v>5</v>
      </c>
      <c r="D100" s="162" t="n"/>
      <c r="E100" s="163" t="n"/>
      <c r="F100" s="162" t="n"/>
      <c r="G100" s="164" t="n"/>
      <c r="H100" s="165" t="n"/>
      <c r="I100" s="166" t="n"/>
      <c r="J100" s="167" t="n"/>
      <c r="K100" s="168" t="n"/>
      <c r="L100" s="169" t="n"/>
      <c r="M100" s="168" t="n"/>
      <c r="N100" s="168" t="n"/>
      <c r="O100" s="170" t="n"/>
      <c r="P100" s="171" t="n"/>
      <c r="Q100" s="171" t="n"/>
    </row>
    <row r="101" ht="93" customHeight="1">
      <c r="A101" s="143" t="n"/>
      <c r="B101" s="143" t="n"/>
      <c r="C101" s="144" t="n">
        <v>6</v>
      </c>
      <c r="D101" s="145" t="n"/>
      <c r="E101" s="146" t="n"/>
      <c r="F101" s="145" t="n"/>
      <c r="G101" s="157" t="n"/>
      <c r="H101" s="147" t="n"/>
      <c r="I101" s="172" t="n"/>
      <c r="J101" s="159" t="n"/>
      <c r="K101" s="160" t="n"/>
      <c r="L101" s="173" t="n"/>
      <c r="M101" s="161" t="n"/>
      <c r="N101" s="161" t="n"/>
      <c r="O101" s="174" t="n"/>
      <c r="P101" s="148" t="n"/>
      <c r="Q101" s="148" t="n"/>
    </row>
    <row r="102" ht="93" customHeight="1">
      <c r="A102" s="127" t="n"/>
      <c r="B102" s="175" t="n"/>
      <c r="C102" s="144" t="n">
        <v>7</v>
      </c>
      <c r="D102" s="176" t="n"/>
      <c r="E102" s="177" t="n"/>
      <c r="F102" s="176" t="n"/>
      <c r="G102" s="178" t="n"/>
      <c r="H102" s="179" t="n"/>
      <c r="I102" s="180" t="n"/>
      <c r="J102" s="181" t="n"/>
      <c r="K102" s="182" t="n"/>
      <c r="L102" s="183" t="n"/>
      <c r="M102" s="184" t="n"/>
      <c r="N102" s="184" t="n"/>
      <c r="O102" s="185" t="n"/>
      <c r="P102" s="186" t="n"/>
      <c r="Q102" s="186" t="n"/>
    </row>
    <row r="103" ht="8.25" customHeight="1">
      <c r="A103" s="187" t="n"/>
      <c r="B103" s="188" t="n"/>
      <c r="C103" s="189" t="inlineStr">
        <is>
          <t>※ 인증마크 :</t>
        </is>
      </c>
      <c r="D103" s="190" t="n"/>
      <c r="E103" s="191" t="n"/>
      <c r="F103" s="192" t="n"/>
      <c r="G103" s="193" t="n"/>
      <c r="H103" s="194" t="n"/>
      <c r="I103" s="195" t="n"/>
      <c r="J103" s="195" t="n"/>
      <c r="K103" s="195" t="n"/>
      <c r="L103" s="195" t="n"/>
      <c r="M103" s="195" t="n"/>
      <c r="N103" s="195" t="n"/>
      <c r="O103" s="195" t="n"/>
      <c r="P103" s="196" t="inlineStr">
        <is>
          <t>◎ : 우선(의무) 구매대상</t>
        </is>
      </c>
      <c r="Q103" s="195" t="n"/>
    </row>
    <row r="104" ht="20.25" customHeight="1">
      <c r="E104" s="197" t="n"/>
    </row>
    <row r="105" ht="23.25" customHeight="1">
      <c r="A105" s="57" t="n"/>
      <c r="B105" s="58" t="n"/>
      <c r="C105" s="118" t="inlineStr">
        <is>
          <t xml:space="preserve"> □ 품목명 : </t>
        </is>
      </c>
      <c r="D105" s="59" t="n"/>
      <c r="E105" s="59" t="n"/>
      <c r="G105" s="58" t="n"/>
      <c r="H105" s="58" t="n"/>
      <c r="I105" s="58" t="n"/>
      <c r="J105" s="58" t="n"/>
      <c r="K105" s="58" t="n"/>
      <c r="L105" s="58" t="n"/>
      <c r="M105" s="58" t="n"/>
      <c r="N105" s="58" t="n"/>
      <c r="O105" s="58" t="n"/>
      <c r="P105" s="58" t="n"/>
      <c r="Q105" s="119" t="n"/>
    </row>
    <row r="106" ht="6.95" customHeight="1">
      <c r="A106" s="120" t="n"/>
      <c r="B106" s="120" t="n"/>
      <c r="C106" s="120" t="n"/>
      <c r="D106" s="121" t="n"/>
      <c r="E106" s="121" t="n"/>
      <c r="F106" s="120" t="n"/>
      <c r="G106" s="120" t="n"/>
      <c r="H106" s="120" t="n"/>
      <c r="I106" s="120" t="n"/>
      <c r="J106" s="120" t="n"/>
      <c r="K106" s="120" t="n"/>
      <c r="L106" s="120" t="n"/>
      <c r="M106" s="120" t="n"/>
      <c r="N106" s="120" t="n"/>
      <c r="O106" s="120" t="n"/>
      <c r="P106" s="120" t="n"/>
      <c r="Q106" s="122" t="n"/>
    </row>
    <row r="107" ht="20.1" customHeight="1">
      <c r="A107" s="123" t="n"/>
      <c r="B107" s="123" t="n"/>
      <c r="C107" s="124" t="inlineStr">
        <is>
          <t>구분</t>
        </is>
      </c>
      <c r="D107" s="124" t="inlineStr">
        <is>
          <t>제 조 사</t>
        </is>
      </c>
      <c r="E107" s="125" t="inlineStr">
        <is>
          <t>본  사
소재지</t>
        </is>
      </c>
      <c r="F107" s="124" t="inlineStr">
        <is>
          <t>물품식별번호</t>
        </is>
      </c>
      <c r="G107" s="124" t="inlineStr">
        <is>
          <t>단위</t>
        </is>
      </c>
      <c r="H107" s="125" t="inlineStr">
        <is>
          <t>단   가
(부가세포함)</t>
        </is>
      </c>
      <c r="I107" s="126" t="inlineStr">
        <is>
          <t>인  증  현  황</t>
        </is>
      </c>
      <c r="J107" s="62" t="n"/>
      <c r="K107" s="62" t="n"/>
      <c r="L107" s="62" t="n"/>
      <c r="M107" s="62" t="n"/>
      <c r="N107" s="62" t="n"/>
      <c r="O107" s="63" t="n"/>
      <c r="P107" s="124" t="inlineStr">
        <is>
          <t>외   형   도</t>
        </is>
      </c>
      <c r="Q107" s="124" t="inlineStr">
        <is>
          <t>비   고</t>
        </is>
      </c>
    </row>
    <row r="108" ht="20.25" customHeight="1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8" t="n"/>
      <c r="J108" s="129" t="n"/>
      <c r="K108" s="129" t="n"/>
      <c r="L108" s="129" t="n"/>
      <c r="M108" s="129" t="n"/>
      <c r="N108" s="129" t="n"/>
      <c r="O108" s="130" t="n"/>
      <c r="P108" s="127" t="n"/>
      <c r="Q108" s="127" t="n"/>
    </row>
    <row r="109" ht="93" customHeight="1">
      <c r="A109" s="131" t="n"/>
      <c r="B109" s="132" t="n"/>
      <c r="C109" s="133" t="n">
        <v>1</v>
      </c>
      <c r="D109" s="134" t="n"/>
      <c r="E109" s="135" t="n"/>
      <c r="F109" s="136" t="n"/>
      <c r="G109" s="136" t="n"/>
      <c r="H109" s="137" t="n"/>
      <c r="I109" s="138" t="n"/>
      <c r="J109" s="139" t="n"/>
      <c r="K109" s="140" t="n"/>
      <c r="L109" s="141" t="n"/>
      <c r="M109" s="138" t="n"/>
      <c r="N109" s="141" t="n"/>
      <c r="O109" s="138" t="n"/>
      <c r="P109" s="142" t="n"/>
      <c r="Q109" s="142" t="n"/>
    </row>
    <row r="110" ht="93" customHeight="1">
      <c r="A110" s="143" t="n"/>
      <c r="B110" s="143" t="n"/>
      <c r="C110" s="144" t="n">
        <v>2</v>
      </c>
      <c r="D110" s="145" t="n"/>
      <c r="E110" s="146" t="n"/>
      <c r="F110" s="145" t="n"/>
      <c r="G110" s="136" t="n"/>
      <c r="H110" s="147" t="n"/>
      <c r="I110" s="138" t="n"/>
      <c r="J110" s="138" t="n"/>
      <c r="K110" s="138" t="n"/>
      <c r="L110" s="138" t="n"/>
      <c r="M110" s="138" t="n"/>
      <c r="N110" s="138" t="n"/>
      <c r="O110" s="138" t="n"/>
      <c r="P110" s="148" t="n"/>
      <c r="Q110" s="149" t="n"/>
    </row>
    <row r="111" ht="93" customHeight="1">
      <c r="A111" s="143" t="n"/>
      <c r="B111" s="143" t="n"/>
      <c r="C111" s="144" t="n">
        <v>3</v>
      </c>
      <c r="D111" s="150" t="n"/>
      <c r="E111" s="151" t="n"/>
      <c r="F111" s="152" t="n"/>
      <c r="G111" s="136" t="n"/>
      <c r="H111" s="153" t="n"/>
      <c r="I111" s="154" t="n"/>
      <c r="J111" s="155" t="n"/>
      <c r="K111" s="156" t="n"/>
      <c r="L111" s="138" t="n"/>
      <c r="M111" s="138" t="n"/>
      <c r="N111" s="138" t="n"/>
      <c r="O111" s="155" t="n"/>
      <c r="P111" s="148" t="n"/>
      <c r="Q111" s="145" t="n"/>
    </row>
    <row r="112" ht="93" customHeight="1">
      <c r="A112" s="143" t="n"/>
      <c r="B112" s="143" t="n"/>
      <c r="C112" s="144" t="n">
        <v>4</v>
      </c>
      <c r="D112" s="145" t="n"/>
      <c r="E112" s="151" t="n"/>
      <c r="F112" s="157" t="n"/>
      <c r="G112" s="136" t="n"/>
      <c r="H112" s="153" t="n"/>
      <c r="I112" s="158" t="n"/>
      <c r="J112" s="159" t="n"/>
      <c r="K112" s="160" t="n"/>
      <c r="L112" s="138" t="n"/>
      <c r="M112" s="138" t="n"/>
      <c r="N112" s="161" t="n"/>
      <c r="O112" s="138" t="n"/>
      <c r="P112" s="148" t="n"/>
      <c r="Q112" s="145" t="n"/>
    </row>
    <row r="113" ht="93" customHeight="1">
      <c r="A113" s="143" t="n"/>
      <c r="B113" s="143" t="n"/>
      <c r="C113" s="144" t="n">
        <v>5</v>
      </c>
      <c r="D113" s="162" t="n"/>
      <c r="E113" s="163" t="n"/>
      <c r="F113" s="162" t="n"/>
      <c r="G113" s="164" t="n"/>
      <c r="H113" s="165" t="n"/>
      <c r="I113" s="166" t="n"/>
      <c r="J113" s="167" t="n"/>
      <c r="K113" s="168" t="n"/>
      <c r="L113" s="169" t="n"/>
      <c r="M113" s="168" t="n"/>
      <c r="N113" s="168" t="n"/>
      <c r="O113" s="170" t="n"/>
      <c r="P113" s="171" t="n"/>
      <c r="Q113" s="171" t="n"/>
    </row>
    <row r="114" ht="93" customHeight="1">
      <c r="A114" s="143" t="n"/>
      <c r="B114" s="143" t="n"/>
      <c r="C114" s="144" t="n">
        <v>6</v>
      </c>
      <c r="D114" s="145" t="n"/>
      <c r="E114" s="146" t="n"/>
      <c r="F114" s="145" t="n"/>
      <c r="G114" s="157" t="n"/>
      <c r="H114" s="147" t="n"/>
      <c r="I114" s="172" t="n"/>
      <c r="J114" s="159" t="n"/>
      <c r="K114" s="160" t="n"/>
      <c r="L114" s="173" t="n"/>
      <c r="M114" s="161" t="n"/>
      <c r="N114" s="161" t="n"/>
      <c r="O114" s="174" t="n"/>
      <c r="P114" s="148" t="n"/>
      <c r="Q114" s="148" t="n"/>
    </row>
    <row r="115" ht="93" customHeight="1">
      <c r="A115" s="127" t="n"/>
      <c r="B115" s="175" t="n"/>
      <c r="C115" s="144" t="n">
        <v>7</v>
      </c>
      <c r="D115" s="176" t="n"/>
      <c r="E115" s="177" t="n"/>
      <c r="F115" s="176" t="n"/>
      <c r="G115" s="178" t="n"/>
      <c r="H115" s="179" t="n"/>
      <c r="I115" s="180" t="n"/>
      <c r="J115" s="181" t="n"/>
      <c r="K115" s="182" t="n"/>
      <c r="L115" s="183" t="n"/>
      <c r="M115" s="184" t="n"/>
      <c r="N115" s="184" t="n"/>
      <c r="O115" s="185" t="n"/>
      <c r="P115" s="186" t="n"/>
      <c r="Q115" s="186" t="n"/>
    </row>
    <row r="116" ht="8.25" customHeight="1">
      <c r="A116" s="187" t="n"/>
      <c r="B116" s="188" t="n"/>
      <c r="C116" s="189" t="inlineStr">
        <is>
          <t>※ 인증마크 :</t>
        </is>
      </c>
      <c r="D116" s="190" t="n"/>
      <c r="E116" s="191" t="n"/>
      <c r="F116" s="192" t="n"/>
      <c r="G116" s="193" t="n"/>
      <c r="H116" s="194" t="n"/>
      <c r="I116" s="195" t="n"/>
      <c r="J116" s="195" t="n"/>
      <c r="K116" s="195" t="n"/>
      <c r="L116" s="195" t="n"/>
      <c r="M116" s="195" t="n"/>
      <c r="N116" s="195" t="n"/>
      <c r="O116" s="195" t="n"/>
      <c r="P116" s="196" t="inlineStr">
        <is>
          <t>◎ : 우선(의무) 구매대상</t>
        </is>
      </c>
      <c r="Q116" s="195" t="n"/>
    </row>
    <row r="117" ht="20.25" customHeight="1">
      <c r="E117" s="197" t="n"/>
    </row>
    <row r="118" ht="23.25" customHeight="1">
      <c r="A118" s="57" t="n"/>
      <c r="B118" s="58" t="n"/>
      <c r="C118" s="118" t="inlineStr">
        <is>
          <t xml:space="preserve"> □ 품목명 : </t>
        </is>
      </c>
      <c r="D118" s="59" t="n"/>
      <c r="E118" s="59" t="n"/>
      <c r="G118" s="58" t="n"/>
      <c r="H118" s="58" t="n"/>
      <c r="I118" s="58" t="n"/>
      <c r="J118" s="58" t="n"/>
      <c r="K118" s="58" t="n"/>
      <c r="L118" s="58" t="n"/>
      <c r="M118" s="58" t="n"/>
      <c r="N118" s="58" t="n"/>
      <c r="O118" s="58" t="n"/>
      <c r="P118" s="58" t="n"/>
      <c r="Q118" s="119" t="n"/>
    </row>
    <row r="119" ht="6.95" customHeight="1">
      <c r="A119" s="120" t="n"/>
      <c r="B119" s="120" t="n"/>
      <c r="C119" s="120" t="n"/>
      <c r="D119" s="121" t="n"/>
      <c r="E119" s="121" t="n"/>
      <c r="F119" s="120" t="n"/>
      <c r="G119" s="120" t="n"/>
      <c r="H119" s="120" t="n"/>
      <c r="I119" s="120" t="n"/>
      <c r="J119" s="120" t="n"/>
      <c r="K119" s="120" t="n"/>
      <c r="L119" s="120" t="n"/>
      <c r="M119" s="120" t="n"/>
      <c r="N119" s="120" t="n"/>
      <c r="O119" s="120" t="n"/>
      <c r="P119" s="120" t="n"/>
      <c r="Q119" s="122" t="n"/>
    </row>
    <row r="120" ht="20.1" customHeight="1">
      <c r="A120" s="123" t="n"/>
      <c r="B120" s="123" t="n"/>
      <c r="C120" s="124" t="inlineStr">
        <is>
          <t>구분</t>
        </is>
      </c>
      <c r="D120" s="124" t="inlineStr">
        <is>
          <t>제 조 사</t>
        </is>
      </c>
      <c r="E120" s="125" t="inlineStr">
        <is>
          <t>본  사
소재지</t>
        </is>
      </c>
      <c r="F120" s="124" t="inlineStr">
        <is>
          <t>물품식별번호</t>
        </is>
      </c>
      <c r="G120" s="124" t="inlineStr">
        <is>
          <t>단위</t>
        </is>
      </c>
      <c r="H120" s="125" t="inlineStr">
        <is>
          <t>단   가
(부가세포함)</t>
        </is>
      </c>
      <c r="I120" s="126" t="inlineStr">
        <is>
          <t>인  증  현  황</t>
        </is>
      </c>
      <c r="J120" s="62" t="n"/>
      <c r="K120" s="62" t="n"/>
      <c r="L120" s="62" t="n"/>
      <c r="M120" s="62" t="n"/>
      <c r="N120" s="62" t="n"/>
      <c r="O120" s="63" t="n"/>
      <c r="P120" s="124" t="inlineStr">
        <is>
          <t>외   형   도</t>
        </is>
      </c>
      <c r="Q120" s="124" t="inlineStr">
        <is>
          <t>비   고</t>
        </is>
      </c>
    </row>
    <row r="121" ht="20.25" customHeight="1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8" t="n"/>
      <c r="J121" s="129" t="n"/>
      <c r="K121" s="129" t="n"/>
      <c r="L121" s="129" t="n"/>
      <c r="M121" s="129" t="n"/>
      <c r="N121" s="129" t="n"/>
      <c r="O121" s="130" t="n"/>
      <c r="P121" s="127" t="n"/>
      <c r="Q121" s="127" t="n"/>
    </row>
    <row r="122" ht="93" customHeight="1">
      <c r="A122" s="131" t="n"/>
      <c r="B122" s="132" t="n"/>
      <c r="C122" s="133" t="n">
        <v>1</v>
      </c>
      <c r="D122" s="134" t="n"/>
      <c r="E122" s="135" t="n"/>
      <c r="F122" s="136" t="n"/>
      <c r="G122" s="136" t="n"/>
      <c r="H122" s="137" t="n"/>
      <c r="I122" s="138" t="n"/>
      <c r="J122" s="139" t="n"/>
      <c r="K122" s="140" t="n"/>
      <c r="L122" s="141" t="n"/>
      <c r="M122" s="138" t="n"/>
      <c r="N122" s="141" t="n"/>
      <c r="O122" s="138" t="n"/>
      <c r="P122" s="142" t="n"/>
      <c r="Q122" s="142" t="n"/>
    </row>
    <row r="123" ht="93" customHeight="1">
      <c r="A123" s="143" t="n"/>
      <c r="B123" s="143" t="n"/>
      <c r="C123" s="144" t="n">
        <v>2</v>
      </c>
      <c r="D123" s="145" t="n"/>
      <c r="E123" s="146" t="n"/>
      <c r="F123" s="145" t="n"/>
      <c r="G123" s="136" t="n"/>
      <c r="H123" s="147" t="n"/>
      <c r="I123" s="138" t="n"/>
      <c r="J123" s="138" t="n"/>
      <c r="K123" s="138" t="n"/>
      <c r="L123" s="138" t="n"/>
      <c r="M123" s="138" t="n"/>
      <c r="N123" s="138" t="n"/>
      <c r="O123" s="138" t="n"/>
      <c r="P123" s="148" t="n"/>
      <c r="Q123" s="149" t="n"/>
    </row>
    <row r="124" ht="93" customHeight="1">
      <c r="A124" s="143" t="n"/>
      <c r="B124" s="143" t="n"/>
      <c r="C124" s="144" t="n">
        <v>3</v>
      </c>
      <c r="D124" s="150" t="n"/>
      <c r="E124" s="151" t="n"/>
      <c r="F124" s="152" t="n"/>
      <c r="G124" s="136" t="n"/>
      <c r="H124" s="153" t="n"/>
      <c r="I124" s="154" t="n"/>
      <c r="J124" s="155" t="n"/>
      <c r="K124" s="156" t="n"/>
      <c r="L124" s="138" t="n"/>
      <c r="M124" s="138" t="n"/>
      <c r="N124" s="138" t="n"/>
      <c r="O124" s="155" t="n"/>
      <c r="P124" s="148" t="n"/>
      <c r="Q124" s="145" t="n"/>
    </row>
    <row r="125" ht="93" customHeight="1">
      <c r="A125" s="143" t="n"/>
      <c r="B125" s="143" t="n"/>
      <c r="C125" s="144" t="n">
        <v>4</v>
      </c>
      <c r="D125" s="145" t="n"/>
      <c r="E125" s="151" t="n"/>
      <c r="F125" s="157" t="n"/>
      <c r="G125" s="136" t="n"/>
      <c r="H125" s="153" t="n"/>
      <c r="I125" s="158" t="n"/>
      <c r="J125" s="159" t="n"/>
      <c r="K125" s="160" t="n"/>
      <c r="L125" s="138" t="n"/>
      <c r="M125" s="138" t="n"/>
      <c r="N125" s="161" t="n"/>
      <c r="O125" s="138" t="n"/>
      <c r="P125" s="148" t="n"/>
      <c r="Q125" s="145" t="n"/>
    </row>
    <row r="126" ht="93" customHeight="1">
      <c r="A126" s="143" t="n"/>
      <c r="B126" s="143" t="n"/>
      <c r="C126" s="144" t="n">
        <v>5</v>
      </c>
      <c r="D126" s="162" t="n"/>
      <c r="E126" s="163" t="n"/>
      <c r="F126" s="162" t="n"/>
      <c r="G126" s="164" t="n"/>
      <c r="H126" s="165" t="n"/>
      <c r="I126" s="166" t="n"/>
      <c r="J126" s="167" t="n"/>
      <c r="K126" s="168" t="n"/>
      <c r="L126" s="169" t="n"/>
      <c r="M126" s="168" t="n"/>
      <c r="N126" s="168" t="n"/>
      <c r="O126" s="170" t="n"/>
      <c r="P126" s="171" t="n"/>
      <c r="Q126" s="171" t="n"/>
    </row>
    <row r="127" ht="93" customHeight="1">
      <c r="A127" s="143" t="n"/>
      <c r="B127" s="143" t="n"/>
      <c r="C127" s="144" t="n">
        <v>6</v>
      </c>
      <c r="D127" s="145" t="n"/>
      <c r="E127" s="146" t="n"/>
      <c r="F127" s="145" t="n"/>
      <c r="G127" s="157" t="n"/>
      <c r="H127" s="147" t="n"/>
      <c r="I127" s="172" t="n"/>
      <c r="J127" s="159" t="n"/>
      <c r="K127" s="160" t="n"/>
      <c r="L127" s="173" t="n"/>
      <c r="M127" s="161" t="n"/>
      <c r="N127" s="161" t="n"/>
      <c r="O127" s="174" t="n"/>
      <c r="P127" s="148" t="n"/>
      <c r="Q127" s="148" t="n"/>
    </row>
    <row r="128" ht="93" customHeight="1">
      <c r="A128" s="127" t="n"/>
      <c r="B128" s="175" t="n"/>
      <c r="C128" s="144" t="n">
        <v>7</v>
      </c>
      <c r="D128" s="176" t="n"/>
      <c r="E128" s="177" t="n"/>
      <c r="F128" s="176" t="n"/>
      <c r="G128" s="178" t="n"/>
      <c r="H128" s="179" t="n"/>
      <c r="I128" s="180" t="n"/>
      <c r="J128" s="181" t="n"/>
      <c r="K128" s="182" t="n"/>
      <c r="L128" s="183" t="n"/>
      <c r="M128" s="184" t="n"/>
      <c r="N128" s="184" t="n"/>
      <c r="O128" s="185" t="n"/>
      <c r="P128" s="186" t="n"/>
      <c r="Q128" s="186" t="n"/>
    </row>
    <row r="129" ht="8.25" customHeight="1">
      <c r="A129" s="187" t="n"/>
      <c r="B129" s="188" t="n"/>
      <c r="C129" s="189" t="inlineStr">
        <is>
          <t>※ 인증마크 :</t>
        </is>
      </c>
      <c r="D129" s="190" t="n"/>
      <c r="E129" s="191" t="n"/>
      <c r="F129" s="192" t="n"/>
      <c r="G129" s="193" t="n"/>
      <c r="H129" s="194" t="n"/>
      <c r="I129" s="195" t="n"/>
      <c r="J129" s="195" t="n"/>
      <c r="K129" s="195" t="n"/>
      <c r="L129" s="195" t="n"/>
      <c r="M129" s="195" t="n"/>
      <c r="N129" s="195" t="n"/>
      <c r="O129" s="195" t="n"/>
      <c r="P129" s="196" t="inlineStr">
        <is>
          <t>◎ : 우선(의무) 구매대상</t>
        </is>
      </c>
      <c r="Q129" s="195" t="n"/>
    </row>
    <row r="130" ht="20.25" customHeight="1">
      <c r="E130" s="197" t="n"/>
    </row>
    <row r="131" ht="23.25" customHeight="1">
      <c r="A131" s="57" t="n"/>
      <c r="B131" s="58" t="n"/>
      <c r="C131" s="118" t="inlineStr">
        <is>
          <t xml:space="preserve"> □ 품목명 : </t>
        </is>
      </c>
      <c r="D131" s="59" t="n"/>
      <c r="E131" s="59" t="n"/>
      <c r="G131" s="58" t="n"/>
      <c r="H131" s="58" t="n"/>
      <c r="I131" s="58" t="n"/>
      <c r="J131" s="58" t="n"/>
      <c r="K131" s="58" t="n"/>
      <c r="L131" s="58" t="n"/>
      <c r="M131" s="58" t="n"/>
      <c r="N131" s="58" t="n"/>
      <c r="O131" s="58" t="n"/>
      <c r="P131" s="58" t="n"/>
      <c r="Q131" s="119" t="n"/>
    </row>
    <row r="132" ht="6.95" customHeight="1">
      <c r="A132" s="120" t="n"/>
      <c r="B132" s="120" t="n"/>
      <c r="C132" s="120" t="n"/>
      <c r="D132" s="121" t="n"/>
      <c r="E132" s="121" t="n"/>
      <c r="F132" s="120" t="n"/>
      <c r="G132" s="120" t="n"/>
      <c r="H132" s="120" t="n"/>
      <c r="I132" s="120" t="n"/>
      <c r="J132" s="120" t="n"/>
      <c r="K132" s="120" t="n"/>
      <c r="L132" s="120" t="n"/>
      <c r="M132" s="120" t="n"/>
      <c r="N132" s="120" t="n"/>
      <c r="O132" s="120" t="n"/>
      <c r="P132" s="120" t="n"/>
      <c r="Q132" s="122" t="n"/>
    </row>
    <row r="133" ht="20.1" customHeight="1">
      <c r="A133" s="123" t="n"/>
      <c r="B133" s="123" t="n"/>
      <c r="C133" s="124" t="inlineStr">
        <is>
          <t>구분</t>
        </is>
      </c>
      <c r="D133" s="124" t="inlineStr">
        <is>
          <t>제 조 사</t>
        </is>
      </c>
      <c r="E133" s="125" t="inlineStr">
        <is>
          <t>본  사
소재지</t>
        </is>
      </c>
      <c r="F133" s="124" t="inlineStr">
        <is>
          <t>물품식별번호</t>
        </is>
      </c>
      <c r="G133" s="124" t="inlineStr">
        <is>
          <t>단위</t>
        </is>
      </c>
      <c r="H133" s="125" t="inlineStr">
        <is>
          <t>단   가
(부가세포함)</t>
        </is>
      </c>
      <c r="I133" s="126" t="inlineStr">
        <is>
          <t>인  증  현  황</t>
        </is>
      </c>
      <c r="J133" s="62" t="n"/>
      <c r="K133" s="62" t="n"/>
      <c r="L133" s="62" t="n"/>
      <c r="M133" s="62" t="n"/>
      <c r="N133" s="62" t="n"/>
      <c r="O133" s="63" t="n"/>
      <c r="P133" s="124" t="inlineStr">
        <is>
          <t>외   형   도</t>
        </is>
      </c>
      <c r="Q133" s="124" t="inlineStr">
        <is>
          <t>비   고</t>
        </is>
      </c>
    </row>
    <row r="134" ht="20.25" customHeight="1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8" t="n"/>
      <c r="J134" s="129" t="n"/>
      <c r="K134" s="129" t="n"/>
      <c r="L134" s="129" t="n"/>
      <c r="M134" s="129" t="n"/>
      <c r="N134" s="129" t="n"/>
      <c r="O134" s="130" t="n"/>
      <c r="P134" s="127" t="n"/>
      <c r="Q134" s="127" t="n"/>
    </row>
    <row r="135" ht="93" customHeight="1">
      <c r="A135" s="131" t="n"/>
      <c r="B135" s="132" t="n"/>
      <c r="C135" s="133" t="n">
        <v>1</v>
      </c>
      <c r="D135" s="134" t="n"/>
      <c r="E135" s="135" t="n"/>
      <c r="F135" s="136" t="n"/>
      <c r="G135" s="136" t="n"/>
      <c r="H135" s="137" t="n"/>
      <c r="I135" s="138" t="n"/>
      <c r="J135" s="139" t="n"/>
      <c r="K135" s="140" t="n"/>
      <c r="L135" s="141" t="n"/>
      <c r="M135" s="138" t="n"/>
      <c r="N135" s="141" t="n"/>
      <c r="O135" s="138" t="n"/>
      <c r="P135" s="142" t="n"/>
      <c r="Q135" s="142" t="n"/>
    </row>
    <row r="136" ht="93" customHeight="1">
      <c r="A136" s="143" t="n"/>
      <c r="B136" s="143" t="n"/>
      <c r="C136" s="144" t="n">
        <v>2</v>
      </c>
      <c r="D136" s="145" t="n"/>
      <c r="E136" s="146" t="n"/>
      <c r="F136" s="145" t="n"/>
      <c r="G136" s="136" t="n"/>
      <c r="H136" s="147" t="n"/>
      <c r="I136" s="138" t="n"/>
      <c r="J136" s="138" t="n"/>
      <c r="K136" s="138" t="n"/>
      <c r="L136" s="138" t="n"/>
      <c r="M136" s="138" t="n"/>
      <c r="N136" s="138" t="n"/>
      <c r="O136" s="138" t="n"/>
      <c r="P136" s="148" t="n"/>
      <c r="Q136" s="149" t="n"/>
    </row>
    <row r="137" ht="93" customHeight="1">
      <c r="A137" s="143" t="n"/>
      <c r="B137" s="143" t="n"/>
      <c r="C137" s="144" t="n">
        <v>3</v>
      </c>
      <c r="D137" s="150" t="n"/>
      <c r="E137" s="151" t="n"/>
      <c r="F137" s="152" t="n"/>
      <c r="G137" s="136" t="n"/>
      <c r="H137" s="153" t="n"/>
      <c r="I137" s="154" t="n"/>
      <c r="J137" s="155" t="n"/>
      <c r="K137" s="156" t="n"/>
      <c r="L137" s="138" t="n"/>
      <c r="M137" s="138" t="n"/>
      <c r="N137" s="138" t="n"/>
      <c r="O137" s="155" t="n"/>
      <c r="P137" s="148" t="n"/>
      <c r="Q137" s="145" t="n"/>
    </row>
    <row r="138" ht="93" customHeight="1">
      <c r="A138" s="143" t="n"/>
      <c r="B138" s="143" t="n"/>
      <c r="C138" s="144" t="n">
        <v>4</v>
      </c>
      <c r="D138" s="145" t="n"/>
      <c r="E138" s="151" t="n"/>
      <c r="F138" s="157" t="n"/>
      <c r="G138" s="136" t="n"/>
      <c r="H138" s="153" t="n"/>
      <c r="I138" s="158" t="n"/>
      <c r="J138" s="159" t="n"/>
      <c r="K138" s="160" t="n"/>
      <c r="L138" s="138" t="n"/>
      <c r="M138" s="138" t="n"/>
      <c r="N138" s="161" t="n"/>
      <c r="O138" s="138" t="n"/>
      <c r="P138" s="148" t="n"/>
      <c r="Q138" s="145" t="n"/>
    </row>
    <row r="139" ht="93" customHeight="1">
      <c r="A139" s="143" t="n"/>
      <c r="B139" s="143" t="n"/>
      <c r="C139" s="144" t="n">
        <v>5</v>
      </c>
      <c r="D139" s="162" t="n"/>
      <c r="E139" s="163" t="n"/>
      <c r="F139" s="162" t="n"/>
      <c r="G139" s="164" t="n"/>
      <c r="H139" s="165" t="n"/>
      <c r="I139" s="166" t="n"/>
      <c r="J139" s="167" t="n"/>
      <c r="K139" s="168" t="n"/>
      <c r="L139" s="169" t="n"/>
      <c r="M139" s="168" t="n"/>
      <c r="N139" s="168" t="n"/>
      <c r="O139" s="170" t="n"/>
      <c r="P139" s="171" t="n"/>
      <c r="Q139" s="171" t="n"/>
    </row>
    <row r="140" ht="93" customHeight="1">
      <c r="A140" s="143" t="n"/>
      <c r="B140" s="143" t="n"/>
      <c r="C140" s="144" t="n">
        <v>6</v>
      </c>
      <c r="D140" s="145" t="n"/>
      <c r="E140" s="146" t="n"/>
      <c r="F140" s="145" t="n"/>
      <c r="G140" s="157" t="n"/>
      <c r="H140" s="147" t="n"/>
      <c r="I140" s="172" t="n"/>
      <c r="J140" s="159" t="n"/>
      <c r="K140" s="160" t="n"/>
      <c r="L140" s="173" t="n"/>
      <c r="M140" s="161" t="n"/>
      <c r="N140" s="161" t="n"/>
      <c r="O140" s="174" t="n"/>
      <c r="P140" s="148" t="n"/>
      <c r="Q140" s="148" t="n"/>
    </row>
    <row r="141" ht="93" customHeight="1">
      <c r="A141" s="127" t="n"/>
      <c r="B141" s="175" t="n"/>
      <c r="C141" s="144" t="n">
        <v>7</v>
      </c>
      <c r="D141" s="176" t="n"/>
      <c r="E141" s="177" t="n"/>
      <c r="F141" s="176" t="n"/>
      <c r="G141" s="178" t="n"/>
      <c r="H141" s="179" t="n"/>
      <c r="I141" s="180" t="n"/>
      <c r="J141" s="181" t="n"/>
      <c r="K141" s="182" t="n"/>
      <c r="L141" s="183" t="n"/>
      <c r="M141" s="184" t="n"/>
      <c r="N141" s="184" t="n"/>
      <c r="O141" s="185" t="n"/>
      <c r="P141" s="186" t="n"/>
      <c r="Q141" s="186" t="n"/>
    </row>
    <row r="142" ht="8.25" customHeight="1">
      <c r="A142" s="187" t="n"/>
      <c r="B142" s="188" t="n"/>
      <c r="C142" s="189" t="inlineStr">
        <is>
          <t>※ 인증마크 :</t>
        </is>
      </c>
      <c r="D142" s="190" t="n"/>
      <c r="E142" s="191" t="n"/>
      <c r="F142" s="192" t="n"/>
      <c r="G142" s="193" t="n"/>
      <c r="H142" s="194" t="n"/>
      <c r="I142" s="195" t="n"/>
      <c r="J142" s="195" t="n"/>
      <c r="K142" s="195" t="n"/>
      <c r="L142" s="195" t="n"/>
      <c r="M142" s="195" t="n"/>
      <c r="N142" s="195" t="n"/>
      <c r="O142" s="195" t="n"/>
      <c r="P142" s="196" t="inlineStr">
        <is>
          <t>◎ : 우선(의무) 구매대상</t>
        </is>
      </c>
      <c r="Q142" s="195" t="n"/>
    </row>
    <row r="143" ht="20.25" customHeight="1">
      <c r="E143" s="197" t="n"/>
    </row>
    <row r="144" ht="23.25" customHeight="1">
      <c r="A144" s="57" t="n"/>
      <c r="B144" s="58" t="n"/>
      <c r="C144" s="118" t="inlineStr">
        <is>
          <t xml:space="preserve"> □ 품목명 : </t>
        </is>
      </c>
      <c r="D144" s="59" t="n"/>
      <c r="E144" s="59" t="n"/>
      <c r="G144" s="58" t="n"/>
      <c r="H144" s="58" t="n"/>
      <c r="I144" s="58" t="n"/>
      <c r="J144" s="58" t="n"/>
      <c r="K144" s="58" t="n"/>
      <c r="L144" s="58" t="n"/>
      <c r="M144" s="58" t="n"/>
      <c r="N144" s="58" t="n"/>
      <c r="O144" s="58" t="n"/>
      <c r="P144" s="58" t="n"/>
      <c r="Q144" s="119" t="n"/>
    </row>
    <row r="145" ht="6.95" customHeight="1">
      <c r="A145" s="120" t="n"/>
      <c r="B145" s="120" t="n"/>
      <c r="C145" s="120" t="n"/>
      <c r="D145" s="121" t="n"/>
      <c r="E145" s="121" t="n"/>
      <c r="F145" s="120" t="n"/>
      <c r="G145" s="120" t="n"/>
      <c r="H145" s="120" t="n"/>
      <c r="I145" s="120" t="n"/>
      <c r="J145" s="120" t="n"/>
      <c r="K145" s="120" t="n"/>
      <c r="L145" s="120" t="n"/>
      <c r="M145" s="120" t="n"/>
      <c r="N145" s="120" t="n"/>
      <c r="O145" s="120" t="n"/>
      <c r="P145" s="120" t="n"/>
      <c r="Q145" s="122" t="n"/>
    </row>
    <row r="146" ht="20.1" customHeight="1">
      <c r="A146" s="123" t="n"/>
      <c r="B146" s="123" t="n"/>
      <c r="C146" s="124" t="inlineStr">
        <is>
          <t>구분</t>
        </is>
      </c>
      <c r="D146" s="124" t="inlineStr">
        <is>
          <t>제 조 사</t>
        </is>
      </c>
      <c r="E146" s="125" t="inlineStr">
        <is>
          <t>본  사
소재지</t>
        </is>
      </c>
      <c r="F146" s="124" t="inlineStr">
        <is>
          <t>물품식별번호</t>
        </is>
      </c>
      <c r="G146" s="124" t="inlineStr">
        <is>
          <t>단위</t>
        </is>
      </c>
      <c r="H146" s="125" t="inlineStr">
        <is>
          <t>단   가
(부가세포함)</t>
        </is>
      </c>
      <c r="I146" s="126" t="inlineStr">
        <is>
          <t>인  증  현  황</t>
        </is>
      </c>
      <c r="J146" s="62" t="n"/>
      <c r="K146" s="62" t="n"/>
      <c r="L146" s="62" t="n"/>
      <c r="M146" s="62" t="n"/>
      <c r="N146" s="62" t="n"/>
      <c r="O146" s="63" t="n"/>
      <c r="P146" s="124" t="inlineStr">
        <is>
          <t>외   형   도</t>
        </is>
      </c>
      <c r="Q146" s="124" t="inlineStr">
        <is>
          <t>비   고</t>
        </is>
      </c>
    </row>
    <row r="147" ht="20.25" customHeight="1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8" t="n"/>
      <c r="J147" s="129" t="n"/>
      <c r="K147" s="129" t="n"/>
      <c r="L147" s="129" t="n"/>
      <c r="M147" s="129" t="n"/>
      <c r="N147" s="129" t="n"/>
      <c r="O147" s="130" t="n"/>
      <c r="P147" s="127" t="n"/>
      <c r="Q147" s="127" t="n"/>
    </row>
    <row r="148" ht="93" customHeight="1">
      <c r="A148" s="131" t="n"/>
      <c r="B148" s="132" t="n"/>
      <c r="C148" s="133" t="n">
        <v>1</v>
      </c>
      <c r="D148" s="134" t="n"/>
      <c r="E148" s="135" t="n"/>
      <c r="F148" s="136" t="n"/>
      <c r="G148" s="136" t="n"/>
      <c r="H148" s="137" t="n"/>
      <c r="I148" s="138" t="n"/>
      <c r="J148" s="139" t="n"/>
      <c r="K148" s="140" t="n"/>
      <c r="L148" s="141" t="n"/>
      <c r="M148" s="138" t="n"/>
      <c r="N148" s="141" t="n"/>
      <c r="O148" s="138" t="n"/>
      <c r="P148" s="142" t="n"/>
      <c r="Q148" s="142" t="n"/>
    </row>
    <row r="149" ht="93" customHeight="1">
      <c r="A149" s="143" t="n"/>
      <c r="B149" s="143" t="n"/>
      <c r="C149" s="144" t="n">
        <v>2</v>
      </c>
      <c r="D149" s="145" t="n"/>
      <c r="E149" s="146" t="n"/>
      <c r="F149" s="145" t="n"/>
      <c r="G149" s="136" t="n"/>
      <c r="H149" s="147" t="n"/>
      <c r="I149" s="138" t="n"/>
      <c r="J149" s="138" t="n"/>
      <c r="K149" s="138" t="n"/>
      <c r="L149" s="138" t="n"/>
      <c r="M149" s="138" t="n"/>
      <c r="N149" s="138" t="n"/>
      <c r="O149" s="138" t="n"/>
      <c r="P149" s="148" t="n"/>
      <c r="Q149" s="149" t="n"/>
    </row>
    <row r="150" ht="93" customHeight="1">
      <c r="A150" s="143" t="n"/>
      <c r="B150" s="143" t="n"/>
      <c r="C150" s="144" t="n">
        <v>3</v>
      </c>
      <c r="D150" s="150" t="n"/>
      <c r="E150" s="151" t="n"/>
      <c r="F150" s="152" t="n"/>
      <c r="G150" s="136" t="n"/>
      <c r="H150" s="153" t="n"/>
      <c r="I150" s="154" t="n"/>
      <c r="J150" s="155" t="n"/>
      <c r="K150" s="156" t="n"/>
      <c r="L150" s="138" t="n"/>
      <c r="M150" s="138" t="n"/>
      <c r="N150" s="138" t="n"/>
      <c r="O150" s="155" t="n"/>
      <c r="P150" s="148" t="n"/>
      <c r="Q150" s="145" t="n"/>
    </row>
    <row r="151" ht="93" customHeight="1">
      <c r="A151" s="143" t="n"/>
      <c r="B151" s="143" t="n"/>
      <c r="C151" s="144" t="n">
        <v>4</v>
      </c>
      <c r="D151" s="145" t="n"/>
      <c r="E151" s="151" t="n"/>
      <c r="F151" s="157" t="n"/>
      <c r="G151" s="136" t="n"/>
      <c r="H151" s="153" t="n"/>
      <c r="I151" s="158" t="n"/>
      <c r="J151" s="159" t="n"/>
      <c r="K151" s="160" t="n"/>
      <c r="L151" s="138" t="n"/>
      <c r="M151" s="138" t="n"/>
      <c r="N151" s="161" t="n"/>
      <c r="O151" s="138" t="n"/>
      <c r="P151" s="148" t="n"/>
      <c r="Q151" s="145" t="n"/>
    </row>
    <row r="152" ht="93" customHeight="1">
      <c r="A152" s="143" t="n"/>
      <c r="B152" s="143" t="n"/>
      <c r="C152" s="144" t="n">
        <v>5</v>
      </c>
      <c r="D152" s="162" t="n"/>
      <c r="E152" s="163" t="n"/>
      <c r="F152" s="162" t="n"/>
      <c r="G152" s="164" t="n"/>
      <c r="H152" s="165" t="n"/>
      <c r="I152" s="166" t="n"/>
      <c r="J152" s="167" t="n"/>
      <c r="K152" s="168" t="n"/>
      <c r="L152" s="169" t="n"/>
      <c r="M152" s="168" t="n"/>
      <c r="N152" s="168" t="n"/>
      <c r="O152" s="170" t="n"/>
      <c r="P152" s="171" t="n"/>
      <c r="Q152" s="171" t="n"/>
    </row>
    <row r="153" ht="93" customHeight="1">
      <c r="A153" s="143" t="n"/>
      <c r="B153" s="143" t="n"/>
      <c r="C153" s="144" t="n">
        <v>6</v>
      </c>
      <c r="D153" s="145" t="n"/>
      <c r="E153" s="146" t="n"/>
      <c r="F153" s="145" t="n"/>
      <c r="G153" s="157" t="n"/>
      <c r="H153" s="147" t="n"/>
      <c r="I153" s="172" t="n"/>
      <c r="J153" s="159" t="n"/>
      <c r="K153" s="160" t="n"/>
      <c r="L153" s="173" t="n"/>
      <c r="M153" s="161" t="n"/>
      <c r="N153" s="161" t="n"/>
      <c r="O153" s="174" t="n"/>
      <c r="P153" s="148" t="n"/>
      <c r="Q153" s="148" t="n"/>
    </row>
    <row r="154" ht="93" customHeight="1">
      <c r="A154" s="127" t="n"/>
      <c r="B154" s="175" t="n"/>
      <c r="C154" s="144" t="n">
        <v>7</v>
      </c>
      <c r="D154" s="176" t="n"/>
      <c r="E154" s="177" t="n"/>
      <c r="F154" s="176" t="n"/>
      <c r="G154" s="178" t="n"/>
      <c r="H154" s="179" t="n"/>
      <c r="I154" s="180" t="n"/>
      <c r="J154" s="181" t="n"/>
      <c r="K154" s="182" t="n"/>
      <c r="L154" s="183" t="n"/>
      <c r="M154" s="184" t="n"/>
      <c r="N154" s="184" t="n"/>
      <c r="O154" s="185" t="n"/>
      <c r="P154" s="186" t="n"/>
      <c r="Q154" s="186" t="n"/>
    </row>
    <row r="155" ht="8.25" customHeight="1">
      <c r="A155" s="187" t="n"/>
      <c r="B155" s="188" t="n"/>
      <c r="C155" s="189" t="inlineStr">
        <is>
          <t>※ 인증마크 :</t>
        </is>
      </c>
      <c r="D155" s="190" t="n"/>
      <c r="E155" s="191" t="n"/>
      <c r="F155" s="192" t="n"/>
      <c r="G155" s="193" t="n"/>
      <c r="H155" s="194" t="n"/>
      <c r="I155" s="195" t="n"/>
      <c r="J155" s="195" t="n"/>
      <c r="K155" s="195" t="n"/>
      <c r="L155" s="195" t="n"/>
      <c r="M155" s="195" t="n"/>
      <c r="N155" s="195" t="n"/>
      <c r="O155" s="195" t="n"/>
      <c r="P155" s="196" t="inlineStr">
        <is>
          <t>◎ : 우선(의무) 구매대상</t>
        </is>
      </c>
      <c r="Q155" s="195" t="n"/>
    </row>
    <row r="156" ht="20.25" customHeight="1">
      <c r="E156" s="197" t="n"/>
    </row>
    <row r="157" ht="23.25" customHeight="1">
      <c r="A157" s="57" t="n"/>
      <c r="B157" s="58" t="n"/>
      <c r="C157" s="118" t="inlineStr">
        <is>
          <t xml:space="preserve"> □ 품목명 : </t>
        </is>
      </c>
      <c r="D157" s="59" t="n"/>
      <c r="E157" s="59" t="n"/>
      <c r="G157" s="58" t="n"/>
      <c r="H157" s="58" t="n"/>
      <c r="I157" s="58" t="n"/>
      <c r="J157" s="58" t="n"/>
      <c r="K157" s="58" t="n"/>
      <c r="L157" s="58" t="n"/>
      <c r="M157" s="58" t="n"/>
      <c r="N157" s="58" t="n"/>
      <c r="O157" s="58" t="n"/>
      <c r="P157" s="58" t="n"/>
      <c r="Q157" s="119" t="n"/>
    </row>
    <row r="158" ht="6.95" customHeight="1">
      <c r="A158" s="120" t="n"/>
      <c r="B158" s="120" t="n"/>
      <c r="C158" s="120" t="n"/>
      <c r="D158" s="121" t="n"/>
      <c r="E158" s="121" t="n"/>
      <c r="F158" s="120" t="n"/>
      <c r="G158" s="120" t="n"/>
      <c r="H158" s="120" t="n"/>
      <c r="I158" s="120" t="n"/>
      <c r="J158" s="120" t="n"/>
      <c r="K158" s="120" t="n"/>
      <c r="L158" s="120" t="n"/>
      <c r="M158" s="120" t="n"/>
      <c r="N158" s="120" t="n"/>
      <c r="O158" s="120" t="n"/>
      <c r="P158" s="120" t="n"/>
      <c r="Q158" s="122" t="n"/>
    </row>
    <row r="159" ht="20.1" customHeight="1">
      <c r="A159" s="123" t="n"/>
      <c r="B159" s="123" t="n"/>
      <c r="C159" s="124" t="inlineStr">
        <is>
          <t>구분</t>
        </is>
      </c>
      <c r="D159" s="124" t="inlineStr">
        <is>
          <t>제 조 사</t>
        </is>
      </c>
      <c r="E159" s="125" t="inlineStr">
        <is>
          <t>본  사
소재지</t>
        </is>
      </c>
      <c r="F159" s="124" t="inlineStr">
        <is>
          <t>물품식별번호</t>
        </is>
      </c>
      <c r="G159" s="124" t="inlineStr">
        <is>
          <t>단위</t>
        </is>
      </c>
      <c r="H159" s="125" t="inlineStr">
        <is>
          <t>단   가
(부가세포함)</t>
        </is>
      </c>
      <c r="I159" s="126" t="inlineStr">
        <is>
          <t>인  증  현  황</t>
        </is>
      </c>
      <c r="J159" s="62" t="n"/>
      <c r="K159" s="62" t="n"/>
      <c r="L159" s="62" t="n"/>
      <c r="M159" s="62" t="n"/>
      <c r="N159" s="62" t="n"/>
      <c r="O159" s="63" t="n"/>
      <c r="P159" s="124" t="inlineStr">
        <is>
          <t>외   형   도</t>
        </is>
      </c>
      <c r="Q159" s="124" t="inlineStr">
        <is>
          <t>비   고</t>
        </is>
      </c>
    </row>
    <row r="160" ht="20.25" customHeight="1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8" t="n"/>
      <c r="J160" s="129" t="n"/>
      <c r="K160" s="129" t="n"/>
      <c r="L160" s="129" t="n"/>
      <c r="M160" s="129" t="n"/>
      <c r="N160" s="129" t="n"/>
      <c r="O160" s="130" t="n"/>
      <c r="P160" s="127" t="n"/>
      <c r="Q160" s="127" t="n"/>
    </row>
    <row r="161" ht="93" customHeight="1">
      <c r="A161" s="131" t="n"/>
      <c r="B161" s="132" t="n"/>
      <c r="C161" s="133" t="n">
        <v>1</v>
      </c>
      <c r="D161" s="134" t="n"/>
      <c r="E161" s="135" t="n"/>
      <c r="F161" s="136" t="n"/>
      <c r="G161" s="136" t="n"/>
      <c r="H161" s="137" t="n"/>
      <c r="I161" s="138" t="n"/>
      <c r="J161" s="139" t="n"/>
      <c r="K161" s="140" t="n"/>
      <c r="L161" s="141" t="n"/>
      <c r="M161" s="138" t="n"/>
      <c r="N161" s="141" t="n"/>
      <c r="O161" s="138" t="n"/>
      <c r="P161" s="142" t="n"/>
      <c r="Q161" s="142" t="n"/>
    </row>
    <row r="162" ht="93" customHeight="1">
      <c r="A162" s="143" t="n"/>
      <c r="B162" s="143" t="n"/>
      <c r="C162" s="144" t="n">
        <v>2</v>
      </c>
      <c r="D162" s="145" t="n"/>
      <c r="E162" s="146" t="n"/>
      <c r="F162" s="145" t="n"/>
      <c r="G162" s="136" t="n"/>
      <c r="H162" s="147" t="n"/>
      <c r="I162" s="138" t="n"/>
      <c r="J162" s="138" t="n"/>
      <c r="K162" s="138" t="n"/>
      <c r="L162" s="138" t="n"/>
      <c r="M162" s="138" t="n"/>
      <c r="N162" s="138" t="n"/>
      <c r="O162" s="138" t="n"/>
      <c r="P162" s="148" t="n"/>
      <c r="Q162" s="149" t="n"/>
    </row>
    <row r="163" ht="93" customHeight="1">
      <c r="A163" s="143" t="n"/>
      <c r="B163" s="143" t="n"/>
      <c r="C163" s="144" t="n">
        <v>3</v>
      </c>
      <c r="D163" s="150" t="n"/>
      <c r="E163" s="151" t="n"/>
      <c r="F163" s="152" t="n"/>
      <c r="G163" s="136" t="n"/>
      <c r="H163" s="153" t="n"/>
      <c r="I163" s="154" t="n"/>
      <c r="J163" s="155" t="n"/>
      <c r="K163" s="156" t="n"/>
      <c r="L163" s="138" t="n"/>
      <c r="M163" s="138" t="n"/>
      <c r="N163" s="138" t="n"/>
      <c r="O163" s="155" t="n"/>
      <c r="P163" s="148" t="n"/>
      <c r="Q163" s="145" t="n"/>
    </row>
    <row r="164" ht="93" customHeight="1">
      <c r="A164" s="143" t="n"/>
      <c r="B164" s="143" t="n"/>
      <c r="C164" s="144" t="n">
        <v>4</v>
      </c>
      <c r="D164" s="145" t="n"/>
      <c r="E164" s="151" t="n"/>
      <c r="F164" s="157" t="n"/>
      <c r="G164" s="136" t="n"/>
      <c r="H164" s="153" t="n"/>
      <c r="I164" s="158" t="n"/>
      <c r="J164" s="159" t="n"/>
      <c r="K164" s="160" t="n"/>
      <c r="L164" s="138" t="n"/>
      <c r="M164" s="138" t="n"/>
      <c r="N164" s="161" t="n"/>
      <c r="O164" s="138" t="n"/>
      <c r="P164" s="148" t="n"/>
      <c r="Q164" s="145" t="n"/>
    </row>
    <row r="165" ht="93" customHeight="1">
      <c r="A165" s="143" t="n"/>
      <c r="B165" s="143" t="n"/>
      <c r="C165" s="144" t="n">
        <v>5</v>
      </c>
      <c r="D165" s="162" t="n"/>
      <c r="E165" s="163" t="n"/>
      <c r="F165" s="162" t="n"/>
      <c r="G165" s="164" t="n"/>
      <c r="H165" s="165" t="n"/>
      <c r="I165" s="166" t="n"/>
      <c r="J165" s="167" t="n"/>
      <c r="K165" s="168" t="n"/>
      <c r="L165" s="169" t="n"/>
      <c r="M165" s="168" t="n"/>
      <c r="N165" s="168" t="n"/>
      <c r="O165" s="170" t="n"/>
      <c r="P165" s="171" t="n"/>
      <c r="Q165" s="171" t="n"/>
    </row>
    <row r="166" ht="93" customHeight="1">
      <c r="A166" s="143" t="n"/>
      <c r="B166" s="143" t="n"/>
      <c r="C166" s="144" t="n">
        <v>6</v>
      </c>
      <c r="D166" s="145" t="n"/>
      <c r="E166" s="146" t="n"/>
      <c r="F166" s="145" t="n"/>
      <c r="G166" s="157" t="n"/>
      <c r="H166" s="147" t="n"/>
      <c r="I166" s="172" t="n"/>
      <c r="J166" s="159" t="n"/>
      <c r="K166" s="160" t="n"/>
      <c r="L166" s="173" t="n"/>
      <c r="M166" s="161" t="n"/>
      <c r="N166" s="161" t="n"/>
      <c r="O166" s="174" t="n"/>
      <c r="P166" s="148" t="n"/>
      <c r="Q166" s="148" t="n"/>
    </row>
    <row r="167" ht="93" customHeight="1">
      <c r="A167" s="127" t="n"/>
      <c r="B167" s="175" t="n"/>
      <c r="C167" s="144" t="n">
        <v>7</v>
      </c>
      <c r="D167" s="176" t="n"/>
      <c r="E167" s="177" t="n"/>
      <c r="F167" s="176" t="n"/>
      <c r="G167" s="178" t="n"/>
      <c r="H167" s="179" t="n"/>
      <c r="I167" s="180" t="n"/>
      <c r="J167" s="181" t="n"/>
      <c r="K167" s="182" t="n"/>
      <c r="L167" s="183" t="n"/>
      <c r="M167" s="184" t="n"/>
      <c r="N167" s="184" t="n"/>
      <c r="O167" s="185" t="n"/>
      <c r="P167" s="186" t="n"/>
      <c r="Q167" s="186" t="n"/>
    </row>
    <row r="168" ht="8.25" customHeight="1">
      <c r="A168" s="187" t="n"/>
      <c r="B168" s="188" t="n"/>
      <c r="C168" s="189" t="inlineStr">
        <is>
          <t>※ 인증마크 :</t>
        </is>
      </c>
      <c r="D168" s="190" t="n"/>
      <c r="E168" s="191" t="n"/>
      <c r="F168" s="192" t="n"/>
      <c r="G168" s="193" t="n"/>
      <c r="H168" s="194" t="n"/>
      <c r="I168" s="195" t="n"/>
      <c r="J168" s="195" t="n"/>
      <c r="K168" s="195" t="n"/>
      <c r="L168" s="195" t="n"/>
      <c r="M168" s="195" t="n"/>
      <c r="N168" s="195" t="n"/>
      <c r="O168" s="195" t="n"/>
      <c r="P168" s="196" t="inlineStr">
        <is>
          <t>◎ : 우선(의무) 구매대상</t>
        </is>
      </c>
      <c r="Q168" s="195" t="n"/>
    </row>
    <row r="169" ht="20.25" customHeight="1">
      <c r="E169" s="197" t="n"/>
    </row>
    <row r="170" ht="23.25" customHeight="1">
      <c r="A170" s="57" t="n"/>
      <c r="B170" s="58" t="n"/>
      <c r="C170" s="118" t="inlineStr">
        <is>
          <t xml:space="preserve"> □ 품목명 : </t>
        </is>
      </c>
      <c r="D170" s="59" t="n"/>
      <c r="E170" s="59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119" t="n"/>
    </row>
    <row r="171" ht="6.95" customHeight="1">
      <c r="A171" s="120" t="n"/>
      <c r="B171" s="120" t="n"/>
      <c r="C171" s="120" t="n"/>
      <c r="D171" s="121" t="n"/>
      <c r="E171" s="121" t="n"/>
      <c r="F171" s="120" t="n"/>
      <c r="G171" s="120" t="n"/>
      <c r="H171" s="120" t="n"/>
      <c r="I171" s="120" t="n"/>
      <c r="J171" s="120" t="n"/>
      <c r="K171" s="120" t="n"/>
      <c r="L171" s="120" t="n"/>
      <c r="M171" s="120" t="n"/>
      <c r="N171" s="120" t="n"/>
      <c r="O171" s="120" t="n"/>
      <c r="P171" s="120" t="n"/>
      <c r="Q171" s="122" t="n"/>
    </row>
    <row r="172" ht="20.1" customHeight="1">
      <c r="A172" s="123" t="n"/>
      <c r="B172" s="123" t="n"/>
      <c r="C172" s="124" t="inlineStr">
        <is>
          <t>구분</t>
        </is>
      </c>
      <c r="D172" s="124" t="inlineStr">
        <is>
          <t>제 조 사</t>
        </is>
      </c>
      <c r="E172" s="125" t="inlineStr">
        <is>
          <t>본  사
소재지</t>
        </is>
      </c>
      <c r="F172" s="124" t="inlineStr">
        <is>
          <t>물품식별번호</t>
        </is>
      </c>
      <c r="G172" s="124" t="inlineStr">
        <is>
          <t>단위</t>
        </is>
      </c>
      <c r="H172" s="125" t="inlineStr">
        <is>
          <t>단   가
(부가세포함)</t>
        </is>
      </c>
      <c r="I172" s="126" t="inlineStr">
        <is>
          <t>인  증  현  황</t>
        </is>
      </c>
      <c r="J172" s="62" t="n"/>
      <c r="K172" s="62" t="n"/>
      <c r="L172" s="62" t="n"/>
      <c r="M172" s="62" t="n"/>
      <c r="N172" s="62" t="n"/>
      <c r="O172" s="63" t="n"/>
      <c r="P172" s="124" t="inlineStr">
        <is>
          <t>외   형   도</t>
        </is>
      </c>
      <c r="Q172" s="124" t="inlineStr">
        <is>
          <t>비   고</t>
        </is>
      </c>
    </row>
    <row r="173" ht="20.25" customHeight="1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8" t="n"/>
      <c r="J173" s="129" t="n"/>
      <c r="K173" s="129" t="n"/>
      <c r="L173" s="129" t="n"/>
      <c r="M173" s="129" t="n"/>
      <c r="N173" s="129" t="n"/>
      <c r="O173" s="130" t="n"/>
      <c r="P173" s="127" t="n"/>
      <c r="Q173" s="127" t="n"/>
    </row>
    <row r="174" ht="93" customHeight="1">
      <c r="A174" s="131" t="n"/>
      <c r="B174" s="132" t="n"/>
      <c r="C174" s="133" t="n">
        <v>1</v>
      </c>
      <c r="D174" s="134" t="n"/>
      <c r="E174" s="135" t="n"/>
      <c r="F174" s="136" t="n"/>
      <c r="G174" s="136" t="n"/>
      <c r="H174" s="137" t="n"/>
      <c r="I174" s="138" t="n"/>
      <c r="J174" s="139" t="n"/>
      <c r="K174" s="140" t="n"/>
      <c r="L174" s="141" t="n"/>
      <c r="M174" s="138" t="n"/>
      <c r="N174" s="141" t="n"/>
      <c r="O174" s="138" t="n"/>
      <c r="P174" s="142" t="n"/>
      <c r="Q174" s="142" t="n"/>
    </row>
    <row r="175" ht="93" customHeight="1">
      <c r="A175" s="143" t="n"/>
      <c r="B175" s="143" t="n"/>
      <c r="C175" s="144" t="n">
        <v>2</v>
      </c>
      <c r="D175" s="145" t="n"/>
      <c r="E175" s="146" t="n"/>
      <c r="F175" s="145" t="n"/>
      <c r="G175" s="136" t="n"/>
      <c r="H175" s="147" t="n"/>
      <c r="I175" s="138" t="n"/>
      <c r="J175" s="138" t="n"/>
      <c r="K175" s="138" t="n"/>
      <c r="L175" s="138" t="n"/>
      <c r="M175" s="138" t="n"/>
      <c r="N175" s="138" t="n"/>
      <c r="O175" s="138" t="n"/>
      <c r="P175" s="148" t="n"/>
      <c r="Q175" s="149" t="n"/>
    </row>
    <row r="176" ht="93" customHeight="1">
      <c r="A176" s="143" t="n"/>
      <c r="B176" s="143" t="n"/>
      <c r="C176" s="144" t="n">
        <v>3</v>
      </c>
      <c r="D176" s="150" t="n"/>
      <c r="E176" s="151" t="n"/>
      <c r="F176" s="152" t="n"/>
      <c r="G176" s="136" t="n"/>
      <c r="H176" s="153" t="n"/>
      <c r="I176" s="154" t="n"/>
      <c r="J176" s="155" t="n"/>
      <c r="K176" s="156" t="n"/>
      <c r="L176" s="138" t="n"/>
      <c r="M176" s="138" t="n"/>
      <c r="N176" s="138" t="n"/>
      <c r="O176" s="155" t="n"/>
      <c r="P176" s="148" t="n"/>
      <c r="Q176" s="145" t="n"/>
    </row>
    <row r="177" ht="93" customHeight="1">
      <c r="A177" s="143" t="n"/>
      <c r="B177" s="143" t="n"/>
      <c r="C177" s="144" t="n">
        <v>4</v>
      </c>
      <c r="D177" s="145" t="n"/>
      <c r="E177" s="151" t="n"/>
      <c r="F177" s="157" t="n"/>
      <c r="G177" s="136" t="n"/>
      <c r="H177" s="153" t="n"/>
      <c r="I177" s="158" t="n"/>
      <c r="J177" s="159" t="n"/>
      <c r="K177" s="160" t="n"/>
      <c r="L177" s="138" t="n"/>
      <c r="M177" s="138" t="n"/>
      <c r="N177" s="161" t="n"/>
      <c r="O177" s="138" t="n"/>
      <c r="P177" s="148" t="n"/>
      <c r="Q177" s="145" t="n"/>
    </row>
    <row r="178" ht="93" customHeight="1">
      <c r="A178" s="143" t="n"/>
      <c r="B178" s="143" t="n"/>
      <c r="C178" s="144" t="n">
        <v>5</v>
      </c>
      <c r="D178" s="162" t="n"/>
      <c r="E178" s="163" t="n"/>
      <c r="F178" s="162" t="n"/>
      <c r="G178" s="164" t="n"/>
      <c r="H178" s="165" t="n"/>
      <c r="I178" s="166" t="n"/>
      <c r="J178" s="167" t="n"/>
      <c r="K178" s="168" t="n"/>
      <c r="L178" s="169" t="n"/>
      <c r="M178" s="168" t="n"/>
      <c r="N178" s="168" t="n"/>
      <c r="O178" s="170" t="n"/>
      <c r="P178" s="171" t="n"/>
      <c r="Q178" s="171" t="n"/>
    </row>
    <row r="179" ht="93" customHeight="1">
      <c r="A179" s="143" t="n"/>
      <c r="B179" s="143" t="n"/>
      <c r="C179" s="144" t="n">
        <v>6</v>
      </c>
      <c r="D179" s="145" t="n"/>
      <c r="E179" s="146" t="n"/>
      <c r="F179" s="145" t="n"/>
      <c r="G179" s="157" t="n"/>
      <c r="H179" s="147" t="n"/>
      <c r="I179" s="172" t="n"/>
      <c r="J179" s="159" t="n"/>
      <c r="K179" s="160" t="n"/>
      <c r="L179" s="173" t="n"/>
      <c r="M179" s="161" t="n"/>
      <c r="N179" s="161" t="n"/>
      <c r="O179" s="174" t="n"/>
      <c r="P179" s="148" t="n"/>
      <c r="Q179" s="148" t="n"/>
    </row>
    <row r="180" ht="93" customHeight="1">
      <c r="A180" s="127" t="n"/>
      <c r="B180" s="175" t="n"/>
      <c r="C180" s="144" t="n">
        <v>7</v>
      </c>
      <c r="D180" s="176" t="n"/>
      <c r="E180" s="177" t="n"/>
      <c r="F180" s="176" t="n"/>
      <c r="G180" s="178" t="n"/>
      <c r="H180" s="179" t="n"/>
      <c r="I180" s="180" t="n"/>
      <c r="J180" s="181" t="n"/>
      <c r="K180" s="182" t="n"/>
      <c r="L180" s="183" t="n"/>
      <c r="M180" s="184" t="n"/>
      <c r="N180" s="184" t="n"/>
      <c r="O180" s="185" t="n"/>
      <c r="P180" s="186" t="n"/>
      <c r="Q180" s="186" t="n"/>
    </row>
    <row r="181" ht="8.25" customHeight="1">
      <c r="A181" s="187" t="n"/>
      <c r="B181" s="188" t="n"/>
      <c r="C181" s="189" t="inlineStr">
        <is>
          <t>※ 인증마크 :</t>
        </is>
      </c>
      <c r="D181" s="190" t="n"/>
      <c r="E181" s="191" t="n"/>
      <c r="F181" s="192" t="n"/>
      <c r="G181" s="193" t="n"/>
      <c r="H181" s="194" t="n"/>
      <c r="I181" s="195" t="n"/>
      <c r="J181" s="195" t="n"/>
      <c r="K181" s="195" t="n"/>
      <c r="L181" s="195" t="n"/>
      <c r="M181" s="195" t="n"/>
      <c r="N181" s="195" t="n"/>
      <c r="O181" s="195" t="n"/>
      <c r="P181" s="196" t="inlineStr">
        <is>
          <t>◎ : 우선(의무) 구매대상</t>
        </is>
      </c>
      <c r="Q181" s="195" t="n"/>
    </row>
    <row r="182" ht="20.25" customHeight="1">
      <c r="E182" s="197" t="n"/>
    </row>
    <row r="183" ht="23.25" customHeight="1">
      <c r="A183" s="57" t="n"/>
      <c r="B183" s="58" t="n"/>
      <c r="C183" s="118" t="inlineStr">
        <is>
          <t xml:space="preserve"> □ 품목명 : </t>
        </is>
      </c>
      <c r="D183" s="59" t="n"/>
      <c r="E183" s="59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119" t="n"/>
    </row>
    <row r="184" ht="6.95" customHeight="1">
      <c r="A184" s="120" t="n"/>
      <c r="B184" s="120" t="n"/>
      <c r="C184" s="120" t="n"/>
      <c r="D184" s="121" t="n"/>
      <c r="E184" s="121" t="n"/>
      <c r="F184" s="120" t="n"/>
      <c r="G184" s="120" t="n"/>
      <c r="H184" s="120" t="n"/>
      <c r="I184" s="120" t="n"/>
      <c r="J184" s="120" t="n"/>
      <c r="K184" s="120" t="n"/>
      <c r="L184" s="120" t="n"/>
      <c r="M184" s="120" t="n"/>
      <c r="N184" s="120" t="n"/>
      <c r="O184" s="120" t="n"/>
      <c r="P184" s="120" t="n"/>
      <c r="Q184" s="122" t="n"/>
    </row>
    <row r="185" ht="20.1" customHeight="1">
      <c r="A185" s="123" t="n"/>
      <c r="B185" s="123" t="n"/>
      <c r="C185" s="124" t="inlineStr">
        <is>
          <t>구분</t>
        </is>
      </c>
      <c r="D185" s="124" t="inlineStr">
        <is>
          <t>제 조 사</t>
        </is>
      </c>
      <c r="E185" s="125" t="inlineStr">
        <is>
          <t>본  사
소재지</t>
        </is>
      </c>
      <c r="F185" s="124" t="inlineStr">
        <is>
          <t>물품식별번호</t>
        </is>
      </c>
      <c r="G185" s="124" t="inlineStr">
        <is>
          <t>단위</t>
        </is>
      </c>
      <c r="H185" s="125" t="inlineStr">
        <is>
          <t>단   가
(부가세포함)</t>
        </is>
      </c>
      <c r="I185" s="126" t="inlineStr">
        <is>
          <t>인  증  현  황</t>
        </is>
      </c>
      <c r="J185" s="62" t="n"/>
      <c r="K185" s="62" t="n"/>
      <c r="L185" s="62" t="n"/>
      <c r="M185" s="62" t="n"/>
      <c r="N185" s="62" t="n"/>
      <c r="O185" s="63" t="n"/>
      <c r="P185" s="124" t="inlineStr">
        <is>
          <t>외   형   도</t>
        </is>
      </c>
      <c r="Q185" s="124" t="inlineStr">
        <is>
          <t>비   고</t>
        </is>
      </c>
    </row>
    <row r="186" ht="20.25" customHeight="1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8" t="n"/>
      <c r="J186" s="129" t="n"/>
      <c r="K186" s="129" t="n"/>
      <c r="L186" s="129" t="n"/>
      <c r="M186" s="129" t="n"/>
      <c r="N186" s="129" t="n"/>
      <c r="O186" s="130" t="n"/>
      <c r="P186" s="127" t="n"/>
      <c r="Q186" s="127" t="n"/>
    </row>
    <row r="187" ht="93" customHeight="1">
      <c r="A187" s="131" t="n"/>
      <c r="B187" s="132" t="n"/>
      <c r="C187" s="133" t="n">
        <v>1</v>
      </c>
      <c r="D187" s="134" t="n"/>
      <c r="E187" s="135" t="n"/>
      <c r="F187" s="136" t="n"/>
      <c r="G187" s="136" t="n"/>
      <c r="H187" s="137" t="n"/>
      <c r="I187" s="138" t="n"/>
      <c r="J187" s="139" t="n"/>
      <c r="K187" s="140" t="n"/>
      <c r="L187" s="141" t="n"/>
      <c r="M187" s="138" t="n"/>
      <c r="N187" s="141" t="n"/>
      <c r="O187" s="138" t="n"/>
      <c r="P187" s="142" t="n"/>
      <c r="Q187" s="142" t="n"/>
    </row>
    <row r="188" ht="93" customHeight="1">
      <c r="A188" s="143" t="n"/>
      <c r="B188" s="143" t="n"/>
      <c r="C188" s="144" t="n">
        <v>2</v>
      </c>
      <c r="D188" s="145" t="n"/>
      <c r="E188" s="146" t="n"/>
      <c r="F188" s="145" t="n"/>
      <c r="G188" s="136" t="n"/>
      <c r="H188" s="147" t="n"/>
      <c r="I188" s="138" t="n"/>
      <c r="J188" s="138" t="n"/>
      <c r="K188" s="138" t="n"/>
      <c r="L188" s="138" t="n"/>
      <c r="M188" s="138" t="n"/>
      <c r="N188" s="138" t="n"/>
      <c r="O188" s="138" t="n"/>
      <c r="P188" s="148" t="n"/>
      <c r="Q188" s="149" t="n"/>
    </row>
    <row r="189" ht="93" customHeight="1">
      <c r="A189" s="143" t="n"/>
      <c r="B189" s="143" t="n"/>
      <c r="C189" s="144" t="n">
        <v>3</v>
      </c>
      <c r="D189" s="150" t="n"/>
      <c r="E189" s="151" t="n"/>
      <c r="F189" s="152" t="n"/>
      <c r="G189" s="136" t="n"/>
      <c r="H189" s="153" t="n"/>
      <c r="I189" s="154" t="n"/>
      <c r="J189" s="155" t="n"/>
      <c r="K189" s="156" t="n"/>
      <c r="L189" s="138" t="n"/>
      <c r="M189" s="138" t="n"/>
      <c r="N189" s="138" t="n"/>
      <c r="O189" s="155" t="n"/>
      <c r="P189" s="148" t="n"/>
      <c r="Q189" s="145" t="n"/>
    </row>
    <row r="190" ht="93" customHeight="1">
      <c r="A190" s="143" t="n"/>
      <c r="B190" s="143" t="n"/>
      <c r="C190" s="144" t="n">
        <v>4</v>
      </c>
      <c r="D190" s="145" t="n"/>
      <c r="E190" s="151" t="n"/>
      <c r="F190" s="157" t="n"/>
      <c r="G190" s="136" t="n"/>
      <c r="H190" s="153" t="n"/>
      <c r="I190" s="158" t="n"/>
      <c r="J190" s="159" t="n"/>
      <c r="K190" s="160" t="n"/>
      <c r="L190" s="138" t="n"/>
      <c r="M190" s="138" t="n"/>
      <c r="N190" s="161" t="n"/>
      <c r="O190" s="138" t="n"/>
      <c r="P190" s="148" t="n"/>
      <c r="Q190" s="145" t="n"/>
    </row>
    <row r="191" ht="93" customHeight="1">
      <c r="A191" s="143" t="n"/>
      <c r="B191" s="143" t="n"/>
      <c r="C191" s="144" t="n">
        <v>5</v>
      </c>
      <c r="D191" s="162" t="n"/>
      <c r="E191" s="163" t="n"/>
      <c r="F191" s="162" t="n"/>
      <c r="G191" s="164" t="n"/>
      <c r="H191" s="165" t="n"/>
      <c r="I191" s="166" t="n"/>
      <c r="J191" s="167" t="n"/>
      <c r="K191" s="168" t="n"/>
      <c r="L191" s="169" t="n"/>
      <c r="M191" s="168" t="n"/>
      <c r="N191" s="168" t="n"/>
      <c r="O191" s="170" t="n"/>
      <c r="P191" s="171" t="n"/>
      <c r="Q191" s="171" t="n"/>
    </row>
    <row r="192" ht="93" customHeight="1">
      <c r="A192" s="143" t="n"/>
      <c r="B192" s="143" t="n"/>
      <c r="C192" s="144" t="n">
        <v>6</v>
      </c>
      <c r="D192" s="145" t="n"/>
      <c r="E192" s="146" t="n"/>
      <c r="F192" s="145" t="n"/>
      <c r="G192" s="157" t="n"/>
      <c r="H192" s="147" t="n"/>
      <c r="I192" s="172" t="n"/>
      <c r="J192" s="159" t="n"/>
      <c r="K192" s="160" t="n"/>
      <c r="L192" s="173" t="n"/>
      <c r="M192" s="161" t="n"/>
      <c r="N192" s="161" t="n"/>
      <c r="O192" s="174" t="n"/>
      <c r="P192" s="148" t="n"/>
      <c r="Q192" s="148" t="n"/>
    </row>
    <row r="193" ht="93" customHeight="1">
      <c r="A193" s="127" t="n"/>
      <c r="B193" s="175" t="n"/>
      <c r="C193" s="144" t="n">
        <v>7</v>
      </c>
      <c r="D193" s="176" t="n"/>
      <c r="E193" s="177" t="n"/>
      <c r="F193" s="176" t="n"/>
      <c r="G193" s="178" t="n"/>
      <c r="H193" s="179" t="n"/>
      <c r="I193" s="180" t="n"/>
      <c r="J193" s="181" t="n"/>
      <c r="K193" s="182" t="n"/>
      <c r="L193" s="183" t="n"/>
      <c r="M193" s="184" t="n"/>
      <c r="N193" s="184" t="n"/>
      <c r="O193" s="185" t="n"/>
      <c r="P193" s="186" t="n"/>
      <c r="Q193" s="186" t="n"/>
    </row>
    <row r="194" ht="8.25" customHeight="1">
      <c r="A194" s="187" t="n"/>
      <c r="B194" s="188" t="n"/>
      <c r="C194" s="189" t="inlineStr">
        <is>
          <t>※ 인증마크 :</t>
        </is>
      </c>
      <c r="D194" s="190" t="n"/>
      <c r="E194" s="191" t="n"/>
      <c r="F194" s="192" t="n"/>
      <c r="G194" s="193" t="n"/>
      <c r="H194" s="194" t="n"/>
      <c r="I194" s="195" t="n"/>
      <c r="J194" s="195" t="n"/>
      <c r="K194" s="195" t="n"/>
      <c r="L194" s="195" t="n"/>
      <c r="M194" s="195" t="n"/>
      <c r="N194" s="195" t="n"/>
      <c r="O194" s="195" t="n"/>
      <c r="P194" s="196" t="inlineStr">
        <is>
          <t>◎ : 우선(의무) 구매대상</t>
        </is>
      </c>
      <c r="Q194" s="195" t="n"/>
    </row>
    <row r="195" ht="20.25" customHeight="1">
      <c r="E195" s="197" t="n"/>
    </row>
    <row r="196" ht="23.25" customHeight="1">
      <c r="A196" s="57" t="n"/>
      <c r="B196" s="58" t="n"/>
      <c r="C196" s="118" t="inlineStr">
        <is>
          <t xml:space="preserve"> □ 품목명 : </t>
        </is>
      </c>
      <c r="D196" s="59" t="n"/>
      <c r="E196" s="59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119" t="n"/>
    </row>
    <row r="197" ht="6.95" customHeight="1">
      <c r="A197" s="120" t="n"/>
      <c r="B197" s="120" t="n"/>
      <c r="C197" s="120" t="n"/>
      <c r="D197" s="121" t="n"/>
      <c r="E197" s="121" t="n"/>
      <c r="F197" s="120" t="n"/>
      <c r="G197" s="120" t="n"/>
      <c r="H197" s="120" t="n"/>
      <c r="I197" s="120" t="n"/>
      <c r="J197" s="120" t="n"/>
      <c r="K197" s="120" t="n"/>
      <c r="L197" s="120" t="n"/>
      <c r="M197" s="120" t="n"/>
      <c r="N197" s="120" t="n"/>
      <c r="O197" s="120" t="n"/>
      <c r="P197" s="120" t="n"/>
      <c r="Q197" s="122" t="n"/>
    </row>
    <row r="198" ht="20.1" customHeight="1">
      <c r="A198" s="123" t="n"/>
      <c r="B198" s="123" t="n"/>
      <c r="C198" s="124" t="inlineStr">
        <is>
          <t>구분</t>
        </is>
      </c>
      <c r="D198" s="124" t="inlineStr">
        <is>
          <t>제 조 사</t>
        </is>
      </c>
      <c r="E198" s="125" t="inlineStr">
        <is>
          <t>본  사
소재지</t>
        </is>
      </c>
      <c r="F198" s="124" t="inlineStr">
        <is>
          <t>물품식별번호</t>
        </is>
      </c>
      <c r="G198" s="124" t="inlineStr">
        <is>
          <t>단위</t>
        </is>
      </c>
      <c r="H198" s="125" t="inlineStr">
        <is>
          <t>단   가
(부가세포함)</t>
        </is>
      </c>
      <c r="I198" s="126" t="inlineStr">
        <is>
          <t>인  증  현  황</t>
        </is>
      </c>
      <c r="J198" s="62" t="n"/>
      <c r="K198" s="62" t="n"/>
      <c r="L198" s="62" t="n"/>
      <c r="M198" s="62" t="n"/>
      <c r="N198" s="62" t="n"/>
      <c r="O198" s="63" t="n"/>
      <c r="P198" s="124" t="inlineStr">
        <is>
          <t>외   형   도</t>
        </is>
      </c>
      <c r="Q198" s="124" t="inlineStr">
        <is>
          <t>비   고</t>
        </is>
      </c>
    </row>
    <row r="199" ht="20.25" customHeight="1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8" t="n"/>
      <c r="J199" s="129" t="n"/>
      <c r="K199" s="129" t="n"/>
      <c r="L199" s="129" t="n"/>
      <c r="M199" s="129" t="n"/>
      <c r="N199" s="129" t="n"/>
      <c r="O199" s="130" t="n"/>
      <c r="P199" s="127" t="n"/>
      <c r="Q199" s="127" t="n"/>
    </row>
    <row r="200" ht="93" customHeight="1">
      <c r="A200" s="131" t="n"/>
      <c r="B200" s="132" t="n"/>
      <c r="C200" s="133" t="n">
        <v>1</v>
      </c>
      <c r="D200" s="134" t="n"/>
      <c r="E200" s="135" t="n"/>
      <c r="F200" s="136" t="n"/>
      <c r="G200" s="136" t="n"/>
      <c r="H200" s="137" t="n"/>
      <c r="I200" s="138" t="n"/>
      <c r="J200" s="139" t="n"/>
      <c r="K200" s="140" t="n"/>
      <c r="L200" s="141" t="n"/>
      <c r="M200" s="138" t="n"/>
      <c r="N200" s="141" t="n"/>
      <c r="O200" s="138" t="n"/>
      <c r="P200" s="142" t="n"/>
      <c r="Q200" s="142" t="n"/>
    </row>
    <row r="201" ht="93" customHeight="1">
      <c r="A201" s="143" t="n"/>
      <c r="B201" s="143" t="n"/>
      <c r="C201" s="144" t="n">
        <v>2</v>
      </c>
      <c r="D201" s="145" t="n"/>
      <c r="E201" s="146" t="n"/>
      <c r="F201" s="145" t="n"/>
      <c r="G201" s="136" t="n"/>
      <c r="H201" s="147" t="n"/>
      <c r="I201" s="138" t="n"/>
      <c r="J201" s="138" t="n"/>
      <c r="K201" s="138" t="n"/>
      <c r="L201" s="138" t="n"/>
      <c r="M201" s="138" t="n"/>
      <c r="N201" s="138" t="n"/>
      <c r="O201" s="138" t="n"/>
      <c r="P201" s="148" t="n"/>
      <c r="Q201" s="149" t="n"/>
    </row>
    <row r="202" ht="93" customHeight="1">
      <c r="A202" s="143" t="n"/>
      <c r="B202" s="143" t="n"/>
      <c r="C202" s="144" t="n">
        <v>3</v>
      </c>
      <c r="D202" s="150" t="n"/>
      <c r="E202" s="151" t="n"/>
      <c r="F202" s="152" t="n"/>
      <c r="G202" s="136" t="n"/>
      <c r="H202" s="153" t="n"/>
      <c r="I202" s="154" t="n"/>
      <c r="J202" s="155" t="n"/>
      <c r="K202" s="156" t="n"/>
      <c r="L202" s="138" t="n"/>
      <c r="M202" s="138" t="n"/>
      <c r="N202" s="138" t="n"/>
      <c r="O202" s="155" t="n"/>
      <c r="P202" s="148" t="n"/>
      <c r="Q202" s="145" t="n"/>
    </row>
    <row r="203" ht="93" customHeight="1">
      <c r="A203" s="143" t="n"/>
      <c r="B203" s="143" t="n"/>
      <c r="C203" s="144" t="n">
        <v>4</v>
      </c>
      <c r="D203" s="145" t="n"/>
      <c r="E203" s="151" t="n"/>
      <c r="F203" s="157" t="n"/>
      <c r="G203" s="136" t="n"/>
      <c r="H203" s="153" t="n"/>
      <c r="I203" s="158" t="n"/>
      <c r="J203" s="159" t="n"/>
      <c r="K203" s="160" t="n"/>
      <c r="L203" s="138" t="n"/>
      <c r="M203" s="138" t="n"/>
      <c r="N203" s="161" t="n"/>
      <c r="O203" s="138" t="n"/>
      <c r="P203" s="148" t="n"/>
      <c r="Q203" s="145" t="n"/>
    </row>
    <row r="204" ht="93" customHeight="1">
      <c r="A204" s="143" t="n"/>
      <c r="B204" s="143" t="n"/>
      <c r="C204" s="144" t="n">
        <v>5</v>
      </c>
      <c r="D204" s="162" t="n"/>
      <c r="E204" s="163" t="n"/>
      <c r="F204" s="162" t="n"/>
      <c r="G204" s="164" t="n"/>
      <c r="H204" s="165" t="n"/>
      <c r="I204" s="166" t="n"/>
      <c r="J204" s="167" t="n"/>
      <c r="K204" s="168" t="n"/>
      <c r="L204" s="169" t="n"/>
      <c r="M204" s="168" t="n"/>
      <c r="N204" s="168" t="n"/>
      <c r="O204" s="170" t="n"/>
      <c r="P204" s="171" t="n"/>
      <c r="Q204" s="171" t="n"/>
    </row>
    <row r="205" ht="93" customHeight="1">
      <c r="A205" s="143" t="n"/>
      <c r="B205" s="143" t="n"/>
      <c r="C205" s="144" t="n">
        <v>6</v>
      </c>
      <c r="D205" s="145" t="n"/>
      <c r="E205" s="146" t="n"/>
      <c r="F205" s="145" t="n"/>
      <c r="G205" s="157" t="n"/>
      <c r="H205" s="147" t="n"/>
      <c r="I205" s="172" t="n"/>
      <c r="J205" s="159" t="n"/>
      <c r="K205" s="160" t="n"/>
      <c r="L205" s="173" t="n"/>
      <c r="M205" s="161" t="n"/>
      <c r="N205" s="161" t="n"/>
      <c r="O205" s="174" t="n"/>
      <c r="P205" s="148" t="n"/>
      <c r="Q205" s="148" t="n"/>
    </row>
    <row r="206" ht="93" customHeight="1">
      <c r="A206" s="127" t="n"/>
      <c r="B206" s="175" t="n"/>
      <c r="C206" s="144" t="n">
        <v>7</v>
      </c>
      <c r="D206" s="176" t="n"/>
      <c r="E206" s="177" t="n"/>
      <c r="F206" s="176" t="n"/>
      <c r="G206" s="178" t="n"/>
      <c r="H206" s="179" t="n"/>
      <c r="I206" s="180" t="n"/>
      <c r="J206" s="181" t="n"/>
      <c r="K206" s="182" t="n"/>
      <c r="L206" s="183" t="n"/>
      <c r="M206" s="184" t="n"/>
      <c r="N206" s="184" t="n"/>
      <c r="O206" s="185" t="n"/>
      <c r="P206" s="186" t="n"/>
      <c r="Q206" s="186" t="n"/>
    </row>
    <row r="207" ht="8.25" customHeight="1">
      <c r="A207" s="187" t="n"/>
      <c r="B207" s="188" t="n"/>
      <c r="C207" s="189" t="inlineStr">
        <is>
          <t>※ 인증마크 :</t>
        </is>
      </c>
      <c r="D207" s="190" t="n"/>
      <c r="E207" s="191" t="n"/>
      <c r="F207" s="192" t="n"/>
      <c r="G207" s="193" t="n"/>
      <c r="H207" s="194" t="n"/>
      <c r="I207" s="195" t="n"/>
      <c r="J207" s="195" t="n"/>
      <c r="K207" s="195" t="n"/>
      <c r="L207" s="195" t="n"/>
      <c r="M207" s="195" t="n"/>
      <c r="N207" s="195" t="n"/>
      <c r="O207" s="195" t="n"/>
      <c r="P207" s="196" t="inlineStr">
        <is>
          <t>◎ : 우선(의무) 구매대상</t>
        </is>
      </c>
      <c r="Q207" s="195" t="n"/>
    </row>
    <row r="208" ht="20.25" customHeight="1">
      <c r="E208" s="197" t="n"/>
    </row>
    <row r="209" ht="23.25" customHeight="1">
      <c r="A209" s="57" t="n"/>
      <c r="B209" s="58" t="n"/>
      <c r="C209" s="118" t="inlineStr">
        <is>
          <t xml:space="preserve"> □ 품목명 : </t>
        </is>
      </c>
      <c r="D209" s="59" t="n"/>
      <c r="E209" s="59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119" t="n"/>
    </row>
    <row r="210" ht="6.95" customHeight="1">
      <c r="A210" s="120" t="n"/>
      <c r="B210" s="120" t="n"/>
      <c r="C210" s="120" t="n"/>
      <c r="D210" s="121" t="n"/>
      <c r="E210" s="121" t="n"/>
      <c r="F210" s="120" t="n"/>
      <c r="G210" s="120" t="n"/>
      <c r="H210" s="120" t="n"/>
      <c r="I210" s="120" t="n"/>
      <c r="J210" s="120" t="n"/>
      <c r="K210" s="120" t="n"/>
      <c r="L210" s="120" t="n"/>
      <c r="M210" s="120" t="n"/>
      <c r="N210" s="120" t="n"/>
      <c r="O210" s="120" t="n"/>
      <c r="P210" s="120" t="n"/>
      <c r="Q210" s="122" t="n"/>
    </row>
    <row r="211" ht="20.1" customHeight="1">
      <c r="A211" s="123" t="n"/>
      <c r="B211" s="123" t="n"/>
      <c r="C211" s="124" t="inlineStr">
        <is>
          <t>구분</t>
        </is>
      </c>
      <c r="D211" s="124" t="inlineStr">
        <is>
          <t>제 조 사</t>
        </is>
      </c>
      <c r="E211" s="125" t="inlineStr">
        <is>
          <t>본  사
소재지</t>
        </is>
      </c>
      <c r="F211" s="124" t="inlineStr">
        <is>
          <t>물품식별번호</t>
        </is>
      </c>
      <c r="G211" s="124" t="inlineStr">
        <is>
          <t>단위</t>
        </is>
      </c>
      <c r="H211" s="125" t="inlineStr">
        <is>
          <t>단   가
(부가세포함)</t>
        </is>
      </c>
      <c r="I211" s="126" t="inlineStr">
        <is>
          <t>인  증  현  황</t>
        </is>
      </c>
      <c r="J211" s="62" t="n"/>
      <c r="K211" s="62" t="n"/>
      <c r="L211" s="62" t="n"/>
      <c r="M211" s="62" t="n"/>
      <c r="N211" s="62" t="n"/>
      <c r="O211" s="63" t="n"/>
      <c r="P211" s="124" t="inlineStr">
        <is>
          <t>외   형   도</t>
        </is>
      </c>
      <c r="Q211" s="124" t="inlineStr">
        <is>
          <t>비   고</t>
        </is>
      </c>
    </row>
    <row r="212" ht="20.25" customHeight="1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8" t="n"/>
      <c r="J212" s="129" t="n"/>
      <c r="K212" s="129" t="n"/>
      <c r="L212" s="129" t="n"/>
      <c r="M212" s="129" t="n"/>
      <c r="N212" s="129" t="n"/>
      <c r="O212" s="130" t="n"/>
      <c r="P212" s="127" t="n"/>
      <c r="Q212" s="127" t="n"/>
    </row>
    <row r="213" ht="93" customHeight="1">
      <c r="A213" s="131" t="n"/>
      <c r="B213" s="132" t="n"/>
      <c r="C213" s="133" t="n">
        <v>1</v>
      </c>
      <c r="D213" s="134" t="n"/>
      <c r="E213" s="135" t="n"/>
      <c r="F213" s="136" t="n"/>
      <c r="G213" s="136" t="n"/>
      <c r="H213" s="137" t="n"/>
      <c r="I213" s="138" t="n"/>
      <c r="J213" s="139" t="n"/>
      <c r="K213" s="140" t="n"/>
      <c r="L213" s="141" t="n"/>
      <c r="M213" s="138" t="n"/>
      <c r="N213" s="141" t="n"/>
      <c r="O213" s="138" t="n"/>
      <c r="P213" s="142" t="n"/>
      <c r="Q213" s="142" t="n"/>
    </row>
    <row r="214" ht="93" customHeight="1">
      <c r="A214" s="143" t="n"/>
      <c r="B214" s="143" t="n"/>
      <c r="C214" s="144" t="n">
        <v>2</v>
      </c>
      <c r="D214" s="145" t="n"/>
      <c r="E214" s="146" t="n"/>
      <c r="F214" s="145" t="n"/>
      <c r="G214" s="136" t="n"/>
      <c r="H214" s="147" t="n"/>
      <c r="I214" s="138" t="n"/>
      <c r="J214" s="138" t="n"/>
      <c r="K214" s="138" t="n"/>
      <c r="L214" s="138" t="n"/>
      <c r="M214" s="138" t="n"/>
      <c r="N214" s="138" t="n"/>
      <c r="O214" s="138" t="n"/>
      <c r="P214" s="148" t="n"/>
      <c r="Q214" s="149" t="n"/>
    </row>
    <row r="215" ht="93" customHeight="1">
      <c r="A215" s="143" t="n"/>
      <c r="B215" s="143" t="n"/>
      <c r="C215" s="144" t="n">
        <v>3</v>
      </c>
      <c r="D215" s="150" t="n"/>
      <c r="E215" s="151" t="n"/>
      <c r="F215" s="152" t="n"/>
      <c r="G215" s="136" t="n"/>
      <c r="H215" s="153" t="n"/>
      <c r="I215" s="154" t="n"/>
      <c r="J215" s="155" t="n"/>
      <c r="K215" s="156" t="n"/>
      <c r="L215" s="138" t="n"/>
      <c r="M215" s="138" t="n"/>
      <c r="N215" s="138" t="n"/>
      <c r="O215" s="155" t="n"/>
      <c r="P215" s="148" t="n"/>
      <c r="Q215" s="145" t="n"/>
    </row>
    <row r="216" ht="93" customHeight="1">
      <c r="A216" s="143" t="n"/>
      <c r="B216" s="143" t="n"/>
      <c r="C216" s="144" t="n">
        <v>4</v>
      </c>
      <c r="D216" s="145" t="n"/>
      <c r="E216" s="151" t="n"/>
      <c r="F216" s="157" t="n"/>
      <c r="G216" s="136" t="n"/>
      <c r="H216" s="153" t="n"/>
      <c r="I216" s="158" t="n"/>
      <c r="J216" s="159" t="n"/>
      <c r="K216" s="160" t="n"/>
      <c r="L216" s="138" t="n"/>
      <c r="M216" s="138" t="n"/>
      <c r="N216" s="161" t="n"/>
      <c r="O216" s="138" t="n"/>
      <c r="P216" s="148" t="n"/>
      <c r="Q216" s="145" t="n"/>
    </row>
    <row r="217" ht="93" customHeight="1">
      <c r="A217" s="143" t="n"/>
      <c r="B217" s="143" t="n"/>
      <c r="C217" s="144" t="n">
        <v>5</v>
      </c>
      <c r="D217" s="162" t="n"/>
      <c r="E217" s="163" t="n"/>
      <c r="F217" s="162" t="n"/>
      <c r="G217" s="164" t="n"/>
      <c r="H217" s="165" t="n"/>
      <c r="I217" s="166" t="n"/>
      <c r="J217" s="167" t="n"/>
      <c r="K217" s="168" t="n"/>
      <c r="L217" s="169" t="n"/>
      <c r="M217" s="168" t="n"/>
      <c r="N217" s="168" t="n"/>
      <c r="O217" s="170" t="n"/>
      <c r="P217" s="171" t="n"/>
      <c r="Q217" s="171" t="n"/>
    </row>
    <row r="218" ht="93" customHeight="1">
      <c r="A218" s="143" t="n"/>
      <c r="B218" s="143" t="n"/>
      <c r="C218" s="144" t="n">
        <v>6</v>
      </c>
      <c r="D218" s="145" t="n"/>
      <c r="E218" s="146" t="n"/>
      <c r="F218" s="145" t="n"/>
      <c r="G218" s="157" t="n"/>
      <c r="H218" s="147" t="n"/>
      <c r="I218" s="172" t="n"/>
      <c r="J218" s="159" t="n"/>
      <c r="K218" s="160" t="n"/>
      <c r="L218" s="173" t="n"/>
      <c r="M218" s="161" t="n"/>
      <c r="N218" s="161" t="n"/>
      <c r="O218" s="174" t="n"/>
      <c r="P218" s="148" t="n"/>
      <c r="Q218" s="148" t="n"/>
    </row>
    <row r="219" ht="93" customHeight="1">
      <c r="A219" s="127" t="n"/>
      <c r="B219" s="175" t="n"/>
      <c r="C219" s="144" t="n">
        <v>7</v>
      </c>
      <c r="D219" s="176" t="n"/>
      <c r="E219" s="177" t="n"/>
      <c r="F219" s="176" t="n"/>
      <c r="G219" s="178" t="n"/>
      <c r="H219" s="179" t="n"/>
      <c r="I219" s="180" t="n"/>
      <c r="J219" s="181" t="n"/>
      <c r="K219" s="182" t="n"/>
      <c r="L219" s="183" t="n"/>
      <c r="M219" s="184" t="n"/>
      <c r="N219" s="184" t="n"/>
      <c r="O219" s="185" t="n"/>
      <c r="P219" s="186" t="n"/>
      <c r="Q219" s="186" t="n"/>
    </row>
    <row r="220" ht="8.25" customHeight="1">
      <c r="A220" s="187" t="n"/>
      <c r="B220" s="188" t="n"/>
      <c r="C220" s="189" t="inlineStr">
        <is>
          <t>※ 인증마크 :</t>
        </is>
      </c>
      <c r="D220" s="190" t="n"/>
      <c r="E220" s="191" t="n"/>
      <c r="F220" s="192" t="n"/>
      <c r="G220" s="193" t="n"/>
      <c r="H220" s="194" t="n"/>
      <c r="I220" s="195" t="n"/>
      <c r="J220" s="195" t="n"/>
      <c r="K220" s="195" t="n"/>
      <c r="L220" s="195" t="n"/>
      <c r="M220" s="195" t="n"/>
      <c r="N220" s="195" t="n"/>
      <c r="O220" s="195" t="n"/>
      <c r="P220" s="196" t="inlineStr">
        <is>
          <t>◎ : 우선(의무) 구매대상</t>
        </is>
      </c>
      <c r="Q220" s="195" t="n"/>
    </row>
    <row r="221" ht="20.25" customHeight="1">
      <c r="E221" s="197" t="n"/>
    </row>
    <row r="222" ht="23.25" customHeight="1">
      <c r="A222" s="57" t="n"/>
      <c r="B222" s="58" t="n"/>
      <c r="C222" s="118" t="inlineStr">
        <is>
          <t xml:space="preserve"> □ 품목명 : </t>
        </is>
      </c>
      <c r="D222" s="59" t="n"/>
      <c r="E222" s="59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119" t="n"/>
    </row>
    <row r="223" ht="6.95" customHeight="1">
      <c r="A223" s="120" t="n"/>
      <c r="B223" s="120" t="n"/>
      <c r="C223" s="120" t="n"/>
      <c r="D223" s="121" t="n"/>
      <c r="E223" s="121" t="n"/>
      <c r="F223" s="120" t="n"/>
      <c r="G223" s="120" t="n"/>
      <c r="H223" s="120" t="n"/>
      <c r="I223" s="120" t="n"/>
      <c r="J223" s="120" t="n"/>
      <c r="K223" s="120" t="n"/>
      <c r="L223" s="120" t="n"/>
      <c r="M223" s="120" t="n"/>
      <c r="N223" s="120" t="n"/>
      <c r="O223" s="120" t="n"/>
      <c r="P223" s="120" t="n"/>
      <c r="Q223" s="122" t="n"/>
    </row>
    <row r="224" ht="20.1" customHeight="1">
      <c r="A224" s="123" t="n"/>
      <c r="B224" s="123" t="n"/>
      <c r="C224" s="124" t="inlineStr">
        <is>
          <t>구분</t>
        </is>
      </c>
      <c r="D224" s="124" t="inlineStr">
        <is>
          <t>제 조 사</t>
        </is>
      </c>
      <c r="E224" s="125" t="inlineStr">
        <is>
          <t>본  사
소재지</t>
        </is>
      </c>
      <c r="F224" s="124" t="inlineStr">
        <is>
          <t>물품식별번호</t>
        </is>
      </c>
      <c r="G224" s="124" t="inlineStr">
        <is>
          <t>단위</t>
        </is>
      </c>
      <c r="H224" s="125" t="inlineStr">
        <is>
          <t>단   가
(부가세포함)</t>
        </is>
      </c>
      <c r="I224" s="126" t="inlineStr">
        <is>
          <t>인  증  현  황</t>
        </is>
      </c>
      <c r="J224" s="62" t="n"/>
      <c r="K224" s="62" t="n"/>
      <c r="L224" s="62" t="n"/>
      <c r="M224" s="62" t="n"/>
      <c r="N224" s="62" t="n"/>
      <c r="O224" s="63" t="n"/>
      <c r="P224" s="124" t="inlineStr">
        <is>
          <t>외   형   도</t>
        </is>
      </c>
      <c r="Q224" s="124" t="inlineStr">
        <is>
          <t>비   고</t>
        </is>
      </c>
    </row>
    <row r="225" ht="20.25" customHeight="1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8" t="n"/>
      <c r="J225" s="129" t="n"/>
      <c r="K225" s="129" t="n"/>
      <c r="L225" s="129" t="n"/>
      <c r="M225" s="129" t="n"/>
      <c r="N225" s="129" t="n"/>
      <c r="O225" s="130" t="n"/>
      <c r="P225" s="127" t="n"/>
      <c r="Q225" s="127" t="n"/>
    </row>
    <row r="226" ht="93" customHeight="1">
      <c r="A226" s="131" t="n"/>
      <c r="B226" s="132" t="n"/>
      <c r="C226" s="133" t="n">
        <v>1</v>
      </c>
      <c r="D226" s="134" t="n"/>
      <c r="E226" s="135" t="n"/>
      <c r="F226" s="136" t="n"/>
      <c r="G226" s="136" t="n"/>
      <c r="H226" s="137" t="n"/>
      <c r="I226" s="138" t="n"/>
      <c r="J226" s="139" t="n"/>
      <c r="K226" s="140" t="n"/>
      <c r="L226" s="141" t="n"/>
      <c r="M226" s="138" t="n"/>
      <c r="N226" s="141" t="n"/>
      <c r="O226" s="138" t="n"/>
      <c r="P226" s="142" t="n"/>
      <c r="Q226" s="142" t="n"/>
    </row>
    <row r="227" ht="93" customHeight="1">
      <c r="A227" s="143" t="n"/>
      <c r="B227" s="143" t="n"/>
      <c r="C227" s="144" t="n">
        <v>2</v>
      </c>
      <c r="D227" s="145" t="n"/>
      <c r="E227" s="146" t="n"/>
      <c r="F227" s="145" t="n"/>
      <c r="G227" s="136" t="n"/>
      <c r="H227" s="147" t="n"/>
      <c r="I227" s="138" t="n"/>
      <c r="J227" s="138" t="n"/>
      <c r="K227" s="138" t="n"/>
      <c r="L227" s="138" t="n"/>
      <c r="M227" s="138" t="n"/>
      <c r="N227" s="138" t="n"/>
      <c r="O227" s="138" t="n"/>
      <c r="P227" s="148" t="n"/>
      <c r="Q227" s="149" t="n"/>
    </row>
    <row r="228" ht="93" customHeight="1">
      <c r="A228" s="143" t="n"/>
      <c r="B228" s="143" t="n"/>
      <c r="C228" s="144" t="n">
        <v>3</v>
      </c>
      <c r="D228" s="150" t="n"/>
      <c r="E228" s="151" t="n"/>
      <c r="F228" s="152" t="n"/>
      <c r="G228" s="136" t="n"/>
      <c r="H228" s="153" t="n"/>
      <c r="I228" s="154" t="n"/>
      <c r="J228" s="155" t="n"/>
      <c r="K228" s="156" t="n"/>
      <c r="L228" s="138" t="n"/>
      <c r="M228" s="138" t="n"/>
      <c r="N228" s="138" t="n"/>
      <c r="O228" s="155" t="n"/>
      <c r="P228" s="148" t="n"/>
      <c r="Q228" s="145" t="n"/>
    </row>
    <row r="229" ht="93" customHeight="1">
      <c r="A229" s="143" t="n"/>
      <c r="B229" s="143" t="n"/>
      <c r="C229" s="144" t="n">
        <v>4</v>
      </c>
      <c r="D229" s="145" t="n"/>
      <c r="E229" s="151" t="n"/>
      <c r="F229" s="157" t="n"/>
      <c r="G229" s="136" t="n"/>
      <c r="H229" s="153" t="n"/>
      <c r="I229" s="158" t="n"/>
      <c r="J229" s="159" t="n"/>
      <c r="K229" s="160" t="n"/>
      <c r="L229" s="138" t="n"/>
      <c r="M229" s="138" t="n"/>
      <c r="N229" s="161" t="n"/>
      <c r="O229" s="138" t="n"/>
      <c r="P229" s="148" t="n"/>
      <c r="Q229" s="145" t="n"/>
    </row>
    <row r="230" ht="93" customHeight="1">
      <c r="A230" s="143" t="n"/>
      <c r="B230" s="143" t="n"/>
      <c r="C230" s="144" t="n">
        <v>5</v>
      </c>
      <c r="D230" s="162" t="n"/>
      <c r="E230" s="163" t="n"/>
      <c r="F230" s="162" t="n"/>
      <c r="G230" s="164" t="n"/>
      <c r="H230" s="165" t="n"/>
      <c r="I230" s="166" t="n"/>
      <c r="J230" s="167" t="n"/>
      <c r="K230" s="168" t="n"/>
      <c r="L230" s="169" t="n"/>
      <c r="M230" s="168" t="n"/>
      <c r="N230" s="168" t="n"/>
      <c r="O230" s="170" t="n"/>
      <c r="P230" s="171" t="n"/>
      <c r="Q230" s="171" t="n"/>
    </row>
    <row r="231" ht="93" customHeight="1">
      <c r="A231" s="143" t="n"/>
      <c r="B231" s="143" t="n"/>
      <c r="C231" s="144" t="n">
        <v>6</v>
      </c>
      <c r="D231" s="145" t="n"/>
      <c r="E231" s="146" t="n"/>
      <c r="F231" s="145" t="n"/>
      <c r="G231" s="157" t="n"/>
      <c r="H231" s="147" t="n"/>
      <c r="I231" s="172" t="n"/>
      <c r="J231" s="159" t="n"/>
      <c r="K231" s="160" t="n"/>
      <c r="L231" s="173" t="n"/>
      <c r="M231" s="161" t="n"/>
      <c r="N231" s="161" t="n"/>
      <c r="O231" s="174" t="n"/>
      <c r="P231" s="148" t="n"/>
      <c r="Q231" s="148" t="n"/>
    </row>
    <row r="232" ht="93" customHeight="1">
      <c r="A232" s="127" t="n"/>
      <c r="B232" s="175" t="n"/>
      <c r="C232" s="144" t="n">
        <v>7</v>
      </c>
      <c r="D232" s="176" t="n"/>
      <c r="E232" s="177" t="n"/>
      <c r="F232" s="176" t="n"/>
      <c r="G232" s="178" t="n"/>
      <c r="H232" s="179" t="n"/>
      <c r="I232" s="180" t="n"/>
      <c r="J232" s="181" t="n"/>
      <c r="K232" s="182" t="n"/>
      <c r="L232" s="183" t="n"/>
      <c r="M232" s="184" t="n"/>
      <c r="N232" s="184" t="n"/>
      <c r="O232" s="185" t="n"/>
      <c r="P232" s="186" t="n"/>
      <c r="Q232" s="186" t="n"/>
    </row>
    <row r="233" ht="8.25" customHeight="1">
      <c r="A233" s="187" t="n"/>
      <c r="B233" s="188" t="n"/>
      <c r="C233" s="189" t="inlineStr">
        <is>
          <t>※ 인증마크 :</t>
        </is>
      </c>
      <c r="D233" s="190" t="n"/>
      <c r="E233" s="191" t="n"/>
      <c r="F233" s="192" t="n"/>
      <c r="G233" s="193" t="n"/>
      <c r="H233" s="194" t="n"/>
      <c r="I233" s="195" t="n"/>
      <c r="J233" s="195" t="n"/>
      <c r="K233" s="195" t="n"/>
      <c r="L233" s="195" t="n"/>
      <c r="M233" s="195" t="n"/>
      <c r="N233" s="195" t="n"/>
      <c r="O233" s="195" t="n"/>
      <c r="P233" s="196" t="inlineStr">
        <is>
          <t>◎ : 우선(의무) 구매대상</t>
        </is>
      </c>
      <c r="Q233" s="195" t="n"/>
    </row>
    <row r="234" ht="20.25" customHeight="1">
      <c r="E234" s="197" t="n"/>
    </row>
    <row r="235" ht="23.25" customHeight="1">
      <c r="A235" s="57" t="n"/>
      <c r="B235" s="58" t="n"/>
      <c r="C235" s="118" t="inlineStr">
        <is>
          <t xml:space="preserve"> □ 품목명 : </t>
        </is>
      </c>
      <c r="D235" s="59" t="n"/>
      <c r="E235" s="59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119" t="n"/>
    </row>
    <row r="236" ht="6.95" customHeight="1">
      <c r="A236" s="120" t="n"/>
      <c r="B236" s="120" t="n"/>
      <c r="C236" s="120" t="n"/>
      <c r="D236" s="121" t="n"/>
      <c r="E236" s="121" t="n"/>
      <c r="F236" s="120" t="n"/>
      <c r="G236" s="120" t="n"/>
      <c r="H236" s="120" t="n"/>
      <c r="I236" s="120" t="n"/>
      <c r="J236" s="120" t="n"/>
      <c r="K236" s="120" t="n"/>
      <c r="L236" s="120" t="n"/>
      <c r="M236" s="120" t="n"/>
      <c r="N236" s="120" t="n"/>
      <c r="O236" s="120" t="n"/>
      <c r="P236" s="120" t="n"/>
      <c r="Q236" s="122" t="n"/>
    </row>
    <row r="237" ht="20.1" customHeight="1">
      <c r="A237" s="123" t="n"/>
      <c r="B237" s="123" t="n"/>
      <c r="C237" s="124" t="inlineStr">
        <is>
          <t>구분</t>
        </is>
      </c>
      <c r="D237" s="124" t="inlineStr">
        <is>
          <t>제 조 사</t>
        </is>
      </c>
      <c r="E237" s="125" t="inlineStr">
        <is>
          <t>본  사
소재지</t>
        </is>
      </c>
      <c r="F237" s="124" t="inlineStr">
        <is>
          <t>물품식별번호</t>
        </is>
      </c>
      <c r="G237" s="124" t="inlineStr">
        <is>
          <t>단위</t>
        </is>
      </c>
      <c r="H237" s="125" t="inlineStr">
        <is>
          <t>단   가
(부가세포함)</t>
        </is>
      </c>
      <c r="I237" s="126" t="inlineStr">
        <is>
          <t>인  증  현  황</t>
        </is>
      </c>
      <c r="J237" s="62" t="n"/>
      <c r="K237" s="62" t="n"/>
      <c r="L237" s="62" t="n"/>
      <c r="M237" s="62" t="n"/>
      <c r="N237" s="62" t="n"/>
      <c r="O237" s="63" t="n"/>
      <c r="P237" s="124" t="inlineStr">
        <is>
          <t>외   형   도</t>
        </is>
      </c>
      <c r="Q237" s="124" t="inlineStr">
        <is>
          <t>비   고</t>
        </is>
      </c>
    </row>
    <row r="238" ht="20.25" customHeight="1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8" t="n"/>
      <c r="J238" s="129" t="n"/>
      <c r="K238" s="129" t="n"/>
      <c r="L238" s="129" t="n"/>
      <c r="M238" s="129" t="n"/>
      <c r="N238" s="129" t="n"/>
      <c r="O238" s="130" t="n"/>
      <c r="P238" s="127" t="n"/>
      <c r="Q238" s="127" t="n"/>
    </row>
    <row r="239" ht="93" customHeight="1">
      <c r="A239" s="131" t="n"/>
      <c r="B239" s="132" t="n"/>
      <c r="C239" s="133" t="n">
        <v>1</v>
      </c>
      <c r="D239" s="134" t="n"/>
      <c r="E239" s="135" t="n"/>
      <c r="F239" s="136" t="n"/>
      <c r="G239" s="136" t="n"/>
      <c r="H239" s="137" t="n"/>
      <c r="I239" s="138" t="n"/>
      <c r="J239" s="139" t="n"/>
      <c r="K239" s="140" t="n"/>
      <c r="L239" s="141" t="n"/>
      <c r="M239" s="138" t="n"/>
      <c r="N239" s="141" t="n"/>
      <c r="O239" s="138" t="n"/>
      <c r="P239" s="142" t="n"/>
      <c r="Q239" s="142" t="n"/>
    </row>
    <row r="240" ht="93" customHeight="1">
      <c r="A240" s="143" t="n"/>
      <c r="B240" s="143" t="n"/>
      <c r="C240" s="144" t="n">
        <v>2</v>
      </c>
      <c r="D240" s="145" t="n"/>
      <c r="E240" s="146" t="n"/>
      <c r="F240" s="145" t="n"/>
      <c r="G240" s="136" t="n"/>
      <c r="H240" s="147" t="n"/>
      <c r="I240" s="138" t="n"/>
      <c r="J240" s="138" t="n"/>
      <c r="K240" s="138" t="n"/>
      <c r="L240" s="138" t="n"/>
      <c r="M240" s="138" t="n"/>
      <c r="N240" s="138" t="n"/>
      <c r="O240" s="138" t="n"/>
      <c r="P240" s="148" t="n"/>
      <c r="Q240" s="149" t="n"/>
    </row>
    <row r="241" ht="93" customHeight="1">
      <c r="A241" s="143" t="n"/>
      <c r="B241" s="143" t="n"/>
      <c r="C241" s="144" t="n">
        <v>3</v>
      </c>
      <c r="D241" s="150" t="n"/>
      <c r="E241" s="151" t="n"/>
      <c r="F241" s="152" t="n"/>
      <c r="G241" s="136" t="n"/>
      <c r="H241" s="153" t="n"/>
      <c r="I241" s="154" t="n"/>
      <c r="J241" s="155" t="n"/>
      <c r="K241" s="156" t="n"/>
      <c r="L241" s="138" t="n"/>
      <c r="M241" s="138" t="n"/>
      <c r="N241" s="138" t="n"/>
      <c r="O241" s="155" t="n"/>
      <c r="P241" s="148" t="n"/>
      <c r="Q241" s="145" t="n"/>
    </row>
    <row r="242" ht="93" customHeight="1">
      <c r="A242" s="143" t="n"/>
      <c r="B242" s="143" t="n"/>
      <c r="C242" s="144" t="n">
        <v>4</v>
      </c>
      <c r="D242" s="145" t="n"/>
      <c r="E242" s="151" t="n"/>
      <c r="F242" s="157" t="n"/>
      <c r="G242" s="136" t="n"/>
      <c r="H242" s="153" t="n"/>
      <c r="I242" s="158" t="n"/>
      <c r="J242" s="159" t="n"/>
      <c r="K242" s="160" t="n"/>
      <c r="L242" s="138" t="n"/>
      <c r="M242" s="138" t="n"/>
      <c r="N242" s="161" t="n"/>
      <c r="O242" s="138" t="n"/>
      <c r="P242" s="148" t="n"/>
      <c r="Q242" s="145" t="n"/>
    </row>
    <row r="243" ht="93" customHeight="1">
      <c r="A243" s="143" t="n"/>
      <c r="B243" s="143" t="n"/>
      <c r="C243" s="144" t="n">
        <v>5</v>
      </c>
      <c r="D243" s="162" t="n"/>
      <c r="E243" s="163" t="n"/>
      <c r="F243" s="162" t="n"/>
      <c r="G243" s="164" t="n"/>
      <c r="H243" s="165" t="n"/>
      <c r="I243" s="166" t="n"/>
      <c r="J243" s="167" t="n"/>
      <c r="K243" s="168" t="n"/>
      <c r="L243" s="169" t="n"/>
      <c r="M243" s="168" t="n"/>
      <c r="N243" s="168" t="n"/>
      <c r="O243" s="170" t="n"/>
      <c r="P243" s="171" t="n"/>
      <c r="Q243" s="171" t="n"/>
    </row>
    <row r="244" ht="93" customHeight="1">
      <c r="A244" s="143" t="n"/>
      <c r="B244" s="143" t="n"/>
      <c r="C244" s="144" t="n">
        <v>6</v>
      </c>
      <c r="D244" s="145" t="n"/>
      <c r="E244" s="146" t="n"/>
      <c r="F244" s="145" t="n"/>
      <c r="G244" s="157" t="n"/>
      <c r="H244" s="147" t="n"/>
      <c r="I244" s="172" t="n"/>
      <c r="J244" s="159" t="n"/>
      <c r="K244" s="160" t="n"/>
      <c r="L244" s="173" t="n"/>
      <c r="M244" s="161" t="n"/>
      <c r="N244" s="161" t="n"/>
      <c r="O244" s="174" t="n"/>
      <c r="P244" s="148" t="n"/>
      <c r="Q244" s="148" t="n"/>
    </row>
    <row r="245" ht="93" customHeight="1">
      <c r="A245" s="127" t="n"/>
      <c r="B245" s="175" t="n"/>
      <c r="C245" s="144" t="n">
        <v>7</v>
      </c>
      <c r="D245" s="176" t="n"/>
      <c r="E245" s="177" t="n"/>
      <c r="F245" s="176" t="n"/>
      <c r="G245" s="178" t="n"/>
      <c r="H245" s="179" t="n"/>
      <c r="I245" s="180" t="n"/>
      <c r="J245" s="181" t="n"/>
      <c r="K245" s="182" t="n"/>
      <c r="L245" s="183" t="n"/>
      <c r="M245" s="184" t="n"/>
      <c r="N245" s="184" t="n"/>
      <c r="O245" s="185" t="n"/>
      <c r="P245" s="186" t="n"/>
      <c r="Q245" s="186" t="n"/>
    </row>
    <row r="246" ht="8.25" customHeight="1">
      <c r="A246" s="187" t="n"/>
      <c r="B246" s="188" t="n"/>
      <c r="C246" s="189" t="inlineStr">
        <is>
          <t>※ 인증마크 :</t>
        </is>
      </c>
      <c r="D246" s="190" t="n"/>
      <c r="E246" s="191" t="n"/>
      <c r="F246" s="192" t="n"/>
      <c r="G246" s="193" t="n"/>
      <c r="H246" s="194" t="n"/>
      <c r="I246" s="195" t="n"/>
      <c r="J246" s="195" t="n"/>
      <c r="K246" s="195" t="n"/>
      <c r="L246" s="195" t="n"/>
      <c r="M246" s="195" t="n"/>
      <c r="N246" s="195" t="n"/>
      <c r="O246" s="195" t="n"/>
      <c r="P246" s="196" t="inlineStr">
        <is>
          <t>◎ : 우선(의무) 구매대상</t>
        </is>
      </c>
      <c r="Q246" s="195" t="n"/>
    </row>
    <row r="247" ht="20.25" customHeight="1">
      <c r="E247" s="197" t="n"/>
    </row>
    <row r="248" ht="23.25" customHeight="1">
      <c r="A248" s="57" t="n"/>
      <c r="B248" s="58" t="n"/>
      <c r="C248" s="118" t="inlineStr">
        <is>
          <t xml:space="preserve"> □ 품목명 : </t>
        </is>
      </c>
      <c r="D248" s="59" t="n"/>
      <c r="E248" s="59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119" t="n"/>
    </row>
    <row r="249" ht="6.95" customHeight="1">
      <c r="A249" s="120" t="n"/>
      <c r="B249" s="120" t="n"/>
      <c r="C249" s="120" t="n"/>
      <c r="D249" s="121" t="n"/>
      <c r="E249" s="121" t="n"/>
      <c r="F249" s="120" t="n"/>
      <c r="G249" s="120" t="n"/>
      <c r="H249" s="120" t="n"/>
      <c r="I249" s="120" t="n"/>
      <c r="J249" s="120" t="n"/>
      <c r="K249" s="120" t="n"/>
      <c r="L249" s="120" t="n"/>
      <c r="M249" s="120" t="n"/>
      <c r="N249" s="120" t="n"/>
      <c r="O249" s="120" t="n"/>
      <c r="P249" s="120" t="n"/>
      <c r="Q249" s="122" t="n"/>
    </row>
    <row r="250" ht="20.1" customHeight="1">
      <c r="A250" s="123" t="n"/>
      <c r="B250" s="123" t="n"/>
      <c r="C250" s="124" t="inlineStr">
        <is>
          <t>구분</t>
        </is>
      </c>
      <c r="D250" s="124" t="inlineStr">
        <is>
          <t>제 조 사</t>
        </is>
      </c>
      <c r="E250" s="125" t="inlineStr">
        <is>
          <t>본  사
소재지</t>
        </is>
      </c>
      <c r="F250" s="124" t="inlineStr">
        <is>
          <t>물품식별번호</t>
        </is>
      </c>
      <c r="G250" s="124" t="inlineStr">
        <is>
          <t>단위</t>
        </is>
      </c>
      <c r="H250" s="125" t="inlineStr">
        <is>
          <t>단   가
(부가세포함)</t>
        </is>
      </c>
      <c r="I250" s="126" t="inlineStr">
        <is>
          <t>인  증  현  황</t>
        </is>
      </c>
      <c r="J250" s="62" t="n"/>
      <c r="K250" s="62" t="n"/>
      <c r="L250" s="62" t="n"/>
      <c r="M250" s="62" t="n"/>
      <c r="N250" s="62" t="n"/>
      <c r="O250" s="63" t="n"/>
      <c r="P250" s="124" t="inlineStr">
        <is>
          <t>외   형   도</t>
        </is>
      </c>
      <c r="Q250" s="124" t="inlineStr">
        <is>
          <t>비   고</t>
        </is>
      </c>
    </row>
    <row r="251" ht="20.25" customHeight="1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8" t="n"/>
      <c r="J251" s="129" t="n"/>
      <c r="K251" s="129" t="n"/>
      <c r="L251" s="129" t="n"/>
      <c r="M251" s="129" t="n"/>
      <c r="N251" s="129" t="n"/>
      <c r="O251" s="130" t="n"/>
      <c r="P251" s="127" t="n"/>
      <c r="Q251" s="127" t="n"/>
    </row>
    <row r="252" ht="93" customHeight="1">
      <c r="A252" s="131" t="n"/>
      <c r="B252" s="132" t="n"/>
      <c r="C252" s="133" t="n">
        <v>1</v>
      </c>
      <c r="D252" s="134" t="n"/>
      <c r="E252" s="135" t="n"/>
      <c r="F252" s="136" t="n"/>
      <c r="G252" s="136" t="n"/>
      <c r="H252" s="137" t="n"/>
      <c r="I252" s="138" t="n"/>
      <c r="J252" s="139" t="n"/>
      <c r="K252" s="140" t="n"/>
      <c r="L252" s="141" t="n"/>
      <c r="M252" s="138" t="n"/>
      <c r="N252" s="141" t="n"/>
      <c r="O252" s="138" t="n"/>
      <c r="P252" s="142" t="n"/>
      <c r="Q252" s="142" t="n"/>
    </row>
    <row r="253" ht="93" customHeight="1">
      <c r="A253" s="143" t="n"/>
      <c r="B253" s="143" t="n"/>
      <c r="C253" s="144" t="n">
        <v>2</v>
      </c>
      <c r="D253" s="145" t="n"/>
      <c r="E253" s="146" t="n"/>
      <c r="F253" s="145" t="n"/>
      <c r="G253" s="136" t="n"/>
      <c r="H253" s="147" t="n"/>
      <c r="I253" s="138" t="n"/>
      <c r="J253" s="138" t="n"/>
      <c r="K253" s="138" t="n"/>
      <c r="L253" s="138" t="n"/>
      <c r="M253" s="138" t="n"/>
      <c r="N253" s="138" t="n"/>
      <c r="O253" s="138" t="n"/>
      <c r="P253" s="148" t="n"/>
      <c r="Q253" s="149" t="n"/>
    </row>
    <row r="254" ht="93" customHeight="1">
      <c r="A254" s="143" t="n"/>
      <c r="B254" s="143" t="n"/>
      <c r="C254" s="144" t="n">
        <v>3</v>
      </c>
      <c r="D254" s="150" t="n"/>
      <c r="E254" s="151" t="n"/>
      <c r="F254" s="152" t="n"/>
      <c r="G254" s="136" t="n"/>
      <c r="H254" s="153" t="n"/>
      <c r="I254" s="154" t="n"/>
      <c r="J254" s="155" t="n"/>
      <c r="K254" s="156" t="n"/>
      <c r="L254" s="138" t="n"/>
      <c r="M254" s="138" t="n"/>
      <c r="N254" s="138" t="n"/>
      <c r="O254" s="155" t="n"/>
      <c r="P254" s="148" t="n"/>
      <c r="Q254" s="145" t="n"/>
    </row>
    <row r="255" ht="93" customHeight="1">
      <c r="A255" s="143" t="n"/>
      <c r="B255" s="143" t="n"/>
      <c r="C255" s="144" t="n">
        <v>4</v>
      </c>
      <c r="D255" s="145" t="n"/>
      <c r="E255" s="151" t="n"/>
      <c r="F255" s="157" t="n"/>
      <c r="G255" s="136" t="n"/>
      <c r="H255" s="153" t="n"/>
      <c r="I255" s="158" t="n"/>
      <c r="J255" s="159" t="n"/>
      <c r="K255" s="160" t="n"/>
      <c r="L255" s="138" t="n"/>
      <c r="M255" s="138" t="n"/>
      <c r="N255" s="161" t="n"/>
      <c r="O255" s="138" t="n"/>
      <c r="P255" s="148" t="n"/>
      <c r="Q255" s="145" t="n"/>
    </row>
    <row r="256" ht="93" customHeight="1">
      <c r="A256" s="143" t="n"/>
      <c r="B256" s="143" t="n"/>
      <c r="C256" s="144" t="n">
        <v>5</v>
      </c>
      <c r="D256" s="162" t="n"/>
      <c r="E256" s="163" t="n"/>
      <c r="F256" s="162" t="n"/>
      <c r="G256" s="164" t="n"/>
      <c r="H256" s="165" t="n"/>
      <c r="I256" s="166" t="n"/>
      <c r="J256" s="167" t="n"/>
      <c r="K256" s="168" t="n"/>
      <c r="L256" s="169" t="n"/>
      <c r="M256" s="168" t="n"/>
      <c r="N256" s="168" t="n"/>
      <c r="O256" s="170" t="n"/>
      <c r="P256" s="171" t="n"/>
      <c r="Q256" s="171" t="n"/>
    </row>
    <row r="257" ht="93" customHeight="1">
      <c r="A257" s="143" t="n"/>
      <c r="B257" s="143" t="n"/>
      <c r="C257" s="144" t="n">
        <v>6</v>
      </c>
      <c r="D257" s="145" t="n"/>
      <c r="E257" s="146" t="n"/>
      <c r="F257" s="145" t="n"/>
      <c r="G257" s="157" t="n"/>
      <c r="H257" s="147" t="n"/>
      <c r="I257" s="172" t="n"/>
      <c r="J257" s="159" t="n"/>
      <c r="K257" s="160" t="n"/>
      <c r="L257" s="173" t="n"/>
      <c r="M257" s="161" t="n"/>
      <c r="N257" s="161" t="n"/>
      <c r="O257" s="174" t="n"/>
      <c r="P257" s="148" t="n"/>
      <c r="Q257" s="148" t="n"/>
    </row>
    <row r="258" ht="93" customHeight="1">
      <c r="A258" s="127" t="n"/>
      <c r="B258" s="175" t="n"/>
      <c r="C258" s="144" t="n">
        <v>7</v>
      </c>
      <c r="D258" s="176" t="n"/>
      <c r="E258" s="177" t="n"/>
      <c r="F258" s="176" t="n"/>
      <c r="G258" s="178" t="n"/>
      <c r="H258" s="179" t="n"/>
      <c r="I258" s="180" t="n"/>
      <c r="J258" s="181" t="n"/>
      <c r="K258" s="182" t="n"/>
      <c r="L258" s="183" t="n"/>
      <c r="M258" s="184" t="n"/>
      <c r="N258" s="184" t="n"/>
      <c r="O258" s="185" t="n"/>
      <c r="P258" s="186" t="n"/>
      <c r="Q258" s="186" t="n"/>
    </row>
    <row r="259" ht="8.25" customHeight="1">
      <c r="A259" s="187" t="n"/>
      <c r="B259" s="188" t="n"/>
      <c r="C259" s="189" t="inlineStr">
        <is>
          <t>※ 인증마크 :</t>
        </is>
      </c>
      <c r="D259" s="190" t="n"/>
      <c r="E259" s="191" t="n"/>
      <c r="F259" s="192" t="n"/>
      <c r="G259" s="193" t="n"/>
      <c r="H259" s="194" t="n"/>
      <c r="I259" s="195" t="n"/>
      <c r="J259" s="195" t="n"/>
      <c r="K259" s="195" t="n"/>
      <c r="L259" s="195" t="n"/>
      <c r="M259" s="195" t="n"/>
      <c r="N259" s="195" t="n"/>
      <c r="O259" s="195" t="n"/>
      <c r="P259" s="196" t="inlineStr">
        <is>
          <t>◎ : 우선(의무) 구매대상</t>
        </is>
      </c>
      <c r="Q259" s="195" t="n"/>
    </row>
    <row r="260" ht="20.25" customHeight="1">
      <c r="E260" s="197" t="n"/>
    </row>
  </sheetData>
  <mergeCells count="300">
    <mergeCell ref="B57:B63"/>
    <mergeCell ref="F237:F238"/>
    <mergeCell ref="A174:A180"/>
    <mergeCell ref="F133:F134"/>
    <mergeCell ref="A250:A251"/>
    <mergeCell ref="C250:C251"/>
    <mergeCell ref="F198:F199"/>
    <mergeCell ref="I250:O250"/>
    <mergeCell ref="C146:C147"/>
    <mergeCell ref="C29:C30"/>
    <mergeCell ref="F3:F4"/>
    <mergeCell ref="C129:D130"/>
    <mergeCell ref="C94:C95"/>
    <mergeCell ref="F55:F56"/>
    <mergeCell ref="A16:A17"/>
    <mergeCell ref="P77:P78"/>
    <mergeCell ref="H55:H56"/>
    <mergeCell ref="C16:C17"/>
    <mergeCell ref="B42:B43"/>
    <mergeCell ref="I172:O172"/>
    <mergeCell ref="C194:D195"/>
    <mergeCell ref="C207:D208"/>
    <mergeCell ref="A200:A206"/>
    <mergeCell ref="B29:B30"/>
    <mergeCell ref="C51:D52"/>
    <mergeCell ref="I94:O94"/>
    <mergeCell ref="A122:A128"/>
    <mergeCell ref="G3:G4"/>
    <mergeCell ref="H159:H160"/>
    <mergeCell ref="F42:F43"/>
    <mergeCell ref="C211:C212"/>
    <mergeCell ref="G68:G69"/>
    <mergeCell ref="F94:F95"/>
    <mergeCell ref="D16:D17"/>
    <mergeCell ref="H94:H95"/>
    <mergeCell ref="C155:D156"/>
    <mergeCell ref="F81:F82"/>
    <mergeCell ref="I133:O133"/>
    <mergeCell ref="C38:D39"/>
    <mergeCell ref="H81:H82"/>
    <mergeCell ref="P185:P186"/>
    <mergeCell ref="B83:B89"/>
    <mergeCell ref="B211:B212"/>
    <mergeCell ref="C77:D78"/>
    <mergeCell ref="A96:A102"/>
    <mergeCell ref="P233:P234"/>
    <mergeCell ref="B135:B141"/>
    <mergeCell ref="A161:A167"/>
    <mergeCell ref="A83:A89"/>
    <mergeCell ref="A148:A154"/>
    <mergeCell ref="P103:P104"/>
    <mergeCell ref="C220:D221"/>
    <mergeCell ref="A31:A37"/>
    <mergeCell ref="F120:F121"/>
    <mergeCell ref="P168:P169"/>
    <mergeCell ref="P224:P225"/>
    <mergeCell ref="H120:H121"/>
    <mergeCell ref="I185:O185"/>
    <mergeCell ref="B185:B186"/>
    <mergeCell ref="Q237:Q238"/>
    <mergeCell ref="D250:D251"/>
    <mergeCell ref="B70:B76"/>
    <mergeCell ref="F250:F251"/>
    <mergeCell ref="A187:A193"/>
    <mergeCell ref="P259:P260"/>
    <mergeCell ref="Q3:Q4"/>
    <mergeCell ref="P129:P130"/>
    <mergeCell ref="D172:D173"/>
    <mergeCell ref="C246:D247"/>
    <mergeCell ref="B159:B160"/>
    <mergeCell ref="F16:F17"/>
    <mergeCell ref="C142:D143"/>
    <mergeCell ref="H172:H173"/>
    <mergeCell ref="F68:F69"/>
    <mergeCell ref="P25:P26"/>
    <mergeCell ref="C25:D26"/>
    <mergeCell ref="H68:H69"/>
    <mergeCell ref="Q146:Q147"/>
    <mergeCell ref="F172:F173"/>
    <mergeCell ref="I107:O107"/>
    <mergeCell ref="P51:P52"/>
    <mergeCell ref="C12:D13"/>
    <mergeCell ref="G185:G186"/>
    <mergeCell ref="E185:E186"/>
    <mergeCell ref="Q185:Q186"/>
    <mergeCell ref="E55:E56"/>
    <mergeCell ref="B3:B4"/>
    <mergeCell ref="I211:O211"/>
    <mergeCell ref="A239:A245"/>
    <mergeCell ref="F146:F147"/>
    <mergeCell ref="Q55:Q56"/>
    <mergeCell ref="A135:A141"/>
    <mergeCell ref="H211:H212"/>
    <mergeCell ref="P90:P91"/>
    <mergeCell ref="A18:A24"/>
    <mergeCell ref="H133:H134"/>
    <mergeCell ref="E224:E225"/>
    <mergeCell ref="A5:A11"/>
    <mergeCell ref="G224:G225"/>
    <mergeCell ref="Q159:Q160"/>
    <mergeCell ref="E211:E212"/>
    <mergeCell ref="Q224:Q225"/>
    <mergeCell ref="Q211:Q212"/>
    <mergeCell ref="A109:A115"/>
    <mergeCell ref="Q94:Q95"/>
    <mergeCell ref="D3:D4"/>
    <mergeCell ref="Q81:Q82"/>
    <mergeCell ref="P107:P108"/>
    <mergeCell ref="P220:P221"/>
    <mergeCell ref="C233:D234"/>
    <mergeCell ref="P116:P117"/>
    <mergeCell ref="P181:P182"/>
    <mergeCell ref="A44:A50"/>
    <mergeCell ref="C120:C121"/>
    <mergeCell ref="E120:E121"/>
    <mergeCell ref="E172:E173"/>
    <mergeCell ref="I198:O198"/>
    <mergeCell ref="B198:B199"/>
    <mergeCell ref="Q250:Q251"/>
    <mergeCell ref="C64:D65"/>
    <mergeCell ref="B55:B56"/>
    <mergeCell ref="D55:D56"/>
    <mergeCell ref="Q172:Q173"/>
    <mergeCell ref="Q16:Q17"/>
    <mergeCell ref="E159:E160"/>
    <mergeCell ref="A68:A69"/>
    <mergeCell ref="H198:H199"/>
    <mergeCell ref="C259:D260"/>
    <mergeCell ref="P142:P143"/>
    <mergeCell ref="H185:H186"/>
    <mergeCell ref="I159:O159"/>
    <mergeCell ref="E146:E147"/>
    <mergeCell ref="E198:E199"/>
    <mergeCell ref="E81:E82"/>
    <mergeCell ref="C3:C4"/>
    <mergeCell ref="D159:D160"/>
    <mergeCell ref="P64:P65"/>
    <mergeCell ref="E3:E4"/>
    <mergeCell ref="G198:G199"/>
    <mergeCell ref="C68:C69"/>
    <mergeCell ref="B94:B95"/>
    <mergeCell ref="Q198:Q199"/>
    <mergeCell ref="E68:E69"/>
    <mergeCell ref="D94:D95"/>
    <mergeCell ref="B16:B17"/>
    <mergeCell ref="B81:B82"/>
    <mergeCell ref="A107:A108"/>
    <mergeCell ref="Q107:Q108"/>
    <mergeCell ref="D81:D82"/>
    <mergeCell ref="C107:C108"/>
    <mergeCell ref="Q133:Q134"/>
    <mergeCell ref="Q68:Q69"/>
    <mergeCell ref="P207:P208"/>
    <mergeCell ref="A252:A258"/>
    <mergeCell ref="H224:H225"/>
    <mergeCell ref="A94:A95"/>
    <mergeCell ref="P81:P82"/>
    <mergeCell ref="P194:P195"/>
    <mergeCell ref="H146:H147"/>
    <mergeCell ref="H29:H30"/>
    <mergeCell ref="P38:P39"/>
    <mergeCell ref="C90:D91"/>
    <mergeCell ref="B224:B225"/>
    <mergeCell ref="C42:C43"/>
    <mergeCell ref="G237:G238"/>
    <mergeCell ref="B44:B50"/>
    <mergeCell ref="E42:E43"/>
    <mergeCell ref="G42:G43"/>
    <mergeCell ref="E29:E30"/>
    <mergeCell ref="Q42:Q43"/>
    <mergeCell ref="P159:P160"/>
    <mergeCell ref="Q29:Q30"/>
    <mergeCell ref="P120:P121"/>
    <mergeCell ref="P155:P156"/>
    <mergeCell ref="B226:B232"/>
    <mergeCell ref="B250:B251"/>
    <mergeCell ref="E94:E95"/>
    <mergeCell ref="B107:B108"/>
    <mergeCell ref="D107:D108"/>
    <mergeCell ref="G55:G56"/>
    <mergeCell ref="B172:B173"/>
    <mergeCell ref="B68:B69"/>
    <mergeCell ref="A120:A121"/>
    <mergeCell ref="A185:A186"/>
    <mergeCell ref="D68:D69"/>
    <mergeCell ref="I120:O120"/>
    <mergeCell ref="H237:H238"/>
    <mergeCell ref="P172:P173"/>
    <mergeCell ref="E250:E251"/>
    <mergeCell ref="H16:H17"/>
    <mergeCell ref="G250:G251"/>
    <mergeCell ref="P3:P4"/>
    <mergeCell ref="B122:B128"/>
    <mergeCell ref="H3:H4"/>
    <mergeCell ref="P12:P13"/>
    <mergeCell ref="B146:B147"/>
    <mergeCell ref="I224:O224"/>
    <mergeCell ref="D211:D212"/>
    <mergeCell ref="G94:G95"/>
    <mergeCell ref="B133:B134"/>
    <mergeCell ref="E16:E17"/>
    <mergeCell ref="D42:D43"/>
    <mergeCell ref="D133:D134"/>
    <mergeCell ref="G16:G17"/>
    <mergeCell ref="G81:G82"/>
    <mergeCell ref="Q120:Q121"/>
    <mergeCell ref="D29:D30"/>
    <mergeCell ref="P146:P147"/>
    <mergeCell ref="A159:A160"/>
    <mergeCell ref="F29:F30"/>
    <mergeCell ref="A211:A212"/>
    <mergeCell ref="P133:P134"/>
    <mergeCell ref="P211:P212"/>
    <mergeCell ref="A224:A225"/>
    <mergeCell ref="I146:O146"/>
    <mergeCell ref="C224:C225"/>
    <mergeCell ref="B96:B102"/>
    <mergeCell ref="A70:A76"/>
    <mergeCell ref="P198:P199"/>
    <mergeCell ref="B161:B167"/>
    <mergeCell ref="I3:O3"/>
    <mergeCell ref="H42:H43"/>
    <mergeCell ref="P55:P56"/>
    <mergeCell ref="G159:G160"/>
    <mergeCell ref="B148:B154"/>
    <mergeCell ref="I68:O68"/>
    <mergeCell ref="C185:C186"/>
    <mergeCell ref="I55:O55"/>
    <mergeCell ref="G120:G121"/>
    <mergeCell ref="P237:P238"/>
    <mergeCell ref="A172:A173"/>
    <mergeCell ref="C172:C173"/>
    <mergeCell ref="P246:P247"/>
    <mergeCell ref="P94:P95"/>
    <mergeCell ref="B187:B193"/>
    <mergeCell ref="I29:O29"/>
    <mergeCell ref="B239:B245"/>
    <mergeCell ref="E107:E108"/>
    <mergeCell ref="G107:G108"/>
    <mergeCell ref="D198:D199"/>
    <mergeCell ref="B120:B121"/>
    <mergeCell ref="A146:A147"/>
    <mergeCell ref="G172:G173"/>
    <mergeCell ref="D120:D121"/>
    <mergeCell ref="D185:D186"/>
    <mergeCell ref="A237:A238"/>
    <mergeCell ref="A133:A134"/>
    <mergeCell ref="B5:B11"/>
    <mergeCell ref="A57:A63"/>
    <mergeCell ref="C133:C134"/>
    <mergeCell ref="F185:F186"/>
    <mergeCell ref="A198:A199"/>
    <mergeCell ref="C198:C199"/>
    <mergeCell ref="H250:H251"/>
    <mergeCell ref="A3:A4"/>
    <mergeCell ref="C181:D182"/>
    <mergeCell ref="B174:B180"/>
    <mergeCell ref="A55:A56"/>
    <mergeCell ref="C55:C56"/>
    <mergeCell ref="I81:O81"/>
    <mergeCell ref="P16:P17"/>
    <mergeCell ref="G146:G147"/>
    <mergeCell ref="E133:E134"/>
    <mergeCell ref="G133:G134"/>
    <mergeCell ref="F159:F160"/>
    <mergeCell ref="D224:D225"/>
    <mergeCell ref="G29:G30"/>
    <mergeCell ref="F224:F225"/>
    <mergeCell ref="D146:D147"/>
    <mergeCell ref="C237:C238"/>
    <mergeCell ref="F211:F212"/>
    <mergeCell ref="E237:E238"/>
    <mergeCell ref="C159:C160"/>
    <mergeCell ref="A42:A43"/>
    <mergeCell ref="B213:B219"/>
    <mergeCell ref="I237:O237"/>
    <mergeCell ref="C116:D117"/>
    <mergeCell ref="A29:A30"/>
    <mergeCell ref="B109:B115"/>
    <mergeCell ref="B200:B206"/>
    <mergeCell ref="A81:A82"/>
    <mergeCell ref="A226:A232"/>
    <mergeCell ref="C103:D104"/>
    <mergeCell ref="C81:C82"/>
    <mergeCell ref="I16:O16"/>
    <mergeCell ref="B252:B258"/>
    <mergeCell ref="P68:P69"/>
    <mergeCell ref="B31:B37"/>
    <mergeCell ref="G211:G212"/>
    <mergeCell ref="A213:A219"/>
    <mergeCell ref="B18:B24"/>
    <mergeCell ref="P250:P251"/>
    <mergeCell ref="B237:B238"/>
    <mergeCell ref="F107:F108"/>
    <mergeCell ref="H107:H108"/>
    <mergeCell ref="P42:P43"/>
    <mergeCell ref="C168:D169"/>
    <mergeCell ref="P29:P30"/>
    <mergeCell ref="I42:O42"/>
    <mergeCell ref="D237:D238"/>
  </mergeCells>
  <printOptions horizontalCentered="1" verticalCentered="1"/>
  <pageMargins left="0.2362204724409449" right="0.2362204724409449" top="0.3543307086614174" bottom="0.3543307086614174" header="0.3149606299212598" footer="0.3149606299212598"/>
  <pageSetup orientation="landscape" paperSize="9" scale="70"/>
  <rowBreaks count="19" manualBreakCount="19">
    <brk id="13" min="0" max="16383" man="1"/>
    <brk id="26" min="0" max="16383" man="1"/>
    <brk id="39" min="0" max="16383" man="1"/>
    <brk id="52" min="0" max="16383" man="1"/>
    <brk id="65" min="0" max="16383" man="1"/>
    <brk id="78" min="0" max="16383" man="1"/>
    <brk id="91" min="0" max="16383" man="1"/>
    <brk id="104" min="0" max="16383" man="1"/>
    <brk id="117" min="0" max="16383" man="1"/>
    <brk id="130" min="0" max="16383" man="1"/>
    <brk id="143" min="0" max="16383" man="1"/>
    <brk id="156" min="0" max="16383" man="1"/>
    <brk id="169" min="0" max="16383" man="1"/>
    <brk id="182" min="0" max="16383" man="1"/>
    <brk id="195" min="0" max="16383" man="1"/>
    <brk id="208" min="0" max="16383" man="1"/>
    <brk id="221" min="0" max="16383" man="1"/>
    <brk id="234" min="0" max="16383" man="1"/>
    <brk id="247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26"/>
  <sheetViews>
    <sheetView zoomScale="70" workbookViewId="0">
      <selection activeCell="A1" sqref="A1"/>
    </sheetView>
  </sheetViews>
  <sheetFormatPr baseColWidth="8" defaultRowHeight="15"/>
  <cols>
    <col width="20.625" customWidth="1" min="1" max="1"/>
    <col width="30.625" customWidth="1" min="2" max="2"/>
    <col width="8.75" customWidth="1" min="3" max="3"/>
    <col width="13.375" customWidth="1" min="4" max="4"/>
    <col width="10.625" customWidth="1" min="5" max="5"/>
    <col width="10.625" customWidth="1" min="6" max="6"/>
    <col width="13.375" customWidth="1" min="7" max="7"/>
    <col width="14.625" customWidth="1" min="8" max="8"/>
    <col width="20.625" customWidth="1" min="9" max="9"/>
    <col width="21.625" customWidth="1" min="10" max="10"/>
    <col width="7.625" customWidth="1" min="11" max="11"/>
    <col width="7.625" customWidth="1" min="12" max="12"/>
    <col width="7.625" customWidth="1" min="13" max="13"/>
    <col width="7.625" customWidth="1" min="14" max="14"/>
    <col width="7.625" customWidth="1" min="15" max="15"/>
    <col width="7.625" customWidth="1" min="16" max="16"/>
    <col width="7.625" customWidth="1" min="17" max="17"/>
    <col width="14.625" customWidth="1" min="18" max="18"/>
    <col width="20.625" customWidth="1" min="19" max="19"/>
    <col width="21.625" customWidth="1" min="20" max="20"/>
    <col width="7.625" customWidth="1" min="21" max="21"/>
    <col width="7.625" customWidth="1" min="22" max="22"/>
    <col width="7.625" customWidth="1" min="23" max="23"/>
    <col width="7.625" customWidth="1" min="24" max="24"/>
    <col width="7.625" customWidth="1" min="25" max="25"/>
    <col width="7.625" customWidth="1" min="26" max="26"/>
    <col width="7.625" customWidth="1" min="27" max="27"/>
    <col width="14.625" customWidth="1" min="28" max="28"/>
    <col width="20.625" customWidth="1" min="29" max="29"/>
    <col width="21.625" customWidth="1" min="30" max="30"/>
    <col width="7.625" customWidth="1" min="31" max="31"/>
    <col width="7.625" customWidth="1" min="32" max="32"/>
    <col width="7.625" customWidth="1" min="33" max="33"/>
    <col width="7.625" customWidth="1" min="34" max="34"/>
    <col width="7.625" customWidth="1" min="35" max="35"/>
    <col width="7.625" customWidth="1" min="36" max="36"/>
    <col width="7.625" customWidth="1" min="37" max="37"/>
    <col hidden="1" width="14.625" customWidth="1" min="38" max="38"/>
    <col hidden="1" width="13.375" customWidth="1" min="39" max="39"/>
    <col hidden="1" width="19.625" customWidth="1" min="40" max="40"/>
    <col hidden="1" width="7.625" customWidth="1" min="41" max="41"/>
    <col hidden="1" width="7.625" customWidth="1" min="42" max="42"/>
    <col hidden="1" width="7.625" customWidth="1" min="43" max="43"/>
    <col hidden="1" width="7.625" customWidth="1" min="44" max="44"/>
    <col hidden="1" width="7.625" customWidth="1" min="45" max="45"/>
    <col hidden="1" width="7.625" customWidth="1" min="46" max="46"/>
    <col hidden="1" width="7.625" customWidth="1" min="47" max="47"/>
    <col hidden="1" width="14.625" customWidth="1" min="48" max="48"/>
    <col hidden="1" width="13.375" customWidth="1" min="49" max="49"/>
    <col hidden="1" width="19.625" customWidth="1" min="50" max="50"/>
    <col hidden="1" width="7.625" customWidth="1" min="51" max="51"/>
    <col hidden="1" width="7.625" customWidth="1" min="52" max="52"/>
    <col hidden="1" width="7.625" customWidth="1" min="53" max="53"/>
    <col hidden="1" width="7.625" customWidth="1" min="54" max="54"/>
    <col hidden="1" width="7.625" customWidth="1" min="55" max="55"/>
    <col hidden="1" width="7.625" customWidth="1" min="56" max="56"/>
    <col hidden="1" width="7.625" customWidth="1" min="57" max="57"/>
    <col width="20.625" customWidth="1" min="58" max="58"/>
  </cols>
  <sheetData>
    <row r="1" ht="54" customHeight="1">
      <c r="A1" s="198" t="inlineStr">
        <is>
          <t>관급자재 조달단가 및 인증현황 조사표</t>
        </is>
      </c>
    </row>
    <row r="2" ht="48.75" customHeight="1">
      <c r="A2" s="199" t="n"/>
      <c r="B2" s="199" t="n"/>
      <c r="C2" s="199" t="n"/>
      <c r="D2" s="199" t="n"/>
      <c r="E2" s="199" t="n"/>
      <c r="F2" s="199" t="n"/>
      <c r="G2" s="199" t="n"/>
      <c r="H2" s="199" t="n"/>
      <c r="I2" s="199" t="n"/>
      <c r="J2" s="199" t="n"/>
      <c r="K2" s="199" t="n"/>
      <c r="L2" s="199" t="n"/>
      <c r="M2" s="199" t="n"/>
      <c r="N2" s="199" t="n"/>
      <c r="O2" s="199" t="n"/>
      <c r="P2" s="199" t="n"/>
      <c r="Q2" s="199" t="n"/>
      <c r="R2" s="199" t="n"/>
      <c r="S2" s="199" t="n"/>
      <c r="T2" s="199" t="n"/>
      <c r="U2" s="199" t="n"/>
      <c r="V2" s="199" t="n"/>
      <c r="W2" s="199" t="n"/>
      <c r="X2" s="199" t="n"/>
      <c r="Y2" s="199" t="n"/>
      <c r="Z2" s="199" t="n"/>
      <c r="AA2" s="199" t="n"/>
      <c r="AB2" s="199" t="n"/>
      <c r="AC2" s="199" t="n"/>
      <c r="AD2" s="199" t="n"/>
      <c r="AE2" s="199" t="n"/>
      <c r="AF2" s="200" t="n"/>
      <c r="AJ2" s="199" t="n"/>
      <c r="AK2" s="199" t="n"/>
      <c r="AL2" s="199" t="n"/>
      <c r="AM2" s="199" t="n"/>
      <c r="AN2" s="199" t="n"/>
      <c r="AO2" s="199" t="n"/>
      <c r="AP2" s="201" t="n"/>
      <c r="AQ2" s="201" t="n"/>
      <c r="AR2" s="201" t="n"/>
      <c r="AS2" s="201" t="n"/>
      <c r="AT2" s="201" t="n"/>
      <c r="AU2" s="201" t="n"/>
      <c r="AV2" s="199" t="n"/>
      <c r="AW2" s="199" t="n"/>
      <c r="AX2" s="199" t="n"/>
      <c r="AY2" s="199" t="n"/>
      <c r="AZ2" s="201" t="n"/>
      <c r="BA2" s="201" t="n"/>
      <c r="BB2" s="201" t="n"/>
      <c r="BC2" s="201" t="n"/>
      <c r="BD2" s="202" t="inlineStr">
        <is>
          <t>◎ : 우선(의무) 구매대상</t>
        </is>
      </c>
      <c r="BE2" s="201" t="n"/>
      <c r="BF2" s="201" t="n"/>
    </row>
    <row r="3" ht="39.95" customHeight="1">
      <c r="A3" s="203" t="inlineStr">
        <is>
          <t>품    명</t>
        </is>
      </c>
      <c r="B3" s="203" t="inlineStr">
        <is>
          <t>규    격</t>
        </is>
      </c>
      <c r="C3" s="203" t="inlineStr">
        <is>
          <t>단 위</t>
        </is>
      </c>
      <c r="D3" s="204" t="inlineStr">
        <is>
          <t>수  량</t>
        </is>
      </c>
      <c r="E3" s="190" t="n"/>
      <c r="F3" s="190" t="n"/>
      <c r="G3" s="205" t="n"/>
      <c r="H3" s="206">
        <f>'관급단가 비교표'!D5</f>
        <v/>
      </c>
      <c r="I3" s="62" t="n"/>
      <c r="J3" s="62" t="n"/>
      <c r="K3" s="62" t="n"/>
      <c r="L3" s="62" t="n"/>
      <c r="M3" s="62" t="n"/>
      <c r="N3" s="62" t="n"/>
      <c r="O3" s="62" t="n"/>
      <c r="P3" s="62" t="n"/>
      <c r="Q3" s="207" t="n"/>
      <c r="R3" s="208" t="n"/>
      <c r="S3" s="209">
        <f>'관급단가 비교표'!D6</f>
        <v/>
      </c>
      <c r="T3" s="62" t="n"/>
      <c r="U3" s="62" t="n"/>
      <c r="V3" s="62" t="n"/>
      <c r="W3" s="62" t="n"/>
      <c r="X3" s="62" t="n"/>
      <c r="Y3" s="62" t="n"/>
      <c r="Z3" s="62" t="n"/>
      <c r="AA3" s="63" t="n"/>
      <c r="AB3" s="210">
        <f>'관급단가 비교표'!D7</f>
        <v/>
      </c>
      <c r="AC3" s="62" t="n"/>
      <c r="AD3" s="62" t="n"/>
      <c r="AE3" s="62" t="n"/>
      <c r="AF3" s="62" t="n"/>
      <c r="AG3" s="62" t="n"/>
      <c r="AH3" s="62" t="n"/>
      <c r="AI3" s="62" t="n"/>
      <c r="AJ3" s="62" t="n"/>
      <c r="AK3" s="211" t="n"/>
      <c r="AL3" s="212" t="n"/>
      <c r="AM3" s="62" t="n"/>
      <c r="AN3" s="62" t="n"/>
      <c r="AO3" s="62" t="n"/>
      <c r="AP3" s="62" t="n"/>
      <c r="AQ3" s="62" t="n"/>
      <c r="AR3" s="62" t="n"/>
      <c r="AS3" s="62" t="n"/>
      <c r="AT3" s="62" t="n"/>
      <c r="AU3" s="213" t="n"/>
      <c r="AV3" s="214" t="n"/>
      <c r="AW3" s="62" t="n"/>
      <c r="AX3" s="62" t="n"/>
      <c r="AY3" s="62" t="n"/>
      <c r="AZ3" s="62" t="n"/>
      <c r="BA3" s="62" t="n"/>
      <c r="BB3" s="62" t="n"/>
      <c r="BC3" s="62" t="n"/>
      <c r="BD3" s="62" t="n"/>
      <c r="BE3" s="213" t="n"/>
      <c r="BF3" s="215" t="inlineStr">
        <is>
          <t>평균단가</t>
        </is>
      </c>
    </row>
    <row r="4" ht="85.5" customHeight="1">
      <c r="A4" s="127" t="n"/>
      <c r="B4" s="127" t="n"/>
      <c r="C4" s="127" t="n"/>
      <c r="D4" s="216" t="inlineStr">
        <is>
          <t>치악재</t>
        </is>
      </c>
      <c r="E4" s="217" t="n"/>
      <c r="F4" s="217" t="n"/>
      <c r="G4" s="218" t="inlineStr">
        <is>
          <t>계</t>
        </is>
      </c>
      <c r="H4" s="219" t="inlineStr">
        <is>
          <t>물품번호</t>
        </is>
      </c>
      <c r="I4" s="217" t="inlineStr">
        <is>
          <t>단 가</t>
        </is>
      </c>
      <c r="J4" s="217" t="inlineStr">
        <is>
          <t>금 액</t>
        </is>
      </c>
      <c r="K4" s="220" t="inlineStr">
        <is>
          <t>품질
보증
조달
물품</t>
        </is>
      </c>
      <c r="L4" s="221" t="inlineStr">
        <is>
          <t>KS</t>
        </is>
      </c>
      <c r="M4" s="220" t="inlineStr">
        <is>
          <t>성능
인증
제품</t>
        </is>
      </c>
      <c r="N4" s="220" t="inlineStr">
        <is>
          <t>여성
기업</t>
        </is>
      </c>
      <c r="O4" s="220" t="inlineStr">
        <is>
          <t>소상
공인</t>
        </is>
      </c>
      <c r="P4" s="220" t="inlineStr">
        <is>
          <t>우수조달물품</t>
        </is>
      </c>
      <c r="Q4" s="222" t="inlineStr">
        <is>
          <t>G-P
ASS
기업</t>
        </is>
      </c>
      <c r="R4" s="219" t="inlineStr">
        <is>
          <t>물품번호</t>
        </is>
      </c>
      <c r="S4" s="217" t="inlineStr">
        <is>
          <t>단 가</t>
        </is>
      </c>
      <c r="T4" s="217" t="inlineStr">
        <is>
          <t>금 액</t>
        </is>
      </c>
      <c r="U4" s="220" t="inlineStr">
        <is>
          <t>품질
보증
조달
물품</t>
        </is>
      </c>
      <c r="V4" s="221" t="inlineStr">
        <is>
          <t>KS</t>
        </is>
      </c>
      <c r="W4" s="220" t="inlineStr">
        <is>
          <t>성능
인증
제품</t>
        </is>
      </c>
      <c r="X4" s="220" t="inlineStr">
        <is>
          <t>여성
기업</t>
        </is>
      </c>
      <c r="Y4" s="220" t="inlineStr">
        <is>
          <t>소상
공인</t>
        </is>
      </c>
      <c r="Z4" s="220" t="inlineStr">
        <is>
          <t>G-P
ASS
기업</t>
        </is>
      </c>
      <c r="AA4" s="222" t="inlineStr">
        <is>
          <t>장애
인기
업제
품</t>
        </is>
      </c>
      <c r="AB4" s="223" t="inlineStr">
        <is>
          <t>물품번호</t>
        </is>
      </c>
      <c r="AC4" s="224" t="inlineStr">
        <is>
          <t>단 가</t>
        </is>
      </c>
      <c r="AD4" s="225" t="inlineStr">
        <is>
          <t>금 액</t>
        </is>
      </c>
      <c r="AE4" s="220" t="inlineStr">
        <is>
          <t>품질
보증
조달
물품</t>
        </is>
      </c>
      <c r="AF4" s="221" t="inlineStr">
        <is>
          <t>KS</t>
        </is>
      </c>
      <c r="AG4" s="220" t="inlineStr">
        <is>
          <t>성능
인증
제품</t>
        </is>
      </c>
      <c r="AH4" s="220" t="inlineStr">
        <is>
          <t>여성
기업</t>
        </is>
      </c>
      <c r="AI4" s="220" t="inlineStr">
        <is>
          <t>소상
공인</t>
        </is>
      </c>
      <c r="AJ4" s="220" t="inlineStr">
        <is>
          <t>G-P
ASS
기업</t>
        </is>
      </c>
      <c r="AK4" s="226" t="inlineStr">
        <is>
          <t>장애
인기
업제
품</t>
        </is>
      </c>
      <c r="AL4" s="227" t="inlineStr">
        <is>
          <t>물품번호</t>
        </is>
      </c>
      <c r="AM4" s="217" t="inlineStr">
        <is>
          <t>단 가</t>
        </is>
      </c>
      <c r="AN4" s="217" t="inlineStr">
        <is>
          <t>금 액</t>
        </is>
      </c>
      <c r="AO4" s="220" t="inlineStr">
        <is>
          <t>품질
보증
조달
물품</t>
        </is>
      </c>
      <c r="AP4" s="217" t="inlineStr">
        <is>
          <t>KS</t>
        </is>
      </c>
      <c r="AQ4" s="228" t="inlineStr">
        <is>
          <t>성능
인증
제품</t>
        </is>
      </c>
      <c r="AR4" s="228" t="inlineStr">
        <is>
          <t>여성
기업</t>
        </is>
      </c>
      <c r="AS4" s="228" t="inlineStr">
        <is>
          <t>소상
공인</t>
        </is>
      </c>
      <c r="AT4" s="228" t="inlineStr">
        <is>
          <t>G-P
ASS
기업</t>
        </is>
      </c>
      <c r="AU4" s="229" t="inlineStr">
        <is>
          <t>장애
인기
업제
품</t>
        </is>
      </c>
      <c r="AV4" s="227" t="inlineStr">
        <is>
          <t>물품번호</t>
        </is>
      </c>
      <c r="AW4" s="217" t="inlineStr">
        <is>
          <t>단 가</t>
        </is>
      </c>
      <c r="AX4" s="217" t="inlineStr">
        <is>
          <t>금 액</t>
        </is>
      </c>
      <c r="AY4" s="220" t="inlineStr">
        <is>
          <t>품질
보증
조달
물품</t>
        </is>
      </c>
      <c r="AZ4" s="217" t="inlineStr">
        <is>
          <t>KS</t>
        </is>
      </c>
      <c r="BA4" s="228" t="inlineStr">
        <is>
          <t>성능
인증
제품</t>
        </is>
      </c>
      <c r="BB4" s="228" t="inlineStr">
        <is>
          <t>여성
기업</t>
        </is>
      </c>
      <c r="BC4" s="228" t="inlineStr">
        <is>
          <t>소상
공인</t>
        </is>
      </c>
      <c r="BD4" s="228" t="inlineStr">
        <is>
          <t>G-P
ASS
기업</t>
        </is>
      </c>
      <c r="BE4" s="230" t="inlineStr">
        <is>
          <t>장애
인기
업제
품</t>
        </is>
      </c>
      <c r="BF4" s="231" t="inlineStr">
        <is>
          <t>(최저단가 제외)</t>
        </is>
      </c>
    </row>
    <row r="5" ht="41.25" customHeight="1">
      <c r="A5" s="232" t="inlineStr">
        <is>
          <t>인 증 마 크</t>
        </is>
      </c>
      <c r="B5" s="233" t="n"/>
      <c r="C5" s="234" t="n"/>
      <c r="D5" s="235" t="n"/>
      <c r="E5" s="236" t="n"/>
      <c r="F5" s="236" t="n"/>
      <c r="G5" s="237" t="n"/>
      <c r="H5" s="235" t="n"/>
      <c r="I5" s="236" t="n"/>
      <c r="J5" s="236" t="n"/>
      <c r="K5" s="238" t="n"/>
      <c r="L5" s="239" t="n"/>
      <c r="M5" s="238" t="n"/>
      <c r="N5" s="238" t="n"/>
      <c r="O5" s="238" t="n"/>
      <c r="P5" s="238" t="n"/>
      <c r="Q5" s="240" t="n"/>
      <c r="R5" s="235" t="n"/>
      <c r="S5" s="236" t="n"/>
      <c r="T5" s="236" t="n"/>
      <c r="U5" s="238" t="n"/>
      <c r="V5" s="239" t="n"/>
      <c r="W5" s="238" t="n"/>
      <c r="X5" s="238" t="n"/>
      <c r="Y5" s="238" t="n"/>
      <c r="Z5" s="238" t="n"/>
      <c r="AA5" s="240" t="n"/>
      <c r="AB5" s="241" t="n"/>
      <c r="AC5" s="242" t="n"/>
      <c r="AD5" s="243" t="n"/>
      <c r="AE5" s="244" t="n"/>
      <c r="AF5" s="239" t="n"/>
      <c r="AG5" s="238" t="n"/>
      <c r="AH5" s="238" t="n"/>
      <c r="AI5" s="238" t="n"/>
      <c r="AJ5" s="238" t="n"/>
      <c r="AK5" s="245" t="n"/>
      <c r="AL5" s="246" t="n"/>
      <c r="AM5" s="236" t="n"/>
      <c r="AN5" s="236" t="n"/>
      <c r="AO5" s="238" t="n"/>
      <c r="AP5" s="236" t="n"/>
      <c r="AQ5" s="247" t="n"/>
      <c r="AR5" s="247" t="n"/>
      <c r="AS5" s="247" t="n"/>
      <c r="AT5" s="247" t="n"/>
      <c r="AU5" s="248" t="n"/>
      <c r="AV5" s="246" t="n"/>
      <c r="AW5" s="236" t="n"/>
      <c r="AX5" s="236" t="n"/>
      <c r="AY5" s="238" t="n"/>
      <c r="AZ5" s="236" t="n"/>
      <c r="BA5" s="247" t="n"/>
      <c r="BB5" s="247" t="n"/>
      <c r="BC5" s="247" t="n"/>
      <c r="BD5" s="247" t="n"/>
      <c r="BE5" s="249" t="n"/>
      <c r="BF5" s="250" t="n"/>
    </row>
    <row r="6" ht="96" customHeight="1">
      <c r="A6" s="251" t="n"/>
      <c r="B6" s="252" t="n"/>
      <c r="C6" s="253" t="n"/>
      <c r="D6" s="254">
        <f>IF(A6="","",구매내역현황!N10)</f>
        <v/>
      </c>
      <c r="E6" s="254" t="n"/>
      <c r="F6" s="254" t="n"/>
      <c r="G6" s="255">
        <f>IF(A6="","",D6)</f>
        <v/>
      </c>
      <c r="H6" s="256">
        <f>IF('관급단가 비교표'!F5="","",'관급단가 비교표'!F5)</f>
        <v/>
      </c>
      <c r="I6" s="257">
        <f>IF('관급단가 비교표'!H5="","",'관급단가 비교표'!H5)</f>
        <v/>
      </c>
      <c r="J6" s="257">
        <f>IF(OR(A6="",I6=""),"",TRUNC($G6*I6))</f>
        <v/>
      </c>
      <c r="K6" s="258" t="n"/>
      <c r="L6" s="259" t="n"/>
      <c r="M6" s="260" t="n"/>
      <c r="N6" s="261" t="n"/>
      <c r="O6" s="261" t="n"/>
      <c r="P6" s="261" t="n"/>
      <c r="Q6" s="262" t="n"/>
      <c r="R6" s="263">
        <f>IF('관급단가 비교표'!F6="","",'관급단가 비교표'!F6)</f>
        <v/>
      </c>
      <c r="S6" s="257">
        <f>IF('관급단가 비교표'!H6="","",'관급단가 비교표'!H6)</f>
        <v/>
      </c>
      <c r="T6" s="257">
        <f>IF(OR(A6="",S6=""),"",TRUNC($G6*S6))</f>
        <v/>
      </c>
      <c r="U6" s="261" t="n"/>
      <c r="V6" s="261" t="n"/>
      <c r="W6" s="261" t="n"/>
      <c r="X6" s="261" t="n"/>
      <c r="Y6" s="261" t="n"/>
      <c r="Z6" s="261" t="n"/>
      <c r="AA6" s="264" t="n"/>
      <c r="AB6" s="265">
        <f>IF('관급단가 비교표'!F7="","",'관급단가 비교표'!F7)</f>
        <v/>
      </c>
      <c r="AC6" s="266">
        <f>IF('관급단가 비교표'!H7="","",'관급단가 비교표'!H7)</f>
        <v/>
      </c>
      <c r="AD6" s="266">
        <f>IF(OR(A6="",AC6=""),"",TRUNC($G6*AC6))</f>
        <v/>
      </c>
      <c r="AE6" s="267" t="n"/>
      <c r="AF6" s="267" t="n"/>
      <c r="AG6" s="267" t="n"/>
      <c r="AH6" s="267" t="n"/>
      <c r="AI6" s="267" t="n"/>
      <c r="AJ6" s="267" t="n"/>
      <c r="AK6" s="268" t="n"/>
      <c r="AL6" s="263" t="n"/>
      <c r="AM6" s="257" t="n"/>
      <c r="AN6" s="257" t="n"/>
      <c r="AO6" s="269" t="n"/>
      <c r="AP6" s="270" t="n"/>
      <c r="AQ6" s="269" t="n"/>
      <c r="AR6" s="271" t="n"/>
      <c r="AS6" s="271" t="n"/>
      <c r="AT6" s="271" t="n"/>
      <c r="AU6" s="272" t="n"/>
      <c r="AV6" s="263" t="n"/>
      <c r="AW6" s="257" t="n"/>
      <c r="AX6" s="257" t="n"/>
      <c r="AY6" s="269" t="n"/>
      <c r="AZ6" s="270" t="n"/>
      <c r="BA6" s="269" t="n"/>
      <c r="BB6" s="271" t="n"/>
      <c r="BC6" s="271" t="n"/>
      <c r="BD6" s="271" t="n"/>
      <c r="BE6" s="273" t="n"/>
      <c r="BF6" s="274">
        <f>IF(A6="","",TRUNC(AVERAGE(S6,AC6),0))</f>
        <v/>
      </c>
    </row>
    <row r="7" ht="96" customHeight="1">
      <c r="A7" s="251" t="n"/>
      <c r="B7" s="252" t="n"/>
      <c r="C7" s="253" t="n"/>
      <c r="D7" s="254">
        <f>IF(A7="","",구매내역현황!N11)</f>
        <v/>
      </c>
      <c r="E7" s="254" t="n"/>
      <c r="F7" s="254" t="n"/>
      <c r="G7" s="255">
        <f>IF(A7="","",D7)</f>
        <v/>
      </c>
      <c r="H7" s="256">
        <f>IF('관급단가 비교표'!F18="","",'관급단가 비교표'!F18)</f>
        <v/>
      </c>
      <c r="I7" s="257">
        <f>IF('관급단가 비교표'!H18="","",'관급단가 비교표'!H18)</f>
        <v/>
      </c>
      <c r="J7" s="257">
        <f>IF(OR(A7="",I7=""),"",TRUNC($G7*I7))</f>
        <v/>
      </c>
      <c r="K7" s="258" t="n"/>
      <c r="L7" s="259" t="n"/>
      <c r="M7" s="260" t="n"/>
      <c r="N7" s="261" t="n"/>
      <c r="O7" s="261" t="n"/>
      <c r="P7" s="261" t="n"/>
      <c r="Q7" s="262" t="n"/>
      <c r="R7" s="263">
        <f>IF('관급단가 비교표'!F19="","",'관급단가 비교표'!F19)</f>
        <v/>
      </c>
      <c r="S7" s="257">
        <f>IF('관급단가 비교표'!H19="","",'관급단가 비교표'!H19)</f>
        <v/>
      </c>
      <c r="T7" s="257">
        <f>IF(OR(A7="",S7=""),"",TRUNC($G7*S7))</f>
        <v/>
      </c>
      <c r="U7" s="261" t="n"/>
      <c r="V7" s="261" t="n"/>
      <c r="W7" s="261" t="n"/>
      <c r="X7" s="261" t="n"/>
      <c r="Y7" s="261" t="n"/>
      <c r="Z7" s="261" t="n"/>
      <c r="AA7" s="264" t="n"/>
      <c r="AB7" s="265">
        <f>IF('관급단가 비교표'!F20="","",'관급단가 비교표'!F20)</f>
        <v/>
      </c>
      <c r="AC7" s="266">
        <f>IF('관급단가 비교표'!H20="","",'관급단가 비교표'!H20)</f>
        <v/>
      </c>
      <c r="AD7" s="266">
        <f>IF(OR(A7="",AC7=""),"",TRUNC($G7*AC7))</f>
        <v/>
      </c>
      <c r="AE7" s="267" t="n"/>
      <c r="AF7" s="267" t="n"/>
      <c r="AG7" s="267" t="n"/>
      <c r="AH7" s="267" t="n"/>
      <c r="AI7" s="267" t="n"/>
      <c r="AJ7" s="267" t="n"/>
      <c r="AK7" s="268" t="n"/>
      <c r="AL7" s="263" t="n"/>
      <c r="AM7" s="257" t="n"/>
      <c r="AN7" s="257" t="n"/>
      <c r="AO7" s="269" t="n"/>
      <c r="AP7" s="270" t="n"/>
      <c r="AQ7" s="269" t="n"/>
      <c r="AR7" s="271" t="n"/>
      <c r="AS7" s="271" t="n"/>
      <c r="AT7" s="271" t="n"/>
      <c r="AU7" s="272" t="n"/>
      <c r="AV7" s="263" t="n"/>
      <c r="AW7" s="257" t="n"/>
      <c r="AX7" s="257" t="n"/>
      <c r="AY7" s="269" t="n"/>
      <c r="AZ7" s="270" t="n"/>
      <c r="BA7" s="269" t="n"/>
      <c r="BB7" s="271" t="n"/>
      <c r="BC7" s="271" t="n"/>
      <c r="BD7" s="271" t="n"/>
      <c r="BE7" s="273" t="n"/>
      <c r="BF7" s="274">
        <f>IF(A7="","",TRUNC(AVERAGE(S7,AC7),0))</f>
        <v/>
      </c>
    </row>
    <row r="8" ht="96" customHeight="1">
      <c r="A8" s="251" t="n"/>
      <c r="B8" s="252" t="n"/>
      <c r="C8" s="253" t="n"/>
      <c r="D8" s="254">
        <f>IF(A8="","",구매내역현황!N12)</f>
        <v/>
      </c>
      <c r="E8" s="254" t="n"/>
      <c r="F8" s="254" t="n"/>
      <c r="G8" s="255">
        <f>IF(A8="","",D8)</f>
        <v/>
      </c>
      <c r="H8" s="256">
        <f>IF('관급단가 비교표'!F31="","",'관급단가 비교표'!F31)</f>
        <v/>
      </c>
      <c r="I8" s="257">
        <f>IF('관급단가 비교표'!H31="","",'관급단가 비교표'!H31)</f>
        <v/>
      </c>
      <c r="J8" s="257">
        <f>IF(OR(A8="",I8=""),"",TRUNC($G8*I8))</f>
        <v/>
      </c>
      <c r="K8" s="258" t="n"/>
      <c r="L8" s="259" t="n"/>
      <c r="M8" s="260" t="n"/>
      <c r="N8" s="261" t="n"/>
      <c r="O8" s="261" t="n"/>
      <c r="P8" s="261" t="n"/>
      <c r="Q8" s="262" t="n"/>
      <c r="R8" s="263">
        <f>IF('관급단가 비교표'!F32="","",'관급단가 비교표'!F32)</f>
        <v/>
      </c>
      <c r="S8" s="257">
        <f>IF('관급단가 비교표'!H32="","",'관급단가 비교표'!H32)</f>
        <v/>
      </c>
      <c r="T8" s="257">
        <f>IF(OR(A8="",S8=""),"",TRUNC($G8*S8))</f>
        <v/>
      </c>
      <c r="U8" s="261" t="n"/>
      <c r="V8" s="261" t="n"/>
      <c r="W8" s="261" t="n"/>
      <c r="X8" s="261" t="n"/>
      <c r="Y8" s="261" t="n"/>
      <c r="Z8" s="261" t="n"/>
      <c r="AA8" s="264" t="n"/>
      <c r="AB8" s="265">
        <f>IF('관급단가 비교표'!F33="","",'관급단가 비교표'!F33)</f>
        <v/>
      </c>
      <c r="AC8" s="266">
        <f>IF('관급단가 비교표'!H33="","",'관급단가 비교표'!H33)</f>
        <v/>
      </c>
      <c r="AD8" s="266">
        <f>IF(OR(A8="",AC8=""),"",TRUNC($G8*AC8))</f>
        <v/>
      </c>
      <c r="AE8" s="267" t="n"/>
      <c r="AF8" s="267" t="n"/>
      <c r="AG8" s="267" t="n"/>
      <c r="AH8" s="267" t="n"/>
      <c r="AI8" s="267" t="n"/>
      <c r="AJ8" s="267" t="n"/>
      <c r="AK8" s="268" t="n"/>
      <c r="AL8" s="263" t="n"/>
      <c r="AM8" s="257" t="n"/>
      <c r="AN8" s="257" t="n"/>
      <c r="AO8" s="269" t="n"/>
      <c r="AP8" s="270" t="n"/>
      <c r="AQ8" s="269" t="n"/>
      <c r="AR8" s="271" t="n"/>
      <c r="AS8" s="271" t="n"/>
      <c r="AT8" s="271" t="n"/>
      <c r="AU8" s="272" t="n"/>
      <c r="AV8" s="263" t="n"/>
      <c r="AW8" s="257" t="n"/>
      <c r="AX8" s="257" t="n"/>
      <c r="AY8" s="269" t="n"/>
      <c r="AZ8" s="270" t="n"/>
      <c r="BA8" s="269" t="n"/>
      <c r="BB8" s="271" t="n"/>
      <c r="BC8" s="271" t="n"/>
      <c r="BD8" s="271" t="n"/>
      <c r="BE8" s="273" t="n"/>
      <c r="BF8" s="274">
        <f>IF(A8="","",TRUNC(AVERAGE(S8,AC8),0))</f>
        <v/>
      </c>
    </row>
    <row r="9" ht="96" customHeight="1">
      <c r="A9" s="251" t="n"/>
      <c r="B9" s="252" t="n"/>
      <c r="C9" s="253" t="n"/>
      <c r="D9" s="254">
        <f>IF(A9="","",구매내역현황!N13)</f>
        <v/>
      </c>
      <c r="E9" s="254" t="n"/>
      <c r="F9" s="254" t="n"/>
      <c r="G9" s="255">
        <f>IF(A9="","",D9)</f>
        <v/>
      </c>
      <c r="H9" s="256">
        <f>IF('관급단가 비교표'!F44="","",'관급단가 비교표'!F44)</f>
        <v/>
      </c>
      <c r="I9" s="257">
        <f>IF('관급단가 비교표'!H44="","",'관급단가 비교표'!H44)</f>
        <v/>
      </c>
      <c r="J9" s="257">
        <f>IF(OR(A9="",I9=""),"",TRUNC($G9*I9))</f>
        <v/>
      </c>
      <c r="K9" s="258" t="n"/>
      <c r="L9" s="259" t="n"/>
      <c r="M9" s="260" t="n"/>
      <c r="N9" s="261" t="n"/>
      <c r="O9" s="261" t="n"/>
      <c r="P9" s="261" t="n"/>
      <c r="Q9" s="262" t="n"/>
      <c r="R9" s="263">
        <f>IF('관급단가 비교표'!F45="","",'관급단가 비교표'!F45)</f>
        <v/>
      </c>
      <c r="S9" s="257">
        <f>IF('관급단가 비교표'!H45="","",'관급단가 비교표'!H45)</f>
        <v/>
      </c>
      <c r="T9" s="257">
        <f>IF(OR(A9="",S9=""),"",TRUNC($G9*S9))</f>
        <v/>
      </c>
      <c r="U9" s="261" t="n"/>
      <c r="V9" s="261" t="n"/>
      <c r="W9" s="261" t="n"/>
      <c r="X9" s="261" t="n"/>
      <c r="Y9" s="261" t="n"/>
      <c r="Z9" s="261" t="n"/>
      <c r="AA9" s="264" t="n"/>
      <c r="AB9" s="265">
        <f>IF('관급단가 비교표'!F46="","",'관급단가 비교표'!F46)</f>
        <v/>
      </c>
      <c r="AC9" s="266">
        <f>IF('관급단가 비교표'!H46="","",'관급단가 비교표'!H46)</f>
        <v/>
      </c>
      <c r="AD9" s="266">
        <f>IF(OR(A9="",AC9=""),"",TRUNC($G9*AC9))</f>
        <v/>
      </c>
      <c r="AE9" s="267" t="n"/>
      <c r="AF9" s="267" t="n"/>
      <c r="AG9" s="267" t="n"/>
      <c r="AH9" s="267" t="n"/>
      <c r="AI9" s="267" t="n"/>
      <c r="AJ9" s="267" t="n"/>
      <c r="AK9" s="268" t="n"/>
      <c r="AL9" s="263" t="n"/>
      <c r="AM9" s="257" t="n"/>
      <c r="AN9" s="257" t="n"/>
      <c r="AO9" s="269" t="n"/>
      <c r="AP9" s="270" t="n"/>
      <c r="AQ9" s="269" t="n"/>
      <c r="AR9" s="271" t="n"/>
      <c r="AS9" s="271" t="n"/>
      <c r="AT9" s="271" t="n"/>
      <c r="AU9" s="272" t="n"/>
      <c r="AV9" s="263" t="n"/>
      <c r="AW9" s="257" t="n"/>
      <c r="AX9" s="257" t="n"/>
      <c r="AY9" s="269" t="n"/>
      <c r="AZ9" s="270" t="n"/>
      <c r="BA9" s="269" t="n"/>
      <c r="BB9" s="271" t="n"/>
      <c r="BC9" s="271" t="n"/>
      <c r="BD9" s="271" t="n"/>
      <c r="BE9" s="273" t="n"/>
      <c r="BF9" s="274">
        <f>IF(A9="","",TRUNC(AVERAGE(S9,AC9),0))</f>
        <v/>
      </c>
    </row>
    <row r="10" ht="96" customHeight="1">
      <c r="A10" s="251" t="n"/>
      <c r="B10" s="252" t="n"/>
      <c r="C10" s="253" t="n"/>
      <c r="D10" s="254">
        <f>IF(A10="","",구매내역현황!N14)</f>
        <v/>
      </c>
      <c r="E10" s="254" t="n"/>
      <c r="F10" s="254" t="n"/>
      <c r="G10" s="255">
        <f>IF(A10="","",D10)</f>
        <v/>
      </c>
      <c r="H10" s="256">
        <f>IF('관급단가 비교표'!F57="","",'관급단가 비교표'!F57)</f>
        <v/>
      </c>
      <c r="I10" s="257">
        <f>IF('관급단가 비교표'!H57="","",'관급단가 비교표'!H57)</f>
        <v/>
      </c>
      <c r="J10" s="257">
        <f>IF(OR(A10="",I10=""),"",TRUNC($G10*I10))</f>
        <v/>
      </c>
      <c r="K10" s="258" t="n"/>
      <c r="L10" s="259" t="n"/>
      <c r="M10" s="260" t="n"/>
      <c r="N10" s="261" t="n"/>
      <c r="O10" s="261" t="n"/>
      <c r="P10" s="261" t="n"/>
      <c r="Q10" s="262" t="n"/>
      <c r="R10" s="263">
        <f>IF('관급단가 비교표'!F58="","",'관급단가 비교표'!F58)</f>
        <v/>
      </c>
      <c r="S10" s="257">
        <f>IF('관급단가 비교표'!H58="","",'관급단가 비교표'!H58)</f>
        <v/>
      </c>
      <c r="T10" s="257">
        <f>IF(OR(A10="",S10=""),"",TRUNC($G10*S10))</f>
        <v/>
      </c>
      <c r="U10" s="261" t="n"/>
      <c r="V10" s="261" t="n"/>
      <c r="W10" s="261" t="n"/>
      <c r="X10" s="261" t="n"/>
      <c r="Y10" s="261" t="n"/>
      <c r="Z10" s="261" t="n"/>
      <c r="AA10" s="264" t="n"/>
      <c r="AB10" s="265">
        <f>IF('관급단가 비교표'!F59="","",'관급단가 비교표'!F59)</f>
        <v/>
      </c>
      <c r="AC10" s="266">
        <f>IF('관급단가 비교표'!H59="","",'관급단가 비교표'!H59)</f>
        <v/>
      </c>
      <c r="AD10" s="266">
        <f>IF(OR(A10="",AC10=""),"",TRUNC($G10*AC10))</f>
        <v/>
      </c>
      <c r="AE10" s="267" t="n"/>
      <c r="AF10" s="267" t="n"/>
      <c r="AG10" s="267" t="n"/>
      <c r="AH10" s="267" t="n"/>
      <c r="AI10" s="267" t="n"/>
      <c r="AJ10" s="267" t="n"/>
      <c r="AK10" s="268" t="n"/>
      <c r="AL10" s="263" t="n"/>
      <c r="AM10" s="257" t="n"/>
      <c r="AN10" s="257" t="n"/>
      <c r="AO10" s="269" t="n"/>
      <c r="AP10" s="270" t="n"/>
      <c r="AQ10" s="269" t="n"/>
      <c r="AR10" s="271" t="n"/>
      <c r="AS10" s="271" t="n"/>
      <c r="AT10" s="271" t="n"/>
      <c r="AU10" s="272" t="n"/>
      <c r="AV10" s="263" t="n"/>
      <c r="AW10" s="257" t="n"/>
      <c r="AX10" s="257" t="n"/>
      <c r="AY10" s="269" t="n"/>
      <c r="AZ10" s="270" t="n"/>
      <c r="BA10" s="269" t="n"/>
      <c r="BB10" s="271" t="n"/>
      <c r="BC10" s="271" t="n"/>
      <c r="BD10" s="271" t="n"/>
      <c r="BE10" s="273" t="n"/>
      <c r="BF10" s="274">
        <f>IF(A10="","",TRUNC(AVERAGE(S10,AC10),0))</f>
        <v/>
      </c>
    </row>
    <row r="11" ht="96" customHeight="1">
      <c r="A11" s="251" t="n"/>
      <c r="B11" s="252" t="n"/>
      <c r="C11" s="253" t="n"/>
      <c r="D11" s="254">
        <f>IF(A11="","",구매내역현황!N15)</f>
        <v/>
      </c>
      <c r="E11" s="254" t="n"/>
      <c r="F11" s="254" t="n"/>
      <c r="G11" s="255">
        <f>IF(A11="","",D11)</f>
        <v/>
      </c>
      <c r="H11" s="256">
        <f>IF('관급단가 비교표'!F70="","",'관급단가 비교표'!F70)</f>
        <v/>
      </c>
      <c r="I11" s="257">
        <f>IF('관급단가 비교표'!H70="","",'관급단가 비교표'!H70)</f>
        <v/>
      </c>
      <c r="J11" s="257">
        <f>IF(OR(A11="",I11=""),"",TRUNC($G11*I11))</f>
        <v/>
      </c>
      <c r="K11" s="258" t="n"/>
      <c r="L11" s="259" t="n"/>
      <c r="M11" s="260" t="n"/>
      <c r="N11" s="261" t="n"/>
      <c r="O11" s="261" t="n"/>
      <c r="P11" s="261" t="n"/>
      <c r="Q11" s="262" t="n"/>
      <c r="R11" s="263">
        <f>IF('관급단가 비교표'!F71="","",'관급단가 비교표'!F71)</f>
        <v/>
      </c>
      <c r="S11" s="257">
        <f>IF('관급단가 비교표'!H71="","",'관급단가 비교표'!H71)</f>
        <v/>
      </c>
      <c r="T11" s="257">
        <f>IF(OR(A11="",S11=""),"",TRUNC($G11*S11))</f>
        <v/>
      </c>
      <c r="U11" s="261" t="n"/>
      <c r="V11" s="261" t="n"/>
      <c r="W11" s="261" t="n"/>
      <c r="X11" s="261" t="n"/>
      <c r="Y11" s="261" t="n"/>
      <c r="Z11" s="261" t="n"/>
      <c r="AA11" s="264" t="n"/>
      <c r="AB11" s="265">
        <f>IF('관급단가 비교표'!F72="","",'관급단가 비교표'!F72)</f>
        <v/>
      </c>
      <c r="AC11" s="266">
        <f>IF('관급단가 비교표'!H72="","",'관급단가 비교표'!H72)</f>
        <v/>
      </c>
      <c r="AD11" s="266">
        <f>IF(OR(A11="",AC11=""),"",TRUNC($G11*AC11))</f>
        <v/>
      </c>
      <c r="AE11" s="267" t="n"/>
      <c r="AF11" s="267" t="n"/>
      <c r="AG11" s="267" t="n"/>
      <c r="AH11" s="267" t="n"/>
      <c r="AI11" s="267" t="n"/>
      <c r="AJ11" s="267" t="n"/>
      <c r="AK11" s="268" t="n"/>
      <c r="AL11" s="263" t="n"/>
      <c r="AM11" s="257" t="n"/>
      <c r="AN11" s="257" t="n"/>
      <c r="AO11" s="269" t="n"/>
      <c r="AP11" s="270" t="n"/>
      <c r="AQ11" s="269" t="n"/>
      <c r="AR11" s="271" t="n"/>
      <c r="AS11" s="271" t="n"/>
      <c r="AT11" s="271" t="n"/>
      <c r="AU11" s="272" t="n"/>
      <c r="AV11" s="263" t="n"/>
      <c r="AW11" s="257" t="n"/>
      <c r="AX11" s="257" t="n"/>
      <c r="AY11" s="269" t="n"/>
      <c r="AZ11" s="270" t="n"/>
      <c r="BA11" s="269" t="n"/>
      <c r="BB11" s="271" t="n"/>
      <c r="BC11" s="271" t="n"/>
      <c r="BD11" s="271" t="n"/>
      <c r="BE11" s="273" t="n"/>
      <c r="BF11" s="274">
        <f>IF(A11="","",TRUNC(AVERAGE(S11,AC11),0))</f>
        <v/>
      </c>
    </row>
    <row r="12" ht="96" customHeight="1">
      <c r="A12" s="251" t="n"/>
      <c r="B12" s="252" t="n"/>
      <c r="C12" s="253" t="n"/>
      <c r="D12" s="254">
        <f>IF(A12="","",구매내역현황!N16)</f>
        <v/>
      </c>
      <c r="E12" s="254" t="n"/>
      <c r="F12" s="254" t="n"/>
      <c r="G12" s="255">
        <f>IF(A12="","",D12)</f>
        <v/>
      </c>
      <c r="H12" s="256">
        <f>IF('관급단가 비교표'!F83="","",'관급단가 비교표'!F83)</f>
        <v/>
      </c>
      <c r="I12" s="257">
        <f>IF('관급단가 비교표'!H83="","",'관급단가 비교표'!H83)</f>
        <v/>
      </c>
      <c r="J12" s="257">
        <f>IF(OR(A12="",I12=""),"",TRUNC($G12*I12))</f>
        <v/>
      </c>
      <c r="K12" s="258" t="n"/>
      <c r="L12" s="259" t="n"/>
      <c r="M12" s="260" t="n"/>
      <c r="N12" s="261" t="n"/>
      <c r="O12" s="261" t="n"/>
      <c r="P12" s="261" t="n"/>
      <c r="Q12" s="262" t="n"/>
      <c r="R12" s="263">
        <f>IF('관급단가 비교표'!F84="","",'관급단가 비교표'!F84)</f>
        <v/>
      </c>
      <c r="S12" s="257">
        <f>IF('관급단가 비교표'!H84="","",'관급단가 비교표'!H84)</f>
        <v/>
      </c>
      <c r="T12" s="257">
        <f>IF(OR(A12="",S12=""),"",TRUNC($G12*S12))</f>
        <v/>
      </c>
      <c r="U12" s="261" t="n"/>
      <c r="V12" s="261" t="n"/>
      <c r="W12" s="261" t="n"/>
      <c r="X12" s="261" t="n"/>
      <c r="Y12" s="261" t="n"/>
      <c r="Z12" s="261" t="n"/>
      <c r="AA12" s="264" t="n"/>
      <c r="AB12" s="265">
        <f>IF('관급단가 비교표'!F85="","",'관급단가 비교표'!F85)</f>
        <v/>
      </c>
      <c r="AC12" s="266">
        <f>IF('관급단가 비교표'!H85="","",'관급단가 비교표'!H85)</f>
        <v/>
      </c>
      <c r="AD12" s="266">
        <f>IF(OR(A12="",AC12=""),"",TRUNC($G12*AC12))</f>
        <v/>
      </c>
      <c r="AE12" s="267" t="n"/>
      <c r="AF12" s="267" t="n"/>
      <c r="AG12" s="267" t="n"/>
      <c r="AH12" s="267" t="n"/>
      <c r="AI12" s="267" t="n"/>
      <c r="AJ12" s="267" t="n"/>
      <c r="AK12" s="268" t="n"/>
      <c r="AL12" s="263" t="n"/>
      <c r="AM12" s="257" t="n"/>
      <c r="AN12" s="257" t="n"/>
      <c r="AO12" s="269" t="n"/>
      <c r="AP12" s="270" t="n"/>
      <c r="AQ12" s="269" t="n"/>
      <c r="AR12" s="271" t="n"/>
      <c r="AS12" s="271" t="n"/>
      <c r="AT12" s="271" t="n"/>
      <c r="AU12" s="272" t="n"/>
      <c r="AV12" s="263" t="n"/>
      <c r="AW12" s="257" t="n"/>
      <c r="AX12" s="257" t="n"/>
      <c r="AY12" s="269" t="n"/>
      <c r="AZ12" s="270" t="n"/>
      <c r="BA12" s="269" t="n"/>
      <c r="BB12" s="271" t="n"/>
      <c r="BC12" s="271" t="n"/>
      <c r="BD12" s="271" t="n"/>
      <c r="BE12" s="273" t="n"/>
      <c r="BF12" s="274">
        <f>IF(A12="","",TRUNC(AVERAGE(S12,AC12),0))</f>
        <v/>
      </c>
    </row>
    <row r="13" ht="96" customHeight="1">
      <c r="A13" s="251" t="n"/>
      <c r="B13" s="252" t="n"/>
      <c r="C13" s="253" t="n"/>
      <c r="D13" s="254">
        <f>IF(A13="","",구매내역현황!N17)</f>
        <v/>
      </c>
      <c r="E13" s="254" t="n"/>
      <c r="F13" s="254" t="n"/>
      <c r="G13" s="255">
        <f>IF(A13="","",D13)</f>
        <v/>
      </c>
      <c r="H13" s="256">
        <f>IF('관급단가 비교표'!F96="","",'관급단가 비교표'!F96)</f>
        <v/>
      </c>
      <c r="I13" s="257">
        <f>IF('관급단가 비교표'!H96="","",'관급단가 비교표'!H96)</f>
        <v/>
      </c>
      <c r="J13" s="257">
        <f>IF(OR(A13="",I13=""),"",TRUNC($G13*I13))</f>
        <v/>
      </c>
      <c r="K13" s="258" t="n"/>
      <c r="L13" s="259" t="n"/>
      <c r="M13" s="260" t="n"/>
      <c r="N13" s="261" t="n"/>
      <c r="O13" s="261" t="n"/>
      <c r="P13" s="261" t="n"/>
      <c r="Q13" s="262" t="n"/>
      <c r="R13" s="263">
        <f>IF('관급단가 비교표'!F97="","",'관급단가 비교표'!F97)</f>
        <v/>
      </c>
      <c r="S13" s="257">
        <f>IF('관급단가 비교표'!H97="","",'관급단가 비교표'!H97)</f>
        <v/>
      </c>
      <c r="T13" s="257">
        <f>IF(OR(A13="",S13=""),"",TRUNC($G13*S13))</f>
        <v/>
      </c>
      <c r="U13" s="261" t="n"/>
      <c r="V13" s="261" t="n"/>
      <c r="W13" s="261" t="n"/>
      <c r="X13" s="261" t="n"/>
      <c r="Y13" s="261" t="n"/>
      <c r="Z13" s="261" t="n"/>
      <c r="AA13" s="264" t="n"/>
      <c r="AB13" s="265">
        <f>IF('관급단가 비교표'!F98="","",'관급단가 비교표'!F98)</f>
        <v/>
      </c>
      <c r="AC13" s="266">
        <f>IF('관급단가 비교표'!H98="","",'관급단가 비교표'!H98)</f>
        <v/>
      </c>
      <c r="AD13" s="266">
        <f>IF(OR(A13="",AC13=""),"",TRUNC($G13*AC13))</f>
        <v/>
      </c>
      <c r="AE13" s="267" t="n"/>
      <c r="AF13" s="267" t="n"/>
      <c r="AG13" s="267" t="n"/>
      <c r="AH13" s="267" t="n"/>
      <c r="AI13" s="267" t="n"/>
      <c r="AJ13" s="267" t="n"/>
      <c r="AK13" s="268" t="n"/>
      <c r="AL13" s="263" t="n"/>
      <c r="AM13" s="257" t="n"/>
      <c r="AN13" s="257" t="n"/>
      <c r="AO13" s="269" t="n"/>
      <c r="AP13" s="270" t="n"/>
      <c r="AQ13" s="269" t="n"/>
      <c r="AR13" s="271" t="n"/>
      <c r="AS13" s="271" t="n"/>
      <c r="AT13" s="271" t="n"/>
      <c r="AU13" s="272" t="n"/>
      <c r="AV13" s="263" t="n"/>
      <c r="AW13" s="257" t="n"/>
      <c r="AX13" s="257" t="n"/>
      <c r="AY13" s="269" t="n"/>
      <c r="AZ13" s="270" t="n"/>
      <c r="BA13" s="269" t="n"/>
      <c r="BB13" s="271" t="n"/>
      <c r="BC13" s="271" t="n"/>
      <c r="BD13" s="271" t="n"/>
      <c r="BE13" s="273" t="n"/>
      <c r="BF13" s="274">
        <f>IF(A13="","",TRUNC(AVERAGE(S13,AC13),0))</f>
        <v/>
      </c>
    </row>
    <row r="14" ht="96" customHeight="1">
      <c r="A14" s="251" t="n"/>
      <c r="B14" s="252" t="n"/>
      <c r="C14" s="253" t="n"/>
      <c r="D14" s="254">
        <f>IF(A14="","",구매내역현황!N18)</f>
        <v/>
      </c>
      <c r="E14" s="254" t="n"/>
      <c r="F14" s="254" t="n"/>
      <c r="G14" s="255">
        <f>IF(A14="","",D14)</f>
        <v/>
      </c>
      <c r="H14" s="256">
        <f>IF('관급단가 비교표'!F109="","",'관급단가 비교표'!F109)</f>
        <v/>
      </c>
      <c r="I14" s="257">
        <f>IF('관급단가 비교표'!H109="","",'관급단가 비교표'!H109)</f>
        <v/>
      </c>
      <c r="J14" s="257">
        <f>IF(OR(A14="",I14=""),"",TRUNC($G14*I14))</f>
        <v/>
      </c>
      <c r="K14" s="258" t="n"/>
      <c r="L14" s="259" t="n"/>
      <c r="M14" s="260" t="n"/>
      <c r="N14" s="261" t="n"/>
      <c r="O14" s="261" t="n"/>
      <c r="P14" s="261" t="n"/>
      <c r="Q14" s="262" t="n"/>
      <c r="R14" s="263">
        <f>IF('관급단가 비교표'!F110="","",'관급단가 비교표'!F110)</f>
        <v/>
      </c>
      <c r="S14" s="257">
        <f>IF('관급단가 비교표'!H110="","",'관급단가 비교표'!H110)</f>
        <v/>
      </c>
      <c r="T14" s="257">
        <f>IF(OR(A14="",S14=""),"",TRUNC($G14*S14))</f>
        <v/>
      </c>
      <c r="U14" s="261" t="n"/>
      <c r="V14" s="261" t="n"/>
      <c r="W14" s="261" t="n"/>
      <c r="X14" s="261" t="n"/>
      <c r="Y14" s="261" t="n"/>
      <c r="Z14" s="261" t="n"/>
      <c r="AA14" s="264" t="n"/>
      <c r="AB14" s="265">
        <f>IF('관급단가 비교표'!F111="","",'관급단가 비교표'!F111)</f>
        <v/>
      </c>
      <c r="AC14" s="266">
        <f>IF('관급단가 비교표'!H111="","",'관급단가 비교표'!H111)</f>
        <v/>
      </c>
      <c r="AD14" s="266">
        <f>IF(OR(A14="",AC14=""),"",TRUNC($G14*AC14))</f>
        <v/>
      </c>
      <c r="AE14" s="267" t="n"/>
      <c r="AF14" s="267" t="n"/>
      <c r="AG14" s="267" t="n"/>
      <c r="AH14" s="267" t="n"/>
      <c r="AI14" s="267" t="n"/>
      <c r="AJ14" s="267" t="n"/>
      <c r="AK14" s="268" t="n"/>
      <c r="AL14" s="263" t="n"/>
      <c r="AM14" s="257" t="n"/>
      <c r="AN14" s="257" t="n"/>
      <c r="AO14" s="269" t="n"/>
      <c r="AP14" s="270" t="n"/>
      <c r="AQ14" s="269" t="n"/>
      <c r="AR14" s="271" t="n"/>
      <c r="AS14" s="271" t="n"/>
      <c r="AT14" s="271" t="n"/>
      <c r="AU14" s="272" t="n"/>
      <c r="AV14" s="263" t="n"/>
      <c r="AW14" s="257" t="n"/>
      <c r="AX14" s="257" t="n"/>
      <c r="AY14" s="269" t="n"/>
      <c r="AZ14" s="270" t="n"/>
      <c r="BA14" s="269" t="n"/>
      <c r="BB14" s="271" t="n"/>
      <c r="BC14" s="271" t="n"/>
      <c r="BD14" s="271" t="n"/>
      <c r="BE14" s="273" t="n"/>
      <c r="BF14" s="274">
        <f>IF(A14="","",TRUNC(AVERAGE(S14,AC14),0))</f>
        <v/>
      </c>
    </row>
    <row r="15" ht="96" customHeight="1">
      <c r="A15" s="251" t="n"/>
      <c r="B15" s="252" t="n"/>
      <c r="C15" s="253" t="n"/>
      <c r="D15" s="254">
        <f>IF(A15="","",구매내역현황!N19)</f>
        <v/>
      </c>
      <c r="E15" s="254" t="n"/>
      <c r="F15" s="254" t="n"/>
      <c r="G15" s="255">
        <f>IF(A15="","",D15)</f>
        <v/>
      </c>
      <c r="H15" s="256">
        <f>IF('관급단가 비교표'!F122="","",'관급단가 비교표'!F122)</f>
        <v/>
      </c>
      <c r="I15" s="257">
        <f>IF('관급단가 비교표'!H122="","",'관급단가 비교표'!H122)</f>
        <v/>
      </c>
      <c r="J15" s="257">
        <f>IF(OR(A15="",I15=""),"",TRUNC($G15*I15))</f>
        <v/>
      </c>
      <c r="K15" s="258" t="n"/>
      <c r="L15" s="259" t="n"/>
      <c r="M15" s="260" t="n"/>
      <c r="N15" s="261" t="n"/>
      <c r="O15" s="261" t="n"/>
      <c r="P15" s="261" t="n"/>
      <c r="Q15" s="262" t="n"/>
      <c r="R15" s="263">
        <f>IF('관급단가 비교표'!F123="","",'관급단가 비교표'!F123)</f>
        <v/>
      </c>
      <c r="S15" s="257">
        <f>IF('관급단가 비교표'!H123="","",'관급단가 비교표'!H123)</f>
        <v/>
      </c>
      <c r="T15" s="257">
        <f>IF(OR(A15="",S15=""),"",TRUNC($G15*S15))</f>
        <v/>
      </c>
      <c r="U15" s="261" t="n"/>
      <c r="V15" s="261" t="n"/>
      <c r="W15" s="261" t="n"/>
      <c r="X15" s="261" t="n"/>
      <c r="Y15" s="261" t="n"/>
      <c r="Z15" s="261" t="n"/>
      <c r="AA15" s="264" t="n"/>
      <c r="AB15" s="265">
        <f>IF('관급단가 비교표'!F124="","",'관급단가 비교표'!F124)</f>
        <v/>
      </c>
      <c r="AC15" s="266">
        <f>IF('관급단가 비교표'!H124="","",'관급단가 비교표'!H124)</f>
        <v/>
      </c>
      <c r="AD15" s="266">
        <f>IF(OR(A15="",AC15=""),"",TRUNC($G15*AC15))</f>
        <v/>
      </c>
      <c r="AE15" s="267" t="n"/>
      <c r="AF15" s="267" t="n"/>
      <c r="AG15" s="267" t="n"/>
      <c r="AH15" s="267" t="n"/>
      <c r="AI15" s="267" t="n"/>
      <c r="AJ15" s="267" t="n"/>
      <c r="AK15" s="268" t="n"/>
      <c r="AL15" s="263" t="n"/>
      <c r="AM15" s="257" t="n"/>
      <c r="AN15" s="257" t="n"/>
      <c r="AO15" s="269" t="n"/>
      <c r="AP15" s="270" t="n"/>
      <c r="AQ15" s="269" t="n"/>
      <c r="AR15" s="271" t="n"/>
      <c r="AS15" s="271" t="n"/>
      <c r="AT15" s="271" t="n"/>
      <c r="AU15" s="272" t="n"/>
      <c r="AV15" s="263" t="n"/>
      <c r="AW15" s="257" t="n"/>
      <c r="AX15" s="257" t="n"/>
      <c r="AY15" s="269" t="n"/>
      <c r="AZ15" s="270" t="n"/>
      <c r="BA15" s="269" t="n"/>
      <c r="BB15" s="271" t="n"/>
      <c r="BC15" s="271" t="n"/>
      <c r="BD15" s="271" t="n"/>
      <c r="BE15" s="273" t="n"/>
      <c r="BF15" s="274">
        <f>IF(A15="","",TRUNC(AVERAGE(S15,AC15),0))</f>
        <v/>
      </c>
    </row>
    <row r="16" ht="96" customHeight="1">
      <c r="A16" s="251" t="n"/>
      <c r="B16" s="252" t="n"/>
      <c r="C16" s="253" t="n"/>
      <c r="D16" s="254">
        <f>IF(A16="","",구매내역현황!N20)</f>
        <v/>
      </c>
      <c r="E16" s="254" t="n"/>
      <c r="F16" s="254" t="n"/>
      <c r="G16" s="255">
        <f>IF(A16="","",D16)</f>
        <v/>
      </c>
      <c r="H16" s="256">
        <f>IF('관급단가 비교표'!F135="","",'관급단가 비교표'!F135)</f>
        <v/>
      </c>
      <c r="I16" s="257">
        <f>IF('관급단가 비교표'!H135="","",'관급단가 비교표'!H135)</f>
        <v/>
      </c>
      <c r="J16" s="257">
        <f>IF(OR(A16="",I16=""),"",TRUNC($G16*I16))</f>
        <v/>
      </c>
      <c r="K16" s="258" t="n"/>
      <c r="L16" s="259" t="n"/>
      <c r="M16" s="260" t="n"/>
      <c r="N16" s="261" t="n"/>
      <c r="O16" s="261" t="n"/>
      <c r="P16" s="261" t="n"/>
      <c r="Q16" s="262" t="n"/>
      <c r="R16" s="263">
        <f>IF('관급단가 비교표'!F136="","",'관급단가 비교표'!F136)</f>
        <v/>
      </c>
      <c r="S16" s="257">
        <f>IF('관급단가 비교표'!H136="","",'관급단가 비교표'!H136)</f>
        <v/>
      </c>
      <c r="T16" s="257">
        <f>IF(OR(A16="",S16=""),"",TRUNC($G16*S16))</f>
        <v/>
      </c>
      <c r="U16" s="261" t="n"/>
      <c r="V16" s="261" t="n"/>
      <c r="W16" s="261" t="n"/>
      <c r="X16" s="261" t="n"/>
      <c r="Y16" s="261" t="n"/>
      <c r="Z16" s="261" t="n"/>
      <c r="AA16" s="264" t="n"/>
      <c r="AB16" s="265">
        <f>IF('관급단가 비교표'!F137="","",'관급단가 비교표'!F137)</f>
        <v/>
      </c>
      <c r="AC16" s="266">
        <f>IF('관급단가 비교표'!H137="","",'관급단가 비교표'!H137)</f>
        <v/>
      </c>
      <c r="AD16" s="266">
        <f>IF(OR(A16="",AC16=""),"",TRUNC($G16*AC16))</f>
        <v/>
      </c>
      <c r="AE16" s="267" t="n"/>
      <c r="AF16" s="267" t="n"/>
      <c r="AG16" s="267" t="n"/>
      <c r="AH16" s="267" t="n"/>
      <c r="AI16" s="267" t="n"/>
      <c r="AJ16" s="267" t="n"/>
      <c r="AK16" s="268" t="n"/>
      <c r="AL16" s="263" t="n"/>
      <c r="AM16" s="257" t="n"/>
      <c r="AN16" s="257" t="n"/>
      <c r="AO16" s="269" t="n"/>
      <c r="AP16" s="270" t="n"/>
      <c r="AQ16" s="269" t="n"/>
      <c r="AR16" s="271" t="n"/>
      <c r="AS16" s="271" t="n"/>
      <c r="AT16" s="271" t="n"/>
      <c r="AU16" s="272" t="n"/>
      <c r="AV16" s="263" t="n"/>
      <c r="AW16" s="257" t="n"/>
      <c r="AX16" s="257" t="n"/>
      <c r="AY16" s="269" t="n"/>
      <c r="AZ16" s="270" t="n"/>
      <c r="BA16" s="269" t="n"/>
      <c r="BB16" s="271" t="n"/>
      <c r="BC16" s="271" t="n"/>
      <c r="BD16" s="271" t="n"/>
      <c r="BE16" s="273" t="n"/>
      <c r="BF16" s="274">
        <f>IF(A16="","",TRUNC(AVERAGE(S16,AC16),0))</f>
        <v/>
      </c>
    </row>
    <row r="17" ht="96" customHeight="1">
      <c r="A17" s="251" t="n"/>
      <c r="B17" s="252" t="n"/>
      <c r="C17" s="253" t="n"/>
      <c r="D17" s="254">
        <f>IF(A17="","",구매내역현황!N21)</f>
        <v/>
      </c>
      <c r="E17" s="254" t="n"/>
      <c r="F17" s="254" t="n"/>
      <c r="G17" s="255">
        <f>IF(A17="","",D17)</f>
        <v/>
      </c>
      <c r="H17" s="256">
        <f>IF('관급단가 비교표'!F148="","",'관급단가 비교표'!F148)</f>
        <v/>
      </c>
      <c r="I17" s="257">
        <f>IF('관급단가 비교표'!H148="","",'관급단가 비교표'!H148)</f>
        <v/>
      </c>
      <c r="J17" s="257">
        <f>IF(OR(A17="",I17=""),"",TRUNC($G17*I17))</f>
        <v/>
      </c>
      <c r="K17" s="258" t="n"/>
      <c r="L17" s="259" t="n"/>
      <c r="M17" s="260" t="n"/>
      <c r="N17" s="261" t="n"/>
      <c r="O17" s="261" t="n"/>
      <c r="P17" s="261" t="n"/>
      <c r="Q17" s="262" t="n"/>
      <c r="R17" s="263">
        <f>IF('관급단가 비교표'!F149="","",'관급단가 비교표'!F149)</f>
        <v/>
      </c>
      <c r="S17" s="257">
        <f>IF('관급단가 비교표'!H149="","",'관급단가 비교표'!H149)</f>
        <v/>
      </c>
      <c r="T17" s="257">
        <f>IF(OR(A17="",S17=""),"",TRUNC($G17*S17))</f>
        <v/>
      </c>
      <c r="U17" s="261" t="n"/>
      <c r="V17" s="261" t="n"/>
      <c r="W17" s="261" t="n"/>
      <c r="X17" s="261" t="n"/>
      <c r="Y17" s="261" t="n"/>
      <c r="Z17" s="261" t="n"/>
      <c r="AA17" s="264" t="n"/>
      <c r="AB17" s="265">
        <f>IF('관급단가 비교표'!F150="","",'관급단가 비교표'!F150)</f>
        <v/>
      </c>
      <c r="AC17" s="266">
        <f>IF('관급단가 비교표'!H150="","",'관급단가 비교표'!H150)</f>
        <v/>
      </c>
      <c r="AD17" s="266">
        <f>IF(OR(A17="",AC17=""),"",TRUNC($G17*AC17))</f>
        <v/>
      </c>
      <c r="AE17" s="267" t="n"/>
      <c r="AF17" s="267" t="n"/>
      <c r="AG17" s="267" t="n"/>
      <c r="AH17" s="267" t="n"/>
      <c r="AI17" s="267" t="n"/>
      <c r="AJ17" s="267" t="n"/>
      <c r="AK17" s="268" t="n"/>
      <c r="AL17" s="263" t="n"/>
      <c r="AM17" s="257" t="n"/>
      <c r="AN17" s="257" t="n"/>
      <c r="AO17" s="269" t="n"/>
      <c r="AP17" s="270" t="n"/>
      <c r="AQ17" s="269" t="n"/>
      <c r="AR17" s="271" t="n"/>
      <c r="AS17" s="271" t="n"/>
      <c r="AT17" s="271" t="n"/>
      <c r="AU17" s="272" t="n"/>
      <c r="AV17" s="263" t="n"/>
      <c r="AW17" s="257" t="n"/>
      <c r="AX17" s="257" t="n"/>
      <c r="AY17" s="269" t="n"/>
      <c r="AZ17" s="270" t="n"/>
      <c r="BA17" s="269" t="n"/>
      <c r="BB17" s="271" t="n"/>
      <c r="BC17" s="271" t="n"/>
      <c r="BD17" s="271" t="n"/>
      <c r="BE17" s="273" t="n"/>
      <c r="BF17" s="274">
        <f>IF(A17="","",TRUNC(AVERAGE(S17,AC17),0))</f>
        <v/>
      </c>
    </row>
    <row r="18" ht="96" customHeight="1">
      <c r="A18" s="251" t="n"/>
      <c r="B18" s="252" t="n"/>
      <c r="C18" s="253" t="n"/>
      <c r="D18" s="254">
        <f>IF(A18="","",구매내역현황!N22)</f>
        <v/>
      </c>
      <c r="E18" s="254" t="n"/>
      <c r="F18" s="254" t="n"/>
      <c r="G18" s="255">
        <f>IF(A18="","",D18)</f>
        <v/>
      </c>
      <c r="H18" s="256">
        <f>IF('관급단가 비교표'!F161="","",'관급단가 비교표'!F161)</f>
        <v/>
      </c>
      <c r="I18" s="257">
        <f>IF('관급단가 비교표'!H161="","",'관급단가 비교표'!H161)</f>
        <v/>
      </c>
      <c r="J18" s="257">
        <f>IF(OR(A18="",I18=""),"",TRUNC($G18*I18))</f>
        <v/>
      </c>
      <c r="K18" s="258" t="n"/>
      <c r="L18" s="259" t="n"/>
      <c r="M18" s="260" t="n"/>
      <c r="N18" s="261" t="n"/>
      <c r="O18" s="261" t="n"/>
      <c r="P18" s="261" t="n"/>
      <c r="Q18" s="262" t="n"/>
      <c r="R18" s="263">
        <f>IF('관급단가 비교표'!F162="","",'관급단가 비교표'!F162)</f>
        <v/>
      </c>
      <c r="S18" s="257">
        <f>IF('관급단가 비교표'!H162="","",'관급단가 비교표'!H162)</f>
        <v/>
      </c>
      <c r="T18" s="257">
        <f>IF(OR(A18="",S18=""),"",TRUNC($G18*S18))</f>
        <v/>
      </c>
      <c r="U18" s="261" t="n"/>
      <c r="V18" s="261" t="n"/>
      <c r="W18" s="261" t="n"/>
      <c r="X18" s="261" t="n"/>
      <c r="Y18" s="261" t="n"/>
      <c r="Z18" s="261" t="n"/>
      <c r="AA18" s="264" t="n"/>
      <c r="AB18" s="265">
        <f>IF('관급단가 비교표'!F163="","",'관급단가 비교표'!F163)</f>
        <v/>
      </c>
      <c r="AC18" s="266">
        <f>IF('관급단가 비교표'!H163="","",'관급단가 비교표'!H163)</f>
        <v/>
      </c>
      <c r="AD18" s="266">
        <f>IF(OR(A18="",AC18=""),"",TRUNC($G18*AC18))</f>
        <v/>
      </c>
      <c r="AE18" s="267" t="n"/>
      <c r="AF18" s="267" t="n"/>
      <c r="AG18" s="267" t="n"/>
      <c r="AH18" s="267" t="n"/>
      <c r="AI18" s="267" t="n"/>
      <c r="AJ18" s="267" t="n"/>
      <c r="AK18" s="268" t="n"/>
      <c r="AL18" s="263" t="n"/>
      <c r="AM18" s="257" t="n"/>
      <c r="AN18" s="257" t="n"/>
      <c r="AO18" s="269" t="n"/>
      <c r="AP18" s="270" t="n"/>
      <c r="AQ18" s="269" t="n"/>
      <c r="AR18" s="271" t="n"/>
      <c r="AS18" s="271" t="n"/>
      <c r="AT18" s="271" t="n"/>
      <c r="AU18" s="272" t="n"/>
      <c r="AV18" s="263" t="n"/>
      <c r="AW18" s="257" t="n"/>
      <c r="AX18" s="257" t="n"/>
      <c r="AY18" s="269" t="n"/>
      <c r="AZ18" s="270" t="n"/>
      <c r="BA18" s="269" t="n"/>
      <c r="BB18" s="271" t="n"/>
      <c r="BC18" s="271" t="n"/>
      <c r="BD18" s="271" t="n"/>
      <c r="BE18" s="273" t="n"/>
      <c r="BF18" s="274">
        <f>IF(A18="","",TRUNC(AVERAGE(S18,AC18),0))</f>
        <v/>
      </c>
    </row>
    <row r="19" ht="96" customHeight="1">
      <c r="A19" s="251" t="n"/>
      <c r="B19" s="252" t="n"/>
      <c r="C19" s="253" t="n"/>
      <c r="D19" s="254">
        <f>IF(A19="","",구매내역현황!N23)</f>
        <v/>
      </c>
      <c r="E19" s="254" t="n"/>
      <c r="F19" s="254" t="n"/>
      <c r="G19" s="255">
        <f>IF(A19="","",D19)</f>
        <v/>
      </c>
      <c r="H19" s="256">
        <f>IF('관급단가 비교표'!F174="","",'관급단가 비교표'!F174)</f>
        <v/>
      </c>
      <c r="I19" s="257">
        <f>IF('관급단가 비교표'!H174="","",'관급단가 비교표'!H174)</f>
        <v/>
      </c>
      <c r="J19" s="257">
        <f>IF(OR(A19="",I19=""),"",TRUNC($G19*I19))</f>
        <v/>
      </c>
      <c r="K19" s="258" t="n"/>
      <c r="L19" s="259" t="n"/>
      <c r="M19" s="260" t="n"/>
      <c r="N19" s="261" t="n"/>
      <c r="O19" s="261" t="n"/>
      <c r="P19" s="261" t="n"/>
      <c r="Q19" s="262" t="n"/>
      <c r="R19" s="263">
        <f>IF('관급단가 비교표'!F175="","",'관급단가 비교표'!F175)</f>
        <v/>
      </c>
      <c r="S19" s="257">
        <f>IF('관급단가 비교표'!H175="","",'관급단가 비교표'!H175)</f>
        <v/>
      </c>
      <c r="T19" s="257">
        <f>IF(OR(A19="",S19=""),"",TRUNC($G19*S19))</f>
        <v/>
      </c>
      <c r="U19" s="261" t="n"/>
      <c r="V19" s="261" t="n"/>
      <c r="W19" s="261" t="n"/>
      <c r="X19" s="261" t="n"/>
      <c r="Y19" s="261" t="n"/>
      <c r="Z19" s="261" t="n"/>
      <c r="AA19" s="264" t="n"/>
      <c r="AB19" s="265">
        <f>IF('관급단가 비교표'!F176="","",'관급단가 비교표'!F176)</f>
        <v/>
      </c>
      <c r="AC19" s="266">
        <f>IF('관급단가 비교표'!H176="","",'관급단가 비교표'!H176)</f>
        <v/>
      </c>
      <c r="AD19" s="266">
        <f>IF(OR(A19="",AC19=""),"",TRUNC($G19*AC19))</f>
        <v/>
      </c>
      <c r="AE19" s="267" t="n"/>
      <c r="AF19" s="267" t="n"/>
      <c r="AG19" s="267" t="n"/>
      <c r="AH19" s="267" t="n"/>
      <c r="AI19" s="267" t="n"/>
      <c r="AJ19" s="267" t="n"/>
      <c r="AK19" s="268" t="n"/>
      <c r="AL19" s="263" t="n"/>
      <c r="AM19" s="257" t="n"/>
      <c r="AN19" s="257" t="n"/>
      <c r="AO19" s="269" t="n"/>
      <c r="AP19" s="270" t="n"/>
      <c r="AQ19" s="269" t="n"/>
      <c r="AR19" s="271" t="n"/>
      <c r="AS19" s="271" t="n"/>
      <c r="AT19" s="271" t="n"/>
      <c r="AU19" s="272" t="n"/>
      <c r="AV19" s="263" t="n"/>
      <c r="AW19" s="257" t="n"/>
      <c r="AX19" s="257" t="n"/>
      <c r="AY19" s="269" t="n"/>
      <c r="AZ19" s="270" t="n"/>
      <c r="BA19" s="269" t="n"/>
      <c r="BB19" s="271" t="n"/>
      <c r="BC19" s="271" t="n"/>
      <c r="BD19" s="271" t="n"/>
      <c r="BE19" s="273" t="n"/>
      <c r="BF19" s="274">
        <f>IF(A19="","",TRUNC(AVERAGE(S19,AC19),0))</f>
        <v/>
      </c>
    </row>
    <row r="20" ht="96" customHeight="1">
      <c r="A20" s="251" t="n"/>
      <c r="B20" s="252" t="n"/>
      <c r="C20" s="253" t="n"/>
      <c r="D20" s="254">
        <f>IF(A20="","",구매내역현황!N24)</f>
        <v/>
      </c>
      <c r="E20" s="254" t="n"/>
      <c r="F20" s="254" t="n"/>
      <c r="G20" s="255">
        <f>IF(A20="","",D20)</f>
        <v/>
      </c>
      <c r="H20" s="256">
        <f>IF('관급단가 비교표'!F187="","",'관급단가 비교표'!F187)</f>
        <v/>
      </c>
      <c r="I20" s="257">
        <f>IF('관급단가 비교표'!H187="","",'관급단가 비교표'!H187)</f>
        <v/>
      </c>
      <c r="J20" s="257">
        <f>IF(OR(A20="",I20=""),"",TRUNC($G20*I20))</f>
        <v/>
      </c>
      <c r="K20" s="258" t="n"/>
      <c r="L20" s="259" t="n"/>
      <c r="M20" s="260" t="n"/>
      <c r="N20" s="261" t="n"/>
      <c r="O20" s="261" t="n"/>
      <c r="P20" s="261" t="n"/>
      <c r="Q20" s="262" t="n"/>
      <c r="R20" s="263">
        <f>IF('관급단가 비교표'!F188="","",'관급단가 비교표'!F188)</f>
        <v/>
      </c>
      <c r="S20" s="257">
        <f>IF('관급단가 비교표'!H188="","",'관급단가 비교표'!H188)</f>
        <v/>
      </c>
      <c r="T20" s="257">
        <f>IF(OR(A20="",S20=""),"",TRUNC($G20*S20))</f>
        <v/>
      </c>
      <c r="U20" s="261" t="n"/>
      <c r="V20" s="261" t="n"/>
      <c r="W20" s="261" t="n"/>
      <c r="X20" s="261" t="n"/>
      <c r="Y20" s="261" t="n"/>
      <c r="Z20" s="261" t="n"/>
      <c r="AA20" s="264" t="n"/>
      <c r="AB20" s="265">
        <f>IF('관급단가 비교표'!F189="","",'관급단가 비교표'!F189)</f>
        <v/>
      </c>
      <c r="AC20" s="266">
        <f>IF('관급단가 비교표'!H189="","",'관급단가 비교표'!H189)</f>
        <v/>
      </c>
      <c r="AD20" s="266">
        <f>IF(OR(A20="",AC20=""),"",TRUNC($G20*AC20))</f>
        <v/>
      </c>
      <c r="AE20" s="267" t="n"/>
      <c r="AF20" s="267" t="n"/>
      <c r="AG20" s="267" t="n"/>
      <c r="AH20" s="267" t="n"/>
      <c r="AI20" s="267" t="n"/>
      <c r="AJ20" s="267" t="n"/>
      <c r="AK20" s="268" t="n"/>
      <c r="AL20" s="263" t="n"/>
      <c r="AM20" s="257" t="n"/>
      <c r="AN20" s="257" t="n"/>
      <c r="AO20" s="269" t="n"/>
      <c r="AP20" s="270" t="n"/>
      <c r="AQ20" s="269" t="n"/>
      <c r="AR20" s="271" t="n"/>
      <c r="AS20" s="271" t="n"/>
      <c r="AT20" s="271" t="n"/>
      <c r="AU20" s="272" t="n"/>
      <c r="AV20" s="263" t="n"/>
      <c r="AW20" s="257" t="n"/>
      <c r="AX20" s="257" t="n"/>
      <c r="AY20" s="269" t="n"/>
      <c r="AZ20" s="270" t="n"/>
      <c r="BA20" s="269" t="n"/>
      <c r="BB20" s="271" t="n"/>
      <c r="BC20" s="271" t="n"/>
      <c r="BD20" s="271" t="n"/>
      <c r="BE20" s="273" t="n"/>
      <c r="BF20" s="274">
        <f>IF(A20="","",TRUNC(AVERAGE(S20,AC20),0))</f>
        <v/>
      </c>
    </row>
    <row r="21" ht="96" customHeight="1">
      <c r="A21" s="251" t="n"/>
      <c r="B21" s="252" t="n"/>
      <c r="C21" s="253" t="n"/>
      <c r="D21" s="254">
        <f>IF(A21="","",구매내역현황!N25)</f>
        <v/>
      </c>
      <c r="E21" s="254" t="n"/>
      <c r="F21" s="254" t="n"/>
      <c r="G21" s="255">
        <f>IF(A21="","",D21)</f>
        <v/>
      </c>
      <c r="H21" s="256">
        <f>IF('관급단가 비교표'!F200="","",'관급단가 비교표'!F200)</f>
        <v/>
      </c>
      <c r="I21" s="257">
        <f>IF('관급단가 비교표'!H200="","",'관급단가 비교표'!H200)</f>
        <v/>
      </c>
      <c r="J21" s="257">
        <f>IF(OR(A21="",I21=""),"",TRUNC($G21*I21))</f>
        <v/>
      </c>
      <c r="K21" s="258" t="n"/>
      <c r="L21" s="259" t="n"/>
      <c r="M21" s="260" t="n"/>
      <c r="N21" s="261" t="n"/>
      <c r="O21" s="261" t="n"/>
      <c r="P21" s="261" t="n"/>
      <c r="Q21" s="262" t="n"/>
      <c r="R21" s="263">
        <f>IF('관급단가 비교표'!F201="","",'관급단가 비교표'!F201)</f>
        <v/>
      </c>
      <c r="S21" s="257">
        <f>IF('관급단가 비교표'!H201="","",'관급단가 비교표'!H201)</f>
        <v/>
      </c>
      <c r="T21" s="257">
        <f>IF(OR(A21="",S21=""),"",TRUNC($G21*S21))</f>
        <v/>
      </c>
      <c r="U21" s="261" t="n"/>
      <c r="V21" s="261" t="n"/>
      <c r="W21" s="261" t="n"/>
      <c r="X21" s="261" t="n"/>
      <c r="Y21" s="261" t="n"/>
      <c r="Z21" s="261" t="n"/>
      <c r="AA21" s="264" t="n"/>
      <c r="AB21" s="265">
        <f>IF('관급단가 비교표'!F202="","",'관급단가 비교표'!F202)</f>
        <v/>
      </c>
      <c r="AC21" s="266">
        <f>IF('관급단가 비교표'!H202="","",'관급단가 비교표'!H202)</f>
        <v/>
      </c>
      <c r="AD21" s="266">
        <f>IF(OR(A21="",AC21=""),"",TRUNC($G21*AC21))</f>
        <v/>
      </c>
      <c r="AE21" s="267" t="n"/>
      <c r="AF21" s="267" t="n"/>
      <c r="AG21" s="267" t="n"/>
      <c r="AH21" s="267" t="n"/>
      <c r="AI21" s="267" t="n"/>
      <c r="AJ21" s="267" t="n"/>
      <c r="AK21" s="268" t="n"/>
      <c r="AL21" s="263" t="n"/>
      <c r="AM21" s="257" t="n"/>
      <c r="AN21" s="257" t="n"/>
      <c r="AO21" s="269" t="n"/>
      <c r="AP21" s="270" t="n"/>
      <c r="AQ21" s="269" t="n"/>
      <c r="AR21" s="271" t="n"/>
      <c r="AS21" s="271" t="n"/>
      <c r="AT21" s="271" t="n"/>
      <c r="AU21" s="272" t="n"/>
      <c r="AV21" s="263" t="n"/>
      <c r="AW21" s="257" t="n"/>
      <c r="AX21" s="257" t="n"/>
      <c r="AY21" s="269" t="n"/>
      <c r="AZ21" s="270" t="n"/>
      <c r="BA21" s="269" t="n"/>
      <c r="BB21" s="271" t="n"/>
      <c r="BC21" s="271" t="n"/>
      <c r="BD21" s="271" t="n"/>
      <c r="BE21" s="273" t="n"/>
      <c r="BF21" s="274">
        <f>IF(A21="","",TRUNC(AVERAGE(S21,AC21),0))</f>
        <v/>
      </c>
    </row>
    <row r="22" ht="96" customHeight="1">
      <c r="A22" s="251" t="n"/>
      <c r="B22" s="252" t="n"/>
      <c r="C22" s="253" t="n"/>
      <c r="D22" s="254">
        <f>IF(A22="","",구매내역현황!N26)</f>
        <v/>
      </c>
      <c r="E22" s="254" t="n"/>
      <c r="F22" s="254" t="n"/>
      <c r="G22" s="255">
        <f>IF(A22="","",D22)</f>
        <v/>
      </c>
      <c r="H22" s="256">
        <f>IF('관급단가 비교표'!F213="","",'관급단가 비교표'!F213)</f>
        <v/>
      </c>
      <c r="I22" s="257">
        <f>IF('관급단가 비교표'!H213="","",'관급단가 비교표'!H213)</f>
        <v/>
      </c>
      <c r="J22" s="257">
        <f>IF(OR(A22="",I22=""),"",TRUNC($G22*I22))</f>
        <v/>
      </c>
      <c r="K22" s="258" t="n"/>
      <c r="L22" s="259" t="n"/>
      <c r="M22" s="260" t="n"/>
      <c r="N22" s="261" t="n"/>
      <c r="O22" s="261" t="n"/>
      <c r="P22" s="261" t="n"/>
      <c r="Q22" s="262" t="n"/>
      <c r="R22" s="263">
        <f>IF('관급단가 비교표'!F214="","",'관급단가 비교표'!F214)</f>
        <v/>
      </c>
      <c r="S22" s="257">
        <f>IF('관급단가 비교표'!H214="","",'관급단가 비교표'!H214)</f>
        <v/>
      </c>
      <c r="T22" s="257">
        <f>IF(OR(A22="",S22=""),"",TRUNC($G22*S22))</f>
        <v/>
      </c>
      <c r="U22" s="261" t="n"/>
      <c r="V22" s="261" t="n"/>
      <c r="W22" s="261" t="n"/>
      <c r="X22" s="261" t="n"/>
      <c r="Y22" s="261" t="n"/>
      <c r="Z22" s="261" t="n"/>
      <c r="AA22" s="264" t="n"/>
      <c r="AB22" s="265">
        <f>IF('관급단가 비교표'!F215="","",'관급단가 비교표'!F215)</f>
        <v/>
      </c>
      <c r="AC22" s="266">
        <f>IF('관급단가 비교표'!H215="","",'관급단가 비교표'!H215)</f>
        <v/>
      </c>
      <c r="AD22" s="266">
        <f>IF(OR(A22="",AC22=""),"",TRUNC($G22*AC22))</f>
        <v/>
      </c>
      <c r="AE22" s="267" t="n"/>
      <c r="AF22" s="267" t="n"/>
      <c r="AG22" s="267" t="n"/>
      <c r="AH22" s="267" t="n"/>
      <c r="AI22" s="267" t="n"/>
      <c r="AJ22" s="267" t="n"/>
      <c r="AK22" s="268" t="n"/>
      <c r="AL22" s="263" t="n"/>
      <c r="AM22" s="257" t="n"/>
      <c r="AN22" s="257" t="n"/>
      <c r="AO22" s="269" t="n"/>
      <c r="AP22" s="270" t="n"/>
      <c r="AQ22" s="269" t="n"/>
      <c r="AR22" s="271" t="n"/>
      <c r="AS22" s="271" t="n"/>
      <c r="AT22" s="271" t="n"/>
      <c r="AU22" s="272" t="n"/>
      <c r="AV22" s="263" t="n"/>
      <c r="AW22" s="257" t="n"/>
      <c r="AX22" s="257" t="n"/>
      <c r="AY22" s="269" t="n"/>
      <c r="AZ22" s="270" t="n"/>
      <c r="BA22" s="269" t="n"/>
      <c r="BB22" s="271" t="n"/>
      <c r="BC22" s="271" t="n"/>
      <c r="BD22" s="271" t="n"/>
      <c r="BE22" s="273" t="n"/>
      <c r="BF22" s="274">
        <f>IF(A22="","",TRUNC(AVERAGE(S22,AC22),0))</f>
        <v/>
      </c>
    </row>
    <row r="23" ht="96" customHeight="1">
      <c r="A23" s="251" t="n"/>
      <c r="B23" s="252" t="n"/>
      <c r="C23" s="253" t="n"/>
      <c r="D23" s="254">
        <f>IF(A23="","",구매내역현황!N27)</f>
        <v/>
      </c>
      <c r="E23" s="254" t="n"/>
      <c r="F23" s="254" t="n"/>
      <c r="G23" s="255">
        <f>IF(A23="","",D23)</f>
        <v/>
      </c>
      <c r="H23" s="256">
        <f>IF('관급단가 비교표'!F226="","",'관급단가 비교표'!F226)</f>
        <v/>
      </c>
      <c r="I23" s="257">
        <f>IF('관급단가 비교표'!H226="","",'관급단가 비교표'!H226)</f>
        <v/>
      </c>
      <c r="J23" s="257">
        <f>IF(OR(A23="",I23=""),"",TRUNC($G23*I23))</f>
        <v/>
      </c>
      <c r="K23" s="258" t="n"/>
      <c r="L23" s="259" t="n"/>
      <c r="M23" s="260" t="n"/>
      <c r="N23" s="261" t="n"/>
      <c r="O23" s="261" t="n"/>
      <c r="P23" s="261" t="n"/>
      <c r="Q23" s="262" t="n"/>
      <c r="R23" s="263">
        <f>IF('관급단가 비교표'!F227="","",'관급단가 비교표'!F227)</f>
        <v/>
      </c>
      <c r="S23" s="257">
        <f>IF('관급단가 비교표'!H227="","",'관급단가 비교표'!H227)</f>
        <v/>
      </c>
      <c r="T23" s="257">
        <f>IF(OR(A23="",S23=""),"",TRUNC($G23*S23))</f>
        <v/>
      </c>
      <c r="U23" s="261" t="n"/>
      <c r="V23" s="261" t="n"/>
      <c r="W23" s="261" t="n"/>
      <c r="X23" s="261" t="n"/>
      <c r="Y23" s="261" t="n"/>
      <c r="Z23" s="261" t="n"/>
      <c r="AA23" s="264" t="n"/>
      <c r="AB23" s="265">
        <f>IF('관급단가 비교표'!F228="","",'관급단가 비교표'!F228)</f>
        <v/>
      </c>
      <c r="AC23" s="266">
        <f>IF('관급단가 비교표'!H228="","",'관급단가 비교표'!H228)</f>
        <v/>
      </c>
      <c r="AD23" s="266">
        <f>IF(OR(A23="",AC23=""),"",TRUNC($G23*AC23))</f>
        <v/>
      </c>
      <c r="AE23" s="267" t="n"/>
      <c r="AF23" s="267" t="n"/>
      <c r="AG23" s="267" t="n"/>
      <c r="AH23" s="267" t="n"/>
      <c r="AI23" s="267" t="n"/>
      <c r="AJ23" s="267" t="n"/>
      <c r="AK23" s="268" t="n"/>
      <c r="AL23" s="263" t="n"/>
      <c r="AM23" s="257" t="n"/>
      <c r="AN23" s="257" t="n"/>
      <c r="AO23" s="269" t="n"/>
      <c r="AP23" s="270" t="n"/>
      <c r="AQ23" s="269" t="n"/>
      <c r="AR23" s="271" t="n"/>
      <c r="AS23" s="271" t="n"/>
      <c r="AT23" s="271" t="n"/>
      <c r="AU23" s="272" t="n"/>
      <c r="AV23" s="263" t="n"/>
      <c r="AW23" s="257" t="n"/>
      <c r="AX23" s="257" t="n"/>
      <c r="AY23" s="269" t="n"/>
      <c r="AZ23" s="270" t="n"/>
      <c r="BA23" s="269" t="n"/>
      <c r="BB23" s="271" t="n"/>
      <c r="BC23" s="271" t="n"/>
      <c r="BD23" s="271" t="n"/>
      <c r="BE23" s="273" t="n"/>
      <c r="BF23" s="274">
        <f>IF(A23="","",TRUNC(AVERAGE(S23,AC23),0))</f>
        <v/>
      </c>
    </row>
    <row r="24" ht="96" customHeight="1">
      <c r="A24" s="251" t="n"/>
      <c r="B24" s="252" t="n"/>
      <c r="C24" s="253" t="n"/>
      <c r="D24" s="254">
        <f>IF(A24="","",구매내역현황!N28)</f>
        <v/>
      </c>
      <c r="E24" s="254" t="n"/>
      <c r="F24" s="254" t="n"/>
      <c r="G24" s="255">
        <f>IF(A24="","",D24)</f>
        <v/>
      </c>
      <c r="H24" s="256">
        <f>IF('관급단가 비교표'!F239="","",'관급단가 비교표'!F239)</f>
        <v/>
      </c>
      <c r="I24" s="257">
        <f>IF('관급단가 비교표'!H239="","",'관급단가 비교표'!H239)</f>
        <v/>
      </c>
      <c r="J24" s="257">
        <f>IF(OR(A24="",I24=""),"",TRUNC($G24*I24))</f>
        <v/>
      </c>
      <c r="K24" s="258" t="n"/>
      <c r="L24" s="259" t="n"/>
      <c r="M24" s="260" t="n"/>
      <c r="N24" s="261" t="n"/>
      <c r="O24" s="261" t="n"/>
      <c r="P24" s="261" t="n"/>
      <c r="Q24" s="262" t="n"/>
      <c r="R24" s="263">
        <f>IF('관급단가 비교표'!F240="","",'관급단가 비교표'!F240)</f>
        <v/>
      </c>
      <c r="S24" s="257">
        <f>IF('관급단가 비교표'!H240="","",'관급단가 비교표'!H240)</f>
        <v/>
      </c>
      <c r="T24" s="257">
        <f>IF(OR(A24="",S24=""),"",TRUNC($G24*S24))</f>
        <v/>
      </c>
      <c r="U24" s="261" t="n"/>
      <c r="V24" s="261" t="n"/>
      <c r="W24" s="261" t="n"/>
      <c r="X24" s="261" t="n"/>
      <c r="Y24" s="261" t="n"/>
      <c r="Z24" s="261" t="n"/>
      <c r="AA24" s="264" t="n"/>
      <c r="AB24" s="265">
        <f>IF('관급단가 비교표'!F241="","",'관급단가 비교표'!F241)</f>
        <v/>
      </c>
      <c r="AC24" s="266">
        <f>IF('관급단가 비교표'!H241="","",'관급단가 비교표'!H241)</f>
        <v/>
      </c>
      <c r="AD24" s="266">
        <f>IF(OR(A24="",AC24=""),"",TRUNC($G24*AC24))</f>
        <v/>
      </c>
      <c r="AE24" s="267" t="n"/>
      <c r="AF24" s="267" t="n"/>
      <c r="AG24" s="267" t="n"/>
      <c r="AH24" s="267" t="n"/>
      <c r="AI24" s="267" t="n"/>
      <c r="AJ24" s="267" t="n"/>
      <c r="AK24" s="268" t="n"/>
      <c r="AL24" s="263" t="n"/>
      <c r="AM24" s="257" t="n"/>
      <c r="AN24" s="257" t="n"/>
      <c r="AO24" s="269" t="n"/>
      <c r="AP24" s="270" t="n"/>
      <c r="AQ24" s="269" t="n"/>
      <c r="AR24" s="271" t="n"/>
      <c r="AS24" s="271" t="n"/>
      <c r="AT24" s="271" t="n"/>
      <c r="AU24" s="272" t="n"/>
      <c r="AV24" s="263" t="n"/>
      <c r="AW24" s="257" t="n"/>
      <c r="AX24" s="257" t="n"/>
      <c r="AY24" s="269" t="n"/>
      <c r="AZ24" s="270" t="n"/>
      <c r="BA24" s="269" t="n"/>
      <c r="BB24" s="271" t="n"/>
      <c r="BC24" s="271" t="n"/>
      <c r="BD24" s="271" t="n"/>
      <c r="BE24" s="273" t="n"/>
      <c r="BF24" s="274">
        <f>IF(A24="","",TRUNC(AVERAGE(S24,AC24),0))</f>
        <v/>
      </c>
    </row>
    <row r="25" ht="96" customHeight="1">
      <c r="A25" s="251" t="n"/>
      <c r="B25" s="252" t="n"/>
      <c r="C25" s="253" t="n"/>
      <c r="D25" s="254">
        <f>IF(A25="","",구매내역현황!N29)</f>
        <v/>
      </c>
      <c r="E25" s="254" t="n"/>
      <c r="F25" s="254" t="n"/>
      <c r="G25" s="255">
        <f>IF(A25="","",D25)</f>
        <v/>
      </c>
      <c r="H25" s="256">
        <f>IF('관급단가 비교표'!F252="","",'관급단가 비교표'!F252)</f>
        <v/>
      </c>
      <c r="I25" s="257">
        <f>IF('관급단가 비교표'!H252="","",'관급단가 비교표'!H252)</f>
        <v/>
      </c>
      <c r="J25" s="257">
        <f>IF(OR(A25="",I25=""),"",TRUNC($G25*I25))</f>
        <v/>
      </c>
      <c r="K25" s="258" t="n"/>
      <c r="L25" s="259" t="n"/>
      <c r="M25" s="260" t="n"/>
      <c r="N25" s="261" t="n"/>
      <c r="O25" s="261" t="n"/>
      <c r="P25" s="261" t="n"/>
      <c r="Q25" s="262" t="n"/>
      <c r="R25" s="263">
        <f>IF('관급단가 비교표'!F253="","",'관급단가 비교표'!F253)</f>
        <v/>
      </c>
      <c r="S25" s="257">
        <f>IF('관급단가 비교표'!H253="","",'관급단가 비교표'!H253)</f>
        <v/>
      </c>
      <c r="T25" s="257">
        <f>IF(OR(A25="",S25=""),"",TRUNC($G25*S25))</f>
        <v/>
      </c>
      <c r="U25" s="261" t="n"/>
      <c r="V25" s="261" t="n"/>
      <c r="W25" s="261" t="n"/>
      <c r="X25" s="261" t="n"/>
      <c r="Y25" s="261" t="n"/>
      <c r="Z25" s="261" t="n"/>
      <c r="AA25" s="264" t="n"/>
      <c r="AB25" s="265">
        <f>IF('관급단가 비교표'!F254="","",'관급단가 비교표'!F254)</f>
        <v/>
      </c>
      <c r="AC25" s="266">
        <f>IF('관급단가 비교표'!H254="","",'관급단가 비교표'!H254)</f>
        <v/>
      </c>
      <c r="AD25" s="266">
        <f>IF(OR(A25="",AC25=""),"",TRUNC($G25*AC25))</f>
        <v/>
      </c>
      <c r="AE25" s="267" t="n"/>
      <c r="AF25" s="267" t="n"/>
      <c r="AG25" s="267" t="n"/>
      <c r="AH25" s="267" t="n"/>
      <c r="AI25" s="267" t="n"/>
      <c r="AJ25" s="267" t="n"/>
      <c r="AK25" s="268" t="n"/>
      <c r="AL25" s="263" t="n"/>
      <c r="AM25" s="257" t="n"/>
      <c r="AN25" s="257" t="n"/>
      <c r="AO25" s="269" t="n"/>
      <c r="AP25" s="270" t="n"/>
      <c r="AQ25" s="269" t="n"/>
      <c r="AR25" s="271" t="n"/>
      <c r="AS25" s="271" t="n"/>
      <c r="AT25" s="271" t="n"/>
      <c r="AU25" s="272" t="n"/>
      <c r="AV25" s="263" t="n"/>
      <c r="AW25" s="257" t="n"/>
      <c r="AX25" s="257" t="n"/>
      <c r="AY25" s="269" t="n"/>
      <c r="AZ25" s="270" t="n"/>
      <c r="BA25" s="269" t="n"/>
      <c r="BB25" s="271" t="n"/>
      <c r="BC25" s="271" t="n"/>
      <c r="BD25" s="271" t="n"/>
      <c r="BE25" s="273" t="n"/>
      <c r="BF25" s="274">
        <f>IF(A25="","",TRUNC(AVERAGE(S25,AC25),0))</f>
        <v/>
      </c>
    </row>
    <row r="26" ht="96" customHeight="1">
      <c r="A26" s="275" t="inlineStr">
        <is>
          <t>합    계</t>
        </is>
      </c>
      <c r="B26" s="233" t="n"/>
      <c r="C26" s="275" t="n"/>
      <c r="D26" s="276" t="n"/>
      <c r="E26" s="277" t="n"/>
      <c r="F26" s="277" t="n"/>
      <c r="G26" s="278" t="n"/>
      <c r="H26" s="279" t="n"/>
      <c r="I26" s="280" t="n"/>
      <c r="J26" s="281">
        <f>SUM(J6:J25)</f>
        <v/>
      </c>
      <c r="K26" s="282">
        <f>COUNTA(K6:Q25)</f>
        <v/>
      </c>
      <c r="L26" s="283" t="n"/>
      <c r="M26" s="283" t="n"/>
      <c r="N26" s="283" t="n"/>
      <c r="O26" s="283" t="n"/>
      <c r="P26" s="283" t="n"/>
      <c r="Q26" s="284" t="n"/>
      <c r="R26" s="285" t="n"/>
      <c r="S26" s="280" t="n"/>
      <c r="T26" s="286">
        <f>SUM(T6:T25)</f>
        <v/>
      </c>
      <c r="U26" s="281" t="n"/>
      <c r="V26" s="282">
        <f>COUNTA(U6:AA25)</f>
        <v/>
      </c>
      <c r="W26" s="283" t="n"/>
      <c r="X26" s="283" t="n"/>
      <c r="Y26" s="283" t="n"/>
      <c r="Z26" s="283" t="n"/>
      <c r="AA26" s="284" t="n"/>
      <c r="AB26" s="287" t="n"/>
      <c r="AC26" s="288" t="n"/>
      <c r="AD26" s="286">
        <f>SUM(AD6:AD25)</f>
        <v/>
      </c>
      <c r="AE26" s="282">
        <f>COUNTA(AE6:AK25)</f>
        <v/>
      </c>
      <c r="AF26" s="283" t="n"/>
      <c r="AG26" s="283" t="n"/>
      <c r="AH26" s="283" t="n"/>
      <c r="AI26" s="283" t="n"/>
      <c r="AJ26" s="283" t="n"/>
      <c r="AK26" s="284" t="n"/>
      <c r="AL26" s="285" t="n"/>
      <c r="AM26" s="280" t="n"/>
      <c r="AN26" s="281" t="n"/>
      <c r="AO26" s="281" t="n"/>
      <c r="AP26" s="282" t="n"/>
      <c r="AQ26" s="283" t="n"/>
      <c r="AR26" s="283" t="n"/>
      <c r="AS26" s="283" t="n"/>
      <c r="AT26" s="283" t="n"/>
      <c r="AU26" s="284" t="n"/>
      <c r="AV26" s="285" t="n"/>
      <c r="AW26" s="280" t="n"/>
      <c r="AX26" s="281" t="n"/>
      <c r="AY26" s="281" t="n"/>
      <c r="AZ26" s="282" t="n"/>
      <c r="BA26" s="283" t="n"/>
      <c r="BB26" s="283" t="n"/>
      <c r="BC26" s="283" t="n"/>
      <c r="BD26" s="283" t="n"/>
      <c r="BE26" s="284" t="n"/>
      <c r="BF26" s="289" t="n"/>
    </row>
  </sheetData>
  <mergeCells count="17">
    <mergeCell ref="AP26:AU26"/>
    <mergeCell ref="A26:B26"/>
    <mergeCell ref="D3:G3"/>
    <mergeCell ref="C3:C4"/>
    <mergeCell ref="B3:B4"/>
    <mergeCell ref="A3:A4"/>
    <mergeCell ref="K26:Q26"/>
    <mergeCell ref="A5:B5"/>
    <mergeCell ref="AV3:BE3"/>
    <mergeCell ref="AB3:AK3"/>
    <mergeCell ref="H3:Q3"/>
    <mergeCell ref="V26:AA26"/>
    <mergeCell ref="AL3:AU3"/>
    <mergeCell ref="S3:AA3"/>
    <mergeCell ref="AE26:AK26"/>
    <mergeCell ref="AZ26:BE26"/>
    <mergeCell ref="AF2:AI2"/>
  </mergeCells>
  <pageMargins left="0.6299212598425197" right="0.4330708661417323" top="0.4724409448818898" bottom="0.4724409448818898" header="0.3149606299212598" footer="0.1574803149606299"/>
  <pageSetup orientation="landscape" paperSize="8" scale="26"/>
  <rowBreaks count="1" manualBreakCount="1">
    <brk id="2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2026-10-26T06:05:14Z</dcterms:created>
  <dcterms:modified xmlns:dcterms="http://purl.org/dc/terms/" xmlns:xsi="http://www.w3.org/2001/XMLSchema-instance" xsi:type="dcterms:W3CDTF">2026-10-26T06:05:17Z</dcterms:modified>
</cp:coreProperties>
</file>