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ABB62657-9E06-494A-9B4E-A75B3F1501A1}" xr6:coauthVersionLast="47" xr6:coauthVersionMax="47" xr10:uidLastSave="{00000000-0000-0000-0000-000000000000}"/>
  <bookViews>
    <workbookView xWindow="-108" yWindow="-108" windowWidth="23256" windowHeight="12456" tabRatio="874" xr2:uid="{00000000-000D-0000-FFFF-FFFF00000000}"/>
  </bookViews>
  <sheets>
    <sheet name="원가" sheetId="40" r:id="rId1"/>
    <sheet name="총괄표" sheetId="11" r:id="rId2"/>
    <sheet name="내역서" sheetId="10" r:id="rId3"/>
    <sheet name="노임근거" sheetId="8" r:id="rId4"/>
    <sheet name="일대목차" sheetId="12" r:id="rId5"/>
    <sheet name="일위대가" sheetId="9" r:id="rId6"/>
    <sheet name="일위노임" sheetId="22" r:id="rId7"/>
    <sheet name="합산자재" sheetId="6" state="hidden" r:id="rId8"/>
    <sheet name="단가조사" sheetId="7" r:id="rId9"/>
    <sheet name="옵션" sheetId="5" state="hidden" r:id="rId10"/>
    <sheet name="산출집계" sheetId="16" r:id="rId11"/>
    <sheet name="기본산출서" sheetId="17" r:id="rId12"/>
    <sheet name="공종리스트" sheetId="41" r:id="rId13"/>
    <sheet name="내역서 (2)" sheetId="42" r:id="rId14"/>
    <sheet name="공량산출서" sheetId="43" r:id="rId15"/>
    <sheet name="일위대가목록" sheetId="44" r:id="rId16"/>
    <sheet name="일위대가표" sheetId="45" r:id="rId17"/>
    <sheet name="단가대비표" sheetId="46" r:id="rId18"/>
    <sheet name="수량산출서" sheetId="47" r:id="rId19"/>
    <sheet name="Sheet1" sheetId="48" r:id="rId20"/>
    <sheet name="사용설명" sheetId="14" state="hidden" r:id="rId21"/>
  </sheets>
  <functionGroups builtInGroupCount="19"/>
  <externalReferences>
    <externalReference r:id="rId22"/>
    <externalReference r:id="rId23"/>
  </externalReferences>
  <definedNames>
    <definedName name="_xlnm.Print_Area" localSheetId="14">공량산출서!$A$1:$N$133</definedName>
    <definedName name="_xlnm.Print_Area" localSheetId="12">공종리스트!$A$1:$M$22</definedName>
    <definedName name="_xlnm.Print_Area" localSheetId="11">기본산출서!$A$1:$Z$329</definedName>
    <definedName name="_xlnm.Print_Area" localSheetId="2">내역서!$A$1:$Q$77</definedName>
    <definedName name="_xlnm.Print_Area" localSheetId="13">'내역서 (2)'!$A$1:$M$274</definedName>
    <definedName name="_xlnm.Print_Area" localSheetId="3">노임근거!$A$1:$T$69</definedName>
    <definedName name="_xlnm.Print_Area" localSheetId="17">단가대비표!$A$1:$M$184</definedName>
    <definedName name="_xlnm.Print_Area" localSheetId="8">단가조사!$A$1:$Z$45</definedName>
    <definedName name="_xlnm.Print_Area" localSheetId="10">산출집계!$A$1:$Y$74</definedName>
    <definedName name="_xlnm.Print_Area" localSheetId="0">원가!$A$1:$H$28</definedName>
    <definedName name="_xlnm.Print_Area" localSheetId="6">일위노임!$A$1:$T$25</definedName>
    <definedName name="_xlnm.Print_Area" localSheetId="5">일위대가!$A$1:$Q$27</definedName>
    <definedName name="_xlnm.Print_Area" localSheetId="15">일위대가목록!$A$1:$N$58</definedName>
    <definedName name="_xlnm.Print_Area" localSheetId="16">일위대가표!$A$1:$M$385</definedName>
    <definedName name="_xlnm.Print_Area" localSheetId="1">총괄표!$A$1:$Q$45</definedName>
    <definedName name="_xlnm.Print_Titles" localSheetId="14">공량산출서!$1:$5</definedName>
    <definedName name="_xlnm.Print_Titles" localSheetId="12">공종리스트!$1:$4</definedName>
    <definedName name="_xlnm.Print_Titles" localSheetId="2">내역서!$1:$3</definedName>
    <definedName name="_xlnm.Print_Titles" localSheetId="13">'내역서 (2)'!$1:$4</definedName>
    <definedName name="_xlnm.Print_Titles" localSheetId="3">노임근거!$1:$3</definedName>
    <definedName name="_xlnm.Print_Titles" localSheetId="17">단가대비표!$1:$4</definedName>
    <definedName name="_xlnm.Print_Titles" localSheetId="8">단가조사!$1:$3</definedName>
    <definedName name="_xlnm.Print_Titles" localSheetId="18">수량산출서!$1:$1</definedName>
    <definedName name="_xlnm.Print_Titles" localSheetId="4">일대목차!$1:$3</definedName>
    <definedName name="_xlnm.Print_Titles" localSheetId="6">일위노임!$1:$3</definedName>
    <definedName name="_xlnm.Print_Titles" localSheetId="5">일위대가!$1:$3</definedName>
    <definedName name="_xlnm.Print_Titles" localSheetId="15">일위대가목록!$1:$4</definedName>
    <definedName name="_xlnm.Print_Titles" localSheetId="16">일위대가표!$1:$4</definedName>
    <definedName name="_xlnm.Print_Titles" localSheetId="1">총괄표!$1:$3</definedName>
    <definedName name="_xlnm.Print_Titles" localSheetId="7">합산자재!$1:$3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40" l="1"/>
  <c r="E22" i="40"/>
  <c r="G42" i="7"/>
  <c r="G43" i="7"/>
  <c r="G44" i="7"/>
  <c r="G41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" i="7"/>
  <c r="L6" i="46"/>
  <c r="L7" i="46"/>
  <c r="L8" i="46"/>
  <c r="L9" i="46"/>
  <c r="L10" i="46"/>
  <c r="L11" i="46"/>
  <c r="L12" i="46"/>
  <c r="L13" i="46"/>
  <c r="L14" i="46"/>
  <c r="L15" i="46"/>
  <c r="L16" i="46"/>
  <c r="L17" i="46"/>
  <c r="L18" i="46"/>
  <c r="L19" i="46"/>
  <c r="L20" i="46"/>
  <c r="L21" i="46"/>
  <c r="L22" i="46"/>
  <c r="L23" i="46"/>
  <c r="L24" i="46"/>
  <c r="L25" i="46"/>
  <c r="L26" i="46"/>
  <c r="L27" i="46"/>
  <c r="L28" i="46"/>
  <c r="L29" i="46"/>
  <c r="L30" i="46"/>
  <c r="L31" i="46"/>
  <c r="L32" i="46"/>
  <c r="L33" i="46"/>
  <c r="L34" i="46"/>
  <c r="L35" i="46"/>
  <c r="L36" i="46"/>
  <c r="L37" i="46"/>
  <c r="L38" i="46"/>
  <c r="L39" i="46"/>
  <c r="L40" i="46"/>
  <c r="L41" i="46"/>
  <c r="L42" i="46"/>
  <c r="L43" i="46"/>
  <c r="L44" i="46"/>
  <c r="L45" i="46"/>
  <c r="L46" i="46"/>
  <c r="L47" i="46"/>
  <c r="L48" i="46"/>
  <c r="L49" i="46"/>
  <c r="L50" i="46"/>
  <c r="L51" i="46"/>
  <c r="L52" i="46"/>
  <c r="L53" i="46"/>
  <c r="L54" i="46"/>
  <c r="L55" i="46"/>
  <c r="L56" i="46"/>
  <c r="L57" i="46"/>
  <c r="L58" i="46"/>
  <c r="L59" i="46"/>
  <c r="L60" i="46"/>
  <c r="L61" i="46"/>
  <c r="L62" i="46"/>
  <c r="L63" i="46"/>
  <c r="L64" i="46"/>
  <c r="L65" i="46"/>
  <c r="L66" i="46"/>
  <c r="L67" i="46"/>
  <c r="L68" i="46"/>
  <c r="L69" i="46"/>
  <c r="L70" i="46"/>
  <c r="L71" i="46"/>
  <c r="L72" i="46"/>
  <c r="L73" i="46"/>
  <c r="L74" i="46"/>
  <c r="L75" i="46"/>
  <c r="L76" i="46"/>
  <c r="L77" i="46"/>
  <c r="L78" i="46"/>
  <c r="L79" i="46"/>
  <c r="L80" i="46"/>
  <c r="L81" i="46"/>
  <c r="L82" i="46"/>
  <c r="L83" i="46"/>
  <c r="L84" i="46"/>
  <c r="L85" i="46"/>
  <c r="L86" i="46"/>
  <c r="L87" i="46"/>
  <c r="L88" i="46"/>
  <c r="L89" i="46"/>
  <c r="L90" i="46"/>
  <c r="L91" i="46"/>
  <c r="L92" i="46"/>
  <c r="L93" i="46"/>
  <c r="L94" i="46"/>
  <c r="L95" i="46"/>
  <c r="L96" i="46"/>
  <c r="L97" i="46"/>
  <c r="L98" i="46"/>
  <c r="L99" i="46"/>
  <c r="L100" i="46"/>
  <c r="L101" i="46"/>
  <c r="L102" i="46"/>
  <c r="L103" i="46"/>
  <c r="L104" i="46"/>
  <c r="L105" i="46"/>
  <c r="L106" i="46"/>
  <c r="L107" i="46"/>
  <c r="L108" i="46"/>
  <c r="L109" i="46"/>
  <c r="L110" i="46"/>
  <c r="L111" i="46"/>
  <c r="L112" i="46"/>
  <c r="L113" i="46"/>
  <c r="L114" i="46"/>
  <c r="L115" i="46"/>
  <c r="L116" i="46"/>
  <c r="L117" i="46"/>
  <c r="L118" i="46"/>
  <c r="L119" i="46"/>
  <c r="L120" i="46"/>
  <c r="L121" i="46"/>
  <c r="L122" i="46"/>
  <c r="L123" i="46"/>
  <c r="L124" i="46"/>
  <c r="L125" i="46"/>
  <c r="L126" i="46"/>
  <c r="L127" i="46"/>
  <c r="L128" i="46"/>
  <c r="L129" i="46"/>
  <c r="L130" i="46"/>
  <c r="L131" i="46"/>
  <c r="L132" i="46"/>
  <c r="L133" i="46"/>
  <c r="L134" i="46"/>
  <c r="L135" i="46"/>
  <c r="L136" i="46"/>
  <c r="L137" i="46"/>
  <c r="L138" i="46"/>
  <c r="L139" i="46"/>
  <c r="L140" i="46"/>
  <c r="L141" i="46"/>
  <c r="L142" i="46"/>
  <c r="L143" i="46"/>
  <c r="L144" i="46"/>
  <c r="L145" i="46"/>
  <c r="L146" i="46"/>
  <c r="L147" i="46"/>
  <c r="L148" i="46"/>
  <c r="L149" i="46"/>
  <c r="L150" i="46"/>
  <c r="L151" i="46"/>
  <c r="L152" i="46"/>
  <c r="L153" i="46"/>
  <c r="L154" i="46"/>
  <c r="L155" i="46"/>
  <c r="L156" i="46"/>
  <c r="L157" i="46"/>
  <c r="L158" i="46"/>
  <c r="L159" i="46"/>
  <c r="L160" i="46"/>
  <c r="L161" i="46"/>
  <c r="L162" i="46"/>
  <c r="L163" i="46"/>
  <c r="L164" i="46"/>
  <c r="L165" i="46"/>
  <c r="L166" i="46"/>
  <c r="L167" i="46"/>
  <c r="L168" i="46"/>
  <c r="L169" i="46"/>
  <c r="L170" i="46"/>
  <c r="L171" i="46"/>
  <c r="L5" i="46"/>
  <c r="E31" i="40"/>
  <c r="D33" i="40"/>
  <c r="F6" i="40" l="1"/>
  <c r="G6" i="40" s="1"/>
  <c r="D349" i="45" l="1"/>
  <c r="D348" i="45"/>
  <c r="D276" i="45"/>
  <c r="D275" i="45"/>
  <c r="D274" i="45"/>
  <c r="D273" i="45"/>
  <c r="D229" i="45"/>
  <c r="D228" i="45"/>
  <c r="D219" i="45"/>
  <c r="D211" i="45"/>
  <c r="D210" i="45"/>
  <c r="D201" i="45"/>
  <c r="D200" i="45"/>
  <c r="D191" i="45"/>
  <c r="D190" i="45"/>
  <c r="D181" i="45"/>
  <c r="D180" i="45"/>
  <c r="D171" i="45"/>
  <c r="D170" i="45"/>
  <c r="D161" i="45"/>
  <c r="D160" i="45"/>
  <c r="D151" i="45"/>
  <c r="D144" i="45"/>
  <c r="D137" i="45"/>
  <c r="D130" i="45"/>
  <c r="D123" i="45"/>
  <c r="D116" i="45"/>
  <c r="D109" i="45"/>
  <c r="D102" i="45"/>
  <c r="D97" i="45"/>
  <c r="D89" i="45"/>
  <c r="D84" i="45"/>
  <c r="D79" i="45"/>
  <c r="D74" i="45"/>
  <c r="D69" i="45"/>
  <c r="D64" i="45"/>
  <c r="D63" i="45"/>
  <c r="D57" i="45"/>
  <c r="D56" i="45"/>
  <c r="D50" i="45"/>
  <c r="D49" i="45"/>
  <c r="D43" i="45"/>
  <c r="D42" i="45"/>
  <c r="D36" i="45"/>
  <c r="D35" i="45"/>
  <c r="D29" i="45"/>
  <c r="D28" i="45"/>
  <c r="D22" i="45"/>
  <c r="D21" i="45"/>
  <c r="D15" i="45"/>
  <c r="D14" i="45"/>
  <c r="D8" i="45"/>
  <c r="D7" i="45"/>
  <c r="G144" i="45" l="1"/>
  <c r="H144" i="45" s="1"/>
  <c r="E145" i="45" s="1"/>
  <c r="G229" i="45"/>
  <c r="H229" i="45" s="1"/>
  <c r="G49" i="45"/>
  <c r="K49" i="45" s="1"/>
  <c r="E249" i="45"/>
  <c r="E123" i="42"/>
  <c r="K123" i="42" s="1"/>
  <c r="E165" i="42"/>
  <c r="K165" i="42" s="1"/>
  <c r="E207" i="42"/>
  <c r="K207" i="42" s="1"/>
  <c r="E8" i="42"/>
  <c r="K8" i="42" s="1"/>
  <c r="E26" i="42"/>
  <c r="E226" i="45"/>
  <c r="K226" i="45" s="1"/>
  <c r="E29" i="42"/>
  <c r="K29" i="42" s="1"/>
  <c r="E112" i="42"/>
  <c r="F112" i="42" s="1"/>
  <c r="L112" i="42" s="1"/>
  <c r="E185" i="42"/>
  <c r="K185" i="42" s="1"/>
  <c r="J382" i="45"/>
  <c r="H382" i="45"/>
  <c r="J381" i="45"/>
  <c r="H381" i="45"/>
  <c r="J380" i="45"/>
  <c r="H380" i="45"/>
  <c r="J379" i="45"/>
  <c r="H379" i="45"/>
  <c r="E379" i="45"/>
  <c r="K379" i="45" s="1"/>
  <c r="J378" i="45"/>
  <c r="H378" i="45"/>
  <c r="H383" i="45" s="1"/>
  <c r="H57" i="44" s="1"/>
  <c r="I57" i="44" s="1"/>
  <c r="E378" i="45"/>
  <c r="K378" i="45" s="1"/>
  <c r="J374" i="45"/>
  <c r="H374" i="45"/>
  <c r="J373" i="45"/>
  <c r="H373" i="45"/>
  <c r="J372" i="45"/>
  <c r="H372" i="45"/>
  <c r="J371" i="45"/>
  <c r="H371" i="45"/>
  <c r="J370" i="45"/>
  <c r="H370" i="45"/>
  <c r="E370" i="45"/>
  <c r="F370" i="45" s="1"/>
  <c r="J366" i="45"/>
  <c r="H366" i="45"/>
  <c r="J365" i="45"/>
  <c r="H365" i="45"/>
  <c r="J364" i="45"/>
  <c r="H364" i="45"/>
  <c r="J363" i="45"/>
  <c r="H363" i="45"/>
  <c r="E363" i="45"/>
  <c r="K363" i="45" s="1"/>
  <c r="J362" i="45"/>
  <c r="H362" i="45"/>
  <c r="E362" i="45"/>
  <c r="F362" i="45" s="1"/>
  <c r="J355" i="45"/>
  <c r="H355" i="45"/>
  <c r="J354" i="45"/>
  <c r="H354" i="45"/>
  <c r="E354" i="45"/>
  <c r="K354" i="45" s="1"/>
  <c r="B350" i="45"/>
  <c r="J349" i="45"/>
  <c r="F349" i="45"/>
  <c r="J348" i="45"/>
  <c r="F348" i="45"/>
  <c r="J347" i="45"/>
  <c r="H347" i="45"/>
  <c r="J346" i="45"/>
  <c r="H346" i="45"/>
  <c r="E346" i="45"/>
  <c r="K346" i="45" s="1"/>
  <c r="J342" i="45"/>
  <c r="H342" i="45"/>
  <c r="E342" i="45"/>
  <c r="F342" i="45" s="1"/>
  <c r="J341" i="45"/>
  <c r="H341" i="45"/>
  <c r="E341" i="45"/>
  <c r="K341" i="45" s="1"/>
  <c r="J340" i="45"/>
  <c r="H340" i="45"/>
  <c r="E340" i="45"/>
  <c r="K340" i="45" s="1"/>
  <c r="J336" i="45"/>
  <c r="H336" i="45"/>
  <c r="E336" i="45"/>
  <c r="J335" i="45"/>
  <c r="H335" i="45"/>
  <c r="E335" i="45"/>
  <c r="K335" i="45" s="1"/>
  <c r="J334" i="45"/>
  <c r="H334" i="45"/>
  <c r="E334" i="45"/>
  <c r="J330" i="45"/>
  <c r="H330" i="45"/>
  <c r="E330" i="45"/>
  <c r="J329" i="45"/>
  <c r="H329" i="45"/>
  <c r="E329" i="45"/>
  <c r="K329" i="45" s="1"/>
  <c r="J328" i="45"/>
  <c r="H328" i="45"/>
  <c r="E328" i="45"/>
  <c r="J324" i="45"/>
  <c r="H324" i="45"/>
  <c r="E324" i="45"/>
  <c r="K324" i="45" s="1"/>
  <c r="J323" i="45"/>
  <c r="H323" i="45"/>
  <c r="E323" i="45"/>
  <c r="K323" i="45" s="1"/>
  <c r="J322" i="45"/>
  <c r="H322" i="45"/>
  <c r="J318" i="45"/>
  <c r="H318" i="45"/>
  <c r="E318" i="45"/>
  <c r="K318" i="45" s="1"/>
  <c r="J317" i="45"/>
  <c r="H317" i="45"/>
  <c r="E317" i="45"/>
  <c r="J316" i="45"/>
  <c r="H316" i="45"/>
  <c r="J312" i="45"/>
  <c r="H312" i="45"/>
  <c r="E312" i="45"/>
  <c r="K312" i="45" s="1"/>
  <c r="J311" i="45"/>
  <c r="H311" i="45"/>
  <c r="E311" i="45"/>
  <c r="J310" i="45"/>
  <c r="H310" i="45"/>
  <c r="J306" i="45"/>
  <c r="H306" i="45"/>
  <c r="E306" i="45"/>
  <c r="F306" i="45" s="1"/>
  <c r="J305" i="45"/>
  <c r="H305" i="45"/>
  <c r="E305" i="45"/>
  <c r="K305" i="45" s="1"/>
  <c r="J304" i="45"/>
  <c r="H304" i="45"/>
  <c r="J300" i="45"/>
  <c r="H300" i="45"/>
  <c r="E300" i="45"/>
  <c r="J299" i="45"/>
  <c r="H299" i="45"/>
  <c r="E299" i="45"/>
  <c r="K299" i="45" s="1"/>
  <c r="J298" i="45"/>
  <c r="H298" i="45"/>
  <c r="J294" i="45"/>
  <c r="H294" i="45"/>
  <c r="E294" i="45"/>
  <c r="J293" i="45"/>
  <c r="H293" i="45"/>
  <c r="E293" i="45"/>
  <c r="F293" i="45" s="1"/>
  <c r="J292" i="45"/>
  <c r="H292" i="45"/>
  <c r="E292" i="45"/>
  <c r="J288" i="45"/>
  <c r="H288" i="45"/>
  <c r="E288" i="45"/>
  <c r="K288" i="45" s="1"/>
  <c r="J287" i="45"/>
  <c r="J289" i="45" s="1"/>
  <c r="J43" i="44" s="1"/>
  <c r="K43" i="44" s="1"/>
  <c r="I76" i="42" s="1"/>
  <c r="J76" i="42" s="1"/>
  <c r="R76" i="42" s="1"/>
  <c r="H287" i="45"/>
  <c r="E287" i="45"/>
  <c r="K287" i="45" s="1"/>
  <c r="J286" i="45"/>
  <c r="H286" i="45"/>
  <c r="E286" i="45"/>
  <c r="K286" i="45" s="1"/>
  <c r="B278" i="45"/>
  <c r="B277" i="45"/>
  <c r="J276" i="45"/>
  <c r="F276" i="45"/>
  <c r="J275" i="45"/>
  <c r="G275" i="45"/>
  <c r="K275" i="45" s="1"/>
  <c r="F275" i="45"/>
  <c r="J274" i="45"/>
  <c r="F274" i="45"/>
  <c r="J273" i="45"/>
  <c r="G273" i="45"/>
  <c r="K273" i="45" s="1"/>
  <c r="F273" i="45"/>
  <c r="J268" i="45"/>
  <c r="H268" i="45"/>
  <c r="E268" i="45"/>
  <c r="F268" i="45" s="1"/>
  <c r="J267" i="45"/>
  <c r="H267" i="45"/>
  <c r="J266" i="45"/>
  <c r="H266" i="45"/>
  <c r="E266" i="45"/>
  <c r="F266" i="45" s="1"/>
  <c r="J265" i="45"/>
  <c r="H265" i="45"/>
  <c r="E265" i="45"/>
  <c r="J260" i="45"/>
  <c r="H260" i="45"/>
  <c r="E260" i="45"/>
  <c r="F260" i="45" s="1"/>
  <c r="J259" i="45"/>
  <c r="H259" i="45"/>
  <c r="J258" i="45"/>
  <c r="H258" i="45"/>
  <c r="E258" i="45"/>
  <c r="F258" i="45" s="1"/>
  <c r="J257" i="45"/>
  <c r="H257" i="45"/>
  <c r="E257" i="45"/>
  <c r="J252" i="45"/>
  <c r="H252" i="45"/>
  <c r="J251" i="45"/>
  <c r="H251" i="45"/>
  <c r="J250" i="45"/>
  <c r="H250" i="45"/>
  <c r="E250" i="45"/>
  <c r="F250" i="45" s="1"/>
  <c r="J249" i="45"/>
  <c r="H249" i="45"/>
  <c r="J244" i="45"/>
  <c r="H244" i="45"/>
  <c r="J243" i="45"/>
  <c r="H243" i="45"/>
  <c r="J242" i="45"/>
  <c r="H242" i="45"/>
  <c r="E242" i="45"/>
  <c r="F242" i="45" s="1"/>
  <c r="J241" i="45"/>
  <c r="H241" i="45"/>
  <c r="J236" i="45"/>
  <c r="H236" i="45"/>
  <c r="J235" i="45"/>
  <c r="H235" i="45"/>
  <c r="J234" i="45"/>
  <c r="H234" i="45"/>
  <c r="J233" i="45"/>
  <c r="H233" i="45"/>
  <c r="J229" i="45"/>
  <c r="F229" i="45"/>
  <c r="J228" i="45"/>
  <c r="F228" i="45"/>
  <c r="J227" i="45"/>
  <c r="H227" i="45"/>
  <c r="E227" i="45"/>
  <c r="K227" i="45" s="1"/>
  <c r="J226" i="45"/>
  <c r="H226" i="45"/>
  <c r="J225" i="45"/>
  <c r="H225" i="45"/>
  <c r="E225" i="45"/>
  <c r="K225" i="45" s="1"/>
  <c r="J224" i="45"/>
  <c r="H224" i="45"/>
  <c r="B220" i="45"/>
  <c r="J219" i="45"/>
  <c r="F219" i="45"/>
  <c r="J218" i="45"/>
  <c r="F218" i="45"/>
  <c r="J217" i="45"/>
  <c r="H217" i="45"/>
  <c r="J216" i="45"/>
  <c r="H216" i="45"/>
  <c r="E216" i="45"/>
  <c r="K216" i="45" s="1"/>
  <c r="B212" i="45"/>
  <c r="J211" i="45"/>
  <c r="F211" i="45"/>
  <c r="J210" i="45"/>
  <c r="F210" i="45"/>
  <c r="J209" i="45"/>
  <c r="H209" i="45"/>
  <c r="E209" i="45"/>
  <c r="K209" i="45" s="1"/>
  <c r="J208" i="45"/>
  <c r="J213" i="45" s="1"/>
  <c r="J33" i="44" s="1"/>
  <c r="K33" i="44" s="1"/>
  <c r="H208" i="45"/>
  <c r="E208" i="45"/>
  <c r="K208" i="45" s="1"/>
  <c r="B207" i="45"/>
  <c r="J206" i="45"/>
  <c r="H206" i="45"/>
  <c r="B202" i="45"/>
  <c r="J201" i="45"/>
  <c r="F201" i="45"/>
  <c r="J200" i="45"/>
  <c r="F200" i="45"/>
  <c r="J199" i="45"/>
  <c r="H199" i="45"/>
  <c r="E199" i="45"/>
  <c r="J198" i="45"/>
  <c r="H198" i="45"/>
  <c r="E198" i="45"/>
  <c r="F198" i="45" s="1"/>
  <c r="B197" i="45"/>
  <c r="J196" i="45"/>
  <c r="H196" i="45"/>
  <c r="B192" i="45"/>
  <c r="J191" i="45"/>
  <c r="F191" i="45"/>
  <c r="J190" i="45"/>
  <c r="F190" i="45"/>
  <c r="J189" i="45"/>
  <c r="H189" i="45"/>
  <c r="J188" i="45"/>
  <c r="H188" i="45"/>
  <c r="E188" i="45"/>
  <c r="B187" i="45"/>
  <c r="J186" i="45"/>
  <c r="H186" i="45"/>
  <c r="E186" i="45"/>
  <c r="K186" i="45" s="1"/>
  <c r="B182" i="45"/>
  <c r="J181" i="45"/>
  <c r="F181" i="45"/>
  <c r="J180" i="45"/>
  <c r="F180" i="45"/>
  <c r="J179" i="45"/>
  <c r="H179" i="45"/>
  <c r="E179" i="45"/>
  <c r="K179" i="45" s="1"/>
  <c r="J178" i="45"/>
  <c r="H178" i="45"/>
  <c r="E178" i="45"/>
  <c r="K178" i="45" s="1"/>
  <c r="B177" i="45"/>
  <c r="J176" i="45"/>
  <c r="H176" i="45"/>
  <c r="B172" i="45"/>
  <c r="J171" i="45"/>
  <c r="F171" i="45"/>
  <c r="J170" i="45"/>
  <c r="F170" i="45"/>
  <c r="J169" i="45"/>
  <c r="H169" i="45"/>
  <c r="E169" i="45"/>
  <c r="J168" i="45"/>
  <c r="H168" i="45"/>
  <c r="E168" i="45"/>
  <c r="F168" i="45" s="1"/>
  <c r="B167" i="45"/>
  <c r="J166" i="45"/>
  <c r="H166" i="45"/>
  <c r="B162" i="45"/>
  <c r="J161" i="45"/>
  <c r="F161" i="45"/>
  <c r="J160" i="45"/>
  <c r="F160" i="45"/>
  <c r="J159" i="45"/>
  <c r="H159" i="45"/>
  <c r="J158" i="45"/>
  <c r="H158" i="45"/>
  <c r="E158" i="45"/>
  <c r="B157" i="45"/>
  <c r="J156" i="45"/>
  <c r="H156" i="45"/>
  <c r="B152" i="45"/>
  <c r="J151" i="45"/>
  <c r="F151" i="45"/>
  <c r="I150" i="45"/>
  <c r="K150" i="45" s="1"/>
  <c r="H150" i="45"/>
  <c r="F150" i="45"/>
  <c r="J149" i="45"/>
  <c r="H149" i="45"/>
  <c r="B145" i="45"/>
  <c r="J144" i="45"/>
  <c r="F144" i="45"/>
  <c r="I143" i="45"/>
  <c r="K143" i="45" s="1"/>
  <c r="H143" i="45"/>
  <c r="F143" i="45"/>
  <c r="J142" i="45"/>
  <c r="H142" i="45"/>
  <c r="B138" i="45"/>
  <c r="J137" i="45"/>
  <c r="G137" i="45"/>
  <c r="K137" i="45" s="1"/>
  <c r="F137" i="45"/>
  <c r="I136" i="45"/>
  <c r="H136" i="45"/>
  <c r="F136" i="45"/>
  <c r="J135" i="45"/>
  <c r="H135" i="45"/>
  <c r="B131" i="45"/>
  <c r="J130" i="45"/>
  <c r="F130" i="45"/>
  <c r="I129" i="45"/>
  <c r="K129" i="45" s="1"/>
  <c r="H129" i="45"/>
  <c r="F129" i="45"/>
  <c r="J128" i="45"/>
  <c r="H128" i="45"/>
  <c r="B124" i="45"/>
  <c r="J123" i="45"/>
  <c r="F123" i="45"/>
  <c r="I122" i="45"/>
  <c r="J122" i="45" s="1"/>
  <c r="H122" i="45"/>
  <c r="F122" i="45"/>
  <c r="J121" i="45"/>
  <c r="H121" i="45"/>
  <c r="B117" i="45"/>
  <c r="J116" i="45"/>
  <c r="F116" i="45"/>
  <c r="I115" i="45"/>
  <c r="K115" i="45" s="1"/>
  <c r="H115" i="45"/>
  <c r="F115" i="45"/>
  <c r="J114" i="45"/>
  <c r="H114" i="45"/>
  <c r="B110" i="45"/>
  <c r="J109" i="45"/>
  <c r="G109" i="45"/>
  <c r="K109" i="45" s="1"/>
  <c r="F109" i="45"/>
  <c r="I108" i="45"/>
  <c r="J108" i="45" s="1"/>
  <c r="H108" i="45"/>
  <c r="F108" i="45"/>
  <c r="J107" i="45"/>
  <c r="H107" i="45"/>
  <c r="B103" i="45"/>
  <c r="J102" i="45"/>
  <c r="J104" i="45" s="1"/>
  <c r="J20" i="44" s="1"/>
  <c r="K20" i="44" s="1"/>
  <c r="F102" i="45"/>
  <c r="B98" i="45"/>
  <c r="J97" i="45"/>
  <c r="J99" i="45" s="1"/>
  <c r="J19" i="44" s="1"/>
  <c r="K19" i="44" s="1"/>
  <c r="I173" i="42" s="1"/>
  <c r="J173" i="42" s="1"/>
  <c r="R173" i="42" s="1"/>
  <c r="G97" i="45"/>
  <c r="K97" i="45" s="1"/>
  <c r="F97" i="45"/>
  <c r="B90" i="45"/>
  <c r="J89" i="45"/>
  <c r="J91" i="45" s="1"/>
  <c r="J18" i="44" s="1"/>
  <c r="K18" i="44" s="1"/>
  <c r="I172" i="42" s="1"/>
  <c r="J172" i="42" s="1"/>
  <c r="R172" i="42" s="1"/>
  <c r="F89" i="45"/>
  <c r="B85" i="45"/>
  <c r="J84" i="45"/>
  <c r="J86" i="45" s="1"/>
  <c r="J17" i="44" s="1"/>
  <c r="K17" i="44" s="1"/>
  <c r="F84" i="45"/>
  <c r="B80" i="45"/>
  <c r="J79" i="45"/>
  <c r="J81" i="45" s="1"/>
  <c r="J16" i="44" s="1"/>
  <c r="K16" i="44" s="1"/>
  <c r="I126" i="42" s="1"/>
  <c r="J126" i="42" s="1"/>
  <c r="R126" i="42" s="1"/>
  <c r="G79" i="45"/>
  <c r="H79" i="45" s="1"/>
  <c r="E80" i="45" s="1"/>
  <c r="F80" i="45" s="1"/>
  <c r="L80" i="45" s="1"/>
  <c r="F79" i="45"/>
  <c r="B75" i="45"/>
  <c r="J74" i="45"/>
  <c r="J76" i="45" s="1"/>
  <c r="J15" i="44" s="1"/>
  <c r="K15" i="44" s="1"/>
  <c r="F74" i="45"/>
  <c r="B70" i="45"/>
  <c r="J69" i="45"/>
  <c r="J71" i="45" s="1"/>
  <c r="J14" i="44" s="1"/>
  <c r="K14" i="44" s="1"/>
  <c r="I169" i="42" s="1"/>
  <c r="J169" i="42" s="1"/>
  <c r="R169" i="42" s="1"/>
  <c r="G69" i="45"/>
  <c r="H69" i="45" s="1"/>
  <c r="H71" i="45" s="1"/>
  <c r="H14" i="44" s="1"/>
  <c r="I14" i="44" s="1"/>
  <c r="G169" i="42" s="1"/>
  <c r="H169" i="42" s="1"/>
  <c r="F69" i="45"/>
  <c r="B65" i="45"/>
  <c r="J64" i="45"/>
  <c r="F64" i="45"/>
  <c r="J63" i="45"/>
  <c r="F63" i="45"/>
  <c r="J62" i="45"/>
  <c r="H62" i="45"/>
  <c r="E62" i="45"/>
  <c r="K62" i="45" s="1"/>
  <c r="B58" i="45"/>
  <c r="J57" i="45"/>
  <c r="F57" i="45"/>
  <c r="J56" i="45"/>
  <c r="F56" i="45"/>
  <c r="J55" i="45"/>
  <c r="H55" i="45"/>
  <c r="E55" i="45"/>
  <c r="K55" i="45" s="1"/>
  <c r="B51" i="45"/>
  <c r="J50" i="45"/>
  <c r="G50" i="45"/>
  <c r="H50" i="45" s="1"/>
  <c r="F50" i="45"/>
  <c r="J49" i="45"/>
  <c r="F49" i="45"/>
  <c r="J48" i="45"/>
  <c r="H48" i="45"/>
  <c r="E48" i="45"/>
  <c r="K48" i="45" s="1"/>
  <c r="B44" i="45"/>
  <c r="J43" i="45"/>
  <c r="F43" i="45"/>
  <c r="J42" i="45"/>
  <c r="F42" i="45"/>
  <c r="J41" i="45"/>
  <c r="H41" i="45"/>
  <c r="B37" i="45"/>
  <c r="J36" i="45"/>
  <c r="F36" i="45"/>
  <c r="J35" i="45"/>
  <c r="F35" i="45"/>
  <c r="J34" i="45"/>
  <c r="H34" i="45"/>
  <c r="B30" i="45"/>
  <c r="J29" i="45"/>
  <c r="F29" i="45"/>
  <c r="J28" i="45"/>
  <c r="F28" i="45"/>
  <c r="J27" i="45"/>
  <c r="H27" i="45"/>
  <c r="B23" i="45"/>
  <c r="J22" i="45"/>
  <c r="F22" i="45"/>
  <c r="J21" i="45"/>
  <c r="F21" i="45"/>
  <c r="J20" i="45"/>
  <c r="H20" i="45"/>
  <c r="B16" i="45"/>
  <c r="J15" i="45"/>
  <c r="F15" i="45"/>
  <c r="J14" i="45"/>
  <c r="F14" i="45"/>
  <c r="J13" i="45"/>
  <c r="H13" i="45"/>
  <c r="B9" i="45"/>
  <c r="J8" i="45"/>
  <c r="F8" i="45"/>
  <c r="J7" i="45"/>
  <c r="F7" i="45"/>
  <c r="J6" i="45"/>
  <c r="H6" i="45"/>
  <c r="E6" i="45"/>
  <c r="K6" i="45" s="1"/>
  <c r="G121" i="43"/>
  <c r="F120" i="43"/>
  <c r="H119" i="43"/>
  <c r="G119" i="43"/>
  <c r="F118" i="43"/>
  <c r="H117" i="43"/>
  <c r="G117" i="43"/>
  <c r="F116" i="43"/>
  <c r="H115" i="43"/>
  <c r="G115" i="43"/>
  <c r="F114" i="43"/>
  <c r="D196" i="42" s="1"/>
  <c r="G113" i="43"/>
  <c r="F112" i="43"/>
  <c r="H111" i="43"/>
  <c r="G111" i="43"/>
  <c r="F110" i="43"/>
  <c r="H109" i="43"/>
  <c r="G109" i="43"/>
  <c r="F108" i="43"/>
  <c r="D176" i="42" s="1"/>
  <c r="H107" i="43"/>
  <c r="G107" i="43"/>
  <c r="F106" i="43"/>
  <c r="D175" i="42" s="1"/>
  <c r="H175" i="42" s="1"/>
  <c r="H105" i="43"/>
  <c r="G105" i="43"/>
  <c r="F104" i="43"/>
  <c r="H93" i="43"/>
  <c r="H100" i="43" s="1"/>
  <c r="H101" i="43" s="1"/>
  <c r="G93" i="43"/>
  <c r="F92" i="43"/>
  <c r="G91" i="43"/>
  <c r="F90" i="43"/>
  <c r="G89" i="43"/>
  <c r="G100" i="43" s="1"/>
  <c r="G101" i="43" s="1"/>
  <c r="D134" i="42" s="1"/>
  <c r="F134" i="42" s="1"/>
  <c r="F88" i="43"/>
  <c r="G73" i="43"/>
  <c r="F72" i="43"/>
  <c r="D87" i="42" s="1"/>
  <c r="G71" i="43"/>
  <c r="F70" i="43"/>
  <c r="H69" i="43"/>
  <c r="G69" i="43"/>
  <c r="F68" i="43"/>
  <c r="G67" i="43"/>
  <c r="F66" i="43"/>
  <c r="H65" i="43"/>
  <c r="G65" i="43"/>
  <c r="F64" i="43"/>
  <c r="G63" i="43"/>
  <c r="F62" i="43"/>
  <c r="D74" i="42" s="1"/>
  <c r="G61" i="43"/>
  <c r="F60" i="43"/>
  <c r="H59" i="43"/>
  <c r="G59" i="43"/>
  <c r="F58" i="43"/>
  <c r="G57" i="43"/>
  <c r="F56" i="43"/>
  <c r="H55" i="43"/>
  <c r="G55" i="43"/>
  <c r="F54" i="43"/>
  <c r="H53" i="43"/>
  <c r="G53" i="43"/>
  <c r="F52" i="43"/>
  <c r="D62" i="42" s="1"/>
  <c r="G51" i="43"/>
  <c r="F50" i="43"/>
  <c r="H49" i="43"/>
  <c r="G49" i="43"/>
  <c r="F48" i="43"/>
  <c r="G47" i="43"/>
  <c r="F46" i="43"/>
  <c r="H45" i="43"/>
  <c r="G45" i="43"/>
  <c r="F44" i="43"/>
  <c r="H43" i="43"/>
  <c r="G43" i="43"/>
  <c r="F42" i="43"/>
  <c r="G41" i="43"/>
  <c r="F40" i="43"/>
  <c r="H39" i="43"/>
  <c r="G39" i="43"/>
  <c r="F38" i="43"/>
  <c r="G37" i="43"/>
  <c r="F36" i="43"/>
  <c r="D54" i="42" s="1"/>
  <c r="J54" i="42" s="1"/>
  <c r="R54" i="42" s="1"/>
  <c r="H35" i="43"/>
  <c r="G35" i="43"/>
  <c r="F34" i="43"/>
  <c r="D32" i="42" s="1"/>
  <c r="H33" i="43"/>
  <c r="G33" i="43"/>
  <c r="F32" i="43"/>
  <c r="H31" i="43"/>
  <c r="G31" i="43"/>
  <c r="F30" i="43"/>
  <c r="H29" i="43"/>
  <c r="G29" i="43"/>
  <c r="F28" i="43"/>
  <c r="D29" i="42" s="1"/>
  <c r="H27" i="43"/>
  <c r="G27" i="43"/>
  <c r="F26" i="43"/>
  <c r="D28" i="42" s="1"/>
  <c r="H25" i="43"/>
  <c r="G25" i="43"/>
  <c r="F24" i="43"/>
  <c r="G19" i="43"/>
  <c r="F18" i="43"/>
  <c r="H17" i="43"/>
  <c r="G17" i="43"/>
  <c r="F16" i="43"/>
  <c r="H15" i="43"/>
  <c r="G15" i="43"/>
  <c r="F14" i="43"/>
  <c r="H13" i="43"/>
  <c r="G13" i="43"/>
  <c r="F12" i="43"/>
  <c r="H11" i="43"/>
  <c r="G11" i="43"/>
  <c r="F10" i="43"/>
  <c r="H9" i="43"/>
  <c r="G9" i="43"/>
  <c r="F8" i="43"/>
  <c r="AX274" i="42"/>
  <c r="AW274" i="42"/>
  <c r="AV274" i="42"/>
  <c r="AU260" i="42"/>
  <c r="AT260" i="42"/>
  <c r="AS260" i="42"/>
  <c r="AR260" i="42"/>
  <c r="AQ260" i="42"/>
  <c r="AP260" i="42"/>
  <c r="AO260" i="42"/>
  <c r="AN260" i="42"/>
  <c r="AM260" i="42"/>
  <c r="AL260" i="42"/>
  <c r="AK260" i="42"/>
  <c r="AJ260" i="42"/>
  <c r="AI260" i="42"/>
  <c r="AH260" i="42"/>
  <c r="AG260" i="42"/>
  <c r="AF260" i="42"/>
  <c r="AE260" i="42"/>
  <c r="AD260" i="42"/>
  <c r="AC260" i="42"/>
  <c r="AB260" i="42"/>
  <c r="AA260" i="42"/>
  <c r="Z260" i="42"/>
  <c r="Y260" i="42"/>
  <c r="X260" i="42"/>
  <c r="W260" i="42"/>
  <c r="V260" i="42"/>
  <c r="U260" i="42"/>
  <c r="T260" i="42"/>
  <c r="S260" i="42"/>
  <c r="O260" i="42"/>
  <c r="K260" i="42"/>
  <c r="J260" i="42"/>
  <c r="R260" i="42" s="1"/>
  <c r="H260" i="42"/>
  <c r="F260" i="42"/>
  <c r="L260" i="42" s="1"/>
  <c r="AU259" i="42"/>
  <c r="AT259" i="42"/>
  <c r="AS259" i="42"/>
  <c r="AR259" i="42"/>
  <c r="AQ259" i="42"/>
  <c r="AP259" i="42"/>
  <c r="AO259" i="42"/>
  <c r="AN259" i="42"/>
  <c r="AM259" i="42"/>
  <c r="AL259" i="42"/>
  <c r="AK259" i="42"/>
  <c r="AJ259" i="42"/>
  <c r="AI259" i="42"/>
  <c r="AH259" i="42"/>
  <c r="AG259" i="42"/>
  <c r="AF259" i="42"/>
  <c r="AE259" i="42"/>
  <c r="AD259" i="42"/>
  <c r="AC259" i="42"/>
  <c r="AB259" i="42"/>
  <c r="AA259" i="42"/>
  <c r="Z259" i="42"/>
  <c r="Y259" i="42"/>
  <c r="X259" i="42"/>
  <c r="W259" i="42"/>
  <c r="V259" i="42"/>
  <c r="U259" i="42"/>
  <c r="T259" i="42"/>
  <c r="S259" i="42"/>
  <c r="O259" i="42"/>
  <c r="K259" i="42"/>
  <c r="J259" i="42"/>
  <c r="R259" i="42" s="1"/>
  <c r="H259" i="42"/>
  <c r="F259" i="42"/>
  <c r="AU258" i="42"/>
  <c r="AT258" i="42"/>
  <c r="AS258" i="42"/>
  <c r="AR258" i="42"/>
  <c r="AQ258" i="42"/>
  <c r="AP258" i="42"/>
  <c r="AO258" i="42"/>
  <c r="AN258" i="42"/>
  <c r="AM258" i="42"/>
  <c r="AL258" i="42"/>
  <c r="AK258" i="42"/>
  <c r="AJ258" i="42"/>
  <c r="AI258" i="42"/>
  <c r="AH258" i="42"/>
  <c r="AG258" i="42"/>
  <c r="AF258" i="42"/>
  <c r="AE258" i="42"/>
  <c r="AD258" i="42"/>
  <c r="AC258" i="42"/>
  <c r="AB258" i="42"/>
  <c r="AA258" i="42"/>
  <c r="Z258" i="42"/>
  <c r="Y258" i="42"/>
  <c r="X258" i="42"/>
  <c r="W258" i="42"/>
  <c r="V258" i="42"/>
  <c r="U258" i="42"/>
  <c r="T258" i="42"/>
  <c r="S258" i="42"/>
  <c r="R258" i="42"/>
  <c r="O258" i="42"/>
  <c r="K258" i="42"/>
  <c r="J258" i="42"/>
  <c r="H258" i="42"/>
  <c r="F258" i="42"/>
  <c r="AU257" i="42"/>
  <c r="AT257" i="42"/>
  <c r="AS257" i="42"/>
  <c r="AR257" i="42"/>
  <c r="AQ257" i="42"/>
  <c r="AP257" i="42"/>
  <c r="AO257" i="42"/>
  <c r="AN257" i="42"/>
  <c r="AM257" i="42"/>
  <c r="AL257" i="42"/>
  <c r="AK257" i="42"/>
  <c r="AJ257" i="42"/>
  <c r="AI257" i="42"/>
  <c r="AH257" i="42"/>
  <c r="AG257" i="42"/>
  <c r="AF257" i="42"/>
  <c r="AE257" i="42"/>
  <c r="AD257" i="42"/>
  <c r="AC257" i="42"/>
  <c r="AB257" i="42"/>
  <c r="AA257" i="42"/>
  <c r="Z257" i="42"/>
  <c r="Y257" i="42"/>
  <c r="X257" i="42"/>
  <c r="W257" i="42"/>
  <c r="V257" i="42"/>
  <c r="U257" i="42"/>
  <c r="T257" i="42"/>
  <c r="S257" i="42"/>
  <c r="O257" i="42"/>
  <c r="K257" i="42"/>
  <c r="J257" i="42"/>
  <c r="R257" i="42" s="1"/>
  <c r="H257" i="42"/>
  <c r="F257" i="42"/>
  <c r="AU256" i="42"/>
  <c r="AT256" i="42"/>
  <c r="AS256" i="42"/>
  <c r="AR256" i="42"/>
  <c r="AQ256" i="42"/>
  <c r="AP256" i="42"/>
  <c r="AO256" i="42"/>
  <c r="AN256" i="42"/>
  <c r="AM256" i="42"/>
  <c r="AL256" i="42"/>
  <c r="AK256" i="42"/>
  <c r="AJ256" i="42"/>
  <c r="AI256" i="42"/>
  <c r="AH256" i="42"/>
  <c r="AG256" i="42"/>
  <c r="AF256" i="42"/>
  <c r="AE256" i="42"/>
  <c r="AD256" i="42"/>
  <c r="AC256" i="42"/>
  <c r="AB256" i="42"/>
  <c r="AA256" i="42"/>
  <c r="Z256" i="42"/>
  <c r="Y256" i="42"/>
  <c r="X256" i="42"/>
  <c r="W256" i="42"/>
  <c r="V256" i="42"/>
  <c r="U256" i="42"/>
  <c r="T256" i="42"/>
  <c r="S256" i="42"/>
  <c r="O256" i="42"/>
  <c r="K256" i="42"/>
  <c r="J256" i="42"/>
  <c r="R256" i="42" s="1"/>
  <c r="H256" i="42"/>
  <c r="F256" i="42"/>
  <c r="AU255" i="42"/>
  <c r="AT255" i="42"/>
  <c r="AS255" i="42"/>
  <c r="AR255" i="42"/>
  <c r="AQ255" i="42"/>
  <c r="AP255" i="42"/>
  <c r="AO255" i="42"/>
  <c r="AN255" i="42"/>
  <c r="AM255" i="42"/>
  <c r="AL255" i="42"/>
  <c r="AK255" i="42"/>
  <c r="AJ255" i="42"/>
  <c r="AI255" i="42"/>
  <c r="AH255" i="42"/>
  <c r="AG255" i="42"/>
  <c r="AF255" i="42"/>
  <c r="AE255" i="42"/>
  <c r="AD255" i="42"/>
  <c r="AC255" i="42"/>
  <c r="AB255" i="42"/>
  <c r="AA255" i="42"/>
  <c r="Z255" i="42"/>
  <c r="Y255" i="42"/>
  <c r="X255" i="42"/>
  <c r="W255" i="42"/>
  <c r="V255" i="42"/>
  <c r="U255" i="42"/>
  <c r="T255" i="42"/>
  <c r="S255" i="42"/>
  <c r="O255" i="42"/>
  <c r="K255" i="42"/>
  <c r="J255" i="42"/>
  <c r="R255" i="42" s="1"/>
  <c r="H255" i="42"/>
  <c r="F255" i="42"/>
  <c r="AU254" i="42"/>
  <c r="AT254" i="42"/>
  <c r="AS254" i="42"/>
  <c r="AR254" i="42"/>
  <c r="AQ254" i="42"/>
  <c r="AP254" i="42"/>
  <c r="AO254" i="42"/>
  <c r="AN254" i="42"/>
  <c r="AM254" i="42"/>
  <c r="AL254" i="42"/>
  <c r="AK254" i="42"/>
  <c r="AJ254" i="42"/>
  <c r="AI254" i="42"/>
  <c r="AH254" i="42"/>
  <c r="AG254" i="42"/>
  <c r="AF254" i="42"/>
  <c r="AE254" i="42"/>
  <c r="AD254" i="42"/>
  <c r="AC254" i="42"/>
  <c r="AB254" i="42"/>
  <c r="AA254" i="42"/>
  <c r="Z254" i="42"/>
  <c r="Y254" i="42"/>
  <c r="X254" i="42"/>
  <c r="W254" i="42"/>
  <c r="V254" i="42"/>
  <c r="U254" i="42"/>
  <c r="T254" i="42"/>
  <c r="S254" i="42"/>
  <c r="R254" i="42"/>
  <c r="O254" i="42"/>
  <c r="K254" i="42"/>
  <c r="J254" i="42"/>
  <c r="H254" i="42"/>
  <c r="F254" i="42"/>
  <c r="AU253" i="42"/>
  <c r="AT253" i="42"/>
  <c r="AS253" i="42"/>
  <c r="AR253" i="42"/>
  <c r="AQ253" i="42"/>
  <c r="AP253" i="42"/>
  <c r="AO253" i="42"/>
  <c r="AN253" i="42"/>
  <c r="AM253" i="42"/>
  <c r="AL253" i="42"/>
  <c r="AK253" i="42"/>
  <c r="AJ253" i="42"/>
  <c r="AI253" i="42"/>
  <c r="AH253" i="42"/>
  <c r="AG253" i="42"/>
  <c r="AF253" i="42"/>
  <c r="AE253" i="42"/>
  <c r="AD253" i="42"/>
  <c r="AC253" i="42"/>
  <c r="AB253" i="42"/>
  <c r="AA253" i="42"/>
  <c r="Z253" i="42"/>
  <c r="Y253" i="42"/>
  <c r="X253" i="42"/>
  <c r="W253" i="42"/>
  <c r="V253" i="42"/>
  <c r="U253" i="42"/>
  <c r="T253" i="42"/>
  <c r="S253" i="42"/>
  <c r="O253" i="42"/>
  <c r="K253" i="42"/>
  <c r="J253" i="42"/>
  <c r="R253" i="42" s="1"/>
  <c r="H253" i="42"/>
  <c r="F253" i="42"/>
  <c r="L253" i="42" s="1"/>
  <c r="AU252" i="42"/>
  <c r="AT252" i="42"/>
  <c r="AS252" i="42"/>
  <c r="AR252" i="42"/>
  <c r="AQ252" i="42"/>
  <c r="AP252" i="42"/>
  <c r="AO252" i="42"/>
  <c r="AN252" i="42"/>
  <c r="AM252" i="42"/>
  <c r="AL252" i="42"/>
  <c r="AK252" i="42"/>
  <c r="AJ252" i="42"/>
  <c r="AI252" i="42"/>
  <c r="AH252" i="42"/>
  <c r="AG252" i="42"/>
  <c r="AF252" i="42"/>
  <c r="AE252" i="42"/>
  <c r="AD252" i="42"/>
  <c r="AC252" i="42"/>
  <c r="AB252" i="42"/>
  <c r="AA252" i="42"/>
  <c r="Z252" i="42"/>
  <c r="Y252" i="42"/>
  <c r="X252" i="42"/>
  <c r="W252" i="42"/>
  <c r="V252" i="42"/>
  <c r="U252" i="42"/>
  <c r="T252" i="42"/>
  <c r="S252" i="42"/>
  <c r="O252" i="42"/>
  <c r="K252" i="42"/>
  <c r="J252" i="42"/>
  <c r="R252" i="42" s="1"/>
  <c r="H252" i="42"/>
  <c r="F252" i="42"/>
  <c r="AU251" i="42"/>
  <c r="AT251" i="42"/>
  <c r="AS251" i="42"/>
  <c r="AR251" i="42"/>
  <c r="AQ251" i="42"/>
  <c r="AP251" i="42"/>
  <c r="AO251" i="42"/>
  <c r="AN251" i="42"/>
  <c r="AM251" i="42"/>
  <c r="AL251" i="42"/>
  <c r="AK251" i="42"/>
  <c r="AJ251" i="42"/>
  <c r="AI251" i="42"/>
  <c r="AH251" i="42"/>
  <c r="AG251" i="42"/>
  <c r="AF251" i="42"/>
  <c r="AE251" i="42"/>
  <c r="AD251" i="42"/>
  <c r="AC251" i="42"/>
  <c r="AB251" i="42"/>
  <c r="AA251" i="42"/>
  <c r="Z251" i="42"/>
  <c r="Y251" i="42"/>
  <c r="X251" i="42"/>
  <c r="W251" i="42"/>
  <c r="V251" i="42"/>
  <c r="U251" i="42"/>
  <c r="T251" i="42"/>
  <c r="S251" i="42"/>
  <c r="O251" i="42"/>
  <c r="K251" i="42"/>
  <c r="J251" i="42"/>
  <c r="R251" i="42" s="1"/>
  <c r="H251" i="42"/>
  <c r="F251" i="42"/>
  <c r="AU250" i="42"/>
  <c r="AT250" i="42"/>
  <c r="AS250" i="42"/>
  <c r="AR250" i="42"/>
  <c r="AQ250" i="42"/>
  <c r="AP250" i="42"/>
  <c r="AO250" i="42"/>
  <c r="AN250" i="42"/>
  <c r="AM250" i="42"/>
  <c r="AL250" i="42"/>
  <c r="AK250" i="42"/>
  <c r="AJ250" i="42"/>
  <c r="AI250" i="42"/>
  <c r="AH250" i="42"/>
  <c r="AG250" i="42"/>
  <c r="AF250" i="42"/>
  <c r="AE250" i="42"/>
  <c r="AD250" i="42"/>
  <c r="AC250" i="42"/>
  <c r="AB250" i="42"/>
  <c r="AA250" i="42"/>
  <c r="Z250" i="42"/>
  <c r="Y250" i="42"/>
  <c r="X250" i="42"/>
  <c r="W250" i="42"/>
  <c r="V250" i="42"/>
  <c r="U250" i="42"/>
  <c r="T250" i="42"/>
  <c r="S250" i="42"/>
  <c r="O250" i="42"/>
  <c r="K250" i="42"/>
  <c r="J250" i="42"/>
  <c r="R250" i="42" s="1"/>
  <c r="H250" i="42"/>
  <c r="F250" i="42"/>
  <c r="AU249" i="42"/>
  <c r="AT249" i="42"/>
  <c r="AS249" i="42"/>
  <c r="AR249" i="42"/>
  <c r="AQ249" i="42"/>
  <c r="AP249" i="42"/>
  <c r="AO249" i="42"/>
  <c r="AN249" i="42"/>
  <c r="AM249" i="42"/>
  <c r="AL249" i="42"/>
  <c r="AK249" i="42"/>
  <c r="AJ249" i="42"/>
  <c r="AI249" i="42"/>
  <c r="AH249" i="42"/>
  <c r="AG249" i="42"/>
  <c r="AF249" i="42"/>
  <c r="AE249" i="42"/>
  <c r="AD249" i="42"/>
  <c r="AC249" i="42"/>
  <c r="AB249" i="42"/>
  <c r="AA249" i="42"/>
  <c r="Z249" i="42"/>
  <c r="Y249" i="42"/>
  <c r="X249" i="42"/>
  <c r="W249" i="42"/>
  <c r="V249" i="42"/>
  <c r="U249" i="42"/>
  <c r="T249" i="42"/>
  <c r="S249" i="42"/>
  <c r="O249" i="42"/>
  <c r="K249" i="42"/>
  <c r="J249" i="42"/>
  <c r="R249" i="42" s="1"/>
  <c r="H249" i="42"/>
  <c r="F249" i="42"/>
  <c r="AU248" i="42"/>
  <c r="AT248" i="42"/>
  <c r="AS248" i="42"/>
  <c r="AR248" i="42"/>
  <c r="AQ248" i="42"/>
  <c r="AP248" i="42"/>
  <c r="AO248" i="42"/>
  <c r="AN248" i="42"/>
  <c r="AM248" i="42"/>
  <c r="AL248" i="42"/>
  <c r="AK248" i="42"/>
  <c r="AJ248" i="42"/>
  <c r="AI248" i="42"/>
  <c r="AH248" i="42"/>
  <c r="AG248" i="42"/>
  <c r="AF248" i="42"/>
  <c r="AE248" i="42"/>
  <c r="AD248" i="42"/>
  <c r="AC248" i="42"/>
  <c r="AB248" i="42"/>
  <c r="AA248" i="42"/>
  <c r="Z248" i="42"/>
  <c r="Y248" i="42"/>
  <c r="X248" i="42"/>
  <c r="W248" i="42"/>
  <c r="V248" i="42"/>
  <c r="U248" i="42"/>
  <c r="T248" i="42"/>
  <c r="S248" i="42"/>
  <c r="O248" i="42"/>
  <c r="K248" i="42"/>
  <c r="J248" i="42"/>
  <c r="R248" i="42" s="1"/>
  <c r="H248" i="42"/>
  <c r="F248" i="42"/>
  <c r="AU247" i="42"/>
  <c r="AT247" i="42"/>
  <c r="AS247" i="42"/>
  <c r="AR247" i="42"/>
  <c r="AQ247" i="42"/>
  <c r="AP247" i="42"/>
  <c r="AO247" i="42"/>
  <c r="AN247" i="42"/>
  <c r="AM247" i="42"/>
  <c r="AL247" i="42"/>
  <c r="AK247" i="42"/>
  <c r="AJ247" i="42"/>
  <c r="AI247" i="42"/>
  <c r="AH247" i="42"/>
  <c r="AG247" i="42"/>
  <c r="AF247" i="42"/>
  <c r="AE247" i="42"/>
  <c r="AD247" i="42"/>
  <c r="AC247" i="42"/>
  <c r="AB247" i="42"/>
  <c r="AA247" i="42"/>
  <c r="Z247" i="42"/>
  <c r="Y247" i="42"/>
  <c r="X247" i="42"/>
  <c r="W247" i="42"/>
  <c r="V247" i="42"/>
  <c r="U247" i="42"/>
  <c r="T247" i="42"/>
  <c r="S247" i="42"/>
  <c r="O247" i="42"/>
  <c r="K247" i="42"/>
  <c r="J247" i="42"/>
  <c r="R247" i="42" s="1"/>
  <c r="H247" i="42"/>
  <c r="F247" i="42"/>
  <c r="L247" i="42" s="1"/>
  <c r="AU246" i="42"/>
  <c r="AT246" i="42"/>
  <c r="AS246" i="42"/>
  <c r="AR246" i="42"/>
  <c r="AQ246" i="42"/>
  <c r="AP246" i="42"/>
  <c r="AO246" i="42"/>
  <c r="AN246" i="42"/>
  <c r="AM246" i="42"/>
  <c r="AL246" i="42"/>
  <c r="AK246" i="42"/>
  <c r="AJ246" i="42"/>
  <c r="AI246" i="42"/>
  <c r="AH246" i="42"/>
  <c r="AG246" i="42"/>
  <c r="AF246" i="42"/>
  <c r="AE246" i="42"/>
  <c r="AD246" i="42"/>
  <c r="AC246" i="42"/>
  <c r="AB246" i="42"/>
  <c r="AA246" i="42"/>
  <c r="Z246" i="42"/>
  <c r="Y246" i="42"/>
  <c r="X246" i="42"/>
  <c r="W246" i="42"/>
  <c r="V246" i="42"/>
  <c r="U246" i="42"/>
  <c r="T246" i="42"/>
  <c r="S246" i="42"/>
  <c r="O246" i="42"/>
  <c r="K246" i="42"/>
  <c r="J246" i="42"/>
  <c r="R246" i="42" s="1"/>
  <c r="H246" i="42"/>
  <c r="F246" i="42"/>
  <c r="AU245" i="42"/>
  <c r="AT245" i="42"/>
  <c r="AS245" i="42"/>
  <c r="AR245" i="42"/>
  <c r="AQ245" i="42"/>
  <c r="AP245" i="42"/>
  <c r="AO245" i="42"/>
  <c r="AN245" i="42"/>
  <c r="AM245" i="42"/>
  <c r="AL245" i="42"/>
  <c r="AK245" i="42"/>
  <c r="AJ245" i="42"/>
  <c r="AI245" i="42"/>
  <c r="AH245" i="42"/>
  <c r="AG245" i="42"/>
  <c r="AF245" i="42"/>
  <c r="AE245" i="42"/>
  <c r="AD245" i="42"/>
  <c r="AC245" i="42"/>
  <c r="AB245" i="42"/>
  <c r="AA245" i="42"/>
  <c r="Z245" i="42"/>
  <c r="Y245" i="42"/>
  <c r="X245" i="42"/>
  <c r="W245" i="42"/>
  <c r="V245" i="42"/>
  <c r="U245" i="42"/>
  <c r="T245" i="42"/>
  <c r="S245" i="42"/>
  <c r="O245" i="42"/>
  <c r="K245" i="42"/>
  <c r="J245" i="42"/>
  <c r="R245" i="42" s="1"/>
  <c r="H245" i="42"/>
  <c r="F245" i="42"/>
  <c r="AU244" i="42"/>
  <c r="AT244" i="42"/>
  <c r="AS244" i="42"/>
  <c r="AR244" i="42"/>
  <c r="AQ244" i="42"/>
  <c r="AP244" i="42"/>
  <c r="AO244" i="42"/>
  <c r="AN244" i="42"/>
  <c r="AM244" i="42"/>
  <c r="AL244" i="42"/>
  <c r="AK244" i="42"/>
  <c r="AJ244" i="42"/>
  <c r="AI244" i="42"/>
  <c r="AH244" i="42"/>
  <c r="AG244" i="42"/>
  <c r="AF244" i="42"/>
  <c r="AE244" i="42"/>
  <c r="AD244" i="42"/>
  <c r="AC244" i="42"/>
  <c r="AB244" i="42"/>
  <c r="AA244" i="42"/>
  <c r="Z244" i="42"/>
  <c r="Y244" i="42"/>
  <c r="X244" i="42"/>
  <c r="W244" i="42"/>
  <c r="V244" i="42"/>
  <c r="U244" i="42"/>
  <c r="T244" i="42"/>
  <c r="S244" i="42"/>
  <c r="O244" i="42"/>
  <c r="K244" i="42"/>
  <c r="J244" i="42"/>
  <c r="R244" i="42" s="1"/>
  <c r="H244" i="42"/>
  <c r="F244" i="42"/>
  <c r="AU243" i="42"/>
  <c r="AT243" i="42"/>
  <c r="AS243" i="42"/>
  <c r="AR243" i="42"/>
  <c r="AQ243" i="42"/>
  <c r="AP243" i="42"/>
  <c r="AO243" i="42"/>
  <c r="AN243" i="42"/>
  <c r="AM243" i="42"/>
  <c r="AL243" i="42"/>
  <c r="AK243" i="42"/>
  <c r="AJ243" i="42"/>
  <c r="AI243" i="42"/>
  <c r="AH243" i="42"/>
  <c r="AG243" i="42"/>
  <c r="AF243" i="42"/>
  <c r="AE243" i="42"/>
  <c r="AD243" i="42"/>
  <c r="AC243" i="42"/>
  <c r="AB243" i="42"/>
  <c r="AA243" i="42"/>
  <c r="Z243" i="42"/>
  <c r="Y243" i="42"/>
  <c r="X243" i="42"/>
  <c r="W243" i="42"/>
  <c r="V243" i="42"/>
  <c r="U243" i="42"/>
  <c r="T243" i="42"/>
  <c r="S243" i="42"/>
  <c r="O243" i="42"/>
  <c r="K243" i="42"/>
  <c r="J243" i="42"/>
  <c r="R243" i="42" s="1"/>
  <c r="H243" i="42"/>
  <c r="F243" i="42"/>
  <c r="AU242" i="42"/>
  <c r="AT242" i="42"/>
  <c r="AS242" i="42"/>
  <c r="AR242" i="42"/>
  <c r="AQ242" i="42"/>
  <c r="AP242" i="42"/>
  <c r="AO242" i="42"/>
  <c r="AN242" i="42"/>
  <c r="AM242" i="42"/>
  <c r="AL242" i="42"/>
  <c r="AK242" i="42"/>
  <c r="AJ242" i="42"/>
  <c r="AI242" i="42"/>
  <c r="AH242" i="42"/>
  <c r="AG242" i="42"/>
  <c r="AF242" i="42"/>
  <c r="AE242" i="42"/>
  <c r="AD242" i="42"/>
  <c r="AC242" i="42"/>
  <c r="AB242" i="42"/>
  <c r="AA242" i="42"/>
  <c r="Z242" i="42"/>
  <c r="Y242" i="42"/>
  <c r="X242" i="42"/>
  <c r="W242" i="42"/>
  <c r="V242" i="42"/>
  <c r="U242" i="42"/>
  <c r="T242" i="42"/>
  <c r="S242" i="42"/>
  <c r="O242" i="42"/>
  <c r="K242" i="42"/>
  <c r="J242" i="42"/>
  <c r="R242" i="42" s="1"/>
  <c r="H242" i="42"/>
  <c r="F242" i="42"/>
  <c r="AU241" i="42"/>
  <c r="AT241" i="42"/>
  <c r="AS241" i="42"/>
  <c r="AR241" i="42"/>
  <c r="AQ241" i="42"/>
  <c r="AP241" i="42"/>
  <c r="AO241" i="42"/>
  <c r="AN241" i="42"/>
  <c r="AM241" i="42"/>
  <c r="AL241" i="42"/>
  <c r="AK241" i="42"/>
  <c r="AJ241" i="42"/>
  <c r="AI241" i="42"/>
  <c r="AH241" i="42"/>
  <c r="AG241" i="42"/>
  <c r="AF241" i="42"/>
  <c r="AE241" i="42"/>
  <c r="AD241" i="42"/>
  <c r="AC241" i="42"/>
  <c r="AB241" i="42"/>
  <c r="AA241" i="42"/>
  <c r="Z241" i="42"/>
  <c r="Y241" i="42"/>
  <c r="X241" i="42"/>
  <c r="W241" i="42"/>
  <c r="V241" i="42"/>
  <c r="U241" i="42"/>
  <c r="T241" i="42"/>
  <c r="S241" i="42"/>
  <c r="O241" i="42"/>
  <c r="K241" i="42"/>
  <c r="J241" i="42"/>
  <c r="R241" i="42" s="1"/>
  <c r="H241" i="42"/>
  <c r="F241" i="42"/>
  <c r="AU240" i="42"/>
  <c r="AT240" i="42"/>
  <c r="AS240" i="42"/>
  <c r="AR240" i="42"/>
  <c r="AQ240" i="42"/>
  <c r="AP240" i="42"/>
  <c r="AO240" i="42"/>
  <c r="AN240" i="42"/>
  <c r="AM240" i="42"/>
  <c r="AL240" i="42"/>
  <c r="AK240" i="42"/>
  <c r="AJ240" i="42"/>
  <c r="AI240" i="42"/>
  <c r="AH240" i="42"/>
  <c r="AG240" i="42"/>
  <c r="AF240" i="42"/>
  <c r="AE240" i="42"/>
  <c r="AD240" i="42"/>
  <c r="AC240" i="42"/>
  <c r="AB240" i="42"/>
  <c r="AA240" i="42"/>
  <c r="Z240" i="42"/>
  <c r="Y240" i="42"/>
  <c r="X240" i="42"/>
  <c r="W240" i="42"/>
  <c r="V240" i="42"/>
  <c r="U240" i="42"/>
  <c r="T240" i="42"/>
  <c r="S240" i="42"/>
  <c r="R240" i="42"/>
  <c r="O240" i="42"/>
  <c r="K240" i="42"/>
  <c r="J240" i="42"/>
  <c r="H240" i="42"/>
  <c r="F240" i="42"/>
  <c r="L240" i="42" s="1"/>
  <c r="AU239" i="42"/>
  <c r="AT239" i="42"/>
  <c r="AS239" i="42"/>
  <c r="AR239" i="42"/>
  <c r="AQ239" i="42"/>
  <c r="AP239" i="42"/>
  <c r="AO239" i="42"/>
  <c r="AN239" i="42"/>
  <c r="AM239" i="42"/>
  <c r="AL239" i="42"/>
  <c r="AK239" i="42"/>
  <c r="AJ239" i="42"/>
  <c r="AI239" i="42"/>
  <c r="AH239" i="42"/>
  <c r="AG239" i="42"/>
  <c r="AF239" i="42"/>
  <c r="AE239" i="42"/>
  <c r="AD239" i="42"/>
  <c r="AC239" i="42"/>
  <c r="AB239" i="42"/>
  <c r="AA239" i="42"/>
  <c r="Z239" i="42"/>
  <c r="Y239" i="42"/>
  <c r="X239" i="42"/>
  <c r="W239" i="42"/>
  <c r="V239" i="42"/>
  <c r="U239" i="42"/>
  <c r="T239" i="42"/>
  <c r="S239" i="42"/>
  <c r="O239" i="42"/>
  <c r="K239" i="42"/>
  <c r="J239" i="42"/>
  <c r="R239" i="42" s="1"/>
  <c r="H239" i="42"/>
  <c r="F239" i="42"/>
  <c r="AU238" i="42"/>
  <c r="AT238" i="42"/>
  <c r="AS238" i="42"/>
  <c r="AR238" i="42"/>
  <c r="AQ238" i="42"/>
  <c r="AP238" i="42"/>
  <c r="AO238" i="42"/>
  <c r="AN238" i="42"/>
  <c r="AM238" i="42"/>
  <c r="AL238" i="42"/>
  <c r="AK238" i="42"/>
  <c r="AJ238" i="42"/>
  <c r="AI238" i="42"/>
  <c r="AH238" i="42"/>
  <c r="AG238" i="42"/>
  <c r="AF238" i="42"/>
  <c r="AE238" i="42"/>
  <c r="AD238" i="42"/>
  <c r="AC238" i="42"/>
  <c r="AB238" i="42"/>
  <c r="AA238" i="42"/>
  <c r="Z238" i="42"/>
  <c r="Y238" i="42"/>
  <c r="X238" i="42"/>
  <c r="W238" i="42"/>
  <c r="V238" i="42"/>
  <c r="U238" i="42"/>
  <c r="T238" i="42"/>
  <c r="S238" i="42"/>
  <c r="O238" i="42"/>
  <c r="K238" i="42"/>
  <c r="J238" i="42"/>
  <c r="R238" i="42" s="1"/>
  <c r="H238" i="42"/>
  <c r="F238" i="42"/>
  <c r="AU237" i="42"/>
  <c r="AT237" i="42"/>
  <c r="AS237" i="42"/>
  <c r="AR237" i="42"/>
  <c r="AQ237" i="42"/>
  <c r="AP237" i="42"/>
  <c r="AO237" i="42"/>
  <c r="AN237" i="42"/>
  <c r="AM237" i="42"/>
  <c r="AL237" i="42"/>
  <c r="AK237" i="42"/>
  <c r="AJ237" i="42"/>
  <c r="AI237" i="42"/>
  <c r="AH237" i="42"/>
  <c r="AG237" i="42"/>
  <c r="AF237" i="42"/>
  <c r="AE237" i="42"/>
  <c r="AD237" i="42"/>
  <c r="AC237" i="42"/>
  <c r="AB237" i="42"/>
  <c r="AA237" i="42"/>
  <c r="Z237" i="42"/>
  <c r="Y237" i="42"/>
  <c r="X237" i="42"/>
  <c r="W237" i="42"/>
  <c r="V237" i="42"/>
  <c r="U237" i="42"/>
  <c r="T237" i="42"/>
  <c r="S237" i="42"/>
  <c r="R237" i="42"/>
  <c r="O237" i="42"/>
  <c r="K237" i="42"/>
  <c r="J237" i="42"/>
  <c r="H237" i="42"/>
  <c r="F237" i="42"/>
  <c r="AU236" i="42"/>
  <c r="AT236" i="42"/>
  <c r="AS236" i="42"/>
  <c r="AR236" i="42"/>
  <c r="AQ236" i="42"/>
  <c r="AP236" i="42"/>
  <c r="AO236" i="42"/>
  <c r="AN236" i="42"/>
  <c r="AM236" i="42"/>
  <c r="AL236" i="42"/>
  <c r="AK236" i="42"/>
  <c r="AJ236" i="42"/>
  <c r="AI236" i="42"/>
  <c r="AH236" i="42"/>
  <c r="AG236" i="42"/>
  <c r="AF236" i="42"/>
  <c r="AE236" i="42"/>
  <c r="AD236" i="42"/>
  <c r="AC236" i="42"/>
  <c r="AB236" i="42"/>
  <c r="AA236" i="42"/>
  <c r="Z236" i="42"/>
  <c r="Y236" i="42"/>
  <c r="X236" i="42"/>
  <c r="W236" i="42"/>
  <c r="V236" i="42"/>
  <c r="U236" i="42"/>
  <c r="T236" i="42"/>
  <c r="S236" i="42"/>
  <c r="R236" i="42"/>
  <c r="O236" i="42"/>
  <c r="K236" i="42"/>
  <c r="J236" i="42"/>
  <c r="H236" i="42"/>
  <c r="F236" i="42"/>
  <c r="AU235" i="42"/>
  <c r="AT235" i="42"/>
  <c r="AS235" i="42"/>
  <c r="AR235" i="42"/>
  <c r="AQ235" i="42"/>
  <c r="AP235" i="42"/>
  <c r="AO235" i="42"/>
  <c r="AN235" i="42"/>
  <c r="AM235" i="42"/>
  <c r="AL235" i="42"/>
  <c r="AK235" i="42"/>
  <c r="AJ235" i="42"/>
  <c r="AI235" i="42"/>
  <c r="AH235" i="42"/>
  <c r="AG235" i="42"/>
  <c r="AF235" i="42"/>
  <c r="AE235" i="42"/>
  <c r="AD235" i="42"/>
  <c r="AC235" i="42"/>
  <c r="AB235" i="42"/>
  <c r="AA235" i="42"/>
  <c r="Z235" i="42"/>
  <c r="Y235" i="42"/>
  <c r="X235" i="42"/>
  <c r="W235" i="42"/>
  <c r="V235" i="42"/>
  <c r="U235" i="42"/>
  <c r="T235" i="42"/>
  <c r="S235" i="42"/>
  <c r="R235" i="42"/>
  <c r="O235" i="42"/>
  <c r="K235" i="42"/>
  <c r="J235" i="42"/>
  <c r="H235" i="42"/>
  <c r="F235" i="42"/>
  <c r="AU234" i="42"/>
  <c r="AT234" i="42"/>
  <c r="AS234" i="42"/>
  <c r="AR234" i="42"/>
  <c r="AQ234" i="42"/>
  <c r="AP234" i="42"/>
  <c r="AO234" i="42"/>
  <c r="AN234" i="42"/>
  <c r="AM234" i="42"/>
  <c r="AL234" i="42"/>
  <c r="AK234" i="42"/>
  <c r="AJ234" i="42"/>
  <c r="AI234" i="42"/>
  <c r="AH234" i="42"/>
  <c r="AG234" i="42"/>
  <c r="AF234" i="42"/>
  <c r="AE234" i="42"/>
  <c r="AD234" i="42"/>
  <c r="AC234" i="42"/>
  <c r="AB234" i="42"/>
  <c r="AA234" i="42"/>
  <c r="Z234" i="42"/>
  <c r="Y234" i="42"/>
  <c r="X234" i="42"/>
  <c r="W234" i="42"/>
  <c r="V234" i="42"/>
  <c r="U234" i="42"/>
  <c r="T234" i="42"/>
  <c r="S234" i="42"/>
  <c r="O234" i="42"/>
  <c r="K234" i="42"/>
  <c r="J234" i="42"/>
  <c r="R234" i="42" s="1"/>
  <c r="H234" i="42"/>
  <c r="F234" i="42"/>
  <c r="AU233" i="42"/>
  <c r="AT233" i="42"/>
  <c r="AS233" i="42"/>
  <c r="AR233" i="42"/>
  <c r="AQ233" i="42"/>
  <c r="AP233" i="42"/>
  <c r="AO233" i="42"/>
  <c r="AN233" i="42"/>
  <c r="AM233" i="42"/>
  <c r="AL233" i="42"/>
  <c r="AK233" i="42"/>
  <c r="AJ233" i="42"/>
  <c r="AI233" i="42"/>
  <c r="AH233" i="42"/>
  <c r="AG233" i="42"/>
  <c r="AF233" i="42"/>
  <c r="AE233" i="42"/>
  <c r="AD233" i="42"/>
  <c r="AC233" i="42"/>
  <c r="AB233" i="42"/>
  <c r="AA233" i="42"/>
  <c r="Z233" i="42"/>
  <c r="Y233" i="42"/>
  <c r="X233" i="42"/>
  <c r="W233" i="42"/>
  <c r="V233" i="42"/>
  <c r="U233" i="42"/>
  <c r="T233" i="42"/>
  <c r="S233" i="42"/>
  <c r="O233" i="42"/>
  <c r="K233" i="42"/>
  <c r="J233" i="42"/>
  <c r="R233" i="42" s="1"/>
  <c r="H233" i="42"/>
  <c r="F233" i="42"/>
  <c r="AU232" i="42"/>
  <c r="AT232" i="42"/>
  <c r="AS232" i="42"/>
  <c r="AR232" i="42"/>
  <c r="AQ232" i="42"/>
  <c r="AP232" i="42"/>
  <c r="AO232" i="42"/>
  <c r="AN232" i="42"/>
  <c r="AM232" i="42"/>
  <c r="AL232" i="42"/>
  <c r="AK232" i="42"/>
  <c r="AJ232" i="42"/>
  <c r="AI232" i="42"/>
  <c r="AH232" i="42"/>
  <c r="AG232" i="42"/>
  <c r="AF232" i="42"/>
  <c r="AE232" i="42"/>
  <c r="AD232" i="42"/>
  <c r="AC232" i="42"/>
  <c r="AB232" i="42"/>
  <c r="AA232" i="42"/>
  <c r="Z232" i="42"/>
  <c r="Y232" i="42"/>
  <c r="X232" i="42"/>
  <c r="W232" i="42"/>
  <c r="V232" i="42"/>
  <c r="U232" i="42"/>
  <c r="T232" i="42"/>
  <c r="S232" i="42"/>
  <c r="R232" i="42"/>
  <c r="O232" i="42"/>
  <c r="K232" i="42"/>
  <c r="J232" i="42"/>
  <c r="H232" i="42"/>
  <c r="F232" i="42"/>
  <c r="AU231" i="42"/>
  <c r="AT231" i="42"/>
  <c r="AS231" i="42"/>
  <c r="AR231" i="42"/>
  <c r="AQ231" i="42"/>
  <c r="AP231" i="42"/>
  <c r="AO231" i="42"/>
  <c r="AN231" i="42"/>
  <c r="AM231" i="42"/>
  <c r="AL231" i="42"/>
  <c r="AK231" i="42"/>
  <c r="AJ231" i="42"/>
  <c r="AI231" i="42"/>
  <c r="AH231" i="42"/>
  <c r="AG231" i="42"/>
  <c r="AF231" i="42"/>
  <c r="AE231" i="42"/>
  <c r="AD231" i="42"/>
  <c r="AC231" i="42"/>
  <c r="AB231" i="42"/>
  <c r="AA231" i="42"/>
  <c r="Z231" i="42"/>
  <c r="Y231" i="42"/>
  <c r="X231" i="42"/>
  <c r="W231" i="42"/>
  <c r="V231" i="42"/>
  <c r="U231" i="42"/>
  <c r="T231" i="42"/>
  <c r="S231" i="42"/>
  <c r="O231" i="42"/>
  <c r="K231" i="42"/>
  <c r="J231" i="42"/>
  <c r="R231" i="42" s="1"/>
  <c r="H231" i="42"/>
  <c r="F231" i="42"/>
  <c r="AU230" i="42"/>
  <c r="AT230" i="42"/>
  <c r="AS230" i="42"/>
  <c r="AR230" i="42"/>
  <c r="AQ230" i="42"/>
  <c r="AP230" i="42"/>
  <c r="AO230" i="42"/>
  <c r="AN230" i="42"/>
  <c r="AM230" i="42"/>
  <c r="AL230" i="42"/>
  <c r="AK230" i="42"/>
  <c r="AJ230" i="42"/>
  <c r="AI230" i="42"/>
  <c r="AH230" i="42"/>
  <c r="AG230" i="42"/>
  <c r="AF230" i="42"/>
  <c r="AE230" i="42"/>
  <c r="AD230" i="42"/>
  <c r="AC230" i="42"/>
  <c r="AB230" i="42"/>
  <c r="AA230" i="42"/>
  <c r="Z230" i="42"/>
  <c r="Y230" i="42"/>
  <c r="X230" i="42"/>
  <c r="W230" i="42"/>
  <c r="V230" i="42"/>
  <c r="U230" i="42"/>
  <c r="T230" i="42"/>
  <c r="S230" i="42"/>
  <c r="O230" i="42"/>
  <c r="K230" i="42"/>
  <c r="J230" i="42"/>
  <c r="R230" i="42" s="1"/>
  <c r="H230" i="42"/>
  <c r="F230" i="42"/>
  <c r="AU229" i="42"/>
  <c r="AT229" i="42"/>
  <c r="AS229" i="42"/>
  <c r="AR229" i="42"/>
  <c r="AQ229" i="42"/>
  <c r="AP229" i="42"/>
  <c r="AO229" i="42"/>
  <c r="AN229" i="42"/>
  <c r="AM229" i="42"/>
  <c r="AL229" i="42"/>
  <c r="AK229" i="42"/>
  <c r="AJ229" i="42"/>
  <c r="AI229" i="42"/>
  <c r="AH229" i="42"/>
  <c r="AG229" i="42"/>
  <c r="AF229" i="42"/>
  <c r="AE229" i="42"/>
  <c r="AD229" i="42"/>
  <c r="AC229" i="42"/>
  <c r="AB229" i="42"/>
  <c r="AA229" i="42"/>
  <c r="Z229" i="42"/>
  <c r="Y229" i="42"/>
  <c r="X229" i="42"/>
  <c r="W229" i="42"/>
  <c r="V229" i="42"/>
  <c r="U229" i="42"/>
  <c r="T229" i="42"/>
  <c r="S229" i="42"/>
  <c r="O229" i="42"/>
  <c r="K229" i="42"/>
  <c r="J229" i="42"/>
  <c r="R229" i="42" s="1"/>
  <c r="H229" i="42"/>
  <c r="F229" i="42"/>
  <c r="AU228" i="42"/>
  <c r="AT228" i="42"/>
  <c r="AS228" i="42"/>
  <c r="AR228" i="42"/>
  <c r="AQ228" i="42"/>
  <c r="AP228" i="42"/>
  <c r="AO228" i="42"/>
  <c r="AN228" i="42"/>
  <c r="AM228" i="42"/>
  <c r="AL228" i="42"/>
  <c r="AK228" i="42"/>
  <c r="AJ228" i="42"/>
  <c r="AI228" i="42"/>
  <c r="AH228" i="42"/>
  <c r="AG228" i="42"/>
  <c r="AF228" i="42"/>
  <c r="AE228" i="42"/>
  <c r="AD228" i="42"/>
  <c r="AC228" i="42"/>
  <c r="AB228" i="42"/>
  <c r="AA228" i="42"/>
  <c r="Z228" i="42"/>
  <c r="Y228" i="42"/>
  <c r="X228" i="42"/>
  <c r="W228" i="42"/>
  <c r="V228" i="42"/>
  <c r="U228" i="42"/>
  <c r="T228" i="42"/>
  <c r="S228" i="42"/>
  <c r="O228" i="42"/>
  <c r="K228" i="42"/>
  <c r="J228" i="42"/>
  <c r="R228" i="42" s="1"/>
  <c r="H228" i="42"/>
  <c r="F228" i="42"/>
  <c r="AU227" i="42"/>
  <c r="AT227" i="42"/>
  <c r="AS227" i="42"/>
  <c r="AR227" i="42"/>
  <c r="AQ227" i="42"/>
  <c r="AP227" i="42"/>
  <c r="AO227" i="42"/>
  <c r="AN227" i="42"/>
  <c r="AM227" i="42"/>
  <c r="AL227" i="42"/>
  <c r="AK227" i="42"/>
  <c r="AJ227" i="42"/>
  <c r="AI227" i="42"/>
  <c r="AH227" i="42"/>
  <c r="AG227" i="42"/>
  <c r="AF227" i="42"/>
  <c r="AE227" i="42"/>
  <c r="AD227" i="42"/>
  <c r="AC227" i="42"/>
  <c r="AB227" i="42"/>
  <c r="AA227" i="42"/>
  <c r="Z227" i="42"/>
  <c r="Y227" i="42"/>
  <c r="X227" i="42"/>
  <c r="W227" i="42"/>
  <c r="V227" i="42"/>
  <c r="U227" i="42"/>
  <c r="T227" i="42"/>
  <c r="S227" i="42"/>
  <c r="O227" i="42"/>
  <c r="K227" i="42"/>
  <c r="J227" i="42"/>
  <c r="R227" i="42" s="1"/>
  <c r="H227" i="42"/>
  <c r="F227" i="42"/>
  <c r="AU226" i="42"/>
  <c r="AT226" i="42"/>
  <c r="AS226" i="42"/>
  <c r="AR226" i="42"/>
  <c r="AQ226" i="42"/>
  <c r="AP226" i="42"/>
  <c r="AO226" i="42"/>
  <c r="AN226" i="42"/>
  <c r="AM226" i="42"/>
  <c r="AL226" i="42"/>
  <c r="AK226" i="42"/>
  <c r="AJ226" i="42"/>
  <c r="AI226" i="42"/>
  <c r="AH226" i="42"/>
  <c r="AG226" i="42"/>
  <c r="AF226" i="42"/>
  <c r="AE226" i="42"/>
  <c r="AD226" i="42"/>
  <c r="AC226" i="42"/>
  <c r="AB226" i="42"/>
  <c r="AA226" i="42"/>
  <c r="Z226" i="42"/>
  <c r="Y226" i="42"/>
  <c r="X226" i="42"/>
  <c r="W226" i="42"/>
  <c r="V226" i="42"/>
  <c r="U226" i="42"/>
  <c r="T226" i="42"/>
  <c r="S226" i="42"/>
  <c r="O226" i="42"/>
  <c r="K226" i="42"/>
  <c r="J226" i="42"/>
  <c r="R226" i="42" s="1"/>
  <c r="H226" i="42"/>
  <c r="F226" i="42"/>
  <c r="L226" i="42" s="1"/>
  <c r="AU225" i="42"/>
  <c r="AT225" i="42"/>
  <c r="AS225" i="42"/>
  <c r="AR225" i="42"/>
  <c r="AQ225" i="42"/>
  <c r="AP225" i="42"/>
  <c r="AO225" i="42"/>
  <c r="AN225" i="42"/>
  <c r="AM225" i="42"/>
  <c r="AL225" i="42"/>
  <c r="AK225" i="42"/>
  <c r="AJ225" i="42"/>
  <c r="AI225" i="42"/>
  <c r="AH225" i="42"/>
  <c r="AG225" i="42"/>
  <c r="AF225" i="42"/>
  <c r="AE225" i="42"/>
  <c r="AD225" i="42"/>
  <c r="AC225" i="42"/>
  <c r="AB225" i="42"/>
  <c r="AA225" i="42"/>
  <c r="Z225" i="42"/>
  <c r="Y225" i="42"/>
  <c r="X225" i="42"/>
  <c r="W225" i="42"/>
  <c r="V225" i="42"/>
  <c r="U225" i="42"/>
  <c r="T225" i="42"/>
  <c r="S225" i="42"/>
  <c r="O225" i="42"/>
  <c r="K225" i="42"/>
  <c r="J225" i="42"/>
  <c r="R225" i="42" s="1"/>
  <c r="H225" i="42"/>
  <c r="F225" i="42"/>
  <c r="AU224" i="42"/>
  <c r="AT224" i="42"/>
  <c r="AS224" i="42"/>
  <c r="AR224" i="42"/>
  <c r="AQ224" i="42"/>
  <c r="AP224" i="42"/>
  <c r="AO224" i="42"/>
  <c r="AN224" i="42"/>
  <c r="AM224" i="42"/>
  <c r="AL224" i="42"/>
  <c r="AK224" i="42"/>
  <c r="AJ224" i="42"/>
  <c r="AI224" i="42"/>
  <c r="AH224" i="42"/>
  <c r="AG224" i="42"/>
  <c r="AF224" i="42"/>
  <c r="AE224" i="42"/>
  <c r="AD224" i="42"/>
  <c r="AC224" i="42"/>
  <c r="AB224" i="42"/>
  <c r="AA224" i="42"/>
  <c r="Z224" i="42"/>
  <c r="Y224" i="42"/>
  <c r="X224" i="42"/>
  <c r="W224" i="42"/>
  <c r="V224" i="42"/>
  <c r="U224" i="42"/>
  <c r="T224" i="42"/>
  <c r="S224" i="42"/>
  <c r="O224" i="42"/>
  <c r="K224" i="42"/>
  <c r="J224" i="42"/>
  <c r="R224" i="42" s="1"/>
  <c r="H224" i="42"/>
  <c r="F224" i="42"/>
  <c r="AU223" i="42"/>
  <c r="AT223" i="42"/>
  <c r="AS223" i="42"/>
  <c r="AR223" i="42"/>
  <c r="AQ223" i="42"/>
  <c r="AP223" i="42"/>
  <c r="AO223" i="42"/>
  <c r="AN223" i="42"/>
  <c r="AM223" i="42"/>
  <c r="AL223" i="42"/>
  <c r="AK223" i="42"/>
  <c r="AJ223" i="42"/>
  <c r="AI223" i="42"/>
  <c r="AH223" i="42"/>
  <c r="AG223" i="42"/>
  <c r="AF223" i="42"/>
  <c r="AE223" i="42"/>
  <c r="AD223" i="42"/>
  <c r="AC223" i="42"/>
  <c r="AB223" i="42"/>
  <c r="AA223" i="42"/>
  <c r="Z223" i="42"/>
  <c r="Y223" i="42"/>
  <c r="X223" i="42"/>
  <c r="W223" i="42"/>
  <c r="V223" i="42"/>
  <c r="U223" i="42"/>
  <c r="T223" i="42"/>
  <c r="S223" i="42"/>
  <c r="O223" i="42"/>
  <c r="K223" i="42"/>
  <c r="J223" i="42"/>
  <c r="R223" i="42" s="1"/>
  <c r="H223" i="42"/>
  <c r="F223" i="42"/>
  <c r="AU222" i="42"/>
  <c r="AT222" i="42"/>
  <c r="AS222" i="42"/>
  <c r="AR222" i="42"/>
  <c r="AQ222" i="42"/>
  <c r="AP222" i="42"/>
  <c r="AO222" i="42"/>
  <c r="AN222" i="42"/>
  <c r="AM222" i="42"/>
  <c r="AL222" i="42"/>
  <c r="AK222" i="42"/>
  <c r="AJ222" i="42"/>
  <c r="AI222" i="42"/>
  <c r="AH222" i="42"/>
  <c r="AG222" i="42"/>
  <c r="AF222" i="42"/>
  <c r="AE222" i="42"/>
  <c r="AD222" i="42"/>
  <c r="AC222" i="42"/>
  <c r="AB222" i="42"/>
  <c r="AA222" i="42"/>
  <c r="Z222" i="42"/>
  <c r="Y222" i="42"/>
  <c r="X222" i="42"/>
  <c r="W222" i="42"/>
  <c r="V222" i="42"/>
  <c r="U222" i="42"/>
  <c r="T222" i="42"/>
  <c r="S222" i="42"/>
  <c r="R222" i="42"/>
  <c r="O222" i="42"/>
  <c r="K222" i="42"/>
  <c r="J222" i="42"/>
  <c r="H222" i="42"/>
  <c r="F222" i="42"/>
  <c r="AX220" i="42"/>
  <c r="AW220" i="42"/>
  <c r="AV220" i="42"/>
  <c r="AU210" i="42"/>
  <c r="AT210" i="42"/>
  <c r="AS210" i="42"/>
  <c r="AR210" i="42"/>
  <c r="AQ210" i="42"/>
  <c r="AP210" i="42"/>
  <c r="AO210" i="42"/>
  <c r="AN210" i="42"/>
  <c r="AM210" i="42"/>
  <c r="AL210" i="42"/>
  <c r="AK210" i="42"/>
  <c r="AJ210" i="42"/>
  <c r="AI210" i="42"/>
  <c r="AH210" i="42"/>
  <c r="AG210" i="42"/>
  <c r="AF210" i="42"/>
  <c r="AE210" i="42"/>
  <c r="AD210" i="42"/>
  <c r="AC210" i="42"/>
  <c r="AB210" i="42"/>
  <c r="AA210" i="42"/>
  <c r="Z210" i="42"/>
  <c r="Y210" i="42"/>
  <c r="X210" i="42"/>
  <c r="W210" i="42"/>
  <c r="V210" i="42"/>
  <c r="U210" i="42"/>
  <c r="T210" i="42"/>
  <c r="S210" i="42"/>
  <c r="O210" i="42"/>
  <c r="AU209" i="42"/>
  <c r="AT209" i="42"/>
  <c r="AS209" i="42"/>
  <c r="AR209" i="42"/>
  <c r="AQ209" i="42"/>
  <c r="AP209" i="42"/>
  <c r="AO209" i="42"/>
  <c r="AN209" i="42"/>
  <c r="AM209" i="42"/>
  <c r="AL209" i="42"/>
  <c r="AK209" i="42"/>
  <c r="AJ209" i="42"/>
  <c r="AI209" i="42"/>
  <c r="AH209" i="42"/>
  <c r="AG209" i="42"/>
  <c r="AF209" i="42"/>
  <c r="AE209" i="42"/>
  <c r="AD209" i="42"/>
  <c r="AC209" i="42"/>
  <c r="AB209" i="42"/>
  <c r="AA209" i="42"/>
  <c r="Z209" i="42"/>
  <c r="Y209" i="42"/>
  <c r="X209" i="42"/>
  <c r="W209" i="42"/>
  <c r="V209" i="42"/>
  <c r="U209" i="42"/>
  <c r="T209" i="42"/>
  <c r="S209" i="42"/>
  <c r="O209" i="42"/>
  <c r="AU208" i="42"/>
  <c r="AT208" i="42"/>
  <c r="AS208" i="42"/>
  <c r="AR208" i="42"/>
  <c r="AQ208" i="42"/>
  <c r="AP208" i="42"/>
  <c r="AO208" i="42"/>
  <c r="AN208" i="42"/>
  <c r="AM208" i="42"/>
  <c r="AL208" i="42"/>
  <c r="AK208" i="42"/>
  <c r="AJ208" i="42"/>
  <c r="AI208" i="42"/>
  <c r="AH208" i="42"/>
  <c r="AG208" i="42"/>
  <c r="AF208" i="42"/>
  <c r="AE208" i="42"/>
  <c r="AD208" i="42"/>
  <c r="AC208" i="42"/>
  <c r="AB208" i="42"/>
  <c r="AA208" i="42"/>
  <c r="Z208" i="42"/>
  <c r="Y208" i="42"/>
  <c r="X208" i="42"/>
  <c r="W208" i="42"/>
  <c r="V208" i="42"/>
  <c r="U208" i="42"/>
  <c r="T208" i="42"/>
  <c r="S208" i="42"/>
  <c r="R208" i="42"/>
  <c r="O208" i="42"/>
  <c r="B208" i="42"/>
  <c r="AU207" i="42"/>
  <c r="AT207" i="42"/>
  <c r="AS207" i="42"/>
  <c r="AR207" i="42"/>
  <c r="AQ207" i="42"/>
  <c r="AP207" i="42"/>
  <c r="AO207" i="42"/>
  <c r="AN207" i="42"/>
  <c r="AM207" i="42"/>
  <c r="AL207" i="42"/>
  <c r="AK207" i="42"/>
  <c r="AJ207" i="42"/>
  <c r="AI207" i="42"/>
  <c r="AH207" i="42"/>
  <c r="AG207" i="42"/>
  <c r="AF207" i="42"/>
  <c r="AE207" i="42"/>
  <c r="AD207" i="42"/>
  <c r="AC207" i="42"/>
  <c r="AB207" i="42"/>
  <c r="AA207" i="42"/>
  <c r="Z207" i="42"/>
  <c r="Y207" i="42"/>
  <c r="X207" i="42"/>
  <c r="W207" i="42"/>
  <c r="V207" i="42"/>
  <c r="U207" i="42"/>
  <c r="T207" i="42"/>
  <c r="S207" i="42"/>
  <c r="O207" i="42"/>
  <c r="D207" i="42"/>
  <c r="J207" i="42" s="1"/>
  <c r="R207" i="42" s="1"/>
  <c r="AU206" i="42"/>
  <c r="AT206" i="42"/>
  <c r="AS206" i="42"/>
  <c r="AR206" i="42"/>
  <c r="AQ206" i="42"/>
  <c r="AP206" i="42"/>
  <c r="AO206" i="42"/>
  <c r="AN206" i="42"/>
  <c r="AM206" i="42"/>
  <c r="AL206" i="42"/>
  <c r="AK206" i="42"/>
  <c r="AJ206" i="42"/>
  <c r="AI206" i="42"/>
  <c r="AH206" i="42"/>
  <c r="AG206" i="42"/>
  <c r="AF206" i="42"/>
  <c r="AE206" i="42"/>
  <c r="AD206" i="42"/>
  <c r="AC206" i="42"/>
  <c r="AB206" i="42"/>
  <c r="AA206" i="42"/>
  <c r="Z206" i="42"/>
  <c r="Y206" i="42"/>
  <c r="X206" i="42"/>
  <c r="W206" i="42"/>
  <c r="V206" i="42"/>
  <c r="U206" i="42"/>
  <c r="T206" i="42"/>
  <c r="S206" i="42"/>
  <c r="O206" i="42"/>
  <c r="AU205" i="42"/>
  <c r="AT205" i="42"/>
  <c r="AS205" i="42"/>
  <c r="AR205" i="42"/>
  <c r="AQ205" i="42"/>
  <c r="AP205" i="42"/>
  <c r="AO205" i="42"/>
  <c r="AN205" i="42"/>
  <c r="AM205" i="42"/>
  <c r="AL205" i="42"/>
  <c r="AK205" i="42"/>
  <c r="AJ205" i="42"/>
  <c r="AI205" i="42"/>
  <c r="AH205" i="42"/>
  <c r="AG205" i="42"/>
  <c r="AF205" i="42"/>
  <c r="AE205" i="42"/>
  <c r="AD205" i="42"/>
  <c r="AC205" i="42"/>
  <c r="AB205" i="42"/>
  <c r="AA205" i="42"/>
  <c r="Z205" i="42"/>
  <c r="Y205" i="42"/>
  <c r="X205" i="42"/>
  <c r="W205" i="42"/>
  <c r="V205" i="42"/>
  <c r="U205" i="42"/>
  <c r="T205" i="42"/>
  <c r="S205" i="42"/>
  <c r="O205" i="42"/>
  <c r="AU204" i="42"/>
  <c r="AT204" i="42"/>
  <c r="AS204" i="42"/>
  <c r="AR204" i="42"/>
  <c r="AQ204" i="42"/>
  <c r="AP204" i="42"/>
  <c r="AO204" i="42"/>
  <c r="AN204" i="42"/>
  <c r="AM204" i="42"/>
  <c r="AL204" i="42"/>
  <c r="AK204" i="42"/>
  <c r="AJ204" i="42"/>
  <c r="AI204" i="42"/>
  <c r="AH204" i="42"/>
  <c r="AG204" i="42"/>
  <c r="AF204" i="42"/>
  <c r="AE204" i="42"/>
  <c r="AD204" i="42"/>
  <c r="AC204" i="42"/>
  <c r="AB204" i="42"/>
  <c r="AA204" i="42"/>
  <c r="Z204" i="42"/>
  <c r="Y204" i="42"/>
  <c r="X204" i="42"/>
  <c r="W204" i="42"/>
  <c r="V204" i="42"/>
  <c r="U204" i="42"/>
  <c r="T204" i="42"/>
  <c r="S204" i="42"/>
  <c r="O204" i="42"/>
  <c r="AU203" i="42"/>
  <c r="AT203" i="42"/>
  <c r="AS203" i="42"/>
  <c r="AR203" i="42"/>
  <c r="AQ203" i="42"/>
  <c r="AP203" i="42"/>
  <c r="AO203" i="42"/>
  <c r="AN203" i="42"/>
  <c r="AM203" i="42"/>
  <c r="AL203" i="42"/>
  <c r="AK203" i="42"/>
  <c r="AJ203" i="42"/>
  <c r="AI203" i="42"/>
  <c r="AH203" i="42"/>
  <c r="AG203" i="42"/>
  <c r="AF203" i="42"/>
  <c r="AE203" i="42"/>
  <c r="AD203" i="42"/>
  <c r="AC203" i="42"/>
  <c r="AB203" i="42"/>
  <c r="AA203" i="42"/>
  <c r="Z203" i="42"/>
  <c r="Y203" i="42"/>
  <c r="X203" i="42"/>
  <c r="W203" i="42"/>
  <c r="V203" i="42"/>
  <c r="U203" i="42"/>
  <c r="T203" i="42"/>
  <c r="S203" i="42"/>
  <c r="O203" i="42"/>
  <c r="AU202" i="42"/>
  <c r="AT202" i="42"/>
  <c r="AS202" i="42"/>
  <c r="AR202" i="42"/>
  <c r="AQ202" i="42"/>
  <c r="AP202" i="42"/>
  <c r="AO202" i="42"/>
  <c r="AN202" i="42"/>
  <c r="AM202" i="42"/>
  <c r="AL202" i="42"/>
  <c r="AK202" i="42"/>
  <c r="AJ202" i="42"/>
  <c r="AI202" i="42"/>
  <c r="AH202" i="42"/>
  <c r="AG202" i="42"/>
  <c r="AF202" i="42"/>
  <c r="AE202" i="42"/>
  <c r="AD202" i="42"/>
  <c r="AC202" i="42"/>
  <c r="AB202" i="42"/>
  <c r="AA202" i="42"/>
  <c r="Z202" i="42"/>
  <c r="Y202" i="42"/>
  <c r="X202" i="42"/>
  <c r="W202" i="42"/>
  <c r="V202" i="42"/>
  <c r="U202" i="42"/>
  <c r="T202" i="42"/>
  <c r="S202" i="42"/>
  <c r="O202" i="42"/>
  <c r="AU201" i="42"/>
  <c r="AT201" i="42"/>
  <c r="AS201" i="42"/>
  <c r="AR201" i="42"/>
  <c r="AQ201" i="42"/>
  <c r="AP201" i="42"/>
  <c r="AO201" i="42"/>
  <c r="AN201" i="42"/>
  <c r="AM201" i="42"/>
  <c r="AL201" i="42"/>
  <c r="AK201" i="42"/>
  <c r="AJ201" i="42"/>
  <c r="AI201" i="42"/>
  <c r="AH201" i="42"/>
  <c r="AG201" i="42"/>
  <c r="AF201" i="42"/>
  <c r="AE201" i="42"/>
  <c r="AD201" i="42"/>
  <c r="AC201" i="42"/>
  <c r="AB201" i="42"/>
  <c r="AA201" i="42"/>
  <c r="Z201" i="42"/>
  <c r="Y201" i="42"/>
  <c r="X201" i="42"/>
  <c r="W201" i="42"/>
  <c r="V201" i="42"/>
  <c r="U201" i="42"/>
  <c r="T201" i="42"/>
  <c r="S201" i="42"/>
  <c r="O201" i="42"/>
  <c r="AU200" i="42"/>
  <c r="AT200" i="42"/>
  <c r="AS200" i="42"/>
  <c r="AR200" i="42"/>
  <c r="AQ200" i="42"/>
  <c r="AP200" i="42"/>
  <c r="AO200" i="42"/>
  <c r="AN200" i="42"/>
  <c r="AM200" i="42"/>
  <c r="AL200" i="42"/>
  <c r="AK200" i="42"/>
  <c r="AJ200" i="42"/>
  <c r="AI200" i="42"/>
  <c r="AH200" i="42"/>
  <c r="AG200" i="42"/>
  <c r="AF200" i="42"/>
  <c r="AE200" i="42"/>
  <c r="AD200" i="42"/>
  <c r="AC200" i="42"/>
  <c r="AB200" i="42"/>
  <c r="AA200" i="42"/>
  <c r="Z200" i="42"/>
  <c r="Y200" i="42"/>
  <c r="X200" i="42"/>
  <c r="W200" i="42"/>
  <c r="V200" i="42"/>
  <c r="U200" i="42"/>
  <c r="T200" i="42"/>
  <c r="S200" i="42"/>
  <c r="O200" i="42"/>
  <c r="AU199" i="42"/>
  <c r="AT199" i="42"/>
  <c r="AS199" i="42"/>
  <c r="AR199" i="42"/>
  <c r="AQ199" i="42"/>
  <c r="AP199" i="42"/>
  <c r="AO199" i="42"/>
  <c r="AN199" i="42"/>
  <c r="AM199" i="42"/>
  <c r="AL199" i="42"/>
  <c r="AK199" i="42"/>
  <c r="AJ199" i="42"/>
  <c r="AI199" i="42"/>
  <c r="AH199" i="42"/>
  <c r="AG199" i="42"/>
  <c r="AF199" i="42"/>
  <c r="AE199" i="42"/>
  <c r="AD199" i="42"/>
  <c r="AC199" i="42"/>
  <c r="AB199" i="42"/>
  <c r="AA199" i="42"/>
  <c r="Z199" i="42"/>
  <c r="Y199" i="42"/>
  <c r="X199" i="42"/>
  <c r="W199" i="42"/>
  <c r="V199" i="42"/>
  <c r="U199" i="42"/>
  <c r="T199" i="42"/>
  <c r="S199" i="42"/>
  <c r="O199" i="42"/>
  <c r="AU198" i="42"/>
  <c r="AT198" i="42"/>
  <c r="AS198" i="42"/>
  <c r="AR198" i="42"/>
  <c r="AQ198" i="42"/>
  <c r="AP198" i="42"/>
  <c r="AO198" i="42"/>
  <c r="AN198" i="42"/>
  <c r="AM198" i="42"/>
  <c r="AL198" i="42"/>
  <c r="AK198" i="42"/>
  <c r="AJ198" i="42"/>
  <c r="AI198" i="42"/>
  <c r="AH198" i="42"/>
  <c r="AG198" i="42"/>
  <c r="AF198" i="42"/>
  <c r="AE198" i="42"/>
  <c r="AD198" i="42"/>
  <c r="AC198" i="42"/>
  <c r="AB198" i="42"/>
  <c r="AA198" i="42"/>
  <c r="Z198" i="42"/>
  <c r="Y198" i="42"/>
  <c r="X198" i="42"/>
  <c r="W198" i="42"/>
  <c r="V198" i="42"/>
  <c r="U198" i="42"/>
  <c r="T198" i="42"/>
  <c r="S198" i="42"/>
  <c r="O198" i="42"/>
  <c r="J198" i="42"/>
  <c r="R198" i="42" s="1"/>
  <c r="D198" i="42"/>
  <c r="H198" i="42" s="1"/>
  <c r="AU197" i="42"/>
  <c r="AT197" i="42"/>
  <c r="AS197" i="42"/>
  <c r="AR197" i="42"/>
  <c r="AQ197" i="42"/>
  <c r="AP197" i="42"/>
  <c r="AO197" i="42"/>
  <c r="AN197" i="42"/>
  <c r="AM197" i="42"/>
  <c r="AL197" i="42"/>
  <c r="AK197" i="42"/>
  <c r="AJ197" i="42"/>
  <c r="AI197" i="42"/>
  <c r="AH197" i="42"/>
  <c r="AG197" i="42"/>
  <c r="AF197" i="42"/>
  <c r="AE197" i="42"/>
  <c r="AD197" i="42"/>
  <c r="AC197" i="42"/>
  <c r="AB197" i="42"/>
  <c r="AA197" i="42"/>
  <c r="Z197" i="42"/>
  <c r="Y197" i="42"/>
  <c r="X197" i="42"/>
  <c r="W197" i="42"/>
  <c r="V197" i="42"/>
  <c r="U197" i="42"/>
  <c r="T197" i="42"/>
  <c r="S197" i="42"/>
  <c r="O197" i="42"/>
  <c r="E197" i="42"/>
  <c r="K197" i="42" s="1"/>
  <c r="D197" i="42"/>
  <c r="AU196" i="42"/>
  <c r="AT196" i="42"/>
  <c r="AS196" i="42"/>
  <c r="AR196" i="42"/>
  <c r="AQ196" i="42"/>
  <c r="AP196" i="42"/>
  <c r="AO196" i="42"/>
  <c r="AN196" i="42"/>
  <c r="AM196" i="42"/>
  <c r="AL196" i="42"/>
  <c r="AK196" i="42"/>
  <c r="AJ196" i="42"/>
  <c r="AI196" i="42"/>
  <c r="AH196" i="42"/>
  <c r="AG196" i="42"/>
  <c r="AF196" i="42"/>
  <c r="AE196" i="42"/>
  <c r="AD196" i="42"/>
  <c r="AC196" i="42"/>
  <c r="AB196" i="42"/>
  <c r="AA196" i="42"/>
  <c r="Z196" i="42"/>
  <c r="Y196" i="42"/>
  <c r="X196" i="42"/>
  <c r="W196" i="42"/>
  <c r="V196" i="42"/>
  <c r="U196" i="42"/>
  <c r="T196" i="42"/>
  <c r="S196" i="42"/>
  <c r="O196" i="42"/>
  <c r="E196" i="42"/>
  <c r="K196" i="42" s="1"/>
  <c r="AU195" i="42"/>
  <c r="AT195" i="42"/>
  <c r="AS195" i="42"/>
  <c r="AR195" i="42"/>
  <c r="AQ195" i="42"/>
  <c r="AP195" i="42"/>
  <c r="AO195" i="42"/>
  <c r="AN195" i="42"/>
  <c r="AM195" i="42"/>
  <c r="AL195" i="42"/>
  <c r="AK195" i="42"/>
  <c r="AJ195" i="42"/>
  <c r="AI195" i="42"/>
  <c r="AH195" i="42"/>
  <c r="AG195" i="42"/>
  <c r="AF195" i="42"/>
  <c r="AE195" i="42"/>
  <c r="AD195" i="42"/>
  <c r="AC195" i="42"/>
  <c r="AB195" i="42"/>
  <c r="AA195" i="42"/>
  <c r="Z195" i="42"/>
  <c r="Y195" i="42"/>
  <c r="X195" i="42"/>
  <c r="W195" i="42"/>
  <c r="V195" i="42"/>
  <c r="U195" i="42"/>
  <c r="T195" i="42"/>
  <c r="S195" i="42"/>
  <c r="O195" i="42"/>
  <c r="AU194" i="42"/>
  <c r="AT194" i="42"/>
  <c r="AS194" i="42"/>
  <c r="AR194" i="42"/>
  <c r="AQ194" i="42"/>
  <c r="AP194" i="42"/>
  <c r="AO194" i="42"/>
  <c r="AN194" i="42"/>
  <c r="AM194" i="42"/>
  <c r="AL194" i="42"/>
  <c r="AK194" i="42"/>
  <c r="AJ194" i="42"/>
  <c r="AI194" i="42"/>
  <c r="AH194" i="42"/>
  <c r="AG194" i="42"/>
  <c r="AF194" i="42"/>
  <c r="AE194" i="42"/>
  <c r="AD194" i="42"/>
  <c r="AC194" i="42"/>
  <c r="AB194" i="42"/>
  <c r="AA194" i="42"/>
  <c r="Z194" i="42"/>
  <c r="Y194" i="42"/>
  <c r="X194" i="42"/>
  <c r="W194" i="42"/>
  <c r="V194" i="42"/>
  <c r="U194" i="42"/>
  <c r="T194" i="42"/>
  <c r="S194" i="42"/>
  <c r="O194" i="42"/>
  <c r="AU193" i="42"/>
  <c r="AT193" i="42"/>
  <c r="AS193" i="42"/>
  <c r="AR193" i="42"/>
  <c r="AQ193" i="42"/>
  <c r="AP193" i="42"/>
  <c r="AO193" i="42"/>
  <c r="AN193" i="42"/>
  <c r="AM193" i="42"/>
  <c r="AL193" i="42"/>
  <c r="AK193" i="42"/>
  <c r="AJ193" i="42"/>
  <c r="AI193" i="42"/>
  <c r="AH193" i="42"/>
  <c r="AG193" i="42"/>
  <c r="AF193" i="42"/>
  <c r="AE193" i="42"/>
  <c r="AD193" i="42"/>
  <c r="AC193" i="42"/>
  <c r="AB193" i="42"/>
  <c r="AA193" i="42"/>
  <c r="Z193" i="42"/>
  <c r="Y193" i="42"/>
  <c r="X193" i="42"/>
  <c r="W193" i="42"/>
  <c r="V193" i="42"/>
  <c r="U193" i="42"/>
  <c r="T193" i="42"/>
  <c r="S193" i="42"/>
  <c r="O193" i="42"/>
  <c r="J193" i="42"/>
  <c r="R193" i="42" s="1"/>
  <c r="H193" i="42"/>
  <c r="AU192" i="42"/>
  <c r="AT192" i="42"/>
  <c r="AS192" i="42"/>
  <c r="AR192" i="42"/>
  <c r="AQ192" i="42"/>
  <c r="AP192" i="42"/>
  <c r="AO192" i="42"/>
  <c r="AN192" i="42"/>
  <c r="AM192" i="42"/>
  <c r="AL192" i="42"/>
  <c r="AK192" i="42"/>
  <c r="AJ192" i="42"/>
  <c r="AI192" i="42"/>
  <c r="AH192" i="42"/>
  <c r="AG192" i="42"/>
  <c r="AF192" i="42"/>
  <c r="AE192" i="42"/>
  <c r="AD192" i="42"/>
  <c r="AC192" i="42"/>
  <c r="AB192" i="42"/>
  <c r="AA192" i="42"/>
  <c r="Z192" i="42"/>
  <c r="Y192" i="42"/>
  <c r="X192" i="42"/>
  <c r="W192" i="42"/>
  <c r="V192" i="42"/>
  <c r="U192" i="42"/>
  <c r="T192" i="42"/>
  <c r="S192" i="42"/>
  <c r="R192" i="42"/>
  <c r="O192" i="42"/>
  <c r="J192" i="42"/>
  <c r="H192" i="42"/>
  <c r="E192" i="42"/>
  <c r="F192" i="42" s="1"/>
  <c r="L192" i="42" s="1"/>
  <c r="AU191" i="42"/>
  <c r="AT191" i="42"/>
  <c r="AS191" i="42"/>
  <c r="AR191" i="42"/>
  <c r="AQ191" i="42"/>
  <c r="AP191" i="42"/>
  <c r="AO191" i="42"/>
  <c r="AN191" i="42"/>
  <c r="AM191" i="42"/>
  <c r="AL191" i="42"/>
  <c r="AK191" i="42"/>
  <c r="AJ191" i="42"/>
  <c r="AI191" i="42"/>
  <c r="AH191" i="42"/>
  <c r="AG191" i="42"/>
  <c r="AF191" i="42"/>
  <c r="AE191" i="42"/>
  <c r="AD191" i="42"/>
  <c r="AC191" i="42"/>
  <c r="AB191" i="42"/>
  <c r="AA191" i="42"/>
  <c r="Z191" i="42"/>
  <c r="Y191" i="42"/>
  <c r="X191" i="42"/>
  <c r="W191" i="42"/>
  <c r="V191" i="42"/>
  <c r="U191" i="42"/>
  <c r="T191" i="42"/>
  <c r="S191" i="42"/>
  <c r="O191" i="42"/>
  <c r="J191" i="42"/>
  <c r="R191" i="42" s="1"/>
  <c r="H191" i="42"/>
  <c r="E191" i="42"/>
  <c r="K191" i="42" s="1"/>
  <c r="AU190" i="42"/>
  <c r="AT190" i="42"/>
  <c r="AS190" i="42"/>
  <c r="AR190" i="42"/>
  <c r="AQ190" i="42"/>
  <c r="AP190" i="42"/>
  <c r="AO190" i="42"/>
  <c r="AN190" i="42"/>
  <c r="AM190" i="42"/>
  <c r="AL190" i="42"/>
  <c r="AK190" i="42"/>
  <c r="AJ190" i="42"/>
  <c r="AI190" i="42"/>
  <c r="AH190" i="42"/>
  <c r="AG190" i="42"/>
  <c r="AF190" i="42"/>
  <c r="AE190" i="42"/>
  <c r="AD190" i="42"/>
  <c r="AC190" i="42"/>
  <c r="AB190" i="42"/>
  <c r="AA190" i="42"/>
  <c r="Z190" i="42"/>
  <c r="Y190" i="42"/>
  <c r="X190" i="42"/>
  <c r="W190" i="42"/>
  <c r="V190" i="42"/>
  <c r="U190" i="42"/>
  <c r="T190" i="42"/>
  <c r="S190" i="42"/>
  <c r="O190" i="42"/>
  <c r="J190" i="42"/>
  <c r="R190" i="42" s="1"/>
  <c r="H190" i="42"/>
  <c r="E190" i="42"/>
  <c r="AU189" i="42"/>
  <c r="AT189" i="42"/>
  <c r="AS189" i="42"/>
  <c r="AR189" i="42"/>
  <c r="AQ189" i="42"/>
  <c r="AP189" i="42"/>
  <c r="AO189" i="42"/>
  <c r="AN189" i="42"/>
  <c r="AM189" i="42"/>
  <c r="AL189" i="42"/>
  <c r="AK189" i="42"/>
  <c r="AJ189" i="42"/>
  <c r="AI189" i="42"/>
  <c r="AH189" i="42"/>
  <c r="AG189" i="42"/>
  <c r="AF189" i="42"/>
  <c r="AE189" i="42"/>
  <c r="AD189" i="42"/>
  <c r="AC189" i="42"/>
  <c r="AB189" i="42"/>
  <c r="AA189" i="42"/>
  <c r="Z189" i="42"/>
  <c r="Y189" i="42"/>
  <c r="X189" i="42"/>
  <c r="W189" i="42"/>
  <c r="V189" i="42"/>
  <c r="U189" i="42"/>
  <c r="T189" i="42"/>
  <c r="S189" i="42"/>
  <c r="O189" i="42"/>
  <c r="J189" i="42"/>
  <c r="R189" i="42" s="1"/>
  <c r="H189" i="42"/>
  <c r="E189" i="42"/>
  <c r="K189" i="42" s="1"/>
  <c r="AU188" i="42"/>
  <c r="AT188" i="42"/>
  <c r="AS188" i="42"/>
  <c r="AR188" i="42"/>
  <c r="AQ188" i="42"/>
  <c r="AP188" i="42"/>
  <c r="AO188" i="42"/>
  <c r="AN188" i="42"/>
  <c r="AM188" i="42"/>
  <c r="AL188" i="42"/>
  <c r="AK188" i="42"/>
  <c r="AJ188" i="42"/>
  <c r="AI188" i="42"/>
  <c r="AH188" i="42"/>
  <c r="AG188" i="42"/>
  <c r="AF188" i="42"/>
  <c r="AE188" i="42"/>
  <c r="AD188" i="42"/>
  <c r="AC188" i="42"/>
  <c r="AB188" i="42"/>
  <c r="AA188" i="42"/>
  <c r="Z188" i="42"/>
  <c r="Y188" i="42"/>
  <c r="X188" i="42"/>
  <c r="W188" i="42"/>
  <c r="V188" i="42"/>
  <c r="U188" i="42"/>
  <c r="T188" i="42"/>
  <c r="S188" i="42"/>
  <c r="O188" i="42"/>
  <c r="J188" i="42"/>
  <c r="R188" i="42" s="1"/>
  <c r="H188" i="42"/>
  <c r="E188" i="42"/>
  <c r="AU187" i="42"/>
  <c r="AT187" i="42"/>
  <c r="AS187" i="42"/>
  <c r="AR187" i="42"/>
  <c r="AQ187" i="42"/>
  <c r="AP187" i="42"/>
  <c r="AO187" i="42"/>
  <c r="AN187" i="42"/>
  <c r="AM187" i="42"/>
  <c r="AL187" i="42"/>
  <c r="AK187" i="42"/>
  <c r="AJ187" i="42"/>
  <c r="AI187" i="42"/>
  <c r="AH187" i="42"/>
  <c r="AG187" i="42"/>
  <c r="AF187" i="42"/>
  <c r="AE187" i="42"/>
  <c r="AD187" i="42"/>
  <c r="AC187" i="42"/>
  <c r="AB187" i="42"/>
  <c r="AA187" i="42"/>
  <c r="Z187" i="42"/>
  <c r="Y187" i="42"/>
  <c r="X187" i="42"/>
  <c r="W187" i="42"/>
  <c r="V187" i="42"/>
  <c r="U187" i="42"/>
  <c r="T187" i="42"/>
  <c r="S187" i="42"/>
  <c r="O187" i="42"/>
  <c r="J187" i="42"/>
  <c r="R187" i="42" s="1"/>
  <c r="H187" i="42"/>
  <c r="E187" i="42"/>
  <c r="K187" i="42" s="1"/>
  <c r="AU186" i="42"/>
  <c r="AT186" i="42"/>
  <c r="AS186" i="42"/>
  <c r="AR186" i="42"/>
  <c r="AQ186" i="42"/>
  <c r="AP186" i="42"/>
  <c r="AO186" i="42"/>
  <c r="AN186" i="42"/>
  <c r="AM186" i="42"/>
  <c r="AL186" i="42"/>
  <c r="AK186" i="42"/>
  <c r="AJ186" i="42"/>
  <c r="AI186" i="42"/>
  <c r="AH186" i="42"/>
  <c r="AG186" i="42"/>
  <c r="AF186" i="42"/>
  <c r="AE186" i="42"/>
  <c r="AD186" i="42"/>
  <c r="AC186" i="42"/>
  <c r="AB186" i="42"/>
  <c r="AA186" i="42"/>
  <c r="Z186" i="42"/>
  <c r="Y186" i="42"/>
  <c r="X186" i="42"/>
  <c r="W186" i="42"/>
  <c r="V186" i="42"/>
  <c r="U186" i="42"/>
  <c r="T186" i="42"/>
  <c r="S186" i="42"/>
  <c r="O186" i="42"/>
  <c r="J186" i="42"/>
  <c r="R186" i="42" s="1"/>
  <c r="H186" i="42"/>
  <c r="AU185" i="42"/>
  <c r="AT185" i="42"/>
  <c r="AS185" i="42"/>
  <c r="AR185" i="42"/>
  <c r="AQ185" i="42"/>
  <c r="AP185" i="42"/>
  <c r="AO185" i="42"/>
  <c r="AN185" i="42"/>
  <c r="AM185" i="42"/>
  <c r="AL185" i="42"/>
  <c r="AK185" i="42"/>
  <c r="AJ185" i="42"/>
  <c r="AI185" i="42"/>
  <c r="AH185" i="42"/>
  <c r="AG185" i="42"/>
  <c r="AF185" i="42"/>
  <c r="AE185" i="42"/>
  <c r="AD185" i="42"/>
  <c r="AC185" i="42"/>
  <c r="AB185" i="42"/>
  <c r="AA185" i="42"/>
  <c r="Z185" i="42"/>
  <c r="Y185" i="42"/>
  <c r="X185" i="42"/>
  <c r="W185" i="42"/>
  <c r="V185" i="42"/>
  <c r="U185" i="42"/>
  <c r="T185" i="42"/>
  <c r="S185" i="42"/>
  <c r="O185" i="42"/>
  <c r="J185" i="42"/>
  <c r="R185" i="42" s="1"/>
  <c r="H185" i="42"/>
  <c r="AU184" i="42"/>
  <c r="AT184" i="42"/>
  <c r="AS184" i="42"/>
  <c r="AR184" i="42"/>
  <c r="AQ184" i="42"/>
  <c r="AP184" i="42"/>
  <c r="AO184" i="42"/>
  <c r="AN184" i="42"/>
  <c r="AM184" i="42"/>
  <c r="AL184" i="42"/>
  <c r="AK184" i="42"/>
  <c r="AJ184" i="42"/>
  <c r="AI184" i="42"/>
  <c r="AH184" i="42"/>
  <c r="AG184" i="42"/>
  <c r="AF184" i="42"/>
  <c r="AE184" i="42"/>
  <c r="AD184" i="42"/>
  <c r="AC184" i="42"/>
  <c r="AB184" i="42"/>
  <c r="AA184" i="42"/>
  <c r="Z184" i="42"/>
  <c r="Y184" i="42"/>
  <c r="X184" i="42"/>
  <c r="W184" i="42"/>
  <c r="V184" i="42"/>
  <c r="U184" i="42"/>
  <c r="T184" i="42"/>
  <c r="S184" i="42"/>
  <c r="O184" i="42"/>
  <c r="J184" i="42"/>
  <c r="R184" i="42" s="1"/>
  <c r="H184" i="42"/>
  <c r="AU183" i="42"/>
  <c r="AT183" i="42"/>
  <c r="AS183" i="42"/>
  <c r="AR183" i="42"/>
  <c r="AQ183" i="42"/>
  <c r="AP183" i="42"/>
  <c r="AO183" i="42"/>
  <c r="AN183" i="42"/>
  <c r="AM183" i="42"/>
  <c r="AL183" i="42"/>
  <c r="AK183" i="42"/>
  <c r="AJ183" i="42"/>
  <c r="AI183" i="42"/>
  <c r="AH183" i="42"/>
  <c r="AG183" i="42"/>
  <c r="AF183" i="42"/>
  <c r="AE183" i="42"/>
  <c r="AD183" i="42"/>
  <c r="AC183" i="42"/>
  <c r="AB183" i="42"/>
  <c r="AA183" i="42"/>
  <c r="Z183" i="42"/>
  <c r="Y183" i="42"/>
  <c r="X183" i="42"/>
  <c r="W183" i="42"/>
  <c r="V183" i="42"/>
  <c r="U183" i="42"/>
  <c r="T183" i="42"/>
  <c r="S183" i="42"/>
  <c r="O183" i="42"/>
  <c r="J183" i="42"/>
  <c r="R183" i="42" s="1"/>
  <c r="H183" i="42"/>
  <c r="AU182" i="42"/>
  <c r="AT182" i="42"/>
  <c r="AS182" i="42"/>
  <c r="AR182" i="42"/>
  <c r="AQ182" i="42"/>
  <c r="AP182" i="42"/>
  <c r="AO182" i="42"/>
  <c r="AN182" i="42"/>
  <c r="AM182" i="42"/>
  <c r="AL182" i="42"/>
  <c r="AK182" i="42"/>
  <c r="AJ182" i="42"/>
  <c r="AI182" i="42"/>
  <c r="AH182" i="42"/>
  <c r="AG182" i="42"/>
  <c r="AF182" i="42"/>
  <c r="AE182" i="42"/>
  <c r="AD182" i="42"/>
  <c r="AC182" i="42"/>
  <c r="AB182" i="42"/>
  <c r="AA182" i="42"/>
  <c r="Z182" i="42"/>
  <c r="Y182" i="42"/>
  <c r="X182" i="42"/>
  <c r="W182" i="42"/>
  <c r="V182" i="42"/>
  <c r="U182" i="42"/>
  <c r="T182" i="42"/>
  <c r="S182" i="42"/>
  <c r="O182" i="42"/>
  <c r="J182" i="42"/>
  <c r="R182" i="42" s="1"/>
  <c r="H182" i="42"/>
  <c r="E182" i="42"/>
  <c r="K182" i="42" s="1"/>
  <c r="AU181" i="42"/>
  <c r="AT181" i="42"/>
  <c r="AS181" i="42"/>
  <c r="AR181" i="42"/>
  <c r="AQ181" i="42"/>
  <c r="AP181" i="42"/>
  <c r="AO181" i="42"/>
  <c r="AN181" i="42"/>
  <c r="AM181" i="42"/>
  <c r="AL181" i="42"/>
  <c r="AK181" i="42"/>
  <c r="AJ181" i="42"/>
  <c r="AI181" i="42"/>
  <c r="AH181" i="42"/>
  <c r="AG181" i="42"/>
  <c r="AF181" i="42"/>
  <c r="AE181" i="42"/>
  <c r="AD181" i="42"/>
  <c r="AC181" i="42"/>
  <c r="AB181" i="42"/>
  <c r="AA181" i="42"/>
  <c r="Z181" i="42"/>
  <c r="Y181" i="42"/>
  <c r="X181" i="42"/>
  <c r="W181" i="42"/>
  <c r="V181" i="42"/>
  <c r="U181" i="42"/>
  <c r="T181" i="42"/>
  <c r="S181" i="42"/>
  <c r="O181" i="42"/>
  <c r="J181" i="42"/>
  <c r="R181" i="42" s="1"/>
  <c r="H181" i="42"/>
  <c r="E181" i="42"/>
  <c r="K181" i="42" s="1"/>
  <c r="AU180" i="42"/>
  <c r="AT180" i="42"/>
  <c r="AS180" i="42"/>
  <c r="AR180" i="42"/>
  <c r="AQ180" i="42"/>
  <c r="AP180" i="42"/>
  <c r="AO180" i="42"/>
  <c r="AN180" i="42"/>
  <c r="AM180" i="42"/>
  <c r="AL180" i="42"/>
  <c r="AK180" i="42"/>
  <c r="AJ180" i="42"/>
  <c r="AI180" i="42"/>
  <c r="AH180" i="42"/>
  <c r="AG180" i="42"/>
  <c r="AF180" i="42"/>
  <c r="AE180" i="42"/>
  <c r="AD180" i="42"/>
  <c r="AC180" i="42"/>
  <c r="AB180" i="42"/>
  <c r="AA180" i="42"/>
  <c r="Z180" i="42"/>
  <c r="Y180" i="42"/>
  <c r="X180" i="42"/>
  <c r="W180" i="42"/>
  <c r="V180" i="42"/>
  <c r="U180" i="42"/>
  <c r="T180" i="42"/>
  <c r="S180" i="42"/>
  <c r="O180" i="42"/>
  <c r="J180" i="42"/>
  <c r="R180" i="42" s="1"/>
  <c r="H180" i="42"/>
  <c r="E180" i="42"/>
  <c r="F180" i="42" s="1"/>
  <c r="L180" i="42" s="1"/>
  <c r="AU179" i="42"/>
  <c r="AT179" i="42"/>
  <c r="AS179" i="42"/>
  <c r="AR179" i="42"/>
  <c r="AQ179" i="42"/>
  <c r="AP179" i="42"/>
  <c r="AO179" i="42"/>
  <c r="AN179" i="42"/>
  <c r="AM179" i="42"/>
  <c r="AL179" i="42"/>
  <c r="AK179" i="42"/>
  <c r="AJ179" i="42"/>
  <c r="AI179" i="42"/>
  <c r="AH179" i="42"/>
  <c r="AG179" i="42"/>
  <c r="AF179" i="42"/>
  <c r="AE179" i="42"/>
  <c r="AD179" i="42"/>
  <c r="AC179" i="42"/>
  <c r="AB179" i="42"/>
  <c r="AA179" i="42"/>
  <c r="Z179" i="42"/>
  <c r="Y179" i="42"/>
  <c r="X179" i="42"/>
  <c r="W179" i="42"/>
  <c r="V179" i="42"/>
  <c r="U179" i="42"/>
  <c r="T179" i="42"/>
  <c r="S179" i="42"/>
  <c r="O179" i="42"/>
  <c r="J179" i="42"/>
  <c r="R179" i="42" s="1"/>
  <c r="H179" i="42"/>
  <c r="E179" i="42"/>
  <c r="K179" i="42" s="1"/>
  <c r="AU178" i="42"/>
  <c r="AT178" i="42"/>
  <c r="AS178" i="42"/>
  <c r="AR178" i="42"/>
  <c r="AQ178" i="42"/>
  <c r="AP178" i="42"/>
  <c r="AO178" i="42"/>
  <c r="AN178" i="42"/>
  <c r="AM178" i="42"/>
  <c r="AL178" i="42"/>
  <c r="AK178" i="42"/>
  <c r="AJ178" i="42"/>
  <c r="AI178" i="42"/>
  <c r="AH178" i="42"/>
  <c r="AG178" i="42"/>
  <c r="AF178" i="42"/>
  <c r="AE178" i="42"/>
  <c r="AD178" i="42"/>
  <c r="AC178" i="42"/>
  <c r="AB178" i="42"/>
  <c r="AA178" i="42"/>
  <c r="Z178" i="42"/>
  <c r="Y178" i="42"/>
  <c r="X178" i="42"/>
  <c r="W178" i="42"/>
  <c r="V178" i="42"/>
  <c r="U178" i="42"/>
  <c r="T178" i="42"/>
  <c r="S178" i="42"/>
  <c r="O178" i="42"/>
  <c r="E178" i="42"/>
  <c r="K178" i="42" s="1"/>
  <c r="D178" i="42"/>
  <c r="J178" i="42" s="1"/>
  <c r="R178" i="42" s="1"/>
  <c r="AU177" i="42"/>
  <c r="AT177" i="42"/>
  <c r="AS177" i="42"/>
  <c r="AR177" i="42"/>
  <c r="AQ177" i="42"/>
  <c r="AP177" i="42"/>
  <c r="AO177" i="42"/>
  <c r="AN177" i="42"/>
  <c r="AM177" i="42"/>
  <c r="AL177" i="42"/>
  <c r="AK177" i="42"/>
  <c r="AJ177" i="42"/>
  <c r="AI177" i="42"/>
  <c r="AH177" i="42"/>
  <c r="AG177" i="42"/>
  <c r="AF177" i="42"/>
  <c r="AE177" i="42"/>
  <c r="AD177" i="42"/>
  <c r="AC177" i="42"/>
  <c r="AB177" i="42"/>
  <c r="AA177" i="42"/>
  <c r="Z177" i="42"/>
  <c r="Y177" i="42"/>
  <c r="X177" i="42"/>
  <c r="W177" i="42"/>
  <c r="V177" i="42"/>
  <c r="U177" i="42"/>
  <c r="T177" i="42"/>
  <c r="S177" i="42"/>
  <c r="O177" i="42"/>
  <c r="E177" i="42"/>
  <c r="K177" i="42" s="1"/>
  <c r="D177" i="42"/>
  <c r="J177" i="42" s="1"/>
  <c r="R177" i="42" s="1"/>
  <c r="AU176" i="42"/>
  <c r="AT176" i="42"/>
  <c r="AS176" i="42"/>
  <c r="AR176" i="42"/>
  <c r="AQ176" i="42"/>
  <c r="AP176" i="42"/>
  <c r="AO176" i="42"/>
  <c r="AN176" i="42"/>
  <c r="AM176" i="42"/>
  <c r="AL176" i="42"/>
  <c r="AK176" i="42"/>
  <c r="AJ176" i="42"/>
  <c r="AI176" i="42"/>
  <c r="AH176" i="42"/>
  <c r="AG176" i="42"/>
  <c r="AF176" i="42"/>
  <c r="AE176" i="42"/>
  <c r="AD176" i="42"/>
  <c r="AC176" i="42"/>
  <c r="AB176" i="42"/>
  <c r="AA176" i="42"/>
  <c r="Z176" i="42"/>
  <c r="Y176" i="42"/>
  <c r="X176" i="42"/>
  <c r="W176" i="42"/>
  <c r="V176" i="42"/>
  <c r="U176" i="42"/>
  <c r="T176" i="42"/>
  <c r="S176" i="42"/>
  <c r="O176" i="42"/>
  <c r="E176" i="42"/>
  <c r="K176" i="42" s="1"/>
  <c r="AU175" i="42"/>
  <c r="AT175" i="42"/>
  <c r="AS175" i="42"/>
  <c r="AR175" i="42"/>
  <c r="AQ175" i="42"/>
  <c r="AP175" i="42"/>
  <c r="AO175" i="42"/>
  <c r="AN175" i="42"/>
  <c r="AM175" i="42"/>
  <c r="AL175" i="42"/>
  <c r="AK175" i="42"/>
  <c r="AJ175" i="42"/>
  <c r="AI175" i="42"/>
  <c r="AH175" i="42"/>
  <c r="AG175" i="42"/>
  <c r="AF175" i="42"/>
  <c r="AE175" i="42"/>
  <c r="AD175" i="42"/>
  <c r="AC175" i="42"/>
  <c r="AB175" i="42"/>
  <c r="AA175" i="42"/>
  <c r="Z175" i="42"/>
  <c r="Y175" i="42"/>
  <c r="X175" i="42"/>
  <c r="W175" i="42"/>
  <c r="V175" i="42"/>
  <c r="U175" i="42"/>
  <c r="T175" i="42"/>
  <c r="S175" i="42"/>
  <c r="O175" i="42"/>
  <c r="E175" i="42"/>
  <c r="K175" i="42" s="1"/>
  <c r="AU174" i="42"/>
  <c r="AT174" i="42"/>
  <c r="AS174" i="42"/>
  <c r="AR174" i="42"/>
  <c r="AQ174" i="42"/>
  <c r="AP174" i="42"/>
  <c r="AO174" i="42"/>
  <c r="AN174" i="42"/>
  <c r="AM174" i="42"/>
  <c r="AL174" i="42"/>
  <c r="AK174" i="42"/>
  <c r="AJ174" i="42"/>
  <c r="AI174" i="42"/>
  <c r="AH174" i="42"/>
  <c r="AG174" i="42"/>
  <c r="AF174" i="42"/>
  <c r="AE174" i="42"/>
  <c r="AD174" i="42"/>
  <c r="AC174" i="42"/>
  <c r="AB174" i="42"/>
  <c r="AA174" i="42"/>
  <c r="Z174" i="42"/>
  <c r="Y174" i="42"/>
  <c r="X174" i="42"/>
  <c r="W174" i="42"/>
  <c r="V174" i="42"/>
  <c r="U174" i="42"/>
  <c r="T174" i="42"/>
  <c r="S174" i="42"/>
  <c r="O174" i="42"/>
  <c r="AU173" i="42"/>
  <c r="AT173" i="42"/>
  <c r="AS173" i="42"/>
  <c r="AR173" i="42"/>
  <c r="AQ173" i="42"/>
  <c r="AP173" i="42"/>
  <c r="AO173" i="42"/>
  <c r="AN173" i="42"/>
  <c r="AM173" i="42"/>
  <c r="AL173" i="42"/>
  <c r="AK173" i="42"/>
  <c r="AJ173" i="42"/>
  <c r="AI173" i="42"/>
  <c r="AH173" i="42"/>
  <c r="AG173" i="42"/>
  <c r="AF173" i="42"/>
  <c r="AE173" i="42"/>
  <c r="AD173" i="42"/>
  <c r="AC173" i="42"/>
  <c r="AB173" i="42"/>
  <c r="AA173" i="42"/>
  <c r="Z173" i="42"/>
  <c r="Y173" i="42"/>
  <c r="X173" i="42"/>
  <c r="W173" i="42"/>
  <c r="V173" i="42"/>
  <c r="U173" i="42"/>
  <c r="T173" i="42"/>
  <c r="S173" i="42"/>
  <c r="O173" i="42"/>
  <c r="AU172" i="42"/>
  <c r="AT172" i="42"/>
  <c r="AS172" i="42"/>
  <c r="AR172" i="42"/>
  <c r="AQ172" i="42"/>
  <c r="AP172" i="42"/>
  <c r="AO172" i="42"/>
  <c r="AN172" i="42"/>
  <c r="AM172" i="42"/>
  <c r="AL172" i="42"/>
  <c r="AK172" i="42"/>
  <c r="AJ172" i="42"/>
  <c r="AI172" i="42"/>
  <c r="AH172" i="42"/>
  <c r="AG172" i="42"/>
  <c r="AF172" i="42"/>
  <c r="AE172" i="42"/>
  <c r="AD172" i="42"/>
  <c r="AC172" i="42"/>
  <c r="AB172" i="42"/>
  <c r="AA172" i="42"/>
  <c r="Z172" i="42"/>
  <c r="Y172" i="42"/>
  <c r="X172" i="42"/>
  <c r="W172" i="42"/>
  <c r="V172" i="42"/>
  <c r="U172" i="42"/>
  <c r="T172" i="42"/>
  <c r="S172" i="42"/>
  <c r="O172" i="42"/>
  <c r="AU171" i="42"/>
  <c r="AT171" i="42"/>
  <c r="AS171" i="42"/>
  <c r="AR171" i="42"/>
  <c r="AQ171" i="42"/>
  <c r="AP171" i="42"/>
  <c r="AO171" i="42"/>
  <c r="AN171" i="42"/>
  <c r="AM171" i="42"/>
  <c r="AL171" i="42"/>
  <c r="AK171" i="42"/>
  <c r="AJ171" i="42"/>
  <c r="AI171" i="42"/>
  <c r="AH171" i="42"/>
  <c r="AG171" i="42"/>
  <c r="AF171" i="42"/>
  <c r="AE171" i="42"/>
  <c r="AD171" i="42"/>
  <c r="AC171" i="42"/>
  <c r="AB171" i="42"/>
  <c r="AA171" i="42"/>
  <c r="Z171" i="42"/>
  <c r="Y171" i="42"/>
  <c r="X171" i="42"/>
  <c r="W171" i="42"/>
  <c r="V171" i="42"/>
  <c r="U171" i="42"/>
  <c r="T171" i="42"/>
  <c r="S171" i="42"/>
  <c r="O171" i="42"/>
  <c r="AU170" i="42"/>
  <c r="AT170" i="42"/>
  <c r="AS170" i="42"/>
  <c r="AR170" i="42"/>
  <c r="AQ170" i="42"/>
  <c r="AP170" i="42"/>
  <c r="AO170" i="42"/>
  <c r="AN170" i="42"/>
  <c r="AM170" i="42"/>
  <c r="AL170" i="42"/>
  <c r="AK170" i="42"/>
  <c r="AJ170" i="42"/>
  <c r="AI170" i="42"/>
  <c r="AH170" i="42"/>
  <c r="AG170" i="42"/>
  <c r="AF170" i="42"/>
  <c r="AE170" i="42"/>
  <c r="AD170" i="42"/>
  <c r="AC170" i="42"/>
  <c r="AB170" i="42"/>
  <c r="AA170" i="42"/>
  <c r="Z170" i="42"/>
  <c r="Y170" i="42"/>
  <c r="X170" i="42"/>
  <c r="W170" i="42"/>
  <c r="V170" i="42"/>
  <c r="U170" i="42"/>
  <c r="T170" i="42"/>
  <c r="S170" i="42"/>
  <c r="O170" i="42"/>
  <c r="AU169" i="42"/>
  <c r="AT169" i="42"/>
  <c r="AS169" i="42"/>
  <c r="AR169" i="42"/>
  <c r="AQ169" i="42"/>
  <c r="AP169" i="42"/>
  <c r="AO169" i="42"/>
  <c r="AN169" i="42"/>
  <c r="AM169" i="42"/>
  <c r="AL169" i="42"/>
  <c r="AK169" i="42"/>
  <c r="AJ169" i="42"/>
  <c r="AI169" i="42"/>
  <c r="AH169" i="42"/>
  <c r="AG169" i="42"/>
  <c r="AF169" i="42"/>
  <c r="AE169" i="42"/>
  <c r="AD169" i="42"/>
  <c r="AC169" i="42"/>
  <c r="AB169" i="42"/>
  <c r="AA169" i="42"/>
  <c r="Z169" i="42"/>
  <c r="Y169" i="42"/>
  <c r="X169" i="42"/>
  <c r="W169" i="42"/>
  <c r="V169" i="42"/>
  <c r="U169" i="42"/>
  <c r="T169" i="42"/>
  <c r="S169" i="42"/>
  <c r="O169" i="42"/>
  <c r="AU168" i="42"/>
  <c r="AT168" i="42"/>
  <c r="AS168" i="42"/>
  <c r="AR168" i="42"/>
  <c r="AQ168" i="42"/>
  <c r="AP168" i="42"/>
  <c r="AO168" i="42"/>
  <c r="AN168" i="42"/>
  <c r="AM168" i="42"/>
  <c r="AL168" i="42"/>
  <c r="AK168" i="42"/>
  <c r="AJ168" i="42"/>
  <c r="AI168" i="42"/>
  <c r="AH168" i="42"/>
  <c r="AG168" i="42"/>
  <c r="AF168" i="42"/>
  <c r="AE168" i="42"/>
  <c r="AD168" i="42"/>
  <c r="AC168" i="42"/>
  <c r="AB168" i="42"/>
  <c r="AA168" i="42"/>
  <c r="Z168" i="42"/>
  <c r="Y168" i="42"/>
  <c r="X168" i="42"/>
  <c r="W168" i="42"/>
  <c r="V168" i="42"/>
  <c r="U168" i="42"/>
  <c r="T168" i="42"/>
  <c r="S168" i="42"/>
  <c r="O168" i="42"/>
  <c r="J168" i="42"/>
  <c r="R168" i="42" s="1"/>
  <c r="H168" i="42"/>
  <c r="E168" i="42"/>
  <c r="AU167" i="42"/>
  <c r="AT167" i="42"/>
  <c r="AS167" i="42"/>
  <c r="AR167" i="42"/>
  <c r="AQ167" i="42"/>
  <c r="AP167" i="42"/>
  <c r="AO167" i="42"/>
  <c r="AN167" i="42"/>
  <c r="AM167" i="42"/>
  <c r="AL167" i="42"/>
  <c r="AK167" i="42"/>
  <c r="AJ167" i="42"/>
  <c r="AI167" i="42"/>
  <c r="AH167" i="42"/>
  <c r="AG167" i="42"/>
  <c r="AF167" i="42"/>
  <c r="AE167" i="42"/>
  <c r="AD167" i="42"/>
  <c r="AC167" i="42"/>
  <c r="AB167" i="42"/>
  <c r="AA167" i="42"/>
  <c r="Z167" i="42"/>
  <c r="Y167" i="42"/>
  <c r="X167" i="42"/>
  <c r="W167" i="42"/>
  <c r="V167" i="42"/>
  <c r="U167" i="42"/>
  <c r="T167" i="42"/>
  <c r="S167" i="42"/>
  <c r="O167" i="42"/>
  <c r="J167" i="42"/>
  <c r="R167" i="42" s="1"/>
  <c r="H167" i="42"/>
  <c r="AU166" i="42"/>
  <c r="AT166" i="42"/>
  <c r="AS166" i="42"/>
  <c r="AR166" i="42"/>
  <c r="AQ166" i="42"/>
  <c r="AP166" i="42"/>
  <c r="AO166" i="42"/>
  <c r="AN166" i="42"/>
  <c r="AM166" i="42"/>
  <c r="AL166" i="42"/>
  <c r="AK166" i="42"/>
  <c r="AJ166" i="42"/>
  <c r="AI166" i="42"/>
  <c r="AH166" i="42"/>
  <c r="AG166" i="42"/>
  <c r="AF166" i="42"/>
  <c r="AE166" i="42"/>
  <c r="AD166" i="42"/>
  <c r="AC166" i="42"/>
  <c r="AB166" i="42"/>
  <c r="AA166" i="42"/>
  <c r="Z166" i="42"/>
  <c r="Y166" i="42"/>
  <c r="X166" i="42"/>
  <c r="W166" i="42"/>
  <c r="V166" i="42"/>
  <c r="U166" i="42"/>
  <c r="T166" i="42"/>
  <c r="S166" i="42"/>
  <c r="O166" i="42"/>
  <c r="J166" i="42"/>
  <c r="R166" i="42" s="1"/>
  <c r="H166" i="42"/>
  <c r="E166" i="42"/>
  <c r="K166" i="42" s="1"/>
  <c r="AU165" i="42"/>
  <c r="AT165" i="42"/>
  <c r="AS165" i="42"/>
  <c r="AR165" i="42"/>
  <c r="AQ165" i="42"/>
  <c r="AP165" i="42"/>
  <c r="AO165" i="42"/>
  <c r="AN165" i="42"/>
  <c r="AM165" i="42"/>
  <c r="AL165" i="42"/>
  <c r="AK165" i="42"/>
  <c r="AJ165" i="42"/>
  <c r="AI165" i="42"/>
  <c r="AH165" i="42"/>
  <c r="AG165" i="42"/>
  <c r="AF165" i="42"/>
  <c r="AE165" i="42"/>
  <c r="AD165" i="42"/>
  <c r="AC165" i="42"/>
  <c r="AB165" i="42"/>
  <c r="AA165" i="42"/>
  <c r="Z165" i="42"/>
  <c r="Y165" i="42"/>
  <c r="X165" i="42"/>
  <c r="W165" i="42"/>
  <c r="V165" i="42"/>
  <c r="U165" i="42"/>
  <c r="T165" i="42"/>
  <c r="S165" i="42"/>
  <c r="O165" i="42"/>
  <c r="J165" i="42"/>
  <c r="R165" i="42" s="1"/>
  <c r="H165" i="42"/>
  <c r="AU164" i="42"/>
  <c r="AT164" i="42"/>
  <c r="AS164" i="42"/>
  <c r="AR164" i="42"/>
  <c r="AQ164" i="42"/>
  <c r="AP164" i="42"/>
  <c r="AO164" i="42"/>
  <c r="AN164" i="42"/>
  <c r="AM164" i="42"/>
  <c r="AL164" i="42"/>
  <c r="AK164" i="42"/>
  <c r="AJ164" i="42"/>
  <c r="AI164" i="42"/>
  <c r="AH164" i="42"/>
  <c r="AG164" i="42"/>
  <c r="AF164" i="42"/>
  <c r="AE164" i="42"/>
  <c r="AD164" i="42"/>
  <c r="AC164" i="42"/>
  <c r="AB164" i="42"/>
  <c r="AA164" i="42"/>
  <c r="Z164" i="42"/>
  <c r="Y164" i="42"/>
  <c r="X164" i="42"/>
  <c r="W164" i="42"/>
  <c r="V164" i="42"/>
  <c r="U164" i="42"/>
  <c r="T164" i="42"/>
  <c r="S164" i="42"/>
  <c r="O164" i="42"/>
  <c r="J164" i="42"/>
  <c r="R164" i="42" s="1"/>
  <c r="H164" i="42"/>
  <c r="AU163" i="42"/>
  <c r="AT163" i="42"/>
  <c r="AS163" i="42"/>
  <c r="AR163" i="42"/>
  <c r="AQ163" i="42"/>
  <c r="AP163" i="42"/>
  <c r="AO163" i="42"/>
  <c r="AN163" i="42"/>
  <c r="AM163" i="42"/>
  <c r="AL163" i="42"/>
  <c r="AK163" i="42"/>
  <c r="AJ163" i="42"/>
  <c r="AI163" i="42"/>
  <c r="AH163" i="42"/>
  <c r="AG163" i="42"/>
  <c r="AF163" i="42"/>
  <c r="AE163" i="42"/>
  <c r="AD163" i="42"/>
  <c r="AC163" i="42"/>
  <c r="AB163" i="42"/>
  <c r="AA163" i="42"/>
  <c r="Z163" i="42"/>
  <c r="Y163" i="42"/>
  <c r="X163" i="42"/>
  <c r="W163" i="42"/>
  <c r="V163" i="42"/>
  <c r="U163" i="42"/>
  <c r="T163" i="42"/>
  <c r="S163" i="42"/>
  <c r="O163" i="42"/>
  <c r="J163" i="42"/>
  <c r="R163" i="42" s="1"/>
  <c r="H163" i="42"/>
  <c r="E163" i="42"/>
  <c r="K163" i="42" s="1"/>
  <c r="AU162" i="42"/>
  <c r="AT162" i="42"/>
  <c r="AS162" i="42"/>
  <c r="AR162" i="42"/>
  <c r="AQ162" i="42"/>
  <c r="AP162" i="42"/>
  <c r="AO162" i="42"/>
  <c r="AN162" i="42"/>
  <c r="AM162" i="42"/>
  <c r="AL162" i="42"/>
  <c r="AK162" i="42"/>
  <c r="AJ162" i="42"/>
  <c r="AI162" i="42"/>
  <c r="AH162" i="42"/>
  <c r="AG162" i="42"/>
  <c r="AF162" i="42"/>
  <c r="AE162" i="42"/>
  <c r="AD162" i="42"/>
  <c r="AC162" i="42"/>
  <c r="AB162" i="42"/>
  <c r="AA162" i="42"/>
  <c r="Z162" i="42"/>
  <c r="Y162" i="42"/>
  <c r="X162" i="42"/>
  <c r="W162" i="42"/>
  <c r="V162" i="42"/>
  <c r="U162" i="42"/>
  <c r="T162" i="42"/>
  <c r="S162" i="42"/>
  <c r="O162" i="42"/>
  <c r="J162" i="42"/>
  <c r="R162" i="42" s="1"/>
  <c r="H162" i="42"/>
  <c r="E162" i="42"/>
  <c r="K162" i="42" s="1"/>
  <c r="AU161" i="42"/>
  <c r="AT161" i="42"/>
  <c r="AS161" i="42"/>
  <c r="AR161" i="42"/>
  <c r="AQ161" i="42"/>
  <c r="AP161" i="42"/>
  <c r="AO161" i="42"/>
  <c r="AN161" i="42"/>
  <c r="AM161" i="42"/>
  <c r="AL161" i="42"/>
  <c r="AK161" i="42"/>
  <c r="AJ161" i="42"/>
  <c r="AI161" i="42"/>
  <c r="AH161" i="42"/>
  <c r="AG161" i="42"/>
  <c r="AF161" i="42"/>
  <c r="AE161" i="42"/>
  <c r="AD161" i="42"/>
  <c r="AC161" i="42"/>
  <c r="AB161" i="42"/>
  <c r="AA161" i="42"/>
  <c r="Z161" i="42"/>
  <c r="Y161" i="42"/>
  <c r="X161" i="42"/>
  <c r="W161" i="42"/>
  <c r="V161" i="42"/>
  <c r="U161" i="42"/>
  <c r="T161" i="42"/>
  <c r="S161" i="42"/>
  <c r="O161" i="42"/>
  <c r="J161" i="42"/>
  <c r="R161" i="42" s="1"/>
  <c r="H161" i="42"/>
  <c r="AU160" i="42"/>
  <c r="AT160" i="42"/>
  <c r="AS160" i="42"/>
  <c r="AR160" i="42"/>
  <c r="AQ160" i="42"/>
  <c r="AP160" i="42"/>
  <c r="AO160" i="42"/>
  <c r="AN160" i="42"/>
  <c r="AM160" i="42"/>
  <c r="AL160" i="42"/>
  <c r="AK160" i="42"/>
  <c r="AJ160" i="42"/>
  <c r="AI160" i="42"/>
  <c r="AH160" i="42"/>
  <c r="AG160" i="42"/>
  <c r="AF160" i="42"/>
  <c r="AE160" i="42"/>
  <c r="AD160" i="42"/>
  <c r="AC160" i="42"/>
  <c r="AB160" i="42"/>
  <c r="AA160" i="42"/>
  <c r="Z160" i="42"/>
  <c r="Y160" i="42"/>
  <c r="X160" i="42"/>
  <c r="W160" i="42"/>
  <c r="V160" i="42"/>
  <c r="U160" i="42"/>
  <c r="T160" i="42"/>
  <c r="S160" i="42"/>
  <c r="O160" i="42"/>
  <c r="J160" i="42"/>
  <c r="R160" i="42" s="1"/>
  <c r="H160" i="42"/>
  <c r="E160" i="42"/>
  <c r="K160" i="42" s="1"/>
  <c r="AU159" i="42"/>
  <c r="AT159" i="42"/>
  <c r="AS159" i="42"/>
  <c r="AR159" i="42"/>
  <c r="AQ159" i="42"/>
  <c r="AP159" i="42"/>
  <c r="AO159" i="42"/>
  <c r="AN159" i="42"/>
  <c r="AM159" i="42"/>
  <c r="AL159" i="42"/>
  <c r="AK159" i="42"/>
  <c r="AJ159" i="42"/>
  <c r="AI159" i="42"/>
  <c r="AH159" i="42"/>
  <c r="AG159" i="42"/>
  <c r="AF159" i="42"/>
  <c r="AE159" i="42"/>
  <c r="AD159" i="42"/>
  <c r="AC159" i="42"/>
  <c r="AB159" i="42"/>
  <c r="AA159" i="42"/>
  <c r="Z159" i="42"/>
  <c r="Y159" i="42"/>
  <c r="X159" i="42"/>
  <c r="W159" i="42"/>
  <c r="V159" i="42"/>
  <c r="U159" i="42"/>
  <c r="T159" i="42"/>
  <c r="S159" i="42"/>
  <c r="O159" i="42"/>
  <c r="J159" i="42"/>
  <c r="R159" i="42" s="1"/>
  <c r="H159" i="42"/>
  <c r="E159" i="42"/>
  <c r="F159" i="42" s="1"/>
  <c r="AU158" i="42"/>
  <c r="AT158" i="42"/>
  <c r="AS158" i="42"/>
  <c r="AR158" i="42"/>
  <c r="AQ158" i="42"/>
  <c r="AP158" i="42"/>
  <c r="AO158" i="42"/>
  <c r="AN158" i="42"/>
  <c r="AM158" i="42"/>
  <c r="AL158" i="42"/>
  <c r="AK158" i="42"/>
  <c r="AJ158" i="42"/>
  <c r="AI158" i="42"/>
  <c r="AH158" i="42"/>
  <c r="AG158" i="42"/>
  <c r="AF158" i="42"/>
  <c r="AE158" i="42"/>
  <c r="AD158" i="42"/>
  <c r="AC158" i="42"/>
  <c r="AB158" i="42"/>
  <c r="AA158" i="42"/>
  <c r="Z158" i="42"/>
  <c r="Y158" i="42"/>
  <c r="X158" i="42"/>
  <c r="W158" i="42"/>
  <c r="V158" i="42"/>
  <c r="U158" i="42"/>
  <c r="T158" i="42"/>
  <c r="S158" i="42"/>
  <c r="O158" i="42"/>
  <c r="AU157" i="42"/>
  <c r="AT157" i="42"/>
  <c r="AS157" i="42"/>
  <c r="AR157" i="42"/>
  <c r="AQ157" i="42"/>
  <c r="AP157" i="42"/>
  <c r="AO157" i="42"/>
  <c r="AN157" i="42"/>
  <c r="AM157" i="42"/>
  <c r="AL157" i="42"/>
  <c r="AK157" i="42"/>
  <c r="AJ157" i="42"/>
  <c r="AI157" i="42"/>
  <c r="AH157" i="42"/>
  <c r="AG157" i="42"/>
  <c r="AF157" i="42"/>
  <c r="AE157" i="42"/>
  <c r="AD157" i="42"/>
  <c r="AC157" i="42"/>
  <c r="AB157" i="42"/>
  <c r="AA157" i="42"/>
  <c r="Z157" i="42"/>
  <c r="Y157" i="42"/>
  <c r="X157" i="42"/>
  <c r="W157" i="42"/>
  <c r="V157" i="42"/>
  <c r="U157" i="42"/>
  <c r="T157" i="42"/>
  <c r="S157" i="42"/>
  <c r="O157" i="42"/>
  <c r="AU156" i="42"/>
  <c r="AT156" i="42"/>
  <c r="AS156" i="42"/>
  <c r="AR156" i="42"/>
  <c r="AQ156" i="42"/>
  <c r="AP156" i="42"/>
  <c r="AO156" i="42"/>
  <c r="AN156" i="42"/>
  <c r="AM156" i="42"/>
  <c r="AL156" i="42"/>
  <c r="AK156" i="42"/>
  <c r="AJ156" i="42"/>
  <c r="AI156" i="42"/>
  <c r="AH156" i="42"/>
  <c r="AG156" i="42"/>
  <c r="AF156" i="42"/>
  <c r="AE156" i="42"/>
  <c r="AD156" i="42"/>
  <c r="AC156" i="42"/>
  <c r="AB156" i="42"/>
  <c r="AA156" i="42"/>
  <c r="Z156" i="42"/>
  <c r="Y156" i="42"/>
  <c r="X156" i="42"/>
  <c r="W156" i="42"/>
  <c r="V156" i="42"/>
  <c r="U156" i="42"/>
  <c r="T156" i="42"/>
  <c r="S156" i="42"/>
  <c r="O156" i="42"/>
  <c r="AU155" i="42"/>
  <c r="AT155" i="42"/>
  <c r="AS155" i="42"/>
  <c r="AR155" i="42"/>
  <c r="AQ155" i="42"/>
  <c r="AP155" i="42"/>
  <c r="AO155" i="42"/>
  <c r="AN155" i="42"/>
  <c r="AM155" i="42"/>
  <c r="AL155" i="42"/>
  <c r="AK155" i="42"/>
  <c r="AJ155" i="42"/>
  <c r="AI155" i="42"/>
  <c r="AH155" i="42"/>
  <c r="AG155" i="42"/>
  <c r="AF155" i="42"/>
  <c r="AE155" i="42"/>
  <c r="AD155" i="42"/>
  <c r="AC155" i="42"/>
  <c r="AB155" i="42"/>
  <c r="AA155" i="42"/>
  <c r="Z155" i="42"/>
  <c r="Y155" i="42"/>
  <c r="X155" i="42"/>
  <c r="W155" i="42"/>
  <c r="V155" i="42"/>
  <c r="U155" i="42"/>
  <c r="T155" i="42"/>
  <c r="S155" i="42"/>
  <c r="O155" i="42"/>
  <c r="AU154" i="42"/>
  <c r="AT154" i="42"/>
  <c r="AS154" i="42"/>
  <c r="AR154" i="42"/>
  <c r="AQ154" i="42"/>
  <c r="AP154" i="42"/>
  <c r="AO154" i="42"/>
  <c r="AN154" i="42"/>
  <c r="AM154" i="42"/>
  <c r="AL154" i="42"/>
  <c r="AK154" i="42"/>
  <c r="AJ154" i="42"/>
  <c r="AI154" i="42"/>
  <c r="AH154" i="42"/>
  <c r="AG154" i="42"/>
  <c r="AF154" i="42"/>
  <c r="AE154" i="42"/>
  <c r="AD154" i="42"/>
  <c r="AC154" i="42"/>
  <c r="AB154" i="42"/>
  <c r="AA154" i="42"/>
  <c r="Z154" i="42"/>
  <c r="Y154" i="42"/>
  <c r="X154" i="42"/>
  <c r="W154" i="42"/>
  <c r="V154" i="42"/>
  <c r="U154" i="42"/>
  <c r="T154" i="42"/>
  <c r="S154" i="42"/>
  <c r="O154" i="42"/>
  <c r="AU153" i="42"/>
  <c r="AT153" i="42"/>
  <c r="AS153" i="42"/>
  <c r="AR153" i="42"/>
  <c r="AQ153" i="42"/>
  <c r="AP153" i="42"/>
  <c r="AO153" i="42"/>
  <c r="AN153" i="42"/>
  <c r="AM153" i="42"/>
  <c r="AL153" i="42"/>
  <c r="AK153" i="42"/>
  <c r="AJ153" i="42"/>
  <c r="AI153" i="42"/>
  <c r="AH153" i="42"/>
  <c r="AG153" i="42"/>
  <c r="AF153" i="42"/>
  <c r="AE153" i="42"/>
  <c r="AD153" i="42"/>
  <c r="AC153" i="42"/>
  <c r="AB153" i="42"/>
  <c r="AA153" i="42"/>
  <c r="Z153" i="42"/>
  <c r="Y153" i="42"/>
  <c r="X153" i="42"/>
  <c r="W153" i="42"/>
  <c r="V153" i="42"/>
  <c r="U153" i="42"/>
  <c r="T153" i="42"/>
  <c r="S153" i="42"/>
  <c r="O153" i="42"/>
  <c r="AU152" i="42"/>
  <c r="AT152" i="42"/>
  <c r="AS152" i="42"/>
  <c r="AR152" i="42"/>
  <c r="AQ152" i="42"/>
  <c r="AP152" i="42"/>
  <c r="AO152" i="42"/>
  <c r="AN152" i="42"/>
  <c r="AM152" i="42"/>
  <c r="AL152" i="42"/>
  <c r="AK152" i="42"/>
  <c r="AJ152" i="42"/>
  <c r="AI152" i="42"/>
  <c r="AH152" i="42"/>
  <c r="AG152" i="42"/>
  <c r="AF152" i="42"/>
  <c r="AE152" i="42"/>
  <c r="AD152" i="42"/>
  <c r="AC152" i="42"/>
  <c r="AB152" i="42"/>
  <c r="AA152" i="42"/>
  <c r="Z152" i="42"/>
  <c r="Y152" i="42"/>
  <c r="X152" i="42"/>
  <c r="W152" i="42"/>
  <c r="V152" i="42"/>
  <c r="U152" i="42"/>
  <c r="T152" i="42"/>
  <c r="S152" i="42"/>
  <c r="O152" i="42"/>
  <c r="AU151" i="42"/>
  <c r="AT151" i="42"/>
  <c r="AS151" i="42"/>
  <c r="AR151" i="42"/>
  <c r="AQ151" i="42"/>
  <c r="AP151" i="42"/>
  <c r="AO151" i="42"/>
  <c r="AN151" i="42"/>
  <c r="AM151" i="42"/>
  <c r="AL151" i="42"/>
  <c r="AK151" i="42"/>
  <c r="AJ151" i="42"/>
  <c r="AI151" i="42"/>
  <c r="AH151" i="42"/>
  <c r="AG151" i="42"/>
  <c r="AF151" i="42"/>
  <c r="AE151" i="42"/>
  <c r="AD151" i="42"/>
  <c r="AC151" i="42"/>
  <c r="AB151" i="42"/>
  <c r="AA151" i="42"/>
  <c r="Z151" i="42"/>
  <c r="Y151" i="42"/>
  <c r="X151" i="42"/>
  <c r="W151" i="42"/>
  <c r="V151" i="42"/>
  <c r="U151" i="42"/>
  <c r="T151" i="42"/>
  <c r="S151" i="42"/>
  <c r="O151" i="42"/>
  <c r="AU150" i="42"/>
  <c r="AT150" i="42"/>
  <c r="AS150" i="42"/>
  <c r="AR150" i="42"/>
  <c r="AQ150" i="42"/>
  <c r="AP150" i="42"/>
  <c r="AO150" i="42"/>
  <c r="AN150" i="42"/>
  <c r="AM150" i="42"/>
  <c r="AL150" i="42"/>
  <c r="AK150" i="42"/>
  <c r="AJ150" i="42"/>
  <c r="AI150" i="42"/>
  <c r="AH150" i="42"/>
  <c r="AG150" i="42"/>
  <c r="AF150" i="42"/>
  <c r="AE150" i="42"/>
  <c r="AD150" i="42"/>
  <c r="AC150" i="42"/>
  <c r="AB150" i="42"/>
  <c r="AA150" i="42"/>
  <c r="Z150" i="42"/>
  <c r="Y150" i="42"/>
  <c r="X150" i="42"/>
  <c r="W150" i="42"/>
  <c r="V150" i="42"/>
  <c r="U150" i="42"/>
  <c r="T150" i="42"/>
  <c r="S150" i="42"/>
  <c r="O150" i="42"/>
  <c r="E150" i="42"/>
  <c r="K150" i="42" s="1"/>
  <c r="D150" i="42"/>
  <c r="J150" i="42" s="1"/>
  <c r="R150" i="42" s="1"/>
  <c r="AX148" i="42"/>
  <c r="AW148" i="42"/>
  <c r="AV148" i="42"/>
  <c r="AU135" i="42"/>
  <c r="AT135" i="42"/>
  <c r="AS135" i="42"/>
  <c r="AR135" i="42"/>
  <c r="AQ135" i="42"/>
  <c r="AP135" i="42"/>
  <c r="AO135" i="42"/>
  <c r="AN135" i="42"/>
  <c r="AM135" i="42"/>
  <c r="AL135" i="42"/>
  <c r="AK135" i="42"/>
  <c r="AJ135" i="42"/>
  <c r="AI135" i="42"/>
  <c r="AH135" i="42"/>
  <c r="AG135" i="42"/>
  <c r="AF135" i="42"/>
  <c r="AE135" i="42"/>
  <c r="AD135" i="42"/>
  <c r="AC135" i="42"/>
  <c r="AB135" i="42"/>
  <c r="AA135" i="42"/>
  <c r="Z135" i="42"/>
  <c r="Y135" i="42"/>
  <c r="X135" i="42"/>
  <c r="W135" i="42"/>
  <c r="V135" i="42"/>
  <c r="U135" i="42"/>
  <c r="T135" i="42"/>
  <c r="S135" i="42"/>
  <c r="O135" i="42"/>
  <c r="G135" i="42"/>
  <c r="D135" i="42"/>
  <c r="F135" i="42" s="1"/>
  <c r="AU134" i="42"/>
  <c r="AT134" i="42"/>
  <c r="AS134" i="42"/>
  <c r="AR134" i="42"/>
  <c r="AQ134" i="42"/>
  <c r="AP134" i="42"/>
  <c r="AO134" i="42"/>
  <c r="AN134" i="42"/>
  <c r="AM134" i="42"/>
  <c r="AL134" i="42"/>
  <c r="AK134" i="42"/>
  <c r="AJ134" i="42"/>
  <c r="AI134" i="42"/>
  <c r="AH134" i="42"/>
  <c r="AG134" i="42"/>
  <c r="AF134" i="42"/>
  <c r="AE134" i="42"/>
  <c r="AD134" i="42"/>
  <c r="AC134" i="42"/>
  <c r="AB134" i="42"/>
  <c r="AA134" i="42"/>
  <c r="Z134" i="42"/>
  <c r="Y134" i="42"/>
  <c r="X134" i="42"/>
  <c r="W134" i="42"/>
  <c r="V134" i="42"/>
  <c r="U134" i="42"/>
  <c r="T134" i="42"/>
  <c r="S134" i="42"/>
  <c r="O134" i="42"/>
  <c r="AU133" i="42"/>
  <c r="AT133" i="42"/>
  <c r="AS133" i="42"/>
  <c r="AR133" i="42"/>
  <c r="AQ133" i="42"/>
  <c r="AP133" i="42"/>
  <c r="AO133" i="42"/>
  <c r="AN133" i="42"/>
  <c r="AM133" i="42"/>
  <c r="AL133" i="42"/>
  <c r="AK133" i="42"/>
  <c r="AJ133" i="42"/>
  <c r="AI133" i="42"/>
  <c r="AH133" i="42"/>
  <c r="AG133" i="42"/>
  <c r="AF133" i="42"/>
  <c r="AE133" i="42"/>
  <c r="AD133" i="42"/>
  <c r="AC133" i="42"/>
  <c r="AB133" i="42"/>
  <c r="AA133" i="42"/>
  <c r="Z133" i="42"/>
  <c r="Y133" i="42"/>
  <c r="X133" i="42"/>
  <c r="W133" i="42"/>
  <c r="V133" i="42"/>
  <c r="U133" i="42"/>
  <c r="T133" i="42"/>
  <c r="S133" i="42"/>
  <c r="R133" i="42"/>
  <c r="O133" i="42"/>
  <c r="B133" i="42"/>
  <c r="AU132" i="42"/>
  <c r="AT132" i="42"/>
  <c r="AS132" i="42"/>
  <c r="AR132" i="42"/>
  <c r="AQ132" i="42"/>
  <c r="AP132" i="42"/>
  <c r="AO132" i="42"/>
  <c r="AN132" i="42"/>
  <c r="AM132" i="42"/>
  <c r="AL132" i="42"/>
  <c r="AK132" i="42"/>
  <c r="AJ132" i="42"/>
  <c r="AI132" i="42"/>
  <c r="AH132" i="42"/>
  <c r="AG132" i="42"/>
  <c r="AF132" i="42"/>
  <c r="AE132" i="42"/>
  <c r="AD132" i="42"/>
  <c r="AC132" i="42"/>
  <c r="AB132" i="42"/>
  <c r="AA132" i="42"/>
  <c r="Z132" i="42"/>
  <c r="Y132" i="42"/>
  <c r="X132" i="42"/>
  <c r="W132" i="42"/>
  <c r="V132" i="42"/>
  <c r="U132" i="42"/>
  <c r="T132" i="42"/>
  <c r="S132" i="42"/>
  <c r="O132" i="42"/>
  <c r="K132" i="42"/>
  <c r="J132" i="42"/>
  <c r="R132" i="42" s="1"/>
  <c r="H132" i="42"/>
  <c r="F132" i="42"/>
  <c r="AU131" i="42"/>
  <c r="AT131" i="42"/>
  <c r="AS131" i="42"/>
  <c r="AR131" i="42"/>
  <c r="AQ131" i="42"/>
  <c r="AP131" i="42"/>
  <c r="AO131" i="42"/>
  <c r="AN131" i="42"/>
  <c r="AM131" i="42"/>
  <c r="AL131" i="42"/>
  <c r="AK131" i="42"/>
  <c r="AJ131" i="42"/>
  <c r="AI131" i="42"/>
  <c r="AH131" i="42"/>
  <c r="AG131" i="42"/>
  <c r="AF131" i="42"/>
  <c r="AE131" i="42"/>
  <c r="AD131" i="42"/>
  <c r="AC131" i="42"/>
  <c r="AB131" i="42"/>
  <c r="AA131" i="42"/>
  <c r="Z131" i="42"/>
  <c r="Y131" i="42"/>
  <c r="X131" i="42"/>
  <c r="W131" i="42"/>
  <c r="V131" i="42"/>
  <c r="U131" i="42"/>
  <c r="T131" i="42"/>
  <c r="S131" i="42"/>
  <c r="R131" i="42"/>
  <c r="O131" i="42"/>
  <c r="K131" i="42"/>
  <c r="J131" i="42"/>
  <c r="H131" i="42"/>
  <c r="F131" i="42"/>
  <c r="L131" i="42" s="1"/>
  <c r="AU130" i="42"/>
  <c r="AT130" i="42"/>
  <c r="AS130" i="42"/>
  <c r="AR130" i="42"/>
  <c r="AQ130" i="42"/>
  <c r="AP130" i="42"/>
  <c r="AO130" i="42"/>
  <c r="AN130" i="42"/>
  <c r="AM130" i="42"/>
  <c r="AL130" i="42"/>
  <c r="AK130" i="42"/>
  <c r="AJ130" i="42"/>
  <c r="AI130" i="42"/>
  <c r="AH130" i="42"/>
  <c r="AG130" i="42"/>
  <c r="AF130" i="42"/>
  <c r="AE130" i="42"/>
  <c r="AD130" i="42"/>
  <c r="AC130" i="42"/>
  <c r="AB130" i="42"/>
  <c r="AA130" i="42"/>
  <c r="Z130" i="42"/>
  <c r="Y130" i="42"/>
  <c r="X130" i="42"/>
  <c r="W130" i="42"/>
  <c r="V130" i="42"/>
  <c r="U130" i="42"/>
  <c r="T130" i="42"/>
  <c r="S130" i="42"/>
  <c r="O130" i="42"/>
  <c r="AU129" i="42"/>
  <c r="AT129" i="42"/>
  <c r="AS129" i="42"/>
  <c r="AR129" i="42"/>
  <c r="AQ129" i="42"/>
  <c r="AP129" i="42"/>
  <c r="AO129" i="42"/>
  <c r="AN129" i="42"/>
  <c r="AM129" i="42"/>
  <c r="AL129" i="42"/>
  <c r="AK129" i="42"/>
  <c r="AJ129" i="42"/>
  <c r="AI129" i="42"/>
  <c r="AH129" i="42"/>
  <c r="AG129" i="42"/>
  <c r="AF129" i="42"/>
  <c r="AE129" i="42"/>
  <c r="AD129" i="42"/>
  <c r="AC129" i="42"/>
  <c r="AB129" i="42"/>
  <c r="AA129" i="42"/>
  <c r="Z129" i="42"/>
  <c r="Y129" i="42"/>
  <c r="X129" i="42"/>
  <c r="W129" i="42"/>
  <c r="V129" i="42"/>
  <c r="U129" i="42"/>
  <c r="T129" i="42"/>
  <c r="S129" i="42"/>
  <c r="O129" i="42"/>
  <c r="E129" i="42"/>
  <c r="K129" i="42" s="1"/>
  <c r="D129" i="42"/>
  <c r="J129" i="42" s="1"/>
  <c r="R129" i="42" s="1"/>
  <c r="AU128" i="42"/>
  <c r="AT128" i="42"/>
  <c r="AS128" i="42"/>
  <c r="AR128" i="42"/>
  <c r="AQ128" i="42"/>
  <c r="AP128" i="42"/>
  <c r="AO128" i="42"/>
  <c r="AN128" i="42"/>
  <c r="AM128" i="42"/>
  <c r="AL128" i="42"/>
  <c r="AK128" i="42"/>
  <c r="AJ128" i="42"/>
  <c r="AI128" i="42"/>
  <c r="AH128" i="42"/>
  <c r="AG128" i="42"/>
  <c r="AF128" i="42"/>
  <c r="AE128" i="42"/>
  <c r="AD128" i="42"/>
  <c r="AC128" i="42"/>
  <c r="AB128" i="42"/>
  <c r="AA128" i="42"/>
  <c r="Z128" i="42"/>
  <c r="Y128" i="42"/>
  <c r="X128" i="42"/>
  <c r="W128" i="42"/>
  <c r="V128" i="42"/>
  <c r="U128" i="42"/>
  <c r="T128" i="42"/>
  <c r="S128" i="42"/>
  <c r="O128" i="42"/>
  <c r="AU127" i="42"/>
  <c r="AT127" i="42"/>
  <c r="AS127" i="42"/>
  <c r="AR127" i="42"/>
  <c r="AQ127" i="42"/>
  <c r="AP127" i="42"/>
  <c r="AO127" i="42"/>
  <c r="AN127" i="42"/>
  <c r="AM127" i="42"/>
  <c r="AL127" i="42"/>
  <c r="AK127" i="42"/>
  <c r="AJ127" i="42"/>
  <c r="AI127" i="42"/>
  <c r="AH127" i="42"/>
  <c r="AG127" i="42"/>
  <c r="AF127" i="42"/>
  <c r="AE127" i="42"/>
  <c r="AD127" i="42"/>
  <c r="AC127" i="42"/>
  <c r="AB127" i="42"/>
  <c r="AA127" i="42"/>
  <c r="Z127" i="42"/>
  <c r="Y127" i="42"/>
  <c r="X127" i="42"/>
  <c r="W127" i="42"/>
  <c r="V127" i="42"/>
  <c r="U127" i="42"/>
  <c r="T127" i="42"/>
  <c r="S127" i="42"/>
  <c r="O127" i="42"/>
  <c r="AU126" i="42"/>
  <c r="AT126" i="42"/>
  <c r="AS126" i="42"/>
  <c r="AR126" i="42"/>
  <c r="AQ126" i="42"/>
  <c r="AP126" i="42"/>
  <c r="AO126" i="42"/>
  <c r="AN126" i="42"/>
  <c r="AM126" i="42"/>
  <c r="AL126" i="42"/>
  <c r="AK126" i="42"/>
  <c r="AJ126" i="42"/>
  <c r="AI126" i="42"/>
  <c r="AH126" i="42"/>
  <c r="AG126" i="42"/>
  <c r="AF126" i="42"/>
  <c r="AE126" i="42"/>
  <c r="AD126" i="42"/>
  <c r="AC126" i="42"/>
  <c r="AB126" i="42"/>
  <c r="AA126" i="42"/>
  <c r="Z126" i="42"/>
  <c r="Y126" i="42"/>
  <c r="X126" i="42"/>
  <c r="W126" i="42"/>
  <c r="V126" i="42"/>
  <c r="U126" i="42"/>
  <c r="T126" i="42"/>
  <c r="S126" i="42"/>
  <c r="O126" i="42"/>
  <c r="AU125" i="42"/>
  <c r="AT125" i="42"/>
  <c r="AS125" i="42"/>
  <c r="AR125" i="42"/>
  <c r="AQ125" i="42"/>
  <c r="AP125" i="42"/>
  <c r="AO125" i="42"/>
  <c r="AN125" i="42"/>
  <c r="AM125" i="42"/>
  <c r="AL125" i="42"/>
  <c r="AK125" i="42"/>
  <c r="AJ125" i="42"/>
  <c r="AI125" i="42"/>
  <c r="AH125" i="42"/>
  <c r="AG125" i="42"/>
  <c r="AF125" i="42"/>
  <c r="AE125" i="42"/>
  <c r="AD125" i="42"/>
  <c r="AC125" i="42"/>
  <c r="AB125" i="42"/>
  <c r="AA125" i="42"/>
  <c r="Z125" i="42"/>
  <c r="Y125" i="42"/>
  <c r="X125" i="42"/>
  <c r="W125" i="42"/>
  <c r="V125" i="42"/>
  <c r="U125" i="42"/>
  <c r="T125" i="42"/>
  <c r="S125" i="42"/>
  <c r="O125" i="42"/>
  <c r="AU124" i="42"/>
  <c r="AT124" i="42"/>
  <c r="AS124" i="42"/>
  <c r="AR124" i="42"/>
  <c r="AQ124" i="42"/>
  <c r="AP124" i="42"/>
  <c r="AO124" i="42"/>
  <c r="AN124" i="42"/>
  <c r="AM124" i="42"/>
  <c r="AL124" i="42"/>
  <c r="AK124" i="42"/>
  <c r="AJ124" i="42"/>
  <c r="AI124" i="42"/>
  <c r="AH124" i="42"/>
  <c r="AG124" i="42"/>
  <c r="AF124" i="42"/>
  <c r="AE124" i="42"/>
  <c r="AD124" i="42"/>
  <c r="AC124" i="42"/>
  <c r="AB124" i="42"/>
  <c r="AA124" i="42"/>
  <c r="Z124" i="42"/>
  <c r="Y124" i="42"/>
  <c r="X124" i="42"/>
  <c r="W124" i="42"/>
  <c r="V124" i="42"/>
  <c r="U124" i="42"/>
  <c r="T124" i="42"/>
  <c r="S124" i="42"/>
  <c r="O124" i="42"/>
  <c r="J124" i="42"/>
  <c r="R124" i="42" s="1"/>
  <c r="H124" i="42"/>
  <c r="AU123" i="42"/>
  <c r="AT123" i="42"/>
  <c r="AS123" i="42"/>
  <c r="AR123" i="42"/>
  <c r="AQ123" i="42"/>
  <c r="AP123" i="42"/>
  <c r="AO123" i="42"/>
  <c r="AN123" i="42"/>
  <c r="AM123" i="42"/>
  <c r="AL123" i="42"/>
  <c r="AK123" i="42"/>
  <c r="AJ123" i="42"/>
  <c r="AI123" i="42"/>
  <c r="AH123" i="42"/>
  <c r="AG123" i="42"/>
  <c r="AF123" i="42"/>
  <c r="AE123" i="42"/>
  <c r="AD123" i="42"/>
  <c r="AC123" i="42"/>
  <c r="AB123" i="42"/>
  <c r="AA123" i="42"/>
  <c r="Z123" i="42"/>
  <c r="Y123" i="42"/>
  <c r="X123" i="42"/>
  <c r="W123" i="42"/>
  <c r="V123" i="42"/>
  <c r="U123" i="42"/>
  <c r="T123" i="42"/>
  <c r="S123" i="42"/>
  <c r="O123" i="42"/>
  <c r="J123" i="42"/>
  <c r="R123" i="42" s="1"/>
  <c r="H123" i="42"/>
  <c r="AU122" i="42"/>
  <c r="AT122" i="42"/>
  <c r="AS122" i="42"/>
  <c r="AR122" i="42"/>
  <c r="AQ122" i="42"/>
  <c r="AP122" i="42"/>
  <c r="AO122" i="42"/>
  <c r="AN122" i="42"/>
  <c r="AM122" i="42"/>
  <c r="AL122" i="42"/>
  <c r="AK122" i="42"/>
  <c r="AJ122" i="42"/>
  <c r="AI122" i="42"/>
  <c r="AH122" i="42"/>
  <c r="AG122" i="42"/>
  <c r="AF122" i="42"/>
  <c r="AE122" i="42"/>
  <c r="AD122" i="42"/>
  <c r="AC122" i="42"/>
  <c r="AB122" i="42"/>
  <c r="AA122" i="42"/>
  <c r="Z122" i="42"/>
  <c r="Y122" i="42"/>
  <c r="X122" i="42"/>
  <c r="W122" i="42"/>
  <c r="V122" i="42"/>
  <c r="U122" i="42"/>
  <c r="T122" i="42"/>
  <c r="S122" i="42"/>
  <c r="O122" i="42"/>
  <c r="J122" i="42"/>
  <c r="R122" i="42" s="1"/>
  <c r="H122" i="42"/>
  <c r="AU121" i="42"/>
  <c r="AT121" i="42"/>
  <c r="AS121" i="42"/>
  <c r="AR121" i="42"/>
  <c r="AQ121" i="42"/>
  <c r="AP121" i="42"/>
  <c r="AO121" i="42"/>
  <c r="AN121" i="42"/>
  <c r="AM121" i="42"/>
  <c r="AL121" i="42"/>
  <c r="AK121" i="42"/>
  <c r="AJ121" i="42"/>
  <c r="AI121" i="42"/>
  <c r="AH121" i="42"/>
  <c r="AG121" i="42"/>
  <c r="AF121" i="42"/>
  <c r="AE121" i="42"/>
  <c r="AD121" i="42"/>
  <c r="AC121" i="42"/>
  <c r="AB121" i="42"/>
  <c r="AA121" i="42"/>
  <c r="Z121" i="42"/>
  <c r="Y121" i="42"/>
  <c r="X121" i="42"/>
  <c r="W121" i="42"/>
  <c r="V121" i="42"/>
  <c r="U121" i="42"/>
  <c r="T121" i="42"/>
  <c r="S121" i="42"/>
  <c r="O121" i="42"/>
  <c r="J121" i="42"/>
  <c r="R121" i="42" s="1"/>
  <c r="H121" i="42"/>
  <c r="AU120" i="42"/>
  <c r="AT120" i="42"/>
  <c r="AS120" i="42"/>
  <c r="AR120" i="42"/>
  <c r="AQ120" i="42"/>
  <c r="AP120" i="42"/>
  <c r="AO120" i="42"/>
  <c r="AN120" i="42"/>
  <c r="AM120" i="42"/>
  <c r="AL120" i="42"/>
  <c r="AK120" i="42"/>
  <c r="AJ120" i="42"/>
  <c r="AI120" i="42"/>
  <c r="AH120" i="42"/>
  <c r="AG120" i="42"/>
  <c r="AF120" i="42"/>
  <c r="AE120" i="42"/>
  <c r="AD120" i="42"/>
  <c r="AC120" i="42"/>
  <c r="AB120" i="42"/>
  <c r="AA120" i="42"/>
  <c r="Z120" i="42"/>
  <c r="Y120" i="42"/>
  <c r="X120" i="42"/>
  <c r="W120" i="42"/>
  <c r="V120" i="42"/>
  <c r="U120" i="42"/>
  <c r="T120" i="42"/>
  <c r="S120" i="42"/>
  <c r="O120" i="42"/>
  <c r="J120" i="42"/>
  <c r="R120" i="42" s="1"/>
  <c r="H120" i="42"/>
  <c r="E120" i="42"/>
  <c r="F120" i="42" s="1"/>
  <c r="AU119" i="42"/>
  <c r="AT119" i="42"/>
  <c r="AS119" i="42"/>
  <c r="AR119" i="42"/>
  <c r="AQ119" i="42"/>
  <c r="AP119" i="42"/>
  <c r="AO119" i="42"/>
  <c r="AN119" i="42"/>
  <c r="AM119" i="42"/>
  <c r="AL119" i="42"/>
  <c r="AK119" i="42"/>
  <c r="AJ119" i="42"/>
  <c r="AI119" i="42"/>
  <c r="AH119" i="42"/>
  <c r="AG119" i="42"/>
  <c r="AF119" i="42"/>
  <c r="AE119" i="42"/>
  <c r="AD119" i="42"/>
  <c r="AC119" i="42"/>
  <c r="AB119" i="42"/>
  <c r="AA119" i="42"/>
  <c r="Z119" i="42"/>
  <c r="Y119" i="42"/>
  <c r="X119" i="42"/>
  <c r="W119" i="42"/>
  <c r="V119" i="42"/>
  <c r="U119" i="42"/>
  <c r="T119" i="42"/>
  <c r="S119" i="42"/>
  <c r="O119" i="42"/>
  <c r="J119" i="42"/>
  <c r="R119" i="42" s="1"/>
  <c r="H119" i="42"/>
  <c r="E119" i="42"/>
  <c r="K119" i="42" s="1"/>
  <c r="AU118" i="42"/>
  <c r="AT118" i="42"/>
  <c r="AS118" i="42"/>
  <c r="AR118" i="42"/>
  <c r="AQ118" i="42"/>
  <c r="AP118" i="42"/>
  <c r="AO118" i="42"/>
  <c r="AN118" i="42"/>
  <c r="AM118" i="42"/>
  <c r="AL118" i="42"/>
  <c r="AK118" i="42"/>
  <c r="AJ118" i="42"/>
  <c r="AI118" i="42"/>
  <c r="AH118" i="42"/>
  <c r="AG118" i="42"/>
  <c r="AF118" i="42"/>
  <c r="AE118" i="42"/>
  <c r="AD118" i="42"/>
  <c r="AC118" i="42"/>
  <c r="AB118" i="42"/>
  <c r="AA118" i="42"/>
  <c r="Z118" i="42"/>
  <c r="Y118" i="42"/>
  <c r="X118" i="42"/>
  <c r="W118" i="42"/>
  <c r="V118" i="42"/>
  <c r="U118" i="42"/>
  <c r="T118" i="42"/>
  <c r="S118" i="42"/>
  <c r="O118" i="42"/>
  <c r="AU117" i="42"/>
  <c r="AT117" i="42"/>
  <c r="AS117" i="42"/>
  <c r="AR117" i="42"/>
  <c r="AQ117" i="42"/>
  <c r="AP117" i="42"/>
  <c r="AO117" i="42"/>
  <c r="AN117" i="42"/>
  <c r="AM117" i="42"/>
  <c r="AL117" i="42"/>
  <c r="AK117" i="42"/>
  <c r="AJ117" i="42"/>
  <c r="AI117" i="42"/>
  <c r="AH117" i="42"/>
  <c r="AG117" i="42"/>
  <c r="AF117" i="42"/>
  <c r="AE117" i="42"/>
  <c r="AD117" i="42"/>
  <c r="AC117" i="42"/>
  <c r="AB117" i="42"/>
  <c r="AA117" i="42"/>
  <c r="Z117" i="42"/>
  <c r="Y117" i="42"/>
  <c r="X117" i="42"/>
  <c r="W117" i="42"/>
  <c r="V117" i="42"/>
  <c r="U117" i="42"/>
  <c r="T117" i="42"/>
  <c r="S117" i="42"/>
  <c r="O117" i="42"/>
  <c r="AU116" i="42"/>
  <c r="AT116" i="42"/>
  <c r="AS116" i="42"/>
  <c r="AR116" i="42"/>
  <c r="AQ116" i="42"/>
  <c r="AP116" i="42"/>
  <c r="AO116" i="42"/>
  <c r="AN116" i="42"/>
  <c r="AM116" i="42"/>
  <c r="AL116" i="42"/>
  <c r="AK116" i="42"/>
  <c r="AJ116" i="42"/>
  <c r="AI116" i="42"/>
  <c r="AH116" i="42"/>
  <c r="AG116" i="42"/>
  <c r="AF116" i="42"/>
  <c r="AE116" i="42"/>
  <c r="AD116" i="42"/>
  <c r="AC116" i="42"/>
  <c r="AB116" i="42"/>
  <c r="AA116" i="42"/>
  <c r="Z116" i="42"/>
  <c r="Y116" i="42"/>
  <c r="X116" i="42"/>
  <c r="W116" i="42"/>
  <c r="V116" i="42"/>
  <c r="U116" i="42"/>
  <c r="T116" i="42"/>
  <c r="S116" i="42"/>
  <c r="O116" i="42"/>
  <c r="AU115" i="42"/>
  <c r="AT115" i="42"/>
  <c r="AS115" i="42"/>
  <c r="AR115" i="42"/>
  <c r="AQ115" i="42"/>
  <c r="AP115" i="42"/>
  <c r="AO115" i="42"/>
  <c r="AN115" i="42"/>
  <c r="AM115" i="42"/>
  <c r="AL115" i="42"/>
  <c r="AK115" i="42"/>
  <c r="AJ115" i="42"/>
  <c r="AI115" i="42"/>
  <c r="AH115" i="42"/>
  <c r="AG115" i="42"/>
  <c r="AF115" i="42"/>
  <c r="AE115" i="42"/>
  <c r="AD115" i="42"/>
  <c r="AC115" i="42"/>
  <c r="AB115" i="42"/>
  <c r="AA115" i="42"/>
  <c r="Z115" i="42"/>
  <c r="Y115" i="42"/>
  <c r="X115" i="42"/>
  <c r="W115" i="42"/>
  <c r="V115" i="42"/>
  <c r="U115" i="42"/>
  <c r="T115" i="42"/>
  <c r="S115" i="42"/>
  <c r="O115" i="42"/>
  <c r="AU114" i="42"/>
  <c r="AT114" i="42"/>
  <c r="AS114" i="42"/>
  <c r="AR114" i="42"/>
  <c r="AQ114" i="42"/>
  <c r="AP114" i="42"/>
  <c r="AO114" i="42"/>
  <c r="AN114" i="42"/>
  <c r="AM114" i="42"/>
  <c r="AL114" i="42"/>
  <c r="AK114" i="42"/>
  <c r="AJ114" i="42"/>
  <c r="AI114" i="42"/>
  <c r="AH114" i="42"/>
  <c r="AG114" i="42"/>
  <c r="AF114" i="42"/>
  <c r="AE114" i="42"/>
  <c r="AD114" i="42"/>
  <c r="AC114" i="42"/>
  <c r="AB114" i="42"/>
  <c r="AA114" i="42"/>
  <c r="Z114" i="42"/>
  <c r="Y114" i="42"/>
  <c r="X114" i="42"/>
  <c r="W114" i="42"/>
  <c r="V114" i="42"/>
  <c r="U114" i="42"/>
  <c r="T114" i="42"/>
  <c r="S114" i="42"/>
  <c r="O114" i="42"/>
  <c r="E114" i="42"/>
  <c r="K114" i="42" s="1"/>
  <c r="D114" i="42"/>
  <c r="AU113" i="42"/>
  <c r="AT113" i="42"/>
  <c r="AS113" i="42"/>
  <c r="AR113" i="42"/>
  <c r="AQ113" i="42"/>
  <c r="AP113" i="42"/>
  <c r="AO113" i="42"/>
  <c r="AN113" i="42"/>
  <c r="AM113" i="42"/>
  <c r="AL113" i="42"/>
  <c r="AK113" i="42"/>
  <c r="AJ113" i="42"/>
  <c r="AI113" i="42"/>
  <c r="AH113" i="42"/>
  <c r="AG113" i="42"/>
  <c r="AF113" i="42"/>
  <c r="AE113" i="42"/>
  <c r="AD113" i="42"/>
  <c r="AC113" i="42"/>
  <c r="AB113" i="42"/>
  <c r="AA113" i="42"/>
  <c r="Z113" i="42"/>
  <c r="Y113" i="42"/>
  <c r="X113" i="42"/>
  <c r="W113" i="42"/>
  <c r="V113" i="42"/>
  <c r="U113" i="42"/>
  <c r="T113" i="42"/>
  <c r="S113" i="42"/>
  <c r="O113" i="42"/>
  <c r="D113" i="42"/>
  <c r="J113" i="42" s="1"/>
  <c r="R113" i="42" s="1"/>
  <c r="AU112" i="42"/>
  <c r="AT112" i="42"/>
  <c r="AS112" i="42"/>
  <c r="AR112" i="42"/>
  <c r="AQ112" i="42"/>
  <c r="AP112" i="42"/>
  <c r="AO112" i="42"/>
  <c r="AN112" i="42"/>
  <c r="AM112" i="42"/>
  <c r="AL112" i="42"/>
  <c r="AK112" i="42"/>
  <c r="AJ112" i="42"/>
  <c r="AI112" i="42"/>
  <c r="AH112" i="42"/>
  <c r="AG112" i="42"/>
  <c r="AF112" i="42"/>
  <c r="AE112" i="42"/>
  <c r="AD112" i="42"/>
  <c r="AC112" i="42"/>
  <c r="AB112" i="42"/>
  <c r="AA112" i="42"/>
  <c r="Z112" i="42"/>
  <c r="Y112" i="42"/>
  <c r="X112" i="42"/>
  <c r="W112" i="42"/>
  <c r="V112" i="42"/>
  <c r="U112" i="42"/>
  <c r="T112" i="42"/>
  <c r="S112" i="42"/>
  <c r="O112" i="42"/>
  <c r="J112" i="42"/>
  <c r="R112" i="42" s="1"/>
  <c r="H112" i="42"/>
  <c r="AU111" i="42"/>
  <c r="AT111" i="42"/>
  <c r="AS111" i="42"/>
  <c r="AR111" i="42"/>
  <c r="AQ111" i="42"/>
  <c r="AP111" i="42"/>
  <c r="AO111" i="42"/>
  <c r="AN111" i="42"/>
  <c r="AM111" i="42"/>
  <c r="AL111" i="42"/>
  <c r="AK111" i="42"/>
  <c r="AJ111" i="42"/>
  <c r="AI111" i="42"/>
  <c r="AH111" i="42"/>
  <c r="AG111" i="42"/>
  <c r="AF111" i="42"/>
  <c r="AE111" i="42"/>
  <c r="AD111" i="42"/>
  <c r="AC111" i="42"/>
  <c r="AB111" i="42"/>
  <c r="AA111" i="42"/>
  <c r="Z111" i="42"/>
  <c r="Y111" i="42"/>
  <c r="X111" i="42"/>
  <c r="W111" i="42"/>
  <c r="V111" i="42"/>
  <c r="U111" i="42"/>
  <c r="T111" i="42"/>
  <c r="S111" i="42"/>
  <c r="O111" i="42"/>
  <c r="J111" i="42"/>
  <c r="R111" i="42" s="1"/>
  <c r="H111" i="42"/>
  <c r="E111" i="42"/>
  <c r="F111" i="42" s="1"/>
  <c r="AU110" i="42"/>
  <c r="AT110" i="42"/>
  <c r="AS110" i="42"/>
  <c r="AR110" i="42"/>
  <c r="AQ110" i="42"/>
  <c r="AP110" i="42"/>
  <c r="AO110" i="42"/>
  <c r="AN110" i="42"/>
  <c r="AM110" i="42"/>
  <c r="AL110" i="42"/>
  <c r="AK110" i="42"/>
  <c r="AJ110" i="42"/>
  <c r="AI110" i="42"/>
  <c r="AH110" i="42"/>
  <c r="AG110" i="42"/>
  <c r="AF110" i="42"/>
  <c r="AE110" i="42"/>
  <c r="AD110" i="42"/>
  <c r="AC110" i="42"/>
  <c r="AB110" i="42"/>
  <c r="AA110" i="42"/>
  <c r="Z110" i="42"/>
  <c r="Y110" i="42"/>
  <c r="X110" i="42"/>
  <c r="W110" i="42"/>
  <c r="V110" i="42"/>
  <c r="U110" i="42"/>
  <c r="T110" i="42"/>
  <c r="S110" i="42"/>
  <c r="O110" i="42"/>
  <c r="J110" i="42"/>
  <c r="R110" i="42" s="1"/>
  <c r="H110" i="42"/>
  <c r="E110" i="42"/>
  <c r="AU109" i="42"/>
  <c r="AT109" i="42"/>
  <c r="AS109" i="42"/>
  <c r="AR109" i="42"/>
  <c r="AQ109" i="42"/>
  <c r="AP109" i="42"/>
  <c r="AO109" i="42"/>
  <c r="AN109" i="42"/>
  <c r="AM109" i="42"/>
  <c r="AL109" i="42"/>
  <c r="AK109" i="42"/>
  <c r="AJ109" i="42"/>
  <c r="AI109" i="42"/>
  <c r="AH109" i="42"/>
  <c r="AG109" i="42"/>
  <c r="AF109" i="42"/>
  <c r="AE109" i="42"/>
  <c r="AD109" i="42"/>
  <c r="AC109" i="42"/>
  <c r="AB109" i="42"/>
  <c r="AA109" i="42"/>
  <c r="Z109" i="42"/>
  <c r="Y109" i="42"/>
  <c r="X109" i="42"/>
  <c r="W109" i="42"/>
  <c r="V109" i="42"/>
  <c r="U109" i="42"/>
  <c r="T109" i="42"/>
  <c r="S109" i="42"/>
  <c r="R109" i="42"/>
  <c r="O109" i="42"/>
  <c r="J109" i="42"/>
  <c r="H109" i="42"/>
  <c r="E109" i="42"/>
  <c r="K109" i="42" s="1"/>
  <c r="AU108" i="42"/>
  <c r="AT108" i="42"/>
  <c r="AS108" i="42"/>
  <c r="AR108" i="42"/>
  <c r="AQ108" i="42"/>
  <c r="AP108" i="42"/>
  <c r="AO108" i="42"/>
  <c r="AN108" i="42"/>
  <c r="AM108" i="42"/>
  <c r="AL108" i="42"/>
  <c r="AK108" i="42"/>
  <c r="AJ108" i="42"/>
  <c r="AI108" i="42"/>
  <c r="AH108" i="42"/>
  <c r="AG108" i="42"/>
  <c r="AF108" i="42"/>
  <c r="AE108" i="42"/>
  <c r="AD108" i="42"/>
  <c r="AC108" i="42"/>
  <c r="AB108" i="42"/>
  <c r="AA108" i="42"/>
  <c r="Z108" i="42"/>
  <c r="Y108" i="42"/>
  <c r="X108" i="42"/>
  <c r="W108" i="42"/>
  <c r="V108" i="42"/>
  <c r="U108" i="42"/>
  <c r="T108" i="42"/>
  <c r="S108" i="42"/>
  <c r="O108" i="42"/>
  <c r="J108" i="42"/>
  <c r="R108" i="42" s="1"/>
  <c r="H108" i="42"/>
  <c r="AU107" i="42"/>
  <c r="AT107" i="42"/>
  <c r="AS107" i="42"/>
  <c r="AR107" i="42"/>
  <c r="AQ107" i="42"/>
  <c r="AP107" i="42"/>
  <c r="AO107" i="42"/>
  <c r="AN107" i="42"/>
  <c r="AM107" i="42"/>
  <c r="AL107" i="42"/>
  <c r="AK107" i="42"/>
  <c r="AJ107" i="42"/>
  <c r="AI107" i="42"/>
  <c r="AH107" i="42"/>
  <c r="AG107" i="42"/>
  <c r="AF107" i="42"/>
  <c r="AE107" i="42"/>
  <c r="AD107" i="42"/>
  <c r="AC107" i="42"/>
  <c r="AB107" i="42"/>
  <c r="AA107" i="42"/>
  <c r="Z107" i="42"/>
  <c r="Y107" i="42"/>
  <c r="X107" i="42"/>
  <c r="W107" i="42"/>
  <c r="V107" i="42"/>
  <c r="U107" i="42"/>
  <c r="T107" i="42"/>
  <c r="S107" i="42"/>
  <c r="O107" i="42"/>
  <c r="AU106" i="42"/>
  <c r="AT106" i="42"/>
  <c r="AS106" i="42"/>
  <c r="AR106" i="42"/>
  <c r="AQ106" i="42"/>
  <c r="AP106" i="42"/>
  <c r="AO106" i="42"/>
  <c r="AN106" i="42"/>
  <c r="AM106" i="42"/>
  <c r="AL106" i="42"/>
  <c r="AK106" i="42"/>
  <c r="AJ106" i="42"/>
  <c r="AI106" i="42"/>
  <c r="AH106" i="42"/>
  <c r="AG106" i="42"/>
  <c r="AF106" i="42"/>
  <c r="AE106" i="42"/>
  <c r="AD106" i="42"/>
  <c r="AC106" i="42"/>
  <c r="AB106" i="42"/>
  <c r="AA106" i="42"/>
  <c r="Z106" i="42"/>
  <c r="Y106" i="42"/>
  <c r="X106" i="42"/>
  <c r="W106" i="42"/>
  <c r="V106" i="42"/>
  <c r="U106" i="42"/>
  <c r="T106" i="42"/>
  <c r="S106" i="42"/>
  <c r="O106" i="42"/>
  <c r="AU105" i="42"/>
  <c r="AT105" i="42"/>
  <c r="AS105" i="42"/>
  <c r="AR105" i="42"/>
  <c r="AQ105" i="42"/>
  <c r="AP105" i="42"/>
  <c r="AO105" i="42"/>
  <c r="AN105" i="42"/>
  <c r="AM105" i="42"/>
  <c r="AL105" i="42"/>
  <c r="AK105" i="42"/>
  <c r="AJ105" i="42"/>
  <c r="AI105" i="42"/>
  <c r="AH105" i="42"/>
  <c r="AG105" i="42"/>
  <c r="AF105" i="42"/>
  <c r="AE105" i="42"/>
  <c r="AD105" i="42"/>
  <c r="AC105" i="42"/>
  <c r="AB105" i="42"/>
  <c r="AA105" i="42"/>
  <c r="Z105" i="42"/>
  <c r="Y105" i="42"/>
  <c r="X105" i="42"/>
  <c r="W105" i="42"/>
  <c r="V105" i="42"/>
  <c r="U105" i="42"/>
  <c r="T105" i="42"/>
  <c r="S105" i="42"/>
  <c r="O105" i="42"/>
  <c r="AU104" i="42"/>
  <c r="AT104" i="42"/>
  <c r="AS104" i="42"/>
  <c r="AR104" i="42"/>
  <c r="AQ104" i="42"/>
  <c r="AP104" i="42"/>
  <c r="AO104" i="42"/>
  <c r="AN104" i="42"/>
  <c r="AM104" i="42"/>
  <c r="AL104" i="42"/>
  <c r="AK104" i="42"/>
  <c r="AJ104" i="42"/>
  <c r="AI104" i="42"/>
  <c r="AH104" i="42"/>
  <c r="AG104" i="42"/>
  <c r="AF104" i="42"/>
  <c r="AE104" i="42"/>
  <c r="AD104" i="42"/>
  <c r="AC104" i="42"/>
  <c r="AB104" i="42"/>
  <c r="AA104" i="42"/>
  <c r="Z104" i="42"/>
  <c r="Y104" i="42"/>
  <c r="X104" i="42"/>
  <c r="W104" i="42"/>
  <c r="V104" i="42"/>
  <c r="U104" i="42"/>
  <c r="T104" i="42"/>
  <c r="S104" i="42"/>
  <c r="O104" i="42"/>
  <c r="AU103" i="42"/>
  <c r="AT103" i="42"/>
  <c r="AS103" i="42"/>
  <c r="AR103" i="42"/>
  <c r="AQ103" i="42"/>
  <c r="AP103" i="42"/>
  <c r="AO103" i="42"/>
  <c r="AN103" i="42"/>
  <c r="AM103" i="42"/>
  <c r="AL103" i="42"/>
  <c r="AK103" i="42"/>
  <c r="AJ103" i="42"/>
  <c r="AI103" i="42"/>
  <c r="AH103" i="42"/>
  <c r="AG103" i="42"/>
  <c r="AF103" i="42"/>
  <c r="AE103" i="42"/>
  <c r="AD103" i="42"/>
  <c r="AC103" i="42"/>
  <c r="AB103" i="42"/>
  <c r="AA103" i="42"/>
  <c r="Z103" i="42"/>
  <c r="Y103" i="42"/>
  <c r="X103" i="42"/>
  <c r="W103" i="42"/>
  <c r="V103" i="42"/>
  <c r="U103" i="42"/>
  <c r="T103" i="42"/>
  <c r="S103" i="42"/>
  <c r="O103" i="42"/>
  <c r="AU102" i="42"/>
  <c r="AT102" i="42"/>
  <c r="AS102" i="42"/>
  <c r="AR102" i="42"/>
  <c r="AQ102" i="42"/>
  <c r="AP102" i="42"/>
  <c r="AO102" i="42"/>
  <c r="AN102" i="42"/>
  <c r="AM102" i="42"/>
  <c r="AL102" i="42"/>
  <c r="AK102" i="42"/>
  <c r="AJ102" i="42"/>
  <c r="AI102" i="42"/>
  <c r="AH102" i="42"/>
  <c r="AG102" i="42"/>
  <c r="AF102" i="42"/>
  <c r="AE102" i="42"/>
  <c r="AD102" i="42"/>
  <c r="AC102" i="42"/>
  <c r="AB102" i="42"/>
  <c r="AA102" i="42"/>
  <c r="Z102" i="42"/>
  <c r="Y102" i="42"/>
  <c r="X102" i="42"/>
  <c r="W102" i="42"/>
  <c r="V102" i="42"/>
  <c r="U102" i="42"/>
  <c r="T102" i="42"/>
  <c r="S102" i="42"/>
  <c r="O102" i="42"/>
  <c r="AU101" i="42"/>
  <c r="AT101" i="42"/>
  <c r="AS101" i="42"/>
  <c r="AR101" i="42"/>
  <c r="AQ101" i="42"/>
  <c r="AP101" i="42"/>
  <c r="AO101" i="42"/>
  <c r="AN101" i="42"/>
  <c r="AM101" i="42"/>
  <c r="AL101" i="42"/>
  <c r="AK101" i="42"/>
  <c r="AJ101" i="42"/>
  <c r="AI101" i="42"/>
  <c r="AH101" i="42"/>
  <c r="AG101" i="42"/>
  <c r="AF101" i="42"/>
  <c r="AE101" i="42"/>
  <c r="AD101" i="42"/>
  <c r="AC101" i="42"/>
  <c r="AB101" i="42"/>
  <c r="AA101" i="42"/>
  <c r="Z101" i="42"/>
  <c r="Y101" i="42"/>
  <c r="X101" i="42"/>
  <c r="W101" i="42"/>
  <c r="V101" i="42"/>
  <c r="U101" i="42"/>
  <c r="T101" i="42"/>
  <c r="S101" i="42"/>
  <c r="O101" i="42"/>
  <c r="AU100" i="42"/>
  <c r="AT100" i="42"/>
  <c r="AS100" i="42"/>
  <c r="AR100" i="42"/>
  <c r="AQ100" i="42"/>
  <c r="AP100" i="42"/>
  <c r="AO100" i="42"/>
  <c r="AN100" i="42"/>
  <c r="AM100" i="42"/>
  <c r="AL100" i="42"/>
  <c r="AK100" i="42"/>
  <c r="AJ100" i="42"/>
  <c r="AI100" i="42"/>
  <c r="AH100" i="42"/>
  <c r="AG100" i="42"/>
  <c r="AF100" i="42"/>
  <c r="AE100" i="42"/>
  <c r="AD100" i="42"/>
  <c r="AC100" i="42"/>
  <c r="AB100" i="42"/>
  <c r="AA100" i="42"/>
  <c r="Z100" i="42"/>
  <c r="Y100" i="42"/>
  <c r="X100" i="42"/>
  <c r="W100" i="42"/>
  <c r="V100" i="42"/>
  <c r="U100" i="42"/>
  <c r="T100" i="42"/>
  <c r="S100" i="42"/>
  <c r="O100" i="42"/>
  <c r="AU99" i="42"/>
  <c r="AT99" i="42"/>
  <c r="AS99" i="42"/>
  <c r="AR99" i="42"/>
  <c r="AQ99" i="42"/>
  <c r="AP99" i="42"/>
  <c r="AO99" i="42"/>
  <c r="AN99" i="42"/>
  <c r="AM99" i="42"/>
  <c r="AL99" i="42"/>
  <c r="AK99" i="42"/>
  <c r="AJ99" i="42"/>
  <c r="AI99" i="42"/>
  <c r="AH99" i="42"/>
  <c r="AG99" i="42"/>
  <c r="AF99" i="42"/>
  <c r="AE99" i="42"/>
  <c r="AD99" i="42"/>
  <c r="AC99" i="42"/>
  <c r="AB99" i="42"/>
  <c r="AA99" i="42"/>
  <c r="Z99" i="42"/>
  <c r="Y99" i="42"/>
  <c r="X99" i="42"/>
  <c r="W99" i="42"/>
  <c r="V99" i="42"/>
  <c r="U99" i="42"/>
  <c r="T99" i="42"/>
  <c r="S99" i="42"/>
  <c r="O99" i="42"/>
  <c r="AU98" i="42"/>
  <c r="AT98" i="42"/>
  <c r="AS98" i="42"/>
  <c r="AR98" i="42"/>
  <c r="AQ98" i="42"/>
  <c r="AP98" i="42"/>
  <c r="AO98" i="42"/>
  <c r="AN98" i="42"/>
  <c r="AM98" i="42"/>
  <c r="AL98" i="42"/>
  <c r="AK98" i="42"/>
  <c r="AJ98" i="42"/>
  <c r="AI98" i="42"/>
  <c r="AH98" i="42"/>
  <c r="AG98" i="42"/>
  <c r="AF98" i="42"/>
  <c r="AE98" i="42"/>
  <c r="AD98" i="42"/>
  <c r="AC98" i="42"/>
  <c r="AB98" i="42"/>
  <c r="AA98" i="42"/>
  <c r="Z98" i="42"/>
  <c r="Y98" i="42"/>
  <c r="X98" i="42"/>
  <c r="W98" i="42"/>
  <c r="V98" i="42"/>
  <c r="U98" i="42"/>
  <c r="T98" i="42"/>
  <c r="S98" i="42"/>
  <c r="O98" i="42"/>
  <c r="J98" i="42"/>
  <c r="R98" i="42" s="1"/>
  <c r="H98" i="42"/>
  <c r="AU97" i="42"/>
  <c r="AT97" i="42"/>
  <c r="AS97" i="42"/>
  <c r="AR97" i="42"/>
  <c r="AQ97" i="42"/>
  <c r="AP97" i="42"/>
  <c r="AO97" i="42"/>
  <c r="AN97" i="42"/>
  <c r="AM97" i="42"/>
  <c r="AL97" i="42"/>
  <c r="AK97" i="42"/>
  <c r="AJ97" i="42"/>
  <c r="AI97" i="42"/>
  <c r="AH97" i="42"/>
  <c r="AG97" i="42"/>
  <c r="AF97" i="42"/>
  <c r="AE97" i="42"/>
  <c r="AD97" i="42"/>
  <c r="AC97" i="42"/>
  <c r="AB97" i="42"/>
  <c r="AA97" i="42"/>
  <c r="Z97" i="42"/>
  <c r="Y97" i="42"/>
  <c r="X97" i="42"/>
  <c r="W97" i="42"/>
  <c r="V97" i="42"/>
  <c r="U97" i="42"/>
  <c r="T97" i="42"/>
  <c r="S97" i="42"/>
  <c r="O97" i="42"/>
  <c r="J97" i="42"/>
  <c r="H97" i="42"/>
  <c r="AU96" i="42"/>
  <c r="AT96" i="42"/>
  <c r="AS96" i="42"/>
  <c r="AR96" i="42"/>
  <c r="AQ96" i="42"/>
  <c r="AP96" i="42"/>
  <c r="AO96" i="42"/>
  <c r="AN96" i="42"/>
  <c r="AM96" i="42"/>
  <c r="AL96" i="42"/>
  <c r="AK96" i="42"/>
  <c r="AJ96" i="42"/>
  <c r="AI96" i="42"/>
  <c r="AH96" i="42"/>
  <c r="AG96" i="42"/>
  <c r="AF96" i="42"/>
  <c r="AE96" i="42"/>
  <c r="AD96" i="42"/>
  <c r="AC96" i="42"/>
  <c r="AB96" i="42"/>
  <c r="AA96" i="42"/>
  <c r="Z96" i="42"/>
  <c r="Y96" i="42"/>
  <c r="X96" i="42"/>
  <c r="W96" i="42"/>
  <c r="V96" i="42"/>
  <c r="U96" i="42"/>
  <c r="T96" i="42"/>
  <c r="S96" i="42"/>
  <c r="O96" i="42"/>
  <c r="J96" i="42"/>
  <c r="R96" i="42" s="1"/>
  <c r="H96" i="42"/>
  <c r="E96" i="42"/>
  <c r="F96" i="42" s="1"/>
  <c r="AX94" i="42"/>
  <c r="AW94" i="42"/>
  <c r="AV94" i="42"/>
  <c r="AV8" i="41" s="1"/>
  <c r="AU90" i="42"/>
  <c r="AT90" i="42"/>
  <c r="AS90" i="42"/>
  <c r="AR90" i="42"/>
  <c r="AQ90" i="42"/>
  <c r="AP90" i="42"/>
  <c r="AO90" i="42"/>
  <c r="AN90" i="42"/>
  <c r="AM90" i="42"/>
  <c r="AL90" i="42"/>
  <c r="AK90" i="42"/>
  <c r="AJ90" i="42"/>
  <c r="AI90" i="42"/>
  <c r="AH90" i="42"/>
  <c r="AG90" i="42"/>
  <c r="AF90" i="42"/>
  <c r="AE90" i="42"/>
  <c r="AD90" i="42"/>
  <c r="AC90" i="42"/>
  <c r="AB90" i="42"/>
  <c r="AA90" i="42"/>
  <c r="Z90" i="42"/>
  <c r="Y90" i="42"/>
  <c r="X90" i="42"/>
  <c r="W90" i="42"/>
  <c r="V90" i="42"/>
  <c r="U90" i="42"/>
  <c r="T90" i="42"/>
  <c r="S90" i="42"/>
  <c r="O90" i="42"/>
  <c r="AU89" i="42"/>
  <c r="AT89" i="42"/>
  <c r="AS89" i="42"/>
  <c r="AR89" i="42"/>
  <c r="AQ89" i="42"/>
  <c r="AP89" i="42"/>
  <c r="AO89" i="42"/>
  <c r="AN89" i="42"/>
  <c r="AM89" i="42"/>
  <c r="AL89" i="42"/>
  <c r="AK89" i="42"/>
  <c r="AJ89" i="42"/>
  <c r="AI89" i="42"/>
  <c r="AH89" i="42"/>
  <c r="AG89" i="42"/>
  <c r="AF89" i="42"/>
  <c r="AE89" i="42"/>
  <c r="AD89" i="42"/>
  <c r="AC89" i="42"/>
  <c r="AB89" i="42"/>
  <c r="AA89" i="42"/>
  <c r="Z89" i="42"/>
  <c r="Y89" i="42"/>
  <c r="X89" i="42"/>
  <c r="W89" i="42"/>
  <c r="V89" i="42"/>
  <c r="U89" i="42"/>
  <c r="T89" i="42"/>
  <c r="S89" i="42"/>
  <c r="O89" i="42"/>
  <c r="AU88" i="42"/>
  <c r="AT88" i="42"/>
  <c r="AS88" i="42"/>
  <c r="AR88" i="42"/>
  <c r="AQ88" i="42"/>
  <c r="AP88" i="42"/>
  <c r="AO88" i="42"/>
  <c r="AN88" i="42"/>
  <c r="AM88" i="42"/>
  <c r="AL88" i="42"/>
  <c r="AK88" i="42"/>
  <c r="AJ88" i="42"/>
  <c r="AI88" i="42"/>
  <c r="AH88" i="42"/>
  <c r="AG88" i="42"/>
  <c r="AF88" i="42"/>
  <c r="AE88" i="42"/>
  <c r="AD88" i="42"/>
  <c r="AC88" i="42"/>
  <c r="AB88" i="42"/>
  <c r="AA88" i="42"/>
  <c r="Z88" i="42"/>
  <c r="Y88" i="42"/>
  <c r="X88" i="42"/>
  <c r="W88" i="42"/>
  <c r="V88" i="42"/>
  <c r="U88" i="42"/>
  <c r="T88" i="42"/>
  <c r="S88" i="42"/>
  <c r="R88" i="42"/>
  <c r="O88" i="42"/>
  <c r="B88" i="42"/>
  <c r="AU87" i="42"/>
  <c r="AT87" i="42"/>
  <c r="AS87" i="42"/>
  <c r="AR87" i="42"/>
  <c r="AQ87" i="42"/>
  <c r="AP87" i="42"/>
  <c r="AO87" i="42"/>
  <c r="AN87" i="42"/>
  <c r="AM87" i="42"/>
  <c r="AL87" i="42"/>
  <c r="AK87" i="42"/>
  <c r="AJ87" i="42"/>
  <c r="AI87" i="42"/>
  <c r="AH87" i="42"/>
  <c r="AG87" i="42"/>
  <c r="AF87" i="42"/>
  <c r="AE87" i="42"/>
  <c r="AD87" i="42"/>
  <c r="AC87" i="42"/>
  <c r="AB87" i="42"/>
  <c r="AA87" i="42"/>
  <c r="Z87" i="42"/>
  <c r="Y87" i="42"/>
  <c r="X87" i="42"/>
  <c r="W87" i="42"/>
  <c r="V87" i="42"/>
  <c r="U87" i="42"/>
  <c r="T87" i="42"/>
  <c r="S87" i="42"/>
  <c r="O87" i="42"/>
  <c r="E87" i="42"/>
  <c r="K87" i="42" s="1"/>
  <c r="AU86" i="42"/>
  <c r="AT86" i="42"/>
  <c r="AS86" i="42"/>
  <c r="AR86" i="42"/>
  <c r="AQ86" i="42"/>
  <c r="AP86" i="42"/>
  <c r="AO86" i="42"/>
  <c r="AN86" i="42"/>
  <c r="AM86" i="42"/>
  <c r="AL86" i="42"/>
  <c r="AK86" i="42"/>
  <c r="AJ86" i="42"/>
  <c r="AI86" i="42"/>
  <c r="AH86" i="42"/>
  <c r="AG86" i="42"/>
  <c r="AF86" i="42"/>
  <c r="AE86" i="42"/>
  <c r="AD86" i="42"/>
  <c r="AC86" i="42"/>
  <c r="AB86" i="42"/>
  <c r="AA86" i="42"/>
  <c r="Z86" i="42"/>
  <c r="Y86" i="42"/>
  <c r="X86" i="42"/>
  <c r="W86" i="42"/>
  <c r="V86" i="42"/>
  <c r="U86" i="42"/>
  <c r="T86" i="42"/>
  <c r="S86" i="42"/>
  <c r="O86" i="42"/>
  <c r="E86" i="42"/>
  <c r="K86" i="42" s="1"/>
  <c r="D86" i="42"/>
  <c r="J86" i="42" s="1"/>
  <c r="R86" i="42" s="1"/>
  <c r="AU85" i="42"/>
  <c r="AT85" i="42"/>
  <c r="AS85" i="42"/>
  <c r="AR85" i="42"/>
  <c r="AQ85" i="42"/>
  <c r="AP85" i="42"/>
  <c r="AO85" i="42"/>
  <c r="AN85" i="42"/>
  <c r="AM85" i="42"/>
  <c r="AL85" i="42"/>
  <c r="AK85" i="42"/>
  <c r="AJ85" i="42"/>
  <c r="AI85" i="42"/>
  <c r="AH85" i="42"/>
  <c r="AG85" i="42"/>
  <c r="AF85" i="42"/>
  <c r="AE85" i="42"/>
  <c r="AD85" i="42"/>
  <c r="AC85" i="42"/>
  <c r="AB85" i="42"/>
  <c r="AA85" i="42"/>
  <c r="Z85" i="42"/>
  <c r="Y85" i="42"/>
  <c r="X85" i="42"/>
  <c r="W85" i="42"/>
  <c r="V85" i="42"/>
  <c r="U85" i="42"/>
  <c r="T85" i="42"/>
  <c r="S85" i="42"/>
  <c r="O85" i="42"/>
  <c r="J85" i="42"/>
  <c r="R85" i="42" s="1"/>
  <c r="H85" i="42"/>
  <c r="E85" i="42"/>
  <c r="K85" i="42" s="1"/>
  <c r="AU84" i="42"/>
  <c r="AT84" i="42"/>
  <c r="AS84" i="42"/>
  <c r="AR84" i="42"/>
  <c r="AQ84" i="42"/>
  <c r="AP84" i="42"/>
  <c r="AO84" i="42"/>
  <c r="AN84" i="42"/>
  <c r="AM84" i="42"/>
  <c r="AL84" i="42"/>
  <c r="AK84" i="42"/>
  <c r="AJ84" i="42"/>
  <c r="AI84" i="42"/>
  <c r="AH84" i="42"/>
  <c r="AG84" i="42"/>
  <c r="AF84" i="42"/>
  <c r="AE84" i="42"/>
  <c r="AD84" i="42"/>
  <c r="AC84" i="42"/>
  <c r="AB84" i="42"/>
  <c r="AA84" i="42"/>
  <c r="Z84" i="42"/>
  <c r="Y84" i="42"/>
  <c r="X84" i="42"/>
  <c r="W84" i="42"/>
  <c r="V84" i="42"/>
  <c r="U84" i="42"/>
  <c r="T84" i="42"/>
  <c r="S84" i="42"/>
  <c r="O84" i="42"/>
  <c r="AU83" i="42"/>
  <c r="AT83" i="42"/>
  <c r="AS83" i="42"/>
  <c r="AR83" i="42"/>
  <c r="AQ83" i="42"/>
  <c r="AP83" i="42"/>
  <c r="AO83" i="42"/>
  <c r="AN83" i="42"/>
  <c r="AM83" i="42"/>
  <c r="AL83" i="42"/>
  <c r="AK83" i="42"/>
  <c r="AJ83" i="42"/>
  <c r="AI83" i="42"/>
  <c r="AH83" i="42"/>
  <c r="AG83" i="42"/>
  <c r="AF83" i="42"/>
  <c r="AE83" i="42"/>
  <c r="AD83" i="42"/>
  <c r="AC83" i="42"/>
  <c r="AB83" i="42"/>
  <c r="AA83" i="42"/>
  <c r="Z83" i="42"/>
  <c r="Y83" i="42"/>
  <c r="X83" i="42"/>
  <c r="W83" i="42"/>
  <c r="V83" i="42"/>
  <c r="U83" i="42"/>
  <c r="T83" i="42"/>
  <c r="S83" i="42"/>
  <c r="O83" i="42"/>
  <c r="AU82" i="42"/>
  <c r="AT82" i="42"/>
  <c r="AS82" i="42"/>
  <c r="AR82" i="42"/>
  <c r="AQ82" i="42"/>
  <c r="AP82" i="42"/>
  <c r="AO82" i="42"/>
  <c r="AN82" i="42"/>
  <c r="AM82" i="42"/>
  <c r="AL82" i="42"/>
  <c r="AK82" i="42"/>
  <c r="AJ82" i="42"/>
  <c r="AI82" i="42"/>
  <c r="AH82" i="42"/>
  <c r="AG82" i="42"/>
  <c r="AF82" i="42"/>
  <c r="AE82" i="42"/>
  <c r="AD82" i="42"/>
  <c r="AC82" i="42"/>
  <c r="AB82" i="42"/>
  <c r="AA82" i="42"/>
  <c r="Z82" i="42"/>
  <c r="Y82" i="42"/>
  <c r="X82" i="42"/>
  <c r="W82" i="42"/>
  <c r="V82" i="42"/>
  <c r="U82" i="42"/>
  <c r="T82" i="42"/>
  <c r="S82" i="42"/>
  <c r="O82" i="42"/>
  <c r="E82" i="42"/>
  <c r="K82" i="42" s="1"/>
  <c r="D82" i="42"/>
  <c r="J82" i="42" s="1"/>
  <c r="R82" i="42" s="1"/>
  <c r="AU81" i="42"/>
  <c r="AT81" i="42"/>
  <c r="AS81" i="42"/>
  <c r="AR81" i="42"/>
  <c r="AQ81" i="42"/>
  <c r="AP81" i="42"/>
  <c r="AO81" i="42"/>
  <c r="AN81" i="42"/>
  <c r="AM81" i="42"/>
  <c r="AL81" i="42"/>
  <c r="AK81" i="42"/>
  <c r="AJ81" i="42"/>
  <c r="AI81" i="42"/>
  <c r="AH81" i="42"/>
  <c r="AG81" i="42"/>
  <c r="AF81" i="42"/>
  <c r="AE81" i="42"/>
  <c r="AD81" i="42"/>
  <c r="AC81" i="42"/>
  <c r="AB81" i="42"/>
  <c r="AA81" i="42"/>
  <c r="Z81" i="42"/>
  <c r="Y81" i="42"/>
  <c r="X81" i="42"/>
  <c r="W81" i="42"/>
  <c r="V81" i="42"/>
  <c r="U81" i="42"/>
  <c r="T81" i="42"/>
  <c r="S81" i="42"/>
  <c r="O81" i="42"/>
  <c r="H81" i="42"/>
  <c r="E81" i="42"/>
  <c r="K81" i="42" s="1"/>
  <c r="D81" i="42"/>
  <c r="J81" i="42" s="1"/>
  <c r="R81" i="42" s="1"/>
  <c r="AU80" i="42"/>
  <c r="AT80" i="42"/>
  <c r="AS80" i="42"/>
  <c r="AR80" i="42"/>
  <c r="AQ80" i="42"/>
  <c r="AP80" i="42"/>
  <c r="AO80" i="42"/>
  <c r="AN80" i="42"/>
  <c r="AM80" i="42"/>
  <c r="AL80" i="42"/>
  <c r="AK80" i="42"/>
  <c r="AJ80" i="42"/>
  <c r="AI80" i="42"/>
  <c r="AH80" i="42"/>
  <c r="AG80" i="42"/>
  <c r="AF80" i="42"/>
  <c r="AE80" i="42"/>
  <c r="AD80" i="42"/>
  <c r="AC80" i="42"/>
  <c r="AB80" i="42"/>
  <c r="AA80" i="42"/>
  <c r="Z80" i="42"/>
  <c r="Y80" i="42"/>
  <c r="X80" i="42"/>
  <c r="W80" i="42"/>
  <c r="V80" i="42"/>
  <c r="U80" i="42"/>
  <c r="T80" i="42"/>
  <c r="S80" i="42"/>
  <c r="O80" i="42"/>
  <c r="J80" i="42"/>
  <c r="R80" i="42" s="1"/>
  <c r="H80" i="42"/>
  <c r="E80" i="42"/>
  <c r="F80" i="42" s="1"/>
  <c r="L80" i="42" s="1"/>
  <c r="AU79" i="42"/>
  <c r="AT79" i="42"/>
  <c r="AS79" i="42"/>
  <c r="AR79" i="42"/>
  <c r="AQ79" i="42"/>
  <c r="AP79" i="42"/>
  <c r="AO79" i="42"/>
  <c r="AN79" i="42"/>
  <c r="AM79" i="42"/>
  <c r="AL79" i="42"/>
  <c r="AK79" i="42"/>
  <c r="AJ79" i="42"/>
  <c r="AI79" i="42"/>
  <c r="AH79" i="42"/>
  <c r="AG79" i="42"/>
  <c r="AF79" i="42"/>
  <c r="AE79" i="42"/>
  <c r="AD79" i="42"/>
  <c r="AC79" i="42"/>
  <c r="AB79" i="42"/>
  <c r="AA79" i="42"/>
  <c r="Z79" i="42"/>
  <c r="Y79" i="42"/>
  <c r="X79" i="42"/>
  <c r="W79" i="42"/>
  <c r="V79" i="42"/>
  <c r="U79" i="42"/>
  <c r="T79" i="42"/>
  <c r="S79" i="42"/>
  <c r="O79" i="42"/>
  <c r="AU78" i="42"/>
  <c r="AT78" i="42"/>
  <c r="AS78" i="42"/>
  <c r="AR78" i="42"/>
  <c r="AQ78" i="42"/>
  <c r="AP78" i="42"/>
  <c r="AO78" i="42"/>
  <c r="AN78" i="42"/>
  <c r="AM78" i="42"/>
  <c r="AL78" i="42"/>
  <c r="AK78" i="42"/>
  <c r="AJ78" i="42"/>
  <c r="AI78" i="42"/>
  <c r="AH78" i="42"/>
  <c r="AG78" i="42"/>
  <c r="AF78" i="42"/>
  <c r="AE78" i="42"/>
  <c r="AD78" i="42"/>
  <c r="AC78" i="42"/>
  <c r="AB78" i="42"/>
  <c r="AA78" i="42"/>
  <c r="Z78" i="42"/>
  <c r="Y78" i="42"/>
  <c r="X78" i="42"/>
  <c r="W78" i="42"/>
  <c r="V78" i="42"/>
  <c r="U78" i="42"/>
  <c r="T78" i="42"/>
  <c r="S78" i="42"/>
  <c r="O78" i="42"/>
  <c r="AU77" i="42"/>
  <c r="AT77" i="42"/>
  <c r="AS77" i="42"/>
  <c r="AR77" i="42"/>
  <c r="AQ77" i="42"/>
  <c r="AP77" i="42"/>
  <c r="AO77" i="42"/>
  <c r="AN77" i="42"/>
  <c r="AM77" i="42"/>
  <c r="AL77" i="42"/>
  <c r="AK77" i="42"/>
  <c r="AJ77" i="42"/>
  <c r="AI77" i="42"/>
  <c r="AH77" i="42"/>
  <c r="AG77" i="42"/>
  <c r="AF77" i="42"/>
  <c r="AE77" i="42"/>
  <c r="AD77" i="42"/>
  <c r="AC77" i="42"/>
  <c r="AB77" i="42"/>
  <c r="AA77" i="42"/>
  <c r="Z77" i="42"/>
  <c r="Y77" i="42"/>
  <c r="X77" i="42"/>
  <c r="W77" i="42"/>
  <c r="V77" i="42"/>
  <c r="U77" i="42"/>
  <c r="T77" i="42"/>
  <c r="S77" i="42"/>
  <c r="O77" i="42"/>
  <c r="AU76" i="42"/>
  <c r="AT76" i="42"/>
  <c r="AS76" i="42"/>
  <c r="AR76" i="42"/>
  <c r="AQ76" i="42"/>
  <c r="AP76" i="42"/>
  <c r="AO76" i="42"/>
  <c r="AN76" i="42"/>
  <c r="AM76" i="42"/>
  <c r="AL76" i="42"/>
  <c r="AK76" i="42"/>
  <c r="AJ76" i="42"/>
  <c r="AI76" i="42"/>
  <c r="AH76" i="42"/>
  <c r="AG76" i="42"/>
  <c r="AF76" i="42"/>
  <c r="AE76" i="42"/>
  <c r="AD76" i="42"/>
  <c r="AC76" i="42"/>
  <c r="AB76" i="42"/>
  <c r="AA76" i="42"/>
  <c r="Z76" i="42"/>
  <c r="Y76" i="42"/>
  <c r="X76" i="42"/>
  <c r="W76" i="42"/>
  <c r="V76" i="42"/>
  <c r="U76" i="42"/>
  <c r="T76" i="42"/>
  <c r="S76" i="42"/>
  <c r="O76" i="42"/>
  <c r="AU75" i="42"/>
  <c r="AT75" i="42"/>
  <c r="AS75" i="42"/>
  <c r="AR75" i="42"/>
  <c r="AQ75" i="42"/>
  <c r="AP75" i="42"/>
  <c r="AO75" i="42"/>
  <c r="AN75" i="42"/>
  <c r="AM75" i="42"/>
  <c r="AL75" i="42"/>
  <c r="AK75" i="42"/>
  <c r="AJ75" i="42"/>
  <c r="AI75" i="42"/>
  <c r="AH75" i="42"/>
  <c r="AG75" i="42"/>
  <c r="AF75" i="42"/>
  <c r="AE75" i="42"/>
  <c r="AD75" i="42"/>
  <c r="AC75" i="42"/>
  <c r="AB75" i="42"/>
  <c r="AA75" i="42"/>
  <c r="Z75" i="42"/>
  <c r="Y75" i="42"/>
  <c r="X75" i="42"/>
  <c r="W75" i="42"/>
  <c r="V75" i="42"/>
  <c r="U75" i="42"/>
  <c r="T75" i="42"/>
  <c r="S75" i="42"/>
  <c r="O75" i="42"/>
  <c r="E75" i="42"/>
  <c r="K75" i="42" s="1"/>
  <c r="D75" i="42"/>
  <c r="H75" i="42" s="1"/>
  <c r="AU74" i="42"/>
  <c r="AT74" i="42"/>
  <c r="AS74" i="42"/>
  <c r="AR74" i="42"/>
  <c r="AQ74" i="42"/>
  <c r="AP74" i="42"/>
  <c r="AO74" i="42"/>
  <c r="AN74" i="42"/>
  <c r="AM74" i="42"/>
  <c r="AL74" i="42"/>
  <c r="AK74" i="42"/>
  <c r="AJ74" i="42"/>
  <c r="AI74" i="42"/>
  <c r="AH74" i="42"/>
  <c r="AG74" i="42"/>
  <c r="AF74" i="42"/>
  <c r="AE74" i="42"/>
  <c r="AD74" i="42"/>
  <c r="AC74" i="42"/>
  <c r="AB74" i="42"/>
  <c r="AA74" i="42"/>
  <c r="Z74" i="42"/>
  <c r="Y74" i="42"/>
  <c r="X74" i="42"/>
  <c r="W74" i="42"/>
  <c r="V74" i="42"/>
  <c r="U74" i="42"/>
  <c r="T74" i="42"/>
  <c r="S74" i="42"/>
  <c r="O74" i="42"/>
  <c r="E74" i="42"/>
  <c r="K74" i="42" s="1"/>
  <c r="AU73" i="42"/>
  <c r="AT73" i="42"/>
  <c r="AS73" i="42"/>
  <c r="AR73" i="42"/>
  <c r="AQ73" i="42"/>
  <c r="AP73" i="42"/>
  <c r="AO73" i="42"/>
  <c r="AN73" i="42"/>
  <c r="AM73" i="42"/>
  <c r="AL73" i="42"/>
  <c r="AK73" i="42"/>
  <c r="AJ73" i="42"/>
  <c r="AI73" i="42"/>
  <c r="AH73" i="42"/>
  <c r="AG73" i="42"/>
  <c r="AF73" i="42"/>
  <c r="AE73" i="42"/>
  <c r="AD73" i="42"/>
  <c r="AC73" i="42"/>
  <c r="AB73" i="42"/>
  <c r="AA73" i="42"/>
  <c r="Z73" i="42"/>
  <c r="Y73" i="42"/>
  <c r="X73" i="42"/>
  <c r="W73" i="42"/>
  <c r="V73" i="42"/>
  <c r="U73" i="42"/>
  <c r="T73" i="42"/>
  <c r="S73" i="42"/>
  <c r="O73" i="42"/>
  <c r="AU72" i="42"/>
  <c r="AT72" i="42"/>
  <c r="AS72" i="42"/>
  <c r="AR72" i="42"/>
  <c r="AQ72" i="42"/>
  <c r="AP72" i="42"/>
  <c r="AO72" i="42"/>
  <c r="AN72" i="42"/>
  <c r="AM72" i="42"/>
  <c r="AL72" i="42"/>
  <c r="AK72" i="42"/>
  <c r="AJ72" i="42"/>
  <c r="AI72" i="42"/>
  <c r="AH72" i="42"/>
  <c r="AG72" i="42"/>
  <c r="AF72" i="42"/>
  <c r="AE72" i="42"/>
  <c r="AD72" i="42"/>
  <c r="AC72" i="42"/>
  <c r="AB72" i="42"/>
  <c r="AA72" i="42"/>
  <c r="Z72" i="42"/>
  <c r="Y72" i="42"/>
  <c r="X72" i="42"/>
  <c r="W72" i="42"/>
  <c r="V72" i="42"/>
  <c r="U72" i="42"/>
  <c r="T72" i="42"/>
  <c r="S72" i="42"/>
  <c r="O72" i="42"/>
  <c r="D72" i="42"/>
  <c r="AU71" i="42"/>
  <c r="AT71" i="42"/>
  <c r="AS71" i="42"/>
  <c r="AR71" i="42"/>
  <c r="AQ71" i="42"/>
  <c r="AP71" i="42"/>
  <c r="AO71" i="42"/>
  <c r="AN71" i="42"/>
  <c r="AM71" i="42"/>
  <c r="AL71" i="42"/>
  <c r="AK71" i="42"/>
  <c r="AJ71" i="42"/>
  <c r="AI71" i="42"/>
  <c r="AH71" i="42"/>
  <c r="AG71" i="42"/>
  <c r="AF71" i="42"/>
  <c r="AE71" i="42"/>
  <c r="AD71" i="42"/>
  <c r="AC71" i="42"/>
  <c r="AB71" i="42"/>
  <c r="AA71" i="42"/>
  <c r="Z71" i="42"/>
  <c r="Y71" i="42"/>
  <c r="X71" i="42"/>
  <c r="W71" i="42"/>
  <c r="V71" i="42"/>
  <c r="U71" i="42"/>
  <c r="T71" i="42"/>
  <c r="S71" i="42"/>
  <c r="O71" i="42"/>
  <c r="J71" i="42"/>
  <c r="R71" i="42" s="1"/>
  <c r="H71" i="42"/>
  <c r="E71" i="42"/>
  <c r="K71" i="42" s="1"/>
  <c r="AU70" i="42"/>
  <c r="AT70" i="42"/>
  <c r="AS70" i="42"/>
  <c r="AR70" i="42"/>
  <c r="AQ70" i="42"/>
  <c r="AP70" i="42"/>
  <c r="AO70" i="42"/>
  <c r="AN70" i="42"/>
  <c r="AM70" i="42"/>
  <c r="AL70" i="42"/>
  <c r="AK70" i="42"/>
  <c r="AJ70" i="42"/>
  <c r="AI70" i="42"/>
  <c r="AH70" i="42"/>
  <c r="AG70" i="42"/>
  <c r="AF70" i="42"/>
  <c r="AE70" i="42"/>
  <c r="AD70" i="42"/>
  <c r="AC70" i="42"/>
  <c r="AB70" i="42"/>
  <c r="AA70" i="42"/>
  <c r="Z70" i="42"/>
  <c r="Y70" i="42"/>
  <c r="X70" i="42"/>
  <c r="W70" i="42"/>
  <c r="V70" i="42"/>
  <c r="U70" i="42"/>
  <c r="T70" i="42"/>
  <c r="S70" i="42"/>
  <c r="O70" i="42"/>
  <c r="AU69" i="42"/>
  <c r="AT69" i="42"/>
  <c r="AS69" i="42"/>
  <c r="AR69" i="42"/>
  <c r="AQ69" i="42"/>
  <c r="AP69" i="42"/>
  <c r="AO69" i="42"/>
  <c r="AN69" i="42"/>
  <c r="AM69" i="42"/>
  <c r="AL69" i="42"/>
  <c r="AK69" i="42"/>
  <c r="AJ69" i="42"/>
  <c r="AI69" i="42"/>
  <c r="AH69" i="42"/>
  <c r="AG69" i="42"/>
  <c r="AF69" i="42"/>
  <c r="AE69" i="42"/>
  <c r="AD69" i="42"/>
  <c r="AC69" i="42"/>
  <c r="AB69" i="42"/>
  <c r="AA69" i="42"/>
  <c r="Z69" i="42"/>
  <c r="Y69" i="42"/>
  <c r="X69" i="42"/>
  <c r="W69" i="42"/>
  <c r="V69" i="42"/>
  <c r="U69" i="42"/>
  <c r="T69" i="42"/>
  <c r="S69" i="42"/>
  <c r="O69" i="42"/>
  <c r="AU68" i="42"/>
  <c r="AT68" i="42"/>
  <c r="AS68" i="42"/>
  <c r="AR68" i="42"/>
  <c r="AQ68" i="42"/>
  <c r="AP68" i="42"/>
  <c r="AO68" i="42"/>
  <c r="AN68" i="42"/>
  <c r="AM68" i="42"/>
  <c r="AL68" i="42"/>
  <c r="AK68" i="42"/>
  <c r="AJ68" i="42"/>
  <c r="AI68" i="42"/>
  <c r="AH68" i="42"/>
  <c r="AG68" i="42"/>
  <c r="AF68" i="42"/>
  <c r="AE68" i="42"/>
  <c r="AD68" i="42"/>
  <c r="AC68" i="42"/>
  <c r="AB68" i="42"/>
  <c r="AA68" i="42"/>
  <c r="Z68" i="42"/>
  <c r="Y68" i="42"/>
  <c r="X68" i="42"/>
  <c r="W68" i="42"/>
  <c r="V68" i="42"/>
  <c r="U68" i="42"/>
  <c r="T68" i="42"/>
  <c r="S68" i="42"/>
  <c r="O68" i="42"/>
  <c r="AU67" i="42"/>
  <c r="AT67" i="42"/>
  <c r="AS67" i="42"/>
  <c r="AR67" i="42"/>
  <c r="AQ67" i="42"/>
  <c r="AP67" i="42"/>
  <c r="AO67" i="42"/>
  <c r="AN67" i="42"/>
  <c r="AM67" i="42"/>
  <c r="AL67" i="42"/>
  <c r="AK67" i="42"/>
  <c r="AJ67" i="42"/>
  <c r="AI67" i="42"/>
  <c r="AH67" i="42"/>
  <c r="AG67" i="42"/>
  <c r="AF67" i="42"/>
  <c r="AE67" i="42"/>
  <c r="AD67" i="42"/>
  <c r="AC67" i="42"/>
  <c r="AB67" i="42"/>
  <c r="AA67" i="42"/>
  <c r="Z67" i="42"/>
  <c r="Y67" i="42"/>
  <c r="X67" i="42"/>
  <c r="W67" i="42"/>
  <c r="V67" i="42"/>
  <c r="U67" i="42"/>
  <c r="T67" i="42"/>
  <c r="S67" i="42"/>
  <c r="O67" i="42"/>
  <c r="AU66" i="42"/>
  <c r="AT66" i="42"/>
  <c r="AS66" i="42"/>
  <c r="AR66" i="42"/>
  <c r="AQ66" i="42"/>
  <c r="AP66" i="42"/>
  <c r="AO66" i="42"/>
  <c r="AN66" i="42"/>
  <c r="AM66" i="42"/>
  <c r="AL66" i="42"/>
  <c r="AK66" i="42"/>
  <c r="AJ66" i="42"/>
  <c r="AI66" i="42"/>
  <c r="AH66" i="42"/>
  <c r="AG66" i="42"/>
  <c r="AF66" i="42"/>
  <c r="AE66" i="42"/>
  <c r="AD66" i="42"/>
  <c r="AC66" i="42"/>
  <c r="AB66" i="42"/>
  <c r="AA66" i="42"/>
  <c r="Z66" i="42"/>
  <c r="Y66" i="42"/>
  <c r="X66" i="42"/>
  <c r="W66" i="42"/>
  <c r="V66" i="42"/>
  <c r="U66" i="42"/>
  <c r="T66" i="42"/>
  <c r="S66" i="42"/>
  <c r="O66" i="42"/>
  <c r="AU65" i="42"/>
  <c r="AT65" i="42"/>
  <c r="AS65" i="42"/>
  <c r="AR65" i="42"/>
  <c r="AQ65" i="42"/>
  <c r="AP65" i="42"/>
  <c r="AO65" i="42"/>
  <c r="AN65" i="42"/>
  <c r="AM65" i="42"/>
  <c r="AL65" i="42"/>
  <c r="AK65" i="42"/>
  <c r="AJ65" i="42"/>
  <c r="AI65" i="42"/>
  <c r="AH65" i="42"/>
  <c r="AG65" i="42"/>
  <c r="AF65" i="42"/>
  <c r="AE65" i="42"/>
  <c r="AD65" i="42"/>
  <c r="AC65" i="42"/>
  <c r="AB65" i="42"/>
  <c r="AA65" i="42"/>
  <c r="Z65" i="42"/>
  <c r="Y65" i="42"/>
  <c r="X65" i="42"/>
  <c r="W65" i="42"/>
  <c r="V65" i="42"/>
  <c r="U65" i="42"/>
  <c r="T65" i="42"/>
  <c r="S65" i="42"/>
  <c r="O65" i="42"/>
  <c r="D65" i="42"/>
  <c r="J65" i="42" s="1"/>
  <c r="R65" i="42" s="1"/>
  <c r="AU64" i="42"/>
  <c r="AT64" i="42"/>
  <c r="AS64" i="42"/>
  <c r="AR64" i="42"/>
  <c r="AQ64" i="42"/>
  <c r="AP64" i="42"/>
  <c r="AO64" i="42"/>
  <c r="AN64" i="42"/>
  <c r="AM64" i="42"/>
  <c r="AL64" i="42"/>
  <c r="AK64" i="42"/>
  <c r="AJ64" i="42"/>
  <c r="AI64" i="42"/>
  <c r="AH64" i="42"/>
  <c r="AG64" i="42"/>
  <c r="AF64" i="42"/>
  <c r="AE64" i="42"/>
  <c r="AD64" i="42"/>
  <c r="AC64" i="42"/>
  <c r="AB64" i="42"/>
  <c r="AA64" i="42"/>
  <c r="Z64" i="42"/>
  <c r="Y64" i="42"/>
  <c r="X64" i="42"/>
  <c r="W64" i="42"/>
  <c r="V64" i="42"/>
  <c r="U64" i="42"/>
  <c r="T64" i="42"/>
  <c r="S64" i="42"/>
  <c r="R64" i="42"/>
  <c r="O64" i="42"/>
  <c r="E64" i="42"/>
  <c r="K64" i="42" s="1"/>
  <c r="D64" i="42"/>
  <c r="J64" i="42" s="1"/>
  <c r="AU63" i="42"/>
  <c r="AT63" i="42"/>
  <c r="AS63" i="42"/>
  <c r="AR63" i="42"/>
  <c r="AQ63" i="42"/>
  <c r="AP63" i="42"/>
  <c r="AO63" i="42"/>
  <c r="AN63" i="42"/>
  <c r="AM63" i="42"/>
  <c r="AL63" i="42"/>
  <c r="AK63" i="42"/>
  <c r="AJ63" i="42"/>
  <c r="AI63" i="42"/>
  <c r="AH63" i="42"/>
  <c r="AG63" i="42"/>
  <c r="AF63" i="42"/>
  <c r="AE63" i="42"/>
  <c r="AD63" i="42"/>
  <c r="AC63" i="42"/>
  <c r="AB63" i="42"/>
  <c r="AA63" i="42"/>
  <c r="Z63" i="42"/>
  <c r="Y63" i="42"/>
  <c r="X63" i="42"/>
  <c r="W63" i="42"/>
  <c r="V63" i="42"/>
  <c r="U63" i="42"/>
  <c r="T63" i="42"/>
  <c r="S63" i="42"/>
  <c r="O63" i="42"/>
  <c r="E63" i="42"/>
  <c r="K63" i="42" s="1"/>
  <c r="D63" i="42"/>
  <c r="AU62" i="42"/>
  <c r="AT62" i="42"/>
  <c r="AS62" i="42"/>
  <c r="AR62" i="42"/>
  <c r="AQ62" i="42"/>
  <c r="AP62" i="42"/>
  <c r="AO62" i="42"/>
  <c r="AN62" i="42"/>
  <c r="AM62" i="42"/>
  <c r="AL62" i="42"/>
  <c r="AK62" i="42"/>
  <c r="AJ62" i="42"/>
  <c r="AI62" i="42"/>
  <c r="AH62" i="42"/>
  <c r="AG62" i="42"/>
  <c r="AF62" i="42"/>
  <c r="AE62" i="42"/>
  <c r="AD62" i="42"/>
  <c r="AC62" i="42"/>
  <c r="AB62" i="42"/>
  <c r="AA62" i="42"/>
  <c r="Z62" i="42"/>
  <c r="Y62" i="42"/>
  <c r="X62" i="42"/>
  <c r="W62" i="42"/>
  <c r="V62" i="42"/>
  <c r="U62" i="42"/>
  <c r="T62" i="42"/>
  <c r="S62" i="42"/>
  <c r="O62" i="42"/>
  <c r="E62" i="42"/>
  <c r="K62" i="42" s="1"/>
  <c r="AU61" i="42"/>
  <c r="AT61" i="42"/>
  <c r="AS61" i="42"/>
  <c r="AR61" i="42"/>
  <c r="AQ61" i="42"/>
  <c r="AP61" i="42"/>
  <c r="AO61" i="42"/>
  <c r="AN61" i="42"/>
  <c r="AM61" i="42"/>
  <c r="AL61" i="42"/>
  <c r="AK61" i="42"/>
  <c r="AJ61" i="42"/>
  <c r="AI61" i="42"/>
  <c r="AH61" i="42"/>
  <c r="AG61" i="42"/>
  <c r="AF61" i="42"/>
  <c r="AE61" i="42"/>
  <c r="AD61" i="42"/>
  <c r="AC61" i="42"/>
  <c r="AB61" i="42"/>
  <c r="AA61" i="42"/>
  <c r="Z61" i="42"/>
  <c r="Y61" i="42"/>
  <c r="X61" i="42"/>
  <c r="W61" i="42"/>
  <c r="V61" i="42"/>
  <c r="U61" i="42"/>
  <c r="T61" i="42"/>
  <c r="S61" i="42"/>
  <c r="O61" i="42"/>
  <c r="E61" i="42"/>
  <c r="K61" i="42" s="1"/>
  <c r="D61" i="42"/>
  <c r="J61" i="42" s="1"/>
  <c r="R61" i="42" s="1"/>
  <c r="AU60" i="42"/>
  <c r="AT60" i="42"/>
  <c r="AS60" i="42"/>
  <c r="AR60" i="42"/>
  <c r="AQ60" i="42"/>
  <c r="AP60" i="42"/>
  <c r="AO60" i="42"/>
  <c r="AN60" i="42"/>
  <c r="AM60" i="42"/>
  <c r="AL60" i="42"/>
  <c r="AK60" i="42"/>
  <c r="AJ60" i="42"/>
  <c r="AI60" i="42"/>
  <c r="AH60" i="42"/>
  <c r="AG60" i="42"/>
  <c r="AF60" i="42"/>
  <c r="AE60" i="42"/>
  <c r="AD60" i="42"/>
  <c r="AC60" i="42"/>
  <c r="AB60" i="42"/>
  <c r="AA60" i="42"/>
  <c r="Z60" i="42"/>
  <c r="Y60" i="42"/>
  <c r="X60" i="42"/>
  <c r="W60" i="42"/>
  <c r="V60" i="42"/>
  <c r="U60" i="42"/>
  <c r="T60" i="42"/>
  <c r="S60" i="42"/>
  <c r="O60" i="42"/>
  <c r="E60" i="42"/>
  <c r="D60" i="42"/>
  <c r="J60" i="42" s="1"/>
  <c r="R60" i="42" s="1"/>
  <c r="AU59" i="42"/>
  <c r="AT59" i="42"/>
  <c r="AS59" i="42"/>
  <c r="AR59" i="42"/>
  <c r="AQ59" i="42"/>
  <c r="AP59" i="42"/>
  <c r="AO59" i="42"/>
  <c r="AN59" i="42"/>
  <c r="AM59" i="42"/>
  <c r="AL59" i="42"/>
  <c r="AK59" i="42"/>
  <c r="AJ59" i="42"/>
  <c r="AI59" i="42"/>
  <c r="AH59" i="42"/>
  <c r="AG59" i="42"/>
  <c r="AF59" i="42"/>
  <c r="AE59" i="42"/>
  <c r="AD59" i="42"/>
  <c r="AC59" i="42"/>
  <c r="AB59" i="42"/>
  <c r="AA59" i="42"/>
  <c r="Z59" i="42"/>
  <c r="Y59" i="42"/>
  <c r="X59" i="42"/>
  <c r="W59" i="42"/>
  <c r="V59" i="42"/>
  <c r="U59" i="42"/>
  <c r="T59" i="42"/>
  <c r="S59" i="42"/>
  <c r="O59" i="42"/>
  <c r="E59" i="42"/>
  <c r="K59" i="42" s="1"/>
  <c r="D59" i="42"/>
  <c r="F59" i="42" s="1"/>
  <c r="AU58" i="42"/>
  <c r="AT58" i="42"/>
  <c r="AS58" i="42"/>
  <c r="AR58" i="42"/>
  <c r="AQ58" i="42"/>
  <c r="AP58" i="42"/>
  <c r="AO58" i="42"/>
  <c r="AN58" i="42"/>
  <c r="AM58" i="42"/>
  <c r="AL58" i="42"/>
  <c r="AK58" i="42"/>
  <c r="AJ58" i="42"/>
  <c r="AI58" i="42"/>
  <c r="AH58" i="42"/>
  <c r="AG58" i="42"/>
  <c r="AF58" i="42"/>
  <c r="AE58" i="42"/>
  <c r="AD58" i="42"/>
  <c r="AC58" i="42"/>
  <c r="AB58" i="42"/>
  <c r="AA58" i="42"/>
  <c r="Z58" i="42"/>
  <c r="Y58" i="42"/>
  <c r="X58" i="42"/>
  <c r="W58" i="42"/>
  <c r="V58" i="42"/>
  <c r="U58" i="42"/>
  <c r="T58" i="42"/>
  <c r="S58" i="42"/>
  <c r="O58" i="42"/>
  <c r="K58" i="42"/>
  <c r="E58" i="42"/>
  <c r="D58" i="42"/>
  <c r="J58" i="42" s="1"/>
  <c r="R58" i="42" s="1"/>
  <c r="AU57" i="42"/>
  <c r="AT57" i="42"/>
  <c r="AS57" i="42"/>
  <c r="AR57" i="42"/>
  <c r="AQ57" i="42"/>
  <c r="AP57" i="42"/>
  <c r="AO57" i="42"/>
  <c r="AN57" i="42"/>
  <c r="AM57" i="42"/>
  <c r="AL57" i="42"/>
  <c r="AK57" i="42"/>
  <c r="AJ57" i="42"/>
  <c r="AI57" i="42"/>
  <c r="AH57" i="42"/>
  <c r="AG57" i="42"/>
  <c r="AF57" i="42"/>
  <c r="AE57" i="42"/>
  <c r="AD57" i="42"/>
  <c r="AC57" i="42"/>
  <c r="AB57" i="42"/>
  <c r="AA57" i="42"/>
  <c r="Z57" i="42"/>
  <c r="Y57" i="42"/>
  <c r="X57" i="42"/>
  <c r="W57" i="42"/>
  <c r="V57" i="42"/>
  <c r="U57" i="42"/>
  <c r="T57" i="42"/>
  <c r="S57" i="42"/>
  <c r="O57" i="42"/>
  <c r="E57" i="42"/>
  <c r="K57" i="42" s="1"/>
  <c r="D57" i="42"/>
  <c r="AU56" i="42"/>
  <c r="AT56" i="42"/>
  <c r="AS56" i="42"/>
  <c r="AR56" i="42"/>
  <c r="AQ56" i="42"/>
  <c r="AP56" i="42"/>
  <c r="AO56" i="42"/>
  <c r="AN56" i="42"/>
  <c r="AM56" i="42"/>
  <c r="AL56" i="42"/>
  <c r="AK56" i="42"/>
  <c r="AJ56" i="42"/>
  <c r="AI56" i="42"/>
  <c r="AH56" i="42"/>
  <c r="AG56" i="42"/>
  <c r="AF56" i="42"/>
  <c r="AE56" i="42"/>
  <c r="AD56" i="42"/>
  <c r="AC56" i="42"/>
  <c r="AB56" i="42"/>
  <c r="AA56" i="42"/>
  <c r="Z56" i="42"/>
  <c r="Y56" i="42"/>
  <c r="X56" i="42"/>
  <c r="W56" i="42"/>
  <c r="V56" i="42"/>
  <c r="U56" i="42"/>
  <c r="T56" i="42"/>
  <c r="S56" i="42"/>
  <c r="O56" i="42"/>
  <c r="E56" i="42"/>
  <c r="K56" i="42" s="1"/>
  <c r="D56" i="42"/>
  <c r="AU55" i="42"/>
  <c r="AT55" i="42"/>
  <c r="AS55" i="42"/>
  <c r="AR55" i="42"/>
  <c r="AQ55" i="42"/>
  <c r="AP55" i="42"/>
  <c r="AO55" i="42"/>
  <c r="AN55" i="42"/>
  <c r="AM55" i="42"/>
  <c r="AL55" i="42"/>
  <c r="AK55" i="42"/>
  <c r="AJ55" i="42"/>
  <c r="AI55" i="42"/>
  <c r="AH55" i="42"/>
  <c r="AG55" i="42"/>
  <c r="AF55" i="42"/>
  <c r="AE55" i="42"/>
  <c r="AD55" i="42"/>
  <c r="AC55" i="42"/>
  <c r="AB55" i="42"/>
  <c r="AA55" i="42"/>
  <c r="Z55" i="42"/>
  <c r="Y55" i="42"/>
  <c r="X55" i="42"/>
  <c r="W55" i="42"/>
  <c r="V55" i="42"/>
  <c r="U55" i="42"/>
  <c r="T55" i="42"/>
  <c r="S55" i="42"/>
  <c r="O55" i="42"/>
  <c r="E55" i="42"/>
  <c r="K55" i="42" s="1"/>
  <c r="D55" i="42"/>
  <c r="H55" i="42" s="1"/>
  <c r="AU54" i="42"/>
  <c r="AT54" i="42"/>
  <c r="AS54" i="42"/>
  <c r="AR54" i="42"/>
  <c r="AQ54" i="42"/>
  <c r="AP54" i="42"/>
  <c r="AO54" i="42"/>
  <c r="AN54" i="42"/>
  <c r="AM54" i="42"/>
  <c r="AL54" i="42"/>
  <c r="AK54" i="42"/>
  <c r="AJ54" i="42"/>
  <c r="AI54" i="42"/>
  <c r="AH54" i="42"/>
  <c r="AG54" i="42"/>
  <c r="AF54" i="42"/>
  <c r="AE54" i="42"/>
  <c r="AD54" i="42"/>
  <c r="AC54" i="42"/>
  <c r="AB54" i="42"/>
  <c r="AA54" i="42"/>
  <c r="Z54" i="42"/>
  <c r="Y54" i="42"/>
  <c r="X54" i="42"/>
  <c r="W54" i="42"/>
  <c r="V54" i="42"/>
  <c r="U54" i="42"/>
  <c r="T54" i="42"/>
  <c r="S54" i="42"/>
  <c r="O54" i="42"/>
  <c r="E54" i="42"/>
  <c r="AU53" i="42"/>
  <c r="AT53" i="42"/>
  <c r="AS53" i="42"/>
  <c r="AR53" i="42"/>
  <c r="AQ53" i="42"/>
  <c r="AP53" i="42"/>
  <c r="AO53" i="42"/>
  <c r="AN53" i="42"/>
  <c r="AM53" i="42"/>
  <c r="AL53" i="42"/>
  <c r="AK53" i="42"/>
  <c r="AJ53" i="42"/>
  <c r="AI53" i="42"/>
  <c r="AH53" i="42"/>
  <c r="AG53" i="42"/>
  <c r="AF53" i="42"/>
  <c r="AE53" i="42"/>
  <c r="AD53" i="42"/>
  <c r="AC53" i="42"/>
  <c r="AB53" i="42"/>
  <c r="AA53" i="42"/>
  <c r="Z53" i="42"/>
  <c r="Y53" i="42"/>
  <c r="X53" i="42"/>
  <c r="W53" i="42"/>
  <c r="V53" i="42"/>
  <c r="U53" i="42"/>
  <c r="T53" i="42"/>
  <c r="S53" i="42"/>
  <c r="O53" i="42"/>
  <c r="AU52" i="42"/>
  <c r="AT52" i="42"/>
  <c r="AS52" i="42"/>
  <c r="AR52" i="42"/>
  <c r="AQ52" i="42"/>
  <c r="AP52" i="42"/>
  <c r="AO52" i="42"/>
  <c r="AN52" i="42"/>
  <c r="AM52" i="42"/>
  <c r="AL52" i="42"/>
  <c r="AK52" i="42"/>
  <c r="AJ52" i="42"/>
  <c r="AI52" i="42"/>
  <c r="AH52" i="42"/>
  <c r="AG52" i="42"/>
  <c r="AF52" i="42"/>
  <c r="AE52" i="42"/>
  <c r="AD52" i="42"/>
  <c r="AC52" i="42"/>
  <c r="AB52" i="42"/>
  <c r="AA52" i="42"/>
  <c r="Z52" i="42"/>
  <c r="Y52" i="42"/>
  <c r="X52" i="42"/>
  <c r="W52" i="42"/>
  <c r="V52" i="42"/>
  <c r="U52" i="42"/>
  <c r="T52" i="42"/>
  <c r="S52" i="42"/>
  <c r="O52" i="42"/>
  <c r="AU51" i="42"/>
  <c r="AT51" i="42"/>
  <c r="AS51" i="42"/>
  <c r="AR51" i="42"/>
  <c r="AQ51" i="42"/>
  <c r="AP51" i="42"/>
  <c r="AO51" i="42"/>
  <c r="AN51" i="42"/>
  <c r="AM51" i="42"/>
  <c r="AL51" i="42"/>
  <c r="AK51" i="42"/>
  <c r="AJ51" i="42"/>
  <c r="AI51" i="42"/>
  <c r="AH51" i="42"/>
  <c r="AG51" i="42"/>
  <c r="AF51" i="42"/>
  <c r="AE51" i="42"/>
  <c r="AD51" i="42"/>
  <c r="AC51" i="42"/>
  <c r="AB51" i="42"/>
  <c r="AA51" i="42"/>
  <c r="Z51" i="42"/>
  <c r="Y51" i="42"/>
  <c r="X51" i="42"/>
  <c r="W51" i="42"/>
  <c r="V51" i="42"/>
  <c r="U51" i="42"/>
  <c r="T51" i="42"/>
  <c r="S51" i="42"/>
  <c r="O51" i="42"/>
  <c r="AU50" i="42"/>
  <c r="AT50" i="42"/>
  <c r="AS50" i="42"/>
  <c r="AR50" i="42"/>
  <c r="AQ50" i="42"/>
  <c r="AP50" i="42"/>
  <c r="AO50" i="42"/>
  <c r="AN50" i="42"/>
  <c r="AM50" i="42"/>
  <c r="AL50" i="42"/>
  <c r="AK50" i="42"/>
  <c r="AJ50" i="42"/>
  <c r="AI50" i="42"/>
  <c r="AH50" i="42"/>
  <c r="AG50" i="42"/>
  <c r="AF50" i="42"/>
  <c r="AE50" i="42"/>
  <c r="AD50" i="42"/>
  <c r="AC50" i="42"/>
  <c r="AB50" i="42"/>
  <c r="AA50" i="42"/>
  <c r="Z50" i="42"/>
  <c r="Y50" i="42"/>
  <c r="X50" i="42"/>
  <c r="W50" i="42"/>
  <c r="V50" i="42"/>
  <c r="U50" i="42"/>
  <c r="T50" i="42"/>
  <c r="S50" i="42"/>
  <c r="O50" i="42"/>
  <c r="AU49" i="42"/>
  <c r="AT49" i="42"/>
  <c r="AS49" i="42"/>
  <c r="AR49" i="42"/>
  <c r="AQ49" i="42"/>
  <c r="AP49" i="42"/>
  <c r="AO49" i="42"/>
  <c r="AN49" i="42"/>
  <c r="AM49" i="42"/>
  <c r="AL49" i="42"/>
  <c r="AK49" i="42"/>
  <c r="AJ49" i="42"/>
  <c r="AI49" i="42"/>
  <c r="AH49" i="42"/>
  <c r="AG49" i="42"/>
  <c r="AF49" i="42"/>
  <c r="AE49" i="42"/>
  <c r="AD49" i="42"/>
  <c r="AC49" i="42"/>
  <c r="AB49" i="42"/>
  <c r="AA49" i="42"/>
  <c r="Z49" i="42"/>
  <c r="Y49" i="42"/>
  <c r="X49" i="42"/>
  <c r="W49" i="42"/>
  <c r="V49" i="42"/>
  <c r="U49" i="42"/>
  <c r="T49" i="42"/>
  <c r="S49" i="42"/>
  <c r="O49" i="42"/>
  <c r="AU48" i="42"/>
  <c r="AT48" i="42"/>
  <c r="AS48" i="42"/>
  <c r="AR48" i="42"/>
  <c r="AQ48" i="42"/>
  <c r="AP48" i="42"/>
  <c r="AO48" i="42"/>
  <c r="AN48" i="42"/>
  <c r="AM48" i="42"/>
  <c r="AL48" i="42"/>
  <c r="AK48" i="42"/>
  <c r="AJ48" i="42"/>
  <c r="AI48" i="42"/>
  <c r="AH48" i="42"/>
  <c r="AG48" i="42"/>
  <c r="AF48" i="42"/>
  <c r="AE48" i="42"/>
  <c r="AD48" i="42"/>
  <c r="AC48" i="42"/>
  <c r="AB48" i="42"/>
  <c r="AA48" i="42"/>
  <c r="Z48" i="42"/>
  <c r="Y48" i="42"/>
  <c r="X48" i="42"/>
  <c r="W48" i="42"/>
  <c r="V48" i="42"/>
  <c r="U48" i="42"/>
  <c r="T48" i="42"/>
  <c r="S48" i="42"/>
  <c r="O48" i="42"/>
  <c r="AU47" i="42"/>
  <c r="AT47" i="42"/>
  <c r="AS47" i="42"/>
  <c r="AR47" i="42"/>
  <c r="AQ47" i="42"/>
  <c r="AP47" i="42"/>
  <c r="AO47" i="42"/>
  <c r="AN47" i="42"/>
  <c r="AM47" i="42"/>
  <c r="AL47" i="42"/>
  <c r="AK47" i="42"/>
  <c r="AJ47" i="42"/>
  <c r="AI47" i="42"/>
  <c r="AH47" i="42"/>
  <c r="AG47" i="42"/>
  <c r="AF47" i="42"/>
  <c r="AE47" i="42"/>
  <c r="AD47" i="42"/>
  <c r="AC47" i="42"/>
  <c r="AB47" i="42"/>
  <c r="AA47" i="42"/>
  <c r="Z47" i="42"/>
  <c r="Y47" i="42"/>
  <c r="X47" i="42"/>
  <c r="W47" i="42"/>
  <c r="V47" i="42"/>
  <c r="U47" i="42"/>
  <c r="T47" i="42"/>
  <c r="S47" i="42"/>
  <c r="O47" i="42"/>
  <c r="AU46" i="42"/>
  <c r="AT46" i="42"/>
  <c r="AS46" i="42"/>
  <c r="AR46" i="42"/>
  <c r="AQ46" i="42"/>
  <c r="AP46" i="42"/>
  <c r="AO46" i="42"/>
  <c r="AN46" i="42"/>
  <c r="AM46" i="42"/>
  <c r="AL46" i="42"/>
  <c r="AK46" i="42"/>
  <c r="AJ46" i="42"/>
  <c r="AI46" i="42"/>
  <c r="AH46" i="42"/>
  <c r="AG46" i="42"/>
  <c r="AF46" i="42"/>
  <c r="AE46" i="42"/>
  <c r="AD46" i="42"/>
  <c r="AC46" i="42"/>
  <c r="AB46" i="42"/>
  <c r="AA46" i="42"/>
  <c r="Z46" i="42"/>
  <c r="Y46" i="42"/>
  <c r="X46" i="42"/>
  <c r="W46" i="42"/>
  <c r="V46" i="42"/>
  <c r="U46" i="42"/>
  <c r="T46" i="42"/>
  <c r="S46" i="42"/>
  <c r="O46" i="42"/>
  <c r="J46" i="42"/>
  <c r="R46" i="42" s="1"/>
  <c r="H46" i="42"/>
  <c r="AU45" i="42"/>
  <c r="AT45" i="42"/>
  <c r="AS45" i="42"/>
  <c r="AR45" i="42"/>
  <c r="AQ45" i="42"/>
  <c r="AP45" i="42"/>
  <c r="AO45" i="42"/>
  <c r="AN45" i="42"/>
  <c r="AM45" i="42"/>
  <c r="AL45" i="42"/>
  <c r="AK45" i="42"/>
  <c r="AJ45" i="42"/>
  <c r="AI45" i="42"/>
  <c r="AH45" i="42"/>
  <c r="AG45" i="42"/>
  <c r="AF45" i="42"/>
  <c r="AE45" i="42"/>
  <c r="AD45" i="42"/>
  <c r="AC45" i="42"/>
  <c r="AB45" i="42"/>
  <c r="AA45" i="42"/>
  <c r="Z45" i="42"/>
  <c r="Y45" i="42"/>
  <c r="X45" i="42"/>
  <c r="W45" i="42"/>
  <c r="V45" i="42"/>
  <c r="U45" i="42"/>
  <c r="T45" i="42"/>
  <c r="S45" i="42"/>
  <c r="O45" i="42"/>
  <c r="J45" i="42"/>
  <c r="R45" i="42" s="1"/>
  <c r="H45" i="42"/>
  <c r="E45" i="42"/>
  <c r="F45" i="42" s="1"/>
  <c r="AU44" i="42"/>
  <c r="AT44" i="42"/>
  <c r="AS44" i="42"/>
  <c r="AR44" i="42"/>
  <c r="AQ44" i="42"/>
  <c r="AP44" i="42"/>
  <c r="AO44" i="42"/>
  <c r="AN44" i="42"/>
  <c r="AM44" i="42"/>
  <c r="AL44" i="42"/>
  <c r="AK44" i="42"/>
  <c r="AJ44" i="42"/>
  <c r="AI44" i="42"/>
  <c r="AH44" i="42"/>
  <c r="AG44" i="42"/>
  <c r="AF44" i="42"/>
  <c r="AE44" i="42"/>
  <c r="AD44" i="42"/>
  <c r="AC44" i="42"/>
  <c r="AB44" i="42"/>
  <c r="AA44" i="42"/>
  <c r="Z44" i="42"/>
  <c r="Y44" i="42"/>
  <c r="X44" i="42"/>
  <c r="W44" i="42"/>
  <c r="V44" i="42"/>
  <c r="U44" i="42"/>
  <c r="T44" i="42"/>
  <c r="S44" i="42"/>
  <c r="O44" i="42"/>
  <c r="J44" i="42"/>
  <c r="R44" i="42" s="1"/>
  <c r="H44" i="42"/>
  <c r="E44" i="42"/>
  <c r="K44" i="42" s="1"/>
  <c r="AU43" i="42"/>
  <c r="AT43" i="42"/>
  <c r="AS43" i="42"/>
  <c r="AR43" i="42"/>
  <c r="AQ43" i="42"/>
  <c r="AP43" i="42"/>
  <c r="AO43" i="42"/>
  <c r="AN43" i="42"/>
  <c r="AM43" i="42"/>
  <c r="AL43" i="42"/>
  <c r="AK43" i="42"/>
  <c r="AJ43" i="42"/>
  <c r="AI43" i="42"/>
  <c r="AH43" i="42"/>
  <c r="AG43" i="42"/>
  <c r="AF43" i="42"/>
  <c r="AE43" i="42"/>
  <c r="AD43" i="42"/>
  <c r="AC43" i="42"/>
  <c r="AB43" i="42"/>
  <c r="AA43" i="42"/>
  <c r="Z43" i="42"/>
  <c r="Y43" i="42"/>
  <c r="X43" i="42"/>
  <c r="W43" i="42"/>
  <c r="V43" i="42"/>
  <c r="U43" i="42"/>
  <c r="T43" i="42"/>
  <c r="S43" i="42"/>
  <c r="O43" i="42"/>
  <c r="J43" i="42"/>
  <c r="R43" i="42" s="1"/>
  <c r="H43" i="42"/>
  <c r="E43" i="42"/>
  <c r="F43" i="42" s="1"/>
  <c r="AU42" i="42"/>
  <c r="AT42" i="42"/>
  <c r="AS42" i="42"/>
  <c r="AR42" i="42"/>
  <c r="AQ42" i="42"/>
  <c r="AP42" i="42"/>
  <c r="AO42" i="42"/>
  <c r="AN42" i="42"/>
  <c r="AM42" i="42"/>
  <c r="AL42" i="42"/>
  <c r="AK42" i="42"/>
  <c r="AJ42" i="42"/>
  <c r="AI42" i="42"/>
  <c r="AH42" i="42"/>
  <c r="AG42" i="42"/>
  <c r="AF42" i="42"/>
  <c r="AE42" i="42"/>
  <c r="AD42" i="42"/>
  <c r="AC42" i="42"/>
  <c r="AB42" i="42"/>
  <c r="AA42" i="42"/>
  <c r="Z42" i="42"/>
  <c r="Y42" i="42"/>
  <c r="X42" i="42"/>
  <c r="W42" i="42"/>
  <c r="V42" i="42"/>
  <c r="U42" i="42"/>
  <c r="T42" i="42"/>
  <c r="S42" i="42"/>
  <c r="O42" i="42"/>
  <c r="J42" i="42"/>
  <c r="R42" i="42" s="1"/>
  <c r="H42" i="42"/>
  <c r="E42" i="42"/>
  <c r="K42" i="42" s="1"/>
  <c r="AU41" i="42"/>
  <c r="AT41" i="42"/>
  <c r="AS41" i="42"/>
  <c r="AR41" i="42"/>
  <c r="AQ41" i="42"/>
  <c r="AP41" i="42"/>
  <c r="AO41" i="42"/>
  <c r="AN41" i="42"/>
  <c r="AM41" i="42"/>
  <c r="AL41" i="42"/>
  <c r="AK41" i="42"/>
  <c r="AJ41" i="42"/>
  <c r="AI41" i="42"/>
  <c r="AH41" i="42"/>
  <c r="AG41" i="42"/>
  <c r="AF41" i="42"/>
  <c r="AE41" i="42"/>
  <c r="AD41" i="42"/>
  <c r="AC41" i="42"/>
  <c r="AB41" i="42"/>
  <c r="AA41" i="42"/>
  <c r="Z41" i="42"/>
  <c r="Y41" i="42"/>
  <c r="X41" i="42"/>
  <c r="W41" i="42"/>
  <c r="V41" i="42"/>
  <c r="U41" i="42"/>
  <c r="T41" i="42"/>
  <c r="S41" i="42"/>
  <c r="O41" i="42"/>
  <c r="J41" i="42"/>
  <c r="R41" i="42" s="1"/>
  <c r="H41" i="42"/>
  <c r="E41" i="42"/>
  <c r="K41" i="42" s="1"/>
  <c r="AU40" i="42"/>
  <c r="AT40" i="42"/>
  <c r="AS40" i="42"/>
  <c r="AR40" i="42"/>
  <c r="AQ40" i="42"/>
  <c r="AP40" i="42"/>
  <c r="AO40" i="42"/>
  <c r="AN40" i="42"/>
  <c r="AM40" i="42"/>
  <c r="AL40" i="42"/>
  <c r="AK40" i="42"/>
  <c r="AJ40" i="42"/>
  <c r="AI40" i="42"/>
  <c r="AH40" i="42"/>
  <c r="AG40" i="42"/>
  <c r="AF40" i="42"/>
  <c r="AE40" i="42"/>
  <c r="AD40" i="42"/>
  <c r="AC40" i="42"/>
  <c r="AB40" i="42"/>
  <c r="AA40" i="42"/>
  <c r="Z40" i="42"/>
  <c r="Y40" i="42"/>
  <c r="X40" i="42"/>
  <c r="W40" i="42"/>
  <c r="V40" i="42"/>
  <c r="U40" i="42"/>
  <c r="T40" i="42"/>
  <c r="S40" i="42"/>
  <c r="O40" i="42"/>
  <c r="J40" i="42"/>
  <c r="R40" i="42" s="1"/>
  <c r="H40" i="42"/>
  <c r="E40" i="42"/>
  <c r="K40" i="42" s="1"/>
  <c r="AU39" i="42"/>
  <c r="AT39" i="42"/>
  <c r="AS39" i="42"/>
  <c r="AR39" i="42"/>
  <c r="AQ39" i="42"/>
  <c r="AP39" i="42"/>
  <c r="AO39" i="42"/>
  <c r="AN39" i="42"/>
  <c r="AM39" i="42"/>
  <c r="AL39" i="42"/>
  <c r="AK39" i="42"/>
  <c r="AJ39" i="42"/>
  <c r="AI39" i="42"/>
  <c r="AH39" i="42"/>
  <c r="AG39" i="42"/>
  <c r="AF39" i="42"/>
  <c r="AE39" i="42"/>
  <c r="AD39" i="42"/>
  <c r="AC39" i="42"/>
  <c r="AB39" i="42"/>
  <c r="AA39" i="42"/>
  <c r="Z39" i="42"/>
  <c r="Y39" i="42"/>
  <c r="X39" i="42"/>
  <c r="W39" i="42"/>
  <c r="V39" i="42"/>
  <c r="U39" i="42"/>
  <c r="T39" i="42"/>
  <c r="S39" i="42"/>
  <c r="O39" i="42"/>
  <c r="J39" i="42"/>
  <c r="R39" i="42" s="1"/>
  <c r="H39" i="42"/>
  <c r="AU38" i="42"/>
  <c r="AT38" i="42"/>
  <c r="AS38" i="42"/>
  <c r="AR38" i="42"/>
  <c r="AQ38" i="42"/>
  <c r="AP38" i="42"/>
  <c r="AO38" i="42"/>
  <c r="AN38" i="42"/>
  <c r="AM38" i="42"/>
  <c r="AL38" i="42"/>
  <c r="AK38" i="42"/>
  <c r="AJ38" i="42"/>
  <c r="AI38" i="42"/>
  <c r="AH38" i="42"/>
  <c r="AG38" i="42"/>
  <c r="AF38" i="42"/>
  <c r="AE38" i="42"/>
  <c r="AD38" i="42"/>
  <c r="AC38" i="42"/>
  <c r="AB38" i="42"/>
  <c r="AA38" i="42"/>
  <c r="Z38" i="42"/>
  <c r="Y38" i="42"/>
  <c r="X38" i="42"/>
  <c r="W38" i="42"/>
  <c r="V38" i="42"/>
  <c r="U38" i="42"/>
  <c r="T38" i="42"/>
  <c r="S38" i="42"/>
  <c r="O38" i="42"/>
  <c r="J38" i="42"/>
  <c r="R38" i="42" s="1"/>
  <c r="H38" i="42"/>
  <c r="E38" i="42"/>
  <c r="AU37" i="42"/>
  <c r="AT37" i="42"/>
  <c r="AS37" i="42"/>
  <c r="AR37" i="42"/>
  <c r="AQ37" i="42"/>
  <c r="AP37" i="42"/>
  <c r="AO37" i="42"/>
  <c r="AN37" i="42"/>
  <c r="AM37" i="42"/>
  <c r="AL37" i="42"/>
  <c r="AK37" i="42"/>
  <c r="AJ37" i="42"/>
  <c r="AI37" i="42"/>
  <c r="AH37" i="42"/>
  <c r="AG37" i="42"/>
  <c r="AF37" i="42"/>
  <c r="AE37" i="42"/>
  <c r="AD37" i="42"/>
  <c r="AC37" i="42"/>
  <c r="AB37" i="42"/>
  <c r="AA37" i="42"/>
  <c r="Z37" i="42"/>
  <c r="Y37" i="42"/>
  <c r="X37" i="42"/>
  <c r="W37" i="42"/>
  <c r="V37" i="42"/>
  <c r="U37" i="42"/>
  <c r="T37" i="42"/>
  <c r="S37" i="42"/>
  <c r="O37" i="42"/>
  <c r="J37" i="42"/>
  <c r="R37" i="42" s="1"/>
  <c r="H37" i="42"/>
  <c r="E37" i="42"/>
  <c r="K37" i="42" s="1"/>
  <c r="AU36" i="42"/>
  <c r="AT36" i="42"/>
  <c r="AS36" i="42"/>
  <c r="AR36" i="42"/>
  <c r="AQ36" i="42"/>
  <c r="AP36" i="42"/>
  <c r="AO36" i="42"/>
  <c r="AN36" i="42"/>
  <c r="AM36" i="42"/>
  <c r="AL36" i="42"/>
  <c r="AK36" i="42"/>
  <c r="AJ36" i="42"/>
  <c r="AI36" i="42"/>
  <c r="AH36" i="42"/>
  <c r="AG36" i="42"/>
  <c r="AF36" i="42"/>
  <c r="AE36" i="42"/>
  <c r="AD36" i="42"/>
  <c r="AC36" i="42"/>
  <c r="AB36" i="42"/>
  <c r="AA36" i="42"/>
  <c r="Z36" i="42"/>
  <c r="Y36" i="42"/>
  <c r="X36" i="42"/>
  <c r="W36" i="42"/>
  <c r="V36" i="42"/>
  <c r="U36" i="42"/>
  <c r="T36" i="42"/>
  <c r="S36" i="42"/>
  <c r="O36" i="42"/>
  <c r="AU35" i="42"/>
  <c r="AT35" i="42"/>
  <c r="AS35" i="42"/>
  <c r="AR35" i="42"/>
  <c r="AQ35" i="42"/>
  <c r="AP35" i="42"/>
  <c r="AO35" i="42"/>
  <c r="AN35" i="42"/>
  <c r="AM35" i="42"/>
  <c r="AL35" i="42"/>
  <c r="AK35" i="42"/>
  <c r="AJ35" i="42"/>
  <c r="AI35" i="42"/>
  <c r="AH35" i="42"/>
  <c r="AG35" i="42"/>
  <c r="AF35" i="42"/>
  <c r="AE35" i="42"/>
  <c r="AD35" i="42"/>
  <c r="AC35" i="42"/>
  <c r="AB35" i="42"/>
  <c r="AA35" i="42"/>
  <c r="Z35" i="42"/>
  <c r="Y35" i="42"/>
  <c r="X35" i="42"/>
  <c r="W35" i="42"/>
  <c r="V35" i="42"/>
  <c r="U35" i="42"/>
  <c r="T35" i="42"/>
  <c r="S35" i="42"/>
  <c r="O35" i="42"/>
  <c r="AU34" i="42"/>
  <c r="AT34" i="42"/>
  <c r="AS34" i="42"/>
  <c r="AR34" i="42"/>
  <c r="AQ34" i="42"/>
  <c r="AP34" i="42"/>
  <c r="AO34" i="42"/>
  <c r="AN34" i="42"/>
  <c r="AM34" i="42"/>
  <c r="AL34" i="42"/>
  <c r="AK34" i="42"/>
  <c r="AJ34" i="42"/>
  <c r="AI34" i="42"/>
  <c r="AH34" i="42"/>
  <c r="AG34" i="42"/>
  <c r="AF34" i="42"/>
  <c r="AE34" i="42"/>
  <c r="AD34" i="42"/>
  <c r="AC34" i="42"/>
  <c r="AB34" i="42"/>
  <c r="AA34" i="42"/>
  <c r="Z34" i="42"/>
  <c r="Y34" i="42"/>
  <c r="X34" i="42"/>
  <c r="W34" i="42"/>
  <c r="V34" i="42"/>
  <c r="U34" i="42"/>
  <c r="T34" i="42"/>
  <c r="S34" i="42"/>
  <c r="O34" i="42"/>
  <c r="AU33" i="42"/>
  <c r="AT33" i="42"/>
  <c r="AS33" i="42"/>
  <c r="AR33" i="42"/>
  <c r="AQ33" i="42"/>
  <c r="AP33" i="42"/>
  <c r="AO33" i="42"/>
  <c r="AN33" i="42"/>
  <c r="AM33" i="42"/>
  <c r="AL33" i="42"/>
  <c r="AK33" i="42"/>
  <c r="AJ33" i="42"/>
  <c r="AI33" i="42"/>
  <c r="AH33" i="42"/>
  <c r="AG33" i="42"/>
  <c r="AF33" i="42"/>
  <c r="AE33" i="42"/>
  <c r="AD33" i="42"/>
  <c r="AC33" i="42"/>
  <c r="AB33" i="42"/>
  <c r="AA33" i="42"/>
  <c r="Z33" i="42"/>
  <c r="Y33" i="42"/>
  <c r="X33" i="42"/>
  <c r="W33" i="42"/>
  <c r="V33" i="42"/>
  <c r="U33" i="42"/>
  <c r="T33" i="42"/>
  <c r="S33" i="42"/>
  <c r="O33" i="42"/>
  <c r="AU32" i="42"/>
  <c r="AT32" i="42"/>
  <c r="AS32" i="42"/>
  <c r="AR32" i="42"/>
  <c r="AQ32" i="42"/>
  <c r="AP32" i="42"/>
  <c r="AO32" i="42"/>
  <c r="AN32" i="42"/>
  <c r="AM32" i="42"/>
  <c r="AL32" i="42"/>
  <c r="AK32" i="42"/>
  <c r="AJ32" i="42"/>
  <c r="AI32" i="42"/>
  <c r="AH32" i="42"/>
  <c r="AG32" i="42"/>
  <c r="AF32" i="42"/>
  <c r="AE32" i="42"/>
  <c r="AD32" i="42"/>
  <c r="AC32" i="42"/>
  <c r="AB32" i="42"/>
  <c r="AA32" i="42"/>
  <c r="Z32" i="42"/>
  <c r="Y32" i="42"/>
  <c r="X32" i="42"/>
  <c r="W32" i="42"/>
  <c r="V32" i="42"/>
  <c r="U32" i="42"/>
  <c r="T32" i="42"/>
  <c r="S32" i="42"/>
  <c r="O32" i="42"/>
  <c r="E32" i="42"/>
  <c r="K32" i="42" s="1"/>
  <c r="AU31" i="42"/>
  <c r="AT31" i="42"/>
  <c r="AS31" i="42"/>
  <c r="AR31" i="42"/>
  <c r="AQ31" i="42"/>
  <c r="AP31" i="42"/>
  <c r="AO31" i="42"/>
  <c r="AN31" i="42"/>
  <c r="AM31" i="42"/>
  <c r="AL31" i="42"/>
  <c r="AK31" i="42"/>
  <c r="AJ31" i="42"/>
  <c r="AI31" i="42"/>
  <c r="AH31" i="42"/>
  <c r="AG31" i="42"/>
  <c r="AF31" i="42"/>
  <c r="AE31" i="42"/>
  <c r="AD31" i="42"/>
  <c r="AC31" i="42"/>
  <c r="AB31" i="42"/>
  <c r="AA31" i="42"/>
  <c r="Z31" i="42"/>
  <c r="Y31" i="42"/>
  <c r="X31" i="42"/>
  <c r="W31" i="42"/>
  <c r="V31" i="42"/>
  <c r="U31" i="42"/>
  <c r="T31" i="42"/>
  <c r="S31" i="42"/>
  <c r="O31" i="42"/>
  <c r="E31" i="42"/>
  <c r="K31" i="42" s="1"/>
  <c r="D31" i="42"/>
  <c r="J31" i="42" s="1"/>
  <c r="R31" i="42" s="1"/>
  <c r="AU30" i="42"/>
  <c r="AT30" i="42"/>
  <c r="AS30" i="42"/>
  <c r="AR30" i="42"/>
  <c r="AQ30" i="42"/>
  <c r="AP30" i="42"/>
  <c r="AO30" i="42"/>
  <c r="AN30" i="42"/>
  <c r="AM30" i="42"/>
  <c r="AL30" i="42"/>
  <c r="AK30" i="42"/>
  <c r="AJ30" i="42"/>
  <c r="AI30" i="42"/>
  <c r="AH30" i="42"/>
  <c r="AG30" i="42"/>
  <c r="AF30" i="42"/>
  <c r="AE30" i="42"/>
  <c r="AD30" i="42"/>
  <c r="AC30" i="42"/>
  <c r="AB30" i="42"/>
  <c r="AA30" i="42"/>
  <c r="Z30" i="42"/>
  <c r="Y30" i="42"/>
  <c r="X30" i="42"/>
  <c r="W30" i="42"/>
  <c r="V30" i="42"/>
  <c r="U30" i="42"/>
  <c r="T30" i="42"/>
  <c r="S30" i="42"/>
  <c r="O30" i="42"/>
  <c r="D30" i="42"/>
  <c r="H30" i="42" s="1"/>
  <c r="AU29" i="42"/>
  <c r="AT29" i="42"/>
  <c r="AS29" i="42"/>
  <c r="AR29" i="42"/>
  <c r="AQ29" i="42"/>
  <c r="AP29" i="42"/>
  <c r="AO29" i="42"/>
  <c r="AN29" i="42"/>
  <c r="AM29" i="42"/>
  <c r="AL29" i="42"/>
  <c r="AK29" i="42"/>
  <c r="AJ29" i="42"/>
  <c r="AI29" i="42"/>
  <c r="AH29" i="42"/>
  <c r="AG29" i="42"/>
  <c r="AF29" i="42"/>
  <c r="AE29" i="42"/>
  <c r="AD29" i="42"/>
  <c r="AC29" i="42"/>
  <c r="AB29" i="42"/>
  <c r="AA29" i="42"/>
  <c r="Z29" i="42"/>
  <c r="Y29" i="42"/>
  <c r="X29" i="42"/>
  <c r="W29" i="42"/>
  <c r="V29" i="42"/>
  <c r="U29" i="42"/>
  <c r="T29" i="42"/>
  <c r="S29" i="42"/>
  <c r="O29" i="42"/>
  <c r="AU28" i="42"/>
  <c r="AT28" i="42"/>
  <c r="AS28" i="42"/>
  <c r="AR28" i="42"/>
  <c r="AQ28" i="42"/>
  <c r="AP28" i="42"/>
  <c r="AO28" i="42"/>
  <c r="AN28" i="42"/>
  <c r="AM28" i="42"/>
  <c r="AL28" i="42"/>
  <c r="AK28" i="42"/>
  <c r="AJ28" i="42"/>
  <c r="AI28" i="42"/>
  <c r="AH28" i="42"/>
  <c r="AG28" i="42"/>
  <c r="AF28" i="42"/>
  <c r="AE28" i="42"/>
  <c r="AD28" i="42"/>
  <c r="AC28" i="42"/>
  <c r="AB28" i="42"/>
  <c r="AA28" i="42"/>
  <c r="Z28" i="42"/>
  <c r="Y28" i="42"/>
  <c r="X28" i="42"/>
  <c r="W28" i="42"/>
  <c r="V28" i="42"/>
  <c r="U28" i="42"/>
  <c r="T28" i="42"/>
  <c r="S28" i="42"/>
  <c r="O28" i="42"/>
  <c r="E28" i="42"/>
  <c r="K28" i="42" s="1"/>
  <c r="AU27" i="42"/>
  <c r="AT27" i="42"/>
  <c r="AS27" i="42"/>
  <c r="AR27" i="42"/>
  <c r="AQ27" i="42"/>
  <c r="AP27" i="42"/>
  <c r="AO27" i="42"/>
  <c r="AN27" i="42"/>
  <c r="AM27" i="42"/>
  <c r="AL27" i="42"/>
  <c r="AK27" i="42"/>
  <c r="AJ27" i="42"/>
  <c r="AI27" i="42"/>
  <c r="AH27" i="42"/>
  <c r="AG27" i="42"/>
  <c r="AF27" i="42"/>
  <c r="AE27" i="42"/>
  <c r="AD27" i="42"/>
  <c r="AC27" i="42"/>
  <c r="AB27" i="42"/>
  <c r="AA27" i="42"/>
  <c r="Z27" i="42"/>
  <c r="Y27" i="42"/>
  <c r="X27" i="42"/>
  <c r="W27" i="42"/>
  <c r="V27" i="42"/>
  <c r="U27" i="42"/>
  <c r="T27" i="42"/>
  <c r="S27" i="42"/>
  <c r="O27" i="42"/>
  <c r="E27" i="42"/>
  <c r="K27" i="42" s="1"/>
  <c r="D27" i="42"/>
  <c r="J27" i="42" s="1"/>
  <c r="R27" i="42" s="1"/>
  <c r="AU26" i="42"/>
  <c r="AT26" i="42"/>
  <c r="AS26" i="42"/>
  <c r="AR26" i="42"/>
  <c r="AQ26" i="42"/>
  <c r="AP26" i="42"/>
  <c r="AO26" i="42"/>
  <c r="AN26" i="42"/>
  <c r="AM26" i="42"/>
  <c r="AL26" i="42"/>
  <c r="AK26" i="42"/>
  <c r="AJ26" i="42"/>
  <c r="AI26" i="42"/>
  <c r="AH26" i="42"/>
  <c r="AG26" i="42"/>
  <c r="AF26" i="42"/>
  <c r="AE26" i="42"/>
  <c r="AD26" i="42"/>
  <c r="AC26" i="42"/>
  <c r="AB26" i="42"/>
  <c r="AA26" i="42"/>
  <c r="Z26" i="42"/>
  <c r="Y26" i="42"/>
  <c r="X26" i="42"/>
  <c r="W26" i="42"/>
  <c r="V26" i="42"/>
  <c r="U26" i="42"/>
  <c r="T26" i="42"/>
  <c r="S26" i="42"/>
  <c r="O26" i="42"/>
  <c r="J26" i="42"/>
  <c r="R26" i="42" s="1"/>
  <c r="H26" i="42"/>
  <c r="AU25" i="42"/>
  <c r="AT25" i="42"/>
  <c r="AS25" i="42"/>
  <c r="AR25" i="42"/>
  <c r="AQ25" i="42"/>
  <c r="AP25" i="42"/>
  <c r="AO25" i="42"/>
  <c r="AN25" i="42"/>
  <c r="AM25" i="42"/>
  <c r="AL25" i="42"/>
  <c r="AK25" i="42"/>
  <c r="AJ25" i="42"/>
  <c r="AI25" i="42"/>
  <c r="AH25" i="42"/>
  <c r="AG25" i="42"/>
  <c r="AF25" i="42"/>
  <c r="AE25" i="42"/>
  <c r="AD25" i="42"/>
  <c r="AC25" i="42"/>
  <c r="AB25" i="42"/>
  <c r="AA25" i="42"/>
  <c r="Z25" i="42"/>
  <c r="Y25" i="42"/>
  <c r="X25" i="42"/>
  <c r="W25" i="42"/>
  <c r="V25" i="42"/>
  <c r="U25" i="42"/>
  <c r="T25" i="42"/>
  <c r="S25" i="42"/>
  <c r="O25" i="42"/>
  <c r="J25" i="42"/>
  <c r="R25" i="42" s="1"/>
  <c r="H25" i="42"/>
  <c r="AU24" i="42"/>
  <c r="AT24" i="42"/>
  <c r="AS24" i="42"/>
  <c r="AR24" i="42"/>
  <c r="AQ24" i="42"/>
  <c r="AP24" i="42"/>
  <c r="AO24" i="42"/>
  <c r="AN24" i="42"/>
  <c r="AM24" i="42"/>
  <c r="AL24" i="42"/>
  <c r="AK24" i="42"/>
  <c r="AJ24" i="42"/>
  <c r="AI24" i="42"/>
  <c r="AH24" i="42"/>
  <c r="AG24" i="42"/>
  <c r="AF24" i="42"/>
  <c r="AE24" i="42"/>
  <c r="AD24" i="42"/>
  <c r="AC24" i="42"/>
  <c r="AB24" i="42"/>
  <c r="AA24" i="42"/>
  <c r="Z24" i="42"/>
  <c r="Y24" i="42"/>
  <c r="X24" i="42"/>
  <c r="W24" i="42"/>
  <c r="V24" i="42"/>
  <c r="U24" i="42"/>
  <c r="T24" i="42"/>
  <c r="S24" i="42"/>
  <c r="O24" i="42"/>
  <c r="J24" i="42"/>
  <c r="H24" i="42"/>
  <c r="E24" i="42"/>
  <c r="F24" i="42" s="1"/>
  <c r="AX22" i="42"/>
  <c r="AW22" i="42"/>
  <c r="AV22" i="42"/>
  <c r="AV7" i="41" s="1"/>
  <c r="AU17" i="42"/>
  <c r="AT17" i="42"/>
  <c r="AS17" i="42"/>
  <c r="AR17" i="42"/>
  <c r="AQ17" i="42"/>
  <c r="AP17" i="42"/>
  <c r="AO17" i="42"/>
  <c r="AN17" i="42"/>
  <c r="AM17" i="42"/>
  <c r="AL17" i="42"/>
  <c r="AK17" i="42"/>
  <c r="AJ17" i="42"/>
  <c r="AI17" i="42"/>
  <c r="AH17" i="42"/>
  <c r="AG17" i="42"/>
  <c r="AF17" i="42"/>
  <c r="AE17" i="42"/>
  <c r="AD17" i="42"/>
  <c r="AC17" i="42"/>
  <c r="AB17" i="42"/>
  <c r="AA17" i="42"/>
  <c r="Z17" i="42"/>
  <c r="Y17" i="42"/>
  <c r="X17" i="42"/>
  <c r="W17" i="42"/>
  <c r="V17" i="42"/>
  <c r="U17" i="42"/>
  <c r="T17" i="42"/>
  <c r="S17" i="42"/>
  <c r="O17" i="42"/>
  <c r="AU16" i="42"/>
  <c r="AT16" i="42"/>
  <c r="AS16" i="42"/>
  <c r="AR16" i="42"/>
  <c r="AQ16" i="42"/>
  <c r="AP16" i="42"/>
  <c r="AO16" i="42"/>
  <c r="AN16" i="42"/>
  <c r="AM16" i="42"/>
  <c r="AL16" i="42"/>
  <c r="AK16" i="42"/>
  <c r="AJ16" i="42"/>
  <c r="AI16" i="42"/>
  <c r="AH16" i="42"/>
  <c r="AG16" i="42"/>
  <c r="AF16" i="42"/>
  <c r="AE16" i="42"/>
  <c r="AD16" i="42"/>
  <c r="AC16" i="42"/>
  <c r="AB16" i="42"/>
  <c r="AA16" i="42"/>
  <c r="Z16" i="42"/>
  <c r="Y16" i="42"/>
  <c r="X16" i="42"/>
  <c r="W16" i="42"/>
  <c r="V16" i="42"/>
  <c r="U16" i="42"/>
  <c r="T16" i="42"/>
  <c r="S16" i="42"/>
  <c r="O16" i="42"/>
  <c r="AU15" i="42"/>
  <c r="AT15" i="42"/>
  <c r="AS15" i="42"/>
  <c r="AR15" i="42"/>
  <c r="AQ15" i="42"/>
  <c r="AP15" i="42"/>
  <c r="AO15" i="42"/>
  <c r="AN15" i="42"/>
  <c r="AM15" i="42"/>
  <c r="AL15" i="42"/>
  <c r="AK15" i="42"/>
  <c r="AJ15" i="42"/>
  <c r="AI15" i="42"/>
  <c r="AH15" i="42"/>
  <c r="AG15" i="42"/>
  <c r="AF15" i="42"/>
  <c r="AE15" i="42"/>
  <c r="AD15" i="42"/>
  <c r="AC15" i="42"/>
  <c r="AB15" i="42"/>
  <c r="AA15" i="42"/>
  <c r="Z15" i="42"/>
  <c r="Y15" i="42"/>
  <c r="X15" i="42"/>
  <c r="W15" i="42"/>
  <c r="V15" i="42"/>
  <c r="U15" i="42"/>
  <c r="T15" i="42"/>
  <c r="S15" i="42"/>
  <c r="R15" i="42"/>
  <c r="O15" i="42"/>
  <c r="B15" i="42"/>
  <c r="AU14" i="42"/>
  <c r="AT14" i="42"/>
  <c r="AS14" i="42"/>
  <c r="AR14" i="42"/>
  <c r="AQ14" i="42"/>
  <c r="AP14" i="42"/>
  <c r="AO14" i="42"/>
  <c r="AN14" i="42"/>
  <c r="AM14" i="42"/>
  <c r="AL14" i="42"/>
  <c r="AK14" i="42"/>
  <c r="AJ14" i="42"/>
  <c r="AI14" i="42"/>
  <c r="AH14" i="42"/>
  <c r="AG14" i="42"/>
  <c r="AF14" i="42"/>
  <c r="AE14" i="42"/>
  <c r="AD14" i="42"/>
  <c r="AC14" i="42"/>
  <c r="AB14" i="42"/>
  <c r="AA14" i="42"/>
  <c r="Z14" i="42"/>
  <c r="Y14" i="42"/>
  <c r="X14" i="42"/>
  <c r="W14" i="42"/>
  <c r="V14" i="42"/>
  <c r="U14" i="42"/>
  <c r="T14" i="42"/>
  <c r="S14" i="42"/>
  <c r="O14" i="42"/>
  <c r="E14" i="42"/>
  <c r="K14" i="42" s="1"/>
  <c r="D14" i="42"/>
  <c r="AU13" i="42"/>
  <c r="AT13" i="42"/>
  <c r="AS13" i="42"/>
  <c r="AR13" i="42"/>
  <c r="AQ13" i="42"/>
  <c r="AP13" i="42"/>
  <c r="AO13" i="42"/>
  <c r="AN13" i="42"/>
  <c r="AM13" i="42"/>
  <c r="AL13" i="42"/>
  <c r="AK13" i="42"/>
  <c r="AJ13" i="42"/>
  <c r="AI13" i="42"/>
  <c r="AH13" i="42"/>
  <c r="AG13" i="42"/>
  <c r="AF13" i="42"/>
  <c r="AE13" i="42"/>
  <c r="AD13" i="42"/>
  <c r="AC13" i="42"/>
  <c r="AB13" i="42"/>
  <c r="AA13" i="42"/>
  <c r="Z13" i="42"/>
  <c r="Y13" i="42"/>
  <c r="X13" i="42"/>
  <c r="W13" i="42"/>
  <c r="V13" i="42"/>
  <c r="U13" i="42"/>
  <c r="T13" i="42"/>
  <c r="S13" i="42"/>
  <c r="O13" i="42"/>
  <c r="H13" i="42"/>
  <c r="E13" i="42"/>
  <c r="K13" i="42" s="1"/>
  <c r="D13" i="42"/>
  <c r="J13" i="42" s="1"/>
  <c r="R13" i="42" s="1"/>
  <c r="AU12" i="42"/>
  <c r="AT12" i="42"/>
  <c r="AS12" i="42"/>
  <c r="AR12" i="42"/>
  <c r="AQ12" i="42"/>
  <c r="AP12" i="42"/>
  <c r="AO12" i="42"/>
  <c r="AN12" i="42"/>
  <c r="AM12" i="42"/>
  <c r="AL12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S12" i="42"/>
  <c r="O12" i="42"/>
  <c r="E12" i="42"/>
  <c r="K12" i="42" s="1"/>
  <c r="D12" i="42"/>
  <c r="J12" i="42" s="1"/>
  <c r="R12" i="42" s="1"/>
  <c r="AU11" i="42"/>
  <c r="AT11" i="42"/>
  <c r="AS11" i="42"/>
  <c r="AR11" i="42"/>
  <c r="AQ11" i="42"/>
  <c r="AP11" i="42"/>
  <c r="AO11" i="42"/>
  <c r="AN11" i="42"/>
  <c r="AM11" i="42"/>
  <c r="AL11" i="42"/>
  <c r="AK11" i="42"/>
  <c r="AJ11" i="42"/>
  <c r="AI11" i="42"/>
  <c r="AH11" i="42"/>
  <c r="AG11" i="42"/>
  <c r="AF11" i="42"/>
  <c r="AE11" i="42"/>
  <c r="AD11" i="42"/>
  <c r="AC11" i="42"/>
  <c r="AB11" i="42"/>
  <c r="AA11" i="42"/>
  <c r="Z11" i="42"/>
  <c r="Y11" i="42"/>
  <c r="X11" i="42"/>
  <c r="W11" i="42"/>
  <c r="V11" i="42"/>
  <c r="U11" i="42"/>
  <c r="T11" i="42"/>
  <c r="S11" i="42"/>
  <c r="O11" i="42"/>
  <c r="J11" i="42"/>
  <c r="R11" i="42" s="1"/>
  <c r="H11" i="42"/>
  <c r="E11" i="42"/>
  <c r="F11" i="42" s="1"/>
  <c r="L11" i="42" s="1"/>
  <c r="AU10" i="42"/>
  <c r="AT10" i="42"/>
  <c r="AS10" i="42"/>
  <c r="AR10" i="42"/>
  <c r="AQ10" i="42"/>
  <c r="AP10" i="42"/>
  <c r="AO10" i="42"/>
  <c r="AN10" i="42"/>
  <c r="AM10" i="42"/>
  <c r="AL10" i="42"/>
  <c r="AK10" i="42"/>
  <c r="AJ10" i="42"/>
  <c r="AI10" i="42"/>
  <c r="AH10" i="42"/>
  <c r="AG10" i="42"/>
  <c r="AF10" i="42"/>
  <c r="AE10" i="42"/>
  <c r="AD10" i="42"/>
  <c r="AC10" i="42"/>
  <c r="AB10" i="42"/>
  <c r="AA10" i="42"/>
  <c r="Z10" i="42"/>
  <c r="Y10" i="42"/>
  <c r="X10" i="42"/>
  <c r="W10" i="42"/>
  <c r="V10" i="42"/>
  <c r="U10" i="42"/>
  <c r="T10" i="42"/>
  <c r="S10" i="42"/>
  <c r="O10" i="42"/>
  <c r="J10" i="42"/>
  <c r="R10" i="42" s="1"/>
  <c r="H10" i="42"/>
  <c r="AU9" i="42"/>
  <c r="AT9" i="42"/>
  <c r="AS9" i="42"/>
  <c r="AR9" i="42"/>
  <c r="AQ9" i="42"/>
  <c r="AP9" i="42"/>
  <c r="AO9" i="42"/>
  <c r="AN9" i="42"/>
  <c r="AM9" i="42"/>
  <c r="AL9" i="42"/>
  <c r="AK9" i="42"/>
  <c r="AJ9" i="42"/>
  <c r="AI9" i="42"/>
  <c r="AH9" i="42"/>
  <c r="AG9" i="42"/>
  <c r="AF9" i="42"/>
  <c r="AE9" i="42"/>
  <c r="AD9" i="42"/>
  <c r="AC9" i="42"/>
  <c r="AB9" i="42"/>
  <c r="AA9" i="42"/>
  <c r="Z9" i="42"/>
  <c r="Y9" i="42"/>
  <c r="X9" i="42"/>
  <c r="W9" i="42"/>
  <c r="V9" i="42"/>
  <c r="U9" i="42"/>
  <c r="T9" i="42"/>
  <c r="S9" i="42"/>
  <c r="O9" i="42"/>
  <c r="J9" i="42"/>
  <c r="R9" i="42" s="1"/>
  <c r="H9" i="42"/>
  <c r="AU8" i="42"/>
  <c r="AT8" i="42"/>
  <c r="AS8" i="42"/>
  <c r="AR8" i="42"/>
  <c r="AQ8" i="42"/>
  <c r="AP8" i="42"/>
  <c r="AO8" i="42"/>
  <c r="AN8" i="42"/>
  <c r="AM8" i="42"/>
  <c r="AL8" i="42"/>
  <c r="AK8" i="42"/>
  <c r="AJ8" i="42"/>
  <c r="AI8" i="42"/>
  <c r="AH8" i="42"/>
  <c r="AG8" i="42"/>
  <c r="AF8" i="42"/>
  <c r="AE8" i="42"/>
  <c r="AD8" i="42"/>
  <c r="AC8" i="42"/>
  <c r="AB8" i="42"/>
  <c r="AA8" i="42"/>
  <c r="Z8" i="42"/>
  <c r="Y8" i="42"/>
  <c r="X8" i="42"/>
  <c r="W8" i="42"/>
  <c r="V8" i="42"/>
  <c r="U8" i="42"/>
  <c r="T8" i="42"/>
  <c r="S8" i="42"/>
  <c r="O8" i="42"/>
  <c r="D8" i="42"/>
  <c r="J8" i="42" s="1"/>
  <c r="R8" i="42" s="1"/>
  <c r="AU7" i="42"/>
  <c r="AT7" i="42"/>
  <c r="AS7" i="42"/>
  <c r="AR7" i="42"/>
  <c r="AQ7" i="42"/>
  <c r="AP7" i="42"/>
  <c r="AO7" i="42"/>
  <c r="AN7" i="42"/>
  <c r="AM7" i="42"/>
  <c r="AL7" i="42"/>
  <c r="AK7" i="42"/>
  <c r="AJ7" i="42"/>
  <c r="AI7" i="42"/>
  <c r="AH7" i="42"/>
  <c r="AG7" i="42"/>
  <c r="AF7" i="42"/>
  <c r="AE7" i="42"/>
  <c r="AD7" i="42"/>
  <c r="AC7" i="42"/>
  <c r="AB7" i="42"/>
  <c r="AA7" i="42"/>
  <c r="Z7" i="42"/>
  <c r="Y7" i="42"/>
  <c r="X7" i="42"/>
  <c r="W7" i="42"/>
  <c r="V7" i="42"/>
  <c r="U7" i="42"/>
  <c r="T7" i="42"/>
  <c r="S7" i="42"/>
  <c r="O7" i="42"/>
  <c r="D7" i="42"/>
  <c r="J7" i="42" s="1"/>
  <c r="R7" i="42" s="1"/>
  <c r="AU6" i="42"/>
  <c r="AT6" i="42"/>
  <c r="AS6" i="42"/>
  <c r="AR6" i="42"/>
  <c r="AQ6" i="42"/>
  <c r="AP6" i="42"/>
  <c r="AO6" i="42"/>
  <c r="AN6" i="42"/>
  <c r="AM6" i="42"/>
  <c r="AL6" i="42"/>
  <c r="AK6" i="42"/>
  <c r="AJ6" i="42"/>
  <c r="AI6" i="42"/>
  <c r="AH6" i="42"/>
  <c r="AG6" i="42"/>
  <c r="AF6" i="42"/>
  <c r="AE6" i="42"/>
  <c r="AD6" i="42"/>
  <c r="AC6" i="42"/>
  <c r="AB6" i="42"/>
  <c r="AA6" i="42"/>
  <c r="Z6" i="42"/>
  <c r="Y6" i="42"/>
  <c r="X6" i="42"/>
  <c r="W6" i="42"/>
  <c r="V6" i="42"/>
  <c r="U6" i="42"/>
  <c r="T6" i="42"/>
  <c r="S6" i="42"/>
  <c r="O6" i="42"/>
  <c r="E6" i="42"/>
  <c r="K6" i="42" s="1"/>
  <c r="D6" i="42"/>
  <c r="AV11" i="41"/>
  <c r="AV10" i="41"/>
  <c r="AV9" i="41"/>
  <c r="G134" i="42" l="1"/>
  <c r="K134" i="42" s="1"/>
  <c r="K120" i="42"/>
  <c r="E30" i="42"/>
  <c r="K30" i="42" s="1"/>
  <c r="G209" i="42"/>
  <c r="K209" i="42" s="1"/>
  <c r="G89" i="42"/>
  <c r="K89" i="42" s="1"/>
  <c r="G14" i="45"/>
  <c r="K14" i="45" s="1"/>
  <c r="G35" i="45"/>
  <c r="H35" i="45" s="1"/>
  <c r="G228" i="45"/>
  <c r="K228" i="45" s="1"/>
  <c r="E27" i="45"/>
  <c r="K27" i="45" s="1"/>
  <c r="G102" i="45"/>
  <c r="K102" i="45" s="1"/>
  <c r="G151" i="45"/>
  <c r="K151" i="45" s="1"/>
  <c r="G84" i="45"/>
  <c r="K84" i="45" s="1"/>
  <c r="G15" i="45"/>
  <c r="K15" i="45" s="1"/>
  <c r="F61" i="42"/>
  <c r="E206" i="45"/>
  <c r="K206" i="45" s="1"/>
  <c r="E380" i="45"/>
  <c r="E355" i="45"/>
  <c r="K355" i="45" s="1"/>
  <c r="E252" i="45"/>
  <c r="F252" i="45" s="1"/>
  <c r="G56" i="45"/>
  <c r="H56" i="45" s="1"/>
  <c r="E233" i="45"/>
  <c r="K233" i="45" s="1"/>
  <c r="E241" i="45"/>
  <c r="E10" i="42"/>
  <c r="F10" i="42" s="1"/>
  <c r="L10" i="42" s="1"/>
  <c r="E166" i="45"/>
  <c r="F166" i="45" s="1"/>
  <c r="E108" i="42"/>
  <c r="K108" i="42" s="1"/>
  <c r="E7" i="42"/>
  <c r="K7" i="42" s="1"/>
  <c r="E34" i="45"/>
  <c r="K34" i="45" s="1"/>
  <c r="E113" i="42"/>
  <c r="K113" i="42" s="1"/>
  <c r="E224" i="45"/>
  <c r="E122" i="42"/>
  <c r="E161" i="42"/>
  <c r="K161" i="42" s="1"/>
  <c r="E316" i="45"/>
  <c r="E382" i="45"/>
  <c r="K382" i="45" s="1"/>
  <c r="E236" i="45"/>
  <c r="F236" i="45" s="1"/>
  <c r="L236" i="45" s="1"/>
  <c r="E304" i="45"/>
  <c r="K304" i="45" s="1"/>
  <c r="E39" i="42"/>
  <c r="K39" i="42" s="1"/>
  <c r="F71" i="42"/>
  <c r="L71" i="42" s="1"/>
  <c r="E176" i="45"/>
  <c r="K176" i="45" s="1"/>
  <c r="E186" i="42"/>
  <c r="K186" i="42" s="1"/>
  <c r="E41" i="45"/>
  <c r="K41" i="45" s="1"/>
  <c r="E72" i="42"/>
  <c r="K72" i="42" s="1"/>
  <c r="E65" i="42"/>
  <c r="K65" i="42" s="1"/>
  <c r="E128" i="45"/>
  <c r="K128" i="45" s="1"/>
  <c r="E46" i="42"/>
  <c r="K46" i="42" s="1"/>
  <c r="E124" i="42"/>
  <c r="F124" i="42" s="1"/>
  <c r="L124" i="42" s="1"/>
  <c r="E322" i="45"/>
  <c r="K322" i="45" s="1"/>
  <c r="E267" i="45"/>
  <c r="K267" i="45" s="1"/>
  <c r="E366" i="45"/>
  <c r="F366" i="45" s="1"/>
  <c r="L366" i="45" s="1"/>
  <c r="G211" i="45"/>
  <c r="K211" i="45" s="1"/>
  <c r="E13" i="45"/>
  <c r="K13" i="45" s="1"/>
  <c r="E244" i="45"/>
  <c r="F244" i="45" s="1"/>
  <c r="L244" i="45" s="1"/>
  <c r="E373" i="45"/>
  <c r="K373" i="45" s="1"/>
  <c r="E374" i="45"/>
  <c r="F374" i="45" s="1"/>
  <c r="L374" i="45" s="1"/>
  <c r="G116" i="45"/>
  <c r="H116" i="45" s="1"/>
  <c r="E117" i="45" s="1"/>
  <c r="F117" i="45" s="1"/>
  <c r="L117" i="45" s="1"/>
  <c r="E156" i="45"/>
  <c r="F156" i="45" s="1"/>
  <c r="G16" i="42"/>
  <c r="K16" i="42" s="1"/>
  <c r="F114" i="42"/>
  <c r="E159" i="45"/>
  <c r="K159" i="45" s="1"/>
  <c r="E371" i="45"/>
  <c r="K371" i="45" s="1"/>
  <c r="E381" i="45"/>
  <c r="K381" i="45" s="1"/>
  <c r="E196" i="45"/>
  <c r="F196" i="45" s="1"/>
  <c r="L196" i="45" s="1"/>
  <c r="E193" i="42"/>
  <c r="K193" i="42" s="1"/>
  <c r="E198" i="42"/>
  <c r="K198" i="42" s="1"/>
  <c r="E9" i="42"/>
  <c r="F9" i="42" s="1"/>
  <c r="E98" i="42"/>
  <c r="F98" i="42" s="1"/>
  <c r="L98" i="42" s="1"/>
  <c r="E184" i="42"/>
  <c r="E121" i="42"/>
  <c r="F196" i="42"/>
  <c r="E183" i="42"/>
  <c r="K183" i="42" s="1"/>
  <c r="E167" i="42"/>
  <c r="F167" i="42" s="1"/>
  <c r="L167" i="42" s="1"/>
  <c r="E234" i="45"/>
  <c r="K234" i="45" s="1"/>
  <c r="E20" i="45"/>
  <c r="F20" i="45" s="1"/>
  <c r="E310" i="45"/>
  <c r="K310" i="45" s="1"/>
  <c r="E298" i="45"/>
  <c r="E164" i="42"/>
  <c r="F164" i="42" s="1"/>
  <c r="L164" i="42" s="1"/>
  <c r="H29" i="42"/>
  <c r="J29" i="42"/>
  <c r="R29" i="42" s="1"/>
  <c r="H176" i="42"/>
  <c r="J176" i="42"/>
  <c r="R176" i="42" s="1"/>
  <c r="F193" i="42"/>
  <c r="L193" i="42" s="1"/>
  <c r="G130" i="42"/>
  <c r="H130" i="42" s="1"/>
  <c r="G195" i="42"/>
  <c r="H195" i="42" s="1"/>
  <c r="G84" i="42"/>
  <c r="H84" i="42" s="1"/>
  <c r="I174" i="42"/>
  <c r="J174" i="42" s="1"/>
  <c r="R174" i="42" s="1"/>
  <c r="I128" i="42"/>
  <c r="J128" i="42" s="1"/>
  <c r="R128" i="42" s="1"/>
  <c r="J32" i="42"/>
  <c r="R32" i="42" s="1"/>
  <c r="H32" i="42"/>
  <c r="H74" i="42"/>
  <c r="J74" i="42"/>
  <c r="R74" i="42" s="1"/>
  <c r="J87" i="42"/>
  <c r="R87" i="42" s="1"/>
  <c r="H87" i="42"/>
  <c r="G64" i="45"/>
  <c r="H64" i="45" s="1"/>
  <c r="G210" i="42"/>
  <c r="K210" i="42" s="1"/>
  <c r="G22" i="45"/>
  <c r="K22" i="45" s="1"/>
  <c r="G349" i="45"/>
  <c r="K349" i="45" s="1"/>
  <c r="H82" i="42"/>
  <c r="F119" i="42"/>
  <c r="L119" i="42" s="1"/>
  <c r="F166" i="42"/>
  <c r="H177" i="42"/>
  <c r="AN274" i="42"/>
  <c r="AN11" i="41" s="1"/>
  <c r="L242" i="42"/>
  <c r="G57" i="45"/>
  <c r="H57" i="45" s="1"/>
  <c r="L57" i="45" s="1"/>
  <c r="G191" i="45"/>
  <c r="H12" i="42"/>
  <c r="L96" i="42"/>
  <c r="K112" i="42"/>
  <c r="F165" i="42"/>
  <c r="L165" i="42" s="1"/>
  <c r="F191" i="42"/>
  <c r="L191" i="42" s="1"/>
  <c r="G7" i="45"/>
  <c r="K7" i="45" s="1"/>
  <c r="G42" i="45"/>
  <c r="K42" i="45" s="1"/>
  <c r="G161" i="45"/>
  <c r="H161" i="45" s="1"/>
  <c r="G274" i="45"/>
  <c r="H274" i="45" s="1"/>
  <c r="L274" i="45" s="1"/>
  <c r="G90" i="42"/>
  <c r="K90" i="42" s="1"/>
  <c r="E149" i="45"/>
  <c r="F149" i="45" s="1"/>
  <c r="G17" i="42"/>
  <c r="K17" i="42" s="1"/>
  <c r="H59" i="42"/>
  <c r="F179" i="42"/>
  <c r="L179" i="42" s="1"/>
  <c r="F185" i="42"/>
  <c r="L185" i="42" s="1"/>
  <c r="G8" i="45"/>
  <c r="K8" i="45" s="1"/>
  <c r="G43" i="45"/>
  <c r="K43" i="45" s="1"/>
  <c r="G130" i="45"/>
  <c r="K130" i="45" s="1"/>
  <c r="G171" i="45"/>
  <c r="K171" i="45" s="1"/>
  <c r="E365" i="45"/>
  <c r="K365" i="45" s="1"/>
  <c r="H375" i="45"/>
  <c r="H56" i="44" s="1"/>
  <c r="I56" i="44" s="1"/>
  <c r="G194" i="42" s="1"/>
  <c r="H194" i="42" s="1"/>
  <c r="F14" i="42"/>
  <c r="L14" i="42" s="1"/>
  <c r="J59" i="42"/>
  <c r="R59" i="42" s="1"/>
  <c r="K180" i="42"/>
  <c r="F189" i="42"/>
  <c r="L189" i="42" s="1"/>
  <c r="E142" i="45"/>
  <c r="F142" i="45" s="1"/>
  <c r="L142" i="45" s="1"/>
  <c r="G201" i="45"/>
  <c r="K201" i="45" s="1"/>
  <c r="J55" i="42"/>
  <c r="R55" i="42" s="1"/>
  <c r="G28" i="45"/>
  <c r="K28" i="45" s="1"/>
  <c r="G36" i="45"/>
  <c r="K36" i="45" s="1"/>
  <c r="G74" i="45"/>
  <c r="K74" i="45" s="1"/>
  <c r="G89" i="45"/>
  <c r="H89" i="45" s="1"/>
  <c r="E90" i="45" s="1"/>
  <c r="G123" i="45"/>
  <c r="H123" i="45" s="1"/>
  <c r="E124" i="45" s="1"/>
  <c r="K124" i="45" s="1"/>
  <c r="E189" i="45"/>
  <c r="F189" i="45" s="1"/>
  <c r="L189" i="45" s="1"/>
  <c r="L268" i="45"/>
  <c r="G63" i="45"/>
  <c r="K63" i="45" s="1"/>
  <c r="E135" i="45"/>
  <c r="K135" i="45" s="1"/>
  <c r="G276" i="45"/>
  <c r="H276" i="45" s="1"/>
  <c r="L276" i="45" s="1"/>
  <c r="L45" i="42"/>
  <c r="H65" i="42"/>
  <c r="G21" i="45"/>
  <c r="K21" i="45" s="1"/>
  <c r="G181" i="45"/>
  <c r="H181" i="45" s="1"/>
  <c r="L181" i="45" s="1"/>
  <c r="G219" i="45"/>
  <c r="H219" i="45" s="1"/>
  <c r="L219" i="45" s="1"/>
  <c r="J319" i="45"/>
  <c r="J48" i="44" s="1"/>
  <c r="K48" i="44" s="1"/>
  <c r="I116" i="42" s="1"/>
  <c r="J116" i="42" s="1"/>
  <c r="R116" i="42" s="1"/>
  <c r="G29" i="45"/>
  <c r="K29" i="45" s="1"/>
  <c r="J31" i="45"/>
  <c r="J8" i="44" s="1"/>
  <c r="K8" i="44" s="1"/>
  <c r="I100" i="42" s="1"/>
  <c r="J100" i="42" s="1"/>
  <c r="R100" i="42" s="1"/>
  <c r="J45" i="45"/>
  <c r="J10" i="44" s="1"/>
  <c r="K10" i="44" s="1"/>
  <c r="L306" i="45"/>
  <c r="L260" i="45"/>
  <c r="J325" i="45"/>
  <c r="J49" i="44" s="1"/>
  <c r="J343" i="45"/>
  <c r="J52" i="44" s="1"/>
  <c r="J375" i="45"/>
  <c r="J56" i="44" s="1"/>
  <c r="K56" i="44" s="1"/>
  <c r="I194" i="42" s="1"/>
  <c r="J194" i="42" s="1"/>
  <c r="R194" i="42" s="1"/>
  <c r="H367" i="45"/>
  <c r="H55" i="44" s="1"/>
  <c r="I55" i="44" s="1"/>
  <c r="G83" i="42" s="1"/>
  <c r="H83" i="42" s="1"/>
  <c r="K266" i="45"/>
  <c r="H301" i="45"/>
  <c r="H45" i="44" s="1"/>
  <c r="I45" i="44" s="1"/>
  <c r="G200" i="42" s="1"/>
  <c r="H200" i="42" s="1"/>
  <c r="L258" i="45"/>
  <c r="K260" i="45"/>
  <c r="J301" i="45"/>
  <c r="J45" i="44" s="1"/>
  <c r="K45" i="44" s="1"/>
  <c r="I200" i="42" s="1"/>
  <c r="J200" i="42" s="1"/>
  <c r="R200" i="42" s="1"/>
  <c r="H313" i="45"/>
  <c r="H47" i="44" s="1"/>
  <c r="I47" i="44" s="1"/>
  <c r="G115" i="42" s="1"/>
  <c r="H115" i="42" s="1"/>
  <c r="J183" i="45"/>
  <c r="J30" i="44" s="1"/>
  <c r="K30" i="44" s="1"/>
  <c r="I105" i="42" s="1"/>
  <c r="J105" i="42" s="1"/>
  <c r="R105" i="42" s="1"/>
  <c r="L252" i="45"/>
  <c r="J313" i="45"/>
  <c r="J47" i="44" s="1"/>
  <c r="K47" i="44" s="1"/>
  <c r="I115" i="42" s="1"/>
  <c r="J115" i="42" s="1"/>
  <c r="R115" i="42" s="1"/>
  <c r="J59" i="45"/>
  <c r="J12" i="44" s="1"/>
  <c r="K12" i="44" s="1"/>
  <c r="I157" i="42" s="1"/>
  <c r="J157" i="42" s="1"/>
  <c r="R157" i="42" s="1"/>
  <c r="J383" i="45"/>
  <c r="J57" i="44" s="1"/>
  <c r="K57" i="44" s="1"/>
  <c r="I84" i="42" s="1"/>
  <c r="J84" i="42" s="1"/>
  <c r="R84" i="42" s="1"/>
  <c r="J125" i="45"/>
  <c r="J23" i="44" s="1"/>
  <c r="K23" i="44" s="1"/>
  <c r="I49" i="42" s="1"/>
  <c r="J49" i="42" s="1"/>
  <c r="R49" i="42" s="1"/>
  <c r="L168" i="45"/>
  <c r="J221" i="45"/>
  <c r="J34" i="44" s="1"/>
  <c r="K34" i="44" s="1"/>
  <c r="I356" i="45" s="1"/>
  <c r="J356" i="45" s="1"/>
  <c r="H319" i="45"/>
  <c r="H48" i="44" s="1"/>
  <c r="I48" i="44" s="1"/>
  <c r="G116" i="42" s="1"/>
  <c r="H116" i="42" s="1"/>
  <c r="H331" i="45"/>
  <c r="H50" i="44" s="1"/>
  <c r="I50" i="44" s="1"/>
  <c r="L370" i="45"/>
  <c r="J230" i="45"/>
  <c r="J35" i="44" s="1"/>
  <c r="K35" i="44" s="1"/>
  <c r="I99" i="42" s="1"/>
  <c r="J99" i="42" s="1"/>
  <c r="R99" i="42" s="1"/>
  <c r="H325" i="45"/>
  <c r="H49" i="44" s="1"/>
  <c r="I49" i="44" s="1"/>
  <c r="G203" i="42" s="1"/>
  <c r="H203" i="42" s="1"/>
  <c r="J337" i="45"/>
  <c r="J51" i="44" s="1"/>
  <c r="K51" i="44" s="1"/>
  <c r="I205" i="42" s="1"/>
  <c r="J205" i="42" s="1"/>
  <c r="R205" i="42" s="1"/>
  <c r="F340" i="45"/>
  <c r="L340" i="45" s="1"/>
  <c r="F62" i="45"/>
  <c r="L62" i="45" s="1"/>
  <c r="J115" i="45"/>
  <c r="L115" i="45" s="1"/>
  <c r="F216" i="45"/>
  <c r="L216" i="45" s="1"/>
  <c r="K219" i="45"/>
  <c r="F341" i="45"/>
  <c r="K370" i="45"/>
  <c r="K35" i="45"/>
  <c r="F226" i="45"/>
  <c r="L226" i="45" s="1"/>
  <c r="J129" i="45"/>
  <c r="J132" i="45" s="1"/>
  <c r="J24" i="44" s="1"/>
  <c r="K24" i="44" s="1"/>
  <c r="I50" i="42" s="1"/>
  <c r="J50" i="42" s="1"/>
  <c r="R50" i="42" s="1"/>
  <c r="K374" i="45"/>
  <c r="E70" i="45"/>
  <c r="F70" i="45" s="1"/>
  <c r="L70" i="45" s="1"/>
  <c r="H146" i="45"/>
  <c r="H26" i="44" s="1"/>
  <c r="I26" i="44" s="1"/>
  <c r="G261" i="45" s="1"/>
  <c r="H261" i="45" s="1"/>
  <c r="H262" i="45" s="1"/>
  <c r="H39" i="44" s="1"/>
  <c r="I39" i="44" s="1"/>
  <c r="G69" i="42" s="1"/>
  <c r="H69" i="42" s="1"/>
  <c r="K168" i="45"/>
  <c r="K250" i="45"/>
  <c r="F209" i="45"/>
  <c r="L209" i="45" s="1"/>
  <c r="F324" i="45"/>
  <c r="L324" i="45" s="1"/>
  <c r="K342" i="45"/>
  <c r="K50" i="45"/>
  <c r="H81" i="45"/>
  <c r="H16" i="44" s="1"/>
  <c r="I16" i="44" s="1"/>
  <c r="G126" i="42" s="1"/>
  <c r="H126" i="42" s="1"/>
  <c r="K108" i="45"/>
  <c r="J143" i="45"/>
  <c r="L143" i="45" s="1"/>
  <c r="K306" i="45"/>
  <c r="F312" i="45"/>
  <c r="L312" i="45" s="1"/>
  <c r="L144" i="45"/>
  <c r="K242" i="45"/>
  <c r="K198" i="45"/>
  <c r="K293" i="45"/>
  <c r="H15" i="45"/>
  <c r="L15" i="45" s="1"/>
  <c r="K362" i="45"/>
  <c r="K96" i="42"/>
  <c r="K24" i="42"/>
  <c r="F175" i="42"/>
  <c r="F176" i="42"/>
  <c r="L176" i="42" s="1"/>
  <c r="F28" i="42"/>
  <c r="H28" i="42"/>
  <c r="J28" i="42"/>
  <c r="R28" i="42" s="1"/>
  <c r="G202" i="42"/>
  <c r="H202" i="42" s="1"/>
  <c r="G77" i="42"/>
  <c r="H77" i="42" s="1"/>
  <c r="K49" i="44"/>
  <c r="I77" i="42"/>
  <c r="J77" i="42" s="1"/>
  <c r="R77" i="42" s="1"/>
  <c r="G78" i="42"/>
  <c r="H78" i="42" s="1"/>
  <c r="G204" i="42"/>
  <c r="H204" i="42" s="1"/>
  <c r="F29" i="42"/>
  <c r="L29" i="42" s="1"/>
  <c r="F44" i="42"/>
  <c r="L44" i="42" s="1"/>
  <c r="H86" i="42"/>
  <c r="F109" i="42"/>
  <c r="L109" i="42" s="1"/>
  <c r="K159" i="42"/>
  <c r="F160" i="42"/>
  <c r="L160" i="42" s="1"/>
  <c r="AF274" i="42"/>
  <c r="AF11" i="41" s="1"/>
  <c r="L231" i="42"/>
  <c r="H20" i="43"/>
  <c r="H21" i="43" s="1"/>
  <c r="D17" i="42" s="1"/>
  <c r="H118" i="45"/>
  <c r="H22" i="44" s="1"/>
  <c r="I22" i="44" s="1"/>
  <c r="G48" i="42" s="1"/>
  <c r="H48" i="42" s="1"/>
  <c r="K122" i="45"/>
  <c r="K11" i="42"/>
  <c r="H58" i="42"/>
  <c r="L166" i="42"/>
  <c r="AG274" i="42"/>
  <c r="AG11" i="41" s="1"/>
  <c r="L243" i="42"/>
  <c r="J38" i="45"/>
  <c r="J9" i="44" s="1"/>
  <c r="K9" i="44" s="1"/>
  <c r="I101" i="42" s="1"/>
  <c r="J101" i="42" s="1"/>
  <c r="R101" i="42" s="1"/>
  <c r="J163" i="45"/>
  <c r="J28" i="44" s="1"/>
  <c r="K28" i="44" s="1"/>
  <c r="I33" i="42" s="1"/>
  <c r="J33" i="42" s="1"/>
  <c r="R33" i="42" s="1"/>
  <c r="H171" i="45"/>
  <c r="L171" i="45" s="1"/>
  <c r="F287" i="45"/>
  <c r="L287" i="45" s="1"/>
  <c r="F329" i="45"/>
  <c r="L329" i="45" s="1"/>
  <c r="F346" i="45"/>
  <c r="L346" i="45" s="1"/>
  <c r="F373" i="45"/>
  <c r="L373" i="45" s="1"/>
  <c r="L59" i="42"/>
  <c r="AH274" i="42"/>
  <c r="AH11" i="41" s="1"/>
  <c r="L224" i="42"/>
  <c r="L232" i="42"/>
  <c r="L266" i="45"/>
  <c r="H289" i="45"/>
  <c r="H43" i="44" s="1"/>
  <c r="I43" i="44" s="1"/>
  <c r="G76" i="42" s="1"/>
  <c r="H76" i="42" s="1"/>
  <c r="F355" i="45"/>
  <c r="L355" i="45" s="1"/>
  <c r="L111" i="42"/>
  <c r="S274" i="42"/>
  <c r="S11" i="41" s="1"/>
  <c r="L238" i="42"/>
  <c r="L252" i="42"/>
  <c r="L259" i="42"/>
  <c r="L9" i="42"/>
  <c r="H14" i="42"/>
  <c r="H31" i="42"/>
  <c r="F46" i="42"/>
  <c r="T274" i="42"/>
  <c r="T11" i="41" s="1"/>
  <c r="L225" i="42"/>
  <c r="J66" i="45"/>
  <c r="J13" i="44" s="1"/>
  <c r="K13" i="44" s="1"/>
  <c r="I103" i="42" s="1"/>
  <c r="J103" i="42" s="1"/>
  <c r="R103" i="42" s="1"/>
  <c r="J111" i="45"/>
  <c r="J21" i="44" s="1"/>
  <c r="K21" i="44" s="1"/>
  <c r="I47" i="42" s="1"/>
  <c r="J47" i="42" s="1"/>
  <c r="R47" i="42" s="1"/>
  <c r="L116" i="45"/>
  <c r="J173" i="45"/>
  <c r="J29" i="44" s="1"/>
  <c r="K29" i="44" s="1"/>
  <c r="I104" i="42" s="1"/>
  <c r="J104" i="42" s="1"/>
  <c r="R104" i="42" s="1"/>
  <c r="F323" i="45"/>
  <c r="L323" i="45" s="1"/>
  <c r="H343" i="45"/>
  <c r="H52" i="44" s="1"/>
  <c r="I52" i="44" s="1"/>
  <c r="J14" i="42"/>
  <c r="R14" i="42" s="1"/>
  <c r="U274" i="42"/>
  <c r="U11" i="41" s="1"/>
  <c r="F60" i="42"/>
  <c r="K111" i="42"/>
  <c r="L132" i="42"/>
  <c r="V274" i="42"/>
  <c r="V11" i="41" s="1"/>
  <c r="F55" i="45"/>
  <c r="L55" i="45" s="1"/>
  <c r="F41" i="42"/>
  <c r="L41" i="42" s="1"/>
  <c r="H60" i="42"/>
  <c r="F163" i="42"/>
  <c r="L163" i="42" s="1"/>
  <c r="AM274" i="42"/>
  <c r="AM11" i="41" s="1"/>
  <c r="L246" i="42"/>
  <c r="L254" i="42"/>
  <c r="F6" i="45"/>
  <c r="L6" i="45" s="1"/>
  <c r="F48" i="45"/>
  <c r="L48" i="45" s="1"/>
  <c r="K116" i="45"/>
  <c r="J150" i="45"/>
  <c r="J153" i="45" s="1"/>
  <c r="J27" i="44" s="1"/>
  <c r="K27" i="44" s="1"/>
  <c r="I269" i="45" s="1"/>
  <c r="J269" i="45" s="1"/>
  <c r="J270" i="45" s="1"/>
  <c r="J40" i="44" s="1"/>
  <c r="K40" i="44" s="1"/>
  <c r="I70" i="42" s="1"/>
  <c r="J70" i="42" s="1"/>
  <c r="R70" i="42" s="1"/>
  <c r="F159" i="45"/>
  <c r="L159" i="45" s="1"/>
  <c r="L198" i="45"/>
  <c r="F82" i="42"/>
  <c r="L82" i="42" s="1"/>
  <c r="K192" i="42"/>
  <c r="L250" i="45"/>
  <c r="K258" i="45"/>
  <c r="AO274" i="42"/>
  <c r="AO11" i="41" s="1"/>
  <c r="AE274" i="42"/>
  <c r="AE11" i="41" s="1"/>
  <c r="F54" i="42"/>
  <c r="H61" i="42"/>
  <c r="L61" i="42" s="1"/>
  <c r="F74" i="42"/>
  <c r="L74" i="42" s="1"/>
  <c r="H113" i="42"/>
  <c r="F181" i="42"/>
  <c r="L181" i="42" s="1"/>
  <c r="J17" i="45"/>
  <c r="J6" i="44" s="1"/>
  <c r="K6" i="44" s="1"/>
  <c r="I152" i="42" s="1"/>
  <c r="J152" i="42" s="1"/>
  <c r="R152" i="42" s="1"/>
  <c r="L56" i="45"/>
  <c r="H97" i="45"/>
  <c r="E98" i="45" s="1"/>
  <c r="F98" i="45" s="1"/>
  <c r="L98" i="45" s="1"/>
  <c r="F186" i="45"/>
  <c r="H295" i="45"/>
  <c r="H44" i="44" s="1"/>
  <c r="I44" i="44" s="1"/>
  <c r="G199" i="42" s="1"/>
  <c r="H199" i="42" s="1"/>
  <c r="H337" i="45"/>
  <c r="H51" i="44" s="1"/>
  <c r="I51" i="44" s="1"/>
  <c r="G205" i="42" s="1"/>
  <c r="H205" i="42" s="1"/>
  <c r="F42" i="42"/>
  <c r="L42" i="42" s="1"/>
  <c r="H54" i="42"/>
  <c r="F85" i="42"/>
  <c r="L85" i="42" s="1"/>
  <c r="H114" i="42"/>
  <c r="F129" i="42"/>
  <c r="F187" i="42"/>
  <c r="L187" i="42" s="1"/>
  <c r="AA274" i="42"/>
  <c r="AA11" i="41" s="1"/>
  <c r="AQ274" i="42"/>
  <c r="AQ11" i="41" s="1"/>
  <c r="L248" i="42"/>
  <c r="J295" i="45"/>
  <c r="J44" i="44" s="1"/>
  <c r="K44" i="44" s="1"/>
  <c r="I199" i="42" s="1"/>
  <c r="J199" i="42" s="1"/>
  <c r="R199" i="42" s="1"/>
  <c r="H7" i="42"/>
  <c r="J114" i="42"/>
  <c r="R114" i="42" s="1"/>
  <c r="F123" i="42"/>
  <c r="L123" i="42" s="1"/>
  <c r="H129" i="42"/>
  <c r="AB274" i="42"/>
  <c r="AB11" i="41" s="1"/>
  <c r="AR274" i="42"/>
  <c r="AR11" i="41" s="1"/>
  <c r="L229" i="42"/>
  <c r="H42" i="45"/>
  <c r="L42" i="45" s="1"/>
  <c r="L122" i="45"/>
  <c r="K144" i="45"/>
  <c r="F179" i="45"/>
  <c r="L179" i="45" s="1"/>
  <c r="K229" i="45"/>
  <c r="K268" i="45"/>
  <c r="L293" i="45"/>
  <c r="H8" i="42"/>
  <c r="H27" i="42"/>
  <c r="L43" i="42"/>
  <c r="F55" i="42"/>
  <c r="L55" i="42" s="1"/>
  <c r="F65" i="42"/>
  <c r="L65" i="42" s="1"/>
  <c r="K98" i="42"/>
  <c r="J175" i="42"/>
  <c r="R175" i="42" s="1"/>
  <c r="L222" i="42"/>
  <c r="AC274" i="42"/>
  <c r="AC11" i="41" s="1"/>
  <c r="AS274" i="42"/>
  <c r="AS11" i="41" s="1"/>
  <c r="L249" i="42"/>
  <c r="L242" i="45"/>
  <c r="J307" i="45"/>
  <c r="J46" i="44" s="1"/>
  <c r="K46" i="44" s="1"/>
  <c r="I201" i="42" s="1"/>
  <c r="J201" i="42" s="1"/>
  <c r="R201" i="42" s="1"/>
  <c r="F37" i="42"/>
  <c r="L37" i="42" s="1"/>
  <c r="F86" i="42"/>
  <c r="L86" i="42" s="1"/>
  <c r="AT274" i="42"/>
  <c r="AT11" i="41" s="1"/>
  <c r="L230" i="42"/>
  <c r="J10" i="45"/>
  <c r="J5" i="44" s="1"/>
  <c r="K5" i="44" s="1"/>
  <c r="I151" i="42" s="1"/>
  <c r="J151" i="42" s="1"/>
  <c r="R151" i="42" s="1"/>
  <c r="F379" i="45"/>
  <c r="L379" i="45" s="1"/>
  <c r="J331" i="45"/>
  <c r="J50" i="44" s="1"/>
  <c r="K50" i="44" s="1"/>
  <c r="AC22" i="42"/>
  <c r="AC7" i="41" s="1"/>
  <c r="AO22" i="42"/>
  <c r="AO7" i="41" s="1"/>
  <c r="J351" i="45"/>
  <c r="J53" i="44" s="1"/>
  <c r="K53" i="44" s="1"/>
  <c r="I357" i="45" s="1"/>
  <c r="J357" i="45" s="1"/>
  <c r="V94" i="42"/>
  <c r="V8" i="41" s="1"/>
  <c r="I107" i="42"/>
  <c r="J107" i="42" s="1"/>
  <c r="R107" i="42" s="1"/>
  <c r="I36" i="42"/>
  <c r="J36" i="42" s="1"/>
  <c r="R36" i="42" s="1"/>
  <c r="J203" i="45"/>
  <c r="J32" i="44" s="1"/>
  <c r="K32" i="44" s="1"/>
  <c r="I35" i="42" s="1"/>
  <c r="J35" i="42" s="1"/>
  <c r="R35" i="42" s="1"/>
  <c r="J193" i="45"/>
  <c r="J31" i="44" s="1"/>
  <c r="K31" i="44" s="1"/>
  <c r="I106" i="42" s="1"/>
  <c r="J106" i="42" s="1"/>
  <c r="R106" i="42" s="1"/>
  <c r="L161" i="45"/>
  <c r="I171" i="42"/>
  <c r="J171" i="42" s="1"/>
  <c r="R171" i="42" s="1"/>
  <c r="I127" i="42"/>
  <c r="J127" i="42" s="1"/>
  <c r="R127" i="42" s="1"/>
  <c r="F81" i="45"/>
  <c r="F16" i="44" s="1"/>
  <c r="L50" i="45"/>
  <c r="J52" i="45"/>
  <c r="J11" i="44" s="1"/>
  <c r="K11" i="44" s="1"/>
  <c r="I156" i="42" s="1"/>
  <c r="J156" i="42" s="1"/>
  <c r="R156" i="42" s="1"/>
  <c r="I102" i="42"/>
  <c r="J102" i="42" s="1"/>
  <c r="R102" i="42" s="1"/>
  <c r="I155" i="42"/>
  <c r="J155" i="42" s="1"/>
  <c r="R155" i="42" s="1"/>
  <c r="Y220" i="42"/>
  <c r="Y10" i="41" s="1"/>
  <c r="AL220" i="42"/>
  <c r="AL10" i="41" s="1"/>
  <c r="V148" i="42"/>
  <c r="V9" i="41" s="1"/>
  <c r="AH148" i="42"/>
  <c r="AH9" i="41" s="1"/>
  <c r="AT148" i="42"/>
  <c r="AT9" i="41" s="1"/>
  <c r="AQ148" i="42"/>
  <c r="AQ9" i="41" s="1"/>
  <c r="AB220" i="42"/>
  <c r="AB10" i="41" s="1"/>
  <c r="AN220" i="42"/>
  <c r="AN10" i="41" s="1"/>
  <c r="J135" i="42"/>
  <c r="R135" i="42" s="1"/>
  <c r="X148" i="42"/>
  <c r="X9" i="41" s="1"/>
  <c r="AJ148" i="42"/>
  <c r="AJ9" i="41" s="1"/>
  <c r="V22" i="42"/>
  <c r="V7" i="41" s="1"/>
  <c r="AK220" i="42"/>
  <c r="AK10" i="41" s="1"/>
  <c r="Z220" i="42"/>
  <c r="Z10" i="41" s="1"/>
  <c r="H132" i="43"/>
  <c r="H133" i="43" s="1"/>
  <c r="D210" i="42" s="1"/>
  <c r="J210" i="42" s="1"/>
  <c r="R210" i="42" s="1"/>
  <c r="W220" i="42"/>
  <c r="W10" i="41" s="1"/>
  <c r="AI220" i="42"/>
  <c r="AI10" i="41" s="1"/>
  <c r="AA220" i="42"/>
  <c r="AA10" i="41" s="1"/>
  <c r="AM220" i="42"/>
  <c r="AM10" i="41" s="1"/>
  <c r="AL148" i="42"/>
  <c r="AL9" i="41" s="1"/>
  <c r="H134" i="42"/>
  <c r="J134" i="42"/>
  <c r="R134" i="42" s="1"/>
  <c r="Z148" i="42"/>
  <c r="Z9" i="41" s="1"/>
  <c r="AL94" i="42"/>
  <c r="AL8" i="41" s="1"/>
  <c r="AR94" i="42"/>
  <c r="AR8" i="41" s="1"/>
  <c r="AO94" i="42"/>
  <c r="AO8" i="41" s="1"/>
  <c r="Z94" i="42"/>
  <c r="Z8" i="41" s="1"/>
  <c r="AA94" i="42"/>
  <c r="AA8" i="41" s="1"/>
  <c r="AM94" i="42"/>
  <c r="AM8" i="41" s="1"/>
  <c r="AT22" i="42"/>
  <c r="AT7" i="41" s="1"/>
  <c r="AH22" i="42"/>
  <c r="AH7" i="41" s="1"/>
  <c r="T22" i="42"/>
  <c r="T7" i="41" s="1"/>
  <c r="AF22" i="42"/>
  <c r="AF7" i="41" s="1"/>
  <c r="AR22" i="42"/>
  <c r="AR7" i="41" s="1"/>
  <c r="G20" i="43"/>
  <c r="G21" i="43" s="1"/>
  <c r="D16" i="42" s="1"/>
  <c r="J16" i="42" s="1"/>
  <c r="R16" i="42" s="1"/>
  <c r="U22" i="42"/>
  <c r="U7" i="41" s="1"/>
  <c r="AG22" i="42"/>
  <c r="AG7" i="41" s="1"/>
  <c r="AS22" i="42"/>
  <c r="AS7" i="41" s="1"/>
  <c r="AL22" i="42"/>
  <c r="AL7" i="41" s="1"/>
  <c r="Z22" i="42"/>
  <c r="Z7" i="41" s="1"/>
  <c r="AJ22" i="42"/>
  <c r="AJ7" i="41" s="1"/>
  <c r="X22" i="42"/>
  <c r="X7" i="41" s="1"/>
  <c r="S22" i="42"/>
  <c r="S7" i="41" s="1"/>
  <c r="AE22" i="42"/>
  <c r="AE7" i="41" s="1"/>
  <c r="AQ22" i="42"/>
  <c r="AQ7" i="41" s="1"/>
  <c r="K121" i="42"/>
  <c r="F121" i="42"/>
  <c r="L121" i="42" s="1"/>
  <c r="AD22" i="42"/>
  <c r="AD7" i="41" s="1"/>
  <c r="AP22" i="42"/>
  <c r="AP7" i="41" s="1"/>
  <c r="Y94" i="42"/>
  <c r="Y8" i="41" s="1"/>
  <c r="AK94" i="42"/>
  <c r="AK8" i="41" s="1"/>
  <c r="K156" i="45"/>
  <c r="E364" i="45"/>
  <c r="E372" i="45"/>
  <c r="J56" i="42"/>
  <c r="R56" i="42" s="1"/>
  <c r="H56" i="42"/>
  <c r="Y22" i="42"/>
  <c r="Y7" i="41" s="1"/>
  <c r="AK22" i="42"/>
  <c r="AK7" i="41" s="1"/>
  <c r="K9" i="42"/>
  <c r="AC94" i="42"/>
  <c r="AC8" i="41" s="1"/>
  <c r="L46" i="42"/>
  <c r="F56" i="42"/>
  <c r="J72" i="42"/>
  <c r="R72" i="42" s="1"/>
  <c r="H72" i="42"/>
  <c r="W22" i="42"/>
  <c r="W7" i="41" s="1"/>
  <c r="AI22" i="42"/>
  <c r="AI7" i="41" s="1"/>
  <c r="AU22" i="42"/>
  <c r="AU7" i="41" s="1"/>
  <c r="J62" i="42"/>
  <c r="R62" i="42" s="1"/>
  <c r="H62" i="42"/>
  <c r="AU220" i="42"/>
  <c r="AU10" i="41" s="1"/>
  <c r="K38" i="42"/>
  <c r="F38" i="42"/>
  <c r="L38" i="42" s="1"/>
  <c r="K167" i="42"/>
  <c r="S94" i="42"/>
  <c r="S8" i="41" s="1"/>
  <c r="AE94" i="42"/>
  <c r="AE8" i="41" s="1"/>
  <c r="AQ94" i="42"/>
  <c r="AQ8" i="41" s="1"/>
  <c r="E97" i="42"/>
  <c r="E25" i="42"/>
  <c r="T94" i="42"/>
  <c r="T8" i="41" s="1"/>
  <c r="AF94" i="42"/>
  <c r="AF8" i="41" s="1"/>
  <c r="F62" i="42"/>
  <c r="U94" i="42"/>
  <c r="U8" i="41" s="1"/>
  <c r="AG94" i="42"/>
  <c r="AG8" i="41" s="1"/>
  <c r="AS94" i="42"/>
  <c r="AS8" i="41" s="1"/>
  <c r="K26" i="42"/>
  <c r="F26" i="42"/>
  <c r="L26" i="42" s="1"/>
  <c r="AA148" i="42"/>
  <c r="AA9" i="41" s="1"/>
  <c r="AM148" i="42"/>
  <c r="AM9" i="41" s="1"/>
  <c r="K122" i="42"/>
  <c r="F122" i="42"/>
  <c r="L122" i="42" s="1"/>
  <c r="J6" i="42"/>
  <c r="H6" i="42"/>
  <c r="F6" i="42"/>
  <c r="AA22" i="42"/>
  <c r="AA7" i="41" s="1"/>
  <c r="AM22" i="42"/>
  <c r="AM7" i="41" s="1"/>
  <c r="AH94" i="42"/>
  <c r="AH8" i="41" s="1"/>
  <c r="AT94" i="42"/>
  <c r="AT8" i="41" s="1"/>
  <c r="AB148" i="42"/>
  <c r="AB9" i="41" s="1"/>
  <c r="AN148" i="42"/>
  <c r="AN9" i="41" s="1"/>
  <c r="F184" i="42"/>
  <c r="L184" i="42" s="1"/>
  <c r="K184" i="42"/>
  <c r="K241" i="45"/>
  <c r="F241" i="45"/>
  <c r="J63" i="42"/>
  <c r="R63" i="42" s="1"/>
  <c r="H63" i="42"/>
  <c r="F63" i="42"/>
  <c r="AB22" i="42"/>
  <c r="AB7" i="41" s="1"/>
  <c r="AN22" i="42"/>
  <c r="AN7" i="41" s="1"/>
  <c r="W94" i="42"/>
  <c r="W8" i="41" s="1"/>
  <c r="AI94" i="42"/>
  <c r="AI8" i="41" s="1"/>
  <c r="AU94" i="42"/>
  <c r="AU8" i="41" s="1"/>
  <c r="AC148" i="42"/>
  <c r="AC9" i="41" s="1"/>
  <c r="AO148" i="42"/>
  <c r="AO9" i="41" s="1"/>
  <c r="K135" i="42"/>
  <c r="H135" i="42"/>
  <c r="L135" i="42" s="1"/>
  <c r="E217" i="45"/>
  <c r="E347" i="45"/>
  <c r="J57" i="42"/>
  <c r="R57" i="42" s="1"/>
  <c r="H57" i="42"/>
  <c r="F57" i="42"/>
  <c r="L57" i="42" s="1"/>
  <c r="E121" i="45"/>
  <c r="E114" i="45"/>
  <c r="E107" i="45"/>
  <c r="J17" i="42"/>
  <c r="R17" i="42" s="1"/>
  <c r="X94" i="42"/>
  <c r="X8" i="41" s="1"/>
  <c r="AJ94" i="42"/>
  <c r="AJ8" i="41" s="1"/>
  <c r="J30" i="42"/>
  <c r="R30" i="42" s="1"/>
  <c r="F31" i="42"/>
  <c r="L31" i="42" s="1"/>
  <c r="K43" i="42"/>
  <c r="J75" i="42"/>
  <c r="R75" i="42" s="1"/>
  <c r="F81" i="42"/>
  <c r="L81" i="42" s="1"/>
  <c r="V220" i="42"/>
  <c r="V10" i="41" s="1"/>
  <c r="AH220" i="42"/>
  <c r="AH10" i="41" s="1"/>
  <c r="AT220" i="42"/>
  <c r="AT10" i="41" s="1"/>
  <c r="K188" i="42"/>
  <c r="F188" i="42"/>
  <c r="L188" i="42" s="1"/>
  <c r="I158" i="42"/>
  <c r="J158" i="42" s="1"/>
  <c r="R158" i="42" s="1"/>
  <c r="G348" i="45"/>
  <c r="G218" i="45"/>
  <c r="F12" i="42"/>
  <c r="F32" i="42"/>
  <c r="L32" i="42" s="1"/>
  <c r="K45" i="42"/>
  <c r="K54" i="42"/>
  <c r="K60" i="42"/>
  <c r="K80" i="42"/>
  <c r="L120" i="42"/>
  <c r="X220" i="42"/>
  <c r="X10" i="41" s="1"/>
  <c r="AJ220" i="42"/>
  <c r="AJ10" i="41" s="1"/>
  <c r="J136" i="45"/>
  <c r="J139" i="45" s="1"/>
  <c r="J25" i="44" s="1"/>
  <c r="K25" i="44" s="1"/>
  <c r="K136" i="45"/>
  <c r="F13" i="42"/>
  <c r="L13" i="42" s="1"/>
  <c r="L24" i="42"/>
  <c r="AB94" i="42"/>
  <c r="AB8" i="41" s="1"/>
  <c r="AN94" i="42"/>
  <c r="AN8" i="41" s="1"/>
  <c r="F27" i="42"/>
  <c r="AD148" i="42"/>
  <c r="AD9" i="41" s="1"/>
  <c r="AP148" i="42"/>
  <c r="AP9" i="41" s="1"/>
  <c r="R97" i="42"/>
  <c r="S148" i="42"/>
  <c r="S9" i="41" s="1"/>
  <c r="AE148" i="42"/>
  <c r="AE9" i="41" s="1"/>
  <c r="K168" i="42"/>
  <c r="F168" i="42"/>
  <c r="L168" i="42" s="1"/>
  <c r="K311" i="45"/>
  <c r="F311" i="45"/>
  <c r="K317" i="45"/>
  <c r="F317" i="45"/>
  <c r="L317" i="45" s="1"/>
  <c r="E243" i="45"/>
  <c r="E235" i="45"/>
  <c r="E259" i="45"/>
  <c r="E251" i="45"/>
  <c r="R24" i="42"/>
  <c r="AD94" i="42"/>
  <c r="AD8" i="41" s="1"/>
  <c r="AP94" i="42"/>
  <c r="AP8" i="41" s="1"/>
  <c r="F40" i="42"/>
  <c r="L40" i="42" s="1"/>
  <c r="T148" i="42"/>
  <c r="T9" i="41" s="1"/>
  <c r="AF148" i="42"/>
  <c r="AF9" i="41" s="1"/>
  <c r="AR148" i="42"/>
  <c r="AR9" i="41" s="1"/>
  <c r="K110" i="42"/>
  <c r="F110" i="42"/>
  <c r="L110" i="42" s="1"/>
  <c r="W274" i="42"/>
  <c r="W11" i="41" s="1"/>
  <c r="AI274" i="42"/>
  <c r="AI11" i="41" s="1"/>
  <c r="AU274" i="42"/>
  <c r="AU11" i="41" s="1"/>
  <c r="F7" i="42"/>
  <c r="F58" i="42"/>
  <c r="L58" i="42" s="1"/>
  <c r="F64" i="42"/>
  <c r="U148" i="42"/>
  <c r="U9" i="41" s="1"/>
  <c r="AG148" i="42"/>
  <c r="AG9" i="41" s="1"/>
  <c r="AS148" i="42"/>
  <c r="AS9" i="41" s="1"/>
  <c r="AC220" i="42"/>
  <c r="AC10" i="41" s="1"/>
  <c r="AO220" i="42"/>
  <c r="AO10" i="41" s="1"/>
  <c r="J197" i="42"/>
  <c r="R197" i="42" s="1"/>
  <c r="H197" i="42"/>
  <c r="F197" i="42"/>
  <c r="L223" i="42"/>
  <c r="K316" i="45"/>
  <c r="F316" i="45"/>
  <c r="H64" i="42"/>
  <c r="AD220" i="42"/>
  <c r="AD10" i="41" s="1"/>
  <c r="AP220" i="42"/>
  <c r="AP10" i="41" s="1"/>
  <c r="Y274" i="42"/>
  <c r="Y11" i="41" s="1"/>
  <c r="AK274" i="42"/>
  <c r="AK11" i="41" s="1"/>
  <c r="F224" i="45"/>
  <c r="K224" i="45"/>
  <c r="F8" i="42"/>
  <c r="F17" i="42"/>
  <c r="W148" i="42"/>
  <c r="W9" i="41" s="1"/>
  <c r="AI148" i="42"/>
  <c r="AI9" i="41" s="1"/>
  <c r="AU148" i="42"/>
  <c r="AU9" i="41" s="1"/>
  <c r="S220" i="42"/>
  <c r="S10" i="41" s="1"/>
  <c r="AE220" i="42"/>
  <c r="AE10" i="41" s="1"/>
  <c r="AQ220" i="42"/>
  <c r="AQ10" i="41" s="1"/>
  <c r="K190" i="42"/>
  <c r="F190" i="42"/>
  <c r="L190" i="42" s="1"/>
  <c r="H274" i="42"/>
  <c r="G11" i="41" s="1"/>
  <c r="H11" i="41" s="1"/>
  <c r="Z274" i="42"/>
  <c r="Z11" i="41" s="1"/>
  <c r="AL274" i="42"/>
  <c r="AL11" i="41" s="1"/>
  <c r="L228" i="42"/>
  <c r="F30" i="42"/>
  <c r="F75" i="42"/>
  <c r="L75" i="42" s="1"/>
  <c r="T220" i="42"/>
  <c r="T10" i="41" s="1"/>
  <c r="AF220" i="42"/>
  <c r="AF10" i="41" s="1"/>
  <c r="AR220" i="42"/>
  <c r="AR10" i="41" s="1"/>
  <c r="J196" i="42"/>
  <c r="R196" i="42" s="1"/>
  <c r="H196" i="42"/>
  <c r="J274" i="42"/>
  <c r="I11" i="41" s="1"/>
  <c r="J11" i="41" s="1"/>
  <c r="L244" i="42"/>
  <c r="L250" i="42"/>
  <c r="I170" i="42"/>
  <c r="J170" i="42" s="1"/>
  <c r="R170" i="42" s="1"/>
  <c r="I125" i="42"/>
  <c r="J125" i="42" s="1"/>
  <c r="R125" i="42" s="1"/>
  <c r="F87" i="42"/>
  <c r="Y148" i="42"/>
  <c r="Y9" i="41" s="1"/>
  <c r="AK148" i="42"/>
  <c r="AK9" i="41" s="1"/>
  <c r="U220" i="42"/>
  <c r="U10" i="41" s="1"/>
  <c r="AG220" i="42"/>
  <c r="AG10" i="41" s="1"/>
  <c r="AS220" i="42"/>
  <c r="AS10" i="41" s="1"/>
  <c r="L227" i="42"/>
  <c r="L234" i="42"/>
  <c r="L235" i="42"/>
  <c r="L257" i="42"/>
  <c r="H84" i="43"/>
  <c r="H85" i="43" s="1"/>
  <c r="D90" i="42" s="1"/>
  <c r="G132" i="43"/>
  <c r="G133" i="43" s="1"/>
  <c r="D209" i="42" s="1"/>
  <c r="F177" i="42"/>
  <c r="L177" i="42" s="1"/>
  <c r="X274" i="42"/>
  <c r="X11" i="41" s="1"/>
  <c r="AJ274" i="42"/>
  <c r="AJ11" i="41" s="1"/>
  <c r="L233" i="42"/>
  <c r="L256" i="42"/>
  <c r="K292" i="45"/>
  <c r="F292" i="45"/>
  <c r="K380" i="45"/>
  <c r="F380" i="45"/>
  <c r="L380" i="45" s="1"/>
  <c r="F150" i="42"/>
  <c r="F178" i="42"/>
  <c r="L255" i="42"/>
  <c r="H130" i="45"/>
  <c r="L130" i="45" s="1"/>
  <c r="H150" i="42"/>
  <c r="H178" i="42"/>
  <c r="F274" i="42"/>
  <c r="J24" i="45"/>
  <c r="J7" i="44" s="1"/>
  <c r="K7" i="44" s="1"/>
  <c r="I153" i="42" s="1"/>
  <c r="J153" i="42" s="1"/>
  <c r="R153" i="42" s="1"/>
  <c r="L241" i="42"/>
  <c r="L35" i="45"/>
  <c r="H91" i="45"/>
  <c r="H18" i="44" s="1"/>
  <c r="I18" i="44" s="1"/>
  <c r="G172" i="42" s="1"/>
  <c r="H172" i="42" s="1"/>
  <c r="K169" i="45"/>
  <c r="F169" i="45"/>
  <c r="L169" i="45" s="1"/>
  <c r="K158" i="45"/>
  <c r="F158" i="45"/>
  <c r="L158" i="45" s="1"/>
  <c r="K265" i="45"/>
  <c r="F265" i="45"/>
  <c r="F162" i="42"/>
  <c r="L162" i="42" s="1"/>
  <c r="F182" i="42"/>
  <c r="L182" i="42" s="1"/>
  <c r="R274" i="42"/>
  <c r="R11" i="41" s="1"/>
  <c r="AD274" i="42"/>
  <c r="AD11" i="41" s="1"/>
  <c r="AP274" i="42"/>
  <c r="AP11" i="41" s="1"/>
  <c r="L239" i="42"/>
  <c r="L159" i="42"/>
  <c r="F207" i="42"/>
  <c r="H207" i="42"/>
  <c r="L237" i="42"/>
  <c r="L258" i="42"/>
  <c r="K145" i="45"/>
  <c r="F145" i="45"/>
  <c r="L145" i="45" s="1"/>
  <c r="K328" i="45"/>
  <c r="F328" i="45"/>
  <c r="K334" i="45"/>
  <c r="F334" i="45"/>
  <c r="K52" i="44"/>
  <c r="L236" i="42"/>
  <c r="L245" i="42"/>
  <c r="L251" i="42"/>
  <c r="G84" i="43"/>
  <c r="G85" i="43" s="1"/>
  <c r="D89" i="42" s="1"/>
  <c r="K298" i="45"/>
  <c r="F298" i="45"/>
  <c r="G200" i="45"/>
  <c r="G170" i="45"/>
  <c r="G210" i="45"/>
  <c r="G180" i="45"/>
  <c r="G190" i="45"/>
  <c r="G160" i="45"/>
  <c r="L149" i="45"/>
  <c r="E187" i="45"/>
  <c r="L186" i="45"/>
  <c r="K199" i="45"/>
  <c r="F199" i="45"/>
  <c r="L199" i="45" s="1"/>
  <c r="H49" i="45"/>
  <c r="H52" i="45" s="1"/>
  <c r="H11" i="44" s="1"/>
  <c r="I11" i="44" s="1"/>
  <c r="G156" i="42" s="1"/>
  <c r="H156" i="42" s="1"/>
  <c r="L79" i="45"/>
  <c r="L108" i="45"/>
  <c r="L229" i="45"/>
  <c r="K249" i="45"/>
  <c r="F249" i="45"/>
  <c r="K300" i="45"/>
  <c r="F300" i="45"/>
  <c r="L300" i="45" s="1"/>
  <c r="K336" i="45"/>
  <c r="F336" i="45"/>
  <c r="L336" i="45" s="1"/>
  <c r="J367" i="45"/>
  <c r="J55" i="44" s="1"/>
  <c r="K55" i="44" s="1"/>
  <c r="I83" i="42" s="1"/>
  <c r="J83" i="42" s="1"/>
  <c r="R83" i="42" s="1"/>
  <c r="F13" i="45"/>
  <c r="F41" i="45"/>
  <c r="H74" i="45"/>
  <c r="L74" i="45" s="1"/>
  <c r="L342" i="45"/>
  <c r="K56" i="45"/>
  <c r="K79" i="45"/>
  <c r="K188" i="45"/>
  <c r="F188" i="45"/>
  <c r="L188" i="45" s="1"/>
  <c r="K294" i="45"/>
  <c r="F294" i="45"/>
  <c r="L294" i="45" s="1"/>
  <c r="H307" i="45"/>
  <c r="H46" i="44" s="1"/>
  <c r="I46" i="44" s="1"/>
  <c r="G201" i="42" s="1"/>
  <c r="H201" i="42" s="1"/>
  <c r="L362" i="45"/>
  <c r="K69" i="45"/>
  <c r="K117" i="45"/>
  <c r="K257" i="45"/>
  <c r="F257" i="45"/>
  <c r="K330" i="45"/>
  <c r="F330" i="45"/>
  <c r="L330" i="45" s="1"/>
  <c r="L69" i="45"/>
  <c r="K80" i="45"/>
  <c r="H273" i="45"/>
  <c r="H275" i="45"/>
  <c r="L275" i="45" s="1"/>
  <c r="F363" i="45"/>
  <c r="L363" i="45" s="1"/>
  <c r="F365" i="45"/>
  <c r="L365" i="45" s="1"/>
  <c r="F178" i="45"/>
  <c r="L178" i="45" s="1"/>
  <c r="F208" i="45"/>
  <c r="L208" i="45" s="1"/>
  <c r="F225" i="45"/>
  <c r="L225" i="45" s="1"/>
  <c r="F227" i="45"/>
  <c r="L227" i="45" s="1"/>
  <c r="F286" i="45"/>
  <c r="F288" i="45"/>
  <c r="L288" i="45" s="1"/>
  <c r="F305" i="45"/>
  <c r="L305" i="45" s="1"/>
  <c r="H109" i="45"/>
  <c r="H137" i="45"/>
  <c r="E138" i="45" s="1"/>
  <c r="F176" i="45"/>
  <c r="F206" i="45"/>
  <c r="F354" i="45"/>
  <c r="F378" i="45"/>
  <c r="F299" i="45"/>
  <c r="L299" i="45" s="1"/>
  <c r="F318" i="45"/>
  <c r="L318" i="45" s="1"/>
  <c r="F335" i="45"/>
  <c r="L335" i="45" s="1"/>
  <c r="H36" i="45" l="1"/>
  <c r="L36" i="45" s="1"/>
  <c r="K181" i="45"/>
  <c r="H7" i="45"/>
  <c r="L7" i="45" s="1"/>
  <c r="K124" i="42"/>
  <c r="K142" i="45"/>
  <c r="K149" i="45"/>
  <c r="K366" i="45"/>
  <c r="F183" i="42"/>
  <c r="L183" i="42" s="1"/>
  <c r="F71" i="45"/>
  <c r="L71" i="45" s="1"/>
  <c r="H228" i="45"/>
  <c r="F343" i="45"/>
  <c r="F52" i="44" s="1"/>
  <c r="G52" i="44" s="1"/>
  <c r="H21" i="45"/>
  <c r="H24" i="45" s="1"/>
  <c r="H7" i="44" s="1"/>
  <c r="I7" i="44" s="1"/>
  <c r="G153" i="42" s="1"/>
  <c r="H153" i="42" s="1"/>
  <c r="F382" i="45"/>
  <c r="L382" i="45" s="1"/>
  <c r="J146" i="45"/>
  <c r="J26" i="44" s="1"/>
  <c r="K26" i="44" s="1"/>
  <c r="I261" i="45" s="1"/>
  <c r="J261" i="45" s="1"/>
  <c r="J262" i="45" s="1"/>
  <c r="J39" i="44" s="1"/>
  <c r="K39" i="44" s="1"/>
  <c r="I69" i="42" s="1"/>
  <c r="J69" i="42" s="1"/>
  <c r="R69" i="42" s="1"/>
  <c r="K70" i="45"/>
  <c r="L114" i="42"/>
  <c r="F310" i="45"/>
  <c r="L310" i="45" s="1"/>
  <c r="E197" i="45"/>
  <c r="K197" i="45" s="1"/>
  <c r="H102" i="45"/>
  <c r="L102" i="45" s="1"/>
  <c r="F108" i="42"/>
  <c r="L108" i="42" s="1"/>
  <c r="F234" i="45"/>
  <c r="L234" i="45" s="1"/>
  <c r="H151" i="45"/>
  <c r="E152" i="45" s="1"/>
  <c r="K152" i="45" s="1"/>
  <c r="K189" i="45"/>
  <c r="F304" i="45"/>
  <c r="F307" i="45" s="1"/>
  <c r="K252" i="45"/>
  <c r="H17" i="42"/>
  <c r="L17" i="42" s="1"/>
  <c r="H211" i="45"/>
  <c r="L211" i="45" s="1"/>
  <c r="F128" i="45"/>
  <c r="L128" i="45" s="1"/>
  <c r="H84" i="45"/>
  <c r="L84" i="45" s="1"/>
  <c r="K196" i="45"/>
  <c r="K276" i="45"/>
  <c r="L341" i="45"/>
  <c r="K161" i="45"/>
  <c r="F27" i="45"/>
  <c r="L27" i="45" s="1"/>
  <c r="K166" i="45"/>
  <c r="F161" i="42"/>
  <c r="L161" i="42" s="1"/>
  <c r="H14" i="45"/>
  <c r="L14" i="45" s="1"/>
  <c r="F322" i="45"/>
  <c r="L322" i="45" s="1"/>
  <c r="K10" i="42"/>
  <c r="H63" i="45"/>
  <c r="L63" i="45" s="1"/>
  <c r="H349" i="45"/>
  <c r="L349" i="45" s="1"/>
  <c r="F198" i="42"/>
  <c r="L198" i="42" s="1"/>
  <c r="H8" i="45"/>
  <c r="L8" i="45" s="1"/>
  <c r="K244" i="45"/>
  <c r="K164" i="42"/>
  <c r="G237" i="45"/>
  <c r="H237" i="45" s="1"/>
  <c r="H238" i="45" s="1"/>
  <c r="H36" i="44" s="1"/>
  <c r="I36" i="44" s="1"/>
  <c r="G66" i="42" s="1"/>
  <c r="H66" i="42" s="1"/>
  <c r="F34" i="45"/>
  <c r="L34" i="45" s="1"/>
  <c r="F186" i="42"/>
  <c r="L186" i="42" s="1"/>
  <c r="K64" i="45"/>
  <c r="E133" i="42"/>
  <c r="F133" i="42" s="1"/>
  <c r="L133" i="42" s="1"/>
  <c r="F371" i="45"/>
  <c r="L371" i="45" s="1"/>
  <c r="L64" i="45"/>
  <c r="H201" i="45"/>
  <c r="L201" i="45" s="1"/>
  <c r="K89" i="45"/>
  <c r="F124" i="45"/>
  <c r="L124" i="45" s="1"/>
  <c r="F113" i="42"/>
  <c r="L113" i="42" s="1"/>
  <c r="L89" i="45"/>
  <c r="F267" i="45"/>
  <c r="L267" i="45" s="1"/>
  <c r="F72" i="42"/>
  <c r="L72" i="42" s="1"/>
  <c r="F381" i="45"/>
  <c r="L381" i="45" s="1"/>
  <c r="I245" i="45"/>
  <c r="J245" i="45" s="1"/>
  <c r="J246" i="45" s="1"/>
  <c r="J37" i="44" s="1"/>
  <c r="K37" i="44" s="1"/>
  <c r="I67" i="42" s="1"/>
  <c r="J67" i="42" s="1"/>
  <c r="R67" i="42" s="1"/>
  <c r="H43" i="45"/>
  <c r="L43" i="45" s="1"/>
  <c r="K236" i="45"/>
  <c r="K20" i="45"/>
  <c r="H28" i="45"/>
  <c r="L28" i="45" s="1"/>
  <c r="F39" i="42"/>
  <c r="L39" i="42" s="1"/>
  <c r="F233" i="45"/>
  <c r="K274" i="45"/>
  <c r="E58" i="45"/>
  <c r="F58" i="45" s="1"/>
  <c r="H59" i="45"/>
  <c r="H12" i="44" s="1"/>
  <c r="I12" i="44" s="1"/>
  <c r="G157" i="42" s="1"/>
  <c r="H157" i="42" s="1"/>
  <c r="H125" i="45"/>
  <c r="H23" i="44" s="1"/>
  <c r="I23" i="44" s="1"/>
  <c r="G245" i="45" s="1"/>
  <c r="H245" i="45" s="1"/>
  <c r="H246" i="45" s="1"/>
  <c r="H37" i="44" s="1"/>
  <c r="I37" i="44" s="1"/>
  <c r="G67" i="42" s="1"/>
  <c r="H67" i="42" s="1"/>
  <c r="L87" i="42"/>
  <c r="K123" i="45"/>
  <c r="L197" i="42"/>
  <c r="L81" i="45"/>
  <c r="L178" i="42"/>
  <c r="L54" i="42"/>
  <c r="H22" i="45"/>
  <c r="L22" i="45" s="1"/>
  <c r="H191" i="45"/>
  <c r="L191" i="45" s="1"/>
  <c r="K191" i="45"/>
  <c r="L196" i="42"/>
  <c r="L12" i="42"/>
  <c r="K57" i="45"/>
  <c r="J118" i="45"/>
  <c r="J22" i="44" s="1"/>
  <c r="K22" i="44" s="1"/>
  <c r="I237" i="45" s="1"/>
  <c r="J237" i="45" s="1"/>
  <c r="J238" i="45" s="1"/>
  <c r="J36" i="44" s="1"/>
  <c r="K36" i="44" s="1"/>
  <c r="I66" i="42" s="1"/>
  <c r="J66" i="42" s="1"/>
  <c r="R66" i="42" s="1"/>
  <c r="F135" i="45"/>
  <c r="L135" i="45" s="1"/>
  <c r="L123" i="45"/>
  <c r="H29" i="45"/>
  <c r="L29" i="45" s="1"/>
  <c r="L63" i="42"/>
  <c r="L129" i="42"/>
  <c r="L175" i="42"/>
  <c r="I202" i="42"/>
  <c r="J202" i="42" s="1"/>
  <c r="R202" i="42" s="1"/>
  <c r="I154" i="42"/>
  <c r="J154" i="42" s="1"/>
  <c r="R154" i="42" s="1"/>
  <c r="I195" i="42"/>
  <c r="J195" i="42" s="1"/>
  <c r="R195" i="42" s="1"/>
  <c r="H153" i="45"/>
  <c r="H27" i="44" s="1"/>
  <c r="I27" i="44" s="1"/>
  <c r="G269" i="45" s="1"/>
  <c r="H269" i="45" s="1"/>
  <c r="H270" i="45" s="1"/>
  <c r="H40" i="44" s="1"/>
  <c r="I40" i="44" s="1"/>
  <c r="G70" i="42" s="1"/>
  <c r="H70" i="42" s="1"/>
  <c r="I130" i="42"/>
  <c r="J130" i="42" s="1"/>
  <c r="R130" i="42" s="1"/>
  <c r="I34" i="42"/>
  <c r="J34" i="42" s="1"/>
  <c r="R34" i="42" s="1"/>
  <c r="I53" i="42"/>
  <c r="J53" i="42" s="1"/>
  <c r="R53" i="42" s="1"/>
  <c r="G117" i="42"/>
  <c r="H117" i="42" s="1"/>
  <c r="L136" i="45"/>
  <c r="G52" i="42"/>
  <c r="H52" i="42" s="1"/>
  <c r="L129" i="45"/>
  <c r="L150" i="45"/>
  <c r="L207" i="42"/>
  <c r="L52" i="44"/>
  <c r="L56" i="42"/>
  <c r="H99" i="45"/>
  <c r="H19" i="44" s="1"/>
  <c r="I19" i="44" s="1"/>
  <c r="G173" i="42" s="1"/>
  <c r="H173" i="42" s="1"/>
  <c r="L8" i="42"/>
  <c r="I203" i="42"/>
  <c r="J203" i="42" s="1"/>
  <c r="R203" i="42" s="1"/>
  <c r="I117" i="42"/>
  <c r="J117" i="42" s="1"/>
  <c r="R117" i="42" s="1"/>
  <c r="L27" i="42"/>
  <c r="L97" i="45"/>
  <c r="I204" i="42"/>
  <c r="J204" i="42" s="1"/>
  <c r="R204" i="42" s="1"/>
  <c r="I78" i="42"/>
  <c r="J78" i="42" s="1"/>
  <c r="R78" i="42" s="1"/>
  <c r="L60" i="42"/>
  <c r="G206" i="42"/>
  <c r="H206" i="42" s="1"/>
  <c r="G118" i="42"/>
  <c r="H118" i="42" s="1"/>
  <c r="G79" i="42"/>
  <c r="H79" i="42" s="1"/>
  <c r="L343" i="45"/>
  <c r="F99" i="45"/>
  <c r="F19" i="44" s="1"/>
  <c r="M52" i="44"/>
  <c r="K98" i="45"/>
  <c r="L7" i="42"/>
  <c r="E206" i="42"/>
  <c r="F206" i="42" s="1"/>
  <c r="E118" i="42"/>
  <c r="F118" i="42" s="1"/>
  <c r="E79" i="42"/>
  <c r="F79" i="42" s="1"/>
  <c r="L28" i="42"/>
  <c r="I52" i="42"/>
  <c r="J52" i="42" s="1"/>
  <c r="R52" i="42" s="1"/>
  <c r="H38" i="45"/>
  <c r="H9" i="44" s="1"/>
  <c r="I9" i="44" s="1"/>
  <c r="G101" i="42" s="1"/>
  <c r="H101" i="42" s="1"/>
  <c r="F210" i="42"/>
  <c r="H210" i="42"/>
  <c r="L134" i="42"/>
  <c r="H16" i="42"/>
  <c r="F16" i="42"/>
  <c r="K138" i="45"/>
  <c r="F138" i="45"/>
  <c r="L138" i="45" s="1"/>
  <c r="H139" i="45"/>
  <c r="H25" i="44" s="1"/>
  <c r="I25" i="44" s="1"/>
  <c r="L206" i="45"/>
  <c r="E207" i="45"/>
  <c r="F146" i="45"/>
  <c r="L21" i="45"/>
  <c r="E23" i="45"/>
  <c r="K180" i="45"/>
  <c r="H180" i="45"/>
  <c r="F372" i="45"/>
  <c r="K372" i="45"/>
  <c r="L265" i="45"/>
  <c r="F230" i="45"/>
  <c r="L224" i="45"/>
  <c r="K25" i="42"/>
  <c r="F25" i="42"/>
  <c r="L137" i="45"/>
  <c r="F217" i="45"/>
  <c r="K217" i="45"/>
  <c r="E75" i="45"/>
  <c r="H76" i="45"/>
  <c r="H15" i="44" s="1"/>
  <c r="I15" i="44" s="1"/>
  <c r="L274" i="42"/>
  <c r="E11" i="41"/>
  <c r="L150" i="42"/>
  <c r="F331" i="45"/>
  <c r="L328" i="45"/>
  <c r="H200" i="45"/>
  <c r="K200" i="45"/>
  <c r="F14" i="44"/>
  <c r="H89" i="42"/>
  <c r="J89" i="42"/>
  <c r="R89" i="42" s="1"/>
  <c r="F89" i="42"/>
  <c r="L16" i="44"/>
  <c r="G16" i="44"/>
  <c r="K251" i="45"/>
  <c r="F251" i="45"/>
  <c r="L251" i="45" s="1"/>
  <c r="K107" i="45"/>
  <c r="F107" i="45"/>
  <c r="L241" i="45"/>
  <c r="L6" i="42"/>
  <c r="E167" i="45"/>
  <c r="L166" i="45"/>
  <c r="F97" i="42"/>
  <c r="K97" i="42"/>
  <c r="H111" i="45"/>
  <c r="H21" i="44" s="1"/>
  <c r="I21" i="44" s="1"/>
  <c r="G47" i="42" s="1"/>
  <c r="H47" i="42" s="1"/>
  <c r="E110" i="45"/>
  <c r="E278" i="45"/>
  <c r="I277" i="45"/>
  <c r="H279" i="45"/>
  <c r="H41" i="44" s="1"/>
  <c r="I41" i="44" s="1"/>
  <c r="G282" i="45" s="1"/>
  <c r="H282" i="45" s="1"/>
  <c r="H283" i="45" s="1"/>
  <c r="H42" i="44" s="1"/>
  <c r="I42" i="44" s="1"/>
  <c r="G358" i="45" s="1"/>
  <c r="H358" i="45" s="1"/>
  <c r="L109" i="45"/>
  <c r="K259" i="45"/>
  <c r="F259" i="45"/>
  <c r="L259" i="45" s="1"/>
  <c r="F114" i="45"/>
  <c r="K114" i="45"/>
  <c r="I253" i="45"/>
  <c r="J253" i="45" s="1"/>
  <c r="J254" i="45" s="1"/>
  <c r="J38" i="44" s="1"/>
  <c r="K38" i="44" s="1"/>
  <c r="I68" i="42" s="1"/>
  <c r="J68" i="42" s="1"/>
  <c r="R68" i="42" s="1"/>
  <c r="I51" i="42"/>
  <c r="J51" i="42" s="1"/>
  <c r="R51" i="42" s="1"/>
  <c r="F209" i="42"/>
  <c r="H209" i="42"/>
  <c r="J209" i="42"/>
  <c r="R209" i="42" s="1"/>
  <c r="F289" i="45"/>
  <c r="L286" i="45"/>
  <c r="L41" i="45"/>
  <c r="K58" i="45"/>
  <c r="F301" i="45"/>
  <c r="L298" i="45"/>
  <c r="F295" i="45"/>
  <c r="L292" i="45"/>
  <c r="F90" i="42"/>
  <c r="J90" i="42"/>
  <c r="R90" i="42" s="1"/>
  <c r="H90" i="42"/>
  <c r="K235" i="45"/>
  <c r="F235" i="45"/>
  <c r="L235" i="45" s="1"/>
  <c r="K218" i="45"/>
  <c r="H218" i="45"/>
  <c r="F121" i="45"/>
  <c r="K121" i="45"/>
  <c r="R6" i="42"/>
  <c r="R22" i="42" s="1"/>
  <c r="R7" i="41" s="1"/>
  <c r="J22" i="42"/>
  <c r="I7" i="41" s="1"/>
  <c r="J7" i="41" s="1"/>
  <c r="K347" i="45"/>
  <c r="F347" i="45"/>
  <c r="L13" i="45"/>
  <c r="K187" i="45"/>
  <c r="F187" i="45"/>
  <c r="L30" i="42"/>
  <c r="L316" i="45"/>
  <c r="F319" i="45"/>
  <c r="K243" i="45"/>
  <c r="F243" i="45"/>
  <c r="L243" i="45" s="1"/>
  <c r="H348" i="45"/>
  <c r="K348" i="45"/>
  <c r="F364" i="45"/>
  <c r="K364" i="45"/>
  <c r="H170" i="45"/>
  <c r="K170" i="45"/>
  <c r="E157" i="45"/>
  <c r="L156" i="45"/>
  <c r="L233" i="45"/>
  <c r="L273" i="45"/>
  <c r="H10" i="45"/>
  <c r="H5" i="44" s="1"/>
  <c r="I5" i="44" s="1"/>
  <c r="G151" i="42" s="1"/>
  <c r="H151" i="42" s="1"/>
  <c r="I118" i="42"/>
  <c r="I206" i="42"/>
  <c r="I79" i="42"/>
  <c r="F90" i="45"/>
  <c r="K90" i="45"/>
  <c r="L176" i="45"/>
  <c r="E177" i="45"/>
  <c r="K210" i="45"/>
  <c r="H210" i="45"/>
  <c r="E103" i="45"/>
  <c r="H104" i="45"/>
  <c r="H20" i="44" s="1"/>
  <c r="I20" i="44" s="1"/>
  <c r="L378" i="45"/>
  <c r="L249" i="45"/>
  <c r="L49" i="45"/>
  <c r="E51" i="45"/>
  <c r="K160" i="45"/>
  <c r="H160" i="45"/>
  <c r="G49" i="42"/>
  <c r="H49" i="42" s="1"/>
  <c r="E131" i="45"/>
  <c r="H132" i="45"/>
  <c r="H24" i="44" s="1"/>
  <c r="I24" i="44" s="1"/>
  <c r="G50" i="42" s="1"/>
  <c r="H50" i="42" s="1"/>
  <c r="E37" i="45"/>
  <c r="L64" i="42"/>
  <c r="E9" i="45"/>
  <c r="L62" i="42"/>
  <c r="L354" i="45"/>
  <c r="L257" i="45"/>
  <c r="K190" i="45"/>
  <c r="H190" i="45"/>
  <c r="F337" i="45"/>
  <c r="L334" i="45"/>
  <c r="L311" i="45"/>
  <c r="L20" i="45"/>
  <c r="F152" i="45" l="1"/>
  <c r="L152" i="45" s="1"/>
  <c r="E65" i="45"/>
  <c r="K65" i="45" s="1"/>
  <c r="L151" i="45"/>
  <c r="H86" i="45"/>
  <c r="H17" i="44" s="1"/>
  <c r="I17" i="44" s="1"/>
  <c r="G171" i="42" s="1"/>
  <c r="H171" i="42" s="1"/>
  <c r="L304" i="45"/>
  <c r="H66" i="45"/>
  <c r="H13" i="44" s="1"/>
  <c r="I13" i="44" s="1"/>
  <c r="G103" i="42" s="1"/>
  <c r="H103" i="42" s="1"/>
  <c r="E85" i="45"/>
  <c r="K85" i="45" s="1"/>
  <c r="F197" i="45"/>
  <c r="L197" i="45" s="1"/>
  <c r="L228" i="45"/>
  <c r="H230" i="45"/>
  <c r="H35" i="44" s="1"/>
  <c r="I35" i="44" s="1"/>
  <c r="G99" i="42" s="1"/>
  <c r="H99" i="42" s="1"/>
  <c r="F313" i="45"/>
  <c r="L313" i="45" s="1"/>
  <c r="F325" i="45"/>
  <c r="F49" i="44" s="1"/>
  <c r="G49" i="44" s="1"/>
  <c r="H22" i="42"/>
  <c r="G7" i="41" s="1"/>
  <c r="H7" i="41" s="1"/>
  <c r="E15" i="42"/>
  <c r="K15" i="42" s="1"/>
  <c r="H17" i="45"/>
  <c r="H6" i="44" s="1"/>
  <c r="I6" i="44" s="1"/>
  <c r="G152" i="42" s="1"/>
  <c r="H152" i="42" s="1"/>
  <c r="F383" i="45"/>
  <c r="F57" i="44" s="1"/>
  <c r="E16" i="45"/>
  <c r="K16" i="45" s="1"/>
  <c r="G158" i="42"/>
  <c r="H158" i="42" s="1"/>
  <c r="K133" i="42"/>
  <c r="E44" i="45"/>
  <c r="F44" i="45" s="1"/>
  <c r="H45" i="45"/>
  <c r="H10" i="44" s="1"/>
  <c r="I10" i="44" s="1"/>
  <c r="G155" i="42" s="1"/>
  <c r="H155" i="42" s="1"/>
  <c r="G53" i="42"/>
  <c r="H53" i="42" s="1"/>
  <c r="H31" i="45"/>
  <c r="H8" i="44" s="1"/>
  <c r="I8" i="44" s="1"/>
  <c r="G100" i="42" s="1"/>
  <c r="H100" i="42" s="1"/>
  <c r="I48" i="42"/>
  <c r="J48" i="42" s="1"/>
  <c r="R48" i="42" s="1"/>
  <c r="E30" i="45"/>
  <c r="K30" i="45" s="1"/>
  <c r="F153" i="45"/>
  <c r="L153" i="45" s="1"/>
  <c r="L99" i="45"/>
  <c r="E88" i="42"/>
  <c r="K88" i="42" s="1"/>
  <c r="E208" i="42"/>
  <c r="F208" i="42" s="1"/>
  <c r="L208" i="42" s="1"/>
  <c r="F139" i="45"/>
  <c r="F25" i="44" s="1"/>
  <c r="L210" i="42"/>
  <c r="L209" i="42"/>
  <c r="L90" i="42"/>
  <c r="L89" i="42"/>
  <c r="L16" i="42"/>
  <c r="E182" i="45"/>
  <c r="L180" i="45"/>
  <c r="H183" i="45"/>
  <c r="H30" i="44" s="1"/>
  <c r="I30" i="44" s="1"/>
  <c r="G105" i="42" s="1"/>
  <c r="H105" i="42" s="1"/>
  <c r="L319" i="45"/>
  <c r="F48" i="44"/>
  <c r="F9" i="45"/>
  <c r="K9" i="45"/>
  <c r="L90" i="45"/>
  <c r="F91" i="45"/>
  <c r="K157" i="45"/>
  <c r="F157" i="45"/>
  <c r="L301" i="45"/>
  <c r="F45" i="44"/>
  <c r="F35" i="44"/>
  <c r="K23" i="45"/>
  <c r="F23" i="45"/>
  <c r="L14" i="44"/>
  <c r="G14" i="44"/>
  <c r="L295" i="45"/>
  <c r="F44" i="44"/>
  <c r="L383" i="45"/>
  <c r="L337" i="45"/>
  <c r="F51" i="44"/>
  <c r="F37" i="45"/>
  <c r="K37" i="45"/>
  <c r="J206" i="42"/>
  <c r="K206" i="42"/>
  <c r="E172" i="45"/>
  <c r="L170" i="45"/>
  <c r="H173" i="45"/>
  <c r="H29" i="44" s="1"/>
  <c r="I29" i="44" s="1"/>
  <c r="L187" i="45"/>
  <c r="E220" i="45"/>
  <c r="H221" i="45"/>
  <c r="H34" i="44" s="1"/>
  <c r="I34" i="44" s="1"/>
  <c r="G356" i="45" s="1"/>
  <c r="H356" i="45" s="1"/>
  <c r="L218" i="45"/>
  <c r="L58" i="45"/>
  <c r="F59" i="45"/>
  <c r="F118" i="45"/>
  <c r="L114" i="45"/>
  <c r="E202" i="45"/>
  <c r="L200" i="45"/>
  <c r="H203" i="45"/>
  <c r="H32" i="44" s="1"/>
  <c r="I32" i="44" s="1"/>
  <c r="G35" i="42" s="1"/>
  <c r="H35" i="42" s="1"/>
  <c r="G170" i="42"/>
  <c r="H170" i="42" s="1"/>
  <c r="G125" i="42"/>
  <c r="H125" i="42" s="1"/>
  <c r="L146" i="45"/>
  <c r="F26" i="44"/>
  <c r="K11" i="41"/>
  <c r="F11" i="41"/>
  <c r="L11" i="41" s="1"/>
  <c r="F125" i="45"/>
  <c r="L121" i="45"/>
  <c r="E192" i="45"/>
  <c r="H193" i="45"/>
  <c r="H31" i="44" s="1"/>
  <c r="I31" i="44" s="1"/>
  <c r="G106" i="42" s="1"/>
  <c r="H106" i="42" s="1"/>
  <c r="L190" i="45"/>
  <c r="G174" i="42"/>
  <c r="H174" i="42" s="1"/>
  <c r="G128" i="42"/>
  <c r="H128" i="42" s="1"/>
  <c r="J118" i="42"/>
  <c r="K118" i="42"/>
  <c r="F75" i="45"/>
  <c r="K75" i="45"/>
  <c r="F207" i="45"/>
  <c r="K207" i="45"/>
  <c r="K131" i="45"/>
  <c r="F131" i="45"/>
  <c r="L364" i="45"/>
  <c r="F367" i="45"/>
  <c r="K167" i="45"/>
  <c r="F167" i="45"/>
  <c r="M16" i="44"/>
  <c r="E126" i="42"/>
  <c r="L331" i="45"/>
  <c r="F50" i="44"/>
  <c r="G127" i="42"/>
  <c r="H127" i="42" s="1"/>
  <c r="K103" i="45"/>
  <c r="F103" i="45"/>
  <c r="E212" i="45"/>
  <c r="H213" i="45"/>
  <c r="H33" i="44" s="1"/>
  <c r="I33" i="44" s="1"/>
  <c r="L210" i="45"/>
  <c r="K51" i="45"/>
  <c r="F51" i="45"/>
  <c r="L25" i="42"/>
  <c r="J79" i="42"/>
  <c r="K79" i="42"/>
  <c r="L19" i="44"/>
  <c r="G19" i="44"/>
  <c r="L289" i="45"/>
  <c r="F43" i="44"/>
  <c r="L372" i="45"/>
  <c r="F375" i="45"/>
  <c r="G253" i="45"/>
  <c r="H253" i="45" s="1"/>
  <c r="H254" i="45" s="1"/>
  <c r="H38" i="44" s="1"/>
  <c r="I38" i="44" s="1"/>
  <c r="G68" i="42" s="1"/>
  <c r="H68" i="42" s="1"/>
  <c r="G51" i="42"/>
  <c r="H51" i="42" s="1"/>
  <c r="K278" i="45"/>
  <c r="F278" i="45"/>
  <c r="K110" i="45"/>
  <c r="F110" i="45"/>
  <c r="L110" i="45" s="1"/>
  <c r="L97" i="42"/>
  <c r="E162" i="45"/>
  <c r="H163" i="45"/>
  <c r="H28" i="44" s="1"/>
  <c r="I28" i="44" s="1"/>
  <c r="G33" i="42" s="1"/>
  <c r="H33" i="42" s="1"/>
  <c r="L160" i="45"/>
  <c r="F177" i="45"/>
  <c r="K177" i="45"/>
  <c r="L217" i="45"/>
  <c r="E350" i="45"/>
  <c r="L348" i="45"/>
  <c r="H351" i="45"/>
  <c r="H53" i="44" s="1"/>
  <c r="I53" i="44" s="1"/>
  <c r="G357" i="45" s="1"/>
  <c r="H357" i="45" s="1"/>
  <c r="L347" i="45"/>
  <c r="K277" i="45"/>
  <c r="J277" i="45"/>
  <c r="L307" i="45"/>
  <c r="F46" i="44"/>
  <c r="L107" i="45"/>
  <c r="F65" i="45" l="1"/>
  <c r="K44" i="45"/>
  <c r="L325" i="45"/>
  <c r="F15" i="42"/>
  <c r="L49" i="44"/>
  <c r="L230" i="45"/>
  <c r="F47" i="44"/>
  <c r="L47" i="44" s="1"/>
  <c r="F85" i="45"/>
  <c r="G102" i="42"/>
  <c r="H102" i="42" s="1"/>
  <c r="F16" i="45"/>
  <c r="L16" i="45" s="1"/>
  <c r="G154" i="42"/>
  <c r="H154" i="42" s="1"/>
  <c r="H220" i="42" s="1"/>
  <c r="G10" i="41" s="1"/>
  <c r="H10" i="41" s="1"/>
  <c r="F30" i="45"/>
  <c r="F31" i="45" s="1"/>
  <c r="F27" i="44"/>
  <c r="G27" i="44" s="1"/>
  <c r="E53" i="42" s="1"/>
  <c r="F17" i="45"/>
  <c r="F88" i="42"/>
  <c r="L88" i="42" s="1"/>
  <c r="L139" i="45"/>
  <c r="K208" i="42"/>
  <c r="M49" i="44"/>
  <c r="E203" i="42"/>
  <c r="E117" i="42"/>
  <c r="L44" i="45"/>
  <c r="F45" i="45"/>
  <c r="F111" i="45"/>
  <c r="F21" i="44" s="1"/>
  <c r="L50" i="44"/>
  <c r="G50" i="44"/>
  <c r="G57" i="44"/>
  <c r="L57" i="44"/>
  <c r="M19" i="44"/>
  <c r="E173" i="42"/>
  <c r="G107" i="42"/>
  <c r="H107" i="42" s="1"/>
  <c r="G36" i="42"/>
  <c r="H36" i="42" s="1"/>
  <c r="L167" i="45"/>
  <c r="F23" i="44"/>
  <c r="L125" i="45"/>
  <c r="F202" i="45"/>
  <c r="K202" i="45"/>
  <c r="F172" i="45"/>
  <c r="L172" i="45" s="1"/>
  <c r="K172" i="45"/>
  <c r="F10" i="45"/>
  <c r="L9" i="45"/>
  <c r="L43" i="44"/>
  <c r="G43" i="44"/>
  <c r="K192" i="45"/>
  <c r="F192" i="45"/>
  <c r="L46" i="44"/>
  <c r="G46" i="44"/>
  <c r="K212" i="45"/>
  <c r="F212" i="45"/>
  <c r="L212" i="45" s="1"/>
  <c r="L75" i="45"/>
  <c r="F76" i="45"/>
  <c r="L23" i="45"/>
  <c r="F24" i="45"/>
  <c r="G48" i="44"/>
  <c r="L48" i="44"/>
  <c r="K162" i="45"/>
  <c r="F162" i="45"/>
  <c r="L162" i="45" s="1"/>
  <c r="L44" i="44"/>
  <c r="G44" i="44"/>
  <c r="M14" i="44"/>
  <c r="E169" i="42"/>
  <c r="F350" i="45"/>
  <c r="K350" i="45"/>
  <c r="L278" i="45"/>
  <c r="F279" i="45"/>
  <c r="R79" i="42"/>
  <c r="L79" i="42"/>
  <c r="L103" i="45"/>
  <c r="F104" i="45"/>
  <c r="L118" i="45"/>
  <c r="F22" i="44"/>
  <c r="R206" i="42"/>
  <c r="R220" i="42" s="1"/>
  <c r="R10" i="41" s="1"/>
  <c r="J220" i="42"/>
  <c r="I10" i="41" s="1"/>
  <c r="J10" i="41" s="1"/>
  <c r="L206" i="42"/>
  <c r="L59" i="45"/>
  <c r="F12" i="44"/>
  <c r="L35" i="44"/>
  <c r="G35" i="44"/>
  <c r="L207" i="45"/>
  <c r="F126" i="42"/>
  <c r="L126" i="42" s="1"/>
  <c r="K126" i="42"/>
  <c r="L15" i="42"/>
  <c r="F22" i="42"/>
  <c r="L367" i="45"/>
  <c r="F55" i="44"/>
  <c r="L25" i="44"/>
  <c r="G25" i="44"/>
  <c r="L37" i="45"/>
  <c r="F38" i="45"/>
  <c r="G34" i="42"/>
  <c r="H34" i="42" s="1"/>
  <c r="G104" i="42"/>
  <c r="H104" i="42" s="1"/>
  <c r="H148" i="42" s="1"/>
  <c r="G9" i="41" s="1"/>
  <c r="H9" i="41" s="1"/>
  <c r="F52" i="45"/>
  <c r="L51" i="45"/>
  <c r="R118" i="42"/>
  <c r="R148" i="42" s="1"/>
  <c r="R9" i="41" s="1"/>
  <c r="L118" i="42"/>
  <c r="J148" i="42"/>
  <c r="I9" i="41" s="1"/>
  <c r="J9" i="41" s="1"/>
  <c r="G51" i="44"/>
  <c r="L51" i="44"/>
  <c r="G45" i="44"/>
  <c r="L45" i="44"/>
  <c r="K182" i="45"/>
  <c r="F182" i="45"/>
  <c r="L182" i="45" s="1"/>
  <c r="L277" i="45"/>
  <c r="J279" i="45"/>
  <c r="J41" i="44" s="1"/>
  <c r="K41" i="44" s="1"/>
  <c r="I282" i="45" s="1"/>
  <c r="J282" i="45" s="1"/>
  <c r="J283" i="45" s="1"/>
  <c r="J42" i="44" s="1"/>
  <c r="K42" i="44" s="1"/>
  <c r="I358" i="45" s="1"/>
  <c r="J358" i="45" s="1"/>
  <c r="J359" i="45" s="1"/>
  <c r="J54" i="44" s="1"/>
  <c r="K54" i="44" s="1"/>
  <c r="I73" i="42" s="1"/>
  <c r="J73" i="42" s="1"/>
  <c r="L375" i="45"/>
  <c r="F56" i="44"/>
  <c r="L131" i="45"/>
  <c r="F132" i="45"/>
  <c r="L26" i="44"/>
  <c r="G26" i="44"/>
  <c r="H359" i="45"/>
  <c r="H54" i="44" s="1"/>
  <c r="I54" i="44" s="1"/>
  <c r="G73" i="42" s="1"/>
  <c r="H73" i="42" s="1"/>
  <c r="L91" i="45"/>
  <c r="F18" i="44"/>
  <c r="L177" i="45"/>
  <c r="L85" i="45"/>
  <c r="F86" i="45"/>
  <c r="K220" i="45"/>
  <c r="F220" i="45"/>
  <c r="L157" i="45"/>
  <c r="G47" i="44" l="1"/>
  <c r="L30" i="45"/>
  <c r="L65" i="45"/>
  <c r="F66" i="45"/>
  <c r="M27" i="44"/>
  <c r="E269" i="45"/>
  <c r="F213" i="45"/>
  <c r="L213" i="45" s="1"/>
  <c r="L27" i="44"/>
  <c r="F183" i="45"/>
  <c r="L17" i="45"/>
  <c r="F6" i="44"/>
  <c r="F8" i="44"/>
  <c r="L31" i="45"/>
  <c r="F163" i="45"/>
  <c r="L163" i="45" s="1"/>
  <c r="L45" i="45"/>
  <c r="F10" i="44"/>
  <c r="F117" i="42"/>
  <c r="L117" i="42" s="1"/>
  <c r="K117" i="42"/>
  <c r="F203" i="42"/>
  <c r="L203" i="42" s="1"/>
  <c r="K203" i="42"/>
  <c r="H94" i="42"/>
  <c r="G8" i="41" s="1"/>
  <c r="H8" i="41" s="1"/>
  <c r="G6" i="41" s="1"/>
  <c r="H6" i="41" s="1"/>
  <c r="G5" i="41" s="1"/>
  <c r="H5" i="41" s="1"/>
  <c r="K6" i="11" s="1"/>
  <c r="L111" i="45"/>
  <c r="F53" i="42"/>
  <c r="L53" i="42" s="1"/>
  <c r="K53" i="42"/>
  <c r="E200" i="42"/>
  <c r="M45" i="44"/>
  <c r="F9" i="44"/>
  <c r="L38" i="45"/>
  <c r="L350" i="45"/>
  <c r="F351" i="45"/>
  <c r="L10" i="45"/>
  <c r="F5" i="44"/>
  <c r="M26" i="44"/>
  <c r="E261" i="45"/>
  <c r="E52" i="42"/>
  <c r="F33" i="44"/>
  <c r="K169" i="42"/>
  <c r="F169" i="42"/>
  <c r="L169" i="42" s="1"/>
  <c r="F15" i="44"/>
  <c r="L76" i="45"/>
  <c r="F7" i="44"/>
  <c r="L24" i="45"/>
  <c r="K173" i="42"/>
  <c r="F173" i="42"/>
  <c r="L173" i="42" s="1"/>
  <c r="L220" i="45"/>
  <c r="F221" i="45"/>
  <c r="M51" i="44"/>
  <c r="E205" i="42"/>
  <c r="M25" i="44"/>
  <c r="E253" i="45"/>
  <c r="E51" i="42"/>
  <c r="E195" i="42"/>
  <c r="E130" i="42"/>
  <c r="M57" i="44"/>
  <c r="E84" i="42"/>
  <c r="F30" i="44"/>
  <c r="L183" i="45"/>
  <c r="L22" i="44"/>
  <c r="G22" i="44"/>
  <c r="M35" i="44"/>
  <c r="E99" i="42"/>
  <c r="G21" i="44"/>
  <c r="L21" i="44"/>
  <c r="M50" i="44"/>
  <c r="E204" i="42"/>
  <c r="E78" i="42"/>
  <c r="G18" i="44"/>
  <c r="L18" i="44"/>
  <c r="M48" i="44"/>
  <c r="E116" i="42"/>
  <c r="L132" i="45"/>
  <c r="F24" i="44"/>
  <c r="L55" i="44"/>
  <c r="G55" i="44"/>
  <c r="L202" i="45"/>
  <c r="F203" i="45"/>
  <c r="L279" i="45"/>
  <c r="F41" i="44"/>
  <c r="K269" i="45"/>
  <c r="F269" i="45"/>
  <c r="G12" i="44"/>
  <c r="L12" i="44"/>
  <c r="L104" i="45"/>
  <c r="F20" i="44"/>
  <c r="M44" i="44"/>
  <c r="E199" i="42"/>
  <c r="M46" i="44"/>
  <c r="E201" i="42"/>
  <c r="M43" i="44"/>
  <c r="E76" i="42"/>
  <c r="L86" i="45"/>
  <c r="F17" i="44"/>
  <c r="L56" i="44"/>
  <c r="G56" i="44"/>
  <c r="E7" i="41"/>
  <c r="L22" i="42"/>
  <c r="L23" i="44"/>
  <c r="G23" i="44"/>
  <c r="M47" i="44"/>
  <c r="E115" i="42"/>
  <c r="E202" i="42"/>
  <c r="E77" i="42"/>
  <c r="R73" i="42"/>
  <c r="R94" i="42" s="1"/>
  <c r="R8" i="41" s="1"/>
  <c r="J94" i="42"/>
  <c r="I8" i="41" s="1"/>
  <c r="J8" i="41" s="1"/>
  <c r="I6" i="41" s="1"/>
  <c r="J6" i="41" s="1"/>
  <c r="I5" i="41" s="1"/>
  <c r="J5" i="41" s="1"/>
  <c r="M6" i="11" s="1"/>
  <c r="L52" i="45"/>
  <c r="F11" i="44"/>
  <c r="L192" i="45"/>
  <c r="F193" i="45"/>
  <c r="F173" i="45"/>
  <c r="L66" i="45" l="1"/>
  <c r="F13" i="44"/>
  <c r="L6" i="44"/>
  <c r="G6" i="44"/>
  <c r="L8" i="44"/>
  <c r="G8" i="44"/>
  <c r="F28" i="44"/>
  <c r="L28" i="44" s="1"/>
  <c r="L10" i="44"/>
  <c r="G10" i="44"/>
  <c r="F195" i="42"/>
  <c r="L195" i="42" s="1"/>
  <c r="K195" i="42"/>
  <c r="G24" i="44"/>
  <c r="L24" i="44"/>
  <c r="K77" i="42"/>
  <c r="F77" i="42"/>
  <c r="L77" i="42" s="1"/>
  <c r="L20" i="44"/>
  <c r="G20" i="44"/>
  <c r="M55" i="44"/>
  <c r="E83" i="42"/>
  <c r="M21" i="44"/>
  <c r="E47" i="42"/>
  <c r="F130" i="42"/>
  <c r="L130" i="42" s="1"/>
  <c r="K130" i="42"/>
  <c r="L7" i="44"/>
  <c r="G7" i="44"/>
  <c r="L5" i="44"/>
  <c r="G5" i="44"/>
  <c r="L17" i="44"/>
  <c r="G17" i="44"/>
  <c r="K253" i="45"/>
  <c r="F253" i="45"/>
  <c r="M23" i="44"/>
  <c r="E245" i="45"/>
  <c r="E49" i="42"/>
  <c r="K116" i="42"/>
  <c r="F116" i="42"/>
  <c r="L116" i="42" s="1"/>
  <c r="K99" i="42"/>
  <c r="F99" i="42"/>
  <c r="G15" i="44"/>
  <c r="L15" i="44"/>
  <c r="L173" i="45"/>
  <c r="F29" i="44"/>
  <c r="K205" i="42"/>
  <c r="F205" i="42"/>
  <c r="L205" i="42" s="1"/>
  <c r="L351" i="45"/>
  <c r="F53" i="44"/>
  <c r="L193" i="45"/>
  <c r="F31" i="44"/>
  <c r="F76" i="42"/>
  <c r="L76" i="42" s="1"/>
  <c r="K76" i="42"/>
  <c r="L269" i="45"/>
  <c r="F270" i="45"/>
  <c r="M22" i="44"/>
  <c r="E237" i="45"/>
  <c r="E48" i="42"/>
  <c r="K51" i="42"/>
  <c r="F51" i="42"/>
  <c r="L51" i="42" s="1"/>
  <c r="E157" i="42"/>
  <c r="M12" i="44"/>
  <c r="E172" i="42"/>
  <c r="M18" i="44"/>
  <c r="L221" i="45"/>
  <c r="F34" i="44"/>
  <c r="G9" i="44"/>
  <c r="L9" i="44"/>
  <c r="K7" i="41"/>
  <c r="F7" i="41"/>
  <c r="L11" i="44"/>
  <c r="G11" i="44"/>
  <c r="K201" i="42"/>
  <c r="F201" i="42"/>
  <c r="L201" i="42" s="1"/>
  <c r="L41" i="44"/>
  <c r="G41" i="44"/>
  <c r="K78" i="42"/>
  <c r="F78" i="42"/>
  <c r="L78" i="42" s="1"/>
  <c r="G33" i="44"/>
  <c r="L33" i="44"/>
  <c r="K202" i="42"/>
  <c r="F202" i="42"/>
  <c r="L202" i="42" s="1"/>
  <c r="F204" i="42"/>
  <c r="L204" i="42" s="1"/>
  <c r="K204" i="42"/>
  <c r="G30" i="44"/>
  <c r="L30" i="44"/>
  <c r="K52" i="42"/>
  <c r="F52" i="42"/>
  <c r="L52" i="42" s="1"/>
  <c r="F200" i="42"/>
  <c r="L200" i="42" s="1"/>
  <c r="K200" i="42"/>
  <c r="M56" i="44"/>
  <c r="E194" i="42"/>
  <c r="F199" i="42"/>
  <c r="L199" i="42" s="1"/>
  <c r="K199" i="42"/>
  <c r="L203" i="45"/>
  <c r="F32" i="44"/>
  <c r="K84" i="42"/>
  <c r="F84" i="42"/>
  <c r="L84" i="42" s="1"/>
  <c r="K261" i="45"/>
  <c r="F261" i="45"/>
  <c r="F115" i="42"/>
  <c r="L115" i="42" s="1"/>
  <c r="K115" i="42"/>
  <c r="G13" i="44" l="1"/>
  <c r="L13" i="44"/>
  <c r="G28" i="44"/>
  <c r="E33" i="42" s="1"/>
  <c r="E152" i="42"/>
  <c r="M6" i="44"/>
  <c r="M8" i="44"/>
  <c r="E100" i="42"/>
  <c r="E154" i="42"/>
  <c r="M10" i="44"/>
  <c r="E155" i="42"/>
  <c r="E102" i="42"/>
  <c r="K245" i="45"/>
  <c r="F245" i="45"/>
  <c r="K47" i="42"/>
  <c r="F47" i="42"/>
  <c r="L47" i="42" s="1"/>
  <c r="K83" i="42"/>
  <c r="F83" i="42"/>
  <c r="L83" i="42" s="1"/>
  <c r="E170" i="42"/>
  <c r="M15" i="44"/>
  <c r="E125" i="42"/>
  <c r="M17" i="44"/>
  <c r="E127" i="42"/>
  <c r="E171" i="42"/>
  <c r="M20" i="44"/>
  <c r="E174" i="42"/>
  <c r="E128" i="42"/>
  <c r="E101" i="42"/>
  <c r="M9" i="44"/>
  <c r="E105" i="42"/>
  <c r="M30" i="44"/>
  <c r="K172" i="42"/>
  <c r="F172" i="42"/>
  <c r="L172" i="42" s="1"/>
  <c r="L31" i="44"/>
  <c r="G31" i="44"/>
  <c r="L99" i="42"/>
  <c r="L270" i="45"/>
  <c r="F40" i="44"/>
  <c r="L32" i="44"/>
  <c r="G32" i="44"/>
  <c r="M11" i="44"/>
  <c r="E156" i="42"/>
  <c r="M5" i="44"/>
  <c r="E151" i="42"/>
  <c r="F157" i="42"/>
  <c r="L157" i="42" s="1"/>
  <c r="K157" i="42"/>
  <c r="L53" i="44"/>
  <c r="G53" i="44"/>
  <c r="L34" i="44"/>
  <c r="G34" i="44"/>
  <c r="L7" i="41"/>
  <c r="M7" i="44"/>
  <c r="E153" i="42"/>
  <c r="L29" i="44"/>
  <c r="G29" i="44"/>
  <c r="L261" i="45"/>
  <c r="F262" i="45"/>
  <c r="M24" i="44"/>
  <c r="E50" i="42"/>
  <c r="E282" i="45"/>
  <c r="M41" i="44"/>
  <c r="F194" i="42"/>
  <c r="L194" i="42" s="1"/>
  <c r="K194" i="42"/>
  <c r="K48" i="42"/>
  <c r="F48" i="42"/>
  <c r="L48" i="42" s="1"/>
  <c r="L253" i="45"/>
  <c r="F254" i="45"/>
  <c r="M33" i="44"/>
  <c r="E107" i="42"/>
  <c r="E36" i="42"/>
  <c r="K237" i="45"/>
  <c r="F237" i="45"/>
  <c r="F49" i="42"/>
  <c r="L49" i="42" s="1"/>
  <c r="K49" i="42"/>
  <c r="E103" i="42" l="1"/>
  <c r="M13" i="44"/>
  <c r="E158" i="42"/>
  <c r="M28" i="44"/>
  <c r="F152" i="42"/>
  <c r="L152" i="42" s="1"/>
  <c r="K152" i="42"/>
  <c r="K154" i="42"/>
  <c r="F154" i="42"/>
  <c r="L154" i="42" s="1"/>
  <c r="K100" i="42"/>
  <c r="F100" i="42"/>
  <c r="L100" i="42" s="1"/>
  <c r="F102" i="42"/>
  <c r="L102" i="42" s="1"/>
  <c r="K102" i="42"/>
  <c r="F155" i="42"/>
  <c r="L155" i="42" s="1"/>
  <c r="K155" i="42"/>
  <c r="F171" i="42"/>
  <c r="L171" i="42" s="1"/>
  <c r="K171" i="42"/>
  <c r="L262" i="45"/>
  <c r="F39" i="44"/>
  <c r="M29" i="44"/>
  <c r="E104" i="42"/>
  <c r="E34" i="42"/>
  <c r="F153" i="42"/>
  <c r="L153" i="42" s="1"/>
  <c r="K153" i="42"/>
  <c r="F156" i="42"/>
  <c r="L156" i="42" s="1"/>
  <c r="K156" i="42"/>
  <c r="K170" i="42"/>
  <c r="F170" i="42"/>
  <c r="L170" i="42" s="1"/>
  <c r="K105" i="42"/>
  <c r="F105" i="42"/>
  <c r="L105" i="42" s="1"/>
  <c r="M32" i="44"/>
  <c r="E35" i="42"/>
  <c r="F127" i="42"/>
  <c r="L127" i="42" s="1"/>
  <c r="K127" i="42"/>
  <c r="L237" i="45"/>
  <c r="F238" i="45"/>
  <c r="K101" i="42"/>
  <c r="F101" i="42"/>
  <c r="L254" i="45"/>
  <c r="F38" i="44"/>
  <c r="K151" i="42"/>
  <c r="F151" i="42"/>
  <c r="K282" i="45"/>
  <c r="F282" i="45"/>
  <c r="F50" i="42"/>
  <c r="L50" i="42" s="1"/>
  <c r="K50" i="42"/>
  <c r="E356" i="45"/>
  <c r="M34" i="44"/>
  <c r="L40" i="44"/>
  <c r="G40" i="44"/>
  <c r="K128" i="42"/>
  <c r="F128" i="42"/>
  <c r="L128" i="42" s="1"/>
  <c r="K125" i="42"/>
  <c r="F125" i="42"/>
  <c r="L125" i="42" s="1"/>
  <c r="K36" i="42"/>
  <c r="F36" i="42"/>
  <c r="L36" i="42" s="1"/>
  <c r="K174" i="42"/>
  <c r="F174" i="42"/>
  <c r="L174" i="42" s="1"/>
  <c r="L245" i="45"/>
  <c r="F246" i="45"/>
  <c r="M31" i="44"/>
  <c r="E106" i="42"/>
  <c r="F107" i="42"/>
  <c r="L107" i="42" s="1"/>
  <c r="K107" i="42"/>
  <c r="K33" i="42"/>
  <c r="F33" i="42"/>
  <c r="E357" i="45"/>
  <c r="M53" i="44"/>
  <c r="F103" i="42" l="1"/>
  <c r="L103" i="42" s="1"/>
  <c r="K103" i="42"/>
  <c r="F158" i="42"/>
  <c r="L158" i="42" s="1"/>
  <c r="K158" i="42"/>
  <c r="L246" i="45"/>
  <c r="F37" i="44"/>
  <c r="L101" i="42"/>
  <c r="L238" i="45"/>
  <c r="F36" i="44"/>
  <c r="K34" i="42"/>
  <c r="F34" i="42"/>
  <c r="L34" i="42" s="1"/>
  <c r="F104" i="42"/>
  <c r="L104" i="42" s="1"/>
  <c r="K104" i="42"/>
  <c r="L282" i="45"/>
  <c r="F283" i="45"/>
  <c r="F35" i="42"/>
  <c r="L35" i="42" s="1"/>
  <c r="K35" i="42"/>
  <c r="M40" i="44"/>
  <c r="E70" i="42"/>
  <c r="K357" i="45"/>
  <c r="F357" i="45"/>
  <c r="L357" i="45" s="1"/>
  <c r="G39" i="44"/>
  <c r="L39" i="44"/>
  <c r="L33" i="42"/>
  <c r="L151" i="42"/>
  <c r="F220" i="42"/>
  <c r="F106" i="42"/>
  <c r="L106" i="42" s="1"/>
  <c r="K106" i="42"/>
  <c r="F356" i="45"/>
  <c r="K356" i="45"/>
  <c r="L38" i="44"/>
  <c r="G38" i="44"/>
  <c r="L283" i="45" l="1"/>
  <c r="F42" i="44"/>
  <c r="G36" i="44"/>
  <c r="L36" i="44"/>
  <c r="L220" i="42"/>
  <c r="E10" i="41"/>
  <c r="F148" i="42"/>
  <c r="L356" i="45"/>
  <c r="M38" i="44"/>
  <c r="E68" i="42"/>
  <c r="L37" i="44"/>
  <c r="G37" i="44"/>
  <c r="E69" i="42"/>
  <c r="M39" i="44"/>
  <c r="F70" i="42"/>
  <c r="L70" i="42" s="1"/>
  <c r="K70" i="42"/>
  <c r="K68" i="42" l="1"/>
  <c r="F68" i="42"/>
  <c r="L68" i="42" s="1"/>
  <c r="L148" i="42"/>
  <c r="E9" i="41"/>
  <c r="M36" i="44"/>
  <c r="E66" i="42"/>
  <c r="G42" i="44"/>
  <c r="L42" i="44"/>
  <c r="F10" i="41"/>
  <c r="L10" i="41" s="1"/>
  <c r="K10" i="41"/>
  <c r="F69" i="42"/>
  <c r="L69" i="42" s="1"/>
  <c r="K69" i="42"/>
  <c r="M37" i="44"/>
  <c r="E67" i="42"/>
  <c r="E358" i="45" l="1"/>
  <c r="M42" i="44"/>
  <c r="F66" i="42"/>
  <c r="K66" i="42"/>
  <c r="F9" i="41"/>
  <c r="L9" i="41" s="1"/>
  <c r="K9" i="41"/>
  <c r="K67" i="42"/>
  <c r="F67" i="42"/>
  <c r="L67" i="42" s="1"/>
  <c r="L66" i="42" l="1"/>
  <c r="F358" i="45"/>
  <c r="K358" i="45"/>
  <c r="L358" i="45" l="1"/>
  <c r="F359" i="45"/>
  <c r="L359" i="45" l="1"/>
  <c r="F54" i="44"/>
  <c r="G54" i="44" l="1"/>
  <c r="L54" i="44"/>
  <c r="M54" i="44" l="1"/>
  <c r="E73" i="42"/>
  <c r="K73" i="42" l="1"/>
  <c r="F73" i="42"/>
  <c r="L73" i="42" l="1"/>
  <c r="F94" i="42"/>
  <c r="L94" i="42" l="1"/>
  <c r="E8" i="41"/>
  <c r="K8" i="41" l="1"/>
  <c r="F8" i="41"/>
  <c r="L8" i="41" l="1"/>
  <c r="E6" i="41"/>
  <c r="F6" i="41" s="1"/>
  <c r="K6" i="41" l="1"/>
  <c r="L6" i="41" l="1"/>
  <c r="E5" i="41"/>
  <c r="F5" i="41" l="1"/>
  <c r="K5" i="41"/>
  <c r="L5" i="41" l="1"/>
  <c r="H6" i="11"/>
  <c r="O6" i="11" s="1"/>
  <c r="L6" i="11"/>
  <c r="M14" i="9"/>
  <c r="N14" i="9" s="1"/>
  <c r="K14" i="9"/>
  <c r="L14" i="9" s="1"/>
  <c r="H14" i="9"/>
  <c r="I14" i="9" s="1"/>
  <c r="O15" i="9"/>
  <c r="K9" i="9"/>
  <c r="O10" i="9"/>
  <c r="M9" i="9"/>
  <c r="H9" i="9"/>
  <c r="Q10" i="22"/>
  <c r="H10" i="22"/>
  <c r="Q9" i="22"/>
  <c r="O9" i="22"/>
  <c r="AB9" i="22" s="1"/>
  <c r="AB10" i="22" s="1"/>
  <c r="H9" i="22"/>
  <c r="I6" i="11" l="1"/>
  <c r="N6" i="11"/>
  <c r="O14" i="9"/>
  <c r="I10" i="22"/>
  <c r="O10" i="22" s="1"/>
  <c r="O9" i="9"/>
  <c r="P14" i="9"/>
  <c r="P6" i="11" l="1"/>
  <c r="G10" i="22"/>
  <c r="G9" i="9" s="1"/>
  <c r="G13" i="9" l="1"/>
  <c r="J9" i="9"/>
  <c r="L9" i="9"/>
  <c r="L10" i="9" s="1"/>
  <c r="K5" i="12" s="1"/>
  <c r="N9" i="9"/>
  <c r="N10" i="9" s="1"/>
  <c r="M5" i="12" s="1"/>
  <c r="I9" i="9"/>
  <c r="N5" i="12" l="1"/>
  <c r="M13" i="9"/>
  <c r="N13" i="9" s="1"/>
  <c r="N15" i="9" s="1"/>
  <c r="M6" i="12" s="1"/>
  <c r="I10" i="9"/>
  <c r="P9" i="9"/>
  <c r="K13" i="9"/>
  <c r="L13" i="9" s="1"/>
  <c r="L15" i="9" s="1"/>
  <c r="K6" i="12" s="1"/>
  <c r="L5" i="12"/>
  <c r="J13" i="9"/>
  <c r="M34" i="10" l="1"/>
  <c r="N6" i="12"/>
  <c r="K34" i="10"/>
  <c r="L6" i="12"/>
  <c r="H5" i="12"/>
  <c r="P10" i="9"/>
  <c r="H13" i="9" l="1"/>
  <c r="O5" i="12"/>
  <c r="I5" i="12"/>
  <c r="P5" i="12" s="1"/>
  <c r="I13" i="9" l="1"/>
  <c r="O13" i="9"/>
  <c r="I15" i="9" l="1"/>
  <c r="P13" i="9"/>
  <c r="H6" i="12" l="1"/>
  <c r="P15" i="9"/>
  <c r="H34" i="10" l="1"/>
  <c r="I6" i="12"/>
  <c r="P6" i="12" s="1"/>
  <c r="O6" i="12"/>
  <c r="O24" i="11" l="1"/>
  <c r="O45" i="11"/>
  <c r="K5" i="10"/>
  <c r="M5" i="10"/>
  <c r="K6" i="10"/>
  <c r="M6" i="10"/>
  <c r="K7" i="10"/>
  <c r="M7" i="10"/>
  <c r="K8" i="10"/>
  <c r="M8" i="10"/>
  <c r="K9" i="10"/>
  <c r="M9" i="10"/>
  <c r="K10" i="10"/>
  <c r="M10" i="10"/>
  <c r="K11" i="10"/>
  <c r="M11" i="10"/>
  <c r="K12" i="10"/>
  <c r="M12" i="10"/>
  <c r="K13" i="10"/>
  <c r="M13" i="10"/>
  <c r="K14" i="10"/>
  <c r="M14" i="10"/>
  <c r="K15" i="10"/>
  <c r="M15" i="10"/>
  <c r="K16" i="10"/>
  <c r="M16" i="10"/>
  <c r="K17" i="10"/>
  <c r="M17" i="10"/>
  <c r="K18" i="10"/>
  <c r="M18" i="10"/>
  <c r="K19" i="10"/>
  <c r="M19" i="10"/>
  <c r="K20" i="10"/>
  <c r="M20" i="10"/>
  <c r="K21" i="10"/>
  <c r="M21" i="10"/>
  <c r="K22" i="10"/>
  <c r="M22" i="10"/>
  <c r="K23" i="10"/>
  <c r="M23" i="10"/>
  <c r="K24" i="10"/>
  <c r="M24" i="10"/>
  <c r="K25" i="10"/>
  <c r="M25" i="10"/>
  <c r="K26" i="10"/>
  <c r="M26" i="10"/>
  <c r="K27" i="10"/>
  <c r="M27" i="10"/>
  <c r="K28" i="10"/>
  <c r="M28" i="10"/>
  <c r="K29" i="10"/>
  <c r="M29" i="10"/>
  <c r="K30" i="10"/>
  <c r="M30" i="10"/>
  <c r="K31" i="10"/>
  <c r="M31" i="10"/>
  <c r="J34" i="10"/>
  <c r="O34" i="10"/>
  <c r="L35" i="10"/>
  <c r="N35" i="10"/>
  <c r="L36" i="10"/>
  <c r="N36" i="10"/>
  <c r="L37" i="10"/>
  <c r="N37" i="10"/>
  <c r="H38" i="10"/>
  <c r="M38" i="10"/>
  <c r="H39" i="10"/>
  <c r="M39" i="10"/>
  <c r="H40" i="10"/>
  <c r="M40" i="10"/>
  <c r="H41" i="10"/>
  <c r="M41" i="10"/>
  <c r="L42" i="10"/>
  <c r="N42" i="10"/>
  <c r="O53" i="10"/>
  <c r="K55" i="10"/>
  <c r="M55" i="10"/>
  <c r="K56" i="10"/>
  <c r="M56" i="10"/>
  <c r="K57" i="10"/>
  <c r="M57" i="10"/>
  <c r="K58" i="10"/>
  <c r="M58" i="10"/>
  <c r="K59" i="10"/>
  <c r="M59" i="10"/>
  <c r="K60" i="10"/>
  <c r="M60" i="10"/>
  <c r="K61" i="10"/>
  <c r="M61" i="10"/>
  <c r="L62" i="10"/>
  <c r="N62" i="10"/>
  <c r="L63" i="10"/>
  <c r="N63" i="10"/>
  <c r="H64" i="10"/>
  <c r="M64" i="10"/>
  <c r="L65" i="10"/>
  <c r="N65" i="10"/>
  <c r="O77" i="10"/>
  <c r="J55" i="8"/>
  <c r="H55" i="8"/>
  <c r="J35" i="8"/>
  <c r="H35" i="8"/>
  <c r="J34" i="8"/>
  <c r="H34" i="8"/>
  <c r="J33" i="8"/>
  <c r="H33" i="8"/>
  <c r="J32" i="8"/>
  <c r="H32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49" i="8"/>
  <c r="Q50" i="8"/>
  <c r="Q51" i="8"/>
  <c r="Q52" i="8"/>
  <c r="Q53" i="8"/>
  <c r="Q54" i="8"/>
  <c r="Q55" i="8"/>
  <c r="H5" i="9"/>
  <c r="M5" i="9"/>
  <c r="O6" i="9"/>
  <c r="K18" i="9"/>
  <c r="L18" i="9" s="1"/>
  <c r="M18" i="9"/>
  <c r="N18" i="9" s="1"/>
  <c r="K19" i="9"/>
  <c r="L19" i="9" s="1"/>
  <c r="M19" i="9"/>
  <c r="N19" i="9" s="1"/>
  <c r="K20" i="9"/>
  <c r="L20" i="9" s="1"/>
  <c r="M20" i="9"/>
  <c r="N20" i="9" s="1"/>
  <c r="K21" i="9"/>
  <c r="L21" i="9" s="1"/>
  <c r="M21" i="9"/>
  <c r="N21" i="9" s="1"/>
  <c r="K22" i="9"/>
  <c r="L22" i="9" s="1"/>
  <c r="M22" i="9"/>
  <c r="N22" i="9" s="1"/>
  <c r="K23" i="9"/>
  <c r="L23" i="9" s="1"/>
  <c r="M23" i="9"/>
  <c r="N23" i="9" s="1"/>
  <c r="I24" i="9"/>
  <c r="L24" i="9"/>
  <c r="N24" i="9"/>
  <c r="O24" i="9"/>
  <c r="H25" i="9"/>
  <c r="M25" i="9"/>
  <c r="I26" i="9"/>
  <c r="P26" i="9" s="1"/>
  <c r="L26" i="9"/>
  <c r="N26" i="9"/>
  <c r="O26" i="9"/>
  <c r="O27" i="9"/>
  <c r="H5" i="22"/>
  <c r="O5" i="22"/>
  <c r="AB5" i="22" s="1"/>
  <c r="Q5" i="22"/>
  <c r="H6" i="22"/>
  <c r="Q6" i="22"/>
  <c r="H13" i="22"/>
  <c r="O13" i="22"/>
  <c r="AA13" i="22" s="1"/>
  <c r="Q13" i="22"/>
  <c r="H14" i="22"/>
  <c r="O14" i="22"/>
  <c r="AA14" i="22" s="1"/>
  <c r="Q14" i="22"/>
  <c r="H15" i="22"/>
  <c r="O15" i="22"/>
  <c r="AA15" i="22" s="1"/>
  <c r="Q15" i="22"/>
  <c r="H16" i="22"/>
  <c r="O16" i="22"/>
  <c r="AA16" i="22" s="1"/>
  <c r="Q16" i="22"/>
  <c r="H17" i="22"/>
  <c r="O17" i="22"/>
  <c r="AA17" i="22" s="1"/>
  <c r="Q17" i="22"/>
  <c r="H18" i="22"/>
  <c r="Q18" i="22"/>
  <c r="I40" i="6"/>
  <c r="K25" i="9" s="1"/>
  <c r="I41" i="6"/>
  <c r="K39" i="10" s="1"/>
  <c r="I42" i="6"/>
  <c r="L42" i="6" s="1"/>
  <c r="I43" i="6"/>
  <c r="K41" i="10" s="1"/>
  <c r="B25" i="5"/>
  <c r="D25" i="5" s="1"/>
  <c r="B24" i="5"/>
  <c r="D24" i="5" s="1"/>
  <c r="B23" i="5"/>
  <c r="D23" i="5" s="1"/>
  <c r="B22" i="5"/>
  <c r="D22" i="5" s="1"/>
  <c r="B21" i="5"/>
  <c r="D21" i="5" s="1"/>
  <c r="H36" i="16"/>
  <c r="G34" i="10" s="1"/>
  <c r="I34" i="10" s="1"/>
  <c r="H37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N282" i="17"/>
  <c r="O282" i="17"/>
  <c r="P282" i="17"/>
  <c r="Q282" i="17"/>
  <c r="R282" i="17"/>
  <c r="S282" i="17"/>
  <c r="T282" i="17"/>
  <c r="U282" i="17"/>
  <c r="V282" i="17"/>
  <c r="W282" i="17"/>
  <c r="X282" i="17"/>
  <c r="Y282" i="17"/>
  <c r="Z282" i="17"/>
  <c r="M329" i="17"/>
  <c r="N329" i="17"/>
  <c r="O329" i="17"/>
  <c r="P329" i="17"/>
  <c r="Q329" i="17"/>
  <c r="R329" i="17"/>
  <c r="S329" i="17"/>
  <c r="T329" i="17"/>
  <c r="U329" i="17"/>
  <c r="V329" i="17"/>
  <c r="W329" i="17"/>
  <c r="X329" i="17"/>
  <c r="Y329" i="17"/>
  <c r="Z329" i="17"/>
  <c r="BE329" i="17"/>
  <c r="BD329" i="17"/>
  <c r="BC329" i="17"/>
  <c r="BB329" i="17"/>
  <c r="BA329" i="17"/>
  <c r="AZ329" i="17"/>
  <c r="AY329" i="17"/>
  <c r="AX329" i="17"/>
  <c r="AW329" i="17"/>
  <c r="AV329" i="17"/>
  <c r="AU329" i="17"/>
  <c r="AT329" i="17"/>
  <c r="AS329" i="17"/>
  <c r="AR329" i="17"/>
  <c r="AQ329" i="17"/>
  <c r="AP329" i="17"/>
  <c r="AO329" i="17"/>
  <c r="AN329" i="17"/>
  <c r="AM329" i="17"/>
  <c r="AL329" i="17"/>
  <c r="AK329" i="17"/>
  <c r="AJ329" i="17"/>
  <c r="AI329" i="17"/>
  <c r="AH329" i="17"/>
  <c r="AG329" i="17"/>
  <c r="AF329" i="17"/>
  <c r="AE329" i="17"/>
  <c r="AD329" i="17"/>
  <c r="AC329" i="17"/>
  <c r="AB329" i="17"/>
  <c r="BE282" i="17"/>
  <c r="BD282" i="17"/>
  <c r="BC282" i="17"/>
  <c r="BB282" i="17"/>
  <c r="BA282" i="17"/>
  <c r="AZ282" i="17"/>
  <c r="AY282" i="17"/>
  <c r="AX282" i="17"/>
  <c r="AW282" i="17"/>
  <c r="AV282" i="17"/>
  <c r="AU282" i="17"/>
  <c r="AT282" i="17"/>
  <c r="AS282" i="17"/>
  <c r="AR282" i="17"/>
  <c r="AQ282" i="17"/>
  <c r="AP282" i="17"/>
  <c r="AO282" i="17"/>
  <c r="AN282" i="17"/>
  <c r="AM282" i="17"/>
  <c r="AL282" i="17"/>
  <c r="AK282" i="17"/>
  <c r="AJ282" i="17"/>
  <c r="AI282" i="17"/>
  <c r="AH282" i="17"/>
  <c r="AG282" i="17"/>
  <c r="AF282" i="17"/>
  <c r="AE282" i="17"/>
  <c r="AD282" i="17"/>
  <c r="AC282" i="17"/>
  <c r="AB282" i="17"/>
  <c r="BE235" i="17"/>
  <c r="BD235" i="17"/>
  <c r="BC235" i="17"/>
  <c r="BB235" i="17"/>
  <c r="BA235" i="17"/>
  <c r="AZ235" i="17"/>
  <c r="AY235" i="17"/>
  <c r="AX235" i="17"/>
  <c r="AW235" i="17"/>
  <c r="AV235" i="17"/>
  <c r="AU235" i="17"/>
  <c r="AT235" i="17"/>
  <c r="AS235" i="17"/>
  <c r="AR235" i="17"/>
  <c r="AQ235" i="17"/>
  <c r="AP235" i="17"/>
  <c r="AO235" i="17"/>
  <c r="AN235" i="17"/>
  <c r="AM235" i="17"/>
  <c r="AL235" i="17"/>
  <c r="AK235" i="17"/>
  <c r="AJ235" i="17"/>
  <c r="AI235" i="17"/>
  <c r="AH235" i="17"/>
  <c r="AG235" i="17"/>
  <c r="AF235" i="17"/>
  <c r="AE235" i="17"/>
  <c r="AD235" i="17"/>
  <c r="AC235" i="17"/>
  <c r="AB235" i="17"/>
  <c r="N6" i="40"/>
  <c r="AD3" i="10"/>
  <c r="AE3" i="10"/>
  <c r="D13" i="5"/>
  <c r="F3" i="5"/>
  <c r="D12" i="5"/>
  <c r="D11" i="5"/>
  <c r="H17" i="6" s="1"/>
  <c r="L17" i="6" s="1"/>
  <c r="P17" i="9"/>
  <c r="P4" i="9"/>
  <c r="E40" i="17"/>
  <c r="E16" i="17"/>
  <c r="E103" i="17"/>
  <c r="E127" i="17"/>
  <c r="E246" i="17"/>
  <c r="E172" i="17"/>
  <c r="E186" i="17"/>
  <c r="E152" i="17"/>
  <c r="E313" i="17"/>
  <c r="E38" i="17"/>
  <c r="E221" i="17"/>
  <c r="E150" i="17"/>
  <c r="E137" i="17"/>
  <c r="E319" i="17"/>
  <c r="E28" i="17"/>
  <c r="E274" i="17"/>
  <c r="E139" i="17"/>
  <c r="E309" i="17"/>
  <c r="E250" i="17"/>
  <c r="E256" i="17"/>
  <c r="E219" i="17"/>
  <c r="E55" i="17"/>
  <c r="E75" i="17"/>
  <c r="E213" i="17"/>
  <c r="E270" i="17"/>
  <c r="E297" i="17"/>
  <c r="E215" i="17"/>
  <c r="E30" i="17"/>
  <c r="E176" i="17"/>
  <c r="E317" i="17"/>
  <c r="E323" i="17"/>
  <c r="E79" i="17"/>
  <c r="E311" i="17"/>
  <c r="E260" i="17"/>
  <c r="E301" i="17"/>
  <c r="E65" i="17"/>
  <c r="E121" i="17"/>
  <c r="E276" i="17"/>
  <c r="E89" i="17"/>
  <c r="E201" i="17"/>
  <c r="E170" i="17"/>
  <c r="E135" i="17"/>
  <c r="E303" i="17"/>
  <c r="E295" i="17"/>
  <c r="E182" i="17"/>
  <c r="E113" i="17"/>
  <c r="E205" i="17"/>
  <c r="E188" i="17"/>
  <c r="E244" i="17"/>
  <c r="E197" i="17"/>
  <c r="E280" i="17"/>
  <c r="E61" i="17"/>
  <c r="E166" i="17"/>
  <c r="E131" i="17"/>
  <c r="E307" i="17"/>
  <c r="E227" i="17"/>
  <c r="E117" i="17"/>
  <c r="E180" i="17"/>
  <c r="E154" i="17"/>
  <c r="E262" i="17"/>
  <c r="E272" i="17"/>
  <c r="E299" i="17"/>
  <c r="E14" i="17"/>
  <c r="E164" i="17"/>
  <c r="E44" i="17"/>
  <c r="E46" i="17"/>
  <c r="E129" i="17"/>
  <c r="E63" i="17"/>
  <c r="E123" i="17"/>
  <c r="E174" i="17"/>
  <c r="E67" i="17"/>
  <c r="E327" i="17"/>
  <c r="E36" i="17"/>
  <c r="E85" i="17"/>
  <c r="E293" i="17"/>
  <c r="E133" i="17"/>
  <c r="E321" i="17"/>
  <c r="E209" i="17"/>
  <c r="E42" i="17"/>
  <c r="E291" i="17"/>
  <c r="E203" i="17"/>
  <c r="E254" i="17"/>
  <c r="E115" i="17"/>
  <c r="E229" i="17"/>
  <c r="E10" i="17"/>
  <c r="E168" i="17"/>
  <c r="E325" i="17"/>
  <c r="E12" i="17"/>
  <c r="E248" i="17"/>
  <c r="E24" i="17"/>
  <c r="E73" i="17"/>
  <c r="E20" i="17"/>
  <c r="E18" i="17"/>
  <c r="E156" i="17"/>
  <c r="E211" i="17"/>
  <c r="E258" i="17"/>
  <c r="E8" i="17"/>
  <c r="E141" i="17"/>
  <c r="E34" i="17"/>
  <c r="E57" i="17"/>
  <c r="E77" i="17"/>
  <c r="E162" i="17"/>
  <c r="E217" i="17"/>
  <c r="E22" i="17"/>
  <c r="E125" i="17"/>
  <c r="E233" i="17"/>
  <c r="E105" i="17"/>
  <c r="E32" i="17"/>
  <c r="E93" i="17"/>
  <c r="E69" i="17"/>
  <c r="E252" i="17"/>
  <c r="E315" i="17"/>
  <c r="E207" i="17"/>
  <c r="E223" i="17"/>
  <c r="E109" i="17"/>
  <c r="E225" i="17"/>
  <c r="E26" i="17"/>
  <c r="E59" i="17"/>
  <c r="E111" i="17"/>
  <c r="E71" i="17"/>
  <c r="E278" i="17"/>
  <c r="E178" i="17"/>
  <c r="E231" i="17"/>
  <c r="E199" i="17"/>
  <c r="E266" i="17"/>
  <c r="E83" i="17"/>
  <c r="E158" i="17"/>
  <c r="E264" i="17"/>
  <c r="E81" i="17"/>
  <c r="E184" i="17"/>
  <c r="E107" i="17"/>
  <c r="E91" i="17"/>
  <c r="E305" i="17"/>
  <c r="E268" i="17"/>
  <c r="E119" i="17"/>
  <c r="E160" i="17"/>
  <c r="E87" i="17"/>
  <c r="H32" i="6" l="1"/>
  <c r="H26" i="10" s="1"/>
  <c r="H31" i="6"/>
  <c r="H20" i="9" s="1"/>
  <c r="H16" i="6"/>
  <c r="L16" i="6" s="1"/>
  <c r="H15" i="6"/>
  <c r="H16" i="10" s="1"/>
  <c r="O16" i="10" s="1"/>
  <c r="H30" i="6"/>
  <c r="L30" i="6" s="1"/>
  <c r="H14" i="6"/>
  <c r="H15" i="10" s="1"/>
  <c r="H29" i="6"/>
  <c r="H18" i="9" s="1"/>
  <c r="H13" i="6"/>
  <c r="H14" i="10" s="1"/>
  <c r="O14" i="10" s="1"/>
  <c r="H28" i="6"/>
  <c r="L28" i="6" s="1"/>
  <c r="H12" i="6"/>
  <c r="L12" i="6" s="1"/>
  <c r="H27" i="6"/>
  <c r="H60" i="10" s="1"/>
  <c r="O60" i="10" s="1"/>
  <c r="H11" i="6"/>
  <c r="L11" i="6" s="1"/>
  <c r="H26" i="6"/>
  <c r="H59" i="10" s="1"/>
  <c r="O59" i="10" s="1"/>
  <c r="H10" i="6"/>
  <c r="L10" i="6" s="1"/>
  <c r="H25" i="6"/>
  <c r="H25" i="10" s="1"/>
  <c r="O25" i="10" s="1"/>
  <c r="H9" i="6"/>
  <c r="H10" i="10" s="1"/>
  <c r="O10" i="10" s="1"/>
  <c r="H24" i="6"/>
  <c r="L24" i="6" s="1"/>
  <c r="H8" i="6"/>
  <c r="H9" i="10" s="1"/>
  <c r="O9" i="10" s="1"/>
  <c r="H39" i="6"/>
  <c r="H22" i="9" s="1"/>
  <c r="H23" i="6"/>
  <c r="L23" i="6" s="1"/>
  <c r="H7" i="6"/>
  <c r="H8" i="10" s="1"/>
  <c r="O8" i="10" s="1"/>
  <c r="H38" i="6"/>
  <c r="H31" i="10" s="1"/>
  <c r="O31" i="10" s="1"/>
  <c r="H22" i="6"/>
  <c r="H22" i="10" s="1"/>
  <c r="O22" i="10" s="1"/>
  <c r="H6" i="6"/>
  <c r="L6" i="6" s="1"/>
  <c r="H37" i="6"/>
  <c r="L37" i="6" s="1"/>
  <c r="H21" i="6"/>
  <c r="H5" i="6"/>
  <c r="L5" i="6" s="1"/>
  <c r="H36" i="6"/>
  <c r="L36" i="6" s="1"/>
  <c r="H20" i="6"/>
  <c r="H23" i="9" s="1"/>
  <c r="I23" i="9" s="1"/>
  <c r="P23" i="9" s="1"/>
  <c r="H4" i="6"/>
  <c r="L4" i="6" s="1"/>
  <c r="H35" i="6"/>
  <c r="H28" i="10" s="1"/>
  <c r="O28" i="10" s="1"/>
  <c r="H19" i="6"/>
  <c r="H19" i="10" s="1"/>
  <c r="O19" i="10" s="1"/>
  <c r="H34" i="6"/>
  <c r="L34" i="6" s="1"/>
  <c r="H18" i="6"/>
  <c r="L18" i="6" s="1"/>
  <c r="H33" i="6"/>
  <c r="H27" i="10" s="1"/>
  <c r="O27" i="10" s="1"/>
  <c r="I18" i="22"/>
  <c r="O18" i="22" s="1"/>
  <c r="O25" i="9"/>
  <c r="L32" i="6"/>
  <c r="N34" i="10"/>
  <c r="O15" i="10"/>
  <c r="O26" i="10"/>
  <c r="P24" i="9"/>
  <c r="AA18" i="22"/>
  <c r="H29" i="10"/>
  <c r="O29" i="10" s="1"/>
  <c r="H17" i="10"/>
  <c r="O17" i="10" s="1"/>
  <c r="I6" i="22"/>
  <c r="AB6" i="22"/>
  <c r="O41" i="10"/>
  <c r="H21" i="10"/>
  <c r="O21" i="10" s="1"/>
  <c r="L21" i="6"/>
  <c r="I20" i="9"/>
  <c r="P20" i="9" s="1"/>
  <c r="O20" i="9"/>
  <c r="I18" i="9"/>
  <c r="O18" i="9"/>
  <c r="O39" i="10"/>
  <c r="L9" i="6"/>
  <c r="H19" i="9"/>
  <c r="K40" i="10"/>
  <c r="O40" i="10" s="1"/>
  <c r="L34" i="10"/>
  <c r="H6" i="10"/>
  <c r="O6" i="10" s="1"/>
  <c r="L43" i="6"/>
  <c r="L31" i="6"/>
  <c r="K5" i="9"/>
  <c r="O5" i="9" s="1"/>
  <c r="K64" i="10"/>
  <c r="O64" i="10" s="1"/>
  <c r="H57" i="10"/>
  <c r="O57" i="10" s="1"/>
  <c r="K38" i="10"/>
  <c r="O38" i="10" s="1"/>
  <c r="L41" i="6"/>
  <c r="L29" i="6"/>
  <c r="H58" i="10"/>
  <c r="O58" i="10" s="1"/>
  <c r="L40" i="6"/>
  <c r="O254" i="17"/>
  <c r="F254" i="17"/>
  <c r="R254" i="17"/>
  <c r="G254" i="17"/>
  <c r="S254" i="17"/>
  <c r="I254" i="17"/>
  <c r="U254" i="17"/>
  <c r="K254" i="17"/>
  <c r="W254" i="17"/>
  <c r="L254" i="17"/>
  <c r="X254" i="17"/>
  <c r="J254" i="17"/>
  <c r="M254" i="17"/>
  <c r="N254" i="17"/>
  <c r="P254" i="17"/>
  <c r="Q254" i="17"/>
  <c r="T254" i="17"/>
  <c r="V254" i="17"/>
  <c r="Y254" i="17"/>
  <c r="Z254" i="17"/>
  <c r="H254" i="17"/>
  <c r="BE254" i="17"/>
  <c r="AS254" i="17"/>
  <c r="AG254" i="17"/>
  <c r="BD254" i="17"/>
  <c r="AR254" i="17"/>
  <c r="AF254" i="17"/>
  <c r="BC254" i="17"/>
  <c r="AQ254" i="17"/>
  <c r="AE254" i="17"/>
  <c r="BB254" i="17"/>
  <c r="AP254" i="17"/>
  <c r="AD254" i="17"/>
  <c r="BA254" i="17"/>
  <c r="AO254" i="17"/>
  <c r="AC254" i="17"/>
  <c r="AK254" i="17"/>
  <c r="AJ254" i="17"/>
  <c r="AZ254" i="17"/>
  <c r="AI254" i="17"/>
  <c r="AY254" i="17"/>
  <c r="AH254" i="17"/>
  <c r="AX254" i="17"/>
  <c r="AB254" i="17"/>
  <c r="AW254" i="17"/>
  <c r="AV254" i="17"/>
  <c r="AU254" i="17"/>
  <c r="AN254" i="17"/>
  <c r="AM254" i="17"/>
  <c r="AL254" i="17"/>
  <c r="AT254" i="17"/>
  <c r="G231" i="17"/>
  <c r="S231" i="17"/>
  <c r="H231" i="17"/>
  <c r="T231" i="17"/>
  <c r="I231" i="17"/>
  <c r="U231" i="17"/>
  <c r="J231" i="17"/>
  <c r="V231" i="17"/>
  <c r="K231" i="17"/>
  <c r="W231" i="17"/>
  <c r="M231" i="17"/>
  <c r="Y231" i="17"/>
  <c r="N231" i="17"/>
  <c r="Z231" i="17"/>
  <c r="O231" i="17"/>
  <c r="P231" i="17"/>
  <c r="L231" i="17"/>
  <c r="Q231" i="17"/>
  <c r="R231" i="17"/>
  <c r="X231" i="17"/>
  <c r="F231" i="17"/>
  <c r="AU231" i="17"/>
  <c r="AI231" i="17"/>
  <c r="AT231" i="17"/>
  <c r="AH231" i="17"/>
  <c r="BE231" i="17"/>
  <c r="AS231" i="17"/>
  <c r="AG231" i="17"/>
  <c r="BD231" i="17"/>
  <c r="AR231" i="17"/>
  <c r="AF231" i="17"/>
  <c r="BC231" i="17"/>
  <c r="AQ231" i="17"/>
  <c r="AE231" i="17"/>
  <c r="BB231" i="17"/>
  <c r="AP231" i="17"/>
  <c r="AD231" i="17"/>
  <c r="BA231" i="17"/>
  <c r="AO231" i="17"/>
  <c r="AC231" i="17"/>
  <c r="AZ231" i="17"/>
  <c r="AN231" i="17"/>
  <c r="AB231" i="17"/>
  <c r="AX231" i="17"/>
  <c r="AL231" i="17"/>
  <c r="AW231" i="17"/>
  <c r="AK231" i="17"/>
  <c r="AV231" i="17"/>
  <c r="AJ231" i="17"/>
  <c r="AY231" i="17"/>
  <c r="AM231" i="17"/>
  <c r="H270" i="17"/>
  <c r="T270" i="17"/>
  <c r="I270" i="17"/>
  <c r="U270" i="17"/>
  <c r="J270" i="17"/>
  <c r="V270" i="17"/>
  <c r="K270" i="17"/>
  <c r="W270" i="17"/>
  <c r="L270" i="17"/>
  <c r="X270" i="17"/>
  <c r="M270" i="17"/>
  <c r="Y270" i="17"/>
  <c r="N270" i="17"/>
  <c r="Z270" i="17"/>
  <c r="O270" i="17"/>
  <c r="P270" i="17"/>
  <c r="G270" i="17"/>
  <c r="S270" i="17"/>
  <c r="BE270" i="17"/>
  <c r="AS270" i="17"/>
  <c r="AG270" i="17"/>
  <c r="BD270" i="17"/>
  <c r="AR270" i="17"/>
  <c r="AF270" i="17"/>
  <c r="BC270" i="17"/>
  <c r="AQ270" i="17"/>
  <c r="AE270" i="17"/>
  <c r="BB270" i="17"/>
  <c r="AP270" i="17"/>
  <c r="AD270" i="17"/>
  <c r="BA270" i="17"/>
  <c r="AO270" i="17"/>
  <c r="AC270" i="17"/>
  <c r="AY270" i="17"/>
  <c r="AM270" i="17"/>
  <c r="AX270" i="17"/>
  <c r="AL270" i="17"/>
  <c r="AW270" i="17"/>
  <c r="AK270" i="17"/>
  <c r="F270" i="17"/>
  <c r="AV270" i="17"/>
  <c r="AJ270" i="17"/>
  <c r="R270" i="17"/>
  <c r="AT270" i="17"/>
  <c r="AH270" i="17"/>
  <c r="AZ270" i="17"/>
  <c r="AU270" i="17"/>
  <c r="AN270" i="17"/>
  <c r="AI270" i="17"/>
  <c r="Q270" i="17"/>
  <c r="AB270" i="17"/>
  <c r="G295" i="17"/>
  <c r="S295" i="17"/>
  <c r="H295" i="17"/>
  <c r="T295" i="17"/>
  <c r="I295" i="17"/>
  <c r="U295" i="17"/>
  <c r="J295" i="17"/>
  <c r="V295" i="17"/>
  <c r="K295" i="17"/>
  <c r="W295" i="17"/>
  <c r="L295" i="17"/>
  <c r="X295" i="17"/>
  <c r="M295" i="17"/>
  <c r="Y295" i="17"/>
  <c r="N295" i="17"/>
  <c r="Z295" i="17"/>
  <c r="O295" i="17"/>
  <c r="F295" i="17"/>
  <c r="DA295" i="17" s="1"/>
  <c r="R295" i="17"/>
  <c r="AY295" i="17"/>
  <c r="AM295" i="17"/>
  <c r="AX295" i="17"/>
  <c r="AL295" i="17"/>
  <c r="AW295" i="17"/>
  <c r="AK295" i="17"/>
  <c r="AV295" i="17"/>
  <c r="AJ295" i="17"/>
  <c r="AU295" i="17"/>
  <c r="AI295" i="17"/>
  <c r="AT295" i="17"/>
  <c r="AH295" i="17"/>
  <c r="BE295" i="17"/>
  <c r="AS295" i="17"/>
  <c r="AG295" i="17"/>
  <c r="P295" i="17"/>
  <c r="BD295" i="17"/>
  <c r="AR295" i="17"/>
  <c r="AF295" i="17"/>
  <c r="Q295" i="17"/>
  <c r="BC295" i="17"/>
  <c r="AQ295" i="17"/>
  <c r="AE295" i="17"/>
  <c r="BB295" i="17"/>
  <c r="AP295" i="17"/>
  <c r="AD295" i="17"/>
  <c r="AZ295" i="17"/>
  <c r="AN295" i="17"/>
  <c r="AB295" i="17"/>
  <c r="BA295" i="17"/>
  <c r="AO295" i="17"/>
  <c r="AC295" i="17"/>
  <c r="G307" i="17"/>
  <c r="S307" i="17"/>
  <c r="H307" i="17"/>
  <c r="T307" i="17"/>
  <c r="I307" i="17"/>
  <c r="U307" i="17"/>
  <c r="J307" i="17"/>
  <c r="V307" i="17"/>
  <c r="K307" i="17"/>
  <c r="W307" i="17"/>
  <c r="L307" i="17"/>
  <c r="DG307" i="17" s="1"/>
  <c r="L328" i="17" s="1"/>
  <c r="L329" i="17" s="1"/>
  <c r="J50" i="16" s="1"/>
  <c r="X307" i="17"/>
  <c r="M307" i="17"/>
  <c r="Y307" i="17"/>
  <c r="N307" i="17"/>
  <c r="Z307" i="17"/>
  <c r="O307" i="17"/>
  <c r="F307" i="17"/>
  <c r="R307" i="17"/>
  <c r="AY307" i="17"/>
  <c r="AM307" i="17"/>
  <c r="AX307" i="17"/>
  <c r="AL307" i="17"/>
  <c r="AW307" i="17"/>
  <c r="AK307" i="17"/>
  <c r="AV307" i="17"/>
  <c r="AJ307" i="17"/>
  <c r="AU307" i="17"/>
  <c r="AI307" i="17"/>
  <c r="P307" i="17"/>
  <c r="AT307" i="17"/>
  <c r="AH307" i="17"/>
  <c r="Q307" i="17"/>
  <c r="BE307" i="17"/>
  <c r="AS307" i="17"/>
  <c r="AG307" i="17"/>
  <c r="BD307" i="17"/>
  <c r="AR307" i="17"/>
  <c r="AF307" i="17"/>
  <c r="BC307" i="17"/>
  <c r="AQ307" i="17"/>
  <c r="AE307" i="17"/>
  <c r="BB307" i="17"/>
  <c r="AP307" i="17"/>
  <c r="AD307" i="17"/>
  <c r="AZ307" i="17"/>
  <c r="AN307" i="17"/>
  <c r="AB307" i="17"/>
  <c r="BA307" i="17"/>
  <c r="AO307" i="17"/>
  <c r="AC307" i="17"/>
  <c r="G319" i="17"/>
  <c r="S319" i="17"/>
  <c r="BC319" i="17"/>
  <c r="AQ319" i="17"/>
  <c r="AE319" i="17"/>
  <c r="H319" i="17"/>
  <c r="T319" i="17"/>
  <c r="BB319" i="17"/>
  <c r="AP319" i="17"/>
  <c r="AD319" i="17"/>
  <c r="I319" i="17"/>
  <c r="U319" i="17"/>
  <c r="J319" i="17"/>
  <c r="V319" i="17"/>
  <c r="AZ319" i="17"/>
  <c r="AN319" i="17"/>
  <c r="AB319" i="17"/>
  <c r="K319" i="17"/>
  <c r="W319" i="17"/>
  <c r="L319" i="17"/>
  <c r="X319" i="17"/>
  <c r="M319" i="17"/>
  <c r="Y319" i="17"/>
  <c r="N319" i="17"/>
  <c r="Z319" i="17"/>
  <c r="AV319" i="17"/>
  <c r="O319" i="17"/>
  <c r="AU319" i="17"/>
  <c r="F319" i="17"/>
  <c r="R319" i="17"/>
  <c r="BD319" i="17"/>
  <c r="AR319" i="17"/>
  <c r="AF319" i="17"/>
  <c r="AX319" i="17"/>
  <c r="AC319" i="17"/>
  <c r="AW319" i="17"/>
  <c r="AT319" i="17"/>
  <c r="P319" i="17"/>
  <c r="AS319" i="17"/>
  <c r="Q319" i="17"/>
  <c r="AO319" i="17"/>
  <c r="AM319" i="17"/>
  <c r="AL319" i="17"/>
  <c r="AK319" i="17"/>
  <c r="AJ319" i="17"/>
  <c r="BE319" i="17"/>
  <c r="AI319" i="17"/>
  <c r="AY319" i="17"/>
  <c r="AG319" i="17"/>
  <c r="BA319" i="17"/>
  <c r="AH319" i="17"/>
  <c r="F280" i="17"/>
  <c r="R280" i="17"/>
  <c r="G280" i="17"/>
  <c r="S280" i="17"/>
  <c r="H280" i="17"/>
  <c r="T280" i="17"/>
  <c r="I280" i="17"/>
  <c r="U280" i="17"/>
  <c r="J280" i="17"/>
  <c r="V280" i="17"/>
  <c r="K280" i="17"/>
  <c r="W280" i="17"/>
  <c r="L280" i="17"/>
  <c r="X280" i="17"/>
  <c r="M280" i="17"/>
  <c r="Y280" i="17"/>
  <c r="N280" i="17"/>
  <c r="Z280" i="17"/>
  <c r="Q280" i="17"/>
  <c r="AY280" i="17"/>
  <c r="AM280" i="17"/>
  <c r="AX280" i="17"/>
  <c r="AL280" i="17"/>
  <c r="AW280" i="17"/>
  <c r="AK280" i="17"/>
  <c r="AV280" i="17"/>
  <c r="AJ280" i="17"/>
  <c r="O280" i="17"/>
  <c r="AU280" i="17"/>
  <c r="AI280" i="17"/>
  <c r="P280" i="17"/>
  <c r="AT280" i="17"/>
  <c r="AH280" i="17"/>
  <c r="BE280" i="17"/>
  <c r="AS280" i="17"/>
  <c r="AG280" i="17"/>
  <c r="BD280" i="17"/>
  <c r="AR280" i="17"/>
  <c r="AF280" i="17"/>
  <c r="BC280" i="17"/>
  <c r="AQ280" i="17"/>
  <c r="AE280" i="17"/>
  <c r="BB280" i="17"/>
  <c r="AP280" i="17"/>
  <c r="AD280" i="17"/>
  <c r="AZ280" i="17"/>
  <c r="AN280" i="17"/>
  <c r="AB280" i="17"/>
  <c r="BA280" i="17"/>
  <c r="AC280" i="17"/>
  <c r="AO280" i="17"/>
  <c r="F268" i="17"/>
  <c r="R268" i="17"/>
  <c r="G268" i="17"/>
  <c r="S268" i="17"/>
  <c r="H268" i="17"/>
  <c r="T268" i="17"/>
  <c r="I268" i="17"/>
  <c r="U268" i="17"/>
  <c r="J268" i="17"/>
  <c r="V268" i="17"/>
  <c r="K268" i="17"/>
  <c r="W268" i="17"/>
  <c r="L268" i="17"/>
  <c r="X268" i="17"/>
  <c r="M268" i="17"/>
  <c r="Y268" i="17"/>
  <c r="N268" i="17"/>
  <c r="Z268" i="17"/>
  <c r="Q268" i="17"/>
  <c r="AY268" i="17"/>
  <c r="AM268" i="17"/>
  <c r="AX268" i="17"/>
  <c r="AL268" i="17"/>
  <c r="AW268" i="17"/>
  <c r="AK268" i="17"/>
  <c r="AV268" i="17"/>
  <c r="AJ268" i="17"/>
  <c r="AU268" i="17"/>
  <c r="AI268" i="17"/>
  <c r="O268" i="17"/>
  <c r="BE268" i="17"/>
  <c r="AS268" i="17"/>
  <c r="AG268" i="17"/>
  <c r="P268" i="17"/>
  <c r="BD268" i="17"/>
  <c r="AR268" i="17"/>
  <c r="AF268" i="17"/>
  <c r="BC268" i="17"/>
  <c r="AQ268" i="17"/>
  <c r="AE268" i="17"/>
  <c r="BB268" i="17"/>
  <c r="AP268" i="17"/>
  <c r="AD268" i="17"/>
  <c r="AZ268" i="17"/>
  <c r="AN268" i="17"/>
  <c r="AB268" i="17"/>
  <c r="BA268" i="17"/>
  <c r="AO268" i="17"/>
  <c r="AH268" i="17"/>
  <c r="AC268" i="17"/>
  <c r="AT268" i="17"/>
  <c r="I321" i="17"/>
  <c r="U321" i="17"/>
  <c r="AW321" i="17"/>
  <c r="AK321" i="17"/>
  <c r="J321" i="17"/>
  <c r="V321" i="17"/>
  <c r="AV321" i="17"/>
  <c r="AJ321" i="17"/>
  <c r="K321" i="17"/>
  <c r="W321" i="17"/>
  <c r="AU321" i="17"/>
  <c r="L321" i="17"/>
  <c r="X321" i="17"/>
  <c r="AT321" i="17"/>
  <c r="AH321" i="17"/>
  <c r="M321" i="17"/>
  <c r="Y321" i="17"/>
  <c r="BE321" i="17"/>
  <c r="AS321" i="17"/>
  <c r="N321" i="17"/>
  <c r="Z321" i="17"/>
  <c r="O321" i="17"/>
  <c r="BC321" i="17"/>
  <c r="AQ321" i="17"/>
  <c r="AE321" i="17"/>
  <c r="P321" i="17"/>
  <c r="BB321" i="17"/>
  <c r="AP321" i="17"/>
  <c r="AD321" i="17"/>
  <c r="Q321" i="17"/>
  <c r="BA321" i="17"/>
  <c r="AO321" i="17"/>
  <c r="AC321" i="17"/>
  <c r="H321" i="17"/>
  <c r="T321" i="17"/>
  <c r="AX321" i="17"/>
  <c r="AL321" i="17"/>
  <c r="AZ321" i="17"/>
  <c r="AY321" i="17"/>
  <c r="AR321" i="17"/>
  <c r="AN321" i="17"/>
  <c r="AM321" i="17"/>
  <c r="F321" i="17"/>
  <c r="AI321" i="17"/>
  <c r="G321" i="17"/>
  <c r="AG321" i="17"/>
  <c r="R321" i="17"/>
  <c r="AF321" i="17"/>
  <c r="S321" i="17"/>
  <c r="AB321" i="17"/>
  <c r="BD321" i="17"/>
  <c r="I309" i="17"/>
  <c r="U309" i="17"/>
  <c r="J309" i="17"/>
  <c r="V309" i="17"/>
  <c r="K309" i="17"/>
  <c r="W309" i="17"/>
  <c r="L309" i="17"/>
  <c r="X309" i="17"/>
  <c r="M309" i="17"/>
  <c r="Y309" i="17"/>
  <c r="N309" i="17"/>
  <c r="Z309" i="17"/>
  <c r="O309" i="17"/>
  <c r="P309" i="17"/>
  <c r="Q309" i="17"/>
  <c r="H309" i="17"/>
  <c r="T309" i="17"/>
  <c r="BE309" i="17"/>
  <c r="AS309" i="17"/>
  <c r="AG309" i="17"/>
  <c r="BD309" i="17"/>
  <c r="AR309" i="17"/>
  <c r="AF309" i="17"/>
  <c r="BC309" i="17"/>
  <c r="AQ309" i="17"/>
  <c r="AE309" i="17"/>
  <c r="BB309" i="17"/>
  <c r="AP309" i="17"/>
  <c r="AD309" i="17"/>
  <c r="BA309" i="17"/>
  <c r="AO309" i="17"/>
  <c r="AC309" i="17"/>
  <c r="AZ309" i="17"/>
  <c r="AN309" i="17"/>
  <c r="AB309" i="17"/>
  <c r="AY309" i="17"/>
  <c r="AM309" i="17"/>
  <c r="F309" i="17"/>
  <c r="AX309" i="17"/>
  <c r="AL309" i="17"/>
  <c r="G309" i="17"/>
  <c r="AW309" i="17"/>
  <c r="AK309" i="17"/>
  <c r="R309" i="17"/>
  <c r="AV309" i="17"/>
  <c r="AJ309" i="17"/>
  <c r="AT309" i="17"/>
  <c r="AH309" i="17"/>
  <c r="AU309" i="17"/>
  <c r="AI309" i="17"/>
  <c r="S309" i="17"/>
  <c r="I297" i="17"/>
  <c r="DD297" i="17" s="1"/>
  <c r="I328" i="17" s="1"/>
  <c r="I329" i="17" s="1"/>
  <c r="J47" i="16" s="1"/>
  <c r="U297" i="17"/>
  <c r="J297" i="17"/>
  <c r="V297" i="17"/>
  <c r="K297" i="17"/>
  <c r="W297" i="17"/>
  <c r="L297" i="17"/>
  <c r="X297" i="17"/>
  <c r="M297" i="17"/>
  <c r="Y297" i="17"/>
  <c r="N297" i="17"/>
  <c r="Z297" i="17"/>
  <c r="O297" i="17"/>
  <c r="P297" i="17"/>
  <c r="Q297" i="17"/>
  <c r="H297" i="17"/>
  <c r="T297" i="17"/>
  <c r="S297" i="17"/>
  <c r="BE297" i="17"/>
  <c r="AS297" i="17"/>
  <c r="AG297" i="17"/>
  <c r="BD297" i="17"/>
  <c r="AR297" i="17"/>
  <c r="AF297" i="17"/>
  <c r="BC297" i="17"/>
  <c r="AQ297" i="17"/>
  <c r="AE297" i="17"/>
  <c r="BB297" i="17"/>
  <c r="AP297" i="17"/>
  <c r="AD297" i="17"/>
  <c r="BA297" i="17"/>
  <c r="AO297" i="17"/>
  <c r="AC297" i="17"/>
  <c r="AZ297" i="17"/>
  <c r="AN297" i="17"/>
  <c r="AB297" i="17"/>
  <c r="AY297" i="17"/>
  <c r="AM297" i="17"/>
  <c r="AX297" i="17"/>
  <c r="AL297" i="17"/>
  <c r="AW297" i="17"/>
  <c r="AK297" i="17"/>
  <c r="F297" i="17"/>
  <c r="AV297" i="17"/>
  <c r="AJ297" i="17"/>
  <c r="R297" i="17"/>
  <c r="AT297" i="17"/>
  <c r="AH297" i="17"/>
  <c r="AU297" i="17"/>
  <c r="AI297" i="17"/>
  <c r="G297" i="17"/>
  <c r="I260" i="17"/>
  <c r="J260" i="17"/>
  <c r="V260" i="17"/>
  <c r="K260" i="17"/>
  <c r="W260" i="17"/>
  <c r="L260" i="17"/>
  <c r="X260" i="17"/>
  <c r="M260" i="17"/>
  <c r="Y260" i="17"/>
  <c r="N260" i="17"/>
  <c r="Z260" i="17"/>
  <c r="O260" i="17"/>
  <c r="P260" i="17"/>
  <c r="Q260" i="17"/>
  <c r="R260" i="17"/>
  <c r="H260" i="17"/>
  <c r="U260" i="17"/>
  <c r="AY260" i="17"/>
  <c r="AM260" i="17"/>
  <c r="AX260" i="17"/>
  <c r="AL260" i="17"/>
  <c r="F260" i="17"/>
  <c r="AW260" i="17"/>
  <c r="AK260" i="17"/>
  <c r="G260" i="17"/>
  <c r="AV260" i="17"/>
  <c r="AJ260" i="17"/>
  <c r="S260" i="17"/>
  <c r="AU260" i="17"/>
  <c r="AI260" i="17"/>
  <c r="T260" i="17"/>
  <c r="BD260" i="17"/>
  <c r="BC260" i="17"/>
  <c r="AQ260" i="17"/>
  <c r="AE260" i="17"/>
  <c r="AZ260" i="17"/>
  <c r="AN260" i="17"/>
  <c r="AB260" i="17"/>
  <c r="AH260" i="17"/>
  <c r="AG260" i="17"/>
  <c r="AF260" i="17"/>
  <c r="AD260" i="17"/>
  <c r="BE260" i="17"/>
  <c r="AC260" i="17"/>
  <c r="BB260" i="17"/>
  <c r="BA260" i="17"/>
  <c r="AT260" i="17"/>
  <c r="AR260" i="17"/>
  <c r="AP260" i="17"/>
  <c r="AO260" i="17"/>
  <c r="AS260" i="17"/>
  <c r="G188" i="17"/>
  <c r="S188" i="17"/>
  <c r="H188" i="17"/>
  <c r="T188" i="17"/>
  <c r="I188" i="17"/>
  <c r="U188" i="17"/>
  <c r="J188" i="17"/>
  <c r="V188" i="17"/>
  <c r="K188" i="17"/>
  <c r="W188" i="17"/>
  <c r="L188" i="17"/>
  <c r="X188" i="17"/>
  <c r="M188" i="17"/>
  <c r="Y188" i="17"/>
  <c r="N188" i="17"/>
  <c r="Z188" i="17"/>
  <c r="O188" i="17"/>
  <c r="P188" i="17"/>
  <c r="F188" i="17"/>
  <c r="R188" i="17"/>
  <c r="Q188" i="17"/>
  <c r="AU188" i="17"/>
  <c r="AI188" i="17"/>
  <c r="AT188" i="17"/>
  <c r="AH188" i="17"/>
  <c r="BE188" i="17"/>
  <c r="AS188" i="17"/>
  <c r="AG188" i="17"/>
  <c r="BD188" i="17"/>
  <c r="AR188" i="17"/>
  <c r="AF188" i="17"/>
  <c r="BC188" i="17"/>
  <c r="AQ188" i="17"/>
  <c r="AE188" i="17"/>
  <c r="BB188" i="17"/>
  <c r="AP188" i="17"/>
  <c r="AD188" i="17"/>
  <c r="BA188" i="17"/>
  <c r="AO188" i="17"/>
  <c r="AC188" i="17"/>
  <c r="AZ188" i="17"/>
  <c r="AN188" i="17"/>
  <c r="AB188" i="17"/>
  <c r="AV188" i="17"/>
  <c r="AJ188" i="17"/>
  <c r="AK188" i="17"/>
  <c r="AY188" i="17"/>
  <c r="AX188" i="17"/>
  <c r="AW188" i="17"/>
  <c r="AM188" i="17"/>
  <c r="AL188" i="17"/>
  <c r="G168" i="17"/>
  <c r="S168" i="17"/>
  <c r="H168" i="17"/>
  <c r="T168" i="17"/>
  <c r="I168" i="17"/>
  <c r="U168" i="17"/>
  <c r="J168" i="17"/>
  <c r="V168" i="17"/>
  <c r="K168" i="17"/>
  <c r="W168" i="17"/>
  <c r="M168" i="17"/>
  <c r="Y168" i="17"/>
  <c r="O168" i="17"/>
  <c r="F168" i="17"/>
  <c r="R168" i="17"/>
  <c r="N168" i="17"/>
  <c r="P168" i="17"/>
  <c r="Q168" i="17"/>
  <c r="X168" i="17"/>
  <c r="Z168" i="17"/>
  <c r="L168" i="17"/>
  <c r="AW168" i="17"/>
  <c r="AK168" i="17"/>
  <c r="AV168" i="17"/>
  <c r="AJ168" i="17"/>
  <c r="AU168" i="17"/>
  <c r="AI168" i="17"/>
  <c r="AT168" i="17"/>
  <c r="AH168" i="17"/>
  <c r="BE168" i="17"/>
  <c r="AS168" i="17"/>
  <c r="AG168" i="17"/>
  <c r="BD168" i="17"/>
  <c r="AR168" i="17"/>
  <c r="AF168" i="17"/>
  <c r="BC168" i="17"/>
  <c r="AQ168" i="17"/>
  <c r="AE168" i="17"/>
  <c r="BB168" i="17"/>
  <c r="AP168" i="17"/>
  <c r="AD168" i="17"/>
  <c r="AY168" i="17"/>
  <c r="BA168" i="17"/>
  <c r="AO168" i="17"/>
  <c r="AC168" i="17"/>
  <c r="AM168" i="17"/>
  <c r="AZ168" i="17"/>
  <c r="AN168" i="17"/>
  <c r="AB168" i="17"/>
  <c r="AX168" i="17"/>
  <c r="AL168" i="17"/>
  <c r="J272" i="17"/>
  <c r="V272" i="17"/>
  <c r="K272" i="17"/>
  <c r="W272" i="17"/>
  <c r="L272" i="17"/>
  <c r="X272" i="17"/>
  <c r="M272" i="17"/>
  <c r="Y272" i="17"/>
  <c r="N272" i="17"/>
  <c r="Z272" i="17"/>
  <c r="O272" i="17"/>
  <c r="P272" i="17"/>
  <c r="Q272" i="17"/>
  <c r="F272" i="17"/>
  <c r="R272" i="17"/>
  <c r="I272" i="17"/>
  <c r="U272" i="17"/>
  <c r="G272" i="17"/>
  <c r="AY272" i="17"/>
  <c r="AM272" i="17"/>
  <c r="H272" i="17"/>
  <c r="AX272" i="17"/>
  <c r="AL272" i="17"/>
  <c r="S272" i="17"/>
  <c r="AW272" i="17"/>
  <c r="AK272" i="17"/>
  <c r="T272" i="17"/>
  <c r="AV272" i="17"/>
  <c r="AJ272" i="17"/>
  <c r="AU272" i="17"/>
  <c r="AI272" i="17"/>
  <c r="BE272" i="17"/>
  <c r="AS272" i="17"/>
  <c r="AG272" i="17"/>
  <c r="BD272" i="17"/>
  <c r="AR272" i="17"/>
  <c r="AF272" i="17"/>
  <c r="BC272" i="17"/>
  <c r="AQ272" i="17"/>
  <c r="AE272" i="17"/>
  <c r="BB272" i="17"/>
  <c r="AP272" i="17"/>
  <c r="AD272" i="17"/>
  <c r="AZ272" i="17"/>
  <c r="AN272" i="17"/>
  <c r="AB272" i="17"/>
  <c r="AH272" i="17"/>
  <c r="AC272" i="17"/>
  <c r="BA272" i="17"/>
  <c r="AT272" i="17"/>
  <c r="AO272" i="17"/>
  <c r="G258" i="17"/>
  <c r="S258" i="17"/>
  <c r="J258" i="17"/>
  <c r="V258" i="17"/>
  <c r="K258" i="17"/>
  <c r="W258" i="17"/>
  <c r="M258" i="17"/>
  <c r="Y258" i="17"/>
  <c r="P258" i="17"/>
  <c r="N258" i="17"/>
  <c r="O258" i="17"/>
  <c r="Q258" i="17"/>
  <c r="R258" i="17"/>
  <c r="T258" i="17"/>
  <c r="U258" i="17"/>
  <c r="X258" i="17"/>
  <c r="Z258" i="17"/>
  <c r="F258" i="17"/>
  <c r="L258" i="17"/>
  <c r="H258" i="17"/>
  <c r="BE258" i="17"/>
  <c r="AS258" i="17"/>
  <c r="AG258" i="17"/>
  <c r="I258" i="17"/>
  <c r="BD258" i="17"/>
  <c r="AR258" i="17"/>
  <c r="AF258" i="17"/>
  <c r="BC258" i="17"/>
  <c r="AQ258" i="17"/>
  <c r="AE258" i="17"/>
  <c r="BB258" i="17"/>
  <c r="AP258" i="17"/>
  <c r="AD258" i="17"/>
  <c r="BA258" i="17"/>
  <c r="AO258" i="17"/>
  <c r="AC258" i="17"/>
  <c r="AW258" i="17"/>
  <c r="AK258" i="17"/>
  <c r="AM258" i="17"/>
  <c r="AL258" i="17"/>
  <c r="AJ258" i="17"/>
  <c r="AI258" i="17"/>
  <c r="AH258" i="17"/>
  <c r="AZ258" i="17"/>
  <c r="AB258" i="17"/>
  <c r="AY258" i="17"/>
  <c r="AX258" i="17"/>
  <c r="AU258" i="17"/>
  <c r="AT258" i="17"/>
  <c r="AN258" i="17"/>
  <c r="AV258" i="17"/>
  <c r="K323" i="17"/>
  <c r="W323" i="17"/>
  <c r="BC323" i="17"/>
  <c r="AQ323" i="17"/>
  <c r="AE323" i="17"/>
  <c r="L323" i="17"/>
  <c r="X323" i="17"/>
  <c r="BB323" i="17"/>
  <c r="AP323" i="17"/>
  <c r="AD323" i="17"/>
  <c r="M323" i="17"/>
  <c r="Y323" i="17"/>
  <c r="BA323" i="17"/>
  <c r="AO323" i="17"/>
  <c r="AC323" i="17"/>
  <c r="N323" i="17"/>
  <c r="Z323" i="17"/>
  <c r="AZ323" i="17"/>
  <c r="AN323" i="17"/>
  <c r="AB323" i="17"/>
  <c r="O323" i="17"/>
  <c r="AY323" i="17"/>
  <c r="AM323" i="17"/>
  <c r="P323" i="17"/>
  <c r="AX323" i="17"/>
  <c r="Q323" i="17"/>
  <c r="AW323" i="17"/>
  <c r="AK323" i="17"/>
  <c r="F323" i="17"/>
  <c r="R323" i="17"/>
  <c r="AV323" i="17"/>
  <c r="AJ323" i="17"/>
  <c r="G323" i="17"/>
  <c r="S323" i="17"/>
  <c r="AU323" i="17"/>
  <c r="AI323" i="17"/>
  <c r="J323" i="17"/>
  <c r="V323" i="17"/>
  <c r="BD323" i="17"/>
  <c r="AR323" i="17"/>
  <c r="AF323" i="17"/>
  <c r="U323" i="17"/>
  <c r="BE323" i="17"/>
  <c r="AT323" i="17"/>
  <c r="AS323" i="17"/>
  <c r="AL323" i="17"/>
  <c r="H323" i="17"/>
  <c r="AH323" i="17"/>
  <c r="T323" i="17"/>
  <c r="AG323" i="17"/>
  <c r="I323" i="17"/>
  <c r="K311" i="17"/>
  <c r="W311" i="17"/>
  <c r="L311" i="17"/>
  <c r="X311" i="17"/>
  <c r="M311" i="17"/>
  <c r="Y311" i="17"/>
  <c r="N311" i="17"/>
  <c r="Z311" i="17"/>
  <c r="O311" i="17"/>
  <c r="P311" i="17"/>
  <c r="Q311" i="17"/>
  <c r="F311" i="17"/>
  <c r="R311" i="17"/>
  <c r="G311" i="17"/>
  <c r="S311" i="17"/>
  <c r="J311" i="17"/>
  <c r="V311" i="17"/>
  <c r="I311" i="17"/>
  <c r="AY311" i="17"/>
  <c r="AM311" i="17"/>
  <c r="T311" i="17"/>
  <c r="AX311" i="17"/>
  <c r="AL311" i="17"/>
  <c r="U311" i="17"/>
  <c r="AW311" i="17"/>
  <c r="AK311" i="17"/>
  <c r="AV311" i="17"/>
  <c r="AJ311" i="17"/>
  <c r="AU311" i="17"/>
  <c r="AI311" i="17"/>
  <c r="AT311" i="17"/>
  <c r="AH311" i="17"/>
  <c r="BE311" i="17"/>
  <c r="AS311" i="17"/>
  <c r="AG311" i="17"/>
  <c r="BD311" i="17"/>
  <c r="AR311" i="17"/>
  <c r="AF311" i="17"/>
  <c r="BC311" i="17"/>
  <c r="AQ311" i="17"/>
  <c r="AE311" i="17"/>
  <c r="BB311" i="17"/>
  <c r="AP311" i="17"/>
  <c r="AD311" i="17"/>
  <c r="H311" i="17"/>
  <c r="AZ311" i="17"/>
  <c r="AN311" i="17"/>
  <c r="AB311" i="17"/>
  <c r="BA311" i="17"/>
  <c r="AO311" i="17"/>
  <c r="AC311" i="17"/>
  <c r="K299" i="17"/>
  <c r="W299" i="17"/>
  <c r="L299" i="17"/>
  <c r="X299" i="17"/>
  <c r="M299" i="17"/>
  <c r="Y299" i="17"/>
  <c r="N299" i="17"/>
  <c r="Z299" i="17"/>
  <c r="O299" i="17"/>
  <c r="P299" i="17"/>
  <c r="Q299" i="17"/>
  <c r="F299" i="17"/>
  <c r="R299" i="17"/>
  <c r="G299" i="17"/>
  <c r="DB299" i="17" s="1"/>
  <c r="G328" i="17" s="1"/>
  <c r="G329" i="17" s="1"/>
  <c r="J45" i="16" s="1"/>
  <c r="S299" i="17"/>
  <c r="J299" i="17"/>
  <c r="V299" i="17"/>
  <c r="AY299" i="17"/>
  <c r="AM299" i="17"/>
  <c r="H299" i="17"/>
  <c r="AX299" i="17"/>
  <c r="AL299" i="17"/>
  <c r="I299" i="17"/>
  <c r="AW299" i="17"/>
  <c r="AK299" i="17"/>
  <c r="T299" i="17"/>
  <c r="AV299" i="17"/>
  <c r="AJ299" i="17"/>
  <c r="U299" i="17"/>
  <c r="AU299" i="17"/>
  <c r="AI299" i="17"/>
  <c r="AT299" i="17"/>
  <c r="AH299" i="17"/>
  <c r="BE299" i="17"/>
  <c r="AS299" i="17"/>
  <c r="AG299" i="17"/>
  <c r="BD299" i="17"/>
  <c r="AR299" i="17"/>
  <c r="AF299" i="17"/>
  <c r="BC299" i="17"/>
  <c r="AQ299" i="17"/>
  <c r="AE299" i="17"/>
  <c r="BB299" i="17"/>
  <c r="AP299" i="17"/>
  <c r="AD299" i="17"/>
  <c r="AZ299" i="17"/>
  <c r="AN299" i="17"/>
  <c r="AB299" i="17"/>
  <c r="BA299" i="17"/>
  <c r="AO299" i="17"/>
  <c r="AC299" i="17"/>
  <c r="L274" i="17"/>
  <c r="X274" i="17"/>
  <c r="M274" i="17"/>
  <c r="Y274" i="17"/>
  <c r="N274" i="17"/>
  <c r="Z274" i="17"/>
  <c r="O274" i="17"/>
  <c r="P274" i="17"/>
  <c r="Q274" i="17"/>
  <c r="F274" i="17"/>
  <c r="R274" i="17"/>
  <c r="G274" i="17"/>
  <c r="S274" i="17"/>
  <c r="H274" i="17"/>
  <c r="T274" i="17"/>
  <c r="K274" i="17"/>
  <c r="W274" i="17"/>
  <c r="BE274" i="17"/>
  <c r="AS274" i="17"/>
  <c r="AG274" i="17"/>
  <c r="BD274" i="17"/>
  <c r="AR274" i="17"/>
  <c r="AF274" i="17"/>
  <c r="BC274" i="17"/>
  <c r="AQ274" i="17"/>
  <c r="AE274" i="17"/>
  <c r="BB274" i="17"/>
  <c r="AP274" i="17"/>
  <c r="AD274" i="17"/>
  <c r="I274" i="17"/>
  <c r="BA274" i="17"/>
  <c r="AO274" i="17"/>
  <c r="AC274" i="17"/>
  <c r="J274" i="17"/>
  <c r="U274" i="17"/>
  <c r="AY274" i="17"/>
  <c r="AM274" i="17"/>
  <c r="V274" i="17"/>
  <c r="AX274" i="17"/>
  <c r="AL274" i="17"/>
  <c r="AW274" i="17"/>
  <c r="AK274" i="17"/>
  <c r="AV274" i="17"/>
  <c r="AJ274" i="17"/>
  <c r="AT274" i="17"/>
  <c r="AH274" i="17"/>
  <c r="AZ274" i="17"/>
  <c r="AU274" i="17"/>
  <c r="AN274" i="17"/>
  <c r="AI274" i="17"/>
  <c r="AB274" i="17"/>
  <c r="L262" i="17"/>
  <c r="X262" i="17"/>
  <c r="M262" i="17"/>
  <c r="Y262" i="17"/>
  <c r="N262" i="17"/>
  <c r="Z262" i="17"/>
  <c r="O262" i="17"/>
  <c r="P262" i="17"/>
  <c r="Q262" i="17"/>
  <c r="F262" i="17"/>
  <c r="R262" i="17"/>
  <c r="G262" i="17"/>
  <c r="S262" i="17"/>
  <c r="H262" i="17"/>
  <c r="T262" i="17"/>
  <c r="K262" i="17"/>
  <c r="W262" i="17"/>
  <c r="BE262" i="17"/>
  <c r="AS262" i="17"/>
  <c r="AG262" i="17"/>
  <c r="BD262" i="17"/>
  <c r="AR262" i="17"/>
  <c r="AF262" i="17"/>
  <c r="BC262" i="17"/>
  <c r="AQ262" i="17"/>
  <c r="AE262" i="17"/>
  <c r="BB262" i="17"/>
  <c r="AP262" i="17"/>
  <c r="AD262" i="17"/>
  <c r="BA262" i="17"/>
  <c r="AO262" i="17"/>
  <c r="AC262" i="17"/>
  <c r="I262" i="17"/>
  <c r="AY262" i="17"/>
  <c r="J262" i="17"/>
  <c r="DZ262" i="17" s="1"/>
  <c r="AX262" i="17"/>
  <c r="AL262" i="17"/>
  <c r="U262" i="17"/>
  <c r="AW262" i="17"/>
  <c r="AK262" i="17"/>
  <c r="V262" i="17"/>
  <c r="AV262" i="17"/>
  <c r="AJ262" i="17"/>
  <c r="AT262" i="17"/>
  <c r="AH262" i="17"/>
  <c r="AN262" i="17"/>
  <c r="AM262" i="17"/>
  <c r="AI262" i="17"/>
  <c r="AB262" i="17"/>
  <c r="AZ262" i="17"/>
  <c r="AU262" i="17"/>
  <c r="G246" i="17"/>
  <c r="S246" i="17"/>
  <c r="H246" i="17"/>
  <c r="T246" i="17"/>
  <c r="I246" i="17"/>
  <c r="J246" i="17"/>
  <c r="V246" i="17"/>
  <c r="K246" i="17"/>
  <c r="W246" i="17"/>
  <c r="M246" i="17"/>
  <c r="Y246" i="17"/>
  <c r="O246" i="17"/>
  <c r="P246" i="17"/>
  <c r="X246" i="17"/>
  <c r="Z246" i="17"/>
  <c r="F246" i="17"/>
  <c r="L246" i="17"/>
  <c r="N246" i="17"/>
  <c r="U246" i="17"/>
  <c r="Q246" i="17"/>
  <c r="R246" i="17"/>
  <c r="AU246" i="17"/>
  <c r="AI246" i="17"/>
  <c r="AT246" i="17"/>
  <c r="AH246" i="17"/>
  <c r="BE246" i="17"/>
  <c r="AS246" i="17"/>
  <c r="AG246" i="17"/>
  <c r="BD246" i="17"/>
  <c r="AR246" i="17"/>
  <c r="AF246" i="17"/>
  <c r="BC246" i="17"/>
  <c r="AQ246" i="17"/>
  <c r="AE246" i="17"/>
  <c r="BB246" i="17"/>
  <c r="AP246" i="17"/>
  <c r="AD246" i="17"/>
  <c r="BA246" i="17"/>
  <c r="AO246" i="17"/>
  <c r="AC246" i="17"/>
  <c r="AZ246" i="17"/>
  <c r="AN246" i="17"/>
  <c r="AB246" i="17"/>
  <c r="AX246" i="17"/>
  <c r="AL246" i="17"/>
  <c r="AW246" i="17"/>
  <c r="AK246" i="17"/>
  <c r="AV246" i="17"/>
  <c r="AJ246" i="17"/>
  <c r="AY246" i="17"/>
  <c r="AM246" i="17"/>
  <c r="M325" i="17"/>
  <c r="Y325" i="17"/>
  <c r="AW325" i="17"/>
  <c r="AK325" i="17"/>
  <c r="N325" i="17"/>
  <c r="Z325" i="17"/>
  <c r="AV325" i="17"/>
  <c r="AJ325" i="17"/>
  <c r="O325" i="17"/>
  <c r="AU325" i="17"/>
  <c r="AI325" i="17"/>
  <c r="P325" i="17"/>
  <c r="AT325" i="17"/>
  <c r="AH325" i="17"/>
  <c r="Q325" i="17"/>
  <c r="BE325" i="17"/>
  <c r="AS325" i="17"/>
  <c r="AG325" i="17"/>
  <c r="F325" i="17"/>
  <c r="R325" i="17"/>
  <c r="BD325" i="17"/>
  <c r="AR325" i="17"/>
  <c r="AF325" i="17"/>
  <c r="G325" i="17"/>
  <c r="S325" i="17"/>
  <c r="BC325" i="17"/>
  <c r="AQ325" i="17"/>
  <c r="AE325" i="17"/>
  <c r="H325" i="17"/>
  <c r="T325" i="17"/>
  <c r="BB325" i="17"/>
  <c r="AP325" i="17"/>
  <c r="AD325" i="17"/>
  <c r="I325" i="17"/>
  <c r="U325" i="17"/>
  <c r="BA325" i="17"/>
  <c r="AO325" i="17"/>
  <c r="AC325" i="17"/>
  <c r="L325" i="17"/>
  <c r="X325" i="17"/>
  <c r="AX325" i="17"/>
  <c r="AL325" i="17"/>
  <c r="AZ325" i="17"/>
  <c r="J325" i="17"/>
  <c r="AY325" i="17"/>
  <c r="K325" i="17"/>
  <c r="AN325" i="17"/>
  <c r="V325" i="17"/>
  <c r="AM325" i="17"/>
  <c r="W325" i="17"/>
  <c r="AB325" i="17"/>
  <c r="M313" i="17"/>
  <c r="Y313" i="17"/>
  <c r="N313" i="17"/>
  <c r="Z313" i="17"/>
  <c r="O313" i="17"/>
  <c r="P313" i="17"/>
  <c r="Q313" i="17"/>
  <c r="F313" i="17"/>
  <c r="R313" i="17"/>
  <c r="G313" i="17"/>
  <c r="S313" i="17"/>
  <c r="H313" i="17"/>
  <c r="T313" i="17"/>
  <c r="I313" i="17"/>
  <c r="U313" i="17"/>
  <c r="L313" i="17"/>
  <c r="X313" i="17"/>
  <c r="AX313" i="17"/>
  <c r="AS313" i="17"/>
  <c r="AG313" i="17"/>
  <c r="BE313" i="17"/>
  <c r="AR313" i="17"/>
  <c r="AF313" i="17"/>
  <c r="BD313" i="17"/>
  <c r="AQ313" i="17"/>
  <c r="AE313" i="17"/>
  <c r="J313" i="17"/>
  <c r="BC313" i="17"/>
  <c r="AP313" i="17"/>
  <c r="AD313" i="17"/>
  <c r="K313" i="17"/>
  <c r="BB313" i="17"/>
  <c r="AO313" i="17"/>
  <c r="AC313" i="17"/>
  <c r="V313" i="17"/>
  <c r="BA313" i="17"/>
  <c r="AN313" i="17"/>
  <c r="AB313" i="17"/>
  <c r="W313" i="17"/>
  <c r="AZ313" i="17"/>
  <c r="AM313" i="17"/>
  <c r="AY313" i="17"/>
  <c r="AL313" i="17"/>
  <c r="AW313" i="17"/>
  <c r="AK313" i="17"/>
  <c r="AV313" i="17"/>
  <c r="AJ313" i="17"/>
  <c r="AT313" i="17"/>
  <c r="AH313" i="17"/>
  <c r="AU313" i="17"/>
  <c r="AI313" i="17"/>
  <c r="M301" i="17"/>
  <c r="Y301" i="17"/>
  <c r="N301" i="17"/>
  <c r="Z301" i="17"/>
  <c r="O301" i="17"/>
  <c r="P301" i="17"/>
  <c r="Q301" i="17"/>
  <c r="F301" i="17"/>
  <c r="R301" i="17"/>
  <c r="G301" i="17"/>
  <c r="S301" i="17"/>
  <c r="H301" i="17"/>
  <c r="DC301" i="17" s="1"/>
  <c r="H328" i="17" s="1"/>
  <c r="H329" i="17" s="1"/>
  <c r="J46" i="16" s="1"/>
  <c r="T301" i="17"/>
  <c r="I301" i="17"/>
  <c r="U301" i="17"/>
  <c r="L301" i="17"/>
  <c r="X301" i="17"/>
  <c r="BE301" i="17"/>
  <c r="AS301" i="17"/>
  <c r="AG301" i="17"/>
  <c r="BD301" i="17"/>
  <c r="AR301" i="17"/>
  <c r="AF301" i="17"/>
  <c r="BC301" i="17"/>
  <c r="AQ301" i="17"/>
  <c r="AE301" i="17"/>
  <c r="BB301" i="17"/>
  <c r="AP301" i="17"/>
  <c r="AD301" i="17"/>
  <c r="BA301" i="17"/>
  <c r="AO301" i="17"/>
  <c r="AC301" i="17"/>
  <c r="J301" i="17"/>
  <c r="AZ301" i="17"/>
  <c r="AN301" i="17"/>
  <c r="AB301" i="17"/>
  <c r="K301" i="17"/>
  <c r="AY301" i="17"/>
  <c r="AM301" i="17"/>
  <c r="V301" i="17"/>
  <c r="AX301" i="17"/>
  <c r="AL301" i="17"/>
  <c r="W301" i="17"/>
  <c r="AW301" i="17"/>
  <c r="AK301" i="17"/>
  <c r="AV301" i="17"/>
  <c r="AJ301" i="17"/>
  <c r="AT301" i="17"/>
  <c r="AH301" i="17"/>
  <c r="AU301" i="17"/>
  <c r="AI301" i="17"/>
  <c r="G207" i="17"/>
  <c r="S207" i="17"/>
  <c r="H207" i="17"/>
  <c r="T207" i="17"/>
  <c r="I207" i="17"/>
  <c r="U207" i="17"/>
  <c r="DP207" i="17" s="1"/>
  <c r="J207" i="17"/>
  <c r="V207" i="17"/>
  <c r="K207" i="17"/>
  <c r="W207" i="17"/>
  <c r="M207" i="17"/>
  <c r="Y207" i="17"/>
  <c r="N207" i="17"/>
  <c r="Z207" i="17"/>
  <c r="O207" i="17"/>
  <c r="P207" i="17"/>
  <c r="F207" i="17"/>
  <c r="L207" i="17"/>
  <c r="Q207" i="17"/>
  <c r="R207" i="17"/>
  <c r="AU207" i="17"/>
  <c r="AI207" i="17"/>
  <c r="AT207" i="17"/>
  <c r="AH207" i="17"/>
  <c r="X207" i="17"/>
  <c r="BE207" i="17"/>
  <c r="AS207" i="17"/>
  <c r="AG207" i="17"/>
  <c r="BD207" i="17"/>
  <c r="AR207" i="17"/>
  <c r="AF207" i="17"/>
  <c r="BC207" i="17"/>
  <c r="AQ207" i="17"/>
  <c r="AE207" i="17"/>
  <c r="BB207" i="17"/>
  <c r="AP207" i="17"/>
  <c r="AD207" i="17"/>
  <c r="BA207" i="17"/>
  <c r="AO207" i="17"/>
  <c r="AC207" i="17"/>
  <c r="AZ207" i="17"/>
  <c r="AN207" i="17"/>
  <c r="AB207" i="17"/>
  <c r="AV207" i="17"/>
  <c r="AJ207" i="17"/>
  <c r="AL207" i="17"/>
  <c r="AK207" i="17"/>
  <c r="AY207" i="17"/>
  <c r="AX207" i="17"/>
  <c r="AW207" i="17"/>
  <c r="AM207" i="17"/>
  <c r="N276" i="17"/>
  <c r="Z276" i="17"/>
  <c r="O276" i="17"/>
  <c r="P276" i="17"/>
  <c r="Q276" i="17"/>
  <c r="F276" i="17"/>
  <c r="R276" i="17"/>
  <c r="G276" i="17"/>
  <c r="S276" i="17"/>
  <c r="H276" i="17"/>
  <c r="T276" i="17"/>
  <c r="I276" i="17"/>
  <c r="U276" i="17"/>
  <c r="J276" i="17"/>
  <c r="V276" i="17"/>
  <c r="M276" i="17"/>
  <c r="Y276" i="17"/>
  <c r="AY276" i="17"/>
  <c r="AM276" i="17"/>
  <c r="AX276" i="17"/>
  <c r="AL276" i="17"/>
  <c r="AW276" i="17"/>
  <c r="AK276" i="17"/>
  <c r="AV276" i="17"/>
  <c r="AJ276" i="17"/>
  <c r="AU276" i="17"/>
  <c r="AI276" i="17"/>
  <c r="AT276" i="17"/>
  <c r="BE276" i="17"/>
  <c r="AS276" i="17"/>
  <c r="AG276" i="17"/>
  <c r="BD276" i="17"/>
  <c r="AR276" i="17"/>
  <c r="AF276" i="17"/>
  <c r="K276" i="17"/>
  <c r="EA276" i="17" s="1"/>
  <c r="K281" i="17" s="1"/>
  <c r="K282" i="17" s="1"/>
  <c r="J33" i="16" s="1"/>
  <c r="BC276" i="17"/>
  <c r="AQ276" i="17"/>
  <c r="AE276" i="17"/>
  <c r="L276" i="17"/>
  <c r="BB276" i="17"/>
  <c r="AP276" i="17"/>
  <c r="AD276" i="17"/>
  <c r="X276" i="17"/>
  <c r="AZ276" i="17"/>
  <c r="AN276" i="17"/>
  <c r="AB276" i="17"/>
  <c r="BA276" i="17"/>
  <c r="AO276" i="17"/>
  <c r="AH276" i="17"/>
  <c r="AC276" i="17"/>
  <c r="W276" i="17"/>
  <c r="N264" i="17"/>
  <c r="Z264" i="17"/>
  <c r="O264" i="17"/>
  <c r="P264" i="17"/>
  <c r="Q264" i="17"/>
  <c r="F264" i="17"/>
  <c r="R264" i="17"/>
  <c r="G264" i="17"/>
  <c r="S264" i="17"/>
  <c r="H264" i="17"/>
  <c r="T264" i="17"/>
  <c r="I264" i="17"/>
  <c r="U264" i="17"/>
  <c r="J264" i="17"/>
  <c r="V264" i="17"/>
  <c r="M264" i="17"/>
  <c r="Y264" i="17"/>
  <c r="W264" i="17"/>
  <c r="AY264" i="17"/>
  <c r="AM264" i="17"/>
  <c r="X264" i="17"/>
  <c r="AX264" i="17"/>
  <c r="AL264" i="17"/>
  <c r="AW264" i="17"/>
  <c r="AK264" i="17"/>
  <c r="AV264" i="17"/>
  <c r="AJ264" i="17"/>
  <c r="AU264" i="17"/>
  <c r="AI264" i="17"/>
  <c r="BE264" i="17"/>
  <c r="AS264" i="17"/>
  <c r="AG264" i="17"/>
  <c r="BD264" i="17"/>
  <c r="AR264" i="17"/>
  <c r="AF264" i="17"/>
  <c r="BC264" i="17"/>
  <c r="AQ264" i="17"/>
  <c r="AE264" i="17"/>
  <c r="BB264" i="17"/>
  <c r="AP264" i="17"/>
  <c r="AD264" i="17"/>
  <c r="L264" i="17"/>
  <c r="AZ264" i="17"/>
  <c r="AN264" i="17"/>
  <c r="AB264" i="17"/>
  <c r="K264" i="17"/>
  <c r="BA264" i="17"/>
  <c r="AT264" i="17"/>
  <c r="AO264" i="17"/>
  <c r="AC264" i="17"/>
  <c r="AH264" i="17"/>
  <c r="O327" i="17"/>
  <c r="BC327" i="17"/>
  <c r="AQ327" i="17"/>
  <c r="AE327" i="17"/>
  <c r="P327" i="17"/>
  <c r="BB327" i="17"/>
  <c r="AP327" i="17"/>
  <c r="AD327" i="17"/>
  <c r="Q327" i="17"/>
  <c r="BA327" i="17"/>
  <c r="AO327" i="17"/>
  <c r="AC327" i="17"/>
  <c r="F327" i="17"/>
  <c r="R327" i="17"/>
  <c r="AZ327" i="17"/>
  <c r="AN327" i="17"/>
  <c r="AB327" i="17"/>
  <c r="G327" i="17"/>
  <c r="S327" i="17"/>
  <c r="AY327" i="17"/>
  <c r="AM327" i="17"/>
  <c r="H327" i="17"/>
  <c r="T327" i="17"/>
  <c r="AX327" i="17"/>
  <c r="AL327" i="17"/>
  <c r="I327" i="17"/>
  <c r="U327" i="17"/>
  <c r="AW327" i="17"/>
  <c r="AK327" i="17"/>
  <c r="J327" i="17"/>
  <c r="V327" i="17"/>
  <c r="AV327" i="17"/>
  <c r="AJ327" i="17"/>
  <c r="K327" i="17"/>
  <c r="W327" i="17"/>
  <c r="AU327" i="17"/>
  <c r="AI327" i="17"/>
  <c r="N327" i="17"/>
  <c r="Z327" i="17"/>
  <c r="BD327" i="17"/>
  <c r="AR327" i="17"/>
  <c r="AF327" i="17"/>
  <c r="L327" i="17"/>
  <c r="M327" i="17"/>
  <c r="X327" i="17"/>
  <c r="BE327" i="17"/>
  <c r="Y327" i="17"/>
  <c r="AT327" i="17"/>
  <c r="AS327" i="17"/>
  <c r="AG327" i="17"/>
  <c r="AH327" i="17"/>
  <c r="O315" i="17"/>
  <c r="P315" i="17"/>
  <c r="BB315" i="17"/>
  <c r="AP315" i="17"/>
  <c r="Q315" i="17"/>
  <c r="F315" i="17"/>
  <c r="R315" i="17"/>
  <c r="AZ315" i="17"/>
  <c r="G315" i="17"/>
  <c r="S315" i="17"/>
  <c r="H315" i="17"/>
  <c r="T315" i="17"/>
  <c r="I315" i="17"/>
  <c r="U315" i="17"/>
  <c r="J315" i="17"/>
  <c r="V315" i="17"/>
  <c r="K315" i="17"/>
  <c r="W315" i="17"/>
  <c r="N315" i="17"/>
  <c r="Z315" i="17"/>
  <c r="BD315" i="17"/>
  <c r="AR315" i="17"/>
  <c r="AF315" i="17"/>
  <c r="AO315" i="17"/>
  <c r="AB315" i="17"/>
  <c r="BE315" i="17"/>
  <c r="AN315" i="17"/>
  <c r="BC315" i="17"/>
  <c r="AM315" i="17"/>
  <c r="BA315" i="17"/>
  <c r="AL315" i="17"/>
  <c r="AY315" i="17"/>
  <c r="AK315" i="17"/>
  <c r="AX315" i="17"/>
  <c r="AJ315" i="17"/>
  <c r="AW315" i="17"/>
  <c r="AI315" i="17"/>
  <c r="L315" i="17"/>
  <c r="AV315" i="17"/>
  <c r="AH315" i="17"/>
  <c r="M315" i="17"/>
  <c r="AU315" i="17"/>
  <c r="AG315" i="17"/>
  <c r="X315" i="17"/>
  <c r="AT315" i="17"/>
  <c r="AE315" i="17"/>
  <c r="AQ315" i="17"/>
  <c r="AC315" i="17"/>
  <c r="Y315" i="17"/>
  <c r="AS315" i="17"/>
  <c r="AD315" i="17"/>
  <c r="O303" i="17"/>
  <c r="P303" i="17"/>
  <c r="Q303" i="17"/>
  <c r="F303" i="17"/>
  <c r="R303" i="17"/>
  <c r="G303" i="17"/>
  <c r="S303" i="17"/>
  <c r="H303" i="17"/>
  <c r="T303" i="17"/>
  <c r="I303" i="17"/>
  <c r="U303" i="17"/>
  <c r="J303" i="17"/>
  <c r="V303" i="17"/>
  <c r="K303" i="17"/>
  <c r="DF303" i="17" s="1"/>
  <c r="K328" i="17" s="1"/>
  <c r="K329" i="17" s="1"/>
  <c r="J49" i="16" s="1"/>
  <c r="W303" i="17"/>
  <c r="N303" i="17"/>
  <c r="Z303" i="17"/>
  <c r="Y303" i="17"/>
  <c r="AY303" i="17"/>
  <c r="AM303" i="17"/>
  <c r="AX303" i="17"/>
  <c r="AL303" i="17"/>
  <c r="AW303" i="17"/>
  <c r="AK303" i="17"/>
  <c r="AV303" i="17"/>
  <c r="AJ303" i="17"/>
  <c r="AU303" i="17"/>
  <c r="AI303" i="17"/>
  <c r="AT303" i="17"/>
  <c r="AH303" i="17"/>
  <c r="BE303" i="17"/>
  <c r="AS303" i="17"/>
  <c r="AG303" i="17"/>
  <c r="BD303" i="17"/>
  <c r="AR303" i="17"/>
  <c r="AF303" i="17"/>
  <c r="BC303" i="17"/>
  <c r="AQ303" i="17"/>
  <c r="AE303" i="17"/>
  <c r="L303" i="17"/>
  <c r="BB303" i="17"/>
  <c r="AP303" i="17"/>
  <c r="AD303" i="17"/>
  <c r="X303" i="17"/>
  <c r="AZ303" i="17"/>
  <c r="AN303" i="17"/>
  <c r="AB303" i="17"/>
  <c r="BA303" i="17"/>
  <c r="AC303" i="17"/>
  <c r="M303" i="17"/>
  <c r="AO303" i="17"/>
  <c r="O291" i="17"/>
  <c r="P291" i="17"/>
  <c r="Q291" i="17"/>
  <c r="F291" i="17"/>
  <c r="R291" i="17"/>
  <c r="G291" i="17"/>
  <c r="S291" i="17"/>
  <c r="H291" i="17"/>
  <c r="T291" i="17"/>
  <c r="I291" i="17"/>
  <c r="U291" i="17"/>
  <c r="J291" i="17"/>
  <c r="V291" i="17"/>
  <c r="K291" i="17"/>
  <c r="W291" i="17"/>
  <c r="N291" i="17"/>
  <c r="Z291" i="17"/>
  <c r="M291" i="17"/>
  <c r="AY291" i="17"/>
  <c r="AM291" i="17"/>
  <c r="X291" i="17"/>
  <c r="AX291" i="17"/>
  <c r="AL291" i="17"/>
  <c r="Y291" i="17"/>
  <c r="AW291" i="17"/>
  <c r="AK291" i="17"/>
  <c r="AV291" i="17"/>
  <c r="AJ291" i="17"/>
  <c r="AU291" i="17"/>
  <c r="AI291" i="17"/>
  <c r="AT291" i="17"/>
  <c r="AH291" i="17"/>
  <c r="BE291" i="17"/>
  <c r="AS291" i="17"/>
  <c r="AG291" i="17"/>
  <c r="BD291" i="17"/>
  <c r="AR291" i="17"/>
  <c r="AF291" i="17"/>
  <c r="BC291" i="17"/>
  <c r="AQ291" i="17"/>
  <c r="AE291" i="17"/>
  <c r="BB291" i="17"/>
  <c r="AP291" i="17"/>
  <c r="AD291" i="17"/>
  <c r="L291" i="17"/>
  <c r="AZ291" i="17"/>
  <c r="AN291" i="17"/>
  <c r="AB291" i="17"/>
  <c r="AC291" i="17"/>
  <c r="BA291" i="17"/>
  <c r="AO291" i="17"/>
  <c r="P278" i="17"/>
  <c r="Q278" i="17"/>
  <c r="F278" i="17"/>
  <c r="R278" i="17"/>
  <c r="G278" i="17"/>
  <c r="S278" i="17"/>
  <c r="H278" i="17"/>
  <c r="T278" i="17"/>
  <c r="I278" i="17"/>
  <c r="U278" i="17"/>
  <c r="J278" i="17"/>
  <c r="V278" i="17"/>
  <c r="K278" i="17"/>
  <c r="W278" i="17"/>
  <c r="L278" i="17"/>
  <c r="X278" i="17"/>
  <c r="O278" i="17"/>
  <c r="M278" i="17"/>
  <c r="BE278" i="17"/>
  <c r="AS278" i="17"/>
  <c r="AG278" i="17"/>
  <c r="N278" i="17"/>
  <c r="BD278" i="17"/>
  <c r="AR278" i="17"/>
  <c r="AF278" i="17"/>
  <c r="Y278" i="17"/>
  <c r="BC278" i="17"/>
  <c r="AQ278" i="17"/>
  <c r="AE278" i="17"/>
  <c r="Z278" i="17"/>
  <c r="BB278" i="17"/>
  <c r="AP278" i="17"/>
  <c r="AD278" i="17"/>
  <c r="BA278" i="17"/>
  <c r="AO278" i="17"/>
  <c r="AC278" i="17"/>
  <c r="AZ278" i="17"/>
  <c r="AN278" i="17"/>
  <c r="AB278" i="17"/>
  <c r="AY278" i="17"/>
  <c r="AM278" i="17"/>
  <c r="AX278" i="17"/>
  <c r="AL278" i="17"/>
  <c r="AW278" i="17"/>
  <c r="AK278" i="17"/>
  <c r="AV278" i="17"/>
  <c r="AJ278" i="17"/>
  <c r="AT278" i="17"/>
  <c r="AH278" i="17"/>
  <c r="AU278" i="17"/>
  <c r="AI278" i="17"/>
  <c r="P266" i="17"/>
  <c r="Q266" i="17"/>
  <c r="F266" i="17"/>
  <c r="R266" i="17"/>
  <c r="G266" i="17"/>
  <c r="S266" i="17"/>
  <c r="H266" i="17"/>
  <c r="T266" i="17"/>
  <c r="I266" i="17"/>
  <c r="U266" i="17"/>
  <c r="J266" i="17"/>
  <c r="V266" i="17"/>
  <c r="K266" i="17"/>
  <c r="W266" i="17"/>
  <c r="L266" i="17"/>
  <c r="X266" i="17"/>
  <c r="O266" i="17"/>
  <c r="BE266" i="17"/>
  <c r="AS266" i="17"/>
  <c r="AG266" i="17"/>
  <c r="BD266" i="17"/>
  <c r="AR266" i="17"/>
  <c r="AF266" i="17"/>
  <c r="M266" i="17"/>
  <c r="BC266" i="17"/>
  <c r="AQ266" i="17"/>
  <c r="AE266" i="17"/>
  <c r="N266" i="17"/>
  <c r="BB266" i="17"/>
  <c r="AP266" i="17"/>
  <c r="AD266" i="17"/>
  <c r="Y266" i="17"/>
  <c r="BA266" i="17"/>
  <c r="AO266" i="17"/>
  <c r="AC266" i="17"/>
  <c r="Z266" i="17"/>
  <c r="AY266" i="17"/>
  <c r="AM266" i="17"/>
  <c r="AX266" i="17"/>
  <c r="AL266" i="17"/>
  <c r="AW266" i="17"/>
  <c r="AK266" i="17"/>
  <c r="AV266" i="17"/>
  <c r="AJ266" i="17"/>
  <c r="AT266" i="17"/>
  <c r="AH266" i="17"/>
  <c r="AZ266" i="17"/>
  <c r="AU266" i="17"/>
  <c r="AN266" i="17"/>
  <c r="AI266" i="17"/>
  <c r="AB266" i="17"/>
  <c r="G219" i="17"/>
  <c r="S219" i="17"/>
  <c r="H219" i="17"/>
  <c r="T219" i="17"/>
  <c r="I219" i="17"/>
  <c r="U219" i="17"/>
  <c r="J219" i="17"/>
  <c r="V219" i="17"/>
  <c r="K219" i="17"/>
  <c r="W219" i="17"/>
  <c r="M219" i="17"/>
  <c r="Y219" i="17"/>
  <c r="N219" i="17"/>
  <c r="Z219" i="17"/>
  <c r="O219" i="17"/>
  <c r="P219" i="17"/>
  <c r="F219" i="17"/>
  <c r="L219" i="17"/>
  <c r="Q219" i="17"/>
  <c r="R219" i="17"/>
  <c r="X219" i="17"/>
  <c r="AU219" i="17"/>
  <c r="AI219" i="17"/>
  <c r="AT219" i="17"/>
  <c r="AH219" i="17"/>
  <c r="BE219" i="17"/>
  <c r="AS219" i="17"/>
  <c r="AG219" i="17"/>
  <c r="BD219" i="17"/>
  <c r="AR219" i="17"/>
  <c r="AF219" i="17"/>
  <c r="BC219" i="17"/>
  <c r="AQ219" i="17"/>
  <c r="AE219" i="17"/>
  <c r="BB219" i="17"/>
  <c r="AP219" i="17"/>
  <c r="AD219" i="17"/>
  <c r="BA219" i="17"/>
  <c r="AO219" i="17"/>
  <c r="AC219" i="17"/>
  <c r="AZ219" i="17"/>
  <c r="AN219" i="17"/>
  <c r="AB219" i="17"/>
  <c r="AX219" i="17"/>
  <c r="AL219" i="17"/>
  <c r="AW219" i="17"/>
  <c r="AK219" i="17"/>
  <c r="AV219" i="17"/>
  <c r="AJ219" i="17"/>
  <c r="AY219" i="17"/>
  <c r="AM219" i="17"/>
  <c r="G137" i="17"/>
  <c r="S137" i="17"/>
  <c r="H137" i="17"/>
  <c r="T137" i="17"/>
  <c r="I137" i="17"/>
  <c r="U137" i="17"/>
  <c r="J137" i="17"/>
  <c r="V137" i="17"/>
  <c r="K137" i="17"/>
  <c r="W137" i="17"/>
  <c r="M137" i="17"/>
  <c r="DH137" i="17" s="1"/>
  <c r="M234" i="17" s="1"/>
  <c r="M235" i="17" s="1"/>
  <c r="J14" i="16" s="1"/>
  <c r="Y137" i="17"/>
  <c r="N137" i="17"/>
  <c r="Z137" i="17"/>
  <c r="O137" i="17"/>
  <c r="F137" i="17"/>
  <c r="R137" i="17"/>
  <c r="P137" i="17"/>
  <c r="Q137" i="17"/>
  <c r="X137" i="17"/>
  <c r="L137" i="17"/>
  <c r="AW137" i="17"/>
  <c r="AK137" i="17"/>
  <c r="AV137" i="17"/>
  <c r="AJ137" i="17"/>
  <c r="AU137" i="17"/>
  <c r="AI137" i="17"/>
  <c r="AT137" i="17"/>
  <c r="AH137" i="17"/>
  <c r="BE137" i="17"/>
  <c r="AS137" i="17"/>
  <c r="AG137" i="17"/>
  <c r="BD137" i="17"/>
  <c r="AR137" i="17"/>
  <c r="AF137" i="17"/>
  <c r="AM137" i="17"/>
  <c r="BC137" i="17"/>
  <c r="AQ137" i="17"/>
  <c r="AE137" i="17"/>
  <c r="BB137" i="17"/>
  <c r="AP137" i="17"/>
  <c r="AD137" i="17"/>
  <c r="BA137" i="17"/>
  <c r="AO137" i="17"/>
  <c r="AC137" i="17"/>
  <c r="AY137" i="17"/>
  <c r="AZ137" i="17"/>
  <c r="AN137" i="17"/>
  <c r="AB137" i="17"/>
  <c r="AX137" i="17"/>
  <c r="AL137" i="17"/>
  <c r="Q317" i="17"/>
  <c r="F317" i="17"/>
  <c r="R317" i="17"/>
  <c r="AV317" i="17"/>
  <c r="AJ317" i="17"/>
  <c r="G317" i="17"/>
  <c r="S317" i="17"/>
  <c r="H317" i="17"/>
  <c r="T317" i="17"/>
  <c r="AT317" i="17"/>
  <c r="AH317" i="17"/>
  <c r="I317" i="17"/>
  <c r="U317" i="17"/>
  <c r="J317" i="17"/>
  <c r="V317" i="17"/>
  <c r="K317" i="17"/>
  <c r="W317" i="17"/>
  <c r="L317" i="17"/>
  <c r="X317" i="17"/>
  <c r="M317" i="17"/>
  <c r="Y317" i="17"/>
  <c r="P317" i="17"/>
  <c r="AX317" i="17"/>
  <c r="AL317" i="17"/>
  <c r="O317" i="17"/>
  <c r="AQ317" i="17"/>
  <c r="AB317" i="17"/>
  <c r="Z317" i="17"/>
  <c r="BE317" i="17"/>
  <c r="AP317" i="17"/>
  <c r="BD317" i="17"/>
  <c r="AO317" i="17"/>
  <c r="BC317" i="17"/>
  <c r="AN317" i="17"/>
  <c r="BB317" i="17"/>
  <c r="AM317" i="17"/>
  <c r="BA317" i="17"/>
  <c r="AK317" i="17"/>
  <c r="AZ317" i="17"/>
  <c r="AI317" i="17"/>
  <c r="AY317" i="17"/>
  <c r="AG317" i="17"/>
  <c r="AW317" i="17"/>
  <c r="AF317" i="17"/>
  <c r="AU317" i="17"/>
  <c r="AE317" i="17"/>
  <c r="N317" i="17"/>
  <c r="AR317" i="17"/>
  <c r="AC317" i="17"/>
  <c r="AS317" i="17"/>
  <c r="AD317" i="17"/>
  <c r="Q305" i="17"/>
  <c r="F305" i="17"/>
  <c r="R305" i="17"/>
  <c r="G305" i="17"/>
  <c r="S305" i="17"/>
  <c r="H305" i="17"/>
  <c r="T305" i="17"/>
  <c r="I305" i="17"/>
  <c r="U305" i="17"/>
  <c r="J305" i="17"/>
  <c r="DE305" i="17" s="1"/>
  <c r="J328" i="17" s="1"/>
  <c r="J329" i="17" s="1"/>
  <c r="J48" i="16" s="1"/>
  <c r="V305" i="17"/>
  <c r="K305" i="17"/>
  <c r="W305" i="17"/>
  <c r="L305" i="17"/>
  <c r="X305" i="17"/>
  <c r="M305" i="17"/>
  <c r="Y305" i="17"/>
  <c r="P305" i="17"/>
  <c r="BE305" i="17"/>
  <c r="AS305" i="17"/>
  <c r="AG305" i="17"/>
  <c r="N305" i="17"/>
  <c r="BD305" i="17"/>
  <c r="AR305" i="17"/>
  <c r="AF305" i="17"/>
  <c r="O305" i="17"/>
  <c r="BC305" i="17"/>
  <c r="AQ305" i="17"/>
  <c r="AE305" i="17"/>
  <c r="Z305" i="17"/>
  <c r="BB305" i="17"/>
  <c r="AP305" i="17"/>
  <c r="AD305" i="17"/>
  <c r="BA305" i="17"/>
  <c r="AO305" i="17"/>
  <c r="AC305" i="17"/>
  <c r="AZ305" i="17"/>
  <c r="AN305" i="17"/>
  <c r="AB305" i="17"/>
  <c r="AY305" i="17"/>
  <c r="AM305" i="17"/>
  <c r="AX305" i="17"/>
  <c r="AL305" i="17"/>
  <c r="AW305" i="17"/>
  <c r="AK305" i="17"/>
  <c r="AV305" i="17"/>
  <c r="AJ305" i="17"/>
  <c r="AT305" i="17"/>
  <c r="AH305" i="17"/>
  <c r="AU305" i="17"/>
  <c r="AI305" i="17"/>
  <c r="Q293" i="17"/>
  <c r="F293" i="17"/>
  <c r="DA293" i="17" s="1"/>
  <c r="F328" i="17" s="1"/>
  <c r="F329" i="17" s="1"/>
  <c r="J44" i="16" s="1"/>
  <c r="R293" i="17"/>
  <c r="G293" i="17"/>
  <c r="S293" i="17"/>
  <c r="H293" i="17"/>
  <c r="T293" i="17"/>
  <c r="I293" i="17"/>
  <c r="U293" i="17"/>
  <c r="J293" i="17"/>
  <c r="V293" i="17"/>
  <c r="K293" i="17"/>
  <c r="W293" i="17"/>
  <c r="L293" i="17"/>
  <c r="X293" i="17"/>
  <c r="M293" i="17"/>
  <c r="Y293" i="17"/>
  <c r="P293" i="17"/>
  <c r="BE293" i="17"/>
  <c r="AS293" i="17"/>
  <c r="AG293" i="17"/>
  <c r="BD293" i="17"/>
  <c r="AR293" i="17"/>
  <c r="AF293" i="17"/>
  <c r="BC293" i="17"/>
  <c r="AQ293" i="17"/>
  <c r="AE293" i="17"/>
  <c r="N293" i="17"/>
  <c r="BB293" i="17"/>
  <c r="AP293" i="17"/>
  <c r="AD293" i="17"/>
  <c r="O293" i="17"/>
  <c r="BA293" i="17"/>
  <c r="AO293" i="17"/>
  <c r="AC293" i="17"/>
  <c r="Z293" i="17"/>
  <c r="AZ293" i="17"/>
  <c r="AN293" i="17"/>
  <c r="AB293" i="17"/>
  <c r="AY293" i="17"/>
  <c r="AM293" i="17"/>
  <c r="AX293" i="17"/>
  <c r="AL293" i="17"/>
  <c r="AW293" i="17"/>
  <c r="AK293" i="17"/>
  <c r="AV293" i="17"/>
  <c r="AJ293" i="17"/>
  <c r="AT293" i="17"/>
  <c r="AH293" i="17"/>
  <c r="AI293" i="17"/>
  <c r="AU293" i="17"/>
  <c r="I248" i="17"/>
  <c r="U248" i="17"/>
  <c r="J248" i="17"/>
  <c r="L248" i="17"/>
  <c r="X248" i="17"/>
  <c r="M248" i="17"/>
  <c r="Y248" i="17"/>
  <c r="O248" i="17"/>
  <c r="Q248" i="17"/>
  <c r="F248" i="17"/>
  <c r="R248" i="17"/>
  <c r="G248" i="17"/>
  <c r="H248" i="17"/>
  <c r="K248" i="17"/>
  <c r="N248" i="17"/>
  <c r="P248" i="17"/>
  <c r="S248" i="17"/>
  <c r="T248" i="17"/>
  <c r="Z248" i="17"/>
  <c r="V248" i="17"/>
  <c r="W248" i="17"/>
  <c r="BA248" i="17"/>
  <c r="AO248" i="17"/>
  <c r="AC248" i="17"/>
  <c r="AZ248" i="17"/>
  <c r="AN248" i="17"/>
  <c r="AB248" i="17"/>
  <c r="AY248" i="17"/>
  <c r="AM248" i="17"/>
  <c r="AX248" i="17"/>
  <c r="AL248" i="17"/>
  <c r="AW248" i="17"/>
  <c r="AK248" i="17"/>
  <c r="AV248" i="17"/>
  <c r="AJ248" i="17"/>
  <c r="AU248" i="17"/>
  <c r="AI248" i="17"/>
  <c r="AT248" i="17"/>
  <c r="AH248" i="17"/>
  <c r="BD248" i="17"/>
  <c r="AR248" i="17"/>
  <c r="AF248" i="17"/>
  <c r="BC248" i="17"/>
  <c r="AQ248" i="17"/>
  <c r="AE248" i="17"/>
  <c r="BB248" i="17"/>
  <c r="AP248" i="17"/>
  <c r="AD248" i="17"/>
  <c r="BE248" i="17"/>
  <c r="AS248" i="17"/>
  <c r="AG248" i="17"/>
  <c r="I233" i="17"/>
  <c r="U233" i="17"/>
  <c r="J233" i="17"/>
  <c r="V233" i="17"/>
  <c r="K233" i="17"/>
  <c r="W233" i="17"/>
  <c r="L233" i="17"/>
  <c r="X233" i="17"/>
  <c r="M233" i="17"/>
  <c r="Y233" i="17"/>
  <c r="O233" i="17"/>
  <c r="P233" i="17"/>
  <c r="Q233" i="17"/>
  <c r="F233" i="17"/>
  <c r="R233" i="17"/>
  <c r="G233" i="17"/>
  <c r="H233" i="17"/>
  <c r="N233" i="17"/>
  <c r="S233" i="17"/>
  <c r="T233" i="17"/>
  <c r="BA233" i="17"/>
  <c r="AO233" i="17"/>
  <c r="AC233" i="17"/>
  <c r="AZ233" i="17"/>
  <c r="AN233" i="17"/>
  <c r="AB233" i="17"/>
  <c r="AY233" i="17"/>
  <c r="AM233" i="17"/>
  <c r="Z233" i="17"/>
  <c r="AX233" i="17"/>
  <c r="AL233" i="17"/>
  <c r="AW233" i="17"/>
  <c r="AK233" i="17"/>
  <c r="AV233" i="17"/>
  <c r="AJ233" i="17"/>
  <c r="AU233" i="17"/>
  <c r="AI233" i="17"/>
  <c r="AT233" i="17"/>
  <c r="AH233" i="17"/>
  <c r="BD233" i="17"/>
  <c r="AR233" i="17"/>
  <c r="AF233" i="17"/>
  <c r="BC233" i="17"/>
  <c r="AQ233" i="17"/>
  <c r="AE233" i="17"/>
  <c r="BB233" i="17"/>
  <c r="AP233" i="17"/>
  <c r="AD233" i="17"/>
  <c r="AS233" i="17"/>
  <c r="AG233" i="17"/>
  <c r="BE233" i="17"/>
  <c r="I221" i="17"/>
  <c r="U221" i="17"/>
  <c r="J221" i="17"/>
  <c r="V221" i="17"/>
  <c r="K221" i="17"/>
  <c r="W221" i="17"/>
  <c r="L221" i="17"/>
  <c r="X221" i="17"/>
  <c r="M221" i="17"/>
  <c r="Y221" i="17"/>
  <c r="O221" i="17"/>
  <c r="P221" i="17"/>
  <c r="Q221" i="17"/>
  <c r="F221" i="17"/>
  <c r="DA221" i="17" s="1"/>
  <c r="R221" i="17"/>
  <c r="Z221" i="17"/>
  <c r="G221" i="17"/>
  <c r="H221" i="17"/>
  <c r="T221" i="17"/>
  <c r="N221" i="17"/>
  <c r="S221" i="17"/>
  <c r="BA221" i="17"/>
  <c r="AO221" i="17"/>
  <c r="AC221" i="17"/>
  <c r="AZ221" i="17"/>
  <c r="AN221" i="17"/>
  <c r="AB221" i="17"/>
  <c r="AY221" i="17"/>
  <c r="AM221" i="17"/>
  <c r="AX221" i="17"/>
  <c r="AL221" i="17"/>
  <c r="AW221" i="17"/>
  <c r="AK221" i="17"/>
  <c r="AV221" i="17"/>
  <c r="AJ221" i="17"/>
  <c r="AU221" i="17"/>
  <c r="AI221" i="17"/>
  <c r="AT221" i="17"/>
  <c r="AH221" i="17"/>
  <c r="BD221" i="17"/>
  <c r="AR221" i="17"/>
  <c r="AF221" i="17"/>
  <c r="BC221" i="17"/>
  <c r="AQ221" i="17"/>
  <c r="AE221" i="17"/>
  <c r="BB221" i="17"/>
  <c r="AP221" i="17"/>
  <c r="AD221" i="17"/>
  <c r="BE221" i="17"/>
  <c r="AS221" i="17"/>
  <c r="AG221" i="17"/>
  <c r="I209" i="17"/>
  <c r="U209" i="17"/>
  <c r="J209" i="17"/>
  <c r="V209" i="17"/>
  <c r="K209" i="17"/>
  <c r="W209" i="17"/>
  <c r="L209" i="17"/>
  <c r="X209" i="17"/>
  <c r="M209" i="17"/>
  <c r="Y209" i="17"/>
  <c r="O209" i="17"/>
  <c r="P209" i="17"/>
  <c r="Q209" i="17"/>
  <c r="F209" i="17"/>
  <c r="R209" i="17"/>
  <c r="N209" i="17"/>
  <c r="S209" i="17"/>
  <c r="T209" i="17"/>
  <c r="DO209" i="17" s="1"/>
  <c r="Z209" i="17"/>
  <c r="H209" i="17"/>
  <c r="G209" i="17"/>
  <c r="BA209" i="17"/>
  <c r="AO209" i="17"/>
  <c r="AC209" i="17"/>
  <c r="AZ209" i="17"/>
  <c r="AN209" i="17"/>
  <c r="AB209" i="17"/>
  <c r="AY209" i="17"/>
  <c r="AM209" i="17"/>
  <c r="AX209" i="17"/>
  <c r="AL209" i="17"/>
  <c r="AW209" i="17"/>
  <c r="AK209" i="17"/>
  <c r="AV209" i="17"/>
  <c r="AJ209" i="17"/>
  <c r="AU209" i="17"/>
  <c r="AI209" i="17"/>
  <c r="AT209" i="17"/>
  <c r="AH209" i="17"/>
  <c r="BD209" i="17"/>
  <c r="AR209" i="17"/>
  <c r="AF209" i="17"/>
  <c r="BC209" i="17"/>
  <c r="AQ209" i="17"/>
  <c r="AE209" i="17"/>
  <c r="BB209" i="17"/>
  <c r="AP209" i="17"/>
  <c r="AD209" i="17"/>
  <c r="BE209" i="17"/>
  <c r="AS209" i="17"/>
  <c r="AG209" i="17"/>
  <c r="I197" i="17"/>
  <c r="U197" i="17"/>
  <c r="J197" i="17"/>
  <c r="V197" i="17"/>
  <c r="K197" i="17"/>
  <c r="W197" i="17"/>
  <c r="L197" i="17"/>
  <c r="X197" i="17"/>
  <c r="M197" i="17"/>
  <c r="Y197" i="17"/>
  <c r="N197" i="17"/>
  <c r="Z197" i="17"/>
  <c r="O197" i="17"/>
  <c r="P197" i="17"/>
  <c r="Q197" i="17"/>
  <c r="DL197" i="17" s="1"/>
  <c r="F197" i="17"/>
  <c r="R197" i="17"/>
  <c r="S197" i="17"/>
  <c r="T197" i="17"/>
  <c r="H197" i="17"/>
  <c r="G197" i="17"/>
  <c r="BA197" i="17"/>
  <c r="AO197" i="17"/>
  <c r="AC197" i="17"/>
  <c r="AZ197" i="17"/>
  <c r="AN197" i="17"/>
  <c r="AB197" i="17"/>
  <c r="AY197" i="17"/>
  <c r="AM197" i="17"/>
  <c r="AX197" i="17"/>
  <c r="AL197" i="17"/>
  <c r="AW197" i="17"/>
  <c r="AK197" i="17"/>
  <c r="AV197" i="17"/>
  <c r="AJ197" i="17"/>
  <c r="AU197" i="17"/>
  <c r="AI197" i="17"/>
  <c r="AT197" i="17"/>
  <c r="AH197" i="17"/>
  <c r="BB197" i="17"/>
  <c r="AP197" i="17"/>
  <c r="AD197" i="17"/>
  <c r="AR197" i="17"/>
  <c r="AQ197" i="17"/>
  <c r="AG197" i="17"/>
  <c r="AF197" i="17"/>
  <c r="AE197" i="17"/>
  <c r="BC197" i="17"/>
  <c r="BE197" i="17"/>
  <c r="BD197" i="17"/>
  <c r="AS197" i="17"/>
  <c r="K250" i="17"/>
  <c r="W250" i="17"/>
  <c r="N250" i="17"/>
  <c r="Z250" i="17"/>
  <c r="O250" i="17"/>
  <c r="Q250" i="17"/>
  <c r="G250" i="17"/>
  <c r="S250" i="17"/>
  <c r="H250" i="17"/>
  <c r="T250" i="17"/>
  <c r="F250" i="17"/>
  <c r="I250" i="17"/>
  <c r="J250" i="17"/>
  <c r="L250" i="17"/>
  <c r="M250" i="17"/>
  <c r="P250" i="17"/>
  <c r="R250" i="17"/>
  <c r="U250" i="17"/>
  <c r="V250" i="17"/>
  <c r="BE250" i="17"/>
  <c r="AS250" i="17"/>
  <c r="AG250" i="17"/>
  <c r="X250" i="17"/>
  <c r="Y250" i="17"/>
  <c r="AW250" i="17"/>
  <c r="AJ250" i="17"/>
  <c r="AV250" i="17"/>
  <c r="AI250" i="17"/>
  <c r="AU250" i="17"/>
  <c r="AH250" i="17"/>
  <c r="AT250" i="17"/>
  <c r="AF250" i="17"/>
  <c r="AR250" i="17"/>
  <c r="AE250" i="17"/>
  <c r="BD250" i="17"/>
  <c r="AQ250" i="17"/>
  <c r="AD250" i="17"/>
  <c r="BC250" i="17"/>
  <c r="AP250" i="17"/>
  <c r="AC250" i="17"/>
  <c r="BB250" i="17"/>
  <c r="AO250" i="17"/>
  <c r="AB250" i="17"/>
  <c r="AZ250" i="17"/>
  <c r="AM250" i="17"/>
  <c r="AY250" i="17"/>
  <c r="AL250" i="17"/>
  <c r="AX250" i="17"/>
  <c r="AK250" i="17"/>
  <c r="BA250" i="17"/>
  <c r="AN250" i="17"/>
  <c r="K223" i="17"/>
  <c r="W223" i="17"/>
  <c r="L223" i="17"/>
  <c r="X223" i="17"/>
  <c r="M223" i="17"/>
  <c r="Y223" i="17"/>
  <c r="N223" i="17"/>
  <c r="Z223" i="17"/>
  <c r="O223" i="17"/>
  <c r="Q223" i="17"/>
  <c r="F223" i="17"/>
  <c r="R223" i="17"/>
  <c r="G223" i="17"/>
  <c r="S223" i="17"/>
  <c r="H223" i="17"/>
  <c r="T223" i="17"/>
  <c r="I223" i="17"/>
  <c r="J223" i="17"/>
  <c r="P223" i="17"/>
  <c r="U223" i="17"/>
  <c r="DP223" i="17" s="1"/>
  <c r="V223" i="17"/>
  <c r="AU223" i="17"/>
  <c r="AI223" i="17"/>
  <c r="AT223" i="17"/>
  <c r="AH223" i="17"/>
  <c r="BE223" i="17"/>
  <c r="AS223" i="17"/>
  <c r="AG223" i="17"/>
  <c r="BD223" i="17"/>
  <c r="AR223" i="17"/>
  <c r="AF223" i="17"/>
  <c r="BC223" i="17"/>
  <c r="AQ223" i="17"/>
  <c r="AE223" i="17"/>
  <c r="BB223" i="17"/>
  <c r="AP223" i="17"/>
  <c r="AD223" i="17"/>
  <c r="BA223" i="17"/>
  <c r="AO223" i="17"/>
  <c r="AC223" i="17"/>
  <c r="AZ223" i="17"/>
  <c r="AN223" i="17"/>
  <c r="AB223" i="17"/>
  <c r="AX223" i="17"/>
  <c r="AL223" i="17"/>
  <c r="AW223" i="17"/>
  <c r="AK223" i="17"/>
  <c r="AV223" i="17"/>
  <c r="AJ223" i="17"/>
  <c r="AY223" i="17"/>
  <c r="AM223" i="17"/>
  <c r="K211" i="17"/>
  <c r="W211" i="17"/>
  <c r="L211" i="17"/>
  <c r="X211" i="17"/>
  <c r="M211" i="17"/>
  <c r="Y211" i="17"/>
  <c r="N211" i="17"/>
  <c r="Z211" i="17"/>
  <c r="O211" i="17"/>
  <c r="Q211" i="17"/>
  <c r="F211" i="17"/>
  <c r="R211" i="17"/>
  <c r="G211" i="17"/>
  <c r="S211" i="17"/>
  <c r="H211" i="17"/>
  <c r="T211" i="17"/>
  <c r="I211" i="17"/>
  <c r="J211" i="17"/>
  <c r="P211" i="17"/>
  <c r="DK211" i="17" s="1"/>
  <c r="U211" i="17"/>
  <c r="V211" i="17"/>
  <c r="AU211" i="17"/>
  <c r="AI211" i="17"/>
  <c r="AT211" i="17"/>
  <c r="AH211" i="17"/>
  <c r="BE211" i="17"/>
  <c r="AS211" i="17"/>
  <c r="AG211" i="17"/>
  <c r="BD211" i="17"/>
  <c r="AR211" i="17"/>
  <c r="AF211" i="17"/>
  <c r="BC211" i="17"/>
  <c r="AQ211" i="17"/>
  <c r="AE211" i="17"/>
  <c r="BB211" i="17"/>
  <c r="AP211" i="17"/>
  <c r="AD211" i="17"/>
  <c r="BA211" i="17"/>
  <c r="AO211" i="17"/>
  <c r="AC211" i="17"/>
  <c r="AZ211" i="17"/>
  <c r="AN211" i="17"/>
  <c r="AB211" i="17"/>
  <c r="AX211" i="17"/>
  <c r="AL211" i="17"/>
  <c r="AW211" i="17"/>
  <c r="AK211" i="17"/>
  <c r="AV211" i="17"/>
  <c r="AJ211" i="17"/>
  <c r="AY211" i="17"/>
  <c r="AM211" i="17"/>
  <c r="K199" i="17"/>
  <c r="W199" i="17"/>
  <c r="L199" i="17"/>
  <c r="X199" i="17"/>
  <c r="M199" i="17"/>
  <c r="Y199" i="17"/>
  <c r="DT199" i="17" s="1"/>
  <c r="Y234" i="17" s="1"/>
  <c r="Y235" i="17" s="1"/>
  <c r="J26" i="16" s="1"/>
  <c r="N199" i="17"/>
  <c r="Z199" i="17"/>
  <c r="O199" i="17"/>
  <c r="P199" i="17"/>
  <c r="Q199" i="17"/>
  <c r="F199" i="17"/>
  <c r="R199" i="17"/>
  <c r="G199" i="17"/>
  <c r="S199" i="17"/>
  <c r="H199" i="17"/>
  <c r="T199" i="17"/>
  <c r="I199" i="17"/>
  <c r="J199" i="17"/>
  <c r="U199" i="17"/>
  <c r="V199" i="17"/>
  <c r="AU199" i="17"/>
  <c r="AI199" i="17"/>
  <c r="AT199" i="17"/>
  <c r="AH199" i="17"/>
  <c r="BE199" i="17"/>
  <c r="AS199" i="17"/>
  <c r="AG199" i="17"/>
  <c r="BD199" i="17"/>
  <c r="AR199" i="17"/>
  <c r="AF199" i="17"/>
  <c r="BC199" i="17"/>
  <c r="AQ199" i="17"/>
  <c r="AE199" i="17"/>
  <c r="BB199" i="17"/>
  <c r="AP199" i="17"/>
  <c r="AD199" i="17"/>
  <c r="BA199" i="17"/>
  <c r="AO199" i="17"/>
  <c r="AC199" i="17"/>
  <c r="AZ199" i="17"/>
  <c r="AN199" i="17"/>
  <c r="AB199" i="17"/>
  <c r="AV199" i="17"/>
  <c r="AJ199" i="17"/>
  <c r="AY199" i="17"/>
  <c r="AX199" i="17"/>
  <c r="AW199" i="17"/>
  <c r="AM199" i="17"/>
  <c r="AL199" i="17"/>
  <c r="AK199" i="17"/>
  <c r="K180" i="17"/>
  <c r="W180" i="17"/>
  <c r="L180" i="17"/>
  <c r="X180" i="17"/>
  <c r="M180" i="17"/>
  <c r="Y180" i="17"/>
  <c r="N180" i="17"/>
  <c r="Z180" i="17"/>
  <c r="O180" i="17"/>
  <c r="P180" i="17"/>
  <c r="Q180" i="17"/>
  <c r="F180" i="17"/>
  <c r="R180" i="17"/>
  <c r="G180" i="17"/>
  <c r="S180" i="17"/>
  <c r="H180" i="17"/>
  <c r="T180" i="17"/>
  <c r="J180" i="17"/>
  <c r="V180" i="17"/>
  <c r="I180" i="17"/>
  <c r="U180" i="17"/>
  <c r="AU180" i="17"/>
  <c r="AI180" i="17"/>
  <c r="AT180" i="17"/>
  <c r="AH180" i="17"/>
  <c r="BE180" i="17"/>
  <c r="AS180" i="17"/>
  <c r="AG180" i="17"/>
  <c r="BD180" i="17"/>
  <c r="AR180" i="17"/>
  <c r="AF180" i="17"/>
  <c r="BC180" i="17"/>
  <c r="AQ180" i="17"/>
  <c r="AE180" i="17"/>
  <c r="BB180" i="17"/>
  <c r="AP180" i="17"/>
  <c r="AD180" i="17"/>
  <c r="BA180" i="17"/>
  <c r="AO180" i="17"/>
  <c r="AC180" i="17"/>
  <c r="AZ180" i="17"/>
  <c r="AV180" i="17"/>
  <c r="AJ180" i="17"/>
  <c r="AX180" i="17"/>
  <c r="AW180" i="17"/>
  <c r="AN180" i="17"/>
  <c r="AM180" i="17"/>
  <c r="AL180" i="17"/>
  <c r="AK180" i="17"/>
  <c r="AB180" i="17"/>
  <c r="AY180" i="17"/>
  <c r="G34" i="17"/>
  <c r="S34" i="17"/>
  <c r="H34" i="17"/>
  <c r="T34" i="17"/>
  <c r="I34" i="17"/>
  <c r="U34" i="17"/>
  <c r="DP34" i="17" s="1"/>
  <c r="J34" i="17"/>
  <c r="V34" i="17"/>
  <c r="K34" i="17"/>
  <c r="W34" i="17"/>
  <c r="L34" i="17"/>
  <c r="X34" i="17"/>
  <c r="M34" i="17"/>
  <c r="Y34" i="17"/>
  <c r="N34" i="17"/>
  <c r="Z34" i="17"/>
  <c r="F34" i="17"/>
  <c r="R34" i="17"/>
  <c r="Q34" i="17"/>
  <c r="P34" i="17"/>
  <c r="O34" i="17"/>
  <c r="M252" i="17"/>
  <c r="Y252" i="17"/>
  <c r="P252" i="17"/>
  <c r="Q252" i="17"/>
  <c r="G252" i="17"/>
  <c r="S252" i="17"/>
  <c r="I252" i="17"/>
  <c r="U252" i="17"/>
  <c r="J252" i="17"/>
  <c r="V252" i="17"/>
  <c r="H252" i="17"/>
  <c r="K252" i="17"/>
  <c r="L252" i="17"/>
  <c r="N252" i="17"/>
  <c r="O252" i="17"/>
  <c r="R252" i="17"/>
  <c r="T252" i="17"/>
  <c r="W252" i="17"/>
  <c r="X252" i="17"/>
  <c r="F252" i="17"/>
  <c r="AY252" i="17"/>
  <c r="AM252" i="17"/>
  <c r="AX252" i="17"/>
  <c r="AW252" i="17"/>
  <c r="AV252" i="17"/>
  <c r="AJ252" i="17"/>
  <c r="Z252" i="17"/>
  <c r="AT252" i="17"/>
  <c r="AF252" i="17"/>
  <c r="AS252" i="17"/>
  <c r="AE252" i="17"/>
  <c r="AR252" i="17"/>
  <c r="AD252" i="17"/>
  <c r="AQ252" i="17"/>
  <c r="AC252" i="17"/>
  <c r="AP252" i="17"/>
  <c r="AB252" i="17"/>
  <c r="BE252" i="17"/>
  <c r="AO252" i="17"/>
  <c r="BD252" i="17"/>
  <c r="AN252" i="17"/>
  <c r="BC252" i="17"/>
  <c r="AL252" i="17"/>
  <c r="BA252" i="17"/>
  <c r="AI252" i="17"/>
  <c r="AZ252" i="17"/>
  <c r="AH252" i="17"/>
  <c r="AU252" i="17"/>
  <c r="AG252" i="17"/>
  <c r="BB252" i="17"/>
  <c r="AK252" i="17"/>
  <c r="M225" i="17"/>
  <c r="Y225" i="17"/>
  <c r="N225" i="17"/>
  <c r="DI225" i="17" s="1"/>
  <c r="Z225" i="17"/>
  <c r="O225" i="17"/>
  <c r="P225" i="17"/>
  <c r="Q225" i="17"/>
  <c r="G225" i="17"/>
  <c r="S225" i="17"/>
  <c r="H225" i="17"/>
  <c r="T225" i="17"/>
  <c r="I225" i="17"/>
  <c r="U225" i="17"/>
  <c r="J225" i="17"/>
  <c r="V225" i="17"/>
  <c r="F225" i="17"/>
  <c r="K225" i="17"/>
  <c r="L225" i="17"/>
  <c r="X225" i="17"/>
  <c r="R225" i="17"/>
  <c r="W225" i="17"/>
  <c r="BA225" i="17"/>
  <c r="AO225" i="17"/>
  <c r="AC225" i="17"/>
  <c r="AZ225" i="17"/>
  <c r="AN225" i="17"/>
  <c r="AB225" i="17"/>
  <c r="AY225" i="17"/>
  <c r="AM225" i="17"/>
  <c r="AX225" i="17"/>
  <c r="AL225" i="17"/>
  <c r="AW225" i="17"/>
  <c r="AK225" i="17"/>
  <c r="AV225" i="17"/>
  <c r="AJ225" i="17"/>
  <c r="AU225" i="17"/>
  <c r="AI225" i="17"/>
  <c r="AT225" i="17"/>
  <c r="AH225" i="17"/>
  <c r="BD225" i="17"/>
  <c r="AR225" i="17"/>
  <c r="AF225" i="17"/>
  <c r="BC225" i="17"/>
  <c r="AQ225" i="17"/>
  <c r="AE225" i="17"/>
  <c r="BB225" i="17"/>
  <c r="AP225" i="17"/>
  <c r="AD225" i="17"/>
  <c r="BE225" i="17"/>
  <c r="AS225" i="17"/>
  <c r="AG225" i="17"/>
  <c r="M213" i="17"/>
  <c r="Y213" i="17"/>
  <c r="N213" i="17"/>
  <c r="Z213" i="17"/>
  <c r="O213" i="17"/>
  <c r="DJ213" i="17" s="1"/>
  <c r="P213" i="17"/>
  <c r="Q213" i="17"/>
  <c r="G213" i="17"/>
  <c r="S213" i="17"/>
  <c r="H213" i="17"/>
  <c r="T213" i="17"/>
  <c r="I213" i="17"/>
  <c r="U213" i="17"/>
  <c r="J213" i="17"/>
  <c r="V213" i="17"/>
  <c r="R213" i="17"/>
  <c r="W213" i="17"/>
  <c r="X213" i="17"/>
  <c r="L213" i="17"/>
  <c r="F213" i="17"/>
  <c r="K213" i="17"/>
  <c r="BA213" i="17"/>
  <c r="AO213" i="17"/>
  <c r="AC213" i="17"/>
  <c r="AZ213" i="17"/>
  <c r="AN213" i="17"/>
  <c r="AB213" i="17"/>
  <c r="AY213" i="17"/>
  <c r="AM213" i="17"/>
  <c r="AX213" i="17"/>
  <c r="AL213" i="17"/>
  <c r="AW213" i="17"/>
  <c r="AK213" i="17"/>
  <c r="AV213" i="17"/>
  <c r="AJ213" i="17"/>
  <c r="AU213" i="17"/>
  <c r="AI213" i="17"/>
  <c r="AT213" i="17"/>
  <c r="AH213" i="17"/>
  <c r="BD213" i="17"/>
  <c r="AR213" i="17"/>
  <c r="AF213" i="17"/>
  <c r="BC213" i="17"/>
  <c r="AQ213" i="17"/>
  <c r="AE213" i="17"/>
  <c r="BB213" i="17"/>
  <c r="AP213" i="17"/>
  <c r="AD213" i="17"/>
  <c r="BE213" i="17"/>
  <c r="AS213" i="17"/>
  <c r="AG213" i="17"/>
  <c r="M201" i="17"/>
  <c r="Y201" i="17"/>
  <c r="N201" i="17"/>
  <c r="Z201" i="17"/>
  <c r="O201" i="17"/>
  <c r="P201" i="17"/>
  <c r="Q201" i="17"/>
  <c r="F201" i="17"/>
  <c r="R201" i="17"/>
  <c r="G201" i="17"/>
  <c r="S201" i="17"/>
  <c r="H201" i="17"/>
  <c r="T201" i="17"/>
  <c r="I201" i="17"/>
  <c r="U201" i="17"/>
  <c r="J201" i="17"/>
  <c r="V201" i="17"/>
  <c r="K201" i="17"/>
  <c r="L201" i="17"/>
  <c r="W201" i="17"/>
  <c r="X201" i="17"/>
  <c r="BA201" i="17"/>
  <c r="AO201" i="17"/>
  <c r="AC201" i="17"/>
  <c r="AZ201" i="17"/>
  <c r="AN201" i="17"/>
  <c r="AB201" i="17"/>
  <c r="AY201" i="17"/>
  <c r="AM201" i="17"/>
  <c r="AX201" i="17"/>
  <c r="AL201" i="17"/>
  <c r="AW201" i="17"/>
  <c r="AK201" i="17"/>
  <c r="AV201" i="17"/>
  <c r="AJ201" i="17"/>
  <c r="AU201" i="17"/>
  <c r="AI201" i="17"/>
  <c r="AT201" i="17"/>
  <c r="AH201" i="17"/>
  <c r="BB201" i="17"/>
  <c r="AP201" i="17"/>
  <c r="AD201" i="17"/>
  <c r="AF201" i="17"/>
  <c r="AE201" i="17"/>
  <c r="AQ201" i="17"/>
  <c r="BE201" i="17"/>
  <c r="BD201" i="17"/>
  <c r="BC201" i="17"/>
  <c r="AS201" i="17"/>
  <c r="AR201" i="17"/>
  <c r="AG201" i="17"/>
  <c r="M182" i="17"/>
  <c r="Y182" i="17"/>
  <c r="N182" i="17"/>
  <c r="Z182" i="17"/>
  <c r="O182" i="17"/>
  <c r="P182" i="17"/>
  <c r="Q182" i="17"/>
  <c r="F182" i="17"/>
  <c r="R182" i="17"/>
  <c r="G182" i="17"/>
  <c r="S182" i="17"/>
  <c r="H182" i="17"/>
  <c r="T182" i="17"/>
  <c r="I182" i="17"/>
  <c r="U182" i="17"/>
  <c r="J182" i="17"/>
  <c r="V182" i="17"/>
  <c r="L182" i="17"/>
  <c r="X182" i="17"/>
  <c r="K182" i="17"/>
  <c r="W182" i="17"/>
  <c r="BA182" i="17"/>
  <c r="AO182" i="17"/>
  <c r="AC182" i="17"/>
  <c r="AZ182" i="17"/>
  <c r="AN182" i="17"/>
  <c r="AB182" i="17"/>
  <c r="AY182" i="17"/>
  <c r="AM182" i="17"/>
  <c r="AX182" i="17"/>
  <c r="AL182" i="17"/>
  <c r="AW182" i="17"/>
  <c r="AK182" i="17"/>
  <c r="AV182" i="17"/>
  <c r="AJ182" i="17"/>
  <c r="AU182" i="17"/>
  <c r="AI182" i="17"/>
  <c r="AT182" i="17"/>
  <c r="AH182" i="17"/>
  <c r="BB182" i="17"/>
  <c r="AP182" i="17"/>
  <c r="AD182" i="17"/>
  <c r="BE182" i="17"/>
  <c r="BD182" i="17"/>
  <c r="BC182" i="17"/>
  <c r="AS182" i="17"/>
  <c r="AR182" i="17"/>
  <c r="AQ182" i="17"/>
  <c r="AE182" i="17"/>
  <c r="AG182" i="17"/>
  <c r="AF182" i="17"/>
  <c r="O176" i="17"/>
  <c r="P176" i="17"/>
  <c r="F176" i="17"/>
  <c r="R176" i="17"/>
  <c r="G176" i="17"/>
  <c r="S176" i="17"/>
  <c r="I176" i="17"/>
  <c r="U176" i="17"/>
  <c r="K176" i="17"/>
  <c r="W176" i="17"/>
  <c r="N176" i="17"/>
  <c r="Z176" i="17"/>
  <c r="X176" i="17"/>
  <c r="Y176" i="17"/>
  <c r="H176" i="17"/>
  <c r="J176" i="17"/>
  <c r="L176" i="17"/>
  <c r="M176" i="17"/>
  <c r="Q176" i="17"/>
  <c r="V176" i="17"/>
  <c r="T176" i="17"/>
  <c r="AU176" i="17"/>
  <c r="AI176" i="17"/>
  <c r="AT176" i="17"/>
  <c r="AH176" i="17"/>
  <c r="BE176" i="17"/>
  <c r="AS176" i="17"/>
  <c r="AG176" i="17"/>
  <c r="BD176" i="17"/>
  <c r="AR176" i="17"/>
  <c r="AF176" i="17"/>
  <c r="BC176" i="17"/>
  <c r="AQ176" i="17"/>
  <c r="AE176" i="17"/>
  <c r="BA176" i="17"/>
  <c r="AW176" i="17"/>
  <c r="AV176" i="17"/>
  <c r="AP176" i="17"/>
  <c r="AO176" i="17"/>
  <c r="AN176" i="17"/>
  <c r="AM176" i="17"/>
  <c r="AL176" i="17"/>
  <c r="AK176" i="17"/>
  <c r="BB176" i="17"/>
  <c r="AJ176" i="17"/>
  <c r="AC176" i="17"/>
  <c r="AZ176" i="17"/>
  <c r="AD176" i="17"/>
  <c r="AY176" i="17"/>
  <c r="AX176" i="17"/>
  <c r="AB176" i="17"/>
  <c r="G113" i="17"/>
  <c r="S113" i="17"/>
  <c r="H113" i="17"/>
  <c r="DC113" i="17" s="1"/>
  <c r="T113" i="17"/>
  <c r="I113" i="17"/>
  <c r="U113" i="17"/>
  <c r="J113" i="17"/>
  <c r="V113" i="17"/>
  <c r="K113" i="17"/>
  <c r="W113" i="17"/>
  <c r="M113" i="17"/>
  <c r="Y113" i="17"/>
  <c r="N113" i="17"/>
  <c r="Z113" i="17"/>
  <c r="O113" i="17"/>
  <c r="F113" i="17"/>
  <c r="R113" i="17"/>
  <c r="L113" i="17"/>
  <c r="P113" i="17"/>
  <c r="Q113" i="17"/>
  <c r="X113" i="17"/>
  <c r="AW113" i="17"/>
  <c r="AK113" i="17"/>
  <c r="AV113" i="17"/>
  <c r="AJ113" i="17"/>
  <c r="AU113" i="17"/>
  <c r="AI113" i="17"/>
  <c r="AT113" i="17"/>
  <c r="AH113" i="17"/>
  <c r="BE113" i="17"/>
  <c r="AS113" i="17"/>
  <c r="AG113" i="17"/>
  <c r="AY113" i="17"/>
  <c r="BD113" i="17"/>
  <c r="AR113" i="17"/>
  <c r="AF113" i="17"/>
  <c r="BC113" i="17"/>
  <c r="AQ113" i="17"/>
  <c r="AE113" i="17"/>
  <c r="BB113" i="17"/>
  <c r="AP113" i="17"/>
  <c r="AD113" i="17"/>
  <c r="AM113" i="17"/>
  <c r="BA113" i="17"/>
  <c r="AO113" i="17"/>
  <c r="AC113" i="17"/>
  <c r="AZ113" i="17"/>
  <c r="AN113" i="17"/>
  <c r="AB113" i="17"/>
  <c r="AX113" i="17"/>
  <c r="AL113" i="17"/>
  <c r="O227" i="17"/>
  <c r="P227" i="17"/>
  <c r="Q227" i="17"/>
  <c r="DL227" i="17" s="1"/>
  <c r="F227" i="17"/>
  <c r="R227" i="17"/>
  <c r="G227" i="17"/>
  <c r="S227" i="17"/>
  <c r="I227" i="17"/>
  <c r="U227" i="17"/>
  <c r="J227" i="17"/>
  <c r="V227" i="17"/>
  <c r="K227" i="17"/>
  <c r="W227" i="17"/>
  <c r="L227" i="17"/>
  <c r="X227" i="17"/>
  <c r="H227" i="17"/>
  <c r="M227" i="17"/>
  <c r="N227" i="17"/>
  <c r="T227" i="17"/>
  <c r="Y227" i="17"/>
  <c r="Z227" i="17"/>
  <c r="AU227" i="17"/>
  <c r="AI227" i="17"/>
  <c r="AT227" i="17"/>
  <c r="AH227" i="17"/>
  <c r="BE227" i="17"/>
  <c r="AS227" i="17"/>
  <c r="AG227" i="17"/>
  <c r="BD227" i="17"/>
  <c r="AR227" i="17"/>
  <c r="AF227" i="17"/>
  <c r="BC227" i="17"/>
  <c r="AQ227" i="17"/>
  <c r="AE227" i="17"/>
  <c r="BB227" i="17"/>
  <c r="AP227" i="17"/>
  <c r="AD227" i="17"/>
  <c r="BA227" i="17"/>
  <c r="AO227" i="17"/>
  <c r="AC227" i="17"/>
  <c r="AZ227" i="17"/>
  <c r="AN227" i="17"/>
  <c r="AB227" i="17"/>
  <c r="AX227" i="17"/>
  <c r="AL227" i="17"/>
  <c r="AW227" i="17"/>
  <c r="AK227" i="17"/>
  <c r="AV227" i="17"/>
  <c r="AJ227" i="17"/>
  <c r="AY227" i="17"/>
  <c r="AM227" i="17"/>
  <c r="O215" i="17"/>
  <c r="P215" i="17"/>
  <c r="Q215" i="17"/>
  <c r="F215" i="17"/>
  <c r="R215" i="17"/>
  <c r="G215" i="17"/>
  <c r="S215" i="17"/>
  <c r="I215" i="17"/>
  <c r="U215" i="17"/>
  <c r="J215" i="17"/>
  <c r="V215" i="17"/>
  <c r="K215" i="17"/>
  <c r="W215" i="17"/>
  <c r="L215" i="17"/>
  <c r="X215" i="17"/>
  <c r="H215" i="17"/>
  <c r="M215" i="17"/>
  <c r="N215" i="17"/>
  <c r="T215" i="17"/>
  <c r="Y215" i="17"/>
  <c r="Z215" i="17"/>
  <c r="AU215" i="17"/>
  <c r="AI215" i="17"/>
  <c r="AT215" i="17"/>
  <c r="AH215" i="17"/>
  <c r="BE215" i="17"/>
  <c r="AS215" i="17"/>
  <c r="AG215" i="17"/>
  <c r="BD215" i="17"/>
  <c r="AR215" i="17"/>
  <c r="AF215" i="17"/>
  <c r="BC215" i="17"/>
  <c r="AQ215" i="17"/>
  <c r="AE215" i="17"/>
  <c r="BB215" i="17"/>
  <c r="AP215" i="17"/>
  <c r="AD215" i="17"/>
  <c r="BA215" i="17"/>
  <c r="AO215" i="17"/>
  <c r="AC215" i="17"/>
  <c r="AZ215" i="17"/>
  <c r="AN215" i="17"/>
  <c r="AB215" i="17"/>
  <c r="AX215" i="17"/>
  <c r="AL215" i="17"/>
  <c r="AW215" i="17"/>
  <c r="AK215" i="17"/>
  <c r="AV215" i="17"/>
  <c r="AJ215" i="17"/>
  <c r="AY215" i="17"/>
  <c r="AM215" i="17"/>
  <c r="O203" i="17"/>
  <c r="P203" i="17"/>
  <c r="Q203" i="17"/>
  <c r="F203" i="17"/>
  <c r="R203" i="17"/>
  <c r="G203" i="17"/>
  <c r="DB203" i="17" s="1"/>
  <c r="S203" i="17"/>
  <c r="H203" i="17"/>
  <c r="T203" i="17"/>
  <c r="I203" i="17"/>
  <c r="U203" i="17"/>
  <c r="J203" i="17"/>
  <c r="V203" i="17"/>
  <c r="K203" i="17"/>
  <c r="W203" i="17"/>
  <c r="L203" i="17"/>
  <c r="X203" i="17"/>
  <c r="Y203" i="17"/>
  <c r="Z203" i="17"/>
  <c r="N203" i="17"/>
  <c r="M203" i="17"/>
  <c r="AU203" i="17"/>
  <c r="AI203" i="17"/>
  <c r="AT203" i="17"/>
  <c r="AH203" i="17"/>
  <c r="BE203" i="17"/>
  <c r="AS203" i="17"/>
  <c r="AG203" i="17"/>
  <c r="BD203" i="17"/>
  <c r="AR203" i="17"/>
  <c r="AF203" i="17"/>
  <c r="BC203" i="17"/>
  <c r="AQ203" i="17"/>
  <c r="AE203" i="17"/>
  <c r="BB203" i="17"/>
  <c r="AP203" i="17"/>
  <c r="AD203" i="17"/>
  <c r="BA203" i="17"/>
  <c r="AO203" i="17"/>
  <c r="AC203" i="17"/>
  <c r="AZ203" i="17"/>
  <c r="AN203" i="17"/>
  <c r="AB203" i="17"/>
  <c r="AV203" i="17"/>
  <c r="AJ203" i="17"/>
  <c r="AX203" i="17"/>
  <c r="AW203" i="17"/>
  <c r="AM203" i="17"/>
  <c r="AL203" i="17"/>
  <c r="AK203" i="17"/>
  <c r="AY203" i="17"/>
  <c r="O184" i="17"/>
  <c r="P184" i="17"/>
  <c r="Q184" i="17"/>
  <c r="F184" i="17"/>
  <c r="R184" i="17"/>
  <c r="G184" i="17"/>
  <c r="S184" i="17"/>
  <c r="H184" i="17"/>
  <c r="T184" i="17"/>
  <c r="I184" i="17"/>
  <c r="U184" i="17"/>
  <c r="J184" i="17"/>
  <c r="V184" i="17"/>
  <c r="K184" i="17"/>
  <c r="W184" i="17"/>
  <c r="L184" i="17"/>
  <c r="X184" i="17"/>
  <c r="N184" i="17"/>
  <c r="Z184" i="17"/>
  <c r="M184" i="17"/>
  <c r="Y184" i="17"/>
  <c r="AU184" i="17"/>
  <c r="AI184" i="17"/>
  <c r="AT184" i="17"/>
  <c r="AH184" i="17"/>
  <c r="BE184" i="17"/>
  <c r="AS184" i="17"/>
  <c r="AG184" i="17"/>
  <c r="BD184" i="17"/>
  <c r="AR184" i="17"/>
  <c r="AF184" i="17"/>
  <c r="BC184" i="17"/>
  <c r="AQ184" i="17"/>
  <c r="AE184" i="17"/>
  <c r="BB184" i="17"/>
  <c r="AP184" i="17"/>
  <c r="AD184" i="17"/>
  <c r="BA184" i="17"/>
  <c r="AO184" i="17"/>
  <c r="AC184" i="17"/>
  <c r="AZ184" i="17"/>
  <c r="AN184" i="17"/>
  <c r="AB184" i="17"/>
  <c r="AV184" i="17"/>
  <c r="AJ184" i="17"/>
  <c r="AL184" i="17"/>
  <c r="AK184" i="17"/>
  <c r="AY184" i="17"/>
  <c r="AX184" i="17"/>
  <c r="AW184" i="17"/>
  <c r="AM184" i="17"/>
  <c r="G156" i="17"/>
  <c r="S156" i="17"/>
  <c r="H156" i="17"/>
  <c r="T156" i="17"/>
  <c r="I156" i="17"/>
  <c r="U156" i="17"/>
  <c r="J156" i="17"/>
  <c r="V156" i="17"/>
  <c r="K156" i="17"/>
  <c r="W156" i="17"/>
  <c r="M156" i="17"/>
  <c r="Y156" i="17"/>
  <c r="O156" i="17"/>
  <c r="F156" i="17"/>
  <c r="R156" i="17"/>
  <c r="L156" i="17"/>
  <c r="N156" i="17"/>
  <c r="P156" i="17"/>
  <c r="Q156" i="17"/>
  <c r="X156" i="17"/>
  <c r="Z156" i="17"/>
  <c r="AW156" i="17"/>
  <c r="AK156" i="17"/>
  <c r="AV156" i="17"/>
  <c r="AJ156" i="17"/>
  <c r="AU156" i="17"/>
  <c r="AI156" i="17"/>
  <c r="AT156" i="17"/>
  <c r="AH156" i="17"/>
  <c r="BE156" i="17"/>
  <c r="AS156" i="17"/>
  <c r="AG156" i="17"/>
  <c r="AY156" i="17"/>
  <c r="BD156" i="17"/>
  <c r="AR156" i="17"/>
  <c r="AF156" i="17"/>
  <c r="BC156" i="17"/>
  <c r="AQ156" i="17"/>
  <c r="AE156" i="17"/>
  <c r="BB156" i="17"/>
  <c r="AP156" i="17"/>
  <c r="AD156" i="17"/>
  <c r="AM156" i="17"/>
  <c r="BA156" i="17"/>
  <c r="AO156" i="17"/>
  <c r="AC156" i="17"/>
  <c r="AZ156" i="17"/>
  <c r="AN156" i="17"/>
  <c r="AB156" i="17"/>
  <c r="AX156" i="17"/>
  <c r="AL156" i="17"/>
  <c r="G125" i="17"/>
  <c r="S125" i="17"/>
  <c r="H125" i="17"/>
  <c r="T125" i="17"/>
  <c r="I125" i="17"/>
  <c r="U125" i="17"/>
  <c r="J125" i="17"/>
  <c r="V125" i="17"/>
  <c r="K125" i="17"/>
  <c r="W125" i="17"/>
  <c r="M125" i="17"/>
  <c r="Y125" i="17"/>
  <c r="N125" i="17"/>
  <c r="Z125" i="17"/>
  <c r="O125" i="17"/>
  <c r="F125" i="17"/>
  <c r="R125" i="17"/>
  <c r="L125" i="17"/>
  <c r="P125" i="17"/>
  <c r="Q125" i="17"/>
  <c r="X125" i="17"/>
  <c r="AW125" i="17"/>
  <c r="AK125" i="17"/>
  <c r="AV125" i="17"/>
  <c r="AJ125" i="17"/>
  <c r="AU125" i="17"/>
  <c r="AI125" i="17"/>
  <c r="AT125" i="17"/>
  <c r="AH125" i="17"/>
  <c r="BE125" i="17"/>
  <c r="AS125" i="17"/>
  <c r="AG125" i="17"/>
  <c r="BD125" i="17"/>
  <c r="AR125" i="17"/>
  <c r="AF125" i="17"/>
  <c r="AY125" i="17"/>
  <c r="BC125" i="17"/>
  <c r="AQ125" i="17"/>
  <c r="AE125" i="17"/>
  <c r="BB125" i="17"/>
  <c r="AP125" i="17"/>
  <c r="AD125" i="17"/>
  <c r="AM125" i="17"/>
  <c r="BA125" i="17"/>
  <c r="AO125" i="17"/>
  <c r="AC125" i="17"/>
  <c r="AZ125" i="17"/>
  <c r="AN125" i="17"/>
  <c r="AB125" i="17"/>
  <c r="AX125" i="17"/>
  <c r="AL125" i="17"/>
  <c r="G77" i="17"/>
  <c r="S77" i="17"/>
  <c r="H77" i="17"/>
  <c r="T77" i="17"/>
  <c r="I77" i="17"/>
  <c r="U77" i="17"/>
  <c r="J77" i="17"/>
  <c r="V77" i="17"/>
  <c r="K77" i="17"/>
  <c r="W77" i="17"/>
  <c r="M77" i="17"/>
  <c r="Y77" i="17"/>
  <c r="N77" i="17"/>
  <c r="Z77" i="17"/>
  <c r="F77" i="17"/>
  <c r="R77" i="17"/>
  <c r="O77" i="17"/>
  <c r="P77" i="17"/>
  <c r="Q77" i="17"/>
  <c r="X77" i="17"/>
  <c r="L77" i="17"/>
  <c r="I55" i="17"/>
  <c r="U55" i="17"/>
  <c r="J55" i="17"/>
  <c r="V55" i="17"/>
  <c r="K55" i="17"/>
  <c r="W55" i="17"/>
  <c r="L55" i="17"/>
  <c r="X55" i="17"/>
  <c r="M55" i="17"/>
  <c r="Y55" i="17"/>
  <c r="N55" i="17"/>
  <c r="Z55" i="17"/>
  <c r="O55" i="17"/>
  <c r="P55" i="17"/>
  <c r="H55" i="17"/>
  <c r="T55" i="17"/>
  <c r="G55" i="17"/>
  <c r="Q55" i="17"/>
  <c r="R55" i="17"/>
  <c r="S55" i="17"/>
  <c r="F55" i="17"/>
  <c r="Q256" i="17"/>
  <c r="H256" i="17"/>
  <c r="T256" i="17"/>
  <c r="I256" i="17"/>
  <c r="U256" i="17"/>
  <c r="K256" i="17"/>
  <c r="W256" i="17"/>
  <c r="M256" i="17"/>
  <c r="Y256" i="17"/>
  <c r="N256" i="17"/>
  <c r="Z256" i="17"/>
  <c r="L256" i="17"/>
  <c r="O256" i="17"/>
  <c r="P256" i="17"/>
  <c r="R256" i="17"/>
  <c r="S256" i="17"/>
  <c r="V256" i="17"/>
  <c r="X256" i="17"/>
  <c r="J256" i="17"/>
  <c r="AY256" i="17"/>
  <c r="AM256" i="17"/>
  <c r="AX256" i="17"/>
  <c r="AL256" i="17"/>
  <c r="AW256" i="17"/>
  <c r="AK256" i="17"/>
  <c r="AV256" i="17"/>
  <c r="AJ256" i="17"/>
  <c r="AU256" i="17"/>
  <c r="AI256" i="17"/>
  <c r="G256" i="17"/>
  <c r="AT256" i="17"/>
  <c r="AC256" i="17"/>
  <c r="AS256" i="17"/>
  <c r="AB256" i="17"/>
  <c r="AR256" i="17"/>
  <c r="AQ256" i="17"/>
  <c r="F256" i="17"/>
  <c r="AP256" i="17"/>
  <c r="AO256" i="17"/>
  <c r="BE256" i="17"/>
  <c r="AN256" i="17"/>
  <c r="BD256" i="17"/>
  <c r="AH256" i="17"/>
  <c r="BB256" i="17"/>
  <c r="AF256" i="17"/>
  <c r="BA256" i="17"/>
  <c r="AE256" i="17"/>
  <c r="AZ256" i="17"/>
  <c r="AD256" i="17"/>
  <c r="BC256" i="17"/>
  <c r="AG256" i="17"/>
  <c r="Q244" i="17"/>
  <c r="F244" i="17"/>
  <c r="R244" i="17"/>
  <c r="G244" i="17"/>
  <c r="S244" i="17"/>
  <c r="H244" i="17"/>
  <c r="T244" i="17"/>
  <c r="I244" i="17"/>
  <c r="U244" i="17"/>
  <c r="K244" i="17"/>
  <c r="W244" i="17"/>
  <c r="M244" i="17"/>
  <c r="Y244" i="17"/>
  <c r="N244" i="17"/>
  <c r="Z244" i="17"/>
  <c r="L244" i="17"/>
  <c r="O244" i="17"/>
  <c r="P244" i="17"/>
  <c r="V244" i="17"/>
  <c r="X244" i="17"/>
  <c r="J244" i="17"/>
  <c r="BA244" i="17"/>
  <c r="AO244" i="17"/>
  <c r="AC244" i="17"/>
  <c r="AZ244" i="17"/>
  <c r="AN244" i="17"/>
  <c r="AB244" i="17"/>
  <c r="AY244" i="17"/>
  <c r="AM244" i="17"/>
  <c r="AX244" i="17"/>
  <c r="AL244" i="17"/>
  <c r="AW244" i="17"/>
  <c r="AK244" i="17"/>
  <c r="AV244" i="17"/>
  <c r="AJ244" i="17"/>
  <c r="AU244" i="17"/>
  <c r="AI244" i="17"/>
  <c r="AT244" i="17"/>
  <c r="AH244" i="17"/>
  <c r="BD244" i="17"/>
  <c r="AR244" i="17"/>
  <c r="AF244" i="17"/>
  <c r="BC244" i="17"/>
  <c r="AQ244" i="17"/>
  <c r="AE244" i="17"/>
  <c r="BB244" i="17"/>
  <c r="AP244" i="17"/>
  <c r="AD244" i="17"/>
  <c r="BE244" i="17"/>
  <c r="AS244" i="17"/>
  <c r="AG244" i="17"/>
  <c r="Q229" i="17"/>
  <c r="F229" i="17"/>
  <c r="R229" i="17"/>
  <c r="G229" i="17"/>
  <c r="S229" i="17"/>
  <c r="H229" i="17"/>
  <c r="T229" i="17"/>
  <c r="I229" i="17"/>
  <c r="U229" i="17"/>
  <c r="K229" i="17"/>
  <c r="W229" i="17"/>
  <c r="L229" i="17"/>
  <c r="X229" i="17"/>
  <c r="M229" i="17"/>
  <c r="Y229" i="17"/>
  <c r="N229" i="17"/>
  <c r="Z229" i="17"/>
  <c r="J229" i="17"/>
  <c r="O229" i="17"/>
  <c r="P229" i="17"/>
  <c r="V229" i="17"/>
  <c r="BA229" i="17"/>
  <c r="AO229" i="17"/>
  <c r="AC229" i="17"/>
  <c r="AZ229" i="17"/>
  <c r="AN229" i="17"/>
  <c r="AB229" i="17"/>
  <c r="AY229" i="17"/>
  <c r="AM229" i="17"/>
  <c r="AX229" i="17"/>
  <c r="AL229" i="17"/>
  <c r="AW229" i="17"/>
  <c r="AK229" i="17"/>
  <c r="AV229" i="17"/>
  <c r="AJ229" i="17"/>
  <c r="AU229" i="17"/>
  <c r="AI229" i="17"/>
  <c r="AT229" i="17"/>
  <c r="AH229" i="17"/>
  <c r="BD229" i="17"/>
  <c r="AR229" i="17"/>
  <c r="AF229" i="17"/>
  <c r="BC229" i="17"/>
  <c r="AQ229" i="17"/>
  <c r="AE229" i="17"/>
  <c r="BB229" i="17"/>
  <c r="AP229" i="17"/>
  <c r="AD229" i="17"/>
  <c r="BE229" i="17"/>
  <c r="AS229" i="17"/>
  <c r="AG229" i="17"/>
  <c r="Q217" i="17"/>
  <c r="F217" i="17"/>
  <c r="R217" i="17"/>
  <c r="G217" i="17"/>
  <c r="S217" i="17"/>
  <c r="H217" i="17"/>
  <c r="T217" i="17"/>
  <c r="I217" i="17"/>
  <c r="U217" i="17"/>
  <c r="K217" i="17"/>
  <c r="W217" i="17"/>
  <c r="L217" i="17"/>
  <c r="X217" i="17"/>
  <c r="M217" i="17"/>
  <c r="Y217" i="17"/>
  <c r="N217" i="17"/>
  <c r="Z217" i="17"/>
  <c r="DU217" i="17" s="1"/>
  <c r="Z234" i="17" s="1"/>
  <c r="Z235" i="17" s="1"/>
  <c r="J27" i="16" s="1"/>
  <c r="V217" i="17"/>
  <c r="P217" i="17"/>
  <c r="J217" i="17"/>
  <c r="O217" i="17"/>
  <c r="BA217" i="17"/>
  <c r="AO217" i="17"/>
  <c r="AC217" i="17"/>
  <c r="AZ217" i="17"/>
  <c r="AN217" i="17"/>
  <c r="AB217" i="17"/>
  <c r="AY217" i="17"/>
  <c r="AM217" i="17"/>
  <c r="AX217" i="17"/>
  <c r="AL217" i="17"/>
  <c r="AW217" i="17"/>
  <c r="AK217" i="17"/>
  <c r="AV217" i="17"/>
  <c r="AJ217" i="17"/>
  <c r="AU217" i="17"/>
  <c r="AI217" i="17"/>
  <c r="AT217" i="17"/>
  <c r="AH217" i="17"/>
  <c r="BD217" i="17"/>
  <c r="AR217" i="17"/>
  <c r="AF217" i="17"/>
  <c r="BC217" i="17"/>
  <c r="AQ217" i="17"/>
  <c r="AE217" i="17"/>
  <c r="BB217" i="17"/>
  <c r="AP217" i="17"/>
  <c r="AD217" i="17"/>
  <c r="BE217" i="17"/>
  <c r="AS217" i="17"/>
  <c r="AG217" i="17"/>
  <c r="Q205" i="17"/>
  <c r="F205" i="17"/>
  <c r="DA205" i="17" s="1"/>
  <c r="R205" i="17"/>
  <c r="G205" i="17"/>
  <c r="S205" i="17"/>
  <c r="H205" i="17"/>
  <c r="T205" i="17"/>
  <c r="I205" i="17"/>
  <c r="U205" i="17"/>
  <c r="J205" i="17"/>
  <c r="V205" i="17"/>
  <c r="K205" i="17"/>
  <c r="W205" i="17"/>
  <c r="L205" i="17"/>
  <c r="X205" i="17"/>
  <c r="M205" i="17"/>
  <c r="Y205" i="17"/>
  <c r="N205" i="17"/>
  <c r="Z205" i="17"/>
  <c r="O205" i="17"/>
  <c r="P205" i="17"/>
  <c r="BA205" i="17"/>
  <c r="AO205" i="17"/>
  <c r="AC205" i="17"/>
  <c r="AZ205" i="17"/>
  <c r="AN205" i="17"/>
  <c r="AB205" i="17"/>
  <c r="AY205" i="17"/>
  <c r="AM205" i="17"/>
  <c r="AX205" i="17"/>
  <c r="AL205" i="17"/>
  <c r="AW205" i="17"/>
  <c r="AK205" i="17"/>
  <c r="AV205" i="17"/>
  <c r="AJ205" i="17"/>
  <c r="AU205" i="17"/>
  <c r="AI205" i="17"/>
  <c r="AT205" i="17"/>
  <c r="AH205" i="17"/>
  <c r="BB205" i="17"/>
  <c r="AP205" i="17"/>
  <c r="AD205" i="17"/>
  <c r="BE205" i="17"/>
  <c r="BD205" i="17"/>
  <c r="BC205" i="17"/>
  <c r="AS205" i="17"/>
  <c r="AR205" i="17"/>
  <c r="AQ205" i="17"/>
  <c r="AG205" i="17"/>
  <c r="AE205" i="17"/>
  <c r="AF205" i="17"/>
  <c r="Q186" i="17"/>
  <c r="F186" i="17"/>
  <c r="R186" i="17"/>
  <c r="G186" i="17"/>
  <c r="S186" i="17"/>
  <c r="H186" i="17"/>
  <c r="T186" i="17"/>
  <c r="I186" i="17"/>
  <c r="U186" i="17"/>
  <c r="J186" i="17"/>
  <c r="V186" i="17"/>
  <c r="K186" i="17"/>
  <c r="W186" i="17"/>
  <c r="L186" i="17"/>
  <c r="X186" i="17"/>
  <c r="M186" i="17"/>
  <c r="Y186" i="17"/>
  <c r="N186" i="17"/>
  <c r="Z186" i="17"/>
  <c r="P186" i="17"/>
  <c r="O186" i="17"/>
  <c r="BA186" i="17"/>
  <c r="AO186" i="17"/>
  <c r="AC186" i="17"/>
  <c r="AZ186" i="17"/>
  <c r="AN186" i="17"/>
  <c r="AB186" i="17"/>
  <c r="AY186" i="17"/>
  <c r="AM186" i="17"/>
  <c r="AX186" i="17"/>
  <c r="AL186" i="17"/>
  <c r="AW186" i="17"/>
  <c r="AK186" i="17"/>
  <c r="AV186" i="17"/>
  <c r="AJ186" i="17"/>
  <c r="AU186" i="17"/>
  <c r="AI186" i="17"/>
  <c r="AT186" i="17"/>
  <c r="AH186" i="17"/>
  <c r="BB186" i="17"/>
  <c r="AP186" i="17"/>
  <c r="AD186" i="17"/>
  <c r="BD186" i="17"/>
  <c r="BC186" i="17"/>
  <c r="AS186" i="17"/>
  <c r="AR186" i="17"/>
  <c r="AQ186" i="17"/>
  <c r="AG186" i="17"/>
  <c r="AF186" i="17"/>
  <c r="AE186" i="17"/>
  <c r="BE186" i="17"/>
  <c r="I170" i="17"/>
  <c r="U170" i="17"/>
  <c r="J170" i="17"/>
  <c r="V170" i="17"/>
  <c r="K170" i="17"/>
  <c r="W170" i="17"/>
  <c r="L170" i="17"/>
  <c r="X170" i="17"/>
  <c r="M170" i="17"/>
  <c r="Y170" i="17"/>
  <c r="O170" i="17"/>
  <c r="Q170" i="17"/>
  <c r="H170" i="17"/>
  <c r="T170" i="17"/>
  <c r="F170" i="17"/>
  <c r="G170" i="17"/>
  <c r="N170" i="17"/>
  <c r="P170" i="17"/>
  <c r="R170" i="17"/>
  <c r="Z170" i="17"/>
  <c r="S170" i="17"/>
  <c r="BC170" i="17"/>
  <c r="AQ170" i="17"/>
  <c r="AE170" i="17"/>
  <c r="BB170" i="17"/>
  <c r="AP170" i="17"/>
  <c r="AD170" i="17"/>
  <c r="BA170" i="17"/>
  <c r="AO170" i="17"/>
  <c r="AC170" i="17"/>
  <c r="AZ170" i="17"/>
  <c r="AN170" i="17"/>
  <c r="AB170" i="17"/>
  <c r="AS170" i="17"/>
  <c r="AY170" i="17"/>
  <c r="AM170" i="17"/>
  <c r="AX170" i="17"/>
  <c r="AL170" i="17"/>
  <c r="AW170" i="17"/>
  <c r="AK170" i="17"/>
  <c r="BE170" i="17"/>
  <c r="AV170" i="17"/>
  <c r="AJ170" i="17"/>
  <c r="AU170" i="17"/>
  <c r="AI170" i="17"/>
  <c r="AT170" i="17"/>
  <c r="AH170" i="17"/>
  <c r="AG170" i="17"/>
  <c r="BD170" i="17"/>
  <c r="AR170" i="17"/>
  <c r="AF170" i="17"/>
  <c r="I158" i="17"/>
  <c r="U158" i="17"/>
  <c r="J158" i="17"/>
  <c r="V158" i="17"/>
  <c r="K158" i="17"/>
  <c r="W158" i="17"/>
  <c r="L158" i="17"/>
  <c r="X158" i="17"/>
  <c r="M158" i="17"/>
  <c r="Y158" i="17"/>
  <c r="O158" i="17"/>
  <c r="Q158" i="17"/>
  <c r="H158" i="17"/>
  <c r="T158" i="17"/>
  <c r="P158" i="17"/>
  <c r="R158" i="17"/>
  <c r="S158" i="17"/>
  <c r="Z158" i="17"/>
  <c r="F158" i="17"/>
  <c r="N158" i="17"/>
  <c r="G158" i="17"/>
  <c r="BC158" i="17"/>
  <c r="AQ158" i="17"/>
  <c r="AE158" i="17"/>
  <c r="BB158" i="17"/>
  <c r="AP158" i="17"/>
  <c r="AD158" i="17"/>
  <c r="BA158" i="17"/>
  <c r="AO158" i="17"/>
  <c r="AC158" i="17"/>
  <c r="AG158" i="17"/>
  <c r="AZ158" i="17"/>
  <c r="AN158" i="17"/>
  <c r="AB158" i="17"/>
  <c r="BE158" i="17"/>
  <c r="AY158" i="17"/>
  <c r="AM158" i="17"/>
  <c r="AX158" i="17"/>
  <c r="AL158" i="17"/>
  <c r="AW158" i="17"/>
  <c r="AK158" i="17"/>
  <c r="AV158" i="17"/>
  <c r="AJ158" i="17"/>
  <c r="AU158" i="17"/>
  <c r="AI158" i="17"/>
  <c r="AS158" i="17"/>
  <c r="AT158" i="17"/>
  <c r="AH158" i="17"/>
  <c r="BD158" i="17"/>
  <c r="AR158" i="17"/>
  <c r="AF158" i="17"/>
  <c r="I139" i="17"/>
  <c r="U139" i="17"/>
  <c r="J139" i="17"/>
  <c r="V139" i="17"/>
  <c r="K139" i="17"/>
  <c r="W139" i="17"/>
  <c r="L139" i="17"/>
  <c r="X139" i="17"/>
  <c r="M139" i="17"/>
  <c r="Y139" i="17"/>
  <c r="O139" i="17"/>
  <c r="P139" i="17"/>
  <c r="Q139" i="17"/>
  <c r="H139" i="17"/>
  <c r="T139" i="17"/>
  <c r="DO139" i="17" s="1"/>
  <c r="T234" i="17" s="1"/>
  <c r="T235" i="17" s="1"/>
  <c r="J21" i="16" s="1"/>
  <c r="F139" i="17"/>
  <c r="G139" i="17"/>
  <c r="N139" i="17"/>
  <c r="R139" i="17"/>
  <c r="S139" i="17"/>
  <c r="Z139" i="17"/>
  <c r="BC139" i="17"/>
  <c r="AQ139" i="17"/>
  <c r="AE139" i="17"/>
  <c r="BB139" i="17"/>
  <c r="AP139" i="17"/>
  <c r="AD139" i="17"/>
  <c r="BA139" i="17"/>
  <c r="AO139" i="17"/>
  <c r="AC139" i="17"/>
  <c r="AZ139" i="17"/>
  <c r="AN139" i="17"/>
  <c r="AB139" i="17"/>
  <c r="AS139" i="17"/>
  <c r="AY139" i="17"/>
  <c r="AM139" i="17"/>
  <c r="AG139" i="17"/>
  <c r="AX139" i="17"/>
  <c r="AL139" i="17"/>
  <c r="AW139" i="17"/>
  <c r="AK139" i="17"/>
  <c r="AV139" i="17"/>
  <c r="AJ139" i="17"/>
  <c r="BE139" i="17"/>
  <c r="AU139" i="17"/>
  <c r="AI139" i="17"/>
  <c r="AT139" i="17"/>
  <c r="AH139" i="17"/>
  <c r="BD139" i="17"/>
  <c r="AR139" i="17"/>
  <c r="AF139" i="17"/>
  <c r="I127" i="17"/>
  <c r="U127" i="17"/>
  <c r="J127" i="17"/>
  <c r="V127" i="17"/>
  <c r="K127" i="17"/>
  <c r="W127" i="17"/>
  <c r="L127" i="17"/>
  <c r="X127" i="17"/>
  <c r="M127" i="17"/>
  <c r="Y127" i="17"/>
  <c r="O127" i="17"/>
  <c r="P127" i="17"/>
  <c r="Q127" i="17"/>
  <c r="H127" i="17"/>
  <c r="T127" i="17"/>
  <c r="F127" i="17"/>
  <c r="G127" i="17"/>
  <c r="N127" i="17"/>
  <c r="R127" i="17"/>
  <c r="Z127" i="17"/>
  <c r="S127" i="17"/>
  <c r="BC127" i="17"/>
  <c r="AQ127" i="17"/>
  <c r="AE127" i="17"/>
  <c r="BB127" i="17"/>
  <c r="AP127" i="17"/>
  <c r="AD127" i="17"/>
  <c r="BA127" i="17"/>
  <c r="AO127" i="17"/>
  <c r="AC127" i="17"/>
  <c r="AZ127" i="17"/>
  <c r="AN127" i="17"/>
  <c r="AB127" i="17"/>
  <c r="BE127" i="17"/>
  <c r="AY127" i="17"/>
  <c r="AM127" i="17"/>
  <c r="AX127" i="17"/>
  <c r="AL127" i="17"/>
  <c r="AW127" i="17"/>
  <c r="AK127" i="17"/>
  <c r="AV127" i="17"/>
  <c r="AJ127" i="17"/>
  <c r="AU127" i="17"/>
  <c r="AI127" i="17"/>
  <c r="AG127" i="17"/>
  <c r="AT127" i="17"/>
  <c r="AH127" i="17"/>
  <c r="AS127" i="17"/>
  <c r="BD127" i="17"/>
  <c r="AR127" i="17"/>
  <c r="AF127" i="17"/>
  <c r="I115" i="17"/>
  <c r="U115" i="17"/>
  <c r="J115" i="17"/>
  <c r="V115" i="17"/>
  <c r="K115" i="17"/>
  <c r="W115" i="17"/>
  <c r="L115" i="17"/>
  <c r="X115" i="17"/>
  <c r="M115" i="17"/>
  <c r="Y115" i="17"/>
  <c r="O115" i="17"/>
  <c r="P115" i="17"/>
  <c r="Q115" i="17"/>
  <c r="H115" i="17"/>
  <c r="T115" i="17"/>
  <c r="R115" i="17"/>
  <c r="S115" i="17"/>
  <c r="Z115" i="17"/>
  <c r="F115" i="17"/>
  <c r="N115" i="17"/>
  <c r="G115" i="17"/>
  <c r="DB115" i="17" s="1"/>
  <c r="BC115" i="17"/>
  <c r="AQ115" i="17"/>
  <c r="AE115" i="17"/>
  <c r="BB115" i="17"/>
  <c r="AP115" i="17"/>
  <c r="AD115" i="17"/>
  <c r="BA115" i="17"/>
  <c r="AO115" i="17"/>
  <c r="AC115" i="17"/>
  <c r="AZ115" i="17"/>
  <c r="AN115" i="17"/>
  <c r="AB115" i="17"/>
  <c r="AY115" i="17"/>
  <c r="AM115" i="17"/>
  <c r="AX115" i="17"/>
  <c r="AL115" i="17"/>
  <c r="AG115" i="17"/>
  <c r="AW115" i="17"/>
  <c r="AK115" i="17"/>
  <c r="AV115" i="17"/>
  <c r="AJ115" i="17"/>
  <c r="AU115" i="17"/>
  <c r="AI115" i="17"/>
  <c r="AS115" i="17"/>
  <c r="AT115" i="17"/>
  <c r="AH115" i="17"/>
  <c r="BE115" i="17"/>
  <c r="BD115" i="17"/>
  <c r="AR115" i="17"/>
  <c r="AF115" i="17"/>
  <c r="I67" i="17"/>
  <c r="U67" i="17"/>
  <c r="J67" i="17"/>
  <c r="V67" i="17"/>
  <c r="K67" i="17"/>
  <c r="W67" i="17"/>
  <c r="L67" i="17"/>
  <c r="X67" i="17"/>
  <c r="M67" i="17"/>
  <c r="Y67" i="17"/>
  <c r="O67" i="17"/>
  <c r="P67" i="17"/>
  <c r="H67" i="17"/>
  <c r="T67" i="17"/>
  <c r="Q67" i="17"/>
  <c r="R67" i="17"/>
  <c r="S67" i="17"/>
  <c r="Z67" i="17"/>
  <c r="N67" i="17"/>
  <c r="F67" i="17"/>
  <c r="G67" i="17"/>
  <c r="I12" i="17"/>
  <c r="U12" i="17"/>
  <c r="J12" i="17"/>
  <c r="DE12" i="17" s="1"/>
  <c r="J234" i="17" s="1"/>
  <c r="J235" i="17" s="1"/>
  <c r="J11" i="16" s="1"/>
  <c r="V12" i="17"/>
  <c r="K12" i="17"/>
  <c r="W12" i="17"/>
  <c r="L12" i="17"/>
  <c r="X12" i="17"/>
  <c r="M12" i="17"/>
  <c r="Y12" i="17"/>
  <c r="N12" i="17"/>
  <c r="Z12" i="17"/>
  <c r="O12" i="17"/>
  <c r="P12" i="17"/>
  <c r="H12" i="17"/>
  <c r="T12" i="17"/>
  <c r="S12" i="17"/>
  <c r="F12" i="17"/>
  <c r="R12" i="17"/>
  <c r="G12" i="17"/>
  <c r="Q12" i="17"/>
  <c r="K172" i="17"/>
  <c r="W172" i="17"/>
  <c r="L172" i="17"/>
  <c r="X172" i="17"/>
  <c r="M172" i="17"/>
  <c r="Y172" i="17"/>
  <c r="N172" i="17"/>
  <c r="Z172" i="17"/>
  <c r="O172" i="17"/>
  <c r="Q172" i="17"/>
  <c r="G172" i="17"/>
  <c r="S172" i="17"/>
  <c r="J172" i="17"/>
  <c r="V172" i="17"/>
  <c r="F172" i="17"/>
  <c r="DV172" i="17" s="1"/>
  <c r="F281" i="17" s="1"/>
  <c r="F282" i="17" s="1"/>
  <c r="J28" i="16" s="1"/>
  <c r="H172" i="17"/>
  <c r="I172" i="17"/>
  <c r="P172" i="17"/>
  <c r="R172" i="17"/>
  <c r="T172" i="17"/>
  <c r="U172" i="17"/>
  <c r="BE172" i="17"/>
  <c r="BC172" i="17"/>
  <c r="AW172" i="17"/>
  <c r="AK172" i="17"/>
  <c r="AV172" i="17"/>
  <c r="AJ172" i="17"/>
  <c r="AU172" i="17"/>
  <c r="AI172" i="17"/>
  <c r="AT172" i="17"/>
  <c r="AH172" i="17"/>
  <c r="AS172" i="17"/>
  <c r="AG172" i="17"/>
  <c r="AY172" i="17"/>
  <c r="AR172" i="17"/>
  <c r="AF172" i="17"/>
  <c r="BD172" i="17"/>
  <c r="AQ172" i="17"/>
  <c r="AE172" i="17"/>
  <c r="BB172" i="17"/>
  <c r="AP172" i="17"/>
  <c r="AD172" i="17"/>
  <c r="BA172" i="17"/>
  <c r="AO172" i="17"/>
  <c r="AC172" i="17"/>
  <c r="AM172" i="17"/>
  <c r="AZ172" i="17"/>
  <c r="AN172" i="17"/>
  <c r="AB172" i="17"/>
  <c r="AX172" i="17"/>
  <c r="AL172" i="17"/>
  <c r="K160" i="17"/>
  <c r="W160" i="17"/>
  <c r="L160" i="17"/>
  <c r="X160" i="17"/>
  <c r="M160" i="17"/>
  <c r="Y160" i="17"/>
  <c r="N160" i="17"/>
  <c r="Z160" i="17"/>
  <c r="O160" i="17"/>
  <c r="Q160" i="17"/>
  <c r="G160" i="17"/>
  <c r="S160" i="17"/>
  <c r="J160" i="17"/>
  <c r="V160" i="17"/>
  <c r="F160" i="17"/>
  <c r="H160" i="17"/>
  <c r="I160" i="17"/>
  <c r="P160" i="17"/>
  <c r="R160" i="17"/>
  <c r="T160" i="17"/>
  <c r="U160" i="17"/>
  <c r="AW160" i="17"/>
  <c r="AK160" i="17"/>
  <c r="AV160" i="17"/>
  <c r="AJ160" i="17"/>
  <c r="AU160" i="17"/>
  <c r="AI160" i="17"/>
  <c r="AT160" i="17"/>
  <c r="AH160" i="17"/>
  <c r="BE160" i="17"/>
  <c r="AS160" i="17"/>
  <c r="AG160" i="17"/>
  <c r="BD160" i="17"/>
  <c r="AR160" i="17"/>
  <c r="AF160" i="17"/>
  <c r="BC160" i="17"/>
  <c r="AQ160" i="17"/>
  <c r="AE160" i="17"/>
  <c r="BB160" i="17"/>
  <c r="AP160" i="17"/>
  <c r="AD160" i="17"/>
  <c r="AY160" i="17"/>
  <c r="BA160" i="17"/>
  <c r="AO160" i="17"/>
  <c r="AC160" i="17"/>
  <c r="AZ160" i="17"/>
  <c r="AN160" i="17"/>
  <c r="AB160" i="17"/>
  <c r="AM160" i="17"/>
  <c r="AX160" i="17"/>
  <c r="AL160" i="17"/>
  <c r="K141" i="17"/>
  <c r="W141" i="17"/>
  <c r="L141" i="17"/>
  <c r="X141" i="17"/>
  <c r="M141" i="17"/>
  <c r="Y141" i="17"/>
  <c r="N141" i="17"/>
  <c r="DI141" i="17" s="1"/>
  <c r="N234" i="17" s="1"/>
  <c r="N235" i="17" s="1"/>
  <c r="J15" i="16" s="1"/>
  <c r="Z141" i="17"/>
  <c r="O141" i="17"/>
  <c r="Q141" i="17"/>
  <c r="F141" i="17"/>
  <c r="G141" i="17"/>
  <c r="S141" i="17"/>
  <c r="J141" i="17"/>
  <c r="V141" i="17"/>
  <c r="R141" i="17"/>
  <c r="T141" i="17"/>
  <c r="U141" i="17"/>
  <c r="H141" i="17"/>
  <c r="P141" i="17"/>
  <c r="I141" i="17"/>
  <c r="AW141" i="17"/>
  <c r="AK141" i="17"/>
  <c r="AV141" i="17"/>
  <c r="AJ141" i="17"/>
  <c r="AU141" i="17"/>
  <c r="AI141" i="17"/>
  <c r="AT141" i="17"/>
  <c r="AH141" i="17"/>
  <c r="BE141" i="17"/>
  <c r="AS141" i="17"/>
  <c r="AG141" i="17"/>
  <c r="BD141" i="17"/>
  <c r="AR141" i="17"/>
  <c r="AF141" i="17"/>
  <c r="BC141" i="17"/>
  <c r="AQ141" i="17"/>
  <c r="AE141" i="17"/>
  <c r="AY141" i="17"/>
  <c r="BB141" i="17"/>
  <c r="AP141" i="17"/>
  <c r="AD141" i="17"/>
  <c r="BA141" i="17"/>
  <c r="AO141" i="17"/>
  <c r="AC141" i="17"/>
  <c r="AZ141" i="17"/>
  <c r="AN141" i="17"/>
  <c r="AB141" i="17"/>
  <c r="AM141" i="17"/>
  <c r="AX141" i="17"/>
  <c r="AL141" i="17"/>
  <c r="K129" i="17"/>
  <c r="W129" i="17"/>
  <c r="L129" i="17"/>
  <c r="X129" i="17"/>
  <c r="M129" i="17"/>
  <c r="Y129" i="17"/>
  <c r="N129" i="17"/>
  <c r="Z129" i="17"/>
  <c r="O129" i="17"/>
  <c r="Q129" i="17"/>
  <c r="F129" i="17"/>
  <c r="R129" i="17"/>
  <c r="G129" i="17"/>
  <c r="S129" i="17"/>
  <c r="J129" i="17"/>
  <c r="V129" i="17"/>
  <c r="H129" i="17"/>
  <c r="I129" i="17"/>
  <c r="P129" i="17"/>
  <c r="T129" i="17"/>
  <c r="U129" i="17"/>
  <c r="AW129" i="17"/>
  <c r="AK129" i="17"/>
  <c r="AV129" i="17"/>
  <c r="AJ129" i="17"/>
  <c r="AU129" i="17"/>
  <c r="AI129" i="17"/>
  <c r="AT129" i="17"/>
  <c r="AH129" i="17"/>
  <c r="BE129" i="17"/>
  <c r="AS129" i="17"/>
  <c r="AG129" i="17"/>
  <c r="AM129" i="17"/>
  <c r="BD129" i="17"/>
  <c r="AR129" i="17"/>
  <c r="AF129" i="17"/>
  <c r="BC129" i="17"/>
  <c r="AQ129" i="17"/>
  <c r="AE129" i="17"/>
  <c r="BB129" i="17"/>
  <c r="AP129" i="17"/>
  <c r="AD129" i="17"/>
  <c r="AY129" i="17"/>
  <c r="BA129" i="17"/>
  <c r="AO129" i="17"/>
  <c r="AC129" i="17"/>
  <c r="AZ129" i="17"/>
  <c r="AN129" i="17"/>
  <c r="AB129" i="17"/>
  <c r="AX129" i="17"/>
  <c r="AL129" i="17"/>
  <c r="K117" i="17"/>
  <c r="W117" i="17"/>
  <c r="L117" i="17"/>
  <c r="X117" i="17"/>
  <c r="M117" i="17"/>
  <c r="Y117" i="17"/>
  <c r="N117" i="17"/>
  <c r="Z117" i="17"/>
  <c r="O117" i="17"/>
  <c r="Q117" i="17"/>
  <c r="F117" i="17"/>
  <c r="DA117" i="17" s="1"/>
  <c r="R117" i="17"/>
  <c r="G117" i="17"/>
  <c r="S117" i="17"/>
  <c r="J117" i="17"/>
  <c r="V117" i="17"/>
  <c r="H117" i="17"/>
  <c r="I117" i="17"/>
  <c r="P117" i="17"/>
  <c r="T117" i="17"/>
  <c r="U117" i="17"/>
  <c r="AW117" i="17"/>
  <c r="AK117" i="17"/>
  <c r="AV117" i="17"/>
  <c r="AJ117" i="17"/>
  <c r="AU117" i="17"/>
  <c r="AI117" i="17"/>
  <c r="AT117" i="17"/>
  <c r="AH117" i="17"/>
  <c r="AM117" i="17"/>
  <c r="BE117" i="17"/>
  <c r="AS117" i="17"/>
  <c r="AG117" i="17"/>
  <c r="AY117" i="17"/>
  <c r="BD117" i="17"/>
  <c r="AR117" i="17"/>
  <c r="AF117" i="17"/>
  <c r="BC117" i="17"/>
  <c r="AQ117" i="17"/>
  <c r="AE117" i="17"/>
  <c r="BB117" i="17"/>
  <c r="AP117" i="17"/>
  <c r="AD117" i="17"/>
  <c r="BA117" i="17"/>
  <c r="AO117" i="17"/>
  <c r="AC117" i="17"/>
  <c r="AZ117" i="17"/>
  <c r="AN117" i="17"/>
  <c r="AB117" i="17"/>
  <c r="AX117" i="17"/>
  <c r="AL117" i="17"/>
  <c r="G89" i="17"/>
  <c r="S89" i="17"/>
  <c r="H89" i="17"/>
  <c r="T89" i="17"/>
  <c r="I89" i="17"/>
  <c r="U89" i="17"/>
  <c r="J89" i="17"/>
  <c r="V89" i="17"/>
  <c r="K89" i="17"/>
  <c r="W89" i="17"/>
  <c r="M89" i="17"/>
  <c r="Y89" i="17"/>
  <c r="N89" i="17"/>
  <c r="Z89" i="17"/>
  <c r="F89" i="17"/>
  <c r="R89" i="17"/>
  <c r="L89" i="17"/>
  <c r="O89" i="17"/>
  <c r="X89" i="17"/>
  <c r="P89" i="17"/>
  <c r="Q89" i="17"/>
  <c r="G46" i="17"/>
  <c r="S46" i="17"/>
  <c r="H46" i="17"/>
  <c r="T46" i="17"/>
  <c r="I46" i="17"/>
  <c r="U46" i="17"/>
  <c r="J46" i="17"/>
  <c r="V46" i="17"/>
  <c r="K46" i="17"/>
  <c r="W46" i="17"/>
  <c r="L46" i="17"/>
  <c r="X46" i="17"/>
  <c r="M46" i="17"/>
  <c r="Y46" i="17"/>
  <c r="N46" i="17"/>
  <c r="Z46" i="17"/>
  <c r="F46" i="17"/>
  <c r="R46" i="17"/>
  <c r="O46" i="17"/>
  <c r="P46" i="17"/>
  <c r="Q46" i="17"/>
  <c r="M174" i="17"/>
  <c r="Y174" i="17"/>
  <c r="N174" i="17"/>
  <c r="Z174" i="17"/>
  <c r="P174" i="17"/>
  <c r="Q174" i="17"/>
  <c r="G174" i="17"/>
  <c r="S174" i="17"/>
  <c r="I174" i="17"/>
  <c r="DY174" i="17" s="1"/>
  <c r="I281" i="17" s="1"/>
  <c r="I282" i="17" s="1"/>
  <c r="J31" i="16" s="1"/>
  <c r="U174" i="17"/>
  <c r="L174" i="17"/>
  <c r="X174" i="17"/>
  <c r="R174" i="17"/>
  <c r="T174" i="17"/>
  <c r="V174" i="17"/>
  <c r="W174" i="17"/>
  <c r="F174" i="17"/>
  <c r="H174" i="17"/>
  <c r="J174" i="17"/>
  <c r="O174" i="17"/>
  <c r="K174" i="17"/>
  <c r="BA174" i="17"/>
  <c r="AO174" i="17"/>
  <c r="AC174" i="17"/>
  <c r="AZ174" i="17"/>
  <c r="AN174" i="17"/>
  <c r="AB174" i="17"/>
  <c r="AY174" i="17"/>
  <c r="AM174" i="17"/>
  <c r="AX174" i="17"/>
  <c r="AL174" i="17"/>
  <c r="AW174" i="17"/>
  <c r="AK174" i="17"/>
  <c r="BE174" i="17"/>
  <c r="AI174" i="17"/>
  <c r="BD174" i="17"/>
  <c r="AH174" i="17"/>
  <c r="BC174" i="17"/>
  <c r="AG174" i="17"/>
  <c r="BB174" i="17"/>
  <c r="AF174" i="17"/>
  <c r="AV174" i="17"/>
  <c r="AE174" i="17"/>
  <c r="AU174" i="17"/>
  <c r="AD174" i="17"/>
  <c r="AT174" i="17"/>
  <c r="AS174" i="17"/>
  <c r="AR174" i="17"/>
  <c r="AQ174" i="17"/>
  <c r="AP174" i="17"/>
  <c r="AJ174" i="17"/>
  <c r="M162" i="17"/>
  <c r="Y162" i="17"/>
  <c r="N162" i="17"/>
  <c r="Z162" i="17"/>
  <c r="O162" i="17"/>
  <c r="P162" i="17"/>
  <c r="Q162" i="17"/>
  <c r="G162" i="17"/>
  <c r="S162" i="17"/>
  <c r="I162" i="17"/>
  <c r="U162" i="17"/>
  <c r="L162" i="17"/>
  <c r="X162" i="17"/>
  <c r="H162" i="17"/>
  <c r="J162" i="17"/>
  <c r="K162" i="17"/>
  <c r="R162" i="17"/>
  <c r="T162" i="17"/>
  <c r="V162" i="17"/>
  <c r="W162" i="17"/>
  <c r="F162" i="17"/>
  <c r="BC162" i="17"/>
  <c r="AQ162" i="17"/>
  <c r="AE162" i="17"/>
  <c r="BB162" i="17"/>
  <c r="AP162" i="17"/>
  <c r="AD162" i="17"/>
  <c r="BA162" i="17"/>
  <c r="AO162" i="17"/>
  <c r="AC162" i="17"/>
  <c r="AZ162" i="17"/>
  <c r="AN162" i="17"/>
  <c r="AB162" i="17"/>
  <c r="AY162" i="17"/>
  <c r="AM162" i="17"/>
  <c r="AX162" i="17"/>
  <c r="AL162" i="17"/>
  <c r="AS162" i="17"/>
  <c r="AW162" i="17"/>
  <c r="AK162" i="17"/>
  <c r="AG162" i="17"/>
  <c r="AV162" i="17"/>
  <c r="AJ162" i="17"/>
  <c r="AU162" i="17"/>
  <c r="AI162" i="17"/>
  <c r="BE162" i="17"/>
  <c r="AT162" i="17"/>
  <c r="AH162" i="17"/>
  <c r="BD162" i="17"/>
  <c r="AR162" i="17"/>
  <c r="AF162" i="17"/>
  <c r="M150" i="17"/>
  <c r="Y150" i="17"/>
  <c r="N150" i="17"/>
  <c r="Z150" i="17"/>
  <c r="O150" i="17"/>
  <c r="P150" i="17"/>
  <c r="Q150" i="17"/>
  <c r="G150" i="17"/>
  <c r="S150" i="17"/>
  <c r="I150" i="17"/>
  <c r="U150" i="17"/>
  <c r="L150" i="17"/>
  <c r="X150" i="17"/>
  <c r="F150" i="17"/>
  <c r="H150" i="17"/>
  <c r="J150" i="17"/>
  <c r="DZ150" i="17" s="1"/>
  <c r="J281" i="17" s="1"/>
  <c r="J282" i="17" s="1"/>
  <c r="J32" i="16" s="1"/>
  <c r="K150" i="17"/>
  <c r="R150" i="17"/>
  <c r="T150" i="17"/>
  <c r="V150" i="17"/>
  <c r="W150" i="17"/>
  <c r="BC150" i="17"/>
  <c r="AQ150" i="17"/>
  <c r="AE150" i="17"/>
  <c r="BB150" i="17"/>
  <c r="AP150" i="17"/>
  <c r="AD150" i="17"/>
  <c r="BA150" i="17"/>
  <c r="AO150" i="17"/>
  <c r="AC150" i="17"/>
  <c r="AZ150" i="17"/>
  <c r="AN150" i="17"/>
  <c r="AB150" i="17"/>
  <c r="AY150" i="17"/>
  <c r="AM150" i="17"/>
  <c r="AS150" i="17"/>
  <c r="AX150" i="17"/>
  <c r="AL150" i="17"/>
  <c r="AW150" i="17"/>
  <c r="AK150" i="17"/>
  <c r="AV150" i="17"/>
  <c r="AJ150" i="17"/>
  <c r="BE150" i="17"/>
  <c r="AU150" i="17"/>
  <c r="AI150" i="17"/>
  <c r="AG150" i="17"/>
  <c r="AT150" i="17"/>
  <c r="AH150" i="17"/>
  <c r="BD150" i="17"/>
  <c r="AR150" i="17"/>
  <c r="AF150" i="17"/>
  <c r="M131" i="17"/>
  <c r="Y131" i="17"/>
  <c r="N131" i="17"/>
  <c r="Z131" i="17"/>
  <c r="O131" i="17"/>
  <c r="P131" i="17"/>
  <c r="Q131" i="17"/>
  <c r="G131" i="17"/>
  <c r="DB131" i="17" s="1"/>
  <c r="S131" i="17"/>
  <c r="H131" i="17"/>
  <c r="T131" i="17"/>
  <c r="I131" i="17"/>
  <c r="U131" i="17"/>
  <c r="L131" i="17"/>
  <c r="X131" i="17"/>
  <c r="F131" i="17"/>
  <c r="J131" i="17"/>
  <c r="K131" i="17"/>
  <c r="R131" i="17"/>
  <c r="V131" i="17"/>
  <c r="W131" i="17"/>
  <c r="BC131" i="17"/>
  <c r="AQ131" i="17"/>
  <c r="AE131" i="17"/>
  <c r="BB131" i="17"/>
  <c r="AP131" i="17"/>
  <c r="AD131" i="17"/>
  <c r="BA131" i="17"/>
  <c r="AO131" i="17"/>
  <c r="AC131" i="17"/>
  <c r="AZ131" i="17"/>
  <c r="AN131" i="17"/>
  <c r="AB131" i="17"/>
  <c r="AY131" i="17"/>
  <c r="AM131" i="17"/>
  <c r="AX131" i="17"/>
  <c r="AL131" i="17"/>
  <c r="AW131" i="17"/>
  <c r="AK131" i="17"/>
  <c r="AG131" i="17"/>
  <c r="AV131" i="17"/>
  <c r="AJ131" i="17"/>
  <c r="AU131" i="17"/>
  <c r="AI131" i="17"/>
  <c r="BE131" i="17"/>
  <c r="AT131" i="17"/>
  <c r="AH131" i="17"/>
  <c r="AS131" i="17"/>
  <c r="BD131" i="17"/>
  <c r="AR131" i="17"/>
  <c r="AF131" i="17"/>
  <c r="M119" i="17"/>
  <c r="Y119" i="17"/>
  <c r="N119" i="17"/>
  <c r="Z119" i="17"/>
  <c r="O119" i="17"/>
  <c r="P119" i="17"/>
  <c r="DK119" i="17" s="1"/>
  <c r="Q119" i="17"/>
  <c r="G119" i="17"/>
  <c r="S119" i="17"/>
  <c r="H119" i="17"/>
  <c r="T119" i="17"/>
  <c r="I119" i="17"/>
  <c r="U119" i="17"/>
  <c r="L119" i="17"/>
  <c r="X119" i="17"/>
  <c r="V119" i="17"/>
  <c r="W119" i="17"/>
  <c r="F119" i="17"/>
  <c r="J119" i="17"/>
  <c r="R119" i="17"/>
  <c r="K119" i="17"/>
  <c r="BC119" i="17"/>
  <c r="AQ119" i="17"/>
  <c r="AE119" i="17"/>
  <c r="BB119" i="17"/>
  <c r="AP119" i="17"/>
  <c r="AD119" i="17"/>
  <c r="BA119" i="17"/>
  <c r="AO119" i="17"/>
  <c r="AC119" i="17"/>
  <c r="AZ119" i="17"/>
  <c r="AN119" i="17"/>
  <c r="AB119" i="17"/>
  <c r="AY119" i="17"/>
  <c r="AM119" i="17"/>
  <c r="AX119" i="17"/>
  <c r="AL119" i="17"/>
  <c r="AG119" i="17"/>
  <c r="AW119" i="17"/>
  <c r="AK119" i="17"/>
  <c r="AS119" i="17"/>
  <c r="AV119" i="17"/>
  <c r="AJ119" i="17"/>
  <c r="BE119" i="17"/>
  <c r="AU119" i="17"/>
  <c r="AI119" i="17"/>
  <c r="AT119" i="17"/>
  <c r="AH119" i="17"/>
  <c r="BD119" i="17"/>
  <c r="AR119" i="17"/>
  <c r="AF119" i="17"/>
  <c r="M107" i="17"/>
  <c r="Y107" i="17"/>
  <c r="N107" i="17"/>
  <c r="Z107" i="17"/>
  <c r="O107" i="17"/>
  <c r="P107" i="17"/>
  <c r="Q107" i="17"/>
  <c r="G107" i="17"/>
  <c r="S107" i="17"/>
  <c r="H107" i="17"/>
  <c r="T107" i="17"/>
  <c r="I107" i="17"/>
  <c r="U107" i="17"/>
  <c r="L107" i="17"/>
  <c r="X107" i="17"/>
  <c r="J107" i="17"/>
  <c r="K107" i="17"/>
  <c r="R107" i="17"/>
  <c r="V107" i="17"/>
  <c r="W107" i="17"/>
  <c r="F107" i="17"/>
  <c r="BC107" i="17"/>
  <c r="AQ107" i="17"/>
  <c r="AE107" i="17"/>
  <c r="BB107" i="17"/>
  <c r="AP107" i="17"/>
  <c r="AD107" i="17"/>
  <c r="BA107" i="17"/>
  <c r="AO107" i="17"/>
  <c r="AC107" i="17"/>
  <c r="AZ107" i="17"/>
  <c r="AN107" i="17"/>
  <c r="AB107" i="17"/>
  <c r="BE107" i="17"/>
  <c r="AY107" i="17"/>
  <c r="AM107" i="17"/>
  <c r="AX107" i="17"/>
  <c r="AL107" i="17"/>
  <c r="AW107" i="17"/>
  <c r="AK107" i="17"/>
  <c r="AV107" i="17"/>
  <c r="AJ107" i="17"/>
  <c r="AG107" i="17"/>
  <c r="AU107" i="17"/>
  <c r="AI107" i="17"/>
  <c r="AS107" i="17"/>
  <c r="AT107" i="17"/>
  <c r="AH107" i="17"/>
  <c r="BD107" i="17"/>
  <c r="AR107" i="17"/>
  <c r="AF107" i="17"/>
  <c r="I79" i="17"/>
  <c r="U79" i="17"/>
  <c r="J79" i="17"/>
  <c r="V79" i="17"/>
  <c r="K79" i="17"/>
  <c r="W79" i="17"/>
  <c r="L79" i="17"/>
  <c r="X79" i="17"/>
  <c r="M79" i="17"/>
  <c r="Y79" i="17"/>
  <c r="O79" i="17"/>
  <c r="P79" i="17"/>
  <c r="H79" i="17"/>
  <c r="T79" i="17"/>
  <c r="F79" i="17"/>
  <c r="G79" i="17"/>
  <c r="N79" i="17"/>
  <c r="Q79" i="17"/>
  <c r="Z79" i="17"/>
  <c r="R79" i="17"/>
  <c r="S79" i="17"/>
  <c r="I24" i="17"/>
  <c r="U24" i="17"/>
  <c r="J24" i="17"/>
  <c r="V24" i="17"/>
  <c r="K24" i="17"/>
  <c r="W24" i="17"/>
  <c r="L24" i="17"/>
  <c r="X24" i="17"/>
  <c r="M24" i="17"/>
  <c r="Y24" i="17"/>
  <c r="N24" i="17"/>
  <c r="Z24" i="17"/>
  <c r="O24" i="17"/>
  <c r="P24" i="17"/>
  <c r="H24" i="17"/>
  <c r="T24" i="17"/>
  <c r="F24" i="17"/>
  <c r="G24" i="17"/>
  <c r="Q24" i="17"/>
  <c r="R24" i="17"/>
  <c r="S24" i="17"/>
  <c r="G65" i="17"/>
  <c r="S65" i="17"/>
  <c r="H65" i="17"/>
  <c r="T65" i="17"/>
  <c r="I65" i="17"/>
  <c r="U65" i="17"/>
  <c r="J65" i="17"/>
  <c r="V65" i="17"/>
  <c r="K65" i="17"/>
  <c r="W65" i="17"/>
  <c r="L65" i="17"/>
  <c r="M65" i="17"/>
  <c r="Y65" i="17"/>
  <c r="N65" i="17"/>
  <c r="Z65" i="17"/>
  <c r="F65" i="17"/>
  <c r="R65" i="17"/>
  <c r="O65" i="17"/>
  <c r="P65" i="17"/>
  <c r="Q65" i="17"/>
  <c r="X65" i="17"/>
  <c r="G10" i="17"/>
  <c r="S10" i="17"/>
  <c r="H10" i="17"/>
  <c r="T10" i="17"/>
  <c r="I10" i="17"/>
  <c r="U10" i="17"/>
  <c r="J10" i="17"/>
  <c r="V10" i="17"/>
  <c r="K10" i="17"/>
  <c r="DF10" i="17" s="1"/>
  <c r="K234" i="17" s="1"/>
  <c r="K235" i="17" s="1"/>
  <c r="J12" i="16" s="1"/>
  <c r="W10" i="17"/>
  <c r="L10" i="17"/>
  <c r="X10" i="17"/>
  <c r="M10" i="17"/>
  <c r="Y10" i="17"/>
  <c r="N10" i="17"/>
  <c r="Z10" i="17"/>
  <c r="F10" i="17"/>
  <c r="R10" i="17"/>
  <c r="O10" i="17"/>
  <c r="P10" i="17"/>
  <c r="Q10" i="17"/>
  <c r="O164" i="17"/>
  <c r="P164" i="17"/>
  <c r="Q164" i="17"/>
  <c r="F164" i="17"/>
  <c r="R164" i="17"/>
  <c r="G164" i="17"/>
  <c r="S164" i="17"/>
  <c r="I164" i="17"/>
  <c r="U164" i="17"/>
  <c r="K164" i="17"/>
  <c r="W164" i="17"/>
  <c r="N164" i="17"/>
  <c r="Z164" i="17"/>
  <c r="V164" i="17"/>
  <c r="X164" i="17"/>
  <c r="Y164" i="17"/>
  <c r="H164" i="17"/>
  <c r="J164" i="17"/>
  <c r="L164" i="17"/>
  <c r="T164" i="17"/>
  <c r="M164" i="17"/>
  <c r="AW164" i="17"/>
  <c r="AK164" i="17"/>
  <c r="AV164" i="17"/>
  <c r="AJ164" i="17"/>
  <c r="AY164" i="17"/>
  <c r="AU164" i="17"/>
  <c r="AI164" i="17"/>
  <c r="AT164" i="17"/>
  <c r="AH164" i="17"/>
  <c r="BE164" i="17"/>
  <c r="AS164" i="17"/>
  <c r="AG164" i="17"/>
  <c r="AM164" i="17"/>
  <c r="BD164" i="17"/>
  <c r="AR164" i="17"/>
  <c r="AF164" i="17"/>
  <c r="BC164" i="17"/>
  <c r="AQ164" i="17"/>
  <c r="AE164" i="17"/>
  <c r="BB164" i="17"/>
  <c r="AP164" i="17"/>
  <c r="AD164" i="17"/>
  <c r="BA164" i="17"/>
  <c r="AO164" i="17"/>
  <c r="AC164" i="17"/>
  <c r="AZ164" i="17"/>
  <c r="AN164" i="17"/>
  <c r="AB164" i="17"/>
  <c r="AX164" i="17"/>
  <c r="AL164" i="17"/>
  <c r="O152" i="17"/>
  <c r="P152" i="17"/>
  <c r="Q152" i="17"/>
  <c r="F152" i="17"/>
  <c r="R152" i="17"/>
  <c r="G152" i="17"/>
  <c r="S152" i="17"/>
  <c r="I152" i="17"/>
  <c r="U152" i="17"/>
  <c r="K152" i="17"/>
  <c r="W152" i="17"/>
  <c r="N152" i="17"/>
  <c r="Z152" i="17"/>
  <c r="J152" i="17"/>
  <c r="L152" i="17"/>
  <c r="EB152" i="17" s="1"/>
  <c r="L281" i="17" s="1"/>
  <c r="L282" i="17" s="1"/>
  <c r="J34" i="16" s="1"/>
  <c r="M152" i="17"/>
  <c r="T152" i="17"/>
  <c r="V152" i="17"/>
  <c r="X152" i="17"/>
  <c r="Y152" i="17"/>
  <c r="H152" i="17"/>
  <c r="AW152" i="17"/>
  <c r="AK152" i="17"/>
  <c r="AV152" i="17"/>
  <c r="AJ152" i="17"/>
  <c r="AU152" i="17"/>
  <c r="AI152" i="17"/>
  <c r="AT152" i="17"/>
  <c r="AH152" i="17"/>
  <c r="AY152" i="17"/>
  <c r="BE152" i="17"/>
  <c r="AS152" i="17"/>
  <c r="AG152" i="17"/>
  <c r="BD152" i="17"/>
  <c r="AR152" i="17"/>
  <c r="AF152" i="17"/>
  <c r="BC152" i="17"/>
  <c r="AQ152" i="17"/>
  <c r="AE152" i="17"/>
  <c r="BB152" i="17"/>
  <c r="AP152" i="17"/>
  <c r="AD152" i="17"/>
  <c r="BA152" i="17"/>
  <c r="AO152" i="17"/>
  <c r="AC152" i="17"/>
  <c r="AZ152" i="17"/>
  <c r="AN152" i="17"/>
  <c r="AB152" i="17"/>
  <c r="AM152" i="17"/>
  <c r="AX152" i="17"/>
  <c r="AL152" i="17"/>
  <c r="O133" i="17"/>
  <c r="P133" i="17"/>
  <c r="Q133" i="17"/>
  <c r="F133" i="17"/>
  <c r="DA133" i="17" s="1"/>
  <c r="R133" i="17"/>
  <c r="G133" i="17"/>
  <c r="S133" i="17"/>
  <c r="I133" i="17"/>
  <c r="U133" i="17"/>
  <c r="J133" i="17"/>
  <c r="V133" i="17"/>
  <c r="K133" i="17"/>
  <c r="W133" i="17"/>
  <c r="N133" i="17"/>
  <c r="Z133" i="17"/>
  <c r="L133" i="17"/>
  <c r="M133" i="17"/>
  <c r="T133" i="17"/>
  <c r="X133" i="17"/>
  <c r="Y133" i="17"/>
  <c r="H133" i="17"/>
  <c r="AW133" i="17"/>
  <c r="AK133" i="17"/>
  <c r="AV133" i="17"/>
  <c r="AJ133" i="17"/>
  <c r="AU133" i="17"/>
  <c r="AI133" i="17"/>
  <c r="AT133" i="17"/>
  <c r="AH133" i="17"/>
  <c r="AM133" i="17"/>
  <c r="BE133" i="17"/>
  <c r="AS133" i="17"/>
  <c r="AG133" i="17"/>
  <c r="AY133" i="17"/>
  <c r="BD133" i="17"/>
  <c r="AR133" i="17"/>
  <c r="AF133" i="17"/>
  <c r="BC133" i="17"/>
  <c r="AQ133" i="17"/>
  <c r="AE133" i="17"/>
  <c r="BB133" i="17"/>
  <c r="AP133" i="17"/>
  <c r="AD133" i="17"/>
  <c r="BA133" i="17"/>
  <c r="AO133" i="17"/>
  <c r="AC133" i="17"/>
  <c r="AZ133" i="17"/>
  <c r="AN133" i="17"/>
  <c r="AB133" i="17"/>
  <c r="AX133" i="17"/>
  <c r="AL133" i="17"/>
  <c r="O121" i="17"/>
  <c r="DJ121" i="17" s="1"/>
  <c r="O234" i="17" s="1"/>
  <c r="O235" i="17" s="1"/>
  <c r="J16" i="16" s="1"/>
  <c r="P121" i="17"/>
  <c r="Q121" i="17"/>
  <c r="F121" i="17"/>
  <c r="R121" i="17"/>
  <c r="G121" i="17"/>
  <c r="S121" i="17"/>
  <c r="I121" i="17"/>
  <c r="U121" i="17"/>
  <c r="J121" i="17"/>
  <c r="V121" i="17"/>
  <c r="K121" i="17"/>
  <c r="W121" i="17"/>
  <c r="N121" i="17"/>
  <c r="Z121" i="17"/>
  <c r="H121" i="17"/>
  <c r="L121" i="17"/>
  <c r="M121" i="17"/>
  <c r="T121" i="17"/>
  <c r="X121" i="17"/>
  <c r="Y121" i="17"/>
  <c r="AW121" i="17"/>
  <c r="AK121" i="17"/>
  <c r="AV121" i="17"/>
  <c r="AJ121" i="17"/>
  <c r="AU121" i="17"/>
  <c r="AI121" i="17"/>
  <c r="AT121" i="17"/>
  <c r="AH121" i="17"/>
  <c r="BE121" i="17"/>
  <c r="AS121" i="17"/>
  <c r="AG121" i="17"/>
  <c r="BD121" i="17"/>
  <c r="AR121" i="17"/>
  <c r="AF121" i="17"/>
  <c r="BC121" i="17"/>
  <c r="AQ121" i="17"/>
  <c r="AE121" i="17"/>
  <c r="BB121" i="17"/>
  <c r="AP121" i="17"/>
  <c r="AD121" i="17"/>
  <c r="BA121" i="17"/>
  <c r="AO121" i="17"/>
  <c r="AC121" i="17"/>
  <c r="AM121" i="17"/>
  <c r="AZ121" i="17"/>
  <c r="AN121" i="17"/>
  <c r="AB121" i="17"/>
  <c r="AY121" i="17"/>
  <c r="AX121" i="17"/>
  <c r="AL121" i="17"/>
  <c r="O109" i="17"/>
  <c r="P109" i="17"/>
  <c r="Q109" i="17"/>
  <c r="F109" i="17"/>
  <c r="R109" i="17"/>
  <c r="G109" i="17"/>
  <c r="S109" i="17"/>
  <c r="I109" i="17"/>
  <c r="U109" i="17"/>
  <c r="J109" i="17"/>
  <c r="V109" i="17"/>
  <c r="K109" i="17"/>
  <c r="W109" i="17"/>
  <c r="N109" i="17"/>
  <c r="Z109" i="17"/>
  <c r="H109" i="17"/>
  <c r="L109" i="17"/>
  <c r="M109" i="17"/>
  <c r="T109" i="17"/>
  <c r="X109" i="17"/>
  <c r="Y109" i="17"/>
  <c r="AW109" i="17"/>
  <c r="AK109" i="17"/>
  <c r="AV109" i="17"/>
  <c r="AJ109" i="17"/>
  <c r="AU109" i="17"/>
  <c r="AI109" i="17"/>
  <c r="AT109" i="17"/>
  <c r="AH109" i="17"/>
  <c r="BE109" i="17"/>
  <c r="AS109" i="17"/>
  <c r="AG109" i="17"/>
  <c r="AY109" i="17"/>
  <c r="BD109" i="17"/>
  <c r="AR109" i="17"/>
  <c r="AF109" i="17"/>
  <c r="BC109" i="17"/>
  <c r="AQ109" i="17"/>
  <c r="AE109" i="17"/>
  <c r="BB109" i="17"/>
  <c r="AP109" i="17"/>
  <c r="AD109" i="17"/>
  <c r="BA109" i="17"/>
  <c r="AO109" i="17"/>
  <c r="AC109" i="17"/>
  <c r="AZ109" i="17"/>
  <c r="AN109" i="17"/>
  <c r="AB109" i="17"/>
  <c r="AM109" i="17"/>
  <c r="AX109" i="17"/>
  <c r="AL109" i="17"/>
  <c r="I36" i="17"/>
  <c r="U36" i="17"/>
  <c r="DP36" i="17" s="1"/>
  <c r="J36" i="17"/>
  <c r="V36" i="17"/>
  <c r="K36" i="17"/>
  <c r="W36" i="17"/>
  <c r="L36" i="17"/>
  <c r="X36" i="17"/>
  <c r="M36" i="17"/>
  <c r="Y36" i="17"/>
  <c r="N36" i="17"/>
  <c r="Z36" i="17"/>
  <c r="O36" i="17"/>
  <c r="P36" i="17"/>
  <c r="H36" i="17"/>
  <c r="T36" i="17"/>
  <c r="F36" i="17"/>
  <c r="G36" i="17"/>
  <c r="Q36" i="17"/>
  <c r="R36" i="17"/>
  <c r="S36" i="17"/>
  <c r="F178" i="17"/>
  <c r="H178" i="17"/>
  <c r="I178" i="17"/>
  <c r="K178" i="17"/>
  <c r="M178" i="17"/>
  <c r="U178" i="17"/>
  <c r="V178" i="17"/>
  <c r="G178" i="17"/>
  <c r="W178" i="17"/>
  <c r="J178" i="17"/>
  <c r="X178" i="17"/>
  <c r="L178" i="17"/>
  <c r="Y178" i="17"/>
  <c r="N178" i="17"/>
  <c r="Z178" i="17"/>
  <c r="O178" i="17"/>
  <c r="P178" i="17"/>
  <c r="Q178" i="17"/>
  <c r="R178" i="17"/>
  <c r="T178" i="17"/>
  <c r="S178" i="17"/>
  <c r="BA178" i="17"/>
  <c r="AO178" i="17"/>
  <c r="AC178" i="17"/>
  <c r="AZ178" i="17"/>
  <c r="AN178" i="17"/>
  <c r="AB178" i="17"/>
  <c r="AY178" i="17"/>
  <c r="AM178" i="17"/>
  <c r="AX178" i="17"/>
  <c r="AL178" i="17"/>
  <c r="AW178" i="17"/>
  <c r="AK178" i="17"/>
  <c r="AV178" i="17"/>
  <c r="AU178" i="17"/>
  <c r="AI178" i="17"/>
  <c r="BB178" i="17"/>
  <c r="AP178" i="17"/>
  <c r="AR178" i="17"/>
  <c r="AQ178" i="17"/>
  <c r="AJ178" i="17"/>
  <c r="AH178" i="17"/>
  <c r="AG178" i="17"/>
  <c r="AF178" i="17"/>
  <c r="AE178" i="17"/>
  <c r="BE178" i="17"/>
  <c r="AD178" i="17"/>
  <c r="BD178" i="17"/>
  <c r="AT178" i="17"/>
  <c r="BC178" i="17"/>
  <c r="AS178" i="17"/>
  <c r="Q166" i="17"/>
  <c r="F166" i="17"/>
  <c r="R166" i="17"/>
  <c r="G166" i="17"/>
  <c r="S166" i="17"/>
  <c r="H166" i="17"/>
  <c r="T166" i="17"/>
  <c r="I166" i="17"/>
  <c r="U166" i="17"/>
  <c r="K166" i="17"/>
  <c r="W166" i="17"/>
  <c r="M166" i="17"/>
  <c r="Y166" i="17"/>
  <c r="P166" i="17"/>
  <c r="J166" i="17"/>
  <c r="L166" i="17"/>
  <c r="N166" i="17"/>
  <c r="O166" i="17"/>
  <c r="V166" i="17"/>
  <c r="X166" i="17"/>
  <c r="Z166" i="17"/>
  <c r="BC166" i="17"/>
  <c r="AQ166" i="17"/>
  <c r="AE166" i="17"/>
  <c r="BE166" i="17"/>
  <c r="BB166" i="17"/>
  <c r="AP166" i="17"/>
  <c r="AD166" i="17"/>
  <c r="BA166" i="17"/>
  <c r="AO166" i="17"/>
  <c r="AC166" i="17"/>
  <c r="AZ166" i="17"/>
  <c r="AN166" i="17"/>
  <c r="AB166" i="17"/>
  <c r="AY166" i="17"/>
  <c r="AM166" i="17"/>
  <c r="AX166" i="17"/>
  <c r="AL166" i="17"/>
  <c r="AW166" i="17"/>
  <c r="AK166" i="17"/>
  <c r="AV166" i="17"/>
  <c r="AJ166" i="17"/>
  <c r="AU166" i="17"/>
  <c r="AI166" i="17"/>
  <c r="AT166" i="17"/>
  <c r="AH166" i="17"/>
  <c r="AG166" i="17"/>
  <c r="BD166" i="17"/>
  <c r="AR166" i="17"/>
  <c r="AF166" i="17"/>
  <c r="AS166" i="17"/>
  <c r="Q154" i="17"/>
  <c r="F154" i="17"/>
  <c r="R154" i="17"/>
  <c r="G154" i="17"/>
  <c r="S154" i="17"/>
  <c r="H154" i="17"/>
  <c r="DX154" i="17" s="1"/>
  <c r="H281" i="17" s="1"/>
  <c r="H282" i="17" s="1"/>
  <c r="J30" i="16" s="1"/>
  <c r="T154" i="17"/>
  <c r="I154" i="17"/>
  <c r="U154" i="17"/>
  <c r="K154" i="17"/>
  <c r="W154" i="17"/>
  <c r="M154" i="17"/>
  <c r="Y154" i="17"/>
  <c r="P154" i="17"/>
  <c r="X154" i="17"/>
  <c r="Z154" i="17"/>
  <c r="J154" i="17"/>
  <c r="L154" i="17"/>
  <c r="N154" i="17"/>
  <c r="V154" i="17"/>
  <c r="O154" i="17"/>
  <c r="BC154" i="17"/>
  <c r="AQ154" i="17"/>
  <c r="AE154" i="17"/>
  <c r="BB154" i="17"/>
  <c r="AP154" i="17"/>
  <c r="AD154" i="17"/>
  <c r="BA154" i="17"/>
  <c r="AO154" i="17"/>
  <c r="AC154" i="17"/>
  <c r="AZ154" i="17"/>
  <c r="AN154" i="17"/>
  <c r="AB154" i="17"/>
  <c r="AY154" i="17"/>
  <c r="AM154" i="17"/>
  <c r="AX154" i="17"/>
  <c r="AL154" i="17"/>
  <c r="AW154" i="17"/>
  <c r="AK154" i="17"/>
  <c r="AS154" i="17"/>
  <c r="AV154" i="17"/>
  <c r="AJ154" i="17"/>
  <c r="AU154" i="17"/>
  <c r="AI154" i="17"/>
  <c r="AG154" i="17"/>
  <c r="AT154" i="17"/>
  <c r="AH154" i="17"/>
  <c r="BE154" i="17"/>
  <c r="BD154" i="17"/>
  <c r="AR154" i="17"/>
  <c r="AF154" i="17"/>
  <c r="Q135" i="17"/>
  <c r="F135" i="17"/>
  <c r="R135" i="17"/>
  <c r="G135" i="17"/>
  <c r="S135" i="17"/>
  <c r="H135" i="17"/>
  <c r="T135" i="17"/>
  <c r="I135" i="17"/>
  <c r="U135" i="17"/>
  <c r="K135" i="17"/>
  <c r="W135" i="17"/>
  <c r="L135" i="17"/>
  <c r="DG135" i="17" s="1"/>
  <c r="L234" i="17" s="1"/>
  <c r="L235" i="17" s="1"/>
  <c r="J13" i="16" s="1"/>
  <c r="X135" i="17"/>
  <c r="M135" i="17"/>
  <c r="Y135" i="17"/>
  <c r="P135" i="17"/>
  <c r="J135" i="17"/>
  <c r="N135" i="17"/>
  <c r="O135" i="17"/>
  <c r="V135" i="17"/>
  <c r="Z135" i="17"/>
  <c r="BC135" i="17"/>
  <c r="AQ135" i="17"/>
  <c r="AE135" i="17"/>
  <c r="BB135" i="17"/>
  <c r="AP135" i="17"/>
  <c r="AD135" i="17"/>
  <c r="BA135" i="17"/>
  <c r="AO135" i="17"/>
  <c r="AC135" i="17"/>
  <c r="AZ135" i="17"/>
  <c r="AN135" i="17"/>
  <c r="AB135" i="17"/>
  <c r="AY135" i="17"/>
  <c r="AM135" i="17"/>
  <c r="AX135" i="17"/>
  <c r="AL135" i="17"/>
  <c r="AW135" i="17"/>
  <c r="AK135" i="17"/>
  <c r="BE135" i="17"/>
  <c r="AV135" i="17"/>
  <c r="AJ135" i="17"/>
  <c r="AG135" i="17"/>
  <c r="AU135" i="17"/>
  <c r="AI135" i="17"/>
  <c r="AT135" i="17"/>
  <c r="AH135" i="17"/>
  <c r="AS135" i="17"/>
  <c r="BD135" i="17"/>
  <c r="AR135" i="17"/>
  <c r="AF135" i="17"/>
  <c r="Q123" i="17"/>
  <c r="F123" i="17"/>
  <c r="R123" i="17"/>
  <c r="DM123" i="17" s="1"/>
  <c r="R234" i="17" s="1"/>
  <c r="R235" i="17" s="1"/>
  <c r="J19" i="16" s="1"/>
  <c r="G123" i="17"/>
  <c r="S123" i="17"/>
  <c r="H123" i="17"/>
  <c r="T123" i="17"/>
  <c r="I123" i="17"/>
  <c r="U123" i="17"/>
  <c r="K123" i="17"/>
  <c r="W123" i="17"/>
  <c r="L123" i="17"/>
  <c r="X123" i="17"/>
  <c r="M123" i="17"/>
  <c r="Y123" i="17"/>
  <c r="P123" i="17"/>
  <c r="Z123" i="17"/>
  <c r="J123" i="17"/>
  <c r="N123" i="17"/>
  <c r="V123" i="17"/>
  <c r="O123" i="17"/>
  <c r="BC123" i="17"/>
  <c r="AQ123" i="17"/>
  <c r="AE123" i="17"/>
  <c r="BB123" i="17"/>
  <c r="AP123" i="17"/>
  <c r="AD123" i="17"/>
  <c r="BA123" i="17"/>
  <c r="AO123" i="17"/>
  <c r="AC123" i="17"/>
  <c r="AZ123" i="17"/>
  <c r="AN123" i="17"/>
  <c r="AB123" i="17"/>
  <c r="AG123" i="17"/>
  <c r="AY123" i="17"/>
  <c r="AM123" i="17"/>
  <c r="AS123" i="17"/>
  <c r="AX123" i="17"/>
  <c r="AL123" i="17"/>
  <c r="AW123" i="17"/>
  <c r="AK123" i="17"/>
  <c r="BE123" i="17"/>
  <c r="AV123" i="17"/>
  <c r="AJ123" i="17"/>
  <c r="AU123" i="17"/>
  <c r="AI123" i="17"/>
  <c r="AT123" i="17"/>
  <c r="AH123" i="17"/>
  <c r="BD123" i="17"/>
  <c r="AR123" i="17"/>
  <c r="AF123" i="17"/>
  <c r="Q111" i="17"/>
  <c r="F111" i="17"/>
  <c r="R111" i="17"/>
  <c r="G111" i="17"/>
  <c r="S111" i="17"/>
  <c r="H111" i="17"/>
  <c r="T111" i="17"/>
  <c r="I111" i="17"/>
  <c r="DD111" i="17" s="1"/>
  <c r="I234" i="17" s="1"/>
  <c r="I235" i="17" s="1"/>
  <c r="J10" i="16" s="1"/>
  <c r="U111" i="17"/>
  <c r="K111" i="17"/>
  <c r="W111" i="17"/>
  <c r="L111" i="17"/>
  <c r="X111" i="17"/>
  <c r="M111" i="17"/>
  <c r="Y111" i="17"/>
  <c r="P111" i="17"/>
  <c r="N111" i="17"/>
  <c r="O111" i="17"/>
  <c r="V111" i="17"/>
  <c r="Z111" i="17"/>
  <c r="J111" i="17"/>
  <c r="BC111" i="17"/>
  <c r="AQ111" i="17"/>
  <c r="AE111" i="17"/>
  <c r="BB111" i="17"/>
  <c r="AP111" i="17"/>
  <c r="AD111" i="17"/>
  <c r="BA111" i="17"/>
  <c r="AO111" i="17"/>
  <c r="AC111" i="17"/>
  <c r="AZ111" i="17"/>
  <c r="AN111" i="17"/>
  <c r="AB111" i="17"/>
  <c r="BE111" i="17"/>
  <c r="AY111" i="17"/>
  <c r="AM111" i="17"/>
  <c r="AX111" i="17"/>
  <c r="AL111" i="17"/>
  <c r="AG111" i="17"/>
  <c r="AW111" i="17"/>
  <c r="AK111" i="17"/>
  <c r="AS111" i="17"/>
  <c r="AV111" i="17"/>
  <c r="AJ111" i="17"/>
  <c r="AU111" i="17"/>
  <c r="AI111" i="17"/>
  <c r="AT111" i="17"/>
  <c r="AH111" i="17"/>
  <c r="BD111" i="17"/>
  <c r="AR111" i="17"/>
  <c r="AF111" i="17"/>
  <c r="I91" i="17"/>
  <c r="U91" i="17"/>
  <c r="J91" i="17"/>
  <c r="V91" i="17"/>
  <c r="K91" i="17"/>
  <c r="W91" i="17"/>
  <c r="L91" i="17"/>
  <c r="X91" i="17"/>
  <c r="M91" i="17"/>
  <c r="Y91" i="17"/>
  <c r="O91" i="17"/>
  <c r="P91" i="17"/>
  <c r="H91" i="17"/>
  <c r="T91" i="17"/>
  <c r="F91" i="17"/>
  <c r="G91" i="17"/>
  <c r="N91" i="17"/>
  <c r="Q91" i="17"/>
  <c r="S91" i="17"/>
  <c r="Z91" i="17"/>
  <c r="R91" i="17"/>
  <c r="G22" i="17"/>
  <c r="S22" i="17"/>
  <c r="H22" i="17"/>
  <c r="T22" i="17"/>
  <c r="I22" i="17"/>
  <c r="U22" i="17"/>
  <c r="J22" i="17"/>
  <c r="V22" i="17"/>
  <c r="K22" i="17"/>
  <c r="W22" i="17"/>
  <c r="L22" i="17"/>
  <c r="X22" i="17"/>
  <c r="M22" i="17"/>
  <c r="Y22" i="17"/>
  <c r="N22" i="17"/>
  <c r="Z22" i="17"/>
  <c r="F22" i="17"/>
  <c r="R22" i="17"/>
  <c r="O22" i="17"/>
  <c r="P22" i="17"/>
  <c r="Q22" i="17"/>
  <c r="K93" i="17"/>
  <c r="W93" i="17"/>
  <c r="L93" i="17"/>
  <c r="X93" i="17"/>
  <c r="M93" i="17"/>
  <c r="Y93" i="17"/>
  <c r="N93" i="17"/>
  <c r="Z93" i="17"/>
  <c r="O93" i="17"/>
  <c r="Q93" i="17"/>
  <c r="F93" i="17"/>
  <c r="R93" i="17"/>
  <c r="J93" i="17"/>
  <c r="V93" i="17"/>
  <c r="S93" i="17"/>
  <c r="T93" i="17"/>
  <c r="U93" i="17"/>
  <c r="G93" i="17"/>
  <c r="DW93" i="17" s="1"/>
  <c r="G281" i="17" s="1"/>
  <c r="G282" i="17" s="1"/>
  <c r="J29" i="16" s="1"/>
  <c r="P93" i="17"/>
  <c r="H93" i="17"/>
  <c r="I93" i="17"/>
  <c r="K81" i="17"/>
  <c r="W81" i="17"/>
  <c r="L81" i="17"/>
  <c r="X81" i="17"/>
  <c r="M81" i="17"/>
  <c r="Y81" i="17"/>
  <c r="N81" i="17"/>
  <c r="Z81" i="17"/>
  <c r="O81" i="17"/>
  <c r="Q81" i="17"/>
  <c r="F81" i="17"/>
  <c r="R81" i="17"/>
  <c r="J81" i="17"/>
  <c r="V81" i="17"/>
  <c r="G81" i="17"/>
  <c r="H81" i="17"/>
  <c r="I81" i="17"/>
  <c r="P81" i="17"/>
  <c r="S81" i="17"/>
  <c r="T81" i="17"/>
  <c r="U81" i="17"/>
  <c r="K69" i="17"/>
  <c r="W69" i="17"/>
  <c r="L69" i="17"/>
  <c r="X69" i="17"/>
  <c r="M69" i="17"/>
  <c r="EC69" i="17" s="1"/>
  <c r="M281" i="17" s="1"/>
  <c r="M282" i="17" s="1"/>
  <c r="J35" i="16" s="1"/>
  <c r="Y69" i="17"/>
  <c r="N69" i="17"/>
  <c r="Z69" i="17"/>
  <c r="O69" i="17"/>
  <c r="Q69" i="17"/>
  <c r="F69" i="17"/>
  <c r="R69" i="17"/>
  <c r="J69" i="17"/>
  <c r="V69" i="17"/>
  <c r="G69" i="17"/>
  <c r="H69" i="17"/>
  <c r="I69" i="17"/>
  <c r="P69" i="17"/>
  <c r="S69" i="17"/>
  <c r="T69" i="17"/>
  <c r="U69" i="17"/>
  <c r="K57" i="17"/>
  <c r="W57" i="17"/>
  <c r="L57" i="17"/>
  <c r="X57" i="17"/>
  <c r="M57" i="17"/>
  <c r="Y57" i="17"/>
  <c r="N57" i="17"/>
  <c r="Z57" i="17"/>
  <c r="O57" i="17"/>
  <c r="P57" i="17"/>
  <c r="Q57" i="17"/>
  <c r="F57" i="17"/>
  <c r="R57" i="17"/>
  <c r="J57" i="17"/>
  <c r="V57" i="17"/>
  <c r="G57" i="17"/>
  <c r="H57" i="17"/>
  <c r="I57" i="17"/>
  <c r="S57" i="17"/>
  <c r="T57" i="17"/>
  <c r="U57" i="17"/>
  <c r="K38" i="17"/>
  <c r="W38" i="17"/>
  <c r="L38" i="17"/>
  <c r="X38" i="17"/>
  <c r="M38" i="17"/>
  <c r="Y38" i="17"/>
  <c r="N38" i="17"/>
  <c r="Z38" i="17"/>
  <c r="O38" i="17"/>
  <c r="P38" i="17"/>
  <c r="Q38" i="17"/>
  <c r="F38" i="17"/>
  <c r="R38" i="17"/>
  <c r="J38" i="17"/>
  <c r="V38" i="17"/>
  <c r="U38" i="17"/>
  <c r="DP38" i="17" s="1"/>
  <c r="G38" i="17"/>
  <c r="H38" i="17"/>
  <c r="T38" i="17"/>
  <c r="I38" i="17"/>
  <c r="S38" i="17"/>
  <c r="K26" i="17"/>
  <c r="W26" i="17"/>
  <c r="L26" i="17"/>
  <c r="X26" i="17"/>
  <c r="M26" i="17"/>
  <c r="Y26" i="17"/>
  <c r="N26" i="17"/>
  <c r="Z26" i="17"/>
  <c r="O26" i="17"/>
  <c r="P26" i="17"/>
  <c r="Q26" i="17"/>
  <c r="F26" i="17"/>
  <c r="R26" i="17"/>
  <c r="J26" i="17"/>
  <c r="V26" i="17"/>
  <c r="I26" i="17"/>
  <c r="S26" i="17"/>
  <c r="T26" i="17"/>
  <c r="U26" i="17"/>
  <c r="H26" i="17"/>
  <c r="DC26" i="17" s="1"/>
  <c r="H234" i="17" s="1"/>
  <c r="H235" i="17" s="1"/>
  <c r="J9" i="16" s="1"/>
  <c r="G26" i="17"/>
  <c r="K14" i="17"/>
  <c r="W14" i="17"/>
  <c r="L14" i="17"/>
  <c r="X14" i="17"/>
  <c r="DS14" i="17" s="1"/>
  <c r="X234" i="17" s="1"/>
  <c r="X235" i="17" s="1"/>
  <c r="J25" i="16" s="1"/>
  <c r="M14" i="17"/>
  <c r="Y14" i="17"/>
  <c r="N14" i="17"/>
  <c r="Z14" i="17"/>
  <c r="O14" i="17"/>
  <c r="P14" i="17"/>
  <c r="Q14" i="17"/>
  <c r="F14" i="17"/>
  <c r="R14" i="17"/>
  <c r="J14" i="17"/>
  <c r="V14" i="17"/>
  <c r="G14" i="17"/>
  <c r="H14" i="17"/>
  <c r="I14" i="17"/>
  <c r="S14" i="17"/>
  <c r="T14" i="17"/>
  <c r="U14" i="17"/>
  <c r="M103" i="17"/>
  <c r="O103" i="17"/>
  <c r="G103" i="17"/>
  <c r="H103" i="17"/>
  <c r="L103" i="17"/>
  <c r="T103" i="17"/>
  <c r="U103" i="17"/>
  <c r="V103" i="17"/>
  <c r="F103" i="17"/>
  <c r="W103" i="17"/>
  <c r="I103" i="17"/>
  <c r="X103" i="17"/>
  <c r="K103" i="17"/>
  <c r="Z103" i="17"/>
  <c r="N103" i="17"/>
  <c r="P103" i="17"/>
  <c r="S103" i="17"/>
  <c r="J103" i="17"/>
  <c r="Q103" i="17"/>
  <c r="R103" i="17"/>
  <c r="Y103" i="17"/>
  <c r="BC103" i="17"/>
  <c r="AQ103" i="17"/>
  <c r="AE103" i="17"/>
  <c r="BB103" i="17"/>
  <c r="AP103" i="17"/>
  <c r="AD103" i="17"/>
  <c r="BA103" i="17"/>
  <c r="AO103" i="17"/>
  <c r="AC103" i="17"/>
  <c r="AZ103" i="17"/>
  <c r="AN103" i="17"/>
  <c r="AB103" i="17"/>
  <c r="BE103" i="17"/>
  <c r="AY103" i="17"/>
  <c r="AM103" i="17"/>
  <c r="AS103" i="17"/>
  <c r="AX103" i="17"/>
  <c r="AL103" i="17"/>
  <c r="AW103" i="17"/>
  <c r="AK103" i="17"/>
  <c r="AV103" i="17"/>
  <c r="AJ103" i="17"/>
  <c r="AU103" i="17"/>
  <c r="AI103" i="17"/>
  <c r="AT103" i="17"/>
  <c r="AH103" i="17"/>
  <c r="AG103" i="17"/>
  <c r="BD103" i="17"/>
  <c r="AR103" i="17"/>
  <c r="AF103" i="17"/>
  <c r="M83" i="17"/>
  <c r="Y83" i="17"/>
  <c r="N83" i="17"/>
  <c r="Z83" i="17"/>
  <c r="O83" i="17"/>
  <c r="P83" i="17"/>
  <c r="Q83" i="17"/>
  <c r="G83" i="17"/>
  <c r="S83" i="17"/>
  <c r="H83" i="17"/>
  <c r="T83" i="17"/>
  <c r="L83" i="17"/>
  <c r="X83" i="17"/>
  <c r="U83" i="17"/>
  <c r="V83" i="17"/>
  <c r="W83" i="17"/>
  <c r="F83" i="17"/>
  <c r="I83" i="17"/>
  <c r="R83" i="17"/>
  <c r="J83" i="17"/>
  <c r="K83" i="17"/>
  <c r="M71" i="17"/>
  <c r="Y71" i="17"/>
  <c r="N71" i="17"/>
  <c r="Z71" i="17"/>
  <c r="O71" i="17"/>
  <c r="P71" i="17"/>
  <c r="Q71" i="17"/>
  <c r="G71" i="17"/>
  <c r="S71" i="17"/>
  <c r="H71" i="17"/>
  <c r="T71" i="17"/>
  <c r="L71" i="17"/>
  <c r="X71" i="17"/>
  <c r="I71" i="17"/>
  <c r="J71" i="17"/>
  <c r="K71" i="17"/>
  <c r="R71" i="17"/>
  <c r="U71" i="17"/>
  <c r="V71" i="17"/>
  <c r="W71" i="17"/>
  <c r="F71" i="17"/>
  <c r="M59" i="17"/>
  <c r="Y59" i="17"/>
  <c r="N59" i="17"/>
  <c r="Z59" i="17"/>
  <c r="O59" i="17"/>
  <c r="P59" i="17"/>
  <c r="Q59" i="17"/>
  <c r="F59" i="17"/>
  <c r="R59" i="17"/>
  <c r="G59" i="17"/>
  <c r="S59" i="17"/>
  <c r="H59" i="17"/>
  <c r="T59" i="17"/>
  <c r="L59" i="17"/>
  <c r="X59" i="17"/>
  <c r="K59" i="17"/>
  <c r="U59" i="17"/>
  <c r="V59" i="17"/>
  <c r="W59" i="17"/>
  <c r="J59" i="17"/>
  <c r="I59" i="17"/>
  <c r="M40" i="17"/>
  <c r="Y40" i="17"/>
  <c r="N40" i="17"/>
  <c r="Z40" i="17"/>
  <c r="O40" i="17"/>
  <c r="P40" i="17"/>
  <c r="Q40" i="17"/>
  <c r="F40" i="17"/>
  <c r="R40" i="17"/>
  <c r="G40" i="17"/>
  <c r="S40" i="17"/>
  <c r="H40" i="17"/>
  <c r="T40" i="17"/>
  <c r="L40" i="17"/>
  <c r="X40" i="17"/>
  <c r="I40" i="17"/>
  <c r="J40" i="17"/>
  <c r="K40" i="17"/>
  <c r="U40" i="17"/>
  <c r="DP40" i="17" s="1"/>
  <c r="V40" i="17"/>
  <c r="W40" i="17"/>
  <c r="M28" i="17"/>
  <c r="Y28" i="17"/>
  <c r="N28" i="17"/>
  <c r="Z28" i="17"/>
  <c r="O28" i="17"/>
  <c r="P28" i="17"/>
  <c r="Q28" i="17"/>
  <c r="F28" i="17"/>
  <c r="R28" i="17"/>
  <c r="G28" i="17"/>
  <c r="DB28" i="17" s="1"/>
  <c r="S28" i="17"/>
  <c r="H28" i="17"/>
  <c r="T28" i="17"/>
  <c r="L28" i="17"/>
  <c r="X28" i="17"/>
  <c r="I28" i="17"/>
  <c r="J28" i="17"/>
  <c r="K28" i="17"/>
  <c r="U28" i="17"/>
  <c r="V28" i="17"/>
  <c r="W28" i="17"/>
  <c r="M16" i="17"/>
  <c r="Y16" i="17"/>
  <c r="N16" i="17"/>
  <c r="Z16" i="17"/>
  <c r="O16" i="17"/>
  <c r="P16" i="17"/>
  <c r="Q16" i="17"/>
  <c r="F16" i="17"/>
  <c r="R16" i="17"/>
  <c r="G16" i="17"/>
  <c r="S16" i="17"/>
  <c r="H16" i="17"/>
  <c r="T16" i="17"/>
  <c r="L16" i="17"/>
  <c r="X16" i="17"/>
  <c r="W16" i="17"/>
  <c r="DR16" i="17" s="1"/>
  <c r="W234" i="17" s="1"/>
  <c r="W235" i="17" s="1"/>
  <c r="J24" i="16" s="1"/>
  <c r="I16" i="17"/>
  <c r="J16" i="17"/>
  <c r="V16" i="17"/>
  <c r="U16" i="17"/>
  <c r="K16" i="17"/>
  <c r="K105" i="17"/>
  <c r="W105" i="17"/>
  <c r="L105" i="17"/>
  <c r="X105" i="17"/>
  <c r="M105" i="17"/>
  <c r="Y105" i="17"/>
  <c r="N105" i="17"/>
  <c r="Z105" i="17"/>
  <c r="O105" i="17"/>
  <c r="Q105" i="17"/>
  <c r="F105" i="17"/>
  <c r="R105" i="17"/>
  <c r="G105" i="17"/>
  <c r="S105" i="17"/>
  <c r="J105" i="17"/>
  <c r="V105" i="17"/>
  <c r="H105" i="17"/>
  <c r="I105" i="17"/>
  <c r="P105" i="17"/>
  <c r="T105" i="17"/>
  <c r="U105" i="17"/>
  <c r="AW105" i="17"/>
  <c r="AK105" i="17"/>
  <c r="AV105" i="17"/>
  <c r="AJ105" i="17"/>
  <c r="AU105" i="17"/>
  <c r="AI105" i="17"/>
  <c r="AT105" i="17"/>
  <c r="AH105" i="17"/>
  <c r="BE105" i="17"/>
  <c r="AS105" i="17"/>
  <c r="AG105" i="17"/>
  <c r="BD105" i="17"/>
  <c r="AR105" i="17"/>
  <c r="AF105" i="17"/>
  <c r="AM105" i="17"/>
  <c r="BC105" i="17"/>
  <c r="AQ105" i="17"/>
  <c r="AE105" i="17"/>
  <c r="AY105" i="17"/>
  <c r="BB105" i="17"/>
  <c r="AP105" i="17"/>
  <c r="AD105" i="17"/>
  <c r="BA105" i="17"/>
  <c r="AO105" i="17"/>
  <c r="AC105" i="17"/>
  <c r="AZ105" i="17"/>
  <c r="AN105" i="17"/>
  <c r="AB105" i="17"/>
  <c r="AX105" i="17"/>
  <c r="AL105" i="17"/>
  <c r="O85" i="17"/>
  <c r="P85" i="17"/>
  <c r="Q85" i="17"/>
  <c r="F85" i="17"/>
  <c r="R85" i="17"/>
  <c r="G85" i="17"/>
  <c r="S85" i="17"/>
  <c r="I85" i="17"/>
  <c r="U85" i="17"/>
  <c r="J85" i="17"/>
  <c r="V85" i="17"/>
  <c r="N85" i="17"/>
  <c r="Z85" i="17"/>
  <c r="H85" i="17"/>
  <c r="K85" i="17"/>
  <c r="L85" i="17"/>
  <c r="M85" i="17"/>
  <c r="T85" i="17"/>
  <c r="W85" i="17"/>
  <c r="X85" i="17"/>
  <c r="Y85" i="17"/>
  <c r="O73" i="17"/>
  <c r="P73" i="17"/>
  <c r="Q73" i="17"/>
  <c r="F73" i="17"/>
  <c r="R73" i="17"/>
  <c r="G73" i="17"/>
  <c r="S73" i="17"/>
  <c r="I73" i="17"/>
  <c r="U73" i="17"/>
  <c r="J73" i="17"/>
  <c r="V73" i="17"/>
  <c r="N73" i="17"/>
  <c r="Z73" i="17"/>
  <c r="W73" i="17"/>
  <c r="X73" i="17"/>
  <c r="Y73" i="17"/>
  <c r="H73" i="17"/>
  <c r="K73" i="17"/>
  <c r="T73" i="17"/>
  <c r="M73" i="17"/>
  <c r="L73" i="17"/>
  <c r="O61" i="17"/>
  <c r="P61" i="17"/>
  <c r="Q61" i="17"/>
  <c r="F61" i="17"/>
  <c r="R61" i="17"/>
  <c r="G61" i="17"/>
  <c r="S61" i="17"/>
  <c r="H61" i="17"/>
  <c r="T61" i="17"/>
  <c r="I61" i="17"/>
  <c r="U61" i="17"/>
  <c r="J61" i="17"/>
  <c r="V61" i="17"/>
  <c r="N61" i="17"/>
  <c r="Z61" i="17"/>
  <c r="K61" i="17"/>
  <c r="L61" i="17"/>
  <c r="M61" i="17"/>
  <c r="W61" i="17"/>
  <c r="X61" i="17"/>
  <c r="Y61" i="17"/>
  <c r="O42" i="17"/>
  <c r="P42" i="17"/>
  <c r="DK42" i="17" s="1"/>
  <c r="Q42" i="17"/>
  <c r="F42" i="17"/>
  <c r="R42" i="17"/>
  <c r="G42" i="17"/>
  <c r="S42" i="17"/>
  <c r="H42" i="17"/>
  <c r="T42" i="17"/>
  <c r="I42" i="17"/>
  <c r="U42" i="17"/>
  <c r="J42" i="17"/>
  <c r="V42" i="17"/>
  <c r="N42" i="17"/>
  <c r="Z42" i="17"/>
  <c r="Y42" i="17"/>
  <c r="K42" i="17"/>
  <c r="L42" i="17"/>
  <c r="X42" i="17"/>
  <c r="W42" i="17"/>
  <c r="M42" i="17"/>
  <c r="O30" i="17"/>
  <c r="P30" i="17"/>
  <c r="Q30" i="17"/>
  <c r="F30" i="17"/>
  <c r="R30" i="17"/>
  <c r="G30" i="17"/>
  <c r="DB30" i="17" s="1"/>
  <c r="S30" i="17"/>
  <c r="H30" i="17"/>
  <c r="T30" i="17"/>
  <c r="I30" i="17"/>
  <c r="U30" i="17"/>
  <c r="J30" i="17"/>
  <c r="V30" i="17"/>
  <c r="N30" i="17"/>
  <c r="Z30" i="17"/>
  <c r="M30" i="17"/>
  <c r="W30" i="17"/>
  <c r="X30" i="17"/>
  <c r="Y30" i="17"/>
  <c r="L30" i="17"/>
  <c r="K30" i="17"/>
  <c r="O18" i="17"/>
  <c r="P18" i="17"/>
  <c r="Q18" i="17"/>
  <c r="F18" i="17"/>
  <c r="R18" i="17"/>
  <c r="G18" i="17"/>
  <c r="S18" i="17"/>
  <c r="H18" i="17"/>
  <c r="T18" i="17"/>
  <c r="I18" i="17"/>
  <c r="U18" i="17"/>
  <c r="J18" i="17"/>
  <c r="V18" i="17"/>
  <c r="DQ18" i="17" s="1"/>
  <c r="V234" i="17" s="1"/>
  <c r="V235" i="17" s="1"/>
  <c r="J23" i="16" s="1"/>
  <c r="N18" i="17"/>
  <c r="Z18" i="17"/>
  <c r="K18" i="17"/>
  <c r="L18" i="17"/>
  <c r="M18" i="17"/>
  <c r="W18" i="17"/>
  <c r="X18" i="17"/>
  <c r="Y18" i="17"/>
  <c r="Q87" i="17"/>
  <c r="F87" i="17"/>
  <c r="R87" i="17"/>
  <c r="G87" i="17"/>
  <c r="S87" i="17"/>
  <c r="H87" i="17"/>
  <c r="T87" i="17"/>
  <c r="I87" i="17"/>
  <c r="U87" i="17"/>
  <c r="K87" i="17"/>
  <c r="W87" i="17"/>
  <c r="L87" i="17"/>
  <c r="X87" i="17"/>
  <c r="P87" i="17"/>
  <c r="M87" i="17"/>
  <c r="N87" i="17"/>
  <c r="O87" i="17"/>
  <c r="V87" i="17"/>
  <c r="Y87" i="17"/>
  <c r="J87" i="17"/>
  <c r="Z87" i="17"/>
  <c r="Q75" i="17"/>
  <c r="F75" i="17"/>
  <c r="R75" i="17"/>
  <c r="G75" i="17"/>
  <c r="S75" i="17"/>
  <c r="H75" i="17"/>
  <c r="T75" i="17"/>
  <c r="I75" i="17"/>
  <c r="U75" i="17"/>
  <c r="K75" i="17"/>
  <c r="W75" i="17"/>
  <c r="L75" i="17"/>
  <c r="X75" i="17"/>
  <c r="P75" i="17"/>
  <c r="J75" i="17"/>
  <c r="M75" i="17"/>
  <c r="N75" i="17"/>
  <c r="O75" i="17"/>
  <c r="V75" i="17"/>
  <c r="Y75" i="17"/>
  <c r="Z75" i="17"/>
  <c r="Q63" i="17"/>
  <c r="F63" i="17"/>
  <c r="R63" i="17"/>
  <c r="G63" i="17"/>
  <c r="S63" i="17"/>
  <c r="H63" i="17"/>
  <c r="T63" i="17"/>
  <c r="I63" i="17"/>
  <c r="U63" i="17"/>
  <c r="J63" i="17"/>
  <c r="V63" i="17"/>
  <c r="K63" i="17"/>
  <c r="W63" i="17"/>
  <c r="L63" i="17"/>
  <c r="X63" i="17"/>
  <c r="P63" i="17"/>
  <c r="O63" i="17"/>
  <c r="Y63" i="17"/>
  <c r="Z63" i="17"/>
  <c r="N63" i="17"/>
  <c r="M63" i="17"/>
  <c r="Q44" i="17"/>
  <c r="F44" i="17"/>
  <c r="R44" i="17"/>
  <c r="G44" i="17"/>
  <c r="S44" i="17"/>
  <c r="DN44" i="17" s="1"/>
  <c r="S234" i="17" s="1"/>
  <c r="S235" i="17" s="1"/>
  <c r="J20" i="16" s="1"/>
  <c r="H44" i="17"/>
  <c r="T44" i="17"/>
  <c r="I44" i="17"/>
  <c r="U44" i="17"/>
  <c r="J44" i="17"/>
  <c r="V44" i="17"/>
  <c r="K44" i="17"/>
  <c r="W44" i="17"/>
  <c r="L44" i="17"/>
  <c r="X44" i="17"/>
  <c r="P44" i="17"/>
  <c r="M44" i="17"/>
  <c r="N44" i="17"/>
  <c r="O44" i="17"/>
  <c r="Y44" i="17"/>
  <c r="Z44" i="17"/>
  <c r="Q32" i="17"/>
  <c r="F32" i="17"/>
  <c r="DA32" i="17" s="1"/>
  <c r="R32" i="17"/>
  <c r="G32" i="17"/>
  <c r="S32" i="17"/>
  <c r="H32" i="17"/>
  <c r="T32" i="17"/>
  <c r="I32" i="17"/>
  <c r="U32" i="17"/>
  <c r="J32" i="17"/>
  <c r="V32" i="17"/>
  <c r="K32" i="17"/>
  <c r="W32" i="17"/>
  <c r="L32" i="17"/>
  <c r="X32" i="17"/>
  <c r="P32" i="17"/>
  <c r="M32" i="17"/>
  <c r="N32" i="17"/>
  <c r="O32" i="17"/>
  <c r="Y32" i="17"/>
  <c r="Z32" i="17"/>
  <c r="Q20" i="17"/>
  <c r="F20" i="17"/>
  <c r="R20" i="17"/>
  <c r="G20" i="17"/>
  <c r="S20" i="17"/>
  <c r="H20" i="17"/>
  <c r="T20" i="17"/>
  <c r="I20" i="17"/>
  <c r="U20" i="17"/>
  <c r="J20" i="17"/>
  <c r="V20" i="17"/>
  <c r="K20" i="17"/>
  <c r="W20" i="17"/>
  <c r="L20" i="17"/>
  <c r="X20" i="17"/>
  <c r="P20" i="17"/>
  <c r="M20" i="17"/>
  <c r="N20" i="17"/>
  <c r="Z20" i="17"/>
  <c r="O20" i="17"/>
  <c r="Y20" i="17"/>
  <c r="Q8" i="17"/>
  <c r="F8" i="17"/>
  <c r="R8" i="17"/>
  <c r="G8" i="17"/>
  <c r="S8" i="17"/>
  <c r="H8" i="17"/>
  <c r="T8" i="17"/>
  <c r="I8" i="17"/>
  <c r="U8" i="17"/>
  <c r="J8" i="17"/>
  <c r="V8" i="17"/>
  <c r="K8" i="17"/>
  <c r="W8" i="17"/>
  <c r="L8" i="17"/>
  <c r="X8" i="17"/>
  <c r="P8" i="17"/>
  <c r="O8" i="17"/>
  <c r="Y8" i="17"/>
  <c r="Z8" i="17"/>
  <c r="N8" i="17"/>
  <c r="M8" i="17"/>
  <c r="L38" i="6" l="1"/>
  <c r="H7" i="10"/>
  <c r="O7" i="10" s="1"/>
  <c r="L13" i="6"/>
  <c r="L19" i="6"/>
  <c r="H12" i="10"/>
  <c r="O12" i="10" s="1"/>
  <c r="H55" i="10"/>
  <c r="O55" i="10" s="1"/>
  <c r="H13" i="10"/>
  <c r="O13" i="10" s="1"/>
  <c r="L14" i="6"/>
  <c r="H56" i="10"/>
  <c r="O56" i="10" s="1"/>
  <c r="L27" i="6"/>
  <c r="L22" i="6"/>
  <c r="L7" i="6"/>
  <c r="L15" i="6"/>
  <c r="L25" i="6"/>
  <c r="L33" i="6"/>
  <c r="H30" i="10"/>
  <c r="O30" i="10" s="1"/>
  <c r="H61" i="10"/>
  <c r="O61" i="10" s="1"/>
  <c r="L26" i="6"/>
  <c r="G18" i="22"/>
  <c r="G25" i="9" s="1"/>
  <c r="L35" i="6"/>
  <c r="L39" i="6"/>
  <c r="L8" i="6"/>
  <c r="H5" i="10"/>
  <c r="O5" i="10" s="1"/>
  <c r="H20" i="10"/>
  <c r="O20" i="10" s="1"/>
  <c r="H18" i="10"/>
  <c r="O18" i="10" s="1"/>
  <c r="O23" i="9"/>
  <c r="L20" i="6"/>
  <c r="H24" i="10"/>
  <c r="O24" i="10" s="1"/>
  <c r="H11" i="10"/>
  <c r="O11" i="10" s="1"/>
  <c r="H21" i="9"/>
  <c r="H23" i="10"/>
  <c r="O23" i="10" s="1"/>
  <c r="P234" i="17"/>
  <c r="P235" i="17" s="1"/>
  <c r="J17" i="16" s="1"/>
  <c r="J15" i="10" s="1"/>
  <c r="I16" i="8" s="1"/>
  <c r="P34" i="10"/>
  <c r="H27" i="16"/>
  <c r="G25" i="10" s="1"/>
  <c r="J25" i="10"/>
  <c r="I25" i="8" s="1"/>
  <c r="H50" i="16"/>
  <c r="G61" i="10" s="1"/>
  <c r="J61" i="10"/>
  <c r="I54" i="8" s="1"/>
  <c r="P18" i="9"/>
  <c r="H24" i="16"/>
  <c r="G22" i="10" s="1"/>
  <c r="J22" i="10"/>
  <c r="I22" i="8" s="1"/>
  <c r="H29" i="16"/>
  <c r="G27" i="10" s="1"/>
  <c r="J27" i="10"/>
  <c r="I27" i="8" s="1"/>
  <c r="H34" i="16"/>
  <c r="G32" i="10" s="1"/>
  <c r="J32" i="10"/>
  <c r="I22" i="9"/>
  <c r="P22" i="9" s="1"/>
  <c r="O22" i="9"/>
  <c r="H25" i="16"/>
  <c r="G23" i="10" s="1"/>
  <c r="J23" i="10"/>
  <c r="I23" i="8" s="1"/>
  <c r="H9" i="16"/>
  <c r="G7" i="10" s="1"/>
  <c r="J7" i="10"/>
  <c r="I7" i="8" s="1"/>
  <c r="H44" i="16"/>
  <c r="G55" i="10" s="1"/>
  <c r="J55" i="10"/>
  <c r="I49" i="8" s="1"/>
  <c r="H14" i="16"/>
  <c r="G12" i="10" s="1"/>
  <c r="J12" i="10"/>
  <c r="H49" i="16"/>
  <c r="G60" i="10" s="1"/>
  <c r="J60" i="10"/>
  <c r="I53" i="8" s="1"/>
  <c r="H45" i="16"/>
  <c r="G56" i="10" s="1"/>
  <c r="J56" i="10"/>
  <c r="I50" i="8" s="1"/>
  <c r="H32" i="16"/>
  <c r="G30" i="10" s="1"/>
  <c r="J30" i="10"/>
  <c r="I30" i="8" s="1"/>
  <c r="H47" i="16"/>
  <c r="G58" i="10" s="1"/>
  <c r="J58" i="10"/>
  <c r="I51" i="8" s="1"/>
  <c r="O19" i="9"/>
  <c r="I19" i="9"/>
  <c r="P19" i="9" s="1"/>
  <c r="H20" i="16"/>
  <c r="G18" i="10" s="1"/>
  <c r="J18" i="10"/>
  <c r="I18" i="8" s="1"/>
  <c r="H19" i="16"/>
  <c r="G17" i="10" s="1"/>
  <c r="J17" i="10"/>
  <c r="I17" i="8" s="1"/>
  <c r="H31" i="16"/>
  <c r="G29" i="10" s="1"/>
  <c r="J29" i="10"/>
  <c r="I29" i="8" s="1"/>
  <c r="H11" i="16"/>
  <c r="G9" i="10" s="1"/>
  <c r="J9" i="10"/>
  <c r="G6" i="22"/>
  <c r="G5" i="9" s="1"/>
  <c r="J5" i="9" s="1"/>
  <c r="O6" i="22"/>
  <c r="H33" i="16"/>
  <c r="G31" i="10" s="1"/>
  <c r="J31" i="10"/>
  <c r="I31" i="8" s="1"/>
  <c r="I25" i="9"/>
  <c r="L25" i="9"/>
  <c r="L27" i="9" s="1"/>
  <c r="K7" i="12" s="1"/>
  <c r="L7" i="12" s="1"/>
  <c r="K32" i="10" s="1"/>
  <c r="N25" i="9"/>
  <c r="N27" i="9" s="1"/>
  <c r="M7" i="12" s="1"/>
  <c r="N7" i="12" s="1"/>
  <c r="M32" i="10" s="1"/>
  <c r="H23" i="16"/>
  <c r="G21" i="10" s="1"/>
  <c r="J21" i="10"/>
  <c r="I21" i="8" s="1"/>
  <c r="H12" i="16"/>
  <c r="G10" i="10" s="1"/>
  <c r="J10" i="10"/>
  <c r="H28" i="16"/>
  <c r="G26" i="10" s="1"/>
  <c r="J26" i="10"/>
  <c r="I26" i="8" s="1"/>
  <c r="H26" i="16"/>
  <c r="G24" i="10" s="1"/>
  <c r="J24" i="10"/>
  <c r="I24" i="8" s="1"/>
  <c r="H30" i="16"/>
  <c r="G28" i="10" s="1"/>
  <c r="J28" i="10"/>
  <c r="I28" i="8" s="1"/>
  <c r="F234" i="17"/>
  <c r="F235" i="17" s="1"/>
  <c r="J7" i="16" s="1"/>
  <c r="H35" i="16"/>
  <c r="G33" i="10" s="1"/>
  <c r="J33" i="10"/>
  <c r="H10" i="16"/>
  <c r="G8" i="10" s="1"/>
  <c r="J8" i="10"/>
  <c r="I8" i="8" s="1"/>
  <c r="H16" i="16"/>
  <c r="G14" i="10" s="1"/>
  <c r="J14" i="10"/>
  <c r="I15" i="8" s="1"/>
  <c r="H15" i="16"/>
  <c r="G13" i="10" s="1"/>
  <c r="J13" i="10"/>
  <c r="I14" i="8" s="1"/>
  <c r="H48" i="16"/>
  <c r="G59" i="10" s="1"/>
  <c r="J59" i="10"/>
  <c r="I52" i="8" s="1"/>
  <c r="H13" i="16"/>
  <c r="G11" i="10" s="1"/>
  <c r="J11" i="10"/>
  <c r="I13" i="8" s="1"/>
  <c r="H21" i="16"/>
  <c r="G19" i="10" s="1"/>
  <c r="J19" i="10"/>
  <c r="I19" i="8" s="1"/>
  <c r="H46" i="16"/>
  <c r="G57" i="10" s="1"/>
  <c r="J57" i="10"/>
  <c r="Q234" i="17"/>
  <c r="Q235" i="17" s="1"/>
  <c r="J18" i="16" s="1"/>
  <c r="U234" i="17"/>
  <c r="U235" i="17" s="1"/>
  <c r="J22" i="16" s="1"/>
  <c r="G234" i="17"/>
  <c r="G235" i="17" s="1"/>
  <c r="J8" i="16" s="1"/>
  <c r="AF30" i="17"/>
  <c r="AR30" i="17"/>
  <c r="AO30" i="17"/>
  <c r="AU30" i="17"/>
  <c r="AB30" i="17"/>
  <c r="BD30" i="17"/>
  <c r="BA30" i="17"/>
  <c r="AE30" i="17"/>
  <c r="AQ30" i="17"/>
  <c r="AN30" i="17"/>
  <c r="BC30" i="17"/>
  <c r="AM30" i="17"/>
  <c r="AT30" i="17"/>
  <c r="AX30" i="17"/>
  <c r="AD30" i="17"/>
  <c r="AP30" i="17"/>
  <c r="AW30" i="17"/>
  <c r="BB30" i="17"/>
  <c r="AG30" i="17"/>
  <c r="AS30" i="17"/>
  <c r="AL30" i="17"/>
  <c r="AH30" i="17"/>
  <c r="AV30" i="17"/>
  <c r="AC30" i="17"/>
  <c r="BE30" i="17"/>
  <c r="AJ30" i="17"/>
  <c r="AY30" i="17"/>
  <c r="AK30" i="17"/>
  <c r="AI30" i="17"/>
  <c r="AZ30" i="17"/>
  <c r="AL34" i="17"/>
  <c r="AX34" i="17"/>
  <c r="AW34" i="17"/>
  <c r="AS34" i="17"/>
  <c r="BE34" i="17"/>
  <c r="AH34" i="17"/>
  <c r="AG34" i="17"/>
  <c r="AO34" i="17"/>
  <c r="BA34" i="17"/>
  <c r="AK34" i="17"/>
  <c r="AC34" i="17"/>
  <c r="AV34" i="17"/>
  <c r="BD34" i="17"/>
  <c r="AF34" i="17"/>
  <c r="AB34" i="17"/>
  <c r="AN34" i="17"/>
  <c r="AZ34" i="17"/>
  <c r="AU34" i="17"/>
  <c r="BC34" i="17"/>
  <c r="AJ34" i="17"/>
  <c r="AE34" i="17"/>
  <c r="AR34" i="17"/>
  <c r="AM34" i="17"/>
  <c r="AY34" i="17"/>
  <c r="AT34" i="17"/>
  <c r="AP34" i="17"/>
  <c r="BB34" i="17"/>
  <c r="AI34" i="17"/>
  <c r="AD34" i="17"/>
  <c r="AQ34" i="17"/>
  <c r="AV59" i="17"/>
  <c r="AC59" i="17"/>
  <c r="BE59" i="17"/>
  <c r="AJ59" i="17"/>
  <c r="AF59" i="17"/>
  <c r="AR59" i="17"/>
  <c r="AO59" i="17"/>
  <c r="BA59" i="17"/>
  <c r="AH59" i="17"/>
  <c r="AU59" i="17"/>
  <c r="AB59" i="17"/>
  <c r="BD59" i="17"/>
  <c r="AY59" i="17"/>
  <c r="AE59" i="17"/>
  <c r="AQ59" i="17"/>
  <c r="AN59" i="17"/>
  <c r="AT59" i="17"/>
  <c r="BC59" i="17"/>
  <c r="AD59" i="17"/>
  <c r="AP59" i="17"/>
  <c r="AM59" i="17"/>
  <c r="AK59" i="17"/>
  <c r="BB59" i="17"/>
  <c r="AI59" i="17"/>
  <c r="AL59" i="17"/>
  <c r="AZ59" i="17"/>
  <c r="AX59" i="17"/>
  <c r="AW59" i="17"/>
  <c r="AG59" i="17"/>
  <c r="AS59" i="17"/>
  <c r="AL77" i="17"/>
  <c r="AX77" i="17"/>
  <c r="AE77" i="17"/>
  <c r="BE77" i="17"/>
  <c r="AH77" i="17"/>
  <c r="AT77" i="17"/>
  <c r="AQ77" i="17"/>
  <c r="AO77" i="17"/>
  <c r="BA77" i="17"/>
  <c r="AD77" i="17"/>
  <c r="AS77" i="17"/>
  <c r="AK77" i="17"/>
  <c r="AW77" i="17"/>
  <c r="AG77" i="17"/>
  <c r="AC77" i="17"/>
  <c r="BD77" i="17"/>
  <c r="AN77" i="17"/>
  <c r="AZ77" i="17"/>
  <c r="AR77" i="17"/>
  <c r="BC77" i="17"/>
  <c r="AJ77" i="17"/>
  <c r="AV77" i="17"/>
  <c r="AP77" i="17"/>
  <c r="AM77" i="17"/>
  <c r="AY77" i="17"/>
  <c r="AF77" i="17"/>
  <c r="AB77" i="17"/>
  <c r="BB77" i="17"/>
  <c r="AI77" i="17"/>
  <c r="AU77" i="17"/>
  <c r="AM63" i="17"/>
  <c r="AY63" i="17"/>
  <c r="AS63" i="17"/>
  <c r="BB63" i="17"/>
  <c r="AI63" i="17"/>
  <c r="AU63" i="17"/>
  <c r="AL63" i="17"/>
  <c r="AX63" i="17"/>
  <c r="AE63" i="17"/>
  <c r="BE63" i="17"/>
  <c r="AH63" i="17"/>
  <c r="AT63" i="17"/>
  <c r="AC63" i="17"/>
  <c r="AO63" i="17"/>
  <c r="BA63" i="17"/>
  <c r="AD63" i="17"/>
  <c r="BD63" i="17"/>
  <c r="AK63" i="17"/>
  <c r="AW63" i="17"/>
  <c r="AP63" i="17"/>
  <c r="AN63" i="17"/>
  <c r="AZ63" i="17"/>
  <c r="AG63" i="17"/>
  <c r="AR63" i="17"/>
  <c r="AJ63" i="17"/>
  <c r="AV63" i="17"/>
  <c r="AF63" i="17"/>
  <c r="AB63" i="17"/>
  <c r="BC63" i="17"/>
  <c r="AQ63" i="17"/>
  <c r="BA85" i="17"/>
  <c r="AK85" i="17"/>
  <c r="AW85" i="17"/>
  <c r="AX85" i="17"/>
  <c r="BD85" i="17"/>
  <c r="AG85" i="17"/>
  <c r="AS85" i="17"/>
  <c r="AO85" i="17"/>
  <c r="AN85" i="17"/>
  <c r="AZ85" i="17"/>
  <c r="AC85" i="17"/>
  <c r="AU85" i="17"/>
  <c r="AJ85" i="17"/>
  <c r="AV85" i="17"/>
  <c r="AH85" i="17"/>
  <c r="AF85" i="17"/>
  <c r="AR85" i="17"/>
  <c r="AQ85" i="17"/>
  <c r="BC85" i="17"/>
  <c r="AE85" i="17"/>
  <c r="AM85" i="17"/>
  <c r="AY85" i="17"/>
  <c r="AI85" i="17"/>
  <c r="AT85" i="17"/>
  <c r="AB85" i="17"/>
  <c r="AD85" i="17"/>
  <c r="AP85" i="17"/>
  <c r="BB85" i="17"/>
  <c r="AL85" i="17"/>
  <c r="BE85" i="17"/>
  <c r="AF38" i="17"/>
  <c r="AR38" i="17"/>
  <c r="AO38" i="17"/>
  <c r="AU38" i="17"/>
  <c r="AB38" i="17"/>
  <c r="BD38" i="17"/>
  <c r="AE38" i="17"/>
  <c r="AQ38" i="17"/>
  <c r="AN38" i="17"/>
  <c r="AH38" i="17"/>
  <c r="BC38" i="17"/>
  <c r="AJ38" i="17"/>
  <c r="AM38" i="17"/>
  <c r="BA38" i="17"/>
  <c r="AY38" i="17"/>
  <c r="AT38" i="17"/>
  <c r="AD38" i="17"/>
  <c r="AP38" i="17"/>
  <c r="AK38" i="17"/>
  <c r="AW38" i="17"/>
  <c r="BB38" i="17"/>
  <c r="AI38" i="17"/>
  <c r="AG38" i="17"/>
  <c r="AS38" i="17"/>
  <c r="AL38" i="17"/>
  <c r="AX38" i="17"/>
  <c r="AV38" i="17"/>
  <c r="AC38" i="17"/>
  <c r="BE38" i="17"/>
  <c r="AZ38" i="17"/>
  <c r="AD73" i="17"/>
  <c r="AP73" i="17"/>
  <c r="AK73" i="17"/>
  <c r="AW73" i="17"/>
  <c r="BB73" i="17"/>
  <c r="AI73" i="17"/>
  <c r="AG73" i="17"/>
  <c r="AS73" i="17"/>
  <c r="AL73" i="17"/>
  <c r="AX73" i="17"/>
  <c r="AV73" i="17"/>
  <c r="AC73" i="17"/>
  <c r="BE73" i="17"/>
  <c r="AZ73" i="17"/>
  <c r="AF73" i="17"/>
  <c r="AR73" i="17"/>
  <c r="AO73" i="17"/>
  <c r="AU73" i="17"/>
  <c r="AB73" i="17"/>
  <c r="BD73" i="17"/>
  <c r="AE73" i="17"/>
  <c r="AQ73" i="17"/>
  <c r="AN73" i="17"/>
  <c r="AH73" i="17"/>
  <c r="BC73" i="17"/>
  <c r="AJ73" i="17"/>
  <c r="AM73" i="17"/>
  <c r="BA73" i="17"/>
  <c r="AY73" i="17"/>
  <c r="AT73" i="17"/>
  <c r="AW8" i="17"/>
  <c r="AG8" i="17"/>
  <c r="AS8" i="17"/>
  <c r="AV8" i="17"/>
  <c r="AC8" i="17"/>
  <c r="BE8" i="17"/>
  <c r="AK8" i="17"/>
  <c r="AF8" i="17"/>
  <c r="AR8" i="17"/>
  <c r="AO8" i="17"/>
  <c r="AZ8" i="17"/>
  <c r="AI8" i="17"/>
  <c r="AU8" i="17"/>
  <c r="AB8" i="17"/>
  <c r="BD8" i="17"/>
  <c r="AX8" i="17"/>
  <c r="AE8" i="17"/>
  <c r="AQ8" i="17"/>
  <c r="AN8" i="17"/>
  <c r="AT8" i="17"/>
  <c r="BC8" i="17"/>
  <c r="AJ8" i="17"/>
  <c r="AD8" i="17"/>
  <c r="AP8" i="17"/>
  <c r="AM8" i="17"/>
  <c r="AH8" i="17"/>
  <c r="BB8" i="17"/>
  <c r="AL8" i="17"/>
  <c r="BA8" i="17"/>
  <c r="AY8" i="17"/>
  <c r="AE16" i="17"/>
  <c r="AQ16" i="17"/>
  <c r="AN16" i="17"/>
  <c r="AT16" i="17"/>
  <c r="BC16" i="17"/>
  <c r="AZ16" i="17"/>
  <c r="AD16" i="17"/>
  <c r="AP16" i="17"/>
  <c r="AM16" i="17"/>
  <c r="AX16" i="17"/>
  <c r="BB16" i="17"/>
  <c r="AL16" i="17"/>
  <c r="AJ16" i="17"/>
  <c r="AH16" i="17"/>
  <c r="AW16" i="17"/>
  <c r="AG16" i="17"/>
  <c r="AS16" i="17"/>
  <c r="BA16" i="17"/>
  <c r="AV16" i="17"/>
  <c r="AC16" i="17"/>
  <c r="BE16" i="17"/>
  <c r="AY16" i="17"/>
  <c r="AF16" i="17"/>
  <c r="AR16" i="17"/>
  <c r="AO16" i="17"/>
  <c r="AK16" i="17"/>
  <c r="AU16" i="17"/>
  <c r="AB16" i="17"/>
  <c r="BD16" i="17"/>
  <c r="AI16" i="17"/>
  <c r="AM20" i="17"/>
  <c r="AY20" i="17"/>
  <c r="BB20" i="17"/>
  <c r="AI20" i="17"/>
  <c r="AU20" i="17"/>
  <c r="AC20" i="17"/>
  <c r="AL20" i="17"/>
  <c r="AX20" i="17"/>
  <c r="AE20" i="17"/>
  <c r="AP20" i="17"/>
  <c r="BE20" i="17"/>
  <c r="AH20" i="17"/>
  <c r="AT20" i="17"/>
  <c r="AR20" i="17"/>
  <c r="AO20" i="17"/>
  <c r="BA20" i="17"/>
  <c r="AD20" i="17"/>
  <c r="BD20" i="17"/>
  <c r="AK20" i="17"/>
  <c r="AW20" i="17"/>
  <c r="AN20" i="17"/>
  <c r="AZ20" i="17"/>
  <c r="AG20" i="17"/>
  <c r="AB20" i="17"/>
  <c r="AJ20" i="17"/>
  <c r="AV20" i="17"/>
  <c r="AF20" i="17"/>
  <c r="AQ20" i="17"/>
  <c r="AS20" i="17"/>
  <c r="BC20" i="17"/>
  <c r="AF55" i="17"/>
  <c r="AQ55" i="17"/>
  <c r="AS55" i="17"/>
  <c r="BC55" i="17"/>
  <c r="AM55" i="17"/>
  <c r="AY55" i="17"/>
  <c r="BB55" i="17"/>
  <c r="AI55" i="17"/>
  <c r="AU55" i="17"/>
  <c r="AC55" i="17"/>
  <c r="AL55" i="17"/>
  <c r="AX55" i="17"/>
  <c r="AE55" i="17"/>
  <c r="AP55" i="17"/>
  <c r="BE55" i="17"/>
  <c r="AH55" i="17"/>
  <c r="AT55" i="17"/>
  <c r="AR55" i="17"/>
  <c r="AO55" i="17"/>
  <c r="BA55" i="17"/>
  <c r="AD55" i="17"/>
  <c r="BD55" i="17"/>
  <c r="AK55" i="17"/>
  <c r="AW55" i="17"/>
  <c r="AN55" i="17"/>
  <c r="AZ55" i="17"/>
  <c r="AG55" i="17"/>
  <c r="AB55" i="17"/>
  <c r="AJ55" i="17"/>
  <c r="AV55" i="17"/>
  <c r="AF12" i="17"/>
  <c r="AC12" i="17"/>
  <c r="BC12" i="17"/>
  <c r="AM12" i="17"/>
  <c r="AY12" i="17"/>
  <c r="AP12" i="17"/>
  <c r="BB12" i="17"/>
  <c r="AI12" i="17"/>
  <c r="AU12" i="17"/>
  <c r="AR12" i="17"/>
  <c r="AL12" i="17"/>
  <c r="AX12" i="17"/>
  <c r="AE12" i="17"/>
  <c r="BE12" i="17"/>
  <c r="AH12" i="17"/>
  <c r="AT12" i="17"/>
  <c r="AB12" i="17"/>
  <c r="AO12" i="17"/>
  <c r="BA12" i="17"/>
  <c r="AD12" i="17"/>
  <c r="BD12" i="17"/>
  <c r="AK12" i="17"/>
  <c r="AW12" i="17"/>
  <c r="AQ12" i="17"/>
  <c r="AN12" i="17"/>
  <c r="AZ12" i="17"/>
  <c r="AG12" i="17"/>
  <c r="AS12" i="17"/>
  <c r="AJ12" i="17"/>
  <c r="AV12" i="17"/>
  <c r="AF93" i="17"/>
  <c r="AU93" i="17"/>
  <c r="AO93" i="17"/>
  <c r="AQ93" i="17"/>
  <c r="BC93" i="17"/>
  <c r="AH93" i="17"/>
  <c r="AM93" i="17"/>
  <c r="AY93" i="17"/>
  <c r="AI93" i="17"/>
  <c r="AR93" i="17"/>
  <c r="AT93" i="17"/>
  <c r="AE93" i="17"/>
  <c r="AD93" i="17"/>
  <c r="AP93" i="17"/>
  <c r="BB93" i="17"/>
  <c r="AL93" i="17"/>
  <c r="BA93" i="17"/>
  <c r="AB93" i="17"/>
  <c r="AK93" i="17"/>
  <c r="AW93" i="17"/>
  <c r="BD93" i="17"/>
  <c r="AG93" i="17"/>
  <c r="AS93" i="17"/>
  <c r="BE93" i="17"/>
  <c r="AN93" i="17"/>
  <c r="AZ93" i="17"/>
  <c r="AC93" i="17"/>
  <c r="AJ93" i="17"/>
  <c r="AV93" i="17"/>
  <c r="AX93" i="17"/>
  <c r="AJ42" i="17"/>
  <c r="AX42" i="17"/>
  <c r="AI42" i="17"/>
  <c r="AH42" i="17"/>
  <c r="BA42" i="17"/>
  <c r="BD42" i="17"/>
  <c r="AK42" i="17"/>
  <c r="AZ42" i="17"/>
  <c r="AN42" i="17"/>
  <c r="AV42" i="17"/>
  <c r="BC42" i="17"/>
  <c r="AF42" i="17"/>
  <c r="AR42" i="17"/>
  <c r="AY42" i="17"/>
  <c r="AM42" i="17"/>
  <c r="AU42" i="17"/>
  <c r="AQ42" i="17"/>
  <c r="AB42" i="17"/>
  <c r="BB42" i="17"/>
  <c r="AE42" i="17"/>
  <c r="AP42" i="17"/>
  <c r="AL42" i="17"/>
  <c r="AT42" i="17"/>
  <c r="AS42" i="17"/>
  <c r="BE42" i="17"/>
  <c r="AD42" i="17"/>
  <c r="AC42" i="17"/>
  <c r="AO42" i="17"/>
  <c r="AW42" i="17"/>
  <c r="AG42" i="17"/>
  <c r="AD67" i="17"/>
  <c r="AP67" i="17"/>
  <c r="AM67" i="17"/>
  <c r="AY67" i="17"/>
  <c r="BB67" i="17"/>
  <c r="AL67" i="17"/>
  <c r="AK67" i="17"/>
  <c r="AI67" i="17"/>
  <c r="AW67" i="17"/>
  <c r="AG67" i="17"/>
  <c r="AS67" i="17"/>
  <c r="AZ67" i="17"/>
  <c r="AV67" i="17"/>
  <c r="AC67" i="17"/>
  <c r="BE67" i="17"/>
  <c r="AX67" i="17"/>
  <c r="AF67" i="17"/>
  <c r="AR67" i="17"/>
  <c r="AO67" i="17"/>
  <c r="AJ67" i="17"/>
  <c r="AU67" i="17"/>
  <c r="AB67" i="17"/>
  <c r="BD67" i="17"/>
  <c r="AH67" i="17"/>
  <c r="AE67" i="17"/>
  <c r="AQ67" i="17"/>
  <c r="AN67" i="17"/>
  <c r="AT67" i="17"/>
  <c r="BC67" i="17"/>
  <c r="BA67" i="17"/>
  <c r="AF81" i="17"/>
  <c r="AR81" i="17"/>
  <c r="AO81" i="17"/>
  <c r="AU81" i="17"/>
  <c r="AB81" i="17"/>
  <c r="BD81" i="17"/>
  <c r="AX81" i="17"/>
  <c r="AE81" i="17"/>
  <c r="AQ81" i="17"/>
  <c r="AN81" i="17"/>
  <c r="AZ81" i="17"/>
  <c r="BC81" i="17"/>
  <c r="AM81" i="17"/>
  <c r="AH81" i="17"/>
  <c r="AJ81" i="17"/>
  <c r="AT81" i="17"/>
  <c r="AD81" i="17"/>
  <c r="AP81" i="17"/>
  <c r="BA81" i="17"/>
  <c r="AW81" i="17"/>
  <c r="BB81" i="17"/>
  <c r="AY81" i="17"/>
  <c r="AG81" i="17"/>
  <c r="AS81" i="17"/>
  <c r="AL81" i="17"/>
  <c r="AK81" i="17"/>
  <c r="AV81" i="17"/>
  <c r="AC81" i="17"/>
  <c r="BE81" i="17"/>
  <c r="AI81" i="17"/>
  <c r="BC65" i="17"/>
  <c r="AM65" i="17"/>
  <c r="AK65" i="17"/>
  <c r="AT65" i="17"/>
  <c r="AD65" i="17"/>
  <c r="AP65" i="17"/>
  <c r="AW65" i="17"/>
  <c r="BB65" i="17"/>
  <c r="AG65" i="17"/>
  <c r="AS65" i="17"/>
  <c r="AL65" i="17"/>
  <c r="AH65" i="17"/>
  <c r="AV65" i="17"/>
  <c r="AC65" i="17"/>
  <c r="BE65" i="17"/>
  <c r="AF65" i="17"/>
  <c r="AR65" i="17"/>
  <c r="AO65" i="17"/>
  <c r="AU65" i="17"/>
  <c r="AB65" i="17"/>
  <c r="BD65" i="17"/>
  <c r="AE65" i="17"/>
  <c r="AQ65" i="17"/>
  <c r="AN65" i="17"/>
  <c r="AY65" i="17"/>
  <c r="AJ65" i="17"/>
  <c r="BA65" i="17"/>
  <c r="AI65" i="17"/>
  <c r="AX65" i="17"/>
  <c r="AZ65" i="17"/>
  <c r="AG22" i="17"/>
  <c r="AS22" i="17"/>
  <c r="AL22" i="17"/>
  <c r="BA22" i="17"/>
  <c r="AV22" i="17"/>
  <c r="AC22" i="17"/>
  <c r="BE22" i="17"/>
  <c r="AY22" i="17"/>
  <c r="AF22" i="17"/>
  <c r="AR22" i="17"/>
  <c r="AO22" i="17"/>
  <c r="AU22" i="17"/>
  <c r="AB22" i="17"/>
  <c r="BD22" i="17"/>
  <c r="AK22" i="17"/>
  <c r="AE22" i="17"/>
  <c r="AQ22" i="17"/>
  <c r="AN22" i="17"/>
  <c r="AI22" i="17"/>
  <c r="BC22" i="17"/>
  <c r="AM22" i="17"/>
  <c r="AX22" i="17"/>
  <c r="AZ22" i="17"/>
  <c r="AT22" i="17"/>
  <c r="AD22" i="17"/>
  <c r="AP22" i="17"/>
  <c r="AH22" i="17"/>
  <c r="AW22" i="17"/>
  <c r="BB22" i="17"/>
  <c r="AJ22" i="17"/>
  <c r="AG32" i="17"/>
  <c r="AS32" i="17"/>
  <c r="AZ32" i="17"/>
  <c r="AV32" i="17"/>
  <c r="AC32" i="17"/>
  <c r="BE32" i="17"/>
  <c r="AX32" i="17"/>
  <c r="AF32" i="17"/>
  <c r="AR32" i="17"/>
  <c r="AO32" i="17"/>
  <c r="AJ32" i="17"/>
  <c r="AU32" i="17"/>
  <c r="AB32" i="17"/>
  <c r="BD32" i="17"/>
  <c r="AH32" i="17"/>
  <c r="AE32" i="17"/>
  <c r="AQ32" i="17"/>
  <c r="AN32" i="17"/>
  <c r="AT32" i="17"/>
  <c r="BC32" i="17"/>
  <c r="BA32" i="17"/>
  <c r="AD32" i="17"/>
  <c r="AP32" i="17"/>
  <c r="AM32" i="17"/>
  <c r="AY32" i="17"/>
  <c r="BB32" i="17"/>
  <c r="AL32" i="17"/>
  <c r="AK32" i="17"/>
  <c r="AI32" i="17"/>
  <c r="AW32" i="17"/>
  <c r="AO28" i="17"/>
  <c r="BA28" i="17"/>
  <c r="AD28" i="17"/>
  <c r="BD28" i="17"/>
  <c r="AK28" i="17"/>
  <c r="AW28" i="17"/>
  <c r="AP28" i="17"/>
  <c r="AN28" i="17"/>
  <c r="AZ28" i="17"/>
  <c r="AG28" i="17"/>
  <c r="AR28" i="17"/>
  <c r="AJ28" i="17"/>
  <c r="AV28" i="17"/>
  <c r="AF28" i="17"/>
  <c r="AB28" i="17"/>
  <c r="BC28" i="17"/>
  <c r="AS28" i="17"/>
  <c r="AM28" i="17"/>
  <c r="AY28" i="17"/>
  <c r="BB28" i="17"/>
  <c r="AI28" i="17"/>
  <c r="AU28" i="17"/>
  <c r="AL28" i="17"/>
  <c r="AX28" i="17"/>
  <c r="AE28" i="17"/>
  <c r="AQ28" i="17"/>
  <c r="BE28" i="17"/>
  <c r="AH28" i="17"/>
  <c r="AT28" i="17"/>
  <c r="AC28" i="17"/>
  <c r="AJ61" i="17"/>
  <c r="AY61" i="17"/>
  <c r="AI61" i="17"/>
  <c r="AH61" i="17"/>
  <c r="AX61" i="17"/>
  <c r="BD61" i="17"/>
  <c r="AK61" i="17"/>
  <c r="AN61" i="17"/>
  <c r="AV61" i="17"/>
  <c r="BA61" i="17"/>
  <c r="BC61" i="17"/>
  <c r="AF61" i="17"/>
  <c r="AR61" i="17"/>
  <c r="AZ61" i="17"/>
  <c r="AM61" i="17"/>
  <c r="AU61" i="17"/>
  <c r="AQ61" i="17"/>
  <c r="AB61" i="17"/>
  <c r="BB61" i="17"/>
  <c r="AE61" i="17"/>
  <c r="AP61" i="17"/>
  <c r="AL61" i="17"/>
  <c r="AT61" i="17"/>
  <c r="AS61" i="17"/>
  <c r="BE61" i="17"/>
  <c r="AD61" i="17"/>
  <c r="AC61" i="17"/>
  <c r="AO61" i="17"/>
  <c r="AW61" i="17"/>
  <c r="AG61" i="17"/>
  <c r="AO79" i="17"/>
  <c r="BA79" i="17"/>
  <c r="AD79" i="17"/>
  <c r="BD79" i="17"/>
  <c r="AK79" i="17"/>
  <c r="AW79" i="17"/>
  <c r="AQ79" i="17"/>
  <c r="AN79" i="17"/>
  <c r="AZ79" i="17"/>
  <c r="AG79" i="17"/>
  <c r="AS79" i="17"/>
  <c r="AJ79" i="17"/>
  <c r="AV79" i="17"/>
  <c r="AF79" i="17"/>
  <c r="AC79" i="17"/>
  <c r="BC79" i="17"/>
  <c r="AM79" i="17"/>
  <c r="AY79" i="17"/>
  <c r="AR79" i="17"/>
  <c r="BB79" i="17"/>
  <c r="AI79" i="17"/>
  <c r="AU79" i="17"/>
  <c r="AL79" i="17"/>
  <c r="AX79" i="17"/>
  <c r="AE79" i="17"/>
  <c r="AP79" i="17"/>
  <c r="BE79" i="17"/>
  <c r="AH79" i="17"/>
  <c r="AT79" i="17"/>
  <c r="AB79" i="17"/>
  <c r="AD40" i="17"/>
  <c r="AP40" i="17"/>
  <c r="AM40" i="17"/>
  <c r="AH40" i="17"/>
  <c r="BB40" i="17"/>
  <c r="AL40" i="17"/>
  <c r="BA40" i="17"/>
  <c r="AY40" i="17"/>
  <c r="AW40" i="17"/>
  <c r="AG40" i="17"/>
  <c r="AS40" i="17"/>
  <c r="AI40" i="17"/>
  <c r="AV40" i="17"/>
  <c r="AC40" i="17"/>
  <c r="BE40" i="17"/>
  <c r="AF40" i="17"/>
  <c r="AR40" i="17"/>
  <c r="AO40" i="17"/>
  <c r="AZ40" i="17"/>
  <c r="AK40" i="17"/>
  <c r="AU40" i="17"/>
  <c r="AB40" i="17"/>
  <c r="BD40" i="17"/>
  <c r="AX40" i="17"/>
  <c r="AE40" i="17"/>
  <c r="AQ40" i="17"/>
  <c r="AN40" i="17"/>
  <c r="AT40" i="17"/>
  <c r="BC40" i="17"/>
  <c r="AJ40" i="17"/>
  <c r="AM46" i="17"/>
  <c r="AH46" i="17"/>
  <c r="AJ46" i="17"/>
  <c r="AT46" i="17"/>
  <c r="AD46" i="17"/>
  <c r="AP46" i="17"/>
  <c r="AY46" i="17"/>
  <c r="AW46" i="17"/>
  <c r="BB46" i="17"/>
  <c r="AG46" i="17"/>
  <c r="AS46" i="17"/>
  <c r="AL46" i="17"/>
  <c r="AK46" i="17"/>
  <c r="BA46" i="17"/>
  <c r="AV46" i="17"/>
  <c r="AC46" i="17"/>
  <c r="BE46" i="17"/>
  <c r="AI46" i="17"/>
  <c r="AF46" i="17"/>
  <c r="AR46" i="17"/>
  <c r="AO46" i="17"/>
  <c r="AU46" i="17"/>
  <c r="AB46" i="17"/>
  <c r="BD46" i="17"/>
  <c r="AX46" i="17"/>
  <c r="AE46" i="17"/>
  <c r="AQ46" i="17"/>
  <c r="AN46" i="17"/>
  <c r="AZ46" i="17"/>
  <c r="BC46" i="17"/>
  <c r="AX24" i="17"/>
  <c r="AW24" i="17"/>
  <c r="AG24" i="17"/>
  <c r="AS24" i="17"/>
  <c r="AJ24" i="17"/>
  <c r="AV24" i="17"/>
  <c r="AC24" i="17"/>
  <c r="BE24" i="17"/>
  <c r="AH24" i="17"/>
  <c r="AF24" i="17"/>
  <c r="AR24" i="17"/>
  <c r="AO24" i="17"/>
  <c r="BA24" i="17"/>
  <c r="AU24" i="17"/>
  <c r="AB24" i="17"/>
  <c r="BD24" i="17"/>
  <c r="AY24" i="17"/>
  <c r="AE24" i="17"/>
  <c r="AQ24" i="17"/>
  <c r="AN24" i="17"/>
  <c r="AT24" i="17"/>
  <c r="BC24" i="17"/>
  <c r="AD24" i="17"/>
  <c r="AP24" i="17"/>
  <c r="AM24" i="17"/>
  <c r="AK24" i="17"/>
  <c r="BB24" i="17"/>
  <c r="AI24" i="17"/>
  <c r="AL24" i="17"/>
  <c r="AZ24" i="17"/>
  <c r="BC44" i="17"/>
  <c r="AM44" i="17"/>
  <c r="AY44" i="17"/>
  <c r="BB44" i="17"/>
  <c r="AI44" i="17"/>
  <c r="AU44" i="17"/>
  <c r="AP44" i="17"/>
  <c r="AL44" i="17"/>
  <c r="AX44" i="17"/>
  <c r="AE44" i="17"/>
  <c r="AR44" i="17"/>
  <c r="BE44" i="17"/>
  <c r="AH44" i="17"/>
  <c r="AT44" i="17"/>
  <c r="AB44" i="17"/>
  <c r="AO44" i="17"/>
  <c r="BA44" i="17"/>
  <c r="AD44" i="17"/>
  <c r="BD44" i="17"/>
  <c r="AK44" i="17"/>
  <c r="AW44" i="17"/>
  <c r="AQ44" i="17"/>
  <c r="AN44" i="17"/>
  <c r="AZ44" i="17"/>
  <c r="AG44" i="17"/>
  <c r="AS44" i="17"/>
  <c r="AJ44" i="17"/>
  <c r="AV44" i="17"/>
  <c r="AF44" i="17"/>
  <c r="AC44" i="17"/>
  <c r="AN69" i="17"/>
  <c r="AZ69" i="17"/>
  <c r="BC69" i="17"/>
  <c r="AJ69" i="17"/>
  <c r="AV69" i="17"/>
  <c r="AB69" i="17"/>
  <c r="AM69" i="17"/>
  <c r="AY69" i="17"/>
  <c r="AF69" i="17"/>
  <c r="AQ69" i="17"/>
  <c r="BB69" i="17"/>
  <c r="AI69" i="17"/>
  <c r="AU69" i="17"/>
  <c r="AS69" i="17"/>
  <c r="AL69" i="17"/>
  <c r="AX69" i="17"/>
  <c r="AE69" i="17"/>
  <c r="BE69" i="17"/>
  <c r="AH69" i="17"/>
  <c r="AT69" i="17"/>
  <c r="AO69" i="17"/>
  <c r="BA69" i="17"/>
  <c r="AD69" i="17"/>
  <c r="AC69" i="17"/>
  <c r="AK69" i="17"/>
  <c r="AW69" i="17"/>
  <c r="AG69" i="17"/>
  <c r="AR69" i="17"/>
  <c r="AP69" i="17"/>
  <c r="BD69" i="17"/>
  <c r="AL71" i="17"/>
  <c r="AX71" i="17"/>
  <c r="AE71" i="17"/>
  <c r="AQ71" i="17"/>
  <c r="BE71" i="17"/>
  <c r="AH71" i="17"/>
  <c r="AT71" i="17"/>
  <c r="AS71" i="17"/>
  <c r="AO71" i="17"/>
  <c r="BA71" i="17"/>
  <c r="AD71" i="17"/>
  <c r="BD71" i="17"/>
  <c r="AK71" i="17"/>
  <c r="AW71" i="17"/>
  <c r="AN71" i="17"/>
  <c r="AZ71" i="17"/>
  <c r="AG71" i="17"/>
  <c r="AJ71" i="17"/>
  <c r="AV71" i="17"/>
  <c r="AC71" i="17"/>
  <c r="AF71" i="17"/>
  <c r="AP71" i="17"/>
  <c r="AR71" i="17"/>
  <c r="BC71" i="17"/>
  <c r="AM71" i="17"/>
  <c r="AY71" i="17"/>
  <c r="BB71" i="17"/>
  <c r="AI71" i="17"/>
  <c r="AU71" i="17"/>
  <c r="AB71" i="17"/>
  <c r="AF75" i="17"/>
  <c r="AR75" i="17"/>
  <c r="AO75" i="17"/>
  <c r="AZ75" i="17"/>
  <c r="AU75" i="17"/>
  <c r="AB75" i="17"/>
  <c r="BD75" i="17"/>
  <c r="AX75" i="17"/>
  <c r="AE75" i="17"/>
  <c r="AQ75" i="17"/>
  <c r="AN75" i="17"/>
  <c r="AT75" i="17"/>
  <c r="BC75" i="17"/>
  <c r="AJ75" i="17"/>
  <c r="AD75" i="17"/>
  <c r="AP75" i="17"/>
  <c r="AM75" i="17"/>
  <c r="AH75" i="17"/>
  <c r="BB75" i="17"/>
  <c r="AL75" i="17"/>
  <c r="BA75" i="17"/>
  <c r="AY75" i="17"/>
  <c r="AW75" i="17"/>
  <c r="AG75" i="17"/>
  <c r="AS75" i="17"/>
  <c r="AK75" i="17"/>
  <c r="AV75" i="17"/>
  <c r="AC75" i="17"/>
  <c r="BE75" i="17"/>
  <c r="AI75" i="17"/>
  <c r="AM89" i="17"/>
  <c r="AB89" i="17"/>
  <c r="AT89" i="17"/>
  <c r="AY89" i="17"/>
  <c r="AD89" i="17"/>
  <c r="AP89" i="17"/>
  <c r="AI89" i="17"/>
  <c r="BB89" i="17"/>
  <c r="BA89" i="17"/>
  <c r="AL89" i="17"/>
  <c r="AH89" i="17"/>
  <c r="AK89" i="17"/>
  <c r="AW89" i="17"/>
  <c r="AG89" i="17"/>
  <c r="AU89" i="17"/>
  <c r="BD89" i="17"/>
  <c r="AS89" i="17"/>
  <c r="BE89" i="17"/>
  <c r="AN89" i="17"/>
  <c r="AZ89" i="17"/>
  <c r="AC89" i="17"/>
  <c r="AR89" i="17"/>
  <c r="AJ89" i="17"/>
  <c r="AE89" i="17"/>
  <c r="AV89" i="17"/>
  <c r="AX89" i="17"/>
  <c r="AQ89" i="17"/>
  <c r="BC89" i="17"/>
  <c r="AF89" i="17"/>
  <c r="AO89" i="17"/>
  <c r="BC18" i="17"/>
  <c r="AJ18" i="17"/>
  <c r="AV18" i="17"/>
  <c r="AS18" i="17"/>
  <c r="AM18" i="17"/>
  <c r="AY18" i="17"/>
  <c r="AF18" i="17"/>
  <c r="BB18" i="17"/>
  <c r="AI18" i="17"/>
  <c r="AU18" i="17"/>
  <c r="AC18" i="17"/>
  <c r="AL18" i="17"/>
  <c r="AX18" i="17"/>
  <c r="AE18" i="17"/>
  <c r="BE18" i="17"/>
  <c r="AH18" i="17"/>
  <c r="AT18" i="17"/>
  <c r="AR18" i="17"/>
  <c r="AO18" i="17"/>
  <c r="BA18" i="17"/>
  <c r="AD18" i="17"/>
  <c r="AP18" i="17"/>
  <c r="AK18" i="17"/>
  <c r="AW18" i="17"/>
  <c r="AG18" i="17"/>
  <c r="AB18" i="17"/>
  <c r="BD18" i="17"/>
  <c r="AN18" i="17"/>
  <c r="AZ18" i="17"/>
  <c r="AQ18" i="17"/>
  <c r="AL87" i="17"/>
  <c r="AX87" i="17"/>
  <c r="AN87" i="17"/>
  <c r="AH87" i="17"/>
  <c r="AT87" i="17"/>
  <c r="AW87" i="17"/>
  <c r="AK87" i="17"/>
  <c r="AG87" i="17"/>
  <c r="AS87" i="17"/>
  <c r="BE87" i="17"/>
  <c r="AC87" i="17"/>
  <c r="AO87" i="17"/>
  <c r="AQ87" i="17"/>
  <c r="AZ87" i="17"/>
  <c r="AD87" i="17"/>
  <c r="AJ87" i="17"/>
  <c r="AV87" i="17"/>
  <c r="BC87" i="17"/>
  <c r="AF87" i="17"/>
  <c r="AR87" i="17"/>
  <c r="AM87" i="17"/>
  <c r="AY87" i="17"/>
  <c r="AB87" i="17"/>
  <c r="BD87" i="17"/>
  <c r="AI87" i="17"/>
  <c r="AU87" i="17"/>
  <c r="AE87" i="17"/>
  <c r="AP87" i="17"/>
  <c r="BB87" i="17"/>
  <c r="BA87" i="17"/>
  <c r="AD83" i="17"/>
  <c r="AP83" i="17"/>
  <c r="AR83" i="17"/>
  <c r="BB83" i="17"/>
  <c r="AL83" i="17"/>
  <c r="AW83" i="17"/>
  <c r="AB83" i="17"/>
  <c r="AG83" i="17"/>
  <c r="AS83" i="17"/>
  <c r="AX83" i="17"/>
  <c r="BD83" i="17"/>
  <c r="AC83" i="17"/>
  <c r="BE83" i="17"/>
  <c r="AN83" i="17"/>
  <c r="AZ83" i="17"/>
  <c r="AO83" i="17"/>
  <c r="AK83" i="17"/>
  <c r="BA83" i="17"/>
  <c r="AJ83" i="17"/>
  <c r="BC83" i="17"/>
  <c r="AY83" i="17"/>
  <c r="AV83" i="17"/>
  <c r="AH83" i="17"/>
  <c r="AI83" i="17"/>
  <c r="AU83" i="17"/>
  <c r="AF83" i="17"/>
  <c r="AE83" i="17"/>
  <c r="AM83" i="17"/>
  <c r="AT83" i="17"/>
  <c r="AQ83" i="17"/>
  <c r="AP36" i="17"/>
  <c r="AR36" i="17"/>
  <c r="BC36" i="17"/>
  <c r="AM36" i="17"/>
  <c r="AY36" i="17"/>
  <c r="AB36" i="17"/>
  <c r="BB36" i="17"/>
  <c r="AI36" i="17"/>
  <c r="AU36" i="17"/>
  <c r="AL36" i="17"/>
  <c r="AX36" i="17"/>
  <c r="AE36" i="17"/>
  <c r="AQ36" i="17"/>
  <c r="BE36" i="17"/>
  <c r="AH36" i="17"/>
  <c r="AT36" i="17"/>
  <c r="AS36" i="17"/>
  <c r="AO36" i="17"/>
  <c r="BA36" i="17"/>
  <c r="AD36" i="17"/>
  <c r="BD36" i="17"/>
  <c r="AK36" i="17"/>
  <c r="AW36" i="17"/>
  <c r="AN36" i="17"/>
  <c r="AZ36" i="17"/>
  <c r="AG36" i="17"/>
  <c r="AJ36" i="17"/>
  <c r="AV36" i="17"/>
  <c r="AC36" i="17"/>
  <c r="AF36" i="17"/>
  <c r="BB26" i="17"/>
  <c r="AI26" i="17"/>
  <c r="AU26" i="17"/>
  <c r="AS26" i="17"/>
  <c r="AL26" i="17"/>
  <c r="AX26" i="17"/>
  <c r="AE26" i="17"/>
  <c r="BE26" i="17"/>
  <c r="AH26" i="17"/>
  <c r="AT26" i="17"/>
  <c r="AO26" i="17"/>
  <c r="BA26" i="17"/>
  <c r="AD26" i="17"/>
  <c r="AC26" i="17"/>
  <c r="AK26" i="17"/>
  <c r="AW26" i="17"/>
  <c r="AG26" i="17"/>
  <c r="AR26" i="17"/>
  <c r="AP26" i="17"/>
  <c r="BD26" i="17"/>
  <c r="AN26" i="17"/>
  <c r="AZ26" i="17"/>
  <c r="BC26" i="17"/>
  <c r="AJ26" i="17"/>
  <c r="AV26" i="17"/>
  <c r="AM26" i="17"/>
  <c r="AY26" i="17"/>
  <c r="AF26" i="17"/>
  <c r="AQ26" i="17"/>
  <c r="AB26" i="17"/>
  <c r="AE57" i="17"/>
  <c r="AQ57" i="17"/>
  <c r="AN57" i="17"/>
  <c r="AI57" i="17"/>
  <c r="BC57" i="17"/>
  <c r="AM57" i="17"/>
  <c r="AX57" i="17"/>
  <c r="AZ57" i="17"/>
  <c r="AT57" i="17"/>
  <c r="AD57" i="17"/>
  <c r="AP57" i="17"/>
  <c r="AW57" i="17"/>
  <c r="BB57" i="17"/>
  <c r="AH57" i="17"/>
  <c r="AG57" i="17"/>
  <c r="AS57" i="17"/>
  <c r="AL57" i="17"/>
  <c r="BA57" i="17"/>
  <c r="AJ57" i="17"/>
  <c r="AV57" i="17"/>
  <c r="AC57" i="17"/>
  <c r="BE57" i="17"/>
  <c r="AY57" i="17"/>
  <c r="AF57" i="17"/>
  <c r="AR57" i="17"/>
  <c r="AO57" i="17"/>
  <c r="AU57" i="17"/>
  <c r="AB57" i="17"/>
  <c r="BD57" i="17"/>
  <c r="AK57" i="17"/>
  <c r="AN10" i="17"/>
  <c r="AZ10" i="17"/>
  <c r="BC10" i="17"/>
  <c r="AJ10" i="17"/>
  <c r="AV10" i="17"/>
  <c r="AC10" i="17"/>
  <c r="AM10" i="17"/>
  <c r="AY10" i="17"/>
  <c r="AF10" i="17"/>
  <c r="AR10" i="17"/>
  <c r="BB10" i="17"/>
  <c r="AI10" i="17"/>
  <c r="AU10" i="17"/>
  <c r="AP10" i="17"/>
  <c r="AL10" i="17"/>
  <c r="AX10" i="17"/>
  <c r="AE10" i="17"/>
  <c r="BE10" i="17"/>
  <c r="AH10" i="17"/>
  <c r="AT10" i="17"/>
  <c r="AO10" i="17"/>
  <c r="BA10" i="17"/>
  <c r="AD10" i="17"/>
  <c r="AB10" i="17"/>
  <c r="AK10" i="17"/>
  <c r="AW10" i="17"/>
  <c r="AG10" i="17"/>
  <c r="AQ10" i="17"/>
  <c r="AS10" i="17"/>
  <c r="BD10" i="17"/>
  <c r="AM91" i="17"/>
  <c r="AY91" i="17"/>
  <c r="AB91" i="17"/>
  <c r="AK91" i="17"/>
  <c r="AI91" i="17"/>
  <c r="AU91" i="17"/>
  <c r="AP91" i="17"/>
  <c r="BB91" i="17"/>
  <c r="AE91" i="17"/>
  <c r="AL91" i="17"/>
  <c r="AW91" i="17"/>
  <c r="AX91" i="17"/>
  <c r="AT91" i="17"/>
  <c r="AG91" i="17"/>
  <c r="AS91" i="17"/>
  <c r="AH91" i="17"/>
  <c r="AQ91" i="17"/>
  <c r="AC91" i="17"/>
  <c r="BE91" i="17"/>
  <c r="AD91" i="17"/>
  <c r="AZ91" i="17"/>
  <c r="AO91" i="17"/>
  <c r="BA91" i="17"/>
  <c r="BD91" i="17"/>
  <c r="AJ91" i="17"/>
  <c r="AV91" i="17"/>
  <c r="AN91" i="17"/>
  <c r="AF91" i="17"/>
  <c r="BC91" i="17"/>
  <c r="AR91" i="17"/>
  <c r="AD14" i="17"/>
  <c r="AP14" i="17"/>
  <c r="AW14" i="17"/>
  <c r="BB14" i="17"/>
  <c r="BA14" i="17"/>
  <c r="AG14" i="17"/>
  <c r="AS14" i="17"/>
  <c r="AL14" i="17"/>
  <c r="AK14" i="17"/>
  <c r="AY14" i="17"/>
  <c r="AV14" i="17"/>
  <c r="AC14" i="17"/>
  <c r="BE14" i="17"/>
  <c r="AI14" i="17"/>
  <c r="AF14" i="17"/>
  <c r="AR14" i="17"/>
  <c r="AO14" i="17"/>
  <c r="AU14" i="17"/>
  <c r="AB14" i="17"/>
  <c r="BD14" i="17"/>
  <c r="AX14" i="17"/>
  <c r="AE14" i="17"/>
  <c r="AQ14" i="17"/>
  <c r="AN14" i="17"/>
  <c r="AZ14" i="17"/>
  <c r="BC14" i="17"/>
  <c r="AM14" i="17"/>
  <c r="AH14" i="17"/>
  <c r="AJ14" i="17"/>
  <c r="AT14" i="17"/>
  <c r="H17" i="16" l="1"/>
  <c r="G15" i="10" s="1"/>
  <c r="L15" i="10" s="1"/>
  <c r="I21" i="9"/>
  <c r="P21" i="9" s="1"/>
  <c r="O21" i="9"/>
  <c r="P25" i="9"/>
  <c r="O13" i="8"/>
  <c r="AA13" i="8" s="1"/>
  <c r="H7" i="16"/>
  <c r="G5" i="10" s="1"/>
  <c r="J5" i="10"/>
  <c r="I5" i="8" s="1"/>
  <c r="O18" i="8"/>
  <c r="AA18" i="8" s="1"/>
  <c r="O27" i="8"/>
  <c r="AA27" i="8" s="1"/>
  <c r="L11" i="10"/>
  <c r="G13" i="8"/>
  <c r="H13" i="8" s="1"/>
  <c r="N11" i="10"/>
  <c r="AC11" i="10"/>
  <c r="I11" i="10"/>
  <c r="O28" i="8"/>
  <c r="AA28" i="8" s="1"/>
  <c r="L18" i="10"/>
  <c r="N18" i="10"/>
  <c r="G18" i="8"/>
  <c r="H18" i="8" s="1"/>
  <c r="I18" i="10"/>
  <c r="L12" i="10"/>
  <c r="N12" i="10"/>
  <c r="I12" i="10"/>
  <c r="G27" i="8"/>
  <c r="H27" i="8" s="1"/>
  <c r="I27" i="10"/>
  <c r="L27" i="10"/>
  <c r="N27" i="10"/>
  <c r="O52" i="8"/>
  <c r="AA52" i="8" s="1"/>
  <c r="I28" i="10"/>
  <c r="L28" i="10"/>
  <c r="N28" i="10"/>
  <c r="G28" i="8"/>
  <c r="H28" i="8" s="1"/>
  <c r="O31" i="8"/>
  <c r="AA31" i="8" s="1"/>
  <c r="O49" i="8"/>
  <c r="AA49" i="8" s="1"/>
  <c r="O22" i="8"/>
  <c r="AB22" i="8" s="1"/>
  <c r="I59" i="10"/>
  <c r="L59" i="10"/>
  <c r="N59" i="10"/>
  <c r="G52" i="8"/>
  <c r="H52" i="8" s="1"/>
  <c r="O24" i="8"/>
  <c r="AA24" i="8" s="1"/>
  <c r="N31" i="10"/>
  <c r="L31" i="10"/>
  <c r="G31" i="8"/>
  <c r="H31" i="8" s="1"/>
  <c r="I31" i="10"/>
  <c r="L55" i="10"/>
  <c r="G49" i="8"/>
  <c r="H49" i="8" s="1"/>
  <c r="N55" i="10"/>
  <c r="I55" i="10"/>
  <c r="AC55" i="10"/>
  <c r="I22" i="10"/>
  <c r="L22" i="10"/>
  <c r="G22" i="8"/>
  <c r="H22" i="8" s="1"/>
  <c r="AC22" i="10"/>
  <c r="N22" i="10"/>
  <c r="O14" i="8"/>
  <c r="AA14" i="8" s="1"/>
  <c r="L24" i="10"/>
  <c r="N24" i="10"/>
  <c r="G24" i="8"/>
  <c r="H24" i="8" s="1"/>
  <c r="I24" i="10"/>
  <c r="O51" i="8"/>
  <c r="AA51" i="8" s="1"/>
  <c r="O7" i="8"/>
  <c r="AA7" i="8" s="1"/>
  <c r="H8" i="16"/>
  <c r="G6" i="10" s="1"/>
  <c r="J6" i="10"/>
  <c r="I6" i="8" s="1"/>
  <c r="N13" i="10"/>
  <c r="G14" i="8"/>
  <c r="H14" i="8" s="1"/>
  <c r="L13" i="10"/>
  <c r="I13" i="10"/>
  <c r="O26" i="8"/>
  <c r="AA26" i="8" s="1"/>
  <c r="I5" i="9"/>
  <c r="L5" i="9"/>
  <c r="L6" i="9" s="1"/>
  <c r="K4" i="12" s="1"/>
  <c r="L4" i="12" s="1"/>
  <c r="K33" i="10" s="1"/>
  <c r="L33" i="10" s="1"/>
  <c r="N5" i="9"/>
  <c r="N6" i="9" s="1"/>
  <c r="M4" i="12" s="1"/>
  <c r="N4" i="12" s="1"/>
  <c r="M33" i="10" s="1"/>
  <c r="N33" i="10" s="1"/>
  <c r="I58" i="10"/>
  <c r="L58" i="10"/>
  <c r="G51" i="8"/>
  <c r="H51" i="8" s="1"/>
  <c r="N58" i="10"/>
  <c r="AC58" i="10"/>
  <c r="N7" i="10"/>
  <c r="L7" i="10"/>
  <c r="G7" i="8"/>
  <c r="H7" i="8" s="1"/>
  <c r="AC7" i="10"/>
  <c r="I7" i="10"/>
  <c r="H22" i="16"/>
  <c r="G20" i="10" s="1"/>
  <c r="J20" i="10"/>
  <c r="I20" i="8" s="1"/>
  <c r="O15" i="8"/>
  <c r="AA15" i="8" s="1"/>
  <c r="G26" i="8"/>
  <c r="H26" i="8" s="1"/>
  <c r="I26" i="10"/>
  <c r="L26" i="10"/>
  <c r="N26" i="10"/>
  <c r="I10" i="8"/>
  <c r="I9" i="8"/>
  <c r="O30" i="8"/>
  <c r="AA30" i="8" s="1"/>
  <c r="O23" i="8"/>
  <c r="AB23" i="8" s="1"/>
  <c r="O54" i="8"/>
  <c r="AA54" i="8" s="1"/>
  <c r="H18" i="16"/>
  <c r="G16" i="10" s="1"/>
  <c r="J16" i="10"/>
  <c r="G15" i="8"/>
  <c r="H15" i="8" s="1"/>
  <c r="I14" i="10"/>
  <c r="N14" i="10"/>
  <c r="L14" i="10"/>
  <c r="I12" i="8"/>
  <c r="I11" i="8"/>
  <c r="G9" i="8"/>
  <c r="AC9" i="10"/>
  <c r="I9" i="10"/>
  <c r="L9" i="10"/>
  <c r="G10" i="8"/>
  <c r="N9" i="10"/>
  <c r="L30" i="10"/>
  <c r="N30" i="10"/>
  <c r="G30" i="8"/>
  <c r="H30" i="8" s="1"/>
  <c r="I30" i="10"/>
  <c r="L23" i="10"/>
  <c r="N23" i="10"/>
  <c r="AC23" i="10"/>
  <c r="G23" i="8"/>
  <c r="H23" i="8" s="1"/>
  <c r="I23" i="10"/>
  <c r="L61" i="10"/>
  <c r="N61" i="10"/>
  <c r="G54" i="8"/>
  <c r="H54" i="8" s="1"/>
  <c r="I61" i="10"/>
  <c r="O8" i="8"/>
  <c r="AA8" i="8" s="1"/>
  <c r="AC10" i="10"/>
  <c r="I10" i="10"/>
  <c r="L10" i="10"/>
  <c r="G12" i="8"/>
  <c r="N10" i="10"/>
  <c r="G11" i="8"/>
  <c r="O29" i="8"/>
  <c r="AA29" i="8" s="1"/>
  <c r="O50" i="8"/>
  <c r="AA50" i="8" s="1"/>
  <c r="O25" i="8"/>
  <c r="AA25" i="8" s="1"/>
  <c r="I57" i="10"/>
  <c r="N57" i="10"/>
  <c r="L57" i="10"/>
  <c r="N8" i="10"/>
  <c r="G8" i="8"/>
  <c r="H8" i="8" s="1"/>
  <c r="AC8" i="10"/>
  <c r="I8" i="10"/>
  <c r="L8" i="10"/>
  <c r="O21" i="8"/>
  <c r="AB21" i="8" s="1"/>
  <c r="L29" i="10"/>
  <c r="N29" i="10"/>
  <c r="G29" i="8"/>
  <c r="H29" i="8" s="1"/>
  <c r="I29" i="10"/>
  <c r="G50" i="8"/>
  <c r="H50" i="8" s="1"/>
  <c r="N56" i="10"/>
  <c r="L56" i="10"/>
  <c r="I56" i="10"/>
  <c r="N25" i="10"/>
  <c r="G25" i="8"/>
  <c r="H25" i="8" s="1"/>
  <c r="I25" i="10"/>
  <c r="L25" i="10"/>
  <c r="O19" i="8"/>
  <c r="AA19" i="8" s="1"/>
  <c r="G21" i="8"/>
  <c r="H21" i="8" s="1"/>
  <c r="I21" i="10"/>
  <c r="L21" i="10"/>
  <c r="AC21" i="10"/>
  <c r="N21" i="10"/>
  <c r="O17" i="8"/>
  <c r="AA17" i="8" s="1"/>
  <c r="O53" i="8"/>
  <c r="AA53" i="8" s="1"/>
  <c r="O16" i="8"/>
  <c r="AA16" i="8" s="1"/>
  <c r="N19" i="10"/>
  <c r="L19" i="10"/>
  <c r="G19" i="8"/>
  <c r="H19" i="8" s="1"/>
  <c r="I19" i="10"/>
  <c r="AC19" i="10"/>
  <c r="L17" i="10"/>
  <c r="N17" i="10"/>
  <c r="G17" i="8"/>
  <c r="H17" i="8" s="1"/>
  <c r="I17" i="10"/>
  <c r="L60" i="10"/>
  <c r="N60" i="10"/>
  <c r="G53" i="8"/>
  <c r="H53" i="8" s="1"/>
  <c r="I60" i="10"/>
  <c r="L32" i="10"/>
  <c r="N32" i="10"/>
  <c r="I15" i="10"/>
  <c r="I27" i="9" l="1"/>
  <c r="G16" i="8"/>
  <c r="H16" i="8" s="1"/>
  <c r="N15" i="10"/>
  <c r="P15" i="10" s="1"/>
  <c r="P19" i="10"/>
  <c r="AC63" i="10"/>
  <c r="P31" i="10"/>
  <c r="P23" i="10"/>
  <c r="P18" i="10"/>
  <c r="P29" i="10"/>
  <c r="P24" i="10"/>
  <c r="P12" i="10"/>
  <c r="P60" i="10"/>
  <c r="P26" i="10"/>
  <c r="P27" i="10"/>
  <c r="P21" i="10"/>
  <c r="P56" i="10"/>
  <c r="P30" i="10"/>
  <c r="P25" i="10"/>
  <c r="I55" i="8"/>
  <c r="AA55" i="8"/>
  <c r="I16" i="10"/>
  <c r="L16" i="10"/>
  <c r="N16" i="10"/>
  <c r="O6" i="8"/>
  <c r="AA6" i="8" s="1"/>
  <c r="P8" i="10"/>
  <c r="AA8" i="10"/>
  <c r="L6" i="10"/>
  <c r="N6" i="10"/>
  <c r="G6" i="8"/>
  <c r="H6" i="8" s="1"/>
  <c r="AC6" i="10"/>
  <c r="I6" i="10"/>
  <c r="AB9" i="10"/>
  <c r="P9" i="10"/>
  <c r="P58" i="10"/>
  <c r="H7" i="12"/>
  <c r="P27" i="9"/>
  <c r="O20" i="8"/>
  <c r="AA20" i="8" s="1"/>
  <c r="G20" i="8"/>
  <c r="H20" i="8" s="1"/>
  <c r="N20" i="10"/>
  <c r="I20" i="10"/>
  <c r="AC20" i="10"/>
  <c r="L20" i="10"/>
  <c r="H11" i="8"/>
  <c r="O11" i="8"/>
  <c r="AC11" i="8" s="1"/>
  <c r="P7" i="10"/>
  <c r="AA7" i="10"/>
  <c r="P5" i="9"/>
  <c r="I6" i="9"/>
  <c r="P22" i="10"/>
  <c r="P10" i="10"/>
  <c r="AB10" i="10"/>
  <c r="H12" i="8"/>
  <c r="O12" i="8"/>
  <c r="AD12" i="8" s="1"/>
  <c r="P28" i="10"/>
  <c r="P57" i="10"/>
  <c r="H9" i="8"/>
  <c r="O9" i="8"/>
  <c r="AC9" i="8" s="1"/>
  <c r="AA55" i="10"/>
  <c r="AA62" i="10" s="1"/>
  <c r="H62" i="10" s="1"/>
  <c r="P55" i="10"/>
  <c r="O5" i="8"/>
  <c r="AA5" i="8" s="1"/>
  <c r="H10" i="8"/>
  <c r="O10" i="8"/>
  <c r="AD10" i="8" s="1"/>
  <c r="P13" i="10"/>
  <c r="P59" i="10"/>
  <c r="L5" i="10"/>
  <c r="N5" i="10"/>
  <c r="AC5" i="10"/>
  <c r="G5" i="8"/>
  <c r="H5" i="8" s="1"/>
  <c r="I5" i="10"/>
  <c r="P17" i="10"/>
  <c r="P14" i="10"/>
  <c r="AB32" i="8"/>
  <c r="I33" i="8"/>
  <c r="P61" i="10"/>
  <c r="P11" i="10"/>
  <c r="AC37" i="10" l="1"/>
  <c r="P5" i="10"/>
  <c r="AA5" i="10"/>
  <c r="AA32" i="8"/>
  <c r="I32" i="8"/>
  <c r="I7" i="12"/>
  <c r="O7" i="12"/>
  <c r="I62" i="10"/>
  <c r="O62" i="10"/>
  <c r="H4" i="12"/>
  <c r="P6" i="9"/>
  <c r="AB36" i="10"/>
  <c r="H36" i="10" s="1"/>
  <c r="P16" i="10"/>
  <c r="AC32" i="8"/>
  <c r="I34" i="8"/>
  <c r="P6" i="10"/>
  <c r="AA6" i="10"/>
  <c r="O33" i="8"/>
  <c r="G33" i="8"/>
  <c r="AD32" i="8"/>
  <c r="I35" i="8"/>
  <c r="O55" i="8"/>
  <c r="G55" i="8"/>
  <c r="P20" i="10"/>
  <c r="G34" i="8" l="1"/>
  <c r="O34" i="8"/>
  <c r="H32" i="10"/>
  <c r="P7" i="12"/>
  <c r="P62" i="10"/>
  <c r="AD63" i="10"/>
  <c r="H63" i="10" s="1"/>
  <c r="O32" i="8"/>
  <c r="G32" i="8"/>
  <c r="I36" i="10"/>
  <c r="P36" i="10" s="1"/>
  <c r="O36" i="10"/>
  <c r="AA35" i="10"/>
  <c r="H35" i="10" s="1"/>
  <c r="G39" i="10"/>
  <c r="J39" i="10"/>
  <c r="J64" i="10"/>
  <c r="G64" i="10"/>
  <c r="O35" i="8"/>
  <c r="G35" i="8"/>
  <c r="I4" i="12"/>
  <c r="O4" i="12"/>
  <c r="J38" i="10" l="1"/>
  <c r="G38" i="10"/>
  <c r="I35" i="10"/>
  <c r="P35" i="10" s="1"/>
  <c r="O35" i="10"/>
  <c r="O63" i="10"/>
  <c r="I63" i="10"/>
  <c r="I64" i="10"/>
  <c r="L64" i="10"/>
  <c r="N64" i="10"/>
  <c r="N77" i="10" s="1"/>
  <c r="M27" i="11" s="1"/>
  <c r="N27" i="11" s="1"/>
  <c r="O32" i="10"/>
  <c r="I32" i="10"/>
  <c r="J41" i="10"/>
  <c r="G41" i="10"/>
  <c r="H33" i="10"/>
  <c r="P4" i="12"/>
  <c r="L39" i="10"/>
  <c r="AE39" i="10" s="1"/>
  <c r="N39" i="10"/>
  <c r="I39" i="10"/>
  <c r="J40" i="10"/>
  <c r="G40" i="10"/>
  <c r="P39" i="10" l="1"/>
  <c r="P64" i="10"/>
  <c r="P32" i="10"/>
  <c r="I40" i="10"/>
  <c r="L40" i="10"/>
  <c r="AE40" i="10" s="1"/>
  <c r="N40" i="10"/>
  <c r="P63" i="10"/>
  <c r="AE64" i="10"/>
  <c r="AE66" i="10" s="1"/>
  <c r="AC66" i="10" s="1"/>
  <c r="L77" i="10"/>
  <c r="K27" i="11" s="1"/>
  <c r="L27" i="11" s="1"/>
  <c r="AD66" i="10"/>
  <c r="I38" i="10"/>
  <c r="L38" i="10"/>
  <c r="N38" i="10"/>
  <c r="O33" i="10"/>
  <c r="I33" i="10"/>
  <c r="P33" i="10" s="1"/>
  <c r="I41" i="10"/>
  <c r="L41" i="10"/>
  <c r="AE41" i="10" s="1"/>
  <c r="N41" i="10"/>
  <c r="P38" i="10" l="1"/>
  <c r="P40" i="10"/>
  <c r="H65" i="10"/>
  <c r="P41" i="10"/>
  <c r="N53" i="10"/>
  <c r="M26" i="11" s="1"/>
  <c r="N26" i="11" s="1"/>
  <c r="N45" i="11" s="1"/>
  <c r="M5" i="11" s="1"/>
  <c r="N5" i="11" s="1"/>
  <c r="N24" i="11" s="1"/>
  <c r="D2" i="5" s="1"/>
  <c r="AD37" i="10"/>
  <c r="H37" i="10" s="1"/>
  <c r="AE38" i="10"/>
  <c r="AE43" i="10" s="1"/>
  <c r="AC43" i="10" s="1"/>
  <c r="L53" i="10"/>
  <c r="K26" i="11" s="1"/>
  <c r="L26" i="11" s="1"/>
  <c r="L45" i="11" s="1"/>
  <c r="K5" i="11" s="1"/>
  <c r="L5" i="11" s="1"/>
  <c r="AD43" i="10"/>
  <c r="L24" i="11" l="1"/>
  <c r="E8" i="40" s="1"/>
  <c r="H42" i="10"/>
  <c r="I42" i="10" s="1"/>
  <c r="P42" i="10" s="1"/>
  <c r="O37" i="10"/>
  <c r="I37" i="10"/>
  <c r="O65" i="10"/>
  <c r="I65" i="10"/>
  <c r="E9" i="40" l="1"/>
  <c r="E10" i="40" s="1"/>
  <c r="F8" i="40"/>
  <c r="G8" i="40" s="1"/>
  <c r="N8" i="40"/>
  <c r="C2" i="5"/>
  <c r="O42" i="10"/>
  <c r="P65" i="10"/>
  <c r="P77" i="10" s="1"/>
  <c r="I77" i="10"/>
  <c r="H27" i="11" s="1"/>
  <c r="P37" i="10"/>
  <c r="P53" i="10" s="1"/>
  <c r="I53" i="10"/>
  <c r="H26" i="11" s="1"/>
  <c r="E12" i="40" l="1"/>
  <c r="F12" i="40" s="1"/>
  <c r="G12" i="40" s="1"/>
  <c r="F10" i="40"/>
  <c r="G10" i="40" s="1"/>
  <c r="N18" i="40"/>
  <c r="F18" i="40"/>
  <c r="G18" i="40" s="1"/>
  <c r="N17" i="40"/>
  <c r="F17" i="40"/>
  <c r="G17" i="40" s="1"/>
  <c r="N14" i="40"/>
  <c r="F14" i="40"/>
  <c r="G14" i="40" s="1"/>
  <c r="N9" i="40"/>
  <c r="F9" i="40"/>
  <c r="G9" i="40" s="1"/>
  <c r="I26" i="11"/>
  <c r="O26" i="11"/>
  <c r="O27" i="11"/>
  <c r="I27" i="11"/>
  <c r="P27" i="11" s="1"/>
  <c r="E13" i="40"/>
  <c r="N10" i="40"/>
  <c r="N13" i="40" l="1"/>
  <c r="F13" i="40"/>
  <c r="G13" i="40" s="1"/>
  <c r="N19" i="40"/>
  <c r="F19" i="40"/>
  <c r="G19" i="40" s="1"/>
  <c r="N12" i="40"/>
  <c r="I45" i="11"/>
  <c r="H5" i="11" s="1"/>
  <c r="P26" i="11"/>
  <c r="P45" i="11" s="1"/>
  <c r="I5" i="11" l="1"/>
  <c r="I24" i="11" s="1"/>
  <c r="O5" i="11"/>
  <c r="E5" i="40" l="1"/>
  <c r="F5" i="40" s="1"/>
  <c r="G5" i="40" s="1"/>
  <c r="P5" i="11"/>
  <c r="P24" i="11" s="1"/>
  <c r="B2" i="5"/>
  <c r="F2" i="5" l="1"/>
  <c r="N5" i="40" l="1"/>
  <c r="E7" i="40"/>
  <c r="L34" i="40" l="1"/>
  <c r="N34" i="40"/>
  <c r="F15" i="40"/>
  <c r="G15" i="40" s="1"/>
  <c r="F7" i="40"/>
  <c r="G7" i="40" s="1"/>
  <c r="N7" i="40"/>
  <c r="E16" i="40"/>
  <c r="N16" i="40" l="1"/>
  <c r="F16" i="40"/>
  <c r="G16" i="40" s="1"/>
  <c r="N15" i="40"/>
  <c r="E11" i="40" l="1"/>
  <c r="F11" i="40" s="1"/>
  <c r="G11" i="40" s="1"/>
  <c r="N11" i="40" l="1"/>
  <c r="E20" i="40"/>
  <c r="F22" i="40" l="1"/>
  <c r="G22" i="40" s="1"/>
  <c r="F20" i="40"/>
  <c r="G20" i="40" s="1"/>
  <c r="N20" i="40"/>
  <c r="E21" i="40"/>
  <c r="F21" i="40" s="1"/>
  <c r="G21" i="40" s="1"/>
  <c r="O23" i="40" l="1"/>
  <c r="N22" i="40"/>
  <c r="N21" i="40"/>
  <c r="F23" i="40" l="1"/>
  <c r="G23" i="40" s="1"/>
  <c r="E24" i="40" l="1"/>
  <c r="N24" i="40" s="1"/>
  <c r="N23" i="40"/>
  <c r="E25" i="40" s="1"/>
  <c r="F24" i="40" l="1"/>
  <c r="G24" i="40" s="1"/>
  <c r="E26" i="40"/>
  <c r="E27" i="40" s="1"/>
  <c r="F25" i="40"/>
  <c r="G25" i="40" s="1"/>
  <c r="N25" i="40"/>
  <c r="F27" i="40" l="1"/>
  <c r="G27" i="40" s="1"/>
  <c r="N26" i="40"/>
  <c r="F26" i="40"/>
  <c r="G26" i="40" s="1"/>
  <c r="E28" i="40"/>
  <c r="N27" i="40"/>
  <c r="F28" i="40" l="1"/>
  <c r="G28" i="40" s="1"/>
  <c r="M32" i="40"/>
  <c r="N28" i="40"/>
</calcChain>
</file>

<file path=xl/sharedStrings.xml><?xml version="1.0" encoding="utf-8"?>
<sst xmlns="http://schemas.openxmlformats.org/spreadsheetml/2006/main" count="6717" uniqueCount="1423">
  <si>
    <t>단위</t>
    <phoneticPr fontId="4" type="noConversion"/>
  </si>
  <si>
    <t>수량</t>
    <phoneticPr fontId="4" type="noConversion"/>
  </si>
  <si>
    <t xml:space="preserve"> </t>
    <phoneticPr fontId="4" type="noConversion"/>
  </si>
  <si>
    <t xml:space="preserve"> </t>
    <phoneticPr fontId="4" type="noConversion"/>
  </si>
  <si>
    <t xml:space="preserve"> </t>
    <phoneticPr fontId="4" type="noConversion"/>
  </si>
  <si>
    <t>노무비</t>
    <phoneticPr fontId="4" type="noConversion"/>
  </si>
  <si>
    <t>경비</t>
    <phoneticPr fontId="4" type="noConversion"/>
  </si>
  <si>
    <t>재료비</t>
    <phoneticPr fontId="4" type="noConversion"/>
  </si>
  <si>
    <t>계</t>
    <phoneticPr fontId="4" type="noConversion"/>
  </si>
  <si>
    <t>총 급 액</t>
    <phoneticPr fontId="4" type="noConversion"/>
  </si>
  <si>
    <t>*(공종별 노임 적용율(%))*</t>
    <phoneticPr fontId="4" type="noConversion"/>
  </si>
  <si>
    <t>적용율(%)</t>
    <phoneticPr fontId="4" type="noConversion"/>
  </si>
  <si>
    <t>소수자릿수</t>
    <phoneticPr fontId="4" type="noConversion"/>
  </si>
  <si>
    <t>끝자리</t>
    <phoneticPr fontId="4" type="noConversion"/>
  </si>
  <si>
    <t>소모잡자재(%)</t>
    <phoneticPr fontId="4" type="noConversion"/>
  </si>
  <si>
    <t>방폭할증(%)</t>
    <phoneticPr fontId="4" type="noConversion"/>
  </si>
  <si>
    <t>고소할증(%)</t>
    <phoneticPr fontId="4" type="noConversion"/>
  </si>
  <si>
    <t>공구손료(%)</t>
    <phoneticPr fontId="4" type="noConversion"/>
  </si>
  <si>
    <t>코드</t>
    <phoneticPr fontId="4" type="noConversion"/>
  </si>
  <si>
    <t>공종코드</t>
    <phoneticPr fontId="4" type="noConversion"/>
  </si>
  <si>
    <t>코드</t>
    <phoneticPr fontId="4" type="noConversion"/>
  </si>
  <si>
    <t>단가</t>
    <phoneticPr fontId="4" type="noConversion"/>
  </si>
  <si>
    <t>공종코드</t>
    <phoneticPr fontId="4" type="noConversion"/>
  </si>
  <si>
    <t>명칭</t>
    <phoneticPr fontId="4" type="noConversion"/>
  </si>
  <si>
    <t>규격</t>
    <phoneticPr fontId="4" type="noConversion"/>
  </si>
  <si>
    <t>재료비</t>
    <phoneticPr fontId="4" type="noConversion"/>
  </si>
  <si>
    <t>노무비</t>
    <phoneticPr fontId="4" type="noConversion"/>
  </si>
  <si>
    <t>경비</t>
    <phoneticPr fontId="4" type="noConversion"/>
  </si>
  <si>
    <t>지급비</t>
    <phoneticPr fontId="4" type="noConversion"/>
  </si>
  <si>
    <t>공량산출</t>
    <phoneticPr fontId="4" type="noConversion"/>
  </si>
  <si>
    <t>품셈근거</t>
    <phoneticPr fontId="4" type="noConversion"/>
  </si>
  <si>
    <t>비고</t>
    <phoneticPr fontId="4" type="noConversion"/>
  </si>
  <si>
    <t>결정수량</t>
    <phoneticPr fontId="4" type="noConversion"/>
  </si>
  <si>
    <t>할증</t>
    <phoneticPr fontId="4" type="noConversion"/>
  </si>
  <si>
    <t>산출수량</t>
    <phoneticPr fontId="4" type="noConversion"/>
  </si>
  <si>
    <t>재할%</t>
    <phoneticPr fontId="4" type="noConversion"/>
  </si>
  <si>
    <t>품셈</t>
    <phoneticPr fontId="4" type="noConversion"/>
  </si>
  <si>
    <t>할증%</t>
    <phoneticPr fontId="4" type="noConversion"/>
  </si>
  <si>
    <t>공량</t>
    <phoneticPr fontId="4" type="noConversion"/>
  </si>
  <si>
    <t>…</t>
    <phoneticPr fontId="4" type="noConversion"/>
  </si>
  <si>
    <t>계</t>
    <phoneticPr fontId="4" type="noConversion"/>
  </si>
  <si>
    <t>단가</t>
    <phoneticPr fontId="4" type="noConversion"/>
  </si>
  <si>
    <t>금액</t>
    <phoneticPr fontId="4" type="noConversion"/>
  </si>
  <si>
    <t>단가</t>
    <phoneticPr fontId="4" type="noConversion"/>
  </si>
  <si>
    <t>단가</t>
    <phoneticPr fontId="4" type="noConversion"/>
  </si>
  <si>
    <t xml:space="preserve">  </t>
    <phoneticPr fontId="4" type="noConversion"/>
  </si>
  <si>
    <t>계</t>
    <phoneticPr fontId="4" type="noConversion"/>
  </si>
  <si>
    <t xml:space="preserve"> </t>
    <phoneticPr fontId="4" type="noConversion"/>
  </si>
  <si>
    <t>1.</t>
    <phoneticPr fontId="4" type="noConversion"/>
  </si>
  <si>
    <t>3.</t>
    <phoneticPr fontId="4" type="noConversion"/>
  </si>
  <si>
    <t>** 반드시 다음 사항을 숙지하신 다음 수정 작업을 하십시오 **</t>
    <phoneticPr fontId="4" type="noConversion"/>
  </si>
  <si>
    <t>4.</t>
    <phoneticPr fontId="4" type="noConversion"/>
  </si>
  <si>
    <t xml:space="preserve">a)표지와 원가 -&gt; 총괄표 -&gt; 내역서 -&gt;일위대가와 합산자재 -&gt;단가조사서 를 참조하고 </t>
    <phoneticPr fontId="4" type="noConversion"/>
  </si>
  <si>
    <t>2.</t>
    <phoneticPr fontId="4" type="noConversion"/>
  </si>
  <si>
    <t>5.</t>
    <phoneticPr fontId="4" type="noConversion"/>
  </si>
  <si>
    <t>6.</t>
    <phoneticPr fontId="4" type="noConversion"/>
  </si>
  <si>
    <t xml:space="preserve">   그룹은 견적 프로그램에서 엑셀파일이 만들어질때 지정됩니다.</t>
    <phoneticPr fontId="4" type="noConversion"/>
  </si>
  <si>
    <t>번호</t>
    <phoneticPr fontId="4" type="noConversion"/>
  </si>
  <si>
    <t>번호</t>
    <phoneticPr fontId="4" type="noConversion"/>
  </si>
  <si>
    <t>코드</t>
    <phoneticPr fontId="4" type="noConversion"/>
  </si>
  <si>
    <t>단가</t>
    <phoneticPr fontId="4" type="noConversion"/>
  </si>
  <si>
    <t>…</t>
    <phoneticPr fontId="4" type="noConversion"/>
  </si>
  <si>
    <t>비고</t>
    <phoneticPr fontId="4" type="noConversion"/>
  </si>
  <si>
    <t>공   종   명</t>
    <phoneticPr fontId="4" type="noConversion"/>
  </si>
  <si>
    <t>명   칭</t>
    <phoneticPr fontId="4" type="noConversion"/>
  </si>
  <si>
    <t>규   격</t>
    <phoneticPr fontId="4" type="noConversion"/>
  </si>
  <si>
    <t xml:space="preserve"> </t>
    <phoneticPr fontId="4" type="noConversion"/>
  </si>
  <si>
    <t>노임 계산 정보</t>
    <phoneticPr fontId="4" type="noConversion"/>
  </si>
  <si>
    <t>노임계</t>
    <phoneticPr fontId="4" type="noConversion"/>
  </si>
  <si>
    <t>전체(%)</t>
    <phoneticPr fontId="4" type="noConversion"/>
  </si>
  <si>
    <t>공종별(%)</t>
    <phoneticPr fontId="4" type="noConversion"/>
  </si>
  <si>
    <t>노임 소수</t>
    <phoneticPr fontId="4" type="noConversion"/>
  </si>
  <si>
    <t>부속재 및 손료</t>
    <phoneticPr fontId="4" type="noConversion"/>
  </si>
  <si>
    <t>소모재</t>
    <phoneticPr fontId="4" type="noConversion"/>
  </si>
  <si>
    <t>노임계</t>
    <phoneticPr fontId="4" type="noConversion"/>
  </si>
  <si>
    <t>자재계</t>
    <phoneticPr fontId="4" type="noConversion"/>
  </si>
  <si>
    <t>*(그룹별 자재 단가 추가 할증)*</t>
    <phoneticPr fontId="4" type="noConversion"/>
  </si>
  <si>
    <t>Cable(CAB) 할증(%)</t>
    <phoneticPr fontId="4" type="noConversion"/>
  </si>
  <si>
    <t>Wire (WIR) 할증(%)</t>
    <phoneticPr fontId="4" type="noConversion"/>
  </si>
  <si>
    <t>제 4그룹   할증(%)</t>
    <phoneticPr fontId="4" type="noConversion"/>
  </si>
  <si>
    <t>제 5그룹   할증(%)</t>
    <phoneticPr fontId="4" type="noConversion"/>
  </si>
  <si>
    <t>Pipe (PIP) 할증(%)</t>
    <phoneticPr fontId="4" type="noConversion"/>
  </si>
  <si>
    <t>적용율(%)/100</t>
    <phoneticPr fontId="4" type="noConversion"/>
  </si>
  <si>
    <t>단 위 단 가 산 출</t>
    <phoneticPr fontId="4" type="noConversion"/>
  </si>
  <si>
    <t>단가</t>
    <phoneticPr fontId="4" type="noConversion"/>
  </si>
  <si>
    <t>단위계</t>
    <phoneticPr fontId="4" type="noConversion"/>
  </si>
  <si>
    <t>단위단가</t>
    <phoneticPr fontId="4" type="noConversion"/>
  </si>
  <si>
    <t>속성이 숫자인 셀을 삭제할 때는 반드시 'Delete' 키를 사용하십시오.</t>
    <phoneticPr fontId="4" type="noConversion"/>
  </si>
  <si>
    <t>**주의:'Space Bar' 로 지웠을 때는 '#Value' Error가 발생됩니다.</t>
    <phoneticPr fontId="4" type="noConversion"/>
  </si>
  <si>
    <t>일위대가(을지)는 소수점 처리 때문에 셀 속성을 '일반'으로 하였습니다.(소수점 능동 처리)</t>
    <phoneticPr fontId="4" type="noConversion"/>
  </si>
  <si>
    <t>**참고: (수량*단가)의 결과는 소수 한자리, 금액을 취합한 소계는 1원 이하 절사입니다.</t>
    <phoneticPr fontId="4" type="noConversion"/>
  </si>
  <si>
    <t>내역서에서는 수량에만 셀 속성을 '일반'으로 하였습니다.(소수점 능동 처리)</t>
    <phoneticPr fontId="4" type="noConversion"/>
  </si>
  <si>
    <t>단가수정은 '단가조사서'시트 에서 하십시오.</t>
    <phoneticPr fontId="4" type="noConversion"/>
  </si>
  <si>
    <t xml:space="preserve">   있으므로 단가조사서의 결정단가를 수정하면 전체 금액이 갱신됩니다.</t>
    <phoneticPr fontId="4" type="noConversion"/>
  </si>
  <si>
    <t xml:space="preserve">   **주의: 금액란은 공식이 걸려있으므로 조심하여 수정하십시오.</t>
    <phoneticPr fontId="4" type="noConversion"/>
  </si>
  <si>
    <t>b)전체 자재를 일정 요율(%)로 변경할 때는 옵션시트의 자재 적용율을 조정하면 됩니다.</t>
    <phoneticPr fontId="4" type="noConversion"/>
  </si>
  <si>
    <t>노임 단가는 '단가조사서'시트에서 품셈은 '노임근거'시트에서 수정하십시오.</t>
    <phoneticPr fontId="4" type="noConversion"/>
  </si>
  <si>
    <t>a)전체 노임을 일정 요율(%)로 변경할 때는 '옵션시트'의 전체노임 적용율을 조정하면 됩니다.</t>
    <phoneticPr fontId="4" type="noConversion"/>
  </si>
  <si>
    <t>b)공종별로 노임을 수정하려면 '옵션시트'의 공종별 노임 적용율을 조정하면 됩니다.</t>
    <phoneticPr fontId="4" type="noConversion"/>
  </si>
  <si>
    <t>c)케이블 및 전선 자재 단가를 추가로 조정하려면 그룹별 자재 적용율을 조정하면 됩니다.</t>
    <phoneticPr fontId="4" type="noConversion"/>
  </si>
  <si>
    <t>겉표지의 모든 정보는 표지를 참조하였습니다.(정보 수정은 표지에서만 하시면 됩니다.)</t>
    <phoneticPr fontId="4" type="noConversion"/>
  </si>
  <si>
    <t>7.</t>
    <phoneticPr fontId="4" type="noConversion"/>
  </si>
  <si>
    <t>필수 :본 프로그램의 총 금액을 확인한 후 사용하십시오.</t>
    <phoneticPr fontId="4" type="noConversion"/>
  </si>
  <si>
    <t>8.</t>
    <phoneticPr fontId="4" type="noConversion"/>
  </si>
  <si>
    <t>본 파일의 내용을 인쇄할 경우, 미리보기를 통하여 페이지 절선을 확인 후 인쇄하십시오.</t>
    <phoneticPr fontId="4" type="noConversion"/>
  </si>
  <si>
    <t>페이지 절선이 맞지 않으면 다음을 참고하십시오.</t>
    <phoneticPr fontId="4" type="noConversion"/>
  </si>
  <si>
    <t>a. 해당시트의 셀 전체를 선택합니다.</t>
    <phoneticPr fontId="4" type="noConversion"/>
  </si>
  <si>
    <t>b. 행높이를 적절히 가감하면 페이지 절선을 맞출 수 있습니다.</t>
    <phoneticPr fontId="4" type="noConversion"/>
  </si>
  <si>
    <t>목차코드</t>
    <phoneticPr fontId="4" type="noConversion"/>
  </si>
  <si>
    <t>9.</t>
    <phoneticPr fontId="4" type="noConversion"/>
  </si>
  <si>
    <t>관급자재 Sheet가 해당이 없을 경우엔 삭제하십시오.</t>
    <phoneticPr fontId="4" type="noConversion"/>
  </si>
  <si>
    <t>10.</t>
    <phoneticPr fontId="4" type="noConversion"/>
  </si>
  <si>
    <t>관급 자재비</t>
    <phoneticPr fontId="4" type="noConversion"/>
  </si>
  <si>
    <t>비고</t>
    <phoneticPr fontId="4" type="noConversion"/>
  </si>
  <si>
    <t>단가</t>
    <phoneticPr fontId="4" type="noConversion"/>
  </si>
  <si>
    <t>CD관부속재(%)</t>
  </si>
  <si>
    <t>*(그룹별 노임 추가 할증)*</t>
  </si>
  <si>
    <t>적용율(%)</t>
  </si>
  <si>
    <t>자동부속재(전기)</t>
  </si>
  <si>
    <t>자동부속재(통신)</t>
  </si>
  <si>
    <t>배관부속재(%)</t>
  </si>
  <si>
    <t>일반배관재</t>
    <phoneticPr fontId="4" type="noConversion"/>
  </si>
  <si>
    <t>CD배관재</t>
    <phoneticPr fontId="4" type="noConversion"/>
  </si>
  <si>
    <t>일위대가소수</t>
    <phoneticPr fontId="4" type="noConversion"/>
  </si>
  <si>
    <t>번호</t>
    <phoneticPr fontId="4" type="noConversion"/>
  </si>
  <si>
    <t>공종코드</t>
    <phoneticPr fontId="4" type="noConversion"/>
  </si>
  <si>
    <t>코드</t>
    <phoneticPr fontId="4" type="noConversion"/>
  </si>
  <si>
    <t>명   칭</t>
    <phoneticPr fontId="4" type="noConversion"/>
  </si>
  <si>
    <t>규   격</t>
    <phoneticPr fontId="4" type="noConversion"/>
  </si>
  <si>
    <t>단위</t>
    <phoneticPr fontId="4" type="noConversion"/>
  </si>
  <si>
    <t>적용단가</t>
    <phoneticPr fontId="4" type="noConversion"/>
  </si>
  <si>
    <t>물가정보</t>
    <phoneticPr fontId="4" type="noConversion"/>
  </si>
  <si>
    <t>PAGE</t>
    <phoneticPr fontId="4" type="noConversion"/>
  </si>
  <si>
    <t>번호</t>
    <phoneticPr fontId="4" type="noConversion"/>
  </si>
  <si>
    <t>공종코드</t>
    <phoneticPr fontId="4" type="noConversion"/>
  </si>
  <si>
    <t>코드</t>
    <phoneticPr fontId="4" type="noConversion"/>
  </si>
  <si>
    <t>명   칭</t>
    <phoneticPr fontId="4" type="noConversion"/>
  </si>
  <si>
    <t>규   격</t>
    <phoneticPr fontId="4" type="noConversion"/>
  </si>
  <si>
    <t>단위</t>
    <phoneticPr fontId="4" type="noConversion"/>
  </si>
  <si>
    <t>수량</t>
    <phoneticPr fontId="4" type="noConversion"/>
  </si>
  <si>
    <t>공량산출</t>
    <phoneticPr fontId="4" type="noConversion"/>
  </si>
  <si>
    <t>단 위 단 가 산 출</t>
    <phoneticPr fontId="4" type="noConversion"/>
  </si>
  <si>
    <t>품셈근거</t>
    <phoneticPr fontId="4" type="noConversion"/>
  </si>
  <si>
    <t>비고</t>
    <phoneticPr fontId="4" type="noConversion"/>
  </si>
  <si>
    <t>결정수량</t>
    <phoneticPr fontId="4" type="noConversion"/>
  </si>
  <si>
    <t>할증</t>
    <phoneticPr fontId="4" type="noConversion"/>
  </si>
  <si>
    <t>산출수량</t>
    <phoneticPr fontId="4" type="noConversion"/>
  </si>
  <si>
    <t>재할%</t>
    <phoneticPr fontId="4" type="noConversion"/>
  </si>
  <si>
    <t>명칭</t>
    <phoneticPr fontId="4" type="noConversion"/>
  </si>
  <si>
    <t>품셈</t>
    <phoneticPr fontId="4" type="noConversion"/>
  </si>
  <si>
    <t>할증%</t>
    <phoneticPr fontId="4" type="noConversion"/>
  </si>
  <si>
    <t>공량</t>
    <phoneticPr fontId="4" type="noConversion"/>
  </si>
  <si>
    <t>단가</t>
    <phoneticPr fontId="4" type="noConversion"/>
  </si>
  <si>
    <t>단위단가</t>
    <phoneticPr fontId="4" type="noConversion"/>
  </si>
  <si>
    <t>단위계</t>
    <phoneticPr fontId="4" type="noConversion"/>
  </si>
  <si>
    <t>전체자재 적용율(%)(공종/일위대가)</t>
    <phoneticPr fontId="4" type="noConversion"/>
  </si>
  <si>
    <t>전체노임 적용율(%)(공종)</t>
    <phoneticPr fontId="4" type="noConversion"/>
  </si>
  <si>
    <t>전체노임 적용율(%)(일위대가)</t>
    <phoneticPr fontId="4" type="noConversion"/>
  </si>
  <si>
    <t>조사단가1</t>
    <phoneticPr fontId="4" type="noConversion"/>
  </si>
  <si>
    <t>시설단가</t>
    <phoneticPr fontId="4" type="noConversion"/>
  </si>
  <si>
    <t>거래가격</t>
    <phoneticPr fontId="4" type="noConversion"/>
  </si>
  <si>
    <t>조사단가2</t>
    <phoneticPr fontId="4" type="noConversion"/>
  </si>
  <si>
    <t>요율</t>
    <phoneticPr fontId="4" type="noConversion"/>
  </si>
  <si>
    <t>수량</t>
    <phoneticPr fontId="4" type="noConversion"/>
  </si>
  <si>
    <t>금액</t>
    <phoneticPr fontId="4" type="noConversion"/>
  </si>
  <si>
    <t>이윤</t>
    <phoneticPr fontId="4" type="noConversion"/>
  </si>
  <si>
    <t>끝자리 맞추기</t>
    <phoneticPr fontId="4" type="noConversion"/>
  </si>
  <si>
    <t>공사명:</t>
    <phoneticPr fontId="4" type="noConversion"/>
  </si>
  <si>
    <t>비 목</t>
    <phoneticPr fontId="4" type="noConversion"/>
  </si>
  <si>
    <t>구  분</t>
    <phoneticPr fontId="4" type="noConversion"/>
  </si>
  <si>
    <t>구  성  비</t>
    <phoneticPr fontId="4" type="noConversion"/>
  </si>
  <si>
    <t>재 료 비</t>
    <phoneticPr fontId="4" type="noConversion"/>
  </si>
  <si>
    <t>순</t>
    <phoneticPr fontId="4" type="noConversion"/>
  </si>
  <si>
    <t>노 무 비</t>
    <phoneticPr fontId="4" type="noConversion"/>
  </si>
  <si>
    <t>공</t>
    <phoneticPr fontId="4" type="noConversion"/>
  </si>
  <si>
    <t>경</t>
    <phoneticPr fontId="4" type="noConversion"/>
  </si>
  <si>
    <t>사</t>
    <phoneticPr fontId="4" type="noConversion"/>
  </si>
  <si>
    <t>식</t>
  </si>
  <si>
    <t>1-1.소방공사</t>
  </si>
  <si>
    <t>칠곡종합운동장 실내테니스장 조성사업_(소방)</t>
  </si>
  <si>
    <t>산 출 목 록 / 산 출 수 식</t>
  </si>
  <si>
    <t>단위/계</t>
  </si>
  <si>
    <t>전선관</t>
  </si>
  <si>
    <t>1종 가요</t>
  </si>
  <si>
    <t>아우트렛</t>
  </si>
  <si>
    <t>스위치</t>
  </si>
  <si>
    <t>박스커버</t>
  </si>
  <si>
    <t>풀박스</t>
  </si>
  <si>
    <t>전선</t>
  </si>
  <si>
    <t>내화전선</t>
  </si>
  <si>
    <t>열감지기</t>
  </si>
  <si>
    <t>(KS)</t>
  </si>
  <si>
    <t>(가로등)</t>
  </si>
  <si>
    <t>커넥터</t>
  </si>
  <si>
    <t>8각 박스</t>
  </si>
  <si>
    <t>박스중형</t>
  </si>
  <si>
    <t>1구 박스</t>
  </si>
  <si>
    <t>8 각</t>
  </si>
  <si>
    <t>100x100</t>
  </si>
  <si>
    <t>200x200</t>
  </si>
  <si>
    <t>HFIX</t>
  </si>
  <si>
    <t>FR-8 2C</t>
  </si>
  <si>
    <t>FR-8 3C</t>
  </si>
  <si>
    <t>FR-8 4C</t>
  </si>
  <si>
    <t>차동식</t>
  </si>
  <si>
    <t>CD 16c</t>
  </si>
  <si>
    <t>CD 22c</t>
  </si>
  <si>
    <t>CD 28c</t>
  </si>
  <si>
    <t>CD 36c</t>
  </si>
  <si>
    <t>ELP 30c</t>
  </si>
  <si>
    <t>ELP 40c</t>
  </si>
  <si>
    <t>일반16c</t>
  </si>
  <si>
    <t>54㎜</t>
  </si>
  <si>
    <t>4각54㎜</t>
  </si>
  <si>
    <t>54mm</t>
  </si>
  <si>
    <t>평형</t>
  </si>
  <si>
    <t>100</t>
  </si>
  <si>
    <t>1.38mm</t>
  </si>
  <si>
    <t>1.78mm</t>
  </si>
  <si>
    <t>2.5_㎟</t>
  </si>
  <si>
    <t>스포트형</t>
  </si>
  <si>
    <t>옥외 B.D.F</t>
  </si>
  <si>
    <t>파상형 폴리에틸렌 전선관 40㎜(가로등)</t>
  </si>
  <si>
    <t>(2)+40+45+22+20+(2)</t>
  </si>
  <si>
    <t>파상형 폴리에틸렌 전선관 30㎜(가로등)</t>
  </si>
  <si>
    <t>(2*2)+(40+45+22+20)*2+(2*2)</t>
  </si>
  <si>
    <t>소방용내화전선(F-FR-8) 4Cx2.5㎟</t>
  </si>
  <si>
    <t>131*4</t>
  </si>
  <si>
    <t>소방용내화전선(F-FR-8) 3Cx2.5㎟</t>
  </si>
  <si>
    <t>소방용내화전선(F-FR-8) 2Cx2.5㎟</t>
  </si>
  <si>
    <t>131*2</t>
  </si>
  <si>
    <t>터파기(기계80%,인력20%) 보통토사</t>
  </si>
  <si>
    <t>(((0.5+0.5)*0.5)*0.6)*20</t>
  </si>
  <si>
    <t>인력흙다지기 보통토사</t>
  </si>
  <si>
    <t>테니스장_간선_옥내소화전(시각)1.2.3.4</t>
  </si>
  <si>
    <t>가요전선관 하이렉스-CD 28㎜</t>
  </si>
  <si>
    <t>(2)+3+(2)+(2)+30+15+(2)</t>
  </si>
  <si>
    <t>가요전선관 하이렉스-CD 22㎜</t>
  </si>
  <si>
    <t>(1.5*10)+(27+27+25+29)*2</t>
  </si>
  <si>
    <t>가요전선관 하이렉스-CD 16㎜</t>
  </si>
  <si>
    <t>(6*1.5)</t>
  </si>
  <si>
    <t>내열비닐절연전선HFIX 1.78mm(2.5㎟)</t>
  </si>
  <si>
    <t>(9*2)+(2+3+2)*12+(2+3+2)*4</t>
  </si>
  <si>
    <t>(2+30+15+2)*9+(2+30+15+2)*4</t>
  </si>
  <si>
    <t>(27+27+25+29)*7+(27+27+25+29)*4</t>
  </si>
  <si>
    <t>(1.5*10)*4+(1.5*8)*7</t>
  </si>
  <si>
    <t>스위치박스 1 개용 54 mm</t>
  </si>
  <si>
    <t>6+1</t>
  </si>
  <si>
    <t>풀박스 200x200x100</t>
  </si>
  <si>
    <t>시각경보기</t>
  </si>
  <si>
    <t>전자</t>
  </si>
  <si>
    <t>시각</t>
  </si>
  <si>
    <t>P형1급</t>
  </si>
  <si>
    <t>슈퍼비죠</t>
  </si>
  <si>
    <t>비상전원</t>
  </si>
  <si>
    <t>발신기</t>
  </si>
  <si>
    <t>인력</t>
  </si>
  <si>
    <t>싸이렌</t>
  </si>
  <si>
    <t>25회로</t>
  </si>
  <si>
    <t>리 판넬</t>
  </si>
  <si>
    <t>소화전</t>
  </si>
  <si>
    <t>흙다지기</t>
  </si>
  <si>
    <t>DC 24V</t>
  </si>
  <si>
    <t>경보기</t>
  </si>
  <si>
    <t>(벽부)</t>
  </si>
  <si>
    <t>상부</t>
  </si>
  <si>
    <t>보통토사</t>
  </si>
  <si>
    <t>수동발신기 소화전상부</t>
  </si>
  <si>
    <t>화재 수신기 P형1급,25회로(벽부)</t>
  </si>
  <si>
    <t>테니스장_간선_SVP(전동싸이렌) 6.7</t>
  </si>
  <si>
    <t>가요전선관 하이렉스-CD 36㎜</t>
  </si>
  <si>
    <t>(2+1.5)+41.5</t>
  </si>
  <si>
    <t>(1.5*2)+30+15</t>
  </si>
  <si>
    <t>(2*2)+(1.5*2)+30+15</t>
  </si>
  <si>
    <t>(10*2.5)+(2*2)+7+25+30+10+30+30</t>
  </si>
  <si>
    <t>아우트렛박스 중형4각 54㎜</t>
  </si>
  <si>
    <t>풀박스 100x100x100</t>
  </si>
  <si>
    <t>전자싸이렌 DC 24V</t>
  </si>
  <si>
    <t>슈퍼비죠리판넬 DC 24V</t>
  </si>
  <si>
    <t>테니스장_감지기_방송실 및 비품창고</t>
  </si>
  <si>
    <t>6+1+(4)+35</t>
  </si>
  <si>
    <t>1종금속제가요전선관 16 mm 비방수</t>
  </si>
  <si>
    <t>1.5*4</t>
  </si>
  <si>
    <t>1종금속제가요 커넥터 16 mm 비방수</t>
  </si>
  <si>
    <t>2*4</t>
  </si>
  <si>
    <t>내열비닐절연전선HFIX 1.38mm(1.5㎟)</t>
  </si>
  <si>
    <t>(46*8)+(4+6)*4</t>
  </si>
  <si>
    <t>아우트렛박스 8각 54㎜</t>
  </si>
  <si>
    <t>박스커버 커버 8각 평형</t>
  </si>
  <si>
    <t>화재감지기 열감지기,차동식스포트형</t>
  </si>
  <si>
    <t>테니스장_감지기_광전식분리형 5</t>
  </si>
  <si>
    <t>(35+35+35)+(2*6)</t>
  </si>
  <si>
    <t>1+2+3+(15+30)+(1.5*2)+(10*2)</t>
  </si>
  <si>
    <t>(1+2+3)*2+(117*5)</t>
  </si>
  <si>
    <t>(15+30+3+20)*4</t>
  </si>
  <si>
    <t>저수위 및 소방펌프 템퍼스위치간선</t>
  </si>
  <si>
    <t>(5)+(6)+(7)+(8)</t>
  </si>
  <si>
    <t>(5)*3+(6+7+8)*2</t>
  </si>
  <si>
    <t>전극식 레벨  3선3극</t>
  </si>
  <si>
    <t>산출계</t>
  </si>
  <si>
    <t>소계</t>
  </si>
  <si>
    <t>소계*(1)[공종]개소</t>
  </si>
  <si>
    <t>피난구</t>
  </si>
  <si>
    <t>거실통로</t>
  </si>
  <si>
    <t>4 각</t>
  </si>
  <si>
    <t>LED</t>
  </si>
  <si>
    <t>소형</t>
  </si>
  <si>
    <t>대형</t>
  </si>
  <si>
    <t>단면</t>
  </si>
  <si>
    <t>유도등 EX1회로</t>
  </si>
  <si>
    <t>(2)+3+9+3+(3)+21+17+20+27+21+(3*3)</t>
  </si>
  <si>
    <t>(1.5*8)+21+11+7+20+20+17+(3*6)+(1.5*6)</t>
  </si>
  <si>
    <t>(135+135)*2</t>
  </si>
  <si>
    <t>6+7</t>
  </si>
  <si>
    <t>박스커버 커버 4각 평형</t>
  </si>
  <si>
    <t>피난구 유도등(LED) 대형벽부-60분용</t>
  </si>
  <si>
    <t>피난구 유도등(LED) 소형벽부-60분용</t>
  </si>
  <si>
    <t>거실통로 유도등(LED) 단면/양면 60분용</t>
  </si>
  <si>
    <t>4각</t>
  </si>
  <si>
    <t>CD16c</t>
  </si>
  <si>
    <t>No</t>
  </si>
  <si>
    <t>번호</t>
  </si>
  <si>
    <t>공종코드</t>
  </si>
  <si>
    <t>코드</t>
  </si>
  <si>
    <t>명칭</t>
  </si>
  <si>
    <t>규격</t>
  </si>
  <si>
    <t>단위</t>
  </si>
  <si>
    <t>지 급</t>
  </si>
  <si>
    <t>계</t>
  </si>
  <si>
    <t>할증(%)</t>
  </si>
  <si>
    <t>소 계</t>
  </si>
  <si>
    <t>합성수지제 가요전선관</t>
  </si>
  <si>
    <t>CD-난연성 16㎜</t>
  </si>
  <si>
    <t>M</t>
  </si>
  <si>
    <t>CD-난연성 22㎜</t>
  </si>
  <si>
    <t>CD-난연성 28㎜</t>
  </si>
  <si>
    <t>CD-난연성 36㎜</t>
  </si>
  <si>
    <t>파상형 폴리에틸렌 전선관</t>
  </si>
  <si>
    <t>30㎜(가로등,신호,구내)</t>
  </si>
  <si>
    <t>40㎜(가로등,신호,구내)</t>
  </si>
  <si>
    <t>1종금속제가요전선관</t>
  </si>
  <si>
    <t>16 mm 일반-비방수</t>
  </si>
  <si>
    <t>커넥터, 16 mm 일반-비방수</t>
  </si>
  <si>
    <t>개</t>
  </si>
  <si>
    <t>아우트렛박스</t>
  </si>
  <si>
    <t>8각 54㎜</t>
  </si>
  <si>
    <t>중형4각 54㎜</t>
  </si>
  <si>
    <t>스위치박스</t>
  </si>
  <si>
    <t>1 개용 54 mm</t>
  </si>
  <si>
    <t>아우트렛박스 커버</t>
  </si>
  <si>
    <t>커버, 8각, 평형</t>
  </si>
  <si>
    <t>100×100×100</t>
  </si>
  <si>
    <t>200×200×100</t>
  </si>
  <si>
    <t>450/750V 내열비닐절연전선</t>
  </si>
  <si>
    <t>HFIX 1.38mm(1.5㎟)</t>
  </si>
  <si>
    <t>HFIX 1.78mm(2.5㎟)</t>
  </si>
  <si>
    <t>소방용내화전선(F-FR-8)</t>
  </si>
  <si>
    <t>2C×2.5㎟</t>
  </si>
  <si>
    <t>3C×2.5㎟</t>
  </si>
  <si>
    <t>4C×2.5㎟</t>
  </si>
  <si>
    <t>화재감지기</t>
  </si>
  <si>
    <t>열감지기,차동식스포트형</t>
  </si>
  <si>
    <t>불꽃감지기(자외선)</t>
  </si>
  <si>
    <t>전자싸이렌</t>
  </si>
  <si>
    <t>화재 수신기</t>
  </si>
  <si>
    <t>P형1급, 25회로(벽부)</t>
  </si>
  <si>
    <t>대</t>
  </si>
  <si>
    <t>슈퍼비죠리판넬</t>
  </si>
  <si>
    <t>배전함</t>
  </si>
  <si>
    <t>비상전원반 3A</t>
  </si>
  <si>
    <t>수동발신기</t>
  </si>
  <si>
    <t>소화전상부</t>
  </si>
  <si>
    <t>되메우기 및 다짐</t>
  </si>
  <si>
    <t>소형장비</t>
  </si>
  <si>
    <t>㎥_</t>
  </si>
  <si>
    <t>커버, 4각, 평형</t>
  </si>
  <si>
    <t>피난구유도등(LED)</t>
  </si>
  <si>
    <t>소형벽부-60분용</t>
  </si>
  <si>
    <t>대형벽부-60분용</t>
  </si>
  <si>
    <t>거실통로유도등(LED)</t>
  </si>
  <si>
    <t>단면 60분용</t>
  </si>
  <si>
    <t>1-2.유도등공사</t>
  </si>
  <si>
    <t>물가자료</t>
    <phoneticPr fontId="4" type="noConversion"/>
  </si>
  <si>
    <t>[ 칠곡종합운동장 실내테니스장 조성사업_(소방) ] - 단가조사서(시설기준:2025년04월)</t>
    <phoneticPr fontId="4" type="noConversion"/>
  </si>
  <si>
    <t>3913170610035664</t>
  </si>
  <si>
    <t>1025</t>
  </si>
  <si>
    <t>1-1198</t>
  </si>
  <si>
    <t>3913170610035665</t>
  </si>
  <si>
    <t>3913170610035666</t>
  </si>
  <si>
    <t>3913170610035667</t>
  </si>
  <si>
    <t>3913170610035631</t>
  </si>
  <si>
    <t>1-1196</t>
  </si>
  <si>
    <t>3913170610035632</t>
  </si>
  <si>
    <t>3913170620174410</t>
  </si>
  <si>
    <t>3913170620174434</t>
  </si>
  <si>
    <t>3912130810035750</t>
  </si>
  <si>
    <t>1028</t>
  </si>
  <si>
    <t>1-1201</t>
  </si>
  <si>
    <t>3912130810035753</t>
  </si>
  <si>
    <t>3912130610035778</t>
  </si>
  <si>
    <t>3912130820174710</t>
  </si>
  <si>
    <t>3912130820174713</t>
  </si>
  <si>
    <t>3912130310035796</t>
  </si>
  <si>
    <t>3912130310035799</t>
  </si>
  <si>
    <t>2612162922076726</t>
  </si>
  <si>
    <t>993</t>
  </si>
  <si>
    <t>1-1161</t>
  </si>
  <si>
    <t>2612162922076727</t>
  </si>
  <si>
    <t>2612164020684012</t>
  </si>
  <si>
    <t>998</t>
  </si>
  <si>
    <t>1-1168</t>
  </si>
  <si>
    <t>2612164020684031</t>
  </si>
  <si>
    <t>2612164020684051</t>
  </si>
  <si>
    <t>4619150120192512</t>
  </si>
  <si>
    <t>1194</t>
  </si>
  <si>
    <t>1-1381</t>
  </si>
  <si>
    <t>4619150120193525</t>
  </si>
  <si>
    <t>3911170820098001</t>
  </si>
  <si>
    <t>1-1386</t>
  </si>
  <si>
    <t>3911170820098004</t>
  </si>
  <si>
    <t>3911170821650762</t>
  </si>
  <si>
    <t>1196</t>
  </si>
  <si>
    <t>4619150520935676</t>
  </si>
  <si>
    <t>P형 1급</t>
  </si>
  <si>
    <t>4619150520935677</t>
  </si>
  <si>
    <t>경종</t>
  </si>
  <si>
    <t>4619150520935678</t>
  </si>
  <si>
    <t>표시등</t>
  </si>
  <si>
    <t>4619150520935779</t>
  </si>
  <si>
    <t>1-1385</t>
  </si>
  <si>
    <t>4619150520689684</t>
  </si>
  <si>
    <t>4619150520935785</t>
  </si>
  <si>
    <t>PILOT LAMP</t>
  </si>
  <si>
    <t>25mm</t>
  </si>
  <si>
    <t>1-1246</t>
  </si>
  <si>
    <t>4617169820192603</t>
  </si>
  <si>
    <t>4617169820192641</t>
  </si>
  <si>
    <t>3912110321650768</t>
  </si>
  <si>
    <t>3912110420179656</t>
  </si>
  <si>
    <t>3912141020171116</t>
  </si>
  <si>
    <t>단자대</t>
  </si>
  <si>
    <t>TB 10P 20A</t>
  </si>
  <si>
    <t>1-1194</t>
  </si>
  <si>
    <t>L001010101000075</t>
  </si>
  <si>
    <t>노 무 비</t>
  </si>
  <si>
    <t>내선전공</t>
  </si>
  <si>
    <t>인</t>
  </si>
  <si>
    <t>L001010101000078</t>
  </si>
  <si>
    <t>저압케이블전공</t>
  </si>
  <si>
    <t>L001010101000081</t>
  </si>
  <si>
    <t>배전전공</t>
  </si>
  <si>
    <t>L001010101000002</t>
  </si>
  <si>
    <t>보통인부</t>
  </si>
  <si>
    <t>63</t>
  </si>
  <si>
    <t>[ 칠곡종합운동장 실내테니스장 조성사업_(소방) ] - 합산자재목록</t>
  </si>
  <si>
    <t>59753097002</t>
  </si>
  <si>
    <t>59753097003</t>
  </si>
  <si>
    <t>59753097004</t>
  </si>
  <si>
    <t>59753097005</t>
  </si>
  <si>
    <t>59753077001</t>
  </si>
  <si>
    <t>59753077002</t>
  </si>
  <si>
    <t>59753017003</t>
  </si>
  <si>
    <t>59753017043</t>
  </si>
  <si>
    <t>59753767011</t>
  </si>
  <si>
    <t>59753767041</t>
  </si>
  <si>
    <t>59753777102</t>
  </si>
  <si>
    <t>59753767201</t>
  </si>
  <si>
    <t>59753767231</t>
  </si>
  <si>
    <t>59753857021</t>
  </si>
  <si>
    <t>59753857061</t>
  </si>
  <si>
    <t>MM481669623</t>
  </si>
  <si>
    <t>MM481669624</t>
  </si>
  <si>
    <t>E1450137201</t>
  </si>
  <si>
    <t>E1450137301</t>
  </si>
  <si>
    <t>E1450137401</t>
  </si>
  <si>
    <t>63500197001</t>
  </si>
  <si>
    <t>MM429141696</t>
  </si>
  <si>
    <t>MM588979931</t>
  </si>
  <si>
    <t>MM588979934</t>
  </si>
  <si>
    <t>MM588979937</t>
  </si>
  <si>
    <t>63500207001</t>
  </si>
  <si>
    <t>63500207002</t>
  </si>
  <si>
    <t>63500207003</t>
  </si>
  <si>
    <t>63500207021</t>
  </si>
  <si>
    <t>MM317275398</t>
  </si>
  <si>
    <t>63500207006</t>
  </si>
  <si>
    <t>63500407025</t>
  </si>
  <si>
    <t>63500207022</t>
  </si>
  <si>
    <t>39321650768</t>
  </si>
  <si>
    <t>MM300041134</t>
  </si>
  <si>
    <t>59400217032</t>
  </si>
  <si>
    <t>56900017016</t>
  </si>
  <si>
    <t>56900017076</t>
  </si>
  <si>
    <t>56900017031</t>
  </si>
  <si>
    <t>56900017041</t>
  </si>
  <si>
    <t>55</t>
  </si>
  <si>
    <t>[ 칠곡종합운동장 실내테니스장 조성사업_(소방) ] - 일위노임 산출근거(2025년 상반기 노임)</t>
    <phoneticPr fontId="4" type="noConversion"/>
  </si>
  <si>
    <t>내선전공</t>
    <phoneticPr fontId="4" type="noConversion"/>
  </si>
  <si>
    <t>보통인부</t>
    <phoneticPr fontId="4" type="noConversion"/>
  </si>
  <si>
    <t>800</t>
  </si>
  <si>
    <t>391115ZZ701Z0002</t>
  </si>
  <si>
    <t>품셈 산출근거</t>
  </si>
  <si>
    <t>토목3-2</t>
  </si>
  <si>
    <t>노임계</t>
  </si>
  <si>
    <t>전기10-2-5</t>
  </si>
  <si>
    <t>전기10-3-1</t>
  </si>
  <si>
    <t>전기5-10</t>
  </si>
  <si>
    <t>[ 제 1호 ] 되메우기 및 다짐  소형장비 [㎥_]</t>
  </si>
  <si>
    <t>공종줄</t>
    <phoneticPr fontId="4" type="noConversion"/>
  </si>
  <si>
    <t>29</t>
  </si>
  <si>
    <t>[ 칠곡종합운동장 실내테니스장 조성사업_(소방) ] - 일위대가목차</t>
    <phoneticPr fontId="4" type="noConversion"/>
  </si>
  <si>
    <t>ABD104100000</t>
  </si>
  <si>
    <t>제 1호</t>
  </si>
  <si>
    <t>EFA110110000</t>
  </si>
  <si>
    <t>제 2호</t>
  </si>
  <si>
    <t>[ 칠곡종합운동장 실내테니스장 조성사업_(소방) ] - 일위대가표</t>
    <phoneticPr fontId="4" type="noConversion"/>
  </si>
  <si>
    <t>합계줄</t>
  </si>
  <si>
    <t>( 합       계 )</t>
  </si>
  <si>
    <t>A0100000000</t>
  </si>
  <si>
    <t>RENT000000000003</t>
  </si>
  <si>
    <t>[ 소모 잡자재 ]</t>
  </si>
  <si>
    <t>전선, 전선관의 2 %</t>
  </si>
  <si>
    <t>A0300000000</t>
  </si>
  <si>
    <t>RENT000000000006</t>
  </si>
  <si>
    <t>[ 공 구 손 료 ]</t>
  </si>
  <si>
    <t>[제 1호] 되메우기 및 다짐  소형장비 [㎥_]</t>
  </si>
  <si>
    <t>일목줄</t>
    <phoneticPr fontId="4" type="noConversion"/>
  </si>
  <si>
    <t>ABD104100000</t>
    <phoneticPr fontId="4" type="noConversion"/>
  </si>
  <si>
    <t>EFA110110000</t>
    <phoneticPr fontId="4" type="noConversion"/>
  </si>
  <si>
    <t>[ 칠곡종합운동장 실내테니스장 조성사업_(소방) ] - 노임 산출근거(2025년 상반기 노임)</t>
    <phoneticPr fontId="4" type="noConversion"/>
  </si>
  <si>
    <t>저압케이블전공</t>
    <phoneticPr fontId="4" type="noConversion"/>
  </si>
  <si>
    <t>배전전공</t>
    <phoneticPr fontId="4" type="noConversion"/>
  </si>
  <si>
    <t>0101</t>
  </si>
  <si>
    <t>전기5-1</t>
  </si>
  <si>
    <t>전기4-31</t>
  </si>
  <si>
    <t>전기5-3</t>
  </si>
  <si>
    <t>전기5-4</t>
  </si>
  <si>
    <t>전기5-13</t>
  </si>
  <si>
    <t>전기10-2-1</t>
  </si>
  <si>
    <t>전기10-2-2</t>
  </si>
  <si>
    <t>전기10-2-12</t>
  </si>
  <si>
    <t>전기10-2-7</t>
  </si>
  <si>
    <t>전기10-1-1</t>
  </si>
  <si>
    <t>전기10-2-10</t>
  </si>
  <si>
    <t>전기5-22</t>
  </si>
  <si>
    <t>0102</t>
  </si>
  <si>
    <t>81</t>
  </si>
  <si>
    <t>[ 칠곡종합운동장 실내테니스장 조성사업_(소방) ]</t>
    <phoneticPr fontId="4" type="noConversion"/>
  </si>
  <si>
    <t>MM025214163</t>
  </si>
  <si>
    <t>391115ZZ701Z0001</t>
  </si>
  <si>
    <t>A0600000000</t>
  </si>
  <si>
    <t>RENT000000000001</t>
  </si>
  <si>
    <t>[ 배관 부속재 ]</t>
  </si>
  <si>
    <t>CD 전선관의 40 %</t>
  </si>
  <si>
    <t>A0500000000</t>
  </si>
  <si>
    <t>RENT000000000002</t>
  </si>
  <si>
    <t>전선관의 15 %</t>
  </si>
  <si>
    <t>총줄수-&gt;</t>
  </si>
  <si>
    <t>01</t>
  </si>
  <si>
    <t>Total</t>
  </si>
  <si>
    <t>직 접 재 료 비</t>
    <phoneticPr fontId="4" type="noConversion"/>
  </si>
  <si>
    <t>간 접 재 료 비</t>
    <phoneticPr fontId="4" type="noConversion"/>
  </si>
  <si>
    <t>( 소      계 )</t>
    <phoneticPr fontId="4" type="noConversion"/>
  </si>
  <si>
    <t>직 접 노 무 비</t>
    <phoneticPr fontId="4" type="noConversion"/>
  </si>
  <si>
    <t>간 접 노 무 비</t>
    <phoneticPr fontId="4" type="noConversion"/>
  </si>
  <si>
    <t>산 재 보 험 료</t>
    <phoneticPr fontId="4" type="noConversion"/>
  </si>
  <si>
    <t>(노무비) * 3.56 %</t>
  </si>
  <si>
    <t>고 용 보 험 료</t>
    <phoneticPr fontId="4" type="noConversion"/>
  </si>
  <si>
    <t>(노무비) * 1.01 %</t>
  </si>
  <si>
    <t>퇴 직 금 공 제</t>
    <phoneticPr fontId="4" type="noConversion"/>
  </si>
  <si>
    <t>(직접 노무비) * 2.3 %</t>
  </si>
  <si>
    <t>기  타  경  비</t>
    <phoneticPr fontId="4" type="noConversion"/>
  </si>
  <si>
    <t>건 강 보 험 료</t>
    <phoneticPr fontId="4" type="noConversion"/>
  </si>
  <si>
    <t>(직접 노무비) * 3.545 %</t>
  </si>
  <si>
    <t>연 금 보 험 료</t>
    <phoneticPr fontId="4" type="noConversion"/>
  </si>
  <si>
    <t>(직접 노무비) * 4.5 %</t>
  </si>
  <si>
    <t>노인장기요양보험</t>
    <phoneticPr fontId="4" type="noConversion"/>
  </si>
  <si>
    <t>(건강 보험료) * 12.95 %</t>
  </si>
  <si>
    <t>일 반 관 리 비</t>
    <phoneticPr fontId="4" type="noConversion"/>
  </si>
  <si>
    <t>(재료+노무+경비) * 6 %</t>
  </si>
  <si>
    <t>이          윤</t>
    <phoneticPr fontId="4" type="noConversion"/>
  </si>
  <si>
    <t>( 총  원  가 )</t>
    <phoneticPr fontId="4" type="noConversion"/>
  </si>
  <si>
    <t>부 가 가 치 세</t>
    <phoneticPr fontId="4" type="noConversion"/>
  </si>
  <si>
    <t>( 총      계 )</t>
    <phoneticPr fontId="4" type="noConversion"/>
  </si>
  <si>
    <t>( 순 공 사 비 계 )</t>
    <phoneticPr fontId="4" type="noConversion"/>
  </si>
  <si>
    <t>본 파일은 이지테크에서 2번 옵션으로 만들었습니다.</t>
  </si>
  <si>
    <t>감지기</t>
    <phoneticPr fontId="4" type="noConversion"/>
  </si>
  <si>
    <t>광전식</t>
    <phoneticPr fontId="4" type="noConversion"/>
  </si>
  <si>
    <t>분리형</t>
    <phoneticPr fontId="4" type="noConversion"/>
  </si>
  <si>
    <t>광전식분리형감지기</t>
    <phoneticPr fontId="4" type="noConversion"/>
  </si>
  <si>
    <t>배전함 비상전원반 3A (시각/분리형감지기)</t>
    <phoneticPr fontId="4" type="noConversion"/>
  </si>
  <si>
    <t>3A</t>
    <phoneticPr fontId="4" type="noConversion"/>
  </si>
  <si>
    <t>시각/분리</t>
    <phoneticPr fontId="4" type="noConversion"/>
  </si>
  <si>
    <t>저수위</t>
    <phoneticPr fontId="4" type="noConversion"/>
  </si>
  <si>
    <t>감시</t>
    <phoneticPr fontId="4" type="noConversion"/>
  </si>
  <si>
    <t>센서</t>
    <phoneticPr fontId="4" type="noConversion"/>
  </si>
  <si>
    <t>저수위감시센서</t>
    <phoneticPr fontId="4" type="noConversion"/>
  </si>
  <si>
    <t>3A 시각/분리형감지기</t>
    <phoneticPr fontId="4" type="noConversion"/>
  </si>
  <si>
    <t>배전함 비상전원반</t>
    <phoneticPr fontId="4" type="noConversion"/>
  </si>
  <si>
    <t>화재감지기</t>
    <phoneticPr fontId="4" type="noConversion"/>
  </si>
  <si>
    <t>조</t>
    <phoneticPr fontId="4" type="noConversion"/>
  </si>
  <si>
    <t>㎥_</t>
    <phoneticPr fontId="4" type="noConversion"/>
  </si>
  <si>
    <t>배상책임공제료</t>
    <phoneticPr fontId="4" type="noConversion"/>
  </si>
  <si>
    <t>(순계약금액) * 0.364 %</t>
    <phoneticPr fontId="4" type="noConversion"/>
  </si>
  <si>
    <t>도 급 공 사 비</t>
    <phoneticPr fontId="4" type="noConversion"/>
  </si>
  <si>
    <t>비</t>
    <phoneticPr fontId="4" type="noConversion"/>
  </si>
  <si>
    <t>산업안전보건관리비</t>
    <phoneticPr fontId="4" type="noConversion"/>
  </si>
  <si>
    <t>391115ZZ701Z0021</t>
  </si>
  <si>
    <t>인력터파기 보통토사 0-1M</t>
  </si>
  <si>
    <t>토목3-1-3-1</t>
  </si>
  <si>
    <t>[ 제 2호 ] 인력터파기  보통토사0-1m [㎥_]</t>
    <phoneticPr fontId="4" type="noConversion"/>
  </si>
  <si>
    <t>ABB111100000</t>
    <phoneticPr fontId="4" type="noConversion"/>
  </si>
  <si>
    <t>[제 2호] 인력터파기  보통토사0-1m [㎥_]</t>
    <phoneticPr fontId="4" type="noConversion"/>
  </si>
  <si>
    <t>ABB103200000</t>
    <phoneticPr fontId="4" type="noConversion"/>
  </si>
  <si>
    <t>제 9호</t>
  </si>
  <si>
    <t>ABB111100000</t>
  </si>
  <si>
    <t>인력터파기</t>
  </si>
  <si>
    <t>보통토사0-1m</t>
  </si>
  <si>
    <t>ILD</t>
  </si>
  <si>
    <t>CA565826042</t>
  </si>
  <si>
    <t>ECA565826042</t>
  </si>
  <si>
    <t>기계터파기</t>
  </si>
  <si>
    <t>보통토사(0.6㎥/43.6)</t>
  </si>
  <si>
    <t>㎥</t>
  </si>
  <si>
    <t>ild</t>
  </si>
  <si>
    <t>[제 3호] 터파기(기계80%,인력20%)  보통토사 [㎥]</t>
    <phoneticPr fontId="4" type="noConversion"/>
  </si>
  <si>
    <t>제 3호</t>
  </si>
  <si>
    <t>터파기(기계80%,인력20%)</t>
    <phoneticPr fontId="4" type="noConversion"/>
  </si>
  <si>
    <t>제 4호</t>
  </si>
  <si>
    <t>제 2호</t>
    <phoneticPr fontId="4" type="noConversion"/>
  </si>
  <si>
    <t>경비</t>
  </si>
  <si>
    <t>재료</t>
  </si>
  <si>
    <t>노무</t>
  </si>
  <si>
    <t>[제 4호] 수동발신기  소화전상부 [식]</t>
    <phoneticPr fontId="4" type="noConversion"/>
  </si>
  <si>
    <t>제 3호</t>
    <phoneticPr fontId="4" type="noConversion"/>
  </si>
  <si>
    <t>제 4호</t>
    <phoneticPr fontId="4" type="noConversion"/>
  </si>
  <si>
    <t>보통토사</t>
    <phoneticPr fontId="4" type="noConversion"/>
  </si>
  <si>
    <t>터파기(기계80%,인력20%)</t>
    <phoneticPr fontId="4" type="noConversion"/>
  </si>
  <si>
    <t>[ 제 4호 ] 수동발신기  소화전상부 [식]</t>
    <phoneticPr fontId="4" type="noConversion"/>
  </si>
  <si>
    <t>종합적산657</t>
  </si>
  <si>
    <t>2.기계소방공사(도급)</t>
    <phoneticPr fontId="4" type="noConversion"/>
  </si>
  <si>
    <t>1.전기소방공사(도급)</t>
    <phoneticPr fontId="4" type="noConversion"/>
  </si>
  <si>
    <t>1.전기소방공사(도급)::1-1.소방공사</t>
    <phoneticPr fontId="4" type="noConversion"/>
  </si>
  <si>
    <t>1.전기소방공사(도급)::1-2.유도등공사</t>
    <phoneticPr fontId="4" type="noConversion"/>
  </si>
  <si>
    <t>1.전기소방공사(도급)::1-1.소방공사</t>
    <phoneticPr fontId="4" type="noConversion"/>
  </si>
  <si>
    <t>1.전기소방공사(도급)::1-2.유도등공사</t>
    <phoneticPr fontId="4" type="noConversion"/>
  </si>
  <si>
    <t>집       계       표</t>
  </si>
  <si>
    <t>공사명 : 칠곡종합운동장 실내테니스장 기계소방공사</t>
  </si>
  <si>
    <t>공  종  명</t>
  </si>
  <si>
    <t>수량</t>
  </si>
  <si>
    <t>재  료  비</t>
  </si>
  <si>
    <t>노  무  비</t>
  </si>
  <si>
    <t>경      비</t>
  </si>
  <si>
    <t>합      계</t>
  </si>
  <si>
    <t>비고</t>
  </si>
  <si>
    <t>단  가</t>
  </si>
  <si>
    <t>금    액</t>
  </si>
  <si>
    <t>칠곡종합운동장 실내테니스장 기계소방공사</t>
  </si>
  <si>
    <t>기계소방공사</t>
  </si>
  <si>
    <t>010101</t>
  </si>
  <si>
    <t>장비설치공사</t>
  </si>
  <si>
    <t>010102</t>
  </si>
  <si>
    <t>기계실배관공사</t>
  </si>
  <si>
    <t>010103</t>
  </si>
  <si>
    <t>소화배관공사</t>
  </si>
  <si>
    <t>010104</t>
  </si>
  <si>
    <t>스프링클러배관공사</t>
  </si>
  <si>
    <t>010105</t>
  </si>
  <si>
    <t>소방내진공사</t>
  </si>
  <si>
    <t>내       역       서</t>
  </si>
  <si>
    <t>품      명</t>
  </si>
  <si>
    <t>규      격</t>
  </si>
  <si>
    <t>수  량</t>
  </si>
  <si>
    <t>금   액</t>
  </si>
  <si>
    <t>손료요율</t>
  </si>
  <si>
    <t>손료구분</t>
  </si>
  <si>
    <t>적용구분</t>
  </si>
  <si>
    <t>합계구분</t>
  </si>
  <si>
    <t>기계경비</t>
  </si>
  <si>
    <t>운반비</t>
  </si>
  <si>
    <t>작업부산물</t>
  </si>
  <si>
    <t>관급</t>
  </si>
  <si>
    <t>외주비</t>
  </si>
  <si>
    <t>장비비</t>
  </si>
  <si>
    <t>폐기물처리비</t>
  </si>
  <si>
    <t>가설비</t>
  </si>
  <si>
    <t>잡비제외분</t>
  </si>
  <si>
    <t>사급자재대</t>
  </si>
  <si>
    <t>관급자재대</t>
  </si>
  <si>
    <t>부산물</t>
  </si>
  <si>
    <t>품질검사비</t>
  </si>
  <si>
    <t>사용자항목3</t>
  </si>
  <si>
    <t>급식소 환기설비시험 조정평가</t>
  </si>
  <si>
    <t>사용자항목5</t>
  </si>
  <si>
    <t>사용자항목6</t>
  </si>
  <si>
    <t>사용자항목7</t>
  </si>
  <si>
    <t>사용자항목8</t>
  </si>
  <si>
    <t>사용자항목9</t>
  </si>
  <si>
    <t>사용자항목10</t>
  </si>
  <si>
    <t>사용자항목11</t>
  </si>
  <si>
    <t>사용자항목12</t>
  </si>
  <si>
    <t>사용자항목13</t>
  </si>
  <si>
    <t>사용자항목14</t>
  </si>
  <si>
    <t>사용자항목15</t>
  </si>
  <si>
    <t>사용자항목16</t>
  </si>
  <si>
    <t>사용자항목17</t>
  </si>
  <si>
    <t>사용자항목18</t>
  </si>
  <si>
    <t>사용자항목19</t>
  </si>
  <si>
    <t>간접재료비</t>
  </si>
  <si>
    <t>품목구분</t>
  </si>
  <si>
    <t>조달코드</t>
  </si>
  <si>
    <t>0101. 장비설치공사</t>
  </si>
  <si>
    <t>다단벌류트펌프</t>
  </si>
  <si>
    <t>1860L/min, 73m, 45kw</t>
    <phoneticPr fontId="19" type="noConversion"/>
  </si>
  <si>
    <t>웨스코펌프</t>
  </si>
  <si>
    <t>55L/min, 73m, 5.5kw</t>
    <phoneticPr fontId="19" type="noConversion"/>
  </si>
  <si>
    <t>소화설비엔진펌프</t>
  </si>
  <si>
    <t>삼상농형유도전동기</t>
  </si>
  <si>
    <t>저압3상, 고효율, 7.5HP, 4P</t>
  </si>
  <si>
    <t>저압3상, 고효율, 60HP, 4P</t>
  </si>
  <si>
    <t>전자식압력스위치</t>
  </si>
  <si>
    <t>10kg/cm2</t>
  </si>
  <si>
    <t>set</t>
  </si>
  <si>
    <t>진동방지장치</t>
  </si>
  <si>
    <t>펌프방진(편흡입), 25mm, 5.6kW이하</t>
  </si>
  <si>
    <t>조</t>
  </si>
  <si>
    <t>펌프방진(편흡입), 25mm, 45kW이하</t>
  </si>
  <si>
    <t>환풍기</t>
  </si>
  <si>
    <t>250×250mm 셔터형</t>
  </si>
  <si>
    <t>공구손료</t>
  </si>
  <si>
    <t>23</t>
  </si>
  <si>
    <t>A0200000000</t>
  </si>
  <si>
    <t>기계설비공</t>
  </si>
  <si>
    <t>일반공사 직종</t>
  </si>
  <si>
    <t>합  계</t>
  </si>
  <si>
    <t>0102. 기계실배관공사</t>
  </si>
  <si>
    <t>분말소화기(ABC)</t>
  </si>
  <si>
    <t>3.3kg</t>
  </si>
  <si>
    <t>소화기표지</t>
  </si>
  <si>
    <t>소화기받침대</t>
  </si>
  <si>
    <t>배관용탄소강관</t>
  </si>
  <si>
    <t>SPP(백관), Φ15mm, 반제품</t>
  </si>
  <si>
    <t>m</t>
  </si>
  <si>
    <t>SPP(백관), Φ25mm, 반제품</t>
  </si>
  <si>
    <t>SPP(백관), Φ50mm, 반제품</t>
  </si>
  <si>
    <t>SPP(백관), Φ100mm, 반제품</t>
  </si>
  <si>
    <t>SPP(백관), Φ150mm, 반제품</t>
  </si>
  <si>
    <t>관보온(발포보온,난연)</t>
  </si>
  <si>
    <t>25TxD15</t>
  </si>
  <si>
    <t>일위 24호</t>
  </si>
  <si>
    <t>25TxD50</t>
  </si>
  <si>
    <t>일위 25호</t>
  </si>
  <si>
    <t>40TxD100</t>
  </si>
  <si>
    <t>일위 28호</t>
  </si>
  <si>
    <t>40TxD150</t>
  </si>
  <si>
    <t>일위 29호</t>
  </si>
  <si>
    <t>용접식강관이음쇠</t>
  </si>
  <si>
    <t>Φ25mm, 백엘보, 용접</t>
  </si>
  <si>
    <t>Φ50mm, 백엘보, 용접</t>
  </si>
  <si>
    <t>Φ50mm, 백티, 용접</t>
  </si>
  <si>
    <t>Φ100mm, 백엘보, 용접</t>
  </si>
  <si>
    <t>Φ100mm, 백티, 용접</t>
  </si>
  <si>
    <t>Φ150mm, 백엘보, 용접</t>
  </si>
  <si>
    <t>Φ150mm, 백티, 용접</t>
  </si>
  <si>
    <t>Φ50×40mm, 백리듀서, 동심</t>
  </si>
  <si>
    <t>Φ150×80mm, 백리듀서, 동심</t>
  </si>
  <si>
    <t>Φ150×100mm, 백리듀서, 동심</t>
  </si>
  <si>
    <t>강관용접</t>
  </si>
  <si>
    <t>D25</t>
  </si>
  <si>
    <t>개소</t>
  </si>
  <si>
    <t>일위 17호</t>
  </si>
  <si>
    <t>D40</t>
  </si>
  <si>
    <t>일위 18호</t>
  </si>
  <si>
    <t>D50</t>
  </si>
  <si>
    <t>일위 19호</t>
  </si>
  <si>
    <t>D65</t>
  </si>
  <si>
    <t>일위 20호</t>
  </si>
  <si>
    <t>D80</t>
  </si>
  <si>
    <t>일위 21호</t>
  </si>
  <si>
    <t>D100</t>
  </si>
  <si>
    <t>일위 22호</t>
  </si>
  <si>
    <t>D150</t>
  </si>
  <si>
    <t>일위 23호</t>
  </si>
  <si>
    <t>소방유량계</t>
  </si>
  <si>
    <t>순간유량계(후로셀), D100</t>
  </si>
  <si>
    <t>글로브밸브</t>
  </si>
  <si>
    <t>Φ100mm×0.98MPa, 주철</t>
  </si>
  <si>
    <t>게이트밸브</t>
  </si>
  <si>
    <t>Φ50mm, OS and Y밸브</t>
  </si>
  <si>
    <t>Φ150mm, OS and Y밸브</t>
  </si>
  <si>
    <t>체크밸브</t>
  </si>
  <si>
    <t>Φ50mm, 스모렌스키</t>
  </si>
  <si>
    <t>Φ150mm, 스모렌스키</t>
  </si>
  <si>
    <t>Φ15mm×0.98MPa, 청동</t>
  </si>
  <si>
    <t>플렉시블조인트</t>
  </si>
  <si>
    <t>Φ50mm*0.98MPa,  스테인리스</t>
  </si>
  <si>
    <t>Φ150mm*0.98MPa,  스테인리스</t>
  </si>
  <si>
    <t>수격방지기</t>
  </si>
  <si>
    <t>W.H.C, Φ50mm</t>
  </si>
  <si>
    <t>W.H.C, Φ150mm</t>
  </si>
  <si>
    <t>용접합후렌지</t>
  </si>
  <si>
    <t>일위 35호</t>
  </si>
  <si>
    <t>일위 36호</t>
  </si>
  <si>
    <t>일위 37호</t>
  </si>
  <si>
    <t>일위 38호</t>
  </si>
  <si>
    <t>일위 39호</t>
  </si>
  <si>
    <t>압력계</t>
  </si>
  <si>
    <t>스텐압력계, Φ100(2~35kgf/㎠)</t>
  </si>
  <si>
    <t>릴리프밸브소방</t>
  </si>
  <si>
    <t>파이프가대</t>
  </si>
  <si>
    <t>300Lx200H(앵글50)</t>
  </si>
  <si>
    <t>일위 54호</t>
  </si>
  <si>
    <t>스트레이너(스텐제)</t>
  </si>
  <si>
    <t>Φ50mm×0.98MPa, 나사식</t>
  </si>
  <si>
    <t>Φ150mm×0.98MPa, 플랜지식</t>
  </si>
  <si>
    <t>절연행거(달대볼트)</t>
  </si>
  <si>
    <t>D 15</t>
  </si>
  <si>
    <t>일위 42호</t>
  </si>
  <si>
    <t>D 50</t>
  </si>
  <si>
    <t>일위 46호</t>
  </si>
  <si>
    <t>일위 49호</t>
  </si>
  <si>
    <t>일위 51호</t>
  </si>
  <si>
    <t>나사식강관제관이음쇠</t>
  </si>
  <si>
    <t>Φ50mm, 백엘보, 나사</t>
  </si>
  <si>
    <t>풋밸브</t>
  </si>
  <si>
    <t>후드밸브, Φ50mm, 플랜지, 스테인리스</t>
  </si>
  <si>
    <t>후드밸브, Φ150mm, 플랜지, 스테인리스</t>
  </si>
  <si>
    <t>플랜지 이음(STEEL PLATE)</t>
  </si>
  <si>
    <t>D=50 합플랜지</t>
  </si>
  <si>
    <t>일위 55호</t>
  </si>
  <si>
    <t>D=150 합플랜지</t>
  </si>
  <si>
    <t>일위 57호</t>
  </si>
  <si>
    <t>물올림탱크(소방용)</t>
  </si>
  <si>
    <t>100LIT, 스텐</t>
  </si>
  <si>
    <t>플로우트밸브</t>
  </si>
  <si>
    <t>Φ15mm, 볼탭, 황동</t>
  </si>
  <si>
    <t>볼밸브</t>
  </si>
  <si>
    <t>Φ15mm×0.98MPa, 황동</t>
  </si>
  <si>
    <t>배관공</t>
  </si>
  <si>
    <t>0103. 소화배관공사</t>
  </si>
  <si>
    <t>옥내소화전설치(노출형)SUS304</t>
  </si>
  <si>
    <t>일위 34호</t>
  </si>
  <si>
    <t>강관 용접배관</t>
  </si>
  <si>
    <t>D50, 고소작업대(시저형)</t>
  </si>
  <si>
    <t>일위  4호</t>
  </si>
  <si>
    <t>D65, 고소작업대(시저형)</t>
  </si>
  <si>
    <t>일위  5호</t>
  </si>
  <si>
    <t>D80, 고소작업대(시저형)</t>
  </si>
  <si>
    <t>일위  6호</t>
  </si>
  <si>
    <t>D150, 고소작업대(시저형)</t>
  </si>
  <si>
    <t>일위  9호</t>
  </si>
  <si>
    <t>25TxD65</t>
  </si>
  <si>
    <t>일위 26호</t>
  </si>
  <si>
    <t>25TxD80</t>
  </si>
  <si>
    <t>일위 27호</t>
  </si>
  <si>
    <t>Φ40mm, 백니플, 나사</t>
  </si>
  <si>
    <t>Φ50mm, 백리듀서, 나사</t>
  </si>
  <si>
    <t>Φ50mm, 백캡, 나사</t>
  </si>
  <si>
    <t>Φ50mm, 백티, 나사</t>
  </si>
  <si>
    <t>쌍구형연결송수구</t>
  </si>
  <si>
    <t>매입형, 100×65×65</t>
  </si>
  <si>
    <t>소방용밸브</t>
  </si>
  <si>
    <t>자동배수밸브, D20</t>
  </si>
  <si>
    <t>D 65</t>
  </si>
  <si>
    <t>일위 47호</t>
  </si>
  <si>
    <t>D 80</t>
  </si>
  <si>
    <t>일위 48호</t>
  </si>
  <si>
    <t>Φ65× 50, 백티, 용접</t>
  </si>
  <si>
    <t>Φ150× 65, 백티, 용접</t>
  </si>
  <si>
    <t>Φ65×50mm, 백리듀서, 동심</t>
  </si>
  <si>
    <t>Φ80×65mm, 백리듀서, 동심</t>
  </si>
  <si>
    <t>강관 용접접합</t>
  </si>
  <si>
    <t>아크용접, D50, 고소작업대(시저형)</t>
  </si>
  <si>
    <t>일위 11호</t>
  </si>
  <si>
    <t>아크용접, D65, 고소작업대(시저형)</t>
  </si>
  <si>
    <t>일위 12호</t>
  </si>
  <si>
    <t>아크용접, D80, 고소작업대(시저형)</t>
  </si>
  <si>
    <t>일위 13호</t>
  </si>
  <si>
    <t>아크용접, D150, 고소작업대(시저형)</t>
  </si>
  <si>
    <t>일위 16호</t>
  </si>
  <si>
    <t>되메우고다지기</t>
  </si>
  <si>
    <t>(백호80%+인력20%)+램머80KG</t>
  </si>
  <si>
    <t>M3</t>
  </si>
  <si>
    <t>단산 32호</t>
  </si>
  <si>
    <t>터파기(백호+인력)</t>
  </si>
  <si>
    <t>토사, 백호(0.7㎥)80%+인력20%</t>
  </si>
  <si>
    <t>단산 53호</t>
  </si>
  <si>
    <t>0104. 스프링클러배관공사</t>
  </si>
  <si>
    <t>프리액션밸브</t>
  </si>
  <si>
    <t>D25, 고소작업대(시저형)</t>
  </si>
  <si>
    <t>일위  1호</t>
  </si>
  <si>
    <t>D32, 고소작업대(시저형)</t>
  </si>
  <si>
    <t>일위  2호</t>
  </si>
  <si>
    <t>D40, 고소작업대(시저형)</t>
  </si>
  <si>
    <t>일위  3호</t>
  </si>
  <si>
    <t>D100, 고소작업대(시저형)</t>
  </si>
  <si>
    <t>일위  7호</t>
  </si>
  <si>
    <t>D125, 고소작업대(시저형)</t>
  </si>
  <si>
    <t>일위  8호</t>
  </si>
  <si>
    <t>Φ80× 50, 백티, 용접</t>
  </si>
  <si>
    <t>Φ100× 50, 백티, 용접</t>
  </si>
  <si>
    <t>Φ125× 40, 백티, 용접</t>
  </si>
  <si>
    <t>Φ125× 50, 백티, 용접</t>
  </si>
  <si>
    <t>Φ150× 50, 백티, 용접</t>
  </si>
  <si>
    <t>Φ100×80mm, 백리듀서, 동심</t>
  </si>
  <si>
    <t>Φ125×100mm, 백리듀서, 동심</t>
  </si>
  <si>
    <t>Φ150×125mm, 백리듀서, 동심</t>
  </si>
  <si>
    <t>아크용접, D40, 고소작업대(시저형)</t>
  </si>
  <si>
    <t>일위 10호</t>
  </si>
  <si>
    <t>아크용접, D100, 고소작업대(시저형)</t>
  </si>
  <si>
    <t>일위 14호</t>
  </si>
  <si>
    <t>아크용접, D125, 고소작업대(시저형)</t>
  </si>
  <si>
    <t>일위 15호</t>
  </si>
  <si>
    <t>W.H.C, Φ80mm</t>
  </si>
  <si>
    <t>Φ50mm×0.98MPa, 청동</t>
  </si>
  <si>
    <t>Φ25mm, 백리듀서, 나사</t>
  </si>
  <si>
    <t>Φ25mm, 백엘보, 나사</t>
  </si>
  <si>
    <t>Φ25mm, 백캡, 나사</t>
  </si>
  <si>
    <t>Φ25mm, 백티, 나사</t>
  </si>
  <si>
    <t>Φ32mm, 백리듀서, 나사</t>
  </si>
  <si>
    <t>Φ32mm, 백엘보, 나사</t>
  </si>
  <si>
    <t>Φ32mm, 백티, 나사</t>
  </si>
  <si>
    <t>Φ40mm, 백리듀서, 나사</t>
  </si>
  <si>
    <t>Φ40mm, 백엘보, 나사</t>
  </si>
  <si>
    <t>Φ40mm, 백티, 나사</t>
  </si>
  <si>
    <t>Φ50mm, 백니플, 나사</t>
  </si>
  <si>
    <t>Φ50mm, 백유니언, 나사</t>
  </si>
  <si>
    <t>D=80 합플랜지</t>
  </si>
  <si>
    <t>일위 56호</t>
  </si>
  <si>
    <t>소방용헤드</t>
  </si>
  <si>
    <t>드라이펜던트(플러쉬형), 300mm, 72℃</t>
  </si>
  <si>
    <t>EA</t>
  </si>
  <si>
    <t>스프링클러헤드</t>
  </si>
  <si>
    <t>폐쇄,상향72°C 표준 유리벌브</t>
  </si>
  <si>
    <t>스프링클러용후렉시블조인트</t>
  </si>
  <si>
    <t>나관보온  1000L</t>
  </si>
  <si>
    <t>D 25</t>
  </si>
  <si>
    <t>일위 43호</t>
  </si>
  <si>
    <t>D 32</t>
  </si>
  <si>
    <t>일위 44호</t>
  </si>
  <si>
    <t>D 40</t>
  </si>
  <si>
    <t>일위 45호</t>
  </si>
  <si>
    <t>D125</t>
  </si>
  <si>
    <t>일위 50호</t>
  </si>
  <si>
    <t>앵글밸브</t>
  </si>
  <si>
    <t>Φ40mm×0.98MPa, 청동</t>
  </si>
  <si>
    <t>0105. 소방내진공사</t>
  </si>
  <si>
    <t>펌프 내진장치(스토퍼)</t>
  </si>
  <si>
    <t/>
  </si>
  <si>
    <t>다단펌프</t>
  </si>
  <si>
    <t xml:space="preserve"> 45KW </t>
  </si>
  <si>
    <t xml:space="preserve"> EA </t>
  </si>
  <si>
    <t>엔진펌프</t>
  </si>
  <si>
    <t>웨스코</t>
  </si>
  <si>
    <t xml:space="preserve"> 5.5KW </t>
  </si>
  <si>
    <t>스터드 앵커</t>
  </si>
  <si>
    <t xml:space="preserve"> one size </t>
  </si>
  <si>
    <t>옥내소화전 내진고정 지지대</t>
  </si>
  <si>
    <t xml:space="preserve"> SET </t>
  </si>
  <si>
    <t>스터드 앵커(옥내소화전)</t>
  </si>
  <si>
    <t>다단펌프 내진스토퍼 설치비</t>
  </si>
  <si>
    <t xml:space="preserve"> 개소 </t>
  </si>
  <si>
    <t>엔진펌프 내진스토퍼 설치비</t>
  </si>
  <si>
    <t>웨스코 내진스토퍼 설치비</t>
  </si>
  <si>
    <t>입상관 내진장치</t>
  </si>
  <si>
    <t>4방향 버팀대_H빔</t>
  </si>
  <si>
    <t xml:space="preserve"> 150A </t>
  </si>
  <si>
    <t>4방향 버팀대 지지대</t>
  </si>
  <si>
    <t xml:space="preserve"> 25A </t>
  </si>
  <si>
    <t>4방향 버팀대 설치비</t>
  </si>
  <si>
    <t>횡주관 흔들림방지 버팀대</t>
  </si>
  <si>
    <t>버팀대 클램프(횡방향)_콘크리트</t>
  </si>
  <si>
    <t>버팀대 클램프(종방향)_콘크리트</t>
  </si>
  <si>
    <t>버팀대 클램프(횡방향)_H빔</t>
  </si>
  <si>
    <t xml:space="preserve"> 50A </t>
  </si>
  <si>
    <t xml:space="preserve"> 65A </t>
  </si>
  <si>
    <t xml:space="preserve"> 80A </t>
  </si>
  <si>
    <t xml:space="preserve"> 100A </t>
  </si>
  <si>
    <t xml:space="preserve"> 125A </t>
  </si>
  <si>
    <t>버팀대 클램프(종방향)_H빔</t>
  </si>
  <si>
    <t>횡,종방향 버팀대 지지대</t>
  </si>
  <si>
    <t>횡방향,종방향 버팀대 설치비</t>
  </si>
  <si>
    <t>스프링 쿨러 말단헤드 버팀대</t>
  </si>
  <si>
    <t>버팀대 가지관 말단 헹거_H빔</t>
  </si>
  <si>
    <t xml:space="preserve"> 40A </t>
  </si>
  <si>
    <t>버팀대 가지관 말단 설치비</t>
  </si>
  <si>
    <t>신축분리이음</t>
  </si>
  <si>
    <t>글로브조인트</t>
  </si>
  <si>
    <t>신축분리이음 설치비</t>
  </si>
  <si>
    <t xml:space="preserve"> 공 량 산 출 서</t>
  </si>
  <si>
    <t>품    명</t>
  </si>
  <si>
    <t>규    격</t>
  </si>
  <si>
    <t>수 량</t>
  </si>
  <si>
    <t>적용%</t>
  </si>
  <si>
    <t xml:space="preserve"> 적    용 
 자재수량</t>
  </si>
  <si>
    <t>공      량</t>
  </si>
  <si>
    <t>자재원수량</t>
  </si>
  <si>
    <t>자재</t>
  </si>
  <si>
    <t>품셈목록</t>
  </si>
  <si>
    <t>인부</t>
  </si>
  <si>
    <t>Φ125mm, 1860L/min, 70m, 60HP</t>
  </si>
  <si>
    <t>설비4-1-1</t>
  </si>
  <si>
    <t>Φ40mm×60L/min×110m×5.6kW</t>
  </si>
  <si>
    <t>설비4-1-3</t>
  </si>
  <si>
    <t>설비4-2-2</t>
  </si>
  <si>
    <t>설비1-1-3</t>
  </si>
  <si>
    <t>0.043X130%</t>
  </si>
  <si>
    <t>0.026X130%</t>
  </si>
  <si>
    <t>설비1-1-2</t>
  </si>
  <si>
    <t>0.074X130%</t>
  </si>
  <si>
    <t>0.037X130%</t>
  </si>
  <si>
    <t>0.155X130%</t>
  </si>
  <si>
    <t>0.065X130%</t>
  </si>
  <si>
    <t>0.236X130%</t>
  </si>
  <si>
    <t>0.093X130%</t>
  </si>
  <si>
    <t>설비10-6-1</t>
  </si>
  <si>
    <t>설비5-1-1</t>
  </si>
  <si>
    <t>설비5-3-2</t>
  </si>
  <si>
    <t>설비5-4-1</t>
  </si>
  <si>
    <t>설비10-4-2</t>
  </si>
  <si>
    <t>설비10-2-2</t>
  </si>
  <si>
    <t>설비10-7-1</t>
  </si>
  <si>
    <t>소방6-3-2</t>
  </si>
  <si>
    <t>일 위 대 가 목 록</t>
  </si>
  <si>
    <t>호 표</t>
  </si>
  <si>
    <t>품        명</t>
  </si>
  <si>
    <t>규        격</t>
  </si>
  <si>
    <t>재 료 비</t>
  </si>
  <si>
    <t>경    비</t>
  </si>
  <si>
    <t>합    계</t>
  </si>
  <si>
    <t>비  고</t>
  </si>
  <si>
    <t>일위 31호</t>
  </si>
  <si>
    <t>녹막이페인트칠</t>
  </si>
  <si>
    <t>2회.1종</t>
  </si>
  <si>
    <t>M2</t>
  </si>
  <si>
    <t>일위 40호</t>
  </si>
  <si>
    <t>잡철물 제작 및 설치</t>
  </si>
  <si>
    <t>일반철재, 현장제작 설치</t>
  </si>
  <si>
    <t>TON</t>
  </si>
  <si>
    <t>일위 41호</t>
  </si>
  <si>
    <t>kg</t>
  </si>
  <si>
    <t>일위 52호</t>
  </si>
  <si>
    <t>조합페인트(붓칠)</t>
  </si>
  <si>
    <t>철재면 2회 1급</t>
  </si>
  <si>
    <t>일 위 대 가 내 역 서</t>
  </si>
  <si>
    <t>[일위  1호] - [강관 용접배관  D25, 고소작업대(시저형)  M]</t>
  </si>
  <si>
    <t>02</t>
  </si>
  <si>
    <t>공구손료 및 경장비의 기계경비</t>
  </si>
  <si>
    <t>[일위  2호] - [강관 용접배관  D32, 고소작업대(시저형)  M]</t>
  </si>
  <si>
    <t>SPP(백관), Φ32mm, 반제품</t>
  </si>
  <si>
    <t>[일위  3호] - [강관 용접배관  D40, 고소작업대(시저형)  M]</t>
  </si>
  <si>
    <t>SPP(백관), Φ40mm, 반제품</t>
  </si>
  <si>
    <t>[일위  4호] - [강관 용접배관  D50, 고소작업대(시저형)  M]</t>
  </si>
  <si>
    <t>[일위  5호] - [강관 용접배관  D65, 고소작업대(시저형)  M]</t>
  </si>
  <si>
    <t>SPP(백관), Φ65mm, 반제품</t>
  </si>
  <si>
    <t>[일위  6호] - [강관 용접배관  D80, 고소작업대(시저형)  M]</t>
  </si>
  <si>
    <t>SPP(백관), Φ80mm, 반제품</t>
  </si>
  <si>
    <t>[일위  7호] - [강관 용접배관  D100, 고소작업대(시저형)  M]</t>
  </si>
  <si>
    <t>[일위  8호] - [강관 용접배관  D125, 고소작업대(시저형)  M]</t>
  </si>
  <si>
    <t>SPP(백관), Φ125mm, 반제품</t>
  </si>
  <si>
    <t>[일위  9호] - [강관 용접배관  D150, 고소작업대(시저형)  M]</t>
  </si>
  <si>
    <t>[일위 10호] - [강관 용접접합  아크용접, D40, 고소작업대(시저형)  개소]</t>
  </si>
  <si>
    <t>용접공</t>
  </si>
  <si>
    <t>04</t>
  </si>
  <si>
    <t>A0400000000</t>
  </si>
  <si>
    <t>[일위 11호] - [강관 용접접합  아크용접, D50, 고소작업대(시저형)  개소]</t>
  </si>
  <si>
    <t>[일위 12호] - [강관 용접접합  아크용접, D65, 고소작업대(시저형)  개소]</t>
  </si>
  <si>
    <t>[일위 13호] - [강관 용접접합  아크용접, D80, 고소작업대(시저형)  개소]</t>
  </si>
  <si>
    <t>[일위 14호] - [강관 용접접합  아크용접, D100, 고소작업대(시저형)  개소]</t>
  </si>
  <si>
    <t>[일위 15호] - [강관 용접접합  아크용접, D125, 고소작업대(시저형)  개소]</t>
  </si>
  <si>
    <t>[일위 16호] - [강관 용접접합  아크용접, D150, 고소작업대(시저형)  개소]</t>
  </si>
  <si>
    <t>[일위 17호] - [강관용접  D25  개소]</t>
  </si>
  <si>
    <t>연강용피복아크용접봉</t>
  </si>
  <si>
    <t>Φ3.2mm(KSE4301)</t>
  </si>
  <si>
    <t>KG</t>
  </si>
  <si>
    <t>일반경비</t>
  </si>
  <si>
    <t>전력</t>
  </si>
  <si>
    <t>kWh</t>
  </si>
  <si>
    <t>[일위 18호] - [강관용접  D40  개소]</t>
  </si>
  <si>
    <t>[일위 19호] - [강관용접  D50  개소]</t>
  </si>
  <si>
    <t>[일위 20호] - [강관용접  D65  개소]</t>
  </si>
  <si>
    <t>Φ4.0mm(KSE4301)</t>
  </si>
  <si>
    <t>[일위 21호] - [강관용접  D80  개소]</t>
  </si>
  <si>
    <t>[일위 22호] - [강관용접  D100  개소]</t>
  </si>
  <si>
    <t>[일위 23호] - [강관용접  D150  개소]</t>
  </si>
  <si>
    <t>[일위 24호] - [관보온(발포보온,난연)  25TxD15  M]</t>
  </si>
  <si>
    <t>관보온재</t>
  </si>
  <si>
    <t>아티론, 난연Al, Φ15×25mm</t>
  </si>
  <si>
    <t>잡재료비</t>
  </si>
  <si>
    <t>20</t>
  </si>
  <si>
    <t>매직테이프, t0.2mm, 100mm×15m</t>
  </si>
  <si>
    <t>㎡</t>
  </si>
  <si>
    <t>AL밴드, 0.3×30mm</t>
  </si>
  <si>
    <t>보온공</t>
  </si>
  <si>
    <t>05</t>
  </si>
  <si>
    <t>[일위 25호] - [관보온(발포보온,난연)  25TxD50  M]</t>
  </si>
  <si>
    <t>아티론, 난연Al, Φ50×25mm</t>
  </si>
  <si>
    <t>[일위 26호] - [관보온(발포보온,난연)  25TxD65  M]</t>
  </si>
  <si>
    <t>아티론, 난연Al, Φ65×25mm</t>
  </si>
  <si>
    <t>[일위 27호] - [관보온(발포보온,난연)  25TxD80  M]</t>
  </si>
  <si>
    <t>아티론, 난연Al, Φ80×25mm</t>
  </si>
  <si>
    <t>[일위 28호] - [관보온(발포보온,난연)  40TxD100  M]</t>
  </si>
  <si>
    <t>아티론, 난연Al, Φ100×40mm</t>
  </si>
  <si>
    <t>[일위 29호] - [관보온(발포보온,난연)  40TxD150  M]</t>
  </si>
  <si>
    <t>아티론, 난연Al, Φ150×40mm</t>
  </si>
  <si>
    <t>[일위 31호] - [녹막이페인트칠  2회.1종  M2]</t>
  </si>
  <si>
    <t>방청페인트</t>
  </si>
  <si>
    <t>KSM6030-1종1류, 광명단페인트</t>
  </si>
  <si>
    <t>L</t>
  </si>
  <si>
    <t>시너</t>
  </si>
  <si>
    <t>KSM6060-2종, 조합페인트용</t>
  </si>
  <si>
    <t>도장공</t>
  </si>
  <si>
    <t>공구손료 및 잡재료비</t>
  </si>
  <si>
    <t>[일위 34호] - [옥내소화전설치(노출형)SUS304    개소]</t>
  </si>
  <si>
    <t>소화전함</t>
  </si>
  <si>
    <t>옥내SS41, 1200×650×180mm</t>
  </si>
  <si>
    <t>소방호스</t>
  </si>
  <si>
    <t>소화용호스, 소방호스, 이중피, D40×15L</t>
  </si>
  <si>
    <t>앵글밸브, D40</t>
  </si>
  <si>
    <t>소방호스용노즐</t>
  </si>
  <si>
    <t>직/분사형, Φ40mm</t>
  </si>
  <si>
    <t>[일위 35호] - [용접합후렌지  D40  개소]</t>
  </si>
  <si>
    <t>플랜지</t>
  </si>
  <si>
    <t>Φ40mm×0.98MPa</t>
  </si>
  <si>
    <t>볼트너트</t>
  </si>
  <si>
    <t>M16×60</t>
  </si>
  <si>
    <t>평와셔</t>
  </si>
  <si>
    <t>호칭경16mm</t>
  </si>
  <si>
    <t>패킹</t>
  </si>
  <si>
    <t>스파이더, 3.2mm×Φ40mm</t>
  </si>
  <si>
    <t>[일위 36호] - [용접합후렌지  D50  개소]</t>
  </si>
  <si>
    <t>Φ50mm×0.98MPa</t>
  </si>
  <si>
    <t>스파이더, 3.2mm×Φ50mm</t>
  </si>
  <si>
    <t>[일위 37호] - [용접합후렌지  D80  개소]</t>
  </si>
  <si>
    <t>Φ80mm×0.98MPa</t>
  </si>
  <si>
    <t>M16×65</t>
  </si>
  <si>
    <t>스파이더, 3.2mm×Φ80mm</t>
  </si>
  <si>
    <t>[일위 38호] - [용접합후렌지  D100  개소]</t>
  </si>
  <si>
    <t>Φ100mm×0.98MPa</t>
  </si>
  <si>
    <t>스파이더, 3.2mm×Φ100mm</t>
  </si>
  <si>
    <t>[일위 39호] - [용접합후렌지  D150  개소]</t>
  </si>
  <si>
    <t>Φ150mm×0.98MPa</t>
  </si>
  <si>
    <t>M20×75</t>
  </si>
  <si>
    <t>호칭경20mm</t>
  </si>
  <si>
    <t>스파이더, 3.2mm×Φ150mm</t>
  </si>
  <si>
    <t>[일위 40호] - [잡철물 제작 및 설치  일반철재, 현장제작 설치  TON]</t>
  </si>
  <si>
    <t>철공</t>
  </si>
  <si>
    <t>특별인부</t>
  </si>
  <si>
    <t>25</t>
  </si>
  <si>
    <t>[일위 41호] - [잡철물 제작 및 설치  일반철재, 현장제작 설치  kg]</t>
  </si>
  <si>
    <t>[일위 42호] - [절연행거(달대볼트)  D 15  개소]</t>
  </si>
  <si>
    <t>지지행어</t>
  </si>
  <si>
    <t>절연행어, Φ15mm</t>
  </si>
  <si>
    <t>행어볼트</t>
  </si>
  <si>
    <t>비도금, M10×1000</t>
  </si>
  <si>
    <t>스트롱앵커</t>
  </si>
  <si>
    <t>M10, 9.5mm</t>
  </si>
  <si>
    <t>[일위 43호] - [절연행거(달대볼트)  D 25  개소]</t>
  </si>
  <si>
    <t>절연행어, Φ25mm</t>
  </si>
  <si>
    <t>[일위 44호] - [절연행거(달대볼트)  D 32  개소]</t>
  </si>
  <si>
    <t>절연행어, Φ32mm</t>
  </si>
  <si>
    <t>[일위 45호] - [절연행거(달대볼트)  D 40  개소]</t>
  </si>
  <si>
    <t>절연행어, Φ40mm</t>
  </si>
  <si>
    <t>[일위 46호] - [절연행거(달대볼트)  D 50  개소]</t>
  </si>
  <si>
    <t>절연행어, Φ50mm</t>
  </si>
  <si>
    <t>[일위 47호] - [절연행거(달대볼트)  D 65  개소]</t>
  </si>
  <si>
    <t>절연행어, Φ65mm</t>
  </si>
  <si>
    <t>[일위 48호] - [절연행거(달대볼트)  D 80  개소]</t>
  </si>
  <si>
    <t>절연행어, Φ80mm</t>
  </si>
  <si>
    <t>[일위 49호] - [절연행거(달대볼트)  D100  개소]</t>
  </si>
  <si>
    <t>절연행어, Φ100mm</t>
  </si>
  <si>
    <t>비도금, M14×1000</t>
  </si>
  <si>
    <t>M12</t>
  </si>
  <si>
    <t>[일위 50호] - [절연행거(달대볼트)  D125  개소]</t>
  </si>
  <si>
    <t>절연행어, Φ125mm</t>
  </si>
  <si>
    <t>[일위 51호] - [절연행거(달대볼트)  D150  개소]</t>
  </si>
  <si>
    <t>절연행어, Φ150mm</t>
  </si>
  <si>
    <t>[일위 52호] - [조합페인트(붓칠)  철재면 2회 1급  M2]</t>
  </si>
  <si>
    <t>조합페인트</t>
  </si>
  <si>
    <t>KSM6020-1종1급, 백색</t>
  </si>
  <si>
    <t>[일위 54호] - [파이프가대  300Lx200H(앵글50)  개소]</t>
  </si>
  <si>
    <t>ㄱ형강</t>
  </si>
  <si>
    <t>등변, 50×50×4mm</t>
  </si>
  <si>
    <t>세트앵커</t>
  </si>
  <si>
    <t>M10×L75mm</t>
  </si>
  <si>
    <t>[일위 55호] - [플랜지 이음(STEEL PLATE)  D=50 합플랜지  개소]</t>
  </si>
  <si>
    <t>10K 50A</t>
  </si>
  <si>
    <t>볼트</t>
  </si>
  <si>
    <t>M16*75L</t>
  </si>
  <si>
    <t>너트</t>
  </si>
  <si>
    <t>M16</t>
  </si>
  <si>
    <t>와셔</t>
  </si>
  <si>
    <t>플랜지 패킹</t>
  </si>
  <si>
    <t>D50 (비석면)10K</t>
  </si>
  <si>
    <t>[일위 56호] - [플랜지 이음(STEEL PLATE)  D=80 합플랜지  개소]</t>
  </si>
  <si>
    <t>10K 80A</t>
  </si>
  <si>
    <t>M16*120L</t>
  </si>
  <si>
    <t>D80 (비석면)10K</t>
  </si>
  <si>
    <t>[일위 57호] - [플랜지 이음(STEEL PLATE)  D=150 합플랜지  개소]</t>
  </si>
  <si>
    <t>10K 150A</t>
  </si>
  <si>
    <t>M20*120L</t>
  </si>
  <si>
    <t>M20</t>
  </si>
  <si>
    <t>D150 (비석면)10K</t>
  </si>
  <si>
    <t>단 가 대 비 표</t>
  </si>
  <si>
    <t>품     명</t>
  </si>
  <si>
    <t>규     격</t>
  </si>
  <si>
    <t>가격정보</t>
  </si>
  <si>
    <t>물가자료</t>
  </si>
  <si>
    <t>물가정보</t>
  </si>
  <si>
    <t>조사단가</t>
  </si>
  <si>
    <t>상반기</t>
  </si>
  <si>
    <t>적용단가</t>
  </si>
  <si>
    <t>비 고</t>
  </si>
  <si>
    <t>단가</t>
  </si>
  <si>
    <t>Page</t>
  </si>
  <si>
    <t>20230102</t>
  </si>
  <si>
    <t>46</t>
  </si>
  <si>
    <t>20250106</t>
  </si>
  <si>
    <t>850</t>
  </si>
  <si>
    <t>822</t>
  </si>
  <si>
    <t>경유</t>
  </si>
  <si>
    <t>저유황</t>
  </si>
  <si>
    <t>2025.01.07</t>
  </si>
  <si>
    <t>하권32</t>
  </si>
  <si>
    <t>공업용휘발유</t>
  </si>
  <si>
    <t>무연</t>
  </si>
  <si>
    <t>950</t>
  </si>
  <si>
    <t>711</t>
  </si>
  <si>
    <t>90</t>
  </si>
  <si>
    <t>1341</t>
  </si>
  <si>
    <t>629</t>
  </si>
  <si>
    <t>706</t>
  </si>
  <si>
    <t>823</t>
  </si>
  <si>
    <t>86</t>
  </si>
  <si>
    <t>47+51</t>
  </si>
  <si>
    <t>1332</t>
  </si>
  <si>
    <t>93</t>
  </si>
  <si>
    <t>964</t>
  </si>
  <si>
    <t>975</t>
  </si>
  <si>
    <t>884</t>
  </si>
  <si>
    <t>963</t>
  </si>
  <si>
    <t>985</t>
  </si>
  <si>
    <t>961</t>
  </si>
  <si>
    <t>52</t>
  </si>
  <si>
    <t>996</t>
  </si>
  <si>
    <t>846</t>
  </si>
  <si>
    <t>1387</t>
  </si>
  <si>
    <t>89</t>
  </si>
  <si>
    <t>719</t>
  </si>
  <si>
    <t>720</t>
  </si>
  <si>
    <t>20220902</t>
  </si>
  <si>
    <t>1054</t>
  </si>
  <si>
    <t>49</t>
  </si>
  <si>
    <t>834</t>
  </si>
  <si>
    <t>760</t>
  </si>
  <si>
    <t>718</t>
  </si>
  <si>
    <t>건설기계운전사</t>
  </si>
  <si>
    <t>2025년상</t>
  </si>
  <si>
    <t>2023년상</t>
  </si>
  <si>
    <t>일반기계운전사</t>
  </si>
  <si>
    <t>굴착기(유압식백호우)</t>
  </si>
  <si>
    <t>0.7 ㎥</t>
  </si>
  <si>
    <t>래머</t>
  </si>
  <si>
    <t>80 kg</t>
  </si>
  <si>
    <t>하권326</t>
  </si>
  <si>
    <t>수 량 산 출 서</t>
  </si>
  <si>
    <t>공사명 : 칠곡종합운동장 실내테니스장 기계소방공사 &gt; 기계소방공사 &gt; 장비설치공사</t>
  </si>
  <si>
    <t>품명</t>
  </si>
  <si>
    <t>부위</t>
  </si>
  <si>
    <t>산   출   내   용</t>
  </si>
  <si>
    <t>원수량</t>
  </si>
  <si>
    <t>할증율</t>
  </si>
  <si>
    <t>할증후수량</t>
  </si>
  <si>
    <t>[ 장비설치공사 ]</t>
  </si>
  <si>
    <t>Φ125mm, 1600L/min, 90m, 44.8k(3S)</t>
  </si>
  <si>
    <t>웨스코펌프, Φ40mm×60L/min×110m×5.6kW</t>
  </si>
  <si>
    <t>1.2~2.0㎥/분, 70~100m, 125mm, 60HP</t>
  </si>
  <si>
    <t>SET</t>
  </si>
  <si>
    <t>저압3상, 고효율, 5.6kW, 4P</t>
  </si>
  <si>
    <t>저압3상, 고효율, 45kW, 4P</t>
  </si>
  <si>
    <t>EKS-200AP 250×250mm 셔터형</t>
  </si>
  <si>
    <t>1+1</t>
  </si>
  <si>
    <t>공사명 : 칠곡종합운동장 실내테니스장 기계소방공사 &gt; 기계소방공사 &gt; 기계실배관공사</t>
  </si>
  <si>
    <t>[ 기계실배관공사 ]</t>
  </si>
  <si>
    <t>수동식소화기</t>
  </si>
  <si>
    <t>분말소화기(ABC), 4단위, ABC3.3kg</t>
  </si>
  <si>
    <t>배관용탄소강관 [나사식-기계실배관]</t>
  </si>
  <si>
    <t>배관용탄소강관 [기계실배관]</t>
  </si>
  <si>
    <t>(1+1)*2</t>
  </si>
  <si>
    <t>0.4+2.3+3</t>
  </si>
  <si>
    <t>(0.5*2)+2.4+2.5+3.3</t>
  </si>
  <si>
    <t>(1+1)*3</t>
  </si>
  <si>
    <t>(0.4*2)+1+1.3+(1.9*2)+2.6+(3*2)+4.5</t>
  </si>
  <si>
    <t>2+1+1</t>
  </si>
  <si>
    <t>3+1+2+2</t>
  </si>
  <si>
    <t>Φ50×40mm, 백리듀서, 동심, SPP</t>
  </si>
  <si>
    <t>Φ150×80mm, 백리듀서, 동심, SPP</t>
  </si>
  <si>
    <t>Φ150×100mm, 백리듀서, 동심, SPP</t>
  </si>
  <si>
    <t>(1+1)*4</t>
  </si>
  <si>
    <t>(2+1+1)*2</t>
  </si>
  <si>
    <t>(1+1)*6</t>
  </si>
  <si>
    <t>(1+1)*9</t>
  </si>
  <si>
    <t>2*3</t>
  </si>
  <si>
    <t>(3+1+2+2)*2</t>
  </si>
  <si>
    <t>플랙시블조인트, Φ50mm*0.98MPa,  스테인리스(벨로우즈)</t>
  </si>
  <si>
    <t>플랙시블조인트, Φ150mm*0.98MPa,  스테인리스(벨로우즈)</t>
  </si>
  <si>
    <t>(1+1)*7</t>
  </si>
  <si>
    <t>스텐, Φ100(2~35kgf/㎠)</t>
  </si>
  <si>
    <t>릴리프밸브소방, D25</t>
  </si>
  <si>
    <t>스트레이너</t>
  </si>
  <si>
    <t>1.7*1/1.8</t>
  </si>
  <si>
    <t>(0.4+2.3+3)*1/3.5</t>
  </si>
  <si>
    <t>((0.5*2)+2.4+2.5+3.3)*1/4</t>
  </si>
  <si>
    <t>((0.4*2)+1+1.3+(1.9*2)+2.6+(3*2)+4.5)*1/4</t>
  </si>
  <si>
    <t>공사명 : 칠곡종합운동장 실내테니스장 기계소방공사 &gt; 기계소방공사 &gt; 소화배관공사</t>
  </si>
  <si>
    <t>[ 옥내소화전배관 ]</t>
  </si>
  <si>
    <t>(0.3*2)+(0.6*3)+0.7+26.8+30.3</t>
  </si>
  <si>
    <t>6*10</t>
  </si>
  <si>
    <t>27+30.9</t>
  </si>
  <si>
    <t>0.5+1.7+46.4</t>
  </si>
  <si>
    <t>6*2</t>
  </si>
  <si>
    <t>1+3+2</t>
  </si>
  <si>
    <t>1+3</t>
  </si>
  <si>
    <t>소방용방수구</t>
  </si>
  <si>
    <t>쌍구매입형, 100×65×65</t>
  </si>
  <si>
    <t>((0.3*2)+(0.6*3)+0.7+26.8+30.3)*1/3.5</t>
  </si>
  <si>
    <t>(27+30.9)*1/3.5</t>
  </si>
  <si>
    <t>10.1*1/3.5</t>
  </si>
  <si>
    <t>(0.5+1.7+46.4)*1/4</t>
  </si>
  <si>
    <t>2+(2*2)</t>
  </si>
  <si>
    <t>Φ65×50mm, 백리듀서, 동심, SPP</t>
  </si>
  <si>
    <t>Φ80×65mm, 백리듀서, 동심, SPP</t>
  </si>
  <si>
    <t>58/6</t>
  </si>
  <si>
    <t>2*2</t>
  </si>
  <si>
    <t>(1+3)*3</t>
  </si>
  <si>
    <t>49/6</t>
  </si>
  <si>
    <t>(2+(2*2))*2</t>
  </si>
  <si>
    <t>[ 옥외배관 ]</t>
  </si>
  <si>
    <t>0.9+1.9+9.8</t>
  </si>
  <si>
    <t>(0.9+1.9+9.8)*((0.6+0.4)/2)*0.8</t>
  </si>
  <si>
    <t>공사명 : 칠곡종합운동장 실내테니스장 기계소방공사 &gt; 기계소방공사 &gt; 스프링클러배관공사</t>
  </si>
  <si>
    <t>[ 스프링클러 배관 ]</t>
  </si>
  <si>
    <t>프리액션밸브, D150</t>
  </si>
  <si>
    <t>((0.5*2)+(0.6*5)+(0.9*2)+(5.3*27)+(5.4*27)+4.6)*1.2</t>
  </si>
  <si>
    <t>((3.2*54)+2.6)*1.2</t>
  </si>
  <si>
    <t>((6.5*27)+(6.8*27)+(2.6+3.9))*1.2</t>
  </si>
  <si>
    <t>((0.2*2)+0.8+0.9+(4.9*27)+(5.2*27))*1.2</t>
  </si>
  <si>
    <t>(20.3+20.4)*1.2</t>
  </si>
  <si>
    <t>16.4+16.8</t>
  </si>
  <si>
    <t>21.5+21.9</t>
  </si>
  <si>
    <t>0.8+1+(13.9*2)+0.4</t>
  </si>
  <si>
    <t>2*20</t>
  </si>
  <si>
    <t>Φ100×80mm, 백리듀서, 동심, SPP</t>
  </si>
  <si>
    <t>Φ125×100mm, 백리듀서, 동심, SPP</t>
  </si>
  <si>
    <t>Φ150×125mm, 백리듀서, 동심, SPP</t>
  </si>
  <si>
    <t>16*2</t>
  </si>
  <si>
    <t>12*2</t>
  </si>
  <si>
    <t>10*2</t>
  </si>
  <si>
    <t>2*7</t>
  </si>
  <si>
    <t>2+2+2</t>
  </si>
  <si>
    <t>1+54</t>
  </si>
  <si>
    <t>108+2</t>
  </si>
  <si>
    <t>54+1</t>
  </si>
  <si>
    <t>1+2+2+1+2</t>
  </si>
  <si>
    <t>2+(2*2)+12+16+10+16</t>
  </si>
  <si>
    <t>스프링클러헤드, 폐쇄(상)하향72°C 표준 유리벌브</t>
  </si>
  <si>
    <t>((0.5*2)+(0.6*5)+(0.9*2)+(5.3*27)+(5.4*27))*1/2.5+(4.6*1/2.5)</t>
  </si>
  <si>
    <t>((3.2*54))*1/2.5+(2.6*1/2.5)</t>
  </si>
  <si>
    <t>((6.5*27)+(6.8*27))*1/2.5+((2.6+3.9)*1/2.5)</t>
  </si>
  <si>
    <t>((0.2*2)+0.8+0.9+(4.9*27)+(5.2*27))*1/3.5</t>
  </si>
  <si>
    <t>(20.3+20.4)*1/3.5</t>
  </si>
  <si>
    <t>(16.4+16.8)*1/4</t>
  </si>
  <si>
    <t>(21.5+21.9)*1/4</t>
  </si>
  <si>
    <t>(0.8+1+(13.9*2))*1/4+(0.4*1/4)</t>
  </si>
  <si>
    <t>1-1199</t>
    <phoneticPr fontId="4" type="noConversion"/>
  </si>
  <si>
    <t>1-1385</t>
    <phoneticPr fontId="4" type="noConversion"/>
  </si>
  <si>
    <t>기  계  경  비</t>
    <phoneticPr fontId="4" type="noConversion"/>
  </si>
  <si>
    <t>1104</t>
    <phoneticPr fontId="4" type="noConversion"/>
  </si>
  <si>
    <t>1106</t>
    <phoneticPr fontId="4" type="noConversion"/>
  </si>
  <si>
    <t>1101</t>
    <phoneticPr fontId="4" type="noConversion"/>
  </si>
  <si>
    <t>1105</t>
    <phoneticPr fontId="4" type="noConversion"/>
  </si>
  <si>
    <t>1074</t>
    <phoneticPr fontId="4" type="noConversion"/>
  </si>
  <si>
    <t>1078</t>
    <phoneticPr fontId="4" type="noConversion"/>
  </si>
  <si>
    <t>965</t>
    <phoneticPr fontId="4" type="noConversion"/>
  </si>
  <si>
    <t>(노무+경비+일반관리비) * 10 %</t>
    <phoneticPr fontId="4" type="noConversion"/>
  </si>
  <si>
    <t>(재료+직노) * 3.11 %</t>
    <phoneticPr fontId="4" type="noConversion"/>
  </si>
  <si>
    <t>만원미만절삭</t>
    <phoneticPr fontId="4" type="noConversion"/>
  </si>
  <si>
    <t>발주부서(a)</t>
    <phoneticPr fontId="4" type="noConversion"/>
  </si>
  <si>
    <t>증감액(c=b-a)</t>
    <phoneticPr fontId="4" type="noConversion"/>
  </si>
  <si>
    <t>절감율(c/a)</t>
    <phoneticPr fontId="4" type="noConversion"/>
  </si>
  <si>
    <t xml:space="preserve">(1안) </t>
    <phoneticPr fontId="4" type="noConversion"/>
  </si>
  <si>
    <r>
      <t>(2</t>
    </r>
    <r>
      <rPr>
        <b/>
        <sz val="10"/>
        <color indexed="8"/>
        <rFont val="Arial Unicode MS"/>
        <family val="3"/>
        <charset val="129"/>
      </rPr>
      <t>안)</t>
    </r>
    <phoneticPr fontId="4" type="noConversion"/>
  </si>
  <si>
    <t>100,000원 -&gt; 32,500원 한국소방공사 조사가격 참고</t>
    <phoneticPr fontId="4" type="noConversion"/>
  </si>
  <si>
    <t>180,000원 -&gt; 52,500원 한국소방공사 조사가격 참고</t>
    <phoneticPr fontId="4" type="noConversion"/>
  </si>
  <si>
    <t>160,000원 -&gt; 52,500원 한국소방공사 조사가격 참고</t>
    <phoneticPr fontId="4" type="noConversion"/>
  </si>
  <si>
    <t>1,500,000원 -&gt; 530,000원 한국소방공사 조사각격 참고</t>
    <phoneticPr fontId="4" type="noConversion"/>
  </si>
  <si>
    <t>40,231원 -&gt; 25,000원 한국소방공사 조사가격 참고</t>
    <phoneticPr fontId="4" type="noConversion"/>
  </si>
  <si>
    <t>28,736원 -&gt; 5,000원 한국소방공사 조사가격 참고</t>
    <phoneticPr fontId="4" type="noConversion"/>
  </si>
  <si>
    <t>25,000원 -&gt; 5,000원 한국소방공사 조사가격 참고</t>
    <phoneticPr fontId="4" type="noConversion"/>
  </si>
  <si>
    <t>2,500,000원 -&gt; 1,400,000원 한국소방공사 조사가격 참고</t>
    <phoneticPr fontId="4" type="noConversion"/>
  </si>
  <si>
    <t>3%-&gt;1% / 2025년 소방공사 표준품셈 1-1-10 공구손료 및 잡재료</t>
    <phoneticPr fontId="30" type="noConversion"/>
  </si>
  <si>
    <t>노무비의 1 %</t>
    <phoneticPr fontId="4" type="noConversion"/>
  </si>
  <si>
    <t>147,250원 -&gt; 97,000원 한국소방공사 조사가격 참고</t>
    <phoneticPr fontId="4" type="noConversion"/>
  </si>
  <si>
    <t>48,450원 -&gt; 47,500원 한국소방공사 조사가격 참고</t>
    <phoneticPr fontId="4" type="noConversion"/>
  </si>
  <si>
    <t>21,460원 -&gt; 7,000원 한국소방공사 조사가격 참고</t>
    <phoneticPr fontId="4" type="noConversion"/>
  </si>
  <si>
    <t>1,500원 -&gt; 1,000원 한국소방공사 조사가격 참고</t>
    <phoneticPr fontId="4" type="noConversion"/>
  </si>
  <si>
    <t>8,000원 -&gt; 1,600원 한국소방공사 조사가격 참고</t>
    <phoneticPr fontId="4" type="noConversion"/>
  </si>
  <si>
    <t>77,930원 -&gt; 50,000원 한국소방공사 조사가격 참고</t>
    <phoneticPr fontId="4" type="noConversion"/>
  </si>
  <si>
    <t>30,710원 -&gt; 20,000원 한국소방공사 조사가격 참고</t>
    <phoneticPr fontId="4" type="noConversion"/>
  </si>
  <si>
    <t>44,080원 -&gt; 24,000원 한국소방공사 조사가격 참고</t>
    <phoneticPr fontId="4" type="noConversion"/>
  </si>
  <si>
    <t>21,850원 -&gt; 19,000원 한국소방공사 조사가격 참고</t>
    <phoneticPr fontId="4" type="noConversion"/>
  </si>
  <si>
    <t>127,500원 -&gt; 124,000원 한국소방공사 조사가격 참고</t>
    <phoneticPr fontId="4" type="noConversion"/>
  </si>
  <si>
    <t>3%-&gt;2% / 2025년 소방공사 표준품셈 1-1-10 공구손료 및 잡재료</t>
    <phoneticPr fontId="30" type="noConversion"/>
  </si>
  <si>
    <t>15% -&gt; 15.2% 적용</t>
    <phoneticPr fontId="4" type="noConversion"/>
  </si>
  <si>
    <t>4.6% -&gt; 4.7% 적용</t>
    <phoneticPr fontId="4" type="noConversion"/>
  </si>
  <si>
    <t>용율적용 검토</t>
    <phoneticPr fontId="4" type="noConversion"/>
  </si>
  <si>
    <t>요율적용 검토</t>
    <phoneticPr fontId="4" type="noConversion"/>
  </si>
  <si>
    <t>(재료+노무) * 4.7 %</t>
    <phoneticPr fontId="4" type="noConversion"/>
  </si>
  <si>
    <t>(직접 노무비) * 15.2 %</t>
    <phoneticPr fontId="4" type="noConversion"/>
  </si>
  <si>
    <t>100,000원 -&gt; 58,000원 한국소방공사 조사가격 참고</t>
    <phoneticPr fontId="4" type="noConversion"/>
  </si>
  <si>
    <t>노무비의 1 %</t>
    <phoneticPr fontId="4" type="noConversion"/>
  </si>
  <si>
    <t>금 액</t>
    <phoneticPr fontId="4" type="noConversion"/>
  </si>
  <si>
    <t>착 공 내 역 서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</si>
</sst>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 "/>
    <numFmt numFmtId="177" formatCode="#,###"/>
    <numFmt numFmtId="178" formatCode="#,###;\-#,###"/>
    <numFmt numFmtId="179" formatCode="m&quot;월&quot;\ d&quot;일&quot;"/>
    <numFmt numFmtId="181" formatCode="0_ "/>
  </numFmts>
  <fonts count="3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2"/>
      <name val="돋움"/>
      <family val="3"/>
      <charset val="129"/>
    </font>
    <font>
      <sz val="11"/>
      <name val="돋움체"/>
      <family val="3"/>
      <charset val="129"/>
    </font>
    <font>
      <sz val="12"/>
      <name val="돋움체"/>
      <family val="3"/>
      <charset val="129"/>
    </font>
    <font>
      <sz val="28"/>
      <name val="돋움체"/>
      <family val="3"/>
      <charset val="129"/>
    </font>
    <font>
      <b/>
      <sz val="11"/>
      <name val="돋움체"/>
      <family val="3"/>
      <charset val="129"/>
    </font>
    <font>
      <sz val="16"/>
      <name val="돋움"/>
      <family val="3"/>
      <charset val="129"/>
    </font>
    <font>
      <b/>
      <sz val="11"/>
      <name val="돋움"/>
      <family val="3"/>
      <charset val="129"/>
    </font>
    <font>
      <sz val="11"/>
      <color indexed="8"/>
      <name val="돋움"/>
      <family val="3"/>
      <charset val="129"/>
    </font>
    <font>
      <b/>
      <sz val="20"/>
      <color rgb="FF000000"/>
      <name val="굴림체"/>
      <family val="3"/>
      <charset val="129"/>
    </font>
    <font>
      <b/>
      <u/>
      <sz val="9"/>
      <color rgb="FF0000FF"/>
      <name val="굴림체"/>
      <family val="3"/>
      <charset val="129"/>
    </font>
    <font>
      <b/>
      <u/>
      <sz val="9"/>
      <color rgb="FF0000FF"/>
      <name val="맑은 고딕"/>
      <family val="2"/>
      <charset val="129"/>
      <scheme val="minor"/>
    </font>
    <font>
      <sz val="8"/>
      <color rgb="FF000080"/>
      <name val="굴림체"/>
      <family val="3"/>
      <charset val="129"/>
    </font>
    <font>
      <sz val="8"/>
      <color theme="1"/>
      <name val="굴림체"/>
      <family val="3"/>
      <charset val="129"/>
    </font>
    <font>
      <b/>
      <sz val="8"/>
      <color rgb="FF800000"/>
      <name val="굴림체"/>
      <family val="3"/>
      <charset val="129"/>
    </font>
    <font>
      <sz val="8"/>
      <name val="맑은 고딕"/>
      <family val="2"/>
      <charset val="129"/>
      <scheme val="minor"/>
    </font>
    <font>
      <sz val="8"/>
      <color rgb="FF000000"/>
      <name val="굴림체"/>
      <family val="3"/>
      <charset val="129"/>
    </font>
    <font>
      <b/>
      <sz val="8"/>
      <color rgb="FF0000FF"/>
      <name val="굴림체"/>
      <family val="3"/>
      <charset val="129"/>
    </font>
    <font>
      <sz val="20"/>
      <color theme="1"/>
      <name val="굴림체"/>
      <family val="3"/>
      <charset val="129"/>
    </font>
    <font>
      <sz val="7"/>
      <color theme="1"/>
      <name val="굴림체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돋움체"/>
      <family val="3"/>
      <charset val="129"/>
    </font>
    <font>
      <b/>
      <sz val="10"/>
      <color indexed="8"/>
      <name val="굴림체"/>
      <family val="3"/>
    </font>
    <font>
      <b/>
      <sz val="10"/>
      <color indexed="8"/>
      <name val="Arial"/>
      <family val="2"/>
    </font>
    <font>
      <b/>
      <sz val="10"/>
      <color indexed="8"/>
      <name val="Arial Unicode MS"/>
      <family val="3"/>
      <charset val="129"/>
    </font>
    <font>
      <sz val="11"/>
      <color theme="1"/>
      <name val="돋움체"/>
      <family val="3"/>
      <charset val="129"/>
    </font>
    <font>
      <sz val="8"/>
      <name val="맑은 고딕"/>
      <family val="3"/>
      <charset val="129"/>
    </font>
    <font>
      <sz val="11"/>
      <color rgb="FFFF0000"/>
      <name val="돋움"/>
      <family val="3"/>
      <charset val="129"/>
    </font>
    <font>
      <sz val="11"/>
      <color rgb="FFFF000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rgb="FFF4F4F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0" fontId="2" fillId="0" borderId="0">
      <alignment vertical="center"/>
    </xf>
  </cellStyleXfs>
  <cellXfs count="251">
    <xf numFmtId="0" fontId="0" fillId="0" borderId="0" xfId="0"/>
    <xf numFmtId="49" fontId="6" fillId="0" borderId="0" xfId="0" applyNumberFormat="1" applyFont="1" applyAlignment="1">
      <alignment horizontal="left"/>
    </xf>
    <xf numFmtId="0" fontId="6" fillId="0" borderId="0" xfId="0" applyFont="1"/>
    <xf numFmtId="49" fontId="6" fillId="0" borderId="1" xfId="0" applyNumberFormat="1" applyFont="1" applyBorder="1" applyAlignment="1">
      <alignment horizontal="left"/>
    </xf>
    <xf numFmtId="49" fontId="6" fillId="0" borderId="2" xfId="0" applyNumberFormat="1" applyFont="1" applyBorder="1" applyAlignment="1">
      <alignment horizontal="left"/>
    </xf>
    <xf numFmtId="49" fontId="6" fillId="0" borderId="3" xfId="0" applyNumberFormat="1" applyFont="1" applyBorder="1" applyAlignment="1">
      <alignment horizontal="left"/>
    </xf>
    <xf numFmtId="176" fontId="6" fillId="0" borderId="1" xfId="0" applyNumberFormat="1" applyFont="1" applyBorder="1"/>
    <xf numFmtId="49" fontId="6" fillId="0" borderId="0" xfId="0" applyNumberFormat="1" applyFont="1" applyAlignment="1">
      <alignment horizontal="right"/>
    </xf>
    <xf numFmtId="49" fontId="6" fillId="0" borderId="0" xfId="0" applyNumberFormat="1" applyFont="1" applyAlignment="1">
      <alignment horizontal="center"/>
    </xf>
    <xf numFmtId="0" fontId="6" fillId="0" borderId="0" xfId="0" applyFont="1" applyAlignment="1">
      <alignment vertical="center"/>
    </xf>
    <xf numFmtId="49" fontId="6" fillId="0" borderId="1" xfId="0" applyNumberFormat="1" applyFont="1" applyBorder="1" applyAlignment="1">
      <alignment horizontal="center"/>
    </xf>
    <xf numFmtId="49" fontId="6" fillId="0" borderId="1" xfId="0" applyNumberFormat="1" applyFont="1" applyBorder="1" applyAlignment="1">
      <alignment horizontal="right"/>
    </xf>
    <xf numFmtId="49" fontId="6" fillId="0" borderId="1" xfId="0" applyNumberFormat="1" applyFont="1" applyBorder="1"/>
    <xf numFmtId="49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center" vertical="center"/>
    </xf>
    <xf numFmtId="0" fontId="6" fillId="0" borderId="3" xfId="0" applyFont="1" applyBorder="1"/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49" fontId="11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0" fontId="5" fillId="0" borderId="0" xfId="0" applyFont="1" applyAlignment="1">
      <alignment horizontal="left" indent="1"/>
    </xf>
    <xf numFmtId="177" fontId="6" fillId="0" borderId="1" xfId="0" applyNumberFormat="1" applyFont="1" applyBorder="1"/>
    <xf numFmtId="177" fontId="6" fillId="0" borderId="0" xfId="0" applyNumberFormat="1" applyFont="1"/>
    <xf numFmtId="177" fontId="6" fillId="0" borderId="1" xfId="0" applyNumberFormat="1" applyFont="1" applyBorder="1" applyAlignment="1">
      <alignment horizontal="right"/>
    </xf>
    <xf numFmtId="177" fontId="6" fillId="0" borderId="0" xfId="0" applyNumberFormat="1" applyFont="1" applyAlignment="1">
      <alignment horizontal="right"/>
    </xf>
    <xf numFmtId="178" fontId="6" fillId="0" borderId="0" xfId="0" applyNumberFormat="1" applyFont="1"/>
    <xf numFmtId="178" fontId="6" fillId="0" borderId="3" xfId="0" applyNumberFormat="1" applyFont="1" applyBorder="1"/>
    <xf numFmtId="178" fontId="6" fillId="0" borderId="1" xfId="0" applyNumberFormat="1" applyFont="1" applyBorder="1"/>
    <xf numFmtId="178" fontId="0" fillId="0" borderId="0" xfId="0" applyNumberFormat="1"/>
    <xf numFmtId="178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/>
    </xf>
    <xf numFmtId="178" fontId="6" fillId="0" borderId="0" xfId="0" applyNumberFormat="1" applyFont="1" applyAlignment="1">
      <alignment vertical="center"/>
    </xf>
    <xf numFmtId="49" fontId="6" fillId="3" borderId="5" xfId="0" applyNumberFormat="1" applyFont="1" applyFill="1" applyBorder="1" applyAlignment="1">
      <alignment horizontal="left"/>
    </xf>
    <xf numFmtId="0" fontId="6" fillId="3" borderId="4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0" borderId="2" xfId="0" applyFont="1" applyBorder="1"/>
    <xf numFmtId="178" fontId="6" fillId="0" borderId="2" xfId="0" applyNumberFormat="1" applyFont="1" applyBorder="1"/>
    <xf numFmtId="0" fontId="12" fillId="3" borderId="1" xfId="0" applyFont="1" applyFill="1" applyBorder="1"/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0" fontId="6" fillId="0" borderId="1" xfId="1" applyNumberFormat="1" applyFont="1" applyBorder="1"/>
    <xf numFmtId="49" fontId="6" fillId="0" borderId="12" xfId="0" applyNumberFormat="1" applyFont="1" applyBorder="1" applyAlignment="1">
      <alignment horizontal="center" vertical="center"/>
    </xf>
    <xf numFmtId="49" fontId="6" fillId="0" borderId="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left"/>
    </xf>
    <xf numFmtId="0" fontId="6" fillId="0" borderId="1" xfId="0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49" fontId="6" fillId="0" borderId="1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8" fontId="6" fillId="0" borderId="1" xfId="1" applyNumberFormat="1" applyFont="1" applyBorder="1"/>
    <xf numFmtId="177" fontId="6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shrinkToFit="1"/>
    </xf>
    <xf numFmtId="49" fontId="6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 vertical="top"/>
    </xf>
    <xf numFmtId="49" fontId="6" fillId="0" borderId="8" xfId="0" applyNumberFormat="1" applyFont="1" applyBorder="1" applyAlignment="1">
      <alignment horizontal="center"/>
    </xf>
    <xf numFmtId="49" fontId="6" fillId="0" borderId="11" xfId="0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horizontal="right"/>
    </xf>
    <xf numFmtId="0" fontId="6" fillId="0" borderId="0" xfId="0" applyFont="1" applyAlignment="1">
      <alignment horizontal="left"/>
    </xf>
    <xf numFmtId="49" fontId="6" fillId="0" borderId="0" xfId="0" applyNumberFormat="1" applyFont="1" applyAlignment="1">
      <alignment horizontal="center" vertical="top"/>
    </xf>
    <xf numFmtId="0" fontId="6" fillId="0" borderId="12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14" xfId="0" applyFont="1" applyBorder="1" applyAlignment="1">
      <alignment vertical="center"/>
    </xf>
    <xf numFmtId="49" fontId="6" fillId="0" borderId="3" xfId="0" applyNumberFormat="1" applyFont="1" applyBorder="1" applyAlignment="1">
      <alignment horizontal="left" vertical="center" indent="1"/>
    </xf>
    <xf numFmtId="178" fontId="6" fillId="0" borderId="3" xfId="0" applyNumberFormat="1" applyFont="1" applyBorder="1" applyAlignment="1">
      <alignment vertical="center"/>
    </xf>
    <xf numFmtId="49" fontId="6" fillId="0" borderId="15" xfId="0" applyNumberFormat="1" applyFont="1" applyBorder="1" applyAlignment="1">
      <alignment vertical="center"/>
    </xf>
    <xf numFmtId="49" fontId="6" fillId="0" borderId="1" xfId="0" applyNumberFormat="1" applyFont="1" applyBorder="1" applyAlignment="1">
      <alignment horizontal="left" vertical="center" indent="1"/>
    </xf>
    <xf numFmtId="178" fontId="6" fillId="0" borderId="1" xfId="0" applyNumberFormat="1" applyFont="1" applyBorder="1" applyAlignment="1">
      <alignment vertical="center"/>
    </xf>
    <xf numFmtId="49" fontId="6" fillId="0" borderId="16" xfId="0" applyNumberFormat="1" applyFont="1" applyBorder="1" applyAlignment="1">
      <alignment vertical="center"/>
    </xf>
    <xf numFmtId="0" fontId="6" fillId="0" borderId="14" xfId="0" applyFont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49" fontId="6" fillId="0" borderId="2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10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2" fillId="0" borderId="0" xfId="3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7" fillId="0" borderId="1" xfId="3" quotePrefix="1" applyFont="1" applyBorder="1" applyAlignment="1">
      <alignment horizontal="left" vertical="center" shrinkToFit="1"/>
    </xf>
    <xf numFmtId="0" fontId="17" fillId="0" borderId="1" xfId="3" quotePrefix="1" applyFont="1" applyBorder="1" applyAlignment="1">
      <alignment horizontal="center" vertical="center" shrinkToFit="1"/>
    </xf>
    <xf numFmtId="0" fontId="17" fillId="0" borderId="1" xfId="3" applyFont="1" applyBorder="1" applyAlignment="1">
      <alignment horizontal="center" vertical="center" shrinkToFit="1"/>
    </xf>
    <xf numFmtId="0" fontId="17" fillId="0" borderId="1" xfId="3" applyFont="1" applyBorder="1" applyAlignment="1">
      <alignment horizontal="right" vertical="center" shrinkToFit="1"/>
    </xf>
    <xf numFmtId="0" fontId="17" fillId="0" borderId="1" xfId="3" applyFont="1" applyBorder="1" applyAlignment="1">
      <alignment horizontal="left" vertical="center" shrinkToFit="1"/>
    </xf>
    <xf numFmtId="0" fontId="2" fillId="0" borderId="0" xfId="3" quotePrefix="1">
      <alignment vertical="center"/>
    </xf>
    <xf numFmtId="0" fontId="2" fillId="0" borderId="0" xfId="3" applyAlignment="1">
      <alignment horizontal="left" vertical="center"/>
    </xf>
    <xf numFmtId="0" fontId="2" fillId="0" borderId="0" xfId="3" applyAlignment="1">
      <alignment horizontal="center" vertical="center"/>
    </xf>
    <xf numFmtId="0" fontId="2" fillId="0" borderId="0" xfId="3" applyAlignment="1">
      <alignment horizontal="right" vertical="center"/>
    </xf>
    <xf numFmtId="0" fontId="20" fillId="6" borderId="1" xfId="3" quotePrefix="1" applyFont="1" applyFill="1" applyBorder="1" applyAlignment="1">
      <alignment horizontal="center" vertical="center" shrinkToFit="1"/>
    </xf>
    <xf numFmtId="0" fontId="20" fillId="6" borderId="1" xfId="3" applyFont="1" applyFill="1" applyBorder="1" applyAlignment="1">
      <alignment horizontal="left" vertical="center" shrinkToFit="1"/>
    </xf>
    <xf numFmtId="0" fontId="20" fillId="6" borderId="1" xfId="3" applyFont="1" applyFill="1" applyBorder="1" applyAlignment="1">
      <alignment horizontal="center" vertical="center" shrinkToFit="1"/>
    </xf>
    <xf numFmtId="0" fontId="20" fillId="6" borderId="1" xfId="3" applyFont="1" applyFill="1" applyBorder="1" applyAlignment="1">
      <alignment horizontal="right" vertical="center" shrinkToFit="1"/>
    </xf>
    <xf numFmtId="0" fontId="16" fillId="4" borderId="2" xfId="3" applyFont="1" applyFill="1" applyBorder="1" applyAlignment="1">
      <alignment horizontal="center" vertical="center" wrapText="1"/>
    </xf>
    <xf numFmtId="0" fontId="16" fillId="4" borderId="3" xfId="3" applyFont="1" applyFill="1" applyBorder="1" applyAlignment="1">
      <alignment horizontal="center" vertical="center" wrapText="1"/>
    </xf>
    <xf numFmtId="0" fontId="18" fillId="5" borderId="2" xfId="3" applyFont="1" applyFill="1" applyBorder="1" applyAlignment="1">
      <alignment horizontal="left" vertical="center" shrinkToFit="1"/>
    </xf>
    <xf numFmtId="0" fontId="18" fillId="5" borderId="2" xfId="3" applyFont="1" applyFill="1" applyBorder="1" applyAlignment="1">
      <alignment horizontal="center" vertical="center" shrinkToFit="1"/>
    </xf>
    <xf numFmtId="0" fontId="18" fillId="5" borderId="2" xfId="3" applyFont="1" applyFill="1" applyBorder="1" applyAlignment="1">
      <alignment horizontal="right" vertical="center" shrinkToFit="1"/>
    </xf>
    <xf numFmtId="0" fontId="18" fillId="5" borderId="3" xfId="3" applyFont="1" applyFill="1" applyBorder="1" applyAlignment="1">
      <alignment horizontal="left" vertical="center" shrinkToFit="1"/>
    </xf>
    <xf numFmtId="0" fontId="18" fillId="5" borderId="3" xfId="3" applyFont="1" applyFill="1" applyBorder="1" applyAlignment="1">
      <alignment horizontal="center" vertical="center" shrinkToFit="1"/>
    </xf>
    <xf numFmtId="0" fontId="18" fillId="5" borderId="3" xfId="3" applyFont="1" applyFill="1" applyBorder="1" applyAlignment="1">
      <alignment horizontal="right" vertical="center" shrinkToFit="1"/>
    </xf>
    <xf numFmtId="3" fontId="18" fillId="5" borderId="3" xfId="3" applyNumberFormat="1" applyFont="1" applyFill="1" applyBorder="1" applyAlignment="1">
      <alignment horizontal="right" vertical="center" shrinkToFit="1"/>
    </xf>
    <xf numFmtId="0" fontId="17" fillId="0" borderId="2" xfId="3" quotePrefix="1" applyFont="1" applyBorder="1" applyAlignment="1">
      <alignment horizontal="left" vertical="center" shrinkToFit="1"/>
    </xf>
    <xf numFmtId="0" fontId="17" fillId="0" borderId="2" xfId="3" quotePrefix="1" applyFont="1" applyBorder="1" applyAlignment="1">
      <alignment horizontal="center" vertical="center" shrinkToFit="1"/>
    </xf>
    <xf numFmtId="0" fontId="17" fillId="0" borderId="2" xfId="3" applyFont="1" applyBorder="1" applyAlignment="1">
      <alignment horizontal="right" vertical="center" shrinkToFit="1"/>
    </xf>
    <xf numFmtId="9" fontId="17" fillId="0" borderId="2" xfId="3" applyNumberFormat="1" applyFont="1" applyBorder="1" applyAlignment="1">
      <alignment horizontal="right" vertical="center" shrinkToFit="1"/>
    </xf>
    <xf numFmtId="0" fontId="17" fillId="0" borderId="2" xfId="3" applyFont="1" applyBorder="1" applyAlignment="1">
      <alignment horizontal="left" vertical="center" shrinkToFit="1"/>
    </xf>
    <xf numFmtId="0" fontId="17" fillId="0" borderId="3" xfId="3" applyFont="1" applyBorder="1" applyAlignment="1">
      <alignment horizontal="left" vertical="center" shrinkToFit="1"/>
    </xf>
    <xf numFmtId="0" fontId="17" fillId="0" borderId="3" xfId="3" applyFont="1" applyBorder="1" applyAlignment="1">
      <alignment horizontal="center" vertical="center" shrinkToFit="1"/>
    </xf>
    <xf numFmtId="0" fontId="17" fillId="0" borderId="3" xfId="3" quotePrefix="1" applyFont="1" applyBorder="1" applyAlignment="1">
      <alignment horizontal="right" vertical="center" shrinkToFit="1"/>
    </xf>
    <xf numFmtId="9" fontId="17" fillId="0" borderId="3" xfId="3" applyNumberFormat="1" applyFont="1" applyBorder="1" applyAlignment="1">
      <alignment horizontal="right" vertical="center" shrinkToFit="1"/>
    </xf>
    <xf numFmtId="0" fontId="17" fillId="0" borderId="3" xfId="3" applyFont="1" applyBorder="1" applyAlignment="1">
      <alignment horizontal="right" vertical="center" shrinkToFit="1"/>
    </xf>
    <xf numFmtId="0" fontId="20" fillId="6" borderId="2" xfId="3" applyFont="1" applyFill="1" applyBorder="1" applyAlignment="1">
      <alignment horizontal="center" vertical="center" shrinkToFit="1"/>
    </xf>
    <xf numFmtId="0" fontId="20" fillId="6" borderId="2" xfId="3" applyFont="1" applyFill="1" applyBorder="1" applyAlignment="1">
      <alignment horizontal="left" vertical="center" shrinkToFit="1"/>
    </xf>
    <xf numFmtId="0" fontId="20" fillId="6" borderId="2" xfId="3" applyFont="1" applyFill="1" applyBorder="1" applyAlignment="1">
      <alignment horizontal="right" vertical="center" shrinkToFit="1"/>
    </xf>
    <xf numFmtId="0" fontId="20" fillId="6" borderId="3" xfId="3" applyFont="1" applyFill="1" applyBorder="1" applyAlignment="1">
      <alignment horizontal="left" vertical="center" shrinkToFit="1"/>
    </xf>
    <xf numFmtId="0" fontId="20" fillId="6" borderId="3" xfId="3" applyFont="1" applyFill="1" applyBorder="1" applyAlignment="1">
      <alignment horizontal="center" vertical="center" shrinkToFit="1"/>
    </xf>
    <xf numFmtId="0" fontId="20" fillId="6" borderId="3" xfId="3" applyFont="1" applyFill="1" applyBorder="1" applyAlignment="1">
      <alignment horizontal="right" vertical="center" shrinkToFit="1"/>
    </xf>
    <xf numFmtId="0" fontId="17" fillId="0" borderId="2" xfId="3" applyFont="1" applyBorder="1" applyAlignment="1">
      <alignment horizontal="center" vertical="center" shrinkToFit="1"/>
    </xf>
    <xf numFmtId="0" fontId="21" fillId="7" borderId="1" xfId="3" applyFont="1" applyFill="1" applyBorder="1" applyAlignment="1">
      <alignment horizontal="left" vertical="center" shrinkToFit="1"/>
    </xf>
    <xf numFmtId="0" fontId="17" fillId="0" borderId="1" xfId="3" quotePrefix="1" applyFont="1" applyBorder="1" applyAlignment="1">
      <alignment horizontal="right" vertical="center" shrinkToFit="1"/>
    </xf>
    <xf numFmtId="0" fontId="23" fillId="0" borderId="0" xfId="3" applyFont="1">
      <alignment vertical="center"/>
    </xf>
    <xf numFmtId="49" fontId="23" fillId="0" borderId="0" xfId="3" applyNumberFormat="1" applyFont="1">
      <alignment vertical="center"/>
    </xf>
    <xf numFmtId="49" fontId="23" fillId="0" borderId="1" xfId="3" applyNumberFormat="1" applyFont="1" applyBorder="1">
      <alignment vertical="center"/>
    </xf>
    <xf numFmtId="49" fontId="23" fillId="0" borderId="1" xfId="3" applyNumberFormat="1" applyFont="1" applyBorder="1" applyAlignment="1">
      <alignment horizontal="left" vertical="center" shrinkToFit="1"/>
    </xf>
    <xf numFmtId="0" fontId="23" fillId="0" borderId="1" xfId="3" applyFont="1" applyBorder="1" applyAlignment="1">
      <alignment horizontal="center" vertical="center" wrapText="1"/>
    </xf>
    <xf numFmtId="0" fontId="23" fillId="0" borderId="1" xfId="3" applyFont="1" applyBorder="1" applyAlignment="1">
      <alignment vertical="center" wrapText="1"/>
    </xf>
    <xf numFmtId="0" fontId="23" fillId="0" borderId="1" xfId="3" applyFont="1" applyBorder="1" applyAlignment="1">
      <alignment horizontal="left" vertical="center" wrapText="1"/>
    </xf>
    <xf numFmtId="0" fontId="23" fillId="0" borderId="1" xfId="3" applyFont="1" applyBorder="1">
      <alignment vertical="center"/>
    </xf>
    <xf numFmtId="0" fontId="23" fillId="0" borderId="1" xfId="3" applyFont="1" applyBorder="1" applyAlignment="1">
      <alignment horizontal="left" vertical="center"/>
    </xf>
    <xf numFmtId="179" fontId="23" fillId="0" borderId="1" xfId="3" applyNumberFormat="1" applyFont="1" applyBorder="1" applyAlignment="1">
      <alignment horizontal="left" vertical="center" wrapText="1"/>
    </xf>
    <xf numFmtId="0" fontId="23" fillId="0" borderId="0" xfId="3" applyFont="1" applyAlignment="1">
      <alignment horizontal="left" vertical="center"/>
    </xf>
    <xf numFmtId="0" fontId="6" fillId="0" borderId="12" xfId="0" applyFont="1" applyBorder="1" applyAlignment="1">
      <alignment horizontal="center" vertical="center" wrapText="1"/>
    </xf>
    <xf numFmtId="178" fontId="6" fillId="0" borderId="25" xfId="0" applyNumberFormat="1" applyFont="1" applyBorder="1" applyAlignment="1">
      <alignment vertical="center"/>
    </xf>
    <xf numFmtId="176" fontId="6" fillId="0" borderId="3" xfId="0" applyNumberFormat="1" applyFont="1" applyBorder="1" applyAlignment="1">
      <alignment horizontal="right" vertical="center"/>
    </xf>
    <xf numFmtId="176" fontId="6" fillId="0" borderId="1" xfId="0" applyNumberFormat="1" applyFont="1" applyBorder="1" applyAlignment="1">
      <alignment horizontal="right" vertical="center"/>
    </xf>
    <xf numFmtId="10" fontId="6" fillId="0" borderId="25" xfId="0" applyNumberFormat="1" applyFont="1" applyBorder="1" applyAlignment="1">
      <alignment vertical="center"/>
    </xf>
    <xf numFmtId="176" fontId="6" fillId="0" borderId="0" xfId="0" applyNumberFormat="1" applyFont="1" applyAlignment="1">
      <alignment vertical="center"/>
    </xf>
    <xf numFmtId="178" fontId="25" fillId="0" borderId="0" xfId="0" applyNumberFormat="1" applyFont="1" applyAlignment="1">
      <alignment vertical="center"/>
    </xf>
    <xf numFmtId="41" fontId="26" fillId="9" borderId="0" xfId="0" applyNumberFormat="1" applyFont="1" applyFill="1" applyAlignment="1">
      <alignment horizontal="center" vertical="center"/>
    </xf>
    <xf numFmtId="41" fontId="27" fillId="9" borderId="0" xfId="0" applyNumberFormat="1" applyFont="1" applyFill="1" applyAlignment="1">
      <alignment horizontal="center" vertical="center"/>
    </xf>
    <xf numFmtId="0" fontId="6" fillId="9" borderId="1" xfId="0" applyFont="1" applyFill="1" applyBorder="1"/>
    <xf numFmtId="0" fontId="17" fillId="9" borderId="1" xfId="3" quotePrefix="1" applyFont="1" applyFill="1" applyBorder="1" applyAlignment="1">
      <alignment horizontal="left" vertical="center" shrinkToFit="1"/>
    </xf>
    <xf numFmtId="0" fontId="17" fillId="9" borderId="1" xfId="3" applyFont="1" applyFill="1" applyBorder="1" applyAlignment="1">
      <alignment horizontal="left" vertical="center" shrinkToFit="1"/>
    </xf>
    <xf numFmtId="0" fontId="17" fillId="9" borderId="1" xfId="3" quotePrefix="1" applyFont="1" applyFill="1" applyBorder="1" applyAlignment="1">
      <alignment horizontal="center" vertical="center" shrinkToFit="1"/>
    </xf>
    <xf numFmtId="0" fontId="17" fillId="9" borderId="1" xfId="3" applyFont="1" applyFill="1" applyBorder="1" applyAlignment="1">
      <alignment horizontal="right" vertical="center" shrinkToFit="1"/>
    </xf>
    <xf numFmtId="0" fontId="24" fillId="0" borderId="0" xfId="3" applyFont="1">
      <alignment vertical="center"/>
    </xf>
    <xf numFmtId="0" fontId="24" fillId="9" borderId="0" xfId="3" applyFont="1" applyFill="1">
      <alignment vertical="center"/>
    </xf>
    <xf numFmtId="49" fontId="6" fillId="9" borderId="1" xfId="0" applyNumberFormat="1" applyFont="1" applyFill="1" applyBorder="1" applyAlignment="1">
      <alignment horizontal="left"/>
    </xf>
    <xf numFmtId="0" fontId="31" fillId="0" borderId="0" xfId="0" applyFont="1" applyAlignment="1">
      <alignment vertical="center"/>
    </xf>
    <xf numFmtId="0" fontId="25" fillId="9" borderId="1" xfId="0" applyFont="1" applyFill="1" applyBorder="1"/>
    <xf numFmtId="0" fontId="1" fillId="0" borderId="0" xfId="3" applyFont="1">
      <alignment vertical="center"/>
    </xf>
    <xf numFmtId="0" fontId="6" fillId="10" borderId="4" xfId="0" applyFont="1" applyFill="1" applyBorder="1" applyAlignment="1">
      <alignment horizontal="center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0" borderId="24" xfId="0" applyNumberFormat="1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176" fontId="9" fillId="10" borderId="17" xfId="0" applyNumberFormat="1" applyFont="1" applyFill="1" applyBorder="1" applyAlignment="1">
      <alignment horizontal="right" vertical="center"/>
    </xf>
    <xf numFmtId="49" fontId="6" fillId="10" borderId="18" xfId="0" applyNumberFormat="1" applyFont="1" applyFill="1" applyBorder="1" applyAlignment="1">
      <alignment vertical="center"/>
    </xf>
    <xf numFmtId="178" fontId="25" fillId="10" borderId="25" xfId="0" applyNumberFormat="1" applyFont="1" applyFill="1" applyBorder="1" applyAlignment="1">
      <alignment vertical="center"/>
    </xf>
    <xf numFmtId="10" fontId="25" fillId="10" borderId="25" xfId="0" applyNumberFormat="1" applyFont="1" applyFill="1" applyBorder="1" applyAlignment="1">
      <alignment vertical="center"/>
    </xf>
    <xf numFmtId="49" fontId="29" fillId="0" borderId="16" xfId="0" applyNumberFormat="1" applyFont="1" applyBorder="1" applyAlignment="1">
      <alignment vertical="center"/>
    </xf>
    <xf numFmtId="0" fontId="32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6" fillId="0" borderId="1" xfId="1" applyNumberFormat="1" applyFont="1" applyFill="1" applyBorder="1"/>
    <xf numFmtId="178" fontId="6" fillId="0" borderId="1" xfId="1" applyNumberFormat="1" applyFont="1" applyFill="1" applyBorder="1"/>
    <xf numFmtId="49" fontId="6" fillId="0" borderId="2" xfId="0" applyNumberFormat="1" applyFont="1" applyBorder="1" applyAlignment="1">
      <alignment horizontal="left" vertical="center" indent="1"/>
    </xf>
    <xf numFmtId="176" fontId="6" fillId="0" borderId="2" xfId="0" applyNumberFormat="1" applyFont="1" applyBorder="1" applyAlignment="1">
      <alignment horizontal="right" vertical="center"/>
    </xf>
    <xf numFmtId="176" fontId="6" fillId="0" borderId="13" xfId="0" applyNumberFormat="1" applyFont="1" applyBorder="1" applyAlignment="1">
      <alignment horizontal="right" vertical="center"/>
    </xf>
    <xf numFmtId="178" fontId="9" fillId="10" borderId="17" xfId="0" applyNumberFormat="1" applyFont="1" applyFill="1" applyBorder="1" applyAlignment="1">
      <alignment vertical="center"/>
    </xf>
    <xf numFmtId="49" fontId="29" fillId="0" borderId="1" xfId="0" applyNumberFormat="1" applyFont="1" applyBorder="1" applyAlignment="1">
      <alignment shrinkToFit="1"/>
    </xf>
    <xf numFmtId="49" fontId="29" fillId="0" borderId="1" xfId="0" applyNumberFormat="1" applyFont="1" applyBorder="1" applyAlignment="1">
      <alignment horizontal="center"/>
    </xf>
    <xf numFmtId="177" fontId="29" fillId="0" borderId="1" xfId="0" applyNumberFormat="1" applyFont="1" applyBorder="1"/>
    <xf numFmtId="177" fontId="29" fillId="0" borderId="1" xfId="0" applyNumberFormat="1" applyFont="1" applyBorder="1" applyAlignment="1">
      <alignment horizontal="right"/>
    </xf>
    <xf numFmtId="49" fontId="29" fillId="0" borderId="1" xfId="0" applyNumberFormat="1" applyFont="1" applyBorder="1" applyAlignment="1">
      <alignment horizontal="left"/>
    </xf>
    <xf numFmtId="49" fontId="29" fillId="0" borderId="1" xfId="0" applyNumberFormat="1" applyFont="1" applyBorder="1" applyAlignment="1">
      <alignment horizontal="right"/>
    </xf>
    <xf numFmtId="49" fontId="29" fillId="0" borderId="1" xfId="0" applyNumberFormat="1" applyFont="1" applyBorder="1"/>
    <xf numFmtId="3" fontId="17" fillId="0" borderId="1" xfId="3" applyNumberFormat="1" applyFont="1" applyBorder="1" applyAlignment="1">
      <alignment horizontal="right" vertical="center" shrinkToFit="1"/>
    </xf>
    <xf numFmtId="49" fontId="23" fillId="0" borderId="0" xfId="3" applyNumberFormat="1" applyFont="1" applyAlignment="1">
      <alignment horizontal="left" vertical="center" shrinkToFit="1"/>
    </xf>
    <xf numFmtId="0" fontId="23" fillId="0" borderId="0" xfId="3" applyFont="1" applyAlignment="1">
      <alignment horizontal="center" vertical="center" wrapText="1"/>
    </xf>
    <xf numFmtId="0" fontId="23" fillId="0" borderId="0" xfId="3" applyFont="1" applyAlignment="1">
      <alignment vertical="center" wrapText="1"/>
    </xf>
    <xf numFmtId="0" fontId="23" fillId="0" borderId="0" xfId="3" applyFont="1" applyAlignment="1">
      <alignment horizontal="left" vertical="center" wrapText="1"/>
    </xf>
    <xf numFmtId="0" fontId="13" fillId="0" borderId="0" xfId="3" applyFont="1" applyAlignment="1">
      <alignment horizontal="center" vertical="center"/>
    </xf>
    <xf numFmtId="0" fontId="15" fillId="0" borderId="0" xfId="3" applyFont="1">
      <alignment vertical="center"/>
    </xf>
    <xf numFmtId="49" fontId="6" fillId="0" borderId="20" xfId="0" applyNumberFormat="1" applyFont="1" applyBorder="1" applyAlignment="1">
      <alignment horizontal="left" vertical="center" indent="2"/>
    </xf>
    <xf numFmtId="49" fontId="6" fillId="0" borderId="1" xfId="0" applyNumberFormat="1" applyFont="1" applyBorder="1" applyAlignment="1">
      <alignment horizontal="left" vertical="center" indent="2"/>
    </xf>
    <xf numFmtId="49" fontId="9" fillId="10" borderId="23" xfId="0" applyNumberFormat="1" applyFont="1" applyFill="1" applyBorder="1" applyAlignment="1">
      <alignment horizontal="left" vertical="center" indent="2"/>
    </xf>
    <xf numFmtId="49" fontId="9" fillId="10" borderId="17" xfId="0" applyNumberFormat="1" applyFont="1" applyFill="1" applyBorder="1" applyAlignment="1">
      <alignment horizontal="left" vertical="center" indent="2"/>
    </xf>
    <xf numFmtId="0" fontId="6" fillId="0" borderId="1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6" fillId="0" borderId="19" xfId="0" applyNumberFormat="1" applyFont="1" applyBorder="1" applyAlignment="1">
      <alignment horizontal="right" vertical="center"/>
    </xf>
    <xf numFmtId="0" fontId="6" fillId="0" borderId="19" xfId="0" applyFont="1" applyBorder="1" applyAlignment="1">
      <alignment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49" fontId="6" fillId="0" borderId="21" xfId="0" applyNumberFormat="1" applyFont="1" applyBorder="1" applyAlignment="1">
      <alignment horizontal="left" vertical="center" indent="1"/>
    </xf>
    <xf numFmtId="49" fontId="6" fillId="0" borderId="13" xfId="0" applyNumberFormat="1" applyFont="1" applyBorder="1" applyAlignment="1">
      <alignment horizontal="left" vertical="center" indent="1"/>
    </xf>
    <xf numFmtId="49" fontId="7" fillId="0" borderId="0" xfId="0" applyNumberFormat="1" applyFont="1" applyAlignment="1">
      <alignment horizontal="left" indent="1"/>
    </xf>
    <xf numFmtId="0" fontId="0" fillId="0" borderId="0" xfId="0"/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49" fontId="6" fillId="0" borderId="21" xfId="0" applyNumberFormat="1" applyFont="1" applyBorder="1"/>
    <xf numFmtId="0" fontId="0" fillId="0" borderId="22" xfId="0" applyBorder="1"/>
    <xf numFmtId="0" fontId="0" fillId="0" borderId="13" xfId="0" applyBorder="1"/>
    <xf numFmtId="0" fontId="6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49" fontId="5" fillId="0" borderId="0" xfId="0" applyNumberFormat="1" applyFont="1" applyAlignment="1">
      <alignment horizontal="left" indent="1"/>
    </xf>
    <xf numFmtId="0" fontId="0" fillId="0" borderId="0" xfId="0" applyAlignment="1">
      <alignment horizontal="left" indent="1"/>
    </xf>
    <xf numFmtId="49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/>
    <xf numFmtId="178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6" fillId="0" borderId="0" xfId="0" applyNumberFormat="1" applyFont="1" applyAlignment="1">
      <alignment horizontal="left" indent="1"/>
    </xf>
    <xf numFmtId="177" fontId="6" fillId="0" borderId="1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10" xfId="0" applyFont="1" applyBorder="1"/>
    <xf numFmtId="0" fontId="0" fillId="0" borderId="10" xfId="0" applyBorder="1"/>
    <xf numFmtId="0" fontId="16" fillId="4" borderId="1" xfId="3" applyFont="1" applyFill="1" applyBorder="1" applyAlignment="1">
      <alignment horizontal="center" vertical="center" wrapText="1"/>
    </xf>
    <xf numFmtId="0" fontId="13" fillId="0" borderId="0" xfId="3" applyFont="1" applyAlignment="1">
      <alignment horizontal="center" vertical="center"/>
    </xf>
    <xf numFmtId="0" fontId="14" fillId="0" borderId="0" xfId="3" quotePrefix="1" applyFont="1">
      <alignment vertical="center"/>
    </xf>
    <xf numFmtId="0" fontId="15" fillId="0" borderId="0" xfId="3" applyFont="1">
      <alignment vertical="center"/>
    </xf>
    <xf numFmtId="0" fontId="18" fillId="5" borderId="1" xfId="3" quotePrefix="1" applyFont="1" applyFill="1" applyBorder="1" applyAlignment="1">
      <alignment horizontal="left" vertical="center" shrinkToFit="1"/>
    </xf>
    <xf numFmtId="0" fontId="18" fillId="5" borderId="1" xfId="3" applyFont="1" applyFill="1" applyBorder="1" applyAlignment="1">
      <alignment horizontal="left" vertical="center" shrinkToFit="1"/>
    </xf>
    <xf numFmtId="0" fontId="18" fillId="5" borderId="21" xfId="3" quotePrefix="1" applyFont="1" applyFill="1" applyBorder="1" applyAlignment="1">
      <alignment horizontal="left" vertical="center" shrinkToFit="1"/>
    </xf>
    <xf numFmtId="0" fontId="18" fillId="5" borderId="22" xfId="3" quotePrefix="1" applyFont="1" applyFill="1" applyBorder="1" applyAlignment="1">
      <alignment horizontal="left" vertical="center" shrinkToFit="1"/>
    </xf>
    <xf numFmtId="0" fontId="18" fillId="5" borderId="13" xfId="3" quotePrefix="1" applyFont="1" applyFill="1" applyBorder="1" applyAlignment="1">
      <alignment horizontal="left" vertical="center" shrinkToFit="1"/>
    </xf>
    <xf numFmtId="0" fontId="16" fillId="4" borderId="2" xfId="3" applyFont="1" applyFill="1" applyBorder="1" applyAlignment="1">
      <alignment horizontal="center" vertical="center" wrapText="1"/>
    </xf>
    <xf numFmtId="0" fontId="16" fillId="4" borderId="3" xfId="3" applyFont="1" applyFill="1" applyBorder="1" applyAlignment="1">
      <alignment horizontal="center" vertical="center" wrapText="1"/>
    </xf>
    <xf numFmtId="0" fontId="21" fillId="7" borderId="1" xfId="3" quotePrefix="1" applyFont="1" applyFill="1" applyBorder="1" applyAlignment="1">
      <alignment horizontal="left" vertical="center" shrinkToFit="1"/>
    </xf>
    <xf numFmtId="0" fontId="21" fillId="7" borderId="1" xfId="3" applyFont="1" applyFill="1" applyBorder="1" applyAlignment="1">
      <alignment horizontal="left" vertical="center" shrinkToFit="1"/>
    </xf>
    <xf numFmtId="0" fontId="21" fillId="7" borderId="21" xfId="3" quotePrefix="1" applyFont="1" applyFill="1" applyBorder="1" applyAlignment="1">
      <alignment horizontal="left" vertical="center" shrinkToFit="1"/>
    </xf>
    <xf numFmtId="0" fontId="21" fillId="7" borderId="22" xfId="3" quotePrefix="1" applyFont="1" applyFill="1" applyBorder="1" applyAlignment="1">
      <alignment horizontal="left" vertical="center" shrinkToFit="1"/>
    </xf>
    <xf numFmtId="0" fontId="21" fillId="7" borderId="13" xfId="3" quotePrefix="1" applyFont="1" applyFill="1" applyBorder="1" applyAlignment="1">
      <alignment horizontal="left" vertical="center" shrinkToFit="1"/>
    </xf>
    <xf numFmtId="0" fontId="23" fillId="8" borderId="1" xfId="3" applyFont="1" applyFill="1" applyBorder="1" applyAlignment="1">
      <alignment horizontal="center" vertical="center" wrapText="1"/>
    </xf>
    <xf numFmtId="49" fontId="23" fillId="0" borderId="1" xfId="3" applyNumberFormat="1" applyFont="1" applyBorder="1">
      <alignment vertical="center"/>
    </xf>
    <xf numFmtId="49" fontId="23" fillId="8" borderId="1" xfId="3" applyNumberFormat="1" applyFont="1" applyFill="1" applyBorder="1" applyAlignment="1">
      <alignment horizontal="center" vertical="center" wrapText="1"/>
    </xf>
    <xf numFmtId="0" fontId="22" fillId="0" borderId="0" xfId="3" applyFont="1" applyAlignment="1">
      <alignment horizontal="center" vertical="center"/>
    </xf>
    <xf numFmtId="178" fontId="6" fillId="9" borderId="1" xfId="0" applyNumberFormat="1" applyFont="1" applyFill="1" applyBorder="1" applyAlignment="1">
      <alignment vertical="center"/>
    </xf>
    <xf numFmtId="0" fontId="16" fillId="4" borderId="0" xfId="3" applyFont="1" applyFill="1" applyBorder="1" applyAlignment="1">
      <alignment horizontal="center" vertical="center" wrapText="1"/>
    </xf>
    <xf numFmtId="0" fontId="17" fillId="0" borderId="0" xfId="3" applyFont="1" applyBorder="1" applyAlignment="1">
      <alignment horizontal="left" vertical="center" shrinkToFit="1"/>
    </xf>
    <xf numFmtId="10" fontId="16" fillId="4" borderId="0" xfId="3" applyNumberFormat="1" applyFont="1" applyFill="1" applyBorder="1" applyAlignment="1">
      <alignment horizontal="center" vertical="center" wrapText="1"/>
    </xf>
    <xf numFmtId="181" fontId="17" fillId="0" borderId="1" xfId="3" applyNumberFormat="1" applyFont="1" applyBorder="1" applyAlignment="1">
      <alignment horizontal="right" vertical="center" shrinkToFit="1"/>
    </xf>
    <xf numFmtId="176" fontId="17" fillId="0" borderId="1" xfId="3" applyNumberFormat="1" applyFont="1" applyBorder="1" applyAlignment="1">
      <alignment horizontal="right" vertical="center" shrinkToFit="1"/>
    </xf>
    <xf numFmtId="10" fontId="6" fillId="0" borderId="0" xfId="0" applyNumberFormat="1" applyFont="1"/>
  </cellXfs>
  <cellStyles count="4">
    <cellStyle name="쉼표 [0]" xfId="1" builtinId="6"/>
    <cellStyle name="쉼표 [0] 2" xfId="2" xr:uid="{00000000-0005-0000-0000-000001000000}"/>
    <cellStyle name="표준" xfId="0" builtinId="0"/>
    <cellStyle name="표준 2" xfId="3" xr:uid="{00000000-0005-0000-0000-000003000000}"/>
  </cellStyles>
  <dxfs count="12">
    <dxf>
      <numFmt numFmtId="177" formatCode="#,###"/>
    </dxf>
    <dxf>
      <numFmt numFmtId="180" formatCode="#,##0.0#####"/>
    </dxf>
    <dxf>
      <numFmt numFmtId="177" formatCode="#,###"/>
    </dxf>
    <dxf>
      <numFmt numFmtId="180" formatCode="#,##0.0#####"/>
    </dxf>
    <dxf>
      <numFmt numFmtId="177" formatCode="#,###"/>
    </dxf>
    <dxf>
      <numFmt numFmtId="180" formatCode="#,##0.0#####"/>
    </dxf>
    <dxf>
      <numFmt numFmtId="177" formatCode="#,###"/>
    </dxf>
    <dxf>
      <numFmt numFmtId="180" formatCode="#,##0.0#####"/>
    </dxf>
    <dxf>
      <numFmt numFmtId="177" formatCode="#,###"/>
    </dxf>
    <dxf>
      <numFmt numFmtId="180" formatCode="#,##0.0#####"/>
    </dxf>
    <dxf>
      <numFmt numFmtId="177" formatCode="#,###"/>
    </dxf>
    <dxf>
      <numFmt numFmtId="180" formatCode="#,##0.0####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1</xdr:row>
      <xdr:rowOff>0</xdr:rowOff>
    </xdr:from>
    <xdr:to>
      <xdr:col>7</xdr:col>
      <xdr:colOff>1428750</xdr:colOff>
      <xdr:row>1</xdr:row>
      <xdr:rowOff>0</xdr:rowOff>
    </xdr:to>
    <xdr:sp macro="" textlink="">
      <xdr:nvSpPr>
        <xdr:cNvPr id="11265" name="Line 1">
          <a:extLst>
            <a:ext uri="{FF2B5EF4-FFF2-40B4-BE49-F238E27FC236}">
              <a16:creationId xmlns:a16="http://schemas.microsoft.com/office/drawing/2014/main" id="{4A2EDF79-77F6-45A9-8312-D0D7B507A9ED}"/>
            </a:ext>
          </a:extLst>
        </xdr:cNvPr>
        <xdr:cNvSpPr>
          <a:spLocks noChangeShapeType="1"/>
        </xdr:cNvSpPr>
      </xdr:nvSpPr>
      <xdr:spPr bwMode="auto">
        <a:xfrm>
          <a:off x="3371850" y="447675"/>
          <a:ext cx="26860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628650</xdr:colOff>
      <xdr:row>1</xdr:row>
      <xdr:rowOff>0</xdr:rowOff>
    </xdr:from>
    <xdr:to>
      <xdr:col>7</xdr:col>
      <xdr:colOff>1428750</xdr:colOff>
      <xdr:row>1</xdr:row>
      <xdr:rowOff>0</xdr:rowOff>
    </xdr:to>
    <xdr:sp macro="" textlink="">
      <xdr:nvSpPr>
        <xdr:cNvPr id="11266" name="Line 2">
          <a:extLst>
            <a:ext uri="{FF2B5EF4-FFF2-40B4-BE49-F238E27FC236}">
              <a16:creationId xmlns:a16="http://schemas.microsoft.com/office/drawing/2014/main" id="{98A66645-714E-4B4E-A28A-1D00584B81C2}"/>
            </a:ext>
          </a:extLst>
        </xdr:cNvPr>
        <xdr:cNvSpPr>
          <a:spLocks noChangeShapeType="1"/>
        </xdr:cNvSpPr>
      </xdr:nvSpPr>
      <xdr:spPr bwMode="auto">
        <a:xfrm>
          <a:off x="3371850" y="447675"/>
          <a:ext cx="26860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542925</xdr:colOff>
      <xdr:row>21</xdr:row>
      <xdr:rowOff>47625</xdr:rowOff>
    </xdr:from>
    <xdr:to>
      <xdr:col>1</xdr:col>
      <xdr:colOff>5467350</xdr:colOff>
      <xdr:row>31</xdr:row>
      <xdr:rowOff>190500</xdr:rowOff>
    </xdr:to>
    <xdr:sp macro="" textlink="">
      <xdr:nvSpPr>
        <xdr:cNvPr id="7175" name="Rectangle 7">
          <a:extLst>
            <a:ext uri="{FF2B5EF4-FFF2-40B4-BE49-F238E27FC236}">
              <a16:creationId xmlns:a16="http://schemas.microsoft.com/office/drawing/2014/main" id="{D6762876-A582-4128-812B-F332150F2F83}"/>
            </a:ext>
          </a:extLst>
        </xdr:cNvPr>
        <xdr:cNvSpPr>
          <a:spLocks noChangeArrowheads="1"/>
        </xdr:cNvSpPr>
      </xdr:nvSpPr>
      <xdr:spPr bwMode="auto">
        <a:xfrm>
          <a:off x="942975" y="5067300"/>
          <a:ext cx="4924425" cy="2524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</xdr:col>
      <xdr:colOff>600075</xdr:colOff>
      <xdr:row>21</xdr:row>
      <xdr:rowOff>133350</xdr:rowOff>
    </xdr:from>
    <xdr:to>
      <xdr:col>1</xdr:col>
      <xdr:colOff>2781300</xdr:colOff>
      <xdr:row>31</xdr:row>
      <xdr:rowOff>133350</xdr:rowOff>
    </xdr:to>
    <xdr:pic>
      <xdr:nvPicPr>
        <xdr:cNvPr id="7176" name="Picture 8" descr="행높이팝업">
          <a:extLst>
            <a:ext uri="{FF2B5EF4-FFF2-40B4-BE49-F238E27FC236}">
              <a16:creationId xmlns:a16="http://schemas.microsoft.com/office/drawing/2014/main" id="{8BD471A3-3B2B-4C91-9D75-19A386B08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" y="5153025"/>
          <a:ext cx="2181225" cy="2381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3295650</xdr:colOff>
      <xdr:row>24</xdr:row>
      <xdr:rowOff>104775</xdr:rowOff>
    </xdr:from>
    <xdr:to>
      <xdr:col>1</xdr:col>
      <xdr:colOff>4953000</xdr:colOff>
      <xdr:row>28</xdr:row>
      <xdr:rowOff>66675</xdr:rowOff>
    </xdr:to>
    <xdr:pic>
      <xdr:nvPicPr>
        <xdr:cNvPr id="7177" name="Picture 9" descr="행높이">
          <a:extLst>
            <a:ext uri="{FF2B5EF4-FFF2-40B4-BE49-F238E27FC236}">
              <a16:creationId xmlns:a16="http://schemas.microsoft.com/office/drawing/2014/main" id="{3FBC1D65-4AB6-4851-A8F4-F8E448540F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5838825"/>
          <a:ext cx="1657350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49324;&#47924;&#49892;&#50629;&#47924;\~~~~~&#49444;&#44228;~~~~~\2024&#45380;\1.&#44288;&#44553;&#44277;&#49324;\12.&#52832;&#44257;&#51333;&#54633;&#50868;&#46041;&#51109;%20&#49892;&#45236;&#53580;&#45768;&#49828;&#51109;_&#49440;&#49345;&#44148;&#52629;\2.&#49892;&#49884;&#46020;&#47732;\&#45236;&#50669;&#49436;\2025.07.01%20&#51060;&#50980;10%25%20&#51068;&#50948;&#45824;&#44032;%20&#45432;&#51076;%2075%25&#51312;&#51221;\1.&#52832;&#44257;&#51333;&#54633;&#50868;&#46041;&#51109;%20&#49892;&#45236;&#53580;&#45768;&#49828;&#51109;%20&#51312;&#49457;&#49324;&#50629;_(&#51204;&#44592;&#45236;&#50669;&#49436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49324;&#47924;&#49892;&#50629;&#47924;\~~~~~&#49444;&#44228;~~~~~\2024&#45380;\1.&#44288;&#44553;&#44277;&#49324;\8.&#49352;&#51649;&#44264;%20&#49352;&#46896;&#47560;&#51012;&#49324;&#50629;%20&#47560;&#51012;&#54924;&#44288;%20&#49888;&#52629;&#44277;&#49324;_&#50732;&#48148;&#47480;\&#49892;&#49884;\&#45236;&#50669;&#49436;\1.&#49352;&#51649;&#44264;%20&#49352;&#46896;&#47560;&#51012;&#49324;&#50629;%20&#49888;&#52629;&#44277;&#49324;%20(&#51204;&#44592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"/>
      <sheetName val="총괄표"/>
      <sheetName val="내역서"/>
      <sheetName val="내역서(도급자관급)"/>
      <sheetName val="내역서(한전불임금 및 사용전검사수수료)"/>
      <sheetName val="노임근거"/>
      <sheetName val="일대목차"/>
      <sheetName val="일위대가"/>
      <sheetName val="일위노임"/>
      <sheetName val="합산자재"/>
      <sheetName val="단가조사"/>
      <sheetName val="옵션"/>
      <sheetName val="산출집계"/>
      <sheetName val="기본산출서"/>
      <sheetName val="사용설명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>
            <v>186306</v>
          </cell>
        </row>
      </sheetData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"/>
      <sheetName val="총괄표"/>
      <sheetName val="내역서"/>
      <sheetName val="내역서(도급자관급)"/>
      <sheetName val="내역서(관급자관급)"/>
      <sheetName val="내역서(한전불임금 및 정기검사수수료)"/>
      <sheetName val="노임근거"/>
      <sheetName val="일대목차"/>
      <sheetName val="일위대가"/>
      <sheetName val="일위노임"/>
      <sheetName val="합산자재"/>
      <sheetName val="단가조사"/>
      <sheetName val="옵션"/>
      <sheetName val="산출집계"/>
      <sheetName val="기본산출서"/>
      <sheetName val="사용설명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8">
          <cell r="H98">
            <v>0</v>
          </cell>
          <cell r="J98">
            <v>0</v>
          </cell>
        </row>
      </sheetData>
      <sheetData sheetId="11"/>
      <sheetData sheetId="12">
        <row r="13">
          <cell r="B13">
            <v>100</v>
          </cell>
          <cell r="E13">
            <v>5</v>
          </cell>
        </row>
      </sheetData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rgb="FFFF0000"/>
  </sheetPr>
  <dimension ref="A1:P45"/>
  <sheetViews>
    <sheetView tabSelected="1" view="pageBreakPreview" zoomScale="80" zoomScaleNormal="100" zoomScaleSheetLayoutView="80" workbookViewId="0">
      <selection activeCell="H14" sqref="H14"/>
    </sheetView>
  </sheetViews>
  <sheetFormatPr defaultColWidth="8.8984375" defaultRowHeight="14.4"/>
  <cols>
    <col min="1" max="1" width="3.19921875" style="9" customWidth="1"/>
    <col min="2" max="2" width="3.3984375" style="9" customWidth="1"/>
    <col min="3" max="3" width="25.296875" style="9" customWidth="1"/>
    <col min="4" max="4" width="25.296875" style="9" hidden="1" customWidth="1"/>
    <col min="5" max="5" width="22" style="34" customWidth="1"/>
    <col min="6" max="7" width="22" style="34" hidden="1" customWidth="1"/>
    <col min="8" max="8" width="56.59765625" style="9" customWidth="1"/>
    <col min="9" max="9" width="8.69921875" style="9" hidden="1" customWidth="1"/>
    <col min="10" max="10" width="8.8984375" style="9" hidden="1" customWidth="1"/>
    <col min="11" max="11" width="14.296875" style="34" customWidth="1"/>
    <col min="12" max="12" width="8.8984375" style="9"/>
    <col min="13" max="13" width="11.5" style="9" bestFit="1" customWidth="1"/>
    <col min="14" max="14" width="13.296875" style="9" customWidth="1"/>
    <col min="15" max="15" width="14.69921875" style="9" customWidth="1"/>
    <col min="16" max="16" width="13.59765625" style="9" customWidth="1"/>
    <col min="17" max="16384" width="8.8984375" style="9"/>
  </cols>
  <sheetData>
    <row r="1" spans="1:16" ht="36.6">
      <c r="A1" s="191" t="s">
        <v>1422</v>
      </c>
      <c r="B1" s="191"/>
      <c r="C1" s="191"/>
      <c r="D1" s="191"/>
      <c r="E1" s="191"/>
      <c r="F1" s="191"/>
      <c r="G1" s="191"/>
      <c r="H1" s="191"/>
    </row>
    <row r="2" spans="1:16" ht="13.5" customHeight="1"/>
    <row r="3" spans="1:16" ht="20.100000000000001" customHeight="1" thickBot="1">
      <c r="A3" s="192" t="s">
        <v>167</v>
      </c>
      <c r="B3" s="192"/>
      <c r="C3" s="193" t="s">
        <v>179</v>
      </c>
      <c r="D3" s="193"/>
      <c r="E3" s="193"/>
      <c r="F3" s="9"/>
      <c r="G3" s="9"/>
      <c r="H3" s="62"/>
    </row>
    <row r="4" spans="1:16" ht="20.100000000000001" customHeight="1" thickBot="1">
      <c r="A4" s="194" t="s">
        <v>168</v>
      </c>
      <c r="B4" s="195"/>
      <c r="C4" s="153" t="s">
        <v>169</v>
      </c>
      <c r="D4" s="153" t="s">
        <v>1387</v>
      </c>
      <c r="E4" s="154" t="s">
        <v>1421</v>
      </c>
      <c r="F4" s="155" t="s">
        <v>1388</v>
      </c>
      <c r="G4" s="155" t="s">
        <v>1389</v>
      </c>
      <c r="H4" s="156" t="s">
        <v>170</v>
      </c>
      <c r="I4" s="9" t="s">
        <v>47</v>
      </c>
      <c r="L4" s="16" t="s">
        <v>162</v>
      </c>
      <c r="M4" s="16" t="s">
        <v>163</v>
      </c>
      <c r="N4" s="16" t="s">
        <v>164</v>
      </c>
      <c r="O4" s="16" t="s">
        <v>165</v>
      </c>
      <c r="P4" s="16" t="s">
        <v>166</v>
      </c>
    </row>
    <row r="5" spans="1:16" ht="20.100000000000001" customHeight="1">
      <c r="A5" s="63"/>
      <c r="B5" s="188" t="s">
        <v>171</v>
      </c>
      <c r="C5" s="64" t="s">
        <v>560</v>
      </c>
      <c r="D5" s="135">
        <v>115462861</v>
      </c>
      <c r="E5" s="65">
        <f>총괄표!I24</f>
        <v>98821566</v>
      </c>
      <c r="F5" s="134">
        <f>E5-D5</f>
        <v>-16641295</v>
      </c>
      <c r="G5" s="137">
        <f>F5/D5</f>
        <v>-0.14412682013829539</v>
      </c>
      <c r="H5" s="66"/>
      <c r="J5" s="9" t="s">
        <v>47</v>
      </c>
      <c r="M5" s="9">
        <v>1</v>
      </c>
      <c r="N5" s="34">
        <f>E5*M5</f>
        <v>98821566</v>
      </c>
      <c r="O5" s="34"/>
      <c r="P5" s="34"/>
    </row>
    <row r="6" spans="1:16" ht="20.100000000000001" customHeight="1">
      <c r="A6" s="63"/>
      <c r="B6" s="188"/>
      <c r="C6" s="67" t="s">
        <v>561</v>
      </c>
      <c r="D6" s="136"/>
      <c r="E6" s="68"/>
      <c r="F6" s="134">
        <f t="shared" ref="F6:F28" si="0">E6-D6</f>
        <v>0</v>
      </c>
      <c r="G6" s="137" t="e">
        <f t="shared" ref="G6:G28" si="1">F6/D6</f>
        <v>#DIV/0!</v>
      </c>
      <c r="H6" s="69"/>
      <c r="N6" s="34">
        <f t="shared" ref="N6:N27" si="2">E6*M6</f>
        <v>0</v>
      </c>
      <c r="O6" s="34"/>
      <c r="P6" s="34"/>
    </row>
    <row r="7" spans="1:16" ht="20.100000000000001" customHeight="1">
      <c r="A7" s="70" t="s">
        <v>172</v>
      </c>
      <c r="B7" s="189"/>
      <c r="C7" s="67" t="s">
        <v>562</v>
      </c>
      <c r="D7" s="136">
        <v>115462861</v>
      </c>
      <c r="E7" s="68">
        <f>SUM(E5:E6)</f>
        <v>98821566</v>
      </c>
      <c r="F7" s="134">
        <f t="shared" si="0"/>
        <v>-16641295</v>
      </c>
      <c r="G7" s="137">
        <f t="shared" si="1"/>
        <v>-0.14412682013829539</v>
      </c>
      <c r="H7" s="69"/>
      <c r="N7" s="34">
        <f t="shared" si="2"/>
        <v>0</v>
      </c>
      <c r="O7" s="34"/>
      <c r="P7" s="34"/>
    </row>
    <row r="8" spans="1:16" ht="20.100000000000001" customHeight="1">
      <c r="A8" s="70"/>
      <c r="B8" s="190" t="s">
        <v>173</v>
      </c>
      <c r="C8" s="67" t="s">
        <v>563</v>
      </c>
      <c r="D8" s="136">
        <v>110946201</v>
      </c>
      <c r="E8" s="68">
        <f>총괄표!L24</f>
        <v>100276701</v>
      </c>
      <c r="F8" s="134">
        <f t="shared" si="0"/>
        <v>-10669500</v>
      </c>
      <c r="G8" s="137">
        <f t="shared" si="1"/>
        <v>-9.616823202445661E-2</v>
      </c>
      <c r="H8" s="69"/>
      <c r="M8" s="9">
        <v>1</v>
      </c>
      <c r="N8" s="34">
        <f t="shared" si="2"/>
        <v>100276701</v>
      </c>
      <c r="O8" s="34"/>
      <c r="P8" s="34"/>
    </row>
    <row r="9" spans="1:16" ht="20.100000000000001" customHeight="1">
      <c r="A9" s="63"/>
      <c r="B9" s="188"/>
      <c r="C9" s="67" t="s">
        <v>564</v>
      </c>
      <c r="D9" s="136">
        <v>16641930</v>
      </c>
      <c r="E9" s="68">
        <f>TRUNC(E8*L9/100)</f>
        <v>15242058</v>
      </c>
      <c r="F9" s="134">
        <f t="shared" si="0"/>
        <v>-1399872</v>
      </c>
      <c r="G9" s="137">
        <f t="shared" si="1"/>
        <v>-8.4117166698814375E-2</v>
      </c>
      <c r="H9" s="69" t="s">
        <v>1418</v>
      </c>
      <c r="K9" s="139" t="s">
        <v>1413</v>
      </c>
      <c r="L9" s="163">
        <v>15.2</v>
      </c>
      <c r="M9" s="9">
        <v>1</v>
      </c>
      <c r="N9" s="34">
        <f t="shared" si="2"/>
        <v>15242058</v>
      </c>
      <c r="O9" s="34"/>
      <c r="P9" s="34"/>
    </row>
    <row r="10" spans="1:16" ht="20.100000000000001" customHeight="1">
      <c r="A10" s="63"/>
      <c r="B10" s="189"/>
      <c r="C10" s="67" t="s">
        <v>562</v>
      </c>
      <c r="D10" s="136">
        <v>127588131</v>
      </c>
      <c r="E10" s="68">
        <f>SUM(E8:E9)</f>
        <v>115518759</v>
      </c>
      <c r="F10" s="134">
        <f t="shared" si="0"/>
        <v>-12069372</v>
      </c>
      <c r="G10" s="137">
        <f t="shared" si="1"/>
        <v>-9.459635395082322E-2</v>
      </c>
      <c r="H10" s="161"/>
      <c r="N10" s="34">
        <f t="shared" si="2"/>
        <v>0</v>
      </c>
      <c r="O10" s="34"/>
      <c r="P10" s="34"/>
    </row>
    <row r="11" spans="1:16" ht="20.100000000000001" customHeight="1">
      <c r="A11" s="70" t="s">
        <v>174</v>
      </c>
      <c r="B11" s="133"/>
      <c r="C11" s="67" t="s">
        <v>1376</v>
      </c>
      <c r="D11" s="136">
        <v>186306</v>
      </c>
      <c r="E11" s="68">
        <f>[1]옵션!$D$2</f>
        <v>186306</v>
      </c>
      <c r="F11" s="134">
        <f t="shared" si="0"/>
        <v>0</v>
      </c>
      <c r="G11" s="137">
        <f t="shared" si="1"/>
        <v>0</v>
      </c>
      <c r="H11" s="161"/>
      <c r="M11" s="9">
        <v>1</v>
      </c>
      <c r="N11" s="34">
        <f t="shared" si="2"/>
        <v>186306</v>
      </c>
      <c r="O11" s="34"/>
      <c r="P11" s="34"/>
    </row>
    <row r="12" spans="1:16" ht="20.100000000000001" customHeight="1">
      <c r="A12" s="63"/>
      <c r="B12" s="71"/>
      <c r="C12" s="67" t="s">
        <v>565</v>
      </c>
      <c r="D12" s="136">
        <v>4542137</v>
      </c>
      <c r="E12" s="68">
        <f>TRUNC(E10*L12/100)</f>
        <v>4112467</v>
      </c>
      <c r="F12" s="134">
        <f t="shared" si="0"/>
        <v>-429670</v>
      </c>
      <c r="G12" s="137">
        <f t="shared" si="1"/>
        <v>-9.4596442159274374E-2</v>
      </c>
      <c r="H12" s="161" t="s">
        <v>566</v>
      </c>
      <c r="L12" s="9">
        <v>3.56</v>
      </c>
      <c r="M12" s="9">
        <v>1</v>
      </c>
      <c r="N12" s="34">
        <f t="shared" si="2"/>
        <v>4112467</v>
      </c>
      <c r="O12" s="34"/>
      <c r="P12" s="34"/>
    </row>
    <row r="13" spans="1:16" ht="20.100000000000001" customHeight="1">
      <c r="A13" s="70"/>
      <c r="B13" s="61" t="s">
        <v>175</v>
      </c>
      <c r="C13" s="67" t="s">
        <v>567</v>
      </c>
      <c r="D13" s="136">
        <v>1288640</v>
      </c>
      <c r="E13" s="68">
        <f>TRUNC(E10*L13/100)</f>
        <v>1166739</v>
      </c>
      <c r="F13" s="134">
        <f t="shared" si="0"/>
        <v>-121901</v>
      </c>
      <c r="G13" s="137">
        <f t="shared" si="1"/>
        <v>-9.45966290042215E-2</v>
      </c>
      <c r="H13" s="161" t="s">
        <v>568</v>
      </c>
      <c r="L13" s="9">
        <v>1.01</v>
      </c>
      <c r="M13" s="9">
        <v>1</v>
      </c>
      <c r="N13" s="34">
        <f t="shared" si="2"/>
        <v>1166739</v>
      </c>
      <c r="O13" s="34"/>
      <c r="P13" s="34"/>
    </row>
    <row r="14" spans="1:16" ht="20.100000000000001" customHeight="1">
      <c r="A14" s="63"/>
      <c r="B14" s="61"/>
      <c r="C14" s="67" t="s">
        <v>569</v>
      </c>
      <c r="D14" s="136">
        <v>2551762</v>
      </c>
      <c r="E14" s="244">
        <v>2551762</v>
      </c>
      <c r="F14" s="134">
        <f t="shared" si="0"/>
        <v>0</v>
      </c>
      <c r="G14" s="137">
        <f t="shared" si="1"/>
        <v>0</v>
      </c>
      <c r="H14" s="161" t="s">
        <v>570</v>
      </c>
      <c r="L14" s="9">
        <v>2.2999999999999998</v>
      </c>
      <c r="M14" s="9">
        <v>1</v>
      </c>
      <c r="N14" s="34">
        <f t="shared" si="2"/>
        <v>2551762</v>
      </c>
      <c r="O14" s="34"/>
      <c r="P14" s="34"/>
    </row>
    <row r="15" spans="1:16" ht="20.100000000000001" customHeight="1">
      <c r="A15" s="70" t="s">
        <v>176</v>
      </c>
      <c r="B15" s="61"/>
      <c r="C15" s="67" t="s">
        <v>606</v>
      </c>
      <c r="D15" s="136">
        <v>7041321</v>
      </c>
      <c r="E15" s="244">
        <v>6804511</v>
      </c>
      <c r="F15" s="134">
        <f t="shared" si="0"/>
        <v>-236810</v>
      </c>
      <c r="G15" s="137">
        <f t="shared" si="1"/>
        <v>-3.3631473412446329E-2</v>
      </c>
      <c r="H15" s="161" t="s">
        <v>1385</v>
      </c>
      <c r="L15" s="9">
        <v>3.11</v>
      </c>
      <c r="M15" s="9">
        <v>1</v>
      </c>
      <c r="N15" s="34">
        <f t="shared" si="2"/>
        <v>6804511</v>
      </c>
      <c r="O15" s="34"/>
      <c r="P15" s="34"/>
    </row>
    <row r="16" spans="1:16" ht="20.100000000000001" customHeight="1">
      <c r="A16" s="63"/>
      <c r="B16" s="71"/>
      <c r="C16" s="67" t="s">
        <v>571</v>
      </c>
      <c r="D16" s="136">
        <v>11180345</v>
      </c>
      <c r="E16" s="68">
        <f>TRUNC((E7+E10)*L16/100)</f>
        <v>10073995</v>
      </c>
      <c r="F16" s="134">
        <f t="shared" si="0"/>
        <v>-1106350</v>
      </c>
      <c r="G16" s="137">
        <f t="shared" si="1"/>
        <v>-9.8954907026572073E-2</v>
      </c>
      <c r="H16" s="69" t="s">
        <v>1417</v>
      </c>
      <c r="K16" s="139" t="s">
        <v>1414</v>
      </c>
      <c r="L16" s="163">
        <v>4.7</v>
      </c>
      <c r="M16" s="9">
        <v>1</v>
      </c>
      <c r="N16" s="34">
        <f t="shared" si="2"/>
        <v>10073995</v>
      </c>
      <c r="O16" s="34"/>
      <c r="P16" s="34"/>
    </row>
    <row r="17" spans="1:16" ht="20.100000000000001" customHeight="1">
      <c r="A17" s="63"/>
      <c r="B17" s="71"/>
      <c r="C17" s="67" t="s">
        <v>572</v>
      </c>
      <c r="D17" s="136">
        <v>3933042</v>
      </c>
      <c r="E17" s="244">
        <v>3933042</v>
      </c>
      <c r="F17" s="134">
        <f t="shared" si="0"/>
        <v>0</v>
      </c>
      <c r="G17" s="137">
        <f t="shared" si="1"/>
        <v>0</v>
      </c>
      <c r="H17" s="161" t="s">
        <v>573</v>
      </c>
      <c r="L17" s="9">
        <v>3.5449999999999999</v>
      </c>
      <c r="M17" s="9">
        <v>1</v>
      </c>
      <c r="N17" s="34">
        <f t="shared" si="2"/>
        <v>3933042</v>
      </c>
      <c r="O17" s="34"/>
      <c r="P17" s="34"/>
    </row>
    <row r="18" spans="1:16" ht="20.100000000000001" customHeight="1">
      <c r="A18" s="70"/>
      <c r="B18" s="61" t="s">
        <v>605</v>
      </c>
      <c r="C18" s="67" t="s">
        <v>574</v>
      </c>
      <c r="D18" s="136">
        <v>4992579</v>
      </c>
      <c r="E18" s="244">
        <v>4992579</v>
      </c>
      <c r="F18" s="134">
        <f t="shared" si="0"/>
        <v>0</v>
      </c>
      <c r="G18" s="137">
        <f t="shared" si="1"/>
        <v>0</v>
      </c>
      <c r="H18" s="161" t="s">
        <v>575</v>
      </c>
      <c r="L18" s="9">
        <v>4.5</v>
      </c>
      <c r="M18" s="9">
        <v>1</v>
      </c>
      <c r="N18" s="34">
        <f t="shared" si="2"/>
        <v>4992579</v>
      </c>
      <c r="O18" s="34"/>
      <c r="P18" s="34"/>
    </row>
    <row r="19" spans="1:16" ht="20.100000000000001" customHeight="1">
      <c r="A19" s="70" t="s">
        <v>605</v>
      </c>
      <c r="B19" s="61"/>
      <c r="C19" s="67" t="s">
        <v>576</v>
      </c>
      <c r="D19" s="136">
        <v>509328</v>
      </c>
      <c r="E19" s="244">
        <v>509328</v>
      </c>
      <c r="F19" s="134">
        <f t="shared" si="0"/>
        <v>0</v>
      </c>
      <c r="G19" s="137">
        <f t="shared" si="1"/>
        <v>0</v>
      </c>
      <c r="H19" s="161" t="s">
        <v>577</v>
      </c>
      <c r="L19" s="9">
        <v>12.95</v>
      </c>
      <c r="M19" s="9">
        <v>1</v>
      </c>
      <c r="N19" s="34">
        <f t="shared" si="2"/>
        <v>509328</v>
      </c>
      <c r="O19" s="34"/>
      <c r="P19" s="34"/>
    </row>
    <row r="20" spans="1:16" ht="20.100000000000001" customHeight="1">
      <c r="A20" s="70"/>
      <c r="B20" s="61"/>
      <c r="C20" s="166" t="s">
        <v>562</v>
      </c>
      <c r="D20" s="167">
        <v>36225460</v>
      </c>
      <c r="E20" s="68">
        <f>SUM(E11:E19)</f>
        <v>34330729</v>
      </c>
      <c r="F20" s="134">
        <f t="shared" si="0"/>
        <v>-1894731</v>
      </c>
      <c r="G20" s="137">
        <f t="shared" si="1"/>
        <v>-5.2303849281693043E-2</v>
      </c>
      <c r="H20" s="69"/>
      <c r="N20" s="34">
        <f t="shared" si="2"/>
        <v>0</v>
      </c>
      <c r="O20" s="34"/>
      <c r="P20" s="34"/>
    </row>
    <row r="21" spans="1:16" ht="20.100000000000001" customHeight="1">
      <c r="A21" s="63"/>
      <c r="B21" s="196" t="s">
        <v>584</v>
      </c>
      <c r="C21" s="197"/>
      <c r="D21" s="168">
        <v>279276452</v>
      </c>
      <c r="E21" s="68">
        <f>E7+E10+E20</f>
        <v>248671054</v>
      </c>
      <c r="F21" s="134">
        <f t="shared" si="0"/>
        <v>-30605398</v>
      </c>
      <c r="G21" s="137">
        <f t="shared" si="1"/>
        <v>-0.10958817967223387</v>
      </c>
      <c r="H21" s="69"/>
      <c r="N21" s="34">
        <f t="shared" si="2"/>
        <v>0</v>
      </c>
      <c r="O21" s="34"/>
      <c r="P21" s="34"/>
    </row>
    <row r="22" spans="1:16" ht="20.100000000000001" customHeight="1">
      <c r="A22" s="184" t="s">
        <v>578</v>
      </c>
      <c r="B22" s="185"/>
      <c r="C22" s="185"/>
      <c r="D22" s="136">
        <v>16756500</v>
      </c>
      <c r="E22" s="68">
        <f>TRUNC((E7+E10+E20)*L22/100,-2)</f>
        <v>14920200</v>
      </c>
      <c r="F22" s="134">
        <f t="shared" si="0"/>
        <v>-1836300</v>
      </c>
      <c r="G22" s="137">
        <f t="shared" si="1"/>
        <v>-0.10958732432190493</v>
      </c>
      <c r="H22" s="69" t="s">
        <v>579</v>
      </c>
      <c r="K22" s="139" t="s">
        <v>1415</v>
      </c>
      <c r="L22" s="9">
        <v>6</v>
      </c>
      <c r="M22" s="9">
        <v>1</v>
      </c>
      <c r="N22" s="34">
        <f t="shared" si="2"/>
        <v>14920200</v>
      </c>
      <c r="O22" s="34"/>
      <c r="P22" s="34"/>
    </row>
    <row r="23" spans="1:16" ht="20.100000000000001" customHeight="1">
      <c r="A23" s="184" t="s">
        <v>580</v>
      </c>
      <c r="B23" s="185"/>
      <c r="C23" s="185"/>
      <c r="D23" s="136">
        <v>17967000</v>
      </c>
      <c r="E23" s="68">
        <f>TRUNC(O23-((SUM(N5:N22)+O23-TRUNC((SUM(N5:N22)+O23)/P23)*P23)),-2)-20</f>
        <v>16408680</v>
      </c>
      <c r="F23" s="134">
        <f t="shared" si="0"/>
        <v>-1558320</v>
      </c>
      <c r="G23" s="137">
        <f t="shared" si="1"/>
        <v>-8.6732342628151618E-2</v>
      </c>
      <c r="H23" s="69" t="s">
        <v>1384</v>
      </c>
      <c r="K23" s="139" t="s">
        <v>1416</v>
      </c>
      <c r="L23" s="9">
        <v>10</v>
      </c>
      <c r="M23" s="9">
        <v>1</v>
      </c>
      <c r="N23" s="34">
        <f t="shared" si="2"/>
        <v>16408680</v>
      </c>
      <c r="O23" s="34">
        <f>TRUNC((E10+E20+E22)*L23/100)</f>
        <v>16476968</v>
      </c>
      <c r="P23" s="34">
        <v>100000</v>
      </c>
    </row>
    <row r="24" spans="1:16" ht="20.100000000000001" customHeight="1">
      <c r="A24" s="184" t="s">
        <v>602</v>
      </c>
      <c r="B24" s="185"/>
      <c r="C24" s="185"/>
      <c r="D24" s="136">
        <v>1142959.82528</v>
      </c>
      <c r="E24" s="68">
        <f>(E21+E22+E23)*0.364%</f>
        <v>1019199.75976</v>
      </c>
      <c r="F24" s="134">
        <f t="shared" si="0"/>
        <v>-123760.06551999995</v>
      </c>
      <c r="G24" s="137">
        <f t="shared" si="1"/>
        <v>-0.10828032865431771</v>
      </c>
      <c r="H24" s="69" t="s">
        <v>603</v>
      </c>
      <c r="N24" s="34">
        <f>E24</f>
        <v>1019199.75976</v>
      </c>
      <c r="O24" s="34"/>
      <c r="P24" s="34"/>
    </row>
    <row r="25" spans="1:16" ht="20.100000000000001" customHeight="1">
      <c r="A25" s="184" t="s">
        <v>581</v>
      </c>
      <c r="B25" s="185"/>
      <c r="C25" s="185"/>
      <c r="D25" s="136">
        <v>315140000</v>
      </c>
      <c r="E25" s="68">
        <f>TRUNC(SUM(N5:N24))</f>
        <v>281019133</v>
      </c>
      <c r="F25" s="134">
        <f t="shared" si="0"/>
        <v>-34120867</v>
      </c>
      <c r="G25" s="137">
        <f t="shared" si="1"/>
        <v>-0.1082720917687377</v>
      </c>
      <c r="H25" s="69" t="s">
        <v>1386</v>
      </c>
      <c r="N25" s="34">
        <f t="shared" si="2"/>
        <v>0</v>
      </c>
      <c r="O25" s="34"/>
      <c r="P25" s="34"/>
    </row>
    <row r="26" spans="1:16" ht="20.100000000000001" customHeight="1">
      <c r="A26" s="184" t="s">
        <v>582</v>
      </c>
      <c r="B26" s="185"/>
      <c r="C26" s="185"/>
      <c r="D26" s="136">
        <v>31514000</v>
      </c>
      <c r="E26" s="68">
        <f>TRUNC(E25*L26/100)</f>
        <v>19340467</v>
      </c>
      <c r="F26" s="134">
        <f t="shared" si="0"/>
        <v>-12173533</v>
      </c>
      <c r="G26" s="137">
        <f t="shared" si="1"/>
        <v>-0.38628968077679759</v>
      </c>
      <c r="H26" s="69"/>
      <c r="L26" s="9">
        <v>6.8822599999999996</v>
      </c>
      <c r="M26" s="9">
        <v>1</v>
      </c>
      <c r="N26" s="34">
        <f t="shared" si="2"/>
        <v>19340467</v>
      </c>
      <c r="O26" s="34"/>
      <c r="P26" s="34"/>
    </row>
    <row r="27" spans="1:16" ht="20.100000000000001" customHeight="1">
      <c r="A27" s="184" t="s">
        <v>604</v>
      </c>
      <c r="B27" s="185"/>
      <c r="C27" s="185"/>
      <c r="D27" s="136">
        <v>346650000</v>
      </c>
      <c r="E27" s="68">
        <f>TRUNC(E25+E26)</f>
        <v>300359600</v>
      </c>
      <c r="F27" s="134">
        <f t="shared" si="0"/>
        <v>-46290400</v>
      </c>
      <c r="G27" s="137">
        <f t="shared" si="1"/>
        <v>-0.13353642002019328</v>
      </c>
      <c r="H27" s="69" t="s">
        <v>1386</v>
      </c>
      <c r="N27" s="34">
        <f t="shared" si="2"/>
        <v>0</v>
      </c>
      <c r="O27" s="34"/>
      <c r="P27" s="34"/>
    </row>
    <row r="28" spans="1:16" ht="20.100000000000001" customHeight="1" thickBot="1">
      <c r="A28" s="186" t="s">
        <v>583</v>
      </c>
      <c r="B28" s="187"/>
      <c r="C28" s="187"/>
      <c r="D28" s="157">
        <v>346650000</v>
      </c>
      <c r="E28" s="169">
        <f>E27</f>
        <v>300359600</v>
      </c>
      <c r="F28" s="159">
        <f t="shared" si="0"/>
        <v>-46290400</v>
      </c>
      <c r="G28" s="160">
        <f t="shared" si="1"/>
        <v>-0.13353642002019328</v>
      </c>
      <c r="H28" s="158"/>
      <c r="N28" s="34">
        <f>SUM(N5:N27)</f>
        <v>300359600.75976002</v>
      </c>
      <c r="O28" s="34"/>
      <c r="P28" s="34"/>
    </row>
    <row r="29" spans="1:16" ht="14.1" customHeight="1">
      <c r="N29" s="34"/>
      <c r="O29" s="34"/>
      <c r="P29" s="34"/>
    </row>
    <row r="30" spans="1:16">
      <c r="K30" s="34">
        <v>300359600</v>
      </c>
      <c r="N30" s="34"/>
      <c r="O30" s="34"/>
      <c r="P30" s="34"/>
    </row>
    <row r="31" spans="1:16">
      <c r="E31" s="34">
        <f>D7+D8+0</f>
        <v>226409062</v>
      </c>
      <c r="N31" s="34"/>
      <c r="O31" s="34"/>
      <c r="P31" s="34"/>
    </row>
    <row r="32" spans="1:16">
      <c r="M32" s="34">
        <f>E28-K30</f>
        <v>0</v>
      </c>
      <c r="N32" s="34"/>
      <c r="O32" s="34"/>
      <c r="P32" s="34"/>
    </row>
    <row r="33" spans="4:16">
      <c r="D33" s="138">
        <f>D28-D22-D26-D23</f>
        <v>280412500</v>
      </c>
      <c r="N33" s="34"/>
      <c r="O33" s="34"/>
      <c r="P33" s="34"/>
    </row>
    <row r="34" spans="4:16">
      <c r="K34" s="140" t="s">
        <v>1390</v>
      </c>
      <c r="L34" s="141">
        <f>TRUNC((E8+E7)*0.0311,0)</f>
        <v>6191956</v>
      </c>
      <c r="M34" s="141" t="s">
        <v>1391</v>
      </c>
      <c r="N34" s="141">
        <f>TRUNC(((E7+E8)*0.0311)*1.2,0)</f>
        <v>7430347</v>
      </c>
      <c r="O34" s="34"/>
      <c r="P34" s="34"/>
    </row>
    <row r="35" spans="4:16">
      <c r="N35" s="34"/>
      <c r="O35" s="34"/>
      <c r="P35" s="34"/>
    </row>
    <row r="36" spans="4:16">
      <c r="N36" s="34"/>
      <c r="O36" s="34"/>
      <c r="P36" s="34"/>
    </row>
    <row r="37" spans="4:16">
      <c r="N37" s="34"/>
      <c r="O37" s="34"/>
      <c r="P37" s="34"/>
    </row>
    <row r="38" spans="4:16">
      <c r="N38" s="34"/>
      <c r="O38" s="34"/>
      <c r="P38" s="34"/>
    </row>
    <row r="39" spans="4:16">
      <c r="N39" s="34"/>
      <c r="O39" s="34"/>
      <c r="P39" s="34"/>
    </row>
    <row r="40" spans="4:16">
      <c r="N40" s="34"/>
      <c r="O40" s="34"/>
      <c r="P40" s="34"/>
    </row>
    <row r="41" spans="4:16">
      <c r="N41" s="34"/>
      <c r="O41" s="34"/>
      <c r="P41" s="34"/>
    </row>
    <row r="42" spans="4:16">
      <c r="N42" s="34"/>
      <c r="O42" s="34"/>
      <c r="P42" s="34"/>
    </row>
    <row r="43" spans="4:16">
      <c r="N43" s="34"/>
      <c r="O43" s="34"/>
      <c r="P43" s="34"/>
    </row>
    <row r="44" spans="4:16">
      <c r="N44" s="34"/>
      <c r="O44" s="34"/>
      <c r="P44" s="34"/>
    </row>
    <row r="45" spans="4:16">
      <c r="N45" s="34"/>
      <c r="O45" s="34"/>
      <c r="P45" s="34"/>
    </row>
  </sheetData>
  <mergeCells count="14">
    <mergeCell ref="B5:B7"/>
    <mergeCell ref="B8:B10"/>
    <mergeCell ref="A22:C22"/>
    <mergeCell ref="A23:C23"/>
    <mergeCell ref="A1:H1"/>
    <mergeCell ref="A3:B3"/>
    <mergeCell ref="C3:E3"/>
    <mergeCell ref="A4:B4"/>
    <mergeCell ref="B21:C21"/>
    <mergeCell ref="A24:C24"/>
    <mergeCell ref="A28:C28"/>
    <mergeCell ref="A25:C25"/>
    <mergeCell ref="A26:C26"/>
    <mergeCell ref="A27:C27"/>
  </mergeCells>
  <phoneticPr fontId="4" type="noConversion"/>
  <printOptions horizontalCentered="1" verticalCentered="1"/>
  <pageMargins left="0.74803149606299213" right="0.74803149606299213" top="0.19685039370078741" bottom="0.39370078740157483" header="0.51181102362204722" footer="0.39370078740157483"/>
  <pageSetup paperSize="9" scale="96" orientation="landscape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Q45"/>
  <sheetViews>
    <sheetView view="pageBreakPreview" topLeftCell="D1" zoomScale="80" zoomScaleNormal="100" zoomScaleSheetLayoutView="80" workbookViewId="0">
      <pane ySplit="3" topLeftCell="A18" activePane="bottomLeft" state="frozen"/>
      <selection activeCell="D1" sqref="D1"/>
      <selection pane="bottomLeft" activeCell="G24" sqref="G24"/>
    </sheetView>
  </sheetViews>
  <sheetFormatPr defaultColWidth="8.8984375" defaultRowHeight="20.55" customHeight="1"/>
  <cols>
    <col min="1" max="1" width="24.3984375" style="2" hidden="1" customWidth="1"/>
    <col min="2" max="2" width="21.8984375" style="13" hidden="1" customWidth="1"/>
    <col min="3" max="3" width="22.296875" style="13" hidden="1" customWidth="1"/>
    <col min="4" max="4" width="36.19921875" style="13" customWidth="1"/>
    <col min="5" max="5" width="9.09765625" style="2" hidden="1" customWidth="1"/>
    <col min="6" max="6" width="4.19921875" style="18" customWidth="1"/>
    <col min="7" max="7" width="4.69921875" style="28" customWidth="1"/>
    <col min="8" max="8" width="13" style="28" customWidth="1"/>
    <col min="9" max="9" width="13.09765625" style="28" customWidth="1"/>
    <col min="10" max="10" width="5.09765625" style="28" hidden="1" customWidth="1"/>
    <col min="11" max="11" width="11.19921875" style="28" bestFit="1" customWidth="1"/>
    <col min="12" max="12" width="11.59765625" style="28" customWidth="1"/>
    <col min="13" max="14" width="9.3984375" style="28" customWidth="1"/>
    <col min="15" max="15" width="8.69921875" style="28" hidden="1" customWidth="1"/>
    <col min="16" max="16" width="13.19921875" style="28" customWidth="1"/>
    <col min="17" max="17" width="10.3984375" style="13" customWidth="1"/>
    <col min="18" max="16384" width="8.8984375" style="2"/>
  </cols>
  <sheetData>
    <row r="1" spans="1:17" ht="20.55" customHeight="1">
      <c r="A1" s="2" t="s">
        <v>557</v>
      </c>
      <c r="B1" s="13" t="s">
        <v>495</v>
      </c>
      <c r="D1" s="198" t="s">
        <v>547</v>
      </c>
      <c r="E1" s="199"/>
      <c r="F1" s="199"/>
      <c r="G1" s="199"/>
      <c r="H1" s="199"/>
      <c r="I1" s="199"/>
      <c r="J1" s="199"/>
      <c r="K1" s="199"/>
      <c r="L1" s="199"/>
      <c r="M1" s="199"/>
      <c r="N1" s="199"/>
    </row>
    <row r="2" spans="1:17" s="14" customFormat="1" ht="25.05" customHeight="1">
      <c r="A2" s="42" t="s">
        <v>58</v>
      </c>
      <c r="B2" s="42" t="s">
        <v>22</v>
      </c>
      <c r="C2" s="42" t="s">
        <v>39</v>
      </c>
      <c r="D2" s="200" t="s">
        <v>63</v>
      </c>
      <c r="E2" s="201" t="s">
        <v>24</v>
      </c>
      <c r="F2" s="201" t="s">
        <v>0</v>
      </c>
      <c r="G2" s="202" t="s">
        <v>1</v>
      </c>
      <c r="H2" s="202" t="s">
        <v>25</v>
      </c>
      <c r="I2" s="202"/>
      <c r="J2" s="202" t="s">
        <v>26</v>
      </c>
      <c r="K2" s="202"/>
      <c r="L2" s="202"/>
      <c r="M2" s="202" t="s">
        <v>27</v>
      </c>
      <c r="N2" s="202"/>
      <c r="O2" s="50"/>
      <c r="P2" s="202" t="s">
        <v>40</v>
      </c>
      <c r="Q2" s="200" t="s">
        <v>31</v>
      </c>
    </row>
    <row r="3" spans="1:17" s="14" customFormat="1" ht="25.05" customHeight="1">
      <c r="A3" s="42"/>
      <c r="B3" s="42"/>
      <c r="C3" s="42"/>
      <c r="D3" s="200"/>
      <c r="E3" s="201"/>
      <c r="F3" s="201"/>
      <c r="G3" s="202"/>
      <c r="H3" s="50" t="s">
        <v>41</v>
      </c>
      <c r="I3" s="50" t="s">
        <v>42</v>
      </c>
      <c r="J3" s="50" t="s">
        <v>1</v>
      </c>
      <c r="K3" s="50" t="s">
        <v>41</v>
      </c>
      <c r="L3" s="50" t="s">
        <v>42</v>
      </c>
      <c r="M3" s="50" t="s">
        <v>43</v>
      </c>
      <c r="N3" s="50" t="s">
        <v>42</v>
      </c>
      <c r="O3" s="50" t="s">
        <v>44</v>
      </c>
      <c r="P3" s="202"/>
      <c r="Q3" s="200"/>
    </row>
    <row r="4" spans="1:17" ht="25.05" customHeight="1">
      <c r="B4" s="13" t="s">
        <v>508</v>
      </c>
      <c r="D4" s="203" t="s">
        <v>179</v>
      </c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5"/>
    </row>
    <row r="5" spans="1:17" ht="25.05" customHeight="1">
      <c r="B5" s="13" t="s">
        <v>558</v>
      </c>
      <c r="D5" s="12" t="s">
        <v>641</v>
      </c>
      <c r="E5" s="15"/>
      <c r="F5" s="19" t="s">
        <v>177</v>
      </c>
      <c r="G5" s="30">
        <v>1</v>
      </c>
      <c r="H5" s="30">
        <f>총괄표!I45</f>
        <v>11659576</v>
      </c>
      <c r="I5" s="30">
        <f>G5*H5</f>
        <v>11659576</v>
      </c>
      <c r="J5" s="30"/>
      <c r="K5" s="30">
        <f>총괄표!L45</f>
        <v>29312916</v>
      </c>
      <c r="L5" s="30">
        <f>G5*K5</f>
        <v>29312916</v>
      </c>
      <c r="M5" s="30">
        <f>총괄표!N45</f>
        <v>2508</v>
      </c>
      <c r="N5" s="30">
        <f>G5*M5</f>
        <v>2508</v>
      </c>
      <c r="O5" s="30">
        <f>IF((H5+K5+M5)=0, "", (H5+K5+M5))</f>
        <v>40975000</v>
      </c>
      <c r="P5" s="30">
        <f>SUM(I5,L5,N5)</f>
        <v>40975000</v>
      </c>
      <c r="Q5" s="12" t="s">
        <v>2</v>
      </c>
    </row>
    <row r="6" spans="1:17" ht="25.05" customHeight="1">
      <c r="D6" s="12" t="s">
        <v>640</v>
      </c>
      <c r="E6" s="15"/>
      <c r="F6" s="19" t="s">
        <v>177</v>
      </c>
      <c r="G6" s="30">
        <v>1</v>
      </c>
      <c r="H6" s="30">
        <f>공종리스트!F5</f>
        <v>87161990</v>
      </c>
      <c r="I6" s="30">
        <f>G6*H6</f>
        <v>87161990</v>
      </c>
      <c r="J6" s="30"/>
      <c r="K6" s="30">
        <f>공종리스트!H5</f>
        <v>70963785</v>
      </c>
      <c r="L6" s="30">
        <f>G6*K6</f>
        <v>70963785</v>
      </c>
      <c r="M6" s="30">
        <f>공종리스트!J5</f>
        <v>22828</v>
      </c>
      <c r="N6" s="30">
        <f>G6*M6</f>
        <v>22828</v>
      </c>
      <c r="O6" s="30">
        <f>IF((H6+K6+M6)=0, "", (H6+K6+M6))</f>
        <v>158148603</v>
      </c>
      <c r="P6" s="30">
        <f>SUM(I6,L6,N6)</f>
        <v>158148603</v>
      </c>
      <c r="Q6" s="12"/>
    </row>
    <row r="7" spans="1:17" ht="25.05" customHeight="1">
      <c r="D7" s="12"/>
      <c r="E7" s="15"/>
      <c r="F7" s="19"/>
      <c r="G7" s="30"/>
      <c r="H7" s="30"/>
      <c r="I7" s="30"/>
      <c r="J7" s="30"/>
      <c r="K7" s="30"/>
      <c r="L7" s="30"/>
      <c r="M7" s="30"/>
      <c r="N7" s="30"/>
      <c r="O7" s="30"/>
      <c r="P7" s="30"/>
      <c r="Q7" s="12"/>
    </row>
    <row r="8" spans="1:17" ht="25.05" customHeight="1">
      <c r="D8" s="12"/>
      <c r="E8" s="15"/>
      <c r="F8" s="19"/>
      <c r="G8" s="30"/>
      <c r="H8" s="30"/>
      <c r="I8" s="30"/>
      <c r="J8" s="30"/>
      <c r="K8" s="30"/>
      <c r="L8" s="30"/>
      <c r="M8" s="30"/>
      <c r="N8" s="30"/>
      <c r="O8" s="30"/>
      <c r="P8" s="30"/>
      <c r="Q8" s="12"/>
    </row>
    <row r="9" spans="1:17" ht="25.05" customHeight="1">
      <c r="D9" s="12"/>
      <c r="E9" s="15"/>
      <c r="F9" s="19"/>
      <c r="G9" s="30"/>
      <c r="H9" s="30"/>
      <c r="I9" s="30"/>
      <c r="J9" s="30"/>
      <c r="K9" s="30"/>
      <c r="L9" s="30"/>
      <c r="M9" s="30"/>
      <c r="N9" s="30"/>
      <c r="O9" s="30"/>
      <c r="P9" s="30"/>
      <c r="Q9" s="12"/>
    </row>
    <row r="10" spans="1:17" ht="25.05" customHeight="1">
      <c r="D10" s="12"/>
      <c r="E10" s="15"/>
      <c r="F10" s="19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12"/>
    </row>
    <row r="11" spans="1:17" ht="25.05" customHeight="1">
      <c r="D11" s="12"/>
      <c r="E11" s="15"/>
      <c r="F11" s="19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12"/>
    </row>
    <row r="12" spans="1:17" ht="25.05" customHeight="1">
      <c r="D12" s="12"/>
      <c r="E12" s="15"/>
      <c r="F12" s="19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12"/>
    </row>
    <row r="13" spans="1:17" ht="25.05" customHeight="1">
      <c r="D13" s="12"/>
      <c r="E13" s="15"/>
      <c r="F13" s="19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12"/>
    </row>
    <row r="14" spans="1:17" ht="25.05" customHeight="1">
      <c r="D14" s="12"/>
      <c r="E14" s="15"/>
      <c r="F14" s="19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12"/>
    </row>
    <row r="15" spans="1:17" ht="25.05" customHeight="1">
      <c r="D15" s="12"/>
      <c r="E15" s="15"/>
      <c r="F15" s="19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12"/>
    </row>
    <row r="16" spans="1:17" ht="25.05" customHeight="1">
      <c r="D16" s="12"/>
      <c r="E16" s="15"/>
      <c r="F16" s="19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12"/>
    </row>
    <row r="17" spans="2:17" ht="25.05" customHeight="1">
      <c r="D17" s="12"/>
      <c r="E17" s="15"/>
      <c r="F17" s="19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12"/>
    </row>
    <row r="18" spans="2:17" ht="25.05" customHeight="1">
      <c r="D18" s="12"/>
      <c r="E18" s="15"/>
      <c r="F18" s="19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12"/>
    </row>
    <row r="19" spans="2:17" ht="25.05" customHeight="1">
      <c r="D19" s="12"/>
      <c r="E19" s="15"/>
      <c r="F19" s="19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12"/>
    </row>
    <row r="20" spans="2:17" ht="25.05" customHeight="1">
      <c r="D20" s="12"/>
      <c r="E20" s="15"/>
      <c r="F20" s="19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12"/>
    </row>
    <row r="21" spans="2:17" ht="25.05" customHeight="1">
      <c r="D21" s="12"/>
      <c r="E21" s="15"/>
      <c r="F21" s="19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12"/>
    </row>
    <row r="22" spans="2:17" ht="25.05" customHeight="1">
      <c r="D22" s="12"/>
      <c r="E22" s="15"/>
      <c r="F22" s="19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12"/>
    </row>
    <row r="23" spans="2:17" ht="25.05" customHeight="1">
      <c r="D23" s="12"/>
      <c r="E23" s="15"/>
      <c r="F23" s="19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12"/>
    </row>
    <row r="24" spans="2:17" ht="25.05" customHeight="1">
      <c r="C24" s="13" t="s">
        <v>559</v>
      </c>
      <c r="D24" s="12" t="s">
        <v>517</v>
      </c>
      <c r="E24" s="15"/>
      <c r="F24" s="19"/>
      <c r="G24" s="30"/>
      <c r="H24" s="30"/>
      <c r="I24" s="30">
        <f>TRUNC(SUM(I4:I23))</f>
        <v>98821566</v>
      </c>
      <c r="J24" s="30"/>
      <c r="K24" s="30"/>
      <c r="L24" s="30">
        <f>TRUNC(SUM(L4:L23))</f>
        <v>100276701</v>
      </c>
      <c r="M24" s="30"/>
      <c r="N24" s="30">
        <f>TRUNC(SUM(N4:N23))</f>
        <v>25336</v>
      </c>
      <c r="O24" s="30" t="str">
        <f>IF((H24+K24+M24)=0, "", (H24+K24+M24))</f>
        <v/>
      </c>
      <c r="P24" s="30">
        <f>TRUNC(SUM(P4:P23))</f>
        <v>199123603</v>
      </c>
      <c r="Q24" s="12"/>
    </row>
    <row r="25" spans="2:17" ht="25.05" customHeight="1">
      <c r="B25" s="13" t="s">
        <v>508</v>
      </c>
      <c r="D25" s="203" t="s">
        <v>641</v>
      </c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  <c r="Q25" s="205"/>
    </row>
    <row r="26" spans="2:17" ht="25.05" customHeight="1">
      <c r="B26" s="13" t="s">
        <v>532</v>
      </c>
      <c r="D26" s="12" t="s">
        <v>178</v>
      </c>
      <c r="E26" s="15"/>
      <c r="F26" s="19" t="s">
        <v>177</v>
      </c>
      <c r="G26" s="30">
        <v>1</v>
      </c>
      <c r="H26" s="30">
        <f>내역서!I53</f>
        <v>10655256</v>
      </c>
      <c r="I26" s="30">
        <f>G26*H26</f>
        <v>10655256</v>
      </c>
      <c r="J26" s="30"/>
      <c r="K26" s="30">
        <f>내역서!L53</f>
        <v>25690236</v>
      </c>
      <c r="L26" s="30">
        <f>G26*K26</f>
        <v>25690236</v>
      </c>
      <c r="M26" s="30">
        <f>내역서!N53</f>
        <v>2508</v>
      </c>
      <c r="N26" s="30">
        <f>G26*M26</f>
        <v>2508</v>
      </c>
      <c r="O26" s="30">
        <f>IF((H26+K26+M26)=0, "", (H26+K26+M26))</f>
        <v>36348000</v>
      </c>
      <c r="P26" s="30">
        <f>SUM(I26,L26,N26)</f>
        <v>36348000</v>
      </c>
      <c r="Q26" s="12"/>
    </row>
    <row r="27" spans="2:17" ht="25.05" customHeight="1">
      <c r="B27" s="13" t="s">
        <v>545</v>
      </c>
      <c r="D27" s="12" t="s">
        <v>381</v>
      </c>
      <c r="E27" s="15"/>
      <c r="F27" s="19" t="s">
        <v>177</v>
      </c>
      <c r="G27" s="30">
        <v>1</v>
      </c>
      <c r="H27" s="30">
        <f>내역서!I77</f>
        <v>1004320</v>
      </c>
      <c r="I27" s="30">
        <f>G27*H27</f>
        <v>1004320</v>
      </c>
      <c r="J27" s="30"/>
      <c r="K27" s="30">
        <f>내역서!L77</f>
        <v>3622680</v>
      </c>
      <c r="L27" s="30">
        <f>G27*K27</f>
        <v>3622680</v>
      </c>
      <c r="M27" s="30">
        <f>내역서!N77</f>
        <v>0</v>
      </c>
      <c r="N27" s="30">
        <f>G27*M27</f>
        <v>0</v>
      </c>
      <c r="O27" s="30">
        <f>IF((H27+K27+M27)=0, "", (H27+K27+M27))</f>
        <v>4627000</v>
      </c>
      <c r="P27" s="30">
        <f>SUM(I27,L27,N27)</f>
        <v>4627000</v>
      </c>
      <c r="Q27" s="12"/>
    </row>
    <row r="28" spans="2:17" ht="25.05" customHeight="1">
      <c r="D28" s="12"/>
      <c r="E28" s="15"/>
      <c r="F28" s="19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12"/>
    </row>
    <row r="29" spans="2:17" ht="25.05" customHeight="1">
      <c r="D29" s="12"/>
      <c r="E29" s="15"/>
      <c r="F29" s="19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12"/>
    </row>
    <row r="30" spans="2:17" ht="25.05" customHeight="1">
      <c r="D30" s="12"/>
      <c r="E30" s="15"/>
      <c r="F30" s="19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12"/>
    </row>
    <row r="31" spans="2:17" ht="25.05" customHeight="1">
      <c r="D31" s="12"/>
      <c r="E31" s="15"/>
      <c r="F31" s="19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12"/>
    </row>
    <row r="32" spans="2:17" ht="25.05" customHeight="1">
      <c r="D32" s="12"/>
      <c r="E32" s="15"/>
      <c r="F32" s="19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12"/>
    </row>
    <row r="33" spans="2:17" ht="25.05" customHeight="1">
      <c r="D33" s="12"/>
      <c r="E33" s="15"/>
      <c r="F33" s="19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12"/>
    </row>
    <row r="34" spans="2:17" ht="25.05" customHeight="1">
      <c r="D34" s="12"/>
      <c r="E34" s="15"/>
      <c r="F34" s="19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12"/>
    </row>
    <row r="35" spans="2:17" ht="25.05" customHeight="1">
      <c r="D35" s="12"/>
      <c r="E35" s="15"/>
      <c r="F35" s="19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12"/>
    </row>
    <row r="36" spans="2:17" ht="25.05" customHeight="1">
      <c r="D36" s="12"/>
      <c r="E36" s="15"/>
      <c r="F36" s="19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12"/>
    </row>
    <row r="37" spans="2:17" ht="25.05" customHeight="1">
      <c r="D37" s="12"/>
      <c r="E37" s="15"/>
      <c r="F37" s="19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12"/>
    </row>
    <row r="38" spans="2:17" ht="25.05" customHeight="1">
      <c r="D38" s="12"/>
      <c r="E38" s="15"/>
      <c r="F38" s="19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12"/>
    </row>
    <row r="39" spans="2:17" ht="25.05" customHeight="1">
      <c r="D39" s="12"/>
      <c r="E39" s="15"/>
      <c r="F39" s="19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12"/>
    </row>
    <row r="40" spans="2:17" ht="25.05" customHeight="1">
      <c r="D40" s="12"/>
      <c r="E40" s="15"/>
      <c r="F40" s="19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12"/>
    </row>
    <row r="41" spans="2:17" ht="25.05" customHeight="1">
      <c r="D41" s="12"/>
      <c r="E41" s="15"/>
      <c r="F41" s="19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12"/>
    </row>
    <row r="42" spans="2:17" ht="25.05" customHeight="1">
      <c r="D42" s="12"/>
      <c r="E42" s="15"/>
      <c r="F42" s="19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12"/>
    </row>
    <row r="43" spans="2:17" ht="25.05" customHeight="1">
      <c r="D43" s="12"/>
      <c r="E43" s="15"/>
      <c r="F43" s="19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12"/>
    </row>
    <row r="44" spans="2:17" ht="25.05" customHeight="1">
      <c r="D44" s="12"/>
      <c r="E44" s="15"/>
      <c r="F44" s="19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12"/>
    </row>
    <row r="45" spans="2:17" ht="25.05" customHeight="1">
      <c r="B45" s="13" t="s">
        <v>558</v>
      </c>
      <c r="C45" s="13" t="s">
        <v>559</v>
      </c>
      <c r="D45" s="12" t="s">
        <v>517</v>
      </c>
      <c r="E45" s="15"/>
      <c r="F45" s="19"/>
      <c r="G45" s="30"/>
      <c r="H45" s="30"/>
      <c r="I45" s="30">
        <f>TRUNC(SUM(I25:I44))</f>
        <v>11659576</v>
      </c>
      <c r="J45" s="30"/>
      <c r="K45" s="30"/>
      <c r="L45" s="30">
        <f>TRUNC(SUM(L25:L44))</f>
        <v>29312916</v>
      </c>
      <c r="M45" s="30"/>
      <c r="N45" s="30">
        <f>TRUNC(SUM(N25:N44))</f>
        <v>2508</v>
      </c>
      <c r="O45" s="30" t="str">
        <f>IF((H45+K45+M45)=0, "", (H45+K45+M45))</f>
        <v/>
      </c>
      <c r="P45" s="30">
        <f>TRUNC(SUM(P25:P44))</f>
        <v>40975000</v>
      </c>
      <c r="Q45" s="12"/>
    </row>
  </sheetData>
  <mergeCells count="12">
    <mergeCell ref="D4:Q4"/>
    <mergeCell ref="D25:Q25"/>
    <mergeCell ref="D2:D3"/>
    <mergeCell ref="J2:L2"/>
    <mergeCell ref="M2:N2"/>
    <mergeCell ref="D1:N1"/>
    <mergeCell ref="Q2:Q3"/>
    <mergeCell ref="E2:E3"/>
    <mergeCell ref="F2:F3"/>
    <mergeCell ref="G2:G3"/>
    <mergeCell ref="H2:I2"/>
    <mergeCell ref="P2:P3"/>
  </mergeCells>
  <phoneticPr fontId="4" type="noConversion"/>
  <printOptions horizontalCentered="1" verticalCentered="1"/>
  <pageMargins left="0.74803149606299213" right="0.35433070866141736" top="0.59055118110236227" bottom="0.59055118110236227" header="0.51181102362204722" footer="0.47244094488188981"/>
  <pageSetup paperSize="9" scale="85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AE77"/>
  <sheetViews>
    <sheetView view="pageBreakPreview" zoomScale="80" zoomScaleNormal="100" zoomScaleSheetLayoutView="80" workbookViewId="0">
      <pane ySplit="3" topLeftCell="A47" activePane="bottomLeft" state="frozen"/>
      <selection activeCell="D1" sqref="D1"/>
      <selection pane="bottomLeft" activeCell="A48" sqref="A48:XFD48"/>
    </sheetView>
  </sheetViews>
  <sheetFormatPr defaultColWidth="8.8984375" defaultRowHeight="23.1" customHeight="1"/>
  <cols>
    <col min="1" max="1" width="10.69921875" style="2" hidden="1" customWidth="1"/>
    <col min="2" max="3" width="10.69921875" style="13" hidden="1" customWidth="1"/>
    <col min="4" max="4" width="25.69921875" style="13" customWidth="1"/>
    <col min="5" max="5" width="25.296875" style="13" customWidth="1"/>
    <col min="6" max="6" width="4.19921875" style="18" customWidth="1"/>
    <col min="7" max="7" width="10" style="2" customWidth="1"/>
    <col min="8" max="8" width="13" style="28" customWidth="1"/>
    <col min="9" max="9" width="13.19921875" style="28" customWidth="1"/>
    <col min="10" max="10" width="9.09765625" style="2" hidden="1" customWidth="1"/>
    <col min="11" max="11" width="10.3984375" style="28" customWidth="1"/>
    <col min="12" max="12" width="11.69921875" style="28" customWidth="1"/>
    <col min="13" max="13" width="8.3984375" style="28" customWidth="1"/>
    <col min="14" max="14" width="9.09765625" style="28" customWidth="1"/>
    <col min="15" max="15" width="6" style="28" hidden="1" customWidth="1"/>
    <col min="16" max="16" width="13" style="28" customWidth="1"/>
    <col min="17" max="17" width="11.09765625" style="13" customWidth="1"/>
    <col min="18" max="26" width="8.8984375" style="2"/>
    <col min="27" max="31" width="11.69921875" style="28" customWidth="1"/>
    <col min="32" max="16384" width="8.8984375" style="2"/>
  </cols>
  <sheetData>
    <row r="1" spans="1:31" ht="23.1" customHeight="1">
      <c r="A1" s="2" t="s">
        <v>557</v>
      </c>
      <c r="B1" s="13" t="s">
        <v>546</v>
      </c>
      <c r="D1" s="198" t="s">
        <v>547</v>
      </c>
      <c r="E1" s="199"/>
      <c r="F1" s="199"/>
      <c r="G1" s="199"/>
      <c r="H1" s="199"/>
      <c r="I1" s="199"/>
      <c r="J1" s="199"/>
      <c r="K1" s="199"/>
      <c r="L1" s="199"/>
      <c r="M1" s="199"/>
      <c r="N1" s="199"/>
      <c r="W1" s="206" t="s">
        <v>67</v>
      </c>
      <c r="X1" s="206"/>
      <c r="Y1" s="206"/>
      <c r="Z1" s="206"/>
      <c r="AA1" s="206" t="s">
        <v>72</v>
      </c>
      <c r="AB1" s="206"/>
      <c r="AC1" s="206"/>
      <c r="AD1" s="206"/>
      <c r="AE1" s="206"/>
    </row>
    <row r="2" spans="1:31" s="14" customFormat="1" ht="25.05" customHeight="1">
      <c r="A2" s="14" t="s">
        <v>57</v>
      </c>
      <c r="B2" s="42" t="s">
        <v>22</v>
      </c>
      <c r="C2" s="42" t="s">
        <v>20</v>
      </c>
      <c r="D2" s="200" t="s">
        <v>64</v>
      </c>
      <c r="E2" s="200" t="s">
        <v>65</v>
      </c>
      <c r="F2" s="201" t="s">
        <v>0</v>
      </c>
      <c r="G2" s="201" t="s">
        <v>1</v>
      </c>
      <c r="H2" s="202" t="s">
        <v>25</v>
      </c>
      <c r="I2" s="202"/>
      <c r="J2" s="202" t="s">
        <v>26</v>
      </c>
      <c r="K2" s="202"/>
      <c r="L2" s="202"/>
      <c r="M2" s="202" t="s">
        <v>27</v>
      </c>
      <c r="N2" s="202"/>
      <c r="O2" s="50"/>
      <c r="P2" s="202" t="s">
        <v>40</v>
      </c>
      <c r="Q2" s="200" t="s">
        <v>31</v>
      </c>
      <c r="W2" s="14" t="s">
        <v>68</v>
      </c>
      <c r="X2" s="14" t="s">
        <v>69</v>
      </c>
      <c r="Y2" s="14" t="s">
        <v>70</v>
      </c>
      <c r="Z2" s="14" t="s">
        <v>71</v>
      </c>
      <c r="AA2" s="32" t="s">
        <v>122</v>
      </c>
      <c r="AB2" s="32" t="s">
        <v>121</v>
      </c>
      <c r="AC2" s="32" t="s">
        <v>73</v>
      </c>
      <c r="AD2" s="32" t="s">
        <v>75</v>
      </c>
      <c r="AE2" s="32" t="s">
        <v>74</v>
      </c>
    </row>
    <row r="3" spans="1:31" s="14" customFormat="1" ht="25.05" customHeight="1">
      <c r="B3" s="42"/>
      <c r="C3" s="42"/>
      <c r="D3" s="200"/>
      <c r="E3" s="200"/>
      <c r="F3" s="201"/>
      <c r="G3" s="201"/>
      <c r="H3" s="50" t="s">
        <v>41</v>
      </c>
      <c r="I3" s="50" t="s">
        <v>42</v>
      </c>
      <c r="J3" s="16" t="s">
        <v>1</v>
      </c>
      <c r="K3" s="50" t="s">
        <v>41</v>
      </c>
      <c r="L3" s="50" t="s">
        <v>42</v>
      </c>
      <c r="M3" s="50" t="s">
        <v>43</v>
      </c>
      <c r="N3" s="50" t="s">
        <v>42</v>
      </c>
      <c r="O3" s="50" t="s">
        <v>44</v>
      </c>
      <c r="P3" s="202"/>
      <c r="Q3" s="200"/>
      <c r="W3" s="2"/>
      <c r="X3" s="2"/>
      <c r="Y3" s="2"/>
      <c r="Z3" s="2"/>
      <c r="AA3" s="28"/>
      <c r="AB3" s="28"/>
      <c r="AC3" s="28"/>
      <c r="AD3" s="28">
        <f>IF(옵션!$C$11 =0, "1", 옵션!$C$11)</f>
        <v>1000</v>
      </c>
      <c r="AE3" s="28">
        <f>IF(옵션!$C$12 =0, "1", 옵션!$C$12)</f>
        <v>1000</v>
      </c>
    </row>
    <row r="4" spans="1:31" ht="25.05" customHeight="1">
      <c r="B4" s="13" t="s">
        <v>508</v>
      </c>
      <c r="D4" s="203" t="s">
        <v>642</v>
      </c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5"/>
    </row>
    <row r="5" spans="1:31" ht="25.05" customHeight="1">
      <c r="A5" s="2">
        <v>59753097002</v>
      </c>
      <c r="B5" s="13" t="s">
        <v>532</v>
      </c>
      <c r="C5" s="13" t="s">
        <v>384</v>
      </c>
      <c r="D5" s="12" t="s">
        <v>331</v>
      </c>
      <c r="E5" s="12" t="s">
        <v>332</v>
      </c>
      <c r="F5" s="19" t="s">
        <v>333</v>
      </c>
      <c r="G5" s="15">
        <f>산출집계!H7</f>
        <v>302</v>
      </c>
      <c r="H5" s="30">
        <f>합산자재!H4</f>
        <v>150</v>
      </c>
      <c r="I5" s="51">
        <f t="shared" ref="I5:I36" si="0">TRUNC(G5*H5)</f>
        <v>45300</v>
      </c>
      <c r="J5" s="15">
        <f>산출집계!J7</f>
        <v>274</v>
      </c>
      <c r="K5" s="30">
        <f>합산자재!I4</f>
        <v>0</v>
      </c>
      <c r="L5" s="51">
        <f t="shared" ref="L5:L42" si="1">TRUNC(G5*K5)</f>
        <v>0</v>
      </c>
      <c r="M5" s="30">
        <f>합산자재!J4</f>
        <v>0</v>
      </c>
      <c r="N5" s="51">
        <f t="shared" ref="N5:N42" si="2">TRUNC(G5*M5)</f>
        <v>0</v>
      </c>
      <c r="O5" s="30">
        <f t="shared" ref="O5:O42" si="3">IF((H5+K5+M5)=0, "", (H5+K5+M5))</f>
        <v>150</v>
      </c>
      <c r="P5" s="30">
        <f t="shared" ref="P5:P42" si="4">SUM(I5,L5,N5)</f>
        <v>45300</v>
      </c>
      <c r="Q5" s="12"/>
      <c r="AA5" s="28">
        <f>I5</f>
        <v>45300</v>
      </c>
      <c r="AC5" s="28">
        <f t="shared" ref="AC5:AC11" si="5">G5*H5</f>
        <v>45300</v>
      </c>
    </row>
    <row r="6" spans="1:31" ht="25.05" customHeight="1">
      <c r="A6" s="2">
        <v>59753097003</v>
      </c>
      <c r="B6" s="13" t="s">
        <v>532</v>
      </c>
      <c r="C6" s="13" t="s">
        <v>387</v>
      </c>
      <c r="D6" s="12" t="s">
        <v>331</v>
      </c>
      <c r="E6" s="12" t="s">
        <v>334</v>
      </c>
      <c r="F6" s="19" t="s">
        <v>333</v>
      </c>
      <c r="G6" s="15">
        <f>산출집계!H8</f>
        <v>553</v>
      </c>
      <c r="H6" s="30">
        <f>합산자재!H5</f>
        <v>227</v>
      </c>
      <c r="I6" s="51">
        <f t="shared" si="0"/>
        <v>125531</v>
      </c>
      <c r="J6" s="15">
        <f>산출집계!J8</f>
        <v>502</v>
      </c>
      <c r="K6" s="30">
        <f>합산자재!I5</f>
        <v>0</v>
      </c>
      <c r="L6" s="51">
        <f t="shared" si="1"/>
        <v>0</v>
      </c>
      <c r="M6" s="30">
        <f>합산자재!J5</f>
        <v>0</v>
      </c>
      <c r="N6" s="51">
        <f t="shared" si="2"/>
        <v>0</v>
      </c>
      <c r="O6" s="30">
        <f t="shared" si="3"/>
        <v>227</v>
      </c>
      <c r="P6" s="30">
        <f t="shared" si="4"/>
        <v>125531</v>
      </c>
      <c r="Q6" s="12"/>
      <c r="AA6" s="28">
        <f>I6</f>
        <v>125531</v>
      </c>
      <c r="AC6" s="28">
        <f t="shared" si="5"/>
        <v>125531</v>
      </c>
    </row>
    <row r="7" spans="1:31" ht="25.05" customHeight="1">
      <c r="A7" s="2">
        <v>59753097004</v>
      </c>
      <c r="B7" s="13" t="s">
        <v>532</v>
      </c>
      <c r="C7" s="13" t="s">
        <v>388</v>
      </c>
      <c r="D7" s="12" t="s">
        <v>331</v>
      </c>
      <c r="E7" s="12" t="s">
        <v>335</v>
      </c>
      <c r="F7" s="19" t="s">
        <v>333</v>
      </c>
      <c r="G7" s="15">
        <f>산출집계!H9</f>
        <v>115</v>
      </c>
      <c r="H7" s="30">
        <f>합산자재!H6</f>
        <v>310</v>
      </c>
      <c r="I7" s="51">
        <f t="shared" si="0"/>
        <v>35650</v>
      </c>
      <c r="J7" s="15">
        <f>산출집계!J9</f>
        <v>104</v>
      </c>
      <c r="K7" s="30">
        <f>합산자재!I6</f>
        <v>0</v>
      </c>
      <c r="L7" s="51">
        <f t="shared" si="1"/>
        <v>0</v>
      </c>
      <c r="M7" s="30">
        <f>합산자재!J6</f>
        <v>0</v>
      </c>
      <c r="N7" s="51">
        <f t="shared" si="2"/>
        <v>0</v>
      </c>
      <c r="O7" s="30">
        <f t="shared" si="3"/>
        <v>310</v>
      </c>
      <c r="P7" s="30">
        <f t="shared" si="4"/>
        <v>35650</v>
      </c>
      <c r="Q7" s="12"/>
      <c r="AA7" s="28">
        <f>I7</f>
        <v>35650</v>
      </c>
      <c r="AC7" s="28">
        <f t="shared" si="5"/>
        <v>35650</v>
      </c>
    </row>
    <row r="8" spans="1:31" ht="25.05" customHeight="1">
      <c r="A8" s="2">
        <v>59753097005</v>
      </c>
      <c r="B8" s="13" t="s">
        <v>532</v>
      </c>
      <c r="C8" s="13" t="s">
        <v>389</v>
      </c>
      <c r="D8" s="12" t="s">
        <v>331</v>
      </c>
      <c r="E8" s="12" t="s">
        <v>336</v>
      </c>
      <c r="F8" s="19" t="s">
        <v>333</v>
      </c>
      <c r="G8" s="15">
        <f>산출집계!H10</f>
        <v>50</v>
      </c>
      <c r="H8" s="30">
        <f>합산자재!H7</f>
        <v>718</v>
      </c>
      <c r="I8" s="51">
        <f t="shared" si="0"/>
        <v>35900</v>
      </c>
      <c r="J8" s="15">
        <f>산출집계!J10</f>
        <v>45</v>
      </c>
      <c r="K8" s="30">
        <f>합산자재!I7</f>
        <v>0</v>
      </c>
      <c r="L8" s="51">
        <f t="shared" si="1"/>
        <v>0</v>
      </c>
      <c r="M8" s="30">
        <f>합산자재!J7</f>
        <v>0</v>
      </c>
      <c r="N8" s="51">
        <f t="shared" si="2"/>
        <v>0</v>
      </c>
      <c r="O8" s="30">
        <f t="shared" si="3"/>
        <v>718</v>
      </c>
      <c r="P8" s="30">
        <f t="shared" si="4"/>
        <v>35900</v>
      </c>
      <c r="Q8" s="12"/>
      <c r="AA8" s="28">
        <f>I8</f>
        <v>35900</v>
      </c>
      <c r="AC8" s="28">
        <f t="shared" si="5"/>
        <v>35900</v>
      </c>
    </row>
    <row r="9" spans="1:31" ht="25.05" customHeight="1">
      <c r="A9" s="2">
        <v>59753077001</v>
      </c>
      <c r="B9" s="13" t="s">
        <v>532</v>
      </c>
      <c r="C9" s="13" t="s">
        <v>390</v>
      </c>
      <c r="D9" s="12" t="s">
        <v>337</v>
      </c>
      <c r="E9" s="12" t="s">
        <v>338</v>
      </c>
      <c r="F9" s="19" t="s">
        <v>333</v>
      </c>
      <c r="G9" s="15">
        <f>산출집계!H11</f>
        <v>270</v>
      </c>
      <c r="H9" s="30">
        <f>합산자재!H8</f>
        <v>308</v>
      </c>
      <c r="I9" s="51">
        <f t="shared" si="0"/>
        <v>83160</v>
      </c>
      <c r="J9" s="15">
        <f>산출집계!J11</f>
        <v>262</v>
      </c>
      <c r="K9" s="30">
        <f>합산자재!I8</f>
        <v>0</v>
      </c>
      <c r="L9" s="51">
        <f t="shared" si="1"/>
        <v>0</v>
      </c>
      <c r="M9" s="30">
        <f>합산자재!J8</f>
        <v>0</v>
      </c>
      <c r="N9" s="51">
        <f t="shared" si="2"/>
        <v>0</v>
      </c>
      <c r="O9" s="30">
        <f t="shared" si="3"/>
        <v>308</v>
      </c>
      <c r="P9" s="30">
        <f t="shared" si="4"/>
        <v>83160</v>
      </c>
      <c r="Q9" s="12"/>
      <c r="AB9" s="28">
        <f>I9</f>
        <v>83160</v>
      </c>
      <c r="AC9" s="28">
        <f t="shared" si="5"/>
        <v>83160</v>
      </c>
    </row>
    <row r="10" spans="1:31" ht="25.05" customHeight="1">
      <c r="A10" s="2">
        <v>59753077002</v>
      </c>
      <c r="B10" s="13" t="s">
        <v>532</v>
      </c>
      <c r="C10" s="13" t="s">
        <v>392</v>
      </c>
      <c r="D10" s="12" t="s">
        <v>337</v>
      </c>
      <c r="E10" s="12" t="s">
        <v>339</v>
      </c>
      <c r="F10" s="19" t="s">
        <v>333</v>
      </c>
      <c r="G10" s="15">
        <f>산출집계!H12</f>
        <v>135</v>
      </c>
      <c r="H10" s="30">
        <f>합산자재!H9</f>
        <v>469</v>
      </c>
      <c r="I10" s="51">
        <f t="shared" si="0"/>
        <v>63315</v>
      </c>
      <c r="J10" s="15">
        <f>산출집계!J12</f>
        <v>131</v>
      </c>
      <c r="K10" s="30">
        <f>합산자재!I9</f>
        <v>0</v>
      </c>
      <c r="L10" s="51">
        <f t="shared" si="1"/>
        <v>0</v>
      </c>
      <c r="M10" s="30">
        <f>합산자재!J9</f>
        <v>0</v>
      </c>
      <c r="N10" s="51">
        <f t="shared" si="2"/>
        <v>0</v>
      </c>
      <c r="O10" s="30">
        <f t="shared" si="3"/>
        <v>469</v>
      </c>
      <c r="P10" s="30">
        <f t="shared" si="4"/>
        <v>63315</v>
      </c>
      <c r="Q10" s="12"/>
      <c r="AB10" s="28">
        <f>I10</f>
        <v>63315</v>
      </c>
      <c r="AC10" s="28">
        <f t="shared" si="5"/>
        <v>63315</v>
      </c>
    </row>
    <row r="11" spans="1:31" ht="25.05" customHeight="1">
      <c r="A11" s="2">
        <v>59753017003</v>
      </c>
      <c r="B11" s="13" t="s">
        <v>532</v>
      </c>
      <c r="C11" s="13" t="s">
        <v>393</v>
      </c>
      <c r="D11" s="12" t="s">
        <v>340</v>
      </c>
      <c r="E11" s="12" t="s">
        <v>341</v>
      </c>
      <c r="F11" s="19" t="s">
        <v>333</v>
      </c>
      <c r="G11" s="15">
        <f>산출집계!H13</f>
        <v>7</v>
      </c>
      <c r="H11" s="30">
        <f>합산자재!H10</f>
        <v>506</v>
      </c>
      <c r="I11" s="51">
        <f t="shared" si="0"/>
        <v>3542</v>
      </c>
      <c r="J11" s="15">
        <f>산출집계!J13</f>
        <v>6</v>
      </c>
      <c r="K11" s="30">
        <f>합산자재!I10</f>
        <v>0</v>
      </c>
      <c r="L11" s="51">
        <f t="shared" si="1"/>
        <v>0</v>
      </c>
      <c r="M11" s="30">
        <f>합산자재!J10</f>
        <v>0</v>
      </c>
      <c r="N11" s="51">
        <f t="shared" si="2"/>
        <v>0</v>
      </c>
      <c r="O11" s="30">
        <f t="shared" si="3"/>
        <v>506</v>
      </c>
      <c r="P11" s="30">
        <f t="shared" si="4"/>
        <v>3542</v>
      </c>
      <c r="Q11" s="12"/>
      <c r="AC11" s="28">
        <f t="shared" si="5"/>
        <v>3542</v>
      </c>
    </row>
    <row r="12" spans="1:31" ht="25.05" customHeight="1">
      <c r="A12" s="2">
        <v>59753017043</v>
      </c>
      <c r="B12" s="13" t="s">
        <v>532</v>
      </c>
      <c r="C12" s="13" t="s">
        <v>394</v>
      </c>
      <c r="D12" s="12" t="s">
        <v>340</v>
      </c>
      <c r="E12" s="12" t="s">
        <v>342</v>
      </c>
      <c r="F12" s="19" t="s">
        <v>343</v>
      </c>
      <c r="G12" s="15">
        <f>산출집계!H14</f>
        <v>8</v>
      </c>
      <c r="H12" s="30">
        <f>합산자재!H11</f>
        <v>305</v>
      </c>
      <c r="I12" s="51">
        <f t="shared" si="0"/>
        <v>2440</v>
      </c>
      <c r="J12" s="15">
        <f>산출집계!J14</f>
        <v>8</v>
      </c>
      <c r="K12" s="30">
        <f>합산자재!I11</f>
        <v>0</v>
      </c>
      <c r="L12" s="51">
        <f t="shared" si="1"/>
        <v>0</v>
      </c>
      <c r="M12" s="30">
        <f>합산자재!J11</f>
        <v>0</v>
      </c>
      <c r="N12" s="51">
        <f t="shared" si="2"/>
        <v>0</v>
      </c>
      <c r="O12" s="30">
        <f t="shared" si="3"/>
        <v>305</v>
      </c>
      <c r="P12" s="30">
        <f t="shared" si="4"/>
        <v>2440</v>
      </c>
      <c r="Q12" s="12"/>
    </row>
    <row r="13" spans="1:31" ht="25.05" customHeight="1">
      <c r="A13" s="2">
        <v>59753767011</v>
      </c>
      <c r="B13" s="13" t="s">
        <v>532</v>
      </c>
      <c r="C13" s="13" t="s">
        <v>395</v>
      </c>
      <c r="D13" s="12" t="s">
        <v>344</v>
      </c>
      <c r="E13" s="12" t="s">
        <v>345</v>
      </c>
      <c r="F13" s="19" t="s">
        <v>343</v>
      </c>
      <c r="G13" s="15">
        <f>산출집계!H15</f>
        <v>6</v>
      </c>
      <c r="H13" s="30">
        <f>합산자재!H12</f>
        <v>563</v>
      </c>
      <c r="I13" s="51">
        <f t="shared" si="0"/>
        <v>3378</v>
      </c>
      <c r="J13" s="15">
        <f>산출집계!J15</f>
        <v>6</v>
      </c>
      <c r="K13" s="30">
        <f>합산자재!I12</f>
        <v>0</v>
      </c>
      <c r="L13" s="51">
        <f t="shared" si="1"/>
        <v>0</v>
      </c>
      <c r="M13" s="30">
        <f>합산자재!J12</f>
        <v>0</v>
      </c>
      <c r="N13" s="51">
        <f t="shared" si="2"/>
        <v>0</v>
      </c>
      <c r="O13" s="30">
        <f t="shared" si="3"/>
        <v>563</v>
      </c>
      <c r="P13" s="30">
        <f t="shared" si="4"/>
        <v>3378</v>
      </c>
      <c r="Q13" s="12"/>
    </row>
    <row r="14" spans="1:31" ht="25.05" customHeight="1">
      <c r="A14" s="2">
        <v>59753767041</v>
      </c>
      <c r="B14" s="13" t="s">
        <v>532</v>
      </c>
      <c r="C14" s="13" t="s">
        <v>398</v>
      </c>
      <c r="D14" s="12" t="s">
        <v>344</v>
      </c>
      <c r="E14" s="12" t="s">
        <v>346</v>
      </c>
      <c r="F14" s="19" t="s">
        <v>343</v>
      </c>
      <c r="G14" s="15">
        <f>산출집계!H16</f>
        <v>8</v>
      </c>
      <c r="H14" s="30">
        <f>합산자재!H13</f>
        <v>826</v>
      </c>
      <c r="I14" s="51">
        <f t="shared" si="0"/>
        <v>6608</v>
      </c>
      <c r="J14" s="15">
        <f>산출집계!J16</f>
        <v>8</v>
      </c>
      <c r="K14" s="30">
        <f>합산자재!I13</f>
        <v>0</v>
      </c>
      <c r="L14" s="51">
        <f t="shared" si="1"/>
        <v>0</v>
      </c>
      <c r="M14" s="30">
        <f>합산자재!J13</f>
        <v>0</v>
      </c>
      <c r="N14" s="51">
        <f t="shared" si="2"/>
        <v>0</v>
      </c>
      <c r="O14" s="30">
        <f t="shared" si="3"/>
        <v>826</v>
      </c>
      <c r="P14" s="30">
        <f t="shared" si="4"/>
        <v>6608</v>
      </c>
      <c r="Q14" s="12"/>
    </row>
    <row r="15" spans="1:31" ht="25.05" customHeight="1">
      <c r="A15" s="2">
        <v>59753777102</v>
      </c>
      <c r="B15" s="13" t="s">
        <v>532</v>
      </c>
      <c r="C15" s="13" t="s">
        <v>399</v>
      </c>
      <c r="D15" s="12" t="s">
        <v>347</v>
      </c>
      <c r="E15" s="12" t="s">
        <v>348</v>
      </c>
      <c r="F15" s="19" t="s">
        <v>343</v>
      </c>
      <c r="G15" s="15">
        <f>산출집계!H17</f>
        <v>12</v>
      </c>
      <c r="H15" s="30">
        <f>합산자재!H14</f>
        <v>531</v>
      </c>
      <c r="I15" s="51">
        <f t="shared" si="0"/>
        <v>6372</v>
      </c>
      <c r="J15" s="15">
        <f>산출집계!J17</f>
        <v>12</v>
      </c>
      <c r="K15" s="30">
        <f>합산자재!I14</f>
        <v>0</v>
      </c>
      <c r="L15" s="51">
        <f t="shared" si="1"/>
        <v>0</v>
      </c>
      <c r="M15" s="30">
        <f>합산자재!J14</f>
        <v>0</v>
      </c>
      <c r="N15" s="51">
        <f t="shared" si="2"/>
        <v>0</v>
      </c>
      <c r="O15" s="30">
        <f t="shared" si="3"/>
        <v>531</v>
      </c>
      <c r="P15" s="30">
        <f t="shared" si="4"/>
        <v>6372</v>
      </c>
      <c r="Q15" s="12"/>
    </row>
    <row r="16" spans="1:31" ht="25.05" customHeight="1">
      <c r="A16" s="2">
        <v>59753767201</v>
      </c>
      <c r="B16" s="13" t="s">
        <v>532</v>
      </c>
      <c r="C16" s="13" t="s">
        <v>400</v>
      </c>
      <c r="D16" s="12" t="s">
        <v>349</v>
      </c>
      <c r="E16" s="12" t="s">
        <v>350</v>
      </c>
      <c r="F16" s="19" t="s">
        <v>343</v>
      </c>
      <c r="G16" s="15">
        <f>산출집계!H18</f>
        <v>6</v>
      </c>
      <c r="H16" s="30">
        <f>합산자재!H15</f>
        <v>260</v>
      </c>
      <c r="I16" s="51">
        <f t="shared" si="0"/>
        <v>1560</v>
      </c>
      <c r="J16" s="15">
        <f>산출집계!J18</f>
        <v>6</v>
      </c>
      <c r="K16" s="30">
        <f>합산자재!I15</f>
        <v>0</v>
      </c>
      <c r="L16" s="51">
        <f t="shared" si="1"/>
        <v>0</v>
      </c>
      <c r="M16" s="30">
        <f>합산자재!J15</f>
        <v>0</v>
      </c>
      <c r="N16" s="51">
        <f t="shared" si="2"/>
        <v>0</v>
      </c>
      <c r="O16" s="30">
        <f t="shared" si="3"/>
        <v>260</v>
      </c>
      <c r="P16" s="30">
        <f t="shared" si="4"/>
        <v>1560</v>
      </c>
      <c r="Q16" s="12"/>
    </row>
    <row r="17" spans="1:29" ht="25.05" customHeight="1">
      <c r="A17" s="2">
        <v>59753857021</v>
      </c>
      <c r="B17" s="13" t="s">
        <v>532</v>
      </c>
      <c r="C17" s="13" t="s">
        <v>402</v>
      </c>
      <c r="D17" s="12" t="s">
        <v>187</v>
      </c>
      <c r="E17" s="12" t="s">
        <v>351</v>
      </c>
      <c r="F17" s="19" t="s">
        <v>343</v>
      </c>
      <c r="G17" s="15">
        <f>산출집계!H19</f>
        <v>2</v>
      </c>
      <c r="H17" s="30">
        <f>합산자재!H17</f>
        <v>2569</v>
      </c>
      <c r="I17" s="51">
        <f t="shared" si="0"/>
        <v>5138</v>
      </c>
      <c r="J17" s="15">
        <f>산출집계!J19</f>
        <v>2</v>
      </c>
      <c r="K17" s="30">
        <f>합산자재!I17</f>
        <v>0</v>
      </c>
      <c r="L17" s="51">
        <f t="shared" si="1"/>
        <v>0</v>
      </c>
      <c r="M17" s="30">
        <f>합산자재!J17</f>
        <v>0</v>
      </c>
      <c r="N17" s="51">
        <f t="shared" si="2"/>
        <v>0</v>
      </c>
      <c r="O17" s="30">
        <f t="shared" si="3"/>
        <v>2569</v>
      </c>
      <c r="P17" s="30">
        <f t="shared" si="4"/>
        <v>5138</v>
      </c>
      <c r="Q17" s="12"/>
    </row>
    <row r="18" spans="1:29" ht="25.05" customHeight="1">
      <c r="A18" s="2">
        <v>59753857061</v>
      </c>
      <c r="B18" s="13" t="s">
        <v>532</v>
      </c>
      <c r="C18" s="13" t="s">
        <v>403</v>
      </c>
      <c r="D18" s="12" t="s">
        <v>187</v>
      </c>
      <c r="E18" s="12" t="s">
        <v>352</v>
      </c>
      <c r="F18" s="19" t="s">
        <v>343</v>
      </c>
      <c r="G18" s="15">
        <f>산출집계!H20</f>
        <v>1</v>
      </c>
      <c r="H18" s="30">
        <f>합산자재!H18</f>
        <v>3610</v>
      </c>
      <c r="I18" s="51">
        <f t="shared" si="0"/>
        <v>3610</v>
      </c>
      <c r="J18" s="15">
        <f>산출집계!J20</f>
        <v>1</v>
      </c>
      <c r="K18" s="30">
        <f>합산자재!I18</f>
        <v>0</v>
      </c>
      <c r="L18" s="51">
        <f t="shared" si="1"/>
        <v>0</v>
      </c>
      <c r="M18" s="30">
        <f>합산자재!J18</f>
        <v>0</v>
      </c>
      <c r="N18" s="51">
        <f t="shared" si="2"/>
        <v>0</v>
      </c>
      <c r="O18" s="30">
        <f t="shared" si="3"/>
        <v>3610</v>
      </c>
      <c r="P18" s="30">
        <f t="shared" si="4"/>
        <v>3610</v>
      </c>
      <c r="Q18" s="12"/>
    </row>
    <row r="19" spans="1:29" ht="25.05" customHeight="1">
      <c r="A19" s="2" t="s">
        <v>470</v>
      </c>
      <c r="B19" s="13" t="s">
        <v>532</v>
      </c>
      <c r="C19" s="13" t="s">
        <v>404</v>
      </c>
      <c r="D19" s="12" t="s">
        <v>353</v>
      </c>
      <c r="E19" s="12" t="s">
        <v>354</v>
      </c>
      <c r="F19" s="19" t="s">
        <v>333</v>
      </c>
      <c r="G19" s="15">
        <f>산출집계!H21</f>
        <v>748</v>
      </c>
      <c r="H19" s="30">
        <f>합산자재!H19</f>
        <v>297</v>
      </c>
      <c r="I19" s="51">
        <f t="shared" si="0"/>
        <v>222156</v>
      </c>
      <c r="J19" s="15">
        <f>산출집계!J21</f>
        <v>680</v>
      </c>
      <c r="K19" s="30">
        <f>합산자재!I19</f>
        <v>0</v>
      </c>
      <c r="L19" s="51">
        <f t="shared" si="1"/>
        <v>0</v>
      </c>
      <c r="M19" s="30">
        <f>합산자재!J19</f>
        <v>0</v>
      </c>
      <c r="N19" s="51">
        <f t="shared" si="2"/>
        <v>0</v>
      </c>
      <c r="O19" s="30">
        <f t="shared" si="3"/>
        <v>297</v>
      </c>
      <c r="P19" s="30">
        <f t="shared" si="4"/>
        <v>222156</v>
      </c>
      <c r="Q19" s="12"/>
      <c r="AC19" s="28">
        <f>G19*H19</f>
        <v>222156</v>
      </c>
    </row>
    <row r="20" spans="1:29" ht="25.05" customHeight="1">
      <c r="A20" s="2" t="s">
        <v>471</v>
      </c>
      <c r="B20" s="13" t="s">
        <v>532</v>
      </c>
      <c r="C20" s="13" t="s">
        <v>407</v>
      </c>
      <c r="D20" s="12" t="s">
        <v>353</v>
      </c>
      <c r="E20" s="12" t="s">
        <v>355</v>
      </c>
      <c r="F20" s="19" t="s">
        <v>333</v>
      </c>
      <c r="G20" s="15">
        <f>산출집계!H22</f>
        <v>3029</v>
      </c>
      <c r="H20" s="30">
        <f>합산자재!H20</f>
        <v>443</v>
      </c>
      <c r="I20" s="51">
        <f t="shared" si="0"/>
        <v>1341847</v>
      </c>
      <c r="J20" s="15">
        <f>산출집계!J22</f>
        <v>2753</v>
      </c>
      <c r="K20" s="30">
        <f>합산자재!I20</f>
        <v>0</v>
      </c>
      <c r="L20" s="51">
        <f t="shared" si="1"/>
        <v>0</v>
      </c>
      <c r="M20" s="30">
        <f>합산자재!J20</f>
        <v>0</v>
      </c>
      <c r="N20" s="51">
        <f t="shared" si="2"/>
        <v>0</v>
      </c>
      <c r="O20" s="30">
        <f t="shared" si="3"/>
        <v>443</v>
      </c>
      <c r="P20" s="30">
        <f t="shared" si="4"/>
        <v>1341847</v>
      </c>
      <c r="Q20" s="12"/>
      <c r="AC20" s="28">
        <f>G20*H20</f>
        <v>1341847</v>
      </c>
    </row>
    <row r="21" spans="1:29" ht="25.05" customHeight="1">
      <c r="A21" s="2" t="s">
        <v>472</v>
      </c>
      <c r="B21" s="13" t="s">
        <v>532</v>
      </c>
      <c r="C21" s="13" t="s">
        <v>408</v>
      </c>
      <c r="D21" s="12" t="s">
        <v>356</v>
      </c>
      <c r="E21" s="12" t="s">
        <v>357</v>
      </c>
      <c r="F21" s="19" t="s">
        <v>333</v>
      </c>
      <c r="G21" s="15">
        <f>산출집계!H23</f>
        <v>276</v>
      </c>
      <c r="H21" s="30">
        <f>합산자재!H21</f>
        <v>2326</v>
      </c>
      <c r="I21" s="51">
        <f t="shared" si="0"/>
        <v>641976</v>
      </c>
      <c r="J21" s="15">
        <f>산출집계!J23</f>
        <v>262</v>
      </c>
      <c r="K21" s="30">
        <f>합산자재!I21</f>
        <v>0</v>
      </c>
      <c r="L21" s="51">
        <f t="shared" si="1"/>
        <v>0</v>
      </c>
      <c r="M21" s="30">
        <f>합산자재!J21</f>
        <v>0</v>
      </c>
      <c r="N21" s="51">
        <f t="shared" si="2"/>
        <v>0</v>
      </c>
      <c r="O21" s="30">
        <f t="shared" si="3"/>
        <v>2326</v>
      </c>
      <c r="P21" s="30">
        <f t="shared" si="4"/>
        <v>641976</v>
      </c>
      <c r="Q21" s="12"/>
      <c r="AC21" s="28">
        <f>G21*H21</f>
        <v>641976</v>
      </c>
    </row>
    <row r="22" spans="1:29" ht="25.05" customHeight="1">
      <c r="A22" s="2" t="s">
        <v>473</v>
      </c>
      <c r="B22" s="13" t="s">
        <v>532</v>
      </c>
      <c r="C22" s="13" t="s">
        <v>411</v>
      </c>
      <c r="D22" s="12" t="s">
        <v>356</v>
      </c>
      <c r="E22" s="12" t="s">
        <v>358</v>
      </c>
      <c r="F22" s="19" t="s">
        <v>333</v>
      </c>
      <c r="G22" s="15">
        <f>산출집계!H24</f>
        <v>138</v>
      </c>
      <c r="H22" s="30">
        <f>합산자재!H22</f>
        <v>3454</v>
      </c>
      <c r="I22" s="51">
        <f t="shared" si="0"/>
        <v>476652</v>
      </c>
      <c r="J22" s="15">
        <f>산출집계!J24</f>
        <v>131</v>
      </c>
      <c r="K22" s="30">
        <f>합산자재!I22</f>
        <v>0</v>
      </c>
      <c r="L22" s="51">
        <f t="shared" si="1"/>
        <v>0</v>
      </c>
      <c r="M22" s="30">
        <f>합산자재!J22</f>
        <v>0</v>
      </c>
      <c r="N22" s="51">
        <f t="shared" si="2"/>
        <v>0</v>
      </c>
      <c r="O22" s="30">
        <f t="shared" si="3"/>
        <v>3454</v>
      </c>
      <c r="P22" s="30">
        <f t="shared" si="4"/>
        <v>476652</v>
      </c>
      <c r="Q22" s="12"/>
      <c r="AC22" s="28">
        <f>G22*H22</f>
        <v>476652</v>
      </c>
    </row>
    <row r="23" spans="1:29" ht="25.05" customHeight="1">
      <c r="A23" s="2" t="s">
        <v>474</v>
      </c>
      <c r="B23" s="13" t="s">
        <v>532</v>
      </c>
      <c r="C23" s="13" t="s">
        <v>412</v>
      </c>
      <c r="D23" s="12" t="s">
        <v>356</v>
      </c>
      <c r="E23" s="12" t="s">
        <v>359</v>
      </c>
      <c r="F23" s="19" t="s">
        <v>333</v>
      </c>
      <c r="G23" s="15">
        <f>산출집계!H25</f>
        <v>551</v>
      </c>
      <c r="H23" s="30">
        <f>합산자재!H23</f>
        <v>4480</v>
      </c>
      <c r="I23" s="51">
        <f t="shared" si="0"/>
        <v>2468480</v>
      </c>
      <c r="J23" s="15">
        <f>산출집계!J25</f>
        <v>524</v>
      </c>
      <c r="K23" s="30">
        <f>합산자재!I23</f>
        <v>0</v>
      </c>
      <c r="L23" s="51">
        <f t="shared" si="1"/>
        <v>0</v>
      </c>
      <c r="M23" s="30">
        <f>합산자재!J23</f>
        <v>0</v>
      </c>
      <c r="N23" s="51">
        <f t="shared" si="2"/>
        <v>0</v>
      </c>
      <c r="O23" s="30">
        <f t="shared" si="3"/>
        <v>4480</v>
      </c>
      <c r="P23" s="30">
        <f t="shared" si="4"/>
        <v>2468480</v>
      </c>
      <c r="Q23" s="12"/>
      <c r="AC23" s="28">
        <f>G23*H23</f>
        <v>2468480</v>
      </c>
    </row>
    <row r="24" spans="1:29" ht="25.05" customHeight="1">
      <c r="A24" s="2">
        <v>63500197001</v>
      </c>
      <c r="B24" s="13" t="s">
        <v>532</v>
      </c>
      <c r="C24" s="13" t="s">
        <v>413</v>
      </c>
      <c r="D24" s="12" t="s">
        <v>360</v>
      </c>
      <c r="E24" s="12" t="s">
        <v>361</v>
      </c>
      <c r="F24" s="19" t="s">
        <v>343</v>
      </c>
      <c r="G24" s="15">
        <f>산출집계!H26</f>
        <v>4</v>
      </c>
      <c r="H24" s="30">
        <f>합산자재!H24</f>
        <v>3604</v>
      </c>
      <c r="I24" s="51">
        <f t="shared" si="0"/>
        <v>14416</v>
      </c>
      <c r="J24" s="15">
        <f>산출집계!J26</f>
        <v>4</v>
      </c>
      <c r="K24" s="30">
        <f>합산자재!I24</f>
        <v>0</v>
      </c>
      <c r="L24" s="51">
        <f t="shared" si="1"/>
        <v>0</v>
      </c>
      <c r="M24" s="30">
        <f>합산자재!J24</f>
        <v>0</v>
      </c>
      <c r="N24" s="51">
        <f t="shared" si="2"/>
        <v>0</v>
      </c>
      <c r="O24" s="30">
        <f t="shared" si="3"/>
        <v>3604</v>
      </c>
      <c r="P24" s="30">
        <f t="shared" si="4"/>
        <v>14416</v>
      </c>
      <c r="Q24" s="12"/>
    </row>
    <row r="25" spans="1:29" ht="25.05" customHeight="1">
      <c r="A25" s="2" t="s">
        <v>476</v>
      </c>
      <c r="B25" s="13" t="s">
        <v>532</v>
      </c>
      <c r="C25" s="13" t="s">
        <v>416</v>
      </c>
      <c r="D25" s="12" t="s">
        <v>360</v>
      </c>
      <c r="E25" s="12" t="s">
        <v>589</v>
      </c>
      <c r="F25" s="19" t="s">
        <v>600</v>
      </c>
      <c r="G25" s="15">
        <f>산출집계!H27</f>
        <v>3</v>
      </c>
      <c r="H25" s="30">
        <f>합산자재!H25</f>
        <v>1257340</v>
      </c>
      <c r="I25" s="51">
        <f t="shared" si="0"/>
        <v>3772020</v>
      </c>
      <c r="J25" s="15">
        <f>산출집계!J27</f>
        <v>3</v>
      </c>
      <c r="K25" s="30">
        <f>합산자재!I25</f>
        <v>0</v>
      </c>
      <c r="L25" s="51">
        <f t="shared" si="1"/>
        <v>0</v>
      </c>
      <c r="M25" s="30">
        <f>합산자재!J25</f>
        <v>0</v>
      </c>
      <c r="N25" s="51">
        <f t="shared" si="2"/>
        <v>0</v>
      </c>
      <c r="O25" s="30">
        <f t="shared" si="3"/>
        <v>1257340</v>
      </c>
      <c r="P25" s="30">
        <f t="shared" si="4"/>
        <v>3772020</v>
      </c>
      <c r="Q25" s="12"/>
    </row>
    <row r="26" spans="1:29" ht="25.05" customHeight="1">
      <c r="A26" s="2">
        <v>63500207021</v>
      </c>
      <c r="B26" s="13" t="s">
        <v>532</v>
      </c>
      <c r="C26" s="13" t="s">
        <v>428</v>
      </c>
      <c r="D26" s="12" t="s">
        <v>363</v>
      </c>
      <c r="E26" s="12" t="s">
        <v>262</v>
      </c>
      <c r="F26" s="19" t="s">
        <v>343</v>
      </c>
      <c r="G26" s="15">
        <f>산출집계!H28</f>
        <v>6</v>
      </c>
      <c r="H26" s="30">
        <f>합산자재!H32</f>
        <v>4490</v>
      </c>
      <c r="I26" s="51">
        <f t="shared" si="0"/>
        <v>26940</v>
      </c>
      <c r="J26" s="15">
        <f>산출집계!J28</f>
        <v>6</v>
      </c>
      <c r="K26" s="30">
        <f>합산자재!I32</f>
        <v>0</v>
      </c>
      <c r="L26" s="51">
        <f t="shared" si="1"/>
        <v>0</v>
      </c>
      <c r="M26" s="30">
        <f>합산자재!J32</f>
        <v>0</v>
      </c>
      <c r="N26" s="51">
        <f t="shared" si="2"/>
        <v>0</v>
      </c>
      <c r="O26" s="30">
        <f t="shared" si="3"/>
        <v>4490</v>
      </c>
      <c r="P26" s="30">
        <f t="shared" si="4"/>
        <v>26940</v>
      </c>
      <c r="Q26" s="12"/>
    </row>
    <row r="27" spans="1:29" ht="25.05" customHeight="1">
      <c r="A27" s="2" t="s">
        <v>484</v>
      </c>
      <c r="B27" s="13" t="s">
        <v>532</v>
      </c>
      <c r="C27" s="13" t="s">
        <v>430</v>
      </c>
      <c r="D27" s="12" t="s">
        <v>249</v>
      </c>
      <c r="E27" s="12"/>
      <c r="F27" s="19" t="s">
        <v>343</v>
      </c>
      <c r="G27" s="15">
        <f>산출집계!H29</f>
        <v>6</v>
      </c>
      <c r="H27" s="30">
        <f>합산자재!H33</f>
        <v>4490</v>
      </c>
      <c r="I27" s="51">
        <f t="shared" si="0"/>
        <v>26940</v>
      </c>
      <c r="J27" s="15">
        <f>산출집계!J29</f>
        <v>6</v>
      </c>
      <c r="K27" s="30">
        <f>합산자재!I33</f>
        <v>0</v>
      </c>
      <c r="L27" s="51">
        <f t="shared" si="1"/>
        <v>0</v>
      </c>
      <c r="M27" s="30">
        <f>합산자재!J33</f>
        <v>0</v>
      </c>
      <c r="N27" s="51">
        <f t="shared" si="2"/>
        <v>0</v>
      </c>
      <c r="O27" s="30">
        <f t="shared" si="3"/>
        <v>4490</v>
      </c>
      <c r="P27" s="30">
        <f t="shared" si="4"/>
        <v>26940</v>
      </c>
      <c r="Q27" s="12"/>
    </row>
    <row r="28" spans="1:29" ht="25.05" customHeight="1">
      <c r="A28" s="2">
        <v>63500407025</v>
      </c>
      <c r="B28" s="13" t="s">
        <v>532</v>
      </c>
      <c r="C28" s="13" t="s">
        <v>435</v>
      </c>
      <c r="D28" s="12" t="s">
        <v>364</v>
      </c>
      <c r="E28" s="12" t="s">
        <v>365</v>
      </c>
      <c r="F28" s="19" t="s">
        <v>366</v>
      </c>
      <c r="G28" s="15">
        <f>산출집계!H30</f>
        <v>1</v>
      </c>
      <c r="H28" s="30">
        <f>합산자재!H35</f>
        <v>475993</v>
      </c>
      <c r="I28" s="51">
        <f t="shared" si="0"/>
        <v>475993</v>
      </c>
      <c r="J28" s="15">
        <f>산출집계!J30</f>
        <v>1</v>
      </c>
      <c r="K28" s="30">
        <f>합산자재!I35</f>
        <v>0</v>
      </c>
      <c r="L28" s="51">
        <f t="shared" si="1"/>
        <v>0</v>
      </c>
      <c r="M28" s="30">
        <f>합산자재!J35</f>
        <v>0</v>
      </c>
      <c r="N28" s="51">
        <f t="shared" si="2"/>
        <v>0</v>
      </c>
      <c r="O28" s="30">
        <f t="shared" si="3"/>
        <v>475993</v>
      </c>
      <c r="P28" s="30">
        <f t="shared" si="4"/>
        <v>475993</v>
      </c>
      <c r="Q28" s="12"/>
    </row>
    <row r="29" spans="1:29" ht="25.05" customHeight="1">
      <c r="A29" s="2">
        <v>63500207022</v>
      </c>
      <c r="B29" s="13" t="s">
        <v>532</v>
      </c>
      <c r="C29" s="13" t="s">
        <v>436</v>
      </c>
      <c r="D29" s="12" t="s">
        <v>367</v>
      </c>
      <c r="E29" s="12" t="s">
        <v>262</v>
      </c>
      <c r="F29" s="19" t="s">
        <v>343</v>
      </c>
      <c r="G29" s="15">
        <f>산출집계!H31</f>
        <v>2</v>
      </c>
      <c r="H29" s="30">
        <f>합산자재!H36</f>
        <v>22452</v>
      </c>
      <c r="I29" s="51">
        <f t="shared" si="0"/>
        <v>44904</v>
      </c>
      <c r="J29" s="15">
        <f>산출집계!J31</f>
        <v>2</v>
      </c>
      <c r="K29" s="30">
        <f>합산자재!I36</f>
        <v>0</v>
      </c>
      <c r="L29" s="51">
        <f t="shared" si="1"/>
        <v>0</v>
      </c>
      <c r="M29" s="30">
        <f>합산자재!J36</f>
        <v>0</v>
      </c>
      <c r="N29" s="51">
        <f t="shared" si="2"/>
        <v>0</v>
      </c>
      <c r="O29" s="30">
        <f t="shared" si="3"/>
        <v>22452</v>
      </c>
      <c r="P29" s="30">
        <f t="shared" si="4"/>
        <v>44904</v>
      </c>
      <c r="Q29" s="12"/>
    </row>
    <row r="30" spans="1:29" ht="25.05" customHeight="1">
      <c r="A30" s="2">
        <v>39321650768</v>
      </c>
      <c r="B30" s="13" t="s">
        <v>532</v>
      </c>
      <c r="C30" s="13" t="s">
        <v>437</v>
      </c>
      <c r="D30" s="12" t="s">
        <v>598</v>
      </c>
      <c r="E30" s="12" t="s">
        <v>597</v>
      </c>
      <c r="F30" s="19" t="s">
        <v>343</v>
      </c>
      <c r="G30" s="15">
        <f>산출집계!H32</f>
        <v>2</v>
      </c>
      <c r="H30" s="30">
        <f>합산자재!H37</f>
        <v>52089</v>
      </c>
      <c r="I30" s="51">
        <f t="shared" si="0"/>
        <v>104178</v>
      </c>
      <c r="J30" s="15">
        <f>산출집계!J32</f>
        <v>2</v>
      </c>
      <c r="K30" s="30">
        <f>합산자재!I37</f>
        <v>0</v>
      </c>
      <c r="L30" s="51">
        <f t="shared" si="1"/>
        <v>0</v>
      </c>
      <c r="M30" s="30">
        <f>합산자재!J37</f>
        <v>0</v>
      </c>
      <c r="N30" s="51">
        <f t="shared" si="2"/>
        <v>0</v>
      </c>
      <c r="O30" s="30">
        <f t="shared" si="3"/>
        <v>52089</v>
      </c>
      <c r="P30" s="30">
        <f t="shared" si="4"/>
        <v>104178</v>
      </c>
      <c r="Q30" s="12"/>
    </row>
    <row r="31" spans="1:29" ht="25.05" customHeight="1">
      <c r="A31" s="2" t="s">
        <v>489</v>
      </c>
      <c r="B31" s="13" t="s">
        <v>532</v>
      </c>
      <c r="C31" s="13" t="s">
        <v>438</v>
      </c>
      <c r="D31" s="53" t="s">
        <v>596</v>
      </c>
      <c r="E31" s="53"/>
      <c r="F31" s="19" t="s">
        <v>343</v>
      </c>
      <c r="G31" s="15">
        <f>산출집계!H33</f>
        <v>1</v>
      </c>
      <c r="H31" s="30">
        <f>합산자재!H38</f>
        <v>26943</v>
      </c>
      <c r="I31" s="51">
        <f t="shared" si="0"/>
        <v>26943</v>
      </c>
      <c r="J31" s="15">
        <f>산출집계!J33</f>
        <v>1</v>
      </c>
      <c r="K31" s="30">
        <f>합산자재!I38</f>
        <v>0</v>
      </c>
      <c r="L31" s="51">
        <f t="shared" si="1"/>
        <v>0</v>
      </c>
      <c r="M31" s="30">
        <f>합산자재!J38</f>
        <v>0</v>
      </c>
      <c r="N31" s="51">
        <f t="shared" si="2"/>
        <v>0</v>
      </c>
      <c r="O31" s="30">
        <f t="shared" si="3"/>
        <v>26943</v>
      </c>
      <c r="P31" s="30">
        <f t="shared" si="4"/>
        <v>26943</v>
      </c>
      <c r="Q31" s="12"/>
    </row>
    <row r="32" spans="1:29" ht="25.05" customHeight="1">
      <c r="A32" s="2">
        <v>56950260010</v>
      </c>
      <c r="B32" s="13" t="s">
        <v>532</v>
      </c>
      <c r="C32" s="13" t="s">
        <v>513</v>
      </c>
      <c r="D32" s="12" t="s">
        <v>370</v>
      </c>
      <c r="E32" s="12" t="s">
        <v>371</v>
      </c>
      <c r="F32" s="19" t="s">
        <v>177</v>
      </c>
      <c r="G32" s="15">
        <f>산출집계!H34</f>
        <v>6</v>
      </c>
      <c r="H32" s="30">
        <f>일대목차!I7</f>
        <v>18925</v>
      </c>
      <c r="I32" s="51">
        <f t="shared" si="0"/>
        <v>113550</v>
      </c>
      <c r="J32" s="15">
        <f>산출집계!J34</f>
        <v>6</v>
      </c>
      <c r="K32" s="30">
        <f>일대목차!L7</f>
        <v>157586</v>
      </c>
      <c r="L32" s="51">
        <f t="shared" si="1"/>
        <v>945516</v>
      </c>
      <c r="M32" s="30">
        <f>일대목차!N7</f>
        <v>0</v>
      </c>
      <c r="N32" s="51">
        <f t="shared" si="2"/>
        <v>0</v>
      </c>
      <c r="O32" s="30">
        <f t="shared" si="3"/>
        <v>176511</v>
      </c>
      <c r="P32" s="30">
        <f t="shared" si="4"/>
        <v>1059066</v>
      </c>
      <c r="Q32" s="12" t="s">
        <v>635</v>
      </c>
    </row>
    <row r="33" spans="1:31" ht="25.05" customHeight="1">
      <c r="A33" s="2">
        <v>56930220101</v>
      </c>
      <c r="B33" s="13" t="s">
        <v>532</v>
      </c>
      <c r="C33" s="13" t="s">
        <v>511</v>
      </c>
      <c r="D33" s="12" t="s">
        <v>372</v>
      </c>
      <c r="E33" s="12" t="s">
        <v>373</v>
      </c>
      <c r="F33" s="19" t="s">
        <v>374</v>
      </c>
      <c r="G33" s="15">
        <f>산출집계!H35</f>
        <v>6</v>
      </c>
      <c r="H33" s="30">
        <f>일대목차!I4</f>
        <v>0</v>
      </c>
      <c r="I33" s="51">
        <f t="shared" si="0"/>
        <v>0</v>
      </c>
      <c r="J33" s="15">
        <f>산출집계!J35</f>
        <v>6</v>
      </c>
      <c r="K33" s="30">
        <f>일대목차!L4</f>
        <v>16012</v>
      </c>
      <c r="L33" s="51">
        <f t="shared" si="1"/>
        <v>96072</v>
      </c>
      <c r="M33" s="30">
        <f>일대목차!N4</f>
        <v>0</v>
      </c>
      <c r="N33" s="51">
        <f t="shared" si="2"/>
        <v>0</v>
      </c>
      <c r="O33" s="30">
        <f t="shared" si="3"/>
        <v>16012</v>
      </c>
      <c r="P33" s="30">
        <f t="shared" si="4"/>
        <v>96072</v>
      </c>
      <c r="Q33" s="12" t="s">
        <v>512</v>
      </c>
    </row>
    <row r="34" spans="1:31" ht="25.05" customHeight="1">
      <c r="A34" s="2" t="s">
        <v>548</v>
      </c>
      <c r="B34" s="13" t="s">
        <v>532</v>
      </c>
      <c r="C34" s="13" t="s">
        <v>549</v>
      </c>
      <c r="D34" s="12" t="s">
        <v>637</v>
      </c>
      <c r="E34" s="12" t="s">
        <v>636</v>
      </c>
      <c r="F34" s="19" t="s">
        <v>601</v>
      </c>
      <c r="G34" s="15">
        <f>산출집계!H36</f>
        <v>6</v>
      </c>
      <c r="H34" s="30">
        <f>일대목차!H6</f>
        <v>356</v>
      </c>
      <c r="I34" s="51">
        <f t="shared" si="0"/>
        <v>2136</v>
      </c>
      <c r="J34" s="15">
        <f>산출집계!J36</f>
        <v>6</v>
      </c>
      <c r="K34" s="30">
        <f>일대목차!K6</f>
        <v>4478</v>
      </c>
      <c r="L34" s="51">
        <f t="shared" si="1"/>
        <v>26868</v>
      </c>
      <c r="M34" s="30">
        <f>일대목차!M6</f>
        <v>418</v>
      </c>
      <c r="N34" s="51">
        <f t="shared" si="2"/>
        <v>2508</v>
      </c>
      <c r="O34" s="30">
        <f t="shared" si="3"/>
        <v>5252</v>
      </c>
      <c r="P34" s="30">
        <f t="shared" si="4"/>
        <v>31512</v>
      </c>
      <c r="Q34" s="12" t="s">
        <v>634</v>
      </c>
    </row>
    <row r="35" spans="1:31" ht="25.05" customHeight="1">
      <c r="A35" s="2" t="s">
        <v>550</v>
      </c>
      <c r="B35" s="13" t="s">
        <v>532</v>
      </c>
      <c r="C35" s="13" t="s">
        <v>551</v>
      </c>
      <c r="D35" s="12" t="s">
        <v>552</v>
      </c>
      <c r="E35" s="12" t="s">
        <v>553</v>
      </c>
      <c r="F35" s="19" t="s">
        <v>177</v>
      </c>
      <c r="G35" s="15">
        <v>1</v>
      </c>
      <c r="H35" s="30">
        <f>TRUNC(AA35*옵션!$B$32/100)</f>
        <v>96952</v>
      </c>
      <c r="I35" s="51">
        <f t="shared" si="0"/>
        <v>96952</v>
      </c>
      <c r="J35" s="15">
        <v>1</v>
      </c>
      <c r="K35" s="30"/>
      <c r="L35" s="51">
        <f t="shared" si="1"/>
        <v>0</v>
      </c>
      <c r="M35" s="30"/>
      <c r="N35" s="51">
        <f t="shared" si="2"/>
        <v>0</v>
      </c>
      <c r="O35" s="30">
        <f t="shared" si="3"/>
        <v>96952</v>
      </c>
      <c r="P35" s="30">
        <f t="shared" si="4"/>
        <v>96952</v>
      </c>
      <c r="Q35" s="12"/>
      <c r="AA35" s="28">
        <f>TRUNC(SUM(AA4:AA34))</f>
        <v>242381</v>
      </c>
    </row>
    <row r="36" spans="1:31" ht="25.05" customHeight="1">
      <c r="A36" s="2" t="s">
        <v>554</v>
      </c>
      <c r="B36" s="13" t="s">
        <v>532</v>
      </c>
      <c r="C36" s="13" t="s">
        <v>555</v>
      </c>
      <c r="D36" s="12" t="s">
        <v>552</v>
      </c>
      <c r="E36" s="12" t="s">
        <v>556</v>
      </c>
      <c r="F36" s="19" t="s">
        <v>177</v>
      </c>
      <c r="G36" s="15">
        <v>1</v>
      </c>
      <c r="H36" s="30">
        <f>TRUNC(AB36*옵션!$B$31/100)</f>
        <v>21971</v>
      </c>
      <c r="I36" s="51">
        <f t="shared" si="0"/>
        <v>21971</v>
      </c>
      <c r="J36" s="15">
        <v>1</v>
      </c>
      <c r="K36" s="30"/>
      <c r="L36" s="51">
        <f t="shared" si="1"/>
        <v>0</v>
      </c>
      <c r="M36" s="30"/>
      <c r="N36" s="51">
        <f t="shared" si="2"/>
        <v>0</v>
      </c>
      <c r="O36" s="30">
        <f t="shared" si="3"/>
        <v>21971</v>
      </c>
      <c r="P36" s="30">
        <f t="shared" si="4"/>
        <v>21971</v>
      </c>
      <c r="Q36" s="12"/>
      <c r="AB36" s="28">
        <f>TRUNC(SUM(AB4:AB35))</f>
        <v>146475</v>
      </c>
    </row>
    <row r="37" spans="1:31" ht="25.05" customHeight="1">
      <c r="A37" s="2" t="s">
        <v>518</v>
      </c>
      <c r="B37" s="13" t="s">
        <v>532</v>
      </c>
      <c r="C37" s="13" t="s">
        <v>519</v>
      </c>
      <c r="D37" s="12" t="s">
        <v>520</v>
      </c>
      <c r="E37" s="12" t="s">
        <v>521</v>
      </c>
      <c r="F37" s="19" t="s">
        <v>177</v>
      </c>
      <c r="G37" s="15">
        <v>1</v>
      </c>
      <c r="H37" s="30">
        <f>IF(TRUNC((AD37+AC37)/$AD$3)*$AD$3-AD37 &lt;0, AC37, TRUNC((AD37+AC37)/$AD$3)*$AD$3-AD37)</f>
        <v>109934</v>
      </c>
      <c r="I37" s="51">
        <f>H37</f>
        <v>109934</v>
      </c>
      <c r="J37" s="15">
        <v>1</v>
      </c>
      <c r="K37" s="30"/>
      <c r="L37" s="51">
        <f t="shared" si="1"/>
        <v>0</v>
      </c>
      <c r="M37" s="30"/>
      <c r="N37" s="51">
        <f t="shared" si="2"/>
        <v>0</v>
      </c>
      <c r="O37" s="30">
        <f t="shared" si="3"/>
        <v>109934</v>
      </c>
      <c r="P37" s="30">
        <f t="shared" si="4"/>
        <v>109934</v>
      </c>
      <c r="Q37" s="12"/>
      <c r="AC37" s="28">
        <f>TRUNC(TRUNC(SUM(AC4:AC36))*옵션!$B$33/100)</f>
        <v>110870</v>
      </c>
      <c r="AD37" s="28">
        <f>TRUNC(SUM(I4:I36))+TRUNC(SUM(N4:N36))</f>
        <v>10302066</v>
      </c>
    </row>
    <row r="38" spans="1:31" ht="25.05" customHeight="1">
      <c r="A38" s="2">
        <v>56900017016</v>
      </c>
      <c r="B38" s="13" t="s">
        <v>532</v>
      </c>
      <c r="C38" s="13" t="s">
        <v>443</v>
      </c>
      <c r="D38" s="12" t="s">
        <v>444</v>
      </c>
      <c r="E38" s="12" t="s">
        <v>445</v>
      </c>
      <c r="F38" s="19" t="s">
        <v>446</v>
      </c>
      <c r="G38" s="15">
        <f>노임근거!G32</f>
        <v>79</v>
      </c>
      <c r="H38" s="30">
        <f>합산자재!H40</f>
        <v>0</v>
      </c>
      <c r="I38" s="51">
        <f>TRUNC(G38*H38)</f>
        <v>0</v>
      </c>
      <c r="J38" s="15">
        <f>노임근거!G32</f>
        <v>79</v>
      </c>
      <c r="K38" s="30">
        <f>합산자재!I40</f>
        <v>241512</v>
      </c>
      <c r="L38" s="51">
        <f t="shared" si="1"/>
        <v>19079448</v>
      </c>
      <c r="M38" s="30">
        <f>합산자재!J40</f>
        <v>0</v>
      </c>
      <c r="N38" s="51">
        <f t="shared" si="2"/>
        <v>0</v>
      </c>
      <c r="O38" s="30">
        <f t="shared" si="3"/>
        <v>241512</v>
      </c>
      <c r="P38" s="30">
        <f t="shared" si="4"/>
        <v>19079448</v>
      </c>
      <c r="Q38" s="12"/>
      <c r="AE38" s="28">
        <f>L38</f>
        <v>19079448</v>
      </c>
    </row>
    <row r="39" spans="1:31" ht="25.05" customHeight="1">
      <c r="A39" s="2">
        <v>56900017076</v>
      </c>
      <c r="B39" s="13" t="s">
        <v>532</v>
      </c>
      <c r="C39" s="13" t="s">
        <v>447</v>
      </c>
      <c r="D39" s="12" t="s">
        <v>444</v>
      </c>
      <c r="E39" s="12" t="s">
        <v>448</v>
      </c>
      <c r="F39" s="19" t="s">
        <v>446</v>
      </c>
      <c r="G39" s="15">
        <f>노임근거!G33</f>
        <v>15</v>
      </c>
      <c r="H39" s="30">
        <f>합산자재!H41</f>
        <v>0</v>
      </c>
      <c r="I39" s="51">
        <f>TRUNC(G39*H39)</f>
        <v>0</v>
      </c>
      <c r="J39" s="15">
        <f>노임근거!G33</f>
        <v>15</v>
      </c>
      <c r="K39" s="30">
        <f>합산자재!I41</f>
        <v>269732</v>
      </c>
      <c r="L39" s="51">
        <f t="shared" si="1"/>
        <v>4045980</v>
      </c>
      <c r="M39" s="30">
        <f>합산자재!J41</f>
        <v>0</v>
      </c>
      <c r="N39" s="51">
        <f t="shared" si="2"/>
        <v>0</v>
      </c>
      <c r="O39" s="30">
        <f t="shared" si="3"/>
        <v>269732</v>
      </c>
      <c r="P39" s="30">
        <f t="shared" si="4"/>
        <v>4045980</v>
      </c>
      <c r="Q39" s="12"/>
      <c r="AE39" s="28">
        <f>L39</f>
        <v>4045980</v>
      </c>
    </row>
    <row r="40" spans="1:31" ht="25.05" customHeight="1">
      <c r="A40" s="2">
        <v>56900017031</v>
      </c>
      <c r="B40" s="13" t="s">
        <v>532</v>
      </c>
      <c r="C40" s="13" t="s">
        <v>449</v>
      </c>
      <c r="D40" s="12" t="s">
        <v>444</v>
      </c>
      <c r="E40" s="12" t="s">
        <v>450</v>
      </c>
      <c r="F40" s="19" t="s">
        <v>446</v>
      </c>
      <c r="G40" s="15">
        <f>노임근거!G34</f>
        <v>2</v>
      </c>
      <c r="H40" s="30">
        <f>합산자재!H42</f>
        <v>0</v>
      </c>
      <c r="I40" s="51">
        <f>TRUNC(G40*H40)</f>
        <v>0</v>
      </c>
      <c r="J40" s="15">
        <f>노임근거!G34</f>
        <v>2</v>
      </c>
      <c r="K40" s="30">
        <f>합산자재!I42</f>
        <v>366926</v>
      </c>
      <c r="L40" s="51">
        <f t="shared" si="1"/>
        <v>733852</v>
      </c>
      <c r="M40" s="30">
        <f>합산자재!J42</f>
        <v>0</v>
      </c>
      <c r="N40" s="51">
        <f t="shared" si="2"/>
        <v>0</v>
      </c>
      <c r="O40" s="30">
        <f t="shared" si="3"/>
        <v>366926</v>
      </c>
      <c r="P40" s="30">
        <f t="shared" si="4"/>
        <v>733852</v>
      </c>
      <c r="Q40" s="12"/>
      <c r="AE40" s="28">
        <f>L40</f>
        <v>733852</v>
      </c>
    </row>
    <row r="41" spans="1:31" ht="25.05" customHeight="1">
      <c r="A41" s="2">
        <v>56900017041</v>
      </c>
      <c r="B41" s="13" t="s">
        <v>532</v>
      </c>
      <c r="C41" s="13" t="s">
        <v>451</v>
      </c>
      <c r="D41" s="12" t="s">
        <v>444</v>
      </c>
      <c r="E41" s="12" t="s">
        <v>452</v>
      </c>
      <c r="F41" s="19" t="s">
        <v>446</v>
      </c>
      <c r="G41" s="15">
        <f>노임근거!G35</f>
        <v>5</v>
      </c>
      <c r="H41" s="30">
        <f>합산자재!H43</f>
        <v>0</v>
      </c>
      <c r="I41" s="51">
        <f>TRUNC(G41*H41)</f>
        <v>0</v>
      </c>
      <c r="J41" s="15">
        <f>노임근거!G35</f>
        <v>5</v>
      </c>
      <c r="K41" s="30">
        <f>합산자재!I43</f>
        <v>152500</v>
      </c>
      <c r="L41" s="51">
        <f t="shared" si="1"/>
        <v>762500</v>
      </c>
      <c r="M41" s="30">
        <f>합산자재!J43</f>
        <v>0</v>
      </c>
      <c r="N41" s="51">
        <f t="shared" si="2"/>
        <v>0</v>
      </c>
      <c r="O41" s="30">
        <f t="shared" si="3"/>
        <v>152500</v>
      </c>
      <c r="P41" s="30">
        <f t="shared" si="4"/>
        <v>762500</v>
      </c>
      <c r="Q41" s="12"/>
      <c r="AE41" s="28">
        <f>L41</f>
        <v>762500</v>
      </c>
    </row>
    <row r="42" spans="1:31" ht="25.05" customHeight="1">
      <c r="A42" s="2" t="s">
        <v>522</v>
      </c>
      <c r="B42" s="13" t="s">
        <v>532</v>
      </c>
      <c r="C42" s="13" t="s">
        <v>523</v>
      </c>
      <c r="D42" s="12" t="s">
        <v>524</v>
      </c>
      <c r="E42" s="12" t="s">
        <v>1420</v>
      </c>
      <c r="F42" s="19" t="s">
        <v>177</v>
      </c>
      <c r="G42" s="15">
        <v>1</v>
      </c>
      <c r="H42" s="30">
        <f>IF(TRUNC((AD43+AC43)/$AE$3)*$AE$3-AD43 &lt;0, AC43, TRUNC((AD43+AC43)/$AE$3)*$AE$3-AD43)</f>
        <v>245764</v>
      </c>
      <c r="I42" s="165">
        <f>H42</f>
        <v>245764</v>
      </c>
      <c r="J42" s="15">
        <v>1</v>
      </c>
      <c r="K42" s="30"/>
      <c r="L42" s="165">
        <f t="shared" si="1"/>
        <v>0</v>
      </c>
      <c r="M42" s="30"/>
      <c r="N42" s="165">
        <f t="shared" si="2"/>
        <v>0</v>
      </c>
      <c r="O42" s="30">
        <f t="shared" si="3"/>
        <v>245764</v>
      </c>
      <c r="P42" s="30">
        <f t="shared" si="4"/>
        <v>245764</v>
      </c>
      <c r="Q42" s="12"/>
    </row>
    <row r="43" spans="1:31" ht="25.05" customHeight="1">
      <c r="D43" s="12"/>
      <c r="E43" s="12"/>
      <c r="F43" s="19"/>
      <c r="G43" s="15"/>
      <c r="H43" s="30"/>
      <c r="I43" s="51"/>
      <c r="J43" s="15"/>
      <c r="K43" s="30"/>
      <c r="L43" s="51"/>
      <c r="M43" s="30"/>
      <c r="N43" s="51"/>
      <c r="O43" s="30"/>
      <c r="P43" s="30"/>
      <c r="Q43" s="12"/>
      <c r="AC43" s="28">
        <f>TRUNC(AE43*옵션!$B$36/100)</f>
        <v>246217</v>
      </c>
      <c r="AD43" s="28">
        <f>TRUNC(SUM(L4:L41))</f>
        <v>25690236</v>
      </c>
      <c r="AE43" s="28">
        <f>TRUNC(SUM(AE4:AE42))</f>
        <v>24621780</v>
      </c>
    </row>
    <row r="44" spans="1:31" ht="25.05" customHeight="1">
      <c r="D44" s="12"/>
      <c r="E44" s="12"/>
      <c r="F44" s="19"/>
      <c r="G44" s="15"/>
      <c r="H44" s="30"/>
      <c r="I44" s="51"/>
      <c r="J44" s="15"/>
      <c r="K44" s="30"/>
      <c r="L44" s="51"/>
      <c r="M44" s="30"/>
      <c r="N44" s="51"/>
      <c r="O44" s="30"/>
      <c r="P44" s="30"/>
      <c r="Q44" s="12"/>
    </row>
    <row r="45" spans="1:31" ht="25.05" customHeight="1">
      <c r="D45" s="12"/>
      <c r="E45" s="12"/>
      <c r="F45" s="19"/>
      <c r="G45" s="15"/>
      <c r="H45" s="30"/>
      <c r="I45" s="51"/>
      <c r="J45" s="15"/>
      <c r="K45" s="30"/>
      <c r="L45" s="51"/>
      <c r="M45" s="30"/>
      <c r="N45" s="51"/>
      <c r="O45" s="30"/>
      <c r="P45" s="30"/>
      <c r="Q45" s="12"/>
    </row>
    <row r="46" spans="1:31" ht="25.05" customHeight="1">
      <c r="D46" s="12"/>
      <c r="E46" s="12"/>
      <c r="F46" s="19"/>
      <c r="G46" s="15"/>
      <c r="H46" s="30"/>
      <c r="I46" s="51"/>
      <c r="J46" s="15"/>
      <c r="K46" s="30"/>
      <c r="L46" s="51"/>
      <c r="M46" s="30"/>
      <c r="N46" s="51"/>
      <c r="O46" s="30"/>
      <c r="P46" s="30"/>
      <c r="Q46" s="12"/>
    </row>
    <row r="47" spans="1:31" ht="25.05" customHeight="1">
      <c r="D47" s="12"/>
      <c r="E47" s="12"/>
      <c r="F47" s="19"/>
      <c r="G47" s="15"/>
      <c r="H47" s="30"/>
      <c r="I47" s="51"/>
      <c r="J47" s="15"/>
      <c r="K47" s="30"/>
      <c r="L47" s="51"/>
      <c r="M47" s="30"/>
      <c r="N47" s="51"/>
      <c r="O47" s="30"/>
      <c r="P47" s="30"/>
      <c r="Q47" s="12"/>
    </row>
    <row r="48" spans="1:31" ht="25.05" customHeight="1">
      <c r="D48" s="12"/>
      <c r="E48" s="12"/>
      <c r="F48" s="19"/>
      <c r="G48" s="15"/>
      <c r="H48" s="30"/>
      <c r="I48" s="51"/>
      <c r="J48" s="15"/>
      <c r="K48" s="30"/>
      <c r="L48" s="51"/>
      <c r="M48" s="30"/>
      <c r="N48" s="51"/>
      <c r="O48" s="30"/>
      <c r="P48" s="30"/>
      <c r="Q48" s="12"/>
    </row>
    <row r="49" spans="1:31" ht="25.05" customHeight="1">
      <c r="D49" s="12"/>
      <c r="E49" s="12"/>
      <c r="F49" s="19"/>
      <c r="G49" s="15"/>
      <c r="H49" s="30"/>
      <c r="I49" s="51"/>
      <c r="J49" s="15"/>
      <c r="K49" s="30"/>
      <c r="L49" s="51"/>
      <c r="M49" s="30"/>
      <c r="N49" s="51"/>
      <c r="O49" s="30"/>
      <c r="P49" s="30"/>
      <c r="Q49" s="12"/>
    </row>
    <row r="50" spans="1:31" ht="25.05" customHeight="1">
      <c r="D50" s="12"/>
      <c r="E50" s="12"/>
      <c r="F50" s="19"/>
      <c r="G50" s="15"/>
      <c r="H50" s="30"/>
      <c r="I50" s="51"/>
      <c r="J50" s="15"/>
      <c r="K50" s="30"/>
      <c r="L50" s="51"/>
      <c r="M50" s="30"/>
      <c r="N50" s="51"/>
      <c r="O50" s="30"/>
      <c r="P50" s="30"/>
      <c r="Q50" s="12"/>
    </row>
    <row r="51" spans="1:31" ht="25.05" customHeight="1">
      <c r="D51" s="12"/>
      <c r="E51" s="12"/>
      <c r="F51" s="19"/>
      <c r="G51" s="15"/>
      <c r="H51" s="30"/>
      <c r="I51" s="51"/>
      <c r="J51" s="15"/>
      <c r="K51" s="30"/>
      <c r="L51" s="51"/>
      <c r="M51" s="30"/>
      <c r="N51" s="51"/>
      <c r="O51" s="30"/>
      <c r="P51" s="30"/>
      <c r="Q51" s="12"/>
    </row>
    <row r="52" spans="1:31" ht="25.05" customHeight="1">
      <c r="D52" s="12"/>
      <c r="E52" s="12"/>
      <c r="F52" s="19"/>
      <c r="G52" s="15"/>
      <c r="H52" s="30"/>
      <c r="I52" s="51"/>
      <c r="J52" s="15"/>
      <c r="K52" s="30"/>
      <c r="L52" s="51"/>
      <c r="M52" s="30"/>
      <c r="N52" s="51"/>
      <c r="O52" s="30"/>
      <c r="P52" s="30"/>
      <c r="Q52" s="12"/>
    </row>
    <row r="53" spans="1:31" ht="25.05" customHeight="1">
      <c r="B53" s="13" t="s">
        <v>516</v>
      </c>
      <c r="D53" s="12" t="s">
        <v>517</v>
      </c>
      <c r="E53" s="12"/>
      <c r="F53" s="19"/>
      <c r="G53" s="15"/>
      <c r="H53" s="30"/>
      <c r="I53" s="51">
        <f>TRUNC(SUM(I4:I52))</f>
        <v>10655256</v>
      </c>
      <c r="J53" s="15"/>
      <c r="K53" s="30"/>
      <c r="L53" s="51">
        <f>TRUNC(SUM(L4:L52))</f>
        <v>25690236</v>
      </c>
      <c r="M53" s="30"/>
      <c r="N53" s="51">
        <f>TRUNC(SUM(N4:N52))</f>
        <v>2508</v>
      </c>
      <c r="O53" s="30" t="str">
        <f>IF((H53+K53+M53)=0, "", (H53+K53+M53))</f>
        <v/>
      </c>
      <c r="P53" s="30">
        <f>TRUNC(SUM(P4:P52))</f>
        <v>36348000</v>
      </c>
      <c r="Q53" s="12"/>
    </row>
    <row r="54" spans="1:31" ht="25.05" customHeight="1">
      <c r="B54" s="13" t="s">
        <v>508</v>
      </c>
      <c r="D54" s="203" t="s">
        <v>643</v>
      </c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5"/>
    </row>
    <row r="55" spans="1:31" ht="25.05" customHeight="1">
      <c r="A55" s="2">
        <v>59753097002</v>
      </c>
      <c r="B55" s="13" t="s">
        <v>545</v>
      </c>
      <c r="C55" s="13" t="s">
        <v>384</v>
      </c>
      <c r="D55" s="12" t="s">
        <v>331</v>
      </c>
      <c r="E55" s="12" t="s">
        <v>332</v>
      </c>
      <c r="F55" s="19" t="s">
        <v>333</v>
      </c>
      <c r="G55" s="15">
        <f>산출집계!H44</f>
        <v>297</v>
      </c>
      <c r="H55" s="30">
        <f>합산자재!H4</f>
        <v>150</v>
      </c>
      <c r="I55" s="51">
        <f t="shared" ref="I55:I62" si="6">TRUNC(G55*H55)</f>
        <v>44550</v>
      </c>
      <c r="J55" s="15">
        <f>산출집계!J44</f>
        <v>270</v>
      </c>
      <c r="K55" s="30">
        <f>합산자재!I4</f>
        <v>0</v>
      </c>
      <c r="L55" s="51">
        <f t="shared" ref="L55:L65" si="7">TRUNC(G55*K55)</f>
        <v>0</v>
      </c>
      <c r="M55" s="30">
        <f>합산자재!J4</f>
        <v>0</v>
      </c>
      <c r="N55" s="51">
        <f t="shared" ref="N55:N65" si="8">TRUNC(G55*M55)</f>
        <v>0</v>
      </c>
      <c r="O55" s="30">
        <f t="shared" ref="O55:O65" si="9">IF((H55+K55+M55)=0, "", (H55+K55+M55))</f>
        <v>150</v>
      </c>
      <c r="P55" s="30">
        <f t="shared" ref="P55:P65" si="10">SUM(I55,L55,N55)</f>
        <v>44550</v>
      </c>
      <c r="Q55" s="12"/>
      <c r="AA55" s="28">
        <f>I55</f>
        <v>44550</v>
      </c>
      <c r="AC55" s="28">
        <f>G55*H55</f>
        <v>44550</v>
      </c>
    </row>
    <row r="56" spans="1:31" ht="25.05" customHeight="1">
      <c r="A56" s="2">
        <v>59753767041</v>
      </c>
      <c r="B56" s="13" t="s">
        <v>545</v>
      </c>
      <c r="C56" s="13" t="s">
        <v>398</v>
      </c>
      <c r="D56" s="12" t="s">
        <v>344</v>
      </c>
      <c r="E56" s="12" t="s">
        <v>346</v>
      </c>
      <c r="F56" s="19" t="s">
        <v>343</v>
      </c>
      <c r="G56" s="15">
        <f>산출집계!H45</f>
        <v>13</v>
      </c>
      <c r="H56" s="30">
        <f>합산자재!H13</f>
        <v>826</v>
      </c>
      <c r="I56" s="51">
        <f t="shared" si="6"/>
        <v>10738</v>
      </c>
      <c r="J56" s="15">
        <f>산출집계!J45</f>
        <v>13</v>
      </c>
      <c r="K56" s="30">
        <f>합산자재!I13</f>
        <v>0</v>
      </c>
      <c r="L56" s="51">
        <f t="shared" si="7"/>
        <v>0</v>
      </c>
      <c r="M56" s="30">
        <f>합산자재!J13</f>
        <v>0</v>
      </c>
      <c r="N56" s="51">
        <f t="shared" si="8"/>
        <v>0</v>
      </c>
      <c r="O56" s="30">
        <f t="shared" si="9"/>
        <v>826</v>
      </c>
      <c r="P56" s="30">
        <f t="shared" si="10"/>
        <v>10738</v>
      </c>
      <c r="Q56" s="12"/>
    </row>
    <row r="57" spans="1:31" ht="25.05" customHeight="1">
      <c r="A57" s="2">
        <v>59753767231</v>
      </c>
      <c r="B57" s="13" t="s">
        <v>545</v>
      </c>
      <c r="C57" s="13" t="s">
        <v>401</v>
      </c>
      <c r="D57" s="12" t="s">
        <v>349</v>
      </c>
      <c r="E57" s="12" t="s">
        <v>375</v>
      </c>
      <c r="F57" s="19" t="s">
        <v>343</v>
      </c>
      <c r="G57" s="15">
        <f>산출집계!H46</f>
        <v>13</v>
      </c>
      <c r="H57" s="30">
        <f>합산자재!H16</f>
        <v>260</v>
      </c>
      <c r="I57" s="51">
        <f t="shared" si="6"/>
        <v>3380</v>
      </c>
      <c r="J57" s="15">
        <f>산출집계!J46</f>
        <v>13</v>
      </c>
      <c r="K57" s="30">
        <f>합산자재!I16</f>
        <v>0</v>
      </c>
      <c r="L57" s="51">
        <f t="shared" si="7"/>
        <v>0</v>
      </c>
      <c r="M57" s="30">
        <f>합산자재!J16</f>
        <v>0</v>
      </c>
      <c r="N57" s="51">
        <f t="shared" si="8"/>
        <v>0</v>
      </c>
      <c r="O57" s="30">
        <f t="shared" si="9"/>
        <v>260</v>
      </c>
      <c r="P57" s="30">
        <f t="shared" si="10"/>
        <v>3380</v>
      </c>
      <c r="Q57" s="12"/>
    </row>
    <row r="58" spans="1:31" ht="25.05" customHeight="1">
      <c r="A58" s="2" t="s">
        <v>471</v>
      </c>
      <c r="B58" s="13" t="s">
        <v>545</v>
      </c>
      <c r="C58" s="13" t="s">
        <v>407</v>
      </c>
      <c r="D58" s="12" t="s">
        <v>353</v>
      </c>
      <c r="E58" s="12" t="s">
        <v>355</v>
      </c>
      <c r="F58" s="19" t="s">
        <v>333</v>
      </c>
      <c r="G58" s="15">
        <f>산출집계!H47</f>
        <v>594</v>
      </c>
      <c r="H58" s="30">
        <f>합산자재!H20</f>
        <v>443</v>
      </c>
      <c r="I58" s="51">
        <f t="shared" si="6"/>
        <v>263142</v>
      </c>
      <c r="J58" s="15">
        <f>산출집계!J47</f>
        <v>540</v>
      </c>
      <c r="K58" s="30">
        <f>합산자재!I20</f>
        <v>0</v>
      </c>
      <c r="L58" s="51">
        <f t="shared" si="7"/>
        <v>0</v>
      </c>
      <c r="M58" s="30">
        <f>합산자재!J20</f>
        <v>0</v>
      </c>
      <c r="N58" s="51">
        <f t="shared" si="8"/>
        <v>0</v>
      </c>
      <c r="O58" s="30">
        <f t="shared" si="9"/>
        <v>443</v>
      </c>
      <c r="P58" s="30">
        <f t="shared" si="10"/>
        <v>263142</v>
      </c>
      <c r="Q58" s="12"/>
      <c r="AC58" s="28">
        <f>G58*H58</f>
        <v>263142</v>
      </c>
    </row>
    <row r="59" spans="1:31" ht="25.05" customHeight="1">
      <c r="A59" s="2" t="s">
        <v>477</v>
      </c>
      <c r="B59" s="13" t="s">
        <v>545</v>
      </c>
      <c r="C59" s="13" t="s">
        <v>417</v>
      </c>
      <c r="D59" s="12" t="s">
        <v>376</v>
      </c>
      <c r="E59" s="12" t="s">
        <v>377</v>
      </c>
      <c r="F59" s="19" t="s">
        <v>343</v>
      </c>
      <c r="G59" s="15">
        <f>산출집계!H48</f>
        <v>2</v>
      </c>
      <c r="H59" s="30">
        <f>합산자재!H26</f>
        <v>29188</v>
      </c>
      <c r="I59" s="51">
        <f t="shared" si="6"/>
        <v>58376</v>
      </c>
      <c r="J59" s="15">
        <f>산출집계!J48</f>
        <v>2</v>
      </c>
      <c r="K59" s="30">
        <f>합산자재!I26</f>
        <v>0</v>
      </c>
      <c r="L59" s="51">
        <f t="shared" si="7"/>
        <v>0</v>
      </c>
      <c r="M59" s="30">
        <f>합산자재!J26</f>
        <v>0</v>
      </c>
      <c r="N59" s="51">
        <f t="shared" si="8"/>
        <v>0</v>
      </c>
      <c r="O59" s="30">
        <f t="shared" si="9"/>
        <v>29188</v>
      </c>
      <c r="P59" s="30">
        <f t="shared" si="10"/>
        <v>58376</v>
      </c>
      <c r="Q59" s="12"/>
    </row>
    <row r="60" spans="1:31" ht="25.05" customHeight="1">
      <c r="A60" s="2" t="s">
        <v>478</v>
      </c>
      <c r="B60" s="13" t="s">
        <v>545</v>
      </c>
      <c r="C60" s="13" t="s">
        <v>419</v>
      </c>
      <c r="D60" s="12" t="s">
        <v>376</v>
      </c>
      <c r="E60" s="12" t="s">
        <v>378</v>
      </c>
      <c r="F60" s="19" t="s">
        <v>343</v>
      </c>
      <c r="G60" s="15">
        <f>산출집계!H49</f>
        <v>4</v>
      </c>
      <c r="H60" s="30">
        <f>합산자재!H27</f>
        <v>47150</v>
      </c>
      <c r="I60" s="51">
        <f t="shared" si="6"/>
        <v>188600</v>
      </c>
      <c r="J60" s="15">
        <f>산출집계!J49</f>
        <v>4</v>
      </c>
      <c r="K60" s="30">
        <f>합산자재!I27</f>
        <v>0</v>
      </c>
      <c r="L60" s="51">
        <f t="shared" si="7"/>
        <v>0</v>
      </c>
      <c r="M60" s="30">
        <f>합산자재!J27</f>
        <v>0</v>
      </c>
      <c r="N60" s="51">
        <f t="shared" si="8"/>
        <v>0</v>
      </c>
      <c r="O60" s="30">
        <f t="shared" si="9"/>
        <v>47150</v>
      </c>
      <c r="P60" s="30">
        <f t="shared" si="10"/>
        <v>188600</v>
      </c>
      <c r="Q60" s="12"/>
    </row>
    <row r="61" spans="1:31" ht="25.05" customHeight="1">
      <c r="A61" s="2" t="s">
        <v>479</v>
      </c>
      <c r="B61" s="13" t="s">
        <v>545</v>
      </c>
      <c r="C61" s="13" t="s">
        <v>420</v>
      </c>
      <c r="D61" s="12" t="s">
        <v>379</v>
      </c>
      <c r="E61" s="12" t="s">
        <v>380</v>
      </c>
      <c r="F61" s="19" t="s">
        <v>343</v>
      </c>
      <c r="G61" s="15">
        <f>산출집계!H50</f>
        <v>8</v>
      </c>
      <c r="H61" s="30">
        <f>합산자재!H28</f>
        <v>47150</v>
      </c>
      <c r="I61" s="51">
        <f t="shared" si="6"/>
        <v>377200</v>
      </c>
      <c r="J61" s="15">
        <f>산출집계!J50</f>
        <v>8</v>
      </c>
      <c r="K61" s="30">
        <f>합산자재!I28</f>
        <v>0</v>
      </c>
      <c r="L61" s="51">
        <f t="shared" si="7"/>
        <v>0</v>
      </c>
      <c r="M61" s="30">
        <f>합산자재!J28</f>
        <v>0</v>
      </c>
      <c r="N61" s="51">
        <f t="shared" si="8"/>
        <v>0</v>
      </c>
      <c r="O61" s="30">
        <f t="shared" si="9"/>
        <v>47150</v>
      </c>
      <c r="P61" s="30">
        <f t="shared" si="10"/>
        <v>377200</v>
      </c>
      <c r="Q61" s="12"/>
    </row>
    <row r="62" spans="1:31" ht="25.05" customHeight="1">
      <c r="A62" s="2" t="s">
        <v>550</v>
      </c>
      <c r="B62" s="13" t="s">
        <v>545</v>
      </c>
      <c r="C62" s="13" t="s">
        <v>551</v>
      </c>
      <c r="D62" s="12" t="s">
        <v>552</v>
      </c>
      <c r="E62" s="12" t="s">
        <v>553</v>
      </c>
      <c r="F62" s="19" t="s">
        <v>177</v>
      </c>
      <c r="G62" s="15">
        <v>1</v>
      </c>
      <c r="H62" s="30">
        <f>TRUNC(AA62*옵션!$B$32/100)</f>
        <v>17820</v>
      </c>
      <c r="I62" s="51">
        <f t="shared" si="6"/>
        <v>17820</v>
      </c>
      <c r="J62" s="15">
        <v>1</v>
      </c>
      <c r="K62" s="30"/>
      <c r="L62" s="51">
        <f t="shared" si="7"/>
        <v>0</v>
      </c>
      <c r="M62" s="30"/>
      <c r="N62" s="51">
        <f t="shared" si="8"/>
        <v>0</v>
      </c>
      <c r="O62" s="30">
        <f t="shared" si="9"/>
        <v>17820</v>
      </c>
      <c r="P62" s="30">
        <f t="shared" si="10"/>
        <v>17820</v>
      </c>
      <c r="Q62" s="12"/>
      <c r="AA62" s="28">
        <f>TRUNC(SUM(AA54:AA61))</f>
        <v>44550</v>
      </c>
    </row>
    <row r="63" spans="1:31" ht="25.05" customHeight="1">
      <c r="A63" s="2" t="s">
        <v>518</v>
      </c>
      <c r="B63" s="13" t="s">
        <v>545</v>
      </c>
      <c r="C63" s="13" t="s">
        <v>519</v>
      </c>
      <c r="D63" s="12" t="s">
        <v>520</v>
      </c>
      <c r="E63" s="12" t="s">
        <v>521</v>
      </c>
      <c r="F63" s="19" t="s">
        <v>177</v>
      </c>
      <c r="G63" s="15">
        <v>1</v>
      </c>
      <c r="H63" s="30">
        <f>IF(TRUNC((AD63+AC63)/$AD$3)*$AD$3-AD63 &lt;0, AC63, TRUNC((AD63+AC63)/$AD$3)*$AD$3-AD63)</f>
        <v>5194</v>
      </c>
      <c r="I63" s="51">
        <f>H63</f>
        <v>5194</v>
      </c>
      <c r="J63" s="15">
        <v>1</v>
      </c>
      <c r="K63" s="30"/>
      <c r="L63" s="51">
        <f t="shared" si="7"/>
        <v>0</v>
      </c>
      <c r="M63" s="30"/>
      <c r="N63" s="51">
        <f t="shared" si="8"/>
        <v>0</v>
      </c>
      <c r="O63" s="30">
        <f t="shared" si="9"/>
        <v>5194</v>
      </c>
      <c r="P63" s="30">
        <f t="shared" si="10"/>
        <v>5194</v>
      </c>
      <c r="Q63" s="12"/>
      <c r="AC63" s="28">
        <f>TRUNC(TRUNC(SUM(AC54:AC62))*옵션!$B$33/100)</f>
        <v>6153</v>
      </c>
      <c r="AD63" s="28">
        <f>TRUNC(SUM(I54:I62))+TRUNC(SUM(N54:N62))</f>
        <v>963806</v>
      </c>
    </row>
    <row r="64" spans="1:31" ht="25.05" customHeight="1">
      <c r="A64" s="2">
        <v>56900017016</v>
      </c>
      <c r="B64" s="13" t="s">
        <v>545</v>
      </c>
      <c r="C64" s="13" t="s">
        <v>443</v>
      </c>
      <c r="D64" s="12" t="s">
        <v>444</v>
      </c>
      <c r="E64" s="12" t="s">
        <v>445</v>
      </c>
      <c r="F64" s="19" t="s">
        <v>446</v>
      </c>
      <c r="G64" s="15">
        <f>노임근거!G55</f>
        <v>15</v>
      </c>
      <c r="H64" s="30">
        <f>합산자재!H40</f>
        <v>0</v>
      </c>
      <c r="I64" s="51">
        <f>TRUNC(G64*H64)</f>
        <v>0</v>
      </c>
      <c r="J64" s="15">
        <f>노임근거!G55</f>
        <v>15</v>
      </c>
      <c r="K64" s="30">
        <f>합산자재!I40</f>
        <v>241512</v>
      </c>
      <c r="L64" s="51">
        <f t="shared" si="7"/>
        <v>3622680</v>
      </c>
      <c r="M64" s="30">
        <f>합산자재!J40</f>
        <v>0</v>
      </c>
      <c r="N64" s="51">
        <f t="shared" si="8"/>
        <v>0</v>
      </c>
      <c r="O64" s="30">
        <f t="shared" si="9"/>
        <v>241512</v>
      </c>
      <c r="P64" s="30">
        <f t="shared" si="10"/>
        <v>3622680</v>
      </c>
      <c r="Q64" s="12"/>
      <c r="AE64" s="28">
        <f>L64</f>
        <v>3622680</v>
      </c>
    </row>
    <row r="65" spans="1:31" ht="25.05" customHeight="1">
      <c r="A65" s="2" t="s">
        <v>522</v>
      </c>
      <c r="B65" s="13" t="s">
        <v>545</v>
      </c>
      <c r="C65" s="13" t="s">
        <v>523</v>
      </c>
      <c r="D65" s="12" t="s">
        <v>524</v>
      </c>
      <c r="E65" s="12" t="s">
        <v>1420</v>
      </c>
      <c r="F65" s="19" t="s">
        <v>177</v>
      </c>
      <c r="G65" s="15">
        <v>1</v>
      </c>
      <c r="H65" s="30">
        <f>IF(TRUNC((AD66+AC66)/$AE$3)*$AE$3-AD66 &lt;0, AC66, TRUNC((AD66+AC66)/$AE$3)*$AE$3-AD66)</f>
        <v>35320</v>
      </c>
      <c r="I65" s="51">
        <f>H65</f>
        <v>35320</v>
      </c>
      <c r="J65" s="15">
        <v>1</v>
      </c>
      <c r="K65" s="30"/>
      <c r="L65" s="51">
        <f t="shared" si="7"/>
        <v>0</v>
      </c>
      <c r="M65" s="30"/>
      <c r="N65" s="51">
        <f t="shared" si="8"/>
        <v>0</v>
      </c>
      <c r="O65" s="30">
        <f t="shared" si="9"/>
        <v>35320</v>
      </c>
      <c r="P65" s="30">
        <f t="shared" si="10"/>
        <v>35320</v>
      </c>
      <c r="Q65" s="12"/>
    </row>
    <row r="66" spans="1:31" ht="25.05" customHeight="1">
      <c r="D66" s="12"/>
      <c r="E66" s="12"/>
      <c r="F66" s="19"/>
      <c r="G66" s="15"/>
      <c r="H66" s="30"/>
      <c r="I66" s="51"/>
      <c r="J66" s="15"/>
      <c r="K66" s="30"/>
      <c r="L66" s="51"/>
      <c r="M66" s="30"/>
      <c r="N66" s="51"/>
      <c r="O66" s="30"/>
      <c r="P66" s="30"/>
      <c r="Q66" s="12"/>
      <c r="AC66" s="28">
        <f>TRUNC(AE66*옵션!$B$36/100)</f>
        <v>36226</v>
      </c>
      <c r="AD66" s="28">
        <f>TRUNC(SUM(L54:L64))</f>
        <v>3622680</v>
      </c>
      <c r="AE66" s="28">
        <f>TRUNC(SUM(AE54:AE65))</f>
        <v>3622680</v>
      </c>
    </row>
    <row r="67" spans="1:31" ht="25.05" customHeight="1">
      <c r="D67" s="12"/>
      <c r="E67" s="12"/>
      <c r="F67" s="19"/>
      <c r="G67" s="15"/>
      <c r="H67" s="30"/>
      <c r="I67" s="51"/>
      <c r="J67" s="15"/>
      <c r="K67" s="30"/>
      <c r="L67" s="51"/>
      <c r="M67" s="30"/>
      <c r="N67" s="51"/>
      <c r="O67" s="30"/>
      <c r="P67" s="30"/>
      <c r="Q67" s="12"/>
    </row>
    <row r="68" spans="1:31" ht="25.05" customHeight="1">
      <c r="D68" s="12"/>
      <c r="E68" s="12"/>
      <c r="F68" s="19"/>
      <c r="G68" s="15"/>
      <c r="H68" s="30"/>
      <c r="I68" s="51"/>
      <c r="J68" s="15"/>
      <c r="K68" s="30"/>
      <c r="L68" s="51"/>
      <c r="M68" s="30"/>
      <c r="N68" s="51"/>
      <c r="O68" s="30"/>
      <c r="P68" s="30"/>
      <c r="Q68" s="12"/>
    </row>
    <row r="69" spans="1:31" ht="25.05" customHeight="1">
      <c r="D69" s="12"/>
      <c r="E69" s="12"/>
      <c r="F69" s="19"/>
      <c r="G69" s="15"/>
      <c r="H69" s="30"/>
      <c r="I69" s="51"/>
      <c r="J69" s="15"/>
      <c r="K69" s="30"/>
      <c r="L69" s="51"/>
      <c r="M69" s="30"/>
      <c r="N69" s="51"/>
      <c r="O69" s="30"/>
      <c r="P69" s="30"/>
      <c r="Q69" s="12"/>
    </row>
    <row r="70" spans="1:31" ht="25.05" customHeight="1">
      <c r="D70" s="12"/>
      <c r="E70" s="12"/>
      <c r="F70" s="19"/>
      <c r="G70" s="15"/>
      <c r="H70" s="30"/>
      <c r="I70" s="51"/>
      <c r="J70" s="15"/>
      <c r="K70" s="30"/>
      <c r="L70" s="51"/>
      <c r="M70" s="30"/>
      <c r="N70" s="51"/>
      <c r="O70" s="30"/>
      <c r="P70" s="30"/>
      <c r="Q70" s="12"/>
    </row>
    <row r="71" spans="1:31" ht="25.05" customHeight="1">
      <c r="D71" s="12"/>
      <c r="E71" s="12"/>
      <c r="F71" s="19"/>
      <c r="G71" s="15"/>
      <c r="H71" s="30"/>
      <c r="I71" s="51"/>
      <c r="J71" s="15"/>
      <c r="K71" s="30"/>
      <c r="L71" s="51"/>
      <c r="M71" s="30"/>
      <c r="N71" s="51"/>
      <c r="O71" s="30"/>
      <c r="P71" s="30"/>
      <c r="Q71" s="12"/>
    </row>
    <row r="72" spans="1:31" ht="25.05" customHeight="1">
      <c r="D72" s="12"/>
      <c r="E72" s="12"/>
      <c r="F72" s="19"/>
      <c r="G72" s="15"/>
      <c r="H72" s="30"/>
      <c r="I72" s="51"/>
      <c r="J72" s="15"/>
      <c r="K72" s="30"/>
      <c r="L72" s="51"/>
      <c r="M72" s="30"/>
      <c r="N72" s="51"/>
      <c r="O72" s="30"/>
      <c r="P72" s="30"/>
      <c r="Q72" s="12"/>
    </row>
    <row r="73" spans="1:31" ht="25.05" customHeight="1">
      <c r="D73" s="12"/>
      <c r="E73" s="12"/>
      <c r="F73" s="19"/>
      <c r="G73" s="15"/>
      <c r="H73" s="30"/>
      <c r="I73" s="51"/>
      <c r="J73" s="15"/>
      <c r="K73" s="30"/>
      <c r="L73" s="51"/>
      <c r="M73" s="30"/>
      <c r="N73" s="51"/>
      <c r="O73" s="30"/>
      <c r="P73" s="30"/>
      <c r="Q73" s="12"/>
    </row>
    <row r="74" spans="1:31" ht="25.05" customHeight="1">
      <c r="D74" s="12"/>
      <c r="E74" s="12"/>
      <c r="F74" s="19"/>
      <c r="G74" s="15"/>
      <c r="H74" s="30"/>
      <c r="I74" s="51"/>
      <c r="J74" s="15"/>
      <c r="K74" s="30"/>
      <c r="L74" s="51"/>
      <c r="M74" s="30"/>
      <c r="N74" s="51"/>
      <c r="O74" s="30"/>
      <c r="P74" s="30"/>
      <c r="Q74" s="12"/>
    </row>
    <row r="75" spans="1:31" ht="25.05" customHeight="1">
      <c r="D75" s="12"/>
      <c r="E75" s="12"/>
      <c r="F75" s="19"/>
      <c r="G75" s="15"/>
      <c r="H75" s="30"/>
      <c r="I75" s="51"/>
      <c r="J75" s="15"/>
      <c r="K75" s="30"/>
      <c r="L75" s="51"/>
      <c r="M75" s="30"/>
      <c r="N75" s="51"/>
      <c r="O75" s="30"/>
      <c r="P75" s="30"/>
      <c r="Q75" s="12"/>
    </row>
    <row r="76" spans="1:31" ht="25.05" customHeight="1">
      <c r="D76" s="12"/>
      <c r="E76" s="12"/>
      <c r="F76" s="19"/>
      <c r="G76" s="15"/>
      <c r="H76" s="30"/>
      <c r="I76" s="51"/>
      <c r="J76" s="15"/>
      <c r="K76" s="30"/>
      <c r="L76" s="51"/>
      <c r="M76" s="30"/>
      <c r="N76" s="51"/>
      <c r="O76" s="30"/>
      <c r="P76" s="30"/>
      <c r="Q76" s="12"/>
    </row>
    <row r="77" spans="1:31" ht="25.05" customHeight="1">
      <c r="B77" s="13" t="s">
        <v>516</v>
      </c>
      <c r="D77" s="12" t="s">
        <v>517</v>
      </c>
      <c r="E77" s="12"/>
      <c r="F77" s="19"/>
      <c r="G77" s="15"/>
      <c r="H77" s="30"/>
      <c r="I77" s="51">
        <f>TRUNC(SUM(I54:I76))</f>
        <v>1004320</v>
      </c>
      <c r="J77" s="15"/>
      <c r="K77" s="30"/>
      <c r="L77" s="51">
        <f>TRUNC(SUM(L54:L76))</f>
        <v>3622680</v>
      </c>
      <c r="M77" s="30"/>
      <c r="N77" s="51">
        <f>TRUNC(SUM(N54:N76))</f>
        <v>0</v>
      </c>
      <c r="O77" s="30" t="str">
        <f>IF((H77+K77+M77)=0, "", (H77+K77+M77))</f>
        <v/>
      </c>
      <c r="P77" s="30">
        <f>TRUNC(SUM(P54:P76))</f>
        <v>4627000</v>
      </c>
      <c r="Q77" s="12"/>
    </row>
  </sheetData>
  <mergeCells count="14">
    <mergeCell ref="D4:Q4"/>
    <mergeCell ref="D54:Q54"/>
    <mergeCell ref="AA1:AE1"/>
    <mergeCell ref="W1:Z1"/>
    <mergeCell ref="P2:P3"/>
    <mergeCell ref="F2:F3"/>
    <mergeCell ref="Q2:Q3"/>
    <mergeCell ref="D1:N1"/>
    <mergeCell ref="E2:E3"/>
    <mergeCell ref="D2:D3"/>
    <mergeCell ref="J2:L2"/>
    <mergeCell ref="M2:N2"/>
    <mergeCell ref="G2:G3"/>
    <mergeCell ref="H2:I2"/>
  </mergeCells>
  <phoneticPr fontId="4" type="noConversion"/>
  <printOptions horizontalCentered="1" verticalCentered="1"/>
  <pageMargins left="0.74803149606299213" right="0.35433070866141736" top="0.59055118110236227" bottom="0.59055118110236227" header="0.51181102362204722" footer="0.47244094488188981"/>
  <pageSetup paperSize="9" scale="75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AD69"/>
  <sheetViews>
    <sheetView view="pageBreakPreview" topLeftCell="D1" zoomScale="80" zoomScaleNormal="100" zoomScaleSheetLayoutView="80" workbookViewId="0">
      <pane ySplit="3" topLeftCell="A4" activePane="bottomLeft" state="frozen"/>
      <selection activeCell="D1" sqref="D1"/>
      <selection pane="bottomLeft" activeCell="E27" sqref="E27"/>
    </sheetView>
  </sheetViews>
  <sheetFormatPr defaultColWidth="8.8984375" defaultRowHeight="22.05" customHeight="1"/>
  <cols>
    <col min="1" max="1" width="21.69921875" style="2" hidden="1" customWidth="1"/>
    <col min="2" max="2" width="23" style="13" hidden="1" customWidth="1"/>
    <col min="3" max="3" width="26.3984375" style="13" hidden="1" customWidth="1"/>
    <col min="4" max="5" width="24.296875" style="13" customWidth="1"/>
    <col min="6" max="6" width="4.59765625" style="2" customWidth="1"/>
    <col min="7" max="7" width="10.09765625" style="2" customWidth="1"/>
    <col min="8" max="8" width="9.296875" style="2" customWidth="1"/>
    <col min="9" max="9" width="10" style="2" customWidth="1"/>
    <col min="10" max="10" width="5.19921875" style="2" customWidth="1"/>
    <col min="11" max="11" width="4.69921875" style="13" hidden="1" customWidth="1"/>
    <col min="12" max="12" width="14.09765625" style="2" customWidth="1"/>
    <col min="13" max="13" width="7.19921875" style="2" customWidth="1"/>
    <col min="14" max="14" width="5.3984375" style="2" customWidth="1"/>
    <col min="15" max="15" width="8.69921875" style="2" customWidth="1"/>
    <col min="16" max="16" width="2.3984375" style="28" hidden="1" customWidth="1"/>
    <col min="17" max="17" width="1.19921875" style="28" hidden="1" customWidth="1"/>
    <col min="18" max="18" width="5.09765625" style="28" hidden="1" customWidth="1"/>
    <col min="19" max="19" width="9.8984375" style="2" customWidth="1"/>
    <col min="20" max="20" width="11.09765625" style="2" customWidth="1"/>
    <col min="21" max="29" width="8.8984375" style="2"/>
    <col min="30" max="55" width="11.69921875" style="2" customWidth="1"/>
    <col min="56" max="16384" width="8.8984375" style="2"/>
  </cols>
  <sheetData>
    <row r="1" spans="1:30" ht="22.05" customHeight="1">
      <c r="B1" s="13" t="s">
        <v>546</v>
      </c>
      <c r="D1" s="198" t="s">
        <v>529</v>
      </c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31"/>
      <c r="Q1" s="31"/>
      <c r="R1" s="31"/>
      <c r="AA1" s="2" t="s">
        <v>497</v>
      </c>
      <c r="AB1" s="2" t="s">
        <v>530</v>
      </c>
      <c r="AC1" s="2" t="s">
        <v>531</v>
      </c>
      <c r="AD1" s="2" t="s">
        <v>498</v>
      </c>
    </row>
    <row r="2" spans="1:30" s="14" customFormat="1" ht="25.05" customHeight="1">
      <c r="A2" s="14" t="s">
        <v>57</v>
      </c>
      <c r="B2" s="42" t="s">
        <v>19</v>
      </c>
      <c r="C2" s="42" t="s">
        <v>18</v>
      </c>
      <c r="D2" s="200" t="s">
        <v>64</v>
      </c>
      <c r="E2" s="200" t="s">
        <v>65</v>
      </c>
      <c r="F2" s="201" t="s">
        <v>0</v>
      </c>
      <c r="G2" s="201" t="s">
        <v>1</v>
      </c>
      <c r="H2" s="201"/>
      <c r="I2" s="201"/>
      <c r="J2" s="201"/>
      <c r="K2" s="200" t="s">
        <v>59</v>
      </c>
      <c r="L2" s="201" t="s">
        <v>29</v>
      </c>
      <c r="M2" s="201"/>
      <c r="N2" s="201"/>
      <c r="O2" s="201"/>
      <c r="P2" s="201" t="s">
        <v>83</v>
      </c>
      <c r="Q2" s="201"/>
      <c r="R2" s="201"/>
      <c r="S2" s="201" t="s">
        <v>30</v>
      </c>
      <c r="T2" s="201" t="s">
        <v>31</v>
      </c>
    </row>
    <row r="3" spans="1:30" s="14" customFormat="1" ht="25.05" customHeight="1">
      <c r="B3" s="42"/>
      <c r="C3" s="42"/>
      <c r="D3" s="200"/>
      <c r="E3" s="200"/>
      <c r="F3" s="201"/>
      <c r="G3" s="16" t="s">
        <v>32</v>
      </c>
      <c r="H3" s="16" t="s">
        <v>33</v>
      </c>
      <c r="I3" s="16" t="s">
        <v>34</v>
      </c>
      <c r="J3" s="16" t="s">
        <v>35</v>
      </c>
      <c r="K3" s="207"/>
      <c r="L3" s="16" t="s">
        <v>23</v>
      </c>
      <c r="M3" s="16" t="s">
        <v>36</v>
      </c>
      <c r="N3" s="16" t="s">
        <v>37</v>
      </c>
      <c r="O3" s="16" t="s">
        <v>38</v>
      </c>
      <c r="P3" s="16" t="s">
        <v>84</v>
      </c>
      <c r="Q3" s="16" t="s">
        <v>86</v>
      </c>
      <c r="R3" s="16" t="s">
        <v>85</v>
      </c>
      <c r="S3" s="201"/>
      <c r="T3" s="201"/>
    </row>
    <row r="4" spans="1:30" ht="25.05" customHeight="1">
      <c r="B4" s="13" t="s">
        <v>508</v>
      </c>
      <c r="D4" s="203" t="s">
        <v>644</v>
      </c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5"/>
    </row>
    <row r="5" spans="1:30" ht="25.05" customHeight="1">
      <c r="B5" s="13" t="s">
        <v>532</v>
      </c>
      <c r="C5" s="13" t="s">
        <v>384</v>
      </c>
      <c r="D5" s="12" t="s">
        <v>331</v>
      </c>
      <c r="E5" s="12" t="s">
        <v>332</v>
      </c>
      <c r="F5" s="15" t="s">
        <v>333</v>
      </c>
      <c r="G5" s="15">
        <f>내역서!G5</f>
        <v>302</v>
      </c>
      <c r="H5" s="15">
        <f t="shared" ref="H5:H31" si="0">IF(I5&lt;&gt;0, G5-I5, "")</f>
        <v>28</v>
      </c>
      <c r="I5" s="15">
        <f>내역서!J5</f>
        <v>274</v>
      </c>
      <c r="J5" s="15">
        <v>10</v>
      </c>
      <c r="K5" s="12" t="s">
        <v>491</v>
      </c>
      <c r="L5" s="15" t="s">
        <v>445</v>
      </c>
      <c r="M5" s="15">
        <v>0.04</v>
      </c>
      <c r="N5" s="15">
        <v>75</v>
      </c>
      <c r="O5" s="15">
        <f t="shared" ref="O5:O35" si="1">IF(I5*M5=0, "", I5*M5*(N5/100))</f>
        <v>8.2200000000000006</v>
      </c>
      <c r="P5" s="30"/>
      <c r="Q5" s="30">
        <f t="shared" ref="Q5:Q35" si="2">TRUNC(P5*M5*N5/100)</f>
        <v>0</v>
      </c>
      <c r="R5" s="30"/>
      <c r="S5" s="15" t="s">
        <v>533</v>
      </c>
      <c r="T5" s="15"/>
      <c r="AA5" s="2">
        <f>O5</f>
        <v>8.2200000000000006</v>
      </c>
    </row>
    <row r="6" spans="1:30" ht="25.05" customHeight="1">
      <c r="B6" s="13" t="s">
        <v>532</v>
      </c>
      <c r="C6" s="13" t="s">
        <v>387</v>
      </c>
      <c r="D6" s="12" t="s">
        <v>331</v>
      </c>
      <c r="E6" s="12" t="s">
        <v>334</v>
      </c>
      <c r="F6" s="15" t="s">
        <v>333</v>
      </c>
      <c r="G6" s="15">
        <f>내역서!G6</f>
        <v>553</v>
      </c>
      <c r="H6" s="15">
        <f t="shared" si="0"/>
        <v>51</v>
      </c>
      <c r="I6" s="15">
        <f>내역서!J6</f>
        <v>502</v>
      </c>
      <c r="J6" s="15">
        <v>10</v>
      </c>
      <c r="K6" s="12" t="s">
        <v>491</v>
      </c>
      <c r="L6" s="15" t="s">
        <v>445</v>
      </c>
      <c r="M6" s="15">
        <v>4.8000000000000001E-2</v>
      </c>
      <c r="N6" s="15">
        <v>75</v>
      </c>
      <c r="O6" s="15">
        <f t="shared" si="1"/>
        <v>18.071999999999999</v>
      </c>
      <c r="P6" s="30"/>
      <c r="Q6" s="30">
        <f t="shared" si="2"/>
        <v>0</v>
      </c>
      <c r="R6" s="30"/>
      <c r="S6" s="15" t="s">
        <v>533</v>
      </c>
      <c r="T6" s="15"/>
      <c r="AA6" s="2">
        <f>O6</f>
        <v>18.071999999999999</v>
      </c>
    </row>
    <row r="7" spans="1:30" ht="25.05" customHeight="1">
      <c r="B7" s="13" t="s">
        <v>532</v>
      </c>
      <c r="C7" s="13" t="s">
        <v>388</v>
      </c>
      <c r="D7" s="12" t="s">
        <v>331</v>
      </c>
      <c r="E7" s="12" t="s">
        <v>335</v>
      </c>
      <c r="F7" s="15" t="s">
        <v>333</v>
      </c>
      <c r="G7" s="15">
        <f>내역서!G7</f>
        <v>115</v>
      </c>
      <c r="H7" s="15">
        <f t="shared" si="0"/>
        <v>11</v>
      </c>
      <c r="I7" s="15">
        <f>내역서!J7</f>
        <v>104</v>
      </c>
      <c r="J7" s="15">
        <v>10</v>
      </c>
      <c r="K7" s="12" t="s">
        <v>491</v>
      </c>
      <c r="L7" s="15" t="s">
        <v>445</v>
      </c>
      <c r="M7" s="15">
        <v>6.4000000000000001E-2</v>
      </c>
      <c r="N7" s="15">
        <v>75</v>
      </c>
      <c r="O7" s="15">
        <f t="shared" si="1"/>
        <v>4.9920000000000009</v>
      </c>
      <c r="P7" s="30"/>
      <c r="Q7" s="30">
        <f t="shared" si="2"/>
        <v>0</v>
      </c>
      <c r="R7" s="30"/>
      <c r="S7" s="15" t="s">
        <v>533</v>
      </c>
      <c r="T7" s="15"/>
      <c r="AA7" s="2">
        <f>O7</f>
        <v>4.9920000000000009</v>
      </c>
    </row>
    <row r="8" spans="1:30" ht="25.05" customHeight="1">
      <c r="B8" s="13" t="s">
        <v>532</v>
      </c>
      <c r="C8" s="13" t="s">
        <v>389</v>
      </c>
      <c r="D8" s="12" t="s">
        <v>331</v>
      </c>
      <c r="E8" s="12" t="s">
        <v>336</v>
      </c>
      <c r="F8" s="15" t="s">
        <v>333</v>
      </c>
      <c r="G8" s="15">
        <f>내역서!G8</f>
        <v>50</v>
      </c>
      <c r="H8" s="15">
        <f t="shared" si="0"/>
        <v>5</v>
      </c>
      <c r="I8" s="15">
        <f>내역서!J8</f>
        <v>45</v>
      </c>
      <c r="J8" s="15">
        <v>10</v>
      </c>
      <c r="K8" s="12" t="s">
        <v>491</v>
      </c>
      <c r="L8" s="15" t="s">
        <v>445</v>
      </c>
      <c r="M8" s="15">
        <v>0.08</v>
      </c>
      <c r="N8" s="15">
        <v>75</v>
      </c>
      <c r="O8" s="15">
        <f t="shared" si="1"/>
        <v>2.7</v>
      </c>
      <c r="P8" s="30"/>
      <c r="Q8" s="30">
        <f t="shared" si="2"/>
        <v>0</v>
      </c>
      <c r="R8" s="30"/>
      <c r="S8" s="15" t="s">
        <v>533</v>
      </c>
      <c r="T8" s="15"/>
      <c r="AA8" s="2">
        <f>O8</f>
        <v>2.7</v>
      </c>
    </row>
    <row r="9" spans="1:30" ht="25.05" customHeight="1">
      <c r="B9" s="13" t="s">
        <v>532</v>
      </c>
      <c r="C9" s="13" t="s">
        <v>390</v>
      </c>
      <c r="D9" s="12" t="s">
        <v>337</v>
      </c>
      <c r="E9" s="12" t="s">
        <v>338</v>
      </c>
      <c r="F9" s="15" t="s">
        <v>333</v>
      </c>
      <c r="G9" s="15">
        <f>내역서!G9</f>
        <v>270</v>
      </c>
      <c r="H9" s="15">
        <f t="shared" si="0"/>
        <v>8</v>
      </c>
      <c r="I9" s="15">
        <f>내역서!J9</f>
        <v>262</v>
      </c>
      <c r="J9" s="15">
        <v>3</v>
      </c>
      <c r="K9" s="12" t="s">
        <v>493</v>
      </c>
      <c r="L9" s="15" t="s">
        <v>450</v>
      </c>
      <c r="M9" s="15">
        <v>6.0000000000000001E-3</v>
      </c>
      <c r="N9" s="15">
        <v>75</v>
      </c>
      <c r="O9" s="15">
        <f t="shared" si="1"/>
        <v>1.179</v>
      </c>
      <c r="P9" s="30"/>
      <c r="Q9" s="30">
        <f t="shared" si="2"/>
        <v>0</v>
      </c>
      <c r="R9" s="30"/>
      <c r="S9" s="15" t="s">
        <v>534</v>
      </c>
      <c r="T9" s="15"/>
      <c r="AC9" s="2">
        <f>O9</f>
        <v>1.179</v>
      </c>
    </row>
    <row r="10" spans="1:30" ht="25.05" customHeight="1">
      <c r="B10" s="13" t="s">
        <v>532</v>
      </c>
      <c r="C10" s="13" t="s">
        <v>390</v>
      </c>
      <c r="D10" s="12"/>
      <c r="E10" s="12"/>
      <c r="F10" s="15"/>
      <c r="G10" s="15">
        <f>내역서!G9</f>
        <v>270</v>
      </c>
      <c r="H10" s="15">
        <f t="shared" si="0"/>
        <v>8</v>
      </c>
      <c r="I10" s="15">
        <f>내역서!J9</f>
        <v>262</v>
      </c>
      <c r="J10" s="15">
        <v>3</v>
      </c>
      <c r="K10" s="12" t="s">
        <v>494</v>
      </c>
      <c r="L10" s="15" t="s">
        <v>452</v>
      </c>
      <c r="M10" s="15">
        <v>1.4E-2</v>
      </c>
      <c r="N10" s="15">
        <v>75</v>
      </c>
      <c r="O10" s="15">
        <f t="shared" si="1"/>
        <v>2.7510000000000003</v>
      </c>
      <c r="P10" s="30"/>
      <c r="Q10" s="30">
        <f t="shared" si="2"/>
        <v>0</v>
      </c>
      <c r="R10" s="30"/>
      <c r="S10" s="15" t="s">
        <v>534</v>
      </c>
      <c r="T10" s="15"/>
      <c r="AD10" s="2">
        <f>O10</f>
        <v>2.7510000000000003</v>
      </c>
    </row>
    <row r="11" spans="1:30" ht="25.05" customHeight="1">
      <c r="B11" s="13" t="s">
        <v>532</v>
      </c>
      <c r="C11" s="13" t="s">
        <v>392</v>
      </c>
      <c r="D11" s="12" t="s">
        <v>337</v>
      </c>
      <c r="E11" s="12" t="s">
        <v>339</v>
      </c>
      <c r="F11" s="15" t="s">
        <v>333</v>
      </c>
      <c r="G11" s="15">
        <f>내역서!G10</f>
        <v>135</v>
      </c>
      <c r="H11" s="15">
        <f t="shared" si="0"/>
        <v>4</v>
      </c>
      <c r="I11" s="15">
        <f>내역서!J10</f>
        <v>131</v>
      </c>
      <c r="J11" s="15">
        <v>3</v>
      </c>
      <c r="K11" s="12" t="s">
        <v>493</v>
      </c>
      <c r="L11" s="15" t="s">
        <v>450</v>
      </c>
      <c r="M11" s="15">
        <v>7.0000000000000001E-3</v>
      </c>
      <c r="N11" s="15">
        <v>75</v>
      </c>
      <c r="O11" s="15">
        <f t="shared" si="1"/>
        <v>0.68775000000000008</v>
      </c>
      <c r="P11" s="30"/>
      <c r="Q11" s="30">
        <f t="shared" si="2"/>
        <v>0</v>
      </c>
      <c r="R11" s="30"/>
      <c r="S11" s="15" t="s">
        <v>534</v>
      </c>
      <c r="T11" s="15"/>
      <c r="AC11" s="2">
        <f>O11</f>
        <v>0.68775000000000008</v>
      </c>
    </row>
    <row r="12" spans="1:30" ht="25.05" customHeight="1">
      <c r="B12" s="13" t="s">
        <v>532</v>
      </c>
      <c r="C12" s="13" t="s">
        <v>392</v>
      </c>
      <c r="D12" s="12"/>
      <c r="E12" s="12"/>
      <c r="F12" s="15"/>
      <c r="G12" s="15">
        <f>내역서!G10</f>
        <v>135</v>
      </c>
      <c r="H12" s="15">
        <f t="shared" si="0"/>
        <v>4</v>
      </c>
      <c r="I12" s="15">
        <f>내역서!J10</f>
        <v>131</v>
      </c>
      <c r="J12" s="15">
        <v>3</v>
      </c>
      <c r="K12" s="12" t="s">
        <v>494</v>
      </c>
      <c r="L12" s="15" t="s">
        <v>452</v>
      </c>
      <c r="M12" s="15">
        <v>1.7999999999999999E-2</v>
      </c>
      <c r="N12" s="15">
        <v>75</v>
      </c>
      <c r="O12" s="15">
        <f t="shared" si="1"/>
        <v>1.7684999999999997</v>
      </c>
      <c r="P12" s="30"/>
      <c r="Q12" s="30">
        <f t="shared" si="2"/>
        <v>0</v>
      </c>
      <c r="R12" s="30"/>
      <c r="S12" s="15" t="s">
        <v>534</v>
      </c>
      <c r="T12" s="15"/>
      <c r="AD12" s="2">
        <f>O12</f>
        <v>1.7684999999999997</v>
      </c>
    </row>
    <row r="13" spans="1:30" ht="25.05" customHeight="1">
      <c r="B13" s="13" t="s">
        <v>532</v>
      </c>
      <c r="C13" s="13" t="s">
        <v>393</v>
      </c>
      <c r="D13" s="12" t="s">
        <v>340</v>
      </c>
      <c r="E13" s="12" t="s">
        <v>341</v>
      </c>
      <c r="F13" s="15" t="s">
        <v>333</v>
      </c>
      <c r="G13" s="15">
        <f>내역서!G11</f>
        <v>7</v>
      </c>
      <c r="H13" s="15">
        <f t="shared" si="0"/>
        <v>1</v>
      </c>
      <c r="I13" s="15">
        <f>내역서!J11</f>
        <v>6</v>
      </c>
      <c r="J13" s="15">
        <v>10</v>
      </c>
      <c r="K13" s="12" t="s">
        <v>491</v>
      </c>
      <c r="L13" s="15" t="s">
        <v>445</v>
      </c>
      <c r="M13" s="15">
        <v>4.3999999999999997E-2</v>
      </c>
      <c r="N13" s="15">
        <v>75</v>
      </c>
      <c r="O13" s="15">
        <f t="shared" si="1"/>
        <v>0.19800000000000001</v>
      </c>
      <c r="P13" s="30"/>
      <c r="Q13" s="30">
        <f t="shared" si="2"/>
        <v>0</v>
      </c>
      <c r="R13" s="30"/>
      <c r="S13" s="15" t="s">
        <v>533</v>
      </c>
      <c r="T13" s="15"/>
      <c r="AA13" s="2">
        <f t="shared" ref="AA13:AA20" si="3">O13</f>
        <v>0.19800000000000001</v>
      </c>
    </row>
    <row r="14" spans="1:30" ht="25.05" customHeight="1">
      <c r="B14" s="13" t="s">
        <v>532</v>
      </c>
      <c r="C14" s="13" t="s">
        <v>395</v>
      </c>
      <c r="D14" s="12" t="s">
        <v>344</v>
      </c>
      <c r="E14" s="12" t="s">
        <v>345</v>
      </c>
      <c r="F14" s="15" t="s">
        <v>343</v>
      </c>
      <c r="G14" s="15">
        <f>내역서!G13</f>
        <v>6</v>
      </c>
      <c r="H14" s="15">
        <f t="shared" si="0"/>
        <v>0</v>
      </c>
      <c r="I14" s="15">
        <f>내역서!J13</f>
        <v>6</v>
      </c>
      <c r="J14" s="15"/>
      <c r="K14" s="12" t="s">
        <v>491</v>
      </c>
      <c r="L14" s="15" t="s">
        <v>445</v>
      </c>
      <c r="M14" s="15">
        <v>0.12</v>
      </c>
      <c r="N14" s="15">
        <v>75</v>
      </c>
      <c r="O14" s="15">
        <f t="shared" si="1"/>
        <v>0.54</v>
      </c>
      <c r="P14" s="30"/>
      <c r="Q14" s="30">
        <f t="shared" si="2"/>
        <v>0</v>
      </c>
      <c r="R14" s="30"/>
      <c r="S14" s="15" t="s">
        <v>535</v>
      </c>
      <c r="T14" s="15"/>
      <c r="AA14" s="2">
        <f t="shared" si="3"/>
        <v>0.54</v>
      </c>
    </row>
    <row r="15" spans="1:30" ht="25.05" customHeight="1">
      <c r="B15" s="13" t="s">
        <v>532</v>
      </c>
      <c r="C15" s="13" t="s">
        <v>398</v>
      </c>
      <c r="D15" s="12" t="s">
        <v>344</v>
      </c>
      <c r="E15" s="12" t="s">
        <v>346</v>
      </c>
      <c r="F15" s="15" t="s">
        <v>343</v>
      </c>
      <c r="G15" s="15">
        <f>내역서!G14</f>
        <v>8</v>
      </c>
      <c r="H15" s="15">
        <f t="shared" si="0"/>
        <v>0</v>
      </c>
      <c r="I15" s="15">
        <f>내역서!J14</f>
        <v>8</v>
      </c>
      <c r="J15" s="15"/>
      <c r="K15" s="12" t="s">
        <v>491</v>
      </c>
      <c r="L15" s="15" t="s">
        <v>445</v>
      </c>
      <c r="M15" s="15">
        <v>0.12</v>
      </c>
      <c r="N15" s="15">
        <v>75</v>
      </c>
      <c r="O15" s="15">
        <f t="shared" si="1"/>
        <v>0.72</v>
      </c>
      <c r="P15" s="30"/>
      <c r="Q15" s="30">
        <f t="shared" si="2"/>
        <v>0</v>
      </c>
      <c r="R15" s="30"/>
      <c r="S15" s="15" t="s">
        <v>535</v>
      </c>
      <c r="T15" s="15"/>
      <c r="AA15" s="2">
        <f t="shared" si="3"/>
        <v>0.72</v>
      </c>
    </row>
    <row r="16" spans="1:30" ht="25.05" customHeight="1">
      <c r="B16" s="13" t="s">
        <v>532</v>
      </c>
      <c r="C16" s="13" t="s">
        <v>399</v>
      </c>
      <c r="D16" s="12" t="s">
        <v>347</v>
      </c>
      <c r="E16" s="12" t="s">
        <v>348</v>
      </c>
      <c r="F16" s="15" t="s">
        <v>343</v>
      </c>
      <c r="G16" s="15">
        <f>내역서!G15</f>
        <v>12</v>
      </c>
      <c r="H16" s="15">
        <f t="shared" si="0"/>
        <v>0</v>
      </c>
      <c r="I16" s="15">
        <f>내역서!J15</f>
        <v>12</v>
      </c>
      <c r="J16" s="15"/>
      <c r="K16" s="12" t="s">
        <v>491</v>
      </c>
      <c r="L16" s="15" t="s">
        <v>445</v>
      </c>
      <c r="M16" s="15">
        <v>0.2</v>
      </c>
      <c r="N16" s="15">
        <v>75</v>
      </c>
      <c r="O16" s="15">
        <f t="shared" si="1"/>
        <v>1.8000000000000003</v>
      </c>
      <c r="P16" s="30"/>
      <c r="Q16" s="30">
        <f t="shared" si="2"/>
        <v>0</v>
      </c>
      <c r="R16" s="30"/>
      <c r="S16" s="15" t="s">
        <v>535</v>
      </c>
      <c r="T16" s="15"/>
      <c r="AA16" s="2">
        <f t="shared" si="3"/>
        <v>1.8000000000000003</v>
      </c>
    </row>
    <row r="17" spans="2:30" ht="25.05" customHeight="1">
      <c r="B17" s="13" t="s">
        <v>532</v>
      </c>
      <c r="C17" s="13" t="s">
        <v>402</v>
      </c>
      <c r="D17" s="12" t="s">
        <v>187</v>
      </c>
      <c r="E17" s="12" t="s">
        <v>351</v>
      </c>
      <c r="F17" s="15" t="s">
        <v>343</v>
      </c>
      <c r="G17" s="15">
        <f>내역서!G17</f>
        <v>2</v>
      </c>
      <c r="H17" s="15">
        <f t="shared" si="0"/>
        <v>0</v>
      </c>
      <c r="I17" s="15">
        <f>내역서!J17</f>
        <v>2</v>
      </c>
      <c r="J17" s="15"/>
      <c r="K17" s="12" t="s">
        <v>491</v>
      </c>
      <c r="L17" s="15" t="s">
        <v>445</v>
      </c>
      <c r="M17" s="15">
        <v>0.17</v>
      </c>
      <c r="N17" s="15">
        <v>75</v>
      </c>
      <c r="O17" s="15">
        <f t="shared" si="1"/>
        <v>0.255</v>
      </c>
      <c r="P17" s="30"/>
      <c r="Q17" s="30">
        <f t="shared" si="2"/>
        <v>0</v>
      </c>
      <c r="R17" s="30"/>
      <c r="S17" s="15" t="s">
        <v>536</v>
      </c>
      <c r="T17" s="15"/>
      <c r="AA17" s="2">
        <f t="shared" si="3"/>
        <v>0.255</v>
      </c>
    </row>
    <row r="18" spans="2:30" ht="25.05" customHeight="1">
      <c r="B18" s="13" t="s">
        <v>532</v>
      </c>
      <c r="C18" s="13" t="s">
        <v>403</v>
      </c>
      <c r="D18" s="12" t="s">
        <v>187</v>
      </c>
      <c r="E18" s="12" t="s">
        <v>352</v>
      </c>
      <c r="F18" s="15" t="s">
        <v>343</v>
      </c>
      <c r="G18" s="15">
        <f>내역서!G18</f>
        <v>1</v>
      </c>
      <c r="H18" s="15">
        <f t="shared" si="0"/>
        <v>0</v>
      </c>
      <c r="I18" s="15">
        <f>내역서!J18</f>
        <v>1</v>
      </c>
      <c r="J18" s="15"/>
      <c r="K18" s="12" t="s">
        <v>491</v>
      </c>
      <c r="L18" s="15" t="s">
        <v>445</v>
      </c>
      <c r="M18" s="15">
        <v>0.55000000000000004</v>
      </c>
      <c r="N18" s="15">
        <v>75</v>
      </c>
      <c r="O18" s="15">
        <f t="shared" si="1"/>
        <v>0.41250000000000003</v>
      </c>
      <c r="P18" s="30"/>
      <c r="Q18" s="30">
        <f t="shared" si="2"/>
        <v>0</v>
      </c>
      <c r="R18" s="30"/>
      <c r="S18" s="15" t="s">
        <v>536</v>
      </c>
      <c r="T18" s="15"/>
      <c r="AA18" s="2">
        <f t="shared" si="3"/>
        <v>0.41250000000000003</v>
      </c>
    </row>
    <row r="19" spans="2:30" ht="25.05" customHeight="1">
      <c r="B19" s="13" t="s">
        <v>532</v>
      </c>
      <c r="C19" s="13" t="s">
        <v>404</v>
      </c>
      <c r="D19" s="12" t="s">
        <v>353</v>
      </c>
      <c r="E19" s="12" t="s">
        <v>354</v>
      </c>
      <c r="F19" s="15" t="s">
        <v>333</v>
      </c>
      <c r="G19" s="15">
        <f>내역서!G19</f>
        <v>748</v>
      </c>
      <c r="H19" s="15">
        <f t="shared" si="0"/>
        <v>68</v>
      </c>
      <c r="I19" s="15">
        <f>내역서!J19</f>
        <v>680</v>
      </c>
      <c r="J19" s="15">
        <v>10</v>
      </c>
      <c r="K19" s="12" t="s">
        <v>491</v>
      </c>
      <c r="L19" s="15" t="s">
        <v>445</v>
      </c>
      <c r="M19" s="15">
        <v>0.01</v>
      </c>
      <c r="N19" s="15">
        <v>75</v>
      </c>
      <c r="O19" s="15">
        <f t="shared" si="1"/>
        <v>5.0999999999999996</v>
      </c>
      <c r="P19" s="30"/>
      <c r="Q19" s="30">
        <f t="shared" si="2"/>
        <v>0</v>
      </c>
      <c r="R19" s="30"/>
      <c r="S19" s="15" t="s">
        <v>506</v>
      </c>
      <c r="T19" s="15"/>
      <c r="AA19" s="2">
        <f t="shared" si="3"/>
        <v>5.0999999999999996</v>
      </c>
    </row>
    <row r="20" spans="2:30" ht="25.05" customHeight="1">
      <c r="B20" s="13" t="s">
        <v>532</v>
      </c>
      <c r="C20" s="13" t="s">
        <v>407</v>
      </c>
      <c r="D20" s="12" t="s">
        <v>353</v>
      </c>
      <c r="E20" s="12" t="s">
        <v>355</v>
      </c>
      <c r="F20" s="15" t="s">
        <v>333</v>
      </c>
      <c r="G20" s="15">
        <f>내역서!G20</f>
        <v>3029</v>
      </c>
      <c r="H20" s="15">
        <f t="shared" si="0"/>
        <v>276</v>
      </c>
      <c r="I20" s="15">
        <f>내역서!J20</f>
        <v>2753</v>
      </c>
      <c r="J20" s="15">
        <v>10</v>
      </c>
      <c r="K20" s="12" t="s">
        <v>491</v>
      </c>
      <c r="L20" s="15" t="s">
        <v>445</v>
      </c>
      <c r="M20" s="15">
        <v>0.01</v>
      </c>
      <c r="N20" s="15">
        <v>75</v>
      </c>
      <c r="O20" s="15">
        <f t="shared" si="1"/>
        <v>20.647500000000001</v>
      </c>
      <c r="P20" s="30"/>
      <c r="Q20" s="30">
        <f t="shared" si="2"/>
        <v>0</v>
      </c>
      <c r="R20" s="30"/>
      <c r="S20" s="15" t="s">
        <v>506</v>
      </c>
      <c r="T20" s="15"/>
      <c r="AA20" s="2">
        <f t="shared" si="3"/>
        <v>20.647500000000001</v>
      </c>
    </row>
    <row r="21" spans="2:30" ht="25.05" customHeight="1">
      <c r="B21" s="13" t="s">
        <v>532</v>
      </c>
      <c r="C21" s="13" t="s">
        <v>408</v>
      </c>
      <c r="D21" s="12" t="s">
        <v>356</v>
      </c>
      <c r="E21" s="12" t="s">
        <v>357</v>
      </c>
      <c r="F21" s="15" t="s">
        <v>333</v>
      </c>
      <c r="G21" s="15">
        <f>내역서!G21</f>
        <v>276</v>
      </c>
      <c r="H21" s="15">
        <f t="shared" si="0"/>
        <v>14</v>
      </c>
      <c r="I21" s="15">
        <f>내역서!J21</f>
        <v>262</v>
      </c>
      <c r="J21" s="15">
        <v>5</v>
      </c>
      <c r="K21" s="12" t="s">
        <v>492</v>
      </c>
      <c r="L21" s="15" t="s">
        <v>448</v>
      </c>
      <c r="M21" s="15">
        <v>1.4E-2</v>
      </c>
      <c r="N21" s="15">
        <v>75</v>
      </c>
      <c r="O21" s="15">
        <f t="shared" si="1"/>
        <v>2.7510000000000003</v>
      </c>
      <c r="P21" s="30"/>
      <c r="Q21" s="30">
        <f t="shared" si="2"/>
        <v>0</v>
      </c>
      <c r="R21" s="30"/>
      <c r="S21" s="15" t="s">
        <v>537</v>
      </c>
      <c r="T21" s="15"/>
      <c r="AB21" s="2">
        <f>O21</f>
        <v>2.7510000000000003</v>
      </c>
    </row>
    <row r="22" spans="2:30" ht="25.05" customHeight="1">
      <c r="B22" s="13" t="s">
        <v>532</v>
      </c>
      <c r="C22" s="13" t="s">
        <v>411</v>
      </c>
      <c r="D22" s="12" t="s">
        <v>356</v>
      </c>
      <c r="E22" s="12" t="s">
        <v>358</v>
      </c>
      <c r="F22" s="15" t="s">
        <v>333</v>
      </c>
      <c r="G22" s="15">
        <f>내역서!G22</f>
        <v>138</v>
      </c>
      <c r="H22" s="15">
        <f t="shared" si="0"/>
        <v>7</v>
      </c>
      <c r="I22" s="15">
        <f>내역서!J22</f>
        <v>131</v>
      </c>
      <c r="J22" s="15">
        <v>5</v>
      </c>
      <c r="K22" s="12" t="s">
        <v>492</v>
      </c>
      <c r="L22" s="15" t="s">
        <v>448</v>
      </c>
      <c r="M22" s="15">
        <v>1.9E-2</v>
      </c>
      <c r="N22" s="15">
        <v>75</v>
      </c>
      <c r="O22" s="15">
        <f t="shared" si="1"/>
        <v>1.8667499999999999</v>
      </c>
      <c r="P22" s="30"/>
      <c r="Q22" s="30">
        <f t="shared" si="2"/>
        <v>0</v>
      </c>
      <c r="R22" s="30"/>
      <c r="S22" s="15" t="s">
        <v>537</v>
      </c>
      <c r="T22" s="15"/>
      <c r="AB22" s="2">
        <f>O22</f>
        <v>1.8667499999999999</v>
      </c>
    </row>
    <row r="23" spans="2:30" ht="25.05" customHeight="1">
      <c r="B23" s="13" t="s">
        <v>532</v>
      </c>
      <c r="C23" s="13" t="s">
        <v>412</v>
      </c>
      <c r="D23" s="12" t="s">
        <v>356</v>
      </c>
      <c r="E23" s="12" t="s">
        <v>359</v>
      </c>
      <c r="F23" s="15" t="s">
        <v>333</v>
      </c>
      <c r="G23" s="15">
        <f>내역서!G23</f>
        <v>551</v>
      </c>
      <c r="H23" s="15">
        <f t="shared" si="0"/>
        <v>27</v>
      </c>
      <c r="I23" s="15">
        <f>내역서!J23</f>
        <v>524</v>
      </c>
      <c r="J23" s="15">
        <v>5</v>
      </c>
      <c r="K23" s="12" t="s">
        <v>492</v>
      </c>
      <c r="L23" s="15" t="s">
        <v>448</v>
      </c>
      <c r="M23" s="15">
        <v>2.5999999999999999E-2</v>
      </c>
      <c r="N23" s="15">
        <v>75</v>
      </c>
      <c r="O23" s="15">
        <f t="shared" si="1"/>
        <v>10.218</v>
      </c>
      <c r="P23" s="30"/>
      <c r="Q23" s="30">
        <f t="shared" si="2"/>
        <v>0</v>
      </c>
      <c r="R23" s="30"/>
      <c r="S23" s="15" t="s">
        <v>537</v>
      </c>
      <c r="T23" s="15"/>
      <c r="AB23" s="2">
        <f>O23</f>
        <v>10.218</v>
      </c>
    </row>
    <row r="24" spans="2:30" ht="25.05" customHeight="1">
      <c r="B24" s="13" t="s">
        <v>532</v>
      </c>
      <c r="C24" s="13" t="s">
        <v>413</v>
      </c>
      <c r="D24" s="12" t="s">
        <v>360</v>
      </c>
      <c r="E24" s="12" t="s">
        <v>361</v>
      </c>
      <c r="F24" s="15" t="s">
        <v>343</v>
      </c>
      <c r="G24" s="15">
        <f>내역서!G24</f>
        <v>4</v>
      </c>
      <c r="H24" s="15">
        <f t="shared" si="0"/>
        <v>0</v>
      </c>
      <c r="I24" s="15">
        <f>내역서!J24</f>
        <v>4</v>
      </c>
      <c r="J24" s="15"/>
      <c r="K24" s="12" t="s">
        <v>491</v>
      </c>
      <c r="L24" s="15" t="s">
        <v>445</v>
      </c>
      <c r="M24" s="15">
        <v>0.13</v>
      </c>
      <c r="N24" s="15">
        <v>75</v>
      </c>
      <c r="O24" s="15">
        <f t="shared" si="1"/>
        <v>0.39</v>
      </c>
      <c r="P24" s="30"/>
      <c r="Q24" s="30">
        <f t="shared" si="2"/>
        <v>0</v>
      </c>
      <c r="R24" s="30"/>
      <c r="S24" s="15" t="s">
        <v>538</v>
      </c>
      <c r="T24" s="15"/>
      <c r="AA24" s="2">
        <f t="shared" ref="AA24:AA31" si="4">O24</f>
        <v>0.39</v>
      </c>
    </row>
    <row r="25" spans="2:30" ht="25.05" customHeight="1">
      <c r="B25" s="13" t="s">
        <v>532</v>
      </c>
      <c r="C25" s="13" t="s">
        <v>416</v>
      </c>
      <c r="D25" s="12" t="s">
        <v>360</v>
      </c>
      <c r="E25" s="12" t="s">
        <v>589</v>
      </c>
      <c r="F25" s="15" t="s">
        <v>600</v>
      </c>
      <c r="G25" s="15">
        <f>내역서!G25</f>
        <v>3</v>
      </c>
      <c r="H25" s="15">
        <f t="shared" si="0"/>
        <v>0</v>
      </c>
      <c r="I25" s="15">
        <f>내역서!J25</f>
        <v>3</v>
      </c>
      <c r="J25" s="15"/>
      <c r="K25" s="12" t="s">
        <v>491</v>
      </c>
      <c r="L25" s="15" t="s">
        <v>445</v>
      </c>
      <c r="M25" s="15">
        <v>0.15</v>
      </c>
      <c r="N25" s="15">
        <v>75</v>
      </c>
      <c r="O25" s="15">
        <f t="shared" si="1"/>
        <v>0.33749999999999997</v>
      </c>
      <c r="P25" s="30"/>
      <c r="Q25" s="30">
        <f t="shared" si="2"/>
        <v>0</v>
      </c>
      <c r="R25" s="30"/>
      <c r="S25" s="15" t="s">
        <v>539</v>
      </c>
      <c r="T25" s="15"/>
      <c r="AA25" s="2">
        <f t="shared" si="4"/>
        <v>0.33749999999999997</v>
      </c>
    </row>
    <row r="26" spans="2:30" ht="25.05" customHeight="1">
      <c r="B26" s="13" t="s">
        <v>532</v>
      </c>
      <c r="C26" s="13" t="s">
        <v>428</v>
      </c>
      <c r="D26" s="12" t="s">
        <v>363</v>
      </c>
      <c r="E26" s="12" t="s">
        <v>262</v>
      </c>
      <c r="F26" s="15" t="s">
        <v>343</v>
      </c>
      <c r="G26" s="15">
        <f>내역서!G26</f>
        <v>6</v>
      </c>
      <c r="H26" s="15">
        <f t="shared" si="0"/>
        <v>0</v>
      </c>
      <c r="I26" s="15">
        <f>내역서!J26</f>
        <v>6</v>
      </c>
      <c r="J26" s="15"/>
      <c r="K26" s="12" t="s">
        <v>491</v>
      </c>
      <c r="L26" s="15" t="s">
        <v>445</v>
      </c>
      <c r="M26" s="15">
        <v>0.15</v>
      </c>
      <c r="N26" s="15">
        <v>75</v>
      </c>
      <c r="O26" s="15">
        <f t="shared" si="1"/>
        <v>0.67499999999999993</v>
      </c>
      <c r="P26" s="30"/>
      <c r="Q26" s="30">
        <f t="shared" si="2"/>
        <v>0</v>
      </c>
      <c r="R26" s="30"/>
      <c r="S26" s="15" t="s">
        <v>504</v>
      </c>
      <c r="T26" s="15"/>
      <c r="AA26" s="2">
        <f t="shared" si="4"/>
        <v>0.67499999999999993</v>
      </c>
    </row>
    <row r="27" spans="2:30" ht="25.05" customHeight="1">
      <c r="B27" s="13" t="s">
        <v>532</v>
      </c>
      <c r="C27" s="13" t="s">
        <v>430</v>
      </c>
      <c r="D27" s="12" t="s">
        <v>249</v>
      </c>
      <c r="E27" s="12"/>
      <c r="F27" s="15" t="s">
        <v>343</v>
      </c>
      <c r="G27" s="15">
        <f>내역서!G27</f>
        <v>6</v>
      </c>
      <c r="H27" s="15">
        <f t="shared" si="0"/>
        <v>0</v>
      </c>
      <c r="I27" s="15">
        <f>내역서!J27</f>
        <v>6</v>
      </c>
      <c r="J27" s="15"/>
      <c r="K27" s="12" t="s">
        <v>491</v>
      </c>
      <c r="L27" s="15" t="s">
        <v>445</v>
      </c>
      <c r="M27" s="15">
        <v>0.09</v>
      </c>
      <c r="N27" s="15">
        <v>75</v>
      </c>
      <c r="O27" s="15">
        <f t="shared" si="1"/>
        <v>0.40500000000000003</v>
      </c>
      <c r="P27" s="30"/>
      <c r="Q27" s="30">
        <f t="shared" si="2"/>
        <v>0</v>
      </c>
      <c r="R27" s="30"/>
      <c r="S27" s="15" t="s">
        <v>540</v>
      </c>
      <c r="T27" s="15"/>
      <c r="AA27" s="2">
        <f t="shared" si="4"/>
        <v>0.40500000000000003</v>
      </c>
    </row>
    <row r="28" spans="2:30" ht="25.05" customHeight="1">
      <c r="B28" s="13" t="s">
        <v>532</v>
      </c>
      <c r="C28" s="13" t="s">
        <v>435</v>
      </c>
      <c r="D28" s="12" t="s">
        <v>364</v>
      </c>
      <c r="E28" s="12" t="s">
        <v>365</v>
      </c>
      <c r="F28" s="15" t="s">
        <v>366</v>
      </c>
      <c r="G28" s="15">
        <f>내역서!G28</f>
        <v>1</v>
      </c>
      <c r="H28" s="15">
        <f t="shared" si="0"/>
        <v>0</v>
      </c>
      <c r="I28" s="15">
        <f>내역서!J28</f>
        <v>1</v>
      </c>
      <c r="J28" s="15"/>
      <c r="K28" s="12" t="s">
        <v>491</v>
      </c>
      <c r="L28" s="15" t="s">
        <v>445</v>
      </c>
      <c r="M28" s="15">
        <v>13.5</v>
      </c>
      <c r="N28" s="15">
        <v>75</v>
      </c>
      <c r="O28" s="15">
        <f t="shared" si="1"/>
        <v>10.125</v>
      </c>
      <c r="P28" s="30"/>
      <c r="Q28" s="30">
        <f t="shared" si="2"/>
        <v>0</v>
      </c>
      <c r="R28" s="30"/>
      <c r="S28" s="15" t="s">
        <v>541</v>
      </c>
      <c r="T28" s="15"/>
      <c r="AA28" s="2">
        <f t="shared" si="4"/>
        <v>10.125</v>
      </c>
    </row>
    <row r="29" spans="2:30" ht="25.05" customHeight="1">
      <c r="B29" s="13" t="s">
        <v>532</v>
      </c>
      <c r="C29" s="13" t="s">
        <v>436</v>
      </c>
      <c r="D29" s="12" t="s">
        <v>367</v>
      </c>
      <c r="E29" s="12" t="s">
        <v>262</v>
      </c>
      <c r="F29" s="15" t="s">
        <v>343</v>
      </c>
      <c r="G29" s="15">
        <f>내역서!G29</f>
        <v>2</v>
      </c>
      <c r="H29" s="15">
        <f t="shared" si="0"/>
        <v>0</v>
      </c>
      <c r="I29" s="15">
        <f>내역서!J29</f>
        <v>2</v>
      </c>
      <c r="J29" s="15"/>
      <c r="K29" s="12" t="s">
        <v>491</v>
      </c>
      <c r="L29" s="15" t="s">
        <v>445</v>
      </c>
      <c r="M29" s="15">
        <v>0.36</v>
      </c>
      <c r="N29" s="15">
        <v>75</v>
      </c>
      <c r="O29" s="15">
        <f t="shared" si="1"/>
        <v>0.54</v>
      </c>
      <c r="P29" s="30"/>
      <c r="Q29" s="30">
        <f t="shared" si="2"/>
        <v>0</v>
      </c>
      <c r="R29" s="30"/>
      <c r="S29" s="15" t="s">
        <v>542</v>
      </c>
      <c r="T29" s="15"/>
      <c r="AA29" s="2">
        <f t="shared" si="4"/>
        <v>0.54</v>
      </c>
    </row>
    <row r="30" spans="2:30" ht="25.05" customHeight="1">
      <c r="B30" s="13" t="s">
        <v>532</v>
      </c>
      <c r="C30" s="13" t="s">
        <v>437</v>
      </c>
      <c r="D30" s="12" t="s">
        <v>598</v>
      </c>
      <c r="E30" s="12" t="s">
        <v>597</v>
      </c>
      <c r="F30" s="15" t="s">
        <v>343</v>
      </c>
      <c r="G30" s="15">
        <f>내역서!G30</f>
        <v>2</v>
      </c>
      <c r="H30" s="15">
        <f t="shared" si="0"/>
        <v>0</v>
      </c>
      <c r="I30" s="15">
        <f>내역서!J30</f>
        <v>2</v>
      </c>
      <c r="J30" s="15"/>
      <c r="K30" s="12" t="s">
        <v>491</v>
      </c>
      <c r="L30" s="15" t="s">
        <v>445</v>
      </c>
      <c r="M30" s="15">
        <v>1.68</v>
      </c>
      <c r="N30" s="15">
        <v>75</v>
      </c>
      <c r="O30" s="15">
        <f t="shared" si="1"/>
        <v>2.52</v>
      </c>
      <c r="P30" s="30"/>
      <c r="Q30" s="30">
        <f t="shared" si="2"/>
        <v>0</v>
      </c>
      <c r="R30" s="30"/>
      <c r="S30" s="15" t="s">
        <v>543</v>
      </c>
      <c r="T30" s="15"/>
      <c r="AA30" s="2">
        <f t="shared" si="4"/>
        <v>2.52</v>
      </c>
    </row>
    <row r="31" spans="2:30" ht="25.05" customHeight="1">
      <c r="B31" s="13" t="s">
        <v>532</v>
      </c>
      <c r="C31" s="13" t="s">
        <v>438</v>
      </c>
      <c r="D31" s="53" t="s">
        <v>596</v>
      </c>
      <c r="E31" s="53"/>
      <c r="F31" s="15" t="s">
        <v>343</v>
      </c>
      <c r="G31" s="15">
        <f>내역서!G31</f>
        <v>1</v>
      </c>
      <c r="H31" s="15">
        <f t="shared" si="0"/>
        <v>0</v>
      </c>
      <c r="I31" s="15">
        <f>내역서!J31</f>
        <v>1</v>
      </c>
      <c r="J31" s="15"/>
      <c r="K31" s="12" t="s">
        <v>491</v>
      </c>
      <c r="L31" s="15" t="s">
        <v>445</v>
      </c>
      <c r="M31" s="15">
        <v>0.8</v>
      </c>
      <c r="N31" s="15">
        <v>75</v>
      </c>
      <c r="O31" s="15">
        <f t="shared" si="1"/>
        <v>0.60000000000000009</v>
      </c>
      <c r="P31" s="30"/>
      <c r="Q31" s="30">
        <f t="shared" si="2"/>
        <v>0</v>
      </c>
      <c r="R31" s="30"/>
      <c r="S31" s="15" t="s">
        <v>544</v>
      </c>
      <c r="T31" s="15"/>
      <c r="AA31" s="2">
        <f t="shared" si="4"/>
        <v>0.60000000000000009</v>
      </c>
    </row>
    <row r="32" spans="2:30" ht="25.05" customHeight="1">
      <c r="B32" s="13" t="s">
        <v>532</v>
      </c>
      <c r="C32" s="13" t="s">
        <v>443</v>
      </c>
      <c r="D32" s="12" t="s">
        <v>444</v>
      </c>
      <c r="E32" s="12" t="s">
        <v>445</v>
      </c>
      <c r="F32" s="15" t="s">
        <v>446</v>
      </c>
      <c r="G32" s="15">
        <f>IF(H32*I32/100+0.5 &lt;1, TRUNC(H32*I32/100, 3), TRUNC(H32*I32/100+0.5, J32))</f>
        <v>79</v>
      </c>
      <c r="H32" s="15">
        <f>(옵션!$B$12*옵션!$B$41)/100</f>
        <v>100</v>
      </c>
      <c r="I32" s="15">
        <f>SUM(AA5:AA31)</f>
        <v>79.249499999999998</v>
      </c>
      <c r="J32" s="15">
        <f>옵션!$C$41</f>
        <v>0</v>
      </c>
      <c r="K32" s="12"/>
      <c r="L32" s="15"/>
      <c r="M32" s="15"/>
      <c r="N32" s="15"/>
      <c r="O32" s="15" t="str">
        <f t="shared" si="1"/>
        <v/>
      </c>
      <c r="P32" s="30"/>
      <c r="Q32" s="30">
        <f t="shared" si="2"/>
        <v>0</v>
      </c>
      <c r="R32" s="30"/>
      <c r="S32" s="15"/>
      <c r="T32" s="15"/>
      <c r="Z32" s="2" t="s">
        <v>503</v>
      </c>
      <c r="AA32" s="2">
        <f>SUM(AA5:AA31)</f>
        <v>79.249499999999998</v>
      </c>
      <c r="AB32" s="2">
        <f>SUM(AB5:AB31)</f>
        <v>14.835750000000001</v>
      </c>
      <c r="AC32" s="2">
        <f>SUM(AC5:AC31)</f>
        <v>1.8667500000000001</v>
      </c>
      <c r="AD32" s="2">
        <f>SUM(AD5:AD31)</f>
        <v>4.5194999999999999</v>
      </c>
    </row>
    <row r="33" spans="2:20" ht="25.05" customHeight="1">
      <c r="B33" s="13" t="s">
        <v>532</v>
      </c>
      <c r="C33" s="13" t="s">
        <v>447</v>
      </c>
      <c r="D33" s="12" t="s">
        <v>444</v>
      </c>
      <c r="E33" s="12" t="s">
        <v>448</v>
      </c>
      <c r="F33" s="15" t="s">
        <v>446</v>
      </c>
      <c r="G33" s="15">
        <f>IF(H33*I33/100+0.5 &lt;1, TRUNC(H33*I33/100, 3), TRUNC(H33*I33/100+0.5, J33))</f>
        <v>15</v>
      </c>
      <c r="H33" s="15">
        <f>(옵션!$B$12*옵션!$B$41)/100</f>
        <v>100</v>
      </c>
      <c r="I33" s="15">
        <f>SUM(AB5:AB31)</f>
        <v>14.835750000000001</v>
      </c>
      <c r="J33" s="15">
        <f>옵션!$C$41</f>
        <v>0</v>
      </c>
      <c r="K33" s="12"/>
      <c r="L33" s="15"/>
      <c r="M33" s="15"/>
      <c r="N33" s="15"/>
      <c r="O33" s="15" t="str">
        <f t="shared" si="1"/>
        <v/>
      </c>
      <c r="P33" s="30"/>
      <c r="Q33" s="30">
        <f t="shared" si="2"/>
        <v>0</v>
      </c>
      <c r="R33" s="30"/>
      <c r="S33" s="15"/>
      <c r="T33" s="15"/>
    </row>
    <row r="34" spans="2:20" ht="25.05" customHeight="1">
      <c r="B34" s="13" t="s">
        <v>532</v>
      </c>
      <c r="C34" s="13" t="s">
        <v>449</v>
      </c>
      <c r="D34" s="12" t="s">
        <v>444</v>
      </c>
      <c r="E34" s="12" t="s">
        <v>450</v>
      </c>
      <c r="F34" s="15" t="s">
        <v>446</v>
      </c>
      <c r="G34" s="15">
        <f>IF(H34*I34/100+0.5 &lt;1, TRUNC(H34*I34/100, 3), TRUNC(H34*I34/100+0.5, J34))</f>
        <v>2</v>
      </c>
      <c r="H34" s="15">
        <f>(옵션!$B$12*옵션!$B$41)/100</f>
        <v>100</v>
      </c>
      <c r="I34" s="15">
        <f>SUM(AC5:AC31)</f>
        <v>1.8667500000000001</v>
      </c>
      <c r="J34" s="15">
        <f>옵션!$C$41</f>
        <v>0</v>
      </c>
      <c r="K34" s="12"/>
      <c r="L34" s="15"/>
      <c r="M34" s="15"/>
      <c r="N34" s="15"/>
      <c r="O34" s="15" t="str">
        <f t="shared" si="1"/>
        <v/>
      </c>
      <c r="P34" s="30"/>
      <c r="Q34" s="30">
        <f t="shared" si="2"/>
        <v>0</v>
      </c>
      <c r="R34" s="30"/>
      <c r="S34" s="15"/>
      <c r="T34" s="15"/>
    </row>
    <row r="35" spans="2:20" ht="25.05" customHeight="1">
      <c r="B35" s="13" t="s">
        <v>532</v>
      </c>
      <c r="C35" s="13" t="s">
        <v>451</v>
      </c>
      <c r="D35" s="12" t="s">
        <v>444</v>
      </c>
      <c r="E35" s="12" t="s">
        <v>452</v>
      </c>
      <c r="F35" s="15" t="s">
        <v>446</v>
      </c>
      <c r="G35" s="15">
        <f>IF(H35*I35/100+0.5 &lt;1, TRUNC(H35*I35/100, 3), TRUNC(H35*I35/100+0.5, J35))</f>
        <v>5</v>
      </c>
      <c r="H35" s="15">
        <f>(옵션!$B$12*옵션!$B$41)/100</f>
        <v>100</v>
      </c>
      <c r="I35" s="15">
        <f>SUM(AD5:AD31)</f>
        <v>4.5194999999999999</v>
      </c>
      <c r="J35" s="15">
        <f>옵션!$C$41</f>
        <v>0</v>
      </c>
      <c r="K35" s="12"/>
      <c r="L35" s="15"/>
      <c r="M35" s="15"/>
      <c r="N35" s="15"/>
      <c r="O35" s="15" t="str">
        <f t="shared" si="1"/>
        <v/>
      </c>
      <c r="P35" s="30"/>
      <c r="Q35" s="30">
        <f t="shared" si="2"/>
        <v>0</v>
      </c>
      <c r="R35" s="30"/>
      <c r="S35" s="15"/>
      <c r="T35" s="15"/>
    </row>
    <row r="36" spans="2:20" ht="25.05" customHeight="1">
      <c r="D36" s="12"/>
      <c r="E36" s="12"/>
      <c r="F36" s="15"/>
      <c r="G36" s="15"/>
      <c r="H36" s="15"/>
      <c r="I36" s="15"/>
      <c r="J36" s="15"/>
      <c r="K36" s="12"/>
      <c r="L36" s="15"/>
      <c r="M36" s="15"/>
      <c r="N36" s="15"/>
      <c r="O36" s="15"/>
      <c r="P36" s="30"/>
      <c r="Q36" s="30"/>
      <c r="R36" s="30"/>
      <c r="S36" s="15"/>
      <c r="T36" s="15"/>
    </row>
    <row r="37" spans="2:20" ht="25.05" customHeight="1">
      <c r="D37" s="12"/>
      <c r="E37" s="12"/>
      <c r="F37" s="15"/>
      <c r="G37" s="15"/>
      <c r="H37" s="15"/>
      <c r="I37" s="15"/>
      <c r="J37" s="15"/>
      <c r="K37" s="12"/>
      <c r="L37" s="15"/>
      <c r="M37" s="15"/>
      <c r="N37" s="15"/>
      <c r="O37" s="15"/>
      <c r="P37" s="30"/>
      <c r="Q37" s="30"/>
      <c r="R37" s="30"/>
      <c r="S37" s="15"/>
      <c r="T37" s="15"/>
    </row>
    <row r="38" spans="2:20" ht="25.05" customHeight="1">
      <c r="D38" s="12"/>
      <c r="E38" s="12"/>
      <c r="F38" s="15"/>
      <c r="G38" s="15"/>
      <c r="H38" s="15"/>
      <c r="I38" s="15"/>
      <c r="J38" s="15"/>
      <c r="K38" s="12"/>
      <c r="L38" s="15"/>
      <c r="M38" s="15"/>
      <c r="N38" s="15"/>
      <c r="O38" s="15"/>
      <c r="P38" s="30"/>
      <c r="Q38" s="30"/>
      <c r="R38" s="30"/>
      <c r="S38" s="15"/>
      <c r="T38" s="15"/>
    </row>
    <row r="39" spans="2:20" ht="25.05" customHeight="1">
      <c r="D39" s="12"/>
      <c r="E39" s="12"/>
      <c r="F39" s="15"/>
      <c r="G39" s="15"/>
      <c r="H39" s="15"/>
      <c r="I39" s="15"/>
      <c r="J39" s="15"/>
      <c r="K39" s="12"/>
      <c r="L39" s="15"/>
      <c r="M39" s="15"/>
      <c r="N39" s="15"/>
      <c r="O39" s="15"/>
      <c r="P39" s="30"/>
      <c r="Q39" s="30"/>
      <c r="R39" s="30"/>
      <c r="S39" s="15"/>
      <c r="T39" s="15"/>
    </row>
    <row r="40" spans="2:20" ht="25.05" customHeight="1">
      <c r="D40" s="12"/>
      <c r="E40" s="12"/>
      <c r="F40" s="15"/>
      <c r="G40" s="15"/>
      <c r="H40" s="15"/>
      <c r="I40" s="15"/>
      <c r="J40" s="15"/>
      <c r="K40" s="12"/>
      <c r="L40" s="15"/>
      <c r="M40" s="15"/>
      <c r="N40" s="15"/>
      <c r="O40" s="15"/>
      <c r="P40" s="30"/>
      <c r="Q40" s="30"/>
      <c r="R40" s="30"/>
      <c r="S40" s="15"/>
      <c r="T40" s="15"/>
    </row>
    <row r="41" spans="2:20" ht="25.05" customHeight="1">
      <c r="D41" s="12"/>
      <c r="E41" s="12"/>
      <c r="F41" s="15"/>
      <c r="G41" s="15"/>
      <c r="H41" s="15"/>
      <c r="I41" s="15"/>
      <c r="J41" s="15"/>
      <c r="K41" s="12"/>
      <c r="L41" s="15"/>
      <c r="M41" s="15"/>
      <c r="N41" s="15"/>
      <c r="O41" s="15"/>
      <c r="P41" s="30"/>
      <c r="Q41" s="30"/>
      <c r="R41" s="30"/>
      <c r="S41" s="15"/>
      <c r="T41" s="15"/>
    </row>
    <row r="42" spans="2:20" ht="25.05" customHeight="1">
      <c r="D42" s="12"/>
      <c r="E42" s="12"/>
      <c r="F42" s="15"/>
      <c r="G42" s="15"/>
      <c r="H42" s="15"/>
      <c r="I42" s="15"/>
      <c r="J42" s="15"/>
      <c r="K42" s="12"/>
      <c r="L42" s="15"/>
      <c r="M42" s="15"/>
      <c r="N42" s="15"/>
      <c r="O42" s="15"/>
      <c r="P42" s="30"/>
      <c r="Q42" s="30"/>
      <c r="R42" s="30"/>
      <c r="S42" s="15"/>
      <c r="T42" s="15"/>
    </row>
    <row r="43" spans="2:20" ht="25.05" customHeight="1">
      <c r="D43" s="12"/>
      <c r="E43" s="12"/>
      <c r="F43" s="15"/>
      <c r="G43" s="15"/>
      <c r="H43" s="15"/>
      <c r="I43" s="15"/>
      <c r="J43" s="15"/>
      <c r="K43" s="12"/>
      <c r="L43" s="15"/>
      <c r="M43" s="15"/>
      <c r="N43" s="15"/>
      <c r="O43" s="15"/>
      <c r="P43" s="30"/>
      <c r="Q43" s="30"/>
      <c r="R43" s="30"/>
      <c r="S43" s="15"/>
      <c r="T43" s="15"/>
    </row>
    <row r="44" spans="2:20" ht="25.05" customHeight="1">
      <c r="D44" s="12"/>
      <c r="E44" s="12"/>
      <c r="F44" s="15"/>
      <c r="G44" s="15"/>
      <c r="H44" s="15"/>
      <c r="I44" s="15"/>
      <c r="J44" s="15"/>
      <c r="K44" s="12"/>
      <c r="L44" s="15"/>
      <c r="M44" s="15"/>
      <c r="N44" s="15"/>
      <c r="O44" s="15"/>
      <c r="P44" s="30"/>
      <c r="Q44" s="30"/>
      <c r="R44" s="30"/>
      <c r="S44" s="15"/>
      <c r="T44" s="15"/>
    </row>
    <row r="45" spans="2:20" ht="25.05" customHeight="1">
      <c r="D45" s="12"/>
      <c r="E45" s="12"/>
      <c r="F45" s="15"/>
      <c r="G45" s="15"/>
      <c r="H45" s="15"/>
      <c r="I45" s="15"/>
      <c r="J45" s="15"/>
      <c r="K45" s="12"/>
      <c r="L45" s="15"/>
      <c r="M45" s="15"/>
      <c r="N45" s="15"/>
      <c r="O45" s="15"/>
      <c r="P45" s="30"/>
      <c r="Q45" s="30"/>
      <c r="R45" s="30"/>
      <c r="S45" s="15"/>
      <c r="T45" s="15"/>
    </row>
    <row r="46" spans="2:20" ht="25.05" customHeight="1">
      <c r="D46" s="12"/>
      <c r="E46" s="12"/>
      <c r="F46" s="15"/>
      <c r="G46" s="15"/>
      <c r="H46" s="15"/>
      <c r="I46" s="15"/>
      <c r="J46" s="15"/>
      <c r="K46" s="12"/>
      <c r="L46" s="15"/>
      <c r="M46" s="15"/>
      <c r="N46" s="15"/>
      <c r="O46" s="15"/>
      <c r="P46" s="30"/>
      <c r="Q46" s="30"/>
      <c r="R46" s="30"/>
      <c r="S46" s="15"/>
      <c r="T46" s="15"/>
    </row>
    <row r="47" spans="2:20" ht="25.05" customHeight="1">
      <c r="D47" s="12"/>
      <c r="E47" s="12"/>
      <c r="F47" s="15"/>
      <c r="G47" s="15"/>
      <c r="H47" s="15"/>
      <c r="I47" s="15"/>
      <c r="J47" s="15"/>
      <c r="K47" s="12"/>
      <c r="L47" s="15"/>
      <c r="M47" s="15"/>
      <c r="N47" s="15"/>
      <c r="O47" s="15"/>
      <c r="P47" s="30"/>
      <c r="Q47" s="30"/>
      <c r="R47" s="30"/>
      <c r="S47" s="15"/>
      <c r="T47" s="15"/>
    </row>
    <row r="48" spans="2:20" ht="25.05" customHeight="1">
      <c r="B48" s="13" t="s">
        <v>508</v>
      </c>
      <c r="D48" s="203" t="s">
        <v>645</v>
      </c>
      <c r="E48" s="204"/>
      <c r="F48" s="204"/>
      <c r="G48" s="204"/>
      <c r="H48" s="204"/>
      <c r="I48" s="204"/>
      <c r="J48" s="204"/>
      <c r="K48" s="204"/>
      <c r="L48" s="204"/>
      <c r="M48" s="204"/>
      <c r="N48" s="204"/>
      <c r="O48" s="204"/>
      <c r="P48" s="204"/>
      <c r="Q48" s="204"/>
      <c r="R48" s="204"/>
      <c r="S48" s="204"/>
      <c r="T48" s="205"/>
    </row>
    <row r="49" spans="2:27" ht="25.05" customHeight="1">
      <c r="B49" s="13" t="s">
        <v>545</v>
      </c>
      <c r="C49" s="13" t="s">
        <v>384</v>
      </c>
      <c r="D49" s="12" t="s">
        <v>331</v>
      </c>
      <c r="E49" s="12" t="s">
        <v>332</v>
      </c>
      <c r="F49" s="15" t="s">
        <v>333</v>
      </c>
      <c r="G49" s="15">
        <f>내역서!G55</f>
        <v>297</v>
      </c>
      <c r="H49" s="15">
        <f t="shared" ref="H49:H54" si="5">IF(I49&lt;&gt;0, G49-I49, "")</f>
        <v>27</v>
      </c>
      <c r="I49" s="15">
        <f>내역서!J55</f>
        <v>270</v>
      </c>
      <c r="J49" s="15">
        <v>10</v>
      </c>
      <c r="K49" s="12" t="s">
        <v>491</v>
      </c>
      <c r="L49" s="15" t="s">
        <v>445</v>
      </c>
      <c r="M49" s="15">
        <v>0.04</v>
      </c>
      <c r="N49" s="15">
        <v>75</v>
      </c>
      <c r="O49" s="15">
        <f t="shared" ref="O49:O55" si="6">IF(I49*M49=0, "", I49*M49*(N49/100))</f>
        <v>8.1000000000000014</v>
      </c>
      <c r="P49" s="30"/>
      <c r="Q49" s="30">
        <f t="shared" ref="Q49:Q55" si="7">TRUNC(P49*M49*N49/100)</f>
        <v>0</v>
      </c>
      <c r="R49" s="30"/>
      <c r="S49" s="15" t="s">
        <v>533</v>
      </c>
      <c r="T49" s="15"/>
      <c r="AA49" s="2">
        <f t="shared" ref="AA49:AA54" si="8">O49</f>
        <v>8.1000000000000014</v>
      </c>
    </row>
    <row r="50" spans="2:27" ht="25.05" customHeight="1">
      <c r="B50" s="13" t="s">
        <v>545</v>
      </c>
      <c r="C50" s="13" t="s">
        <v>398</v>
      </c>
      <c r="D50" s="12" t="s">
        <v>344</v>
      </c>
      <c r="E50" s="12" t="s">
        <v>346</v>
      </c>
      <c r="F50" s="15" t="s">
        <v>343</v>
      </c>
      <c r="G50" s="15">
        <f>내역서!G56</f>
        <v>13</v>
      </c>
      <c r="H50" s="15">
        <f t="shared" si="5"/>
        <v>0</v>
      </c>
      <c r="I50" s="15">
        <f>내역서!J56</f>
        <v>13</v>
      </c>
      <c r="J50" s="15"/>
      <c r="K50" s="12" t="s">
        <v>491</v>
      </c>
      <c r="L50" s="15" t="s">
        <v>445</v>
      </c>
      <c r="M50" s="15">
        <v>0.12</v>
      </c>
      <c r="N50" s="15">
        <v>75</v>
      </c>
      <c r="O50" s="15">
        <f t="shared" si="6"/>
        <v>1.17</v>
      </c>
      <c r="P50" s="30"/>
      <c r="Q50" s="30">
        <f t="shared" si="7"/>
        <v>0</v>
      </c>
      <c r="R50" s="30"/>
      <c r="S50" s="15" t="s">
        <v>535</v>
      </c>
      <c r="T50" s="15"/>
      <c r="AA50" s="2">
        <f t="shared" si="8"/>
        <v>1.17</v>
      </c>
    </row>
    <row r="51" spans="2:27" ht="25.05" customHeight="1">
      <c r="B51" s="13" t="s">
        <v>545</v>
      </c>
      <c r="C51" s="13" t="s">
        <v>407</v>
      </c>
      <c r="D51" s="12" t="s">
        <v>353</v>
      </c>
      <c r="E51" s="12" t="s">
        <v>355</v>
      </c>
      <c r="F51" s="15" t="s">
        <v>333</v>
      </c>
      <c r="G51" s="15">
        <f>내역서!G58</f>
        <v>594</v>
      </c>
      <c r="H51" s="15">
        <f t="shared" si="5"/>
        <v>54</v>
      </c>
      <c r="I51" s="15">
        <f>내역서!J58</f>
        <v>540</v>
      </c>
      <c r="J51" s="15">
        <v>10</v>
      </c>
      <c r="K51" s="12" t="s">
        <v>491</v>
      </c>
      <c r="L51" s="15" t="s">
        <v>445</v>
      </c>
      <c r="M51" s="15">
        <v>0.01</v>
      </c>
      <c r="N51" s="15">
        <v>75</v>
      </c>
      <c r="O51" s="15">
        <f t="shared" si="6"/>
        <v>4.0500000000000007</v>
      </c>
      <c r="P51" s="30"/>
      <c r="Q51" s="30">
        <f t="shared" si="7"/>
        <v>0</v>
      </c>
      <c r="R51" s="30"/>
      <c r="S51" s="15" t="s">
        <v>506</v>
      </c>
      <c r="T51" s="15"/>
      <c r="AA51" s="2">
        <f t="shared" si="8"/>
        <v>4.0500000000000007</v>
      </c>
    </row>
    <row r="52" spans="2:27" ht="25.05" customHeight="1">
      <c r="B52" s="13" t="s">
        <v>545</v>
      </c>
      <c r="C52" s="13" t="s">
        <v>417</v>
      </c>
      <c r="D52" s="12" t="s">
        <v>376</v>
      </c>
      <c r="E52" s="12" t="s">
        <v>377</v>
      </c>
      <c r="F52" s="15" t="s">
        <v>343</v>
      </c>
      <c r="G52" s="15">
        <f>내역서!G59</f>
        <v>2</v>
      </c>
      <c r="H52" s="15">
        <f t="shared" si="5"/>
        <v>0</v>
      </c>
      <c r="I52" s="15">
        <f>내역서!J59</f>
        <v>2</v>
      </c>
      <c r="J52" s="15"/>
      <c r="K52" s="12" t="s">
        <v>491</v>
      </c>
      <c r="L52" s="15" t="s">
        <v>445</v>
      </c>
      <c r="M52" s="15">
        <v>0.2</v>
      </c>
      <c r="N52" s="15">
        <v>75</v>
      </c>
      <c r="O52" s="15">
        <f t="shared" si="6"/>
        <v>0.30000000000000004</v>
      </c>
      <c r="P52" s="30"/>
      <c r="Q52" s="30">
        <f t="shared" si="7"/>
        <v>0</v>
      </c>
      <c r="R52" s="30"/>
      <c r="S52" s="15" t="s">
        <v>505</v>
      </c>
      <c r="T52" s="15"/>
      <c r="AA52" s="2">
        <f t="shared" si="8"/>
        <v>0.30000000000000004</v>
      </c>
    </row>
    <row r="53" spans="2:27" ht="25.05" customHeight="1">
      <c r="B53" s="13" t="s">
        <v>545</v>
      </c>
      <c r="C53" s="13" t="s">
        <v>419</v>
      </c>
      <c r="D53" s="12" t="s">
        <v>376</v>
      </c>
      <c r="E53" s="12" t="s">
        <v>378</v>
      </c>
      <c r="F53" s="15" t="s">
        <v>343</v>
      </c>
      <c r="G53" s="15">
        <f>내역서!G60</f>
        <v>4</v>
      </c>
      <c r="H53" s="15">
        <f t="shared" si="5"/>
        <v>0</v>
      </c>
      <c r="I53" s="15">
        <f>내역서!J60</f>
        <v>4</v>
      </c>
      <c r="J53" s="15"/>
      <c r="K53" s="12" t="s">
        <v>491</v>
      </c>
      <c r="L53" s="15" t="s">
        <v>445</v>
      </c>
      <c r="M53" s="15">
        <v>0.2</v>
      </c>
      <c r="N53" s="15">
        <v>75</v>
      </c>
      <c r="O53" s="15">
        <f t="shared" si="6"/>
        <v>0.60000000000000009</v>
      </c>
      <c r="P53" s="30"/>
      <c r="Q53" s="30">
        <f t="shared" si="7"/>
        <v>0</v>
      </c>
      <c r="R53" s="30"/>
      <c r="S53" s="15" t="s">
        <v>505</v>
      </c>
      <c r="T53" s="15"/>
      <c r="AA53" s="2">
        <f t="shared" si="8"/>
        <v>0.60000000000000009</v>
      </c>
    </row>
    <row r="54" spans="2:27" ht="25.05" customHeight="1">
      <c r="B54" s="13" t="s">
        <v>545</v>
      </c>
      <c r="C54" s="13" t="s">
        <v>420</v>
      </c>
      <c r="D54" s="12" t="s">
        <v>379</v>
      </c>
      <c r="E54" s="12" t="s">
        <v>380</v>
      </c>
      <c r="F54" s="15" t="s">
        <v>343</v>
      </c>
      <c r="G54" s="15">
        <f>내역서!G61</f>
        <v>8</v>
      </c>
      <c r="H54" s="15">
        <f t="shared" si="5"/>
        <v>0</v>
      </c>
      <c r="I54" s="15">
        <f>내역서!J61</f>
        <v>8</v>
      </c>
      <c r="J54" s="15"/>
      <c r="K54" s="12" t="s">
        <v>491</v>
      </c>
      <c r="L54" s="15" t="s">
        <v>445</v>
      </c>
      <c r="M54" s="15">
        <v>0.2</v>
      </c>
      <c r="N54" s="15">
        <v>75</v>
      </c>
      <c r="O54" s="15">
        <f t="shared" si="6"/>
        <v>1.2000000000000002</v>
      </c>
      <c r="P54" s="30"/>
      <c r="Q54" s="30">
        <f t="shared" si="7"/>
        <v>0</v>
      </c>
      <c r="R54" s="30"/>
      <c r="S54" s="15" t="s">
        <v>505</v>
      </c>
      <c r="T54" s="15"/>
      <c r="AA54" s="2">
        <f t="shared" si="8"/>
        <v>1.2000000000000002</v>
      </c>
    </row>
    <row r="55" spans="2:27" ht="25.05" customHeight="1">
      <c r="B55" s="13" t="s">
        <v>545</v>
      </c>
      <c r="C55" s="13" t="s">
        <v>443</v>
      </c>
      <c r="D55" s="12" t="s">
        <v>444</v>
      </c>
      <c r="E55" s="12" t="s">
        <v>445</v>
      </c>
      <c r="F55" s="15" t="s">
        <v>446</v>
      </c>
      <c r="G55" s="15">
        <f>IF(H55*I55/100+0.5 &lt;1, TRUNC(H55*I55/100, 3), TRUNC(H55*I55/100+0.5, J55))</f>
        <v>15</v>
      </c>
      <c r="H55" s="15">
        <f>(옵션!$B$12*옵션!$B$42)/100</f>
        <v>100</v>
      </c>
      <c r="I55" s="15">
        <f>SUM(AA49:AA54)</f>
        <v>15.420000000000002</v>
      </c>
      <c r="J55" s="15">
        <f>옵션!$C$42</f>
        <v>0</v>
      </c>
      <c r="K55" s="12"/>
      <c r="L55" s="15"/>
      <c r="M55" s="15"/>
      <c r="N55" s="15"/>
      <c r="O55" s="15" t="str">
        <f t="shared" si="6"/>
        <v/>
      </c>
      <c r="P55" s="30"/>
      <c r="Q55" s="30">
        <f t="shared" si="7"/>
        <v>0</v>
      </c>
      <c r="R55" s="30"/>
      <c r="S55" s="15"/>
      <c r="T55" s="15"/>
      <c r="Z55" s="2" t="s">
        <v>503</v>
      </c>
      <c r="AA55" s="2">
        <f>SUM(AA49:AA54)</f>
        <v>15.420000000000002</v>
      </c>
    </row>
    <row r="56" spans="2:27" ht="25.05" customHeight="1">
      <c r="D56" s="12"/>
      <c r="E56" s="12"/>
      <c r="F56" s="15"/>
      <c r="G56" s="15"/>
      <c r="H56" s="15"/>
      <c r="I56" s="15"/>
      <c r="J56" s="15"/>
      <c r="K56" s="12"/>
      <c r="L56" s="15"/>
      <c r="M56" s="15"/>
      <c r="N56" s="15"/>
      <c r="O56" s="15"/>
      <c r="P56" s="30"/>
      <c r="Q56" s="30"/>
      <c r="R56" s="30"/>
      <c r="S56" s="15"/>
      <c r="T56" s="15"/>
    </row>
    <row r="57" spans="2:27" ht="25.05" customHeight="1">
      <c r="D57" s="12"/>
      <c r="E57" s="12"/>
      <c r="F57" s="15"/>
      <c r="G57" s="15"/>
      <c r="H57" s="15"/>
      <c r="I57" s="15"/>
      <c r="J57" s="15"/>
      <c r="K57" s="12"/>
      <c r="L57" s="15"/>
      <c r="M57" s="15"/>
      <c r="N57" s="15"/>
      <c r="O57" s="15"/>
      <c r="P57" s="30"/>
      <c r="Q57" s="30"/>
      <c r="R57" s="30"/>
      <c r="S57" s="15"/>
      <c r="T57" s="15"/>
    </row>
    <row r="58" spans="2:27" ht="25.05" customHeight="1">
      <c r="D58" s="12"/>
      <c r="E58" s="12"/>
      <c r="F58" s="15"/>
      <c r="G58" s="15"/>
      <c r="H58" s="15"/>
      <c r="I58" s="15"/>
      <c r="J58" s="15"/>
      <c r="K58" s="12"/>
      <c r="L58" s="15"/>
      <c r="M58" s="15"/>
      <c r="N58" s="15"/>
      <c r="O58" s="15"/>
      <c r="P58" s="30"/>
      <c r="Q58" s="30"/>
      <c r="R58" s="30"/>
      <c r="S58" s="15"/>
      <c r="T58" s="15"/>
    </row>
    <row r="59" spans="2:27" ht="25.05" customHeight="1">
      <c r="D59" s="12"/>
      <c r="E59" s="12"/>
      <c r="F59" s="15"/>
      <c r="G59" s="15"/>
      <c r="H59" s="15"/>
      <c r="I59" s="15"/>
      <c r="J59" s="15"/>
      <c r="K59" s="12"/>
      <c r="L59" s="15"/>
      <c r="M59" s="15"/>
      <c r="N59" s="15"/>
      <c r="O59" s="15"/>
      <c r="P59" s="30"/>
      <c r="Q59" s="30"/>
      <c r="R59" s="30"/>
      <c r="S59" s="15"/>
      <c r="T59" s="15"/>
    </row>
    <row r="60" spans="2:27" ht="25.05" customHeight="1">
      <c r="D60" s="12"/>
      <c r="E60" s="12"/>
      <c r="F60" s="15"/>
      <c r="G60" s="15"/>
      <c r="H60" s="15"/>
      <c r="I60" s="15"/>
      <c r="J60" s="15"/>
      <c r="K60" s="12"/>
      <c r="L60" s="15"/>
      <c r="M60" s="15"/>
      <c r="N60" s="15"/>
      <c r="O60" s="15"/>
      <c r="P60" s="30"/>
      <c r="Q60" s="30"/>
      <c r="R60" s="30"/>
      <c r="S60" s="15"/>
      <c r="T60" s="15"/>
    </row>
    <row r="61" spans="2:27" ht="25.05" customHeight="1">
      <c r="D61" s="12"/>
      <c r="E61" s="12"/>
      <c r="F61" s="15"/>
      <c r="G61" s="15"/>
      <c r="H61" s="15"/>
      <c r="I61" s="15"/>
      <c r="J61" s="15"/>
      <c r="K61" s="12"/>
      <c r="L61" s="15"/>
      <c r="M61" s="15"/>
      <c r="N61" s="15"/>
      <c r="O61" s="15"/>
      <c r="P61" s="30"/>
      <c r="Q61" s="30"/>
      <c r="R61" s="30"/>
      <c r="S61" s="15"/>
      <c r="T61" s="15"/>
    </row>
    <row r="62" spans="2:27" ht="25.05" customHeight="1">
      <c r="D62" s="12"/>
      <c r="E62" s="12"/>
      <c r="F62" s="15"/>
      <c r="G62" s="15"/>
      <c r="H62" s="15"/>
      <c r="I62" s="15"/>
      <c r="J62" s="15"/>
      <c r="K62" s="12"/>
      <c r="L62" s="15"/>
      <c r="M62" s="15"/>
      <c r="N62" s="15"/>
      <c r="O62" s="15"/>
      <c r="P62" s="30"/>
      <c r="Q62" s="30"/>
      <c r="R62" s="30"/>
      <c r="S62" s="15"/>
      <c r="T62" s="15"/>
    </row>
    <row r="63" spans="2:27" ht="25.05" customHeight="1">
      <c r="D63" s="12"/>
      <c r="E63" s="12"/>
      <c r="F63" s="15"/>
      <c r="G63" s="15"/>
      <c r="H63" s="15"/>
      <c r="I63" s="15"/>
      <c r="J63" s="15"/>
      <c r="K63" s="12"/>
      <c r="L63" s="15"/>
      <c r="M63" s="15"/>
      <c r="N63" s="15"/>
      <c r="O63" s="15"/>
      <c r="P63" s="30"/>
      <c r="Q63" s="30"/>
      <c r="R63" s="30"/>
      <c r="S63" s="15"/>
      <c r="T63" s="15"/>
    </row>
    <row r="64" spans="2:27" ht="25.05" customHeight="1">
      <c r="D64" s="12"/>
      <c r="E64" s="12"/>
      <c r="F64" s="15"/>
      <c r="G64" s="15"/>
      <c r="H64" s="15"/>
      <c r="I64" s="15"/>
      <c r="J64" s="15"/>
      <c r="K64" s="12"/>
      <c r="L64" s="15"/>
      <c r="M64" s="15"/>
      <c r="N64" s="15"/>
      <c r="O64" s="15"/>
      <c r="P64" s="30"/>
      <c r="Q64" s="30"/>
      <c r="R64" s="30"/>
      <c r="S64" s="15"/>
      <c r="T64" s="15"/>
    </row>
    <row r="65" spans="4:20" ht="25.05" customHeight="1">
      <c r="D65" s="12"/>
      <c r="E65" s="12"/>
      <c r="F65" s="15"/>
      <c r="G65" s="15"/>
      <c r="H65" s="15"/>
      <c r="I65" s="15"/>
      <c r="J65" s="15"/>
      <c r="K65" s="12"/>
      <c r="L65" s="15"/>
      <c r="M65" s="15"/>
      <c r="N65" s="15"/>
      <c r="O65" s="15"/>
      <c r="P65" s="30"/>
      <c r="Q65" s="30"/>
      <c r="R65" s="30"/>
      <c r="S65" s="15"/>
      <c r="T65" s="15"/>
    </row>
    <row r="66" spans="4:20" ht="25.05" customHeight="1">
      <c r="D66" s="12"/>
      <c r="E66" s="12"/>
      <c r="F66" s="15"/>
      <c r="G66" s="15"/>
      <c r="H66" s="15"/>
      <c r="I66" s="15"/>
      <c r="J66" s="15"/>
      <c r="K66" s="12"/>
      <c r="L66" s="15"/>
      <c r="M66" s="15"/>
      <c r="N66" s="15"/>
      <c r="O66" s="15"/>
      <c r="P66" s="30"/>
      <c r="Q66" s="30"/>
      <c r="R66" s="30"/>
      <c r="S66" s="15"/>
      <c r="T66" s="15"/>
    </row>
    <row r="67" spans="4:20" ht="25.05" customHeight="1">
      <c r="D67" s="12"/>
      <c r="E67" s="12"/>
      <c r="F67" s="15"/>
      <c r="G67" s="15"/>
      <c r="H67" s="15"/>
      <c r="I67" s="15"/>
      <c r="J67" s="15"/>
      <c r="K67" s="12"/>
      <c r="L67" s="15"/>
      <c r="M67" s="15"/>
      <c r="N67" s="15"/>
      <c r="O67" s="15"/>
      <c r="P67" s="30"/>
      <c r="Q67" s="30"/>
      <c r="R67" s="30"/>
      <c r="S67" s="15"/>
      <c r="T67" s="15"/>
    </row>
    <row r="68" spans="4:20" ht="25.05" customHeight="1">
      <c r="D68" s="12"/>
      <c r="E68" s="12"/>
      <c r="F68" s="15"/>
      <c r="G68" s="15"/>
      <c r="H68" s="15"/>
      <c r="I68" s="15"/>
      <c r="J68" s="15"/>
      <c r="K68" s="12"/>
      <c r="L68" s="15"/>
      <c r="M68" s="15"/>
      <c r="N68" s="15"/>
      <c r="O68" s="15"/>
      <c r="P68" s="30"/>
      <c r="Q68" s="30"/>
      <c r="R68" s="30"/>
      <c r="S68" s="15"/>
      <c r="T68" s="15"/>
    </row>
    <row r="69" spans="4:20" ht="25.05" customHeight="1">
      <c r="D69" s="12"/>
      <c r="E69" s="12"/>
      <c r="F69" s="15"/>
      <c r="G69" s="15"/>
      <c r="H69" s="15"/>
      <c r="I69" s="15"/>
      <c r="J69" s="15"/>
      <c r="K69" s="12"/>
      <c r="L69" s="15"/>
      <c r="M69" s="15"/>
      <c r="N69" s="15"/>
      <c r="O69" s="15"/>
      <c r="P69" s="30"/>
      <c r="Q69" s="30"/>
      <c r="R69" s="30"/>
      <c r="S69" s="15"/>
      <c r="T69" s="15"/>
    </row>
  </sheetData>
  <mergeCells count="12">
    <mergeCell ref="D4:T4"/>
    <mergeCell ref="D48:T48"/>
    <mergeCell ref="D2:D3"/>
    <mergeCell ref="D1:O1"/>
    <mergeCell ref="S2:S3"/>
    <mergeCell ref="K2:K3"/>
    <mergeCell ref="P2:R2"/>
    <mergeCell ref="T2:T3"/>
    <mergeCell ref="L2:O2"/>
    <mergeCell ref="G2:J2"/>
    <mergeCell ref="E2:E3"/>
    <mergeCell ref="F2:F3"/>
  </mergeCells>
  <phoneticPr fontId="4" type="noConversion"/>
  <printOptions horizontalCentered="1" verticalCentered="1"/>
  <pageMargins left="0.74803149606299213" right="0.35433070866141736" top="0.59055118110236227" bottom="0.59055118110236227" header="0.51181102362204722" footer="0.47244094488188981"/>
  <pageSetup paperSize="9" scale="8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Q27"/>
  <sheetViews>
    <sheetView view="pageBreakPreview" zoomScale="80" zoomScaleNormal="100" zoomScaleSheetLayoutView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K24" sqref="K24"/>
    </sheetView>
  </sheetViews>
  <sheetFormatPr defaultRowHeight="23.1" customHeight="1"/>
  <cols>
    <col min="1" max="1" width="22.19921875" style="2" hidden="1" customWidth="1"/>
    <col min="2" max="2" width="16.59765625" style="13" hidden="1" customWidth="1"/>
    <col min="3" max="3" width="12.69921875" style="41" customWidth="1"/>
    <col min="4" max="4" width="23.09765625" style="41" customWidth="1"/>
    <col min="5" max="5" width="23.69921875" style="41" customWidth="1"/>
    <col min="6" max="6" width="4.69921875" customWidth="1"/>
    <col min="7" max="7" width="6.3984375" hidden="1" customWidth="1"/>
    <col min="8" max="9" width="11.19921875" style="31" customWidth="1"/>
    <col min="10" max="10" width="5" style="31" hidden="1" customWidth="1"/>
    <col min="11" max="13" width="11.19921875" style="31" customWidth="1"/>
    <col min="14" max="14" width="11.09765625" style="31" customWidth="1"/>
    <col min="15" max="15" width="9.69921875" style="31" hidden="1" customWidth="1"/>
    <col min="16" max="16" width="11.19921875" style="31" customWidth="1"/>
    <col min="17" max="17" width="12.19921875" customWidth="1"/>
  </cols>
  <sheetData>
    <row r="1" spans="1:17" s="2" customFormat="1" ht="23.1" customHeight="1">
      <c r="B1" s="13" t="s">
        <v>509</v>
      </c>
      <c r="C1" s="198" t="s">
        <v>510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28"/>
      <c r="P1" s="28"/>
      <c r="Q1" s="13"/>
    </row>
    <row r="2" spans="1:17" s="14" customFormat="1" ht="25.05" customHeight="1">
      <c r="A2" s="14" t="s">
        <v>57</v>
      </c>
      <c r="B2" s="42" t="s">
        <v>39</v>
      </c>
      <c r="C2" s="200" t="s">
        <v>18</v>
      </c>
      <c r="D2" s="200" t="s">
        <v>64</v>
      </c>
      <c r="E2" s="200" t="s">
        <v>65</v>
      </c>
      <c r="F2" s="201" t="s">
        <v>0</v>
      </c>
      <c r="G2" s="208" t="s">
        <v>1</v>
      </c>
      <c r="H2" s="202" t="s">
        <v>25</v>
      </c>
      <c r="I2" s="202"/>
      <c r="J2" s="202" t="s">
        <v>26</v>
      </c>
      <c r="K2" s="202"/>
      <c r="L2" s="202"/>
      <c r="M2" s="202" t="s">
        <v>27</v>
      </c>
      <c r="N2" s="202"/>
      <c r="O2" s="50" t="s">
        <v>8</v>
      </c>
      <c r="P2" s="202" t="s">
        <v>46</v>
      </c>
      <c r="Q2" s="200" t="s">
        <v>31</v>
      </c>
    </row>
    <row r="3" spans="1:17" s="14" customFormat="1" ht="25.05" customHeight="1">
      <c r="B3" s="42"/>
      <c r="C3" s="200"/>
      <c r="D3" s="200"/>
      <c r="E3" s="200"/>
      <c r="F3" s="201"/>
      <c r="G3" s="208"/>
      <c r="H3" s="50" t="s">
        <v>41</v>
      </c>
      <c r="I3" s="50" t="s">
        <v>42</v>
      </c>
      <c r="J3" s="50" t="s">
        <v>1</v>
      </c>
      <c r="K3" s="50" t="s">
        <v>41</v>
      </c>
      <c r="L3" s="50" t="s">
        <v>42</v>
      </c>
      <c r="M3" s="50" t="s">
        <v>43</v>
      </c>
      <c r="N3" s="50" t="s">
        <v>42</v>
      </c>
      <c r="O3" s="50" t="s">
        <v>21</v>
      </c>
      <c r="P3" s="202"/>
      <c r="Q3" s="200"/>
    </row>
    <row r="4" spans="1:17" s="2" customFormat="1" ht="25.05" customHeight="1">
      <c r="A4" s="2">
        <v>56930220101</v>
      </c>
      <c r="B4" s="13" t="s">
        <v>511</v>
      </c>
      <c r="C4" s="3" t="s">
        <v>512</v>
      </c>
      <c r="D4" s="12" t="s">
        <v>372</v>
      </c>
      <c r="E4" s="12" t="s">
        <v>373</v>
      </c>
      <c r="F4" s="19" t="s">
        <v>374</v>
      </c>
      <c r="G4" s="6"/>
      <c r="H4" s="30">
        <f>일위대가!I6</f>
        <v>0</v>
      </c>
      <c r="I4" s="30">
        <f>H4</f>
        <v>0</v>
      </c>
      <c r="J4" s="30"/>
      <c r="K4" s="30">
        <f>일위대가!L6</f>
        <v>16012</v>
      </c>
      <c r="L4" s="30">
        <f>K4</f>
        <v>16012</v>
      </c>
      <c r="M4" s="30">
        <f>일위대가!N6</f>
        <v>0</v>
      </c>
      <c r="N4" s="30">
        <f>M4</f>
        <v>0</v>
      </c>
      <c r="O4" s="30">
        <f>IF((H4+K4+M4)=0, "", (H4+K4+M4))</f>
        <v>16012</v>
      </c>
      <c r="P4" s="30">
        <f>SUM(I4,L4,N4)</f>
        <v>16012</v>
      </c>
      <c r="Q4" s="12" t="s">
        <v>45</v>
      </c>
    </row>
    <row r="5" spans="1:17" s="2" customFormat="1" ht="25.05" customHeight="1">
      <c r="B5" s="13"/>
      <c r="C5" s="3" t="s">
        <v>514</v>
      </c>
      <c r="D5" s="12" t="s">
        <v>616</v>
      </c>
      <c r="E5" s="12" t="s">
        <v>617</v>
      </c>
      <c r="F5" s="19" t="s">
        <v>374</v>
      </c>
      <c r="G5" s="6"/>
      <c r="H5" s="30">
        <f>일위대가!I10</f>
        <v>0</v>
      </c>
      <c r="I5" s="30">
        <f t="shared" ref="I5:I6" si="0">H5</f>
        <v>0</v>
      </c>
      <c r="J5" s="30"/>
      <c r="K5" s="30">
        <f>일위대가!L10</f>
        <v>22875</v>
      </c>
      <c r="L5" s="30">
        <f t="shared" ref="L5:L6" si="1">K5</f>
        <v>22875</v>
      </c>
      <c r="M5" s="30">
        <f>일위대가!N10</f>
        <v>0</v>
      </c>
      <c r="N5" s="30">
        <f t="shared" ref="N5:N6" si="2">M5</f>
        <v>0</v>
      </c>
      <c r="O5" s="30">
        <f t="shared" ref="O5:O6" si="3">IF((H5+K5+M5)=0, "", (H5+K5+M5))</f>
        <v>22875</v>
      </c>
      <c r="P5" s="30">
        <f t="shared" ref="P5:P6" si="4">SUM(I5,L5,N5)</f>
        <v>22875</v>
      </c>
      <c r="Q5" s="12"/>
    </row>
    <row r="6" spans="1:17" s="2" customFormat="1" ht="25.05" customHeight="1">
      <c r="B6" s="13"/>
      <c r="C6" s="3" t="s">
        <v>626</v>
      </c>
      <c r="D6" s="12" t="s">
        <v>627</v>
      </c>
      <c r="E6" s="12" t="s">
        <v>266</v>
      </c>
      <c r="F6" s="19" t="s">
        <v>623</v>
      </c>
      <c r="G6" s="6"/>
      <c r="H6" s="30">
        <f>일위대가!I15</f>
        <v>356</v>
      </c>
      <c r="I6" s="30">
        <f t="shared" si="0"/>
        <v>356</v>
      </c>
      <c r="J6" s="30"/>
      <c r="K6" s="30">
        <f>일위대가!L15</f>
        <v>4478</v>
      </c>
      <c r="L6" s="30">
        <f t="shared" si="1"/>
        <v>4478</v>
      </c>
      <c r="M6" s="30">
        <f>일위대가!N15</f>
        <v>418</v>
      </c>
      <c r="N6" s="30">
        <f t="shared" si="2"/>
        <v>418</v>
      </c>
      <c r="O6" s="30">
        <f t="shared" si="3"/>
        <v>5252</v>
      </c>
      <c r="P6" s="30">
        <f t="shared" si="4"/>
        <v>5252</v>
      </c>
      <c r="Q6" s="12"/>
    </row>
    <row r="7" spans="1:17" s="2" customFormat="1" ht="25.05" customHeight="1">
      <c r="A7" s="2">
        <v>56950260010</v>
      </c>
      <c r="B7" s="13" t="s">
        <v>513</v>
      </c>
      <c r="C7" s="3" t="s">
        <v>628</v>
      </c>
      <c r="D7" s="12" t="s">
        <v>370</v>
      </c>
      <c r="E7" s="12" t="s">
        <v>371</v>
      </c>
      <c r="F7" s="19" t="s">
        <v>177</v>
      </c>
      <c r="G7" s="6"/>
      <c r="H7" s="30">
        <f>일위대가!I27</f>
        <v>18925</v>
      </c>
      <c r="I7" s="30">
        <f>H7</f>
        <v>18925</v>
      </c>
      <c r="J7" s="30"/>
      <c r="K7" s="30">
        <f>일위대가!L27</f>
        <v>157586</v>
      </c>
      <c r="L7" s="30">
        <f>K7</f>
        <v>157586</v>
      </c>
      <c r="M7" s="30">
        <f>일위대가!N27</f>
        <v>0</v>
      </c>
      <c r="N7" s="30">
        <f>M7</f>
        <v>0</v>
      </c>
      <c r="O7" s="30">
        <f>IF((H7+K7+M7)=0, "", (H7+K7+M7))</f>
        <v>176511</v>
      </c>
      <c r="P7" s="30">
        <f>SUM(I7,L7,N7)</f>
        <v>176511</v>
      </c>
      <c r="Q7" s="12" t="s">
        <v>2</v>
      </c>
    </row>
    <row r="8" spans="1:17" s="2" customFormat="1" ht="25.05" customHeight="1">
      <c r="B8" s="13"/>
      <c r="C8" s="3"/>
      <c r="D8" s="12"/>
      <c r="E8" s="12"/>
      <c r="F8" s="19"/>
      <c r="G8" s="6"/>
      <c r="H8" s="30"/>
      <c r="I8" s="30"/>
      <c r="J8" s="30"/>
      <c r="K8" s="30"/>
      <c r="L8" s="30"/>
      <c r="M8" s="30"/>
      <c r="N8" s="30"/>
      <c r="O8" s="30"/>
      <c r="P8" s="30"/>
      <c r="Q8" s="12"/>
    </row>
    <row r="9" spans="1:17" s="2" customFormat="1" ht="25.05" customHeight="1">
      <c r="B9" s="13"/>
      <c r="C9" s="3"/>
      <c r="D9" s="12"/>
      <c r="E9" s="12"/>
      <c r="F9" s="19"/>
      <c r="G9" s="6"/>
      <c r="H9" s="30"/>
      <c r="I9" s="30"/>
      <c r="J9" s="30"/>
      <c r="K9" s="30"/>
      <c r="L9" s="30"/>
      <c r="M9" s="30"/>
      <c r="N9" s="30"/>
      <c r="O9" s="30"/>
      <c r="P9" s="30"/>
      <c r="Q9" s="12"/>
    </row>
    <row r="10" spans="1:17" s="2" customFormat="1" ht="25.05" customHeight="1">
      <c r="B10" s="13"/>
      <c r="C10" s="3"/>
      <c r="D10" s="12"/>
      <c r="E10" s="12"/>
      <c r="F10" s="19"/>
      <c r="G10" s="6"/>
      <c r="H10" s="30"/>
      <c r="I10" s="30"/>
      <c r="J10" s="30"/>
      <c r="K10" s="30"/>
      <c r="L10" s="30"/>
      <c r="M10" s="30"/>
      <c r="N10" s="30"/>
      <c r="O10" s="30"/>
      <c r="P10" s="30"/>
      <c r="Q10" s="12"/>
    </row>
    <row r="11" spans="1:17" s="2" customFormat="1" ht="25.05" customHeight="1">
      <c r="B11" s="13"/>
      <c r="C11" s="3"/>
      <c r="D11" s="12"/>
      <c r="E11" s="12"/>
      <c r="F11" s="19"/>
      <c r="G11" s="6"/>
      <c r="H11" s="30"/>
      <c r="I11" s="30"/>
      <c r="J11" s="30"/>
      <c r="K11" s="30"/>
      <c r="L11" s="30"/>
      <c r="M11" s="30"/>
      <c r="N11" s="30"/>
      <c r="O11" s="30"/>
      <c r="P11" s="30"/>
      <c r="Q11" s="12"/>
    </row>
    <row r="12" spans="1:17" s="2" customFormat="1" ht="25.05" customHeight="1">
      <c r="B12" s="13"/>
      <c r="C12" s="3"/>
      <c r="D12" s="12"/>
      <c r="E12" s="12"/>
      <c r="F12" s="19"/>
      <c r="G12" s="6"/>
      <c r="H12" s="30"/>
      <c r="I12" s="30"/>
      <c r="J12" s="30"/>
      <c r="K12" s="30"/>
      <c r="L12" s="30"/>
      <c r="M12" s="30"/>
      <c r="N12" s="30"/>
      <c r="O12" s="30"/>
      <c r="P12" s="30"/>
      <c r="Q12" s="12"/>
    </row>
    <row r="13" spans="1:17" s="2" customFormat="1" ht="25.05" customHeight="1">
      <c r="B13" s="13"/>
      <c r="C13" s="3"/>
      <c r="D13" s="12"/>
      <c r="E13" s="12"/>
      <c r="F13" s="19"/>
      <c r="G13" s="6"/>
      <c r="H13" s="30"/>
      <c r="I13" s="30"/>
      <c r="J13" s="30"/>
      <c r="K13" s="30"/>
      <c r="L13" s="30"/>
      <c r="M13" s="30"/>
      <c r="N13" s="30"/>
      <c r="O13" s="30"/>
      <c r="P13" s="30"/>
      <c r="Q13" s="12"/>
    </row>
    <row r="14" spans="1:17" s="2" customFormat="1" ht="25.05" customHeight="1">
      <c r="B14" s="13"/>
      <c r="C14" s="3"/>
      <c r="D14" s="12"/>
      <c r="E14" s="12"/>
      <c r="F14" s="19"/>
      <c r="G14" s="6"/>
      <c r="H14" s="30"/>
      <c r="I14" s="30"/>
      <c r="J14" s="30"/>
      <c r="K14" s="30"/>
      <c r="L14" s="30"/>
      <c r="M14" s="30"/>
      <c r="N14" s="30"/>
      <c r="O14" s="30"/>
      <c r="P14" s="30"/>
      <c r="Q14" s="12"/>
    </row>
    <row r="15" spans="1:17" s="2" customFormat="1" ht="25.05" customHeight="1">
      <c r="B15" s="13"/>
      <c r="C15" s="3"/>
      <c r="D15" s="12"/>
      <c r="E15" s="12"/>
      <c r="F15" s="19"/>
      <c r="G15" s="6"/>
      <c r="H15" s="30"/>
      <c r="I15" s="30"/>
      <c r="J15" s="30"/>
      <c r="K15" s="30"/>
      <c r="L15" s="30"/>
      <c r="M15" s="30"/>
      <c r="N15" s="30"/>
      <c r="O15" s="30"/>
      <c r="P15" s="30"/>
      <c r="Q15" s="12"/>
    </row>
    <row r="16" spans="1:17" s="2" customFormat="1" ht="25.05" customHeight="1">
      <c r="B16" s="13"/>
      <c r="C16" s="3"/>
      <c r="D16" s="12"/>
      <c r="E16" s="12"/>
      <c r="F16" s="19"/>
      <c r="G16" s="6"/>
      <c r="H16" s="30"/>
      <c r="I16" s="30"/>
      <c r="J16" s="30"/>
      <c r="K16" s="30"/>
      <c r="L16" s="30"/>
      <c r="M16" s="30"/>
      <c r="N16" s="30"/>
      <c r="O16" s="30"/>
      <c r="P16" s="30"/>
      <c r="Q16" s="12"/>
    </row>
    <row r="17" spans="2:17" s="2" customFormat="1" ht="25.05" customHeight="1">
      <c r="B17" s="13"/>
      <c r="C17" s="3"/>
      <c r="D17" s="12"/>
      <c r="E17" s="12"/>
      <c r="F17" s="19"/>
      <c r="G17" s="6"/>
      <c r="H17" s="30"/>
      <c r="I17" s="30"/>
      <c r="J17" s="30"/>
      <c r="K17" s="30"/>
      <c r="L17" s="30"/>
      <c r="M17" s="30"/>
      <c r="N17" s="30"/>
      <c r="O17" s="30"/>
      <c r="P17" s="30"/>
      <c r="Q17" s="12"/>
    </row>
    <row r="18" spans="2:17" s="2" customFormat="1" ht="25.05" customHeight="1">
      <c r="B18" s="13"/>
      <c r="C18" s="3"/>
      <c r="D18" s="12"/>
      <c r="E18" s="12"/>
      <c r="F18" s="19"/>
      <c r="G18" s="6"/>
      <c r="H18" s="30"/>
      <c r="I18" s="30"/>
      <c r="J18" s="30"/>
      <c r="K18" s="30"/>
      <c r="L18" s="30"/>
      <c r="M18" s="30"/>
      <c r="N18" s="30"/>
      <c r="O18" s="30"/>
      <c r="P18" s="30"/>
      <c r="Q18" s="12"/>
    </row>
    <row r="19" spans="2:17" s="2" customFormat="1" ht="25.05" customHeight="1">
      <c r="B19" s="13"/>
      <c r="C19" s="3"/>
      <c r="D19" s="12"/>
      <c r="E19" s="12"/>
      <c r="F19" s="19"/>
      <c r="G19" s="6"/>
      <c r="H19" s="30"/>
      <c r="I19" s="30"/>
      <c r="J19" s="30"/>
      <c r="K19" s="30"/>
      <c r="L19" s="30"/>
      <c r="M19" s="30"/>
      <c r="N19" s="30"/>
      <c r="O19" s="30"/>
      <c r="P19" s="30"/>
      <c r="Q19" s="12"/>
    </row>
    <row r="20" spans="2:17" s="2" customFormat="1" ht="25.05" customHeight="1">
      <c r="B20" s="13"/>
      <c r="C20" s="3"/>
      <c r="D20" s="12"/>
      <c r="E20" s="12"/>
      <c r="F20" s="19"/>
      <c r="G20" s="6"/>
      <c r="H20" s="30"/>
      <c r="I20" s="30"/>
      <c r="J20" s="30"/>
      <c r="K20" s="30"/>
      <c r="L20" s="30"/>
      <c r="M20" s="30"/>
      <c r="N20" s="30"/>
      <c r="O20" s="30"/>
      <c r="P20" s="30"/>
      <c r="Q20" s="12"/>
    </row>
    <row r="21" spans="2:17" s="2" customFormat="1" ht="25.05" customHeight="1">
      <c r="B21" s="13"/>
      <c r="C21" s="3"/>
      <c r="D21" s="12"/>
      <c r="E21" s="12"/>
      <c r="F21" s="19"/>
      <c r="G21" s="6"/>
      <c r="H21" s="30"/>
      <c r="I21" s="30"/>
      <c r="J21" s="30"/>
      <c r="K21" s="30"/>
      <c r="L21" s="30"/>
      <c r="M21" s="30"/>
      <c r="N21" s="30"/>
      <c r="O21" s="30"/>
      <c r="P21" s="30"/>
      <c r="Q21" s="12"/>
    </row>
    <row r="22" spans="2:17" s="2" customFormat="1" ht="25.05" customHeight="1">
      <c r="B22" s="13"/>
      <c r="C22" s="3"/>
      <c r="D22" s="12"/>
      <c r="E22" s="12"/>
      <c r="F22" s="19"/>
      <c r="G22" s="6"/>
      <c r="H22" s="30"/>
      <c r="I22" s="30"/>
      <c r="J22" s="30"/>
      <c r="K22" s="30"/>
      <c r="L22" s="30"/>
      <c r="M22" s="30"/>
      <c r="N22" s="30"/>
      <c r="O22" s="30"/>
      <c r="P22" s="30"/>
      <c r="Q22" s="12"/>
    </row>
    <row r="23" spans="2:17" s="2" customFormat="1" ht="25.05" customHeight="1">
      <c r="B23" s="13"/>
      <c r="C23" s="3"/>
      <c r="D23" s="12"/>
      <c r="E23" s="12"/>
      <c r="F23" s="19"/>
      <c r="G23" s="6"/>
      <c r="H23" s="30"/>
      <c r="I23" s="30"/>
      <c r="J23" s="30"/>
      <c r="K23" s="30"/>
      <c r="L23" s="30"/>
      <c r="M23" s="30"/>
      <c r="N23" s="30"/>
      <c r="O23" s="30"/>
      <c r="P23" s="30"/>
      <c r="Q23" s="12"/>
    </row>
    <row r="24" spans="2:17" s="2" customFormat="1" ht="25.05" customHeight="1">
      <c r="B24" s="13"/>
      <c r="C24" s="3"/>
      <c r="D24" s="12"/>
      <c r="E24" s="12"/>
      <c r="F24" s="19"/>
      <c r="G24" s="6"/>
      <c r="H24" s="30"/>
      <c r="I24" s="30"/>
      <c r="J24" s="30"/>
      <c r="K24" s="30"/>
      <c r="L24" s="30"/>
      <c r="M24" s="30"/>
      <c r="N24" s="30"/>
      <c r="O24" s="30"/>
      <c r="P24" s="30"/>
      <c r="Q24" s="12"/>
    </row>
    <row r="25" spans="2:17" s="2" customFormat="1" ht="25.05" customHeight="1">
      <c r="B25" s="13"/>
      <c r="C25" s="3"/>
      <c r="D25" s="12"/>
      <c r="E25" s="12"/>
      <c r="F25" s="19"/>
      <c r="G25" s="6"/>
      <c r="H25" s="30"/>
      <c r="I25" s="30"/>
      <c r="J25" s="30"/>
      <c r="K25" s="30"/>
      <c r="L25" s="30"/>
      <c r="M25" s="30"/>
      <c r="N25" s="30"/>
      <c r="O25" s="30"/>
      <c r="P25" s="30"/>
      <c r="Q25" s="12"/>
    </row>
    <row r="26" spans="2:17" s="2" customFormat="1" ht="25.05" customHeight="1">
      <c r="B26" s="13"/>
      <c r="C26" s="3"/>
      <c r="D26" s="12"/>
      <c r="E26" s="12"/>
      <c r="F26" s="19"/>
      <c r="G26" s="6"/>
      <c r="H26" s="30"/>
      <c r="I26" s="30"/>
      <c r="J26" s="30"/>
      <c r="K26" s="30"/>
      <c r="L26" s="30"/>
      <c r="M26" s="30"/>
      <c r="N26" s="30"/>
      <c r="O26" s="30"/>
      <c r="P26" s="30"/>
      <c r="Q26" s="12"/>
    </row>
    <row r="27" spans="2:17" s="2" customFormat="1" ht="25.05" customHeight="1">
      <c r="B27" s="13"/>
      <c r="C27" s="3"/>
      <c r="D27" s="12"/>
      <c r="E27" s="12"/>
      <c r="F27" s="19"/>
      <c r="G27" s="6"/>
      <c r="H27" s="30"/>
      <c r="I27" s="30"/>
      <c r="J27" s="30"/>
      <c r="K27" s="30"/>
      <c r="L27" s="30"/>
      <c r="M27" s="30"/>
      <c r="N27" s="30"/>
      <c r="O27" s="30"/>
      <c r="P27" s="30"/>
      <c r="Q27" s="12"/>
    </row>
  </sheetData>
  <mergeCells count="11">
    <mergeCell ref="Q2:Q3"/>
    <mergeCell ref="P2:P3"/>
    <mergeCell ref="F2:F3"/>
    <mergeCell ref="G2:G3"/>
    <mergeCell ref="H2:I2"/>
    <mergeCell ref="C1:N1"/>
    <mergeCell ref="C2:C3"/>
    <mergeCell ref="D2:D3"/>
    <mergeCell ref="E2:E3"/>
    <mergeCell ref="J2:L2"/>
    <mergeCell ref="M2:N2"/>
  </mergeCells>
  <phoneticPr fontId="4" type="noConversion"/>
  <printOptions horizontalCentered="1" verticalCentered="1"/>
  <pageMargins left="0.74803149606299213" right="0.35433070866141736" top="0.59055118110236227" bottom="0.59055118110236227" header="0.51181102362204722" footer="0.47244094488188981"/>
  <pageSetup paperSize="9" scale="7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FF0000"/>
  </sheetPr>
  <dimension ref="A1:AE27"/>
  <sheetViews>
    <sheetView view="pageBreakPreview" topLeftCell="D1" zoomScale="80" zoomScaleNormal="100" zoomScaleSheetLayoutView="80" workbookViewId="0">
      <pane ySplit="3" topLeftCell="A4" activePane="bottomLeft" state="frozen"/>
      <selection activeCell="D1" sqref="D1"/>
      <selection pane="bottomLeft" activeCell="R16" sqref="R16"/>
    </sheetView>
  </sheetViews>
  <sheetFormatPr defaultColWidth="8.8984375" defaultRowHeight="23.25" customHeight="1"/>
  <cols>
    <col min="1" max="1" width="22.59765625" style="2" hidden="1" customWidth="1"/>
    <col min="2" max="2" width="24.296875" style="13" hidden="1" customWidth="1"/>
    <col min="3" max="3" width="26" style="1" hidden="1" customWidth="1"/>
    <col min="4" max="4" width="24.296875" style="13" customWidth="1"/>
    <col min="5" max="5" width="25.296875" style="13" customWidth="1"/>
    <col min="6" max="6" width="4.19921875" style="18" customWidth="1"/>
    <col min="7" max="7" width="7.09765625" style="2" customWidth="1"/>
    <col min="8" max="8" width="11.8984375" style="2" customWidth="1"/>
    <col min="9" max="9" width="12.3984375" style="2" customWidth="1"/>
    <col min="10" max="10" width="6" style="2" customWidth="1"/>
    <col min="11" max="12" width="11.3984375" style="2" customWidth="1"/>
    <col min="13" max="13" width="7.09765625" style="2" customWidth="1"/>
    <col min="14" max="14" width="7.59765625" style="2" customWidth="1"/>
    <col min="15" max="15" width="9.09765625" style="2" hidden="1" customWidth="1"/>
    <col min="16" max="16" width="11" style="2" customWidth="1"/>
    <col min="17" max="17" width="11.59765625" style="13" customWidth="1"/>
    <col min="18" max="16384" width="8.8984375" style="2"/>
  </cols>
  <sheetData>
    <row r="1" spans="1:31" ht="23.25" customHeight="1">
      <c r="A1" s="23"/>
      <c r="B1" s="13" t="s">
        <v>509</v>
      </c>
      <c r="D1" s="209" t="s">
        <v>515</v>
      </c>
      <c r="E1" s="199"/>
      <c r="F1" s="199"/>
      <c r="G1" s="199"/>
      <c r="H1" s="199"/>
      <c r="I1" s="199"/>
      <c r="J1" s="199"/>
      <c r="K1" s="199"/>
      <c r="L1" s="199"/>
      <c r="M1" s="199"/>
      <c r="N1" s="199"/>
      <c r="W1" s="206" t="s">
        <v>67</v>
      </c>
      <c r="X1" s="206"/>
      <c r="Y1" s="206"/>
      <c r="Z1" s="206"/>
      <c r="AA1" s="206" t="s">
        <v>72</v>
      </c>
      <c r="AB1" s="206"/>
      <c r="AC1" s="206"/>
      <c r="AD1" s="206"/>
      <c r="AE1" s="206"/>
    </row>
    <row r="2" spans="1:31" s="14" customFormat="1" ht="25.05" customHeight="1">
      <c r="A2" s="14" t="s">
        <v>58</v>
      </c>
      <c r="B2" s="42" t="s">
        <v>108</v>
      </c>
      <c r="C2" s="42" t="s">
        <v>59</v>
      </c>
      <c r="D2" s="200" t="s">
        <v>64</v>
      </c>
      <c r="E2" s="200" t="s">
        <v>65</v>
      </c>
      <c r="F2" s="201" t="s">
        <v>0</v>
      </c>
      <c r="G2" s="201" t="s">
        <v>1</v>
      </c>
      <c r="H2" s="201" t="s">
        <v>25</v>
      </c>
      <c r="I2" s="201"/>
      <c r="J2" s="201" t="s">
        <v>26</v>
      </c>
      <c r="K2" s="201"/>
      <c r="L2" s="201"/>
      <c r="M2" s="201" t="s">
        <v>27</v>
      </c>
      <c r="N2" s="201"/>
      <c r="O2" s="16"/>
      <c r="P2" s="201" t="s">
        <v>8</v>
      </c>
      <c r="Q2" s="200" t="s">
        <v>31</v>
      </c>
      <c r="W2" s="14" t="s">
        <v>68</v>
      </c>
      <c r="X2" s="14" t="s">
        <v>69</v>
      </c>
      <c r="Y2" s="14" t="s">
        <v>70</v>
      </c>
      <c r="Z2" s="14" t="s">
        <v>71</v>
      </c>
      <c r="AA2" s="32" t="s">
        <v>122</v>
      </c>
      <c r="AB2" s="32" t="s">
        <v>121</v>
      </c>
      <c r="AC2" s="32" t="s">
        <v>73</v>
      </c>
      <c r="AD2" s="32" t="s">
        <v>75</v>
      </c>
      <c r="AE2" s="32" t="s">
        <v>74</v>
      </c>
    </row>
    <row r="3" spans="1:31" s="14" customFormat="1" ht="25.05" customHeight="1">
      <c r="B3" s="42"/>
      <c r="C3" s="42"/>
      <c r="D3" s="200"/>
      <c r="E3" s="200"/>
      <c r="F3" s="201"/>
      <c r="G3" s="201"/>
      <c r="H3" s="16" t="s">
        <v>41</v>
      </c>
      <c r="I3" s="16" t="s">
        <v>42</v>
      </c>
      <c r="J3" s="16" t="s">
        <v>1</v>
      </c>
      <c r="K3" s="16" t="s">
        <v>41</v>
      </c>
      <c r="L3" s="16" t="s">
        <v>42</v>
      </c>
      <c r="M3" s="16" t="s">
        <v>43</v>
      </c>
      <c r="N3" s="16" t="s">
        <v>42</v>
      </c>
      <c r="O3" s="16" t="s">
        <v>60</v>
      </c>
      <c r="P3" s="201"/>
      <c r="Q3" s="200"/>
      <c r="W3" s="2"/>
      <c r="X3" s="2"/>
      <c r="Y3" s="2"/>
      <c r="Z3" s="2"/>
      <c r="AA3" s="28"/>
      <c r="AB3" s="28"/>
      <c r="AC3" s="28"/>
      <c r="AD3" s="28">
        <v>1</v>
      </c>
      <c r="AE3" s="28">
        <v>1</v>
      </c>
    </row>
    <row r="4" spans="1:31" ht="25.05" customHeight="1">
      <c r="A4" s="2">
        <v>56930220101</v>
      </c>
      <c r="B4" s="13" t="s">
        <v>526</v>
      </c>
      <c r="C4" s="1" t="s">
        <v>527</v>
      </c>
      <c r="D4" s="203" t="s">
        <v>525</v>
      </c>
      <c r="E4" s="205"/>
      <c r="F4" s="19"/>
      <c r="G4" s="15"/>
      <c r="H4" s="15"/>
      <c r="I4" s="43"/>
      <c r="J4" s="15"/>
      <c r="K4" s="15"/>
      <c r="L4" s="43"/>
      <c r="M4" s="15"/>
      <c r="N4" s="43"/>
      <c r="O4" s="15"/>
      <c r="P4" s="15" t="str">
        <f>IF(SUM(I4,L4,N4)&lt;&gt;0,TRUNC(SUM(I4,L4,N4),1),"")</f>
        <v/>
      </c>
      <c r="Q4" s="12"/>
    </row>
    <row r="5" spans="1:31" ht="25.05" customHeight="1">
      <c r="A5" s="2">
        <v>56900017041</v>
      </c>
      <c r="B5" s="13" t="s">
        <v>512</v>
      </c>
      <c r="C5" s="1" t="s">
        <v>451</v>
      </c>
      <c r="D5" s="12" t="s">
        <v>444</v>
      </c>
      <c r="E5" s="12" t="s">
        <v>452</v>
      </c>
      <c r="F5" s="19" t="s">
        <v>446</v>
      </c>
      <c r="G5" s="15">
        <f>일위노임!G6</f>
        <v>0.105</v>
      </c>
      <c r="H5" s="15">
        <f>합산자재!H43</f>
        <v>0</v>
      </c>
      <c r="I5" s="43" t="str">
        <f>IF(G5*H5&lt;&gt;0, TRUNC(G5*H5, 1), "")</f>
        <v/>
      </c>
      <c r="J5" s="15">
        <f>G5</f>
        <v>0.105</v>
      </c>
      <c r="K5" s="15">
        <f>합산자재!I43</f>
        <v>152500</v>
      </c>
      <c r="L5" s="43">
        <f>IF(G5*K5&lt;&gt;0, TRUNC(G5*K5, 1), "")</f>
        <v>16012.5</v>
      </c>
      <c r="M5" s="15">
        <f>합산자재!J43</f>
        <v>0</v>
      </c>
      <c r="N5" s="43" t="str">
        <f>IF(G5*M5&lt;&gt;0, TRUNC(G5*M5, 1), "")</f>
        <v/>
      </c>
      <c r="O5" s="15">
        <f>IF((H5+K5+M5)=0, "", (H5+K5+M5))</f>
        <v>152500</v>
      </c>
      <c r="P5" s="15">
        <f t="shared" ref="P5:P27" si="0">IF(SUM(I5,L5,N5)&lt;&gt;0,TRUNC(SUM(I5,L5,N5),1),"")</f>
        <v>16012.5</v>
      </c>
      <c r="Q5" s="12"/>
    </row>
    <row r="6" spans="1:31" ht="25.05" customHeight="1">
      <c r="B6" s="13" t="s">
        <v>516</v>
      </c>
      <c r="D6" s="12" t="s">
        <v>517</v>
      </c>
      <c r="E6" s="12"/>
      <c r="F6" s="19"/>
      <c r="G6" s="15"/>
      <c r="H6" s="15"/>
      <c r="I6" s="43">
        <f>TRUNC(SUM(I4:I5))</f>
        <v>0</v>
      </c>
      <c r="J6" s="15"/>
      <c r="K6" s="15"/>
      <c r="L6" s="43">
        <f>TRUNC(SUM(L4:L5))</f>
        <v>16012</v>
      </c>
      <c r="M6" s="15"/>
      <c r="N6" s="43">
        <f>TRUNC(SUM(N4:N5))</f>
        <v>0</v>
      </c>
      <c r="O6" s="15" t="str">
        <f>IF((H6+K6+M6)=0, "", (H6+K6+M6))</f>
        <v/>
      </c>
      <c r="P6" s="15">
        <f t="shared" si="0"/>
        <v>16012</v>
      </c>
      <c r="Q6" s="12"/>
    </row>
    <row r="7" spans="1:31" ht="25.05" customHeight="1">
      <c r="D7" s="12"/>
      <c r="E7" s="12"/>
      <c r="F7" s="19"/>
      <c r="G7" s="15"/>
      <c r="H7" s="15"/>
      <c r="I7" s="43"/>
      <c r="J7" s="15"/>
      <c r="K7" s="15"/>
      <c r="L7" s="43"/>
      <c r="M7" s="15"/>
      <c r="N7" s="43"/>
      <c r="O7" s="15"/>
      <c r="P7" s="15"/>
      <c r="Q7" s="12"/>
    </row>
    <row r="8" spans="1:31" ht="25.05" customHeight="1">
      <c r="A8" s="2">
        <v>56930210010</v>
      </c>
      <c r="B8" s="13" t="s">
        <v>526</v>
      </c>
      <c r="C8" s="1" t="s">
        <v>611</v>
      </c>
      <c r="D8" s="203" t="s">
        <v>612</v>
      </c>
      <c r="E8" s="205"/>
      <c r="F8" s="19"/>
      <c r="G8" s="15"/>
      <c r="H8" s="15"/>
      <c r="I8" s="43"/>
      <c r="J8" s="15"/>
      <c r="K8" s="15"/>
      <c r="L8" s="43"/>
      <c r="M8" s="15"/>
      <c r="N8" s="43"/>
      <c r="O8" s="15"/>
      <c r="P8" s="15"/>
      <c r="Q8" s="12"/>
    </row>
    <row r="9" spans="1:31" ht="25.05" customHeight="1">
      <c r="A9" s="2">
        <v>56900017041</v>
      </c>
      <c r="B9" s="13" t="s">
        <v>512</v>
      </c>
      <c r="C9" s="1" t="s">
        <v>451</v>
      </c>
      <c r="D9" s="12" t="s">
        <v>444</v>
      </c>
      <c r="E9" s="12" t="s">
        <v>452</v>
      </c>
      <c r="F9" s="19" t="s">
        <v>446</v>
      </c>
      <c r="G9" s="15">
        <f>일위노임!G10</f>
        <v>0.15</v>
      </c>
      <c r="H9" s="15">
        <f>[2]합산자재!H98</f>
        <v>0</v>
      </c>
      <c r="I9" s="43" t="str">
        <f>IF(G9*H9&lt;&gt;0, TRUNC(G9*H9, 1), "")</f>
        <v/>
      </c>
      <c r="J9" s="15">
        <f>G9</f>
        <v>0.15</v>
      </c>
      <c r="K9" s="15">
        <f>단가조사!G44</f>
        <v>152500.9724</v>
      </c>
      <c r="L9" s="43">
        <f>IF(G9*K9&lt;&gt;0, TRUNC(G9*K9, 1), "")</f>
        <v>22875.1</v>
      </c>
      <c r="M9" s="15">
        <f>[2]합산자재!J98</f>
        <v>0</v>
      </c>
      <c r="N9" s="43" t="str">
        <f>IF(G9*M9&lt;&gt;0, TRUNC(G9*M9, 1), "")</f>
        <v/>
      </c>
      <c r="O9" s="15">
        <f>IF((H9+K9+M9)=0, "", (H9+K9+M9))</f>
        <v>152500.9724</v>
      </c>
      <c r="P9" s="15">
        <f>IF(SUM(I9,L9,N9)&lt;&gt;0,SUM(I9,L9,N9),"")</f>
        <v>22875.1</v>
      </c>
      <c r="Q9" s="12"/>
    </row>
    <row r="10" spans="1:31" ht="25.05" customHeight="1">
      <c r="B10" s="13" t="s">
        <v>516</v>
      </c>
      <c r="D10" s="12" t="s">
        <v>517</v>
      </c>
      <c r="E10" s="12"/>
      <c r="F10" s="19"/>
      <c r="G10" s="15"/>
      <c r="H10" s="15"/>
      <c r="I10" s="43">
        <f>TRUNC(SUM(I8:I9))</f>
        <v>0</v>
      </c>
      <c r="J10" s="15"/>
      <c r="K10" s="15"/>
      <c r="L10" s="43">
        <f>TRUNC(SUM(L8:L9))</f>
        <v>22875</v>
      </c>
      <c r="M10" s="15"/>
      <c r="N10" s="43">
        <f>TRUNC(SUM(N8:N9))</f>
        <v>0</v>
      </c>
      <c r="O10" s="15" t="str">
        <f>IF((H10+K10+M10)=0, "", (H10+K10+M10))</f>
        <v/>
      </c>
      <c r="P10" s="15">
        <f>IF(SUM(I10,L10,N10)&lt;&gt;0,SUM(I10,L10,N10),"")</f>
        <v>22875</v>
      </c>
      <c r="Q10" s="12"/>
    </row>
    <row r="11" spans="1:31" ht="25.05" customHeight="1">
      <c r="D11" s="12"/>
      <c r="E11" s="12"/>
      <c r="F11" s="19"/>
      <c r="G11" s="15"/>
      <c r="H11" s="15"/>
      <c r="I11" s="43"/>
      <c r="J11" s="15"/>
      <c r="K11" s="15"/>
      <c r="L11" s="43"/>
      <c r="M11" s="15"/>
      <c r="N11" s="43"/>
      <c r="O11" s="15"/>
      <c r="P11" s="15"/>
      <c r="Q11" s="12"/>
    </row>
    <row r="12" spans="1:31" ht="25.05" customHeight="1">
      <c r="A12" s="2">
        <v>56930220020</v>
      </c>
      <c r="B12" s="13" t="s">
        <v>526</v>
      </c>
      <c r="C12" s="1" t="s">
        <v>613</v>
      </c>
      <c r="D12" s="203" t="s">
        <v>625</v>
      </c>
      <c r="E12" s="205"/>
      <c r="F12" s="19"/>
      <c r="G12" s="15"/>
      <c r="H12" s="15"/>
      <c r="I12" s="43"/>
      <c r="J12" s="15"/>
      <c r="K12" s="15"/>
      <c r="L12" s="43"/>
      <c r="M12" s="15"/>
      <c r="N12" s="43"/>
      <c r="O12" s="15"/>
      <c r="P12" s="15"/>
      <c r="Q12" s="12"/>
    </row>
    <row r="13" spans="1:31" ht="25.05" customHeight="1">
      <c r="A13" s="2">
        <v>56930210010</v>
      </c>
      <c r="B13" s="13" t="s">
        <v>614</v>
      </c>
      <c r="C13" s="1" t="s">
        <v>615</v>
      </c>
      <c r="D13" s="12" t="s">
        <v>616</v>
      </c>
      <c r="E13" s="12" t="s">
        <v>617</v>
      </c>
      <c r="F13" s="19" t="s">
        <v>374</v>
      </c>
      <c r="G13" s="15">
        <f>G9</f>
        <v>0.15</v>
      </c>
      <c r="H13" s="15">
        <f>일대목차!H5</f>
        <v>0</v>
      </c>
      <c r="I13" s="43" t="str">
        <f>IF(G13*H13&lt;&gt;0, TRUNC(G13*H13, 1), "")</f>
        <v/>
      </c>
      <c r="J13" s="15">
        <f>G13</f>
        <v>0.15</v>
      </c>
      <c r="K13" s="15">
        <f>일대목차!K5</f>
        <v>22875</v>
      </c>
      <c r="L13" s="43">
        <f>IF(G13*K13&lt;&gt;0, TRUNC(G13*K13, 1), "")</f>
        <v>3431.2</v>
      </c>
      <c r="M13" s="15">
        <f>일대목차!M5</f>
        <v>0</v>
      </c>
      <c r="N13" s="43" t="str">
        <f>IF(G13*M13&lt;&gt;0, TRUNC(G13*M13, 1), "")</f>
        <v/>
      </c>
      <c r="O13" s="15">
        <f>IF((H13+K13+M13)=0, "", (H13+K13+M13))</f>
        <v>22875</v>
      </c>
      <c r="P13" s="15">
        <f>IF(SUM(I13,L13,N13)&lt;&gt;0,SUM(I13,L13,N13),"")</f>
        <v>3431.2</v>
      </c>
      <c r="Q13" s="12" t="s">
        <v>629</v>
      </c>
      <c r="R13" s="2" t="s">
        <v>618</v>
      </c>
    </row>
    <row r="14" spans="1:31" ht="25.05" customHeight="1">
      <c r="A14" s="2" t="s">
        <v>619</v>
      </c>
      <c r="B14" s="13" t="s">
        <v>614</v>
      </c>
      <c r="C14" s="1" t="s">
        <v>620</v>
      </c>
      <c r="D14" s="12" t="s">
        <v>621</v>
      </c>
      <c r="E14" s="12" t="s">
        <v>622</v>
      </c>
      <c r="F14" s="19" t="s">
        <v>623</v>
      </c>
      <c r="G14" s="15">
        <v>0.8</v>
      </c>
      <c r="H14" s="15">
        <f>단가조사!H40</f>
        <v>446</v>
      </c>
      <c r="I14" s="43">
        <f>IF(G14*H14&lt;&gt;0, TRUNC(G14*H14, 1), "")</f>
        <v>356.8</v>
      </c>
      <c r="J14" s="15">
        <v>0.8</v>
      </c>
      <c r="K14" s="15">
        <f>단가조사!J40</f>
        <v>1309</v>
      </c>
      <c r="L14" s="43">
        <f>IF(G14*K14&lt;&gt;0, TRUNC(G14*K14, 1), "")</f>
        <v>1047.2</v>
      </c>
      <c r="M14" s="15">
        <f>단가조사!L40</f>
        <v>523</v>
      </c>
      <c r="N14" s="43">
        <f>IF(G14*M14&lt;&gt;0, TRUNC(G14*M14, 1), "")</f>
        <v>418.4</v>
      </c>
      <c r="O14" s="15">
        <f>IF((H14+K14+M14)=0, "", (H14+K14+M14))</f>
        <v>2278</v>
      </c>
      <c r="P14" s="15">
        <f>IF(SUM(I14,L14,N14)&lt;&gt;0,SUM(I14,L14,N14),"")</f>
        <v>1822.4</v>
      </c>
      <c r="Q14" s="12" t="s">
        <v>639</v>
      </c>
      <c r="R14" s="2" t="s">
        <v>624</v>
      </c>
    </row>
    <row r="15" spans="1:31" ht="25.05" customHeight="1">
      <c r="B15" s="13" t="s">
        <v>516</v>
      </c>
      <c r="D15" s="12" t="s">
        <v>517</v>
      </c>
      <c r="E15" s="12"/>
      <c r="F15" s="19"/>
      <c r="G15" s="15"/>
      <c r="H15" s="15"/>
      <c r="I15" s="43">
        <f>TRUNC(SUM(I12:I14))</f>
        <v>356</v>
      </c>
      <c r="J15" s="15"/>
      <c r="K15" s="15"/>
      <c r="L15" s="43">
        <f>TRUNC(SUM(L12:L14))</f>
        <v>4478</v>
      </c>
      <c r="M15" s="15"/>
      <c r="N15" s="43">
        <f>TRUNC(SUM(N12:N14))</f>
        <v>418</v>
      </c>
      <c r="O15" s="15" t="str">
        <f>IF((H15+K15+M15)=0, "", (H15+K15+M15))</f>
        <v/>
      </c>
      <c r="P15" s="15">
        <f>IF(SUM(I15,L15,N15)&lt;&gt;0,SUM(I15,L15,N15),"")</f>
        <v>5252</v>
      </c>
      <c r="Q15" s="12"/>
    </row>
    <row r="16" spans="1:31" ht="25.05" customHeight="1">
      <c r="D16" s="12"/>
      <c r="E16" s="12"/>
      <c r="F16" s="19"/>
      <c r="G16" s="15"/>
      <c r="H16" s="15"/>
      <c r="I16" s="43"/>
      <c r="J16" s="15"/>
      <c r="K16" s="15"/>
      <c r="L16" s="43"/>
      <c r="M16" s="15"/>
      <c r="N16" s="43"/>
      <c r="O16" s="15"/>
      <c r="P16" s="15"/>
      <c r="Q16" s="12"/>
    </row>
    <row r="17" spans="1:18" ht="25.05" customHeight="1">
      <c r="A17" s="2">
        <v>56950260010</v>
      </c>
      <c r="B17" s="13" t="s">
        <v>526</v>
      </c>
      <c r="C17" s="1" t="s">
        <v>528</v>
      </c>
      <c r="D17" s="203" t="s">
        <v>633</v>
      </c>
      <c r="E17" s="205"/>
      <c r="F17" s="19"/>
      <c r="G17" s="15"/>
      <c r="H17" s="15"/>
      <c r="I17" s="43"/>
      <c r="J17" s="15"/>
      <c r="K17" s="15"/>
      <c r="L17" s="43"/>
      <c r="M17" s="15"/>
      <c r="N17" s="43"/>
      <c r="O17" s="15"/>
      <c r="P17" s="15" t="str">
        <f t="shared" si="0"/>
        <v/>
      </c>
      <c r="Q17" s="12"/>
    </row>
    <row r="18" spans="1:18" ht="25.05" customHeight="1">
      <c r="A18" s="2">
        <v>63500207001</v>
      </c>
      <c r="B18" s="13" t="s">
        <v>514</v>
      </c>
      <c r="C18" s="1" t="s">
        <v>422</v>
      </c>
      <c r="D18" s="12" t="s">
        <v>255</v>
      </c>
      <c r="E18" s="12" t="s">
        <v>423</v>
      </c>
      <c r="F18" s="19" t="s">
        <v>343</v>
      </c>
      <c r="G18" s="15">
        <v>1</v>
      </c>
      <c r="H18" s="15">
        <f>합산자재!H29</f>
        <v>2160</v>
      </c>
      <c r="I18" s="43">
        <f t="shared" ref="I18:I26" si="1">IF(G18*H18&lt;&gt;0, TRUNC(G18*H18, 1), "")</f>
        <v>2160</v>
      </c>
      <c r="J18" s="15">
        <v>1</v>
      </c>
      <c r="K18" s="15">
        <f>합산자재!I29</f>
        <v>0</v>
      </c>
      <c r="L18" s="43" t="str">
        <f t="shared" ref="L18:L26" si="2">IF(G18*K18&lt;&gt;0, TRUNC(G18*K18, 1), "")</f>
        <v/>
      </c>
      <c r="M18" s="15">
        <f>합산자재!J29</f>
        <v>0</v>
      </c>
      <c r="N18" s="43" t="str">
        <f t="shared" ref="N18:N26" si="3">IF(G18*M18&lt;&gt;0, TRUNC(G18*M18, 1), "")</f>
        <v/>
      </c>
      <c r="O18" s="15">
        <f t="shared" ref="O18:O27" si="4">IF((H18+K18+M18)=0, "", (H18+K18+M18))</f>
        <v>2160</v>
      </c>
      <c r="P18" s="15">
        <f t="shared" si="0"/>
        <v>2160</v>
      </c>
      <c r="Q18" s="12"/>
    </row>
    <row r="19" spans="1:18" ht="25.05" customHeight="1">
      <c r="A19" s="2">
        <v>63500207002</v>
      </c>
      <c r="B19" s="13" t="s">
        <v>514</v>
      </c>
      <c r="C19" s="1" t="s">
        <v>424</v>
      </c>
      <c r="D19" s="12" t="s">
        <v>425</v>
      </c>
      <c r="E19" s="12" t="s">
        <v>262</v>
      </c>
      <c r="F19" s="19" t="s">
        <v>343</v>
      </c>
      <c r="G19" s="15">
        <v>1</v>
      </c>
      <c r="H19" s="15">
        <f>합산자재!H30</f>
        <v>3719</v>
      </c>
      <c r="I19" s="43">
        <f t="shared" si="1"/>
        <v>3719</v>
      </c>
      <c r="J19" s="15">
        <v>1</v>
      </c>
      <c r="K19" s="15">
        <f>합산자재!I30</f>
        <v>0</v>
      </c>
      <c r="L19" s="43" t="str">
        <f t="shared" si="2"/>
        <v/>
      </c>
      <c r="M19" s="15">
        <f>합산자재!J30</f>
        <v>0</v>
      </c>
      <c r="N19" s="43" t="str">
        <f t="shared" si="3"/>
        <v/>
      </c>
      <c r="O19" s="15">
        <f t="shared" si="4"/>
        <v>3719</v>
      </c>
      <c r="P19" s="15">
        <f t="shared" si="0"/>
        <v>3719</v>
      </c>
      <c r="Q19" s="12"/>
    </row>
    <row r="20" spans="1:18" ht="25.05" customHeight="1">
      <c r="A20" s="2">
        <v>63500207003</v>
      </c>
      <c r="B20" s="13" t="s">
        <v>514</v>
      </c>
      <c r="C20" s="1" t="s">
        <v>426</v>
      </c>
      <c r="D20" s="12" t="s">
        <v>427</v>
      </c>
      <c r="E20" s="12" t="s">
        <v>262</v>
      </c>
      <c r="F20" s="19" t="s">
        <v>343</v>
      </c>
      <c r="G20" s="15">
        <v>1</v>
      </c>
      <c r="H20" s="15">
        <f>합산자재!H31</f>
        <v>1225</v>
      </c>
      <c r="I20" s="43">
        <f t="shared" si="1"/>
        <v>1225</v>
      </c>
      <c r="J20" s="15">
        <v>1</v>
      </c>
      <c r="K20" s="15">
        <f>합산자재!I31</f>
        <v>0</v>
      </c>
      <c r="L20" s="43" t="str">
        <f t="shared" si="2"/>
        <v/>
      </c>
      <c r="M20" s="15">
        <f>합산자재!J31</f>
        <v>0</v>
      </c>
      <c r="N20" s="43" t="str">
        <f t="shared" si="3"/>
        <v/>
      </c>
      <c r="O20" s="15">
        <f t="shared" si="4"/>
        <v>1225</v>
      </c>
      <c r="P20" s="15">
        <f t="shared" si="0"/>
        <v>1225</v>
      </c>
      <c r="Q20" s="12"/>
    </row>
    <row r="21" spans="1:18" ht="25.05" customHeight="1">
      <c r="A21" s="2">
        <v>63500207006</v>
      </c>
      <c r="B21" s="13" t="s">
        <v>514</v>
      </c>
      <c r="C21" s="1" t="s">
        <v>431</v>
      </c>
      <c r="D21" s="12" t="s">
        <v>432</v>
      </c>
      <c r="E21" s="12" t="s">
        <v>433</v>
      </c>
      <c r="F21" s="19" t="s">
        <v>343</v>
      </c>
      <c r="G21" s="15">
        <v>1</v>
      </c>
      <c r="H21" s="15">
        <f>합산자재!H34</f>
        <v>2873</v>
      </c>
      <c r="I21" s="43">
        <f t="shared" si="1"/>
        <v>2873</v>
      </c>
      <c r="J21" s="15">
        <v>1</v>
      </c>
      <c r="K21" s="15">
        <f>합산자재!I34</f>
        <v>0</v>
      </c>
      <c r="L21" s="43" t="str">
        <f t="shared" si="2"/>
        <v/>
      </c>
      <c r="M21" s="15">
        <f>합산자재!J34</f>
        <v>0</v>
      </c>
      <c r="N21" s="43" t="str">
        <f t="shared" si="3"/>
        <v/>
      </c>
      <c r="O21" s="15">
        <f t="shared" si="4"/>
        <v>2873</v>
      </c>
      <c r="P21" s="15">
        <f t="shared" si="0"/>
        <v>2873</v>
      </c>
      <c r="Q21" s="12"/>
    </row>
    <row r="22" spans="1:18" ht="25.05" customHeight="1">
      <c r="A22" s="2">
        <v>59400217032</v>
      </c>
      <c r="B22" s="13" t="s">
        <v>514</v>
      </c>
      <c r="C22" s="1" t="s">
        <v>439</v>
      </c>
      <c r="D22" s="12" t="s">
        <v>440</v>
      </c>
      <c r="E22" s="12" t="s">
        <v>441</v>
      </c>
      <c r="F22" s="19" t="s">
        <v>343</v>
      </c>
      <c r="G22" s="15">
        <v>1</v>
      </c>
      <c r="H22" s="15">
        <f>합산자재!H39</f>
        <v>1706</v>
      </c>
      <c r="I22" s="43">
        <f t="shared" si="1"/>
        <v>1706</v>
      </c>
      <c r="J22" s="15">
        <v>1</v>
      </c>
      <c r="K22" s="15">
        <f>합산자재!I39</f>
        <v>0</v>
      </c>
      <c r="L22" s="43" t="str">
        <f t="shared" si="2"/>
        <v/>
      </c>
      <c r="M22" s="15">
        <f>합산자재!J39</f>
        <v>0</v>
      </c>
      <c r="N22" s="43" t="str">
        <f t="shared" si="3"/>
        <v/>
      </c>
      <c r="O22" s="15">
        <f t="shared" si="4"/>
        <v>1706</v>
      </c>
      <c r="P22" s="15">
        <f t="shared" si="0"/>
        <v>1706</v>
      </c>
      <c r="Q22" s="12"/>
    </row>
    <row r="23" spans="1:18" ht="25.05" customHeight="1">
      <c r="A23" s="2" t="s">
        <v>471</v>
      </c>
      <c r="B23" s="13" t="s">
        <v>514</v>
      </c>
      <c r="C23" s="1" t="s">
        <v>407</v>
      </c>
      <c r="D23" s="12" t="s">
        <v>353</v>
      </c>
      <c r="E23" s="12" t="s">
        <v>355</v>
      </c>
      <c r="F23" s="19" t="s">
        <v>333</v>
      </c>
      <c r="G23" s="15">
        <v>2</v>
      </c>
      <c r="H23" s="15">
        <f>합산자재!H20</f>
        <v>443</v>
      </c>
      <c r="I23" s="43">
        <f t="shared" si="1"/>
        <v>886</v>
      </c>
      <c r="J23" s="15">
        <v>2</v>
      </c>
      <c r="K23" s="15">
        <f>합산자재!I20</f>
        <v>0</v>
      </c>
      <c r="L23" s="43" t="str">
        <f t="shared" si="2"/>
        <v/>
      </c>
      <c r="M23" s="15">
        <f>합산자재!J20</f>
        <v>0</v>
      </c>
      <c r="N23" s="43" t="str">
        <f t="shared" si="3"/>
        <v/>
      </c>
      <c r="O23" s="15">
        <f t="shared" si="4"/>
        <v>443</v>
      </c>
      <c r="P23" s="15">
        <f t="shared" si="0"/>
        <v>886</v>
      </c>
      <c r="Q23" s="12"/>
    </row>
    <row r="24" spans="1:18" ht="25.05" customHeight="1">
      <c r="A24" s="2" t="s">
        <v>518</v>
      </c>
      <c r="B24" s="13" t="s">
        <v>514</v>
      </c>
      <c r="C24" s="1" t="s">
        <v>519</v>
      </c>
      <c r="D24" s="12" t="s">
        <v>520</v>
      </c>
      <c r="E24" s="12" t="s">
        <v>521</v>
      </c>
      <c r="F24" s="19" t="s">
        <v>177</v>
      </c>
      <c r="G24" s="15">
        <v>1</v>
      </c>
      <c r="H24" s="15">
        <v>21.2</v>
      </c>
      <c r="I24" s="43">
        <f t="shared" si="1"/>
        <v>21.2</v>
      </c>
      <c r="J24" s="15">
        <v>1</v>
      </c>
      <c r="K24" s="15"/>
      <c r="L24" s="43" t="str">
        <f t="shared" si="2"/>
        <v/>
      </c>
      <c r="M24" s="15"/>
      <c r="N24" s="43" t="str">
        <f t="shared" si="3"/>
        <v/>
      </c>
      <c r="O24" s="15">
        <f t="shared" si="4"/>
        <v>21.2</v>
      </c>
      <c r="P24" s="15">
        <f t="shared" si="0"/>
        <v>21.2</v>
      </c>
      <c r="Q24" s="12"/>
    </row>
    <row r="25" spans="1:18" ht="25.05" customHeight="1">
      <c r="A25" s="2">
        <v>56900017016</v>
      </c>
      <c r="B25" s="13" t="s">
        <v>514</v>
      </c>
      <c r="C25" s="1" t="s">
        <v>443</v>
      </c>
      <c r="D25" s="12" t="s">
        <v>444</v>
      </c>
      <c r="E25" s="12" t="s">
        <v>445</v>
      </c>
      <c r="F25" s="19" t="s">
        <v>446</v>
      </c>
      <c r="G25" s="15">
        <f>일위노임!G18</f>
        <v>0.65249999999999997</v>
      </c>
      <c r="H25" s="15">
        <f>합산자재!H40</f>
        <v>0</v>
      </c>
      <c r="I25" s="43" t="str">
        <f t="shared" si="1"/>
        <v/>
      </c>
      <c r="J25" s="15">
        <v>0.87</v>
      </c>
      <c r="K25" s="15">
        <f>합산자재!I40</f>
        <v>241512</v>
      </c>
      <c r="L25" s="43">
        <f t="shared" si="2"/>
        <v>157586.5</v>
      </c>
      <c r="M25" s="15">
        <f>합산자재!J40</f>
        <v>0</v>
      </c>
      <c r="N25" s="43" t="str">
        <f t="shared" si="3"/>
        <v/>
      </c>
      <c r="O25" s="15">
        <f t="shared" si="4"/>
        <v>241512</v>
      </c>
      <c r="P25" s="15">
        <f t="shared" si="0"/>
        <v>157586.5</v>
      </c>
      <c r="Q25" s="12"/>
    </row>
    <row r="26" spans="1:18" ht="25.05" customHeight="1">
      <c r="A26" s="2" t="s">
        <v>522</v>
      </c>
      <c r="B26" s="13" t="s">
        <v>514</v>
      </c>
      <c r="C26" s="1" t="s">
        <v>523</v>
      </c>
      <c r="D26" s="12" t="s">
        <v>524</v>
      </c>
      <c r="E26" s="12" t="s">
        <v>1401</v>
      </c>
      <c r="F26" s="19" t="s">
        <v>177</v>
      </c>
      <c r="G26" s="15">
        <v>1</v>
      </c>
      <c r="H26" s="15">
        <v>6335.2</v>
      </c>
      <c r="I26" s="164">
        <f t="shared" si="1"/>
        <v>6335.2</v>
      </c>
      <c r="J26" s="15">
        <v>1</v>
      </c>
      <c r="K26" s="15"/>
      <c r="L26" s="164" t="str">
        <f t="shared" si="2"/>
        <v/>
      </c>
      <c r="M26" s="15"/>
      <c r="N26" s="164" t="str">
        <f t="shared" si="3"/>
        <v/>
      </c>
      <c r="O26" s="15">
        <f t="shared" si="4"/>
        <v>6335.2</v>
      </c>
      <c r="P26" s="15">
        <f t="shared" si="0"/>
        <v>6335.2</v>
      </c>
      <c r="Q26" s="12"/>
      <c r="R26" s="150" t="s">
        <v>1400</v>
      </c>
    </row>
    <row r="27" spans="1:18" ht="25.05" customHeight="1">
      <c r="B27" s="13" t="s">
        <v>516</v>
      </c>
      <c r="D27" s="12" t="s">
        <v>517</v>
      </c>
      <c r="E27" s="12"/>
      <c r="F27" s="19"/>
      <c r="G27" s="15"/>
      <c r="H27" s="15"/>
      <c r="I27" s="43">
        <f>TRUNC(SUM(I17:I26))</f>
        <v>18925</v>
      </c>
      <c r="J27" s="15"/>
      <c r="K27" s="15"/>
      <c r="L27" s="43">
        <f>TRUNC(SUM(L17:L26))</f>
        <v>157586</v>
      </c>
      <c r="M27" s="15"/>
      <c r="N27" s="43">
        <f>TRUNC(SUM(N17:N26))</f>
        <v>0</v>
      </c>
      <c r="O27" s="15" t="str">
        <f t="shared" si="4"/>
        <v/>
      </c>
      <c r="P27" s="15">
        <f t="shared" si="0"/>
        <v>176511</v>
      </c>
      <c r="Q27" s="12"/>
    </row>
  </sheetData>
  <mergeCells count="16">
    <mergeCell ref="D4:E4"/>
    <mergeCell ref="D17:E17"/>
    <mergeCell ref="E2:E3"/>
    <mergeCell ref="D2:D3"/>
    <mergeCell ref="W1:Z1"/>
    <mergeCell ref="D8:E8"/>
    <mergeCell ref="D12:E12"/>
    <mergeCell ref="AA1:AE1"/>
    <mergeCell ref="D1:N1"/>
    <mergeCell ref="M2:N2"/>
    <mergeCell ref="Q2:Q3"/>
    <mergeCell ref="P2:P3"/>
    <mergeCell ref="J2:L2"/>
    <mergeCell ref="F2:F3"/>
    <mergeCell ref="G2:G3"/>
    <mergeCell ref="H2:I2"/>
  </mergeCells>
  <phoneticPr fontId="4" type="noConversion"/>
  <printOptions horizontalCentered="1" verticalCentered="1"/>
  <pageMargins left="0.74803149606299213" right="0.35433070866141736" top="0.59055118110236227" bottom="0.59055118110236227" header="0.51181102362204722" footer="0.47244094488188981"/>
  <pageSetup paperSize="9" scale="75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A1:AB26"/>
  <sheetViews>
    <sheetView view="pageBreakPreview" topLeftCell="D1" zoomScale="80" zoomScaleNormal="100" zoomScaleSheetLayoutView="80" workbookViewId="0">
      <pane ySplit="3" topLeftCell="A4" activePane="bottomLeft" state="frozen"/>
      <selection activeCell="D1" sqref="D1"/>
      <selection pane="bottomLeft" activeCell="H25" sqref="H25"/>
    </sheetView>
  </sheetViews>
  <sheetFormatPr defaultColWidth="8.8984375" defaultRowHeight="22.05" customHeight="1"/>
  <cols>
    <col min="1" max="1" width="44.59765625" style="2" hidden="1" customWidth="1"/>
    <col min="2" max="2" width="35.19921875" style="13" hidden="1" customWidth="1"/>
    <col min="3" max="3" width="39.59765625" style="13" hidden="1" customWidth="1"/>
    <col min="4" max="5" width="24.296875" style="13" customWidth="1"/>
    <col min="6" max="6" width="4.59765625" style="2" customWidth="1"/>
    <col min="7" max="7" width="10.09765625" style="2" customWidth="1"/>
    <col min="8" max="8" width="9.296875" style="2" customWidth="1"/>
    <col min="9" max="9" width="10" style="2" customWidth="1"/>
    <col min="10" max="10" width="5.19921875" style="2" customWidth="1"/>
    <col min="11" max="11" width="4.69921875" style="13" hidden="1" customWidth="1"/>
    <col min="12" max="12" width="14.09765625" style="2" customWidth="1"/>
    <col min="13" max="13" width="7.19921875" style="2" customWidth="1"/>
    <col min="14" max="14" width="5.3984375" style="2" customWidth="1"/>
    <col min="15" max="15" width="8.69921875" style="2" customWidth="1"/>
    <col min="16" max="16" width="2.3984375" style="28" hidden="1" customWidth="1"/>
    <col min="17" max="17" width="1.19921875" style="28" hidden="1" customWidth="1"/>
    <col min="18" max="18" width="5.09765625" style="28" hidden="1" customWidth="1"/>
    <col min="19" max="19" width="10.296875" style="2" customWidth="1"/>
    <col min="20" max="20" width="11.09765625" style="2" customWidth="1"/>
    <col min="21" max="29" width="8.8984375" style="2"/>
    <col min="30" max="55" width="11.69921875" style="2" customWidth="1"/>
    <col min="56" max="16384" width="8.8984375" style="2"/>
  </cols>
  <sheetData>
    <row r="1" spans="1:28" ht="22.05" customHeight="1">
      <c r="B1" s="13" t="s">
        <v>509</v>
      </c>
      <c r="D1" s="198" t="s">
        <v>496</v>
      </c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31"/>
      <c r="Q1" s="31"/>
      <c r="R1" s="31"/>
      <c r="AA1" s="2" t="s">
        <v>497</v>
      </c>
      <c r="AB1" s="2" t="s">
        <v>498</v>
      </c>
    </row>
    <row r="2" spans="1:28" s="14" customFormat="1" ht="25.05" customHeight="1">
      <c r="A2" s="14" t="s">
        <v>133</v>
      </c>
      <c r="B2" s="42" t="s">
        <v>134</v>
      </c>
      <c r="C2" s="42" t="s">
        <v>135</v>
      </c>
      <c r="D2" s="200" t="s">
        <v>136</v>
      </c>
      <c r="E2" s="200" t="s">
        <v>137</v>
      </c>
      <c r="F2" s="201" t="s">
        <v>138</v>
      </c>
      <c r="G2" s="201" t="s">
        <v>139</v>
      </c>
      <c r="H2" s="201"/>
      <c r="I2" s="201"/>
      <c r="J2" s="201"/>
      <c r="K2" s="200" t="s">
        <v>135</v>
      </c>
      <c r="L2" s="201" t="s">
        <v>140</v>
      </c>
      <c r="M2" s="201"/>
      <c r="N2" s="201"/>
      <c r="O2" s="201"/>
      <c r="P2" s="201" t="s">
        <v>141</v>
      </c>
      <c r="Q2" s="201"/>
      <c r="R2" s="201"/>
      <c r="S2" s="201" t="s">
        <v>142</v>
      </c>
      <c r="T2" s="201" t="s">
        <v>143</v>
      </c>
    </row>
    <row r="3" spans="1:28" s="14" customFormat="1" ht="25.05" customHeight="1">
      <c r="B3" s="42"/>
      <c r="C3" s="42"/>
      <c r="D3" s="200"/>
      <c r="E3" s="200"/>
      <c r="F3" s="201"/>
      <c r="G3" s="16" t="s">
        <v>144</v>
      </c>
      <c r="H3" s="16" t="s">
        <v>145</v>
      </c>
      <c r="I3" s="16" t="s">
        <v>146</v>
      </c>
      <c r="J3" s="16" t="s">
        <v>147</v>
      </c>
      <c r="K3" s="207"/>
      <c r="L3" s="16" t="s">
        <v>148</v>
      </c>
      <c r="M3" s="16" t="s">
        <v>149</v>
      </c>
      <c r="N3" s="16" t="s">
        <v>150</v>
      </c>
      <c r="O3" s="16" t="s">
        <v>151</v>
      </c>
      <c r="P3" s="16" t="s">
        <v>152</v>
      </c>
      <c r="Q3" s="16" t="s">
        <v>153</v>
      </c>
      <c r="R3" s="16" t="s">
        <v>154</v>
      </c>
      <c r="S3" s="201"/>
      <c r="T3" s="201"/>
    </row>
    <row r="4" spans="1:28" ht="25.05" customHeight="1">
      <c r="B4" s="13" t="s">
        <v>508</v>
      </c>
      <c r="D4" s="203" t="s">
        <v>507</v>
      </c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5"/>
    </row>
    <row r="5" spans="1:28" ht="25.05" customHeight="1">
      <c r="B5" s="13" t="s">
        <v>499</v>
      </c>
      <c r="C5" s="13" t="s">
        <v>500</v>
      </c>
      <c r="D5" s="12" t="s">
        <v>501</v>
      </c>
      <c r="E5" s="12" t="s">
        <v>233</v>
      </c>
      <c r="F5" s="15" t="s">
        <v>177</v>
      </c>
      <c r="G5" s="15">
        <v>1</v>
      </c>
      <c r="H5" s="15">
        <f>IF(I5&lt;&gt;0, G5-I5, "")</f>
        <v>0</v>
      </c>
      <c r="I5" s="15">
        <v>1</v>
      </c>
      <c r="J5" s="15"/>
      <c r="K5" s="12" t="s">
        <v>494</v>
      </c>
      <c r="L5" s="15" t="s">
        <v>452</v>
      </c>
      <c r="M5" s="15">
        <v>0.14000000000000001</v>
      </c>
      <c r="N5" s="15">
        <v>75</v>
      </c>
      <c r="O5" s="15">
        <f>IF(I5*M5=0, "", I5*M5*(N5/100))</f>
        <v>0.10500000000000001</v>
      </c>
      <c r="P5" s="30"/>
      <c r="Q5" s="30">
        <f>TRUNC(P5*M5*N5/100)</f>
        <v>0</v>
      </c>
      <c r="R5" s="30"/>
      <c r="S5" s="15" t="s">
        <v>502</v>
      </c>
      <c r="T5" s="15"/>
      <c r="AB5" s="2">
        <f>O5</f>
        <v>0.10500000000000001</v>
      </c>
    </row>
    <row r="6" spans="1:28" ht="25.05" customHeight="1">
      <c r="B6" s="13" t="s">
        <v>499</v>
      </c>
      <c r="C6" s="13" t="s">
        <v>451</v>
      </c>
      <c r="D6" s="12" t="s">
        <v>444</v>
      </c>
      <c r="E6" s="12" t="s">
        <v>452</v>
      </c>
      <c r="F6" s="15" t="s">
        <v>446</v>
      </c>
      <c r="G6" s="15">
        <f>IF(H6*I6/100 &lt;1, TRUNC(H6*I6/100, 옵션!$E$13), TRUNC(H6*I6/100, 옵션!$E$13))</f>
        <v>0.105</v>
      </c>
      <c r="H6" s="15">
        <f>옵션!$B$13</f>
        <v>100</v>
      </c>
      <c r="I6" s="15">
        <f>SUM(AB5:AB5)</f>
        <v>0.10500000000000001</v>
      </c>
      <c r="J6" s="15"/>
      <c r="K6" s="12"/>
      <c r="L6" s="15"/>
      <c r="M6" s="15"/>
      <c r="N6" s="15"/>
      <c r="O6" s="15" t="str">
        <f>IF(I6*M6=0, "", I6*M6*(N6/100))</f>
        <v/>
      </c>
      <c r="P6" s="30"/>
      <c r="Q6" s="30">
        <f>TRUNC(P6*M6*N6/100)</f>
        <v>0</v>
      </c>
      <c r="R6" s="30"/>
      <c r="S6" s="15"/>
      <c r="T6" s="15"/>
      <c r="Z6" s="2" t="s">
        <v>503</v>
      </c>
      <c r="AB6" s="2">
        <f>SUM(AB5:AB5)</f>
        <v>0.10500000000000001</v>
      </c>
    </row>
    <row r="7" spans="1:28" ht="25.05" customHeight="1">
      <c r="D7" s="12"/>
      <c r="E7" s="12"/>
      <c r="F7" s="15"/>
      <c r="G7" s="15"/>
      <c r="H7" s="15"/>
      <c r="I7" s="15"/>
      <c r="J7" s="15"/>
      <c r="K7" s="12"/>
      <c r="L7" s="15"/>
      <c r="M7" s="15"/>
      <c r="N7" s="15"/>
      <c r="O7" s="15"/>
      <c r="P7" s="30"/>
      <c r="Q7" s="30"/>
      <c r="R7" s="30"/>
      <c r="S7" s="15"/>
      <c r="T7" s="15"/>
    </row>
    <row r="8" spans="1:28" ht="25.05" customHeight="1">
      <c r="B8" s="13" t="s">
        <v>508</v>
      </c>
      <c r="D8" s="203" t="s">
        <v>610</v>
      </c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5"/>
    </row>
    <row r="9" spans="1:28" ht="25.05" customHeight="1">
      <c r="B9" s="13" t="s">
        <v>499</v>
      </c>
      <c r="C9" s="13" t="s">
        <v>607</v>
      </c>
      <c r="D9" s="12" t="s">
        <v>501</v>
      </c>
      <c r="E9" s="12" t="s">
        <v>608</v>
      </c>
      <c r="F9" s="15" t="s">
        <v>177</v>
      </c>
      <c r="G9" s="15">
        <v>1</v>
      </c>
      <c r="H9" s="15">
        <f>IF(I9&lt;&gt;0, G9-I9, "")</f>
        <v>0</v>
      </c>
      <c r="I9" s="15">
        <v>1</v>
      </c>
      <c r="J9" s="15"/>
      <c r="K9" s="12" t="s">
        <v>494</v>
      </c>
      <c r="L9" s="15" t="s">
        <v>452</v>
      </c>
      <c r="M9" s="15">
        <v>0.2</v>
      </c>
      <c r="N9" s="15">
        <v>75</v>
      </c>
      <c r="O9" s="15">
        <f>IF(I9*M9=0, "", I9*M9*(N9/100))</f>
        <v>0.15000000000000002</v>
      </c>
      <c r="P9" s="30"/>
      <c r="Q9" s="30">
        <f>TRUNC(P9*M9*N9/100)</f>
        <v>0</v>
      </c>
      <c r="R9" s="30"/>
      <c r="S9" s="15" t="s">
        <v>609</v>
      </c>
      <c r="T9" s="15"/>
      <c r="AB9" s="2">
        <f>O9</f>
        <v>0.15000000000000002</v>
      </c>
    </row>
    <row r="10" spans="1:28" ht="25.05" customHeight="1">
      <c r="B10" s="13" t="s">
        <v>499</v>
      </c>
      <c r="C10" s="13" t="s">
        <v>451</v>
      </c>
      <c r="D10" s="12" t="s">
        <v>444</v>
      </c>
      <c r="E10" s="12" t="s">
        <v>452</v>
      </c>
      <c r="F10" s="15" t="s">
        <v>446</v>
      </c>
      <c r="G10" s="15">
        <f>IF(H10*I10/100 &lt;1, TRUNC(H10*I10/100, [2]옵션!$E$13), TRUNC(H10*I10/100, [2]옵션!$E$13))</f>
        <v>0.15</v>
      </c>
      <c r="H10" s="15">
        <f>[2]옵션!$B$13</f>
        <v>100</v>
      </c>
      <c r="I10" s="15">
        <f>SUM(AB9)</f>
        <v>0.15000000000000002</v>
      </c>
      <c r="J10" s="15"/>
      <c r="K10" s="12"/>
      <c r="L10" s="15"/>
      <c r="M10" s="15"/>
      <c r="N10" s="15"/>
      <c r="O10" s="15" t="str">
        <f>IF(I10*M10=0, "", I10*M10*(N10/100))</f>
        <v/>
      </c>
      <c r="P10" s="30"/>
      <c r="Q10" s="30">
        <f>TRUNC(P10*M10*N10/100)</f>
        <v>0</v>
      </c>
      <c r="R10" s="30"/>
      <c r="S10" s="15"/>
      <c r="T10" s="15"/>
      <c r="Z10" s="2" t="s">
        <v>503</v>
      </c>
      <c r="AB10" s="2">
        <f>SUM(AB9:AB9)</f>
        <v>0.15000000000000002</v>
      </c>
    </row>
    <row r="11" spans="1:28" ht="25.05" customHeight="1">
      <c r="D11" s="12"/>
      <c r="E11" s="12"/>
      <c r="F11" s="15"/>
      <c r="G11" s="15"/>
      <c r="H11" s="15"/>
      <c r="I11" s="15"/>
      <c r="J11" s="15"/>
      <c r="K11" s="12"/>
      <c r="L11" s="15"/>
      <c r="M11" s="15"/>
      <c r="N11" s="15"/>
      <c r="O11" s="15"/>
      <c r="P11" s="30"/>
      <c r="Q11" s="30"/>
      <c r="R11" s="30"/>
      <c r="S11" s="15"/>
      <c r="T11" s="15"/>
    </row>
    <row r="12" spans="1:28" ht="25.05" customHeight="1">
      <c r="B12" s="13" t="s">
        <v>508</v>
      </c>
      <c r="D12" s="203" t="s">
        <v>638</v>
      </c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5"/>
    </row>
    <row r="13" spans="1:28" ht="25.05" customHeight="1">
      <c r="B13" s="13" t="s">
        <v>499</v>
      </c>
      <c r="C13" s="13" t="s">
        <v>422</v>
      </c>
      <c r="D13" s="12" t="s">
        <v>255</v>
      </c>
      <c r="E13" s="12" t="s">
        <v>423</v>
      </c>
      <c r="F13" s="15" t="s">
        <v>343</v>
      </c>
      <c r="G13" s="15">
        <v>1</v>
      </c>
      <c r="H13" s="15">
        <f>IF(I13&lt;&gt;0, G13-I13, "")</f>
        <v>0</v>
      </c>
      <c r="I13" s="15">
        <v>1</v>
      </c>
      <c r="J13" s="15"/>
      <c r="K13" s="12" t="s">
        <v>491</v>
      </c>
      <c r="L13" s="15" t="s">
        <v>445</v>
      </c>
      <c r="M13" s="15">
        <v>0.3</v>
      </c>
      <c r="N13" s="15">
        <v>75</v>
      </c>
      <c r="O13" s="15">
        <f t="shared" ref="O13:O18" si="0">IF(I13*M13=0, "", I13*M13*(N13/100))</f>
        <v>0.22499999999999998</v>
      </c>
      <c r="P13" s="30"/>
      <c r="Q13" s="30">
        <f t="shared" ref="Q13:Q18" si="1">TRUNC(P13*M13*N13/100)</f>
        <v>0</v>
      </c>
      <c r="R13" s="30"/>
      <c r="S13" s="15" t="s">
        <v>504</v>
      </c>
      <c r="T13" s="15"/>
      <c r="AA13" s="2">
        <f>O13</f>
        <v>0.22499999999999998</v>
      </c>
    </row>
    <row r="14" spans="1:28" ht="25.05" customHeight="1">
      <c r="B14" s="13" t="s">
        <v>499</v>
      </c>
      <c r="C14" s="13" t="s">
        <v>424</v>
      </c>
      <c r="D14" s="12" t="s">
        <v>425</v>
      </c>
      <c r="E14" s="12" t="s">
        <v>262</v>
      </c>
      <c r="F14" s="15" t="s">
        <v>343</v>
      </c>
      <c r="G14" s="15">
        <v>1</v>
      </c>
      <c r="H14" s="15">
        <f>IF(I14&lt;&gt;0, G14-I14, "")</f>
        <v>0</v>
      </c>
      <c r="I14" s="15">
        <v>1</v>
      </c>
      <c r="J14" s="15"/>
      <c r="K14" s="12" t="s">
        <v>491</v>
      </c>
      <c r="L14" s="15" t="s">
        <v>445</v>
      </c>
      <c r="M14" s="15">
        <v>0.15</v>
      </c>
      <c r="N14" s="15">
        <v>75</v>
      </c>
      <c r="O14" s="15">
        <f t="shared" si="0"/>
        <v>0.11249999999999999</v>
      </c>
      <c r="P14" s="30"/>
      <c r="Q14" s="30">
        <f t="shared" si="1"/>
        <v>0</v>
      </c>
      <c r="R14" s="30"/>
      <c r="S14" s="15" t="s">
        <v>504</v>
      </c>
      <c r="T14" s="15"/>
      <c r="AA14" s="2">
        <f>O14</f>
        <v>0.11249999999999999</v>
      </c>
    </row>
    <row r="15" spans="1:28" ht="25.05" customHeight="1">
      <c r="B15" s="13" t="s">
        <v>499</v>
      </c>
      <c r="C15" s="13" t="s">
        <v>426</v>
      </c>
      <c r="D15" s="12" t="s">
        <v>427</v>
      </c>
      <c r="E15" s="12" t="s">
        <v>262</v>
      </c>
      <c r="F15" s="15" t="s">
        <v>343</v>
      </c>
      <c r="G15" s="15">
        <v>1</v>
      </c>
      <c r="H15" s="15">
        <f>IF(I15&lt;&gt;0, G15-I15, "")</f>
        <v>0</v>
      </c>
      <c r="I15" s="15">
        <v>1</v>
      </c>
      <c r="J15" s="15"/>
      <c r="K15" s="12" t="s">
        <v>491</v>
      </c>
      <c r="L15" s="15" t="s">
        <v>445</v>
      </c>
      <c r="M15" s="15">
        <v>0.2</v>
      </c>
      <c r="N15" s="15">
        <v>75</v>
      </c>
      <c r="O15" s="15">
        <f t="shared" si="0"/>
        <v>0.15000000000000002</v>
      </c>
      <c r="P15" s="30"/>
      <c r="Q15" s="30">
        <f t="shared" si="1"/>
        <v>0</v>
      </c>
      <c r="R15" s="30"/>
      <c r="S15" s="15" t="s">
        <v>504</v>
      </c>
      <c r="T15" s="15"/>
      <c r="AA15" s="2">
        <f>O15</f>
        <v>0.15000000000000002</v>
      </c>
    </row>
    <row r="16" spans="1:28" ht="25.05" customHeight="1">
      <c r="B16" s="13" t="s">
        <v>499</v>
      </c>
      <c r="C16" s="13" t="s">
        <v>431</v>
      </c>
      <c r="D16" s="12" t="s">
        <v>432</v>
      </c>
      <c r="E16" s="12" t="s">
        <v>433</v>
      </c>
      <c r="F16" s="15" t="s">
        <v>343</v>
      </c>
      <c r="G16" s="15">
        <v>1</v>
      </c>
      <c r="H16" s="15">
        <f>IF(I16&lt;&gt;0, G16-I16, "")</f>
        <v>0</v>
      </c>
      <c r="I16" s="15">
        <v>1</v>
      </c>
      <c r="J16" s="15"/>
      <c r="K16" s="12" t="s">
        <v>491</v>
      </c>
      <c r="L16" s="15" t="s">
        <v>445</v>
      </c>
      <c r="M16" s="15">
        <v>0.2</v>
      </c>
      <c r="N16" s="15">
        <v>75</v>
      </c>
      <c r="O16" s="15">
        <f t="shared" si="0"/>
        <v>0.15000000000000002</v>
      </c>
      <c r="P16" s="30"/>
      <c r="Q16" s="30">
        <f t="shared" si="1"/>
        <v>0</v>
      </c>
      <c r="R16" s="30"/>
      <c r="S16" s="15" t="s">
        <v>505</v>
      </c>
      <c r="T16" s="15"/>
      <c r="AA16" s="2">
        <f>O16</f>
        <v>0.15000000000000002</v>
      </c>
    </row>
    <row r="17" spans="2:27" ht="25.05" customHeight="1">
      <c r="B17" s="13" t="s">
        <v>499</v>
      </c>
      <c r="C17" s="13" t="s">
        <v>407</v>
      </c>
      <c r="D17" s="12" t="s">
        <v>353</v>
      </c>
      <c r="E17" s="12" t="s">
        <v>355</v>
      </c>
      <c r="F17" s="15" t="s">
        <v>333</v>
      </c>
      <c r="G17" s="15">
        <v>2</v>
      </c>
      <c r="H17" s="15">
        <f>IF(I17&lt;&gt;0, G17-I17, "")</f>
        <v>0</v>
      </c>
      <c r="I17" s="15">
        <v>2</v>
      </c>
      <c r="J17" s="15">
        <v>10</v>
      </c>
      <c r="K17" s="12" t="s">
        <v>491</v>
      </c>
      <c r="L17" s="15" t="s">
        <v>445</v>
      </c>
      <c r="M17" s="15">
        <v>0.01</v>
      </c>
      <c r="N17" s="15">
        <v>75</v>
      </c>
      <c r="O17" s="15">
        <f t="shared" si="0"/>
        <v>1.4999999999999999E-2</v>
      </c>
      <c r="P17" s="30"/>
      <c r="Q17" s="30">
        <f t="shared" si="1"/>
        <v>0</v>
      </c>
      <c r="R17" s="30"/>
      <c r="S17" s="15" t="s">
        <v>506</v>
      </c>
      <c r="T17" s="15"/>
      <c r="AA17" s="2">
        <f>O17</f>
        <v>1.4999999999999999E-2</v>
      </c>
    </row>
    <row r="18" spans="2:27" ht="25.05" customHeight="1">
      <c r="B18" s="13" t="s">
        <v>499</v>
      </c>
      <c r="C18" s="13" t="s">
        <v>443</v>
      </c>
      <c r="D18" s="12" t="s">
        <v>444</v>
      </c>
      <c r="E18" s="12" t="s">
        <v>445</v>
      </c>
      <c r="F18" s="15" t="s">
        <v>446</v>
      </c>
      <c r="G18" s="15">
        <f>IF(H18*I18/100 &lt;1, TRUNC(H18*I18/100, 옵션!$E$13), TRUNC(H18*I18/100, 옵션!$E$13))</f>
        <v>0.65249999999999997</v>
      </c>
      <c r="H18" s="15">
        <f>옵션!$B$13</f>
        <v>100</v>
      </c>
      <c r="I18" s="15">
        <f>SUM(AA13:AA17)</f>
        <v>0.65249999999999997</v>
      </c>
      <c r="J18" s="15"/>
      <c r="K18" s="12"/>
      <c r="L18" s="15"/>
      <c r="M18" s="15"/>
      <c r="N18" s="15"/>
      <c r="O18" s="15" t="str">
        <f t="shared" si="0"/>
        <v/>
      </c>
      <c r="P18" s="30"/>
      <c r="Q18" s="30">
        <f t="shared" si="1"/>
        <v>0</v>
      </c>
      <c r="R18" s="30"/>
      <c r="S18" s="15"/>
      <c r="T18" s="15"/>
      <c r="Z18" s="2" t="s">
        <v>503</v>
      </c>
      <c r="AA18" s="2">
        <f>SUM(AA13:AA17)</f>
        <v>0.65249999999999997</v>
      </c>
    </row>
    <row r="19" spans="2:27" ht="25.05" customHeight="1">
      <c r="D19" s="12"/>
      <c r="E19" s="12"/>
      <c r="F19" s="15"/>
      <c r="G19" s="15"/>
      <c r="H19" s="15"/>
      <c r="I19" s="15"/>
      <c r="J19" s="15"/>
      <c r="K19" s="12"/>
      <c r="L19" s="15"/>
      <c r="M19" s="15"/>
      <c r="N19" s="15"/>
      <c r="O19" s="15"/>
      <c r="P19" s="30"/>
      <c r="Q19" s="30"/>
      <c r="R19" s="30"/>
      <c r="S19" s="15"/>
      <c r="T19" s="15"/>
    </row>
    <row r="20" spans="2:27" ht="25.05" customHeight="1">
      <c r="D20" s="12"/>
      <c r="E20" s="12"/>
      <c r="F20" s="15"/>
      <c r="G20" s="15"/>
      <c r="H20" s="15"/>
      <c r="I20" s="15"/>
      <c r="J20" s="15"/>
      <c r="K20" s="12"/>
      <c r="L20" s="15"/>
      <c r="M20" s="15"/>
      <c r="N20" s="15"/>
      <c r="O20" s="15"/>
      <c r="P20" s="30"/>
      <c r="Q20" s="30"/>
      <c r="R20" s="30"/>
      <c r="S20" s="15"/>
      <c r="T20" s="15"/>
    </row>
    <row r="21" spans="2:27" ht="25.05" customHeight="1">
      <c r="D21" s="12"/>
      <c r="E21" s="12"/>
      <c r="F21" s="15"/>
      <c r="G21" s="15"/>
      <c r="H21" s="15"/>
      <c r="I21" s="15"/>
      <c r="J21" s="15"/>
      <c r="K21" s="12"/>
      <c r="L21" s="15"/>
      <c r="M21" s="15"/>
      <c r="N21" s="15"/>
      <c r="O21" s="15"/>
      <c r="P21" s="30"/>
      <c r="Q21" s="30"/>
      <c r="R21" s="30"/>
      <c r="S21" s="15"/>
      <c r="T21" s="15"/>
    </row>
    <row r="22" spans="2:27" ht="25.05" customHeight="1">
      <c r="D22" s="12"/>
      <c r="E22" s="12"/>
      <c r="F22" s="15"/>
      <c r="G22" s="15"/>
      <c r="H22" s="15"/>
      <c r="I22" s="15"/>
      <c r="J22" s="15"/>
      <c r="K22" s="12"/>
      <c r="L22" s="15"/>
      <c r="M22" s="15"/>
      <c r="N22" s="15"/>
      <c r="O22" s="15"/>
      <c r="P22" s="30"/>
      <c r="Q22" s="30"/>
      <c r="R22" s="30"/>
      <c r="S22" s="15"/>
      <c r="T22" s="15"/>
    </row>
    <row r="23" spans="2:27" ht="25.05" customHeight="1">
      <c r="D23" s="12"/>
      <c r="E23" s="12"/>
      <c r="F23" s="15"/>
      <c r="G23" s="15"/>
      <c r="H23" s="15"/>
      <c r="I23" s="15"/>
      <c r="J23" s="15"/>
      <c r="K23" s="12"/>
      <c r="L23" s="15"/>
      <c r="M23" s="15"/>
      <c r="N23" s="15"/>
      <c r="O23" s="15"/>
      <c r="P23" s="30"/>
      <c r="Q23" s="30"/>
      <c r="R23" s="30"/>
      <c r="S23" s="15"/>
      <c r="T23" s="15"/>
    </row>
    <row r="24" spans="2:27" ht="25.05" customHeight="1">
      <c r="D24" s="12"/>
      <c r="E24" s="12"/>
      <c r="F24" s="15"/>
      <c r="G24" s="15"/>
      <c r="H24" s="15"/>
      <c r="I24" s="15"/>
      <c r="J24" s="15"/>
      <c r="K24" s="12"/>
      <c r="L24" s="15"/>
      <c r="M24" s="15"/>
      <c r="N24" s="15"/>
      <c r="O24" s="15"/>
      <c r="P24" s="30"/>
      <c r="Q24" s="30"/>
      <c r="R24" s="30"/>
      <c r="S24" s="15"/>
      <c r="T24" s="15"/>
    </row>
    <row r="25" spans="2:27" ht="25.05" customHeight="1">
      <c r="D25" s="12"/>
      <c r="E25" s="12"/>
      <c r="F25" s="15"/>
      <c r="G25" s="15"/>
      <c r="H25" s="15"/>
      <c r="I25" s="15"/>
      <c r="J25" s="15"/>
      <c r="K25" s="12"/>
      <c r="L25" s="15"/>
      <c r="M25" s="15"/>
      <c r="N25" s="15"/>
      <c r="O25" s="15"/>
      <c r="P25" s="30"/>
      <c r="Q25" s="30"/>
      <c r="R25" s="30"/>
      <c r="S25" s="15"/>
      <c r="T25" s="15"/>
    </row>
    <row r="26" spans="2:27" ht="25.05" customHeight="1"/>
  </sheetData>
  <mergeCells count="13">
    <mergeCell ref="D4:T4"/>
    <mergeCell ref="D12:T12"/>
    <mergeCell ref="T2:T3"/>
    <mergeCell ref="L2:O2"/>
    <mergeCell ref="G2:J2"/>
    <mergeCell ref="E2:E3"/>
    <mergeCell ref="F2:F3"/>
    <mergeCell ref="D8:T8"/>
    <mergeCell ref="D1:O1"/>
    <mergeCell ref="S2:S3"/>
    <mergeCell ref="K2:K3"/>
    <mergeCell ref="P2:R2"/>
    <mergeCell ref="D2:D3"/>
  </mergeCells>
  <phoneticPr fontId="4" type="noConversion"/>
  <printOptions horizontalCentered="1" verticalCentered="1"/>
  <pageMargins left="0.74803149606299213" right="0.35433070866141736" top="0.59055118110236227" bottom="0.59055118110236227" header="0.51181102362204722" footer="0.47244094488188981"/>
  <pageSetup paperSize="9" scale="8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M55"/>
  <sheetViews>
    <sheetView topLeftCell="C1" zoomScaleNormal="100" workbookViewId="0">
      <pane ySplit="3" topLeftCell="A4" activePane="bottomLeft" state="frozen"/>
      <selection activeCell="C1" sqref="C1"/>
      <selection pane="bottomLeft" activeCell="D4" sqref="D4"/>
    </sheetView>
  </sheetViews>
  <sheetFormatPr defaultColWidth="8.8984375" defaultRowHeight="21.6" customHeight="1"/>
  <cols>
    <col min="1" max="1" width="24.19921875" style="22" hidden="1" customWidth="1"/>
    <col min="2" max="2" width="40.8984375" style="13" hidden="1" customWidth="1"/>
    <col min="3" max="3" width="16.69921875" style="13" customWidth="1"/>
    <col min="4" max="4" width="24.296875" style="13" customWidth="1"/>
    <col min="5" max="5" width="25.296875" style="13" customWidth="1"/>
    <col min="6" max="6" width="4.69921875" style="18" customWidth="1"/>
    <col min="7" max="7" width="10.8984375" style="2" hidden="1" customWidth="1"/>
    <col min="8" max="8" width="13.8984375" style="28" customWidth="1"/>
    <col min="9" max="9" width="11.69921875" style="28" customWidth="1"/>
    <col min="10" max="10" width="10" style="28" customWidth="1"/>
    <col min="11" max="11" width="7" style="28" customWidth="1"/>
    <col min="12" max="12" width="14.69921875" style="28" customWidth="1"/>
    <col min="13" max="13" width="12.296875" style="2" customWidth="1"/>
    <col min="14" max="16384" width="8.8984375" style="2"/>
  </cols>
  <sheetData>
    <row r="1" spans="1:13" ht="21.6" customHeight="1">
      <c r="B1" s="13" t="s">
        <v>495</v>
      </c>
      <c r="C1" s="210" t="s">
        <v>454</v>
      </c>
      <c r="D1" s="210"/>
      <c r="E1" s="210"/>
      <c r="F1" s="210"/>
      <c r="G1" s="210"/>
      <c r="H1" s="210"/>
      <c r="K1" s="214"/>
      <c r="L1" s="214"/>
    </row>
    <row r="2" spans="1:13" s="9" customFormat="1" ht="21.6" customHeight="1">
      <c r="A2" s="14" t="s">
        <v>58</v>
      </c>
      <c r="B2" s="42" t="s">
        <v>61</v>
      </c>
      <c r="C2" s="200" t="s">
        <v>18</v>
      </c>
      <c r="D2" s="200" t="s">
        <v>64</v>
      </c>
      <c r="E2" s="200" t="s">
        <v>65</v>
      </c>
      <c r="F2" s="201" t="s">
        <v>0</v>
      </c>
      <c r="G2" s="201" t="s">
        <v>1</v>
      </c>
      <c r="H2" s="202" t="s">
        <v>25</v>
      </c>
      <c r="I2" s="202" t="s">
        <v>26</v>
      </c>
      <c r="J2" s="202" t="s">
        <v>27</v>
      </c>
      <c r="K2" s="202" t="s">
        <v>28</v>
      </c>
      <c r="L2" s="202" t="s">
        <v>8</v>
      </c>
      <c r="M2" s="201" t="s">
        <v>62</v>
      </c>
    </row>
    <row r="3" spans="1:13" ht="21.6" customHeight="1">
      <c r="C3" s="211"/>
      <c r="D3" s="211"/>
      <c r="E3" s="211"/>
      <c r="F3" s="212"/>
      <c r="G3" s="213"/>
      <c r="H3" s="213"/>
      <c r="I3" s="213"/>
      <c r="J3" s="213"/>
      <c r="K3" s="213"/>
      <c r="L3" s="213"/>
      <c r="M3" s="213"/>
    </row>
    <row r="4" spans="1:13" ht="21.6" customHeight="1">
      <c r="B4" s="13" t="s">
        <v>455</v>
      </c>
      <c r="C4" s="12" t="s">
        <v>384</v>
      </c>
      <c r="D4" s="12" t="s">
        <v>331</v>
      </c>
      <c r="E4" s="12" t="s">
        <v>332</v>
      </c>
      <c r="F4" s="19" t="s">
        <v>333</v>
      </c>
      <c r="G4" s="15"/>
      <c r="H4" s="30">
        <f>ROUNDDOWN(단가조사!G4*옵션!$D$11, 0)</f>
        <v>150</v>
      </c>
      <c r="I4" s="30"/>
      <c r="J4" s="30"/>
      <c r="K4" s="30"/>
      <c r="L4" s="30">
        <f t="shared" ref="L4:L43" si="0">SUM(H4,I4,J4)</f>
        <v>150</v>
      </c>
      <c r="M4" s="15"/>
    </row>
    <row r="5" spans="1:13" ht="21.6" customHeight="1">
      <c r="B5" s="13" t="s">
        <v>456</v>
      </c>
      <c r="C5" s="12" t="s">
        <v>387</v>
      </c>
      <c r="D5" s="12" t="s">
        <v>331</v>
      </c>
      <c r="E5" s="12" t="s">
        <v>334</v>
      </c>
      <c r="F5" s="19" t="s">
        <v>333</v>
      </c>
      <c r="G5" s="15"/>
      <c r="H5" s="30">
        <f>ROUNDDOWN(단가조사!G5*옵션!$D$11, 0)</f>
        <v>227</v>
      </c>
      <c r="I5" s="30"/>
      <c r="J5" s="30"/>
      <c r="K5" s="30"/>
      <c r="L5" s="30">
        <f t="shared" si="0"/>
        <v>227</v>
      </c>
      <c r="M5" s="15"/>
    </row>
    <row r="6" spans="1:13" ht="21.6" customHeight="1">
      <c r="B6" s="13" t="s">
        <v>457</v>
      </c>
      <c r="C6" s="12" t="s">
        <v>388</v>
      </c>
      <c r="D6" s="12" t="s">
        <v>331</v>
      </c>
      <c r="E6" s="12" t="s">
        <v>335</v>
      </c>
      <c r="F6" s="19" t="s">
        <v>333</v>
      </c>
      <c r="G6" s="15"/>
      <c r="H6" s="30">
        <f>ROUNDDOWN(단가조사!G6*옵션!$D$11, 0)</f>
        <v>310</v>
      </c>
      <c r="I6" s="30"/>
      <c r="J6" s="30"/>
      <c r="K6" s="30"/>
      <c r="L6" s="30">
        <f t="shared" si="0"/>
        <v>310</v>
      </c>
      <c r="M6" s="15"/>
    </row>
    <row r="7" spans="1:13" ht="21.6" customHeight="1">
      <c r="B7" s="13" t="s">
        <v>458</v>
      </c>
      <c r="C7" s="12" t="s">
        <v>389</v>
      </c>
      <c r="D7" s="12" t="s">
        <v>331</v>
      </c>
      <c r="E7" s="12" t="s">
        <v>336</v>
      </c>
      <c r="F7" s="19" t="s">
        <v>333</v>
      </c>
      <c r="G7" s="15"/>
      <c r="H7" s="30">
        <f>ROUNDDOWN(단가조사!G7*옵션!$D$11, 0)</f>
        <v>718</v>
      </c>
      <c r="I7" s="30"/>
      <c r="J7" s="30"/>
      <c r="K7" s="30"/>
      <c r="L7" s="30">
        <f t="shared" si="0"/>
        <v>718</v>
      </c>
      <c r="M7" s="15"/>
    </row>
    <row r="8" spans="1:13" ht="21.6" customHeight="1">
      <c r="B8" s="13" t="s">
        <v>459</v>
      </c>
      <c r="C8" s="12" t="s">
        <v>390</v>
      </c>
      <c r="D8" s="12" t="s">
        <v>337</v>
      </c>
      <c r="E8" s="12" t="s">
        <v>338</v>
      </c>
      <c r="F8" s="19" t="s">
        <v>333</v>
      </c>
      <c r="G8" s="15"/>
      <c r="H8" s="30">
        <f>ROUNDDOWN(단가조사!G8*옵션!$D$11, 0)</f>
        <v>308</v>
      </c>
      <c r="I8" s="30"/>
      <c r="J8" s="30"/>
      <c r="K8" s="30"/>
      <c r="L8" s="30">
        <f t="shared" si="0"/>
        <v>308</v>
      </c>
      <c r="M8" s="15"/>
    </row>
    <row r="9" spans="1:13" ht="21.6" customHeight="1">
      <c r="B9" s="13" t="s">
        <v>460</v>
      </c>
      <c r="C9" s="12" t="s">
        <v>392</v>
      </c>
      <c r="D9" s="12" t="s">
        <v>337</v>
      </c>
      <c r="E9" s="12" t="s">
        <v>339</v>
      </c>
      <c r="F9" s="19" t="s">
        <v>333</v>
      </c>
      <c r="G9" s="15"/>
      <c r="H9" s="30">
        <f>ROUNDDOWN(단가조사!G9*옵션!$D$11, 0)</f>
        <v>469</v>
      </c>
      <c r="I9" s="30"/>
      <c r="J9" s="30"/>
      <c r="K9" s="30"/>
      <c r="L9" s="30">
        <f t="shared" si="0"/>
        <v>469</v>
      </c>
      <c r="M9" s="15"/>
    </row>
    <row r="10" spans="1:13" ht="21.6" customHeight="1">
      <c r="B10" s="13" t="s">
        <v>461</v>
      </c>
      <c r="C10" s="12" t="s">
        <v>393</v>
      </c>
      <c r="D10" s="12" t="s">
        <v>340</v>
      </c>
      <c r="E10" s="12" t="s">
        <v>341</v>
      </c>
      <c r="F10" s="19" t="s">
        <v>333</v>
      </c>
      <c r="G10" s="15"/>
      <c r="H10" s="30">
        <f>ROUNDDOWN(단가조사!G10*옵션!$D$11, 0)</f>
        <v>506</v>
      </c>
      <c r="I10" s="30"/>
      <c r="J10" s="30"/>
      <c r="K10" s="30"/>
      <c r="L10" s="30">
        <f t="shared" si="0"/>
        <v>506</v>
      </c>
      <c r="M10" s="15"/>
    </row>
    <row r="11" spans="1:13" ht="21.6" customHeight="1">
      <c r="B11" s="13" t="s">
        <v>462</v>
      </c>
      <c r="C11" s="12" t="s">
        <v>394</v>
      </c>
      <c r="D11" s="12" t="s">
        <v>340</v>
      </c>
      <c r="E11" s="12" t="s">
        <v>342</v>
      </c>
      <c r="F11" s="19" t="s">
        <v>343</v>
      </c>
      <c r="G11" s="15"/>
      <c r="H11" s="30">
        <f>ROUNDDOWN(단가조사!G11*옵션!$D$11, 0)</f>
        <v>305</v>
      </c>
      <c r="I11" s="30"/>
      <c r="J11" s="30"/>
      <c r="K11" s="30"/>
      <c r="L11" s="30">
        <f t="shared" si="0"/>
        <v>305</v>
      </c>
      <c r="M11" s="15"/>
    </row>
    <row r="12" spans="1:13" ht="21.6" customHeight="1">
      <c r="B12" s="13" t="s">
        <v>463</v>
      </c>
      <c r="C12" s="12" t="s">
        <v>395</v>
      </c>
      <c r="D12" s="12" t="s">
        <v>344</v>
      </c>
      <c r="E12" s="12" t="s">
        <v>345</v>
      </c>
      <c r="F12" s="19" t="s">
        <v>343</v>
      </c>
      <c r="G12" s="15"/>
      <c r="H12" s="30">
        <f>ROUNDDOWN(단가조사!G12*옵션!$D$11, 0)</f>
        <v>563</v>
      </c>
      <c r="I12" s="30"/>
      <c r="J12" s="30"/>
      <c r="K12" s="30"/>
      <c r="L12" s="30">
        <f t="shared" si="0"/>
        <v>563</v>
      </c>
      <c r="M12" s="15"/>
    </row>
    <row r="13" spans="1:13" ht="21.6" customHeight="1">
      <c r="B13" s="13" t="s">
        <v>464</v>
      </c>
      <c r="C13" s="12" t="s">
        <v>398</v>
      </c>
      <c r="D13" s="12" t="s">
        <v>344</v>
      </c>
      <c r="E13" s="12" t="s">
        <v>346</v>
      </c>
      <c r="F13" s="19" t="s">
        <v>343</v>
      </c>
      <c r="G13" s="15"/>
      <c r="H13" s="30">
        <f>ROUNDDOWN(단가조사!G13*옵션!$D$11, 0)</f>
        <v>826</v>
      </c>
      <c r="I13" s="30"/>
      <c r="J13" s="30"/>
      <c r="K13" s="30"/>
      <c r="L13" s="30">
        <f t="shared" si="0"/>
        <v>826</v>
      </c>
      <c r="M13" s="15"/>
    </row>
    <row r="14" spans="1:13" ht="21.6" customHeight="1">
      <c r="B14" s="13" t="s">
        <v>465</v>
      </c>
      <c r="C14" s="12" t="s">
        <v>399</v>
      </c>
      <c r="D14" s="12" t="s">
        <v>347</v>
      </c>
      <c r="E14" s="12" t="s">
        <v>348</v>
      </c>
      <c r="F14" s="19" t="s">
        <v>343</v>
      </c>
      <c r="G14" s="15"/>
      <c r="H14" s="30">
        <f>ROUNDDOWN(단가조사!G14*옵션!$D$11, 0)</f>
        <v>531</v>
      </c>
      <c r="I14" s="30"/>
      <c r="J14" s="30"/>
      <c r="K14" s="30"/>
      <c r="L14" s="30">
        <f t="shared" si="0"/>
        <v>531</v>
      </c>
      <c r="M14" s="15"/>
    </row>
    <row r="15" spans="1:13" ht="21.6" customHeight="1">
      <c r="B15" s="13" t="s">
        <v>466</v>
      </c>
      <c r="C15" s="12" t="s">
        <v>400</v>
      </c>
      <c r="D15" s="12" t="s">
        <v>349</v>
      </c>
      <c r="E15" s="12" t="s">
        <v>350</v>
      </c>
      <c r="F15" s="19" t="s">
        <v>343</v>
      </c>
      <c r="G15" s="15"/>
      <c r="H15" s="30">
        <f>ROUNDDOWN(단가조사!G15*옵션!$D$11, 0)</f>
        <v>260</v>
      </c>
      <c r="I15" s="30"/>
      <c r="J15" s="30"/>
      <c r="K15" s="30"/>
      <c r="L15" s="30">
        <f t="shared" si="0"/>
        <v>260</v>
      </c>
      <c r="M15" s="15"/>
    </row>
    <row r="16" spans="1:13" ht="21.6" customHeight="1">
      <c r="B16" s="13" t="s">
        <v>467</v>
      </c>
      <c r="C16" s="12" t="s">
        <v>401</v>
      </c>
      <c r="D16" s="12" t="s">
        <v>349</v>
      </c>
      <c r="E16" s="12" t="s">
        <v>375</v>
      </c>
      <c r="F16" s="19" t="s">
        <v>343</v>
      </c>
      <c r="G16" s="15"/>
      <c r="H16" s="30">
        <f>ROUNDDOWN(단가조사!G16*옵션!$D$11, 0)</f>
        <v>260</v>
      </c>
      <c r="I16" s="30"/>
      <c r="J16" s="30"/>
      <c r="K16" s="30"/>
      <c r="L16" s="30">
        <f t="shared" si="0"/>
        <v>260</v>
      </c>
      <c r="M16" s="15"/>
    </row>
    <row r="17" spans="2:13" ht="21.6" customHeight="1">
      <c r="B17" s="13" t="s">
        <v>468</v>
      </c>
      <c r="C17" s="12" t="s">
        <v>402</v>
      </c>
      <c r="D17" s="12" t="s">
        <v>187</v>
      </c>
      <c r="E17" s="12" t="s">
        <v>351</v>
      </c>
      <c r="F17" s="19" t="s">
        <v>343</v>
      </c>
      <c r="G17" s="15"/>
      <c r="H17" s="30">
        <f>ROUNDDOWN(단가조사!G17*옵션!$D$11, 0)</f>
        <v>2569</v>
      </c>
      <c r="I17" s="30"/>
      <c r="J17" s="30"/>
      <c r="K17" s="30"/>
      <c r="L17" s="30">
        <f t="shared" si="0"/>
        <v>2569</v>
      </c>
      <c r="M17" s="15"/>
    </row>
    <row r="18" spans="2:13" ht="21.6" customHeight="1">
      <c r="B18" s="13" t="s">
        <v>469</v>
      </c>
      <c r="C18" s="12" t="s">
        <v>403</v>
      </c>
      <c r="D18" s="12" t="s">
        <v>187</v>
      </c>
      <c r="E18" s="12" t="s">
        <v>352</v>
      </c>
      <c r="F18" s="19" t="s">
        <v>343</v>
      </c>
      <c r="G18" s="15"/>
      <c r="H18" s="30">
        <f>ROUNDDOWN(단가조사!G18*옵션!$D$11, 0)</f>
        <v>3610</v>
      </c>
      <c r="I18" s="30"/>
      <c r="J18" s="30"/>
      <c r="K18" s="30"/>
      <c r="L18" s="30">
        <f t="shared" si="0"/>
        <v>3610</v>
      </c>
      <c r="M18" s="15"/>
    </row>
    <row r="19" spans="2:13" ht="21.6" customHeight="1">
      <c r="B19" s="13" t="s">
        <v>470</v>
      </c>
      <c r="C19" s="12" t="s">
        <v>404</v>
      </c>
      <c r="D19" s="12" t="s">
        <v>353</v>
      </c>
      <c r="E19" s="12" t="s">
        <v>354</v>
      </c>
      <c r="F19" s="19" t="s">
        <v>333</v>
      </c>
      <c r="G19" s="15"/>
      <c r="H19" s="30">
        <f>ROUNDDOWN(단가조사!G19*옵션!$D$11, 0)</f>
        <v>297</v>
      </c>
      <c r="I19" s="30"/>
      <c r="J19" s="30"/>
      <c r="K19" s="30"/>
      <c r="L19" s="30">
        <f t="shared" si="0"/>
        <v>297</v>
      </c>
      <c r="M19" s="15"/>
    </row>
    <row r="20" spans="2:13" ht="21.6" customHeight="1">
      <c r="B20" s="13" t="s">
        <v>471</v>
      </c>
      <c r="C20" s="12" t="s">
        <v>407</v>
      </c>
      <c r="D20" s="12" t="s">
        <v>353</v>
      </c>
      <c r="E20" s="12" t="s">
        <v>355</v>
      </c>
      <c r="F20" s="19" t="s">
        <v>333</v>
      </c>
      <c r="G20" s="15"/>
      <c r="H20" s="30">
        <f>ROUNDDOWN(단가조사!G20*옵션!$D$11, 0)</f>
        <v>443</v>
      </c>
      <c r="I20" s="30"/>
      <c r="J20" s="30"/>
      <c r="K20" s="30"/>
      <c r="L20" s="30">
        <f t="shared" si="0"/>
        <v>443</v>
      </c>
      <c r="M20" s="15"/>
    </row>
    <row r="21" spans="2:13" ht="21.6" customHeight="1">
      <c r="B21" s="13" t="s">
        <v>472</v>
      </c>
      <c r="C21" s="12" t="s">
        <v>408</v>
      </c>
      <c r="D21" s="12" t="s">
        <v>356</v>
      </c>
      <c r="E21" s="12" t="s">
        <v>357</v>
      </c>
      <c r="F21" s="19" t="s">
        <v>333</v>
      </c>
      <c r="G21" s="15"/>
      <c r="H21" s="30">
        <f>ROUNDDOWN(단가조사!G21*옵션!$D$11, 0)</f>
        <v>2326</v>
      </c>
      <c r="I21" s="30"/>
      <c r="J21" s="30"/>
      <c r="K21" s="30"/>
      <c r="L21" s="30">
        <f t="shared" si="0"/>
        <v>2326</v>
      </c>
      <c r="M21" s="15"/>
    </row>
    <row r="22" spans="2:13" ht="21.6" customHeight="1">
      <c r="B22" s="13" t="s">
        <v>473</v>
      </c>
      <c r="C22" s="12" t="s">
        <v>411</v>
      </c>
      <c r="D22" s="12" t="s">
        <v>356</v>
      </c>
      <c r="E22" s="12" t="s">
        <v>358</v>
      </c>
      <c r="F22" s="19" t="s">
        <v>333</v>
      </c>
      <c r="G22" s="15"/>
      <c r="H22" s="30">
        <f>ROUNDDOWN(단가조사!G22*옵션!$D$11, 0)</f>
        <v>3454</v>
      </c>
      <c r="I22" s="30"/>
      <c r="J22" s="30"/>
      <c r="K22" s="30"/>
      <c r="L22" s="30">
        <f t="shared" si="0"/>
        <v>3454</v>
      </c>
      <c r="M22" s="15"/>
    </row>
    <row r="23" spans="2:13" ht="21.6" customHeight="1">
      <c r="B23" s="13" t="s">
        <v>474</v>
      </c>
      <c r="C23" s="12" t="s">
        <v>412</v>
      </c>
      <c r="D23" s="12" t="s">
        <v>356</v>
      </c>
      <c r="E23" s="12" t="s">
        <v>359</v>
      </c>
      <c r="F23" s="19" t="s">
        <v>333</v>
      </c>
      <c r="G23" s="15"/>
      <c r="H23" s="30">
        <f>ROUNDDOWN(단가조사!G23*옵션!$D$11, 0)</f>
        <v>4480</v>
      </c>
      <c r="I23" s="30"/>
      <c r="J23" s="30"/>
      <c r="K23" s="30"/>
      <c r="L23" s="30">
        <f t="shared" si="0"/>
        <v>4480</v>
      </c>
      <c r="M23" s="15"/>
    </row>
    <row r="24" spans="2:13" ht="21.6" customHeight="1">
      <c r="B24" s="13" t="s">
        <v>475</v>
      </c>
      <c r="C24" s="12" t="s">
        <v>413</v>
      </c>
      <c r="D24" s="12" t="s">
        <v>360</v>
      </c>
      <c r="E24" s="12" t="s">
        <v>361</v>
      </c>
      <c r="F24" s="19" t="s">
        <v>343</v>
      </c>
      <c r="G24" s="15"/>
      <c r="H24" s="30">
        <f>ROUNDDOWN(단가조사!G24*옵션!$D$11, 0)</f>
        <v>3604</v>
      </c>
      <c r="I24" s="30"/>
      <c r="J24" s="30"/>
      <c r="K24" s="30"/>
      <c r="L24" s="30">
        <f t="shared" si="0"/>
        <v>3604</v>
      </c>
      <c r="M24" s="15"/>
    </row>
    <row r="25" spans="2:13" ht="21.6" customHeight="1">
      <c r="B25" s="13" t="s">
        <v>476</v>
      </c>
      <c r="C25" s="12" t="s">
        <v>416</v>
      </c>
      <c r="D25" s="12" t="s">
        <v>360</v>
      </c>
      <c r="E25" s="12" t="s">
        <v>362</v>
      </c>
      <c r="F25" s="19" t="s">
        <v>343</v>
      </c>
      <c r="G25" s="15"/>
      <c r="H25" s="30">
        <f>ROUNDDOWN(단가조사!G25*옵션!$D$11, 0)</f>
        <v>1257340</v>
      </c>
      <c r="I25" s="30"/>
      <c r="J25" s="30"/>
      <c r="K25" s="30"/>
      <c r="L25" s="30">
        <f t="shared" si="0"/>
        <v>1257340</v>
      </c>
      <c r="M25" s="15"/>
    </row>
    <row r="26" spans="2:13" ht="21.6" customHeight="1">
      <c r="B26" s="13" t="s">
        <v>477</v>
      </c>
      <c r="C26" s="12" t="s">
        <v>417</v>
      </c>
      <c r="D26" s="12" t="s">
        <v>376</v>
      </c>
      <c r="E26" s="12" t="s">
        <v>377</v>
      </c>
      <c r="F26" s="19" t="s">
        <v>343</v>
      </c>
      <c r="G26" s="15"/>
      <c r="H26" s="30">
        <f>ROUNDDOWN(단가조사!G26*옵션!$D$11, 0)</f>
        <v>29188</v>
      </c>
      <c r="I26" s="30"/>
      <c r="J26" s="30"/>
      <c r="K26" s="30"/>
      <c r="L26" s="30">
        <f t="shared" si="0"/>
        <v>29188</v>
      </c>
      <c r="M26" s="15"/>
    </row>
    <row r="27" spans="2:13" ht="21.6" customHeight="1">
      <c r="B27" s="13" t="s">
        <v>478</v>
      </c>
      <c r="C27" s="12" t="s">
        <v>419</v>
      </c>
      <c r="D27" s="12" t="s">
        <v>376</v>
      </c>
      <c r="E27" s="12" t="s">
        <v>378</v>
      </c>
      <c r="F27" s="19" t="s">
        <v>343</v>
      </c>
      <c r="G27" s="15"/>
      <c r="H27" s="30">
        <f>ROUNDDOWN(단가조사!G27*옵션!$D$11, 0)</f>
        <v>47150</v>
      </c>
      <c r="I27" s="30"/>
      <c r="J27" s="30"/>
      <c r="K27" s="30"/>
      <c r="L27" s="30">
        <f t="shared" si="0"/>
        <v>47150</v>
      </c>
      <c r="M27" s="15"/>
    </row>
    <row r="28" spans="2:13" ht="21.6" customHeight="1">
      <c r="B28" s="13" t="s">
        <v>479</v>
      </c>
      <c r="C28" s="12" t="s">
        <v>420</v>
      </c>
      <c r="D28" s="12" t="s">
        <v>379</v>
      </c>
      <c r="E28" s="12" t="s">
        <v>380</v>
      </c>
      <c r="F28" s="19" t="s">
        <v>343</v>
      </c>
      <c r="G28" s="15"/>
      <c r="H28" s="30">
        <f>ROUNDDOWN(단가조사!G28*옵션!$D$11, 0)</f>
        <v>47150</v>
      </c>
      <c r="I28" s="30"/>
      <c r="J28" s="30"/>
      <c r="K28" s="30"/>
      <c r="L28" s="30">
        <f t="shared" si="0"/>
        <v>47150</v>
      </c>
      <c r="M28" s="15"/>
    </row>
    <row r="29" spans="2:13" ht="21.6" customHeight="1">
      <c r="B29" s="13" t="s">
        <v>480</v>
      </c>
      <c r="C29" s="12" t="s">
        <v>422</v>
      </c>
      <c r="D29" s="12" t="s">
        <v>255</v>
      </c>
      <c r="E29" s="12" t="s">
        <v>423</v>
      </c>
      <c r="F29" s="19" t="s">
        <v>343</v>
      </c>
      <c r="G29" s="15"/>
      <c r="H29" s="30">
        <f>ROUNDDOWN(단가조사!G29*옵션!$D$11, 0)</f>
        <v>2160</v>
      </c>
      <c r="I29" s="30"/>
      <c r="J29" s="30"/>
      <c r="K29" s="30"/>
      <c r="L29" s="30">
        <f t="shared" si="0"/>
        <v>2160</v>
      </c>
      <c r="M29" s="15"/>
    </row>
    <row r="30" spans="2:13" ht="21.6" customHeight="1">
      <c r="B30" s="13" t="s">
        <v>481</v>
      </c>
      <c r="C30" s="12" t="s">
        <v>424</v>
      </c>
      <c r="D30" s="12" t="s">
        <v>425</v>
      </c>
      <c r="E30" s="12" t="s">
        <v>262</v>
      </c>
      <c r="F30" s="19" t="s">
        <v>343</v>
      </c>
      <c r="G30" s="15"/>
      <c r="H30" s="30">
        <f>ROUNDDOWN(단가조사!G30*옵션!$D$11, 0)</f>
        <v>3719</v>
      </c>
      <c r="I30" s="30"/>
      <c r="J30" s="30"/>
      <c r="K30" s="30"/>
      <c r="L30" s="30">
        <f t="shared" si="0"/>
        <v>3719</v>
      </c>
      <c r="M30" s="15"/>
    </row>
    <row r="31" spans="2:13" ht="21.6" customHeight="1">
      <c r="B31" s="13" t="s">
        <v>482</v>
      </c>
      <c r="C31" s="12" t="s">
        <v>426</v>
      </c>
      <c r="D31" s="12" t="s">
        <v>427</v>
      </c>
      <c r="E31" s="12" t="s">
        <v>262</v>
      </c>
      <c r="F31" s="19" t="s">
        <v>343</v>
      </c>
      <c r="G31" s="15"/>
      <c r="H31" s="30">
        <f>ROUNDDOWN(단가조사!G31*옵션!$D$11, 0)</f>
        <v>1225</v>
      </c>
      <c r="I31" s="30"/>
      <c r="J31" s="30"/>
      <c r="K31" s="30"/>
      <c r="L31" s="30">
        <f t="shared" si="0"/>
        <v>1225</v>
      </c>
      <c r="M31" s="15"/>
    </row>
    <row r="32" spans="2:13" ht="21.6" customHeight="1">
      <c r="B32" s="13" t="s">
        <v>483</v>
      </c>
      <c r="C32" s="12" t="s">
        <v>428</v>
      </c>
      <c r="D32" s="12" t="s">
        <v>363</v>
      </c>
      <c r="E32" s="12" t="s">
        <v>262</v>
      </c>
      <c r="F32" s="19" t="s">
        <v>343</v>
      </c>
      <c r="G32" s="15"/>
      <c r="H32" s="30">
        <f>ROUNDDOWN(단가조사!G32*옵션!$D$11, 0)</f>
        <v>4490</v>
      </c>
      <c r="I32" s="30"/>
      <c r="J32" s="30"/>
      <c r="K32" s="30"/>
      <c r="L32" s="30">
        <f t="shared" si="0"/>
        <v>4490</v>
      </c>
      <c r="M32" s="15"/>
    </row>
    <row r="33" spans="2:13" ht="21.6" customHeight="1">
      <c r="B33" s="13" t="s">
        <v>484</v>
      </c>
      <c r="C33" s="12" t="s">
        <v>430</v>
      </c>
      <c r="D33" s="12" t="s">
        <v>249</v>
      </c>
      <c r="E33" s="12"/>
      <c r="F33" s="19" t="s">
        <v>343</v>
      </c>
      <c r="G33" s="15"/>
      <c r="H33" s="30">
        <f>ROUNDDOWN(단가조사!G33*옵션!$D$11, 0)</f>
        <v>4490</v>
      </c>
      <c r="I33" s="30"/>
      <c r="J33" s="30"/>
      <c r="K33" s="30"/>
      <c r="L33" s="30">
        <f t="shared" si="0"/>
        <v>4490</v>
      </c>
      <c r="M33" s="15"/>
    </row>
    <row r="34" spans="2:13" ht="21.6" customHeight="1">
      <c r="B34" s="13" t="s">
        <v>485</v>
      </c>
      <c r="C34" s="12" t="s">
        <v>431</v>
      </c>
      <c r="D34" s="12" t="s">
        <v>432</v>
      </c>
      <c r="E34" s="12" t="s">
        <v>433</v>
      </c>
      <c r="F34" s="19" t="s">
        <v>343</v>
      </c>
      <c r="G34" s="15"/>
      <c r="H34" s="30">
        <f>ROUNDDOWN(단가조사!G34*옵션!$D$11, 0)</f>
        <v>2873</v>
      </c>
      <c r="I34" s="30"/>
      <c r="J34" s="30"/>
      <c r="K34" s="30"/>
      <c r="L34" s="30">
        <f t="shared" si="0"/>
        <v>2873</v>
      </c>
      <c r="M34" s="15"/>
    </row>
    <row r="35" spans="2:13" ht="21.6" customHeight="1">
      <c r="B35" s="13" t="s">
        <v>486</v>
      </c>
      <c r="C35" s="12" t="s">
        <v>435</v>
      </c>
      <c r="D35" s="12" t="s">
        <v>364</v>
      </c>
      <c r="E35" s="12" t="s">
        <v>365</v>
      </c>
      <c r="F35" s="19" t="s">
        <v>366</v>
      </c>
      <c r="G35" s="15"/>
      <c r="H35" s="30">
        <f>ROUNDDOWN(단가조사!G35*옵션!$D$11, 0)</f>
        <v>475993</v>
      </c>
      <c r="I35" s="30"/>
      <c r="J35" s="30"/>
      <c r="K35" s="30"/>
      <c r="L35" s="30">
        <f t="shared" si="0"/>
        <v>475993</v>
      </c>
      <c r="M35" s="15"/>
    </row>
    <row r="36" spans="2:13" ht="21.6" customHeight="1">
      <c r="B36" s="13" t="s">
        <v>487</v>
      </c>
      <c r="C36" s="12" t="s">
        <v>436</v>
      </c>
      <c r="D36" s="12" t="s">
        <v>367</v>
      </c>
      <c r="E36" s="12" t="s">
        <v>262</v>
      </c>
      <c r="F36" s="19" t="s">
        <v>343</v>
      </c>
      <c r="G36" s="15"/>
      <c r="H36" s="30">
        <f>ROUNDDOWN(단가조사!G36*옵션!$D$11, 0)</f>
        <v>22452</v>
      </c>
      <c r="I36" s="30"/>
      <c r="J36" s="30"/>
      <c r="K36" s="30"/>
      <c r="L36" s="30">
        <f t="shared" si="0"/>
        <v>22452</v>
      </c>
      <c r="M36" s="15"/>
    </row>
    <row r="37" spans="2:13" ht="21.6" customHeight="1">
      <c r="B37" s="13" t="s">
        <v>488</v>
      </c>
      <c r="C37" s="12" t="s">
        <v>437</v>
      </c>
      <c r="D37" s="12" t="s">
        <v>368</v>
      </c>
      <c r="E37" s="12" t="s">
        <v>369</v>
      </c>
      <c r="F37" s="19" t="s">
        <v>343</v>
      </c>
      <c r="G37" s="15"/>
      <c r="H37" s="30">
        <f>ROUNDDOWN(단가조사!G37*옵션!$D$11, 0)</f>
        <v>52089</v>
      </c>
      <c r="I37" s="30"/>
      <c r="J37" s="30"/>
      <c r="K37" s="30"/>
      <c r="L37" s="30">
        <f t="shared" si="0"/>
        <v>52089</v>
      </c>
      <c r="M37" s="15"/>
    </row>
    <row r="38" spans="2:13" ht="21.6" customHeight="1">
      <c r="B38" s="13" t="s">
        <v>489</v>
      </c>
      <c r="C38" s="12" t="s">
        <v>438</v>
      </c>
      <c r="D38" s="12" t="s">
        <v>298</v>
      </c>
      <c r="E38" s="12"/>
      <c r="F38" s="19" t="s">
        <v>343</v>
      </c>
      <c r="G38" s="15"/>
      <c r="H38" s="30">
        <f>ROUNDDOWN(단가조사!G38*옵션!$D$11, 0)</f>
        <v>26943</v>
      </c>
      <c r="I38" s="30"/>
      <c r="J38" s="30"/>
      <c r="K38" s="30"/>
      <c r="L38" s="30">
        <f t="shared" si="0"/>
        <v>26943</v>
      </c>
      <c r="M38" s="15"/>
    </row>
    <row r="39" spans="2:13" ht="21.6" customHeight="1">
      <c r="B39" s="13" t="s">
        <v>490</v>
      </c>
      <c r="C39" s="12" t="s">
        <v>439</v>
      </c>
      <c r="D39" s="12" t="s">
        <v>440</v>
      </c>
      <c r="E39" s="12" t="s">
        <v>441</v>
      </c>
      <c r="F39" s="19" t="s">
        <v>343</v>
      </c>
      <c r="G39" s="15"/>
      <c r="H39" s="30">
        <f>ROUNDDOWN(단가조사!G39*옵션!$D$11, 0)</f>
        <v>1706</v>
      </c>
      <c r="I39" s="30"/>
      <c r="J39" s="30"/>
      <c r="K39" s="30"/>
      <c r="L39" s="30">
        <f t="shared" si="0"/>
        <v>1706</v>
      </c>
      <c r="M39" s="15"/>
    </row>
    <row r="40" spans="2:13" ht="21.6" customHeight="1">
      <c r="B40" s="13" t="s">
        <v>491</v>
      </c>
      <c r="C40" s="12" t="s">
        <v>443</v>
      </c>
      <c r="D40" s="12" t="s">
        <v>444</v>
      </c>
      <c r="E40" s="12" t="s">
        <v>445</v>
      </c>
      <c r="F40" s="19" t="s">
        <v>446</v>
      </c>
      <c r="G40" s="15"/>
      <c r="H40" s="30"/>
      <c r="I40" s="30">
        <f>ROUNDDOWN(단가조사!G41, 0)</f>
        <v>241512</v>
      </c>
      <c r="J40" s="30"/>
      <c r="K40" s="30"/>
      <c r="L40" s="30">
        <f t="shared" si="0"/>
        <v>241512</v>
      </c>
      <c r="M40" s="15"/>
    </row>
    <row r="41" spans="2:13" ht="21.6" customHeight="1">
      <c r="B41" s="13" t="s">
        <v>492</v>
      </c>
      <c r="C41" s="12" t="s">
        <v>447</v>
      </c>
      <c r="D41" s="12" t="s">
        <v>444</v>
      </c>
      <c r="E41" s="12" t="s">
        <v>448</v>
      </c>
      <c r="F41" s="19" t="s">
        <v>446</v>
      </c>
      <c r="G41" s="15"/>
      <c r="H41" s="30"/>
      <c r="I41" s="30">
        <f>ROUNDDOWN(단가조사!G42, 0)</f>
        <v>269732</v>
      </c>
      <c r="J41" s="30"/>
      <c r="K41" s="30"/>
      <c r="L41" s="30">
        <f t="shared" si="0"/>
        <v>269732</v>
      </c>
      <c r="M41" s="15"/>
    </row>
    <row r="42" spans="2:13" ht="21.6" customHeight="1">
      <c r="B42" s="13" t="s">
        <v>493</v>
      </c>
      <c r="C42" s="12" t="s">
        <v>449</v>
      </c>
      <c r="D42" s="12" t="s">
        <v>444</v>
      </c>
      <c r="E42" s="12" t="s">
        <v>450</v>
      </c>
      <c r="F42" s="19" t="s">
        <v>446</v>
      </c>
      <c r="G42" s="15"/>
      <c r="H42" s="30"/>
      <c r="I42" s="30">
        <f>ROUNDDOWN(단가조사!G43, 0)</f>
        <v>366926</v>
      </c>
      <c r="J42" s="30"/>
      <c r="K42" s="30"/>
      <c r="L42" s="30">
        <f t="shared" si="0"/>
        <v>366926</v>
      </c>
      <c r="M42" s="15"/>
    </row>
    <row r="43" spans="2:13" ht="21.6" customHeight="1">
      <c r="B43" s="13" t="s">
        <v>494</v>
      </c>
      <c r="C43" s="12" t="s">
        <v>451</v>
      </c>
      <c r="D43" s="12" t="s">
        <v>444</v>
      </c>
      <c r="E43" s="12" t="s">
        <v>452</v>
      </c>
      <c r="F43" s="19" t="s">
        <v>446</v>
      </c>
      <c r="G43" s="15"/>
      <c r="H43" s="30"/>
      <c r="I43" s="30">
        <f>ROUNDDOWN(단가조사!G44, 0)</f>
        <v>152500</v>
      </c>
      <c r="J43" s="30"/>
      <c r="K43" s="30"/>
      <c r="L43" s="30">
        <f t="shared" si="0"/>
        <v>152500</v>
      </c>
      <c r="M43" s="15"/>
    </row>
    <row r="44" spans="2:13" ht="21.6" customHeight="1">
      <c r="C44" s="12"/>
      <c r="D44" s="12"/>
      <c r="E44" s="12"/>
      <c r="F44" s="19"/>
      <c r="G44" s="15"/>
      <c r="H44" s="30"/>
      <c r="I44" s="30"/>
      <c r="J44" s="30"/>
      <c r="K44" s="30"/>
      <c r="L44" s="30"/>
      <c r="M44" s="15"/>
    </row>
    <row r="45" spans="2:13" ht="21.6" customHeight="1">
      <c r="C45" s="12"/>
      <c r="D45" s="12"/>
      <c r="E45" s="12"/>
      <c r="F45" s="19"/>
      <c r="G45" s="15"/>
      <c r="H45" s="30"/>
      <c r="I45" s="30"/>
      <c r="J45" s="30"/>
      <c r="K45" s="30"/>
      <c r="L45" s="30"/>
      <c r="M45" s="15"/>
    </row>
    <row r="46" spans="2:13" ht="21.6" customHeight="1">
      <c r="C46" s="12"/>
      <c r="D46" s="12"/>
      <c r="E46" s="12"/>
      <c r="F46" s="19"/>
      <c r="G46" s="15"/>
      <c r="H46" s="30"/>
      <c r="I46" s="30"/>
      <c r="J46" s="30"/>
      <c r="K46" s="30"/>
      <c r="L46" s="30"/>
      <c r="M46" s="15"/>
    </row>
    <row r="47" spans="2:13" ht="21.6" customHeight="1">
      <c r="C47" s="12"/>
      <c r="D47" s="12"/>
      <c r="E47" s="12"/>
      <c r="F47" s="19"/>
      <c r="G47" s="15"/>
      <c r="H47" s="30"/>
      <c r="I47" s="30"/>
      <c r="J47" s="30"/>
      <c r="K47" s="30"/>
      <c r="L47" s="30"/>
      <c r="M47" s="15"/>
    </row>
    <row r="48" spans="2:13" ht="21.6" customHeight="1">
      <c r="C48" s="12"/>
      <c r="D48" s="12"/>
      <c r="E48" s="12"/>
      <c r="F48" s="19"/>
      <c r="G48" s="15"/>
      <c r="H48" s="30"/>
      <c r="I48" s="30"/>
      <c r="J48" s="30"/>
      <c r="K48" s="30"/>
      <c r="L48" s="30"/>
      <c r="M48" s="15"/>
    </row>
    <row r="49" spans="3:13" ht="21.6" customHeight="1">
      <c r="C49" s="12"/>
      <c r="D49" s="12"/>
      <c r="E49" s="12"/>
      <c r="F49" s="19"/>
      <c r="G49" s="15"/>
      <c r="H49" s="30"/>
      <c r="I49" s="30"/>
      <c r="J49" s="30"/>
      <c r="K49" s="30"/>
      <c r="L49" s="30"/>
      <c r="M49" s="15"/>
    </row>
    <row r="50" spans="3:13" ht="21.6" customHeight="1">
      <c r="C50" s="12"/>
      <c r="D50" s="12"/>
      <c r="E50" s="12"/>
      <c r="F50" s="19"/>
      <c r="G50" s="15"/>
      <c r="H50" s="30"/>
      <c r="I50" s="30"/>
      <c r="J50" s="30"/>
      <c r="K50" s="30"/>
      <c r="L50" s="30"/>
      <c r="M50" s="15"/>
    </row>
    <row r="51" spans="3:13" ht="21.6" customHeight="1">
      <c r="C51" s="12"/>
      <c r="D51" s="12"/>
      <c r="E51" s="12"/>
      <c r="F51" s="19"/>
      <c r="G51" s="15"/>
      <c r="H51" s="30"/>
      <c r="I51" s="30"/>
      <c r="J51" s="30"/>
      <c r="K51" s="30"/>
      <c r="L51" s="30"/>
      <c r="M51" s="15"/>
    </row>
    <row r="52" spans="3:13" ht="21.6" customHeight="1">
      <c r="C52" s="12"/>
      <c r="D52" s="12"/>
      <c r="E52" s="12"/>
      <c r="F52" s="19"/>
      <c r="G52" s="15"/>
      <c r="H52" s="30"/>
      <c r="I52" s="30"/>
      <c r="J52" s="30"/>
      <c r="K52" s="30"/>
      <c r="L52" s="30"/>
      <c r="M52" s="15"/>
    </row>
    <row r="53" spans="3:13" ht="21.6" customHeight="1">
      <c r="C53" s="12"/>
      <c r="D53" s="12"/>
      <c r="E53" s="12"/>
      <c r="F53" s="19"/>
      <c r="G53" s="15"/>
      <c r="H53" s="30"/>
      <c r="I53" s="30"/>
      <c r="J53" s="30"/>
      <c r="K53" s="30"/>
      <c r="L53" s="30"/>
      <c r="M53" s="15"/>
    </row>
    <row r="54" spans="3:13" ht="21.6" customHeight="1">
      <c r="C54" s="12"/>
      <c r="D54" s="12"/>
      <c r="E54" s="12"/>
      <c r="F54" s="19"/>
      <c r="G54" s="15"/>
      <c r="H54" s="30"/>
      <c r="I54" s="30"/>
      <c r="J54" s="30"/>
      <c r="K54" s="30"/>
      <c r="L54" s="30"/>
      <c r="M54" s="15"/>
    </row>
    <row r="55" spans="3:13" ht="21.6" customHeight="1">
      <c r="C55" s="12"/>
      <c r="D55" s="12"/>
      <c r="E55" s="12"/>
      <c r="F55" s="19"/>
      <c r="G55" s="15"/>
      <c r="H55" s="30"/>
      <c r="I55" s="30"/>
      <c r="J55" s="30"/>
      <c r="K55" s="30"/>
      <c r="L55" s="30"/>
      <c r="M55" s="15"/>
    </row>
  </sheetData>
  <mergeCells count="13">
    <mergeCell ref="L2:L3"/>
    <mergeCell ref="M2:M3"/>
    <mergeCell ref="K2:K3"/>
    <mergeCell ref="K1:L1"/>
    <mergeCell ref="I2:I3"/>
    <mergeCell ref="J2:J3"/>
    <mergeCell ref="C1:H1"/>
    <mergeCell ref="C2:C3"/>
    <mergeCell ref="D2:D3"/>
    <mergeCell ref="E2:E3"/>
    <mergeCell ref="F2:F3"/>
    <mergeCell ref="G2:G3"/>
    <mergeCell ref="H2:H3"/>
  </mergeCells>
  <phoneticPr fontId="4" type="noConversion"/>
  <printOptions horizontalCentered="1" verticalCentered="1"/>
  <pageMargins left="0.74803149606299213" right="0.35433070866141736" top="0.59055118110236227" bottom="0.59055118110236227" header="0.51181102362204722" footer="0.47244094488188981"/>
  <pageSetup paperSize="9" scale="80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FF0000"/>
  </sheetPr>
  <dimension ref="A1:AB45"/>
  <sheetViews>
    <sheetView view="pageBreakPreview" topLeftCell="D1" zoomScale="80" zoomScaleNormal="100" zoomScaleSheetLayoutView="80" workbookViewId="0">
      <selection activeCell="AB2" sqref="AB2"/>
    </sheetView>
  </sheetViews>
  <sheetFormatPr defaultColWidth="8.8984375" defaultRowHeight="19.05" customHeight="1"/>
  <cols>
    <col min="1" max="1" width="31.3984375" style="13" hidden="1" customWidth="1"/>
    <col min="2" max="2" width="20.19921875" style="13" hidden="1" customWidth="1"/>
    <col min="3" max="3" width="22.19921875" style="13" hidden="1" customWidth="1"/>
    <col min="4" max="5" width="22.69921875" style="13" customWidth="1"/>
    <col min="6" max="6" width="4.59765625" style="8" customWidth="1"/>
    <col min="7" max="7" width="11.09765625" style="25" customWidth="1"/>
    <col min="8" max="8" width="9.8984375" style="27" customWidth="1"/>
    <col min="9" max="9" width="11.19921875" style="1" hidden="1" customWidth="1"/>
    <col min="10" max="10" width="9.8984375" style="27" customWidth="1"/>
    <col min="11" max="11" width="5.3984375" style="7" customWidth="1"/>
    <col min="12" max="12" width="9.8984375" style="27" customWidth="1"/>
    <col min="13" max="13" width="5.3984375" style="7" customWidth="1"/>
    <col min="14" max="14" width="9.8984375" style="27" customWidth="1"/>
    <col min="15" max="15" width="5.3984375" style="7" customWidth="1"/>
    <col min="16" max="16" width="9.8984375" style="27" customWidth="1"/>
    <col min="17" max="17" width="5.3984375" style="7" customWidth="1"/>
    <col min="18" max="18" width="4.8984375" style="27" hidden="1" customWidth="1"/>
    <col min="19" max="19" width="17.09765625" style="7" hidden="1" customWidth="1"/>
    <col min="20" max="20" width="10.69921875" style="13" customWidth="1"/>
    <col min="21" max="26" width="0" style="2" hidden="1" customWidth="1"/>
    <col min="27" max="16384" width="8.8984375" style="2"/>
  </cols>
  <sheetData>
    <row r="1" spans="1:28" ht="49.5" customHeight="1">
      <c r="B1" s="13" t="s">
        <v>453</v>
      </c>
      <c r="D1" s="217" t="s">
        <v>383</v>
      </c>
      <c r="E1" s="199"/>
      <c r="F1" s="199"/>
      <c r="G1" s="199"/>
      <c r="H1" s="199"/>
      <c r="I1" s="199"/>
      <c r="J1" s="199"/>
      <c r="K1" s="199"/>
      <c r="L1" s="215" t="s">
        <v>47</v>
      </c>
      <c r="M1" s="216"/>
      <c r="N1" s="216"/>
      <c r="O1" s="216"/>
      <c r="P1" s="216"/>
      <c r="Q1" s="2"/>
      <c r="R1" s="25"/>
      <c r="S1" s="2"/>
      <c r="AB1" s="250">
        <v>0.89810000000000001</v>
      </c>
    </row>
    <row r="2" spans="1:28" ht="25.05" customHeight="1">
      <c r="A2" s="42" t="s">
        <v>124</v>
      </c>
      <c r="B2" s="42" t="s">
        <v>125</v>
      </c>
      <c r="C2" s="42" t="s">
        <v>126</v>
      </c>
      <c r="D2" s="200" t="s">
        <v>127</v>
      </c>
      <c r="E2" s="200" t="s">
        <v>128</v>
      </c>
      <c r="F2" s="200" t="s">
        <v>129</v>
      </c>
      <c r="G2" s="218" t="s">
        <v>130</v>
      </c>
      <c r="H2" s="49" t="s">
        <v>159</v>
      </c>
      <c r="I2" s="49"/>
      <c r="J2" s="200" t="s">
        <v>160</v>
      </c>
      <c r="K2" s="200"/>
      <c r="L2" s="200" t="s">
        <v>131</v>
      </c>
      <c r="M2" s="200"/>
      <c r="N2" s="200" t="s">
        <v>382</v>
      </c>
      <c r="O2" s="200"/>
      <c r="P2" s="200" t="s">
        <v>158</v>
      </c>
      <c r="Q2" s="200"/>
      <c r="R2" s="200" t="s">
        <v>161</v>
      </c>
      <c r="S2" s="200"/>
      <c r="T2" s="200" t="s">
        <v>113</v>
      </c>
    </row>
    <row r="3" spans="1:28" ht="25.05" customHeight="1">
      <c r="A3" s="42"/>
      <c r="B3" s="42"/>
      <c r="C3" s="42"/>
      <c r="D3" s="200"/>
      <c r="E3" s="200"/>
      <c r="F3" s="200"/>
      <c r="G3" s="218"/>
      <c r="H3" s="52" t="s">
        <v>114</v>
      </c>
      <c r="I3" s="49" t="s">
        <v>126</v>
      </c>
      <c r="J3" s="52" t="s">
        <v>114</v>
      </c>
      <c r="K3" s="49" t="s">
        <v>132</v>
      </c>
      <c r="L3" s="52" t="s">
        <v>114</v>
      </c>
      <c r="M3" s="49" t="s">
        <v>132</v>
      </c>
      <c r="N3" s="52" t="s">
        <v>114</v>
      </c>
      <c r="O3" s="49" t="s">
        <v>132</v>
      </c>
      <c r="P3" s="52" t="s">
        <v>114</v>
      </c>
      <c r="Q3" s="49" t="s">
        <v>132</v>
      </c>
      <c r="R3" s="52" t="s">
        <v>114</v>
      </c>
      <c r="S3" s="49" t="s">
        <v>132</v>
      </c>
      <c r="T3" s="200"/>
    </row>
    <row r="4" spans="1:28" ht="25.05" customHeight="1">
      <c r="C4" s="13" t="s">
        <v>384</v>
      </c>
      <c r="D4" s="53" t="s">
        <v>331</v>
      </c>
      <c r="E4" s="53" t="s">
        <v>332</v>
      </c>
      <c r="F4" s="10" t="s">
        <v>333</v>
      </c>
      <c r="G4" s="24">
        <f>AA4*$AB$1</f>
        <v>150.88079999999999</v>
      </c>
      <c r="H4" s="26">
        <v>168</v>
      </c>
      <c r="I4" s="3"/>
      <c r="J4" s="26">
        <v>267</v>
      </c>
      <c r="K4" s="11" t="s">
        <v>385</v>
      </c>
      <c r="L4" s="26">
        <v>275</v>
      </c>
      <c r="M4" s="11" t="s">
        <v>386</v>
      </c>
      <c r="N4" s="26">
        <v>200</v>
      </c>
      <c r="O4" s="11" t="s">
        <v>1377</v>
      </c>
      <c r="P4" s="26"/>
      <c r="Q4" s="11"/>
      <c r="R4" s="26"/>
      <c r="S4" s="11"/>
      <c r="T4" s="12"/>
      <c r="AA4" s="24">
        <v>168</v>
      </c>
    </row>
    <row r="5" spans="1:28" ht="25.05" customHeight="1">
      <c r="C5" s="13" t="s">
        <v>387</v>
      </c>
      <c r="D5" s="53" t="s">
        <v>331</v>
      </c>
      <c r="E5" s="53" t="s">
        <v>334</v>
      </c>
      <c r="F5" s="10" t="s">
        <v>333</v>
      </c>
      <c r="G5" s="24">
        <f t="shared" ref="G5:G39" si="0">AA5*$AB$1</f>
        <v>227.2193</v>
      </c>
      <c r="H5" s="26">
        <v>253</v>
      </c>
      <c r="I5" s="3"/>
      <c r="J5" s="26">
        <v>373</v>
      </c>
      <c r="K5" s="11" t="s">
        <v>385</v>
      </c>
      <c r="L5" s="26">
        <v>412</v>
      </c>
      <c r="M5" s="11" t="s">
        <v>386</v>
      </c>
      <c r="N5" s="26">
        <v>300</v>
      </c>
      <c r="O5" s="11" t="s">
        <v>1377</v>
      </c>
      <c r="P5" s="26"/>
      <c r="Q5" s="11"/>
      <c r="R5" s="26"/>
      <c r="S5" s="11"/>
      <c r="T5" s="12"/>
      <c r="AA5" s="24">
        <v>253</v>
      </c>
    </row>
    <row r="6" spans="1:28" ht="25.05" customHeight="1">
      <c r="C6" s="13" t="s">
        <v>388</v>
      </c>
      <c r="D6" s="53" t="s">
        <v>331</v>
      </c>
      <c r="E6" s="53" t="s">
        <v>335</v>
      </c>
      <c r="F6" s="10" t="s">
        <v>333</v>
      </c>
      <c r="G6" s="24">
        <f t="shared" si="0"/>
        <v>310.74259999999998</v>
      </c>
      <c r="H6" s="26">
        <v>346</v>
      </c>
      <c r="I6" s="3"/>
      <c r="J6" s="26">
        <v>549</v>
      </c>
      <c r="K6" s="11" t="s">
        <v>385</v>
      </c>
      <c r="L6" s="26">
        <v>550</v>
      </c>
      <c r="M6" s="11" t="s">
        <v>386</v>
      </c>
      <c r="N6" s="26">
        <v>410</v>
      </c>
      <c r="O6" s="11" t="s">
        <v>1377</v>
      </c>
      <c r="P6" s="26"/>
      <c r="Q6" s="11"/>
      <c r="R6" s="26"/>
      <c r="S6" s="11"/>
      <c r="T6" s="12"/>
      <c r="AA6" s="24">
        <v>346</v>
      </c>
    </row>
    <row r="7" spans="1:28" ht="25.05" customHeight="1">
      <c r="C7" s="13" t="s">
        <v>389</v>
      </c>
      <c r="D7" s="53" t="s">
        <v>331</v>
      </c>
      <c r="E7" s="53" t="s">
        <v>336</v>
      </c>
      <c r="F7" s="10" t="s">
        <v>333</v>
      </c>
      <c r="G7" s="24">
        <f t="shared" si="0"/>
        <v>718.48</v>
      </c>
      <c r="H7" s="26"/>
      <c r="I7" s="3"/>
      <c r="J7" s="26"/>
      <c r="K7" s="11"/>
      <c r="L7" s="26">
        <v>1045</v>
      </c>
      <c r="M7" s="11" t="s">
        <v>386</v>
      </c>
      <c r="N7" s="26">
        <v>800</v>
      </c>
      <c r="O7" s="11" t="s">
        <v>1377</v>
      </c>
      <c r="P7" s="26"/>
      <c r="Q7" s="11"/>
      <c r="R7" s="26"/>
      <c r="S7" s="11"/>
      <c r="T7" s="12"/>
      <c r="AA7" s="24">
        <v>800</v>
      </c>
    </row>
    <row r="8" spans="1:28" ht="25.05" customHeight="1">
      <c r="C8" s="13" t="s">
        <v>390</v>
      </c>
      <c r="D8" s="53" t="s">
        <v>337</v>
      </c>
      <c r="E8" s="53" t="s">
        <v>338</v>
      </c>
      <c r="F8" s="10" t="s">
        <v>333</v>
      </c>
      <c r="G8" s="24">
        <f t="shared" si="0"/>
        <v>308.04829999999998</v>
      </c>
      <c r="H8" s="26">
        <v>343</v>
      </c>
      <c r="I8" s="3"/>
      <c r="J8" s="26">
        <v>563</v>
      </c>
      <c r="K8" s="11" t="s">
        <v>385</v>
      </c>
      <c r="L8" s="26">
        <v>480</v>
      </c>
      <c r="M8" s="11" t="s">
        <v>391</v>
      </c>
      <c r="N8" s="26">
        <v>360</v>
      </c>
      <c r="O8" s="11" t="s">
        <v>1378</v>
      </c>
      <c r="P8" s="26"/>
      <c r="Q8" s="11"/>
      <c r="R8" s="26"/>
      <c r="S8" s="11"/>
      <c r="T8" s="12"/>
      <c r="AA8" s="24">
        <v>343</v>
      </c>
    </row>
    <row r="9" spans="1:28" ht="25.05" customHeight="1">
      <c r="C9" s="13" t="s">
        <v>392</v>
      </c>
      <c r="D9" s="53" t="s">
        <v>337</v>
      </c>
      <c r="E9" s="53" t="s">
        <v>339</v>
      </c>
      <c r="F9" s="10" t="s">
        <v>333</v>
      </c>
      <c r="G9" s="24">
        <f t="shared" si="0"/>
        <v>469.7063</v>
      </c>
      <c r="H9" s="26">
        <v>523</v>
      </c>
      <c r="I9" s="3"/>
      <c r="J9" s="26">
        <v>750</v>
      </c>
      <c r="K9" s="11" t="s">
        <v>385</v>
      </c>
      <c r="L9" s="26">
        <v>607</v>
      </c>
      <c r="M9" s="11" t="s">
        <v>391</v>
      </c>
      <c r="N9" s="26">
        <v>550</v>
      </c>
      <c r="O9" s="11" t="s">
        <v>1378</v>
      </c>
      <c r="P9" s="26"/>
      <c r="Q9" s="11"/>
      <c r="R9" s="26"/>
      <c r="S9" s="11"/>
      <c r="T9" s="12"/>
      <c r="AA9" s="24">
        <v>523</v>
      </c>
    </row>
    <row r="10" spans="1:28" ht="25.05" customHeight="1">
      <c r="C10" s="13" t="s">
        <v>393</v>
      </c>
      <c r="D10" s="53" t="s">
        <v>340</v>
      </c>
      <c r="E10" s="53" t="s">
        <v>341</v>
      </c>
      <c r="F10" s="10" t="s">
        <v>333</v>
      </c>
      <c r="G10" s="24">
        <f t="shared" si="0"/>
        <v>506.52840000000003</v>
      </c>
      <c r="H10" s="26"/>
      <c r="I10" s="3"/>
      <c r="J10" s="26"/>
      <c r="K10" s="11"/>
      <c r="L10" s="26">
        <v>564</v>
      </c>
      <c r="M10" s="11" t="s">
        <v>1374</v>
      </c>
      <c r="N10" s="26">
        <v>720</v>
      </c>
      <c r="O10" s="11" t="s">
        <v>1379</v>
      </c>
      <c r="P10" s="26"/>
      <c r="Q10" s="11"/>
      <c r="R10" s="26"/>
      <c r="S10" s="11"/>
      <c r="T10" s="12"/>
      <c r="AA10" s="24">
        <v>564</v>
      </c>
    </row>
    <row r="11" spans="1:28" ht="25.05" customHeight="1">
      <c r="C11" s="13" t="s">
        <v>394</v>
      </c>
      <c r="D11" s="53" t="s">
        <v>340</v>
      </c>
      <c r="E11" s="53" t="s">
        <v>342</v>
      </c>
      <c r="F11" s="10" t="s">
        <v>343</v>
      </c>
      <c r="G11" s="24">
        <f t="shared" si="0"/>
        <v>305.35399999999998</v>
      </c>
      <c r="H11" s="26">
        <v>354</v>
      </c>
      <c r="I11" s="3"/>
      <c r="J11" s="26"/>
      <c r="K11" s="11"/>
      <c r="L11" s="26">
        <v>346</v>
      </c>
      <c r="M11" s="11" t="s">
        <v>1374</v>
      </c>
      <c r="N11" s="26">
        <v>340</v>
      </c>
      <c r="O11" s="11" t="s">
        <v>1379</v>
      </c>
      <c r="P11" s="26"/>
      <c r="Q11" s="11"/>
      <c r="R11" s="26"/>
      <c r="S11" s="11"/>
      <c r="T11" s="12"/>
      <c r="AA11" s="24">
        <v>340</v>
      </c>
    </row>
    <row r="12" spans="1:28" ht="25.05" customHeight="1">
      <c r="C12" s="13" t="s">
        <v>395</v>
      </c>
      <c r="D12" s="53" t="s">
        <v>344</v>
      </c>
      <c r="E12" s="53" t="s">
        <v>345</v>
      </c>
      <c r="F12" s="10" t="s">
        <v>343</v>
      </c>
      <c r="G12" s="24">
        <f t="shared" si="0"/>
        <v>563.1087</v>
      </c>
      <c r="H12" s="26">
        <v>627</v>
      </c>
      <c r="I12" s="3"/>
      <c r="J12" s="26">
        <v>800</v>
      </c>
      <c r="K12" s="11" t="s">
        <v>396</v>
      </c>
      <c r="L12" s="26">
        <v>845</v>
      </c>
      <c r="M12" s="11" t="s">
        <v>397</v>
      </c>
      <c r="N12" s="26">
        <v>790</v>
      </c>
      <c r="O12" s="11" t="s">
        <v>1380</v>
      </c>
      <c r="P12" s="26"/>
      <c r="Q12" s="11"/>
      <c r="R12" s="26"/>
      <c r="S12" s="11"/>
      <c r="T12" s="12"/>
      <c r="AA12" s="24">
        <v>627</v>
      </c>
    </row>
    <row r="13" spans="1:28" ht="25.05" customHeight="1">
      <c r="C13" s="13" t="s">
        <v>398</v>
      </c>
      <c r="D13" s="53" t="s">
        <v>344</v>
      </c>
      <c r="E13" s="53" t="s">
        <v>346</v>
      </c>
      <c r="F13" s="10" t="s">
        <v>343</v>
      </c>
      <c r="G13" s="24">
        <f t="shared" si="0"/>
        <v>826.25199999999995</v>
      </c>
      <c r="H13" s="26"/>
      <c r="I13" s="3"/>
      <c r="J13" s="26">
        <v>3100</v>
      </c>
      <c r="K13" s="11" t="s">
        <v>396</v>
      </c>
      <c r="L13" s="26">
        <v>973</v>
      </c>
      <c r="M13" s="11" t="s">
        <v>397</v>
      </c>
      <c r="N13" s="26">
        <v>920</v>
      </c>
      <c r="O13" s="11" t="s">
        <v>1380</v>
      </c>
      <c r="P13" s="26"/>
      <c r="Q13" s="11"/>
      <c r="R13" s="26"/>
      <c r="S13" s="11"/>
      <c r="T13" s="12"/>
      <c r="AA13" s="24">
        <v>920</v>
      </c>
    </row>
    <row r="14" spans="1:28" ht="25.05" customHeight="1">
      <c r="C14" s="13" t="s">
        <v>399</v>
      </c>
      <c r="D14" s="53" t="s">
        <v>347</v>
      </c>
      <c r="E14" s="53" t="s">
        <v>348</v>
      </c>
      <c r="F14" s="10" t="s">
        <v>343</v>
      </c>
      <c r="G14" s="24">
        <f t="shared" si="0"/>
        <v>531.67520000000002</v>
      </c>
      <c r="H14" s="26">
        <v>592</v>
      </c>
      <c r="I14" s="3"/>
      <c r="J14" s="26">
        <v>650</v>
      </c>
      <c r="K14" s="11" t="s">
        <v>396</v>
      </c>
      <c r="L14" s="26">
        <v>700</v>
      </c>
      <c r="M14" s="11" t="s">
        <v>397</v>
      </c>
      <c r="N14" s="26">
        <v>650</v>
      </c>
      <c r="O14" s="11" t="s">
        <v>1380</v>
      </c>
      <c r="P14" s="26"/>
      <c r="Q14" s="11"/>
      <c r="R14" s="26"/>
      <c r="S14" s="11"/>
      <c r="T14" s="12"/>
      <c r="AA14" s="24">
        <v>592</v>
      </c>
    </row>
    <row r="15" spans="1:28" ht="25.05" customHeight="1">
      <c r="C15" s="13" t="s">
        <v>400</v>
      </c>
      <c r="D15" s="53" t="s">
        <v>349</v>
      </c>
      <c r="E15" s="53" t="s">
        <v>350</v>
      </c>
      <c r="F15" s="10" t="s">
        <v>343</v>
      </c>
      <c r="G15" s="24">
        <f t="shared" si="0"/>
        <v>260.44900000000001</v>
      </c>
      <c r="H15" s="26"/>
      <c r="I15" s="3"/>
      <c r="J15" s="26">
        <v>400</v>
      </c>
      <c r="K15" s="11" t="s">
        <v>396</v>
      </c>
      <c r="L15" s="26">
        <v>343</v>
      </c>
      <c r="M15" s="11" t="s">
        <v>397</v>
      </c>
      <c r="N15" s="26">
        <v>290</v>
      </c>
      <c r="O15" s="11" t="s">
        <v>1380</v>
      </c>
      <c r="P15" s="26"/>
      <c r="Q15" s="11"/>
      <c r="R15" s="26"/>
      <c r="S15" s="11"/>
      <c r="T15" s="12"/>
      <c r="AA15" s="24">
        <v>290</v>
      </c>
    </row>
    <row r="16" spans="1:28" ht="25.05" customHeight="1">
      <c r="C16" s="13" t="s">
        <v>401</v>
      </c>
      <c r="D16" s="53" t="s">
        <v>349</v>
      </c>
      <c r="E16" s="53" t="s">
        <v>375</v>
      </c>
      <c r="F16" s="10" t="s">
        <v>343</v>
      </c>
      <c r="G16" s="24">
        <f t="shared" si="0"/>
        <v>260.44900000000001</v>
      </c>
      <c r="H16" s="26"/>
      <c r="I16" s="3"/>
      <c r="J16" s="26">
        <v>400</v>
      </c>
      <c r="K16" s="11" t="s">
        <v>396</v>
      </c>
      <c r="L16" s="26">
        <v>343</v>
      </c>
      <c r="M16" s="11" t="s">
        <v>397</v>
      </c>
      <c r="N16" s="26">
        <v>290</v>
      </c>
      <c r="O16" s="11" t="s">
        <v>1380</v>
      </c>
      <c r="P16" s="26"/>
      <c r="Q16" s="11"/>
      <c r="R16" s="26"/>
      <c r="S16" s="11"/>
      <c r="T16" s="12"/>
      <c r="AA16" s="24">
        <v>290</v>
      </c>
    </row>
    <row r="17" spans="3:27" ht="25.05" customHeight="1">
      <c r="C17" s="13" t="s">
        <v>402</v>
      </c>
      <c r="D17" s="53" t="s">
        <v>187</v>
      </c>
      <c r="E17" s="53" t="s">
        <v>351</v>
      </c>
      <c r="F17" s="10" t="s">
        <v>343</v>
      </c>
      <c r="G17" s="24">
        <f t="shared" si="0"/>
        <v>2569.4641000000001</v>
      </c>
      <c r="H17" s="26">
        <v>2861</v>
      </c>
      <c r="I17" s="3"/>
      <c r="J17" s="26">
        <v>5800</v>
      </c>
      <c r="K17" s="11" t="s">
        <v>396</v>
      </c>
      <c r="L17" s="26">
        <v>3520</v>
      </c>
      <c r="M17" s="11" t="s">
        <v>397</v>
      </c>
      <c r="N17" s="26">
        <v>3370</v>
      </c>
      <c r="O17" s="11" t="s">
        <v>1380</v>
      </c>
      <c r="P17" s="26"/>
      <c r="Q17" s="11"/>
      <c r="R17" s="26"/>
      <c r="S17" s="11"/>
      <c r="T17" s="12"/>
      <c r="AA17" s="24">
        <v>2861</v>
      </c>
    </row>
    <row r="18" spans="3:27" ht="25.05" customHeight="1">
      <c r="C18" s="13" t="s">
        <v>403</v>
      </c>
      <c r="D18" s="53" t="s">
        <v>187</v>
      </c>
      <c r="E18" s="53" t="s">
        <v>352</v>
      </c>
      <c r="F18" s="10" t="s">
        <v>343</v>
      </c>
      <c r="G18" s="24">
        <f t="shared" si="0"/>
        <v>3610.3620000000001</v>
      </c>
      <c r="H18" s="26">
        <v>4020</v>
      </c>
      <c r="I18" s="3"/>
      <c r="J18" s="26">
        <v>10250</v>
      </c>
      <c r="K18" s="11" t="s">
        <v>396</v>
      </c>
      <c r="L18" s="26">
        <v>4730</v>
      </c>
      <c r="M18" s="11" t="s">
        <v>397</v>
      </c>
      <c r="N18" s="26">
        <v>5540</v>
      </c>
      <c r="O18" s="11" t="s">
        <v>1380</v>
      </c>
      <c r="P18" s="26"/>
      <c r="Q18" s="11"/>
      <c r="R18" s="26"/>
      <c r="S18" s="11"/>
      <c r="T18" s="12"/>
      <c r="AA18" s="24">
        <v>4020</v>
      </c>
    </row>
    <row r="19" spans="3:27" ht="25.05" customHeight="1">
      <c r="C19" s="13" t="s">
        <v>404</v>
      </c>
      <c r="D19" s="53" t="s">
        <v>353</v>
      </c>
      <c r="E19" s="53" t="s">
        <v>354</v>
      </c>
      <c r="F19" s="10" t="s">
        <v>333</v>
      </c>
      <c r="G19" s="24">
        <f t="shared" si="0"/>
        <v>297.27109999999999</v>
      </c>
      <c r="H19" s="26">
        <v>331</v>
      </c>
      <c r="I19" s="3"/>
      <c r="J19" s="26">
        <v>358</v>
      </c>
      <c r="K19" s="11" t="s">
        <v>405</v>
      </c>
      <c r="L19" s="26">
        <v>438</v>
      </c>
      <c r="M19" s="11" t="s">
        <v>406</v>
      </c>
      <c r="N19" s="26">
        <v>351</v>
      </c>
      <c r="O19" s="11" t="s">
        <v>1381</v>
      </c>
      <c r="P19" s="26"/>
      <c r="Q19" s="11"/>
      <c r="R19" s="26"/>
      <c r="S19" s="11"/>
      <c r="T19" s="12"/>
      <c r="AA19" s="24">
        <v>331</v>
      </c>
    </row>
    <row r="20" spans="3:27" ht="25.05" customHeight="1">
      <c r="C20" s="13" t="s">
        <v>407</v>
      </c>
      <c r="D20" s="53" t="s">
        <v>353</v>
      </c>
      <c r="E20" s="53" t="s">
        <v>355</v>
      </c>
      <c r="F20" s="10" t="s">
        <v>333</v>
      </c>
      <c r="G20" s="24">
        <f t="shared" si="0"/>
        <v>443.66140000000001</v>
      </c>
      <c r="H20" s="26">
        <v>494</v>
      </c>
      <c r="I20" s="3"/>
      <c r="J20" s="26">
        <v>543</v>
      </c>
      <c r="K20" s="11" t="s">
        <v>405</v>
      </c>
      <c r="L20" s="26">
        <v>721</v>
      </c>
      <c r="M20" s="11" t="s">
        <v>406</v>
      </c>
      <c r="N20" s="26">
        <v>515</v>
      </c>
      <c r="O20" s="11" t="s">
        <v>1381</v>
      </c>
      <c r="P20" s="26"/>
      <c r="Q20" s="11"/>
      <c r="R20" s="26"/>
      <c r="S20" s="11"/>
      <c r="T20" s="12"/>
      <c r="AA20" s="24">
        <v>494</v>
      </c>
    </row>
    <row r="21" spans="3:27" ht="25.05" customHeight="1">
      <c r="C21" s="13" t="s">
        <v>408</v>
      </c>
      <c r="D21" s="53" t="s">
        <v>356</v>
      </c>
      <c r="E21" s="53" t="s">
        <v>357</v>
      </c>
      <c r="F21" s="10" t="s">
        <v>333</v>
      </c>
      <c r="G21" s="24">
        <f t="shared" si="0"/>
        <v>2326.0790000000002</v>
      </c>
      <c r="H21" s="26">
        <v>2590</v>
      </c>
      <c r="I21" s="3"/>
      <c r="J21" s="26">
        <v>2610</v>
      </c>
      <c r="K21" s="11" t="s">
        <v>409</v>
      </c>
      <c r="L21" s="26">
        <v>3068</v>
      </c>
      <c r="M21" s="11" t="s">
        <v>410</v>
      </c>
      <c r="N21" s="26">
        <v>3101</v>
      </c>
      <c r="O21" s="11" t="s">
        <v>1382</v>
      </c>
      <c r="P21" s="26"/>
      <c r="Q21" s="11"/>
      <c r="R21" s="26"/>
      <c r="S21" s="11"/>
      <c r="T21" s="12"/>
      <c r="AA21" s="24">
        <v>2590</v>
      </c>
    </row>
    <row r="22" spans="3:27" ht="25.05" customHeight="1">
      <c r="C22" s="13" t="s">
        <v>411</v>
      </c>
      <c r="D22" s="53" t="s">
        <v>356</v>
      </c>
      <c r="E22" s="53" t="s">
        <v>358</v>
      </c>
      <c r="F22" s="10" t="s">
        <v>333</v>
      </c>
      <c r="G22" s="24">
        <f t="shared" si="0"/>
        <v>3454.9906999999998</v>
      </c>
      <c r="H22" s="26">
        <v>3847</v>
      </c>
      <c r="I22" s="3"/>
      <c r="J22" s="26">
        <v>3885</v>
      </c>
      <c r="K22" s="11" t="s">
        <v>409</v>
      </c>
      <c r="L22" s="26">
        <v>4558</v>
      </c>
      <c r="M22" s="11" t="s">
        <v>410</v>
      </c>
      <c r="N22" s="26">
        <v>4602</v>
      </c>
      <c r="O22" s="11" t="s">
        <v>1382</v>
      </c>
      <c r="P22" s="26"/>
      <c r="Q22" s="11"/>
      <c r="R22" s="26"/>
      <c r="S22" s="11"/>
      <c r="T22" s="12"/>
      <c r="AA22" s="24">
        <v>3847</v>
      </c>
    </row>
    <row r="23" spans="3:27" ht="25.05" customHeight="1">
      <c r="C23" s="13" t="s">
        <v>412</v>
      </c>
      <c r="D23" s="53" t="s">
        <v>356</v>
      </c>
      <c r="E23" s="53" t="s">
        <v>359</v>
      </c>
      <c r="F23" s="10" t="s">
        <v>333</v>
      </c>
      <c r="G23" s="24">
        <f t="shared" si="0"/>
        <v>4480.6208999999999</v>
      </c>
      <c r="H23" s="26">
        <v>4989</v>
      </c>
      <c r="I23" s="3"/>
      <c r="J23" s="26">
        <v>5963</v>
      </c>
      <c r="K23" s="11" t="s">
        <v>409</v>
      </c>
      <c r="L23" s="26">
        <v>6061</v>
      </c>
      <c r="M23" s="11" t="s">
        <v>410</v>
      </c>
      <c r="N23" s="26">
        <v>6103</v>
      </c>
      <c r="O23" s="11" t="s">
        <v>1382</v>
      </c>
      <c r="P23" s="26"/>
      <c r="Q23" s="11"/>
      <c r="R23" s="26"/>
      <c r="S23" s="11"/>
      <c r="T23" s="12"/>
      <c r="AA23" s="24">
        <v>4989</v>
      </c>
    </row>
    <row r="24" spans="3:27" ht="25.05" customHeight="1">
      <c r="C24" s="13" t="s">
        <v>413</v>
      </c>
      <c r="D24" s="53" t="s">
        <v>360</v>
      </c>
      <c r="E24" s="53" t="s">
        <v>361</v>
      </c>
      <c r="F24" s="10" t="s">
        <v>343</v>
      </c>
      <c r="G24" s="24">
        <f t="shared" si="0"/>
        <v>3604.0753</v>
      </c>
      <c r="H24" s="26">
        <v>4013</v>
      </c>
      <c r="I24" s="3"/>
      <c r="J24" s="26">
        <v>5000</v>
      </c>
      <c r="K24" s="11" t="s">
        <v>414</v>
      </c>
      <c r="L24" s="26">
        <v>5000</v>
      </c>
      <c r="M24" s="11" t="s">
        <v>415</v>
      </c>
      <c r="N24" s="26">
        <v>5000</v>
      </c>
      <c r="O24" s="11" t="s">
        <v>1383</v>
      </c>
      <c r="P24" s="26"/>
      <c r="Q24" s="11"/>
      <c r="R24" s="26"/>
      <c r="S24" s="11"/>
      <c r="T24" s="12"/>
      <c r="AA24" s="24">
        <v>4013</v>
      </c>
    </row>
    <row r="25" spans="3:27" ht="25.05" customHeight="1">
      <c r="C25" s="13" t="s">
        <v>416</v>
      </c>
      <c r="D25" s="170" t="s">
        <v>360</v>
      </c>
      <c r="E25" s="170" t="s">
        <v>589</v>
      </c>
      <c r="F25" s="171" t="s">
        <v>600</v>
      </c>
      <c r="G25" s="24">
        <f t="shared" si="0"/>
        <v>1257340</v>
      </c>
      <c r="H25" s="173"/>
      <c r="I25" s="174"/>
      <c r="J25" s="173"/>
      <c r="K25" s="175"/>
      <c r="L25" s="173">
        <v>2500000</v>
      </c>
      <c r="M25" s="175" t="s">
        <v>415</v>
      </c>
      <c r="N25" s="173">
        <v>3000000</v>
      </c>
      <c r="O25" s="175" t="s">
        <v>1383</v>
      </c>
      <c r="P25" s="173">
        <v>1400000</v>
      </c>
      <c r="Q25" s="175"/>
      <c r="R25" s="173"/>
      <c r="S25" s="175"/>
      <c r="T25" s="176"/>
      <c r="U25" s="2" t="s">
        <v>1399</v>
      </c>
      <c r="AA25" s="172">
        <v>1400000</v>
      </c>
    </row>
    <row r="26" spans="3:27" ht="25.05" customHeight="1">
      <c r="C26" s="13" t="s">
        <v>417</v>
      </c>
      <c r="D26" s="53" t="s">
        <v>376</v>
      </c>
      <c r="E26" s="53" t="s">
        <v>377</v>
      </c>
      <c r="F26" s="10" t="s">
        <v>343</v>
      </c>
      <c r="G26" s="24">
        <f t="shared" si="0"/>
        <v>29188.25</v>
      </c>
      <c r="H26" s="26"/>
      <c r="I26" s="3"/>
      <c r="J26" s="26">
        <v>125000</v>
      </c>
      <c r="K26" s="11" t="s">
        <v>414</v>
      </c>
      <c r="L26" s="26">
        <v>100000</v>
      </c>
      <c r="M26" s="11" t="s">
        <v>418</v>
      </c>
      <c r="N26" s="26">
        <v>100000</v>
      </c>
      <c r="O26" s="11" t="s">
        <v>1383</v>
      </c>
      <c r="P26" s="26">
        <v>32500</v>
      </c>
      <c r="Q26" s="11"/>
      <c r="R26" s="26"/>
      <c r="S26" s="11"/>
      <c r="T26" s="12"/>
      <c r="U26" s="2" t="s">
        <v>1392</v>
      </c>
      <c r="AA26" s="24">
        <v>32500</v>
      </c>
    </row>
    <row r="27" spans="3:27" ht="25.05" customHeight="1">
      <c r="C27" s="13" t="s">
        <v>419</v>
      </c>
      <c r="D27" s="53" t="s">
        <v>376</v>
      </c>
      <c r="E27" s="53" t="s">
        <v>378</v>
      </c>
      <c r="F27" s="10" t="s">
        <v>343</v>
      </c>
      <c r="G27" s="24">
        <f t="shared" si="0"/>
        <v>47150.25</v>
      </c>
      <c r="H27" s="26"/>
      <c r="I27" s="3"/>
      <c r="J27" s="26">
        <v>180000</v>
      </c>
      <c r="K27" s="11" t="s">
        <v>414</v>
      </c>
      <c r="L27" s="26">
        <v>200000</v>
      </c>
      <c r="M27" s="11" t="s">
        <v>418</v>
      </c>
      <c r="N27" s="26">
        <v>200000</v>
      </c>
      <c r="O27" s="11" t="s">
        <v>1383</v>
      </c>
      <c r="P27" s="26">
        <v>52500</v>
      </c>
      <c r="Q27" s="11"/>
      <c r="R27" s="26"/>
      <c r="S27" s="11"/>
      <c r="T27" s="12"/>
      <c r="U27" s="2" t="s">
        <v>1393</v>
      </c>
      <c r="AA27" s="24">
        <v>52500</v>
      </c>
    </row>
    <row r="28" spans="3:27" ht="25.05" customHeight="1">
      <c r="C28" s="13" t="s">
        <v>420</v>
      </c>
      <c r="D28" s="53" t="s">
        <v>379</v>
      </c>
      <c r="E28" s="53" t="s">
        <v>380</v>
      </c>
      <c r="F28" s="10" t="s">
        <v>343</v>
      </c>
      <c r="G28" s="24">
        <f t="shared" si="0"/>
        <v>47150.25</v>
      </c>
      <c r="H28" s="26"/>
      <c r="I28" s="3"/>
      <c r="J28" s="26">
        <v>180000</v>
      </c>
      <c r="K28" s="11" t="s">
        <v>421</v>
      </c>
      <c r="L28" s="26">
        <v>160000</v>
      </c>
      <c r="M28" s="11" t="s">
        <v>415</v>
      </c>
      <c r="N28" s="26">
        <v>160000</v>
      </c>
      <c r="O28" s="11" t="s">
        <v>1383</v>
      </c>
      <c r="P28" s="26">
        <v>52500</v>
      </c>
      <c r="Q28" s="11"/>
      <c r="R28" s="26"/>
      <c r="S28" s="11"/>
      <c r="T28" s="12"/>
      <c r="U28" s="2" t="s">
        <v>1394</v>
      </c>
      <c r="AA28" s="24">
        <v>52500</v>
      </c>
    </row>
    <row r="29" spans="3:27" ht="25.05" customHeight="1">
      <c r="C29" s="13" t="s">
        <v>422</v>
      </c>
      <c r="D29" s="53" t="s">
        <v>255</v>
      </c>
      <c r="E29" s="53" t="s">
        <v>423</v>
      </c>
      <c r="F29" s="10" t="s">
        <v>343</v>
      </c>
      <c r="G29" s="24">
        <f t="shared" si="0"/>
        <v>2160.8285999999998</v>
      </c>
      <c r="H29" s="26">
        <v>2406</v>
      </c>
      <c r="I29" s="3"/>
      <c r="J29" s="26">
        <v>5000</v>
      </c>
      <c r="K29" s="11" t="s">
        <v>414</v>
      </c>
      <c r="L29" s="26">
        <v>7000</v>
      </c>
      <c r="M29" s="11" t="s">
        <v>418</v>
      </c>
      <c r="N29" s="26">
        <v>5000</v>
      </c>
      <c r="O29" s="11" t="s">
        <v>1383</v>
      </c>
      <c r="P29" s="26"/>
      <c r="Q29" s="11"/>
      <c r="R29" s="26"/>
      <c r="S29" s="11"/>
      <c r="T29" s="12"/>
      <c r="AA29" s="24">
        <v>2406</v>
      </c>
    </row>
    <row r="30" spans="3:27" ht="25.05" customHeight="1">
      <c r="C30" s="13" t="s">
        <v>424</v>
      </c>
      <c r="D30" s="53" t="s">
        <v>425</v>
      </c>
      <c r="E30" s="53" t="s">
        <v>262</v>
      </c>
      <c r="F30" s="10" t="s">
        <v>343</v>
      </c>
      <c r="G30" s="24">
        <f t="shared" si="0"/>
        <v>3719.0320999999999</v>
      </c>
      <c r="H30" s="26">
        <v>4141</v>
      </c>
      <c r="I30" s="3"/>
      <c r="J30" s="26">
        <v>6000</v>
      </c>
      <c r="K30" s="11" t="s">
        <v>414</v>
      </c>
      <c r="L30" s="26">
        <v>8000</v>
      </c>
      <c r="M30" s="11" t="s">
        <v>418</v>
      </c>
      <c r="N30" s="26">
        <v>7500</v>
      </c>
      <c r="O30" s="11" t="s">
        <v>1383</v>
      </c>
      <c r="P30" s="26"/>
      <c r="Q30" s="11"/>
      <c r="R30" s="26"/>
      <c r="S30" s="11"/>
      <c r="T30" s="12"/>
      <c r="AA30" s="24">
        <v>4141</v>
      </c>
    </row>
    <row r="31" spans="3:27" ht="25.05" customHeight="1">
      <c r="C31" s="13" t="s">
        <v>426</v>
      </c>
      <c r="D31" s="53" t="s">
        <v>427</v>
      </c>
      <c r="E31" s="53" t="s">
        <v>262</v>
      </c>
      <c r="F31" s="10" t="s">
        <v>343</v>
      </c>
      <c r="G31" s="24">
        <f t="shared" si="0"/>
        <v>1225.9065000000001</v>
      </c>
      <c r="H31" s="26">
        <v>1365</v>
      </c>
      <c r="I31" s="3"/>
      <c r="J31" s="26">
        <v>2000</v>
      </c>
      <c r="K31" s="11" t="s">
        <v>414</v>
      </c>
      <c r="L31" s="26">
        <v>3000</v>
      </c>
      <c r="M31" s="11" t="s">
        <v>418</v>
      </c>
      <c r="N31" s="26">
        <v>2000</v>
      </c>
      <c r="O31" s="11" t="s">
        <v>1383</v>
      </c>
      <c r="P31" s="26"/>
      <c r="Q31" s="11"/>
      <c r="R31" s="26"/>
      <c r="S31" s="11"/>
      <c r="T31" s="12"/>
      <c r="AA31" s="24">
        <v>1365</v>
      </c>
    </row>
    <row r="32" spans="3:27" ht="25.05" customHeight="1">
      <c r="C32" s="13" t="s">
        <v>428</v>
      </c>
      <c r="D32" s="53" t="s">
        <v>363</v>
      </c>
      <c r="E32" s="53" t="s">
        <v>262</v>
      </c>
      <c r="F32" s="10" t="s">
        <v>343</v>
      </c>
      <c r="G32" s="24">
        <f t="shared" si="0"/>
        <v>4490.5</v>
      </c>
      <c r="H32" s="26"/>
      <c r="I32" s="3"/>
      <c r="J32" s="26">
        <v>30000</v>
      </c>
      <c r="K32" s="11" t="s">
        <v>414</v>
      </c>
      <c r="L32" s="26">
        <v>25000</v>
      </c>
      <c r="M32" s="11" t="s">
        <v>429</v>
      </c>
      <c r="N32" s="26">
        <v>30000</v>
      </c>
      <c r="O32" s="11" t="s">
        <v>1383</v>
      </c>
      <c r="P32" s="26">
        <v>5000</v>
      </c>
      <c r="Q32" s="11"/>
      <c r="R32" s="26"/>
      <c r="S32" s="11"/>
      <c r="T32" s="12"/>
      <c r="U32" s="2" t="s">
        <v>1398</v>
      </c>
      <c r="AA32" s="24">
        <v>5000</v>
      </c>
    </row>
    <row r="33" spans="3:27" ht="25.05" customHeight="1">
      <c r="C33" s="13" t="s">
        <v>430</v>
      </c>
      <c r="D33" s="53" t="s">
        <v>249</v>
      </c>
      <c r="E33" s="53"/>
      <c r="F33" s="10" t="s">
        <v>343</v>
      </c>
      <c r="G33" s="24">
        <f t="shared" si="0"/>
        <v>4490.5</v>
      </c>
      <c r="H33" s="26">
        <v>28736</v>
      </c>
      <c r="I33" s="3"/>
      <c r="J33" s="26">
        <v>40000</v>
      </c>
      <c r="K33" s="11" t="s">
        <v>414</v>
      </c>
      <c r="L33" s="26">
        <v>60000</v>
      </c>
      <c r="M33" s="11" t="s">
        <v>418</v>
      </c>
      <c r="N33" s="26">
        <v>60000</v>
      </c>
      <c r="O33" s="11" t="s">
        <v>1383</v>
      </c>
      <c r="P33" s="26">
        <v>5000</v>
      </c>
      <c r="Q33" s="11"/>
      <c r="R33" s="26"/>
      <c r="S33" s="11"/>
      <c r="T33" s="12"/>
      <c r="U33" s="2" t="s">
        <v>1397</v>
      </c>
      <c r="AA33" s="24">
        <v>5000</v>
      </c>
    </row>
    <row r="34" spans="3:27" ht="25.05" customHeight="1">
      <c r="C34" s="13" t="s">
        <v>431</v>
      </c>
      <c r="D34" s="53" t="s">
        <v>432</v>
      </c>
      <c r="E34" s="53" t="s">
        <v>433</v>
      </c>
      <c r="F34" s="10" t="s">
        <v>343</v>
      </c>
      <c r="G34" s="24">
        <f t="shared" si="0"/>
        <v>2873.92</v>
      </c>
      <c r="H34" s="26"/>
      <c r="I34" s="3"/>
      <c r="J34" s="26"/>
      <c r="K34" s="11"/>
      <c r="L34" s="26">
        <v>3200</v>
      </c>
      <c r="M34" s="11" t="s">
        <v>434</v>
      </c>
      <c r="N34" s="26"/>
      <c r="O34" s="11"/>
      <c r="P34" s="26"/>
      <c r="Q34" s="11"/>
      <c r="R34" s="26"/>
      <c r="S34" s="11"/>
      <c r="T34" s="12"/>
      <c r="AA34" s="24">
        <v>3200</v>
      </c>
    </row>
    <row r="35" spans="3:27" ht="25.05" customHeight="1">
      <c r="C35" s="13" t="s">
        <v>435</v>
      </c>
      <c r="D35" s="53" t="s">
        <v>364</v>
      </c>
      <c r="E35" s="53" t="s">
        <v>365</v>
      </c>
      <c r="F35" s="10" t="s">
        <v>366</v>
      </c>
      <c r="G35" s="24">
        <f t="shared" si="0"/>
        <v>475993</v>
      </c>
      <c r="H35" s="26"/>
      <c r="I35" s="3"/>
      <c r="J35" s="26"/>
      <c r="K35" s="11"/>
      <c r="L35" s="26">
        <v>1500000</v>
      </c>
      <c r="M35" s="11" t="s">
        <v>1375</v>
      </c>
      <c r="N35" s="26"/>
      <c r="O35" s="11"/>
      <c r="P35" s="26">
        <v>530000</v>
      </c>
      <c r="Q35" s="11"/>
      <c r="R35" s="26"/>
      <c r="S35" s="11"/>
      <c r="T35" s="12"/>
      <c r="U35" s="2" t="s">
        <v>1395</v>
      </c>
      <c r="AA35" s="24">
        <v>530000</v>
      </c>
    </row>
    <row r="36" spans="3:27" ht="25.05" customHeight="1">
      <c r="C36" s="13" t="s">
        <v>436</v>
      </c>
      <c r="D36" s="53" t="s">
        <v>367</v>
      </c>
      <c r="E36" s="53" t="s">
        <v>262</v>
      </c>
      <c r="F36" s="10" t="s">
        <v>343</v>
      </c>
      <c r="G36" s="24">
        <f t="shared" si="0"/>
        <v>22452.5</v>
      </c>
      <c r="H36" s="26">
        <v>40231</v>
      </c>
      <c r="I36" s="3"/>
      <c r="J36" s="26"/>
      <c r="K36" s="11"/>
      <c r="L36" s="26">
        <v>60000</v>
      </c>
      <c r="M36" s="11" t="s">
        <v>1375</v>
      </c>
      <c r="N36" s="26">
        <v>60000</v>
      </c>
      <c r="O36" s="11" t="s">
        <v>1383</v>
      </c>
      <c r="P36" s="26">
        <v>25000</v>
      </c>
      <c r="Q36" s="11"/>
      <c r="R36" s="26"/>
      <c r="S36" s="11"/>
      <c r="T36" s="12"/>
      <c r="U36" s="2" t="s">
        <v>1396</v>
      </c>
      <c r="AA36" s="24">
        <v>25000</v>
      </c>
    </row>
    <row r="37" spans="3:27" ht="25.05" customHeight="1">
      <c r="C37" s="13" t="s">
        <v>437</v>
      </c>
      <c r="D37" s="12" t="s">
        <v>598</v>
      </c>
      <c r="E37" s="12" t="s">
        <v>597</v>
      </c>
      <c r="F37" s="10" t="s">
        <v>343</v>
      </c>
      <c r="G37" s="24">
        <f t="shared" si="0"/>
        <v>52089.8</v>
      </c>
      <c r="H37" s="26"/>
      <c r="I37" s="3"/>
      <c r="J37" s="26"/>
      <c r="K37" s="11"/>
      <c r="L37" s="26">
        <v>100000</v>
      </c>
      <c r="M37" s="11" t="s">
        <v>1375</v>
      </c>
      <c r="N37" s="26"/>
      <c r="O37" s="11"/>
      <c r="P37" s="26">
        <v>58000</v>
      </c>
      <c r="Q37" s="11"/>
      <c r="R37" s="26"/>
      <c r="S37" s="11"/>
      <c r="T37" s="12"/>
      <c r="U37" s="2" t="s">
        <v>1419</v>
      </c>
      <c r="AA37" s="24">
        <v>58000</v>
      </c>
    </row>
    <row r="38" spans="3:27" ht="25.05" customHeight="1">
      <c r="C38" s="13" t="s">
        <v>438</v>
      </c>
      <c r="D38" s="53" t="s">
        <v>596</v>
      </c>
      <c r="E38" s="53"/>
      <c r="F38" s="10" t="s">
        <v>343</v>
      </c>
      <c r="G38" s="24">
        <f t="shared" si="0"/>
        <v>26943</v>
      </c>
      <c r="H38" s="26"/>
      <c r="I38" s="3"/>
      <c r="J38" s="26"/>
      <c r="K38" s="11"/>
      <c r="L38" s="26">
        <v>30000</v>
      </c>
      <c r="M38" s="11" t="s">
        <v>1375</v>
      </c>
      <c r="N38" s="26"/>
      <c r="O38" s="11"/>
      <c r="P38" s="26"/>
      <c r="Q38" s="11"/>
      <c r="R38" s="26"/>
      <c r="S38" s="11"/>
      <c r="T38" s="12"/>
      <c r="AA38" s="24">
        <v>30000</v>
      </c>
    </row>
    <row r="39" spans="3:27" ht="25.05" customHeight="1">
      <c r="C39" s="13" t="s">
        <v>439</v>
      </c>
      <c r="D39" s="53" t="s">
        <v>440</v>
      </c>
      <c r="E39" s="53" t="s">
        <v>441</v>
      </c>
      <c r="F39" s="10" t="s">
        <v>343</v>
      </c>
      <c r="G39" s="24">
        <f t="shared" si="0"/>
        <v>1706.39</v>
      </c>
      <c r="H39" s="26"/>
      <c r="I39" s="3"/>
      <c r="J39" s="26"/>
      <c r="K39" s="11"/>
      <c r="L39" s="26">
        <v>1900</v>
      </c>
      <c r="M39" s="11" t="s">
        <v>442</v>
      </c>
      <c r="N39" s="26"/>
      <c r="O39" s="11"/>
      <c r="P39" s="26"/>
      <c r="Q39" s="11"/>
      <c r="R39" s="26"/>
      <c r="S39" s="11"/>
      <c r="T39" s="12"/>
      <c r="AA39" s="24">
        <v>1900</v>
      </c>
    </row>
    <row r="40" spans="3:27" ht="25.05" customHeight="1">
      <c r="C40" s="13" t="s">
        <v>620</v>
      </c>
      <c r="D40" s="53" t="s">
        <v>621</v>
      </c>
      <c r="E40" s="53" t="s">
        <v>622</v>
      </c>
      <c r="F40" s="10" t="s">
        <v>623</v>
      </c>
      <c r="G40" s="24" t="s">
        <v>630</v>
      </c>
      <c r="H40" s="26">
        <v>446</v>
      </c>
      <c r="I40" s="3" t="s">
        <v>631</v>
      </c>
      <c r="J40" s="26">
        <v>1309</v>
      </c>
      <c r="K40" s="11" t="s">
        <v>632</v>
      </c>
      <c r="L40" s="26">
        <v>523</v>
      </c>
      <c r="M40" s="11" t="s">
        <v>630</v>
      </c>
      <c r="N40" s="26"/>
      <c r="O40" s="11"/>
      <c r="P40" s="26"/>
      <c r="Q40" s="11"/>
      <c r="R40" s="26"/>
      <c r="S40" s="11"/>
      <c r="T40" s="12"/>
    </row>
    <row r="41" spans="3:27" ht="25.05" customHeight="1">
      <c r="C41" s="13" t="s">
        <v>443</v>
      </c>
      <c r="D41" s="53" t="s">
        <v>444</v>
      </c>
      <c r="E41" s="53" t="s">
        <v>445</v>
      </c>
      <c r="F41" s="10" t="s">
        <v>446</v>
      </c>
      <c r="G41" s="24">
        <f>AA41*$AB$1</f>
        <v>241512.56150000001</v>
      </c>
      <c r="H41" s="26"/>
      <c r="I41" s="3"/>
      <c r="J41" s="26"/>
      <c r="K41" s="11"/>
      <c r="L41" s="26"/>
      <c r="M41" s="11"/>
      <c r="N41" s="26"/>
      <c r="O41" s="11"/>
      <c r="P41" s="26"/>
      <c r="Q41" s="11"/>
      <c r="R41" s="26"/>
      <c r="S41" s="11"/>
      <c r="T41" s="12"/>
      <c r="AA41" s="2">
        <v>268915</v>
      </c>
    </row>
    <row r="42" spans="3:27" ht="25.05" customHeight="1">
      <c r="C42" s="13" t="s">
        <v>447</v>
      </c>
      <c r="D42" s="53" t="s">
        <v>444</v>
      </c>
      <c r="E42" s="53" t="s">
        <v>448</v>
      </c>
      <c r="F42" s="10" t="s">
        <v>446</v>
      </c>
      <c r="G42" s="24">
        <f t="shared" ref="G42:G44" si="1">AA42*$AB$1</f>
        <v>269732.65970000002</v>
      </c>
      <c r="H42" s="26"/>
      <c r="I42" s="3"/>
      <c r="J42" s="26"/>
      <c r="K42" s="11"/>
      <c r="L42" s="26"/>
      <c r="M42" s="11"/>
      <c r="N42" s="26"/>
      <c r="O42" s="11"/>
      <c r="P42" s="26"/>
      <c r="Q42" s="11"/>
      <c r="R42" s="26"/>
      <c r="S42" s="11"/>
      <c r="T42" s="12"/>
      <c r="AA42" s="2">
        <v>300337</v>
      </c>
    </row>
    <row r="43" spans="3:27" ht="25.05" customHeight="1">
      <c r="C43" s="13" t="s">
        <v>449</v>
      </c>
      <c r="D43" s="53" t="s">
        <v>444</v>
      </c>
      <c r="E43" s="53" t="s">
        <v>450</v>
      </c>
      <c r="F43" s="10" t="s">
        <v>446</v>
      </c>
      <c r="G43" s="24">
        <f t="shared" si="1"/>
        <v>366926.83789999998</v>
      </c>
      <c r="H43" s="26"/>
      <c r="I43" s="3"/>
      <c r="J43" s="26"/>
      <c r="K43" s="11"/>
      <c r="L43" s="26"/>
      <c r="M43" s="11"/>
      <c r="N43" s="26"/>
      <c r="O43" s="11"/>
      <c r="P43" s="26"/>
      <c r="Q43" s="11"/>
      <c r="R43" s="26"/>
      <c r="S43" s="11"/>
      <c r="T43" s="12"/>
      <c r="AA43" s="2">
        <v>408559</v>
      </c>
    </row>
    <row r="44" spans="3:27" ht="25.05" customHeight="1">
      <c r="C44" s="13" t="s">
        <v>451</v>
      </c>
      <c r="D44" s="53" t="s">
        <v>444</v>
      </c>
      <c r="E44" s="53" t="s">
        <v>452</v>
      </c>
      <c r="F44" s="10" t="s">
        <v>446</v>
      </c>
      <c r="G44" s="24">
        <f t="shared" si="1"/>
        <v>152500.9724</v>
      </c>
      <c r="H44" s="26"/>
      <c r="I44" s="3"/>
      <c r="J44" s="26"/>
      <c r="K44" s="11"/>
      <c r="L44" s="26"/>
      <c r="M44" s="11"/>
      <c r="N44" s="26"/>
      <c r="O44" s="11"/>
      <c r="P44" s="26"/>
      <c r="Q44" s="11"/>
      <c r="R44" s="26"/>
      <c r="S44" s="11"/>
      <c r="T44" s="12"/>
      <c r="AA44" s="2">
        <v>169804</v>
      </c>
    </row>
    <row r="45" spans="3:27" ht="25.05" customHeight="1">
      <c r="D45" s="53"/>
      <c r="E45" s="53"/>
      <c r="F45" s="10"/>
      <c r="G45" s="24"/>
      <c r="H45" s="26"/>
      <c r="I45" s="3"/>
      <c r="J45" s="26"/>
      <c r="K45" s="11"/>
      <c r="L45" s="26"/>
      <c r="M45" s="11"/>
      <c r="N45" s="26"/>
      <c r="O45" s="11"/>
      <c r="P45" s="26"/>
      <c r="Q45" s="11"/>
      <c r="R45" s="26"/>
      <c r="S45" s="11"/>
      <c r="T45" s="12"/>
    </row>
  </sheetData>
  <mergeCells count="12">
    <mergeCell ref="R2:S2"/>
    <mergeCell ref="T2:T3"/>
    <mergeCell ref="L2:M2"/>
    <mergeCell ref="L1:P1"/>
    <mergeCell ref="D1:K1"/>
    <mergeCell ref="E2:E3"/>
    <mergeCell ref="D2:D3"/>
    <mergeCell ref="P2:Q2"/>
    <mergeCell ref="F2:F3"/>
    <mergeCell ref="G2:G3"/>
    <mergeCell ref="J2:K2"/>
    <mergeCell ref="N2:O2"/>
  </mergeCells>
  <phoneticPr fontId="4" type="noConversion"/>
  <printOptions horizontalCentered="1" verticalCentered="1"/>
  <pageMargins left="0.74803149606299213" right="0.35433070866141736" top="0.59055118110236227" bottom="0.59055118110236227" header="0.51181102362204722" footer="0.47244094488188981"/>
  <pageSetup paperSize="9" scale="80" orientation="landscape" r:id="rId1"/>
  <headerFooter alignWithMargins="0">
    <oddHeader>&amp;C&amp;26단 가 조 사 서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H42"/>
  <sheetViews>
    <sheetView topLeftCell="A4" workbookViewId="0">
      <selection activeCell="F36" sqref="A36:F36"/>
    </sheetView>
  </sheetViews>
  <sheetFormatPr defaultColWidth="8.8984375" defaultRowHeight="14.4"/>
  <cols>
    <col min="1" max="1" width="36.09765625" style="1" customWidth="1"/>
    <col min="2" max="2" width="15.09765625" style="2" bestFit="1" customWidth="1"/>
    <col min="3" max="6" width="15.09765625" style="2" customWidth="1"/>
    <col min="7" max="8" width="8.69921875" style="2" customWidth="1"/>
    <col min="9" max="16384" width="8.8984375" style="2"/>
  </cols>
  <sheetData>
    <row r="1" spans="1:8" ht="15" thickBot="1">
      <c r="A1" s="35" t="s">
        <v>3</v>
      </c>
      <c r="B1" s="36" t="s">
        <v>7</v>
      </c>
      <c r="C1" s="36" t="s">
        <v>5</v>
      </c>
      <c r="D1" s="36" t="s">
        <v>6</v>
      </c>
      <c r="E1" s="36" t="s">
        <v>66</v>
      </c>
      <c r="F1" s="37" t="s">
        <v>8</v>
      </c>
      <c r="H1" s="33"/>
    </row>
    <row r="2" spans="1:8">
      <c r="A2" s="5" t="s">
        <v>9</v>
      </c>
      <c r="B2" s="29">
        <f>총괄표!I24</f>
        <v>98821566</v>
      </c>
      <c r="C2" s="29">
        <f>총괄표!L24</f>
        <v>100276701</v>
      </c>
      <c r="D2" s="29">
        <f>총괄표!N24</f>
        <v>25336</v>
      </c>
      <c r="E2" s="29"/>
      <c r="F2" s="29">
        <f>SUM(B2,C2,D2)</f>
        <v>199123603</v>
      </c>
    </row>
    <row r="3" spans="1:8">
      <c r="A3" s="3" t="s">
        <v>112</v>
      </c>
      <c r="B3" s="30"/>
      <c r="C3" s="30"/>
      <c r="D3" s="30"/>
      <c r="E3" s="30"/>
      <c r="F3" s="29">
        <f>SUM(B3,C3,D3)</f>
        <v>0</v>
      </c>
    </row>
    <row r="4" spans="1:8">
      <c r="A4" s="3" t="s">
        <v>3</v>
      </c>
      <c r="B4" s="30"/>
      <c r="C4" s="30"/>
      <c r="D4" s="30"/>
      <c r="E4" s="30"/>
      <c r="F4" s="30"/>
    </row>
    <row r="5" spans="1:8">
      <c r="A5" s="3" t="s">
        <v>3</v>
      </c>
      <c r="B5" s="30"/>
      <c r="C5" s="30" t="s">
        <v>4</v>
      </c>
      <c r="D5" s="30"/>
      <c r="E5" s="30"/>
      <c r="F5" s="30"/>
    </row>
    <row r="6" spans="1:8">
      <c r="A6" s="3" t="s">
        <v>3</v>
      </c>
      <c r="B6" s="30"/>
      <c r="C6" s="30"/>
      <c r="D6" s="30"/>
      <c r="E6" s="30"/>
      <c r="F6" s="30"/>
    </row>
    <row r="7" spans="1:8">
      <c r="A7" s="3"/>
      <c r="B7" s="30"/>
      <c r="C7" s="30"/>
      <c r="D7" s="30"/>
      <c r="E7" s="30"/>
      <c r="F7" s="30"/>
    </row>
    <row r="8" spans="1:8">
      <c r="A8" s="3"/>
      <c r="B8" s="30"/>
      <c r="C8" s="30"/>
      <c r="D8" s="30"/>
      <c r="E8" s="30"/>
      <c r="F8" s="30"/>
    </row>
    <row r="9" spans="1:8" ht="15" thickBot="1">
      <c r="B9" s="39"/>
      <c r="C9" s="39"/>
      <c r="D9" s="39"/>
      <c r="E9" s="39"/>
      <c r="F9" s="39"/>
    </row>
    <row r="10" spans="1:8" ht="15" thickBot="1">
      <c r="A10" s="35"/>
      <c r="B10" s="36" t="s">
        <v>11</v>
      </c>
      <c r="C10" s="36" t="s">
        <v>13</v>
      </c>
      <c r="D10" s="36" t="s">
        <v>82</v>
      </c>
      <c r="E10" s="36" t="s">
        <v>123</v>
      </c>
      <c r="F10" s="37"/>
    </row>
    <row r="11" spans="1:8">
      <c r="A11" s="5" t="s">
        <v>155</v>
      </c>
      <c r="B11" s="17">
        <v>100</v>
      </c>
      <c r="C11" s="17">
        <v>1000</v>
      </c>
      <c r="D11" s="17">
        <f>$B$11/100</f>
        <v>1</v>
      </c>
      <c r="E11" s="17"/>
      <c r="F11" s="17"/>
    </row>
    <row r="12" spans="1:8">
      <c r="A12" s="3" t="s">
        <v>156</v>
      </c>
      <c r="B12" s="15">
        <v>100</v>
      </c>
      <c r="C12" s="15">
        <v>1000</v>
      </c>
      <c r="D12" s="17">
        <f>$B$12/100</f>
        <v>1</v>
      </c>
      <c r="E12" s="15">
        <v>6</v>
      </c>
      <c r="F12" s="15"/>
    </row>
    <row r="13" spans="1:8">
      <c r="A13" s="3" t="s">
        <v>157</v>
      </c>
      <c r="B13" s="15">
        <v>100</v>
      </c>
      <c r="C13" s="15">
        <v>1</v>
      </c>
      <c r="D13" s="17">
        <f>$B$13/100</f>
        <v>1</v>
      </c>
      <c r="E13" s="15">
        <v>5</v>
      </c>
      <c r="F13" s="15"/>
    </row>
    <row r="14" spans="1:8">
      <c r="A14" s="3"/>
      <c r="B14" s="15"/>
      <c r="C14" s="15"/>
      <c r="D14" s="15"/>
      <c r="E14" s="15"/>
      <c r="F14" s="15"/>
    </row>
    <row r="15" spans="1:8">
      <c r="A15" s="3"/>
      <c r="B15" s="15"/>
      <c r="C15" s="15"/>
      <c r="D15" s="15"/>
      <c r="E15" s="15"/>
      <c r="F15" s="15"/>
    </row>
    <row r="16" spans="1:8">
      <c r="A16" s="3"/>
      <c r="B16" s="15"/>
      <c r="C16" s="15"/>
      <c r="D16" s="15"/>
      <c r="E16" s="15"/>
      <c r="F16" s="15"/>
    </row>
    <row r="17" spans="1:6">
      <c r="A17" s="3"/>
      <c r="B17" s="15"/>
      <c r="C17" s="15"/>
      <c r="D17" s="15"/>
      <c r="E17" s="15"/>
      <c r="F17" s="15"/>
    </row>
    <row r="18" spans="1:6">
      <c r="A18" s="3" t="s">
        <v>2</v>
      </c>
      <c r="B18" s="15"/>
      <c r="C18" s="15"/>
      <c r="D18" s="15"/>
      <c r="E18" s="15"/>
      <c r="F18" s="15"/>
    </row>
    <row r="19" spans="1:6" ht="15" thickBot="1">
      <c r="A19" s="4" t="s">
        <v>4</v>
      </c>
      <c r="B19" s="38"/>
      <c r="C19" s="38"/>
      <c r="D19" s="38"/>
      <c r="E19" s="38"/>
      <c r="F19" s="38"/>
    </row>
    <row r="20" spans="1:6" ht="15" thickBot="1">
      <c r="A20" s="35" t="s">
        <v>76</v>
      </c>
      <c r="B20" s="36" t="s">
        <v>11</v>
      </c>
      <c r="C20" s="36"/>
      <c r="D20" s="36" t="s">
        <v>82</v>
      </c>
      <c r="E20" s="36"/>
      <c r="F20" s="37"/>
    </row>
    <row r="21" spans="1:6">
      <c r="A21" s="5" t="s">
        <v>77</v>
      </c>
      <c r="B21" s="17">
        <f>B11</f>
        <v>100</v>
      </c>
      <c r="C21" s="17"/>
      <c r="D21" s="17">
        <f>$B$21/100</f>
        <v>1</v>
      </c>
      <c r="E21" s="17"/>
      <c r="F21" s="17"/>
    </row>
    <row r="22" spans="1:6">
      <c r="A22" s="3" t="s">
        <v>78</v>
      </c>
      <c r="B22" s="15">
        <f>B11</f>
        <v>100</v>
      </c>
      <c r="C22" s="17"/>
      <c r="D22" s="17">
        <f>$B$22/100</f>
        <v>1</v>
      </c>
      <c r="E22" s="15"/>
      <c r="F22" s="15"/>
    </row>
    <row r="23" spans="1:6">
      <c r="A23" s="3" t="s">
        <v>81</v>
      </c>
      <c r="B23" s="15">
        <f>B11</f>
        <v>100</v>
      </c>
      <c r="C23" s="17"/>
      <c r="D23" s="17">
        <f>$B$23/100</f>
        <v>1</v>
      </c>
      <c r="E23" s="15"/>
      <c r="F23" s="15"/>
    </row>
    <row r="24" spans="1:6">
      <c r="A24" s="3" t="s">
        <v>79</v>
      </c>
      <c r="B24" s="15">
        <f>B11</f>
        <v>100</v>
      </c>
      <c r="C24" s="17"/>
      <c r="D24" s="17">
        <f>$B$24/100</f>
        <v>1</v>
      </c>
      <c r="E24" s="15"/>
      <c r="F24" s="15"/>
    </row>
    <row r="25" spans="1:6">
      <c r="A25" s="3" t="s">
        <v>80</v>
      </c>
      <c r="B25" s="15">
        <f>B11</f>
        <v>100</v>
      </c>
      <c r="C25" s="17"/>
      <c r="D25" s="17">
        <f>$B$25/100</f>
        <v>1</v>
      </c>
      <c r="E25" s="15"/>
      <c r="F25" s="15"/>
    </row>
    <row r="26" spans="1:6">
      <c r="A26" s="3"/>
      <c r="B26" s="15"/>
      <c r="C26" s="15"/>
      <c r="D26" s="15"/>
      <c r="E26" s="15"/>
      <c r="F26" s="15"/>
    </row>
    <row r="27" spans="1:6">
      <c r="A27" s="3"/>
      <c r="B27" s="15"/>
      <c r="C27" s="15"/>
      <c r="D27" s="15"/>
      <c r="E27" s="15"/>
      <c r="F27" s="15"/>
    </row>
    <row r="28" spans="1:6">
      <c r="A28" s="3"/>
      <c r="B28" s="15"/>
      <c r="C28" s="15"/>
      <c r="D28" s="15"/>
      <c r="E28" s="15"/>
      <c r="F28" s="15"/>
    </row>
    <row r="29" spans="1:6" ht="15" thickBot="1">
      <c r="A29" s="4"/>
      <c r="B29" s="38"/>
      <c r="C29" s="38"/>
      <c r="D29" s="38"/>
      <c r="E29" s="38"/>
      <c r="F29" s="38"/>
    </row>
    <row r="30" spans="1:6" ht="15" thickBot="1">
      <c r="A30" s="35" t="s">
        <v>116</v>
      </c>
      <c r="B30" s="36" t="s">
        <v>117</v>
      </c>
      <c r="C30" s="36" t="s">
        <v>118</v>
      </c>
      <c r="D30" s="36" t="s">
        <v>119</v>
      </c>
      <c r="E30" s="36"/>
      <c r="F30" s="37"/>
    </row>
    <row r="31" spans="1:6">
      <c r="A31" s="5" t="s">
        <v>120</v>
      </c>
      <c r="B31" s="17">
        <v>15</v>
      </c>
      <c r="C31" s="17">
        <v>15</v>
      </c>
      <c r="D31" s="17">
        <v>20</v>
      </c>
      <c r="E31" s="17"/>
      <c r="F31" s="17"/>
    </row>
    <row r="32" spans="1:6">
      <c r="A32" s="5" t="s">
        <v>115</v>
      </c>
      <c r="B32" s="15">
        <v>40</v>
      </c>
      <c r="C32" s="15">
        <v>40</v>
      </c>
      <c r="D32" s="15">
        <v>40</v>
      </c>
      <c r="E32" s="15"/>
      <c r="F32" s="15"/>
    </row>
    <row r="33" spans="1:8">
      <c r="A33" s="3" t="s">
        <v>14</v>
      </c>
      <c r="B33" s="15">
        <v>2</v>
      </c>
      <c r="C33" s="15"/>
      <c r="D33" s="15"/>
      <c r="E33" s="15"/>
      <c r="F33" s="15"/>
      <c r="H33" s="2" t="s">
        <v>585</v>
      </c>
    </row>
    <row r="34" spans="1:8">
      <c r="A34" s="3" t="s">
        <v>15</v>
      </c>
      <c r="B34" s="15"/>
      <c r="C34" s="15"/>
      <c r="D34" s="15"/>
      <c r="E34" s="15"/>
      <c r="F34" s="15"/>
    </row>
    <row r="35" spans="1:8">
      <c r="A35" s="3" t="s">
        <v>16</v>
      </c>
      <c r="B35" s="15">
        <v>2</v>
      </c>
      <c r="C35" s="15"/>
      <c r="D35" s="15"/>
      <c r="E35" s="15"/>
      <c r="F35" s="15"/>
    </row>
    <row r="36" spans="1:8">
      <c r="A36" s="149" t="s">
        <v>17</v>
      </c>
      <c r="B36" s="151">
        <v>1</v>
      </c>
      <c r="C36" s="142"/>
      <c r="D36" s="142"/>
      <c r="E36" s="142"/>
      <c r="F36" s="142"/>
    </row>
    <row r="37" spans="1:8">
      <c r="A37" s="3"/>
      <c r="B37" s="15"/>
      <c r="C37" s="15"/>
      <c r="D37" s="15"/>
      <c r="E37" s="15"/>
      <c r="F37" s="15"/>
    </row>
    <row r="38" spans="1:8">
      <c r="A38" s="3"/>
      <c r="B38" s="15"/>
      <c r="C38" s="15"/>
      <c r="D38" s="15"/>
      <c r="E38" s="15"/>
      <c r="F38" s="15"/>
    </row>
    <row r="39" spans="1:8" ht="15" thickBot="1">
      <c r="A39" s="4"/>
      <c r="B39" s="38"/>
      <c r="C39" s="38"/>
      <c r="D39" s="38"/>
      <c r="E39" s="38"/>
      <c r="F39" s="38"/>
    </row>
    <row r="40" spans="1:8" ht="15" thickBot="1">
      <c r="A40" s="35" t="s">
        <v>10</v>
      </c>
      <c r="B40" s="36" t="s">
        <v>11</v>
      </c>
      <c r="C40" s="36" t="s">
        <v>12</v>
      </c>
      <c r="D40" s="36"/>
      <c r="E40" s="36"/>
      <c r="F40" s="37"/>
    </row>
    <row r="41" spans="1:8">
      <c r="A41" s="1" t="s">
        <v>178</v>
      </c>
      <c r="B41" s="2">
        <v>100</v>
      </c>
      <c r="C41" s="2">
        <v>0</v>
      </c>
    </row>
    <row r="42" spans="1:8">
      <c r="A42" s="1" t="s">
        <v>381</v>
      </c>
      <c r="B42" s="2">
        <v>100</v>
      </c>
      <c r="C42" s="2">
        <v>0</v>
      </c>
    </row>
  </sheetData>
  <phoneticPr fontId="4" type="noConversion"/>
  <printOptions horizontalCentered="1"/>
  <pageMargins left="0.35433070866141736" right="0.35433070866141736" top="0.59055118110236227" bottom="0.59055118110236227" header="0.51181102362204722" footer="0.51181102362204722"/>
  <pageSetup paperSize="9" orientation="landscape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3:Y74"/>
  <sheetViews>
    <sheetView view="pageBreakPreview" topLeftCell="D1" zoomScale="80" zoomScaleNormal="100" zoomScaleSheetLayoutView="80" workbookViewId="0">
      <selection activeCell="F46" sqref="F46"/>
    </sheetView>
  </sheetViews>
  <sheetFormatPr defaultColWidth="8.8984375" defaultRowHeight="22.5" customHeight="1"/>
  <cols>
    <col min="1" max="1" width="24.69921875" style="2" hidden="1" customWidth="1"/>
    <col min="2" max="2" width="25.69921875" style="2" hidden="1" customWidth="1"/>
    <col min="3" max="3" width="29" style="2" hidden="1" customWidth="1"/>
    <col min="4" max="4" width="23.8984375" style="2" customWidth="1"/>
    <col min="5" max="5" width="23.69921875" style="2" customWidth="1"/>
    <col min="6" max="6" width="4.296875" style="18" customWidth="1"/>
    <col min="7" max="7" width="4.296875" style="8" hidden="1" customWidth="1"/>
    <col min="8" max="25" width="7.69921875" style="2" customWidth="1"/>
    <col min="26" max="16384" width="8.8984375" style="2"/>
  </cols>
  <sheetData>
    <row r="3" spans="1:25" ht="22.5" customHeight="1">
      <c r="D3" s="222" t="s">
        <v>644</v>
      </c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</row>
    <row r="4" spans="1:25" ht="22.5" customHeight="1">
      <c r="A4" s="14" t="s">
        <v>321</v>
      </c>
      <c r="B4" s="14" t="s">
        <v>322</v>
      </c>
      <c r="C4" s="14" t="s">
        <v>323</v>
      </c>
      <c r="D4" s="219" t="s">
        <v>324</v>
      </c>
      <c r="E4" s="219" t="s">
        <v>325</v>
      </c>
      <c r="F4" s="219" t="s">
        <v>326</v>
      </c>
      <c r="G4" s="72" t="s">
        <v>327</v>
      </c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</row>
    <row r="5" spans="1:25" ht="22.5" customHeight="1">
      <c r="A5" s="14"/>
      <c r="B5" s="14"/>
      <c r="C5" s="14"/>
      <c r="D5" s="220"/>
      <c r="E5" s="220"/>
      <c r="F5" s="220"/>
      <c r="G5" s="44"/>
      <c r="H5" s="44" t="s">
        <v>328</v>
      </c>
      <c r="I5" s="44" t="s">
        <v>329</v>
      </c>
      <c r="J5" s="44" t="s">
        <v>330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</row>
    <row r="6" spans="1:25" ht="22.5" customHeight="1">
      <c r="A6" s="14"/>
      <c r="B6" s="14"/>
      <c r="C6" s="14"/>
      <c r="D6" s="221"/>
      <c r="E6" s="221"/>
      <c r="F6" s="221"/>
      <c r="G6" s="77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</row>
    <row r="7" spans="1:25" ht="22.5" customHeight="1">
      <c r="D7" s="12" t="s">
        <v>331</v>
      </c>
      <c r="E7" s="12" t="s">
        <v>332</v>
      </c>
      <c r="F7" s="19" t="s">
        <v>333</v>
      </c>
      <c r="G7" s="10"/>
      <c r="H7" s="17">
        <f t="shared" ref="H7:H37" si="0">IF(I7&lt;&gt;0,IF(TRUNC(J7*(I7+100)/100+0.9,0)&lt;&gt;0,TRUNC(J7*(I7+100)/100+0.9,0),""),IF(J7&lt;&gt;0,J7,""))</f>
        <v>302</v>
      </c>
      <c r="I7" s="15">
        <v>10</v>
      </c>
      <c r="J7" s="17">
        <f>TRUNC(기본산출서!F235+0.9,0)</f>
        <v>274</v>
      </c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</row>
    <row r="8" spans="1:25" ht="22.5" customHeight="1">
      <c r="D8" s="12" t="s">
        <v>331</v>
      </c>
      <c r="E8" s="12" t="s">
        <v>334</v>
      </c>
      <c r="F8" s="19" t="s">
        <v>333</v>
      </c>
      <c r="G8" s="10"/>
      <c r="H8" s="17">
        <f t="shared" si="0"/>
        <v>553</v>
      </c>
      <c r="I8" s="15">
        <v>10</v>
      </c>
      <c r="J8" s="17">
        <f>TRUNC(기본산출서!G235+0.9,0)</f>
        <v>502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</row>
    <row r="9" spans="1:25" ht="22.5" customHeight="1">
      <c r="D9" s="12" t="s">
        <v>331</v>
      </c>
      <c r="E9" s="12" t="s">
        <v>335</v>
      </c>
      <c r="F9" s="19" t="s">
        <v>333</v>
      </c>
      <c r="G9" s="10"/>
      <c r="H9" s="17">
        <f t="shared" si="0"/>
        <v>115</v>
      </c>
      <c r="I9" s="15">
        <v>10</v>
      </c>
      <c r="J9" s="17">
        <f>TRUNC(기본산출서!H235+0.9,0)</f>
        <v>104</v>
      </c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</row>
    <row r="10" spans="1:25" ht="22.5" customHeight="1">
      <c r="D10" s="12" t="s">
        <v>331</v>
      </c>
      <c r="E10" s="12" t="s">
        <v>336</v>
      </c>
      <c r="F10" s="19" t="s">
        <v>333</v>
      </c>
      <c r="G10" s="10"/>
      <c r="H10" s="17">
        <f t="shared" si="0"/>
        <v>50</v>
      </c>
      <c r="I10" s="15">
        <v>10</v>
      </c>
      <c r="J10" s="17">
        <f>TRUNC(기본산출서!I235+0.9,0)</f>
        <v>45</v>
      </c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</row>
    <row r="11" spans="1:25" ht="22.5" customHeight="1">
      <c r="D11" s="12" t="s">
        <v>337</v>
      </c>
      <c r="E11" s="12" t="s">
        <v>338</v>
      </c>
      <c r="F11" s="19" t="s">
        <v>333</v>
      </c>
      <c r="G11" s="10"/>
      <c r="H11" s="17">
        <f t="shared" si="0"/>
        <v>270</v>
      </c>
      <c r="I11" s="15">
        <v>3</v>
      </c>
      <c r="J11" s="17">
        <f>TRUNC(기본산출서!J235+0.9,0)</f>
        <v>262</v>
      </c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</row>
    <row r="12" spans="1:25" ht="22.5" customHeight="1">
      <c r="D12" s="12" t="s">
        <v>337</v>
      </c>
      <c r="E12" s="12" t="s">
        <v>339</v>
      </c>
      <c r="F12" s="19" t="s">
        <v>333</v>
      </c>
      <c r="G12" s="10"/>
      <c r="H12" s="17">
        <f t="shared" si="0"/>
        <v>135</v>
      </c>
      <c r="I12" s="15">
        <v>3</v>
      </c>
      <c r="J12" s="17">
        <f>TRUNC(기본산출서!K235+0.9,0)</f>
        <v>131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</row>
    <row r="13" spans="1:25" ht="22.5" customHeight="1">
      <c r="D13" s="12" t="s">
        <v>340</v>
      </c>
      <c r="E13" s="12" t="s">
        <v>341</v>
      </c>
      <c r="F13" s="19" t="s">
        <v>333</v>
      </c>
      <c r="G13" s="10"/>
      <c r="H13" s="17">
        <f t="shared" si="0"/>
        <v>7</v>
      </c>
      <c r="I13" s="15">
        <v>10</v>
      </c>
      <c r="J13" s="17">
        <f>TRUNC(기본산출서!L235+0.9,0)</f>
        <v>6</v>
      </c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</row>
    <row r="14" spans="1:25" ht="22.5" customHeight="1">
      <c r="D14" s="12" t="s">
        <v>340</v>
      </c>
      <c r="E14" s="12" t="s">
        <v>342</v>
      </c>
      <c r="F14" s="19" t="s">
        <v>343</v>
      </c>
      <c r="G14" s="10"/>
      <c r="H14" s="17">
        <f t="shared" si="0"/>
        <v>8</v>
      </c>
      <c r="I14" s="15"/>
      <c r="J14" s="17">
        <f>IF(AND(TRUNC(기본산출서!M235,1)&gt;0,TRUNC(기본산출서!M235,1)&lt;1),1,TRUNC(기본산출서!M235+0.5,0))</f>
        <v>8</v>
      </c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</row>
    <row r="15" spans="1:25" ht="22.5" customHeight="1">
      <c r="D15" s="12" t="s">
        <v>344</v>
      </c>
      <c r="E15" s="12" t="s">
        <v>345</v>
      </c>
      <c r="F15" s="19" t="s">
        <v>343</v>
      </c>
      <c r="G15" s="10"/>
      <c r="H15" s="17">
        <f t="shared" si="0"/>
        <v>6</v>
      </c>
      <c r="I15" s="15"/>
      <c r="J15" s="17">
        <f>IF(AND(TRUNC(기본산출서!N235,1)&gt;0,TRUNC(기본산출서!N235,1)&lt;1),1,TRUNC(기본산출서!N235+0.5,0))</f>
        <v>6</v>
      </c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</row>
    <row r="16" spans="1:25" ht="22.5" customHeight="1">
      <c r="D16" s="12" t="s">
        <v>344</v>
      </c>
      <c r="E16" s="12" t="s">
        <v>346</v>
      </c>
      <c r="F16" s="19" t="s">
        <v>343</v>
      </c>
      <c r="G16" s="10"/>
      <c r="H16" s="17">
        <f t="shared" si="0"/>
        <v>8</v>
      </c>
      <c r="I16" s="15"/>
      <c r="J16" s="17">
        <f>IF(AND(TRUNC(기본산출서!O235,1)&gt;0,TRUNC(기본산출서!O235,1)&lt;1),1,TRUNC(기본산출서!O235+0.5,0))</f>
        <v>8</v>
      </c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</row>
    <row r="17" spans="4:25" ht="22.5" customHeight="1">
      <c r="D17" s="12" t="s">
        <v>347</v>
      </c>
      <c r="E17" s="12" t="s">
        <v>348</v>
      </c>
      <c r="F17" s="19" t="s">
        <v>343</v>
      </c>
      <c r="G17" s="10"/>
      <c r="H17" s="17">
        <f t="shared" si="0"/>
        <v>12</v>
      </c>
      <c r="I17" s="15"/>
      <c r="J17" s="17">
        <f>IF(AND(TRUNC(기본산출서!P235,1)&gt;0,TRUNC(기본산출서!P235,1)&lt;1),1,TRUNC(기본산출서!P235+0.5,0))</f>
        <v>12</v>
      </c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4:25" ht="22.5" customHeight="1">
      <c r="D18" s="12" t="s">
        <v>349</v>
      </c>
      <c r="E18" s="12" t="s">
        <v>350</v>
      </c>
      <c r="F18" s="19" t="s">
        <v>343</v>
      </c>
      <c r="G18" s="10"/>
      <c r="H18" s="17">
        <f t="shared" si="0"/>
        <v>6</v>
      </c>
      <c r="I18" s="15"/>
      <c r="J18" s="17">
        <f>IF(AND(TRUNC(기본산출서!Q235,1)&gt;0,TRUNC(기본산출서!Q235,1)&lt;1),1,TRUNC(기본산출서!Q235+0.5,0))</f>
        <v>6</v>
      </c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4:25" ht="22.5" customHeight="1">
      <c r="D19" s="12" t="s">
        <v>187</v>
      </c>
      <c r="E19" s="12" t="s">
        <v>351</v>
      </c>
      <c r="F19" s="19" t="s">
        <v>343</v>
      </c>
      <c r="G19" s="10"/>
      <c r="H19" s="17">
        <f t="shared" si="0"/>
        <v>2</v>
      </c>
      <c r="I19" s="15"/>
      <c r="J19" s="17">
        <f>IF(AND(TRUNC(기본산출서!R235,1)&gt;0,TRUNC(기본산출서!R235,1)&lt;1),1,TRUNC(기본산출서!R235+0.5,0))</f>
        <v>2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</row>
    <row r="20" spans="4:25" ht="22.5" customHeight="1">
      <c r="D20" s="12" t="s">
        <v>187</v>
      </c>
      <c r="E20" s="12" t="s">
        <v>352</v>
      </c>
      <c r="F20" s="19" t="s">
        <v>343</v>
      </c>
      <c r="G20" s="10"/>
      <c r="H20" s="17">
        <f t="shared" si="0"/>
        <v>1</v>
      </c>
      <c r="I20" s="15"/>
      <c r="J20" s="17">
        <f>IF(AND(TRUNC(기본산출서!S235,1)&gt;0,TRUNC(기본산출서!S235,1)&lt;1),1,TRUNC(기본산출서!S235+0.5,0))</f>
        <v>1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</row>
    <row r="21" spans="4:25" ht="22.5" customHeight="1">
      <c r="D21" s="12" t="s">
        <v>353</v>
      </c>
      <c r="E21" s="12" t="s">
        <v>354</v>
      </c>
      <c r="F21" s="19" t="s">
        <v>333</v>
      </c>
      <c r="G21" s="10"/>
      <c r="H21" s="17">
        <f t="shared" si="0"/>
        <v>748</v>
      </c>
      <c r="I21" s="15">
        <v>10</v>
      </c>
      <c r="J21" s="17">
        <f>TRUNC(기본산출서!T235+0.9,0)</f>
        <v>680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4:25" ht="22.5" customHeight="1">
      <c r="D22" s="12" t="s">
        <v>353</v>
      </c>
      <c r="E22" s="12" t="s">
        <v>355</v>
      </c>
      <c r="F22" s="19" t="s">
        <v>333</v>
      </c>
      <c r="G22" s="10"/>
      <c r="H22" s="17">
        <f t="shared" si="0"/>
        <v>3029</v>
      </c>
      <c r="I22" s="15">
        <v>10</v>
      </c>
      <c r="J22" s="17">
        <f>TRUNC(기본산출서!U235+0.9,0)</f>
        <v>2753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</row>
    <row r="23" spans="4:25" ht="22.5" customHeight="1">
      <c r="D23" s="12" t="s">
        <v>356</v>
      </c>
      <c r="E23" s="12" t="s">
        <v>357</v>
      </c>
      <c r="F23" s="19" t="s">
        <v>333</v>
      </c>
      <c r="G23" s="10"/>
      <c r="H23" s="17">
        <f t="shared" si="0"/>
        <v>276</v>
      </c>
      <c r="I23" s="15">
        <v>5</v>
      </c>
      <c r="J23" s="17">
        <f>TRUNC(기본산출서!V235+0.9,0)</f>
        <v>262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</row>
    <row r="24" spans="4:25" ht="22.5" customHeight="1">
      <c r="D24" s="12" t="s">
        <v>356</v>
      </c>
      <c r="E24" s="12" t="s">
        <v>358</v>
      </c>
      <c r="F24" s="19" t="s">
        <v>333</v>
      </c>
      <c r="G24" s="10"/>
      <c r="H24" s="17">
        <f t="shared" si="0"/>
        <v>138</v>
      </c>
      <c r="I24" s="15">
        <v>5</v>
      </c>
      <c r="J24" s="17">
        <f>TRUNC(기본산출서!W235+0.9,0)</f>
        <v>131</v>
      </c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</row>
    <row r="25" spans="4:25" ht="22.5" customHeight="1">
      <c r="D25" s="12" t="s">
        <v>356</v>
      </c>
      <c r="E25" s="12" t="s">
        <v>359</v>
      </c>
      <c r="F25" s="19" t="s">
        <v>333</v>
      </c>
      <c r="G25" s="10"/>
      <c r="H25" s="17">
        <f t="shared" si="0"/>
        <v>551</v>
      </c>
      <c r="I25" s="15">
        <v>5</v>
      </c>
      <c r="J25" s="17">
        <f>TRUNC(기본산출서!X235+0.9,0)</f>
        <v>524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</row>
    <row r="26" spans="4:25" ht="22.5" customHeight="1">
      <c r="D26" s="12" t="s">
        <v>360</v>
      </c>
      <c r="E26" s="12" t="s">
        <v>361</v>
      </c>
      <c r="F26" s="19" t="s">
        <v>343</v>
      </c>
      <c r="G26" s="10"/>
      <c r="H26" s="17">
        <f t="shared" si="0"/>
        <v>4</v>
      </c>
      <c r="I26" s="15"/>
      <c r="J26" s="17">
        <f>IF(AND(TRUNC(기본산출서!Y235,1)&gt;0,TRUNC(기본산출서!Y235,1)&lt;1),1,TRUNC(기본산출서!Y235+0.5,0))</f>
        <v>4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4:25" ht="22.5" customHeight="1">
      <c r="D27" s="12" t="s">
        <v>599</v>
      </c>
      <c r="E27" s="12" t="s">
        <v>589</v>
      </c>
      <c r="F27" s="19" t="s">
        <v>600</v>
      </c>
      <c r="G27" s="10"/>
      <c r="H27" s="17">
        <f t="shared" si="0"/>
        <v>3</v>
      </c>
      <c r="I27" s="15"/>
      <c r="J27" s="17">
        <f>IF(AND(TRUNC(기본산출서!Z235,1)&gt;0,TRUNC(기본산출서!Z235,1)&lt;1),1,TRUNC(기본산출서!Z235+0.5,0))</f>
        <v>3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  <row r="28" spans="4:25" ht="22.5" customHeight="1">
      <c r="D28" s="12" t="s">
        <v>363</v>
      </c>
      <c r="E28" s="12" t="s">
        <v>262</v>
      </c>
      <c r="F28" s="19" t="s">
        <v>343</v>
      </c>
      <c r="G28" s="10"/>
      <c r="H28" s="17">
        <f t="shared" si="0"/>
        <v>6</v>
      </c>
      <c r="I28" s="15"/>
      <c r="J28" s="17">
        <f>IF(AND(TRUNC(기본산출서!F282,1)&gt;0,TRUNC(기본산출서!F282,1)&lt;1),1,TRUNC(기본산출서!F282+0.5,0))</f>
        <v>6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</row>
    <row r="29" spans="4:25" ht="22.5" customHeight="1">
      <c r="D29" s="12" t="s">
        <v>249</v>
      </c>
      <c r="E29" s="12"/>
      <c r="F29" s="19" t="s">
        <v>343</v>
      </c>
      <c r="G29" s="10"/>
      <c r="H29" s="17">
        <f t="shared" si="0"/>
        <v>6</v>
      </c>
      <c r="I29" s="15"/>
      <c r="J29" s="17">
        <f>IF(AND(TRUNC(기본산출서!G282,1)&gt;0,TRUNC(기본산출서!G282,1)&lt;1),1,TRUNC(기본산출서!G282+0.5,0))</f>
        <v>6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</row>
    <row r="30" spans="4:25" ht="22.5" customHeight="1">
      <c r="D30" s="12" t="s">
        <v>364</v>
      </c>
      <c r="E30" s="12" t="s">
        <v>365</v>
      </c>
      <c r="F30" s="19" t="s">
        <v>366</v>
      </c>
      <c r="G30" s="10"/>
      <c r="H30" s="17">
        <f t="shared" si="0"/>
        <v>1</v>
      </c>
      <c r="I30" s="15"/>
      <c r="J30" s="17">
        <f>TRUNC(기본산출서!H282+0.9,0)</f>
        <v>1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</row>
    <row r="31" spans="4:25" ht="22.5" customHeight="1">
      <c r="D31" s="12" t="s">
        <v>367</v>
      </c>
      <c r="E31" s="12" t="s">
        <v>262</v>
      </c>
      <c r="F31" s="19" t="s">
        <v>343</v>
      </c>
      <c r="G31" s="10"/>
      <c r="H31" s="17">
        <f t="shared" si="0"/>
        <v>2</v>
      </c>
      <c r="I31" s="15"/>
      <c r="J31" s="17">
        <f>IF(AND(TRUNC(기본산출서!I282,1)&gt;0,TRUNC(기본산출서!I282,1)&lt;1),1,TRUNC(기본산출서!I282+0.5,0))</f>
        <v>2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</row>
    <row r="32" spans="4:25" ht="22.5" customHeight="1">
      <c r="D32" s="12" t="s">
        <v>598</v>
      </c>
      <c r="E32" s="12" t="s">
        <v>597</v>
      </c>
      <c r="F32" s="19" t="s">
        <v>343</v>
      </c>
      <c r="G32" s="10"/>
      <c r="H32" s="17">
        <f t="shared" si="0"/>
        <v>2</v>
      </c>
      <c r="I32" s="15"/>
      <c r="J32" s="17">
        <f>IF(AND(TRUNC(기본산출서!J282,1)&gt;0,TRUNC(기본산출서!J282,1)&lt;1),1,TRUNC(기본산출서!J282+0.5,0))</f>
        <v>2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</row>
    <row r="33" spans="1:25" ht="22.5" customHeight="1">
      <c r="D33" s="12" t="s">
        <v>596</v>
      </c>
      <c r="E33" s="12"/>
      <c r="F33" s="19" t="s">
        <v>343</v>
      </c>
      <c r="G33" s="10"/>
      <c r="H33" s="17">
        <f t="shared" si="0"/>
        <v>1</v>
      </c>
      <c r="I33" s="15"/>
      <c r="J33" s="17">
        <f>IF(AND(TRUNC(기본산출서!K282,1)&gt;0,TRUNC(기본산출서!K282,1)&lt;1),1,TRUNC(기본산출서!K282+0.5,0))</f>
        <v>1</v>
      </c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</row>
    <row r="34" spans="1:25" ht="22.5" customHeight="1">
      <c r="D34" s="12" t="s">
        <v>370</v>
      </c>
      <c r="E34" s="12" t="s">
        <v>371</v>
      </c>
      <c r="F34" s="19" t="s">
        <v>177</v>
      </c>
      <c r="G34" s="10"/>
      <c r="H34" s="17">
        <f t="shared" si="0"/>
        <v>6</v>
      </c>
      <c r="I34" s="15"/>
      <c r="J34" s="17">
        <f>IF(AND(TRUNC(기본산출서!L282,1)&gt;0,TRUNC(기본산출서!L282,1)&lt;1),1,TRUNC(기본산출서!L282+0.5,0))</f>
        <v>6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</row>
    <row r="35" spans="1:25" ht="22.5" customHeight="1">
      <c r="D35" s="12" t="s">
        <v>372</v>
      </c>
      <c r="E35" s="12" t="s">
        <v>373</v>
      </c>
      <c r="F35" s="19" t="s">
        <v>601</v>
      </c>
      <c r="G35" s="10"/>
      <c r="H35" s="17">
        <f t="shared" si="0"/>
        <v>6</v>
      </c>
      <c r="I35" s="15"/>
      <c r="J35" s="17">
        <f>TRUNC(기본산출서!M282+0.9,0)</f>
        <v>6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</row>
    <row r="36" spans="1:25" ht="22.5" customHeight="1">
      <c r="D36" s="12" t="s">
        <v>231</v>
      </c>
      <c r="E36" s="12"/>
      <c r="F36" s="19" t="s">
        <v>601</v>
      </c>
      <c r="G36" s="10"/>
      <c r="H36" s="17">
        <f t="shared" si="0"/>
        <v>6</v>
      </c>
      <c r="I36" s="15"/>
      <c r="J36" s="17">
        <v>6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</row>
    <row r="37" spans="1:25" ht="22.5" customHeight="1">
      <c r="D37" s="12"/>
      <c r="E37" s="12"/>
      <c r="F37" s="19"/>
      <c r="G37" s="10"/>
      <c r="H37" s="17" t="str">
        <f t="shared" si="0"/>
        <v/>
      </c>
      <c r="I37" s="15"/>
      <c r="J37" s="17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</row>
    <row r="40" spans="1:25" ht="22.5" customHeight="1">
      <c r="D40" s="222" t="s">
        <v>645</v>
      </c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3"/>
      <c r="P40" s="223"/>
      <c r="Q40" s="223"/>
      <c r="R40" s="223"/>
      <c r="S40" s="223"/>
      <c r="T40" s="223"/>
      <c r="U40" s="223"/>
      <c r="V40" s="223"/>
      <c r="W40" s="223"/>
      <c r="X40" s="223"/>
      <c r="Y40" s="223"/>
    </row>
    <row r="41" spans="1:25" ht="22.5" customHeight="1">
      <c r="A41" s="14" t="s">
        <v>321</v>
      </c>
      <c r="B41" s="14" t="s">
        <v>322</v>
      </c>
      <c r="C41" s="14" t="s">
        <v>323</v>
      </c>
      <c r="D41" s="219" t="s">
        <v>324</v>
      </c>
      <c r="E41" s="219" t="s">
        <v>325</v>
      </c>
      <c r="F41" s="219" t="s">
        <v>326</v>
      </c>
      <c r="G41" s="72" t="s">
        <v>327</v>
      </c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</row>
    <row r="42" spans="1:25" ht="22.5" customHeight="1">
      <c r="A42" s="14"/>
      <c r="B42" s="14"/>
      <c r="C42" s="14"/>
      <c r="D42" s="220"/>
      <c r="E42" s="220"/>
      <c r="F42" s="220"/>
      <c r="G42" s="44"/>
      <c r="H42" s="44" t="s">
        <v>328</v>
      </c>
      <c r="I42" s="44" t="s">
        <v>329</v>
      </c>
      <c r="J42" s="44" t="s">
        <v>330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</row>
    <row r="43" spans="1:25" ht="22.5" customHeight="1">
      <c r="A43" s="14"/>
      <c r="B43" s="14"/>
      <c r="C43" s="14"/>
      <c r="D43" s="221"/>
      <c r="E43" s="221"/>
      <c r="F43" s="221"/>
      <c r="G43" s="77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</row>
    <row r="44" spans="1:25" ht="22.5" customHeight="1">
      <c r="D44" s="12" t="s">
        <v>331</v>
      </c>
      <c r="E44" s="12" t="s">
        <v>332</v>
      </c>
      <c r="F44" s="19" t="s">
        <v>333</v>
      </c>
      <c r="G44" s="10"/>
      <c r="H44" s="17">
        <f t="shared" ref="H44:H74" si="1">IF(I44&lt;&gt;0,IF(TRUNC(J44*(I44+100)/100+0.9,0)&lt;&gt;0,TRUNC(J44*(I44+100)/100+0.9,0),""),IF(J44&lt;&gt;0,J44,""))</f>
        <v>297</v>
      </c>
      <c r="I44" s="15">
        <v>10</v>
      </c>
      <c r="J44" s="17">
        <f>TRUNC(기본산출서!F329+0.9,0)</f>
        <v>270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</row>
    <row r="45" spans="1:25" ht="22.5" customHeight="1">
      <c r="D45" s="12" t="s">
        <v>344</v>
      </c>
      <c r="E45" s="12" t="s">
        <v>346</v>
      </c>
      <c r="F45" s="19" t="s">
        <v>343</v>
      </c>
      <c r="G45" s="10"/>
      <c r="H45" s="17">
        <f t="shared" si="1"/>
        <v>13</v>
      </c>
      <c r="I45" s="15"/>
      <c r="J45" s="17">
        <f>IF(AND(TRUNC(기본산출서!G329,1)&gt;0,TRUNC(기본산출서!G329,1)&lt;1),1,TRUNC(기본산출서!G329+0.5,0))</f>
        <v>13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</row>
    <row r="46" spans="1:25" ht="22.5" customHeight="1">
      <c r="D46" s="12" t="s">
        <v>349</v>
      </c>
      <c r="E46" s="12" t="s">
        <v>375</v>
      </c>
      <c r="F46" s="19" t="s">
        <v>343</v>
      </c>
      <c r="G46" s="10"/>
      <c r="H46" s="17">
        <f t="shared" si="1"/>
        <v>13</v>
      </c>
      <c r="I46" s="15"/>
      <c r="J46" s="17">
        <f>IF(AND(TRUNC(기본산출서!H329,1)&gt;0,TRUNC(기본산출서!H329,1)&lt;1),1,TRUNC(기본산출서!H329+0.5,0))</f>
        <v>13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</row>
    <row r="47" spans="1:25" ht="22.5" customHeight="1">
      <c r="D47" s="12" t="s">
        <v>353</v>
      </c>
      <c r="E47" s="12" t="s">
        <v>355</v>
      </c>
      <c r="F47" s="19" t="s">
        <v>333</v>
      </c>
      <c r="G47" s="10"/>
      <c r="H47" s="17">
        <f t="shared" si="1"/>
        <v>594</v>
      </c>
      <c r="I47" s="15">
        <v>10</v>
      </c>
      <c r="J47" s="17">
        <f>TRUNC(기본산출서!I329+0.9,0)</f>
        <v>540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</row>
    <row r="48" spans="1:25" ht="22.5" customHeight="1">
      <c r="D48" s="12" t="s">
        <v>376</v>
      </c>
      <c r="E48" s="12" t="s">
        <v>377</v>
      </c>
      <c r="F48" s="19" t="s">
        <v>343</v>
      </c>
      <c r="G48" s="10"/>
      <c r="H48" s="17">
        <f t="shared" si="1"/>
        <v>2</v>
      </c>
      <c r="I48" s="15"/>
      <c r="J48" s="17">
        <f>IF(AND(TRUNC(기본산출서!J329,1)&gt;0,TRUNC(기본산출서!J329,1)&lt;1),1,TRUNC(기본산출서!J329+0.5,0))</f>
        <v>2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</row>
    <row r="49" spans="4:25" ht="22.5" customHeight="1">
      <c r="D49" s="12" t="s">
        <v>376</v>
      </c>
      <c r="E49" s="12" t="s">
        <v>378</v>
      </c>
      <c r="F49" s="19" t="s">
        <v>343</v>
      </c>
      <c r="G49" s="10"/>
      <c r="H49" s="17">
        <f t="shared" si="1"/>
        <v>4</v>
      </c>
      <c r="I49" s="15"/>
      <c r="J49" s="17">
        <f>IF(AND(TRUNC(기본산출서!K329,1)&gt;0,TRUNC(기본산출서!K329,1)&lt;1),1,TRUNC(기본산출서!K329+0.5,0))</f>
        <v>4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</row>
    <row r="50" spans="4:25" ht="22.5" customHeight="1">
      <c r="D50" s="12" t="s">
        <v>379</v>
      </c>
      <c r="E50" s="12" t="s">
        <v>380</v>
      </c>
      <c r="F50" s="19" t="s">
        <v>343</v>
      </c>
      <c r="G50" s="10"/>
      <c r="H50" s="17">
        <f t="shared" si="1"/>
        <v>8</v>
      </c>
      <c r="I50" s="15"/>
      <c r="J50" s="17">
        <f>IF(AND(TRUNC(기본산출서!L329,1)&gt;0,TRUNC(기본산출서!L329,1)&lt;1),1,TRUNC(기본산출서!L329+0.5,0))</f>
        <v>8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</row>
    <row r="51" spans="4:25" ht="22.5" customHeight="1">
      <c r="D51" s="12"/>
      <c r="E51" s="12"/>
      <c r="F51" s="19"/>
      <c r="G51" s="10"/>
      <c r="H51" s="17" t="str">
        <f t="shared" si="1"/>
        <v/>
      </c>
      <c r="I51" s="15"/>
      <c r="J51" s="17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</row>
    <row r="52" spans="4:25" ht="22.5" customHeight="1">
      <c r="D52" s="12"/>
      <c r="E52" s="12"/>
      <c r="F52" s="19"/>
      <c r="G52" s="10"/>
      <c r="H52" s="17" t="str">
        <f t="shared" si="1"/>
        <v/>
      </c>
      <c r="I52" s="15"/>
      <c r="J52" s="17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</row>
    <row r="53" spans="4:25" ht="22.5" customHeight="1">
      <c r="D53" s="12"/>
      <c r="E53" s="12"/>
      <c r="F53" s="19"/>
      <c r="G53" s="10"/>
      <c r="H53" s="17" t="str">
        <f t="shared" si="1"/>
        <v/>
      </c>
      <c r="I53" s="15"/>
      <c r="J53" s="17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</row>
    <row r="54" spans="4:25" ht="22.5" customHeight="1">
      <c r="D54" s="12"/>
      <c r="E54" s="12"/>
      <c r="F54" s="19"/>
      <c r="G54" s="10"/>
      <c r="H54" s="17" t="str">
        <f t="shared" si="1"/>
        <v/>
      </c>
      <c r="I54" s="15"/>
      <c r="J54" s="17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</row>
    <row r="55" spans="4:25" ht="22.5" customHeight="1">
      <c r="D55" s="12"/>
      <c r="E55" s="12"/>
      <c r="F55" s="19"/>
      <c r="G55" s="10"/>
      <c r="H55" s="17" t="str">
        <f t="shared" si="1"/>
        <v/>
      </c>
      <c r="I55" s="15"/>
      <c r="J55" s="17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</row>
    <row r="56" spans="4:25" ht="22.5" customHeight="1">
      <c r="D56" s="12"/>
      <c r="E56" s="12"/>
      <c r="F56" s="19"/>
      <c r="G56" s="10"/>
      <c r="H56" s="17" t="str">
        <f t="shared" si="1"/>
        <v/>
      </c>
      <c r="I56" s="15"/>
      <c r="J56" s="17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</row>
    <row r="57" spans="4:25" ht="22.5" customHeight="1">
      <c r="D57" s="12"/>
      <c r="E57" s="12"/>
      <c r="F57" s="19"/>
      <c r="G57" s="10"/>
      <c r="H57" s="17" t="str">
        <f t="shared" si="1"/>
        <v/>
      </c>
      <c r="I57" s="15"/>
      <c r="J57" s="17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</row>
    <row r="58" spans="4:25" ht="22.5" customHeight="1">
      <c r="D58" s="12"/>
      <c r="E58" s="12"/>
      <c r="F58" s="19"/>
      <c r="G58" s="10"/>
      <c r="H58" s="17" t="str">
        <f t="shared" si="1"/>
        <v/>
      </c>
      <c r="I58" s="15"/>
      <c r="J58" s="17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</row>
    <row r="59" spans="4:25" ht="22.5" customHeight="1">
      <c r="D59" s="12"/>
      <c r="E59" s="12"/>
      <c r="F59" s="19"/>
      <c r="G59" s="10"/>
      <c r="H59" s="17" t="str">
        <f t="shared" si="1"/>
        <v/>
      </c>
      <c r="I59" s="15"/>
      <c r="J59" s="17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</row>
    <row r="60" spans="4:25" ht="22.5" customHeight="1">
      <c r="D60" s="12"/>
      <c r="E60" s="12"/>
      <c r="F60" s="19"/>
      <c r="G60" s="10"/>
      <c r="H60" s="17" t="str">
        <f t="shared" si="1"/>
        <v/>
      </c>
      <c r="I60" s="15"/>
      <c r="J60" s="17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</row>
    <row r="61" spans="4:25" ht="22.5" customHeight="1">
      <c r="D61" s="12"/>
      <c r="E61" s="12"/>
      <c r="F61" s="19"/>
      <c r="G61" s="10"/>
      <c r="H61" s="17" t="str">
        <f t="shared" si="1"/>
        <v/>
      </c>
      <c r="I61" s="15"/>
      <c r="J61" s="17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</row>
    <row r="62" spans="4:25" ht="22.5" customHeight="1">
      <c r="D62" s="12"/>
      <c r="E62" s="12"/>
      <c r="F62" s="19"/>
      <c r="G62" s="10"/>
      <c r="H62" s="17" t="str">
        <f t="shared" si="1"/>
        <v/>
      </c>
      <c r="I62" s="15"/>
      <c r="J62" s="17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</row>
    <row r="63" spans="4:25" ht="22.5" customHeight="1">
      <c r="D63" s="12"/>
      <c r="E63" s="12"/>
      <c r="F63" s="19"/>
      <c r="G63" s="10"/>
      <c r="H63" s="17" t="str">
        <f t="shared" si="1"/>
        <v/>
      </c>
      <c r="I63" s="15"/>
      <c r="J63" s="17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</row>
    <row r="64" spans="4:25" ht="22.5" customHeight="1">
      <c r="D64" s="12"/>
      <c r="E64" s="12"/>
      <c r="F64" s="19"/>
      <c r="G64" s="10"/>
      <c r="H64" s="17" t="str">
        <f t="shared" si="1"/>
        <v/>
      </c>
      <c r="I64" s="15"/>
      <c r="J64" s="17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</row>
    <row r="65" spans="4:25" ht="22.5" customHeight="1">
      <c r="D65" s="12"/>
      <c r="E65" s="12"/>
      <c r="F65" s="19"/>
      <c r="G65" s="10"/>
      <c r="H65" s="17" t="str">
        <f t="shared" si="1"/>
        <v/>
      </c>
      <c r="I65" s="15"/>
      <c r="J65" s="17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</row>
    <row r="66" spans="4:25" ht="22.5" customHeight="1">
      <c r="D66" s="12"/>
      <c r="E66" s="12"/>
      <c r="F66" s="19"/>
      <c r="G66" s="10"/>
      <c r="H66" s="17" t="str">
        <f t="shared" si="1"/>
        <v/>
      </c>
      <c r="I66" s="15"/>
      <c r="J66" s="17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</row>
    <row r="67" spans="4:25" ht="22.5" customHeight="1">
      <c r="D67" s="12"/>
      <c r="E67" s="12"/>
      <c r="F67" s="19"/>
      <c r="G67" s="10"/>
      <c r="H67" s="17" t="str">
        <f t="shared" si="1"/>
        <v/>
      </c>
      <c r="I67" s="15"/>
      <c r="J67" s="17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</row>
    <row r="68" spans="4:25" ht="22.5" customHeight="1">
      <c r="D68" s="12"/>
      <c r="E68" s="12"/>
      <c r="F68" s="19"/>
      <c r="G68" s="10"/>
      <c r="H68" s="17" t="str">
        <f t="shared" si="1"/>
        <v/>
      </c>
      <c r="I68" s="15"/>
      <c r="J68" s="17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</row>
    <row r="69" spans="4:25" ht="22.5" customHeight="1">
      <c r="D69" s="12"/>
      <c r="E69" s="12"/>
      <c r="F69" s="19"/>
      <c r="G69" s="10"/>
      <c r="H69" s="17" t="str">
        <f t="shared" si="1"/>
        <v/>
      </c>
      <c r="I69" s="15"/>
      <c r="J69" s="17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</row>
    <row r="70" spans="4:25" ht="22.5" customHeight="1">
      <c r="D70" s="12"/>
      <c r="E70" s="12"/>
      <c r="F70" s="19"/>
      <c r="G70" s="10"/>
      <c r="H70" s="17" t="str">
        <f t="shared" si="1"/>
        <v/>
      </c>
      <c r="I70" s="15"/>
      <c r="J70" s="17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</row>
    <row r="71" spans="4:25" ht="22.5" customHeight="1">
      <c r="D71" s="12"/>
      <c r="E71" s="12"/>
      <c r="F71" s="19"/>
      <c r="G71" s="10"/>
      <c r="H71" s="17" t="str">
        <f t="shared" si="1"/>
        <v/>
      </c>
      <c r="I71" s="15"/>
      <c r="J71" s="17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</row>
    <row r="72" spans="4:25" ht="22.5" customHeight="1">
      <c r="D72" s="12"/>
      <c r="E72" s="12"/>
      <c r="F72" s="19"/>
      <c r="G72" s="10"/>
      <c r="H72" s="17" t="str">
        <f t="shared" si="1"/>
        <v/>
      </c>
      <c r="I72" s="15"/>
      <c r="J72" s="17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</row>
    <row r="73" spans="4:25" ht="22.5" customHeight="1">
      <c r="D73" s="12"/>
      <c r="E73" s="12"/>
      <c r="F73" s="19"/>
      <c r="G73" s="10"/>
      <c r="H73" s="17" t="str">
        <f t="shared" si="1"/>
        <v/>
      </c>
      <c r="I73" s="15"/>
      <c r="J73" s="17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</row>
    <row r="74" spans="4:25" ht="22.5" customHeight="1">
      <c r="D74" s="12"/>
      <c r="E74" s="12"/>
      <c r="F74" s="19"/>
      <c r="G74" s="10"/>
      <c r="H74" s="17" t="str">
        <f t="shared" si="1"/>
        <v/>
      </c>
      <c r="I74" s="15"/>
      <c r="J74" s="17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</row>
  </sheetData>
  <mergeCells count="8">
    <mergeCell ref="D41:D43"/>
    <mergeCell ref="E41:E43"/>
    <mergeCell ref="F41:F43"/>
    <mergeCell ref="D3:Y3"/>
    <mergeCell ref="D40:Y40"/>
    <mergeCell ref="D4:D6"/>
    <mergeCell ref="E4:E6"/>
    <mergeCell ref="F4:F6"/>
  </mergeCells>
  <phoneticPr fontId="4" type="noConversion"/>
  <printOptions horizontalCentered="1" verticalCentered="1"/>
  <pageMargins left="0.74803149606299213" right="0.35433070866141736" top="0.59055118110236227" bottom="0.59055118110236227" header="0.51181102362204722" footer="0.47244094488188981"/>
  <pageSetup paperSize="9" scale="60" orientation="landscape" r:id="rId1"/>
  <headerFooter alignWithMargins="0">
    <oddHeader>&amp;C&amp;28산 출 집 계 표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3:EC329"/>
  <sheetViews>
    <sheetView view="pageBreakPreview" zoomScale="80" zoomScaleNormal="100" zoomScaleSheetLayoutView="80" workbookViewId="0">
      <selection activeCell="A284" sqref="A284:XFD284"/>
    </sheetView>
  </sheetViews>
  <sheetFormatPr defaultColWidth="8.8984375" defaultRowHeight="20.100000000000001" customHeight="1"/>
  <cols>
    <col min="1" max="1" width="3.3984375" style="14" customWidth="1"/>
    <col min="2" max="2" width="33.3984375" style="2" hidden="1" customWidth="1"/>
    <col min="3" max="3" width="34" style="13" hidden="1" customWidth="1"/>
    <col min="4" max="4" width="36.69921875" style="2" customWidth="1"/>
    <col min="5" max="5" width="6.69921875" style="2" customWidth="1"/>
    <col min="6" max="52" width="7.69921875" style="2" customWidth="1"/>
    <col min="53" max="57" width="7.69921875" style="18" customWidth="1"/>
    <col min="58" max="16384" width="8.8984375" style="18"/>
  </cols>
  <sheetData>
    <row r="3" spans="1:123" ht="20.100000000000001" customHeight="1">
      <c r="D3" s="222" t="s">
        <v>644</v>
      </c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</row>
    <row r="4" spans="1:123" ht="20.100000000000001" customHeight="1">
      <c r="A4" s="219" t="s">
        <v>320</v>
      </c>
      <c r="B4" s="73"/>
      <c r="C4" s="75"/>
      <c r="D4" s="219" t="s">
        <v>180</v>
      </c>
      <c r="E4" s="219" t="s">
        <v>181</v>
      </c>
      <c r="F4" s="54" t="s">
        <v>182</v>
      </c>
      <c r="G4" s="56" t="s">
        <v>182</v>
      </c>
      <c r="H4" s="54" t="s">
        <v>182</v>
      </c>
      <c r="I4" s="54" t="s">
        <v>182</v>
      </c>
      <c r="J4" s="54" t="s">
        <v>182</v>
      </c>
      <c r="K4" s="54" t="s">
        <v>182</v>
      </c>
      <c r="L4" s="54" t="s">
        <v>183</v>
      </c>
      <c r="M4" s="54" t="s">
        <v>183</v>
      </c>
      <c r="N4" s="54" t="s">
        <v>184</v>
      </c>
      <c r="O4" s="54" t="s">
        <v>184</v>
      </c>
      <c r="P4" s="54" t="s">
        <v>185</v>
      </c>
      <c r="Q4" s="54" t="s">
        <v>186</v>
      </c>
      <c r="R4" s="54" t="s">
        <v>187</v>
      </c>
      <c r="S4" s="54" t="s">
        <v>187</v>
      </c>
      <c r="T4" s="54" t="s">
        <v>188</v>
      </c>
      <c r="U4" s="54" t="s">
        <v>188</v>
      </c>
      <c r="V4" s="54" t="s">
        <v>189</v>
      </c>
      <c r="W4" s="54" t="s">
        <v>189</v>
      </c>
      <c r="X4" s="54" t="s">
        <v>189</v>
      </c>
      <c r="Y4" s="54" t="s">
        <v>190</v>
      </c>
      <c r="Z4" s="54" t="s">
        <v>587</v>
      </c>
      <c r="AC4" s="8"/>
    </row>
    <row r="5" spans="1:123" ht="20.100000000000001" customHeight="1">
      <c r="A5" s="220"/>
      <c r="B5" s="14"/>
      <c r="C5" s="42"/>
      <c r="D5" s="220"/>
      <c r="E5" s="220"/>
      <c r="F5" s="44" t="s">
        <v>191</v>
      </c>
      <c r="G5" s="45" t="s">
        <v>191</v>
      </c>
      <c r="H5" s="44" t="s">
        <v>191</v>
      </c>
      <c r="I5" s="44" t="s">
        <v>191</v>
      </c>
      <c r="J5" s="44" t="s">
        <v>192</v>
      </c>
      <c r="K5" s="44" t="s">
        <v>192</v>
      </c>
      <c r="L5" s="44" t="s">
        <v>182</v>
      </c>
      <c r="M5" s="44" t="s">
        <v>193</v>
      </c>
      <c r="N5" s="44" t="s">
        <v>194</v>
      </c>
      <c r="O5" s="44" t="s">
        <v>195</v>
      </c>
      <c r="P5" s="44" t="s">
        <v>196</v>
      </c>
      <c r="Q5" s="44" t="s">
        <v>197</v>
      </c>
      <c r="R5" s="44" t="s">
        <v>198</v>
      </c>
      <c r="S5" s="44" t="s">
        <v>199</v>
      </c>
      <c r="T5" s="44" t="s">
        <v>200</v>
      </c>
      <c r="U5" s="44" t="s">
        <v>200</v>
      </c>
      <c r="V5" s="44" t="s">
        <v>201</v>
      </c>
      <c r="W5" s="44" t="s">
        <v>202</v>
      </c>
      <c r="X5" s="44" t="s">
        <v>203</v>
      </c>
      <c r="Y5" s="44" t="s">
        <v>204</v>
      </c>
      <c r="Z5" s="44" t="s">
        <v>588</v>
      </c>
      <c r="AC5" s="42"/>
    </row>
    <row r="6" spans="1:123" ht="20.100000000000001" customHeight="1">
      <c r="A6" s="221"/>
      <c r="B6" s="74"/>
      <c r="C6" s="76"/>
      <c r="D6" s="221"/>
      <c r="E6" s="221"/>
      <c r="F6" s="55" t="s">
        <v>205</v>
      </c>
      <c r="G6" s="57" t="s">
        <v>206</v>
      </c>
      <c r="H6" s="55" t="s">
        <v>207</v>
      </c>
      <c r="I6" s="55" t="s">
        <v>208</v>
      </c>
      <c r="J6" s="55" t="s">
        <v>209</v>
      </c>
      <c r="K6" s="55" t="s">
        <v>210</v>
      </c>
      <c r="L6" s="55" t="s">
        <v>211</v>
      </c>
      <c r="M6" s="55" t="s">
        <v>211</v>
      </c>
      <c r="N6" s="55" t="s">
        <v>212</v>
      </c>
      <c r="O6" s="55" t="s">
        <v>213</v>
      </c>
      <c r="P6" s="55" t="s">
        <v>214</v>
      </c>
      <c r="Q6" s="55" t="s">
        <v>215</v>
      </c>
      <c r="R6" s="55" t="s">
        <v>216</v>
      </c>
      <c r="S6" s="55" t="s">
        <v>216</v>
      </c>
      <c r="T6" s="55" t="s">
        <v>217</v>
      </c>
      <c r="U6" s="55" t="s">
        <v>218</v>
      </c>
      <c r="V6" s="55" t="s">
        <v>219</v>
      </c>
      <c r="W6" s="55" t="s">
        <v>219</v>
      </c>
      <c r="X6" s="55" t="s">
        <v>219</v>
      </c>
      <c r="Y6" s="55" t="s">
        <v>220</v>
      </c>
      <c r="Z6" s="55" t="s">
        <v>586</v>
      </c>
      <c r="AC6" s="60"/>
    </row>
    <row r="7" spans="1:123" ht="20.100000000000001" customHeight="1">
      <c r="A7" s="220">
        <v>1</v>
      </c>
      <c r="B7" s="7"/>
      <c r="C7" s="7"/>
      <c r="D7" s="5" t="s">
        <v>221</v>
      </c>
      <c r="E7" s="3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</row>
    <row r="8" spans="1:123" ht="20.100000000000001" customHeight="1">
      <c r="A8" s="221"/>
      <c r="B8" s="7"/>
      <c r="C8" s="7"/>
      <c r="D8" s="78"/>
      <c r="E8" s="47" t="str">
        <f>IF(egTextCal(D8)&lt;&gt;0, egTextCal(D8),"")</f>
        <v/>
      </c>
      <c r="F8" s="48" t="str">
        <f>IF(E8&lt;&gt;"", IF(F7&lt;&gt;"", E8*F7,""),"")</f>
        <v/>
      </c>
      <c r="G8" s="48" t="str">
        <f>IF(E8&lt;&gt;"", IF(G7&lt;&gt;"", E8*G7,""),"")</f>
        <v/>
      </c>
      <c r="H8" s="48" t="str">
        <f>IF(E8&lt;&gt;"", IF(H7&lt;&gt;"", E8*H7,""),"")</f>
        <v/>
      </c>
      <c r="I8" s="48" t="str">
        <f>IF(E8&lt;&gt;"", IF(I7&lt;&gt;"", E8*I7,""),"")</f>
        <v/>
      </c>
      <c r="J8" s="48" t="str">
        <f>IF(E8&lt;&gt;"", IF(J7&lt;&gt;"", E8*J7,""),"")</f>
        <v/>
      </c>
      <c r="K8" s="48" t="str">
        <f>IF(E8&lt;&gt;"", IF(K7&lt;&gt;"", E8*K7,""),"")</f>
        <v/>
      </c>
      <c r="L8" s="48" t="str">
        <f>IF(E8&lt;&gt;"", IF(L7&lt;&gt;"", E8*L7,""),"")</f>
        <v/>
      </c>
      <c r="M8" s="48" t="str">
        <f>IF(E8&lt;&gt;"", IF(M7&lt;&gt;"", E8*M7,""),"")</f>
        <v/>
      </c>
      <c r="N8" s="48" t="str">
        <f>IF(E8&lt;&gt;"", IF(N7&lt;&gt;"", E8*N7,""),"")</f>
        <v/>
      </c>
      <c r="O8" s="48" t="str">
        <f>IF(E8&lt;&gt;"", IF(O7&lt;&gt;"", E8*O7,""),"")</f>
        <v/>
      </c>
      <c r="P8" s="48" t="str">
        <f>IF(E8&lt;&gt;"", IF(P7&lt;&gt;"", E8*P7,""),"")</f>
        <v/>
      </c>
      <c r="Q8" s="48" t="str">
        <f>IF(E8&lt;&gt;"", IF(Q7&lt;&gt;"", E8*Q7,""),"")</f>
        <v/>
      </c>
      <c r="R8" s="48" t="str">
        <f>IF(E8&lt;&gt;"", IF(R7&lt;&gt;"", E8*R7,""),"")</f>
        <v/>
      </c>
      <c r="S8" s="48" t="str">
        <f>IF(E8&lt;&gt;"", IF(S7&lt;&gt;"", E8*S7,""),"")</f>
        <v/>
      </c>
      <c r="T8" s="48" t="str">
        <f>IF(E8&lt;&gt;"", IF(T7&lt;&gt;"", E8*T7,""),"")</f>
        <v/>
      </c>
      <c r="U8" s="48" t="str">
        <f>IF(E8&lt;&gt;"", IF(U7&lt;&gt;"", E8*U7,""),"")</f>
        <v/>
      </c>
      <c r="V8" s="48" t="str">
        <f>IF(E8&lt;&gt;"", IF(V7&lt;&gt;"", E8*V7,""),"")</f>
        <v/>
      </c>
      <c r="W8" s="48" t="str">
        <f>IF(E8&lt;&gt;"", IF(W7&lt;&gt;"", E8*W7,""),"")</f>
        <v/>
      </c>
      <c r="X8" s="48" t="str">
        <f>IF(E8&lt;&gt;"", IF(X7&lt;&gt;"", E8*X7,""),"")</f>
        <v/>
      </c>
      <c r="Y8" s="48" t="str">
        <f>IF(E8&lt;&gt;"", IF(Y7&lt;&gt;"", E8*Y7,""),"")</f>
        <v/>
      </c>
      <c r="Z8" s="48" t="str">
        <f>IF(E8&lt;&gt;"", IF(Z7&lt;&gt;"", E8*Z7,""),"")</f>
        <v/>
      </c>
      <c r="AA8" s="22"/>
      <c r="AB8" s="22" t="str">
        <f>IF(E8&lt;&gt;"", IF(AB7&lt;&gt;"", E8*AB7, ""), "")</f>
        <v/>
      </c>
      <c r="AC8" s="22" t="str">
        <f>IF(E8&lt;&gt;"", IF(AC7&lt;&gt;"", E8*AC7, ""), "")</f>
        <v/>
      </c>
      <c r="AD8" s="22" t="str">
        <f>IF(E8&lt;&gt;"", IF(AD7&lt;&gt;"", E8*AD7, ""), "")</f>
        <v/>
      </c>
      <c r="AE8" s="22" t="str">
        <f>IF(E8&lt;&gt;"", IF(AE7&lt;&gt;"", E8*AE7, ""), "")</f>
        <v/>
      </c>
      <c r="AF8" s="22" t="str">
        <f>IF(E8&lt;&gt;"", IF(AF7&lt;&gt;"", E8*AF7, ""), "")</f>
        <v/>
      </c>
      <c r="AG8" s="22" t="str">
        <f>IF(E8&lt;&gt;"", IF(AG7&lt;&gt;"", E8*AG7, ""), "")</f>
        <v/>
      </c>
      <c r="AH8" s="22" t="str">
        <f>IF(E8&lt;&gt;"", IF(AH7&lt;&gt;"", E8*AH7, ""), "")</f>
        <v/>
      </c>
      <c r="AI8" s="22" t="str">
        <f>IF(E8&lt;&gt;"", IF(AI7&lt;&gt;"", E8*AI7, ""), "")</f>
        <v/>
      </c>
      <c r="AJ8" s="22" t="str">
        <f>IF(E8&lt;&gt;"", IF(AJ7&lt;&gt;"", E8*AJ7, ""), "")</f>
        <v/>
      </c>
      <c r="AK8" s="22" t="str">
        <f>IF(E8&lt;&gt;"", IF(AK7&lt;&gt;"", E8*AK7, ""), "")</f>
        <v/>
      </c>
      <c r="AL8" s="22" t="str">
        <f>IF(E8&lt;&gt;"", IF(AL7&lt;&gt;"", E8*AL7, ""), "")</f>
        <v/>
      </c>
      <c r="AM8" s="22" t="str">
        <f>IF(E8&lt;&gt;"", IF(AM7&lt;&gt;"", E8*AM7, ""), "")</f>
        <v/>
      </c>
      <c r="AN8" s="22" t="str">
        <f>IF(E8&lt;&gt;"", IF(AN7&lt;&gt;"", E8*AN7, ""), "")</f>
        <v/>
      </c>
      <c r="AO8" s="22" t="str">
        <f>IF(E8&lt;&gt;"", IF(AO7&lt;&gt;"", E8*AO7, ""), "")</f>
        <v/>
      </c>
      <c r="AP8" s="22" t="str">
        <f>IF(E8&lt;&gt;"", IF(AP7&lt;&gt;"", E8*AP7, ""), "")</f>
        <v/>
      </c>
      <c r="AQ8" s="22" t="str">
        <f>IF(E8&lt;&gt;"", IF(AQ7&lt;&gt;"", E8*AQ7, ""), "")</f>
        <v/>
      </c>
      <c r="AR8" s="22" t="str">
        <f>IF(E8&lt;&gt;"", IF(AR7&lt;&gt;"", E8*AR7, ""), "")</f>
        <v/>
      </c>
      <c r="AS8" s="22" t="str">
        <f>IF(E8&lt;&gt;"", IF(AS7&lt;&gt;"", E8*AS7, ""), "")</f>
        <v/>
      </c>
      <c r="AT8" s="22" t="str">
        <f>IF(E8&lt;&gt;"", IF(AT7&lt;&gt;"", E8*AT7, ""), "")</f>
        <v/>
      </c>
      <c r="AU8" s="22" t="str">
        <f>IF(E8&lt;&gt;"", IF(AU7&lt;&gt;"", E8*AU7, ""), "")</f>
        <v/>
      </c>
      <c r="AV8" s="22" t="str">
        <f>IF(E8&lt;&gt;"", IF(AV7&lt;&gt;"", E8*AV7, ""), "")</f>
        <v/>
      </c>
      <c r="AW8" s="22" t="str">
        <f>IF(E8&lt;&gt;"", IF(AW7&lt;&gt;"", E8*AW7, ""), "")</f>
        <v/>
      </c>
      <c r="AX8" s="22" t="str">
        <f>IF(E8&lt;&gt;"", IF(AX7&lt;&gt;"", E8*AX7, ""), "")</f>
        <v/>
      </c>
      <c r="AY8" s="22" t="str">
        <f>IF(E8&lt;&gt;"", IF(AY7&lt;&gt;"", E8*AY7, ""), "")</f>
        <v/>
      </c>
      <c r="AZ8" s="22" t="str">
        <f>IF(E8&lt;&gt;"", IF(AZ7&lt;&gt;"", E8*AZ7, ""), "")</f>
        <v/>
      </c>
      <c r="BA8" s="22" t="str">
        <f>IF(E8&lt;&gt;"", IF(BA7&lt;&gt;"", E8*BA7, ""), "")</f>
        <v/>
      </c>
      <c r="BB8" s="22" t="str">
        <f>IF(E8&lt;&gt;"", IF(BB7&lt;&gt;"", E8*BB7, ""), "")</f>
        <v/>
      </c>
      <c r="BC8" s="22" t="str">
        <f>IF(E8&lt;&gt;"", IF(BC7&lt;&gt;"", E8*BC7, ""), "")</f>
        <v/>
      </c>
      <c r="BD8" s="22" t="str">
        <f>IF(E8&lt;&gt;"", IF(BD7&lt;&gt;"", E8*BD7, ""), "")</f>
        <v/>
      </c>
      <c r="BE8" s="22" t="str">
        <f>IF(E8&lt;&gt;"", IF(BE7&lt;&gt;"", E8*BE7, ""), "")</f>
        <v/>
      </c>
    </row>
    <row r="9" spans="1:123" ht="20.100000000000001" customHeight="1">
      <c r="A9" s="220">
        <v>2</v>
      </c>
      <c r="B9" s="7"/>
      <c r="C9" s="7"/>
      <c r="D9" s="5" t="s">
        <v>222</v>
      </c>
      <c r="E9" s="3"/>
      <c r="F9" s="46"/>
      <c r="G9" s="46"/>
      <c r="H9" s="46"/>
      <c r="I9" s="46"/>
      <c r="J9" s="46"/>
      <c r="K9" s="46">
        <v>1</v>
      </c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</row>
    <row r="10" spans="1:123" ht="20.100000000000001" customHeight="1">
      <c r="A10" s="221"/>
      <c r="B10" s="7"/>
      <c r="C10" s="7"/>
      <c r="D10" s="78" t="s">
        <v>223</v>
      </c>
      <c r="E10" s="47">
        <f>IF(egTextCal(D10)&lt;&gt;0, egTextCal(D10),"")</f>
        <v>131</v>
      </c>
      <c r="F10" s="48" t="str">
        <f>IF(E10&lt;&gt;"", IF(F9&lt;&gt;"", E10*F9,""),"")</f>
        <v/>
      </c>
      <c r="G10" s="48" t="str">
        <f>IF(E10&lt;&gt;"", IF(G9&lt;&gt;"", E10*G9,""),"")</f>
        <v/>
      </c>
      <c r="H10" s="48" t="str">
        <f>IF(E10&lt;&gt;"", IF(H9&lt;&gt;"", E10*H9,""),"")</f>
        <v/>
      </c>
      <c r="I10" s="48" t="str">
        <f>IF(E10&lt;&gt;"", IF(I9&lt;&gt;"", E10*I9,""),"")</f>
        <v/>
      </c>
      <c r="J10" s="48" t="str">
        <f>IF(E10&lt;&gt;"", IF(J9&lt;&gt;"", E10*J9,""),"")</f>
        <v/>
      </c>
      <c r="K10" s="48">
        <f>IF(E10&lt;&gt;"", IF(K9&lt;&gt;"", E10*K9,""),"")</f>
        <v>131</v>
      </c>
      <c r="L10" s="48" t="str">
        <f>IF(E10&lt;&gt;"", IF(L9&lt;&gt;"", E10*L9,""),"")</f>
        <v/>
      </c>
      <c r="M10" s="48" t="str">
        <f>IF(E10&lt;&gt;"", IF(M9&lt;&gt;"", E10*M9,""),"")</f>
        <v/>
      </c>
      <c r="N10" s="48" t="str">
        <f>IF(E10&lt;&gt;"", IF(N9&lt;&gt;"", E10*N9,""),"")</f>
        <v/>
      </c>
      <c r="O10" s="48" t="str">
        <f>IF(E10&lt;&gt;"", IF(O9&lt;&gt;"", E10*O9,""),"")</f>
        <v/>
      </c>
      <c r="P10" s="48" t="str">
        <f>IF(E10&lt;&gt;"", IF(P9&lt;&gt;"", E10*P9,""),"")</f>
        <v/>
      </c>
      <c r="Q10" s="48" t="str">
        <f>IF(E10&lt;&gt;"", IF(Q9&lt;&gt;"", E10*Q9,""),"")</f>
        <v/>
      </c>
      <c r="R10" s="48" t="str">
        <f>IF(E10&lt;&gt;"", IF(R9&lt;&gt;"", E10*R9,""),"")</f>
        <v/>
      </c>
      <c r="S10" s="48" t="str">
        <f>IF(E10&lt;&gt;"", IF(S9&lt;&gt;"", E10*S9,""),"")</f>
        <v/>
      </c>
      <c r="T10" s="48" t="str">
        <f>IF(E10&lt;&gt;"", IF(T9&lt;&gt;"", E10*T9,""),"")</f>
        <v/>
      </c>
      <c r="U10" s="48" t="str">
        <f>IF(E10&lt;&gt;"", IF(U9&lt;&gt;"", E10*U9,""),"")</f>
        <v/>
      </c>
      <c r="V10" s="48" t="str">
        <f>IF(E10&lt;&gt;"", IF(V9&lt;&gt;"", E10*V9,""),"")</f>
        <v/>
      </c>
      <c r="W10" s="48" t="str">
        <f>IF(E10&lt;&gt;"", IF(W9&lt;&gt;"", E10*W9,""),"")</f>
        <v/>
      </c>
      <c r="X10" s="48" t="str">
        <f>IF(E10&lt;&gt;"", IF(X9&lt;&gt;"", E10*X9,""),"")</f>
        <v/>
      </c>
      <c r="Y10" s="48" t="str">
        <f>IF(E10&lt;&gt;"", IF(Y9&lt;&gt;"", E10*Y9,""),"")</f>
        <v/>
      </c>
      <c r="Z10" s="48" t="str">
        <f>IF(E10&lt;&gt;"", IF(Z9&lt;&gt;"", E10*Z9,""),"")</f>
        <v/>
      </c>
      <c r="AA10" s="22"/>
      <c r="AB10" s="22" t="str">
        <f>IF(E10&lt;&gt;"", IF(AB9&lt;&gt;"", E10*AB9, ""), "")</f>
        <v/>
      </c>
      <c r="AC10" s="22" t="str">
        <f>IF(E10&lt;&gt;"", IF(AC9&lt;&gt;"", E10*AC9, ""), "")</f>
        <v/>
      </c>
      <c r="AD10" s="22" t="str">
        <f>IF(E10&lt;&gt;"", IF(AD9&lt;&gt;"", E10*AD9, ""), "")</f>
        <v/>
      </c>
      <c r="AE10" s="22" t="str">
        <f>IF(E10&lt;&gt;"", IF(AE9&lt;&gt;"", E10*AE9, ""), "")</f>
        <v/>
      </c>
      <c r="AF10" s="22" t="str">
        <f>IF(E10&lt;&gt;"", IF(AF9&lt;&gt;"", E10*AF9, ""), "")</f>
        <v/>
      </c>
      <c r="AG10" s="22" t="str">
        <f>IF(E10&lt;&gt;"", IF(AG9&lt;&gt;"", E10*AG9, ""), "")</f>
        <v/>
      </c>
      <c r="AH10" s="22" t="str">
        <f>IF(E10&lt;&gt;"", IF(AH9&lt;&gt;"", E10*AH9, ""), "")</f>
        <v/>
      </c>
      <c r="AI10" s="22" t="str">
        <f>IF(E10&lt;&gt;"", IF(AI9&lt;&gt;"", E10*AI9, ""), "")</f>
        <v/>
      </c>
      <c r="AJ10" s="22" t="str">
        <f>IF(E10&lt;&gt;"", IF(AJ9&lt;&gt;"", E10*AJ9, ""), "")</f>
        <v/>
      </c>
      <c r="AK10" s="22" t="str">
        <f>IF(E10&lt;&gt;"", IF(AK9&lt;&gt;"", E10*AK9, ""), "")</f>
        <v/>
      </c>
      <c r="AL10" s="22" t="str">
        <f>IF(E10&lt;&gt;"", IF(AL9&lt;&gt;"", E10*AL9, ""), "")</f>
        <v/>
      </c>
      <c r="AM10" s="22" t="str">
        <f>IF(E10&lt;&gt;"", IF(AM9&lt;&gt;"", E10*AM9, ""), "")</f>
        <v/>
      </c>
      <c r="AN10" s="22" t="str">
        <f>IF(E10&lt;&gt;"", IF(AN9&lt;&gt;"", E10*AN9, ""), "")</f>
        <v/>
      </c>
      <c r="AO10" s="22" t="str">
        <f>IF(E10&lt;&gt;"", IF(AO9&lt;&gt;"", E10*AO9, ""), "")</f>
        <v/>
      </c>
      <c r="AP10" s="22" t="str">
        <f>IF(E10&lt;&gt;"", IF(AP9&lt;&gt;"", E10*AP9, ""), "")</f>
        <v/>
      </c>
      <c r="AQ10" s="22" t="str">
        <f>IF(E10&lt;&gt;"", IF(AQ9&lt;&gt;"", E10*AQ9, ""), "")</f>
        <v/>
      </c>
      <c r="AR10" s="22" t="str">
        <f>IF(E10&lt;&gt;"", IF(AR9&lt;&gt;"", E10*AR9, ""), "")</f>
        <v/>
      </c>
      <c r="AS10" s="22" t="str">
        <f>IF(E10&lt;&gt;"", IF(AS9&lt;&gt;"", E10*AS9, ""), "")</f>
        <v/>
      </c>
      <c r="AT10" s="22" t="str">
        <f>IF(E10&lt;&gt;"", IF(AT9&lt;&gt;"", E10*AT9, ""), "")</f>
        <v/>
      </c>
      <c r="AU10" s="22" t="str">
        <f>IF(E10&lt;&gt;"", IF(AU9&lt;&gt;"", E10*AU9, ""), "")</f>
        <v/>
      </c>
      <c r="AV10" s="22" t="str">
        <f>IF(E10&lt;&gt;"", IF(AV9&lt;&gt;"", E10*AV9, ""), "")</f>
        <v/>
      </c>
      <c r="AW10" s="22" t="str">
        <f>IF(E10&lt;&gt;"", IF(AW9&lt;&gt;"", E10*AW9, ""), "")</f>
        <v/>
      </c>
      <c r="AX10" s="22" t="str">
        <f>IF(E10&lt;&gt;"", IF(AX9&lt;&gt;"", E10*AX9, ""), "")</f>
        <v/>
      </c>
      <c r="AY10" s="22" t="str">
        <f>IF(E10&lt;&gt;"", IF(AY9&lt;&gt;"", E10*AY9, ""), "")</f>
        <v/>
      </c>
      <c r="AZ10" s="22" t="str">
        <f>IF(E10&lt;&gt;"", IF(AZ9&lt;&gt;"", E10*AZ9, ""), "")</f>
        <v/>
      </c>
      <c r="BA10" s="22" t="str">
        <f>IF(E10&lt;&gt;"", IF(BA9&lt;&gt;"", E10*BA9, ""), "")</f>
        <v/>
      </c>
      <c r="BB10" s="22" t="str">
        <f>IF(E10&lt;&gt;"", IF(BB9&lt;&gt;"", E10*BB9, ""), "")</f>
        <v/>
      </c>
      <c r="BC10" s="22" t="str">
        <f>IF(E10&lt;&gt;"", IF(BC9&lt;&gt;"", E10*BC9, ""), "")</f>
        <v/>
      </c>
      <c r="BD10" s="22" t="str">
        <f>IF(E10&lt;&gt;"", IF(BD9&lt;&gt;"", E10*BD9, ""), "")</f>
        <v/>
      </c>
      <c r="BE10" s="22" t="str">
        <f>IF(E10&lt;&gt;"", IF(BE9&lt;&gt;"", E10*BE9, ""), "")</f>
        <v/>
      </c>
      <c r="DF10" s="18">
        <f>K10</f>
        <v>131</v>
      </c>
    </row>
    <row r="11" spans="1:123" ht="20.100000000000001" customHeight="1">
      <c r="A11" s="220">
        <v>3</v>
      </c>
      <c r="B11" s="7"/>
      <c r="C11" s="7"/>
      <c r="D11" s="5" t="s">
        <v>224</v>
      </c>
      <c r="E11" s="3"/>
      <c r="F11" s="46"/>
      <c r="G11" s="46"/>
      <c r="H11" s="46"/>
      <c r="I11" s="46"/>
      <c r="J11" s="46">
        <v>1</v>
      </c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</row>
    <row r="12" spans="1:123" ht="20.100000000000001" customHeight="1">
      <c r="A12" s="221"/>
      <c r="B12" s="7"/>
      <c r="C12" s="7"/>
      <c r="D12" s="78" t="s">
        <v>225</v>
      </c>
      <c r="E12" s="47">
        <f>IF(egTextCal(D12)&lt;&gt;0, egTextCal(D12),"")</f>
        <v>262</v>
      </c>
      <c r="F12" s="48" t="str">
        <f>IF(E12&lt;&gt;"", IF(F11&lt;&gt;"", E12*F11,""),"")</f>
        <v/>
      </c>
      <c r="G12" s="48" t="str">
        <f>IF(E12&lt;&gt;"", IF(G11&lt;&gt;"", E12*G11,""),"")</f>
        <v/>
      </c>
      <c r="H12" s="48" t="str">
        <f>IF(E12&lt;&gt;"", IF(H11&lt;&gt;"", E12*H11,""),"")</f>
        <v/>
      </c>
      <c r="I12" s="48" t="str">
        <f>IF(E12&lt;&gt;"", IF(I11&lt;&gt;"", E12*I11,""),"")</f>
        <v/>
      </c>
      <c r="J12" s="48">
        <f>IF(E12&lt;&gt;"", IF(J11&lt;&gt;"", E12*J11,""),"")</f>
        <v>262</v>
      </c>
      <c r="K12" s="48" t="str">
        <f>IF(E12&lt;&gt;"", IF(K11&lt;&gt;"", E12*K11,""),"")</f>
        <v/>
      </c>
      <c r="L12" s="48" t="str">
        <f>IF(E12&lt;&gt;"", IF(L11&lt;&gt;"", E12*L11,""),"")</f>
        <v/>
      </c>
      <c r="M12" s="48" t="str">
        <f>IF(E12&lt;&gt;"", IF(M11&lt;&gt;"", E12*M11,""),"")</f>
        <v/>
      </c>
      <c r="N12" s="48" t="str">
        <f>IF(E12&lt;&gt;"", IF(N11&lt;&gt;"", E12*N11,""),"")</f>
        <v/>
      </c>
      <c r="O12" s="48" t="str">
        <f>IF(E12&lt;&gt;"", IF(O11&lt;&gt;"", E12*O11,""),"")</f>
        <v/>
      </c>
      <c r="P12" s="48" t="str">
        <f>IF(E12&lt;&gt;"", IF(P11&lt;&gt;"", E12*P11,""),"")</f>
        <v/>
      </c>
      <c r="Q12" s="48" t="str">
        <f>IF(E12&lt;&gt;"", IF(Q11&lt;&gt;"", E12*Q11,""),"")</f>
        <v/>
      </c>
      <c r="R12" s="48" t="str">
        <f>IF(E12&lt;&gt;"", IF(R11&lt;&gt;"", E12*R11,""),"")</f>
        <v/>
      </c>
      <c r="S12" s="48" t="str">
        <f>IF(E12&lt;&gt;"", IF(S11&lt;&gt;"", E12*S11,""),"")</f>
        <v/>
      </c>
      <c r="T12" s="48" t="str">
        <f>IF(E12&lt;&gt;"", IF(T11&lt;&gt;"", E12*T11,""),"")</f>
        <v/>
      </c>
      <c r="U12" s="48" t="str">
        <f>IF(E12&lt;&gt;"", IF(U11&lt;&gt;"", E12*U11,""),"")</f>
        <v/>
      </c>
      <c r="V12" s="48" t="str">
        <f>IF(E12&lt;&gt;"", IF(V11&lt;&gt;"", E12*V11,""),"")</f>
        <v/>
      </c>
      <c r="W12" s="48" t="str">
        <f>IF(E12&lt;&gt;"", IF(W11&lt;&gt;"", E12*W11,""),"")</f>
        <v/>
      </c>
      <c r="X12" s="48" t="str">
        <f>IF(E12&lt;&gt;"", IF(X11&lt;&gt;"", E12*X11,""),"")</f>
        <v/>
      </c>
      <c r="Y12" s="48" t="str">
        <f>IF(E12&lt;&gt;"", IF(Y11&lt;&gt;"", E12*Y11,""),"")</f>
        <v/>
      </c>
      <c r="Z12" s="48" t="str">
        <f>IF(E12&lt;&gt;"", IF(Z11&lt;&gt;"", E12*Z11,""),"")</f>
        <v/>
      </c>
      <c r="AA12" s="22"/>
      <c r="AB12" s="22" t="str">
        <f>IF(E12&lt;&gt;"", IF(AB11&lt;&gt;"", E12*AB11, ""), "")</f>
        <v/>
      </c>
      <c r="AC12" s="22" t="str">
        <f>IF(E12&lt;&gt;"", IF(AC11&lt;&gt;"", E12*AC11, ""), "")</f>
        <v/>
      </c>
      <c r="AD12" s="22" t="str">
        <f>IF(E12&lt;&gt;"", IF(AD11&lt;&gt;"", E12*AD11, ""), "")</f>
        <v/>
      </c>
      <c r="AE12" s="22" t="str">
        <f>IF(E12&lt;&gt;"", IF(AE11&lt;&gt;"", E12*AE11, ""), "")</f>
        <v/>
      </c>
      <c r="AF12" s="22" t="str">
        <f>IF(E12&lt;&gt;"", IF(AF11&lt;&gt;"", E12*AF11, ""), "")</f>
        <v/>
      </c>
      <c r="AG12" s="22" t="str">
        <f>IF(E12&lt;&gt;"", IF(AG11&lt;&gt;"", E12*AG11, ""), "")</f>
        <v/>
      </c>
      <c r="AH12" s="22" t="str">
        <f>IF(E12&lt;&gt;"", IF(AH11&lt;&gt;"", E12*AH11, ""), "")</f>
        <v/>
      </c>
      <c r="AI12" s="22" t="str">
        <f>IF(E12&lt;&gt;"", IF(AI11&lt;&gt;"", E12*AI11, ""), "")</f>
        <v/>
      </c>
      <c r="AJ12" s="22" t="str">
        <f>IF(E12&lt;&gt;"", IF(AJ11&lt;&gt;"", E12*AJ11, ""), "")</f>
        <v/>
      </c>
      <c r="AK12" s="22" t="str">
        <f>IF(E12&lt;&gt;"", IF(AK11&lt;&gt;"", E12*AK11, ""), "")</f>
        <v/>
      </c>
      <c r="AL12" s="22" t="str">
        <f>IF(E12&lt;&gt;"", IF(AL11&lt;&gt;"", E12*AL11, ""), "")</f>
        <v/>
      </c>
      <c r="AM12" s="22" t="str">
        <f>IF(E12&lt;&gt;"", IF(AM11&lt;&gt;"", E12*AM11, ""), "")</f>
        <v/>
      </c>
      <c r="AN12" s="22" t="str">
        <f>IF(E12&lt;&gt;"", IF(AN11&lt;&gt;"", E12*AN11, ""), "")</f>
        <v/>
      </c>
      <c r="AO12" s="22" t="str">
        <f>IF(E12&lt;&gt;"", IF(AO11&lt;&gt;"", E12*AO11, ""), "")</f>
        <v/>
      </c>
      <c r="AP12" s="22" t="str">
        <f>IF(E12&lt;&gt;"", IF(AP11&lt;&gt;"", E12*AP11, ""), "")</f>
        <v/>
      </c>
      <c r="AQ12" s="22" t="str">
        <f>IF(E12&lt;&gt;"", IF(AQ11&lt;&gt;"", E12*AQ11, ""), "")</f>
        <v/>
      </c>
      <c r="AR12" s="22" t="str">
        <f>IF(E12&lt;&gt;"", IF(AR11&lt;&gt;"", E12*AR11, ""), "")</f>
        <v/>
      </c>
      <c r="AS12" s="22" t="str">
        <f>IF(E12&lt;&gt;"", IF(AS11&lt;&gt;"", E12*AS11, ""), "")</f>
        <v/>
      </c>
      <c r="AT12" s="22" t="str">
        <f>IF(E12&lt;&gt;"", IF(AT11&lt;&gt;"", E12*AT11, ""), "")</f>
        <v/>
      </c>
      <c r="AU12" s="22" t="str">
        <f>IF(E12&lt;&gt;"", IF(AU11&lt;&gt;"", E12*AU11, ""), "")</f>
        <v/>
      </c>
      <c r="AV12" s="22" t="str">
        <f>IF(E12&lt;&gt;"", IF(AV11&lt;&gt;"", E12*AV11, ""), "")</f>
        <v/>
      </c>
      <c r="AW12" s="22" t="str">
        <f>IF(E12&lt;&gt;"", IF(AW11&lt;&gt;"", E12*AW11, ""), "")</f>
        <v/>
      </c>
      <c r="AX12" s="22" t="str">
        <f>IF(E12&lt;&gt;"", IF(AX11&lt;&gt;"", E12*AX11, ""), "")</f>
        <v/>
      </c>
      <c r="AY12" s="22" t="str">
        <f>IF(E12&lt;&gt;"", IF(AY11&lt;&gt;"", E12*AY11, ""), "")</f>
        <v/>
      </c>
      <c r="AZ12" s="22" t="str">
        <f>IF(E12&lt;&gt;"", IF(AZ11&lt;&gt;"", E12*AZ11, ""), "")</f>
        <v/>
      </c>
      <c r="BA12" s="22" t="str">
        <f>IF(E12&lt;&gt;"", IF(BA11&lt;&gt;"", E12*BA11, ""), "")</f>
        <v/>
      </c>
      <c r="BB12" s="22" t="str">
        <f>IF(E12&lt;&gt;"", IF(BB11&lt;&gt;"", E12*BB11, ""), "")</f>
        <v/>
      </c>
      <c r="BC12" s="22" t="str">
        <f>IF(E12&lt;&gt;"", IF(BC11&lt;&gt;"", E12*BC11, ""), "")</f>
        <v/>
      </c>
      <c r="BD12" s="22" t="str">
        <f>IF(E12&lt;&gt;"", IF(BD11&lt;&gt;"", E12*BD11, ""), "")</f>
        <v/>
      </c>
      <c r="BE12" s="22" t="str">
        <f>IF(E12&lt;&gt;"", IF(BE11&lt;&gt;"", E12*BE11, ""), "")</f>
        <v/>
      </c>
      <c r="DE12" s="18">
        <f>J12</f>
        <v>262</v>
      </c>
    </row>
    <row r="13" spans="1:123" ht="20.100000000000001" customHeight="1">
      <c r="A13" s="220">
        <v>4</v>
      </c>
      <c r="B13" s="7"/>
      <c r="C13" s="7"/>
      <c r="D13" s="5" t="s">
        <v>226</v>
      </c>
      <c r="E13" s="3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>
        <v>1</v>
      </c>
      <c r="Y13" s="46"/>
      <c r="Z13" s="46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</row>
    <row r="14" spans="1:123" ht="20.100000000000001" customHeight="1">
      <c r="A14" s="221"/>
      <c r="B14" s="7"/>
      <c r="C14" s="7"/>
      <c r="D14" s="78" t="s">
        <v>227</v>
      </c>
      <c r="E14" s="47">
        <f>IF(egTextCal(D14)&lt;&gt;0, egTextCal(D14),"")</f>
        <v>524</v>
      </c>
      <c r="F14" s="48" t="str">
        <f>IF(E14&lt;&gt;"", IF(F13&lt;&gt;"", E14*F13,""),"")</f>
        <v/>
      </c>
      <c r="G14" s="48" t="str">
        <f>IF(E14&lt;&gt;"", IF(G13&lt;&gt;"", E14*G13,""),"")</f>
        <v/>
      </c>
      <c r="H14" s="48" t="str">
        <f>IF(E14&lt;&gt;"", IF(H13&lt;&gt;"", E14*H13,""),"")</f>
        <v/>
      </c>
      <c r="I14" s="48" t="str">
        <f>IF(E14&lt;&gt;"", IF(I13&lt;&gt;"", E14*I13,""),"")</f>
        <v/>
      </c>
      <c r="J14" s="48" t="str">
        <f>IF(E14&lt;&gt;"", IF(J13&lt;&gt;"", E14*J13,""),"")</f>
        <v/>
      </c>
      <c r="K14" s="48" t="str">
        <f>IF(E14&lt;&gt;"", IF(K13&lt;&gt;"", E14*K13,""),"")</f>
        <v/>
      </c>
      <c r="L14" s="48" t="str">
        <f>IF(E14&lt;&gt;"", IF(L13&lt;&gt;"", E14*L13,""),"")</f>
        <v/>
      </c>
      <c r="M14" s="48" t="str">
        <f>IF(E14&lt;&gt;"", IF(M13&lt;&gt;"", E14*M13,""),"")</f>
        <v/>
      </c>
      <c r="N14" s="48" t="str">
        <f>IF(E14&lt;&gt;"", IF(N13&lt;&gt;"", E14*N13,""),"")</f>
        <v/>
      </c>
      <c r="O14" s="48" t="str">
        <f>IF(E14&lt;&gt;"", IF(O13&lt;&gt;"", E14*O13,""),"")</f>
        <v/>
      </c>
      <c r="P14" s="48" t="str">
        <f>IF(E14&lt;&gt;"", IF(P13&lt;&gt;"", E14*P13,""),"")</f>
        <v/>
      </c>
      <c r="Q14" s="48" t="str">
        <f>IF(E14&lt;&gt;"", IF(Q13&lt;&gt;"", E14*Q13,""),"")</f>
        <v/>
      </c>
      <c r="R14" s="48" t="str">
        <f>IF(E14&lt;&gt;"", IF(R13&lt;&gt;"", E14*R13,""),"")</f>
        <v/>
      </c>
      <c r="S14" s="48" t="str">
        <f>IF(E14&lt;&gt;"", IF(S13&lt;&gt;"", E14*S13,""),"")</f>
        <v/>
      </c>
      <c r="T14" s="48" t="str">
        <f>IF(E14&lt;&gt;"", IF(T13&lt;&gt;"", E14*T13,""),"")</f>
        <v/>
      </c>
      <c r="U14" s="48" t="str">
        <f>IF(E14&lt;&gt;"", IF(U13&lt;&gt;"", E14*U13,""),"")</f>
        <v/>
      </c>
      <c r="V14" s="48" t="str">
        <f>IF(E14&lt;&gt;"", IF(V13&lt;&gt;"", E14*V13,""),"")</f>
        <v/>
      </c>
      <c r="W14" s="48" t="str">
        <f>IF(E14&lt;&gt;"", IF(W13&lt;&gt;"", E14*W13,""),"")</f>
        <v/>
      </c>
      <c r="X14" s="48">
        <f>IF(E14&lt;&gt;"", IF(X13&lt;&gt;"", E14*X13,""),"")</f>
        <v>524</v>
      </c>
      <c r="Y14" s="48" t="str">
        <f>IF(E14&lt;&gt;"", IF(Y13&lt;&gt;"", E14*Y13,""),"")</f>
        <v/>
      </c>
      <c r="Z14" s="48" t="str">
        <f>IF(E14&lt;&gt;"", IF(Z13&lt;&gt;"", E14*Z13,""),"")</f>
        <v/>
      </c>
      <c r="AA14" s="22"/>
      <c r="AB14" s="22" t="str">
        <f>IF(E14&lt;&gt;"", IF(AB13&lt;&gt;"", E14*AB13, ""), "")</f>
        <v/>
      </c>
      <c r="AC14" s="22" t="str">
        <f>IF(E14&lt;&gt;"", IF(AC13&lt;&gt;"", E14*AC13, ""), "")</f>
        <v/>
      </c>
      <c r="AD14" s="22" t="str">
        <f>IF(E14&lt;&gt;"", IF(AD13&lt;&gt;"", E14*AD13, ""), "")</f>
        <v/>
      </c>
      <c r="AE14" s="22" t="str">
        <f>IF(E14&lt;&gt;"", IF(AE13&lt;&gt;"", E14*AE13, ""), "")</f>
        <v/>
      </c>
      <c r="AF14" s="22" t="str">
        <f>IF(E14&lt;&gt;"", IF(AF13&lt;&gt;"", E14*AF13, ""), "")</f>
        <v/>
      </c>
      <c r="AG14" s="22" t="str">
        <f>IF(E14&lt;&gt;"", IF(AG13&lt;&gt;"", E14*AG13, ""), "")</f>
        <v/>
      </c>
      <c r="AH14" s="22" t="str">
        <f>IF(E14&lt;&gt;"", IF(AH13&lt;&gt;"", E14*AH13, ""), "")</f>
        <v/>
      </c>
      <c r="AI14" s="22" t="str">
        <f>IF(E14&lt;&gt;"", IF(AI13&lt;&gt;"", E14*AI13, ""), "")</f>
        <v/>
      </c>
      <c r="AJ14" s="22" t="str">
        <f>IF(E14&lt;&gt;"", IF(AJ13&lt;&gt;"", E14*AJ13, ""), "")</f>
        <v/>
      </c>
      <c r="AK14" s="22" t="str">
        <f>IF(E14&lt;&gt;"", IF(AK13&lt;&gt;"", E14*AK13, ""), "")</f>
        <v/>
      </c>
      <c r="AL14" s="22" t="str">
        <f>IF(E14&lt;&gt;"", IF(AL13&lt;&gt;"", E14*AL13, ""), "")</f>
        <v/>
      </c>
      <c r="AM14" s="22" t="str">
        <f>IF(E14&lt;&gt;"", IF(AM13&lt;&gt;"", E14*AM13, ""), "")</f>
        <v/>
      </c>
      <c r="AN14" s="22" t="str">
        <f>IF(E14&lt;&gt;"", IF(AN13&lt;&gt;"", E14*AN13, ""), "")</f>
        <v/>
      </c>
      <c r="AO14" s="22" t="str">
        <f>IF(E14&lt;&gt;"", IF(AO13&lt;&gt;"", E14*AO13, ""), "")</f>
        <v/>
      </c>
      <c r="AP14" s="22" t="str">
        <f>IF(E14&lt;&gt;"", IF(AP13&lt;&gt;"", E14*AP13, ""), "")</f>
        <v/>
      </c>
      <c r="AQ14" s="22" t="str">
        <f>IF(E14&lt;&gt;"", IF(AQ13&lt;&gt;"", E14*AQ13, ""), "")</f>
        <v/>
      </c>
      <c r="AR14" s="22" t="str">
        <f>IF(E14&lt;&gt;"", IF(AR13&lt;&gt;"", E14*AR13, ""), "")</f>
        <v/>
      </c>
      <c r="AS14" s="22" t="str">
        <f>IF(E14&lt;&gt;"", IF(AS13&lt;&gt;"", E14*AS13, ""), "")</f>
        <v/>
      </c>
      <c r="AT14" s="22" t="str">
        <f>IF(E14&lt;&gt;"", IF(AT13&lt;&gt;"", E14*AT13, ""), "")</f>
        <v/>
      </c>
      <c r="AU14" s="22" t="str">
        <f>IF(E14&lt;&gt;"", IF(AU13&lt;&gt;"", E14*AU13, ""), "")</f>
        <v/>
      </c>
      <c r="AV14" s="22" t="str">
        <f>IF(E14&lt;&gt;"", IF(AV13&lt;&gt;"", E14*AV13, ""), "")</f>
        <v/>
      </c>
      <c r="AW14" s="22" t="str">
        <f>IF(E14&lt;&gt;"", IF(AW13&lt;&gt;"", E14*AW13, ""), "")</f>
        <v/>
      </c>
      <c r="AX14" s="22" t="str">
        <f>IF(E14&lt;&gt;"", IF(AX13&lt;&gt;"", E14*AX13, ""), "")</f>
        <v/>
      </c>
      <c r="AY14" s="22" t="str">
        <f>IF(E14&lt;&gt;"", IF(AY13&lt;&gt;"", E14*AY13, ""), "")</f>
        <v/>
      </c>
      <c r="AZ14" s="22" t="str">
        <f>IF(E14&lt;&gt;"", IF(AZ13&lt;&gt;"", E14*AZ13, ""), "")</f>
        <v/>
      </c>
      <c r="BA14" s="22" t="str">
        <f>IF(E14&lt;&gt;"", IF(BA13&lt;&gt;"", E14*BA13, ""), "")</f>
        <v/>
      </c>
      <c r="BB14" s="22" t="str">
        <f>IF(E14&lt;&gt;"", IF(BB13&lt;&gt;"", E14*BB13, ""), "")</f>
        <v/>
      </c>
      <c r="BC14" s="22" t="str">
        <f>IF(E14&lt;&gt;"", IF(BC13&lt;&gt;"", E14*BC13, ""), "")</f>
        <v/>
      </c>
      <c r="BD14" s="22" t="str">
        <f>IF(E14&lt;&gt;"", IF(BD13&lt;&gt;"", E14*BD13, ""), "")</f>
        <v/>
      </c>
      <c r="BE14" s="22" t="str">
        <f>IF(E14&lt;&gt;"", IF(BE13&lt;&gt;"", E14*BE13, ""), "")</f>
        <v/>
      </c>
      <c r="DS14" s="18">
        <f>X14</f>
        <v>524</v>
      </c>
    </row>
    <row r="15" spans="1:123" ht="20.100000000000001" customHeight="1">
      <c r="A15" s="220">
        <v>5</v>
      </c>
      <c r="B15" s="7"/>
      <c r="C15" s="7"/>
      <c r="D15" s="5" t="s">
        <v>228</v>
      </c>
      <c r="E15" s="3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>
        <v>1</v>
      </c>
      <c r="X15" s="46"/>
      <c r="Y15" s="46"/>
      <c r="Z15" s="46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</row>
    <row r="16" spans="1:123" ht="20.100000000000001" customHeight="1">
      <c r="A16" s="221"/>
      <c r="B16" s="7"/>
      <c r="C16" s="7"/>
      <c r="D16" s="78">
        <v>131</v>
      </c>
      <c r="E16" s="47">
        <f>IF(egTextCal(D16)&lt;&gt;0, egTextCal(D16),"")</f>
        <v>131</v>
      </c>
      <c r="F16" s="48" t="str">
        <f>IF(E16&lt;&gt;"", IF(F15&lt;&gt;"", E16*F15,""),"")</f>
        <v/>
      </c>
      <c r="G16" s="48" t="str">
        <f>IF(E16&lt;&gt;"", IF(G15&lt;&gt;"", E16*G15,""),"")</f>
        <v/>
      </c>
      <c r="H16" s="48" t="str">
        <f>IF(E16&lt;&gt;"", IF(H15&lt;&gt;"", E16*H15,""),"")</f>
        <v/>
      </c>
      <c r="I16" s="48" t="str">
        <f>IF(E16&lt;&gt;"", IF(I15&lt;&gt;"", E16*I15,""),"")</f>
        <v/>
      </c>
      <c r="J16" s="48" t="str">
        <f>IF(E16&lt;&gt;"", IF(J15&lt;&gt;"", E16*J15,""),"")</f>
        <v/>
      </c>
      <c r="K16" s="48" t="str">
        <f>IF(E16&lt;&gt;"", IF(K15&lt;&gt;"", E16*K15,""),"")</f>
        <v/>
      </c>
      <c r="L16" s="48" t="str">
        <f>IF(E16&lt;&gt;"", IF(L15&lt;&gt;"", E16*L15,""),"")</f>
        <v/>
      </c>
      <c r="M16" s="48" t="str">
        <f>IF(E16&lt;&gt;"", IF(M15&lt;&gt;"", E16*M15,""),"")</f>
        <v/>
      </c>
      <c r="N16" s="48" t="str">
        <f>IF(E16&lt;&gt;"", IF(N15&lt;&gt;"", E16*N15,""),"")</f>
        <v/>
      </c>
      <c r="O16" s="48" t="str">
        <f>IF(E16&lt;&gt;"", IF(O15&lt;&gt;"", E16*O15,""),"")</f>
        <v/>
      </c>
      <c r="P16" s="48" t="str">
        <f>IF(E16&lt;&gt;"", IF(P15&lt;&gt;"", E16*P15,""),"")</f>
        <v/>
      </c>
      <c r="Q16" s="48" t="str">
        <f>IF(E16&lt;&gt;"", IF(Q15&lt;&gt;"", E16*Q15,""),"")</f>
        <v/>
      </c>
      <c r="R16" s="48" t="str">
        <f>IF(E16&lt;&gt;"", IF(R15&lt;&gt;"", E16*R15,""),"")</f>
        <v/>
      </c>
      <c r="S16" s="48" t="str">
        <f>IF(E16&lt;&gt;"", IF(S15&lt;&gt;"", E16*S15,""),"")</f>
        <v/>
      </c>
      <c r="T16" s="48" t="str">
        <f>IF(E16&lt;&gt;"", IF(T15&lt;&gt;"", E16*T15,""),"")</f>
        <v/>
      </c>
      <c r="U16" s="48" t="str">
        <f>IF(E16&lt;&gt;"", IF(U15&lt;&gt;"", E16*U15,""),"")</f>
        <v/>
      </c>
      <c r="V16" s="48" t="str">
        <f>IF(E16&lt;&gt;"", IF(V15&lt;&gt;"", E16*V15,""),"")</f>
        <v/>
      </c>
      <c r="W16" s="48">
        <f>IF(E16&lt;&gt;"", IF(W15&lt;&gt;"", E16*W15,""),"")</f>
        <v>131</v>
      </c>
      <c r="X16" s="48" t="str">
        <f>IF(E16&lt;&gt;"", IF(X15&lt;&gt;"", E16*X15,""),"")</f>
        <v/>
      </c>
      <c r="Y16" s="48" t="str">
        <f>IF(E16&lt;&gt;"", IF(Y15&lt;&gt;"", E16*Y15,""),"")</f>
        <v/>
      </c>
      <c r="Z16" s="48" t="str">
        <f>IF(E16&lt;&gt;"", IF(Z15&lt;&gt;"", E16*Z15,""),"")</f>
        <v/>
      </c>
      <c r="AA16" s="22"/>
      <c r="AB16" s="22" t="str">
        <f>IF(E16&lt;&gt;"", IF(AB15&lt;&gt;"", E16*AB15, ""), "")</f>
        <v/>
      </c>
      <c r="AC16" s="22" t="str">
        <f>IF(E16&lt;&gt;"", IF(AC15&lt;&gt;"", E16*AC15, ""), "")</f>
        <v/>
      </c>
      <c r="AD16" s="22" t="str">
        <f>IF(E16&lt;&gt;"", IF(AD15&lt;&gt;"", E16*AD15, ""), "")</f>
        <v/>
      </c>
      <c r="AE16" s="22" t="str">
        <f>IF(E16&lt;&gt;"", IF(AE15&lt;&gt;"", E16*AE15, ""), "")</f>
        <v/>
      </c>
      <c r="AF16" s="22" t="str">
        <f>IF(E16&lt;&gt;"", IF(AF15&lt;&gt;"", E16*AF15, ""), "")</f>
        <v/>
      </c>
      <c r="AG16" s="22" t="str">
        <f>IF(E16&lt;&gt;"", IF(AG15&lt;&gt;"", E16*AG15, ""), "")</f>
        <v/>
      </c>
      <c r="AH16" s="22" t="str">
        <f>IF(E16&lt;&gt;"", IF(AH15&lt;&gt;"", E16*AH15, ""), "")</f>
        <v/>
      </c>
      <c r="AI16" s="22" t="str">
        <f>IF(E16&lt;&gt;"", IF(AI15&lt;&gt;"", E16*AI15, ""), "")</f>
        <v/>
      </c>
      <c r="AJ16" s="22" t="str">
        <f>IF(E16&lt;&gt;"", IF(AJ15&lt;&gt;"", E16*AJ15, ""), "")</f>
        <v/>
      </c>
      <c r="AK16" s="22" t="str">
        <f>IF(E16&lt;&gt;"", IF(AK15&lt;&gt;"", E16*AK15, ""), "")</f>
        <v/>
      </c>
      <c r="AL16" s="22" t="str">
        <f>IF(E16&lt;&gt;"", IF(AL15&lt;&gt;"", E16*AL15, ""), "")</f>
        <v/>
      </c>
      <c r="AM16" s="22" t="str">
        <f>IF(E16&lt;&gt;"", IF(AM15&lt;&gt;"", E16*AM15, ""), "")</f>
        <v/>
      </c>
      <c r="AN16" s="22" t="str">
        <f>IF(E16&lt;&gt;"", IF(AN15&lt;&gt;"", E16*AN15, ""), "")</f>
        <v/>
      </c>
      <c r="AO16" s="22" t="str">
        <f>IF(E16&lt;&gt;"", IF(AO15&lt;&gt;"", E16*AO15, ""), "")</f>
        <v/>
      </c>
      <c r="AP16" s="22" t="str">
        <f>IF(E16&lt;&gt;"", IF(AP15&lt;&gt;"", E16*AP15, ""), "")</f>
        <v/>
      </c>
      <c r="AQ16" s="22" t="str">
        <f>IF(E16&lt;&gt;"", IF(AQ15&lt;&gt;"", E16*AQ15, ""), "")</f>
        <v/>
      </c>
      <c r="AR16" s="22" t="str">
        <f>IF(E16&lt;&gt;"", IF(AR15&lt;&gt;"", E16*AR15, ""), "")</f>
        <v/>
      </c>
      <c r="AS16" s="22" t="str">
        <f>IF(E16&lt;&gt;"", IF(AS15&lt;&gt;"", E16*AS15, ""), "")</f>
        <v/>
      </c>
      <c r="AT16" s="22" t="str">
        <f>IF(E16&lt;&gt;"", IF(AT15&lt;&gt;"", E16*AT15, ""), "")</f>
        <v/>
      </c>
      <c r="AU16" s="22" t="str">
        <f>IF(E16&lt;&gt;"", IF(AU15&lt;&gt;"", E16*AU15, ""), "")</f>
        <v/>
      </c>
      <c r="AV16" s="22" t="str">
        <f>IF(E16&lt;&gt;"", IF(AV15&lt;&gt;"", E16*AV15, ""), "")</f>
        <v/>
      </c>
      <c r="AW16" s="22" t="str">
        <f>IF(E16&lt;&gt;"", IF(AW15&lt;&gt;"", E16*AW15, ""), "")</f>
        <v/>
      </c>
      <c r="AX16" s="22" t="str">
        <f>IF(E16&lt;&gt;"", IF(AX15&lt;&gt;"", E16*AX15, ""), "")</f>
        <v/>
      </c>
      <c r="AY16" s="22" t="str">
        <f>IF(E16&lt;&gt;"", IF(AY15&lt;&gt;"", E16*AY15, ""), "")</f>
        <v/>
      </c>
      <c r="AZ16" s="22" t="str">
        <f>IF(E16&lt;&gt;"", IF(AZ15&lt;&gt;"", E16*AZ15, ""), "")</f>
        <v/>
      </c>
      <c r="BA16" s="22" t="str">
        <f>IF(E16&lt;&gt;"", IF(BA15&lt;&gt;"", E16*BA15, ""), "")</f>
        <v/>
      </c>
      <c r="BB16" s="22" t="str">
        <f>IF(E16&lt;&gt;"", IF(BB15&lt;&gt;"", E16*BB15, ""), "")</f>
        <v/>
      </c>
      <c r="BC16" s="22" t="str">
        <f>IF(E16&lt;&gt;"", IF(BC15&lt;&gt;"", E16*BC15, ""), "")</f>
        <v/>
      </c>
      <c r="BD16" s="22" t="str">
        <f>IF(E16&lt;&gt;"", IF(BD15&lt;&gt;"", E16*BD15, ""), "")</f>
        <v/>
      </c>
      <c r="BE16" s="22" t="str">
        <f>IF(E16&lt;&gt;"", IF(BE15&lt;&gt;"", E16*BE15, ""), "")</f>
        <v/>
      </c>
      <c r="DR16" s="18">
        <f>W16</f>
        <v>131</v>
      </c>
    </row>
    <row r="17" spans="1:121" ht="20.100000000000001" customHeight="1">
      <c r="A17" s="220">
        <v>6</v>
      </c>
      <c r="B17" s="7"/>
      <c r="C17" s="7"/>
      <c r="D17" s="5" t="s">
        <v>229</v>
      </c>
      <c r="E17" s="3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>
        <v>1</v>
      </c>
      <c r="W17" s="46"/>
      <c r="X17" s="46"/>
      <c r="Y17" s="46"/>
      <c r="Z17" s="46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</row>
    <row r="18" spans="1:121" ht="20.100000000000001" customHeight="1">
      <c r="A18" s="221"/>
      <c r="B18" s="7"/>
      <c r="C18" s="7"/>
      <c r="D18" s="78" t="s">
        <v>230</v>
      </c>
      <c r="E18" s="47">
        <f>IF(egTextCal(D18)&lt;&gt;0, egTextCal(D18),"")</f>
        <v>262</v>
      </c>
      <c r="F18" s="48" t="str">
        <f>IF(E18&lt;&gt;"", IF(F17&lt;&gt;"", E18*F17,""),"")</f>
        <v/>
      </c>
      <c r="G18" s="48" t="str">
        <f>IF(E18&lt;&gt;"", IF(G17&lt;&gt;"", E18*G17,""),"")</f>
        <v/>
      </c>
      <c r="H18" s="48" t="str">
        <f>IF(E18&lt;&gt;"", IF(H17&lt;&gt;"", E18*H17,""),"")</f>
        <v/>
      </c>
      <c r="I18" s="48" t="str">
        <f>IF(E18&lt;&gt;"", IF(I17&lt;&gt;"", E18*I17,""),"")</f>
        <v/>
      </c>
      <c r="J18" s="48" t="str">
        <f>IF(E18&lt;&gt;"", IF(J17&lt;&gt;"", E18*J17,""),"")</f>
        <v/>
      </c>
      <c r="K18" s="48" t="str">
        <f>IF(E18&lt;&gt;"", IF(K17&lt;&gt;"", E18*K17,""),"")</f>
        <v/>
      </c>
      <c r="L18" s="48" t="str">
        <f>IF(E18&lt;&gt;"", IF(L17&lt;&gt;"", E18*L17,""),"")</f>
        <v/>
      </c>
      <c r="M18" s="48" t="str">
        <f>IF(E18&lt;&gt;"", IF(M17&lt;&gt;"", E18*M17,""),"")</f>
        <v/>
      </c>
      <c r="N18" s="48" t="str">
        <f>IF(E18&lt;&gt;"", IF(N17&lt;&gt;"", E18*N17,""),"")</f>
        <v/>
      </c>
      <c r="O18" s="48" t="str">
        <f>IF(E18&lt;&gt;"", IF(O17&lt;&gt;"", E18*O17,""),"")</f>
        <v/>
      </c>
      <c r="P18" s="48" t="str">
        <f>IF(E18&lt;&gt;"", IF(P17&lt;&gt;"", E18*P17,""),"")</f>
        <v/>
      </c>
      <c r="Q18" s="48" t="str">
        <f>IF(E18&lt;&gt;"", IF(Q17&lt;&gt;"", E18*Q17,""),"")</f>
        <v/>
      </c>
      <c r="R18" s="48" t="str">
        <f>IF(E18&lt;&gt;"", IF(R17&lt;&gt;"", E18*R17,""),"")</f>
        <v/>
      </c>
      <c r="S18" s="48" t="str">
        <f>IF(E18&lt;&gt;"", IF(S17&lt;&gt;"", E18*S17,""),"")</f>
        <v/>
      </c>
      <c r="T18" s="48" t="str">
        <f>IF(E18&lt;&gt;"", IF(T17&lt;&gt;"", E18*T17,""),"")</f>
        <v/>
      </c>
      <c r="U18" s="48" t="str">
        <f>IF(E18&lt;&gt;"", IF(U17&lt;&gt;"", E18*U17,""),"")</f>
        <v/>
      </c>
      <c r="V18" s="48">
        <f>IF(E18&lt;&gt;"", IF(V17&lt;&gt;"", E18*V17,""),"")</f>
        <v>262</v>
      </c>
      <c r="W18" s="48" t="str">
        <f>IF(E18&lt;&gt;"", IF(W17&lt;&gt;"", E18*W17,""),"")</f>
        <v/>
      </c>
      <c r="X18" s="48" t="str">
        <f>IF(E18&lt;&gt;"", IF(X17&lt;&gt;"", E18*X17,""),"")</f>
        <v/>
      </c>
      <c r="Y18" s="48" t="str">
        <f>IF(E18&lt;&gt;"", IF(Y17&lt;&gt;"", E18*Y17,""),"")</f>
        <v/>
      </c>
      <c r="Z18" s="48" t="str">
        <f>IF(E18&lt;&gt;"", IF(Z17&lt;&gt;"", E18*Z17,""),"")</f>
        <v/>
      </c>
      <c r="AA18" s="22"/>
      <c r="AB18" s="22" t="str">
        <f>IF(E18&lt;&gt;"", IF(AB17&lt;&gt;"", E18*AB17, ""), "")</f>
        <v/>
      </c>
      <c r="AC18" s="22" t="str">
        <f>IF(E18&lt;&gt;"", IF(AC17&lt;&gt;"", E18*AC17, ""), "")</f>
        <v/>
      </c>
      <c r="AD18" s="22" t="str">
        <f>IF(E18&lt;&gt;"", IF(AD17&lt;&gt;"", E18*AD17, ""), "")</f>
        <v/>
      </c>
      <c r="AE18" s="22" t="str">
        <f>IF(E18&lt;&gt;"", IF(AE17&lt;&gt;"", E18*AE17, ""), "")</f>
        <v/>
      </c>
      <c r="AF18" s="22" t="str">
        <f>IF(E18&lt;&gt;"", IF(AF17&lt;&gt;"", E18*AF17, ""), "")</f>
        <v/>
      </c>
      <c r="AG18" s="22" t="str">
        <f>IF(E18&lt;&gt;"", IF(AG17&lt;&gt;"", E18*AG17, ""), "")</f>
        <v/>
      </c>
      <c r="AH18" s="22" t="str">
        <f>IF(E18&lt;&gt;"", IF(AH17&lt;&gt;"", E18*AH17, ""), "")</f>
        <v/>
      </c>
      <c r="AI18" s="22" t="str">
        <f>IF(E18&lt;&gt;"", IF(AI17&lt;&gt;"", E18*AI17, ""), "")</f>
        <v/>
      </c>
      <c r="AJ18" s="22" t="str">
        <f>IF(E18&lt;&gt;"", IF(AJ17&lt;&gt;"", E18*AJ17, ""), "")</f>
        <v/>
      </c>
      <c r="AK18" s="22" t="str">
        <f>IF(E18&lt;&gt;"", IF(AK17&lt;&gt;"", E18*AK17, ""), "")</f>
        <v/>
      </c>
      <c r="AL18" s="22" t="str">
        <f>IF(E18&lt;&gt;"", IF(AL17&lt;&gt;"", E18*AL17, ""), "")</f>
        <v/>
      </c>
      <c r="AM18" s="22" t="str">
        <f>IF(E18&lt;&gt;"", IF(AM17&lt;&gt;"", E18*AM17, ""), "")</f>
        <v/>
      </c>
      <c r="AN18" s="22" t="str">
        <f>IF(E18&lt;&gt;"", IF(AN17&lt;&gt;"", E18*AN17, ""), "")</f>
        <v/>
      </c>
      <c r="AO18" s="22" t="str">
        <f>IF(E18&lt;&gt;"", IF(AO17&lt;&gt;"", E18*AO17, ""), "")</f>
        <v/>
      </c>
      <c r="AP18" s="22" t="str">
        <f>IF(E18&lt;&gt;"", IF(AP17&lt;&gt;"", E18*AP17, ""), "")</f>
        <v/>
      </c>
      <c r="AQ18" s="22" t="str">
        <f>IF(E18&lt;&gt;"", IF(AQ17&lt;&gt;"", E18*AQ17, ""), "")</f>
        <v/>
      </c>
      <c r="AR18" s="22" t="str">
        <f>IF(E18&lt;&gt;"", IF(AR17&lt;&gt;"", E18*AR17, ""), "")</f>
        <v/>
      </c>
      <c r="AS18" s="22" t="str">
        <f>IF(E18&lt;&gt;"", IF(AS17&lt;&gt;"", E18*AS17, ""), "")</f>
        <v/>
      </c>
      <c r="AT18" s="22" t="str">
        <f>IF(E18&lt;&gt;"", IF(AT17&lt;&gt;"", E18*AT17, ""), "")</f>
        <v/>
      </c>
      <c r="AU18" s="22" t="str">
        <f>IF(E18&lt;&gt;"", IF(AU17&lt;&gt;"", E18*AU17, ""), "")</f>
        <v/>
      </c>
      <c r="AV18" s="22" t="str">
        <f>IF(E18&lt;&gt;"", IF(AV17&lt;&gt;"", E18*AV17, ""), "")</f>
        <v/>
      </c>
      <c r="AW18" s="22" t="str">
        <f>IF(E18&lt;&gt;"", IF(AW17&lt;&gt;"", E18*AW17, ""), "")</f>
        <v/>
      </c>
      <c r="AX18" s="22" t="str">
        <f>IF(E18&lt;&gt;"", IF(AX17&lt;&gt;"", E18*AX17, ""), "")</f>
        <v/>
      </c>
      <c r="AY18" s="22" t="str">
        <f>IF(E18&lt;&gt;"", IF(AY17&lt;&gt;"", E18*AY17, ""), "")</f>
        <v/>
      </c>
      <c r="AZ18" s="22" t="str">
        <f>IF(E18&lt;&gt;"", IF(AZ17&lt;&gt;"", E18*AZ17, ""), "")</f>
        <v/>
      </c>
      <c r="BA18" s="22" t="str">
        <f>IF(E18&lt;&gt;"", IF(BA17&lt;&gt;"", E18*BA17, ""), "")</f>
        <v/>
      </c>
      <c r="BB18" s="22" t="str">
        <f>IF(E18&lt;&gt;"", IF(BB17&lt;&gt;"", E18*BB17, ""), "")</f>
        <v/>
      </c>
      <c r="BC18" s="22" t="str">
        <f>IF(E18&lt;&gt;"", IF(BC17&lt;&gt;"", E18*BC17, ""), "")</f>
        <v/>
      </c>
      <c r="BD18" s="22" t="str">
        <f>IF(E18&lt;&gt;"", IF(BD17&lt;&gt;"", E18*BD17, ""), "")</f>
        <v/>
      </c>
      <c r="BE18" s="22" t="str">
        <f>IF(E18&lt;&gt;"", IF(BE17&lt;&gt;"", E18*BE17, ""), "")</f>
        <v/>
      </c>
      <c r="DQ18" s="18">
        <f>V18</f>
        <v>262</v>
      </c>
    </row>
    <row r="19" spans="1:121" ht="20.100000000000001" customHeight="1">
      <c r="A19" s="220">
        <v>7</v>
      </c>
      <c r="B19" s="7"/>
      <c r="C19" s="7"/>
      <c r="D19" s="5" t="s">
        <v>231</v>
      </c>
      <c r="E19" s="3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</row>
    <row r="20" spans="1:121" ht="20.100000000000001" customHeight="1">
      <c r="A20" s="221"/>
      <c r="B20" s="7"/>
      <c r="C20" s="7"/>
      <c r="D20" s="78" t="s">
        <v>232</v>
      </c>
      <c r="E20" s="47">
        <f>IF(egTextCal(D20)&lt;&gt;0, egTextCal(D20),"")</f>
        <v>6</v>
      </c>
      <c r="F20" s="48" t="str">
        <f>IF(E20&lt;&gt;"", IF(F19&lt;&gt;"", E20*F19,""),"")</f>
        <v/>
      </c>
      <c r="G20" s="48" t="str">
        <f>IF(E20&lt;&gt;"", IF(G19&lt;&gt;"", E20*G19,""),"")</f>
        <v/>
      </c>
      <c r="H20" s="48" t="str">
        <f>IF(E20&lt;&gt;"", IF(H19&lt;&gt;"", E20*H19,""),"")</f>
        <v/>
      </c>
      <c r="I20" s="48" t="str">
        <f>IF(E20&lt;&gt;"", IF(I19&lt;&gt;"", E20*I19,""),"")</f>
        <v/>
      </c>
      <c r="J20" s="48" t="str">
        <f>IF(E20&lt;&gt;"", IF(J19&lt;&gt;"", E20*J19,""),"")</f>
        <v/>
      </c>
      <c r="K20" s="48" t="str">
        <f>IF(E20&lt;&gt;"", IF(K19&lt;&gt;"", E20*K19,""),"")</f>
        <v/>
      </c>
      <c r="L20" s="48" t="str">
        <f>IF(E20&lt;&gt;"", IF(L19&lt;&gt;"", E20*L19,""),"")</f>
        <v/>
      </c>
      <c r="M20" s="48" t="str">
        <f>IF(E20&lt;&gt;"", IF(M19&lt;&gt;"", E20*M19,""),"")</f>
        <v/>
      </c>
      <c r="N20" s="48" t="str">
        <f>IF(E20&lt;&gt;"", IF(N19&lt;&gt;"", E20*N19,""),"")</f>
        <v/>
      </c>
      <c r="O20" s="48" t="str">
        <f>IF(E20&lt;&gt;"", IF(O19&lt;&gt;"", E20*O19,""),"")</f>
        <v/>
      </c>
      <c r="P20" s="48" t="str">
        <f>IF(E20&lt;&gt;"", IF(P19&lt;&gt;"", E20*P19,""),"")</f>
        <v/>
      </c>
      <c r="Q20" s="48" t="str">
        <f>IF(E20&lt;&gt;"", IF(Q19&lt;&gt;"", E20*Q19,""),"")</f>
        <v/>
      </c>
      <c r="R20" s="48" t="str">
        <f>IF(E20&lt;&gt;"", IF(R19&lt;&gt;"", E20*R19,""),"")</f>
        <v/>
      </c>
      <c r="S20" s="48" t="str">
        <f>IF(E20&lt;&gt;"", IF(S19&lt;&gt;"", E20*S19,""),"")</f>
        <v/>
      </c>
      <c r="T20" s="48" t="str">
        <f>IF(E20&lt;&gt;"", IF(T19&lt;&gt;"", E20*T19,""),"")</f>
        <v/>
      </c>
      <c r="U20" s="48" t="str">
        <f>IF(E20&lt;&gt;"", IF(U19&lt;&gt;"", E20*U19,""),"")</f>
        <v/>
      </c>
      <c r="V20" s="48" t="str">
        <f>IF(E20&lt;&gt;"", IF(V19&lt;&gt;"", E20*V19,""),"")</f>
        <v/>
      </c>
      <c r="W20" s="48" t="str">
        <f>IF(E20&lt;&gt;"", IF(W19&lt;&gt;"", E20*W19,""),"")</f>
        <v/>
      </c>
      <c r="X20" s="48" t="str">
        <f>IF(E20&lt;&gt;"", IF(X19&lt;&gt;"", E20*X19,""),"")</f>
        <v/>
      </c>
      <c r="Y20" s="48" t="str">
        <f>IF(E20&lt;&gt;"", IF(Y19&lt;&gt;"", E20*Y19,""),"")</f>
        <v/>
      </c>
      <c r="Z20" s="48" t="str">
        <f>IF(E20&lt;&gt;"", IF(Z19&lt;&gt;"", E20*Z19,""),"")</f>
        <v/>
      </c>
      <c r="AA20" s="22"/>
      <c r="AB20" s="22" t="str">
        <f>IF(E20&lt;&gt;"", IF(AB19&lt;&gt;"", E20*AB19, ""), "")</f>
        <v/>
      </c>
      <c r="AC20" s="22" t="str">
        <f>IF(E20&lt;&gt;"", IF(AC19&lt;&gt;"", E20*AC19, ""), "")</f>
        <v/>
      </c>
      <c r="AD20" s="22" t="str">
        <f>IF(E20&lt;&gt;"", IF(AD19&lt;&gt;"", E20*AD19, ""), "")</f>
        <v/>
      </c>
      <c r="AE20" s="22" t="str">
        <f>IF(E20&lt;&gt;"", IF(AE19&lt;&gt;"", E20*AE19, ""), "")</f>
        <v/>
      </c>
      <c r="AF20" s="22" t="str">
        <f>IF(E20&lt;&gt;"", IF(AF19&lt;&gt;"", E20*AF19, ""), "")</f>
        <v/>
      </c>
      <c r="AG20" s="22" t="str">
        <f>IF(E20&lt;&gt;"", IF(AG19&lt;&gt;"", E20*AG19, ""), "")</f>
        <v/>
      </c>
      <c r="AH20" s="22" t="str">
        <f>IF(E20&lt;&gt;"", IF(AH19&lt;&gt;"", E20*AH19, ""), "")</f>
        <v/>
      </c>
      <c r="AI20" s="22" t="str">
        <f>IF(E20&lt;&gt;"", IF(AI19&lt;&gt;"", E20*AI19, ""), "")</f>
        <v/>
      </c>
      <c r="AJ20" s="22" t="str">
        <f>IF(E20&lt;&gt;"", IF(AJ19&lt;&gt;"", E20*AJ19, ""), "")</f>
        <v/>
      </c>
      <c r="AK20" s="22" t="str">
        <f>IF(E20&lt;&gt;"", IF(AK19&lt;&gt;"", E20*AK19, ""), "")</f>
        <v/>
      </c>
      <c r="AL20" s="22" t="str">
        <f>IF(E20&lt;&gt;"", IF(AL19&lt;&gt;"", E20*AL19, ""), "")</f>
        <v/>
      </c>
      <c r="AM20" s="22" t="str">
        <f>IF(E20&lt;&gt;"", IF(AM19&lt;&gt;"", E20*AM19, ""), "")</f>
        <v/>
      </c>
      <c r="AN20" s="22" t="str">
        <f>IF(E20&lt;&gt;"", IF(AN19&lt;&gt;"", E20*AN19, ""), "")</f>
        <v/>
      </c>
      <c r="AO20" s="22" t="str">
        <f>IF(E20&lt;&gt;"", IF(AO19&lt;&gt;"", E20*AO19, ""), "")</f>
        <v/>
      </c>
      <c r="AP20" s="22" t="str">
        <f>IF(E20&lt;&gt;"", IF(AP19&lt;&gt;"", E20*AP19, ""), "")</f>
        <v/>
      </c>
      <c r="AQ20" s="22" t="str">
        <f>IF(E20&lt;&gt;"", IF(AQ19&lt;&gt;"", E20*AQ19, ""), "")</f>
        <v/>
      </c>
      <c r="AR20" s="22" t="str">
        <f>IF(E20&lt;&gt;"", IF(AR19&lt;&gt;"", E20*AR19, ""), "")</f>
        <v/>
      </c>
      <c r="AS20" s="22" t="str">
        <f>IF(E20&lt;&gt;"", IF(AS19&lt;&gt;"", E20*AS19, ""), "")</f>
        <v/>
      </c>
      <c r="AT20" s="22" t="str">
        <f>IF(E20&lt;&gt;"", IF(AT19&lt;&gt;"", E20*AT19, ""), "")</f>
        <v/>
      </c>
      <c r="AU20" s="22" t="str">
        <f>IF(E20&lt;&gt;"", IF(AU19&lt;&gt;"", E20*AU19, ""), "")</f>
        <v/>
      </c>
      <c r="AV20" s="22" t="str">
        <f>IF(E20&lt;&gt;"", IF(AV19&lt;&gt;"", E20*AV19, ""), "")</f>
        <v/>
      </c>
      <c r="AW20" s="22" t="str">
        <f>IF(E20&lt;&gt;"", IF(AW19&lt;&gt;"", E20*AW19, ""), "")</f>
        <v/>
      </c>
      <c r="AX20" s="22" t="str">
        <f>IF(E20&lt;&gt;"", IF(AX19&lt;&gt;"", E20*AX19, ""), "")</f>
        <v/>
      </c>
      <c r="AY20" s="22" t="str">
        <f>IF(E20&lt;&gt;"", IF(AY19&lt;&gt;"", E20*AY19, ""), "")</f>
        <v/>
      </c>
      <c r="AZ20" s="22" t="str">
        <f>IF(E20&lt;&gt;"", IF(AZ19&lt;&gt;"", E20*AZ19, ""), "")</f>
        <v/>
      </c>
      <c r="BA20" s="22" t="str">
        <f>IF(E20&lt;&gt;"", IF(BA19&lt;&gt;"", E20*BA19, ""), "")</f>
        <v/>
      </c>
      <c r="BB20" s="22" t="str">
        <f>IF(E20&lt;&gt;"", IF(BB19&lt;&gt;"", E20*BB19, ""), "")</f>
        <v/>
      </c>
      <c r="BC20" s="22" t="str">
        <f>IF(E20&lt;&gt;"", IF(BC19&lt;&gt;"", E20*BC19, ""), "")</f>
        <v/>
      </c>
      <c r="BD20" s="22" t="str">
        <f>IF(E20&lt;&gt;"", IF(BD19&lt;&gt;"", E20*BD19, ""), "")</f>
        <v/>
      </c>
      <c r="BE20" s="22" t="str">
        <f>IF(E20&lt;&gt;"", IF(BE19&lt;&gt;"", E20*BE19, ""), "")</f>
        <v/>
      </c>
    </row>
    <row r="21" spans="1:121" ht="20.100000000000001" customHeight="1">
      <c r="A21" s="220">
        <v>8</v>
      </c>
      <c r="B21" s="7"/>
      <c r="C21" s="7"/>
      <c r="D21" s="5" t="s">
        <v>233</v>
      </c>
      <c r="E21" s="3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</row>
    <row r="22" spans="1:121" ht="20.100000000000001" customHeight="1">
      <c r="A22" s="221"/>
      <c r="B22" s="7"/>
      <c r="C22" s="7"/>
      <c r="D22" s="78" t="s">
        <v>232</v>
      </c>
      <c r="E22" s="47">
        <f>IF(egTextCal(D22)&lt;&gt;0, egTextCal(D22),"")</f>
        <v>6</v>
      </c>
      <c r="F22" s="48" t="str">
        <f>IF(E22&lt;&gt;"", IF(F21&lt;&gt;"", E22*F21,""),"")</f>
        <v/>
      </c>
      <c r="G22" s="48" t="str">
        <f>IF(E22&lt;&gt;"", IF(G21&lt;&gt;"", E22*G21,""),"")</f>
        <v/>
      </c>
      <c r="H22" s="48" t="str">
        <f>IF(E22&lt;&gt;"", IF(H21&lt;&gt;"", E22*H21,""),"")</f>
        <v/>
      </c>
      <c r="I22" s="48" t="str">
        <f>IF(E22&lt;&gt;"", IF(I21&lt;&gt;"", E22*I21,""),"")</f>
        <v/>
      </c>
      <c r="J22" s="48" t="str">
        <f>IF(E22&lt;&gt;"", IF(J21&lt;&gt;"", E22*J21,""),"")</f>
        <v/>
      </c>
      <c r="K22" s="48" t="str">
        <f>IF(E22&lt;&gt;"", IF(K21&lt;&gt;"", E22*K21,""),"")</f>
        <v/>
      </c>
      <c r="L22" s="48" t="str">
        <f>IF(E22&lt;&gt;"", IF(L21&lt;&gt;"", E22*L21,""),"")</f>
        <v/>
      </c>
      <c r="M22" s="48" t="str">
        <f>IF(E22&lt;&gt;"", IF(M21&lt;&gt;"", E22*M21,""),"")</f>
        <v/>
      </c>
      <c r="N22" s="48" t="str">
        <f>IF(E22&lt;&gt;"", IF(N21&lt;&gt;"", E22*N21,""),"")</f>
        <v/>
      </c>
      <c r="O22" s="48" t="str">
        <f>IF(E22&lt;&gt;"", IF(O21&lt;&gt;"", E22*O21,""),"")</f>
        <v/>
      </c>
      <c r="P22" s="48" t="str">
        <f>IF(E22&lt;&gt;"", IF(P21&lt;&gt;"", E22*P21,""),"")</f>
        <v/>
      </c>
      <c r="Q22" s="48" t="str">
        <f>IF(E22&lt;&gt;"", IF(Q21&lt;&gt;"", E22*Q21,""),"")</f>
        <v/>
      </c>
      <c r="R22" s="48" t="str">
        <f>IF(E22&lt;&gt;"", IF(R21&lt;&gt;"", E22*R21,""),"")</f>
        <v/>
      </c>
      <c r="S22" s="48" t="str">
        <f>IF(E22&lt;&gt;"", IF(S21&lt;&gt;"", E22*S21,""),"")</f>
        <v/>
      </c>
      <c r="T22" s="48" t="str">
        <f>IF(E22&lt;&gt;"", IF(T21&lt;&gt;"", E22*T21,""),"")</f>
        <v/>
      </c>
      <c r="U22" s="48" t="str">
        <f>IF(E22&lt;&gt;"", IF(U21&lt;&gt;"", E22*U21,""),"")</f>
        <v/>
      </c>
      <c r="V22" s="48" t="str">
        <f>IF(E22&lt;&gt;"", IF(V21&lt;&gt;"", E22*V21,""),"")</f>
        <v/>
      </c>
      <c r="W22" s="48" t="str">
        <f>IF(E22&lt;&gt;"", IF(W21&lt;&gt;"", E22*W21,""),"")</f>
        <v/>
      </c>
      <c r="X22" s="48" t="str">
        <f>IF(E22&lt;&gt;"", IF(X21&lt;&gt;"", E22*X21,""),"")</f>
        <v/>
      </c>
      <c r="Y22" s="48" t="str">
        <f>IF(E22&lt;&gt;"", IF(Y21&lt;&gt;"", E22*Y21,""),"")</f>
        <v/>
      </c>
      <c r="Z22" s="48" t="str">
        <f>IF(E22&lt;&gt;"", IF(Z21&lt;&gt;"", E22*Z21,""),"")</f>
        <v/>
      </c>
      <c r="AA22" s="22"/>
      <c r="AB22" s="22" t="str">
        <f>IF(E22&lt;&gt;"", IF(AB21&lt;&gt;"", E22*AB21, ""), "")</f>
        <v/>
      </c>
      <c r="AC22" s="22" t="str">
        <f>IF(E22&lt;&gt;"", IF(AC21&lt;&gt;"", E22*AC21, ""), "")</f>
        <v/>
      </c>
      <c r="AD22" s="22" t="str">
        <f>IF(E22&lt;&gt;"", IF(AD21&lt;&gt;"", E22*AD21, ""), "")</f>
        <v/>
      </c>
      <c r="AE22" s="22" t="str">
        <f>IF(E22&lt;&gt;"", IF(AE21&lt;&gt;"", E22*AE21, ""), "")</f>
        <v/>
      </c>
      <c r="AF22" s="22" t="str">
        <f>IF(E22&lt;&gt;"", IF(AF21&lt;&gt;"", E22*AF21, ""), "")</f>
        <v/>
      </c>
      <c r="AG22" s="22" t="str">
        <f>IF(E22&lt;&gt;"", IF(AG21&lt;&gt;"", E22*AG21, ""), "")</f>
        <v/>
      </c>
      <c r="AH22" s="22" t="str">
        <f>IF(E22&lt;&gt;"", IF(AH21&lt;&gt;"", E22*AH21, ""), "")</f>
        <v/>
      </c>
      <c r="AI22" s="22" t="str">
        <f>IF(E22&lt;&gt;"", IF(AI21&lt;&gt;"", E22*AI21, ""), "")</f>
        <v/>
      </c>
      <c r="AJ22" s="22" t="str">
        <f>IF(E22&lt;&gt;"", IF(AJ21&lt;&gt;"", E22*AJ21, ""), "")</f>
        <v/>
      </c>
      <c r="AK22" s="22" t="str">
        <f>IF(E22&lt;&gt;"", IF(AK21&lt;&gt;"", E22*AK21, ""), "")</f>
        <v/>
      </c>
      <c r="AL22" s="22" t="str">
        <f>IF(E22&lt;&gt;"", IF(AL21&lt;&gt;"", E22*AL21, ""), "")</f>
        <v/>
      </c>
      <c r="AM22" s="22" t="str">
        <f>IF(E22&lt;&gt;"", IF(AM21&lt;&gt;"", E22*AM21, ""), "")</f>
        <v/>
      </c>
      <c r="AN22" s="22" t="str">
        <f>IF(E22&lt;&gt;"", IF(AN21&lt;&gt;"", E22*AN21, ""), "")</f>
        <v/>
      </c>
      <c r="AO22" s="22" t="str">
        <f>IF(E22&lt;&gt;"", IF(AO21&lt;&gt;"", E22*AO21, ""), "")</f>
        <v/>
      </c>
      <c r="AP22" s="22" t="str">
        <f>IF(E22&lt;&gt;"", IF(AP21&lt;&gt;"", E22*AP21, ""), "")</f>
        <v/>
      </c>
      <c r="AQ22" s="22" t="str">
        <f>IF(E22&lt;&gt;"", IF(AQ21&lt;&gt;"", E22*AQ21, ""), "")</f>
        <v/>
      </c>
      <c r="AR22" s="22" t="str">
        <f>IF(E22&lt;&gt;"", IF(AR21&lt;&gt;"", E22*AR21, ""), "")</f>
        <v/>
      </c>
      <c r="AS22" s="22" t="str">
        <f>IF(E22&lt;&gt;"", IF(AS21&lt;&gt;"", E22*AS21, ""), "")</f>
        <v/>
      </c>
      <c r="AT22" s="22" t="str">
        <f>IF(E22&lt;&gt;"", IF(AT21&lt;&gt;"", E22*AT21, ""), "")</f>
        <v/>
      </c>
      <c r="AU22" s="22" t="str">
        <f>IF(E22&lt;&gt;"", IF(AU21&lt;&gt;"", E22*AU21, ""), "")</f>
        <v/>
      </c>
      <c r="AV22" s="22" t="str">
        <f>IF(E22&lt;&gt;"", IF(AV21&lt;&gt;"", E22*AV21, ""), "")</f>
        <v/>
      </c>
      <c r="AW22" s="22" t="str">
        <f>IF(E22&lt;&gt;"", IF(AW21&lt;&gt;"", E22*AW21, ""), "")</f>
        <v/>
      </c>
      <c r="AX22" s="22" t="str">
        <f>IF(E22&lt;&gt;"", IF(AX21&lt;&gt;"", E22*AX21, ""), "")</f>
        <v/>
      </c>
      <c r="AY22" s="22" t="str">
        <f>IF(E22&lt;&gt;"", IF(AY21&lt;&gt;"", E22*AY21, ""), "")</f>
        <v/>
      </c>
      <c r="AZ22" s="22" t="str">
        <f>IF(E22&lt;&gt;"", IF(AZ21&lt;&gt;"", E22*AZ21, ""), "")</f>
        <v/>
      </c>
      <c r="BA22" s="22" t="str">
        <f>IF(E22&lt;&gt;"", IF(BA21&lt;&gt;"", E22*BA21, ""), "")</f>
        <v/>
      </c>
      <c r="BB22" s="22" t="str">
        <f>IF(E22&lt;&gt;"", IF(BB21&lt;&gt;"", E22*BB21, ""), "")</f>
        <v/>
      </c>
      <c r="BC22" s="22" t="str">
        <f>IF(E22&lt;&gt;"", IF(BC21&lt;&gt;"", E22*BC21, ""), "")</f>
        <v/>
      </c>
      <c r="BD22" s="22" t="str">
        <f>IF(E22&lt;&gt;"", IF(BD21&lt;&gt;"", E22*BD21, ""), "")</f>
        <v/>
      </c>
      <c r="BE22" s="22" t="str">
        <f>IF(E22&lt;&gt;"", IF(BE21&lt;&gt;"", E22*BE21, ""), "")</f>
        <v/>
      </c>
    </row>
    <row r="23" spans="1:121" ht="20.100000000000001" customHeight="1">
      <c r="A23" s="220">
        <v>9</v>
      </c>
      <c r="B23" s="7"/>
      <c r="C23" s="7"/>
      <c r="D23" s="5" t="s">
        <v>234</v>
      </c>
      <c r="E23" s="3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</row>
    <row r="24" spans="1:121" ht="20.100000000000001" customHeight="1">
      <c r="A24" s="221"/>
      <c r="B24" s="7"/>
      <c r="C24" s="7"/>
      <c r="D24" s="78"/>
      <c r="E24" s="47" t="str">
        <f>IF(egTextCal(D24)&lt;&gt;0, egTextCal(D24),"")</f>
        <v/>
      </c>
      <c r="F24" s="48" t="str">
        <f>IF(E24&lt;&gt;"", IF(F23&lt;&gt;"", E24*F23,""),"")</f>
        <v/>
      </c>
      <c r="G24" s="48" t="str">
        <f>IF(E24&lt;&gt;"", IF(G23&lt;&gt;"", E24*G23,""),"")</f>
        <v/>
      </c>
      <c r="H24" s="48" t="str">
        <f>IF(E24&lt;&gt;"", IF(H23&lt;&gt;"", E24*H23,""),"")</f>
        <v/>
      </c>
      <c r="I24" s="48" t="str">
        <f>IF(E24&lt;&gt;"", IF(I23&lt;&gt;"", E24*I23,""),"")</f>
        <v/>
      </c>
      <c r="J24" s="48" t="str">
        <f>IF(E24&lt;&gt;"", IF(J23&lt;&gt;"", E24*J23,""),"")</f>
        <v/>
      </c>
      <c r="K24" s="48" t="str">
        <f>IF(E24&lt;&gt;"", IF(K23&lt;&gt;"", E24*K23,""),"")</f>
        <v/>
      </c>
      <c r="L24" s="48" t="str">
        <f>IF(E24&lt;&gt;"", IF(L23&lt;&gt;"", E24*L23,""),"")</f>
        <v/>
      </c>
      <c r="M24" s="48" t="str">
        <f>IF(E24&lt;&gt;"", IF(M23&lt;&gt;"", E24*M23,""),"")</f>
        <v/>
      </c>
      <c r="N24" s="48" t="str">
        <f>IF(E24&lt;&gt;"", IF(N23&lt;&gt;"", E24*N23,""),"")</f>
        <v/>
      </c>
      <c r="O24" s="48" t="str">
        <f>IF(E24&lt;&gt;"", IF(O23&lt;&gt;"", E24*O23,""),"")</f>
        <v/>
      </c>
      <c r="P24" s="48" t="str">
        <f>IF(E24&lt;&gt;"", IF(P23&lt;&gt;"", E24*P23,""),"")</f>
        <v/>
      </c>
      <c r="Q24" s="48" t="str">
        <f>IF(E24&lt;&gt;"", IF(Q23&lt;&gt;"", E24*Q23,""),"")</f>
        <v/>
      </c>
      <c r="R24" s="48" t="str">
        <f>IF(E24&lt;&gt;"", IF(R23&lt;&gt;"", E24*R23,""),"")</f>
        <v/>
      </c>
      <c r="S24" s="48" t="str">
        <f>IF(E24&lt;&gt;"", IF(S23&lt;&gt;"", E24*S23,""),"")</f>
        <v/>
      </c>
      <c r="T24" s="48" t="str">
        <f>IF(E24&lt;&gt;"", IF(T23&lt;&gt;"", E24*T23,""),"")</f>
        <v/>
      </c>
      <c r="U24" s="48" t="str">
        <f>IF(E24&lt;&gt;"", IF(U23&lt;&gt;"", E24*U23,""),"")</f>
        <v/>
      </c>
      <c r="V24" s="48" t="str">
        <f>IF(E24&lt;&gt;"", IF(V23&lt;&gt;"", E24*V23,""),"")</f>
        <v/>
      </c>
      <c r="W24" s="48" t="str">
        <f>IF(E24&lt;&gt;"", IF(W23&lt;&gt;"", E24*W23,""),"")</f>
        <v/>
      </c>
      <c r="X24" s="48" t="str">
        <f>IF(E24&lt;&gt;"", IF(X23&lt;&gt;"", E24*X23,""),"")</f>
        <v/>
      </c>
      <c r="Y24" s="48" t="str">
        <f>IF(E24&lt;&gt;"", IF(Y23&lt;&gt;"", E24*Y23,""),"")</f>
        <v/>
      </c>
      <c r="Z24" s="48" t="str">
        <f>IF(E24&lt;&gt;"", IF(Z23&lt;&gt;"", E24*Z23,""),"")</f>
        <v/>
      </c>
      <c r="AA24" s="22"/>
      <c r="AB24" s="22" t="str">
        <f>IF(E24&lt;&gt;"", IF(AB23&lt;&gt;"", E24*AB23, ""), "")</f>
        <v/>
      </c>
      <c r="AC24" s="22" t="str">
        <f>IF(E24&lt;&gt;"", IF(AC23&lt;&gt;"", E24*AC23, ""), "")</f>
        <v/>
      </c>
      <c r="AD24" s="22" t="str">
        <f>IF(E24&lt;&gt;"", IF(AD23&lt;&gt;"", E24*AD23, ""), "")</f>
        <v/>
      </c>
      <c r="AE24" s="22" t="str">
        <f>IF(E24&lt;&gt;"", IF(AE23&lt;&gt;"", E24*AE23, ""), "")</f>
        <v/>
      </c>
      <c r="AF24" s="22" t="str">
        <f>IF(E24&lt;&gt;"", IF(AF23&lt;&gt;"", E24*AF23, ""), "")</f>
        <v/>
      </c>
      <c r="AG24" s="22" t="str">
        <f>IF(E24&lt;&gt;"", IF(AG23&lt;&gt;"", E24*AG23, ""), "")</f>
        <v/>
      </c>
      <c r="AH24" s="22" t="str">
        <f>IF(E24&lt;&gt;"", IF(AH23&lt;&gt;"", E24*AH23, ""), "")</f>
        <v/>
      </c>
      <c r="AI24" s="22" t="str">
        <f>IF(E24&lt;&gt;"", IF(AI23&lt;&gt;"", E24*AI23, ""), "")</f>
        <v/>
      </c>
      <c r="AJ24" s="22" t="str">
        <f>IF(E24&lt;&gt;"", IF(AJ23&lt;&gt;"", E24*AJ23, ""), "")</f>
        <v/>
      </c>
      <c r="AK24" s="22" t="str">
        <f>IF(E24&lt;&gt;"", IF(AK23&lt;&gt;"", E24*AK23, ""), "")</f>
        <v/>
      </c>
      <c r="AL24" s="22" t="str">
        <f>IF(E24&lt;&gt;"", IF(AL23&lt;&gt;"", E24*AL23, ""), "")</f>
        <v/>
      </c>
      <c r="AM24" s="22" t="str">
        <f>IF(E24&lt;&gt;"", IF(AM23&lt;&gt;"", E24*AM23, ""), "")</f>
        <v/>
      </c>
      <c r="AN24" s="22" t="str">
        <f>IF(E24&lt;&gt;"", IF(AN23&lt;&gt;"", E24*AN23, ""), "")</f>
        <v/>
      </c>
      <c r="AO24" s="22" t="str">
        <f>IF(E24&lt;&gt;"", IF(AO23&lt;&gt;"", E24*AO23, ""), "")</f>
        <v/>
      </c>
      <c r="AP24" s="22" t="str">
        <f>IF(E24&lt;&gt;"", IF(AP23&lt;&gt;"", E24*AP23, ""), "")</f>
        <v/>
      </c>
      <c r="AQ24" s="22" t="str">
        <f>IF(E24&lt;&gt;"", IF(AQ23&lt;&gt;"", E24*AQ23, ""), "")</f>
        <v/>
      </c>
      <c r="AR24" s="22" t="str">
        <f>IF(E24&lt;&gt;"", IF(AR23&lt;&gt;"", E24*AR23, ""), "")</f>
        <v/>
      </c>
      <c r="AS24" s="22" t="str">
        <f>IF(E24&lt;&gt;"", IF(AS23&lt;&gt;"", E24*AS23, ""), "")</f>
        <v/>
      </c>
      <c r="AT24" s="22" t="str">
        <f>IF(E24&lt;&gt;"", IF(AT23&lt;&gt;"", E24*AT23, ""), "")</f>
        <v/>
      </c>
      <c r="AU24" s="22" t="str">
        <f>IF(E24&lt;&gt;"", IF(AU23&lt;&gt;"", E24*AU23, ""), "")</f>
        <v/>
      </c>
      <c r="AV24" s="22" t="str">
        <f>IF(E24&lt;&gt;"", IF(AV23&lt;&gt;"", E24*AV23, ""), "")</f>
        <v/>
      </c>
      <c r="AW24" s="22" t="str">
        <f>IF(E24&lt;&gt;"", IF(AW23&lt;&gt;"", E24*AW23, ""), "")</f>
        <v/>
      </c>
      <c r="AX24" s="22" t="str">
        <f>IF(E24&lt;&gt;"", IF(AX23&lt;&gt;"", E24*AX23, ""), "")</f>
        <v/>
      </c>
      <c r="AY24" s="22" t="str">
        <f>IF(E24&lt;&gt;"", IF(AY23&lt;&gt;"", E24*AY23, ""), "")</f>
        <v/>
      </c>
      <c r="AZ24" s="22" t="str">
        <f>IF(E24&lt;&gt;"", IF(AZ23&lt;&gt;"", E24*AZ23, ""), "")</f>
        <v/>
      </c>
      <c r="BA24" s="22" t="str">
        <f>IF(E24&lt;&gt;"", IF(BA23&lt;&gt;"", E24*BA23, ""), "")</f>
        <v/>
      </c>
      <c r="BB24" s="22" t="str">
        <f>IF(E24&lt;&gt;"", IF(BB23&lt;&gt;"", E24*BB23, ""), "")</f>
        <v/>
      </c>
      <c r="BC24" s="22" t="str">
        <f>IF(E24&lt;&gt;"", IF(BC23&lt;&gt;"", E24*BC23, ""), "")</f>
        <v/>
      </c>
      <c r="BD24" s="22" t="str">
        <f>IF(E24&lt;&gt;"", IF(BD23&lt;&gt;"", E24*BD23, ""), "")</f>
        <v/>
      </c>
      <c r="BE24" s="22" t="str">
        <f>IF(E24&lt;&gt;"", IF(BE23&lt;&gt;"", E24*BE23, ""), "")</f>
        <v/>
      </c>
    </row>
    <row r="25" spans="1:121" ht="20.100000000000001" customHeight="1">
      <c r="A25" s="220">
        <v>10</v>
      </c>
      <c r="B25" s="7"/>
      <c r="C25" s="7"/>
      <c r="D25" s="5" t="s">
        <v>235</v>
      </c>
      <c r="E25" s="3"/>
      <c r="F25" s="46"/>
      <c r="G25" s="46"/>
      <c r="H25" s="46">
        <v>1</v>
      </c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</row>
    <row r="26" spans="1:121" ht="20.100000000000001" customHeight="1">
      <c r="A26" s="221"/>
      <c r="B26" s="7"/>
      <c r="C26" s="7"/>
      <c r="D26" s="78" t="s">
        <v>236</v>
      </c>
      <c r="E26" s="47">
        <f>IF(egTextCal(D26)&lt;&gt;0, egTextCal(D26),"")</f>
        <v>56</v>
      </c>
      <c r="F26" s="48" t="str">
        <f>IF(E26&lt;&gt;"", IF(F25&lt;&gt;"", E26*F25,""),"")</f>
        <v/>
      </c>
      <c r="G26" s="48" t="str">
        <f>IF(E26&lt;&gt;"", IF(G25&lt;&gt;"", E26*G25,""),"")</f>
        <v/>
      </c>
      <c r="H26" s="48">
        <f>IF(E26&lt;&gt;"", IF(H25&lt;&gt;"", E26*H25,""),"")</f>
        <v>56</v>
      </c>
      <c r="I26" s="48" t="str">
        <f>IF(E26&lt;&gt;"", IF(I25&lt;&gt;"", E26*I25,""),"")</f>
        <v/>
      </c>
      <c r="J26" s="48" t="str">
        <f>IF(E26&lt;&gt;"", IF(J25&lt;&gt;"", E26*J25,""),"")</f>
        <v/>
      </c>
      <c r="K26" s="48" t="str">
        <f>IF(E26&lt;&gt;"", IF(K25&lt;&gt;"", E26*K25,""),"")</f>
        <v/>
      </c>
      <c r="L26" s="48" t="str">
        <f>IF(E26&lt;&gt;"", IF(L25&lt;&gt;"", E26*L25,""),"")</f>
        <v/>
      </c>
      <c r="M26" s="48" t="str">
        <f>IF(E26&lt;&gt;"", IF(M25&lt;&gt;"", E26*M25,""),"")</f>
        <v/>
      </c>
      <c r="N26" s="48" t="str">
        <f>IF(E26&lt;&gt;"", IF(N25&lt;&gt;"", E26*N25,""),"")</f>
        <v/>
      </c>
      <c r="O26" s="48" t="str">
        <f>IF(E26&lt;&gt;"", IF(O25&lt;&gt;"", E26*O25,""),"")</f>
        <v/>
      </c>
      <c r="P26" s="48" t="str">
        <f>IF(E26&lt;&gt;"", IF(P25&lt;&gt;"", E26*P25,""),"")</f>
        <v/>
      </c>
      <c r="Q26" s="48" t="str">
        <f>IF(E26&lt;&gt;"", IF(Q25&lt;&gt;"", E26*Q25,""),"")</f>
        <v/>
      </c>
      <c r="R26" s="48" t="str">
        <f>IF(E26&lt;&gt;"", IF(R25&lt;&gt;"", E26*R25,""),"")</f>
        <v/>
      </c>
      <c r="S26" s="48" t="str">
        <f>IF(E26&lt;&gt;"", IF(S25&lt;&gt;"", E26*S25,""),"")</f>
        <v/>
      </c>
      <c r="T26" s="48" t="str">
        <f>IF(E26&lt;&gt;"", IF(T25&lt;&gt;"", E26*T25,""),"")</f>
        <v/>
      </c>
      <c r="U26" s="48" t="str">
        <f>IF(E26&lt;&gt;"", IF(U25&lt;&gt;"", E26*U25,""),"")</f>
        <v/>
      </c>
      <c r="V26" s="48" t="str">
        <f>IF(E26&lt;&gt;"", IF(V25&lt;&gt;"", E26*V25,""),"")</f>
        <v/>
      </c>
      <c r="W26" s="48" t="str">
        <f>IF(E26&lt;&gt;"", IF(W25&lt;&gt;"", E26*W25,""),"")</f>
        <v/>
      </c>
      <c r="X26" s="48" t="str">
        <f>IF(E26&lt;&gt;"", IF(X25&lt;&gt;"", E26*X25,""),"")</f>
        <v/>
      </c>
      <c r="Y26" s="48" t="str">
        <f>IF(E26&lt;&gt;"", IF(Y25&lt;&gt;"", E26*Y25,""),"")</f>
        <v/>
      </c>
      <c r="Z26" s="48" t="str">
        <f>IF(E26&lt;&gt;"", IF(Z25&lt;&gt;"", E26*Z25,""),"")</f>
        <v/>
      </c>
      <c r="AA26" s="22"/>
      <c r="AB26" s="22" t="str">
        <f>IF(E26&lt;&gt;"", IF(AB25&lt;&gt;"", E26*AB25, ""), "")</f>
        <v/>
      </c>
      <c r="AC26" s="22" t="str">
        <f>IF(E26&lt;&gt;"", IF(AC25&lt;&gt;"", E26*AC25, ""), "")</f>
        <v/>
      </c>
      <c r="AD26" s="22" t="str">
        <f>IF(E26&lt;&gt;"", IF(AD25&lt;&gt;"", E26*AD25, ""), "")</f>
        <v/>
      </c>
      <c r="AE26" s="22" t="str">
        <f>IF(E26&lt;&gt;"", IF(AE25&lt;&gt;"", E26*AE25, ""), "")</f>
        <v/>
      </c>
      <c r="AF26" s="22" t="str">
        <f>IF(E26&lt;&gt;"", IF(AF25&lt;&gt;"", E26*AF25, ""), "")</f>
        <v/>
      </c>
      <c r="AG26" s="22" t="str">
        <f>IF(E26&lt;&gt;"", IF(AG25&lt;&gt;"", E26*AG25, ""), "")</f>
        <v/>
      </c>
      <c r="AH26" s="22" t="str">
        <f>IF(E26&lt;&gt;"", IF(AH25&lt;&gt;"", E26*AH25, ""), "")</f>
        <v/>
      </c>
      <c r="AI26" s="22" t="str">
        <f>IF(E26&lt;&gt;"", IF(AI25&lt;&gt;"", E26*AI25, ""), "")</f>
        <v/>
      </c>
      <c r="AJ26" s="22" t="str">
        <f>IF(E26&lt;&gt;"", IF(AJ25&lt;&gt;"", E26*AJ25, ""), "")</f>
        <v/>
      </c>
      <c r="AK26" s="22" t="str">
        <f>IF(E26&lt;&gt;"", IF(AK25&lt;&gt;"", E26*AK25, ""), "")</f>
        <v/>
      </c>
      <c r="AL26" s="22" t="str">
        <f>IF(E26&lt;&gt;"", IF(AL25&lt;&gt;"", E26*AL25, ""), "")</f>
        <v/>
      </c>
      <c r="AM26" s="22" t="str">
        <f>IF(E26&lt;&gt;"", IF(AM25&lt;&gt;"", E26*AM25, ""), "")</f>
        <v/>
      </c>
      <c r="AN26" s="22" t="str">
        <f>IF(E26&lt;&gt;"", IF(AN25&lt;&gt;"", E26*AN25, ""), "")</f>
        <v/>
      </c>
      <c r="AO26" s="22" t="str">
        <f>IF(E26&lt;&gt;"", IF(AO25&lt;&gt;"", E26*AO25, ""), "")</f>
        <v/>
      </c>
      <c r="AP26" s="22" t="str">
        <f>IF(E26&lt;&gt;"", IF(AP25&lt;&gt;"", E26*AP25, ""), "")</f>
        <v/>
      </c>
      <c r="AQ26" s="22" t="str">
        <f>IF(E26&lt;&gt;"", IF(AQ25&lt;&gt;"", E26*AQ25, ""), "")</f>
        <v/>
      </c>
      <c r="AR26" s="22" t="str">
        <f>IF(E26&lt;&gt;"", IF(AR25&lt;&gt;"", E26*AR25, ""), "")</f>
        <v/>
      </c>
      <c r="AS26" s="22" t="str">
        <f>IF(E26&lt;&gt;"", IF(AS25&lt;&gt;"", E26*AS25, ""), "")</f>
        <v/>
      </c>
      <c r="AT26" s="22" t="str">
        <f>IF(E26&lt;&gt;"", IF(AT25&lt;&gt;"", E26*AT25, ""), "")</f>
        <v/>
      </c>
      <c r="AU26" s="22" t="str">
        <f>IF(E26&lt;&gt;"", IF(AU25&lt;&gt;"", E26*AU25, ""), "")</f>
        <v/>
      </c>
      <c r="AV26" s="22" t="str">
        <f>IF(E26&lt;&gt;"", IF(AV25&lt;&gt;"", E26*AV25, ""), "")</f>
        <v/>
      </c>
      <c r="AW26" s="22" t="str">
        <f>IF(E26&lt;&gt;"", IF(AW25&lt;&gt;"", E26*AW25, ""), "")</f>
        <v/>
      </c>
      <c r="AX26" s="22" t="str">
        <f>IF(E26&lt;&gt;"", IF(AX25&lt;&gt;"", E26*AX25, ""), "")</f>
        <v/>
      </c>
      <c r="AY26" s="22" t="str">
        <f>IF(E26&lt;&gt;"", IF(AY25&lt;&gt;"", E26*AY25, ""), "")</f>
        <v/>
      </c>
      <c r="AZ26" s="22" t="str">
        <f>IF(E26&lt;&gt;"", IF(AZ25&lt;&gt;"", E26*AZ25, ""), "")</f>
        <v/>
      </c>
      <c r="BA26" s="22" t="str">
        <f>IF(E26&lt;&gt;"", IF(BA25&lt;&gt;"", E26*BA25, ""), "")</f>
        <v/>
      </c>
      <c r="BB26" s="22" t="str">
        <f>IF(E26&lt;&gt;"", IF(BB25&lt;&gt;"", E26*BB25, ""), "")</f>
        <v/>
      </c>
      <c r="BC26" s="22" t="str">
        <f>IF(E26&lt;&gt;"", IF(BC25&lt;&gt;"", E26*BC25, ""), "")</f>
        <v/>
      </c>
      <c r="BD26" s="22" t="str">
        <f>IF(E26&lt;&gt;"", IF(BD25&lt;&gt;"", E26*BD25, ""), "")</f>
        <v/>
      </c>
      <c r="BE26" s="22" t="str">
        <f>IF(E26&lt;&gt;"", IF(BE25&lt;&gt;"", E26*BE25, ""), "")</f>
        <v/>
      </c>
      <c r="DC26" s="18">
        <f>H26</f>
        <v>56</v>
      </c>
    </row>
    <row r="27" spans="1:121" ht="20.100000000000001" customHeight="1">
      <c r="A27" s="220">
        <v>11</v>
      </c>
      <c r="B27" s="7"/>
      <c r="C27" s="7"/>
      <c r="D27" s="5" t="s">
        <v>237</v>
      </c>
      <c r="E27" s="3"/>
      <c r="F27" s="46"/>
      <c r="G27" s="46">
        <v>1</v>
      </c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</row>
    <row r="28" spans="1:121" ht="20.100000000000001" customHeight="1">
      <c r="A28" s="221"/>
      <c r="B28" s="7"/>
      <c r="C28" s="7"/>
      <c r="D28" s="78" t="s">
        <v>236</v>
      </c>
      <c r="E28" s="47">
        <f>IF(egTextCal(D28)&lt;&gt;0, egTextCal(D28),"")</f>
        <v>56</v>
      </c>
      <c r="F28" s="48" t="str">
        <f>IF(E28&lt;&gt;"", IF(F27&lt;&gt;"", E28*F27,""),"")</f>
        <v/>
      </c>
      <c r="G28" s="48">
        <f>IF(E28&lt;&gt;"", IF(G27&lt;&gt;"", E28*G27,""),"")</f>
        <v>56</v>
      </c>
      <c r="H28" s="48" t="str">
        <f>IF(E28&lt;&gt;"", IF(H27&lt;&gt;"", E28*H27,""),"")</f>
        <v/>
      </c>
      <c r="I28" s="48" t="str">
        <f>IF(E28&lt;&gt;"", IF(I27&lt;&gt;"", E28*I27,""),"")</f>
        <v/>
      </c>
      <c r="J28" s="48" t="str">
        <f>IF(E28&lt;&gt;"", IF(J27&lt;&gt;"", E28*J27,""),"")</f>
        <v/>
      </c>
      <c r="K28" s="48" t="str">
        <f>IF(E28&lt;&gt;"", IF(K27&lt;&gt;"", E28*K27,""),"")</f>
        <v/>
      </c>
      <c r="L28" s="48" t="str">
        <f>IF(E28&lt;&gt;"", IF(L27&lt;&gt;"", E28*L27,""),"")</f>
        <v/>
      </c>
      <c r="M28" s="48" t="str">
        <f>IF(E28&lt;&gt;"", IF(M27&lt;&gt;"", E28*M27,""),"")</f>
        <v/>
      </c>
      <c r="N28" s="48" t="str">
        <f>IF(E28&lt;&gt;"", IF(N27&lt;&gt;"", E28*N27,""),"")</f>
        <v/>
      </c>
      <c r="O28" s="48" t="str">
        <f>IF(E28&lt;&gt;"", IF(O27&lt;&gt;"", E28*O27,""),"")</f>
        <v/>
      </c>
      <c r="P28" s="48" t="str">
        <f>IF(E28&lt;&gt;"", IF(P27&lt;&gt;"", E28*P27,""),"")</f>
        <v/>
      </c>
      <c r="Q28" s="48" t="str">
        <f>IF(E28&lt;&gt;"", IF(Q27&lt;&gt;"", E28*Q27,""),"")</f>
        <v/>
      </c>
      <c r="R28" s="48" t="str">
        <f>IF(E28&lt;&gt;"", IF(R27&lt;&gt;"", E28*R27,""),"")</f>
        <v/>
      </c>
      <c r="S28" s="48" t="str">
        <f>IF(E28&lt;&gt;"", IF(S27&lt;&gt;"", E28*S27,""),"")</f>
        <v/>
      </c>
      <c r="T28" s="48" t="str">
        <f>IF(E28&lt;&gt;"", IF(T27&lt;&gt;"", E28*T27,""),"")</f>
        <v/>
      </c>
      <c r="U28" s="48" t="str">
        <f>IF(E28&lt;&gt;"", IF(U27&lt;&gt;"", E28*U27,""),"")</f>
        <v/>
      </c>
      <c r="V28" s="48" t="str">
        <f>IF(E28&lt;&gt;"", IF(V27&lt;&gt;"", E28*V27,""),"")</f>
        <v/>
      </c>
      <c r="W28" s="48" t="str">
        <f>IF(E28&lt;&gt;"", IF(W27&lt;&gt;"", E28*W27,""),"")</f>
        <v/>
      </c>
      <c r="X28" s="48" t="str">
        <f>IF(E28&lt;&gt;"", IF(X27&lt;&gt;"", E28*X27,""),"")</f>
        <v/>
      </c>
      <c r="Y28" s="48" t="str">
        <f>IF(E28&lt;&gt;"", IF(Y27&lt;&gt;"", E28*Y27,""),"")</f>
        <v/>
      </c>
      <c r="Z28" s="48" t="str">
        <f>IF(E28&lt;&gt;"", IF(Z27&lt;&gt;"", E28*Z27,""),"")</f>
        <v/>
      </c>
      <c r="AA28" s="22"/>
      <c r="AB28" s="22" t="str">
        <f>IF(E28&lt;&gt;"", IF(AB27&lt;&gt;"", E28*AB27, ""), "")</f>
        <v/>
      </c>
      <c r="AC28" s="22" t="str">
        <f>IF(E28&lt;&gt;"", IF(AC27&lt;&gt;"", E28*AC27, ""), "")</f>
        <v/>
      </c>
      <c r="AD28" s="22" t="str">
        <f>IF(E28&lt;&gt;"", IF(AD27&lt;&gt;"", E28*AD27, ""), "")</f>
        <v/>
      </c>
      <c r="AE28" s="22" t="str">
        <f>IF(E28&lt;&gt;"", IF(AE27&lt;&gt;"", E28*AE27, ""), "")</f>
        <v/>
      </c>
      <c r="AF28" s="22" t="str">
        <f>IF(E28&lt;&gt;"", IF(AF27&lt;&gt;"", E28*AF27, ""), "")</f>
        <v/>
      </c>
      <c r="AG28" s="22" t="str">
        <f>IF(E28&lt;&gt;"", IF(AG27&lt;&gt;"", E28*AG27, ""), "")</f>
        <v/>
      </c>
      <c r="AH28" s="22" t="str">
        <f>IF(E28&lt;&gt;"", IF(AH27&lt;&gt;"", E28*AH27, ""), "")</f>
        <v/>
      </c>
      <c r="AI28" s="22" t="str">
        <f>IF(E28&lt;&gt;"", IF(AI27&lt;&gt;"", E28*AI27, ""), "")</f>
        <v/>
      </c>
      <c r="AJ28" s="22" t="str">
        <f>IF(E28&lt;&gt;"", IF(AJ27&lt;&gt;"", E28*AJ27, ""), "")</f>
        <v/>
      </c>
      <c r="AK28" s="22" t="str">
        <f>IF(E28&lt;&gt;"", IF(AK27&lt;&gt;"", E28*AK27, ""), "")</f>
        <v/>
      </c>
      <c r="AL28" s="22" t="str">
        <f>IF(E28&lt;&gt;"", IF(AL27&lt;&gt;"", E28*AL27, ""), "")</f>
        <v/>
      </c>
      <c r="AM28" s="22" t="str">
        <f>IF(E28&lt;&gt;"", IF(AM27&lt;&gt;"", E28*AM27, ""), "")</f>
        <v/>
      </c>
      <c r="AN28" s="22" t="str">
        <f>IF(E28&lt;&gt;"", IF(AN27&lt;&gt;"", E28*AN27, ""), "")</f>
        <v/>
      </c>
      <c r="AO28" s="22" t="str">
        <f>IF(E28&lt;&gt;"", IF(AO27&lt;&gt;"", E28*AO27, ""), "")</f>
        <v/>
      </c>
      <c r="AP28" s="22" t="str">
        <f>IF(E28&lt;&gt;"", IF(AP27&lt;&gt;"", E28*AP27, ""), "")</f>
        <v/>
      </c>
      <c r="AQ28" s="22" t="str">
        <f>IF(E28&lt;&gt;"", IF(AQ27&lt;&gt;"", E28*AQ27, ""), "")</f>
        <v/>
      </c>
      <c r="AR28" s="22" t="str">
        <f>IF(E28&lt;&gt;"", IF(AR27&lt;&gt;"", E28*AR27, ""), "")</f>
        <v/>
      </c>
      <c r="AS28" s="22" t="str">
        <f>IF(E28&lt;&gt;"", IF(AS27&lt;&gt;"", E28*AS27, ""), "")</f>
        <v/>
      </c>
      <c r="AT28" s="22" t="str">
        <f>IF(E28&lt;&gt;"", IF(AT27&lt;&gt;"", E28*AT27, ""), "")</f>
        <v/>
      </c>
      <c r="AU28" s="22" t="str">
        <f>IF(E28&lt;&gt;"", IF(AU27&lt;&gt;"", E28*AU27, ""), "")</f>
        <v/>
      </c>
      <c r="AV28" s="22" t="str">
        <f>IF(E28&lt;&gt;"", IF(AV27&lt;&gt;"", E28*AV27, ""), "")</f>
        <v/>
      </c>
      <c r="AW28" s="22" t="str">
        <f>IF(E28&lt;&gt;"", IF(AW27&lt;&gt;"", E28*AW27, ""), "")</f>
        <v/>
      </c>
      <c r="AX28" s="22" t="str">
        <f>IF(E28&lt;&gt;"", IF(AX27&lt;&gt;"", E28*AX27, ""), "")</f>
        <v/>
      </c>
      <c r="AY28" s="22" t="str">
        <f>IF(E28&lt;&gt;"", IF(AY27&lt;&gt;"", E28*AY27, ""), "")</f>
        <v/>
      </c>
      <c r="AZ28" s="22" t="str">
        <f>IF(E28&lt;&gt;"", IF(AZ27&lt;&gt;"", E28*AZ27, ""), "")</f>
        <v/>
      </c>
      <c r="BA28" s="22" t="str">
        <f>IF(E28&lt;&gt;"", IF(BA27&lt;&gt;"", E28*BA27, ""), "")</f>
        <v/>
      </c>
      <c r="BB28" s="22" t="str">
        <f>IF(E28&lt;&gt;"", IF(BB27&lt;&gt;"", E28*BB27, ""), "")</f>
        <v/>
      </c>
      <c r="BC28" s="22" t="str">
        <f>IF(E28&lt;&gt;"", IF(BC27&lt;&gt;"", E28*BC27, ""), "")</f>
        <v/>
      </c>
      <c r="BD28" s="22" t="str">
        <f>IF(E28&lt;&gt;"", IF(BD27&lt;&gt;"", E28*BD27, ""), "")</f>
        <v/>
      </c>
      <c r="BE28" s="22" t="str">
        <f>IF(E28&lt;&gt;"", IF(BE27&lt;&gt;"", E28*BE27, ""), "")</f>
        <v/>
      </c>
      <c r="DB28" s="18">
        <f>G28</f>
        <v>56</v>
      </c>
    </row>
    <row r="29" spans="1:121" ht="20.100000000000001" customHeight="1">
      <c r="A29" s="220">
        <v>12</v>
      </c>
      <c r="B29" s="7"/>
      <c r="C29" s="7"/>
      <c r="D29" s="5" t="s">
        <v>237</v>
      </c>
      <c r="E29" s="3"/>
      <c r="F29" s="46"/>
      <c r="G29" s="46">
        <v>1</v>
      </c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</row>
    <row r="30" spans="1:121" ht="20.100000000000001" customHeight="1">
      <c r="A30" s="221"/>
      <c r="B30" s="7"/>
      <c r="C30" s="7"/>
      <c r="D30" s="78" t="s">
        <v>238</v>
      </c>
      <c r="E30" s="47">
        <f>IF(egTextCal(D30)&lt;&gt;0, egTextCal(D30),"")</f>
        <v>231</v>
      </c>
      <c r="F30" s="48" t="str">
        <f>IF(E30&lt;&gt;"", IF(F29&lt;&gt;"", E30*F29,""),"")</f>
        <v/>
      </c>
      <c r="G30" s="48">
        <f>IF(E30&lt;&gt;"", IF(G29&lt;&gt;"", E30*G29,""),"")</f>
        <v>231</v>
      </c>
      <c r="H30" s="48" t="str">
        <f>IF(E30&lt;&gt;"", IF(H29&lt;&gt;"", E30*H29,""),"")</f>
        <v/>
      </c>
      <c r="I30" s="48" t="str">
        <f>IF(E30&lt;&gt;"", IF(I29&lt;&gt;"", E30*I29,""),"")</f>
        <v/>
      </c>
      <c r="J30" s="48" t="str">
        <f>IF(E30&lt;&gt;"", IF(J29&lt;&gt;"", E30*J29,""),"")</f>
        <v/>
      </c>
      <c r="K30" s="48" t="str">
        <f>IF(E30&lt;&gt;"", IF(K29&lt;&gt;"", E30*K29,""),"")</f>
        <v/>
      </c>
      <c r="L30" s="48" t="str">
        <f>IF(E30&lt;&gt;"", IF(L29&lt;&gt;"", E30*L29,""),"")</f>
        <v/>
      </c>
      <c r="M30" s="48" t="str">
        <f>IF(E30&lt;&gt;"", IF(M29&lt;&gt;"", E30*M29,""),"")</f>
        <v/>
      </c>
      <c r="N30" s="48" t="str">
        <f>IF(E30&lt;&gt;"", IF(N29&lt;&gt;"", E30*N29,""),"")</f>
        <v/>
      </c>
      <c r="O30" s="48" t="str">
        <f>IF(E30&lt;&gt;"", IF(O29&lt;&gt;"", E30*O29,""),"")</f>
        <v/>
      </c>
      <c r="P30" s="48" t="str">
        <f>IF(E30&lt;&gt;"", IF(P29&lt;&gt;"", E30*P29,""),"")</f>
        <v/>
      </c>
      <c r="Q30" s="48" t="str">
        <f>IF(E30&lt;&gt;"", IF(Q29&lt;&gt;"", E30*Q29,""),"")</f>
        <v/>
      </c>
      <c r="R30" s="48" t="str">
        <f>IF(E30&lt;&gt;"", IF(R29&lt;&gt;"", E30*R29,""),"")</f>
        <v/>
      </c>
      <c r="S30" s="48" t="str">
        <f>IF(E30&lt;&gt;"", IF(S29&lt;&gt;"", E30*S29,""),"")</f>
        <v/>
      </c>
      <c r="T30" s="48" t="str">
        <f>IF(E30&lt;&gt;"", IF(T29&lt;&gt;"", E30*T29,""),"")</f>
        <v/>
      </c>
      <c r="U30" s="48" t="str">
        <f>IF(E30&lt;&gt;"", IF(U29&lt;&gt;"", E30*U29,""),"")</f>
        <v/>
      </c>
      <c r="V30" s="48" t="str">
        <f>IF(E30&lt;&gt;"", IF(V29&lt;&gt;"", E30*V29,""),"")</f>
        <v/>
      </c>
      <c r="W30" s="48" t="str">
        <f>IF(E30&lt;&gt;"", IF(W29&lt;&gt;"", E30*W29,""),"")</f>
        <v/>
      </c>
      <c r="X30" s="48" t="str">
        <f>IF(E30&lt;&gt;"", IF(X29&lt;&gt;"", E30*X29,""),"")</f>
        <v/>
      </c>
      <c r="Y30" s="48" t="str">
        <f>IF(E30&lt;&gt;"", IF(Y29&lt;&gt;"", E30*Y29,""),"")</f>
        <v/>
      </c>
      <c r="Z30" s="48" t="str">
        <f>IF(E30&lt;&gt;"", IF(Z29&lt;&gt;"", E30*Z29,""),"")</f>
        <v/>
      </c>
      <c r="AA30" s="22"/>
      <c r="AB30" s="22" t="str">
        <f>IF(E30&lt;&gt;"", IF(AB29&lt;&gt;"", E30*AB29, ""), "")</f>
        <v/>
      </c>
      <c r="AC30" s="22" t="str">
        <f>IF(E30&lt;&gt;"", IF(AC29&lt;&gt;"", E30*AC29, ""), "")</f>
        <v/>
      </c>
      <c r="AD30" s="22" t="str">
        <f>IF(E30&lt;&gt;"", IF(AD29&lt;&gt;"", E30*AD29, ""), "")</f>
        <v/>
      </c>
      <c r="AE30" s="22" t="str">
        <f>IF(E30&lt;&gt;"", IF(AE29&lt;&gt;"", E30*AE29, ""), "")</f>
        <v/>
      </c>
      <c r="AF30" s="22" t="str">
        <f>IF(E30&lt;&gt;"", IF(AF29&lt;&gt;"", E30*AF29, ""), "")</f>
        <v/>
      </c>
      <c r="AG30" s="22" t="str">
        <f>IF(E30&lt;&gt;"", IF(AG29&lt;&gt;"", E30*AG29, ""), "")</f>
        <v/>
      </c>
      <c r="AH30" s="22" t="str">
        <f>IF(E30&lt;&gt;"", IF(AH29&lt;&gt;"", E30*AH29, ""), "")</f>
        <v/>
      </c>
      <c r="AI30" s="22" t="str">
        <f>IF(E30&lt;&gt;"", IF(AI29&lt;&gt;"", E30*AI29, ""), "")</f>
        <v/>
      </c>
      <c r="AJ30" s="22" t="str">
        <f>IF(E30&lt;&gt;"", IF(AJ29&lt;&gt;"", E30*AJ29, ""), "")</f>
        <v/>
      </c>
      <c r="AK30" s="22" t="str">
        <f>IF(E30&lt;&gt;"", IF(AK29&lt;&gt;"", E30*AK29, ""), "")</f>
        <v/>
      </c>
      <c r="AL30" s="22" t="str">
        <f>IF(E30&lt;&gt;"", IF(AL29&lt;&gt;"", E30*AL29, ""), "")</f>
        <v/>
      </c>
      <c r="AM30" s="22" t="str">
        <f>IF(E30&lt;&gt;"", IF(AM29&lt;&gt;"", E30*AM29, ""), "")</f>
        <v/>
      </c>
      <c r="AN30" s="22" t="str">
        <f>IF(E30&lt;&gt;"", IF(AN29&lt;&gt;"", E30*AN29, ""), "")</f>
        <v/>
      </c>
      <c r="AO30" s="22" t="str">
        <f>IF(E30&lt;&gt;"", IF(AO29&lt;&gt;"", E30*AO29, ""), "")</f>
        <v/>
      </c>
      <c r="AP30" s="22" t="str">
        <f>IF(E30&lt;&gt;"", IF(AP29&lt;&gt;"", E30*AP29, ""), "")</f>
        <v/>
      </c>
      <c r="AQ30" s="22" t="str">
        <f>IF(E30&lt;&gt;"", IF(AQ29&lt;&gt;"", E30*AQ29, ""), "")</f>
        <v/>
      </c>
      <c r="AR30" s="22" t="str">
        <f>IF(E30&lt;&gt;"", IF(AR29&lt;&gt;"", E30*AR29, ""), "")</f>
        <v/>
      </c>
      <c r="AS30" s="22" t="str">
        <f>IF(E30&lt;&gt;"", IF(AS29&lt;&gt;"", E30*AS29, ""), "")</f>
        <v/>
      </c>
      <c r="AT30" s="22" t="str">
        <f>IF(E30&lt;&gt;"", IF(AT29&lt;&gt;"", E30*AT29, ""), "")</f>
        <v/>
      </c>
      <c r="AU30" s="22" t="str">
        <f>IF(E30&lt;&gt;"", IF(AU29&lt;&gt;"", E30*AU29, ""), "")</f>
        <v/>
      </c>
      <c r="AV30" s="22" t="str">
        <f>IF(E30&lt;&gt;"", IF(AV29&lt;&gt;"", E30*AV29, ""), "")</f>
        <v/>
      </c>
      <c r="AW30" s="22" t="str">
        <f>IF(E30&lt;&gt;"", IF(AW29&lt;&gt;"", E30*AW29, ""), "")</f>
        <v/>
      </c>
      <c r="AX30" s="22" t="str">
        <f>IF(E30&lt;&gt;"", IF(AX29&lt;&gt;"", E30*AX29, ""), "")</f>
        <v/>
      </c>
      <c r="AY30" s="22" t="str">
        <f>IF(E30&lt;&gt;"", IF(AY29&lt;&gt;"", E30*AY29, ""), "")</f>
        <v/>
      </c>
      <c r="AZ30" s="22" t="str">
        <f>IF(E30&lt;&gt;"", IF(AZ29&lt;&gt;"", E30*AZ29, ""), "")</f>
        <v/>
      </c>
      <c r="BA30" s="22" t="str">
        <f>IF(E30&lt;&gt;"", IF(BA29&lt;&gt;"", E30*BA29, ""), "")</f>
        <v/>
      </c>
      <c r="BB30" s="22" t="str">
        <f>IF(E30&lt;&gt;"", IF(BB29&lt;&gt;"", E30*BB29, ""), "")</f>
        <v/>
      </c>
      <c r="BC30" s="22" t="str">
        <f>IF(E30&lt;&gt;"", IF(BC29&lt;&gt;"", E30*BC29, ""), "")</f>
        <v/>
      </c>
      <c r="BD30" s="22" t="str">
        <f>IF(E30&lt;&gt;"", IF(BD29&lt;&gt;"", E30*BD29, ""), "")</f>
        <v/>
      </c>
      <c r="BE30" s="22" t="str">
        <f>IF(E30&lt;&gt;"", IF(BE29&lt;&gt;"", E30*BE29, ""), "")</f>
        <v/>
      </c>
      <c r="DB30" s="18">
        <f>G30</f>
        <v>231</v>
      </c>
    </row>
    <row r="31" spans="1:121" ht="20.100000000000001" customHeight="1">
      <c r="A31" s="220">
        <v>13</v>
      </c>
      <c r="B31" s="7"/>
      <c r="C31" s="7"/>
      <c r="D31" s="5" t="s">
        <v>239</v>
      </c>
      <c r="E31" s="3"/>
      <c r="F31" s="46">
        <v>1</v>
      </c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  <c r="BC31" s="59"/>
      <c r="BD31" s="59"/>
      <c r="BE31" s="59"/>
    </row>
    <row r="32" spans="1:121" ht="20.100000000000001" customHeight="1">
      <c r="A32" s="221"/>
      <c r="B32" s="7"/>
      <c r="C32" s="7"/>
      <c r="D32" s="78" t="s">
        <v>240</v>
      </c>
      <c r="E32" s="47">
        <f>IF(egTextCal(D32)&lt;&gt;0, egTextCal(D32),"")</f>
        <v>9</v>
      </c>
      <c r="F32" s="48">
        <f>IF(E32&lt;&gt;"", IF(F31&lt;&gt;"", E32*F31,""),"")</f>
        <v>9</v>
      </c>
      <c r="G32" s="48" t="str">
        <f>IF(E32&lt;&gt;"", IF(G31&lt;&gt;"", E32*G31,""),"")</f>
        <v/>
      </c>
      <c r="H32" s="48" t="str">
        <f>IF(E32&lt;&gt;"", IF(H31&lt;&gt;"", E32*H31,""),"")</f>
        <v/>
      </c>
      <c r="I32" s="48" t="str">
        <f>IF(E32&lt;&gt;"", IF(I31&lt;&gt;"", E32*I31,""),"")</f>
        <v/>
      </c>
      <c r="J32" s="48" t="str">
        <f>IF(E32&lt;&gt;"", IF(J31&lt;&gt;"", E32*J31,""),"")</f>
        <v/>
      </c>
      <c r="K32" s="48" t="str">
        <f>IF(E32&lt;&gt;"", IF(K31&lt;&gt;"", E32*K31,""),"")</f>
        <v/>
      </c>
      <c r="L32" s="48" t="str">
        <f>IF(E32&lt;&gt;"", IF(L31&lt;&gt;"", E32*L31,""),"")</f>
        <v/>
      </c>
      <c r="M32" s="48" t="str">
        <f>IF(E32&lt;&gt;"", IF(M31&lt;&gt;"", E32*M31,""),"")</f>
        <v/>
      </c>
      <c r="N32" s="48" t="str">
        <f>IF(E32&lt;&gt;"", IF(N31&lt;&gt;"", E32*N31,""),"")</f>
        <v/>
      </c>
      <c r="O32" s="48" t="str">
        <f>IF(E32&lt;&gt;"", IF(O31&lt;&gt;"", E32*O31,""),"")</f>
        <v/>
      </c>
      <c r="P32" s="48" t="str">
        <f>IF(E32&lt;&gt;"", IF(P31&lt;&gt;"", E32*P31,""),"")</f>
        <v/>
      </c>
      <c r="Q32" s="48" t="str">
        <f>IF(E32&lt;&gt;"", IF(Q31&lt;&gt;"", E32*Q31,""),"")</f>
        <v/>
      </c>
      <c r="R32" s="48" t="str">
        <f>IF(E32&lt;&gt;"", IF(R31&lt;&gt;"", E32*R31,""),"")</f>
        <v/>
      </c>
      <c r="S32" s="48" t="str">
        <f>IF(E32&lt;&gt;"", IF(S31&lt;&gt;"", E32*S31,""),"")</f>
        <v/>
      </c>
      <c r="T32" s="48" t="str">
        <f>IF(E32&lt;&gt;"", IF(T31&lt;&gt;"", E32*T31,""),"")</f>
        <v/>
      </c>
      <c r="U32" s="48" t="str">
        <f>IF(E32&lt;&gt;"", IF(U31&lt;&gt;"", E32*U31,""),"")</f>
        <v/>
      </c>
      <c r="V32" s="48" t="str">
        <f>IF(E32&lt;&gt;"", IF(V31&lt;&gt;"", E32*V31,""),"")</f>
        <v/>
      </c>
      <c r="W32" s="48" t="str">
        <f>IF(E32&lt;&gt;"", IF(W31&lt;&gt;"", E32*W31,""),"")</f>
        <v/>
      </c>
      <c r="X32" s="48" t="str">
        <f>IF(E32&lt;&gt;"", IF(X31&lt;&gt;"", E32*X31,""),"")</f>
        <v/>
      </c>
      <c r="Y32" s="48" t="str">
        <f>IF(E32&lt;&gt;"", IF(Y31&lt;&gt;"", E32*Y31,""),"")</f>
        <v/>
      </c>
      <c r="Z32" s="48" t="str">
        <f>IF(E32&lt;&gt;"", IF(Z31&lt;&gt;"", E32*Z31,""),"")</f>
        <v/>
      </c>
      <c r="AA32" s="22"/>
      <c r="AB32" s="22" t="str">
        <f>IF(E32&lt;&gt;"", IF(AB31&lt;&gt;"", E32*AB31, ""), "")</f>
        <v/>
      </c>
      <c r="AC32" s="22" t="str">
        <f>IF(E32&lt;&gt;"", IF(AC31&lt;&gt;"", E32*AC31, ""), "")</f>
        <v/>
      </c>
      <c r="AD32" s="22" t="str">
        <f>IF(E32&lt;&gt;"", IF(AD31&lt;&gt;"", E32*AD31, ""), "")</f>
        <v/>
      </c>
      <c r="AE32" s="22" t="str">
        <f>IF(E32&lt;&gt;"", IF(AE31&lt;&gt;"", E32*AE31, ""), "")</f>
        <v/>
      </c>
      <c r="AF32" s="22" t="str">
        <f>IF(E32&lt;&gt;"", IF(AF31&lt;&gt;"", E32*AF31, ""), "")</f>
        <v/>
      </c>
      <c r="AG32" s="22" t="str">
        <f>IF(E32&lt;&gt;"", IF(AG31&lt;&gt;"", E32*AG31, ""), "")</f>
        <v/>
      </c>
      <c r="AH32" s="22" t="str">
        <f>IF(E32&lt;&gt;"", IF(AH31&lt;&gt;"", E32*AH31, ""), "")</f>
        <v/>
      </c>
      <c r="AI32" s="22" t="str">
        <f>IF(E32&lt;&gt;"", IF(AI31&lt;&gt;"", E32*AI31, ""), "")</f>
        <v/>
      </c>
      <c r="AJ32" s="22" t="str">
        <f>IF(E32&lt;&gt;"", IF(AJ31&lt;&gt;"", E32*AJ31, ""), "")</f>
        <v/>
      </c>
      <c r="AK32" s="22" t="str">
        <f>IF(E32&lt;&gt;"", IF(AK31&lt;&gt;"", E32*AK31, ""), "")</f>
        <v/>
      </c>
      <c r="AL32" s="22" t="str">
        <f>IF(E32&lt;&gt;"", IF(AL31&lt;&gt;"", E32*AL31, ""), "")</f>
        <v/>
      </c>
      <c r="AM32" s="22" t="str">
        <f>IF(E32&lt;&gt;"", IF(AM31&lt;&gt;"", E32*AM31, ""), "")</f>
        <v/>
      </c>
      <c r="AN32" s="22" t="str">
        <f>IF(E32&lt;&gt;"", IF(AN31&lt;&gt;"", E32*AN31, ""), "")</f>
        <v/>
      </c>
      <c r="AO32" s="22" t="str">
        <f>IF(E32&lt;&gt;"", IF(AO31&lt;&gt;"", E32*AO31, ""), "")</f>
        <v/>
      </c>
      <c r="AP32" s="22" t="str">
        <f>IF(E32&lt;&gt;"", IF(AP31&lt;&gt;"", E32*AP31, ""), "")</f>
        <v/>
      </c>
      <c r="AQ32" s="22" t="str">
        <f>IF(E32&lt;&gt;"", IF(AQ31&lt;&gt;"", E32*AQ31, ""), "")</f>
        <v/>
      </c>
      <c r="AR32" s="22" t="str">
        <f>IF(E32&lt;&gt;"", IF(AR31&lt;&gt;"", E32*AR31, ""), "")</f>
        <v/>
      </c>
      <c r="AS32" s="22" t="str">
        <f>IF(E32&lt;&gt;"", IF(AS31&lt;&gt;"", E32*AS31, ""), "")</f>
        <v/>
      </c>
      <c r="AT32" s="22" t="str">
        <f>IF(E32&lt;&gt;"", IF(AT31&lt;&gt;"", E32*AT31, ""), "")</f>
        <v/>
      </c>
      <c r="AU32" s="22" t="str">
        <f>IF(E32&lt;&gt;"", IF(AU31&lt;&gt;"", E32*AU31, ""), "")</f>
        <v/>
      </c>
      <c r="AV32" s="22" t="str">
        <f>IF(E32&lt;&gt;"", IF(AV31&lt;&gt;"", E32*AV31, ""), "")</f>
        <v/>
      </c>
      <c r="AW32" s="22" t="str">
        <f>IF(E32&lt;&gt;"", IF(AW31&lt;&gt;"", E32*AW31, ""), "")</f>
        <v/>
      </c>
      <c r="AX32" s="22" t="str">
        <f>IF(E32&lt;&gt;"", IF(AX31&lt;&gt;"", E32*AX31, ""), "")</f>
        <v/>
      </c>
      <c r="AY32" s="22" t="str">
        <f>IF(E32&lt;&gt;"", IF(AY31&lt;&gt;"", E32*AY31, ""), "")</f>
        <v/>
      </c>
      <c r="AZ32" s="22" t="str">
        <f>IF(E32&lt;&gt;"", IF(AZ31&lt;&gt;"", E32*AZ31, ""), "")</f>
        <v/>
      </c>
      <c r="BA32" s="22" t="str">
        <f>IF(E32&lt;&gt;"", IF(BA31&lt;&gt;"", E32*BA31, ""), "")</f>
        <v/>
      </c>
      <c r="BB32" s="22" t="str">
        <f>IF(E32&lt;&gt;"", IF(BB31&lt;&gt;"", E32*BB31, ""), "")</f>
        <v/>
      </c>
      <c r="BC32" s="22" t="str">
        <f>IF(E32&lt;&gt;"", IF(BC31&lt;&gt;"", E32*BC31, ""), "")</f>
        <v/>
      </c>
      <c r="BD32" s="22" t="str">
        <f>IF(E32&lt;&gt;"", IF(BD31&lt;&gt;"", E32*BD31, ""), "")</f>
        <v/>
      </c>
      <c r="BE32" s="22" t="str">
        <f>IF(E32&lt;&gt;"", IF(BE31&lt;&gt;"", E32*BE31, ""), "")</f>
        <v/>
      </c>
      <c r="DA32" s="18">
        <f>F32</f>
        <v>9</v>
      </c>
    </row>
    <row r="33" spans="1:120" ht="20.100000000000001" customHeight="1">
      <c r="A33" s="220">
        <v>14</v>
      </c>
      <c r="B33" s="7"/>
      <c r="C33" s="7"/>
      <c r="D33" s="5" t="s">
        <v>241</v>
      </c>
      <c r="E33" s="3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>
        <v>1</v>
      </c>
      <c r="V33" s="46"/>
      <c r="W33" s="46"/>
      <c r="X33" s="46"/>
      <c r="Y33" s="46"/>
      <c r="Z33" s="46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  <c r="BC33" s="59"/>
      <c r="BD33" s="59"/>
      <c r="BE33" s="59"/>
    </row>
    <row r="34" spans="1:120" ht="20.100000000000001" customHeight="1">
      <c r="A34" s="221"/>
      <c r="B34" s="7"/>
      <c r="C34" s="7"/>
      <c r="D34" s="78" t="s">
        <v>242</v>
      </c>
      <c r="E34" s="47">
        <f>IF(egTextCal(D34)&lt;&gt;0, egTextCal(D34),"")</f>
        <v>130</v>
      </c>
      <c r="F34" s="48" t="str">
        <f>IF(E34&lt;&gt;"", IF(F33&lt;&gt;"", E34*F33,""),"")</f>
        <v/>
      </c>
      <c r="G34" s="48" t="str">
        <f>IF(E34&lt;&gt;"", IF(G33&lt;&gt;"", E34*G33,""),"")</f>
        <v/>
      </c>
      <c r="H34" s="48" t="str">
        <f>IF(E34&lt;&gt;"", IF(H33&lt;&gt;"", E34*H33,""),"")</f>
        <v/>
      </c>
      <c r="I34" s="48" t="str">
        <f>IF(E34&lt;&gt;"", IF(I33&lt;&gt;"", E34*I33,""),"")</f>
        <v/>
      </c>
      <c r="J34" s="48" t="str">
        <f>IF(E34&lt;&gt;"", IF(J33&lt;&gt;"", E34*J33,""),"")</f>
        <v/>
      </c>
      <c r="K34" s="48" t="str">
        <f>IF(E34&lt;&gt;"", IF(K33&lt;&gt;"", E34*K33,""),"")</f>
        <v/>
      </c>
      <c r="L34" s="48" t="str">
        <f>IF(E34&lt;&gt;"", IF(L33&lt;&gt;"", E34*L33,""),"")</f>
        <v/>
      </c>
      <c r="M34" s="48" t="str">
        <f>IF(E34&lt;&gt;"", IF(M33&lt;&gt;"", E34*M33,""),"")</f>
        <v/>
      </c>
      <c r="N34" s="48" t="str">
        <f>IF(E34&lt;&gt;"", IF(N33&lt;&gt;"", E34*N33,""),"")</f>
        <v/>
      </c>
      <c r="O34" s="48" t="str">
        <f>IF(E34&lt;&gt;"", IF(O33&lt;&gt;"", E34*O33,""),"")</f>
        <v/>
      </c>
      <c r="P34" s="48" t="str">
        <f>IF(E34&lt;&gt;"", IF(P33&lt;&gt;"", E34*P33,""),"")</f>
        <v/>
      </c>
      <c r="Q34" s="48" t="str">
        <f>IF(E34&lt;&gt;"", IF(Q33&lt;&gt;"", E34*Q33,""),"")</f>
        <v/>
      </c>
      <c r="R34" s="48" t="str">
        <f>IF(E34&lt;&gt;"", IF(R33&lt;&gt;"", E34*R33,""),"")</f>
        <v/>
      </c>
      <c r="S34" s="48" t="str">
        <f>IF(E34&lt;&gt;"", IF(S33&lt;&gt;"", E34*S33,""),"")</f>
        <v/>
      </c>
      <c r="T34" s="48" t="str">
        <f>IF(E34&lt;&gt;"", IF(T33&lt;&gt;"", E34*T33,""),"")</f>
        <v/>
      </c>
      <c r="U34" s="48">
        <f>IF(E34&lt;&gt;"", IF(U33&lt;&gt;"", E34*U33,""),"")</f>
        <v>130</v>
      </c>
      <c r="V34" s="48" t="str">
        <f>IF(E34&lt;&gt;"", IF(V33&lt;&gt;"", E34*V33,""),"")</f>
        <v/>
      </c>
      <c r="W34" s="48" t="str">
        <f>IF(E34&lt;&gt;"", IF(W33&lt;&gt;"", E34*W33,""),"")</f>
        <v/>
      </c>
      <c r="X34" s="48" t="str">
        <f>IF(E34&lt;&gt;"", IF(X33&lt;&gt;"", E34*X33,""),"")</f>
        <v/>
      </c>
      <c r="Y34" s="48" t="str">
        <f>IF(E34&lt;&gt;"", IF(Y33&lt;&gt;"", E34*Y33,""),"")</f>
        <v/>
      </c>
      <c r="Z34" s="48" t="str">
        <f>IF(E34&lt;&gt;"", IF(Z33&lt;&gt;"", E34*Z33,""),"")</f>
        <v/>
      </c>
      <c r="AA34" s="22"/>
      <c r="AB34" s="22" t="str">
        <f>IF(E34&lt;&gt;"", IF(AB33&lt;&gt;"", E34*AB33, ""), "")</f>
        <v/>
      </c>
      <c r="AC34" s="22" t="str">
        <f>IF(E34&lt;&gt;"", IF(AC33&lt;&gt;"", E34*AC33, ""), "")</f>
        <v/>
      </c>
      <c r="AD34" s="22" t="str">
        <f>IF(E34&lt;&gt;"", IF(AD33&lt;&gt;"", E34*AD33, ""), "")</f>
        <v/>
      </c>
      <c r="AE34" s="22" t="str">
        <f>IF(E34&lt;&gt;"", IF(AE33&lt;&gt;"", E34*AE33, ""), "")</f>
        <v/>
      </c>
      <c r="AF34" s="22" t="str">
        <f>IF(E34&lt;&gt;"", IF(AF33&lt;&gt;"", E34*AF33, ""), "")</f>
        <v/>
      </c>
      <c r="AG34" s="22" t="str">
        <f>IF(E34&lt;&gt;"", IF(AG33&lt;&gt;"", E34*AG33, ""), "")</f>
        <v/>
      </c>
      <c r="AH34" s="22" t="str">
        <f>IF(E34&lt;&gt;"", IF(AH33&lt;&gt;"", E34*AH33, ""), "")</f>
        <v/>
      </c>
      <c r="AI34" s="22" t="str">
        <f>IF(E34&lt;&gt;"", IF(AI33&lt;&gt;"", E34*AI33, ""), "")</f>
        <v/>
      </c>
      <c r="AJ34" s="22" t="str">
        <f>IF(E34&lt;&gt;"", IF(AJ33&lt;&gt;"", E34*AJ33, ""), "")</f>
        <v/>
      </c>
      <c r="AK34" s="22" t="str">
        <f>IF(E34&lt;&gt;"", IF(AK33&lt;&gt;"", E34*AK33, ""), "")</f>
        <v/>
      </c>
      <c r="AL34" s="22" t="str">
        <f>IF(E34&lt;&gt;"", IF(AL33&lt;&gt;"", E34*AL33, ""), "")</f>
        <v/>
      </c>
      <c r="AM34" s="22" t="str">
        <f>IF(E34&lt;&gt;"", IF(AM33&lt;&gt;"", E34*AM33, ""), "")</f>
        <v/>
      </c>
      <c r="AN34" s="22" t="str">
        <f>IF(E34&lt;&gt;"", IF(AN33&lt;&gt;"", E34*AN33, ""), "")</f>
        <v/>
      </c>
      <c r="AO34" s="22" t="str">
        <f>IF(E34&lt;&gt;"", IF(AO33&lt;&gt;"", E34*AO33, ""), "")</f>
        <v/>
      </c>
      <c r="AP34" s="22" t="str">
        <f>IF(E34&lt;&gt;"", IF(AP33&lt;&gt;"", E34*AP33, ""), "")</f>
        <v/>
      </c>
      <c r="AQ34" s="22" t="str">
        <f>IF(E34&lt;&gt;"", IF(AQ33&lt;&gt;"", E34*AQ33, ""), "")</f>
        <v/>
      </c>
      <c r="AR34" s="22" t="str">
        <f>IF(E34&lt;&gt;"", IF(AR33&lt;&gt;"", E34*AR33, ""), "")</f>
        <v/>
      </c>
      <c r="AS34" s="22" t="str">
        <f>IF(E34&lt;&gt;"", IF(AS33&lt;&gt;"", E34*AS33, ""), "")</f>
        <v/>
      </c>
      <c r="AT34" s="22" t="str">
        <f>IF(E34&lt;&gt;"", IF(AT33&lt;&gt;"", E34*AT33, ""), "")</f>
        <v/>
      </c>
      <c r="AU34" s="22" t="str">
        <f>IF(E34&lt;&gt;"", IF(AU33&lt;&gt;"", E34*AU33, ""), "")</f>
        <v/>
      </c>
      <c r="AV34" s="22" t="str">
        <f>IF(E34&lt;&gt;"", IF(AV33&lt;&gt;"", E34*AV33, ""), "")</f>
        <v/>
      </c>
      <c r="AW34" s="22" t="str">
        <f>IF(E34&lt;&gt;"", IF(AW33&lt;&gt;"", E34*AW33, ""), "")</f>
        <v/>
      </c>
      <c r="AX34" s="22" t="str">
        <f>IF(E34&lt;&gt;"", IF(AX33&lt;&gt;"", E34*AX33, ""), "")</f>
        <v/>
      </c>
      <c r="AY34" s="22" t="str">
        <f>IF(E34&lt;&gt;"", IF(AY33&lt;&gt;"", E34*AY33, ""), "")</f>
        <v/>
      </c>
      <c r="AZ34" s="22" t="str">
        <f>IF(E34&lt;&gt;"", IF(AZ33&lt;&gt;"", E34*AZ33, ""), "")</f>
        <v/>
      </c>
      <c r="BA34" s="22" t="str">
        <f>IF(E34&lt;&gt;"", IF(BA33&lt;&gt;"", E34*BA33, ""), "")</f>
        <v/>
      </c>
      <c r="BB34" s="22" t="str">
        <f>IF(E34&lt;&gt;"", IF(BB33&lt;&gt;"", E34*BB33, ""), "")</f>
        <v/>
      </c>
      <c r="BC34" s="22" t="str">
        <f>IF(E34&lt;&gt;"", IF(BC33&lt;&gt;"", E34*BC33, ""), "")</f>
        <v/>
      </c>
      <c r="BD34" s="22" t="str">
        <f>IF(E34&lt;&gt;"", IF(BD33&lt;&gt;"", E34*BD33, ""), "")</f>
        <v/>
      </c>
      <c r="BE34" s="22" t="str">
        <f>IF(E34&lt;&gt;"", IF(BE33&lt;&gt;"", E34*BE33, ""), "")</f>
        <v/>
      </c>
      <c r="DP34" s="18">
        <f>U34</f>
        <v>130</v>
      </c>
    </row>
    <row r="35" spans="1:120" ht="20.100000000000001" customHeight="1">
      <c r="A35" s="220">
        <v>15</v>
      </c>
      <c r="B35" s="7"/>
      <c r="C35" s="7"/>
      <c r="D35" s="5" t="s">
        <v>241</v>
      </c>
      <c r="E35" s="3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>
        <v>1</v>
      </c>
      <c r="V35" s="46"/>
      <c r="W35" s="46"/>
      <c r="X35" s="46"/>
      <c r="Y35" s="46"/>
      <c r="Z35" s="46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  <c r="BC35" s="59"/>
      <c r="BD35" s="59"/>
      <c r="BE35" s="59"/>
    </row>
    <row r="36" spans="1:120" ht="20.100000000000001" customHeight="1">
      <c r="A36" s="221"/>
      <c r="B36" s="7"/>
      <c r="C36" s="7"/>
      <c r="D36" s="78" t="s">
        <v>243</v>
      </c>
      <c r="E36" s="47">
        <f>IF(egTextCal(D36)&lt;&gt;0, egTextCal(D36),"")</f>
        <v>637</v>
      </c>
      <c r="F36" s="48" t="str">
        <f>IF(E36&lt;&gt;"", IF(F35&lt;&gt;"", E36*F35,""),"")</f>
        <v/>
      </c>
      <c r="G36" s="48" t="str">
        <f>IF(E36&lt;&gt;"", IF(G35&lt;&gt;"", E36*G35,""),"")</f>
        <v/>
      </c>
      <c r="H36" s="48" t="str">
        <f>IF(E36&lt;&gt;"", IF(H35&lt;&gt;"", E36*H35,""),"")</f>
        <v/>
      </c>
      <c r="I36" s="48" t="str">
        <f>IF(E36&lt;&gt;"", IF(I35&lt;&gt;"", E36*I35,""),"")</f>
        <v/>
      </c>
      <c r="J36" s="48" t="str">
        <f>IF(E36&lt;&gt;"", IF(J35&lt;&gt;"", E36*J35,""),"")</f>
        <v/>
      </c>
      <c r="K36" s="48" t="str">
        <f>IF(E36&lt;&gt;"", IF(K35&lt;&gt;"", E36*K35,""),"")</f>
        <v/>
      </c>
      <c r="L36" s="48" t="str">
        <f>IF(E36&lt;&gt;"", IF(L35&lt;&gt;"", E36*L35,""),"")</f>
        <v/>
      </c>
      <c r="M36" s="48" t="str">
        <f>IF(E36&lt;&gt;"", IF(M35&lt;&gt;"", E36*M35,""),"")</f>
        <v/>
      </c>
      <c r="N36" s="48" t="str">
        <f>IF(E36&lt;&gt;"", IF(N35&lt;&gt;"", E36*N35,""),"")</f>
        <v/>
      </c>
      <c r="O36" s="48" t="str">
        <f>IF(E36&lt;&gt;"", IF(O35&lt;&gt;"", E36*O35,""),"")</f>
        <v/>
      </c>
      <c r="P36" s="48" t="str">
        <f>IF(E36&lt;&gt;"", IF(P35&lt;&gt;"", E36*P35,""),"")</f>
        <v/>
      </c>
      <c r="Q36" s="48" t="str">
        <f>IF(E36&lt;&gt;"", IF(Q35&lt;&gt;"", E36*Q35,""),"")</f>
        <v/>
      </c>
      <c r="R36" s="48" t="str">
        <f>IF(E36&lt;&gt;"", IF(R35&lt;&gt;"", E36*R35,""),"")</f>
        <v/>
      </c>
      <c r="S36" s="48" t="str">
        <f>IF(E36&lt;&gt;"", IF(S35&lt;&gt;"", E36*S35,""),"")</f>
        <v/>
      </c>
      <c r="T36" s="48" t="str">
        <f>IF(E36&lt;&gt;"", IF(T35&lt;&gt;"", E36*T35,""),"")</f>
        <v/>
      </c>
      <c r="U36" s="48">
        <f>IF(E36&lt;&gt;"", IF(U35&lt;&gt;"", E36*U35,""),"")</f>
        <v>637</v>
      </c>
      <c r="V36" s="48" t="str">
        <f>IF(E36&lt;&gt;"", IF(V35&lt;&gt;"", E36*V35,""),"")</f>
        <v/>
      </c>
      <c r="W36" s="48" t="str">
        <f>IF(E36&lt;&gt;"", IF(W35&lt;&gt;"", E36*W35,""),"")</f>
        <v/>
      </c>
      <c r="X36" s="48" t="str">
        <f>IF(E36&lt;&gt;"", IF(X35&lt;&gt;"", E36*X35,""),"")</f>
        <v/>
      </c>
      <c r="Y36" s="48" t="str">
        <f>IF(E36&lt;&gt;"", IF(Y35&lt;&gt;"", E36*Y35,""),"")</f>
        <v/>
      </c>
      <c r="Z36" s="48" t="str">
        <f>IF(E36&lt;&gt;"", IF(Z35&lt;&gt;"", E36*Z35,""),"")</f>
        <v/>
      </c>
      <c r="AA36" s="22"/>
      <c r="AB36" s="22" t="str">
        <f>IF(E36&lt;&gt;"", IF(AB35&lt;&gt;"", E36*AB35, ""), "")</f>
        <v/>
      </c>
      <c r="AC36" s="22" t="str">
        <f>IF(E36&lt;&gt;"", IF(AC35&lt;&gt;"", E36*AC35, ""), "")</f>
        <v/>
      </c>
      <c r="AD36" s="22" t="str">
        <f>IF(E36&lt;&gt;"", IF(AD35&lt;&gt;"", E36*AD35, ""), "")</f>
        <v/>
      </c>
      <c r="AE36" s="22" t="str">
        <f>IF(E36&lt;&gt;"", IF(AE35&lt;&gt;"", E36*AE35, ""), "")</f>
        <v/>
      </c>
      <c r="AF36" s="22" t="str">
        <f>IF(E36&lt;&gt;"", IF(AF35&lt;&gt;"", E36*AF35, ""), "")</f>
        <v/>
      </c>
      <c r="AG36" s="22" t="str">
        <f>IF(E36&lt;&gt;"", IF(AG35&lt;&gt;"", E36*AG35, ""), "")</f>
        <v/>
      </c>
      <c r="AH36" s="22" t="str">
        <f>IF(E36&lt;&gt;"", IF(AH35&lt;&gt;"", E36*AH35, ""), "")</f>
        <v/>
      </c>
      <c r="AI36" s="22" t="str">
        <f>IF(E36&lt;&gt;"", IF(AI35&lt;&gt;"", E36*AI35, ""), "")</f>
        <v/>
      </c>
      <c r="AJ36" s="22" t="str">
        <f>IF(E36&lt;&gt;"", IF(AJ35&lt;&gt;"", E36*AJ35, ""), "")</f>
        <v/>
      </c>
      <c r="AK36" s="22" t="str">
        <f>IF(E36&lt;&gt;"", IF(AK35&lt;&gt;"", E36*AK35, ""), "")</f>
        <v/>
      </c>
      <c r="AL36" s="22" t="str">
        <f>IF(E36&lt;&gt;"", IF(AL35&lt;&gt;"", E36*AL35, ""), "")</f>
        <v/>
      </c>
      <c r="AM36" s="22" t="str">
        <f>IF(E36&lt;&gt;"", IF(AM35&lt;&gt;"", E36*AM35, ""), "")</f>
        <v/>
      </c>
      <c r="AN36" s="22" t="str">
        <f>IF(E36&lt;&gt;"", IF(AN35&lt;&gt;"", E36*AN35, ""), "")</f>
        <v/>
      </c>
      <c r="AO36" s="22" t="str">
        <f>IF(E36&lt;&gt;"", IF(AO35&lt;&gt;"", E36*AO35, ""), "")</f>
        <v/>
      </c>
      <c r="AP36" s="22" t="str">
        <f>IF(E36&lt;&gt;"", IF(AP35&lt;&gt;"", E36*AP35, ""), "")</f>
        <v/>
      </c>
      <c r="AQ36" s="22" t="str">
        <f>IF(E36&lt;&gt;"", IF(AQ35&lt;&gt;"", E36*AQ35, ""), "")</f>
        <v/>
      </c>
      <c r="AR36" s="22" t="str">
        <f>IF(E36&lt;&gt;"", IF(AR35&lt;&gt;"", E36*AR35, ""), "")</f>
        <v/>
      </c>
      <c r="AS36" s="22" t="str">
        <f>IF(E36&lt;&gt;"", IF(AS35&lt;&gt;"", E36*AS35, ""), "")</f>
        <v/>
      </c>
      <c r="AT36" s="22" t="str">
        <f>IF(E36&lt;&gt;"", IF(AT35&lt;&gt;"", E36*AT35, ""), "")</f>
        <v/>
      </c>
      <c r="AU36" s="22" t="str">
        <f>IF(E36&lt;&gt;"", IF(AU35&lt;&gt;"", E36*AU35, ""), "")</f>
        <v/>
      </c>
      <c r="AV36" s="22" t="str">
        <f>IF(E36&lt;&gt;"", IF(AV35&lt;&gt;"", E36*AV35, ""), "")</f>
        <v/>
      </c>
      <c r="AW36" s="22" t="str">
        <f>IF(E36&lt;&gt;"", IF(AW35&lt;&gt;"", E36*AW35, ""), "")</f>
        <v/>
      </c>
      <c r="AX36" s="22" t="str">
        <f>IF(E36&lt;&gt;"", IF(AX35&lt;&gt;"", E36*AX35, ""), "")</f>
        <v/>
      </c>
      <c r="AY36" s="22" t="str">
        <f>IF(E36&lt;&gt;"", IF(AY35&lt;&gt;"", E36*AY35, ""), "")</f>
        <v/>
      </c>
      <c r="AZ36" s="22" t="str">
        <f>IF(E36&lt;&gt;"", IF(AZ35&lt;&gt;"", E36*AZ35, ""), "")</f>
        <v/>
      </c>
      <c r="BA36" s="22" t="str">
        <f>IF(E36&lt;&gt;"", IF(BA35&lt;&gt;"", E36*BA35, ""), "")</f>
        <v/>
      </c>
      <c r="BB36" s="22" t="str">
        <f>IF(E36&lt;&gt;"", IF(BB35&lt;&gt;"", E36*BB35, ""), "")</f>
        <v/>
      </c>
      <c r="BC36" s="22" t="str">
        <f>IF(E36&lt;&gt;"", IF(BC35&lt;&gt;"", E36*BC35, ""), "")</f>
        <v/>
      </c>
      <c r="BD36" s="22" t="str">
        <f>IF(E36&lt;&gt;"", IF(BD35&lt;&gt;"", E36*BD35, ""), "")</f>
        <v/>
      </c>
      <c r="BE36" s="22" t="str">
        <f>IF(E36&lt;&gt;"", IF(BE35&lt;&gt;"", E36*BE35, ""), "")</f>
        <v/>
      </c>
      <c r="DP36" s="18">
        <f>U36</f>
        <v>637</v>
      </c>
    </row>
    <row r="37" spans="1:120" ht="20.100000000000001" customHeight="1">
      <c r="A37" s="220">
        <v>16</v>
      </c>
      <c r="B37" s="7"/>
      <c r="C37" s="7"/>
      <c r="D37" s="5" t="s">
        <v>241</v>
      </c>
      <c r="E37" s="3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>
        <v>1</v>
      </c>
      <c r="V37" s="46"/>
      <c r="W37" s="46"/>
      <c r="X37" s="46"/>
      <c r="Y37" s="46"/>
      <c r="Z37" s="46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  <c r="BC37" s="59"/>
      <c r="BD37" s="59"/>
      <c r="BE37" s="59"/>
    </row>
    <row r="38" spans="1:120" ht="20.100000000000001" customHeight="1">
      <c r="A38" s="221"/>
      <c r="B38" s="7"/>
      <c r="C38" s="7"/>
      <c r="D38" s="78" t="s">
        <v>244</v>
      </c>
      <c r="E38" s="47">
        <f>IF(egTextCal(D38)&lt;&gt;0, egTextCal(D38),"")</f>
        <v>1188</v>
      </c>
      <c r="F38" s="48" t="str">
        <f>IF(E38&lt;&gt;"", IF(F37&lt;&gt;"", E38*F37,""),"")</f>
        <v/>
      </c>
      <c r="G38" s="48" t="str">
        <f>IF(E38&lt;&gt;"", IF(G37&lt;&gt;"", E38*G37,""),"")</f>
        <v/>
      </c>
      <c r="H38" s="48" t="str">
        <f>IF(E38&lt;&gt;"", IF(H37&lt;&gt;"", E38*H37,""),"")</f>
        <v/>
      </c>
      <c r="I38" s="48" t="str">
        <f>IF(E38&lt;&gt;"", IF(I37&lt;&gt;"", E38*I37,""),"")</f>
        <v/>
      </c>
      <c r="J38" s="48" t="str">
        <f>IF(E38&lt;&gt;"", IF(J37&lt;&gt;"", E38*J37,""),"")</f>
        <v/>
      </c>
      <c r="K38" s="48" t="str">
        <f>IF(E38&lt;&gt;"", IF(K37&lt;&gt;"", E38*K37,""),"")</f>
        <v/>
      </c>
      <c r="L38" s="48" t="str">
        <f>IF(E38&lt;&gt;"", IF(L37&lt;&gt;"", E38*L37,""),"")</f>
        <v/>
      </c>
      <c r="M38" s="48" t="str">
        <f>IF(E38&lt;&gt;"", IF(M37&lt;&gt;"", E38*M37,""),"")</f>
        <v/>
      </c>
      <c r="N38" s="48" t="str">
        <f>IF(E38&lt;&gt;"", IF(N37&lt;&gt;"", E38*N37,""),"")</f>
        <v/>
      </c>
      <c r="O38" s="48" t="str">
        <f>IF(E38&lt;&gt;"", IF(O37&lt;&gt;"", E38*O37,""),"")</f>
        <v/>
      </c>
      <c r="P38" s="48" t="str">
        <f>IF(E38&lt;&gt;"", IF(P37&lt;&gt;"", E38*P37,""),"")</f>
        <v/>
      </c>
      <c r="Q38" s="48" t="str">
        <f>IF(E38&lt;&gt;"", IF(Q37&lt;&gt;"", E38*Q37,""),"")</f>
        <v/>
      </c>
      <c r="R38" s="48" t="str">
        <f>IF(E38&lt;&gt;"", IF(R37&lt;&gt;"", E38*R37,""),"")</f>
        <v/>
      </c>
      <c r="S38" s="48" t="str">
        <f>IF(E38&lt;&gt;"", IF(S37&lt;&gt;"", E38*S37,""),"")</f>
        <v/>
      </c>
      <c r="T38" s="48" t="str">
        <f>IF(E38&lt;&gt;"", IF(T37&lt;&gt;"", E38*T37,""),"")</f>
        <v/>
      </c>
      <c r="U38" s="48">
        <f>IF(E38&lt;&gt;"", IF(U37&lt;&gt;"", E38*U37,""),"")</f>
        <v>1188</v>
      </c>
      <c r="V38" s="48" t="str">
        <f>IF(E38&lt;&gt;"", IF(V37&lt;&gt;"", E38*V37,""),"")</f>
        <v/>
      </c>
      <c r="W38" s="48" t="str">
        <f>IF(E38&lt;&gt;"", IF(W37&lt;&gt;"", E38*W37,""),"")</f>
        <v/>
      </c>
      <c r="X38" s="48" t="str">
        <f>IF(E38&lt;&gt;"", IF(X37&lt;&gt;"", E38*X37,""),"")</f>
        <v/>
      </c>
      <c r="Y38" s="48" t="str">
        <f>IF(E38&lt;&gt;"", IF(Y37&lt;&gt;"", E38*Y37,""),"")</f>
        <v/>
      </c>
      <c r="Z38" s="48" t="str">
        <f>IF(E38&lt;&gt;"", IF(Z37&lt;&gt;"", E38*Z37,""),"")</f>
        <v/>
      </c>
      <c r="AA38" s="22"/>
      <c r="AB38" s="22" t="str">
        <f>IF(E38&lt;&gt;"", IF(AB37&lt;&gt;"", E38*AB37, ""), "")</f>
        <v/>
      </c>
      <c r="AC38" s="22" t="str">
        <f>IF(E38&lt;&gt;"", IF(AC37&lt;&gt;"", E38*AC37, ""), "")</f>
        <v/>
      </c>
      <c r="AD38" s="22" t="str">
        <f>IF(E38&lt;&gt;"", IF(AD37&lt;&gt;"", E38*AD37, ""), "")</f>
        <v/>
      </c>
      <c r="AE38" s="22" t="str">
        <f>IF(E38&lt;&gt;"", IF(AE37&lt;&gt;"", E38*AE37, ""), "")</f>
        <v/>
      </c>
      <c r="AF38" s="22" t="str">
        <f>IF(E38&lt;&gt;"", IF(AF37&lt;&gt;"", E38*AF37, ""), "")</f>
        <v/>
      </c>
      <c r="AG38" s="22" t="str">
        <f>IF(E38&lt;&gt;"", IF(AG37&lt;&gt;"", E38*AG37, ""), "")</f>
        <v/>
      </c>
      <c r="AH38" s="22" t="str">
        <f>IF(E38&lt;&gt;"", IF(AH37&lt;&gt;"", E38*AH37, ""), "")</f>
        <v/>
      </c>
      <c r="AI38" s="22" t="str">
        <f>IF(E38&lt;&gt;"", IF(AI37&lt;&gt;"", E38*AI37, ""), "")</f>
        <v/>
      </c>
      <c r="AJ38" s="22" t="str">
        <f>IF(E38&lt;&gt;"", IF(AJ37&lt;&gt;"", E38*AJ37, ""), "")</f>
        <v/>
      </c>
      <c r="AK38" s="22" t="str">
        <f>IF(E38&lt;&gt;"", IF(AK37&lt;&gt;"", E38*AK37, ""), "")</f>
        <v/>
      </c>
      <c r="AL38" s="22" t="str">
        <f>IF(E38&lt;&gt;"", IF(AL37&lt;&gt;"", E38*AL37, ""), "")</f>
        <v/>
      </c>
      <c r="AM38" s="22" t="str">
        <f>IF(E38&lt;&gt;"", IF(AM37&lt;&gt;"", E38*AM37, ""), "")</f>
        <v/>
      </c>
      <c r="AN38" s="22" t="str">
        <f>IF(E38&lt;&gt;"", IF(AN37&lt;&gt;"", E38*AN37, ""), "")</f>
        <v/>
      </c>
      <c r="AO38" s="22" t="str">
        <f>IF(E38&lt;&gt;"", IF(AO37&lt;&gt;"", E38*AO37, ""), "")</f>
        <v/>
      </c>
      <c r="AP38" s="22" t="str">
        <f>IF(E38&lt;&gt;"", IF(AP37&lt;&gt;"", E38*AP37, ""), "")</f>
        <v/>
      </c>
      <c r="AQ38" s="22" t="str">
        <f>IF(E38&lt;&gt;"", IF(AQ37&lt;&gt;"", E38*AQ37, ""), "")</f>
        <v/>
      </c>
      <c r="AR38" s="22" t="str">
        <f>IF(E38&lt;&gt;"", IF(AR37&lt;&gt;"", E38*AR37, ""), "")</f>
        <v/>
      </c>
      <c r="AS38" s="22" t="str">
        <f>IF(E38&lt;&gt;"", IF(AS37&lt;&gt;"", E38*AS37, ""), "")</f>
        <v/>
      </c>
      <c r="AT38" s="22" t="str">
        <f>IF(E38&lt;&gt;"", IF(AT37&lt;&gt;"", E38*AT37, ""), "")</f>
        <v/>
      </c>
      <c r="AU38" s="22" t="str">
        <f>IF(E38&lt;&gt;"", IF(AU37&lt;&gt;"", E38*AU37, ""), "")</f>
        <v/>
      </c>
      <c r="AV38" s="22" t="str">
        <f>IF(E38&lt;&gt;"", IF(AV37&lt;&gt;"", E38*AV37, ""), "")</f>
        <v/>
      </c>
      <c r="AW38" s="22" t="str">
        <f>IF(E38&lt;&gt;"", IF(AW37&lt;&gt;"", E38*AW37, ""), "")</f>
        <v/>
      </c>
      <c r="AX38" s="22" t="str">
        <f>IF(E38&lt;&gt;"", IF(AX37&lt;&gt;"", E38*AX37, ""), "")</f>
        <v/>
      </c>
      <c r="AY38" s="22" t="str">
        <f>IF(E38&lt;&gt;"", IF(AY37&lt;&gt;"", E38*AY37, ""), "")</f>
        <v/>
      </c>
      <c r="AZ38" s="22" t="str">
        <f>IF(E38&lt;&gt;"", IF(AZ37&lt;&gt;"", E38*AZ37, ""), "")</f>
        <v/>
      </c>
      <c r="BA38" s="22" t="str">
        <f>IF(E38&lt;&gt;"", IF(BA37&lt;&gt;"", E38*BA37, ""), "")</f>
        <v/>
      </c>
      <c r="BB38" s="22" t="str">
        <f>IF(E38&lt;&gt;"", IF(BB37&lt;&gt;"", E38*BB37, ""), "")</f>
        <v/>
      </c>
      <c r="BC38" s="22" t="str">
        <f>IF(E38&lt;&gt;"", IF(BC37&lt;&gt;"", E38*BC37, ""), "")</f>
        <v/>
      </c>
      <c r="BD38" s="22" t="str">
        <f>IF(E38&lt;&gt;"", IF(BD37&lt;&gt;"", E38*BD37, ""), "")</f>
        <v/>
      </c>
      <c r="BE38" s="22" t="str">
        <f>IF(E38&lt;&gt;"", IF(BE37&lt;&gt;"", E38*BE37, ""), "")</f>
        <v/>
      </c>
      <c r="DP38" s="18">
        <f>U38</f>
        <v>1188</v>
      </c>
    </row>
    <row r="39" spans="1:120" ht="20.100000000000001" customHeight="1">
      <c r="A39" s="220">
        <v>17</v>
      </c>
      <c r="B39" s="7"/>
      <c r="C39" s="7"/>
      <c r="D39" s="5" t="s">
        <v>241</v>
      </c>
      <c r="E39" s="3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>
        <v>1</v>
      </c>
      <c r="V39" s="46"/>
      <c r="W39" s="46"/>
      <c r="X39" s="46"/>
      <c r="Y39" s="46"/>
      <c r="Z39" s="46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  <c r="BC39" s="59"/>
      <c r="BD39" s="59"/>
      <c r="BE39" s="59"/>
    </row>
    <row r="40" spans="1:120" ht="20.100000000000001" customHeight="1">
      <c r="A40" s="221"/>
      <c r="B40" s="7"/>
      <c r="C40" s="7"/>
      <c r="D40" s="78" t="s">
        <v>245</v>
      </c>
      <c r="E40" s="47">
        <f>IF(egTextCal(D40)&lt;&gt;0, egTextCal(D40),"")</f>
        <v>144</v>
      </c>
      <c r="F40" s="48" t="str">
        <f>IF(E40&lt;&gt;"", IF(F39&lt;&gt;"", E40*F39,""),"")</f>
        <v/>
      </c>
      <c r="G40" s="48" t="str">
        <f>IF(E40&lt;&gt;"", IF(G39&lt;&gt;"", E40*G39,""),"")</f>
        <v/>
      </c>
      <c r="H40" s="48" t="str">
        <f>IF(E40&lt;&gt;"", IF(H39&lt;&gt;"", E40*H39,""),"")</f>
        <v/>
      </c>
      <c r="I40" s="48" t="str">
        <f>IF(E40&lt;&gt;"", IF(I39&lt;&gt;"", E40*I39,""),"")</f>
        <v/>
      </c>
      <c r="J40" s="48" t="str">
        <f>IF(E40&lt;&gt;"", IF(J39&lt;&gt;"", E40*J39,""),"")</f>
        <v/>
      </c>
      <c r="K40" s="48" t="str">
        <f>IF(E40&lt;&gt;"", IF(K39&lt;&gt;"", E40*K39,""),"")</f>
        <v/>
      </c>
      <c r="L40" s="48" t="str">
        <f>IF(E40&lt;&gt;"", IF(L39&lt;&gt;"", E40*L39,""),"")</f>
        <v/>
      </c>
      <c r="M40" s="48" t="str">
        <f>IF(E40&lt;&gt;"", IF(M39&lt;&gt;"", E40*M39,""),"")</f>
        <v/>
      </c>
      <c r="N40" s="48" t="str">
        <f>IF(E40&lt;&gt;"", IF(N39&lt;&gt;"", E40*N39,""),"")</f>
        <v/>
      </c>
      <c r="O40" s="48" t="str">
        <f>IF(E40&lt;&gt;"", IF(O39&lt;&gt;"", E40*O39,""),"")</f>
        <v/>
      </c>
      <c r="P40" s="48" t="str">
        <f>IF(E40&lt;&gt;"", IF(P39&lt;&gt;"", E40*P39,""),"")</f>
        <v/>
      </c>
      <c r="Q40" s="48" t="str">
        <f>IF(E40&lt;&gt;"", IF(Q39&lt;&gt;"", E40*Q39,""),"")</f>
        <v/>
      </c>
      <c r="R40" s="48" t="str">
        <f>IF(E40&lt;&gt;"", IF(R39&lt;&gt;"", E40*R39,""),"")</f>
        <v/>
      </c>
      <c r="S40" s="48" t="str">
        <f>IF(E40&lt;&gt;"", IF(S39&lt;&gt;"", E40*S39,""),"")</f>
        <v/>
      </c>
      <c r="T40" s="48" t="str">
        <f>IF(E40&lt;&gt;"", IF(T39&lt;&gt;"", E40*T39,""),"")</f>
        <v/>
      </c>
      <c r="U40" s="48">
        <f>IF(E40&lt;&gt;"", IF(U39&lt;&gt;"", E40*U39,""),"")</f>
        <v>144</v>
      </c>
      <c r="V40" s="48" t="str">
        <f>IF(E40&lt;&gt;"", IF(V39&lt;&gt;"", E40*V39,""),"")</f>
        <v/>
      </c>
      <c r="W40" s="48" t="str">
        <f>IF(E40&lt;&gt;"", IF(W39&lt;&gt;"", E40*W39,""),"")</f>
        <v/>
      </c>
      <c r="X40" s="48" t="str">
        <f>IF(E40&lt;&gt;"", IF(X39&lt;&gt;"", E40*X39,""),"")</f>
        <v/>
      </c>
      <c r="Y40" s="48" t="str">
        <f>IF(E40&lt;&gt;"", IF(Y39&lt;&gt;"", E40*Y39,""),"")</f>
        <v/>
      </c>
      <c r="Z40" s="48" t="str">
        <f>IF(E40&lt;&gt;"", IF(Z39&lt;&gt;"", E40*Z39,""),"")</f>
        <v/>
      </c>
      <c r="AA40" s="22"/>
      <c r="AB40" s="22" t="str">
        <f>IF(E40&lt;&gt;"", IF(AB39&lt;&gt;"", E40*AB39, ""), "")</f>
        <v/>
      </c>
      <c r="AC40" s="22" t="str">
        <f>IF(E40&lt;&gt;"", IF(AC39&lt;&gt;"", E40*AC39, ""), "")</f>
        <v/>
      </c>
      <c r="AD40" s="22" t="str">
        <f>IF(E40&lt;&gt;"", IF(AD39&lt;&gt;"", E40*AD39, ""), "")</f>
        <v/>
      </c>
      <c r="AE40" s="22" t="str">
        <f>IF(E40&lt;&gt;"", IF(AE39&lt;&gt;"", E40*AE39, ""), "")</f>
        <v/>
      </c>
      <c r="AF40" s="22" t="str">
        <f>IF(E40&lt;&gt;"", IF(AF39&lt;&gt;"", E40*AF39, ""), "")</f>
        <v/>
      </c>
      <c r="AG40" s="22" t="str">
        <f>IF(E40&lt;&gt;"", IF(AG39&lt;&gt;"", E40*AG39, ""), "")</f>
        <v/>
      </c>
      <c r="AH40" s="22" t="str">
        <f>IF(E40&lt;&gt;"", IF(AH39&lt;&gt;"", E40*AH39, ""), "")</f>
        <v/>
      </c>
      <c r="AI40" s="22" t="str">
        <f>IF(E40&lt;&gt;"", IF(AI39&lt;&gt;"", E40*AI39, ""), "")</f>
        <v/>
      </c>
      <c r="AJ40" s="22" t="str">
        <f>IF(E40&lt;&gt;"", IF(AJ39&lt;&gt;"", E40*AJ39, ""), "")</f>
        <v/>
      </c>
      <c r="AK40" s="22" t="str">
        <f>IF(E40&lt;&gt;"", IF(AK39&lt;&gt;"", E40*AK39, ""), "")</f>
        <v/>
      </c>
      <c r="AL40" s="22" t="str">
        <f>IF(E40&lt;&gt;"", IF(AL39&lt;&gt;"", E40*AL39, ""), "")</f>
        <v/>
      </c>
      <c r="AM40" s="22" t="str">
        <f>IF(E40&lt;&gt;"", IF(AM39&lt;&gt;"", E40*AM39, ""), "")</f>
        <v/>
      </c>
      <c r="AN40" s="22" t="str">
        <f>IF(E40&lt;&gt;"", IF(AN39&lt;&gt;"", E40*AN39, ""), "")</f>
        <v/>
      </c>
      <c r="AO40" s="22" t="str">
        <f>IF(E40&lt;&gt;"", IF(AO39&lt;&gt;"", E40*AO39, ""), "")</f>
        <v/>
      </c>
      <c r="AP40" s="22" t="str">
        <f>IF(E40&lt;&gt;"", IF(AP39&lt;&gt;"", E40*AP39, ""), "")</f>
        <v/>
      </c>
      <c r="AQ40" s="22" t="str">
        <f>IF(E40&lt;&gt;"", IF(AQ39&lt;&gt;"", E40*AQ39, ""), "")</f>
        <v/>
      </c>
      <c r="AR40" s="22" t="str">
        <f>IF(E40&lt;&gt;"", IF(AR39&lt;&gt;"", E40*AR39, ""), "")</f>
        <v/>
      </c>
      <c r="AS40" s="22" t="str">
        <f>IF(E40&lt;&gt;"", IF(AS39&lt;&gt;"", E40*AS39, ""), "")</f>
        <v/>
      </c>
      <c r="AT40" s="22" t="str">
        <f>IF(E40&lt;&gt;"", IF(AT39&lt;&gt;"", E40*AT39, ""), "")</f>
        <v/>
      </c>
      <c r="AU40" s="22" t="str">
        <f>IF(E40&lt;&gt;"", IF(AU39&lt;&gt;"", E40*AU39, ""), "")</f>
        <v/>
      </c>
      <c r="AV40" s="22" t="str">
        <f>IF(E40&lt;&gt;"", IF(AV39&lt;&gt;"", E40*AV39, ""), "")</f>
        <v/>
      </c>
      <c r="AW40" s="22" t="str">
        <f>IF(E40&lt;&gt;"", IF(AW39&lt;&gt;"", E40*AW39, ""), "")</f>
        <v/>
      </c>
      <c r="AX40" s="22" t="str">
        <f>IF(E40&lt;&gt;"", IF(AX39&lt;&gt;"", E40*AX39, ""), "")</f>
        <v/>
      </c>
      <c r="AY40" s="22" t="str">
        <f>IF(E40&lt;&gt;"", IF(AY39&lt;&gt;"", E40*AY39, ""), "")</f>
        <v/>
      </c>
      <c r="AZ40" s="22" t="str">
        <f>IF(E40&lt;&gt;"", IF(AZ39&lt;&gt;"", E40*AZ39, ""), "")</f>
        <v/>
      </c>
      <c r="BA40" s="22" t="str">
        <f>IF(E40&lt;&gt;"", IF(BA39&lt;&gt;"", E40*BA39, ""), "")</f>
        <v/>
      </c>
      <c r="BB40" s="22" t="str">
        <f>IF(E40&lt;&gt;"", IF(BB39&lt;&gt;"", E40*BB39, ""), "")</f>
        <v/>
      </c>
      <c r="BC40" s="22" t="str">
        <f>IF(E40&lt;&gt;"", IF(BC39&lt;&gt;"", E40*BC39, ""), "")</f>
        <v/>
      </c>
      <c r="BD40" s="22" t="str">
        <f>IF(E40&lt;&gt;"", IF(BD39&lt;&gt;"", E40*BD39, ""), "")</f>
        <v/>
      </c>
      <c r="BE40" s="22" t="str">
        <f>IF(E40&lt;&gt;"", IF(BE39&lt;&gt;"", E40*BE39, ""), "")</f>
        <v/>
      </c>
      <c r="DP40" s="18">
        <f>U40</f>
        <v>144</v>
      </c>
    </row>
    <row r="41" spans="1:120" ht="20.100000000000001" customHeight="1">
      <c r="A41" s="220">
        <v>18</v>
      </c>
      <c r="B41" s="7"/>
      <c r="C41" s="7"/>
      <c r="D41" s="5" t="s">
        <v>246</v>
      </c>
      <c r="E41" s="3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>
        <v>1</v>
      </c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  <c r="BD41" s="59"/>
      <c r="BE41" s="59"/>
    </row>
    <row r="42" spans="1:120" ht="20.100000000000001" customHeight="1">
      <c r="A42" s="221"/>
      <c r="B42" s="7"/>
      <c r="C42" s="7"/>
      <c r="D42" s="78" t="s">
        <v>247</v>
      </c>
      <c r="E42" s="47">
        <f>IF(egTextCal(D42)&lt;&gt;0, egTextCal(D42),"")</f>
        <v>7</v>
      </c>
      <c r="F42" s="48" t="str">
        <f>IF(E42&lt;&gt;"", IF(F41&lt;&gt;"", E42*F41,""),"")</f>
        <v/>
      </c>
      <c r="G42" s="48" t="str">
        <f>IF(E42&lt;&gt;"", IF(G41&lt;&gt;"", E42*G41,""),"")</f>
        <v/>
      </c>
      <c r="H42" s="48" t="str">
        <f>IF(E42&lt;&gt;"", IF(H41&lt;&gt;"", E42*H41,""),"")</f>
        <v/>
      </c>
      <c r="I42" s="48" t="str">
        <f>IF(E42&lt;&gt;"", IF(I41&lt;&gt;"", E42*I41,""),"")</f>
        <v/>
      </c>
      <c r="J42" s="48" t="str">
        <f>IF(E42&lt;&gt;"", IF(J41&lt;&gt;"", E42*J41,""),"")</f>
        <v/>
      </c>
      <c r="K42" s="48" t="str">
        <f>IF(E42&lt;&gt;"", IF(K41&lt;&gt;"", E42*K41,""),"")</f>
        <v/>
      </c>
      <c r="L42" s="48" t="str">
        <f>IF(E42&lt;&gt;"", IF(L41&lt;&gt;"", E42*L41,""),"")</f>
        <v/>
      </c>
      <c r="M42" s="48" t="str">
        <f>IF(E42&lt;&gt;"", IF(M41&lt;&gt;"", E42*M41,""),"")</f>
        <v/>
      </c>
      <c r="N42" s="48" t="str">
        <f>IF(E42&lt;&gt;"", IF(N41&lt;&gt;"", E42*N41,""),"")</f>
        <v/>
      </c>
      <c r="O42" s="48" t="str">
        <f>IF(E42&lt;&gt;"", IF(O41&lt;&gt;"", E42*O41,""),"")</f>
        <v/>
      </c>
      <c r="P42" s="48">
        <f>IF(E42&lt;&gt;"", IF(P41&lt;&gt;"", E42*P41,""),"")</f>
        <v>7</v>
      </c>
      <c r="Q42" s="48" t="str">
        <f>IF(E42&lt;&gt;"", IF(Q41&lt;&gt;"", E42*Q41,""),"")</f>
        <v/>
      </c>
      <c r="R42" s="48" t="str">
        <f>IF(E42&lt;&gt;"", IF(R41&lt;&gt;"", E42*R41,""),"")</f>
        <v/>
      </c>
      <c r="S42" s="48" t="str">
        <f>IF(E42&lt;&gt;"", IF(S41&lt;&gt;"", E42*S41,""),"")</f>
        <v/>
      </c>
      <c r="T42" s="48" t="str">
        <f>IF(E42&lt;&gt;"", IF(T41&lt;&gt;"", E42*T41,""),"")</f>
        <v/>
      </c>
      <c r="U42" s="48" t="str">
        <f>IF(E42&lt;&gt;"", IF(U41&lt;&gt;"", E42*U41,""),"")</f>
        <v/>
      </c>
      <c r="V42" s="48" t="str">
        <f>IF(E42&lt;&gt;"", IF(V41&lt;&gt;"", E42*V41,""),"")</f>
        <v/>
      </c>
      <c r="W42" s="48" t="str">
        <f>IF(E42&lt;&gt;"", IF(W41&lt;&gt;"", E42*W41,""),"")</f>
        <v/>
      </c>
      <c r="X42" s="48" t="str">
        <f>IF(E42&lt;&gt;"", IF(X41&lt;&gt;"", E42*X41,""),"")</f>
        <v/>
      </c>
      <c r="Y42" s="48" t="str">
        <f>IF(E42&lt;&gt;"", IF(Y41&lt;&gt;"", E42*Y41,""),"")</f>
        <v/>
      </c>
      <c r="Z42" s="48" t="str">
        <f>IF(E42&lt;&gt;"", IF(Z41&lt;&gt;"", E42*Z41,""),"")</f>
        <v/>
      </c>
      <c r="AA42" s="22"/>
      <c r="AB42" s="22" t="str">
        <f>IF(E42&lt;&gt;"", IF(AB41&lt;&gt;"", E42*AB41, ""), "")</f>
        <v/>
      </c>
      <c r="AC42" s="22" t="str">
        <f>IF(E42&lt;&gt;"", IF(AC41&lt;&gt;"", E42*AC41, ""), "")</f>
        <v/>
      </c>
      <c r="AD42" s="22" t="str">
        <f>IF(E42&lt;&gt;"", IF(AD41&lt;&gt;"", E42*AD41, ""), "")</f>
        <v/>
      </c>
      <c r="AE42" s="22" t="str">
        <f>IF(E42&lt;&gt;"", IF(AE41&lt;&gt;"", E42*AE41, ""), "")</f>
        <v/>
      </c>
      <c r="AF42" s="22" t="str">
        <f>IF(E42&lt;&gt;"", IF(AF41&lt;&gt;"", E42*AF41, ""), "")</f>
        <v/>
      </c>
      <c r="AG42" s="22" t="str">
        <f>IF(E42&lt;&gt;"", IF(AG41&lt;&gt;"", E42*AG41, ""), "")</f>
        <v/>
      </c>
      <c r="AH42" s="22" t="str">
        <f>IF(E42&lt;&gt;"", IF(AH41&lt;&gt;"", E42*AH41, ""), "")</f>
        <v/>
      </c>
      <c r="AI42" s="22" t="str">
        <f>IF(E42&lt;&gt;"", IF(AI41&lt;&gt;"", E42*AI41, ""), "")</f>
        <v/>
      </c>
      <c r="AJ42" s="22" t="str">
        <f>IF(E42&lt;&gt;"", IF(AJ41&lt;&gt;"", E42*AJ41, ""), "")</f>
        <v/>
      </c>
      <c r="AK42" s="22" t="str">
        <f>IF(E42&lt;&gt;"", IF(AK41&lt;&gt;"", E42*AK41, ""), "")</f>
        <v/>
      </c>
      <c r="AL42" s="22" t="str">
        <f>IF(E42&lt;&gt;"", IF(AL41&lt;&gt;"", E42*AL41, ""), "")</f>
        <v/>
      </c>
      <c r="AM42" s="22" t="str">
        <f>IF(E42&lt;&gt;"", IF(AM41&lt;&gt;"", E42*AM41, ""), "")</f>
        <v/>
      </c>
      <c r="AN42" s="22" t="str">
        <f>IF(E42&lt;&gt;"", IF(AN41&lt;&gt;"", E42*AN41, ""), "")</f>
        <v/>
      </c>
      <c r="AO42" s="22" t="str">
        <f>IF(E42&lt;&gt;"", IF(AO41&lt;&gt;"", E42*AO41, ""), "")</f>
        <v/>
      </c>
      <c r="AP42" s="22" t="str">
        <f>IF(E42&lt;&gt;"", IF(AP41&lt;&gt;"", E42*AP41, ""), "")</f>
        <v/>
      </c>
      <c r="AQ42" s="22" t="str">
        <f>IF(E42&lt;&gt;"", IF(AQ41&lt;&gt;"", E42*AQ41, ""), "")</f>
        <v/>
      </c>
      <c r="AR42" s="22" t="str">
        <f>IF(E42&lt;&gt;"", IF(AR41&lt;&gt;"", E42*AR41, ""), "")</f>
        <v/>
      </c>
      <c r="AS42" s="22" t="str">
        <f>IF(E42&lt;&gt;"", IF(AS41&lt;&gt;"", E42*AS41, ""), "")</f>
        <v/>
      </c>
      <c r="AT42" s="22" t="str">
        <f>IF(E42&lt;&gt;"", IF(AT41&lt;&gt;"", E42*AT41, ""), "")</f>
        <v/>
      </c>
      <c r="AU42" s="22" t="str">
        <f>IF(E42&lt;&gt;"", IF(AU41&lt;&gt;"", E42*AU41, ""), "")</f>
        <v/>
      </c>
      <c r="AV42" s="22" t="str">
        <f>IF(E42&lt;&gt;"", IF(AV41&lt;&gt;"", E42*AV41, ""), "")</f>
        <v/>
      </c>
      <c r="AW42" s="22" t="str">
        <f>IF(E42&lt;&gt;"", IF(AW41&lt;&gt;"", E42*AW41, ""), "")</f>
        <v/>
      </c>
      <c r="AX42" s="22" t="str">
        <f>IF(E42&lt;&gt;"", IF(AX41&lt;&gt;"", E42*AX41, ""), "")</f>
        <v/>
      </c>
      <c r="AY42" s="22" t="str">
        <f>IF(E42&lt;&gt;"", IF(AY41&lt;&gt;"", E42*AY41, ""), "")</f>
        <v/>
      </c>
      <c r="AZ42" s="22" t="str">
        <f>IF(E42&lt;&gt;"", IF(AZ41&lt;&gt;"", E42*AZ41, ""), "")</f>
        <v/>
      </c>
      <c r="BA42" s="22" t="str">
        <f>IF(E42&lt;&gt;"", IF(BA41&lt;&gt;"", E42*BA41, ""), "")</f>
        <v/>
      </c>
      <c r="BB42" s="22" t="str">
        <f>IF(E42&lt;&gt;"", IF(BB41&lt;&gt;"", E42*BB41, ""), "")</f>
        <v/>
      </c>
      <c r="BC42" s="22" t="str">
        <f>IF(E42&lt;&gt;"", IF(BC41&lt;&gt;"", E42*BC41, ""), "")</f>
        <v/>
      </c>
      <c r="BD42" s="22" t="str">
        <f>IF(E42&lt;&gt;"", IF(BD41&lt;&gt;"", E42*BD41, ""), "")</f>
        <v/>
      </c>
      <c r="BE42" s="22" t="str">
        <f>IF(E42&lt;&gt;"", IF(BE41&lt;&gt;"", E42*BE41, ""), "")</f>
        <v/>
      </c>
      <c r="DK42" s="18">
        <f>P42</f>
        <v>7</v>
      </c>
    </row>
    <row r="43" spans="1:120" ht="20.100000000000001" customHeight="1">
      <c r="A43" s="220">
        <v>19</v>
      </c>
      <c r="B43" s="7"/>
      <c r="C43" s="7"/>
      <c r="D43" s="5" t="s">
        <v>248</v>
      </c>
      <c r="E43" s="3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>
        <v>1</v>
      </c>
      <c r="T43" s="46"/>
      <c r="U43" s="46"/>
      <c r="V43" s="46"/>
      <c r="W43" s="46"/>
      <c r="X43" s="46"/>
      <c r="Y43" s="46"/>
      <c r="Z43" s="46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  <c r="BD43" s="59"/>
      <c r="BE43" s="59"/>
    </row>
    <row r="44" spans="1:120" ht="20.100000000000001" customHeight="1">
      <c r="A44" s="221"/>
      <c r="B44" s="7"/>
      <c r="C44" s="7"/>
      <c r="D44" s="78">
        <v>1</v>
      </c>
      <c r="E44" s="47">
        <f>IF(egTextCal(D44)&lt;&gt;0, egTextCal(D44),"")</f>
        <v>1</v>
      </c>
      <c r="F44" s="48" t="str">
        <f>IF(E44&lt;&gt;"", IF(F43&lt;&gt;"", E44*F43,""),"")</f>
        <v/>
      </c>
      <c r="G44" s="48" t="str">
        <f>IF(E44&lt;&gt;"", IF(G43&lt;&gt;"", E44*G43,""),"")</f>
        <v/>
      </c>
      <c r="H44" s="48" t="str">
        <f>IF(E44&lt;&gt;"", IF(H43&lt;&gt;"", E44*H43,""),"")</f>
        <v/>
      </c>
      <c r="I44" s="48" t="str">
        <f>IF(E44&lt;&gt;"", IF(I43&lt;&gt;"", E44*I43,""),"")</f>
        <v/>
      </c>
      <c r="J44" s="48" t="str">
        <f>IF(E44&lt;&gt;"", IF(J43&lt;&gt;"", E44*J43,""),"")</f>
        <v/>
      </c>
      <c r="K44" s="48" t="str">
        <f>IF(E44&lt;&gt;"", IF(K43&lt;&gt;"", E44*K43,""),"")</f>
        <v/>
      </c>
      <c r="L44" s="48" t="str">
        <f>IF(E44&lt;&gt;"", IF(L43&lt;&gt;"", E44*L43,""),"")</f>
        <v/>
      </c>
      <c r="M44" s="48" t="str">
        <f>IF(E44&lt;&gt;"", IF(M43&lt;&gt;"", E44*M43,""),"")</f>
        <v/>
      </c>
      <c r="N44" s="48" t="str">
        <f>IF(E44&lt;&gt;"", IF(N43&lt;&gt;"", E44*N43,""),"")</f>
        <v/>
      </c>
      <c r="O44" s="48" t="str">
        <f>IF(E44&lt;&gt;"", IF(O43&lt;&gt;"", E44*O43,""),"")</f>
        <v/>
      </c>
      <c r="P44" s="48" t="str">
        <f>IF(E44&lt;&gt;"", IF(P43&lt;&gt;"", E44*P43,""),"")</f>
        <v/>
      </c>
      <c r="Q44" s="48" t="str">
        <f>IF(E44&lt;&gt;"", IF(Q43&lt;&gt;"", E44*Q43,""),"")</f>
        <v/>
      </c>
      <c r="R44" s="48" t="str">
        <f>IF(E44&lt;&gt;"", IF(R43&lt;&gt;"", E44*R43,""),"")</f>
        <v/>
      </c>
      <c r="S44" s="48">
        <f>IF(E44&lt;&gt;"", IF(S43&lt;&gt;"", E44*S43,""),"")</f>
        <v>1</v>
      </c>
      <c r="T44" s="48" t="str">
        <f>IF(E44&lt;&gt;"", IF(T43&lt;&gt;"", E44*T43,""),"")</f>
        <v/>
      </c>
      <c r="U44" s="48" t="str">
        <f>IF(E44&lt;&gt;"", IF(U43&lt;&gt;"", E44*U43,""),"")</f>
        <v/>
      </c>
      <c r="V44" s="48" t="str">
        <f>IF(E44&lt;&gt;"", IF(V43&lt;&gt;"", E44*V43,""),"")</f>
        <v/>
      </c>
      <c r="W44" s="48" t="str">
        <f>IF(E44&lt;&gt;"", IF(W43&lt;&gt;"", E44*W43,""),"")</f>
        <v/>
      </c>
      <c r="X44" s="48" t="str">
        <f>IF(E44&lt;&gt;"", IF(X43&lt;&gt;"", E44*X43,""),"")</f>
        <v/>
      </c>
      <c r="Y44" s="48" t="str">
        <f>IF(E44&lt;&gt;"", IF(Y43&lt;&gt;"", E44*Y43,""),"")</f>
        <v/>
      </c>
      <c r="Z44" s="48" t="str">
        <f>IF(E44&lt;&gt;"", IF(Z43&lt;&gt;"", E44*Z43,""),"")</f>
        <v/>
      </c>
      <c r="AA44" s="22"/>
      <c r="AB44" s="22" t="str">
        <f>IF(E44&lt;&gt;"", IF(AB43&lt;&gt;"", E44*AB43, ""), "")</f>
        <v/>
      </c>
      <c r="AC44" s="22" t="str">
        <f>IF(E44&lt;&gt;"", IF(AC43&lt;&gt;"", E44*AC43, ""), "")</f>
        <v/>
      </c>
      <c r="AD44" s="22" t="str">
        <f>IF(E44&lt;&gt;"", IF(AD43&lt;&gt;"", E44*AD43, ""), "")</f>
        <v/>
      </c>
      <c r="AE44" s="22" t="str">
        <f>IF(E44&lt;&gt;"", IF(AE43&lt;&gt;"", E44*AE43, ""), "")</f>
        <v/>
      </c>
      <c r="AF44" s="22" t="str">
        <f>IF(E44&lt;&gt;"", IF(AF43&lt;&gt;"", E44*AF43, ""), "")</f>
        <v/>
      </c>
      <c r="AG44" s="22" t="str">
        <f>IF(E44&lt;&gt;"", IF(AG43&lt;&gt;"", E44*AG43, ""), "")</f>
        <v/>
      </c>
      <c r="AH44" s="22" t="str">
        <f>IF(E44&lt;&gt;"", IF(AH43&lt;&gt;"", E44*AH43, ""), "")</f>
        <v/>
      </c>
      <c r="AI44" s="22" t="str">
        <f>IF(E44&lt;&gt;"", IF(AI43&lt;&gt;"", E44*AI43, ""), "")</f>
        <v/>
      </c>
      <c r="AJ44" s="22" t="str">
        <f>IF(E44&lt;&gt;"", IF(AJ43&lt;&gt;"", E44*AJ43, ""), "")</f>
        <v/>
      </c>
      <c r="AK44" s="22" t="str">
        <f>IF(E44&lt;&gt;"", IF(AK43&lt;&gt;"", E44*AK43, ""), "")</f>
        <v/>
      </c>
      <c r="AL44" s="22" t="str">
        <f>IF(E44&lt;&gt;"", IF(AL43&lt;&gt;"", E44*AL43, ""), "")</f>
        <v/>
      </c>
      <c r="AM44" s="22" t="str">
        <f>IF(E44&lt;&gt;"", IF(AM43&lt;&gt;"", E44*AM43, ""), "")</f>
        <v/>
      </c>
      <c r="AN44" s="22" t="str">
        <f>IF(E44&lt;&gt;"", IF(AN43&lt;&gt;"", E44*AN43, ""), "")</f>
        <v/>
      </c>
      <c r="AO44" s="22" t="str">
        <f>IF(E44&lt;&gt;"", IF(AO43&lt;&gt;"", E44*AO43, ""), "")</f>
        <v/>
      </c>
      <c r="AP44" s="22" t="str">
        <f>IF(E44&lt;&gt;"", IF(AP43&lt;&gt;"", E44*AP43, ""), "")</f>
        <v/>
      </c>
      <c r="AQ44" s="22" t="str">
        <f>IF(E44&lt;&gt;"", IF(AQ43&lt;&gt;"", E44*AQ43, ""), "")</f>
        <v/>
      </c>
      <c r="AR44" s="22" t="str">
        <f>IF(E44&lt;&gt;"", IF(AR43&lt;&gt;"", E44*AR43, ""), "")</f>
        <v/>
      </c>
      <c r="AS44" s="22" t="str">
        <f>IF(E44&lt;&gt;"", IF(AS43&lt;&gt;"", E44*AS43, ""), "")</f>
        <v/>
      </c>
      <c r="AT44" s="22" t="str">
        <f>IF(E44&lt;&gt;"", IF(AT43&lt;&gt;"", E44*AT43, ""), "")</f>
        <v/>
      </c>
      <c r="AU44" s="22" t="str">
        <f>IF(E44&lt;&gt;"", IF(AU43&lt;&gt;"", E44*AU43, ""), "")</f>
        <v/>
      </c>
      <c r="AV44" s="22" t="str">
        <f>IF(E44&lt;&gt;"", IF(AV43&lt;&gt;"", E44*AV43, ""), "")</f>
        <v/>
      </c>
      <c r="AW44" s="22" t="str">
        <f>IF(E44&lt;&gt;"", IF(AW43&lt;&gt;"", E44*AW43, ""), "")</f>
        <v/>
      </c>
      <c r="AX44" s="22" t="str">
        <f>IF(E44&lt;&gt;"", IF(AX43&lt;&gt;"", E44*AX43, ""), "")</f>
        <v/>
      </c>
      <c r="AY44" s="22" t="str">
        <f>IF(E44&lt;&gt;"", IF(AY43&lt;&gt;"", E44*AY43, ""), "")</f>
        <v/>
      </c>
      <c r="AZ44" s="22" t="str">
        <f>IF(E44&lt;&gt;"", IF(AZ43&lt;&gt;"", E44*AZ43, ""), "")</f>
        <v/>
      </c>
      <c r="BA44" s="22" t="str">
        <f>IF(E44&lt;&gt;"", IF(BA43&lt;&gt;"", E44*BA43, ""), "")</f>
        <v/>
      </c>
      <c r="BB44" s="22" t="str">
        <f>IF(E44&lt;&gt;"", IF(BB43&lt;&gt;"", E44*BB43, ""), "")</f>
        <v/>
      </c>
      <c r="BC44" s="22" t="str">
        <f>IF(E44&lt;&gt;"", IF(BC43&lt;&gt;"", E44*BC43, ""), "")</f>
        <v/>
      </c>
      <c r="BD44" s="22" t="str">
        <f>IF(E44&lt;&gt;"", IF(BD43&lt;&gt;"", E44*BD43, ""), "")</f>
        <v/>
      </c>
      <c r="BE44" s="22" t="str">
        <f>IF(E44&lt;&gt;"", IF(BE43&lt;&gt;"", E44*BE43, ""), "")</f>
        <v/>
      </c>
      <c r="DN44" s="18">
        <f>S44</f>
        <v>1</v>
      </c>
    </row>
    <row r="45" spans="1:120" ht="20.100000000000001" customHeight="1">
      <c r="A45" s="220">
        <v>20</v>
      </c>
      <c r="B45" s="7"/>
      <c r="C45" s="7"/>
      <c r="D45" s="5" t="s">
        <v>249</v>
      </c>
      <c r="E45" s="3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59"/>
    </row>
    <row r="46" spans="1:120" ht="20.100000000000001" customHeight="1">
      <c r="A46" s="221"/>
      <c r="B46" s="58"/>
      <c r="C46" s="58"/>
      <c r="D46" s="78">
        <v>6</v>
      </c>
      <c r="E46" s="47">
        <f>IF(egTextCal(D46)&lt;&gt;0, egTextCal(D46),"")</f>
        <v>6</v>
      </c>
      <c r="F46" s="48" t="str">
        <f>IF(E46&lt;&gt;"", IF(F45&lt;&gt;"", E46*F45,""),"")</f>
        <v/>
      </c>
      <c r="G46" s="48" t="str">
        <f>IF(E46&lt;&gt;"", IF(G45&lt;&gt;"", E46*G45,""),"")</f>
        <v/>
      </c>
      <c r="H46" s="48" t="str">
        <f>IF(E46&lt;&gt;"", IF(H45&lt;&gt;"", E46*H45,""),"")</f>
        <v/>
      </c>
      <c r="I46" s="48" t="str">
        <f>IF(E46&lt;&gt;"", IF(I45&lt;&gt;"", E46*I45,""),"")</f>
        <v/>
      </c>
      <c r="J46" s="48" t="str">
        <f>IF(E46&lt;&gt;"", IF(J45&lt;&gt;"", E46*J45,""),"")</f>
        <v/>
      </c>
      <c r="K46" s="48" t="str">
        <f>IF(E46&lt;&gt;"", IF(K45&lt;&gt;"", E46*K45,""),"")</f>
        <v/>
      </c>
      <c r="L46" s="48" t="str">
        <f>IF(E46&lt;&gt;"", IF(L45&lt;&gt;"", E46*L45,""),"")</f>
        <v/>
      </c>
      <c r="M46" s="48" t="str">
        <f>IF(E46&lt;&gt;"", IF(M45&lt;&gt;"", E46*M45,""),"")</f>
        <v/>
      </c>
      <c r="N46" s="48" t="str">
        <f>IF(E46&lt;&gt;"", IF(N45&lt;&gt;"", E46*N45,""),"")</f>
        <v/>
      </c>
      <c r="O46" s="48" t="str">
        <f>IF(E46&lt;&gt;"", IF(O45&lt;&gt;"", E46*O45,""),"")</f>
        <v/>
      </c>
      <c r="P46" s="48" t="str">
        <f>IF(E46&lt;&gt;"", IF(P45&lt;&gt;"", E46*P45,""),"")</f>
        <v/>
      </c>
      <c r="Q46" s="48" t="str">
        <f>IF(E46&lt;&gt;"", IF(Q45&lt;&gt;"", E46*Q45,""),"")</f>
        <v/>
      </c>
      <c r="R46" s="48" t="str">
        <f>IF(E46&lt;&gt;"", IF(R45&lt;&gt;"", E46*R45,""),"")</f>
        <v/>
      </c>
      <c r="S46" s="48" t="str">
        <f>IF(E46&lt;&gt;"", IF(S45&lt;&gt;"", E46*S45,""),"")</f>
        <v/>
      </c>
      <c r="T46" s="48" t="str">
        <f>IF(E46&lt;&gt;"", IF(T45&lt;&gt;"", E46*T45,""),"")</f>
        <v/>
      </c>
      <c r="U46" s="48" t="str">
        <f>IF(E46&lt;&gt;"", IF(U45&lt;&gt;"", E46*U45,""),"")</f>
        <v/>
      </c>
      <c r="V46" s="48" t="str">
        <f>IF(E46&lt;&gt;"", IF(V45&lt;&gt;"", E46*V45,""),"")</f>
        <v/>
      </c>
      <c r="W46" s="48" t="str">
        <f>IF(E46&lt;&gt;"", IF(W45&lt;&gt;"", E46*W45,""),"")</f>
        <v/>
      </c>
      <c r="X46" s="48" t="str">
        <f>IF(E46&lt;&gt;"", IF(X45&lt;&gt;"", E46*X45,""),"")</f>
        <v/>
      </c>
      <c r="Y46" s="48" t="str">
        <f>IF(E46&lt;&gt;"", IF(Y45&lt;&gt;"", E46*Y45,""),"")</f>
        <v/>
      </c>
      <c r="Z46" s="48" t="str">
        <f>IF(E46&lt;&gt;"", IF(Z45&lt;&gt;"", E46*Z45,""),"")</f>
        <v/>
      </c>
      <c r="AA46" s="22"/>
      <c r="AB46" s="22" t="str">
        <f>IF(E46&lt;&gt;"", IF(AB45&lt;&gt;"", E46*AB45, ""), "")</f>
        <v/>
      </c>
      <c r="AC46" s="22" t="str">
        <f>IF(E46&lt;&gt;"", IF(AC45&lt;&gt;"", E46*AC45, ""), "")</f>
        <v/>
      </c>
      <c r="AD46" s="22" t="str">
        <f>IF(E46&lt;&gt;"", IF(AD45&lt;&gt;"", E46*AD45, ""), "")</f>
        <v/>
      </c>
      <c r="AE46" s="22" t="str">
        <f>IF(E46&lt;&gt;"", IF(AE45&lt;&gt;"", E46*AE45, ""), "")</f>
        <v/>
      </c>
      <c r="AF46" s="22" t="str">
        <f>IF(E46&lt;&gt;"", IF(AF45&lt;&gt;"", E46*AF45, ""), "")</f>
        <v/>
      </c>
      <c r="AG46" s="22" t="str">
        <f>IF(E46&lt;&gt;"", IF(AG45&lt;&gt;"", E46*AG45, ""), "")</f>
        <v/>
      </c>
      <c r="AH46" s="22" t="str">
        <f>IF(E46&lt;&gt;"", IF(AH45&lt;&gt;"", E46*AH45, ""), "")</f>
        <v/>
      </c>
      <c r="AI46" s="22" t="str">
        <f>IF(E46&lt;&gt;"", IF(AI45&lt;&gt;"", E46*AI45, ""), "")</f>
        <v/>
      </c>
      <c r="AJ46" s="22" t="str">
        <f>IF(E46&lt;&gt;"", IF(AJ45&lt;&gt;"", E46*AJ45, ""), "")</f>
        <v/>
      </c>
      <c r="AK46" s="22" t="str">
        <f>IF(E46&lt;&gt;"", IF(AK45&lt;&gt;"", E46*AK45, ""), "")</f>
        <v/>
      </c>
      <c r="AL46" s="22" t="str">
        <f>IF(E46&lt;&gt;"", IF(AL45&lt;&gt;"", E46*AL45, ""), "")</f>
        <v/>
      </c>
      <c r="AM46" s="22" t="str">
        <f>IF(E46&lt;&gt;"", IF(AM45&lt;&gt;"", E46*AM45, ""), "")</f>
        <v/>
      </c>
      <c r="AN46" s="22" t="str">
        <f>IF(E46&lt;&gt;"", IF(AN45&lt;&gt;"", E46*AN45, ""), "")</f>
        <v/>
      </c>
      <c r="AO46" s="22" t="str">
        <f>IF(E46&lt;&gt;"", IF(AO45&lt;&gt;"", E46*AO45, ""), "")</f>
        <v/>
      </c>
      <c r="AP46" s="22" t="str">
        <f>IF(E46&lt;&gt;"", IF(AP45&lt;&gt;"", E46*AP45, ""), "")</f>
        <v/>
      </c>
      <c r="AQ46" s="22" t="str">
        <f>IF(E46&lt;&gt;"", IF(AQ45&lt;&gt;"", E46*AQ45, ""), "")</f>
        <v/>
      </c>
      <c r="AR46" s="22" t="str">
        <f>IF(E46&lt;&gt;"", IF(AR45&lt;&gt;"", E46*AR45, ""), "")</f>
        <v/>
      </c>
      <c r="AS46" s="22" t="str">
        <f>IF(E46&lt;&gt;"", IF(AS45&lt;&gt;"", E46*AS45, ""), "")</f>
        <v/>
      </c>
      <c r="AT46" s="22" t="str">
        <f>IF(E46&lt;&gt;"", IF(AT45&lt;&gt;"", E46*AT45, ""), "")</f>
        <v/>
      </c>
      <c r="AU46" s="22" t="str">
        <f>IF(E46&lt;&gt;"", IF(AU45&lt;&gt;"", E46*AU45, ""), "")</f>
        <v/>
      </c>
      <c r="AV46" s="22" t="str">
        <f>IF(E46&lt;&gt;"", IF(AV45&lt;&gt;"", E46*AV45, ""), "")</f>
        <v/>
      </c>
      <c r="AW46" s="22" t="str">
        <f>IF(E46&lt;&gt;"", IF(AW45&lt;&gt;"", E46*AW45, ""), "")</f>
        <v/>
      </c>
      <c r="AX46" s="22" t="str">
        <f>IF(E46&lt;&gt;"", IF(AX45&lt;&gt;"", E46*AX45, ""), "")</f>
        <v/>
      </c>
      <c r="AY46" s="22" t="str">
        <f>IF(E46&lt;&gt;"", IF(AY45&lt;&gt;"", E46*AY45, ""), "")</f>
        <v/>
      </c>
      <c r="AZ46" s="22" t="str">
        <f>IF(E46&lt;&gt;"", IF(AZ45&lt;&gt;"", E46*AZ45, ""), "")</f>
        <v/>
      </c>
      <c r="BA46" s="22" t="str">
        <f>IF(E46&lt;&gt;"", IF(BA45&lt;&gt;"", E46*BA45, ""), "")</f>
        <v/>
      </c>
      <c r="BB46" s="22" t="str">
        <f>IF(E46&lt;&gt;"", IF(BB45&lt;&gt;"", E46*BB45, ""), "")</f>
        <v/>
      </c>
      <c r="BC46" s="22" t="str">
        <f>IF(E46&lt;&gt;"", IF(BC45&lt;&gt;"", E46*BC45, ""), "")</f>
        <v/>
      </c>
      <c r="BD46" s="22" t="str">
        <f>IF(E46&lt;&gt;"", IF(BD45&lt;&gt;"", E46*BD45, ""), "")</f>
        <v/>
      </c>
      <c r="BE46" s="22" t="str">
        <f>IF(E46&lt;&gt;"", IF(BE45&lt;&gt;"", E46*BE45, ""), "")</f>
        <v/>
      </c>
    </row>
    <row r="47" spans="1:120" ht="20.100000000000001" customHeight="1">
      <c r="BA47" s="2"/>
      <c r="BB47" s="2"/>
      <c r="BC47" s="2"/>
      <c r="BD47" s="2"/>
      <c r="BE47" s="2"/>
    </row>
    <row r="48" spans="1:120" ht="20.100000000000001" customHeight="1">
      <c r="BA48" s="2"/>
      <c r="BB48" s="2"/>
      <c r="BC48" s="2"/>
      <c r="BD48" s="2"/>
      <c r="BE48" s="2"/>
    </row>
    <row r="49" spans="1:57" ht="20.100000000000001" customHeight="1">
      <c r="BA49" s="2"/>
      <c r="BB49" s="2"/>
      <c r="BC49" s="2"/>
      <c r="BD49" s="2"/>
      <c r="BE49" s="2"/>
    </row>
    <row r="50" spans="1:57" ht="20.100000000000001" customHeight="1">
      <c r="D50" s="222" t="s">
        <v>644</v>
      </c>
      <c r="E50" s="223"/>
      <c r="F50" s="223"/>
      <c r="G50" s="223"/>
      <c r="H50" s="223"/>
      <c r="I50" s="223"/>
      <c r="J50" s="223"/>
      <c r="K50" s="223"/>
      <c r="L50" s="223"/>
      <c r="M50" s="223"/>
      <c r="N50" s="223"/>
      <c r="O50" s="223"/>
      <c r="P50" s="223"/>
      <c r="Q50" s="223"/>
      <c r="R50" s="223"/>
      <c r="S50" s="223"/>
      <c r="T50" s="223"/>
      <c r="U50" s="223"/>
      <c r="V50" s="223"/>
      <c r="W50" s="223"/>
      <c r="X50" s="223"/>
      <c r="Y50" s="223"/>
      <c r="Z50" s="223"/>
      <c r="BA50" s="2"/>
      <c r="BB50" s="2"/>
      <c r="BC50" s="2"/>
      <c r="BD50" s="2"/>
      <c r="BE50" s="2"/>
    </row>
    <row r="51" spans="1:57" ht="20.100000000000001" customHeight="1">
      <c r="A51" s="219" t="s">
        <v>320</v>
      </c>
      <c r="B51" s="73"/>
      <c r="C51" s="75"/>
      <c r="D51" s="219" t="s">
        <v>180</v>
      </c>
      <c r="E51" s="219" t="s">
        <v>181</v>
      </c>
      <c r="F51" s="54" t="s">
        <v>250</v>
      </c>
      <c r="G51" s="54" t="s">
        <v>251</v>
      </c>
      <c r="H51" s="54" t="s">
        <v>252</v>
      </c>
      <c r="I51" s="54" t="s">
        <v>253</v>
      </c>
      <c r="J51" s="54" t="s">
        <v>254</v>
      </c>
      <c r="K51" s="54" t="s">
        <v>593</v>
      </c>
      <c r="L51" s="54" t="s">
        <v>255</v>
      </c>
      <c r="M51" s="54" t="s">
        <v>256</v>
      </c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</row>
    <row r="52" spans="1:57" ht="20.100000000000001" customHeight="1">
      <c r="A52" s="220"/>
      <c r="B52" s="14"/>
      <c r="C52" s="42"/>
      <c r="D52" s="220"/>
      <c r="E52" s="220"/>
      <c r="F52" s="44" t="s">
        <v>257</v>
      </c>
      <c r="G52" s="44"/>
      <c r="H52" s="44" t="s">
        <v>258</v>
      </c>
      <c r="I52" s="44" t="s">
        <v>259</v>
      </c>
      <c r="J52" s="44" t="s">
        <v>591</v>
      </c>
      <c r="K52" s="44" t="s">
        <v>594</v>
      </c>
      <c r="L52" s="44" t="s">
        <v>260</v>
      </c>
      <c r="M52" s="44" t="s">
        <v>261</v>
      </c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</row>
    <row r="53" spans="1:57" ht="20.100000000000001" customHeight="1">
      <c r="A53" s="221"/>
      <c r="B53" s="74"/>
      <c r="C53" s="76"/>
      <c r="D53" s="221"/>
      <c r="E53" s="221"/>
      <c r="F53" s="55" t="s">
        <v>262</v>
      </c>
      <c r="G53" s="55" t="s">
        <v>263</v>
      </c>
      <c r="H53" s="55" t="s">
        <v>264</v>
      </c>
      <c r="I53" s="55" t="s">
        <v>262</v>
      </c>
      <c r="J53" s="55" t="s">
        <v>592</v>
      </c>
      <c r="K53" s="55" t="s">
        <v>595</v>
      </c>
      <c r="L53" s="55" t="s">
        <v>265</v>
      </c>
      <c r="M53" s="55" t="s">
        <v>266</v>
      </c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</row>
    <row r="54" spans="1:57" ht="20.100000000000001" customHeight="1">
      <c r="A54" s="220">
        <v>1</v>
      </c>
      <c r="B54" s="7"/>
      <c r="C54" s="7"/>
      <c r="D54" s="5" t="s">
        <v>221</v>
      </c>
      <c r="E54" s="3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59"/>
      <c r="BA54" s="59"/>
      <c r="BB54" s="59"/>
      <c r="BC54" s="59"/>
      <c r="BD54" s="59"/>
      <c r="BE54" s="59"/>
    </row>
    <row r="55" spans="1:57" ht="20.100000000000001" customHeight="1">
      <c r="A55" s="221"/>
      <c r="B55" s="7"/>
      <c r="C55" s="7"/>
      <c r="D55" s="78"/>
      <c r="E55" s="47" t="str">
        <f>IF(egTextCal(D55)&lt;&gt;0, egTextCal(D55),"")</f>
        <v/>
      </c>
      <c r="F55" s="48" t="str">
        <f>IF(E55&lt;&gt;"", IF(F54&lt;&gt;"", E55*F54,""),"")</f>
        <v/>
      </c>
      <c r="G55" s="48" t="str">
        <f>IF(E55&lt;&gt;"", IF(G54&lt;&gt;"", E55*G54,""),"")</f>
        <v/>
      </c>
      <c r="H55" s="48" t="str">
        <f>IF(E55&lt;&gt;"", IF(H54&lt;&gt;"", E55*H54,""),"")</f>
        <v/>
      </c>
      <c r="I55" s="48" t="str">
        <f>IF(E55&lt;&gt;"", IF(I54&lt;&gt;"", E55*I54,""),"")</f>
        <v/>
      </c>
      <c r="J55" s="48" t="str">
        <f>IF(E55&lt;&gt;"", IF(J54&lt;&gt;"", E55*J54,""),"")</f>
        <v/>
      </c>
      <c r="K55" s="48" t="str">
        <f>IF(E55&lt;&gt;"", IF(K54&lt;&gt;"", E55*K54,""),"")</f>
        <v/>
      </c>
      <c r="L55" s="48" t="str">
        <f>IF(E55&lt;&gt;"", IF(L54&lt;&gt;"", E55*L54,""),"")</f>
        <v/>
      </c>
      <c r="M55" s="48" t="str">
        <f>IF(E55&lt;&gt;"", IF(M54&lt;&gt;"", E55*M54,""),"")</f>
        <v/>
      </c>
      <c r="N55" s="48" t="str">
        <f>IF(E55&lt;&gt;"", IF(N54&lt;&gt;"", E55*N54,""),"")</f>
        <v/>
      </c>
      <c r="O55" s="48" t="str">
        <f>IF(E55&lt;&gt;"", IF(O54&lt;&gt;"", E55*O54,""),"")</f>
        <v/>
      </c>
      <c r="P55" s="48" t="str">
        <f>IF(E55&lt;&gt;"", IF(P54&lt;&gt;"", E55*P54,""),"")</f>
        <v/>
      </c>
      <c r="Q55" s="48" t="str">
        <f>IF(E55&lt;&gt;"", IF(Q54&lt;&gt;"", E55*Q54,""),"")</f>
        <v/>
      </c>
      <c r="R55" s="48" t="str">
        <f>IF(E55&lt;&gt;"", IF(R54&lt;&gt;"", E55*R54,""),"")</f>
        <v/>
      </c>
      <c r="S55" s="48" t="str">
        <f>IF(E55&lt;&gt;"", IF(S54&lt;&gt;"", E55*S54,""),"")</f>
        <v/>
      </c>
      <c r="T55" s="48" t="str">
        <f>IF(E55&lt;&gt;"", IF(T54&lt;&gt;"", E55*T54,""),"")</f>
        <v/>
      </c>
      <c r="U55" s="48" t="str">
        <f>IF(E55&lt;&gt;"", IF(U54&lt;&gt;"", E55*U54,""),"")</f>
        <v/>
      </c>
      <c r="V55" s="48" t="str">
        <f>IF(E55&lt;&gt;"", IF(V54&lt;&gt;"", E55*V54,""),"")</f>
        <v/>
      </c>
      <c r="W55" s="48" t="str">
        <f>IF(E55&lt;&gt;"", IF(W54&lt;&gt;"", E55*W54,""),"")</f>
        <v/>
      </c>
      <c r="X55" s="48" t="str">
        <f>IF(E55&lt;&gt;"", IF(X54&lt;&gt;"", E55*X54,""),"")</f>
        <v/>
      </c>
      <c r="Y55" s="48" t="str">
        <f>IF(E55&lt;&gt;"", IF(Y54&lt;&gt;"", E55*Y54,""),"")</f>
        <v/>
      </c>
      <c r="Z55" s="48" t="str">
        <f>IF(E55&lt;&gt;"", IF(Z54&lt;&gt;"", E55*Z54,""),"")</f>
        <v/>
      </c>
      <c r="AA55" s="22"/>
      <c r="AB55" s="22" t="str">
        <f>IF(E55&lt;&gt;"", IF(AB54&lt;&gt;"", E55*AB54, ""), "")</f>
        <v/>
      </c>
      <c r="AC55" s="22" t="str">
        <f>IF(E55&lt;&gt;"", IF(AC54&lt;&gt;"", E55*AC54, ""), "")</f>
        <v/>
      </c>
      <c r="AD55" s="22" t="str">
        <f>IF(E55&lt;&gt;"", IF(AD54&lt;&gt;"", E55*AD54, ""), "")</f>
        <v/>
      </c>
      <c r="AE55" s="22" t="str">
        <f>IF(E55&lt;&gt;"", IF(AE54&lt;&gt;"", E55*AE54, ""), "")</f>
        <v/>
      </c>
      <c r="AF55" s="22" t="str">
        <f>IF(E55&lt;&gt;"", IF(AF54&lt;&gt;"", E55*AF54, ""), "")</f>
        <v/>
      </c>
      <c r="AG55" s="22" t="str">
        <f>IF(E55&lt;&gt;"", IF(AG54&lt;&gt;"", E55*AG54, ""), "")</f>
        <v/>
      </c>
      <c r="AH55" s="22" t="str">
        <f>IF(E55&lt;&gt;"", IF(AH54&lt;&gt;"", E55*AH54, ""), "")</f>
        <v/>
      </c>
      <c r="AI55" s="22" t="str">
        <f>IF(E55&lt;&gt;"", IF(AI54&lt;&gt;"", E55*AI54, ""), "")</f>
        <v/>
      </c>
      <c r="AJ55" s="22" t="str">
        <f>IF(E55&lt;&gt;"", IF(AJ54&lt;&gt;"", E55*AJ54, ""), "")</f>
        <v/>
      </c>
      <c r="AK55" s="22" t="str">
        <f>IF(E55&lt;&gt;"", IF(AK54&lt;&gt;"", E55*AK54, ""), "")</f>
        <v/>
      </c>
      <c r="AL55" s="22" t="str">
        <f>IF(E55&lt;&gt;"", IF(AL54&lt;&gt;"", E55*AL54, ""), "")</f>
        <v/>
      </c>
      <c r="AM55" s="22" t="str">
        <f>IF(E55&lt;&gt;"", IF(AM54&lt;&gt;"", E55*AM54, ""), "")</f>
        <v/>
      </c>
      <c r="AN55" s="22" t="str">
        <f>IF(E55&lt;&gt;"", IF(AN54&lt;&gt;"", E55*AN54, ""), "")</f>
        <v/>
      </c>
      <c r="AO55" s="22" t="str">
        <f>IF(E55&lt;&gt;"", IF(AO54&lt;&gt;"", E55*AO54, ""), "")</f>
        <v/>
      </c>
      <c r="AP55" s="22" t="str">
        <f>IF(E55&lt;&gt;"", IF(AP54&lt;&gt;"", E55*AP54, ""), "")</f>
        <v/>
      </c>
      <c r="AQ55" s="22" t="str">
        <f>IF(E55&lt;&gt;"", IF(AQ54&lt;&gt;"", E55*AQ54, ""), "")</f>
        <v/>
      </c>
      <c r="AR55" s="22" t="str">
        <f>IF(E55&lt;&gt;"", IF(AR54&lt;&gt;"", E55*AR54, ""), "")</f>
        <v/>
      </c>
      <c r="AS55" s="22" t="str">
        <f>IF(E55&lt;&gt;"", IF(AS54&lt;&gt;"", E55*AS54, ""), "")</f>
        <v/>
      </c>
      <c r="AT55" s="22" t="str">
        <f>IF(E55&lt;&gt;"", IF(AT54&lt;&gt;"", E55*AT54, ""), "")</f>
        <v/>
      </c>
      <c r="AU55" s="22" t="str">
        <f>IF(E55&lt;&gt;"", IF(AU54&lt;&gt;"", E55*AU54, ""), "")</f>
        <v/>
      </c>
      <c r="AV55" s="22" t="str">
        <f>IF(E55&lt;&gt;"", IF(AV54&lt;&gt;"", E55*AV54, ""), "")</f>
        <v/>
      </c>
      <c r="AW55" s="22" t="str">
        <f>IF(E55&lt;&gt;"", IF(AW54&lt;&gt;"", E55*AW54, ""), "")</f>
        <v/>
      </c>
      <c r="AX55" s="22" t="str">
        <f>IF(E55&lt;&gt;"", IF(AX54&lt;&gt;"", E55*AX54, ""), "")</f>
        <v/>
      </c>
      <c r="AY55" s="22" t="str">
        <f>IF(E55&lt;&gt;"", IF(AY54&lt;&gt;"", E55*AY54, ""), "")</f>
        <v/>
      </c>
      <c r="AZ55" s="22" t="str">
        <f>IF(E55&lt;&gt;"", IF(AZ54&lt;&gt;"", E55*AZ54, ""), "")</f>
        <v/>
      </c>
      <c r="BA55" s="22" t="str">
        <f>IF(E55&lt;&gt;"", IF(BA54&lt;&gt;"", E55*BA54, ""), "")</f>
        <v/>
      </c>
      <c r="BB55" s="22" t="str">
        <f>IF(E55&lt;&gt;"", IF(BB54&lt;&gt;"", E55*BB54, ""), "")</f>
        <v/>
      </c>
      <c r="BC55" s="22" t="str">
        <f>IF(E55&lt;&gt;"", IF(BC54&lt;&gt;"", E55*BC54, ""), "")</f>
        <v/>
      </c>
      <c r="BD55" s="22" t="str">
        <f>IF(E55&lt;&gt;"", IF(BD54&lt;&gt;"", E55*BD54, ""), "")</f>
        <v/>
      </c>
      <c r="BE55" s="22" t="str">
        <f>IF(E55&lt;&gt;"", IF(BE54&lt;&gt;"", E55*BE54, ""), "")</f>
        <v/>
      </c>
    </row>
    <row r="56" spans="1:57" ht="20.100000000000001" customHeight="1">
      <c r="A56" s="220">
        <v>2</v>
      </c>
      <c r="B56" s="7"/>
      <c r="C56" s="7"/>
      <c r="D56" s="5" t="s">
        <v>222</v>
      </c>
      <c r="E56" s="3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59"/>
      <c r="BA56" s="59"/>
      <c r="BB56" s="59"/>
      <c r="BC56" s="59"/>
      <c r="BD56" s="59"/>
      <c r="BE56" s="59"/>
    </row>
    <row r="57" spans="1:57" ht="20.100000000000001" customHeight="1">
      <c r="A57" s="221"/>
      <c r="B57" s="7"/>
      <c r="C57" s="7"/>
      <c r="D57" s="78" t="s">
        <v>223</v>
      </c>
      <c r="E57" s="47">
        <f>IF(egTextCal(D57)&lt;&gt;0, egTextCal(D57),"")</f>
        <v>131</v>
      </c>
      <c r="F57" s="48" t="str">
        <f>IF(E57&lt;&gt;"", IF(F56&lt;&gt;"", E57*F56,""),"")</f>
        <v/>
      </c>
      <c r="G57" s="48" t="str">
        <f>IF(E57&lt;&gt;"", IF(G56&lt;&gt;"", E57*G56,""),"")</f>
        <v/>
      </c>
      <c r="H57" s="48" t="str">
        <f>IF(E57&lt;&gt;"", IF(H56&lt;&gt;"", E57*H56,""),"")</f>
        <v/>
      </c>
      <c r="I57" s="48" t="str">
        <f>IF(E57&lt;&gt;"", IF(I56&lt;&gt;"", E57*I56,""),"")</f>
        <v/>
      </c>
      <c r="J57" s="48" t="str">
        <f>IF(E57&lt;&gt;"", IF(J56&lt;&gt;"", E57*J56,""),"")</f>
        <v/>
      </c>
      <c r="K57" s="48" t="str">
        <f>IF(E57&lt;&gt;"", IF(K56&lt;&gt;"", E57*K56,""),"")</f>
        <v/>
      </c>
      <c r="L57" s="48" t="str">
        <f>IF(E57&lt;&gt;"", IF(L56&lt;&gt;"", E57*L56,""),"")</f>
        <v/>
      </c>
      <c r="M57" s="48" t="str">
        <f>IF(E57&lt;&gt;"", IF(M56&lt;&gt;"", E57*M56,""),"")</f>
        <v/>
      </c>
      <c r="N57" s="48" t="str">
        <f>IF(E57&lt;&gt;"", IF(N56&lt;&gt;"", E57*N56,""),"")</f>
        <v/>
      </c>
      <c r="O57" s="48" t="str">
        <f>IF(E57&lt;&gt;"", IF(O56&lt;&gt;"", E57*O56,""),"")</f>
        <v/>
      </c>
      <c r="P57" s="48" t="str">
        <f>IF(E57&lt;&gt;"", IF(P56&lt;&gt;"", E57*P56,""),"")</f>
        <v/>
      </c>
      <c r="Q57" s="48" t="str">
        <f>IF(E57&lt;&gt;"", IF(Q56&lt;&gt;"", E57*Q56,""),"")</f>
        <v/>
      </c>
      <c r="R57" s="48" t="str">
        <f>IF(E57&lt;&gt;"", IF(R56&lt;&gt;"", E57*R56,""),"")</f>
        <v/>
      </c>
      <c r="S57" s="48" t="str">
        <f>IF(E57&lt;&gt;"", IF(S56&lt;&gt;"", E57*S56,""),"")</f>
        <v/>
      </c>
      <c r="T57" s="48" t="str">
        <f>IF(E57&lt;&gt;"", IF(T56&lt;&gt;"", E57*T56,""),"")</f>
        <v/>
      </c>
      <c r="U57" s="48" t="str">
        <f>IF(E57&lt;&gt;"", IF(U56&lt;&gt;"", E57*U56,""),"")</f>
        <v/>
      </c>
      <c r="V57" s="48" t="str">
        <f>IF(E57&lt;&gt;"", IF(V56&lt;&gt;"", E57*V56,""),"")</f>
        <v/>
      </c>
      <c r="W57" s="48" t="str">
        <f>IF(E57&lt;&gt;"", IF(W56&lt;&gt;"", E57*W56,""),"")</f>
        <v/>
      </c>
      <c r="X57" s="48" t="str">
        <f>IF(E57&lt;&gt;"", IF(X56&lt;&gt;"", E57*X56,""),"")</f>
        <v/>
      </c>
      <c r="Y57" s="48" t="str">
        <f>IF(E57&lt;&gt;"", IF(Y56&lt;&gt;"", E57*Y56,""),"")</f>
        <v/>
      </c>
      <c r="Z57" s="48" t="str">
        <f>IF(E57&lt;&gt;"", IF(Z56&lt;&gt;"", E57*Z56,""),"")</f>
        <v/>
      </c>
      <c r="AA57" s="22"/>
      <c r="AB57" s="22" t="str">
        <f>IF(E57&lt;&gt;"", IF(AB56&lt;&gt;"", E57*AB56, ""), "")</f>
        <v/>
      </c>
      <c r="AC57" s="22" t="str">
        <f>IF(E57&lt;&gt;"", IF(AC56&lt;&gt;"", E57*AC56, ""), "")</f>
        <v/>
      </c>
      <c r="AD57" s="22" t="str">
        <f>IF(E57&lt;&gt;"", IF(AD56&lt;&gt;"", E57*AD56, ""), "")</f>
        <v/>
      </c>
      <c r="AE57" s="22" t="str">
        <f>IF(E57&lt;&gt;"", IF(AE56&lt;&gt;"", E57*AE56, ""), "")</f>
        <v/>
      </c>
      <c r="AF57" s="22" t="str">
        <f>IF(E57&lt;&gt;"", IF(AF56&lt;&gt;"", E57*AF56, ""), "")</f>
        <v/>
      </c>
      <c r="AG57" s="22" t="str">
        <f>IF(E57&lt;&gt;"", IF(AG56&lt;&gt;"", E57*AG56, ""), "")</f>
        <v/>
      </c>
      <c r="AH57" s="22" t="str">
        <f>IF(E57&lt;&gt;"", IF(AH56&lt;&gt;"", E57*AH56, ""), "")</f>
        <v/>
      </c>
      <c r="AI57" s="22" t="str">
        <f>IF(E57&lt;&gt;"", IF(AI56&lt;&gt;"", E57*AI56, ""), "")</f>
        <v/>
      </c>
      <c r="AJ57" s="22" t="str">
        <f>IF(E57&lt;&gt;"", IF(AJ56&lt;&gt;"", E57*AJ56, ""), "")</f>
        <v/>
      </c>
      <c r="AK57" s="22" t="str">
        <f>IF(E57&lt;&gt;"", IF(AK56&lt;&gt;"", E57*AK56, ""), "")</f>
        <v/>
      </c>
      <c r="AL57" s="22" t="str">
        <f>IF(E57&lt;&gt;"", IF(AL56&lt;&gt;"", E57*AL56, ""), "")</f>
        <v/>
      </c>
      <c r="AM57" s="22" t="str">
        <f>IF(E57&lt;&gt;"", IF(AM56&lt;&gt;"", E57*AM56, ""), "")</f>
        <v/>
      </c>
      <c r="AN57" s="22" t="str">
        <f>IF(E57&lt;&gt;"", IF(AN56&lt;&gt;"", E57*AN56, ""), "")</f>
        <v/>
      </c>
      <c r="AO57" s="22" t="str">
        <f>IF(E57&lt;&gt;"", IF(AO56&lt;&gt;"", E57*AO56, ""), "")</f>
        <v/>
      </c>
      <c r="AP57" s="22" t="str">
        <f>IF(E57&lt;&gt;"", IF(AP56&lt;&gt;"", E57*AP56, ""), "")</f>
        <v/>
      </c>
      <c r="AQ57" s="22" t="str">
        <f>IF(E57&lt;&gt;"", IF(AQ56&lt;&gt;"", E57*AQ56, ""), "")</f>
        <v/>
      </c>
      <c r="AR57" s="22" t="str">
        <f>IF(E57&lt;&gt;"", IF(AR56&lt;&gt;"", E57*AR56, ""), "")</f>
        <v/>
      </c>
      <c r="AS57" s="22" t="str">
        <f>IF(E57&lt;&gt;"", IF(AS56&lt;&gt;"", E57*AS56, ""), "")</f>
        <v/>
      </c>
      <c r="AT57" s="22" t="str">
        <f>IF(E57&lt;&gt;"", IF(AT56&lt;&gt;"", E57*AT56, ""), "")</f>
        <v/>
      </c>
      <c r="AU57" s="22" t="str">
        <f>IF(E57&lt;&gt;"", IF(AU56&lt;&gt;"", E57*AU56, ""), "")</f>
        <v/>
      </c>
      <c r="AV57" s="22" t="str">
        <f>IF(E57&lt;&gt;"", IF(AV56&lt;&gt;"", E57*AV56, ""), "")</f>
        <v/>
      </c>
      <c r="AW57" s="22" t="str">
        <f>IF(E57&lt;&gt;"", IF(AW56&lt;&gt;"", E57*AW56, ""), "")</f>
        <v/>
      </c>
      <c r="AX57" s="22" t="str">
        <f>IF(E57&lt;&gt;"", IF(AX56&lt;&gt;"", E57*AX56, ""), "")</f>
        <v/>
      </c>
      <c r="AY57" s="22" t="str">
        <f>IF(E57&lt;&gt;"", IF(AY56&lt;&gt;"", E57*AY56, ""), "")</f>
        <v/>
      </c>
      <c r="AZ57" s="22" t="str">
        <f>IF(E57&lt;&gt;"", IF(AZ56&lt;&gt;"", E57*AZ56, ""), "")</f>
        <v/>
      </c>
      <c r="BA57" s="22" t="str">
        <f>IF(E57&lt;&gt;"", IF(BA56&lt;&gt;"", E57*BA56, ""), "")</f>
        <v/>
      </c>
      <c r="BB57" s="22" t="str">
        <f>IF(E57&lt;&gt;"", IF(BB56&lt;&gt;"", E57*BB56, ""), "")</f>
        <v/>
      </c>
      <c r="BC57" s="22" t="str">
        <f>IF(E57&lt;&gt;"", IF(BC56&lt;&gt;"", E57*BC56, ""), "")</f>
        <v/>
      </c>
      <c r="BD57" s="22" t="str">
        <f>IF(E57&lt;&gt;"", IF(BD56&lt;&gt;"", E57*BD56, ""), "")</f>
        <v/>
      </c>
      <c r="BE57" s="22" t="str">
        <f>IF(E57&lt;&gt;"", IF(BE56&lt;&gt;"", E57*BE56, ""), "")</f>
        <v/>
      </c>
    </row>
    <row r="58" spans="1:57" ht="20.100000000000001" customHeight="1">
      <c r="A58" s="220">
        <v>3</v>
      </c>
      <c r="B58" s="7"/>
      <c r="C58" s="7"/>
      <c r="D58" s="5" t="s">
        <v>224</v>
      </c>
      <c r="E58" s="3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59"/>
      <c r="AB58" s="59"/>
      <c r="AC58" s="59"/>
      <c r="AD58" s="59"/>
      <c r="AE58" s="59"/>
      <c r="AF58" s="59"/>
      <c r="AG58" s="59"/>
      <c r="AH58" s="59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59"/>
      <c r="BA58" s="59"/>
      <c r="BB58" s="59"/>
      <c r="BC58" s="59"/>
      <c r="BD58" s="59"/>
      <c r="BE58" s="59"/>
    </row>
    <row r="59" spans="1:57" ht="20.100000000000001" customHeight="1">
      <c r="A59" s="221"/>
      <c r="B59" s="7"/>
      <c r="C59" s="7"/>
      <c r="D59" s="78" t="s">
        <v>225</v>
      </c>
      <c r="E59" s="47">
        <f>IF(egTextCal(D59)&lt;&gt;0, egTextCal(D59),"")</f>
        <v>262</v>
      </c>
      <c r="F59" s="48" t="str">
        <f>IF(E59&lt;&gt;"", IF(F58&lt;&gt;"", E59*F58,""),"")</f>
        <v/>
      </c>
      <c r="G59" s="48" t="str">
        <f>IF(E59&lt;&gt;"", IF(G58&lt;&gt;"", E59*G58,""),"")</f>
        <v/>
      </c>
      <c r="H59" s="48" t="str">
        <f>IF(E59&lt;&gt;"", IF(H58&lt;&gt;"", E59*H58,""),"")</f>
        <v/>
      </c>
      <c r="I59" s="48" t="str">
        <f>IF(E59&lt;&gt;"", IF(I58&lt;&gt;"", E59*I58,""),"")</f>
        <v/>
      </c>
      <c r="J59" s="48" t="str">
        <f>IF(E59&lt;&gt;"", IF(J58&lt;&gt;"", E59*J58,""),"")</f>
        <v/>
      </c>
      <c r="K59" s="48" t="str">
        <f>IF(E59&lt;&gt;"", IF(K58&lt;&gt;"", E59*K58,""),"")</f>
        <v/>
      </c>
      <c r="L59" s="48" t="str">
        <f>IF(E59&lt;&gt;"", IF(L58&lt;&gt;"", E59*L58,""),"")</f>
        <v/>
      </c>
      <c r="M59" s="48" t="str">
        <f>IF(E59&lt;&gt;"", IF(M58&lt;&gt;"", E59*M58,""),"")</f>
        <v/>
      </c>
      <c r="N59" s="48" t="str">
        <f>IF(E59&lt;&gt;"", IF(N58&lt;&gt;"", E59*N58,""),"")</f>
        <v/>
      </c>
      <c r="O59" s="48" t="str">
        <f>IF(E59&lt;&gt;"", IF(O58&lt;&gt;"", E59*O58,""),"")</f>
        <v/>
      </c>
      <c r="P59" s="48" t="str">
        <f>IF(E59&lt;&gt;"", IF(P58&lt;&gt;"", E59*P58,""),"")</f>
        <v/>
      </c>
      <c r="Q59" s="48" t="str">
        <f>IF(E59&lt;&gt;"", IF(Q58&lt;&gt;"", E59*Q58,""),"")</f>
        <v/>
      </c>
      <c r="R59" s="48" t="str">
        <f>IF(E59&lt;&gt;"", IF(R58&lt;&gt;"", E59*R58,""),"")</f>
        <v/>
      </c>
      <c r="S59" s="48" t="str">
        <f>IF(E59&lt;&gt;"", IF(S58&lt;&gt;"", E59*S58,""),"")</f>
        <v/>
      </c>
      <c r="T59" s="48" t="str">
        <f>IF(E59&lt;&gt;"", IF(T58&lt;&gt;"", E59*T58,""),"")</f>
        <v/>
      </c>
      <c r="U59" s="48" t="str">
        <f>IF(E59&lt;&gt;"", IF(U58&lt;&gt;"", E59*U58,""),"")</f>
        <v/>
      </c>
      <c r="V59" s="48" t="str">
        <f>IF(E59&lt;&gt;"", IF(V58&lt;&gt;"", E59*V58,""),"")</f>
        <v/>
      </c>
      <c r="W59" s="48" t="str">
        <f>IF(E59&lt;&gt;"", IF(W58&lt;&gt;"", E59*W58,""),"")</f>
        <v/>
      </c>
      <c r="X59" s="48" t="str">
        <f>IF(E59&lt;&gt;"", IF(X58&lt;&gt;"", E59*X58,""),"")</f>
        <v/>
      </c>
      <c r="Y59" s="48" t="str">
        <f>IF(E59&lt;&gt;"", IF(Y58&lt;&gt;"", E59*Y58,""),"")</f>
        <v/>
      </c>
      <c r="Z59" s="48" t="str">
        <f>IF(E59&lt;&gt;"", IF(Z58&lt;&gt;"", E59*Z58,""),"")</f>
        <v/>
      </c>
      <c r="AA59" s="22"/>
      <c r="AB59" s="22" t="str">
        <f>IF(E59&lt;&gt;"", IF(AB58&lt;&gt;"", E59*AB58, ""), "")</f>
        <v/>
      </c>
      <c r="AC59" s="22" t="str">
        <f>IF(E59&lt;&gt;"", IF(AC58&lt;&gt;"", E59*AC58, ""), "")</f>
        <v/>
      </c>
      <c r="AD59" s="22" t="str">
        <f>IF(E59&lt;&gt;"", IF(AD58&lt;&gt;"", E59*AD58, ""), "")</f>
        <v/>
      </c>
      <c r="AE59" s="22" t="str">
        <f>IF(E59&lt;&gt;"", IF(AE58&lt;&gt;"", E59*AE58, ""), "")</f>
        <v/>
      </c>
      <c r="AF59" s="22" t="str">
        <f>IF(E59&lt;&gt;"", IF(AF58&lt;&gt;"", E59*AF58, ""), "")</f>
        <v/>
      </c>
      <c r="AG59" s="22" t="str">
        <f>IF(E59&lt;&gt;"", IF(AG58&lt;&gt;"", E59*AG58, ""), "")</f>
        <v/>
      </c>
      <c r="AH59" s="22" t="str">
        <f>IF(E59&lt;&gt;"", IF(AH58&lt;&gt;"", E59*AH58, ""), "")</f>
        <v/>
      </c>
      <c r="AI59" s="22" t="str">
        <f>IF(E59&lt;&gt;"", IF(AI58&lt;&gt;"", E59*AI58, ""), "")</f>
        <v/>
      </c>
      <c r="AJ59" s="22" t="str">
        <f>IF(E59&lt;&gt;"", IF(AJ58&lt;&gt;"", E59*AJ58, ""), "")</f>
        <v/>
      </c>
      <c r="AK59" s="22" t="str">
        <f>IF(E59&lt;&gt;"", IF(AK58&lt;&gt;"", E59*AK58, ""), "")</f>
        <v/>
      </c>
      <c r="AL59" s="22" t="str">
        <f>IF(E59&lt;&gt;"", IF(AL58&lt;&gt;"", E59*AL58, ""), "")</f>
        <v/>
      </c>
      <c r="AM59" s="22" t="str">
        <f>IF(E59&lt;&gt;"", IF(AM58&lt;&gt;"", E59*AM58, ""), "")</f>
        <v/>
      </c>
      <c r="AN59" s="22" t="str">
        <f>IF(E59&lt;&gt;"", IF(AN58&lt;&gt;"", E59*AN58, ""), "")</f>
        <v/>
      </c>
      <c r="AO59" s="22" t="str">
        <f>IF(E59&lt;&gt;"", IF(AO58&lt;&gt;"", E59*AO58, ""), "")</f>
        <v/>
      </c>
      <c r="AP59" s="22" t="str">
        <f>IF(E59&lt;&gt;"", IF(AP58&lt;&gt;"", E59*AP58, ""), "")</f>
        <v/>
      </c>
      <c r="AQ59" s="22" t="str">
        <f>IF(E59&lt;&gt;"", IF(AQ58&lt;&gt;"", E59*AQ58, ""), "")</f>
        <v/>
      </c>
      <c r="AR59" s="22" t="str">
        <f>IF(E59&lt;&gt;"", IF(AR58&lt;&gt;"", E59*AR58, ""), "")</f>
        <v/>
      </c>
      <c r="AS59" s="22" t="str">
        <f>IF(E59&lt;&gt;"", IF(AS58&lt;&gt;"", E59*AS58, ""), "")</f>
        <v/>
      </c>
      <c r="AT59" s="22" t="str">
        <f>IF(E59&lt;&gt;"", IF(AT58&lt;&gt;"", E59*AT58, ""), "")</f>
        <v/>
      </c>
      <c r="AU59" s="22" t="str">
        <f>IF(E59&lt;&gt;"", IF(AU58&lt;&gt;"", E59*AU58, ""), "")</f>
        <v/>
      </c>
      <c r="AV59" s="22" t="str">
        <f>IF(E59&lt;&gt;"", IF(AV58&lt;&gt;"", E59*AV58, ""), "")</f>
        <v/>
      </c>
      <c r="AW59" s="22" t="str">
        <f>IF(E59&lt;&gt;"", IF(AW58&lt;&gt;"", E59*AW58, ""), "")</f>
        <v/>
      </c>
      <c r="AX59" s="22" t="str">
        <f>IF(E59&lt;&gt;"", IF(AX58&lt;&gt;"", E59*AX58, ""), "")</f>
        <v/>
      </c>
      <c r="AY59" s="22" t="str">
        <f>IF(E59&lt;&gt;"", IF(AY58&lt;&gt;"", E59*AY58, ""), "")</f>
        <v/>
      </c>
      <c r="AZ59" s="22" t="str">
        <f>IF(E59&lt;&gt;"", IF(AZ58&lt;&gt;"", E59*AZ58, ""), "")</f>
        <v/>
      </c>
      <c r="BA59" s="22" t="str">
        <f>IF(E59&lt;&gt;"", IF(BA58&lt;&gt;"", E59*BA58, ""), "")</f>
        <v/>
      </c>
      <c r="BB59" s="22" t="str">
        <f>IF(E59&lt;&gt;"", IF(BB58&lt;&gt;"", E59*BB58, ""), "")</f>
        <v/>
      </c>
      <c r="BC59" s="22" t="str">
        <f>IF(E59&lt;&gt;"", IF(BC58&lt;&gt;"", E59*BC58, ""), "")</f>
        <v/>
      </c>
      <c r="BD59" s="22" t="str">
        <f>IF(E59&lt;&gt;"", IF(BD58&lt;&gt;"", E59*BD58, ""), "")</f>
        <v/>
      </c>
      <c r="BE59" s="22" t="str">
        <f>IF(E59&lt;&gt;"", IF(BE58&lt;&gt;"", E59*BE58, ""), "")</f>
        <v/>
      </c>
    </row>
    <row r="60" spans="1:57" ht="20.100000000000001" customHeight="1">
      <c r="A60" s="220">
        <v>4</v>
      </c>
      <c r="B60" s="7"/>
      <c r="C60" s="7"/>
      <c r="D60" s="5" t="s">
        <v>226</v>
      </c>
      <c r="E60" s="3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59"/>
      <c r="AB60" s="59"/>
      <c r="AC60" s="59"/>
      <c r="AD60" s="59"/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59"/>
      <c r="BA60" s="59"/>
      <c r="BB60" s="59"/>
      <c r="BC60" s="59"/>
      <c r="BD60" s="59"/>
      <c r="BE60" s="59"/>
    </row>
    <row r="61" spans="1:57" ht="20.100000000000001" customHeight="1">
      <c r="A61" s="221"/>
      <c r="B61" s="7"/>
      <c r="C61" s="7"/>
      <c r="D61" s="78" t="s">
        <v>227</v>
      </c>
      <c r="E61" s="47">
        <f>IF(egTextCal(D61)&lt;&gt;0, egTextCal(D61),"")</f>
        <v>524</v>
      </c>
      <c r="F61" s="48" t="str">
        <f>IF(E61&lt;&gt;"", IF(F60&lt;&gt;"", E61*F60,""),"")</f>
        <v/>
      </c>
      <c r="G61" s="48" t="str">
        <f>IF(E61&lt;&gt;"", IF(G60&lt;&gt;"", E61*G60,""),"")</f>
        <v/>
      </c>
      <c r="H61" s="48" t="str">
        <f>IF(E61&lt;&gt;"", IF(H60&lt;&gt;"", E61*H60,""),"")</f>
        <v/>
      </c>
      <c r="I61" s="48" t="str">
        <f>IF(E61&lt;&gt;"", IF(I60&lt;&gt;"", E61*I60,""),"")</f>
        <v/>
      </c>
      <c r="J61" s="48" t="str">
        <f>IF(E61&lt;&gt;"", IF(J60&lt;&gt;"", E61*J60,""),"")</f>
        <v/>
      </c>
      <c r="K61" s="48" t="str">
        <f>IF(E61&lt;&gt;"", IF(K60&lt;&gt;"", E61*K60,""),"")</f>
        <v/>
      </c>
      <c r="L61" s="48" t="str">
        <f>IF(E61&lt;&gt;"", IF(L60&lt;&gt;"", E61*L60,""),"")</f>
        <v/>
      </c>
      <c r="M61" s="48" t="str">
        <f>IF(E61&lt;&gt;"", IF(M60&lt;&gt;"", E61*M60,""),"")</f>
        <v/>
      </c>
      <c r="N61" s="48" t="str">
        <f>IF(E61&lt;&gt;"", IF(N60&lt;&gt;"", E61*N60,""),"")</f>
        <v/>
      </c>
      <c r="O61" s="48" t="str">
        <f>IF(E61&lt;&gt;"", IF(O60&lt;&gt;"", E61*O60,""),"")</f>
        <v/>
      </c>
      <c r="P61" s="48" t="str">
        <f>IF(E61&lt;&gt;"", IF(P60&lt;&gt;"", E61*P60,""),"")</f>
        <v/>
      </c>
      <c r="Q61" s="48" t="str">
        <f>IF(E61&lt;&gt;"", IF(Q60&lt;&gt;"", E61*Q60,""),"")</f>
        <v/>
      </c>
      <c r="R61" s="48" t="str">
        <f>IF(E61&lt;&gt;"", IF(R60&lt;&gt;"", E61*R60,""),"")</f>
        <v/>
      </c>
      <c r="S61" s="48" t="str">
        <f>IF(E61&lt;&gt;"", IF(S60&lt;&gt;"", E61*S60,""),"")</f>
        <v/>
      </c>
      <c r="T61" s="48" t="str">
        <f>IF(E61&lt;&gt;"", IF(T60&lt;&gt;"", E61*T60,""),"")</f>
        <v/>
      </c>
      <c r="U61" s="48" t="str">
        <f>IF(E61&lt;&gt;"", IF(U60&lt;&gt;"", E61*U60,""),"")</f>
        <v/>
      </c>
      <c r="V61" s="48" t="str">
        <f>IF(E61&lt;&gt;"", IF(V60&lt;&gt;"", E61*V60,""),"")</f>
        <v/>
      </c>
      <c r="W61" s="48" t="str">
        <f>IF(E61&lt;&gt;"", IF(W60&lt;&gt;"", E61*W60,""),"")</f>
        <v/>
      </c>
      <c r="X61" s="48" t="str">
        <f>IF(E61&lt;&gt;"", IF(X60&lt;&gt;"", E61*X60,""),"")</f>
        <v/>
      </c>
      <c r="Y61" s="48" t="str">
        <f>IF(E61&lt;&gt;"", IF(Y60&lt;&gt;"", E61*Y60,""),"")</f>
        <v/>
      </c>
      <c r="Z61" s="48" t="str">
        <f>IF(E61&lt;&gt;"", IF(Z60&lt;&gt;"", E61*Z60,""),"")</f>
        <v/>
      </c>
      <c r="AA61" s="22"/>
      <c r="AB61" s="22" t="str">
        <f>IF(E61&lt;&gt;"", IF(AB60&lt;&gt;"", E61*AB60, ""), "")</f>
        <v/>
      </c>
      <c r="AC61" s="22" t="str">
        <f>IF(E61&lt;&gt;"", IF(AC60&lt;&gt;"", E61*AC60, ""), "")</f>
        <v/>
      </c>
      <c r="AD61" s="22" t="str">
        <f>IF(E61&lt;&gt;"", IF(AD60&lt;&gt;"", E61*AD60, ""), "")</f>
        <v/>
      </c>
      <c r="AE61" s="22" t="str">
        <f>IF(E61&lt;&gt;"", IF(AE60&lt;&gt;"", E61*AE60, ""), "")</f>
        <v/>
      </c>
      <c r="AF61" s="22" t="str">
        <f>IF(E61&lt;&gt;"", IF(AF60&lt;&gt;"", E61*AF60, ""), "")</f>
        <v/>
      </c>
      <c r="AG61" s="22" t="str">
        <f>IF(E61&lt;&gt;"", IF(AG60&lt;&gt;"", E61*AG60, ""), "")</f>
        <v/>
      </c>
      <c r="AH61" s="22" t="str">
        <f>IF(E61&lt;&gt;"", IF(AH60&lt;&gt;"", E61*AH60, ""), "")</f>
        <v/>
      </c>
      <c r="AI61" s="22" t="str">
        <f>IF(E61&lt;&gt;"", IF(AI60&lt;&gt;"", E61*AI60, ""), "")</f>
        <v/>
      </c>
      <c r="AJ61" s="22" t="str">
        <f>IF(E61&lt;&gt;"", IF(AJ60&lt;&gt;"", E61*AJ60, ""), "")</f>
        <v/>
      </c>
      <c r="AK61" s="22" t="str">
        <f>IF(E61&lt;&gt;"", IF(AK60&lt;&gt;"", E61*AK60, ""), "")</f>
        <v/>
      </c>
      <c r="AL61" s="22" t="str">
        <f>IF(E61&lt;&gt;"", IF(AL60&lt;&gt;"", E61*AL60, ""), "")</f>
        <v/>
      </c>
      <c r="AM61" s="22" t="str">
        <f>IF(E61&lt;&gt;"", IF(AM60&lt;&gt;"", E61*AM60, ""), "")</f>
        <v/>
      </c>
      <c r="AN61" s="22" t="str">
        <f>IF(E61&lt;&gt;"", IF(AN60&lt;&gt;"", E61*AN60, ""), "")</f>
        <v/>
      </c>
      <c r="AO61" s="22" t="str">
        <f>IF(E61&lt;&gt;"", IF(AO60&lt;&gt;"", E61*AO60, ""), "")</f>
        <v/>
      </c>
      <c r="AP61" s="22" t="str">
        <f>IF(E61&lt;&gt;"", IF(AP60&lt;&gt;"", E61*AP60, ""), "")</f>
        <v/>
      </c>
      <c r="AQ61" s="22" t="str">
        <f>IF(E61&lt;&gt;"", IF(AQ60&lt;&gt;"", E61*AQ60, ""), "")</f>
        <v/>
      </c>
      <c r="AR61" s="22" t="str">
        <f>IF(E61&lt;&gt;"", IF(AR60&lt;&gt;"", E61*AR60, ""), "")</f>
        <v/>
      </c>
      <c r="AS61" s="22" t="str">
        <f>IF(E61&lt;&gt;"", IF(AS60&lt;&gt;"", E61*AS60, ""), "")</f>
        <v/>
      </c>
      <c r="AT61" s="22" t="str">
        <f>IF(E61&lt;&gt;"", IF(AT60&lt;&gt;"", E61*AT60, ""), "")</f>
        <v/>
      </c>
      <c r="AU61" s="22" t="str">
        <f>IF(E61&lt;&gt;"", IF(AU60&lt;&gt;"", E61*AU60, ""), "")</f>
        <v/>
      </c>
      <c r="AV61" s="22" t="str">
        <f>IF(E61&lt;&gt;"", IF(AV60&lt;&gt;"", E61*AV60, ""), "")</f>
        <v/>
      </c>
      <c r="AW61" s="22" t="str">
        <f>IF(E61&lt;&gt;"", IF(AW60&lt;&gt;"", E61*AW60, ""), "")</f>
        <v/>
      </c>
      <c r="AX61" s="22" t="str">
        <f>IF(E61&lt;&gt;"", IF(AX60&lt;&gt;"", E61*AX60, ""), "")</f>
        <v/>
      </c>
      <c r="AY61" s="22" t="str">
        <f>IF(E61&lt;&gt;"", IF(AY60&lt;&gt;"", E61*AY60, ""), "")</f>
        <v/>
      </c>
      <c r="AZ61" s="22" t="str">
        <f>IF(E61&lt;&gt;"", IF(AZ60&lt;&gt;"", E61*AZ60, ""), "")</f>
        <v/>
      </c>
      <c r="BA61" s="22" t="str">
        <f>IF(E61&lt;&gt;"", IF(BA60&lt;&gt;"", E61*BA60, ""), "")</f>
        <v/>
      </c>
      <c r="BB61" s="22" t="str">
        <f>IF(E61&lt;&gt;"", IF(BB60&lt;&gt;"", E61*BB60, ""), "")</f>
        <v/>
      </c>
      <c r="BC61" s="22" t="str">
        <f>IF(E61&lt;&gt;"", IF(BC60&lt;&gt;"", E61*BC60, ""), "")</f>
        <v/>
      </c>
      <c r="BD61" s="22" t="str">
        <f>IF(E61&lt;&gt;"", IF(BD60&lt;&gt;"", E61*BD60, ""), "")</f>
        <v/>
      </c>
      <c r="BE61" s="22" t="str">
        <f>IF(E61&lt;&gt;"", IF(BE60&lt;&gt;"", E61*BE60, ""), "")</f>
        <v/>
      </c>
    </row>
    <row r="62" spans="1:57" ht="20.100000000000001" customHeight="1">
      <c r="A62" s="220">
        <v>5</v>
      </c>
      <c r="B62" s="7"/>
      <c r="C62" s="7"/>
      <c r="D62" s="5" t="s">
        <v>228</v>
      </c>
      <c r="E62" s="3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59"/>
      <c r="AB62" s="59"/>
      <c r="AC62" s="59"/>
      <c r="AD62" s="59"/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59"/>
      <c r="BA62" s="59"/>
      <c r="BB62" s="59"/>
      <c r="BC62" s="59"/>
      <c r="BD62" s="59"/>
      <c r="BE62" s="59"/>
    </row>
    <row r="63" spans="1:57" ht="20.100000000000001" customHeight="1">
      <c r="A63" s="221"/>
      <c r="B63" s="7"/>
      <c r="C63" s="7"/>
      <c r="D63" s="78">
        <v>131</v>
      </c>
      <c r="E63" s="47">
        <f>IF(egTextCal(D63)&lt;&gt;0, egTextCal(D63),"")</f>
        <v>131</v>
      </c>
      <c r="F63" s="48" t="str">
        <f>IF(E63&lt;&gt;"", IF(F62&lt;&gt;"", E63*F62,""),"")</f>
        <v/>
      </c>
      <c r="G63" s="48" t="str">
        <f>IF(E63&lt;&gt;"", IF(G62&lt;&gt;"", E63*G62,""),"")</f>
        <v/>
      </c>
      <c r="H63" s="48" t="str">
        <f>IF(E63&lt;&gt;"", IF(H62&lt;&gt;"", E63*H62,""),"")</f>
        <v/>
      </c>
      <c r="I63" s="48" t="str">
        <f>IF(E63&lt;&gt;"", IF(I62&lt;&gt;"", E63*I62,""),"")</f>
        <v/>
      </c>
      <c r="J63" s="48" t="str">
        <f>IF(E63&lt;&gt;"", IF(J62&lt;&gt;"", E63*J62,""),"")</f>
        <v/>
      </c>
      <c r="K63" s="48" t="str">
        <f>IF(E63&lt;&gt;"", IF(K62&lt;&gt;"", E63*K62,""),"")</f>
        <v/>
      </c>
      <c r="L63" s="48" t="str">
        <f>IF(E63&lt;&gt;"", IF(L62&lt;&gt;"", E63*L62,""),"")</f>
        <v/>
      </c>
      <c r="M63" s="48" t="str">
        <f>IF(E63&lt;&gt;"", IF(M62&lt;&gt;"", E63*M62,""),"")</f>
        <v/>
      </c>
      <c r="N63" s="48" t="str">
        <f>IF(E63&lt;&gt;"", IF(N62&lt;&gt;"", E63*N62,""),"")</f>
        <v/>
      </c>
      <c r="O63" s="48" t="str">
        <f>IF(E63&lt;&gt;"", IF(O62&lt;&gt;"", E63*O62,""),"")</f>
        <v/>
      </c>
      <c r="P63" s="48" t="str">
        <f>IF(E63&lt;&gt;"", IF(P62&lt;&gt;"", E63*P62,""),"")</f>
        <v/>
      </c>
      <c r="Q63" s="48" t="str">
        <f>IF(E63&lt;&gt;"", IF(Q62&lt;&gt;"", E63*Q62,""),"")</f>
        <v/>
      </c>
      <c r="R63" s="48" t="str">
        <f>IF(E63&lt;&gt;"", IF(R62&lt;&gt;"", E63*R62,""),"")</f>
        <v/>
      </c>
      <c r="S63" s="48" t="str">
        <f>IF(E63&lt;&gt;"", IF(S62&lt;&gt;"", E63*S62,""),"")</f>
        <v/>
      </c>
      <c r="T63" s="48" t="str">
        <f>IF(E63&lt;&gt;"", IF(T62&lt;&gt;"", E63*T62,""),"")</f>
        <v/>
      </c>
      <c r="U63" s="48" t="str">
        <f>IF(E63&lt;&gt;"", IF(U62&lt;&gt;"", E63*U62,""),"")</f>
        <v/>
      </c>
      <c r="V63" s="48" t="str">
        <f>IF(E63&lt;&gt;"", IF(V62&lt;&gt;"", E63*V62,""),"")</f>
        <v/>
      </c>
      <c r="W63" s="48" t="str">
        <f>IF(E63&lt;&gt;"", IF(W62&lt;&gt;"", E63*W62,""),"")</f>
        <v/>
      </c>
      <c r="X63" s="48" t="str">
        <f>IF(E63&lt;&gt;"", IF(X62&lt;&gt;"", E63*X62,""),"")</f>
        <v/>
      </c>
      <c r="Y63" s="48" t="str">
        <f>IF(E63&lt;&gt;"", IF(Y62&lt;&gt;"", E63*Y62,""),"")</f>
        <v/>
      </c>
      <c r="Z63" s="48" t="str">
        <f>IF(E63&lt;&gt;"", IF(Z62&lt;&gt;"", E63*Z62,""),"")</f>
        <v/>
      </c>
      <c r="AA63" s="22"/>
      <c r="AB63" s="22" t="str">
        <f>IF(E63&lt;&gt;"", IF(AB62&lt;&gt;"", E63*AB62, ""), "")</f>
        <v/>
      </c>
      <c r="AC63" s="22" t="str">
        <f>IF(E63&lt;&gt;"", IF(AC62&lt;&gt;"", E63*AC62, ""), "")</f>
        <v/>
      </c>
      <c r="AD63" s="22" t="str">
        <f>IF(E63&lt;&gt;"", IF(AD62&lt;&gt;"", E63*AD62, ""), "")</f>
        <v/>
      </c>
      <c r="AE63" s="22" t="str">
        <f>IF(E63&lt;&gt;"", IF(AE62&lt;&gt;"", E63*AE62, ""), "")</f>
        <v/>
      </c>
      <c r="AF63" s="22" t="str">
        <f>IF(E63&lt;&gt;"", IF(AF62&lt;&gt;"", E63*AF62, ""), "")</f>
        <v/>
      </c>
      <c r="AG63" s="22" t="str">
        <f>IF(E63&lt;&gt;"", IF(AG62&lt;&gt;"", E63*AG62, ""), "")</f>
        <v/>
      </c>
      <c r="AH63" s="22" t="str">
        <f>IF(E63&lt;&gt;"", IF(AH62&lt;&gt;"", E63*AH62, ""), "")</f>
        <v/>
      </c>
      <c r="AI63" s="22" t="str">
        <f>IF(E63&lt;&gt;"", IF(AI62&lt;&gt;"", E63*AI62, ""), "")</f>
        <v/>
      </c>
      <c r="AJ63" s="22" t="str">
        <f>IF(E63&lt;&gt;"", IF(AJ62&lt;&gt;"", E63*AJ62, ""), "")</f>
        <v/>
      </c>
      <c r="AK63" s="22" t="str">
        <f>IF(E63&lt;&gt;"", IF(AK62&lt;&gt;"", E63*AK62, ""), "")</f>
        <v/>
      </c>
      <c r="AL63" s="22" t="str">
        <f>IF(E63&lt;&gt;"", IF(AL62&lt;&gt;"", E63*AL62, ""), "")</f>
        <v/>
      </c>
      <c r="AM63" s="22" t="str">
        <f>IF(E63&lt;&gt;"", IF(AM62&lt;&gt;"", E63*AM62, ""), "")</f>
        <v/>
      </c>
      <c r="AN63" s="22" t="str">
        <f>IF(E63&lt;&gt;"", IF(AN62&lt;&gt;"", E63*AN62, ""), "")</f>
        <v/>
      </c>
      <c r="AO63" s="22" t="str">
        <f>IF(E63&lt;&gt;"", IF(AO62&lt;&gt;"", E63*AO62, ""), "")</f>
        <v/>
      </c>
      <c r="AP63" s="22" t="str">
        <f>IF(E63&lt;&gt;"", IF(AP62&lt;&gt;"", E63*AP62, ""), "")</f>
        <v/>
      </c>
      <c r="AQ63" s="22" t="str">
        <f>IF(E63&lt;&gt;"", IF(AQ62&lt;&gt;"", E63*AQ62, ""), "")</f>
        <v/>
      </c>
      <c r="AR63" s="22" t="str">
        <f>IF(E63&lt;&gt;"", IF(AR62&lt;&gt;"", E63*AR62, ""), "")</f>
        <v/>
      </c>
      <c r="AS63" s="22" t="str">
        <f>IF(E63&lt;&gt;"", IF(AS62&lt;&gt;"", E63*AS62, ""), "")</f>
        <v/>
      </c>
      <c r="AT63" s="22" t="str">
        <f>IF(E63&lt;&gt;"", IF(AT62&lt;&gt;"", E63*AT62, ""), "")</f>
        <v/>
      </c>
      <c r="AU63" s="22" t="str">
        <f>IF(E63&lt;&gt;"", IF(AU62&lt;&gt;"", E63*AU62, ""), "")</f>
        <v/>
      </c>
      <c r="AV63" s="22" t="str">
        <f>IF(E63&lt;&gt;"", IF(AV62&lt;&gt;"", E63*AV62, ""), "")</f>
        <v/>
      </c>
      <c r="AW63" s="22" t="str">
        <f>IF(E63&lt;&gt;"", IF(AW62&lt;&gt;"", E63*AW62, ""), "")</f>
        <v/>
      </c>
      <c r="AX63" s="22" t="str">
        <f>IF(E63&lt;&gt;"", IF(AX62&lt;&gt;"", E63*AX62, ""), "")</f>
        <v/>
      </c>
      <c r="AY63" s="22" t="str">
        <f>IF(E63&lt;&gt;"", IF(AY62&lt;&gt;"", E63*AY62, ""), "")</f>
        <v/>
      </c>
      <c r="AZ63" s="22" t="str">
        <f>IF(E63&lt;&gt;"", IF(AZ62&lt;&gt;"", E63*AZ62, ""), "")</f>
        <v/>
      </c>
      <c r="BA63" s="22" t="str">
        <f>IF(E63&lt;&gt;"", IF(BA62&lt;&gt;"", E63*BA62, ""), "")</f>
        <v/>
      </c>
      <c r="BB63" s="22" t="str">
        <f>IF(E63&lt;&gt;"", IF(BB62&lt;&gt;"", E63*BB62, ""), "")</f>
        <v/>
      </c>
      <c r="BC63" s="22" t="str">
        <f>IF(E63&lt;&gt;"", IF(BC62&lt;&gt;"", E63*BC62, ""), "")</f>
        <v/>
      </c>
      <c r="BD63" s="22" t="str">
        <f>IF(E63&lt;&gt;"", IF(BD62&lt;&gt;"", E63*BD62, ""), "")</f>
        <v/>
      </c>
      <c r="BE63" s="22" t="str">
        <f>IF(E63&lt;&gt;"", IF(BE62&lt;&gt;"", E63*BE62, ""), "")</f>
        <v/>
      </c>
    </row>
    <row r="64" spans="1:57" ht="20.100000000000001" customHeight="1">
      <c r="A64" s="220">
        <v>6</v>
      </c>
      <c r="B64" s="7"/>
      <c r="C64" s="7"/>
      <c r="D64" s="5" t="s">
        <v>229</v>
      </c>
      <c r="E64" s="3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59"/>
      <c r="AB64" s="59"/>
      <c r="AC64" s="59"/>
      <c r="AD64" s="59"/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59"/>
      <c r="BA64" s="59"/>
      <c r="BB64" s="59"/>
      <c r="BC64" s="59"/>
      <c r="BD64" s="59"/>
      <c r="BE64" s="59"/>
    </row>
    <row r="65" spans="1:133" ht="20.100000000000001" customHeight="1">
      <c r="A65" s="221"/>
      <c r="B65" s="7"/>
      <c r="C65" s="7"/>
      <c r="D65" s="78" t="s">
        <v>230</v>
      </c>
      <c r="E65" s="47">
        <f>IF(egTextCal(D65)&lt;&gt;0, egTextCal(D65),"")</f>
        <v>262</v>
      </c>
      <c r="F65" s="48" t="str">
        <f>IF(E65&lt;&gt;"", IF(F64&lt;&gt;"", E65*F64,""),"")</f>
        <v/>
      </c>
      <c r="G65" s="48" t="str">
        <f>IF(E65&lt;&gt;"", IF(G64&lt;&gt;"", E65*G64,""),"")</f>
        <v/>
      </c>
      <c r="H65" s="48" t="str">
        <f>IF(E65&lt;&gt;"", IF(H64&lt;&gt;"", E65*H64,""),"")</f>
        <v/>
      </c>
      <c r="I65" s="48" t="str">
        <f>IF(E65&lt;&gt;"", IF(I64&lt;&gt;"", E65*I64,""),"")</f>
        <v/>
      </c>
      <c r="J65" s="48" t="str">
        <f>IF(E65&lt;&gt;"", IF(J64&lt;&gt;"", E65*J64,""),"")</f>
        <v/>
      </c>
      <c r="K65" s="48" t="str">
        <f>IF(E65&lt;&gt;"", IF(K64&lt;&gt;"", E65*K64,""),"")</f>
        <v/>
      </c>
      <c r="L65" s="48" t="str">
        <f>IF(E65&lt;&gt;"", IF(L64&lt;&gt;"", E65*L64,""),"")</f>
        <v/>
      </c>
      <c r="M65" s="48" t="str">
        <f>IF(E65&lt;&gt;"", IF(M64&lt;&gt;"", E65*M64,""),"")</f>
        <v/>
      </c>
      <c r="N65" s="48" t="str">
        <f>IF(E65&lt;&gt;"", IF(N64&lt;&gt;"", E65*N64,""),"")</f>
        <v/>
      </c>
      <c r="O65" s="48" t="str">
        <f>IF(E65&lt;&gt;"", IF(O64&lt;&gt;"", E65*O64,""),"")</f>
        <v/>
      </c>
      <c r="P65" s="48" t="str">
        <f>IF(E65&lt;&gt;"", IF(P64&lt;&gt;"", E65*P64,""),"")</f>
        <v/>
      </c>
      <c r="Q65" s="48" t="str">
        <f>IF(E65&lt;&gt;"", IF(Q64&lt;&gt;"", E65*Q64,""),"")</f>
        <v/>
      </c>
      <c r="R65" s="48" t="str">
        <f>IF(E65&lt;&gt;"", IF(R64&lt;&gt;"", E65*R64,""),"")</f>
        <v/>
      </c>
      <c r="S65" s="48" t="str">
        <f>IF(E65&lt;&gt;"", IF(S64&lt;&gt;"", E65*S64,""),"")</f>
        <v/>
      </c>
      <c r="T65" s="48" t="str">
        <f>IF(E65&lt;&gt;"", IF(T64&lt;&gt;"", E65*T64,""),"")</f>
        <v/>
      </c>
      <c r="U65" s="48" t="str">
        <f>IF(E65&lt;&gt;"", IF(U64&lt;&gt;"", E65*U64,""),"")</f>
        <v/>
      </c>
      <c r="V65" s="48" t="str">
        <f>IF(E65&lt;&gt;"", IF(V64&lt;&gt;"", E65*V64,""),"")</f>
        <v/>
      </c>
      <c r="W65" s="48" t="str">
        <f>IF(E65&lt;&gt;"", IF(W64&lt;&gt;"", E65*W64,""),"")</f>
        <v/>
      </c>
      <c r="X65" s="48" t="str">
        <f>IF(E65&lt;&gt;"", IF(X64&lt;&gt;"", E65*X64,""),"")</f>
        <v/>
      </c>
      <c r="Y65" s="48" t="str">
        <f>IF(E65&lt;&gt;"", IF(Y64&lt;&gt;"", E65*Y64,""),"")</f>
        <v/>
      </c>
      <c r="Z65" s="48" t="str">
        <f>IF(E65&lt;&gt;"", IF(Z64&lt;&gt;"", E65*Z64,""),"")</f>
        <v/>
      </c>
      <c r="AA65" s="22"/>
      <c r="AB65" s="22" t="str">
        <f>IF(E65&lt;&gt;"", IF(AB64&lt;&gt;"", E65*AB64, ""), "")</f>
        <v/>
      </c>
      <c r="AC65" s="22" t="str">
        <f>IF(E65&lt;&gt;"", IF(AC64&lt;&gt;"", E65*AC64, ""), "")</f>
        <v/>
      </c>
      <c r="AD65" s="22" t="str">
        <f>IF(E65&lt;&gt;"", IF(AD64&lt;&gt;"", E65*AD64, ""), "")</f>
        <v/>
      </c>
      <c r="AE65" s="22" t="str">
        <f>IF(E65&lt;&gt;"", IF(AE64&lt;&gt;"", E65*AE64, ""), "")</f>
        <v/>
      </c>
      <c r="AF65" s="22" t="str">
        <f>IF(E65&lt;&gt;"", IF(AF64&lt;&gt;"", E65*AF64, ""), "")</f>
        <v/>
      </c>
      <c r="AG65" s="22" t="str">
        <f>IF(E65&lt;&gt;"", IF(AG64&lt;&gt;"", E65*AG64, ""), "")</f>
        <v/>
      </c>
      <c r="AH65" s="22" t="str">
        <f>IF(E65&lt;&gt;"", IF(AH64&lt;&gt;"", E65*AH64, ""), "")</f>
        <v/>
      </c>
      <c r="AI65" s="22" t="str">
        <f>IF(E65&lt;&gt;"", IF(AI64&lt;&gt;"", E65*AI64, ""), "")</f>
        <v/>
      </c>
      <c r="AJ65" s="22" t="str">
        <f>IF(E65&lt;&gt;"", IF(AJ64&lt;&gt;"", E65*AJ64, ""), "")</f>
        <v/>
      </c>
      <c r="AK65" s="22" t="str">
        <f>IF(E65&lt;&gt;"", IF(AK64&lt;&gt;"", E65*AK64, ""), "")</f>
        <v/>
      </c>
      <c r="AL65" s="22" t="str">
        <f>IF(E65&lt;&gt;"", IF(AL64&lt;&gt;"", E65*AL64, ""), "")</f>
        <v/>
      </c>
      <c r="AM65" s="22" t="str">
        <f>IF(E65&lt;&gt;"", IF(AM64&lt;&gt;"", E65*AM64, ""), "")</f>
        <v/>
      </c>
      <c r="AN65" s="22" t="str">
        <f>IF(E65&lt;&gt;"", IF(AN64&lt;&gt;"", E65*AN64, ""), "")</f>
        <v/>
      </c>
      <c r="AO65" s="22" t="str">
        <f>IF(E65&lt;&gt;"", IF(AO64&lt;&gt;"", E65*AO64, ""), "")</f>
        <v/>
      </c>
      <c r="AP65" s="22" t="str">
        <f>IF(E65&lt;&gt;"", IF(AP64&lt;&gt;"", E65*AP64, ""), "")</f>
        <v/>
      </c>
      <c r="AQ65" s="22" t="str">
        <f>IF(E65&lt;&gt;"", IF(AQ64&lt;&gt;"", E65*AQ64, ""), "")</f>
        <v/>
      </c>
      <c r="AR65" s="22" t="str">
        <f>IF(E65&lt;&gt;"", IF(AR64&lt;&gt;"", E65*AR64, ""), "")</f>
        <v/>
      </c>
      <c r="AS65" s="22" t="str">
        <f>IF(E65&lt;&gt;"", IF(AS64&lt;&gt;"", E65*AS64, ""), "")</f>
        <v/>
      </c>
      <c r="AT65" s="22" t="str">
        <f>IF(E65&lt;&gt;"", IF(AT64&lt;&gt;"", E65*AT64, ""), "")</f>
        <v/>
      </c>
      <c r="AU65" s="22" t="str">
        <f>IF(E65&lt;&gt;"", IF(AU64&lt;&gt;"", E65*AU64, ""), "")</f>
        <v/>
      </c>
      <c r="AV65" s="22" t="str">
        <f>IF(E65&lt;&gt;"", IF(AV64&lt;&gt;"", E65*AV64, ""), "")</f>
        <v/>
      </c>
      <c r="AW65" s="22" t="str">
        <f>IF(E65&lt;&gt;"", IF(AW64&lt;&gt;"", E65*AW64, ""), "")</f>
        <v/>
      </c>
      <c r="AX65" s="22" t="str">
        <f>IF(E65&lt;&gt;"", IF(AX64&lt;&gt;"", E65*AX64, ""), "")</f>
        <v/>
      </c>
      <c r="AY65" s="22" t="str">
        <f>IF(E65&lt;&gt;"", IF(AY64&lt;&gt;"", E65*AY64, ""), "")</f>
        <v/>
      </c>
      <c r="AZ65" s="22" t="str">
        <f>IF(E65&lt;&gt;"", IF(AZ64&lt;&gt;"", E65*AZ64, ""), "")</f>
        <v/>
      </c>
      <c r="BA65" s="22" t="str">
        <f>IF(E65&lt;&gt;"", IF(BA64&lt;&gt;"", E65*BA64, ""), "")</f>
        <v/>
      </c>
      <c r="BB65" s="22" t="str">
        <f>IF(E65&lt;&gt;"", IF(BB64&lt;&gt;"", E65*BB64, ""), "")</f>
        <v/>
      </c>
      <c r="BC65" s="22" t="str">
        <f>IF(E65&lt;&gt;"", IF(BC64&lt;&gt;"", E65*BC64, ""), "")</f>
        <v/>
      </c>
      <c r="BD65" s="22" t="str">
        <f>IF(E65&lt;&gt;"", IF(BD64&lt;&gt;"", E65*BD64, ""), "")</f>
        <v/>
      </c>
      <c r="BE65" s="22" t="str">
        <f>IF(E65&lt;&gt;"", IF(BE64&lt;&gt;"", E65*BE64, ""), "")</f>
        <v/>
      </c>
    </row>
    <row r="66" spans="1:133" ht="20.100000000000001" customHeight="1">
      <c r="A66" s="220">
        <v>7</v>
      </c>
      <c r="B66" s="7"/>
      <c r="C66" s="7"/>
      <c r="D66" s="5" t="s">
        <v>231</v>
      </c>
      <c r="E66" s="3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59"/>
      <c r="AB66" s="59"/>
      <c r="AC66" s="59"/>
      <c r="AD66" s="59"/>
      <c r="AE66" s="59"/>
      <c r="AF66" s="59"/>
      <c r="AG66" s="59"/>
      <c r="AH66" s="59"/>
      <c r="AI66" s="59"/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59"/>
      <c r="BA66" s="59"/>
      <c r="BB66" s="59"/>
      <c r="BC66" s="59"/>
      <c r="BD66" s="59"/>
      <c r="BE66" s="59"/>
    </row>
    <row r="67" spans="1:133" ht="20.100000000000001" customHeight="1">
      <c r="A67" s="221"/>
      <c r="B67" s="7"/>
      <c r="C67" s="7"/>
      <c r="D67" s="78" t="s">
        <v>232</v>
      </c>
      <c r="E67" s="47">
        <f>IF(egTextCal(D67)&lt;&gt;0, egTextCal(D67),"")</f>
        <v>6</v>
      </c>
      <c r="F67" s="48" t="str">
        <f>IF(E67&lt;&gt;"", IF(F66&lt;&gt;"", E67*F66,""),"")</f>
        <v/>
      </c>
      <c r="G67" s="48" t="str">
        <f>IF(E67&lt;&gt;"", IF(G66&lt;&gt;"", E67*G66,""),"")</f>
        <v/>
      </c>
      <c r="H67" s="48" t="str">
        <f>IF(E67&lt;&gt;"", IF(H66&lt;&gt;"", E67*H66,""),"")</f>
        <v/>
      </c>
      <c r="I67" s="48" t="str">
        <f>IF(E67&lt;&gt;"", IF(I66&lt;&gt;"", E67*I66,""),"")</f>
        <v/>
      </c>
      <c r="J67" s="48" t="str">
        <f>IF(E67&lt;&gt;"", IF(J66&lt;&gt;"", E67*J66,""),"")</f>
        <v/>
      </c>
      <c r="K67" s="48" t="str">
        <f>IF(E67&lt;&gt;"", IF(K66&lt;&gt;"", E67*K66,""),"")</f>
        <v/>
      </c>
      <c r="L67" s="48" t="str">
        <f>IF(E67&lt;&gt;"", IF(L66&lt;&gt;"", E67*L66,""),"")</f>
        <v/>
      </c>
      <c r="M67" s="48" t="str">
        <f>IF(E67&lt;&gt;"", IF(M66&lt;&gt;"", E67*M66,""),"")</f>
        <v/>
      </c>
      <c r="N67" s="48" t="str">
        <f>IF(E67&lt;&gt;"", IF(N66&lt;&gt;"", E67*N66,""),"")</f>
        <v/>
      </c>
      <c r="O67" s="48" t="str">
        <f>IF(E67&lt;&gt;"", IF(O66&lt;&gt;"", E67*O66,""),"")</f>
        <v/>
      </c>
      <c r="P67" s="48" t="str">
        <f>IF(E67&lt;&gt;"", IF(P66&lt;&gt;"", E67*P66,""),"")</f>
        <v/>
      </c>
      <c r="Q67" s="48" t="str">
        <f>IF(E67&lt;&gt;"", IF(Q66&lt;&gt;"", E67*Q66,""),"")</f>
        <v/>
      </c>
      <c r="R67" s="48" t="str">
        <f>IF(E67&lt;&gt;"", IF(R66&lt;&gt;"", E67*R66,""),"")</f>
        <v/>
      </c>
      <c r="S67" s="48" t="str">
        <f>IF(E67&lt;&gt;"", IF(S66&lt;&gt;"", E67*S66,""),"")</f>
        <v/>
      </c>
      <c r="T67" s="48" t="str">
        <f>IF(E67&lt;&gt;"", IF(T66&lt;&gt;"", E67*T66,""),"")</f>
        <v/>
      </c>
      <c r="U67" s="48" t="str">
        <f>IF(E67&lt;&gt;"", IF(U66&lt;&gt;"", E67*U66,""),"")</f>
        <v/>
      </c>
      <c r="V67" s="48" t="str">
        <f>IF(E67&lt;&gt;"", IF(V66&lt;&gt;"", E67*V66,""),"")</f>
        <v/>
      </c>
      <c r="W67" s="48" t="str">
        <f>IF(E67&lt;&gt;"", IF(W66&lt;&gt;"", E67*W66,""),"")</f>
        <v/>
      </c>
      <c r="X67" s="48" t="str">
        <f>IF(E67&lt;&gt;"", IF(X66&lt;&gt;"", E67*X66,""),"")</f>
        <v/>
      </c>
      <c r="Y67" s="48" t="str">
        <f>IF(E67&lt;&gt;"", IF(Y66&lt;&gt;"", E67*Y66,""),"")</f>
        <v/>
      </c>
      <c r="Z67" s="48" t="str">
        <f>IF(E67&lt;&gt;"", IF(Z66&lt;&gt;"", E67*Z66,""),"")</f>
        <v/>
      </c>
      <c r="AA67" s="22"/>
      <c r="AB67" s="22" t="str">
        <f>IF(E67&lt;&gt;"", IF(AB66&lt;&gt;"", E67*AB66, ""), "")</f>
        <v/>
      </c>
      <c r="AC67" s="22" t="str">
        <f>IF(E67&lt;&gt;"", IF(AC66&lt;&gt;"", E67*AC66, ""), "")</f>
        <v/>
      </c>
      <c r="AD67" s="22" t="str">
        <f>IF(E67&lt;&gt;"", IF(AD66&lt;&gt;"", E67*AD66, ""), "")</f>
        <v/>
      </c>
      <c r="AE67" s="22" t="str">
        <f>IF(E67&lt;&gt;"", IF(AE66&lt;&gt;"", E67*AE66, ""), "")</f>
        <v/>
      </c>
      <c r="AF67" s="22" t="str">
        <f>IF(E67&lt;&gt;"", IF(AF66&lt;&gt;"", E67*AF66, ""), "")</f>
        <v/>
      </c>
      <c r="AG67" s="22" t="str">
        <f>IF(E67&lt;&gt;"", IF(AG66&lt;&gt;"", E67*AG66, ""), "")</f>
        <v/>
      </c>
      <c r="AH67" s="22" t="str">
        <f>IF(E67&lt;&gt;"", IF(AH66&lt;&gt;"", E67*AH66, ""), "")</f>
        <v/>
      </c>
      <c r="AI67" s="22" t="str">
        <f>IF(E67&lt;&gt;"", IF(AI66&lt;&gt;"", E67*AI66, ""), "")</f>
        <v/>
      </c>
      <c r="AJ67" s="22" t="str">
        <f>IF(E67&lt;&gt;"", IF(AJ66&lt;&gt;"", E67*AJ66, ""), "")</f>
        <v/>
      </c>
      <c r="AK67" s="22" t="str">
        <f>IF(E67&lt;&gt;"", IF(AK66&lt;&gt;"", E67*AK66, ""), "")</f>
        <v/>
      </c>
      <c r="AL67" s="22" t="str">
        <f>IF(E67&lt;&gt;"", IF(AL66&lt;&gt;"", E67*AL66, ""), "")</f>
        <v/>
      </c>
      <c r="AM67" s="22" t="str">
        <f>IF(E67&lt;&gt;"", IF(AM66&lt;&gt;"", E67*AM66, ""), "")</f>
        <v/>
      </c>
      <c r="AN67" s="22" t="str">
        <f>IF(E67&lt;&gt;"", IF(AN66&lt;&gt;"", E67*AN66, ""), "")</f>
        <v/>
      </c>
      <c r="AO67" s="22" t="str">
        <f>IF(E67&lt;&gt;"", IF(AO66&lt;&gt;"", E67*AO66, ""), "")</f>
        <v/>
      </c>
      <c r="AP67" s="22" t="str">
        <f>IF(E67&lt;&gt;"", IF(AP66&lt;&gt;"", E67*AP66, ""), "")</f>
        <v/>
      </c>
      <c r="AQ67" s="22" t="str">
        <f>IF(E67&lt;&gt;"", IF(AQ66&lt;&gt;"", E67*AQ66, ""), "")</f>
        <v/>
      </c>
      <c r="AR67" s="22" t="str">
        <f>IF(E67&lt;&gt;"", IF(AR66&lt;&gt;"", E67*AR66, ""), "")</f>
        <v/>
      </c>
      <c r="AS67" s="22" t="str">
        <f>IF(E67&lt;&gt;"", IF(AS66&lt;&gt;"", E67*AS66, ""), "")</f>
        <v/>
      </c>
      <c r="AT67" s="22" t="str">
        <f>IF(E67&lt;&gt;"", IF(AT66&lt;&gt;"", E67*AT66, ""), "")</f>
        <v/>
      </c>
      <c r="AU67" s="22" t="str">
        <f>IF(E67&lt;&gt;"", IF(AU66&lt;&gt;"", E67*AU66, ""), "")</f>
        <v/>
      </c>
      <c r="AV67" s="22" t="str">
        <f>IF(E67&lt;&gt;"", IF(AV66&lt;&gt;"", E67*AV66, ""), "")</f>
        <v/>
      </c>
      <c r="AW67" s="22" t="str">
        <f>IF(E67&lt;&gt;"", IF(AW66&lt;&gt;"", E67*AW66, ""), "")</f>
        <v/>
      </c>
      <c r="AX67" s="22" t="str">
        <f>IF(E67&lt;&gt;"", IF(AX66&lt;&gt;"", E67*AX66, ""), "")</f>
        <v/>
      </c>
      <c r="AY67" s="22" t="str">
        <f>IF(E67&lt;&gt;"", IF(AY66&lt;&gt;"", E67*AY66, ""), "")</f>
        <v/>
      </c>
      <c r="AZ67" s="22" t="str">
        <f>IF(E67&lt;&gt;"", IF(AZ66&lt;&gt;"", E67*AZ66, ""), "")</f>
        <v/>
      </c>
      <c r="BA67" s="22" t="str">
        <f>IF(E67&lt;&gt;"", IF(BA66&lt;&gt;"", E67*BA66, ""), "")</f>
        <v/>
      </c>
      <c r="BB67" s="22" t="str">
        <f>IF(E67&lt;&gt;"", IF(BB66&lt;&gt;"", E67*BB66, ""), "")</f>
        <v/>
      </c>
      <c r="BC67" s="22" t="str">
        <f>IF(E67&lt;&gt;"", IF(BC66&lt;&gt;"", E67*BC66, ""), "")</f>
        <v/>
      </c>
      <c r="BD67" s="22" t="str">
        <f>IF(E67&lt;&gt;"", IF(BD66&lt;&gt;"", E67*BD66, ""), "")</f>
        <v/>
      </c>
      <c r="BE67" s="22" t="str">
        <f>IF(E67&lt;&gt;"", IF(BE66&lt;&gt;"", E67*BE66, ""), "")</f>
        <v/>
      </c>
    </row>
    <row r="68" spans="1:133" ht="20.100000000000001" customHeight="1">
      <c r="A68" s="220">
        <v>8</v>
      </c>
      <c r="B68" s="7"/>
      <c r="C68" s="7"/>
      <c r="D68" s="5" t="s">
        <v>233</v>
      </c>
      <c r="E68" s="3"/>
      <c r="F68" s="46"/>
      <c r="G68" s="46"/>
      <c r="H68" s="46"/>
      <c r="I68" s="46"/>
      <c r="J68" s="46"/>
      <c r="K68" s="46"/>
      <c r="L68" s="46"/>
      <c r="M68" s="46">
        <v>1</v>
      </c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59"/>
      <c r="AB68" s="59"/>
      <c r="AC68" s="59"/>
      <c r="AD68" s="59"/>
      <c r="AE68" s="59"/>
      <c r="AF68" s="59"/>
      <c r="AG68" s="59"/>
      <c r="AH68" s="59"/>
      <c r="AI68" s="59"/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59"/>
      <c r="BA68" s="59"/>
      <c r="BB68" s="59"/>
      <c r="BC68" s="59"/>
      <c r="BD68" s="59"/>
      <c r="BE68" s="59"/>
    </row>
    <row r="69" spans="1:133" ht="20.100000000000001" customHeight="1">
      <c r="A69" s="221"/>
      <c r="B69" s="7"/>
      <c r="C69" s="7"/>
      <c r="D69" s="78" t="s">
        <v>232</v>
      </c>
      <c r="E69" s="47">
        <f>IF(egTextCal(D69)&lt;&gt;0, egTextCal(D69),"")</f>
        <v>6</v>
      </c>
      <c r="F69" s="48" t="str">
        <f>IF(E69&lt;&gt;"", IF(F68&lt;&gt;"", E69*F68,""),"")</f>
        <v/>
      </c>
      <c r="G69" s="48" t="str">
        <f>IF(E69&lt;&gt;"", IF(G68&lt;&gt;"", E69*G68,""),"")</f>
        <v/>
      </c>
      <c r="H69" s="48" t="str">
        <f>IF(E69&lt;&gt;"", IF(H68&lt;&gt;"", E69*H68,""),"")</f>
        <v/>
      </c>
      <c r="I69" s="48" t="str">
        <f>IF(E69&lt;&gt;"", IF(I68&lt;&gt;"", E69*I68,""),"")</f>
        <v/>
      </c>
      <c r="J69" s="48" t="str">
        <f>IF(E69&lt;&gt;"", IF(J68&lt;&gt;"", E69*J68,""),"")</f>
        <v/>
      </c>
      <c r="K69" s="48" t="str">
        <f>IF(E69&lt;&gt;"", IF(K68&lt;&gt;"", E69*K68,""),"")</f>
        <v/>
      </c>
      <c r="L69" s="48" t="str">
        <f>IF(E69&lt;&gt;"", IF(L68&lt;&gt;"", E69*L68,""),"")</f>
        <v/>
      </c>
      <c r="M69" s="48">
        <f>IF(E69&lt;&gt;"", IF(M68&lt;&gt;"", E69*M68,""),"")</f>
        <v>6</v>
      </c>
      <c r="N69" s="48" t="str">
        <f>IF(E69&lt;&gt;"", IF(N68&lt;&gt;"", E69*N68,""),"")</f>
        <v/>
      </c>
      <c r="O69" s="48" t="str">
        <f>IF(E69&lt;&gt;"", IF(O68&lt;&gt;"", E69*O68,""),"")</f>
        <v/>
      </c>
      <c r="P69" s="48" t="str">
        <f>IF(E69&lt;&gt;"", IF(P68&lt;&gt;"", E69*P68,""),"")</f>
        <v/>
      </c>
      <c r="Q69" s="48" t="str">
        <f>IF(E69&lt;&gt;"", IF(Q68&lt;&gt;"", E69*Q68,""),"")</f>
        <v/>
      </c>
      <c r="R69" s="48" t="str">
        <f>IF(E69&lt;&gt;"", IF(R68&lt;&gt;"", E69*R68,""),"")</f>
        <v/>
      </c>
      <c r="S69" s="48" t="str">
        <f>IF(E69&lt;&gt;"", IF(S68&lt;&gt;"", E69*S68,""),"")</f>
        <v/>
      </c>
      <c r="T69" s="48" t="str">
        <f>IF(E69&lt;&gt;"", IF(T68&lt;&gt;"", E69*T68,""),"")</f>
        <v/>
      </c>
      <c r="U69" s="48" t="str">
        <f>IF(E69&lt;&gt;"", IF(U68&lt;&gt;"", E69*U68,""),"")</f>
        <v/>
      </c>
      <c r="V69" s="48" t="str">
        <f>IF(E69&lt;&gt;"", IF(V68&lt;&gt;"", E69*V68,""),"")</f>
        <v/>
      </c>
      <c r="W69" s="48" t="str">
        <f>IF(E69&lt;&gt;"", IF(W68&lt;&gt;"", E69*W68,""),"")</f>
        <v/>
      </c>
      <c r="X69" s="48" t="str">
        <f>IF(E69&lt;&gt;"", IF(X68&lt;&gt;"", E69*X68,""),"")</f>
        <v/>
      </c>
      <c r="Y69" s="48" t="str">
        <f>IF(E69&lt;&gt;"", IF(Y68&lt;&gt;"", E69*Y68,""),"")</f>
        <v/>
      </c>
      <c r="Z69" s="48" t="str">
        <f>IF(E69&lt;&gt;"", IF(Z68&lt;&gt;"", E69*Z68,""),"")</f>
        <v/>
      </c>
      <c r="AA69" s="22"/>
      <c r="AB69" s="22" t="str">
        <f>IF(E69&lt;&gt;"", IF(AB68&lt;&gt;"", E69*AB68, ""), "")</f>
        <v/>
      </c>
      <c r="AC69" s="22" t="str">
        <f>IF(E69&lt;&gt;"", IF(AC68&lt;&gt;"", E69*AC68, ""), "")</f>
        <v/>
      </c>
      <c r="AD69" s="22" t="str">
        <f>IF(E69&lt;&gt;"", IF(AD68&lt;&gt;"", E69*AD68, ""), "")</f>
        <v/>
      </c>
      <c r="AE69" s="22" t="str">
        <f>IF(E69&lt;&gt;"", IF(AE68&lt;&gt;"", E69*AE68, ""), "")</f>
        <v/>
      </c>
      <c r="AF69" s="22" t="str">
        <f>IF(E69&lt;&gt;"", IF(AF68&lt;&gt;"", E69*AF68, ""), "")</f>
        <v/>
      </c>
      <c r="AG69" s="22" t="str">
        <f>IF(E69&lt;&gt;"", IF(AG68&lt;&gt;"", E69*AG68, ""), "")</f>
        <v/>
      </c>
      <c r="AH69" s="22" t="str">
        <f>IF(E69&lt;&gt;"", IF(AH68&lt;&gt;"", E69*AH68, ""), "")</f>
        <v/>
      </c>
      <c r="AI69" s="22" t="str">
        <f>IF(E69&lt;&gt;"", IF(AI68&lt;&gt;"", E69*AI68, ""), "")</f>
        <v/>
      </c>
      <c r="AJ69" s="22" t="str">
        <f>IF(E69&lt;&gt;"", IF(AJ68&lt;&gt;"", E69*AJ68, ""), "")</f>
        <v/>
      </c>
      <c r="AK69" s="22" t="str">
        <f>IF(E69&lt;&gt;"", IF(AK68&lt;&gt;"", E69*AK68, ""), "")</f>
        <v/>
      </c>
      <c r="AL69" s="22" t="str">
        <f>IF(E69&lt;&gt;"", IF(AL68&lt;&gt;"", E69*AL68, ""), "")</f>
        <v/>
      </c>
      <c r="AM69" s="22" t="str">
        <f>IF(E69&lt;&gt;"", IF(AM68&lt;&gt;"", E69*AM68, ""), "")</f>
        <v/>
      </c>
      <c r="AN69" s="22" t="str">
        <f>IF(E69&lt;&gt;"", IF(AN68&lt;&gt;"", E69*AN68, ""), "")</f>
        <v/>
      </c>
      <c r="AO69" s="22" t="str">
        <f>IF(E69&lt;&gt;"", IF(AO68&lt;&gt;"", E69*AO68, ""), "")</f>
        <v/>
      </c>
      <c r="AP69" s="22" t="str">
        <f>IF(E69&lt;&gt;"", IF(AP68&lt;&gt;"", E69*AP68, ""), "")</f>
        <v/>
      </c>
      <c r="AQ69" s="22" t="str">
        <f>IF(E69&lt;&gt;"", IF(AQ68&lt;&gt;"", E69*AQ68, ""), "")</f>
        <v/>
      </c>
      <c r="AR69" s="22" t="str">
        <f>IF(E69&lt;&gt;"", IF(AR68&lt;&gt;"", E69*AR68, ""), "")</f>
        <v/>
      </c>
      <c r="AS69" s="22" t="str">
        <f>IF(E69&lt;&gt;"", IF(AS68&lt;&gt;"", E69*AS68, ""), "")</f>
        <v/>
      </c>
      <c r="AT69" s="22" t="str">
        <f>IF(E69&lt;&gt;"", IF(AT68&lt;&gt;"", E69*AT68, ""), "")</f>
        <v/>
      </c>
      <c r="AU69" s="22" t="str">
        <f>IF(E69&lt;&gt;"", IF(AU68&lt;&gt;"", E69*AU68, ""), "")</f>
        <v/>
      </c>
      <c r="AV69" s="22" t="str">
        <f>IF(E69&lt;&gt;"", IF(AV68&lt;&gt;"", E69*AV68, ""), "")</f>
        <v/>
      </c>
      <c r="AW69" s="22" t="str">
        <f>IF(E69&lt;&gt;"", IF(AW68&lt;&gt;"", E69*AW68, ""), "")</f>
        <v/>
      </c>
      <c r="AX69" s="22" t="str">
        <f>IF(E69&lt;&gt;"", IF(AX68&lt;&gt;"", E69*AX68, ""), "")</f>
        <v/>
      </c>
      <c r="AY69" s="22" t="str">
        <f>IF(E69&lt;&gt;"", IF(AY68&lt;&gt;"", E69*AY68, ""), "")</f>
        <v/>
      </c>
      <c r="AZ69" s="22" t="str">
        <f>IF(E69&lt;&gt;"", IF(AZ68&lt;&gt;"", E69*AZ68, ""), "")</f>
        <v/>
      </c>
      <c r="BA69" s="22" t="str">
        <f>IF(E69&lt;&gt;"", IF(BA68&lt;&gt;"", E69*BA68, ""), "")</f>
        <v/>
      </c>
      <c r="BB69" s="22" t="str">
        <f>IF(E69&lt;&gt;"", IF(BB68&lt;&gt;"", E69*BB68, ""), "")</f>
        <v/>
      </c>
      <c r="BC69" s="22" t="str">
        <f>IF(E69&lt;&gt;"", IF(BC68&lt;&gt;"", E69*BC68, ""), "")</f>
        <v/>
      </c>
      <c r="BD69" s="22" t="str">
        <f>IF(E69&lt;&gt;"", IF(BD68&lt;&gt;"", E69*BD68, ""), "")</f>
        <v/>
      </c>
      <c r="BE69" s="22" t="str">
        <f>IF(E69&lt;&gt;"", IF(BE68&lt;&gt;"", E69*BE68, ""), "")</f>
        <v/>
      </c>
      <c r="EC69" s="18">
        <f>M69</f>
        <v>6</v>
      </c>
    </row>
    <row r="70" spans="1:133" ht="20.100000000000001" customHeight="1">
      <c r="A70" s="220">
        <v>9</v>
      </c>
      <c r="B70" s="7"/>
      <c r="C70" s="7"/>
      <c r="D70" s="5" t="s">
        <v>234</v>
      </c>
      <c r="E70" s="3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59"/>
      <c r="AB70" s="59"/>
      <c r="AC70" s="59"/>
      <c r="AD70" s="59"/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59"/>
      <c r="BA70" s="59"/>
      <c r="BB70" s="59"/>
      <c r="BC70" s="59"/>
      <c r="BD70" s="59"/>
      <c r="BE70" s="59"/>
    </row>
    <row r="71" spans="1:133" ht="20.100000000000001" customHeight="1">
      <c r="A71" s="221"/>
      <c r="B71" s="7"/>
      <c r="C71" s="7"/>
      <c r="D71" s="78"/>
      <c r="E71" s="47" t="str">
        <f>IF(egTextCal(D71)&lt;&gt;0, egTextCal(D71),"")</f>
        <v/>
      </c>
      <c r="F71" s="48" t="str">
        <f>IF(E71&lt;&gt;"", IF(F70&lt;&gt;"", E71*F70,""),"")</f>
        <v/>
      </c>
      <c r="G71" s="48" t="str">
        <f>IF(E71&lt;&gt;"", IF(G70&lt;&gt;"", E71*G70,""),"")</f>
        <v/>
      </c>
      <c r="H71" s="48" t="str">
        <f>IF(E71&lt;&gt;"", IF(H70&lt;&gt;"", E71*H70,""),"")</f>
        <v/>
      </c>
      <c r="I71" s="48" t="str">
        <f>IF(E71&lt;&gt;"", IF(I70&lt;&gt;"", E71*I70,""),"")</f>
        <v/>
      </c>
      <c r="J71" s="48" t="str">
        <f>IF(E71&lt;&gt;"", IF(J70&lt;&gt;"", E71*J70,""),"")</f>
        <v/>
      </c>
      <c r="K71" s="48" t="str">
        <f>IF(E71&lt;&gt;"", IF(K70&lt;&gt;"", E71*K70,""),"")</f>
        <v/>
      </c>
      <c r="L71" s="48" t="str">
        <f>IF(E71&lt;&gt;"", IF(L70&lt;&gt;"", E71*L70,""),"")</f>
        <v/>
      </c>
      <c r="M71" s="48" t="str">
        <f>IF(E71&lt;&gt;"", IF(M70&lt;&gt;"", E71*M70,""),"")</f>
        <v/>
      </c>
      <c r="N71" s="48" t="str">
        <f>IF(E71&lt;&gt;"", IF(N70&lt;&gt;"", E71*N70,""),"")</f>
        <v/>
      </c>
      <c r="O71" s="48" t="str">
        <f>IF(E71&lt;&gt;"", IF(O70&lt;&gt;"", E71*O70,""),"")</f>
        <v/>
      </c>
      <c r="P71" s="48" t="str">
        <f>IF(E71&lt;&gt;"", IF(P70&lt;&gt;"", E71*P70,""),"")</f>
        <v/>
      </c>
      <c r="Q71" s="48" t="str">
        <f>IF(E71&lt;&gt;"", IF(Q70&lt;&gt;"", E71*Q70,""),"")</f>
        <v/>
      </c>
      <c r="R71" s="48" t="str">
        <f>IF(E71&lt;&gt;"", IF(R70&lt;&gt;"", E71*R70,""),"")</f>
        <v/>
      </c>
      <c r="S71" s="48" t="str">
        <f>IF(E71&lt;&gt;"", IF(S70&lt;&gt;"", E71*S70,""),"")</f>
        <v/>
      </c>
      <c r="T71" s="48" t="str">
        <f>IF(E71&lt;&gt;"", IF(T70&lt;&gt;"", E71*T70,""),"")</f>
        <v/>
      </c>
      <c r="U71" s="48" t="str">
        <f>IF(E71&lt;&gt;"", IF(U70&lt;&gt;"", E71*U70,""),"")</f>
        <v/>
      </c>
      <c r="V71" s="48" t="str">
        <f>IF(E71&lt;&gt;"", IF(V70&lt;&gt;"", E71*V70,""),"")</f>
        <v/>
      </c>
      <c r="W71" s="48" t="str">
        <f>IF(E71&lt;&gt;"", IF(W70&lt;&gt;"", E71*W70,""),"")</f>
        <v/>
      </c>
      <c r="X71" s="48" t="str">
        <f>IF(E71&lt;&gt;"", IF(X70&lt;&gt;"", E71*X70,""),"")</f>
        <v/>
      </c>
      <c r="Y71" s="48" t="str">
        <f>IF(E71&lt;&gt;"", IF(Y70&lt;&gt;"", E71*Y70,""),"")</f>
        <v/>
      </c>
      <c r="Z71" s="48" t="str">
        <f>IF(E71&lt;&gt;"", IF(Z70&lt;&gt;"", E71*Z70,""),"")</f>
        <v/>
      </c>
      <c r="AA71" s="22"/>
      <c r="AB71" s="22" t="str">
        <f>IF(E71&lt;&gt;"", IF(AB70&lt;&gt;"", E71*AB70, ""), "")</f>
        <v/>
      </c>
      <c r="AC71" s="22" t="str">
        <f>IF(E71&lt;&gt;"", IF(AC70&lt;&gt;"", E71*AC70, ""), "")</f>
        <v/>
      </c>
      <c r="AD71" s="22" t="str">
        <f>IF(E71&lt;&gt;"", IF(AD70&lt;&gt;"", E71*AD70, ""), "")</f>
        <v/>
      </c>
      <c r="AE71" s="22" t="str">
        <f>IF(E71&lt;&gt;"", IF(AE70&lt;&gt;"", E71*AE70, ""), "")</f>
        <v/>
      </c>
      <c r="AF71" s="22" t="str">
        <f>IF(E71&lt;&gt;"", IF(AF70&lt;&gt;"", E71*AF70, ""), "")</f>
        <v/>
      </c>
      <c r="AG71" s="22" t="str">
        <f>IF(E71&lt;&gt;"", IF(AG70&lt;&gt;"", E71*AG70, ""), "")</f>
        <v/>
      </c>
      <c r="AH71" s="22" t="str">
        <f>IF(E71&lt;&gt;"", IF(AH70&lt;&gt;"", E71*AH70, ""), "")</f>
        <v/>
      </c>
      <c r="AI71" s="22" t="str">
        <f>IF(E71&lt;&gt;"", IF(AI70&lt;&gt;"", E71*AI70, ""), "")</f>
        <v/>
      </c>
      <c r="AJ71" s="22" t="str">
        <f>IF(E71&lt;&gt;"", IF(AJ70&lt;&gt;"", E71*AJ70, ""), "")</f>
        <v/>
      </c>
      <c r="AK71" s="22" t="str">
        <f>IF(E71&lt;&gt;"", IF(AK70&lt;&gt;"", E71*AK70, ""), "")</f>
        <v/>
      </c>
      <c r="AL71" s="22" t="str">
        <f>IF(E71&lt;&gt;"", IF(AL70&lt;&gt;"", E71*AL70, ""), "")</f>
        <v/>
      </c>
      <c r="AM71" s="22" t="str">
        <f>IF(E71&lt;&gt;"", IF(AM70&lt;&gt;"", E71*AM70, ""), "")</f>
        <v/>
      </c>
      <c r="AN71" s="22" t="str">
        <f>IF(E71&lt;&gt;"", IF(AN70&lt;&gt;"", E71*AN70, ""), "")</f>
        <v/>
      </c>
      <c r="AO71" s="22" t="str">
        <f>IF(E71&lt;&gt;"", IF(AO70&lt;&gt;"", E71*AO70, ""), "")</f>
        <v/>
      </c>
      <c r="AP71" s="22" t="str">
        <f>IF(E71&lt;&gt;"", IF(AP70&lt;&gt;"", E71*AP70, ""), "")</f>
        <v/>
      </c>
      <c r="AQ71" s="22" t="str">
        <f>IF(E71&lt;&gt;"", IF(AQ70&lt;&gt;"", E71*AQ70, ""), "")</f>
        <v/>
      </c>
      <c r="AR71" s="22" t="str">
        <f>IF(E71&lt;&gt;"", IF(AR70&lt;&gt;"", E71*AR70, ""), "")</f>
        <v/>
      </c>
      <c r="AS71" s="22" t="str">
        <f>IF(E71&lt;&gt;"", IF(AS70&lt;&gt;"", E71*AS70, ""), "")</f>
        <v/>
      </c>
      <c r="AT71" s="22" t="str">
        <f>IF(E71&lt;&gt;"", IF(AT70&lt;&gt;"", E71*AT70, ""), "")</f>
        <v/>
      </c>
      <c r="AU71" s="22" t="str">
        <f>IF(E71&lt;&gt;"", IF(AU70&lt;&gt;"", E71*AU70, ""), "")</f>
        <v/>
      </c>
      <c r="AV71" s="22" t="str">
        <f>IF(E71&lt;&gt;"", IF(AV70&lt;&gt;"", E71*AV70, ""), "")</f>
        <v/>
      </c>
      <c r="AW71" s="22" t="str">
        <f>IF(E71&lt;&gt;"", IF(AW70&lt;&gt;"", E71*AW70, ""), "")</f>
        <v/>
      </c>
      <c r="AX71" s="22" t="str">
        <f>IF(E71&lt;&gt;"", IF(AX70&lt;&gt;"", E71*AX70, ""), "")</f>
        <v/>
      </c>
      <c r="AY71" s="22" t="str">
        <f>IF(E71&lt;&gt;"", IF(AY70&lt;&gt;"", E71*AY70, ""), "")</f>
        <v/>
      </c>
      <c r="AZ71" s="22" t="str">
        <f>IF(E71&lt;&gt;"", IF(AZ70&lt;&gt;"", E71*AZ70, ""), "")</f>
        <v/>
      </c>
      <c r="BA71" s="22" t="str">
        <f>IF(E71&lt;&gt;"", IF(BA70&lt;&gt;"", E71*BA70, ""), "")</f>
        <v/>
      </c>
      <c r="BB71" s="22" t="str">
        <f>IF(E71&lt;&gt;"", IF(BB70&lt;&gt;"", E71*BB70, ""), "")</f>
        <v/>
      </c>
      <c r="BC71" s="22" t="str">
        <f>IF(E71&lt;&gt;"", IF(BC70&lt;&gt;"", E71*BC70, ""), "")</f>
        <v/>
      </c>
      <c r="BD71" s="22" t="str">
        <f>IF(E71&lt;&gt;"", IF(BD70&lt;&gt;"", E71*BD70, ""), "")</f>
        <v/>
      </c>
      <c r="BE71" s="22" t="str">
        <f>IF(E71&lt;&gt;"", IF(BE70&lt;&gt;"", E71*BE70, ""), "")</f>
        <v/>
      </c>
    </row>
    <row r="72" spans="1:133" ht="20.100000000000001" customHeight="1">
      <c r="A72" s="220">
        <v>10</v>
      </c>
      <c r="B72" s="7"/>
      <c r="C72" s="7"/>
      <c r="D72" s="5" t="s">
        <v>235</v>
      </c>
      <c r="E72" s="3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59"/>
      <c r="BC72" s="59"/>
      <c r="BD72" s="59"/>
      <c r="BE72" s="59"/>
    </row>
    <row r="73" spans="1:133" ht="20.100000000000001" customHeight="1">
      <c r="A73" s="221"/>
      <c r="B73" s="7"/>
      <c r="C73" s="7"/>
      <c r="D73" s="78" t="s">
        <v>236</v>
      </c>
      <c r="E73" s="47">
        <f>IF(egTextCal(D73)&lt;&gt;0, egTextCal(D73),"")</f>
        <v>56</v>
      </c>
      <c r="F73" s="48" t="str">
        <f>IF(E73&lt;&gt;"", IF(F72&lt;&gt;"", E73*F72,""),"")</f>
        <v/>
      </c>
      <c r="G73" s="48" t="str">
        <f>IF(E73&lt;&gt;"", IF(G72&lt;&gt;"", E73*G72,""),"")</f>
        <v/>
      </c>
      <c r="H73" s="48" t="str">
        <f>IF(E73&lt;&gt;"", IF(H72&lt;&gt;"", E73*H72,""),"")</f>
        <v/>
      </c>
      <c r="I73" s="48" t="str">
        <f>IF(E73&lt;&gt;"", IF(I72&lt;&gt;"", E73*I72,""),"")</f>
        <v/>
      </c>
      <c r="J73" s="48" t="str">
        <f>IF(E73&lt;&gt;"", IF(J72&lt;&gt;"", E73*J72,""),"")</f>
        <v/>
      </c>
      <c r="K73" s="48" t="str">
        <f>IF(E73&lt;&gt;"", IF(K72&lt;&gt;"", E73*K72,""),"")</f>
        <v/>
      </c>
      <c r="L73" s="48" t="str">
        <f>IF(E73&lt;&gt;"", IF(L72&lt;&gt;"", E73*L72,""),"")</f>
        <v/>
      </c>
      <c r="M73" s="48" t="str">
        <f>IF(E73&lt;&gt;"", IF(M72&lt;&gt;"", E73*M72,""),"")</f>
        <v/>
      </c>
      <c r="N73" s="48" t="str">
        <f>IF(E73&lt;&gt;"", IF(N72&lt;&gt;"", E73*N72,""),"")</f>
        <v/>
      </c>
      <c r="O73" s="48" t="str">
        <f>IF(E73&lt;&gt;"", IF(O72&lt;&gt;"", E73*O72,""),"")</f>
        <v/>
      </c>
      <c r="P73" s="48" t="str">
        <f>IF(E73&lt;&gt;"", IF(P72&lt;&gt;"", E73*P72,""),"")</f>
        <v/>
      </c>
      <c r="Q73" s="48" t="str">
        <f>IF(E73&lt;&gt;"", IF(Q72&lt;&gt;"", E73*Q72,""),"")</f>
        <v/>
      </c>
      <c r="R73" s="48" t="str">
        <f>IF(E73&lt;&gt;"", IF(R72&lt;&gt;"", E73*R72,""),"")</f>
        <v/>
      </c>
      <c r="S73" s="48" t="str">
        <f>IF(E73&lt;&gt;"", IF(S72&lt;&gt;"", E73*S72,""),"")</f>
        <v/>
      </c>
      <c r="T73" s="48" t="str">
        <f>IF(E73&lt;&gt;"", IF(T72&lt;&gt;"", E73*T72,""),"")</f>
        <v/>
      </c>
      <c r="U73" s="48" t="str">
        <f>IF(E73&lt;&gt;"", IF(U72&lt;&gt;"", E73*U72,""),"")</f>
        <v/>
      </c>
      <c r="V73" s="48" t="str">
        <f>IF(E73&lt;&gt;"", IF(V72&lt;&gt;"", E73*V72,""),"")</f>
        <v/>
      </c>
      <c r="W73" s="48" t="str">
        <f>IF(E73&lt;&gt;"", IF(W72&lt;&gt;"", E73*W72,""),"")</f>
        <v/>
      </c>
      <c r="X73" s="48" t="str">
        <f>IF(E73&lt;&gt;"", IF(X72&lt;&gt;"", E73*X72,""),"")</f>
        <v/>
      </c>
      <c r="Y73" s="48" t="str">
        <f>IF(E73&lt;&gt;"", IF(Y72&lt;&gt;"", E73*Y72,""),"")</f>
        <v/>
      </c>
      <c r="Z73" s="48" t="str">
        <f>IF(E73&lt;&gt;"", IF(Z72&lt;&gt;"", E73*Z72,""),"")</f>
        <v/>
      </c>
      <c r="AA73" s="22"/>
      <c r="AB73" s="22" t="str">
        <f>IF(E73&lt;&gt;"", IF(AB72&lt;&gt;"", E73*AB72, ""), "")</f>
        <v/>
      </c>
      <c r="AC73" s="22" t="str">
        <f>IF(E73&lt;&gt;"", IF(AC72&lt;&gt;"", E73*AC72, ""), "")</f>
        <v/>
      </c>
      <c r="AD73" s="22" t="str">
        <f>IF(E73&lt;&gt;"", IF(AD72&lt;&gt;"", E73*AD72, ""), "")</f>
        <v/>
      </c>
      <c r="AE73" s="22" t="str">
        <f>IF(E73&lt;&gt;"", IF(AE72&lt;&gt;"", E73*AE72, ""), "")</f>
        <v/>
      </c>
      <c r="AF73" s="22" t="str">
        <f>IF(E73&lt;&gt;"", IF(AF72&lt;&gt;"", E73*AF72, ""), "")</f>
        <v/>
      </c>
      <c r="AG73" s="22" t="str">
        <f>IF(E73&lt;&gt;"", IF(AG72&lt;&gt;"", E73*AG72, ""), "")</f>
        <v/>
      </c>
      <c r="AH73" s="22" t="str">
        <f>IF(E73&lt;&gt;"", IF(AH72&lt;&gt;"", E73*AH72, ""), "")</f>
        <v/>
      </c>
      <c r="AI73" s="22" t="str">
        <f>IF(E73&lt;&gt;"", IF(AI72&lt;&gt;"", E73*AI72, ""), "")</f>
        <v/>
      </c>
      <c r="AJ73" s="22" t="str">
        <f>IF(E73&lt;&gt;"", IF(AJ72&lt;&gt;"", E73*AJ72, ""), "")</f>
        <v/>
      </c>
      <c r="AK73" s="22" t="str">
        <f>IF(E73&lt;&gt;"", IF(AK72&lt;&gt;"", E73*AK72, ""), "")</f>
        <v/>
      </c>
      <c r="AL73" s="22" t="str">
        <f>IF(E73&lt;&gt;"", IF(AL72&lt;&gt;"", E73*AL72, ""), "")</f>
        <v/>
      </c>
      <c r="AM73" s="22" t="str">
        <f>IF(E73&lt;&gt;"", IF(AM72&lt;&gt;"", E73*AM72, ""), "")</f>
        <v/>
      </c>
      <c r="AN73" s="22" t="str">
        <f>IF(E73&lt;&gt;"", IF(AN72&lt;&gt;"", E73*AN72, ""), "")</f>
        <v/>
      </c>
      <c r="AO73" s="22" t="str">
        <f>IF(E73&lt;&gt;"", IF(AO72&lt;&gt;"", E73*AO72, ""), "")</f>
        <v/>
      </c>
      <c r="AP73" s="22" t="str">
        <f>IF(E73&lt;&gt;"", IF(AP72&lt;&gt;"", E73*AP72, ""), "")</f>
        <v/>
      </c>
      <c r="AQ73" s="22" t="str">
        <f>IF(E73&lt;&gt;"", IF(AQ72&lt;&gt;"", E73*AQ72, ""), "")</f>
        <v/>
      </c>
      <c r="AR73" s="22" t="str">
        <f>IF(E73&lt;&gt;"", IF(AR72&lt;&gt;"", E73*AR72, ""), "")</f>
        <v/>
      </c>
      <c r="AS73" s="22" t="str">
        <f>IF(E73&lt;&gt;"", IF(AS72&lt;&gt;"", E73*AS72, ""), "")</f>
        <v/>
      </c>
      <c r="AT73" s="22" t="str">
        <f>IF(E73&lt;&gt;"", IF(AT72&lt;&gt;"", E73*AT72, ""), "")</f>
        <v/>
      </c>
      <c r="AU73" s="22" t="str">
        <f>IF(E73&lt;&gt;"", IF(AU72&lt;&gt;"", E73*AU72, ""), "")</f>
        <v/>
      </c>
      <c r="AV73" s="22" t="str">
        <f>IF(E73&lt;&gt;"", IF(AV72&lt;&gt;"", E73*AV72, ""), "")</f>
        <v/>
      </c>
      <c r="AW73" s="22" t="str">
        <f>IF(E73&lt;&gt;"", IF(AW72&lt;&gt;"", E73*AW72, ""), "")</f>
        <v/>
      </c>
      <c r="AX73" s="22" t="str">
        <f>IF(E73&lt;&gt;"", IF(AX72&lt;&gt;"", E73*AX72, ""), "")</f>
        <v/>
      </c>
      <c r="AY73" s="22" t="str">
        <f>IF(E73&lt;&gt;"", IF(AY72&lt;&gt;"", E73*AY72, ""), "")</f>
        <v/>
      </c>
      <c r="AZ73" s="22" t="str">
        <f>IF(E73&lt;&gt;"", IF(AZ72&lt;&gt;"", E73*AZ72, ""), "")</f>
        <v/>
      </c>
      <c r="BA73" s="22" t="str">
        <f>IF(E73&lt;&gt;"", IF(BA72&lt;&gt;"", E73*BA72, ""), "")</f>
        <v/>
      </c>
      <c r="BB73" s="22" t="str">
        <f>IF(E73&lt;&gt;"", IF(BB72&lt;&gt;"", E73*BB72, ""), "")</f>
        <v/>
      </c>
      <c r="BC73" s="22" t="str">
        <f>IF(E73&lt;&gt;"", IF(BC72&lt;&gt;"", E73*BC72, ""), "")</f>
        <v/>
      </c>
      <c r="BD73" s="22" t="str">
        <f>IF(E73&lt;&gt;"", IF(BD72&lt;&gt;"", E73*BD72, ""), "")</f>
        <v/>
      </c>
      <c r="BE73" s="22" t="str">
        <f>IF(E73&lt;&gt;"", IF(BE72&lt;&gt;"", E73*BE72, ""), "")</f>
        <v/>
      </c>
    </row>
    <row r="74" spans="1:133" ht="20.100000000000001" customHeight="1">
      <c r="A74" s="220">
        <v>11</v>
      </c>
      <c r="B74" s="7"/>
      <c r="C74" s="7"/>
      <c r="D74" s="5" t="s">
        <v>237</v>
      </c>
      <c r="E74" s="3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59"/>
      <c r="AB74" s="59"/>
      <c r="AC74" s="59"/>
      <c r="AD74" s="59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59"/>
      <c r="BA74" s="59"/>
      <c r="BB74" s="59"/>
      <c r="BC74" s="59"/>
      <c r="BD74" s="59"/>
      <c r="BE74" s="59"/>
    </row>
    <row r="75" spans="1:133" ht="20.100000000000001" customHeight="1">
      <c r="A75" s="221"/>
      <c r="B75" s="7"/>
      <c r="C75" s="7"/>
      <c r="D75" s="78" t="s">
        <v>236</v>
      </c>
      <c r="E75" s="47">
        <f>IF(egTextCal(D75)&lt;&gt;0, egTextCal(D75),"")</f>
        <v>56</v>
      </c>
      <c r="F75" s="48" t="str">
        <f>IF(E75&lt;&gt;"", IF(F74&lt;&gt;"", E75*F74,""),"")</f>
        <v/>
      </c>
      <c r="G75" s="48" t="str">
        <f>IF(E75&lt;&gt;"", IF(G74&lt;&gt;"", E75*G74,""),"")</f>
        <v/>
      </c>
      <c r="H75" s="48" t="str">
        <f>IF(E75&lt;&gt;"", IF(H74&lt;&gt;"", E75*H74,""),"")</f>
        <v/>
      </c>
      <c r="I75" s="48" t="str">
        <f>IF(E75&lt;&gt;"", IF(I74&lt;&gt;"", E75*I74,""),"")</f>
        <v/>
      </c>
      <c r="J75" s="48" t="str">
        <f>IF(E75&lt;&gt;"", IF(J74&lt;&gt;"", E75*J74,""),"")</f>
        <v/>
      </c>
      <c r="K75" s="48" t="str">
        <f>IF(E75&lt;&gt;"", IF(K74&lt;&gt;"", E75*K74,""),"")</f>
        <v/>
      </c>
      <c r="L75" s="48" t="str">
        <f>IF(E75&lt;&gt;"", IF(L74&lt;&gt;"", E75*L74,""),"")</f>
        <v/>
      </c>
      <c r="M75" s="48" t="str">
        <f>IF(E75&lt;&gt;"", IF(M74&lt;&gt;"", E75*M74,""),"")</f>
        <v/>
      </c>
      <c r="N75" s="48" t="str">
        <f>IF(E75&lt;&gt;"", IF(N74&lt;&gt;"", E75*N74,""),"")</f>
        <v/>
      </c>
      <c r="O75" s="48" t="str">
        <f>IF(E75&lt;&gt;"", IF(O74&lt;&gt;"", E75*O74,""),"")</f>
        <v/>
      </c>
      <c r="P75" s="48" t="str">
        <f>IF(E75&lt;&gt;"", IF(P74&lt;&gt;"", E75*P74,""),"")</f>
        <v/>
      </c>
      <c r="Q75" s="48" t="str">
        <f>IF(E75&lt;&gt;"", IF(Q74&lt;&gt;"", E75*Q74,""),"")</f>
        <v/>
      </c>
      <c r="R75" s="48" t="str">
        <f>IF(E75&lt;&gt;"", IF(R74&lt;&gt;"", E75*R74,""),"")</f>
        <v/>
      </c>
      <c r="S75" s="48" t="str">
        <f>IF(E75&lt;&gt;"", IF(S74&lt;&gt;"", E75*S74,""),"")</f>
        <v/>
      </c>
      <c r="T75" s="48" t="str">
        <f>IF(E75&lt;&gt;"", IF(T74&lt;&gt;"", E75*T74,""),"")</f>
        <v/>
      </c>
      <c r="U75" s="48" t="str">
        <f>IF(E75&lt;&gt;"", IF(U74&lt;&gt;"", E75*U74,""),"")</f>
        <v/>
      </c>
      <c r="V75" s="48" t="str">
        <f>IF(E75&lt;&gt;"", IF(V74&lt;&gt;"", E75*V74,""),"")</f>
        <v/>
      </c>
      <c r="W75" s="48" t="str">
        <f>IF(E75&lt;&gt;"", IF(W74&lt;&gt;"", E75*W74,""),"")</f>
        <v/>
      </c>
      <c r="X75" s="48" t="str">
        <f>IF(E75&lt;&gt;"", IF(X74&lt;&gt;"", E75*X74,""),"")</f>
        <v/>
      </c>
      <c r="Y75" s="48" t="str">
        <f>IF(E75&lt;&gt;"", IF(Y74&lt;&gt;"", E75*Y74,""),"")</f>
        <v/>
      </c>
      <c r="Z75" s="48" t="str">
        <f>IF(E75&lt;&gt;"", IF(Z74&lt;&gt;"", E75*Z74,""),"")</f>
        <v/>
      </c>
      <c r="AA75" s="22"/>
      <c r="AB75" s="22" t="str">
        <f>IF(E75&lt;&gt;"", IF(AB74&lt;&gt;"", E75*AB74, ""), "")</f>
        <v/>
      </c>
      <c r="AC75" s="22" t="str">
        <f>IF(E75&lt;&gt;"", IF(AC74&lt;&gt;"", E75*AC74, ""), "")</f>
        <v/>
      </c>
      <c r="AD75" s="22" t="str">
        <f>IF(E75&lt;&gt;"", IF(AD74&lt;&gt;"", E75*AD74, ""), "")</f>
        <v/>
      </c>
      <c r="AE75" s="22" t="str">
        <f>IF(E75&lt;&gt;"", IF(AE74&lt;&gt;"", E75*AE74, ""), "")</f>
        <v/>
      </c>
      <c r="AF75" s="22" t="str">
        <f>IF(E75&lt;&gt;"", IF(AF74&lt;&gt;"", E75*AF74, ""), "")</f>
        <v/>
      </c>
      <c r="AG75" s="22" t="str">
        <f>IF(E75&lt;&gt;"", IF(AG74&lt;&gt;"", E75*AG74, ""), "")</f>
        <v/>
      </c>
      <c r="AH75" s="22" t="str">
        <f>IF(E75&lt;&gt;"", IF(AH74&lt;&gt;"", E75*AH74, ""), "")</f>
        <v/>
      </c>
      <c r="AI75" s="22" t="str">
        <f>IF(E75&lt;&gt;"", IF(AI74&lt;&gt;"", E75*AI74, ""), "")</f>
        <v/>
      </c>
      <c r="AJ75" s="22" t="str">
        <f>IF(E75&lt;&gt;"", IF(AJ74&lt;&gt;"", E75*AJ74, ""), "")</f>
        <v/>
      </c>
      <c r="AK75" s="22" t="str">
        <f>IF(E75&lt;&gt;"", IF(AK74&lt;&gt;"", E75*AK74, ""), "")</f>
        <v/>
      </c>
      <c r="AL75" s="22" t="str">
        <f>IF(E75&lt;&gt;"", IF(AL74&lt;&gt;"", E75*AL74, ""), "")</f>
        <v/>
      </c>
      <c r="AM75" s="22" t="str">
        <f>IF(E75&lt;&gt;"", IF(AM74&lt;&gt;"", E75*AM74, ""), "")</f>
        <v/>
      </c>
      <c r="AN75" s="22" t="str">
        <f>IF(E75&lt;&gt;"", IF(AN74&lt;&gt;"", E75*AN74, ""), "")</f>
        <v/>
      </c>
      <c r="AO75" s="22" t="str">
        <f>IF(E75&lt;&gt;"", IF(AO74&lt;&gt;"", E75*AO74, ""), "")</f>
        <v/>
      </c>
      <c r="AP75" s="22" t="str">
        <f>IF(E75&lt;&gt;"", IF(AP74&lt;&gt;"", E75*AP74, ""), "")</f>
        <v/>
      </c>
      <c r="AQ75" s="22" t="str">
        <f>IF(E75&lt;&gt;"", IF(AQ74&lt;&gt;"", E75*AQ74, ""), "")</f>
        <v/>
      </c>
      <c r="AR75" s="22" t="str">
        <f>IF(E75&lt;&gt;"", IF(AR74&lt;&gt;"", E75*AR74, ""), "")</f>
        <v/>
      </c>
      <c r="AS75" s="22" t="str">
        <f>IF(E75&lt;&gt;"", IF(AS74&lt;&gt;"", E75*AS74, ""), "")</f>
        <v/>
      </c>
      <c r="AT75" s="22" t="str">
        <f>IF(E75&lt;&gt;"", IF(AT74&lt;&gt;"", E75*AT74, ""), "")</f>
        <v/>
      </c>
      <c r="AU75" s="22" t="str">
        <f>IF(E75&lt;&gt;"", IF(AU74&lt;&gt;"", E75*AU74, ""), "")</f>
        <v/>
      </c>
      <c r="AV75" s="22" t="str">
        <f>IF(E75&lt;&gt;"", IF(AV74&lt;&gt;"", E75*AV74, ""), "")</f>
        <v/>
      </c>
      <c r="AW75" s="22" t="str">
        <f>IF(E75&lt;&gt;"", IF(AW74&lt;&gt;"", E75*AW74, ""), "")</f>
        <v/>
      </c>
      <c r="AX75" s="22" t="str">
        <f>IF(E75&lt;&gt;"", IF(AX74&lt;&gt;"", E75*AX74, ""), "")</f>
        <v/>
      </c>
      <c r="AY75" s="22" t="str">
        <f>IF(E75&lt;&gt;"", IF(AY74&lt;&gt;"", E75*AY74, ""), "")</f>
        <v/>
      </c>
      <c r="AZ75" s="22" t="str">
        <f>IF(E75&lt;&gt;"", IF(AZ74&lt;&gt;"", E75*AZ74, ""), "")</f>
        <v/>
      </c>
      <c r="BA75" s="22" t="str">
        <f>IF(E75&lt;&gt;"", IF(BA74&lt;&gt;"", E75*BA74, ""), "")</f>
        <v/>
      </c>
      <c r="BB75" s="22" t="str">
        <f>IF(E75&lt;&gt;"", IF(BB74&lt;&gt;"", E75*BB74, ""), "")</f>
        <v/>
      </c>
      <c r="BC75" s="22" t="str">
        <f>IF(E75&lt;&gt;"", IF(BC74&lt;&gt;"", E75*BC74, ""), "")</f>
        <v/>
      </c>
      <c r="BD75" s="22" t="str">
        <f>IF(E75&lt;&gt;"", IF(BD74&lt;&gt;"", E75*BD74, ""), "")</f>
        <v/>
      </c>
      <c r="BE75" s="22" t="str">
        <f>IF(E75&lt;&gt;"", IF(BE74&lt;&gt;"", E75*BE74, ""), "")</f>
        <v/>
      </c>
    </row>
    <row r="76" spans="1:133" ht="20.100000000000001" customHeight="1">
      <c r="A76" s="220">
        <v>12</v>
      </c>
      <c r="B76" s="7"/>
      <c r="C76" s="7"/>
      <c r="D76" s="5" t="s">
        <v>237</v>
      </c>
      <c r="E76" s="3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59"/>
      <c r="AB76" s="59"/>
      <c r="AC76" s="59"/>
      <c r="AD76" s="59"/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59"/>
      <c r="BA76" s="59"/>
      <c r="BB76" s="59"/>
      <c r="BC76" s="59"/>
      <c r="BD76" s="59"/>
      <c r="BE76" s="59"/>
    </row>
    <row r="77" spans="1:133" ht="20.100000000000001" customHeight="1">
      <c r="A77" s="221"/>
      <c r="B77" s="7"/>
      <c r="C77" s="7"/>
      <c r="D77" s="78" t="s">
        <v>238</v>
      </c>
      <c r="E77" s="47">
        <f>IF(egTextCal(D77)&lt;&gt;0, egTextCal(D77),"")</f>
        <v>231</v>
      </c>
      <c r="F77" s="48" t="str">
        <f>IF(E77&lt;&gt;"", IF(F76&lt;&gt;"", E77*F76,""),"")</f>
        <v/>
      </c>
      <c r="G77" s="48" t="str">
        <f>IF(E77&lt;&gt;"", IF(G76&lt;&gt;"", E77*G76,""),"")</f>
        <v/>
      </c>
      <c r="H77" s="48" t="str">
        <f>IF(E77&lt;&gt;"", IF(H76&lt;&gt;"", E77*H76,""),"")</f>
        <v/>
      </c>
      <c r="I77" s="48" t="str">
        <f>IF(E77&lt;&gt;"", IF(I76&lt;&gt;"", E77*I76,""),"")</f>
        <v/>
      </c>
      <c r="J77" s="48" t="str">
        <f>IF(E77&lt;&gt;"", IF(J76&lt;&gt;"", E77*J76,""),"")</f>
        <v/>
      </c>
      <c r="K77" s="48" t="str">
        <f>IF(E77&lt;&gt;"", IF(K76&lt;&gt;"", E77*K76,""),"")</f>
        <v/>
      </c>
      <c r="L77" s="48" t="str">
        <f>IF(E77&lt;&gt;"", IF(L76&lt;&gt;"", E77*L76,""),"")</f>
        <v/>
      </c>
      <c r="M77" s="48" t="str">
        <f>IF(E77&lt;&gt;"", IF(M76&lt;&gt;"", E77*M76,""),"")</f>
        <v/>
      </c>
      <c r="N77" s="48" t="str">
        <f>IF(E77&lt;&gt;"", IF(N76&lt;&gt;"", E77*N76,""),"")</f>
        <v/>
      </c>
      <c r="O77" s="48" t="str">
        <f>IF(E77&lt;&gt;"", IF(O76&lt;&gt;"", E77*O76,""),"")</f>
        <v/>
      </c>
      <c r="P77" s="48" t="str">
        <f>IF(E77&lt;&gt;"", IF(P76&lt;&gt;"", E77*P76,""),"")</f>
        <v/>
      </c>
      <c r="Q77" s="48" t="str">
        <f>IF(E77&lt;&gt;"", IF(Q76&lt;&gt;"", E77*Q76,""),"")</f>
        <v/>
      </c>
      <c r="R77" s="48" t="str">
        <f>IF(E77&lt;&gt;"", IF(R76&lt;&gt;"", E77*R76,""),"")</f>
        <v/>
      </c>
      <c r="S77" s="48" t="str">
        <f>IF(E77&lt;&gt;"", IF(S76&lt;&gt;"", E77*S76,""),"")</f>
        <v/>
      </c>
      <c r="T77" s="48" t="str">
        <f>IF(E77&lt;&gt;"", IF(T76&lt;&gt;"", E77*T76,""),"")</f>
        <v/>
      </c>
      <c r="U77" s="48" t="str">
        <f>IF(E77&lt;&gt;"", IF(U76&lt;&gt;"", E77*U76,""),"")</f>
        <v/>
      </c>
      <c r="V77" s="48" t="str">
        <f>IF(E77&lt;&gt;"", IF(V76&lt;&gt;"", E77*V76,""),"")</f>
        <v/>
      </c>
      <c r="W77" s="48" t="str">
        <f>IF(E77&lt;&gt;"", IF(W76&lt;&gt;"", E77*W76,""),"")</f>
        <v/>
      </c>
      <c r="X77" s="48" t="str">
        <f>IF(E77&lt;&gt;"", IF(X76&lt;&gt;"", E77*X76,""),"")</f>
        <v/>
      </c>
      <c r="Y77" s="48" t="str">
        <f>IF(E77&lt;&gt;"", IF(Y76&lt;&gt;"", E77*Y76,""),"")</f>
        <v/>
      </c>
      <c r="Z77" s="48" t="str">
        <f>IF(E77&lt;&gt;"", IF(Z76&lt;&gt;"", E77*Z76,""),"")</f>
        <v/>
      </c>
      <c r="AA77" s="22"/>
      <c r="AB77" s="22" t="str">
        <f>IF(E77&lt;&gt;"", IF(AB76&lt;&gt;"", E77*AB76, ""), "")</f>
        <v/>
      </c>
      <c r="AC77" s="22" t="str">
        <f>IF(E77&lt;&gt;"", IF(AC76&lt;&gt;"", E77*AC76, ""), "")</f>
        <v/>
      </c>
      <c r="AD77" s="22" t="str">
        <f>IF(E77&lt;&gt;"", IF(AD76&lt;&gt;"", E77*AD76, ""), "")</f>
        <v/>
      </c>
      <c r="AE77" s="22" t="str">
        <f>IF(E77&lt;&gt;"", IF(AE76&lt;&gt;"", E77*AE76, ""), "")</f>
        <v/>
      </c>
      <c r="AF77" s="22" t="str">
        <f>IF(E77&lt;&gt;"", IF(AF76&lt;&gt;"", E77*AF76, ""), "")</f>
        <v/>
      </c>
      <c r="AG77" s="22" t="str">
        <f>IF(E77&lt;&gt;"", IF(AG76&lt;&gt;"", E77*AG76, ""), "")</f>
        <v/>
      </c>
      <c r="AH77" s="22" t="str">
        <f>IF(E77&lt;&gt;"", IF(AH76&lt;&gt;"", E77*AH76, ""), "")</f>
        <v/>
      </c>
      <c r="AI77" s="22" t="str">
        <f>IF(E77&lt;&gt;"", IF(AI76&lt;&gt;"", E77*AI76, ""), "")</f>
        <v/>
      </c>
      <c r="AJ77" s="22" t="str">
        <f>IF(E77&lt;&gt;"", IF(AJ76&lt;&gt;"", E77*AJ76, ""), "")</f>
        <v/>
      </c>
      <c r="AK77" s="22" t="str">
        <f>IF(E77&lt;&gt;"", IF(AK76&lt;&gt;"", E77*AK76, ""), "")</f>
        <v/>
      </c>
      <c r="AL77" s="22" t="str">
        <f>IF(E77&lt;&gt;"", IF(AL76&lt;&gt;"", E77*AL76, ""), "")</f>
        <v/>
      </c>
      <c r="AM77" s="22" t="str">
        <f>IF(E77&lt;&gt;"", IF(AM76&lt;&gt;"", E77*AM76, ""), "")</f>
        <v/>
      </c>
      <c r="AN77" s="22" t="str">
        <f>IF(E77&lt;&gt;"", IF(AN76&lt;&gt;"", E77*AN76, ""), "")</f>
        <v/>
      </c>
      <c r="AO77" s="22" t="str">
        <f>IF(E77&lt;&gt;"", IF(AO76&lt;&gt;"", E77*AO76, ""), "")</f>
        <v/>
      </c>
      <c r="AP77" s="22" t="str">
        <f>IF(E77&lt;&gt;"", IF(AP76&lt;&gt;"", E77*AP76, ""), "")</f>
        <v/>
      </c>
      <c r="AQ77" s="22" t="str">
        <f>IF(E77&lt;&gt;"", IF(AQ76&lt;&gt;"", E77*AQ76, ""), "")</f>
        <v/>
      </c>
      <c r="AR77" s="22" t="str">
        <f>IF(E77&lt;&gt;"", IF(AR76&lt;&gt;"", E77*AR76, ""), "")</f>
        <v/>
      </c>
      <c r="AS77" s="22" t="str">
        <f>IF(E77&lt;&gt;"", IF(AS76&lt;&gt;"", E77*AS76, ""), "")</f>
        <v/>
      </c>
      <c r="AT77" s="22" t="str">
        <f>IF(E77&lt;&gt;"", IF(AT76&lt;&gt;"", E77*AT76, ""), "")</f>
        <v/>
      </c>
      <c r="AU77" s="22" t="str">
        <f>IF(E77&lt;&gt;"", IF(AU76&lt;&gt;"", E77*AU76, ""), "")</f>
        <v/>
      </c>
      <c r="AV77" s="22" t="str">
        <f>IF(E77&lt;&gt;"", IF(AV76&lt;&gt;"", E77*AV76, ""), "")</f>
        <v/>
      </c>
      <c r="AW77" s="22" t="str">
        <f>IF(E77&lt;&gt;"", IF(AW76&lt;&gt;"", E77*AW76, ""), "")</f>
        <v/>
      </c>
      <c r="AX77" s="22" t="str">
        <f>IF(E77&lt;&gt;"", IF(AX76&lt;&gt;"", E77*AX76, ""), "")</f>
        <v/>
      </c>
      <c r="AY77" s="22" t="str">
        <f>IF(E77&lt;&gt;"", IF(AY76&lt;&gt;"", E77*AY76, ""), "")</f>
        <v/>
      </c>
      <c r="AZ77" s="22" t="str">
        <f>IF(E77&lt;&gt;"", IF(AZ76&lt;&gt;"", E77*AZ76, ""), "")</f>
        <v/>
      </c>
      <c r="BA77" s="22" t="str">
        <f>IF(E77&lt;&gt;"", IF(BA76&lt;&gt;"", E77*BA76, ""), "")</f>
        <v/>
      </c>
      <c r="BB77" s="22" t="str">
        <f>IF(E77&lt;&gt;"", IF(BB76&lt;&gt;"", E77*BB76, ""), "")</f>
        <v/>
      </c>
      <c r="BC77" s="22" t="str">
        <f>IF(E77&lt;&gt;"", IF(BC76&lt;&gt;"", E77*BC76, ""), "")</f>
        <v/>
      </c>
      <c r="BD77" s="22" t="str">
        <f>IF(E77&lt;&gt;"", IF(BD76&lt;&gt;"", E77*BD76, ""), "")</f>
        <v/>
      </c>
      <c r="BE77" s="22" t="str">
        <f>IF(E77&lt;&gt;"", IF(BE76&lt;&gt;"", E77*BE76, ""), "")</f>
        <v/>
      </c>
    </row>
    <row r="78" spans="1:133" ht="20.100000000000001" customHeight="1">
      <c r="A78" s="220">
        <v>13</v>
      </c>
      <c r="B78" s="7"/>
      <c r="C78" s="7"/>
      <c r="D78" s="5" t="s">
        <v>239</v>
      </c>
      <c r="E78" s="3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59"/>
      <c r="AB78" s="59"/>
      <c r="AC78" s="59"/>
      <c r="AD78" s="59"/>
      <c r="AE78" s="59"/>
      <c r="AF78" s="59"/>
      <c r="AG78" s="59"/>
      <c r="AH78" s="59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59"/>
      <c r="BA78" s="59"/>
      <c r="BB78" s="59"/>
      <c r="BC78" s="59"/>
      <c r="BD78" s="59"/>
      <c r="BE78" s="59"/>
    </row>
    <row r="79" spans="1:133" ht="20.100000000000001" customHeight="1">
      <c r="A79" s="221"/>
      <c r="B79" s="7"/>
      <c r="C79" s="7"/>
      <c r="D79" s="78" t="s">
        <v>240</v>
      </c>
      <c r="E79" s="47">
        <f>IF(egTextCal(D79)&lt;&gt;0, egTextCal(D79),"")</f>
        <v>9</v>
      </c>
      <c r="F79" s="48" t="str">
        <f>IF(E79&lt;&gt;"", IF(F78&lt;&gt;"", E79*F78,""),"")</f>
        <v/>
      </c>
      <c r="G79" s="48" t="str">
        <f>IF(E79&lt;&gt;"", IF(G78&lt;&gt;"", E79*G78,""),"")</f>
        <v/>
      </c>
      <c r="H79" s="48" t="str">
        <f>IF(E79&lt;&gt;"", IF(H78&lt;&gt;"", E79*H78,""),"")</f>
        <v/>
      </c>
      <c r="I79" s="48" t="str">
        <f>IF(E79&lt;&gt;"", IF(I78&lt;&gt;"", E79*I78,""),"")</f>
        <v/>
      </c>
      <c r="J79" s="48" t="str">
        <f>IF(E79&lt;&gt;"", IF(J78&lt;&gt;"", E79*J78,""),"")</f>
        <v/>
      </c>
      <c r="K79" s="48" t="str">
        <f>IF(E79&lt;&gt;"", IF(K78&lt;&gt;"", E79*K78,""),"")</f>
        <v/>
      </c>
      <c r="L79" s="48" t="str">
        <f>IF(E79&lt;&gt;"", IF(L78&lt;&gt;"", E79*L78,""),"")</f>
        <v/>
      </c>
      <c r="M79" s="48" t="str">
        <f>IF(E79&lt;&gt;"", IF(M78&lt;&gt;"", E79*M78,""),"")</f>
        <v/>
      </c>
      <c r="N79" s="48" t="str">
        <f>IF(E79&lt;&gt;"", IF(N78&lt;&gt;"", E79*N78,""),"")</f>
        <v/>
      </c>
      <c r="O79" s="48" t="str">
        <f>IF(E79&lt;&gt;"", IF(O78&lt;&gt;"", E79*O78,""),"")</f>
        <v/>
      </c>
      <c r="P79" s="48" t="str">
        <f>IF(E79&lt;&gt;"", IF(P78&lt;&gt;"", E79*P78,""),"")</f>
        <v/>
      </c>
      <c r="Q79" s="48" t="str">
        <f>IF(E79&lt;&gt;"", IF(Q78&lt;&gt;"", E79*Q78,""),"")</f>
        <v/>
      </c>
      <c r="R79" s="48" t="str">
        <f>IF(E79&lt;&gt;"", IF(R78&lt;&gt;"", E79*R78,""),"")</f>
        <v/>
      </c>
      <c r="S79" s="48" t="str">
        <f>IF(E79&lt;&gt;"", IF(S78&lt;&gt;"", E79*S78,""),"")</f>
        <v/>
      </c>
      <c r="T79" s="48" t="str">
        <f>IF(E79&lt;&gt;"", IF(T78&lt;&gt;"", E79*T78,""),"")</f>
        <v/>
      </c>
      <c r="U79" s="48" t="str">
        <f>IF(E79&lt;&gt;"", IF(U78&lt;&gt;"", E79*U78,""),"")</f>
        <v/>
      </c>
      <c r="V79" s="48" t="str">
        <f>IF(E79&lt;&gt;"", IF(V78&lt;&gt;"", E79*V78,""),"")</f>
        <v/>
      </c>
      <c r="W79" s="48" t="str">
        <f>IF(E79&lt;&gt;"", IF(W78&lt;&gt;"", E79*W78,""),"")</f>
        <v/>
      </c>
      <c r="X79" s="48" t="str">
        <f>IF(E79&lt;&gt;"", IF(X78&lt;&gt;"", E79*X78,""),"")</f>
        <v/>
      </c>
      <c r="Y79" s="48" t="str">
        <f>IF(E79&lt;&gt;"", IF(Y78&lt;&gt;"", E79*Y78,""),"")</f>
        <v/>
      </c>
      <c r="Z79" s="48" t="str">
        <f>IF(E79&lt;&gt;"", IF(Z78&lt;&gt;"", E79*Z78,""),"")</f>
        <v/>
      </c>
      <c r="AA79" s="22"/>
      <c r="AB79" s="22" t="str">
        <f>IF(E79&lt;&gt;"", IF(AB78&lt;&gt;"", E79*AB78, ""), "")</f>
        <v/>
      </c>
      <c r="AC79" s="22" t="str">
        <f>IF(E79&lt;&gt;"", IF(AC78&lt;&gt;"", E79*AC78, ""), "")</f>
        <v/>
      </c>
      <c r="AD79" s="22" t="str">
        <f>IF(E79&lt;&gt;"", IF(AD78&lt;&gt;"", E79*AD78, ""), "")</f>
        <v/>
      </c>
      <c r="AE79" s="22" t="str">
        <f>IF(E79&lt;&gt;"", IF(AE78&lt;&gt;"", E79*AE78, ""), "")</f>
        <v/>
      </c>
      <c r="AF79" s="22" t="str">
        <f>IF(E79&lt;&gt;"", IF(AF78&lt;&gt;"", E79*AF78, ""), "")</f>
        <v/>
      </c>
      <c r="AG79" s="22" t="str">
        <f>IF(E79&lt;&gt;"", IF(AG78&lt;&gt;"", E79*AG78, ""), "")</f>
        <v/>
      </c>
      <c r="AH79" s="22" t="str">
        <f>IF(E79&lt;&gt;"", IF(AH78&lt;&gt;"", E79*AH78, ""), "")</f>
        <v/>
      </c>
      <c r="AI79" s="22" t="str">
        <f>IF(E79&lt;&gt;"", IF(AI78&lt;&gt;"", E79*AI78, ""), "")</f>
        <v/>
      </c>
      <c r="AJ79" s="22" t="str">
        <f>IF(E79&lt;&gt;"", IF(AJ78&lt;&gt;"", E79*AJ78, ""), "")</f>
        <v/>
      </c>
      <c r="AK79" s="22" t="str">
        <f>IF(E79&lt;&gt;"", IF(AK78&lt;&gt;"", E79*AK78, ""), "")</f>
        <v/>
      </c>
      <c r="AL79" s="22" t="str">
        <f>IF(E79&lt;&gt;"", IF(AL78&lt;&gt;"", E79*AL78, ""), "")</f>
        <v/>
      </c>
      <c r="AM79" s="22" t="str">
        <f>IF(E79&lt;&gt;"", IF(AM78&lt;&gt;"", E79*AM78, ""), "")</f>
        <v/>
      </c>
      <c r="AN79" s="22" t="str">
        <f>IF(E79&lt;&gt;"", IF(AN78&lt;&gt;"", E79*AN78, ""), "")</f>
        <v/>
      </c>
      <c r="AO79" s="22" t="str">
        <f>IF(E79&lt;&gt;"", IF(AO78&lt;&gt;"", E79*AO78, ""), "")</f>
        <v/>
      </c>
      <c r="AP79" s="22" t="str">
        <f>IF(E79&lt;&gt;"", IF(AP78&lt;&gt;"", E79*AP78, ""), "")</f>
        <v/>
      </c>
      <c r="AQ79" s="22" t="str">
        <f>IF(E79&lt;&gt;"", IF(AQ78&lt;&gt;"", E79*AQ78, ""), "")</f>
        <v/>
      </c>
      <c r="AR79" s="22" t="str">
        <f>IF(E79&lt;&gt;"", IF(AR78&lt;&gt;"", E79*AR78, ""), "")</f>
        <v/>
      </c>
      <c r="AS79" s="22" t="str">
        <f>IF(E79&lt;&gt;"", IF(AS78&lt;&gt;"", E79*AS78, ""), "")</f>
        <v/>
      </c>
      <c r="AT79" s="22" t="str">
        <f>IF(E79&lt;&gt;"", IF(AT78&lt;&gt;"", E79*AT78, ""), "")</f>
        <v/>
      </c>
      <c r="AU79" s="22" t="str">
        <f>IF(E79&lt;&gt;"", IF(AU78&lt;&gt;"", E79*AU78, ""), "")</f>
        <v/>
      </c>
      <c r="AV79" s="22" t="str">
        <f>IF(E79&lt;&gt;"", IF(AV78&lt;&gt;"", E79*AV78, ""), "")</f>
        <v/>
      </c>
      <c r="AW79" s="22" t="str">
        <f>IF(E79&lt;&gt;"", IF(AW78&lt;&gt;"", E79*AW78, ""), "")</f>
        <v/>
      </c>
      <c r="AX79" s="22" t="str">
        <f>IF(E79&lt;&gt;"", IF(AX78&lt;&gt;"", E79*AX78, ""), "")</f>
        <v/>
      </c>
      <c r="AY79" s="22" t="str">
        <f>IF(E79&lt;&gt;"", IF(AY78&lt;&gt;"", E79*AY78, ""), "")</f>
        <v/>
      </c>
      <c r="AZ79" s="22" t="str">
        <f>IF(E79&lt;&gt;"", IF(AZ78&lt;&gt;"", E79*AZ78, ""), "")</f>
        <v/>
      </c>
      <c r="BA79" s="22" t="str">
        <f>IF(E79&lt;&gt;"", IF(BA78&lt;&gt;"", E79*BA78, ""), "")</f>
        <v/>
      </c>
      <c r="BB79" s="22" t="str">
        <f>IF(E79&lt;&gt;"", IF(BB78&lt;&gt;"", E79*BB78, ""), "")</f>
        <v/>
      </c>
      <c r="BC79" s="22" t="str">
        <f>IF(E79&lt;&gt;"", IF(BC78&lt;&gt;"", E79*BC78, ""), "")</f>
        <v/>
      </c>
      <c r="BD79" s="22" t="str">
        <f>IF(E79&lt;&gt;"", IF(BD78&lt;&gt;"", E79*BD78, ""), "")</f>
        <v/>
      </c>
      <c r="BE79" s="22" t="str">
        <f>IF(E79&lt;&gt;"", IF(BE78&lt;&gt;"", E79*BE78, ""), "")</f>
        <v/>
      </c>
    </row>
    <row r="80" spans="1:133" ht="20.100000000000001" customHeight="1">
      <c r="A80" s="220">
        <v>14</v>
      </c>
      <c r="B80" s="7"/>
      <c r="C80" s="7"/>
      <c r="D80" s="5" t="s">
        <v>241</v>
      </c>
      <c r="E80" s="3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59"/>
      <c r="AB80" s="59"/>
      <c r="AC80" s="59"/>
      <c r="AD80" s="59"/>
      <c r="AE80" s="59"/>
      <c r="AF80" s="59"/>
      <c r="AG80" s="59"/>
      <c r="AH80" s="59"/>
      <c r="AI80" s="59"/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59"/>
      <c r="AZ80" s="59"/>
      <c r="BA80" s="59"/>
      <c r="BB80" s="59"/>
      <c r="BC80" s="59"/>
      <c r="BD80" s="59"/>
      <c r="BE80" s="59"/>
    </row>
    <row r="81" spans="1:127" ht="20.100000000000001" customHeight="1">
      <c r="A81" s="221"/>
      <c r="B81" s="7"/>
      <c r="C81" s="7"/>
      <c r="D81" s="78" t="s">
        <v>242</v>
      </c>
      <c r="E81" s="47">
        <f>IF(egTextCal(D81)&lt;&gt;0, egTextCal(D81),"")</f>
        <v>130</v>
      </c>
      <c r="F81" s="48" t="str">
        <f>IF(E81&lt;&gt;"", IF(F80&lt;&gt;"", E81*F80,""),"")</f>
        <v/>
      </c>
      <c r="G81" s="48" t="str">
        <f>IF(E81&lt;&gt;"", IF(G80&lt;&gt;"", E81*G80,""),"")</f>
        <v/>
      </c>
      <c r="H81" s="48" t="str">
        <f>IF(E81&lt;&gt;"", IF(H80&lt;&gt;"", E81*H80,""),"")</f>
        <v/>
      </c>
      <c r="I81" s="48" t="str">
        <f>IF(E81&lt;&gt;"", IF(I80&lt;&gt;"", E81*I80,""),"")</f>
        <v/>
      </c>
      <c r="J81" s="48" t="str">
        <f>IF(E81&lt;&gt;"", IF(J80&lt;&gt;"", E81*J80,""),"")</f>
        <v/>
      </c>
      <c r="K81" s="48" t="str">
        <f>IF(E81&lt;&gt;"", IF(K80&lt;&gt;"", E81*K80,""),"")</f>
        <v/>
      </c>
      <c r="L81" s="48" t="str">
        <f>IF(E81&lt;&gt;"", IF(L80&lt;&gt;"", E81*L80,""),"")</f>
        <v/>
      </c>
      <c r="M81" s="48" t="str">
        <f>IF(E81&lt;&gt;"", IF(M80&lt;&gt;"", E81*M80,""),"")</f>
        <v/>
      </c>
      <c r="N81" s="48" t="str">
        <f>IF(E81&lt;&gt;"", IF(N80&lt;&gt;"", E81*N80,""),"")</f>
        <v/>
      </c>
      <c r="O81" s="48" t="str">
        <f>IF(E81&lt;&gt;"", IF(O80&lt;&gt;"", E81*O80,""),"")</f>
        <v/>
      </c>
      <c r="P81" s="48" t="str">
        <f>IF(E81&lt;&gt;"", IF(P80&lt;&gt;"", E81*P80,""),"")</f>
        <v/>
      </c>
      <c r="Q81" s="48" t="str">
        <f>IF(E81&lt;&gt;"", IF(Q80&lt;&gt;"", E81*Q80,""),"")</f>
        <v/>
      </c>
      <c r="R81" s="48" t="str">
        <f>IF(E81&lt;&gt;"", IF(R80&lt;&gt;"", E81*R80,""),"")</f>
        <v/>
      </c>
      <c r="S81" s="48" t="str">
        <f>IF(E81&lt;&gt;"", IF(S80&lt;&gt;"", E81*S80,""),"")</f>
        <v/>
      </c>
      <c r="T81" s="48" t="str">
        <f>IF(E81&lt;&gt;"", IF(T80&lt;&gt;"", E81*T80,""),"")</f>
        <v/>
      </c>
      <c r="U81" s="48" t="str">
        <f>IF(E81&lt;&gt;"", IF(U80&lt;&gt;"", E81*U80,""),"")</f>
        <v/>
      </c>
      <c r="V81" s="48" t="str">
        <f>IF(E81&lt;&gt;"", IF(V80&lt;&gt;"", E81*V80,""),"")</f>
        <v/>
      </c>
      <c r="W81" s="48" t="str">
        <f>IF(E81&lt;&gt;"", IF(W80&lt;&gt;"", E81*W80,""),"")</f>
        <v/>
      </c>
      <c r="X81" s="48" t="str">
        <f>IF(E81&lt;&gt;"", IF(X80&lt;&gt;"", E81*X80,""),"")</f>
        <v/>
      </c>
      <c r="Y81" s="48" t="str">
        <f>IF(E81&lt;&gt;"", IF(Y80&lt;&gt;"", E81*Y80,""),"")</f>
        <v/>
      </c>
      <c r="Z81" s="48" t="str">
        <f>IF(E81&lt;&gt;"", IF(Z80&lt;&gt;"", E81*Z80,""),"")</f>
        <v/>
      </c>
      <c r="AA81" s="22"/>
      <c r="AB81" s="22" t="str">
        <f>IF(E81&lt;&gt;"", IF(AB80&lt;&gt;"", E81*AB80, ""), "")</f>
        <v/>
      </c>
      <c r="AC81" s="22" t="str">
        <f>IF(E81&lt;&gt;"", IF(AC80&lt;&gt;"", E81*AC80, ""), "")</f>
        <v/>
      </c>
      <c r="AD81" s="22" t="str">
        <f>IF(E81&lt;&gt;"", IF(AD80&lt;&gt;"", E81*AD80, ""), "")</f>
        <v/>
      </c>
      <c r="AE81" s="22" t="str">
        <f>IF(E81&lt;&gt;"", IF(AE80&lt;&gt;"", E81*AE80, ""), "")</f>
        <v/>
      </c>
      <c r="AF81" s="22" t="str">
        <f>IF(E81&lt;&gt;"", IF(AF80&lt;&gt;"", E81*AF80, ""), "")</f>
        <v/>
      </c>
      <c r="AG81" s="22" t="str">
        <f>IF(E81&lt;&gt;"", IF(AG80&lt;&gt;"", E81*AG80, ""), "")</f>
        <v/>
      </c>
      <c r="AH81" s="22" t="str">
        <f>IF(E81&lt;&gt;"", IF(AH80&lt;&gt;"", E81*AH80, ""), "")</f>
        <v/>
      </c>
      <c r="AI81" s="22" t="str">
        <f>IF(E81&lt;&gt;"", IF(AI80&lt;&gt;"", E81*AI80, ""), "")</f>
        <v/>
      </c>
      <c r="AJ81" s="22" t="str">
        <f>IF(E81&lt;&gt;"", IF(AJ80&lt;&gt;"", E81*AJ80, ""), "")</f>
        <v/>
      </c>
      <c r="AK81" s="22" t="str">
        <f>IF(E81&lt;&gt;"", IF(AK80&lt;&gt;"", E81*AK80, ""), "")</f>
        <v/>
      </c>
      <c r="AL81" s="22" t="str">
        <f>IF(E81&lt;&gt;"", IF(AL80&lt;&gt;"", E81*AL80, ""), "")</f>
        <v/>
      </c>
      <c r="AM81" s="22" t="str">
        <f>IF(E81&lt;&gt;"", IF(AM80&lt;&gt;"", E81*AM80, ""), "")</f>
        <v/>
      </c>
      <c r="AN81" s="22" t="str">
        <f>IF(E81&lt;&gt;"", IF(AN80&lt;&gt;"", E81*AN80, ""), "")</f>
        <v/>
      </c>
      <c r="AO81" s="22" t="str">
        <f>IF(E81&lt;&gt;"", IF(AO80&lt;&gt;"", E81*AO80, ""), "")</f>
        <v/>
      </c>
      <c r="AP81" s="22" t="str">
        <f>IF(E81&lt;&gt;"", IF(AP80&lt;&gt;"", E81*AP80, ""), "")</f>
        <v/>
      </c>
      <c r="AQ81" s="22" t="str">
        <f>IF(E81&lt;&gt;"", IF(AQ80&lt;&gt;"", E81*AQ80, ""), "")</f>
        <v/>
      </c>
      <c r="AR81" s="22" t="str">
        <f>IF(E81&lt;&gt;"", IF(AR80&lt;&gt;"", E81*AR80, ""), "")</f>
        <v/>
      </c>
      <c r="AS81" s="22" t="str">
        <f>IF(E81&lt;&gt;"", IF(AS80&lt;&gt;"", E81*AS80, ""), "")</f>
        <v/>
      </c>
      <c r="AT81" s="22" t="str">
        <f>IF(E81&lt;&gt;"", IF(AT80&lt;&gt;"", E81*AT80, ""), "")</f>
        <v/>
      </c>
      <c r="AU81" s="22" t="str">
        <f>IF(E81&lt;&gt;"", IF(AU80&lt;&gt;"", E81*AU80, ""), "")</f>
        <v/>
      </c>
      <c r="AV81" s="22" t="str">
        <f>IF(E81&lt;&gt;"", IF(AV80&lt;&gt;"", E81*AV80, ""), "")</f>
        <v/>
      </c>
      <c r="AW81" s="22" t="str">
        <f>IF(E81&lt;&gt;"", IF(AW80&lt;&gt;"", E81*AW80, ""), "")</f>
        <v/>
      </c>
      <c r="AX81" s="22" t="str">
        <f>IF(E81&lt;&gt;"", IF(AX80&lt;&gt;"", E81*AX80, ""), "")</f>
        <v/>
      </c>
      <c r="AY81" s="22" t="str">
        <f>IF(E81&lt;&gt;"", IF(AY80&lt;&gt;"", E81*AY80, ""), "")</f>
        <v/>
      </c>
      <c r="AZ81" s="22" t="str">
        <f>IF(E81&lt;&gt;"", IF(AZ80&lt;&gt;"", E81*AZ80, ""), "")</f>
        <v/>
      </c>
      <c r="BA81" s="22" t="str">
        <f>IF(E81&lt;&gt;"", IF(BA80&lt;&gt;"", E81*BA80, ""), "")</f>
        <v/>
      </c>
      <c r="BB81" s="22" t="str">
        <f>IF(E81&lt;&gt;"", IF(BB80&lt;&gt;"", E81*BB80, ""), "")</f>
        <v/>
      </c>
      <c r="BC81" s="22" t="str">
        <f>IF(E81&lt;&gt;"", IF(BC80&lt;&gt;"", E81*BC80, ""), "")</f>
        <v/>
      </c>
      <c r="BD81" s="22" t="str">
        <f>IF(E81&lt;&gt;"", IF(BD80&lt;&gt;"", E81*BD80, ""), "")</f>
        <v/>
      </c>
      <c r="BE81" s="22" t="str">
        <f>IF(E81&lt;&gt;"", IF(BE80&lt;&gt;"", E81*BE80, ""), "")</f>
        <v/>
      </c>
    </row>
    <row r="82" spans="1:127" ht="20.100000000000001" customHeight="1">
      <c r="A82" s="220">
        <v>15</v>
      </c>
      <c r="B82" s="7"/>
      <c r="C82" s="7"/>
      <c r="D82" s="5" t="s">
        <v>241</v>
      </c>
      <c r="E82" s="3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59"/>
      <c r="AB82" s="59"/>
      <c r="AC82" s="59"/>
      <c r="AD82" s="59"/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59"/>
      <c r="BA82" s="59"/>
      <c r="BB82" s="59"/>
      <c r="BC82" s="59"/>
      <c r="BD82" s="59"/>
      <c r="BE82" s="59"/>
    </row>
    <row r="83" spans="1:127" ht="20.100000000000001" customHeight="1">
      <c r="A83" s="221"/>
      <c r="B83" s="7"/>
      <c r="C83" s="7"/>
      <c r="D83" s="78" t="s">
        <v>243</v>
      </c>
      <c r="E83" s="47">
        <f>IF(egTextCal(D83)&lt;&gt;0, egTextCal(D83),"")</f>
        <v>637</v>
      </c>
      <c r="F83" s="48" t="str">
        <f>IF(E83&lt;&gt;"", IF(F82&lt;&gt;"", E83*F82,""),"")</f>
        <v/>
      </c>
      <c r="G83" s="48" t="str">
        <f>IF(E83&lt;&gt;"", IF(G82&lt;&gt;"", E83*G82,""),"")</f>
        <v/>
      </c>
      <c r="H83" s="48" t="str">
        <f>IF(E83&lt;&gt;"", IF(H82&lt;&gt;"", E83*H82,""),"")</f>
        <v/>
      </c>
      <c r="I83" s="48" t="str">
        <f>IF(E83&lt;&gt;"", IF(I82&lt;&gt;"", E83*I82,""),"")</f>
        <v/>
      </c>
      <c r="J83" s="48" t="str">
        <f>IF(E83&lt;&gt;"", IF(J82&lt;&gt;"", E83*J82,""),"")</f>
        <v/>
      </c>
      <c r="K83" s="48" t="str">
        <f>IF(E83&lt;&gt;"", IF(K82&lt;&gt;"", E83*K82,""),"")</f>
        <v/>
      </c>
      <c r="L83" s="48" t="str">
        <f>IF(E83&lt;&gt;"", IF(L82&lt;&gt;"", E83*L82,""),"")</f>
        <v/>
      </c>
      <c r="M83" s="48" t="str">
        <f>IF(E83&lt;&gt;"", IF(M82&lt;&gt;"", E83*M82,""),"")</f>
        <v/>
      </c>
      <c r="N83" s="48" t="str">
        <f>IF(E83&lt;&gt;"", IF(N82&lt;&gt;"", E83*N82,""),"")</f>
        <v/>
      </c>
      <c r="O83" s="48" t="str">
        <f>IF(E83&lt;&gt;"", IF(O82&lt;&gt;"", E83*O82,""),"")</f>
        <v/>
      </c>
      <c r="P83" s="48" t="str">
        <f>IF(E83&lt;&gt;"", IF(P82&lt;&gt;"", E83*P82,""),"")</f>
        <v/>
      </c>
      <c r="Q83" s="48" t="str">
        <f>IF(E83&lt;&gt;"", IF(Q82&lt;&gt;"", E83*Q82,""),"")</f>
        <v/>
      </c>
      <c r="R83" s="48" t="str">
        <f>IF(E83&lt;&gt;"", IF(R82&lt;&gt;"", E83*R82,""),"")</f>
        <v/>
      </c>
      <c r="S83" s="48" t="str">
        <f>IF(E83&lt;&gt;"", IF(S82&lt;&gt;"", E83*S82,""),"")</f>
        <v/>
      </c>
      <c r="T83" s="48" t="str">
        <f>IF(E83&lt;&gt;"", IF(T82&lt;&gt;"", E83*T82,""),"")</f>
        <v/>
      </c>
      <c r="U83" s="48" t="str">
        <f>IF(E83&lt;&gt;"", IF(U82&lt;&gt;"", E83*U82,""),"")</f>
        <v/>
      </c>
      <c r="V83" s="48" t="str">
        <f>IF(E83&lt;&gt;"", IF(V82&lt;&gt;"", E83*V82,""),"")</f>
        <v/>
      </c>
      <c r="W83" s="48" t="str">
        <f>IF(E83&lt;&gt;"", IF(W82&lt;&gt;"", E83*W82,""),"")</f>
        <v/>
      </c>
      <c r="X83" s="48" t="str">
        <f>IF(E83&lt;&gt;"", IF(X82&lt;&gt;"", E83*X82,""),"")</f>
        <v/>
      </c>
      <c r="Y83" s="48" t="str">
        <f>IF(E83&lt;&gt;"", IF(Y82&lt;&gt;"", E83*Y82,""),"")</f>
        <v/>
      </c>
      <c r="Z83" s="48" t="str">
        <f>IF(E83&lt;&gt;"", IF(Z82&lt;&gt;"", E83*Z82,""),"")</f>
        <v/>
      </c>
      <c r="AA83" s="22"/>
      <c r="AB83" s="22" t="str">
        <f>IF(E83&lt;&gt;"", IF(AB82&lt;&gt;"", E83*AB82, ""), "")</f>
        <v/>
      </c>
      <c r="AC83" s="22" t="str">
        <f>IF(E83&lt;&gt;"", IF(AC82&lt;&gt;"", E83*AC82, ""), "")</f>
        <v/>
      </c>
      <c r="AD83" s="22" t="str">
        <f>IF(E83&lt;&gt;"", IF(AD82&lt;&gt;"", E83*AD82, ""), "")</f>
        <v/>
      </c>
      <c r="AE83" s="22" t="str">
        <f>IF(E83&lt;&gt;"", IF(AE82&lt;&gt;"", E83*AE82, ""), "")</f>
        <v/>
      </c>
      <c r="AF83" s="22" t="str">
        <f>IF(E83&lt;&gt;"", IF(AF82&lt;&gt;"", E83*AF82, ""), "")</f>
        <v/>
      </c>
      <c r="AG83" s="22" t="str">
        <f>IF(E83&lt;&gt;"", IF(AG82&lt;&gt;"", E83*AG82, ""), "")</f>
        <v/>
      </c>
      <c r="AH83" s="22" t="str">
        <f>IF(E83&lt;&gt;"", IF(AH82&lt;&gt;"", E83*AH82, ""), "")</f>
        <v/>
      </c>
      <c r="AI83" s="22" t="str">
        <f>IF(E83&lt;&gt;"", IF(AI82&lt;&gt;"", E83*AI82, ""), "")</f>
        <v/>
      </c>
      <c r="AJ83" s="22" t="str">
        <f>IF(E83&lt;&gt;"", IF(AJ82&lt;&gt;"", E83*AJ82, ""), "")</f>
        <v/>
      </c>
      <c r="AK83" s="22" t="str">
        <f>IF(E83&lt;&gt;"", IF(AK82&lt;&gt;"", E83*AK82, ""), "")</f>
        <v/>
      </c>
      <c r="AL83" s="22" t="str">
        <f>IF(E83&lt;&gt;"", IF(AL82&lt;&gt;"", E83*AL82, ""), "")</f>
        <v/>
      </c>
      <c r="AM83" s="22" t="str">
        <f>IF(E83&lt;&gt;"", IF(AM82&lt;&gt;"", E83*AM82, ""), "")</f>
        <v/>
      </c>
      <c r="AN83" s="22" t="str">
        <f>IF(E83&lt;&gt;"", IF(AN82&lt;&gt;"", E83*AN82, ""), "")</f>
        <v/>
      </c>
      <c r="AO83" s="22" t="str">
        <f>IF(E83&lt;&gt;"", IF(AO82&lt;&gt;"", E83*AO82, ""), "")</f>
        <v/>
      </c>
      <c r="AP83" s="22" t="str">
        <f>IF(E83&lt;&gt;"", IF(AP82&lt;&gt;"", E83*AP82, ""), "")</f>
        <v/>
      </c>
      <c r="AQ83" s="22" t="str">
        <f>IF(E83&lt;&gt;"", IF(AQ82&lt;&gt;"", E83*AQ82, ""), "")</f>
        <v/>
      </c>
      <c r="AR83" s="22" t="str">
        <f>IF(E83&lt;&gt;"", IF(AR82&lt;&gt;"", E83*AR82, ""), "")</f>
        <v/>
      </c>
      <c r="AS83" s="22" t="str">
        <f>IF(E83&lt;&gt;"", IF(AS82&lt;&gt;"", E83*AS82, ""), "")</f>
        <v/>
      </c>
      <c r="AT83" s="22" t="str">
        <f>IF(E83&lt;&gt;"", IF(AT82&lt;&gt;"", E83*AT82, ""), "")</f>
        <v/>
      </c>
      <c r="AU83" s="22" t="str">
        <f>IF(E83&lt;&gt;"", IF(AU82&lt;&gt;"", E83*AU82, ""), "")</f>
        <v/>
      </c>
      <c r="AV83" s="22" t="str">
        <f>IF(E83&lt;&gt;"", IF(AV82&lt;&gt;"", E83*AV82, ""), "")</f>
        <v/>
      </c>
      <c r="AW83" s="22" t="str">
        <f>IF(E83&lt;&gt;"", IF(AW82&lt;&gt;"", E83*AW82, ""), "")</f>
        <v/>
      </c>
      <c r="AX83" s="22" t="str">
        <f>IF(E83&lt;&gt;"", IF(AX82&lt;&gt;"", E83*AX82, ""), "")</f>
        <v/>
      </c>
      <c r="AY83" s="22" t="str">
        <f>IF(E83&lt;&gt;"", IF(AY82&lt;&gt;"", E83*AY82, ""), "")</f>
        <v/>
      </c>
      <c r="AZ83" s="22" t="str">
        <f>IF(E83&lt;&gt;"", IF(AZ82&lt;&gt;"", E83*AZ82, ""), "")</f>
        <v/>
      </c>
      <c r="BA83" s="22" t="str">
        <f>IF(E83&lt;&gt;"", IF(BA82&lt;&gt;"", E83*BA82, ""), "")</f>
        <v/>
      </c>
      <c r="BB83" s="22" t="str">
        <f>IF(E83&lt;&gt;"", IF(BB82&lt;&gt;"", E83*BB82, ""), "")</f>
        <v/>
      </c>
      <c r="BC83" s="22" t="str">
        <f>IF(E83&lt;&gt;"", IF(BC82&lt;&gt;"", E83*BC82, ""), "")</f>
        <v/>
      </c>
      <c r="BD83" s="22" t="str">
        <f>IF(E83&lt;&gt;"", IF(BD82&lt;&gt;"", E83*BD82, ""), "")</f>
        <v/>
      </c>
      <c r="BE83" s="22" t="str">
        <f>IF(E83&lt;&gt;"", IF(BE82&lt;&gt;"", E83*BE82, ""), "")</f>
        <v/>
      </c>
    </row>
    <row r="84" spans="1:127" ht="20.100000000000001" customHeight="1">
      <c r="A84" s="220">
        <v>16</v>
      </c>
      <c r="B84" s="7"/>
      <c r="C84" s="7"/>
      <c r="D84" s="5" t="s">
        <v>241</v>
      </c>
      <c r="E84" s="3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59"/>
      <c r="AB84" s="59"/>
      <c r="AC84" s="59"/>
      <c r="AD84" s="59"/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59"/>
      <c r="BA84" s="59"/>
      <c r="BB84" s="59"/>
      <c r="BC84" s="59"/>
      <c r="BD84" s="59"/>
      <c r="BE84" s="59"/>
    </row>
    <row r="85" spans="1:127" ht="20.100000000000001" customHeight="1">
      <c r="A85" s="221"/>
      <c r="B85" s="7"/>
      <c r="C85" s="7"/>
      <c r="D85" s="78" t="s">
        <v>244</v>
      </c>
      <c r="E85" s="47">
        <f>IF(egTextCal(D85)&lt;&gt;0, egTextCal(D85),"")</f>
        <v>1188</v>
      </c>
      <c r="F85" s="48" t="str">
        <f>IF(E85&lt;&gt;"", IF(F84&lt;&gt;"", E85*F84,""),"")</f>
        <v/>
      </c>
      <c r="G85" s="48" t="str">
        <f>IF(E85&lt;&gt;"", IF(G84&lt;&gt;"", E85*G84,""),"")</f>
        <v/>
      </c>
      <c r="H85" s="48" t="str">
        <f>IF(E85&lt;&gt;"", IF(H84&lt;&gt;"", E85*H84,""),"")</f>
        <v/>
      </c>
      <c r="I85" s="48" t="str">
        <f>IF(E85&lt;&gt;"", IF(I84&lt;&gt;"", E85*I84,""),"")</f>
        <v/>
      </c>
      <c r="J85" s="48" t="str">
        <f>IF(E85&lt;&gt;"", IF(J84&lt;&gt;"", E85*J84,""),"")</f>
        <v/>
      </c>
      <c r="K85" s="48" t="str">
        <f>IF(E85&lt;&gt;"", IF(K84&lt;&gt;"", E85*K84,""),"")</f>
        <v/>
      </c>
      <c r="L85" s="48" t="str">
        <f>IF(E85&lt;&gt;"", IF(L84&lt;&gt;"", E85*L84,""),"")</f>
        <v/>
      </c>
      <c r="M85" s="48" t="str">
        <f>IF(E85&lt;&gt;"", IF(M84&lt;&gt;"", E85*M84,""),"")</f>
        <v/>
      </c>
      <c r="N85" s="48" t="str">
        <f>IF(E85&lt;&gt;"", IF(N84&lt;&gt;"", E85*N84,""),"")</f>
        <v/>
      </c>
      <c r="O85" s="48" t="str">
        <f>IF(E85&lt;&gt;"", IF(O84&lt;&gt;"", E85*O84,""),"")</f>
        <v/>
      </c>
      <c r="P85" s="48" t="str">
        <f>IF(E85&lt;&gt;"", IF(P84&lt;&gt;"", E85*P84,""),"")</f>
        <v/>
      </c>
      <c r="Q85" s="48" t="str">
        <f>IF(E85&lt;&gt;"", IF(Q84&lt;&gt;"", E85*Q84,""),"")</f>
        <v/>
      </c>
      <c r="R85" s="48" t="str">
        <f>IF(E85&lt;&gt;"", IF(R84&lt;&gt;"", E85*R84,""),"")</f>
        <v/>
      </c>
      <c r="S85" s="48" t="str">
        <f>IF(E85&lt;&gt;"", IF(S84&lt;&gt;"", E85*S84,""),"")</f>
        <v/>
      </c>
      <c r="T85" s="48" t="str">
        <f>IF(E85&lt;&gt;"", IF(T84&lt;&gt;"", E85*T84,""),"")</f>
        <v/>
      </c>
      <c r="U85" s="48" t="str">
        <f>IF(E85&lt;&gt;"", IF(U84&lt;&gt;"", E85*U84,""),"")</f>
        <v/>
      </c>
      <c r="V85" s="48" t="str">
        <f>IF(E85&lt;&gt;"", IF(V84&lt;&gt;"", E85*V84,""),"")</f>
        <v/>
      </c>
      <c r="W85" s="48" t="str">
        <f>IF(E85&lt;&gt;"", IF(W84&lt;&gt;"", E85*W84,""),"")</f>
        <v/>
      </c>
      <c r="X85" s="48" t="str">
        <f>IF(E85&lt;&gt;"", IF(X84&lt;&gt;"", E85*X84,""),"")</f>
        <v/>
      </c>
      <c r="Y85" s="48" t="str">
        <f>IF(E85&lt;&gt;"", IF(Y84&lt;&gt;"", E85*Y84,""),"")</f>
        <v/>
      </c>
      <c r="Z85" s="48" t="str">
        <f>IF(E85&lt;&gt;"", IF(Z84&lt;&gt;"", E85*Z84,""),"")</f>
        <v/>
      </c>
      <c r="AA85" s="22"/>
      <c r="AB85" s="22" t="str">
        <f>IF(E85&lt;&gt;"", IF(AB84&lt;&gt;"", E85*AB84, ""), "")</f>
        <v/>
      </c>
      <c r="AC85" s="22" t="str">
        <f>IF(E85&lt;&gt;"", IF(AC84&lt;&gt;"", E85*AC84, ""), "")</f>
        <v/>
      </c>
      <c r="AD85" s="22" t="str">
        <f>IF(E85&lt;&gt;"", IF(AD84&lt;&gt;"", E85*AD84, ""), "")</f>
        <v/>
      </c>
      <c r="AE85" s="22" t="str">
        <f>IF(E85&lt;&gt;"", IF(AE84&lt;&gt;"", E85*AE84, ""), "")</f>
        <v/>
      </c>
      <c r="AF85" s="22" t="str">
        <f>IF(E85&lt;&gt;"", IF(AF84&lt;&gt;"", E85*AF84, ""), "")</f>
        <v/>
      </c>
      <c r="AG85" s="22" t="str">
        <f>IF(E85&lt;&gt;"", IF(AG84&lt;&gt;"", E85*AG84, ""), "")</f>
        <v/>
      </c>
      <c r="AH85" s="22" t="str">
        <f>IF(E85&lt;&gt;"", IF(AH84&lt;&gt;"", E85*AH84, ""), "")</f>
        <v/>
      </c>
      <c r="AI85" s="22" t="str">
        <f>IF(E85&lt;&gt;"", IF(AI84&lt;&gt;"", E85*AI84, ""), "")</f>
        <v/>
      </c>
      <c r="AJ85" s="22" t="str">
        <f>IF(E85&lt;&gt;"", IF(AJ84&lt;&gt;"", E85*AJ84, ""), "")</f>
        <v/>
      </c>
      <c r="AK85" s="22" t="str">
        <f>IF(E85&lt;&gt;"", IF(AK84&lt;&gt;"", E85*AK84, ""), "")</f>
        <v/>
      </c>
      <c r="AL85" s="22" t="str">
        <f>IF(E85&lt;&gt;"", IF(AL84&lt;&gt;"", E85*AL84, ""), "")</f>
        <v/>
      </c>
      <c r="AM85" s="22" t="str">
        <f>IF(E85&lt;&gt;"", IF(AM84&lt;&gt;"", E85*AM84, ""), "")</f>
        <v/>
      </c>
      <c r="AN85" s="22" t="str">
        <f>IF(E85&lt;&gt;"", IF(AN84&lt;&gt;"", E85*AN84, ""), "")</f>
        <v/>
      </c>
      <c r="AO85" s="22" t="str">
        <f>IF(E85&lt;&gt;"", IF(AO84&lt;&gt;"", E85*AO84, ""), "")</f>
        <v/>
      </c>
      <c r="AP85" s="22" t="str">
        <f>IF(E85&lt;&gt;"", IF(AP84&lt;&gt;"", E85*AP84, ""), "")</f>
        <v/>
      </c>
      <c r="AQ85" s="22" t="str">
        <f>IF(E85&lt;&gt;"", IF(AQ84&lt;&gt;"", E85*AQ84, ""), "")</f>
        <v/>
      </c>
      <c r="AR85" s="22" t="str">
        <f>IF(E85&lt;&gt;"", IF(AR84&lt;&gt;"", E85*AR84, ""), "")</f>
        <v/>
      </c>
      <c r="AS85" s="22" t="str">
        <f>IF(E85&lt;&gt;"", IF(AS84&lt;&gt;"", E85*AS84, ""), "")</f>
        <v/>
      </c>
      <c r="AT85" s="22" t="str">
        <f>IF(E85&lt;&gt;"", IF(AT84&lt;&gt;"", E85*AT84, ""), "")</f>
        <v/>
      </c>
      <c r="AU85" s="22" t="str">
        <f>IF(E85&lt;&gt;"", IF(AU84&lt;&gt;"", E85*AU84, ""), "")</f>
        <v/>
      </c>
      <c r="AV85" s="22" t="str">
        <f>IF(E85&lt;&gt;"", IF(AV84&lt;&gt;"", E85*AV84, ""), "")</f>
        <v/>
      </c>
      <c r="AW85" s="22" t="str">
        <f>IF(E85&lt;&gt;"", IF(AW84&lt;&gt;"", E85*AW84, ""), "")</f>
        <v/>
      </c>
      <c r="AX85" s="22" t="str">
        <f>IF(E85&lt;&gt;"", IF(AX84&lt;&gt;"", E85*AX84, ""), "")</f>
        <v/>
      </c>
      <c r="AY85" s="22" t="str">
        <f>IF(E85&lt;&gt;"", IF(AY84&lt;&gt;"", E85*AY84, ""), "")</f>
        <v/>
      </c>
      <c r="AZ85" s="22" t="str">
        <f>IF(E85&lt;&gt;"", IF(AZ84&lt;&gt;"", E85*AZ84, ""), "")</f>
        <v/>
      </c>
      <c r="BA85" s="22" t="str">
        <f>IF(E85&lt;&gt;"", IF(BA84&lt;&gt;"", E85*BA84, ""), "")</f>
        <v/>
      </c>
      <c r="BB85" s="22" t="str">
        <f>IF(E85&lt;&gt;"", IF(BB84&lt;&gt;"", E85*BB84, ""), "")</f>
        <v/>
      </c>
      <c r="BC85" s="22" t="str">
        <f>IF(E85&lt;&gt;"", IF(BC84&lt;&gt;"", E85*BC84, ""), "")</f>
        <v/>
      </c>
      <c r="BD85" s="22" t="str">
        <f>IF(E85&lt;&gt;"", IF(BD84&lt;&gt;"", E85*BD84, ""), "")</f>
        <v/>
      </c>
      <c r="BE85" s="22" t="str">
        <f>IF(E85&lt;&gt;"", IF(BE84&lt;&gt;"", E85*BE84, ""), "")</f>
        <v/>
      </c>
    </row>
    <row r="86" spans="1:127" ht="20.100000000000001" customHeight="1">
      <c r="A86" s="220">
        <v>17</v>
      </c>
      <c r="B86" s="7"/>
      <c r="C86" s="7"/>
      <c r="D86" s="5" t="s">
        <v>241</v>
      </c>
      <c r="E86" s="3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59"/>
      <c r="AB86" s="59"/>
      <c r="AC86" s="59"/>
      <c r="AD86" s="59"/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  <c r="BC86" s="59"/>
      <c r="BD86" s="59"/>
      <c r="BE86" s="59"/>
    </row>
    <row r="87" spans="1:127" ht="20.100000000000001" customHeight="1">
      <c r="A87" s="221"/>
      <c r="B87" s="7"/>
      <c r="C87" s="7"/>
      <c r="D87" s="78" t="s">
        <v>245</v>
      </c>
      <c r="E87" s="47">
        <f>IF(egTextCal(D87)&lt;&gt;0, egTextCal(D87),"")</f>
        <v>144</v>
      </c>
      <c r="F87" s="48" t="str">
        <f>IF(E87&lt;&gt;"", IF(F86&lt;&gt;"", E87*F86,""),"")</f>
        <v/>
      </c>
      <c r="G87" s="48" t="str">
        <f>IF(E87&lt;&gt;"", IF(G86&lt;&gt;"", E87*G86,""),"")</f>
        <v/>
      </c>
      <c r="H87" s="48" t="str">
        <f>IF(E87&lt;&gt;"", IF(H86&lt;&gt;"", E87*H86,""),"")</f>
        <v/>
      </c>
      <c r="I87" s="48" t="str">
        <f>IF(E87&lt;&gt;"", IF(I86&lt;&gt;"", E87*I86,""),"")</f>
        <v/>
      </c>
      <c r="J87" s="48" t="str">
        <f>IF(E87&lt;&gt;"", IF(J86&lt;&gt;"", E87*J86,""),"")</f>
        <v/>
      </c>
      <c r="K87" s="48" t="str">
        <f>IF(E87&lt;&gt;"", IF(K86&lt;&gt;"", E87*K86,""),"")</f>
        <v/>
      </c>
      <c r="L87" s="48" t="str">
        <f>IF(E87&lt;&gt;"", IF(L86&lt;&gt;"", E87*L86,""),"")</f>
        <v/>
      </c>
      <c r="M87" s="48" t="str">
        <f>IF(E87&lt;&gt;"", IF(M86&lt;&gt;"", E87*M86,""),"")</f>
        <v/>
      </c>
      <c r="N87" s="48" t="str">
        <f>IF(E87&lt;&gt;"", IF(N86&lt;&gt;"", E87*N86,""),"")</f>
        <v/>
      </c>
      <c r="O87" s="48" t="str">
        <f>IF(E87&lt;&gt;"", IF(O86&lt;&gt;"", E87*O86,""),"")</f>
        <v/>
      </c>
      <c r="P87" s="48" t="str">
        <f>IF(E87&lt;&gt;"", IF(P86&lt;&gt;"", E87*P86,""),"")</f>
        <v/>
      </c>
      <c r="Q87" s="48" t="str">
        <f>IF(E87&lt;&gt;"", IF(Q86&lt;&gt;"", E87*Q86,""),"")</f>
        <v/>
      </c>
      <c r="R87" s="48" t="str">
        <f>IF(E87&lt;&gt;"", IF(R86&lt;&gt;"", E87*R86,""),"")</f>
        <v/>
      </c>
      <c r="S87" s="48" t="str">
        <f>IF(E87&lt;&gt;"", IF(S86&lt;&gt;"", E87*S86,""),"")</f>
        <v/>
      </c>
      <c r="T87" s="48" t="str">
        <f>IF(E87&lt;&gt;"", IF(T86&lt;&gt;"", E87*T86,""),"")</f>
        <v/>
      </c>
      <c r="U87" s="48" t="str">
        <f>IF(E87&lt;&gt;"", IF(U86&lt;&gt;"", E87*U86,""),"")</f>
        <v/>
      </c>
      <c r="V87" s="48" t="str">
        <f>IF(E87&lt;&gt;"", IF(V86&lt;&gt;"", E87*V86,""),"")</f>
        <v/>
      </c>
      <c r="W87" s="48" t="str">
        <f>IF(E87&lt;&gt;"", IF(W86&lt;&gt;"", E87*W86,""),"")</f>
        <v/>
      </c>
      <c r="X87" s="48" t="str">
        <f>IF(E87&lt;&gt;"", IF(X86&lt;&gt;"", E87*X86,""),"")</f>
        <v/>
      </c>
      <c r="Y87" s="48" t="str">
        <f>IF(E87&lt;&gt;"", IF(Y86&lt;&gt;"", E87*Y86,""),"")</f>
        <v/>
      </c>
      <c r="Z87" s="48" t="str">
        <f>IF(E87&lt;&gt;"", IF(Z86&lt;&gt;"", E87*Z86,""),"")</f>
        <v/>
      </c>
      <c r="AA87" s="22"/>
      <c r="AB87" s="22" t="str">
        <f>IF(E87&lt;&gt;"", IF(AB86&lt;&gt;"", E87*AB86, ""), "")</f>
        <v/>
      </c>
      <c r="AC87" s="22" t="str">
        <f>IF(E87&lt;&gt;"", IF(AC86&lt;&gt;"", E87*AC86, ""), "")</f>
        <v/>
      </c>
      <c r="AD87" s="22" t="str">
        <f>IF(E87&lt;&gt;"", IF(AD86&lt;&gt;"", E87*AD86, ""), "")</f>
        <v/>
      </c>
      <c r="AE87" s="22" t="str">
        <f>IF(E87&lt;&gt;"", IF(AE86&lt;&gt;"", E87*AE86, ""), "")</f>
        <v/>
      </c>
      <c r="AF87" s="22" t="str">
        <f>IF(E87&lt;&gt;"", IF(AF86&lt;&gt;"", E87*AF86, ""), "")</f>
        <v/>
      </c>
      <c r="AG87" s="22" t="str">
        <f>IF(E87&lt;&gt;"", IF(AG86&lt;&gt;"", E87*AG86, ""), "")</f>
        <v/>
      </c>
      <c r="AH87" s="22" t="str">
        <f>IF(E87&lt;&gt;"", IF(AH86&lt;&gt;"", E87*AH86, ""), "")</f>
        <v/>
      </c>
      <c r="AI87" s="22" t="str">
        <f>IF(E87&lt;&gt;"", IF(AI86&lt;&gt;"", E87*AI86, ""), "")</f>
        <v/>
      </c>
      <c r="AJ87" s="22" t="str">
        <f>IF(E87&lt;&gt;"", IF(AJ86&lt;&gt;"", E87*AJ86, ""), "")</f>
        <v/>
      </c>
      <c r="AK87" s="22" t="str">
        <f>IF(E87&lt;&gt;"", IF(AK86&lt;&gt;"", E87*AK86, ""), "")</f>
        <v/>
      </c>
      <c r="AL87" s="22" t="str">
        <f>IF(E87&lt;&gt;"", IF(AL86&lt;&gt;"", E87*AL86, ""), "")</f>
        <v/>
      </c>
      <c r="AM87" s="22" t="str">
        <f>IF(E87&lt;&gt;"", IF(AM86&lt;&gt;"", E87*AM86, ""), "")</f>
        <v/>
      </c>
      <c r="AN87" s="22" t="str">
        <f>IF(E87&lt;&gt;"", IF(AN86&lt;&gt;"", E87*AN86, ""), "")</f>
        <v/>
      </c>
      <c r="AO87" s="22" t="str">
        <f>IF(E87&lt;&gt;"", IF(AO86&lt;&gt;"", E87*AO86, ""), "")</f>
        <v/>
      </c>
      <c r="AP87" s="22" t="str">
        <f>IF(E87&lt;&gt;"", IF(AP86&lt;&gt;"", E87*AP86, ""), "")</f>
        <v/>
      </c>
      <c r="AQ87" s="22" t="str">
        <f>IF(E87&lt;&gt;"", IF(AQ86&lt;&gt;"", E87*AQ86, ""), "")</f>
        <v/>
      </c>
      <c r="AR87" s="22" t="str">
        <f>IF(E87&lt;&gt;"", IF(AR86&lt;&gt;"", E87*AR86, ""), "")</f>
        <v/>
      </c>
      <c r="AS87" s="22" t="str">
        <f>IF(E87&lt;&gt;"", IF(AS86&lt;&gt;"", E87*AS86, ""), "")</f>
        <v/>
      </c>
      <c r="AT87" s="22" t="str">
        <f>IF(E87&lt;&gt;"", IF(AT86&lt;&gt;"", E87*AT86, ""), "")</f>
        <v/>
      </c>
      <c r="AU87" s="22" t="str">
        <f>IF(E87&lt;&gt;"", IF(AU86&lt;&gt;"", E87*AU86, ""), "")</f>
        <v/>
      </c>
      <c r="AV87" s="22" t="str">
        <f>IF(E87&lt;&gt;"", IF(AV86&lt;&gt;"", E87*AV86, ""), "")</f>
        <v/>
      </c>
      <c r="AW87" s="22" t="str">
        <f>IF(E87&lt;&gt;"", IF(AW86&lt;&gt;"", E87*AW86, ""), "")</f>
        <v/>
      </c>
      <c r="AX87" s="22" t="str">
        <f>IF(E87&lt;&gt;"", IF(AX86&lt;&gt;"", E87*AX86, ""), "")</f>
        <v/>
      </c>
      <c r="AY87" s="22" t="str">
        <f>IF(E87&lt;&gt;"", IF(AY86&lt;&gt;"", E87*AY86, ""), "")</f>
        <v/>
      </c>
      <c r="AZ87" s="22" t="str">
        <f>IF(E87&lt;&gt;"", IF(AZ86&lt;&gt;"", E87*AZ86, ""), "")</f>
        <v/>
      </c>
      <c r="BA87" s="22" t="str">
        <f>IF(E87&lt;&gt;"", IF(BA86&lt;&gt;"", E87*BA86, ""), "")</f>
        <v/>
      </c>
      <c r="BB87" s="22" t="str">
        <f>IF(E87&lt;&gt;"", IF(BB86&lt;&gt;"", E87*BB86, ""), "")</f>
        <v/>
      </c>
      <c r="BC87" s="22" t="str">
        <f>IF(E87&lt;&gt;"", IF(BC86&lt;&gt;"", E87*BC86, ""), "")</f>
        <v/>
      </c>
      <c r="BD87" s="22" t="str">
        <f>IF(E87&lt;&gt;"", IF(BD86&lt;&gt;"", E87*BD86, ""), "")</f>
        <v/>
      </c>
      <c r="BE87" s="22" t="str">
        <f>IF(E87&lt;&gt;"", IF(BE86&lt;&gt;"", E87*BE86, ""), "")</f>
        <v/>
      </c>
    </row>
    <row r="88" spans="1:127" ht="20.100000000000001" customHeight="1">
      <c r="A88" s="220">
        <v>18</v>
      </c>
      <c r="B88" s="7"/>
      <c r="C88" s="7"/>
      <c r="D88" s="5" t="s">
        <v>246</v>
      </c>
      <c r="E88" s="3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  <c r="BC88" s="59"/>
      <c r="BD88" s="59"/>
      <c r="BE88" s="59"/>
    </row>
    <row r="89" spans="1:127" ht="20.100000000000001" customHeight="1">
      <c r="A89" s="221"/>
      <c r="B89" s="7"/>
      <c r="C89" s="7"/>
      <c r="D89" s="78" t="s">
        <v>247</v>
      </c>
      <c r="E89" s="47">
        <f>IF(egTextCal(D89)&lt;&gt;0, egTextCal(D89),"")</f>
        <v>7</v>
      </c>
      <c r="F89" s="48" t="str">
        <f>IF(E89&lt;&gt;"", IF(F88&lt;&gt;"", E89*F88,""),"")</f>
        <v/>
      </c>
      <c r="G89" s="48" t="str">
        <f>IF(E89&lt;&gt;"", IF(G88&lt;&gt;"", E89*G88,""),"")</f>
        <v/>
      </c>
      <c r="H89" s="48" t="str">
        <f>IF(E89&lt;&gt;"", IF(H88&lt;&gt;"", E89*H88,""),"")</f>
        <v/>
      </c>
      <c r="I89" s="48" t="str">
        <f>IF(E89&lt;&gt;"", IF(I88&lt;&gt;"", E89*I88,""),"")</f>
        <v/>
      </c>
      <c r="J89" s="48" t="str">
        <f>IF(E89&lt;&gt;"", IF(J88&lt;&gt;"", E89*J88,""),"")</f>
        <v/>
      </c>
      <c r="K89" s="48" t="str">
        <f>IF(E89&lt;&gt;"", IF(K88&lt;&gt;"", E89*K88,""),"")</f>
        <v/>
      </c>
      <c r="L89" s="48" t="str">
        <f>IF(E89&lt;&gt;"", IF(L88&lt;&gt;"", E89*L88,""),"")</f>
        <v/>
      </c>
      <c r="M89" s="48" t="str">
        <f>IF(E89&lt;&gt;"", IF(M88&lt;&gt;"", E89*M88,""),"")</f>
        <v/>
      </c>
      <c r="N89" s="48" t="str">
        <f>IF(E89&lt;&gt;"", IF(N88&lt;&gt;"", E89*N88,""),"")</f>
        <v/>
      </c>
      <c r="O89" s="48" t="str">
        <f>IF(E89&lt;&gt;"", IF(O88&lt;&gt;"", E89*O88,""),"")</f>
        <v/>
      </c>
      <c r="P89" s="48" t="str">
        <f>IF(E89&lt;&gt;"", IF(P88&lt;&gt;"", E89*P88,""),"")</f>
        <v/>
      </c>
      <c r="Q89" s="48" t="str">
        <f>IF(E89&lt;&gt;"", IF(Q88&lt;&gt;"", E89*Q88,""),"")</f>
        <v/>
      </c>
      <c r="R89" s="48" t="str">
        <f>IF(E89&lt;&gt;"", IF(R88&lt;&gt;"", E89*R88,""),"")</f>
        <v/>
      </c>
      <c r="S89" s="48" t="str">
        <f>IF(E89&lt;&gt;"", IF(S88&lt;&gt;"", E89*S88,""),"")</f>
        <v/>
      </c>
      <c r="T89" s="48" t="str">
        <f>IF(E89&lt;&gt;"", IF(T88&lt;&gt;"", E89*T88,""),"")</f>
        <v/>
      </c>
      <c r="U89" s="48" t="str">
        <f>IF(E89&lt;&gt;"", IF(U88&lt;&gt;"", E89*U88,""),"")</f>
        <v/>
      </c>
      <c r="V89" s="48" t="str">
        <f>IF(E89&lt;&gt;"", IF(V88&lt;&gt;"", E89*V88,""),"")</f>
        <v/>
      </c>
      <c r="W89" s="48" t="str">
        <f>IF(E89&lt;&gt;"", IF(W88&lt;&gt;"", E89*W88,""),"")</f>
        <v/>
      </c>
      <c r="X89" s="48" t="str">
        <f>IF(E89&lt;&gt;"", IF(X88&lt;&gt;"", E89*X88,""),"")</f>
        <v/>
      </c>
      <c r="Y89" s="48" t="str">
        <f>IF(E89&lt;&gt;"", IF(Y88&lt;&gt;"", E89*Y88,""),"")</f>
        <v/>
      </c>
      <c r="Z89" s="48" t="str">
        <f>IF(E89&lt;&gt;"", IF(Z88&lt;&gt;"", E89*Z88,""),"")</f>
        <v/>
      </c>
      <c r="AA89" s="22"/>
      <c r="AB89" s="22" t="str">
        <f>IF(E89&lt;&gt;"", IF(AB88&lt;&gt;"", E89*AB88, ""), "")</f>
        <v/>
      </c>
      <c r="AC89" s="22" t="str">
        <f>IF(E89&lt;&gt;"", IF(AC88&lt;&gt;"", E89*AC88, ""), "")</f>
        <v/>
      </c>
      <c r="AD89" s="22" t="str">
        <f>IF(E89&lt;&gt;"", IF(AD88&lt;&gt;"", E89*AD88, ""), "")</f>
        <v/>
      </c>
      <c r="AE89" s="22" t="str">
        <f>IF(E89&lt;&gt;"", IF(AE88&lt;&gt;"", E89*AE88, ""), "")</f>
        <v/>
      </c>
      <c r="AF89" s="22" t="str">
        <f>IF(E89&lt;&gt;"", IF(AF88&lt;&gt;"", E89*AF88, ""), "")</f>
        <v/>
      </c>
      <c r="AG89" s="22" t="str">
        <f>IF(E89&lt;&gt;"", IF(AG88&lt;&gt;"", E89*AG88, ""), "")</f>
        <v/>
      </c>
      <c r="AH89" s="22" t="str">
        <f>IF(E89&lt;&gt;"", IF(AH88&lt;&gt;"", E89*AH88, ""), "")</f>
        <v/>
      </c>
      <c r="AI89" s="22" t="str">
        <f>IF(E89&lt;&gt;"", IF(AI88&lt;&gt;"", E89*AI88, ""), "")</f>
        <v/>
      </c>
      <c r="AJ89" s="22" t="str">
        <f>IF(E89&lt;&gt;"", IF(AJ88&lt;&gt;"", E89*AJ88, ""), "")</f>
        <v/>
      </c>
      <c r="AK89" s="22" t="str">
        <f>IF(E89&lt;&gt;"", IF(AK88&lt;&gt;"", E89*AK88, ""), "")</f>
        <v/>
      </c>
      <c r="AL89" s="22" t="str">
        <f>IF(E89&lt;&gt;"", IF(AL88&lt;&gt;"", E89*AL88, ""), "")</f>
        <v/>
      </c>
      <c r="AM89" s="22" t="str">
        <f>IF(E89&lt;&gt;"", IF(AM88&lt;&gt;"", E89*AM88, ""), "")</f>
        <v/>
      </c>
      <c r="AN89" s="22" t="str">
        <f>IF(E89&lt;&gt;"", IF(AN88&lt;&gt;"", E89*AN88, ""), "")</f>
        <v/>
      </c>
      <c r="AO89" s="22" t="str">
        <f>IF(E89&lt;&gt;"", IF(AO88&lt;&gt;"", E89*AO88, ""), "")</f>
        <v/>
      </c>
      <c r="AP89" s="22" t="str">
        <f>IF(E89&lt;&gt;"", IF(AP88&lt;&gt;"", E89*AP88, ""), "")</f>
        <v/>
      </c>
      <c r="AQ89" s="22" t="str">
        <f>IF(E89&lt;&gt;"", IF(AQ88&lt;&gt;"", E89*AQ88, ""), "")</f>
        <v/>
      </c>
      <c r="AR89" s="22" t="str">
        <f>IF(E89&lt;&gt;"", IF(AR88&lt;&gt;"", E89*AR88, ""), "")</f>
        <v/>
      </c>
      <c r="AS89" s="22" t="str">
        <f>IF(E89&lt;&gt;"", IF(AS88&lt;&gt;"", E89*AS88, ""), "")</f>
        <v/>
      </c>
      <c r="AT89" s="22" t="str">
        <f>IF(E89&lt;&gt;"", IF(AT88&lt;&gt;"", E89*AT88, ""), "")</f>
        <v/>
      </c>
      <c r="AU89" s="22" t="str">
        <f>IF(E89&lt;&gt;"", IF(AU88&lt;&gt;"", E89*AU88, ""), "")</f>
        <v/>
      </c>
      <c r="AV89" s="22" t="str">
        <f>IF(E89&lt;&gt;"", IF(AV88&lt;&gt;"", E89*AV88, ""), "")</f>
        <v/>
      </c>
      <c r="AW89" s="22" t="str">
        <f>IF(E89&lt;&gt;"", IF(AW88&lt;&gt;"", E89*AW88, ""), "")</f>
        <v/>
      </c>
      <c r="AX89" s="22" t="str">
        <f>IF(E89&lt;&gt;"", IF(AX88&lt;&gt;"", E89*AX88, ""), "")</f>
        <v/>
      </c>
      <c r="AY89" s="22" t="str">
        <f>IF(E89&lt;&gt;"", IF(AY88&lt;&gt;"", E89*AY88, ""), "")</f>
        <v/>
      </c>
      <c r="AZ89" s="22" t="str">
        <f>IF(E89&lt;&gt;"", IF(AZ88&lt;&gt;"", E89*AZ88, ""), "")</f>
        <v/>
      </c>
      <c r="BA89" s="22" t="str">
        <f>IF(E89&lt;&gt;"", IF(BA88&lt;&gt;"", E89*BA88, ""), "")</f>
        <v/>
      </c>
      <c r="BB89" s="22" t="str">
        <f>IF(E89&lt;&gt;"", IF(BB88&lt;&gt;"", E89*BB88, ""), "")</f>
        <v/>
      </c>
      <c r="BC89" s="22" t="str">
        <f>IF(E89&lt;&gt;"", IF(BC88&lt;&gt;"", E89*BC88, ""), "")</f>
        <v/>
      </c>
      <c r="BD89" s="22" t="str">
        <f>IF(E89&lt;&gt;"", IF(BD88&lt;&gt;"", E89*BD88, ""), "")</f>
        <v/>
      </c>
      <c r="BE89" s="22" t="str">
        <f>IF(E89&lt;&gt;"", IF(BE88&lt;&gt;"", E89*BE88, ""), "")</f>
        <v/>
      </c>
    </row>
    <row r="90" spans="1:127" ht="20.100000000000001" customHeight="1">
      <c r="A90" s="220">
        <v>19</v>
      </c>
      <c r="B90" s="7"/>
      <c r="C90" s="7"/>
      <c r="D90" s="5" t="s">
        <v>248</v>
      </c>
      <c r="E90" s="3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59"/>
      <c r="AB90" s="59"/>
      <c r="AC90" s="59"/>
      <c r="AD90" s="59"/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  <c r="BA90" s="59"/>
      <c r="BB90" s="59"/>
      <c r="BC90" s="59"/>
      <c r="BD90" s="59"/>
      <c r="BE90" s="59"/>
    </row>
    <row r="91" spans="1:127" ht="20.100000000000001" customHeight="1">
      <c r="A91" s="221"/>
      <c r="B91" s="7"/>
      <c r="C91" s="7"/>
      <c r="D91" s="78">
        <v>1</v>
      </c>
      <c r="E91" s="47">
        <f>IF(egTextCal(D91)&lt;&gt;0, egTextCal(D91),"")</f>
        <v>1</v>
      </c>
      <c r="F91" s="48" t="str">
        <f>IF(E91&lt;&gt;"", IF(F90&lt;&gt;"", E91*F90,""),"")</f>
        <v/>
      </c>
      <c r="G91" s="48" t="str">
        <f>IF(E91&lt;&gt;"", IF(G90&lt;&gt;"", E91*G90,""),"")</f>
        <v/>
      </c>
      <c r="H91" s="48" t="str">
        <f>IF(E91&lt;&gt;"", IF(H90&lt;&gt;"", E91*H90,""),"")</f>
        <v/>
      </c>
      <c r="I91" s="48" t="str">
        <f>IF(E91&lt;&gt;"", IF(I90&lt;&gt;"", E91*I90,""),"")</f>
        <v/>
      </c>
      <c r="J91" s="48" t="str">
        <f>IF(E91&lt;&gt;"", IF(J90&lt;&gt;"", E91*J90,""),"")</f>
        <v/>
      </c>
      <c r="K91" s="48" t="str">
        <f>IF(E91&lt;&gt;"", IF(K90&lt;&gt;"", E91*K90,""),"")</f>
        <v/>
      </c>
      <c r="L91" s="48" t="str">
        <f>IF(E91&lt;&gt;"", IF(L90&lt;&gt;"", E91*L90,""),"")</f>
        <v/>
      </c>
      <c r="M91" s="48" t="str">
        <f>IF(E91&lt;&gt;"", IF(M90&lt;&gt;"", E91*M90,""),"")</f>
        <v/>
      </c>
      <c r="N91" s="48" t="str">
        <f>IF(E91&lt;&gt;"", IF(N90&lt;&gt;"", E91*N90,""),"")</f>
        <v/>
      </c>
      <c r="O91" s="48" t="str">
        <f>IF(E91&lt;&gt;"", IF(O90&lt;&gt;"", E91*O90,""),"")</f>
        <v/>
      </c>
      <c r="P91" s="48" t="str">
        <f>IF(E91&lt;&gt;"", IF(P90&lt;&gt;"", E91*P90,""),"")</f>
        <v/>
      </c>
      <c r="Q91" s="48" t="str">
        <f>IF(E91&lt;&gt;"", IF(Q90&lt;&gt;"", E91*Q90,""),"")</f>
        <v/>
      </c>
      <c r="R91" s="48" t="str">
        <f>IF(E91&lt;&gt;"", IF(R90&lt;&gt;"", E91*R90,""),"")</f>
        <v/>
      </c>
      <c r="S91" s="48" t="str">
        <f>IF(E91&lt;&gt;"", IF(S90&lt;&gt;"", E91*S90,""),"")</f>
        <v/>
      </c>
      <c r="T91" s="48" t="str">
        <f>IF(E91&lt;&gt;"", IF(T90&lt;&gt;"", E91*T90,""),"")</f>
        <v/>
      </c>
      <c r="U91" s="48" t="str">
        <f>IF(E91&lt;&gt;"", IF(U90&lt;&gt;"", E91*U90,""),"")</f>
        <v/>
      </c>
      <c r="V91" s="48" t="str">
        <f>IF(E91&lt;&gt;"", IF(V90&lt;&gt;"", E91*V90,""),"")</f>
        <v/>
      </c>
      <c r="W91" s="48" t="str">
        <f>IF(E91&lt;&gt;"", IF(W90&lt;&gt;"", E91*W90,""),"")</f>
        <v/>
      </c>
      <c r="X91" s="48" t="str">
        <f>IF(E91&lt;&gt;"", IF(X90&lt;&gt;"", E91*X90,""),"")</f>
        <v/>
      </c>
      <c r="Y91" s="48" t="str">
        <f>IF(E91&lt;&gt;"", IF(Y90&lt;&gt;"", E91*Y90,""),"")</f>
        <v/>
      </c>
      <c r="Z91" s="48" t="str">
        <f>IF(E91&lt;&gt;"", IF(Z90&lt;&gt;"", E91*Z90,""),"")</f>
        <v/>
      </c>
      <c r="AA91" s="22"/>
      <c r="AB91" s="22" t="str">
        <f>IF(E91&lt;&gt;"", IF(AB90&lt;&gt;"", E91*AB90, ""), "")</f>
        <v/>
      </c>
      <c r="AC91" s="22" t="str">
        <f>IF(E91&lt;&gt;"", IF(AC90&lt;&gt;"", E91*AC90, ""), "")</f>
        <v/>
      </c>
      <c r="AD91" s="22" t="str">
        <f>IF(E91&lt;&gt;"", IF(AD90&lt;&gt;"", E91*AD90, ""), "")</f>
        <v/>
      </c>
      <c r="AE91" s="22" t="str">
        <f>IF(E91&lt;&gt;"", IF(AE90&lt;&gt;"", E91*AE90, ""), "")</f>
        <v/>
      </c>
      <c r="AF91" s="22" t="str">
        <f>IF(E91&lt;&gt;"", IF(AF90&lt;&gt;"", E91*AF90, ""), "")</f>
        <v/>
      </c>
      <c r="AG91" s="22" t="str">
        <f>IF(E91&lt;&gt;"", IF(AG90&lt;&gt;"", E91*AG90, ""), "")</f>
        <v/>
      </c>
      <c r="AH91" s="22" t="str">
        <f>IF(E91&lt;&gt;"", IF(AH90&lt;&gt;"", E91*AH90, ""), "")</f>
        <v/>
      </c>
      <c r="AI91" s="22" t="str">
        <f>IF(E91&lt;&gt;"", IF(AI90&lt;&gt;"", E91*AI90, ""), "")</f>
        <v/>
      </c>
      <c r="AJ91" s="22" t="str">
        <f>IF(E91&lt;&gt;"", IF(AJ90&lt;&gt;"", E91*AJ90, ""), "")</f>
        <v/>
      </c>
      <c r="AK91" s="22" t="str">
        <f>IF(E91&lt;&gt;"", IF(AK90&lt;&gt;"", E91*AK90, ""), "")</f>
        <v/>
      </c>
      <c r="AL91" s="22" t="str">
        <f>IF(E91&lt;&gt;"", IF(AL90&lt;&gt;"", E91*AL90, ""), "")</f>
        <v/>
      </c>
      <c r="AM91" s="22" t="str">
        <f>IF(E91&lt;&gt;"", IF(AM90&lt;&gt;"", E91*AM90, ""), "")</f>
        <v/>
      </c>
      <c r="AN91" s="22" t="str">
        <f>IF(E91&lt;&gt;"", IF(AN90&lt;&gt;"", E91*AN90, ""), "")</f>
        <v/>
      </c>
      <c r="AO91" s="22" t="str">
        <f>IF(E91&lt;&gt;"", IF(AO90&lt;&gt;"", E91*AO90, ""), "")</f>
        <v/>
      </c>
      <c r="AP91" s="22" t="str">
        <f>IF(E91&lt;&gt;"", IF(AP90&lt;&gt;"", E91*AP90, ""), "")</f>
        <v/>
      </c>
      <c r="AQ91" s="22" t="str">
        <f>IF(E91&lt;&gt;"", IF(AQ90&lt;&gt;"", E91*AQ90, ""), "")</f>
        <v/>
      </c>
      <c r="AR91" s="22" t="str">
        <f>IF(E91&lt;&gt;"", IF(AR90&lt;&gt;"", E91*AR90, ""), "")</f>
        <v/>
      </c>
      <c r="AS91" s="22" t="str">
        <f>IF(E91&lt;&gt;"", IF(AS90&lt;&gt;"", E91*AS90, ""), "")</f>
        <v/>
      </c>
      <c r="AT91" s="22" t="str">
        <f>IF(E91&lt;&gt;"", IF(AT90&lt;&gt;"", E91*AT90, ""), "")</f>
        <v/>
      </c>
      <c r="AU91" s="22" t="str">
        <f>IF(E91&lt;&gt;"", IF(AU90&lt;&gt;"", E91*AU90, ""), "")</f>
        <v/>
      </c>
      <c r="AV91" s="22" t="str">
        <f>IF(E91&lt;&gt;"", IF(AV90&lt;&gt;"", E91*AV90, ""), "")</f>
        <v/>
      </c>
      <c r="AW91" s="22" t="str">
        <f>IF(E91&lt;&gt;"", IF(AW90&lt;&gt;"", E91*AW90, ""), "")</f>
        <v/>
      </c>
      <c r="AX91" s="22" t="str">
        <f>IF(E91&lt;&gt;"", IF(AX90&lt;&gt;"", E91*AX90, ""), "")</f>
        <v/>
      </c>
      <c r="AY91" s="22" t="str">
        <f>IF(E91&lt;&gt;"", IF(AY90&lt;&gt;"", E91*AY90, ""), "")</f>
        <v/>
      </c>
      <c r="AZ91" s="22" t="str">
        <f>IF(E91&lt;&gt;"", IF(AZ90&lt;&gt;"", E91*AZ90, ""), "")</f>
        <v/>
      </c>
      <c r="BA91" s="22" t="str">
        <f>IF(E91&lt;&gt;"", IF(BA90&lt;&gt;"", E91*BA90, ""), "")</f>
        <v/>
      </c>
      <c r="BB91" s="22" t="str">
        <f>IF(E91&lt;&gt;"", IF(BB90&lt;&gt;"", E91*BB90, ""), "")</f>
        <v/>
      </c>
      <c r="BC91" s="22" t="str">
        <f>IF(E91&lt;&gt;"", IF(BC90&lt;&gt;"", E91*BC90, ""), "")</f>
        <v/>
      </c>
      <c r="BD91" s="22" t="str">
        <f>IF(E91&lt;&gt;"", IF(BD90&lt;&gt;"", E91*BD90, ""), "")</f>
        <v/>
      </c>
      <c r="BE91" s="22" t="str">
        <f>IF(E91&lt;&gt;"", IF(BE90&lt;&gt;"", E91*BE90, ""), "")</f>
        <v/>
      </c>
    </row>
    <row r="92" spans="1:127" ht="20.100000000000001" customHeight="1">
      <c r="A92" s="220">
        <v>20</v>
      </c>
      <c r="B92" s="7"/>
      <c r="C92" s="7"/>
      <c r="D92" s="5" t="s">
        <v>249</v>
      </c>
      <c r="E92" s="3"/>
      <c r="F92" s="46"/>
      <c r="G92" s="46">
        <v>1</v>
      </c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59"/>
      <c r="AB92" s="59"/>
      <c r="AC92" s="59"/>
      <c r="AD92" s="59"/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59"/>
      <c r="BA92" s="59"/>
      <c r="BB92" s="59"/>
      <c r="BC92" s="59"/>
      <c r="BD92" s="59"/>
      <c r="BE92" s="59"/>
    </row>
    <row r="93" spans="1:127" ht="20.100000000000001" customHeight="1">
      <c r="A93" s="221"/>
      <c r="B93" s="58"/>
      <c r="C93" s="58"/>
      <c r="D93" s="78">
        <v>6</v>
      </c>
      <c r="E93" s="47">
        <f>IF(egTextCal(D93)&lt;&gt;0, egTextCal(D93),"")</f>
        <v>6</v>
      </c>
      <c r="F93" s="48" t="str">
        <f>IF(E93&lt;&gt;"", IF(F92&lt;&gt;"", E93*F92,""),"")</f>
        <v/>
      </c>
      <c r="G93" s="48">
        <f>IF(E93&lt;&gt;"", IF(G92&lt;&gt;"", E93*G92,""),"")</f>
        <v>6</v>
      </c>
      <c r="H93" s="48" t="str">
        <f>IF(E93&lt;&gt;"", IF(H92&lt;&gt;"", E93*H92,""),"")</f>
        <v/>
      </c>
      <c r="I93" s="48" t="str">
        <f>IF(E93&lt;&gt;"", IF(I92&lt;&gt;"", E93*I92,""),"")</f>
        <v/>
      </c>
      <c r="J93" s="48" t="str">
        <f>IF(E93&lt;&gt;"", IF(J92&lt;&gt;"", E93*J92,""),"")</f>
        <v/>
      </c>
      <c r="K93" s="48" t="str">
        <f>IF(E93&lt;&gt;"", IF(K92&lt;&gt;"", E93*K92,""),"")</f>
        <v/>
      </c>
      <c r="L93" s="48" t="str">
        <f>IF(E93&lt;&gt;"", IF(L92&lt;&gt;"", E93*L92,""),"")</f>
        <v/>
      </c>
      <c r="M93" s="48" t="str">
        <f>IF(E93&lt;&gt;"", IF(M92&lt;&gt;"", E93*M92,""),"")</f>
        <v/>
      </c>
      <c r="N93" s="48" t="str">
        <f>IF(E93&lt;&gt;"", IF(N92&lt;&gt;"", E93*N92,""),"")</f>
        <v/>
      </c>
      <c r="O93" s="48" t="str">
        <f>IF(E93&lt;&gt;"", IF(O92&lt;&gt;"", E93*O92,""),"")</f>
        <v/>
      </c>
      <c r="P93" s="48" t="str">
        <f>IF(E93&lt;&gt;"", IF(P92&lt;&gt;"", E93*P92,""),"")</f>
        <v/>
      </c>
      <c r="Q93" s="48" t="str">
        <f>IF(E93&lt;&gt;"", IF(Q92&lt;&gt;"", E93*Q92,""),"")</f>
        <v/>
      </c>
      <c r="R93" s="48" t="str">
        <f>IF(E93&lt;&gt;"", IF(R92&lt;&gt;"", E93*R92,""),"")</f>
        <v/>
      </c>
      <c r="S93" s="48" t="str">
        <f>IF(E93&lt;&gt;"", IF(S92&lt;&gt;"", E93*S92,""),"")</f>
        <v/>
      </c>
      <c r="T93" s="48" t="str">
        <f>IF(E93&lt;&gt;"", IF(T92&lt;&gt;"", E93*T92,""),"")</f>
        <v/>
      </c>
      <c r="U93" s="48" t="str">
        <f>IF(E93&lt;&gt;"", IF(U92&lt;&gt;"", E93*U92,""),"")</f>
        <v/>
      </c>
      <c r="V93" s="48" t="str">
        <f>IF(E93&lt;&gt;"", IF(V92&lt;&gt;"", E93*V92,""),"")</f>
        <v/>
      </c>
      <c r="W93" s="48" t="str">
        <f>IF(E93&lt;&gt;"", IF(W92&lt;&gt;"", E93*W92,""),"")</f>
        <v/>
      </c>
      <c r="X93" s="48" t="str">
        <f>IF(E93&lt;&gt;"", IF(X92&lt;&gt;"", E93*X92,""),"")</f>
        <v/>
      </c>
      <c r="Y93" s="48" t="str">
        <f>IF(E93&lt;&gt;"", IF(Y92&lt;&gt;"", E93*Y92,""),"")</f>
        <v/>
      </c>
      <c r="Z93" s="48" t="str">
        <f>IF(E93&lt;&gt;"", IF(Z92&lt;&gt;"", E93*Z92,""),"")</f>
        <v/>
      </c>
      <c r="AA93" s="22"/>
      <c r="AB93" s="22" t="str">
        <f>IF(E93&lt;&gt;"", IF(AB92&lt;&gt;"", E93*AB92, ""), "")</f>
        <v/>
      </c>
      <c r="AC93" s="22" t="str">
        <f>IF(E93&lt;&gt;"", IF(AC92&lt;&gt;"", E93*AC92, ""), "")</f>
        <v/>
      </c>
      <c r="AD93" s="22" t="str">
        <f>IF(E93&lt;&gt;"", IF(AD92&lt;&gt;"", E93*AD92, ""), "")</f>
        <v/>
      </c>
      <c r="AE93" s="22" t="str">
        <f>IF(E93&lt;&gt;"", IF(AE92&lt;&gt;"", E93*AE92, ""), "")</f>
        <v/>
      </c>
      <c r="AF93" s="22" t="str">
        <f>IF(E93&lt;&gt;"", IF(AF92&lt;&gt;"", E93*AF92, ""), "")</f>
        <v/>
      </c>
      <c r="AG93" s="22" t="str">
        <f>IF(E93&lt;&gt;"", IF(AG92&lt;&gt;"", E93*AG92, ""), "")</f>
        <v/>
      </c>
      <c r="AH93" s="22" t="str">
        <f>IF(E93&lt;&gt;"", IF(AH92&lt;&gt;"", E93*AH92, ""), "")</f>
        <v/>
      </c>
      <c r="AI93" s="22" t="str">
        <f>IF(E93&lt;&gt;"", IF(AI92&lt;&gt;"", E93*AI92, ""), "")</f>
        <v/>
      </c>
      <c r="AJ93" s="22" t="str">
        <f>IF(E93&lt;&gt;"", IF(AJ92&lt;&gt;"", E93*AJ92, ""), "")</f>
        <v/>
      </c>
      <c r="AK93" s="22" t="str">
        <f>IF(E93&lt;&gt;"", IF(AK92&lt;&gt;"", E93*AK92, ""), "")</f>
        <v/>
      </c>
      <c r="AL93" s="22" t="str">
        <f>IF(E93&lt;&gt;"", IF(AL92&lt;&gt;"", E93*AL92, ""), "")</f>
        <v/>
      </c>
      <c r="AM93" s="22" t="str">
        <f>IF(E93&lt;&gt;"", IF(AM92&lt;&gt;"", E93*AM92, ""), "")</f>
        <v/>
      </c>
      <c r="AN93" s="22" t="str">
        <f>IF(E93&lt;&gt;"", IF(AN92&lt;&gt;"", E93*AN92, ""), "")</f>
        <v/>
      </c>
      <c r="AO93" s="22" t="str">
        <f>IF(E93&lt;&gt;"", IF(AO92&lt;&gt;"", E93*AO92, ""), "")</f>
        <v/>
      </c>
      <c r="AP93" s="22" t="str">
        <f>IF(E93&lt;&gt;"", IF(AP92&lt;&gt;"", E93*AP92, ""), "")</f>
        <v/>
      </c>
      <c r="AQ93" s="22" t="str">
        <f>IF(E93&lt;&gt;"", IF(AQ92&lt;&gt;"", E93*AQ92, ""), "")</f>
        <v/>
      </c>
      <c r="AR93" s="22" t="str">
        <f>IF(E93&lt;&gt;"", IF(AR92&lt;&gt;"", E93*AR92, ""), "")</f>
        <v/>
      </c>
      <c r="AS93" s="22" t="str">
        <f>IF(E93&lt;&gt;"", IF(AS92&lt;&gt;"", E93*AS92, ""), "")</f>
        <v/>
      </c>
      <c r="AT93" s="22" t="str">
        <f>IF(E93&lt;&gt;"", IF(AT92&lt;&gt;"", E93*AT92, ""), "")</f>
        <v/>
      </c>
      <c r="AU93" s="22" t="str">
        <f>IF(E93&lt;&gt;"", IF(AU92&lt;&gt;"", E93*AU92, ""), "")</f>
        <v/>
      </c>
      <c r="AV93" s="22" t="str">
        <f>IF(E93&lt;&gt;"", IF(AV92&lt;&gt;"", E93*AV92, ""), "")</f>
        <v/>
      </c>
      <c r="AW93" s="22" t="str">
        <f>IF(E93&lt;&gt;"", IF(AW92&lt;&gt;"", E93*AW92, ""), "")</f>
        <v/>
      </c>
      <c r="AX93" s="22" t="str">
        <f>IF(E93&lt;&gt;"", IF(AX92&lt;&gt;"", E93*AX92, ""), "")</f>
        <v/>
      </c>
      <c r="AY93" s="22" t="str">
        <f>IF(E93&lt;&gt;"", IF(AY92&lt;&gt;"", E93*AY92, ""), "")</f>
        <v/>
      </c>
      <c r="AZ93" s="22" t="str">
        <f>IF(E93&lt;&gt;"", IF(AZ92&lt;&gt;"", E93*AZ92, ""), "")</f>
        <v/>
      </c>
      <c r="BA93" s="22" t="str">
        <f>IF(E93&lt;&gt;"", IF(BA92&lt;&gt;"", E93*BA92, ""), "")</f>
        <v/>
      </c>
      <c r="BB93" s="22" t="str">
        <f>IF(E93&lt;&gt;"", IF(BB92&lt;&gt;"", E93*BB92, ""), "")</f>
        <v/>
      </c>
      <c r="BC93" s="22" t="str">
        <f>IF(E93&lt;&gt;"", IF(BC92&lt;&gt;"", E93*BC92, ""), "")</f>
        <v/>
      </c>
      <c r="BD93" s="22" t="str">
        <f>IF(E93&lt;&gt;"", IF(BD92&lt;&gt;"", E93*BD92, ""), "")</f>
        <v/>
      </c>
      <c r="BE93" s="22" t="str">
        <f>IF(E93&lt;&gt;"", IF(BE92&lt;&gt;"", E93*BE92, ""), "")</f>
        <v/>
      </c>
      <c r="DW93" s="18">
        <f>G93</f>
        <v>6</v>
      </c>
    </row>
    <row r="94" spans="1:127" ht="20.100000000000001" customHeight="1">
      <c r="BA94" s="2"/>
      <c r="BB94" s="2"/>
      <c r="BC94" s="2"/>
      <c r="BD94" s="2"/>
      <c r="BE94" s="2"/>
    </row>
    <row r="95" spans="1:127" ht="20.100000000000001" customHeight="1">
      <c r="BA95" s="2"/>
      <c r="BB95" s="2"/>
      <c r="BC95" s="2"/>
      <c r="BD95" s="2"/>
      <c r="BE95" s="2"/>
    </row>
    <row r="96" spans="1:127" ht="20.100000000000001" customHeight="1">
      <c r="BA96" s="2"/>
      <c r="BB96" s="2"/>
      <c r="BC96" s="2"/>
      <c r="BD96" s="2"/>
      <c r="BE96" s="2"/>
    </row>
    <row r="97" spans="1:108" ht="20.100000000000001" customHeight="1">
      <c r="BA97" s="2"/>
      <c r="BB97" s="2"/>
      <c r="BC97" s="2"/>
      <c r="BD97" s="2"/>
      <c r="BE97" s="2"/>
    </row>
    <row r="98" spans="1:108" ht="20.100000000000001" customHeight="1">
      <c r="D98" s="222" t="s">
        <v>644</v>
      </c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/>
      <c r="S98" s="223"/>
      <c r="T98" s="223"/>
      <c r="U98" s="223"/>
      <c r="V98" s="223"/>
      <c r="W98" s="223"/>
      <c r="X98" s="223"/>
      <c r="Y98" s="223"/>
      <c r="Z98" s="223"/>
      <c r="BA98" s="2"/>
      <c r="BB98" s="2"/>
      <c r="BC98" s="2"/>
      <c r="BD98" s="2"/>
      <c r="BE98" s="2"/>
    </row>
    <row r="99" spans="1:108" ht="20.100000000000001" customHeight="1">
      <c r="A99" s="219" t="s">
        <v>320</v>
      </c>
      <c r="B99" s="73"/>
      <c r="C99" s="75"/>
      <c r="D99" s="219" t="s">
        <v>180</v>
      </c>
      <c r="E99" s="219" t="s">
        <v>181</v>
      </c>
      <c r="F99" s="54" t="s">
        <v>182</v>
      </c>
      <c r="G99" s="54" t="s">
        <v>182</v>
      </c>
      <c r="H99" s="54" t="s">
        <v>182</v>
      </c>
      <c r="I99" s="54" t="s">
        <v>182</v>
      </c>
      <c r="J99" s="54" t="s">
        <v>182</v>
      </c>
      <c r="K99" s="54" t="s">
        <v>182</v>
      </c>
      <c r="L99" s="54" t="s">
        <v>183</v>
      </c>
      <c r="M99" s="54" t="s">
        <v>183</v>
      </c>
      <c r="N99" s="54" t="s">
        <v>184</v>
      </c>
      <c r="O99" s="54" t="s">
        <v>184</v>
      </c>
      <c r="P99" s="54" t="s">
        <v>185</v>
      </c>
      <c r="Q99" s="54" t="s">
        <v>186</v>
      </c>
      <c r="R99" s="54" t="s">
        <v>187</v>
      </c>
      <c r="S99" s="54" t="s">
        <v>187</v>
      </c>
      <c r="T99" s="54" t="s">
        <v>188</v>
      </c>
      <c r="U99" s="54" t="s">
        <v>188</v>
      </c>
      <c r="V99" s="54" t="s">
        <v>189</v>
      </c>
      <c r="W99" s="54" t="s">
        <v>189</v>
      </c>
      <c r="X99" s="54" t="s">
        <v>189</v>
      </c>
      <c r="Y99" s="54" t="s">
        <v>190</v>
      </c>
      <c r="Z99" s="54" t="s">
        <v>587</v>
      </c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</row>
    <row r="100" spans="1:108" ht="20.100000000000001" customHeight="1">
      <c r="A100" s="220"/>
      <c r="B100" s="14"/>
      <c r="C100" s="42"/>
      <c r="D100" s="220"/>
      <c r="E100" s="220"/>
      <c r="F100" s="44" t="s">
        <v>191</v>
      </c>
      <c r="G100" s="44" t="s">
        <v>191</v>
      </c>
      <c r="H100" s="44" t="s">
        <v>191</v>
      </c>
      <c r="I100" s="44" t="s">
        <v>191</v>
      </c>
      <c r="J100" s="44" t="s">
        <v>192</v>
      </c>
      <c r="K100" s="44" t="s">
        <v>192</v>
      </c>
      <c r="L100" s="44" t="s">
        <v>182</v>
      </c>
      <c r="M100" s="44" t="s">
        <v>193</v>
      </c>
      <c r="N100" s="44" t="s">
        <v>194</v>
      </c>
      <c r="O100" s="44" t="s">
        <v>195</v>
      </c>
      <c r="P100" s="44" t="s">
        <v>196</v>
      </c>
      <c r="Q100" s="44" t="s">
        <v>197</v>
      </c>
      <c r="R100" s="44" t="s">
        <v>198</v>
      </c>
      <c r="S100" s="44" t="s">
        <v>199</v>
      </c>
      <c r="T100" s="44" t="s">
        <v>200</v>
      </c>
      <c r="U100" s="44" t="s">
        <v>200</v>
      </c>
      <c r="V100" s="44" t="s">
        <v>201</v>
      </c>
      <c r="W100" s="44" t="s">
        <v>202</v>
      </c>
      <c r="X100" s="44" t="s">
        <v>203</v>
      </c>
      <c r="Y100" s="44" t="s">
        <v>204</v>
      </c>
      <c r="Z100" s="44" t="s">
        <v>588</v>
      </c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</row>
    <row r="101" spans="1:108" ht="20.100000000000001" customHeight="1">
      <c r="A101" s="221"/>
      <c r="B101" s="74"/>
      <c r="C101" s="76"/>
      <c r="D101" s="221"/>
      <c r="E101" s="221"/>
      <c r="F101" s="55" t="s">
        <v>205</v>
      </c>
      <c r="G101" s="55" t="s">
        <v>206</v>
      </c>
      <c r="H101" s="55" t="s">
        <v>207</v>
      </c>
      <c r="I101" s="55" t="s">
        <v>208</v>
      </c>
      <c r="J101" s="55" t="s">
        <v>209</v>
      </c>
      <c r="K101" s="55" t="s">
        <v>210</v>
      </c>
      <c r="L101" s="55" t="s">
        <v>211</v>
      </c>
      <c r="M101" s="55" t="s">
        <v>211</v>
      </c>
      <c r="N101" s="55" t="s">
        <v>212</v>
      </c>
      <c r="O101" s="55" t="s">
        <v>213</v>
      </c>
      <c r="P101" s="55" t="s">
        <v>214</v>
      </c>
      <c r="Q101" s="55" t="s">
        <v>215</v>
      </c>
      <c r="R101" s="55" t="s">
        <v>216</v>
      </c>
      <c r="S101" s="55" t="s">
        <v>216</v>
      </c>
      <c r="T101" s="55" t="s">
        <v>217</v>
      </c>
      <c r="U101" s="55" t="s">
        <v>218</v>
      </c>
      <c r="V101" s="55" t="s">
        <v>219</v>
      </c>
      <c r="W101" s="55" t="s">
        <v>219</v>
      </c>
      <c r="X101" s="55" t="s">
        <v>219</v>
      </c>
      <c r="Y101" s="55" t="s">
        <v>220</v>
      </c>
      <c r="Z101" s="55" t="s">
        <v>586</v>
      </c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</row>
    <row r="102" spans="1:108" ht="20.100000000000001" customHeight="1">
      <c r="A102" s="220">
        <v>1</v>
      </c>
      <c r="B102" s="7"/>
      <c r="C102" s="7"/>
      <c r="D102" s="5" t="s">
        <v>590</v>
      </c>
      <c r="E102" s="3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59"/>
      <c r="AB102" s="59"/>
      <c r="AC102" s="59"/>
      <c r="AD102" s="59"/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59"/>
      <c r="BA102" s="59"/>
      <c r="BB102" s="59"/>
      <c r="BC102" s="59"/>
      <c r="BD102" s="59"/>
      <c r="BE102" s="59"/>
    </row>
    <row r="103" spans="1:108" ht="20.100000000000001" customHeight="1">
      <c r="A103" s="221"/>
      <c r="B103" s="7"/>
      <c r="C103" s="7"/>
      <c r="D103" s="78">
        <v>1</v>
      </c>
      <c r="E103" s="47">
        <f>IF(egTextCal(D103)&lt;&gt;0, egTextCal(D103),"")</f>
        <v>1</v>
      </c>
      <c r="F103" s="48" t="str">
        <f>IF(E103&lt;&gt;"", IF(F102&lt;&gt;"", E103*F102,""),"")</f>
        <v/>
      </c>
      <c r="G103" s="48" t="str">
        <f>IF(E103&lt;&gt;"", IF(G102&lt;&gt;"", E103*G102,""),"")</f>
        <v/>
      </c>
      <c r="H103" s="48" t="str">
        <f>IF(E103&lt;&gt;"", IF(H102&lt;&gt;"", E103*H102,""),"")</f>
        <v/>
      </c>
      <c r="I103" s="48" t="str">
        <f>IF(E103&lt;&gt;"", IF(I102&lt;&gt;"", E103*I102,""),"")</f>
        <v/>
      </c>
      <c r="J103" s="48" t="str">
        <f>IF(E103&lt;&gt;"", IF(J102&lt;&gt;"", E103*J102,""),"")</f>
        <v/>
      </c>
      <c r="K103" s="48" t="str">
        <f>IF(E103&lt;&gt;"", IF(K102&lt;&gt;"", E103*K102,""),"")</f>
        <v/>
      </c>
      <c r="L103" s="48" t="str">
        <f>IF(E103&lt;&gt;"", IF(L102&lt;&gt;"", E103*L102,""),"")</f>
        <v/>
      </c>
      <c r="M103" s="48" t="str">
        <f>IF(E103&lt;&gt;"", IF(M102&lt;&gt;"", E103*M102,""),"")</f>
        <v/>
      </c>
      <c r="N103" s="48" t="str">
        <f>IF(E103&lt;&gt;"", IF(N102&lt;&gt;"", E103*N102,""),"")</f>
        <v/>
      </c>
      <c r="O103" s="48" t="str">
        <f>IF(E103&lt;&gt;"", IF(O102&lt;&gt;"", E103*O102,""),"")</f>
        <v/>
      </c>
      <c r="P103" s="48" t="str">
        <f>IF(E103&lt;&gt;"", IF(P102&lt;&gt;"", E103*P102,""),"")</f>
        <v/>
      </c>
      <c r="Q103" s="48" t="str">
        <f>IF(E103&lt;&gt;"", IF(Q102&lt;&gt;"", E103*Q102,""),"")</f>
        <v/>
      </c>
      <c r="R103" s="48" t="str">
        <f>IF(E103&lt;&gt;"", IF(R102&lt;&gt;"", E103*R102,""),"")</f>
        <v/>
      </c>
      <c r="S103" s="48" t="str">
        <f>IF(E103&lt;&gt;"", IF(S102&lt;&gt;"", E103*S102,""),"")</f>
        <v/>
      </c>
      <c r="T103" s="48" t="str">
        <f>IF(E103&lt;&gt;"", IF(T102&lt;&gt;"", E103*T102,""),"")</f>
        <v/>
      </c>
      <c r="U103" s="48" t="str">
        <f>IF(E103&lt;&gt;"", IF(U102&lt;&gt;"", E103*U102,""),"")</f>
        <v/>
      </c>
      <c r="V103" s="48" t="str">
        <f>IF(E103&lt;&gt;"", IF(V102&lt;&gt;"", E103*V102,""),"")</f>
        <v/>
      </c>
      <c r="W103" s="48" t="str">
        <f>IF(E103&lt;&gt;"", IF(W102&lt;&gt;"", E103*W102,""),"")</f>
        <v/>
      </c>
      <c r="X103" s="48" t="str">
        <f>IF(E103&lt;&gt;"", IF(X102&lt;&gt;"", E103*X102,""),"")</f>
        <v/>
      </c>
      <c r="Y103" s="48" t="str">
        <f>IF(E103&lt;&gt;"", IF(Y102&lt;&gt;"", E103*Y102,""),"")</f>
        <v/>
      </c>
      <c r="Z103" s="48" t="str">
        <f>IF(E103&lt;&gt;"", IF(Z102&lt;&gt;"", E103*Z102,""),"")</f>
        <v/>
      </c>
      <c r="AA103" s="22"/>
      <c r="AB103" s="22" t="str">
        <f>IF(E103&lt;&gt;"", IF(AB102&lt;&gt;"", E103*AB102, ""), "")</f>
        <v/>
      </c>
      <c r="AC103" s="22" t="str">
        <f>IF(E103&lt;&gt;"", IF(AC102&lt;&gt;"", E103*AC102, ""), "")</f>
        <v/>
      </c>
      <c r="AD103" s="22" t="str">
        <f>IF(E103&lt;&gt;"", IF(AD102&lt;&gt;"", E103*AD102, ""), "")</f>
        <v/>
      </c>
      <c r="AE103" s="22" t="str">
        <f>IF(E103&lt;&gt;"", IF(AE102&lt;&gt;"", E103*AE102, ""), "")</f>
        <v/>
      </c>
      <c r="AF103" s="22" t="str">
        <f>IF(E103&lt;&gt;"", IF(AF102&lt;&gt;"", E103*AF102, ""), "")</f>
        <v/>
      </c>
      <c r="AG103" s="22" t="str">
        <f>IF(E103&lt;&gt;"", IF(AG102&lt;&gt;"", E103*AG102, ""), "")</f>
        <v/>
      </c>
      <c r="AH103" s="22" t="str">
        <f>IF(E103&lt;&gt;"", IF(AH102&lt;&gt;"", E103*AH102, ""), "")</f>
        <v/>
      </c>
      <c r="AI103" s="22" t="str">
        <f>IF(E103&lt;&gt;"", IF(AI102&lt;&gt;"", E103*AI102, ""), "")</f>
        <v/>
      </c>
      <c r="AJ103" s="22" t="str">
        <f>IF(E103&lt;&gt;"", IF(AJ102&lt;&gt;"", E103*AJ102, ""), "")</f>
        <v/>
      </c>
      <c r="AK103" s="22" t="str">
        <f>IF(E103&lt;&gt;"", IF(AK102&lt;&gt;"", E103*AK102, ""), "")</f>
        <v/>
      </c>
      <c r="AL103" s="22" t="str">
        <f>IF(E103&lt;&gt;"", IF(AL102&lt;&gt;"", E103*AL102, ""), "")</f>
        <v/>
      </c>
      <c r="AM103" s="22" t="str">
        <f>IF(E103&lt;&gt;"", IF(AM102&lt;&gt;"", E103*AM102, ""), "")</f>
        <v/>
      </c>
      <c r="AN103" s="22" t="str">
        <f>IF(E103&lt;&gt;"", IF(AN102&lt;&gt;"", E103*AN102, ""), "")</f>
        <v/>
      </c>
      <c r="AO103" s="22" t="str">
        <f>IF(E103&lt;&gt;"", IF(AO102&lt;&gt;"", E103*AO102, ""), "")</f>
        <v/>
      </c>
      <c r="AP103" s="22" t="str">
        <f>IF(E103&lt;&gt;"", IF(AP102&lt;&gt;"", E103*AP102, ""), "")</f>
        <v/>
      </c>
      <c r="AQ103" s="22" t="str">
        <f>IF(E103&lt;&gt;"", IF(AQ102&lt;&gt;"", E103*AQ102, ""), "")</f>
        <v/>
      </c>
      <c r="AR103" s="22" t="str">
        <f>IF(E103&lt;&gt;"", IF(AR102&lt;&gt;"", E103*AR102, ""), "")</f>
        <v/>
      </c>
      <c r="AS103" s="22" t="str">
        <f>IF(E103&lt;&gt;"", IF(AS102&lt;&gt;"", E103*AS102, ""), "")</f>
        <v/>
      </c>
      <c r="AT103" s="22" t="str">
        <f>IF(E103&lt;&gt;"", IF(AT102&lt;&gt;"", E103*AT102, ""), "")</f>
        <v/>
      </c>
      <c r="AU103" s="22" t="str">
        <f>IF(E103&lt;&gt;"", IF(AU102&lt;&gt;"", E103*AU102, ""), "")</f>
        <v/>
      </c>
      <c r="AV103" s="22" t="str">
        <f>IF(E103&lt;&gt;"", IF(AV102&lt;&gt;"", E103*AV102, ""), "")</f>
        <v/>
      </c>
      <c r="AW103" s="22" t="str">
        <f>IF(E103&lt;&gt;"", IF(AW102&lt;&gt;"", E103*AW102, ""), "")</f>
        <v/>
      </c>
      <c r="AX103" s="22" t="str">
        <f>IF(E103&lt;&gt;"", IF(AX102&lt;&gt;"", E103*AX102, ""), "")</f>
        <v/>
      </c>
      <c r="AY103" s="22" t="str">
        <f>IF(E103&lt;&gt;"", IF(AY102&lt;&gt;"", E103*AY102, ""), "")</f>
        <v/>
      </c>
      <c r="AZ103" s="22" t="str">
        <f>IF(E103&lt;&gt;"", IF(AZ102&lt;&gt;"", E103*AZ102, ""), "")</f>
        <v/>
      </c>
      <c r="BA103" s="22" t="str">
        <f>IF(E103&lt;&gt;"", IF(BA102&lt;&gt;"", E103*BA102, ""), "")</f>
        <v/>
      </c>
      <c r="BB103" s="22" t="str">
        <f>IF(E103&lt;&gt;"", IF(BB102&lt;&gt;"", E103*BB102, ""), "")</f>
        <v/>
      </c>
      <c r="BC103" s="22" t="str">
        <f>IF(E103&lt;&gt;"", IF(BC102&lt;&gt;"", E103*BC102, ""), "")</f>
        <v/>
      </c>
      <c r="BD103" s="22" t="str">
        <f>IF(E103&lt;&gt;"", IF(BD102&lt;&gt;"", E103*BD102, ""), "")</f>
        <v/>
      </c>
      <c r="BE103" s="22" t="str">
        <f>IF(E103&lt;&gt;"", IF(BE102&lt;&gt;"", E103*BE102, ""), "")</f>
        <v/>
      </c>
    </row>
    <row r="104" spans="1:108" ht="20.100000000000001" customHeight="1">
      <c r="A104" s="220">
        <v>2</v>
      </c>
      <c r="B104" s="7"/>
      <c r="C104" s="7"/>
      <c r="D104" s="5" t="s">
        <v>267</v>
      </c>
      <c r="E104" s="3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59"/>
      <c r="AB104" s="59"/>
      <c r="AC104" s="59"/>
      <c r="AD104" s="59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  <c r="BC104" s="59"/>
      <c r="BD104" s="59"/>
      <c r="BE104" s="59"/>
    </row>
    <row r="105" spans="1:108" ht="20.100000000000001" customHeight="1">
      <c r="A105" s="221"/>
      <c r="B105" s="7"/>
      <c r="C105" s="7"/>
      <c r="D105" s="78">
        <v>6</v>
      </c>
      <c r="E105" s="47">
        <f>IF(egTextCal(D105)&lt;&gt;0, egTextCal(D105),"")</f>
        <v>6</v>
      </c>
      <c r="F105" s="48" t="str">
        <f>IF(E105&lt;&gt;"", IF(F104&lt;&gt;"", E105*F104,""),"")</f>
        <v/>
      </c>
      <c r="G105" s="48" t="str">
        <f>IF(E105&lt;&gt;"", IF(G104&lt;&gt;"", E105*G104,""),"")</f>
        <v/>
      </c>
      <c r="H105" s="48" t="str">
        <f>IF(E105&lt;&gt;"", IF(H104&lt;&gt;"", E105*H104,""),"")</f>
        <v/>
      </c>
      <c r="I105" s="48" t="str">
        <f>IF(E105&lt;&gt;"", IF(I104&lt;&gt;"", E105*I104,""),"")</f>
        <v/>
      </c>
      <c r="J105" s="48" t="str">
        <f>IF(E105&lt;&gt;"", IF(J104&lt;&gt;"", E105*J104,""),"")</f>
        <v/>
      </c>
      <c r="K105" s="48" t="str">
        <f>IF(E105&lt;&gt;"", IF(K104&lt;&gt;"", E105*K104,""),"")</f>
        <v/>
      </c>
      <c r="L105" s="48" t="str">
        <f>IF(E105&lt;&gt;"", IF(L104&lt;&gt;"", E105*L104,""),"")</f>
        <v/>
      </c>
      <c r="M105" s="48" t="str">
        <f>IF(E105&lt;&gt;"", IF(M104&lt;&gt;"", E105*M104,""),"")</f>
        <v/>
      </c>
      <c r="N105" s="48" t="str">
        <f>IF(E105&lt;&gt;"", IF(N104&lt;&gt;"", E105*N104,""),"")</f>
        <v/>
      </c>
      <c r="O105" s="48" t="str">
        <f>IF(E105&lt;&gt;"", IF(O104&lt;&gt;"", E105*O104,""),"")</f>
        <v/>
      </c>
      <c r="P105" s="48" t="str">
        <f>IF(E105&lt;&gt;"", IF(P104&lt;&gt;"", E105*P104,""),"")</f>
        <v/>
      </c>
      <c r="Q105" s="48" t="str">
        <f>IF(E105&lt;&gt;"", IF(Q104&lt;&gt;"", E105*Q104,""),"")</f>
        <v/>
      </c>
      <c r="R105" s="48" t="str">
        <f>IF(E105&lt;&gt;"", IF(R104&lt;&gt;"", E105*R104,""),"")</f>
        <v/>
      </c>
      <c r="S105" s="48" t="str">
        <f>IF(E105&lt;&gt;"", IF(S104&lt;&gt;"", E105*S104,""),"")</f>
        <v/>
      </c>
      <c r="T105" s="48" t="str">
        <f>IF(E105&lt;&gt;"", IF(T104&lt;&gt;"", E105*T104,""),"")</f>
        <v/>
      </c>
      <c r="U105" s="48" t="str">
        <f>IF(E105&lt;&gt;"", IF(U104&lt;&gt;"", E105*U104,""),"")</f>
        <v/>
      </c>
      <c r="V105" s="48" t="str">
        <f>IF(E105&lt;&gt;"", IF(V104&lt;&gt;"", E105*V104,""),"")</f>
        <v/>
      </c>
      <c r="W105" s="48" t="str">
        <f>IF(E105&lt;&gt;"", IF(W104&lt;&gt;"", E105*W104,""),"")</f>
        <v/>
      </c>
      <c r="X105" s="48" t="str">
        <f>IF(E105&lt;&gt;"", IF(X104&lt;&gt;"", E105*X104,""),"")</f>
        <v/>
      </c>
      <c r="Y105" s="48" t="str">
        <f>IF(E105&lt;&gt;"", IF(Y104&lt;&gt;"", E105*Y104,""),"")</f>
        <v/>
      </c>
      <c r="Z105" s="48" t="str">
        <f>IF(E105&lt;&gt;"", IF(Z104&lt;&gt;"", E105*Z104,""),"")</f>
        <v/>
      </c>
      <c r="AA105" s="22"/>
      <c r="AB105" s="22" t="str">
        <f>IF(E105&lt;&gt;"", IF(AB104&lt;&gt;"", E105*AB104, ""), "")</f>
        <v/>
      </c>
      <c r="AC105" s="22" t="str">
        <f>IF(E105&lt;&gt;"", IF(AC104&lt;&gt;"", E105*AC104, ""), "")</f>
        <v/>
      </c>
      <c r="AD105" s="22" t="str">
        <f>IF(E105&lt;&gt;"", IF(AD104&lt;&gt;"", E105*AD104, ""), "")</f>
        <v/>
      </c>
      <c r="AE105" s="22" t="str">
        <f>IF(E105&lt;&gt;"", IF(AE104&lt;&gt;"", E105*AE104, ""), "")</f>
        <v/>
      </c>
      <c r="AF105" s="22" t="str">
        <f>IF(E105&lt;&gt;"", IF(AF104&lt;&gt;"", E105*AF104, ""), "")</f>
        <v/>
      </c>
      <c r="AG105" s="22" t="str">
        <f>IF(E105&lt;&gt;"", IF(AG104&lt;&gt;"", E105*AG104, ""), "")</f>
        <v/>
      </c>
      <c r="AH105" s="22" t="str">
        <f>IF(E105&lt;&gt;"", IF(AH104&lt;&gt;"", E105*AH104, ""), "")</f>
        <v/>
      </c>
      <c r="AI105" s="22" t="str">
        <f>IF(E105&lt;&gt;"", IF(AI104&lt;&gt;"", E105*AI104, ""), "")</f>
        <v/>
      </c>
      <c r="AJ105" s="22" t="str">
        <f>IF(E105&lt;&gt;"", IF(AJ104&lt;&gt;"", E105*AJ104, ""), "")</f>
        <v/>
      </c>
      <c r="AK105" s="22" t="str">
        <f>IF(E105&lt;&gt;"", IF(AK104&lt;&gt;"", E105*AK104, ""), "")</f>
        <v/>
      </c>
      <c r="AL105" s="22" t="str">
        <f>IF(E105&lt;&gt;"", IF(AL104&lt;&gt;"", E105*AL104, ""), "")</f>
        <v/>
      </c>
      <c r="AM105" s="22" t="str">
        <f>IF(E105&lt;&gt;"", IF(AM104&lt;&gt;"", E105*AM104, ""), "")</f>
        <v/>
      </c>
      <c r="AN105" s="22" t="str">
        <f>IF(E105&lt;&gt;"", IF(AN104&lt;&gt;"", E105*AN104, ""), "")</f>
        <v/>
      </c>
      <c r="AO105" s="22" t="str">
        <f>IF(E105&lt;&gt;"", IF(AO104&lt;&gt;"", E105*AO104, ""), "")</f>
        <v/>
      </c>
      <c r="AP105" s="22" t="str">
        <f>IF(E105&lt;&gt;"", IF(AP104&lt;&gt;"", E105*AP104, ""), "")</f>
        <v/>
      </c>
      <c r="AQ105" s="22" t="str">
        <f>IF(E105&lt;&gt;"", IF(AQ104&lt;&gt;"", E105*AQ104, ""), "")</f>
        <v/>
      </c>
      <c r="AR105" s="22" t="str">
        <f>IF(E105&lt;&gt;"", IF(AR104&lt;&gt;"", E105*AR104, ""), "")</f>
        <v/>
      </c>
      <c r="AS105" s="22" t="str">
        <f>IF(E105&lt;&gt;"", IF(AS104&lt;&gt;"", E105*AS104, ""), "")</f>
        <v/>
      </c>
      <c r="AT105" s="22" t="str">
        <f>IF(E105&lt;&gt;"", IF(AT104&lt;&gt;"", E105*AT104, ""), "")</f>
        <v/>
      </c>
      <c r="AU105" s="22" t="str">
        <f>IF(E105&lt;&gt;"", IF(AU104&lt;&gt;"", E105*AU104, ""), "")</f>
        <v/>
      </c>
      <c r="AV105" s="22" t="str">
        <f>IF(E105&lt;&gt;"", IF(AV104&lt;&gt;"", E105*AV104, ""), "")</f>
        <v/>
      </c>
      <c r="AW105" s="22" t="str">
        <f>IF(E105&lt;&gt;"", IF(AW104&lt;&gt;"", E105*AW104, ""), "")</f>
        <v/>
      </c>
      <c r="AX105" s="22" t="str">
        <f>IF(E105&lt;&gt;"", IF(AX104&lt;&gt;"", E105*AX104, ""), "")</f>
        <v/>
      </c>
      <c r="AY105" s="22" t="str">
        <f>IF(E105&lt;&gt;"", IF(AY104&lt;&gt;"", E105*AY104, ""), "")</f>
        <v/>
      </c>
      <c r="AZ105" s="22" t="str">
        <f>IF(E105&lt;&gt;"", IF(AZ104&lt;&gt;"", E105*AZ104, ""), "")</f>
        <v/>
      </c>
      <c r="BA105" s="22" t="str">
        <f>IF(E105&lt;&gt;"", IF(BA104&lt;&gt;"", E105*BA104, ""), "")</f>
        <v/>
      </c>
      <c r="BB105" s="22" t="str">
        <f>IF(E105&lt;&gt;"", IF(BB104&lt;&gt;"", E105*BB104, ""), "")</f>
        <v/>
      </c>
      <c r="BC105" s="22" t="str">
        <f>IF(E105&lt;&gt;"", IF(BC104&lt;&gt;"", E105*BC104, ""), "")</f>
        <v/>
      </c>
      <c r="BD105" s="22" t="str">
        <f>IF(E105&lt;&gt;"", IF(BD104&lt;&gt;"", E105*BD104, ""), "")</f>
        <v/>
      </c>
      <c r="BE105" s="22" t="str">
        <f>IF(E105&lt;&gt;"", IF(BE104&lt;&gt;"", E105*BE104, ""), "")</f>
        <v/>
      </c>
    </row>
    <row r="106" spans="1:108" ht="20.100000000000001" customHeight="1">
      <c r="A106" s="220">
        <v>3</v>
      </c>
      <c r="B106" s="7"/>
      <c r="C106" s="7"/>
      <c r="D106" s="5" t="s">
        <v>268</v>
      </c>
      <c r="E106" s="3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59"/>
      <c r="AB106" s="59"/>
      <c r="AC106" s="59"/>
      <c r="AD106" s="59"/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  <c r="BC106" s="59"/>
      <c r="BD106" s="59"/>
      <c r="BE106" s="59"/>
    </row>
    <row r="107" spans="1:108" ht="20.100000000000001" customHeight="1">
      <c r="A107" s="221"/>
      <c r="B107" s="7"/>
      <c r="C107" s="7"/>
      <c r="D107" s="78">
        <v>1</v>
      </c>
      <c r="E107" s="47">
        <f>IF(egTextCal(D107)&lt;&gt;0, egTextCal(D107),"")</f>
        <v>1</v>
      </c>
      <c r="F107" s="48" t="str">
        <f>IF(E107&lt;&gt;"", IF(F106&lt;&gt;"", E107*F106,""),"")</f>
        <v/>
      </c>
      <c r="G107" s="48" t="str">
        <f>IF(E107&lt;&gt;"", IF(G106&lt;&gt;"", E107*G106,""),"")</f>
        <v/>
      </c>
      <c r="H107" s="48" t="str">
        <f>IF(E107&lt;&gt;"", IF(H106&lt;&gt;"", E107*H106,""),"")</f>
        <v/>
      </c>
      <c r="I107" s="48" t="str">
        <f>IF(E107&lt;&gt;"", IF(I106&lt;&gt;"", E107*I106,""),"")</f>
        <v/>
      </c>
      <c r="J107" s="48" t="str">
        <f>IF(E107&lt;&gt;"", IF(J106&lt;&gt;"", E107*J106,""),"")</f>
        <v/>
      </c>
      <c r="K107" s="48" t="str">
        <f>IF(E107&lt;&gt;"", IF(K106&lt;&gt;"", E107*K106,""),"")</f>
        <v/>
      </c>
      <c r="L107" s="48" t="str">
        <f>IF(E107&lt;&gt;"", IF(L106&lt;&gt;"", E107*L106,""),"")</f>
        <v/>
      </c>
      <c r="M107" s="48" t="str">
        <f>IF(E107&lt;&gt;"", IF(M106&lt;&gt;"", E107*M106,""),"")</f>
        <v/>
      </c>
      <c r="N107" s="48" t="str">
        <f>IF(E107&lt;&gt;"", IF(N106&lt;&gt;"", E107*N106,""),"")</f>
        <v/>
      </c>
      <c r="O107" s="48" t="str">
        <f>IF(E107&lt;&gt;"", IF(O106&lt;&gt;"", E107*O106,""),"")</f>
        <v/>
      </c>
      <c r="P107" s="48" t="str">
        <f>IF(E107&lt;&gt;"", IF(P106&lt;&gt;"", E107*P106,""),"")</f>
        <v/>
      </c>
      <c r="Q107" s="48" t="str">
        <f>IF(E107&lt;&gt;"", IF(Q106&lt;&gt;"", E107*Q106,""),"")</f>
        <v/>
      </c>
      <c r="R107" s="48" t="str">
        <f>IF(E107&lt;&gt;"", IF(R106&lt;&gt;"", E107*R106,""),"")</f>
        <v/>
      </c>
      <c r="S107" s="48" t="str">
        <f>IF(E107&lt;&gt;"", IF(S106&lt;&gt;"", E107*S106,""),"")</f>
        <v/>
      </c>
      <c r="T107" s="48" t="str">
        <f>IF(E107&lt;&gt;"", IF(T106&lt;&gt;"", E107*T106,""),"")</f>
        <v/>
      </c>
      <c r="U107" s="48" t="str">
        <f>IF(E107&lt;&gt;"", IF(U106&lt;&gt;"", E107*U106,""),"")</f>
        <v/>
      </c>
      <c r="V107" s="48" t="str">
        <f>IF(E107&lt;&gt;"", IF(V106&lt;&gt;"", E107*V106,""),"")</f>
        <v/>
      </c>
      <c r="W107" s="48" t="str">
        <f>IF(E107&lt;&gt;"", IF(W106&lt;&gt;"", E107*W106,""),"")</f>
        <v/>
      </c>
      <c r="X107" s="48" t="str">
        <f>IF(E107&lt;&gt;"", IF(X106&lt;&gt;"", E107*X106,""),"")</f>
        <v/>
      </c>
      <c r="Y107" s="48" t="str">
        <f>IF(E107&lt;&gt;"", IF(Y106&lt;&gt;"", E107*Y106,""),"")</f>
        <v/>
      </c>
      <c r="Z107" s="48" t="str">
        <f>IF(E107&lt;&gt;"", IF(Z106&lt;&gt;"", E107*Z106,""),"")</f>
        <v/>
      </c>
      <c r="AA107" s="22"/>
      <c r="AB107" s="22" t="str">
        <f>IF(E107&lt;&gt;"", IF(AB106&lt;&gt;"", E107*AB106, ""), "")</f>
        <v/>
      </c>
      <c r="AC107" s="22" t="str">
        <f>IF(E107&lt;&gt;"", IF(AC106&lt;&gt;"", E107*AC106, ""), "")</f>
        <v/>
      </c>
      <c r="AD107" s="22" t="str">
        <f>IF(E107&lt;&gt;"", IF(AD106&lt;&gt;"", E107*AD106, ""), "")</f>
        <v/>
      </c>
      <c r="AE107" s="22" t="str">
        <f>IF(E107&lt;&gt;"", IF(AE106&lt;&gt;"", E107*AE106, ""), "")</f>
        <v/>
      </c>
      <c r="AF107" s="22" t="str">
        <f>IF(E107&lt;&gt;"", IF(AF106&lt;&gt;"", E107*AF106, ""), "")</f>
        <v/>
      </c>
      <c r="AG107" s="22" t="str">
        <f>IF(E107&lt;&gt;"", IF(AG106&lt;&gt;"", E107*AG106, ""), "")</f>
        <v/>
      </c>
      <c r="AH107" s="22" t="str">
        <f>IF(E107&lt;&gt;"", IF(AH106&lt;&gt;"", E107*AH106, ""), "")</f>
        <v/>
      </c>
      <c r="AI107" s="22" t="str">
        <f>IF(E107&lt;&gt;"", IF(AI106&lt;&gt;"", E107*AI106, ""), "")</f>
        <v/>
      </c>
      <c r="AJ107" s="22" t="str">
        <f>IF(E107&lt;&gt;"", IF(AJ106&lt;&gt;"", E107*AJ106, ""), "")</f>
        <v/>
      </c>
      <c r="AK107" s="22" t="str">
        <f>IF(E107&lt;&gt;"", IF(AK106&lt;&gt;"", E107*AK106, ""), "")</f>
        <v/>
      </c>
      <c r="AL107" s="22" t="str">
        <f>IF(E107&lt;&gt;"", IF(AL106&lt;&gt;"", E107*AL106, ""), "")</f>
        <v/>
      </c>
      <c r="AM107" s="22" t="str">
        <f>IF(E107&lt;&gt;"", IF(AM106&lt;&gt;"", E107*AM106, ""), "")</f>
        <v/>
      </c>
      <c r="AN107" s="22" t="str">
        <f>IF(E107&lt;&gt;"", IF(AN106&lt;&gt;"", E107*AN106, ""), "")</f>
        <v/>
      </c>
      <c r="AO107" s="22" t="str">
        <f>IF(E107&lt;&gt;"", IF(AO106&lt;&gt;"", E107*AO106, ""), "")</f>
        <v/>
      </c>
      <c r="AP107" s="22" t="str">
        <f>IF(E107&lt;&gt;"", IF(AP106&lt;&gt;"", E107*AP106, ""), "")</f>
        <v/>
      </c>
      <c r="AQ107" s="22" t="str">
        <f>IF(E107&lt;&gt;"", IF(AQ106&lt;&gt;"", E107*AQ106, ""), "")</f>
        <v/>
      </c>
      <c r="AR107" s="22" t="str">
        <f>IF(E107&lt;&gt;"", IF(AR106&lt;&gt;"", E107*AR106, ""), "")</f>
        <v/>
      </c>
      <c r="AS107" s="22" t="str">
        <f>IF(E107&lt;&gt;"", IF(AS106&lt;&gt;"", E107*AS106, ""), "")</f>
        <v/>
      </c>
      <c r="AT107" s="22" t="str">
        <f>IF(E107&lt;&gt;"", IF(AT106&lt;&gt;"", E107*AT106, ""), "")</f>
        <v/>
      </c>
      <c r="AU107" s="22" t="str">
        <f>IF(E107&lt;&gt;"", IF(AU106&lt;&gt;"", E107*AU106, ""), "")</f>
        <v/>
      </c>
      <c r="AV107" s="22" t="str">
        <f>IF(E107&lt;&gt;"", IF(AV106&lt;&gt;"", E107*AV106, ""), "")</f>
        <v/>
      </c>
      <c r="AW107" s="22" t="str">
        <f>IF(E107&lt;&gt;"", IF(AW106&lt;&gt;"", E107*AW106, ""), "")</f>
        <v/>
      </c>
      <c r="AX107" s="22" t="str">
        <f>IF(E107&lt;&gt;"", IF(AX106&lt;&gt;"", E107*AX106, ""), "")</f>
        <v/>
      </c>
      <c r="AY107" s="22" t="str">
        <f>IF(E107&lt;&gt;"", IF(AY106&lt;&gt;"", E107*AY106, ""), "")</f>
        <v/>
      </c>
      <c r="AZ107" s="22" t="str">
        <f>IF(E107&lt;&gt;"", IF(AZ106&lt;&gt;"", E107*AZ106, ""), "")</f>
        <v/>
      </c>
      <c r="BA107" s="22" t="str">
        <f>IF(E107&lt;&gt;"", IF(BA106&lt;&gt;"", E107*BA106, ""), "")</f>
        <v/>
      </c>
      <c r="BB107" s="22" t="str">
        <f>IF(E107&lt;&gt;"", IF(BB106&lt;&gt;"", E107*BB106, ""), "")</f>
        <v/>
      </c>
      <c r="BC107" s="22" t="str">
        <f>IF(E107&lt;&gt;"", IF(BC106&lt;&gt;"", E107*BC106, ""), "")</f>
        <v/>
      </c>
      <c r="BD107" s="22" t="str">
        <f>IF(E107&lt;&gt;"", IF(BD106&lt;&gt;"", E107*BD106, ""), "")</f>
        <v/>
      </c>
      <c r="BE107" s="22" t="str">
        <f>IF(E107&lt;&gt;"", IF(BE106&lt;&gt;"", E107*BE106, ""), "")</f>
        <v/>
      </c>
    </row>
    <row r="108" spans="1:108" ht="20.100000000000001" customHeight="1">
      <c r="A108" s="220">
        <v>4</v>
      </c>
      <c r="B108" s="7"/>
      <c r="C108" s="7"/>
      <c r="D108" s="5" t="s">
        <v>269</v>
      </c>
      <c r="E108" s="3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59"/>
      <c r="AB108" s="59"/>
      <c r="AC108" s="59"/>
      <c r="AD108" s="59"/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59"/>
      <c r="BA108" s="59"/>
      <c r="BB108" s="59"/>
      <c r="BC108" s="59"/>
      <c r="BD108" s="59"/>
      <c r="BE108" s="59"/>
    </row>
    <row r="109" spans="1:108" ht="20.100000000000001" customHeight="1">
      <c r="A109" s="221"/>
      <c r="B109" s="7"/>
      <c r="C109" s="7"/>
      <c r="D109" s="78"/>
      <c r="E109" s="47" t="str">
        <f>IF(egTextCal(D109)&lt;&gt;0, egTextCal(D109),"")</f>
        <v/>
      </c>
      <c r="F109" s="48" t="str">
        <f>IF(E109&lt;&gt;"", IF(F108&lt;&gt;"", E109*F108,""),"")</f>
        <v/>
      </c>
      <c r="G109" s="48" t="str">
        <f>IF(E109&lt;&gt;"", IF(G108&lt;&gt;"", E109*G108,""),"")</f>
        <v/>
      </c>
      <c r="H109" s="48" t="str">
        <f>IF(E109&lt;&gt;"", IF(H108&lt;&gt;"", E109*H108,""),"")</f>
        <v/>
      </c>
      <c r="I109" s="48" t="str">
        <f>IF(E109&lt;&gt;"", IF(I108&lt;&gt;"", E109*I108,""),"")</f>
        <v/>
      </c>
      <c r="J109" s="48" t="str">
        <f>IF(E109&lt;&gt;"", IF(J108&lt;&gt;"", E109*J108,""),"")</f>
        <v/>
      </c>
      <c r="K109" s="48" t="str">
        <f>IF(E109&lt;&gt;"", IF(K108&lt;&gt;"", E109*K108,""),"")</f>
        <v/>
      </c>
      <c r="L109" s="48" t="str">
        <f>IF(E109&lt;&gt;"", IF(L108&lt;&gt;"", E109*L108,""),"")</f>
        <v/>
      </c>
      <c r="M109" s="48" t="str">
        <f>IF(E109&lt;&gt;"", IF(M108&lt;&gt;"", E109*M108,""),"")</f>
        <v/>
      </c>
      <c r="N109" s="48" t="str">
        <f>IF(E109&lt;&gt;"", IF(N108&lt;&gt;"", E109*N108,""),"")</f>
        <v/>
      </c>
      <c r="O109" s="48" t="str">
        <f>IF(E109&lt;&gt;"", IF(O108&lt;&gt;"", E109*O108,""),"")</f>
        <v/>
      </c>
      <c r="P109" s="48" t="str">
        <f>IF(E109&lt;&gt;"", IF(P108&lt;&gt;"", E109*P108,""),"")</f>
        <v/>
      </c>
      <c r="Q109" s="48" t="str">
        <f>IF(E109&lt;&gt;"", IF(Q108&lt;&gt;"", E109*Q108,""),"")</f>
        <v/>
      </c>
      <c r="R109" s="48" t="str">
        <f>IF(E109&lt;&gt;"", IF(R108&lt;&gt;"", E109*R108,""),"")</f>
        <v/>
      </c>
      <c r="S109" s="48" t="str">
        <f>IF(E109&lt;&gt;"", IF(S108&lt;&gt;"", E109*S108,""),"")</f>
        <v/>
      </c>
      <c r="T109" s="48" t="str">
        <f>IF(E109&lt;&gt;"", IF(T108&lt;&gt;"", E109*T108,""),"")</f>
        <v/>
      </c>
      <c r="U109" s="48" t="str">
        <f>IF(E109&lt;&gt;"", IF(U108&lt;&gt;"", E109*U108,""),"")</f>
        <v/>
      </c>
      <c r="V109" s="48" t="str">
        <f>IF(E109&lt;&gt;"", IF(V108&lt;&gt;"", E109*V108,""),"")</f>
        <v/>
      </c>
      <c r="W109" s="48" t="str">
        <f>IF(E109&lt;&gt;"", IF(W108&lt;&gt;"", E109*W108,""),"")</f>
        <v/>
      </c>
      <c r="X109" s="48" t="str">
        <f>IF(E109&lt;&gt;"", IF(X108&lt;&gt;"", E109*X108,""),"")</f>
        <v/>
      </c>
      <c r="Y109" s="48" t="str">
        <f>IF(E109&lt;&gt;"", IF(Y108&lt;&gt;"", E109*Y108,""),"")</f>
        <v/>
      </c>
      <c r="Z109" s="48" t="str">
        <f>IF(E109&lt;&gt;"", IF(Z108&lt;&gt;"", E109*Z108,""),"")</f>
        <v/>
      </c>
      <c r="AA109" s="22"/>
      <c r="AB109" s="22" t="str">
        <f>IF(E109&lt;&gt;"", IF(AB108&lt;&gt;"", E109*AB108, ""), "")</f>
        <v/>
      </c>
      <c r="AC109" s="22" t="str">
        <f>IF(E109&lt;&gt;"", IF(AC108&lt;&gt;"", E109*AC108, ""), "")</f>
        <v/>
      </c>
      <c r="AD109" s="22" t="str">
        <f>IF(E109&lt;&gt;"", IF(AD108&lt;&gt;"", E109*AD108, ""), "")</f>
        <v/>
      </c>
      <c r="AE109" s="22" t="str">
        <f>IF(E109&lt;&gt;"", IF(AE108&lt;&gt;"", E109*AE108, ""), "")</f>
        <v/>
      </c>
      <c r="AF109" s="22" t="str">
        <f>IF(E109&lt;&gt;"", IF(AF108&lt;&gt;"", E109*AF108, ""), "")</f>
        <v/>
      </c>
      <c r="AG109" s="22" t="str">
        <f>IF(E109&lt;&gt;"", IF(AG108&lt;&gt;"", E109*AG108, ""), "")</f>
        <v/>
      </c>
      <c r="AH109" s="22" t="str">
        <f>IF(E109&lt;&gt;"", IF(AH108&lt;&gt;"", E109*AH108, ""), "")</f>
        <v/>
      </c>
      <c r="AI109" s="22" t="str">
        <f>IF(E109&lt;&gt;"", IF(AI108&lt;&gt;"", E109*AI108, ""), "")</f>
        <v/>
      </c>
      <c r="AJ109" s="22" t="str">
        <f>IF(E109&lt;&gt;"", IF(AJ108&lt;&gt;"", E109*AJ108, ""), "")</f>
        <v/>
      </c>
      <c r="AK109" s="22" t="str">
        <f>IF(E109&lt;&gt;"", IF(AK108&lt;&gt;"", E109*AK108, ""), "")</f>
        <v/>
      </c>
      <c r="AL109" s="22" t="str">
        <f>IF(E109&lt;&gt;"", IF(AL108&lt;&gt;"", E109*AL108, ""), "")</f>
        <v/>
      </c>
      <c r="AM109" s="22" t="str">
        <f>IF(E109&lt;&gt;"", IF(AM108&lt;&gt;"", E109*AM108, ""), "")</f>
        <v/>
      </c>
      <c r="AN109" s="22" t="str">
        <f>IF(E109&lt;&gt;"", IF(AN108&lt;&gt;"", E109*AN108, ""), "")</f>
        <v/>
      </c>
      <c r="AO109" s="22" t="str">
        <f>IF(E109&lt;&gt;"", IF(AO108&lt;&gt;"", E109*AO108, ""), "")</f>
        <v/>
      </c>
      <c r="AP109" s="22" t="str">
        <f>IF(E109&lt;&gt;"", IF(AP108&lt;&gt;"", E109*AP108, ""), "")</f>
        <v/>
      </c>
      <c r="AQ109" s="22" t="str">
        <f>IF(E109&lt;&gt;"", IF(AQ108&lt;&gt;"", E109*AQ108, ""), "")</f>
        <v/>
      </c>
      <c r="AR109" s="22" t="str">
        <f>IF(E109&lt;&gt;"", IF(AR108&lt;&gt;"", E109*AR108, ""), "")</f>
        <v/>
      </c>
      <c r="AS109" s="22" t="str">
        <f>IF(E109&lt;&gt;"", IF(AS108&lt;&gt;"", E109*AS108, ""), "")</f>
        <v/>
      </c>
      <c r="AT109" s="22" t="str">
        <f>IF(E109&lt;&gt;"", IF(AT108&lt;&gt;"", E109*AT108, ""), "")</f>
        <v/>
      </c>
      <c r="AU109" s="22" t="str">
        <f>IF(E109&lt;&gt;"", IF(AU108&lt;&gt;"", E109*AU108, ""), "")</f>
        <v/>
      </c>
      <c r="AV109" s="22" t="str">
        <f>IF(E109&lt;&gt;"", IF(AV108&lt;&gt;"", E109*AV108, ""), "")</f>
        <v/>
      </c>
      <c r="AW109" s="22" t="str">
        <f>IF(E109&lt;&gt;"", IF(AW108&lt;&gt;"", E109*AW108, ""), "")</f>
        <v/>
      </c>
      <c r="AX109" s="22" t="str">
        <f>IF(E109&lt;&gt;"", IF(AX108&lt;&gt;"", E109*AX108, ""), "")</f>
        <v/>
      </c>
      <c r="AY109" s="22" t="str">
        <f>IF(E109&lt;&gt;"", IF(AY108&lt;&gt;"", E109*AY108, ""), "")</f>
        <v/>
      </c>
      <c r="AZ109" s="22" t="str">
        <f>IF(E109&lt;&gt;"", IF(AZ108&lt;&gt;"", E109*AZ108, ""), "")</f>
        <v/>
      </c>
      <c r="BA109" s="22" t="str">
        <f>IF(E109&lt;&gt;"", IF(BA108&lt;&gt;"", E109*BA108, ""), "")</f>
        <v/>
      </c>
      <c r="BB109" s="22" t="str">
        <f>IF(E109&lt;&gt;"", IF(BB108&lt;&gt;"", E109*BB108, ""), "")</f>
        <v/>
      </c>
      <c r="BC109" s="22" t="str">
        <f>IF(E109&lt;&gt;"", IF(BC108&lt;&gt;"", E109*BC108, ""), "")</f>
        <v/>
      </c>
      <c r="BD109" s="22" t="str">
        <f>IF(E109&lt;&gt;"", IF(BD108&lt;&gt;"", E109*BD108, ""), "")</f>
        <v/>
      </c>
      <c r="BE109" s="22" t="str">
        <f>IF(E109&lt;&gt;"", IF(BE108&lt;&gt;"", E109*BE108, ""), "")</f>
        <v/>
      </c>
    </row>
    <row r="110" spans="1:108" ht="20.100000000000001" customHeight="1">
      <c r="A110" s="220">
        <v>5</v>
      </c>
      <c r="B110" s="7"/>
      <c r="C110" s="7"/>
      <c r="D110" s="5" t="s">
        <v>270</v>
      </c>
      <c r="E110" s="3"/>
      <c r="F110" s="46"/>
      <c r="G110" s="46"/>
      <c r="H110" s="46"/>
      <c r="I110" s="46">
        <v>1</v>
      </c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59"/>
      <c r="AB110" s="59"/>
      <c r="AC110" s="59"/>
      <c r="AD110" s="59"/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  <c r="BC110" s="59"/>
      <c r="BD110" s="59"/>
      <c r="BE110" s="59"/>
    </row>
    <row r="111" spans="1:108" ht="20.100000000000001" customHeight="1">
      <c r="A111" s="221"/>
      <c r="B111" s="7"/>
      <c r="C111" s="7"/>
      <c r="D111" s="78" t="s">
        <v>271</v>
      </c>
      <c r="E111" s="47">
        <f>IF(egTextCal(D111)&lt;&gt;0, egTextCal(D111),"")</f>
        <v>45</v>
      </c>
      <c r="F111" s="48" t="str">
        <f>IF(E111&lt;&gt;"", IF(F110&lt;&gt;"", E111*F110,""),"")</f>
        <v/>
      </c>
      <c r="G111" s="48" t="str">
        <f>IF(E111&lt;&gt;"", IF(G110&lt;&gt;"", E111*G110,""),"")</f>
        <v/>
      </c>
      <c r="H111" s="48" t="str">
        <f>IF(E111&lt;&gt;"", IF(H110&lt;&gt;"", E111*H110,""),"")</f>
        <v/>
      </c>
      <c r="I111" s="48">
        <f>IF(E111&lt;&gt;"", IF(I110&lt;&gt;"", E111*I110,""),"")</f>
        <v>45</v>
      </c>
      <c r="J111" s="48" t="str">
        <f>IF(E111&lt;&gt;"", IF(J110&lt;&gt;"", E111*J110,""),"")</f>
        <v/>
      </c>
      <c r="K111" s="48" t="str">
        <f>IF(E111&lt;&gt;"", IF(K110&lt;&gt;"", E111*K110,""),"")</f>
        <v/>
      </c>
      <c r="L111" s="48" t="str">
        <f>IF(E111&lt;&gt;"", IF(L110&lt;&gt;"", E111*L110,""),"")</f>
        <v/>
      </c>
      <c r="M111" s="48" t="str">
        <f>IF(E111&lt;&gt;"", IF(M110&lt;&gt;"", E111*M110,""),"")</f>
        <v/>
      </c>
      <c r="N111" s="48" t="str">
        <f>IF(E111&lt;&gt;"", IF(N110&lt;&gt;"", E111*N110,""),"")</f>
        <v/>
      </c>
      <c r="O111" s="48" t="str">
        <f>IF(E111&lt;&gt;"", IF(O110&lt;&gt;"", E111*O110,""),"")</f>
        <v/>
      </c>
      <c r="P111" s="48" t="str">
        <f>IF(E111&lt;&gt;"", IF(P110&lt;&gt;"", E111*P110,""),"")</f>
        <v/>
      </c>
      <c r="Q111" s="48" t="str">
        <f>IF(E111&lt;&gt;"", IF(Q110&lt;&gt;"", E111*Q110,""),"")</f>
        <v/>
      </c>
      <c r="R111" s="48" t="str">
        <f>IF(E111&lt;&gt;"", IF(R110&lt;&gt;"", E111*R110,""),"")</f>
        <v/>
      </c>
      <c r="S111" s="48" t="str">
        <f>IF(E111&lt;&gt;"", IF(S110&lt;&gt;"", E111*S110,""),"")</f>
        <v/>
      </c>
      <c r="T111" s="48" t="str">
        <f>IF(E111&lt;&gt;"", IF(T110&lt;&gt;"", E111*T110,""),"")</f>
        <v/>
      </c>
      <c r="U111" s="48" t="str">
        <f>IF(E111&lt;&gt;"", IF(U110&lt;&gt;"", E111*U110,""),"")</f>
        <v/>
      </c>
      <c r="V111" s="48" t="str">
        <f>IF(E111&lt;&gt;"", IF(V110&lt;&gt;"", E111*V110,""),"")</f>
        <v/>
      </c>
      <c r="W111" s="48" t="str">
        <f>IF(E111&lt;&gt;"", IF(W110&lt;&gt;"", E111*W110,""),"")</f>
        <v/>
      </c>
      <c r="X111" s="48" t="str">
        <f>IF(E111&lt;&gt;"", IF(X110&lt;&gt;"", E111*X110,""),"")</f>
        <v/>
      </c>
      <c r="Y111" s="48" t="str">
        <f>IF(E111&lt;&gt;"", IF(Y110&lt;&gt;"", E111*Y110,""),"")</f>
        <v/>
      </c>
      <c r="Z111" s="48" t="str">
        <f>IF(E111&lt;&gt;"", IF(Z110&lt;&gt;"", E111*Z110,""),"")</f>
        <v/>
      </c>
      <c r="AA111" s="22"/>
      <c r="AB111" s="22" t="str">
        <f>IF(E111&lt;&gt;"", IF(AB110&lt;&gt;"", E111*AB110, ""), "")</f>
        <v/>
      </c>
      <c r="AC111" s="22" t="str">
        <f>IF(E111&lt;&gt;"", IF(AC110&lt;&gt;"", E111*AC110, ""), "")</f>
        <v/>
      </c>
      <c r="AD111" s="22" t="str">
        <f>IF(E111&lt;&gt;"", IF(AD110&lt;&gt;"", E111*AD110, ""), "")</f>
        <v/>
      </c>
      <c r="AE111" s="22" t="str">
        <f>IF(E111&lt;&gt;"", IF(AE110&lt;&gt;"", E111*AE110, ""), "")</f>
        <v/>
      </c>
      <c r="AF111" s="22" t="str">
        <f>IF(E111&lt;&gt;"", IF(AF110&lt;&gt;"", E111*AF110, ""), "")</f>
        <v/>
      </c>
      <c r="AG111" s="22" t="str">
        <f>IF(E111&lt;&gt;"", IF(AG110&lt;&gt;"", E111*AG110, ""), "")</f>
        <v/>
      </c>
      <c r="AH111" s="22" t="str">
        <f>IF(E111&lt;&gt;"", IF(AH110&lt;&gt;"", E111*AH110, ""), "")</f>
        <v/>
      </c>
      <c r="AI111" s="22" t="str">
        <f>IF(E111&lt;&gt;"", IF(AI110&lt;&gt;"", E111*AI110, ""), "")</f>
        <v/>
      </c>
      <c r="AJ111" s="22" t="str">
        <f>IF(E111&lt;&gt;"", IF(AJ110&lt;&gt;"", E111*AJ110, ""), "")</f>
        <v/>
      </c>
      <c r="AK111" s="22" t="str">
        <f>IF(E111&lt;&gt;"", IF(AK110&lt;&gt;"", E111*AK110, ""), "")</f>
        <v/>
      </c>
      <c r="AL111" s="22" t="str">
        <f>IF(E111&lt;&gt;"", IF(AL110&lt;&gt;"", E111*AL110, ""), "")</f>
        <v/>
      </c>
      <c r="AM111" s="22" t="str">
        <f>IF(E111&lt;&gt;"", IF(AM110&lt;&gt;"", E111*AM110, ""), "")</f>
        <v/>
      </c>
      <c r="AN111" s="22" t="str">
        <f>IF(E111&lt;&gt;"", IF(AN110&lt;&gt;"", E111*AN110, ""), "")</f>
        <v/>
      </c>
      <c r="AO111" s="22" t="str">
        <f>IF(E111&lt;&gt;"", IF(AO110&lt;&gt;"", E111*AO110, ""), "")</f>
        <v/>
      </c>
      <c r="AP111" s="22" t="str">
        <f>IF(E111&lt;&gt;"", IF(AP110&lt;&gt;"", E111*AP110, ""), "")</f>
        <v/>
      </c>
      <c r="AQ111" s="22" t="str">
        <f>IF(E111&lt;&gt;"", IF(AQ110&lt;&gt;"", E111*AQ110, ""), "")</f>
        <v/>
      </c>
      <c r="AR111" s="22" t="str">
        <f>IF(E111&lt;&gt;"", IF(AR110&lt;&gt;"", E111*AR110, ""), "")</f>
        <v/>
      </c>
      <c r="AS111" s="22" t="str">
        <f>IF(E111&lt;&gt;"", IF(AS110&lt;&gt;"", E111*AS110, ""), "")</f>
        <v/>
      </c>
      <c r="AT111" s="22" t="str">
        <f>IF(E111&lt;&gt;"", IF(AT110&lt;&gt;"", E111*AT110, ""), "")</f>
        <v/>
      </c>
      <c r="AU111" s="22" t="str">
        <f>IF(E111&lt;&gt;"", IF(AU110&lt;&gt;"", E111*AU110, ""), "")</f>
        <v/>
      </c>
      <c r="AV111" s="22" t="str">
        <f>IF(E111&lt;&gt;"", IF(AV110&lt;&gt;"", E111*AV110, ""), "")</f>
        <v/>
      </c>
      <c r="AW111" s="22" t="str">
        <f>IF(E111&lt;&gt;"", IF(AW110&lt;&gt;"", E111*AW110, ""), "")</f>
        <v/>
      </c>
      <c r="AX111" s="22" t="str">
        <f>IF(E111&lt;&gt;"", IF(AX110&lt;&gt;"", E111*AX110, ""), "")</f>
        <v/>
      </c>
      <c r="AY111" s="22" t="str">
        <f>IF(E111&lt;&gt;"", IF(AY110&lt;&gt;"", E111*AY110, ""), "")</f>
        <v/>
      </c>
      <c r="AZ111" s="22" t="str">
        <f>IF(E111&lt;&gt;"", IF(AZ110&lt;&gt;"", E111*AZ110, ""), "")</f>
        <v/>
      </c>
      <c r="BA111" s="22" t="str">
        <f>IF(E111&lt;&gt;"", IF(BA110&lt;&gt;"", E111*BA110, ""), "")</f>
        <v/>
      </c>
      <c r="BB111" s="22" t="str">
        <f>IF(E111&lt;&gt;"", IF(BB110&lt;&gt;"", E111*BB110, ""), "")</f>
        <v/>
      </c>
      <c r="BC111" s="22" t="str">
        <f>IF(E111&lt;&gt;"", IF(BC110&lt;&gt;"", E111*BC110, ""), "")</f>
        <v/>
      </c>
      <c r="BD111" s="22" t="str">
        <f>IF(E111&lt;&gt;"", IF(BD110&lt;&gt;"", E111*BD110, ""), "")</f>
        <v/>
      </c>
      <c r="BE111" s="22" t="str">
        <f>IF(E111&lt;&gt;"", IF(BE110&lt;&gt;"", E111*BE110, ""), "")</f>
        <v/>
      </c>
      <c r="DD111" s="18">
        <f>I111</f>
        <v>45</v>
      </c>
    </row>
    <row r="112" spans="1:108" ht="20.100000000000001" customHeight="1">
      <c r="A112" s="220">
        <v>6</v>
      </c>
      <c r="B112" s="7"/>
      <c r="C112" s="7"/>
      <c r="D112" s="5" t="s">
        <v>235</v>
      </c>
      <c r="E112" s="3"/>
      <c r="F112" s="46"/>
      <c r="G112" s="46"/>
      <c r="H112" s="46">
        <v>1</v>
      </c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59"/>
      <c r="AB112" s="59"/>
      <c r="AC112" s="59"/>
      <c r="AD112" s="59"/>
      <c r="AE112" s="59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59"/>
      <c r="BC112" s="59"/>
      <c r="BD112" s="59"/>
      <c r="BE112" s="59"/>
    </row>
    <row r="113" spans="1:117" ht="20.100000000000001" customHeight="1">
      <c r="A113" s="221"/>
      <c r="B113" s="7"/>
      <c r="C113" s="7"/>
      <c r="D113" s="78" t="s">
        <v>272</v>
      </c>
      <c r="E113" s="47">
        <f>IF(egTextCal(D113)&lt;&gt;0, egTextCal(D113),"")</f>
        <v>48</v>
      </c>
      <c r="F113" s="48" t="str">
        <f>IF(E113&lt;&gt;"", IF(F112&lt;&gt;"", E113*F112,""),"")</f>
        <v/>
      </c>
      <c r="G113" s="48" t="str">
        <f>IF(E113&lt;&gt;"", IF(G112&lt;&gt;"", E113*G112,""),"")</f>
        <v/>
      </c>
      <c r="H113" s="48">
        <f>IF(E113&lt;&gt;"", IF(H112&lt;&gt;"", E113*H112,""),"")</f>
        <v>48</v>
      </c>
      <c r="I113" s="48" t="str">
        <f>IF(E113&lt;&gt;"", IF(I112&lt;&gt;"", E113*I112,""),"")</f>
        <v/>
      </c>
      <c r="J113" s="48" t="str">
        <f>IF(E113&lt;&gt;"", IF(J112&lt;&gt;"", E113*J112,""),"")</f>
        <v/>
      </c>
      <c r="K113" s="48" t="str">
        <f>IF(E113&lt;&gt;"", IF(K112&lt;&gt;"", E113*K112,""),"")</f>
        <v/>
      </c>
      <c r="L113" s="48" t="str">
        <f>IF(E113&lt;&gt;"", IF(L112&lt;&gt;"", E113*L112,""),"")</f>
        <v/>
      </c>
      <c r="M113" s="48" t="str">
        <f>IF(E113&lt;&gt;"", IF(M112&lt;&gt;"", E113*M112,""),"")</f>
        <v/>
      </c>
      <c r="N113" s="48" t="str">
        <f>IF(E113&lt;&gt;"", IF(N112&lt;&gt;"", E113*N112,""),"")</f>
        <v/>
      </c>
      <c r="O113" s="48" t="str">
        <f>IF(E113&lt;&gt;"", IF(O112&lt;&gt;"", E113*O112,""),"")</f>
        <v/>
      </c>
      <c r="P113" s="48" t="str">
        <f>IF(E113&lt;&gt;"", IF(P112&lt;&gt;"", E113*P112,""),"")</f>
        <v/>
      </c>
      <c r="Q113" s="48" t="str">
        <f>IF(E113&lt;&gt;"", IF(Q112&lt;&gt;"", E113*Q112,""),"")</f>
        <v/>
      </c>
      <c r="R113" s="48" t="str">
        <f>IF(E113&lt;&gt;"", IF(R112&lt;&gt;"", E113*R112,""),"")</f>
        <v/>
      </c>
      <c r="S113" s="48" t="str">
        <f>IF(E113&lt;&gt;"", IF(S112&lt;&gt;"", E113*S112,""),"")</f>
        <v/>
      </c>
      <c r="T113" s="48" t="str">
        <f>IF(E113&lt;&gt;"", IF(T112&lt;&gt;"", E113*T112,""),"")</f>
        <v/>
      </c>
      <c r="U113" s="48" t="str">
        <f>IF(E113&lt;&gt;"", IF(U112&lt;&gt;"", E113*U112,""),"")</f>
        <v/>
      </c>
      <c r="V113" s="48" t="str">
        <f>IF(E113&lt;&gt;"", IF(V112&lt;&gt;"", E113*V112,""),"")</f>
        <v/>
      </c>
      <c r="W113" s="48" t="str">
        <f>IF(E113&lt;&gt;"", IF(W112&lt;&gt;"", E113*W112,""),"")</f>
        <v/>
      </c>
      <c r="X113" s="48" t="str">
        <f>IF(E113&lt;&gt;"", IF(X112&lt;&gt;"", E113*X112,""),"")</f>
        <v/>
      </c>
      <c r="Y113" s="48" t="str">
        <f>IF(E113&lt;&gt;"", IF(Y112&lt;&gt;"", E113*Y112,""),"")</f>
        <v/>
      </c>
      <c r="Z113" s="48" t="str">
        <f>IF(E113&lt;&gt;"", IF(Z112&lt;&gt;"", E113*Z112,""),"")</f>
        <v/>
      </c>
      <c r="AA113" s="22"/>
      <c r="AB113" s="22" t="str">
        <f>IF(E113&lt;&gt;"", IF(AB112&lt;&gt;"", E113*AB112, ""), "")</f>
        <v/>
      </c>
      <c r="AC113" s="22" t="str">
        <f>IF(E113&lt;&gt;"", IF(AC112&lt;&gt;"", E113*AC112, ""), "")</f>
        <v/>
      </c>
      <c r="AD113" s="22" t="str">
        <f>IF(E113&lt;&gt;"", IF(AD112&lt;&gt;"", E113*AD112, ""), "")</f>
        <v/>
      </c>
      <c r="AE113" s="22" t="str">
        <f>IF(E113&lt;&gt;"", IF(AE112&lt;&gt;"", E113*AE112, ""), "")</f>
        <v/>
      </c>
      <c r="AF113" s="22" t="str">
        <f>IF(E113&lt;&gt;"", IF(AF112&lt;&gt;"", E113*AF112, ""), "")</f>
        <v/>
      </c>
      <c r="AG113" s="22" t="str">
        <f>IF(E113&lt;&gt;"", IF(AG112&lt;&gt;"", E113*AG112, ""), "")</f>
        <v/>
      </c>
      <c r="AH113" s="22" t="str">
        <f>IF(E113&lt;&gt;"", IF(AH112&lt;&gt;"", E113*AH112, ""), "")</f>
        <v/>
      </c>
      <c r="AI113" s="22" t="str">
        <f>IF(E113&lt;&gt;"", IF(AI112&lt;&gt;"", E113*AI112, ""), "")</f>
        <v/>
      </c>
      <c r="AJ113" s="22" t="str">
        <f>IF(E113&lt;&gt;"", IF(AJ112&lt;&gt;"", E113*AJ112, ""), "")</f>
        <v/>
      </c>
      <c r="AK113" s="22" t="str">
        <f>IF(E113&lt;&gt;"", IF(AK112&lt;&gt;"", E113*AK112, ""), "")</f>
        <v/>
      </c>
      <c r="AL113" s="22" t="str">
        <f>IF(E113&lt;&gt;"", IF(AL112&lt;&gt;"", E113*AL112, ""), "")</f>
        <v/>
      </c>
      <c r="AM113" s="22" t="str">
        <f>IF(E113&lt;&gt;"", IF(AM112&lt;&gt;"", E113*AM112, ""), "")</f>
        <v/>
      </c>
      <c r="AN113" s="22" t="str">
        <f>IF(E113&lt;&gt;"", IF(AN112&lt;&gt;"", E113*AN112, ""), "")</f>
        <v/>
      </c>
      <c r="AO113" s="22" t="str">
        <f>IF(E113&lt;&gt;"", IF(AO112&lt;&gt;"", E113*AO112, ""), "")</f>
        <v/>
      </c>
      <c r="AP113" s="22" t="str">
        <f>IF(E113&lt;&gt;"", IF(AP112&lt;&gt;"", E113*AP112, ""), "")</f>
        <v/>
      </c>
      <c r="AQ113" s="22" t="str">
        <f>IF(E113&lt;&gt;"", IF(AQ112&lt;&gt;"", E113*AQ112, ""), "")</f>
        <v/>
      </c>
      <c r="AR113" s="22" t="str">
        <f>IF(E113&lt;&gt;"", IF(AR112&lt;&gt;"", E113*AR112, ""), "")</f>
        <v/>
      </c>
      <c r="AS113" s="22" t="str">
        <f>IF(E113&lt;&gt;"", IF(AS112&lt;&gt;"", E113*AS112, ""), "")</f>
        <v/>
      </c>
      <c r="AT113" s="22" t="str">
        <f>IF(E113&lt;&gt;"", IF(AT112&lt;&gt;"", E113*AT112, ""), "")</f>
        <v/>
      </c>
      <c r="AU113" s="22" t="str">
        <f>IF(E113&lt;&gt;"", IF(AU112&lt;&gt;"", E113*AU112, ""), "")</f>
        <v/>
      </c>
      <c r="AV113" s="22" t="str">
        <f>IF(E113&lt;&gt;"", IF(AV112&lt;&gt;"", E113*AV112, ""), "")</f>
        <v/>
      </c>
      <c r="AW113" s="22" t="str">
        <f>IF(E113&lt;&gt;"", IF(AW112&lt;&gt;"", E113*AW112, ""), "")</f>
        <v/>
      </c>
      <c r="AX113" s="22" t="str">
        <f>IF(E113&lt;&gt;"", IF(AX112&lt;&gt;"", E113*AX112, ""), "")</f>
        <v/>
      </c>
      <c r="AY113" s="22" t="str">
        <f>IF(E113&lt;&gt;"", IF(AY112&lt;&gt;"", E113*AY112, ""), "")</f>
        <v/>
      </c>
      <c r="AZ113" s="22" t="str">
        <f>IF(E113&lt;&gt;"", IF(AZ112&lt;&gt;"", E113*AZ112, ""), "")</f>
        <v/>
      </c>
      <c r="BA113" s="22" t="str">
        <f>IF(E113&lt;&gt;"", IF(BA112&lt;&gt;"", E113*BA112, ""), "")</f>
        <v/>
      </c>
      <c r="BB113" s="22" t="str">
        <f>IF(E113&lt;&gt;"", IF(BB112&lt;&gt;"", E113*BB112, ""), "")</f>
        <v/>
      </c>
      <c r="BC113" s="22" t="str">
        <f>IF(E113&lt;&gt;"", IF(BC112&lt;&gt;"", E113*BC112, ""), "")</f>
        <v/>
      </c>
      <c r="BD113" s="22" t="str">
        <f>IF(E113&lt;&gt;"", IF(BD112&lt;&gt;"", E113*BD112, ""), "")</f>
        <v/>
      </c>
      <c r="BE113" s="22" t="str">
        <f>IF(E113&lt;&gt;"", IF(BE112&lt;&gt;"", E113*BE112, ""), "")</f>
        <v/>
      </c>
      <c r="DC113" s="18">
        <f>H113</f>
        <v>48</v>
      </c>
    </row>
    <row r="114" spans="1:117" ht="20.100000000000001" customHeight="1">
      <c r="A114" s="220">
        <v>7</v>
      </c>
      <c r="B114" s="7"/>
      <c r="C114" s="7"/>
      <c r="D114" s="5" t="s">
        <v>237</v>
      </c>
      <c r="E114" s="3"/>
      <c r="F114" s="46"/>
      <c r="G114" s="46">
        <v>1</v>
      </c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59"/>
      <c r="AB114" s="59"/>
      <c r="AC114" s="59"/>
      <c r="AD114" s="59"/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59"/>
      <c r="BC114" s="59"/>
      <c r="BD114" s="59"/>
      <c r="BE114" s="59"/>
    </row>
    <row r="115" spans="1:117" ht="20.100000000000001" customHeight="1">
      <c r="A115" s="221"/>
      <c r="B115" s="7"/>
      <c r="C115" s="7"/>
      <c r="D115" s="78" t="s">
        <v>273</v>
      </c>
      <c r="E115" s="47">
        <f>IF(egTextCal(D115)&lt;&gt;0, egTextCal(D115),"")</f>
        <v>52</v>
      </c>
      <c r="F115" s="48" t="str">
        <f>IF(E115&lt;&gt;"", IF(F114&lt;&gt;"", E115*F114,""),"")</f>
        <v/>
      </c>
      <c r="G115" s="48">
        <f>IF(E115&lt;&gt;"", IF(G114&lt;&gt;"", E115*G114,""),"")</f>
        <v>52</v>
      </c>
      <c r="H115" s="48" t="str">
        <f>IF(E115&lt;&gt;"", IF(H114&lt;&gt;"", E115*H114,""),"")</f>
        <v/>
      </c>
      <c r="I115" s="48" t="str">
        <f>IF(E115&lt;&gt;"", IF(I114&lt;&gt;"", E115*I114,""),"")</f>
        <v/>
      </c>
      <c r="J115" s="48" t="str">
        <f>IF(E115&lt;&gt;"", IF(J114&lt;&gt;"", E115*J114,""),"")</f>
        <v/>
      </c>
      <c r="K115" s="48" t="str">
        <f>IF(E115&lt;&gt;"", IF(K114&lt;&gt;"", E115*K114,""),"")</f>
        <v/>
      </c>
      <c r="L115" s="48" t="str">
        <f>IF(E115&lt;&gt;"", IF(L114&lt;&gt;"", E115*L114,""),"")</f>
        <v/>
      </c>
      <c r="M115" s="48" t="str">
        <f>IF(E115&lt;&gt;"", IF(M114&lt;&gt;"", E115*M114,""),"")</f>
        <v/>
      </c>
      <c r="N115" s="48" t="str">
        <f>IF(E115&lt;&gt;"", IF(N114&lt;&gt;"", E115*N114,""),"")</f>
        <v/>
      </c>
      <c r="O115" s="48" t="str">
        <f>IF(E115&lt;&gt;"", IF(O114&lt;&gt;"", E115*O114,""),"")</f>
        <v/>
      </c>
      <c r="P115" s="48" t="str">
        <f>IF(E115&lt;&gt;"", IF(P114&lt;&gt;"", E115*P114,""),"")</f>
        <v/>
      </c>
      <c r="Q115" s="48" t="str">
        <f>IF(E115&lt;&gt;"", IF(Q114&lt;&gt;"", E115*Q114,""),"")</f>
        <v/>
      </c>
      <c r="R115" s="48" t="str">
        <f>IF(E115&lt;&gt;"", IF(R114&lt;&gt;"", E115*R114,""),"")</f>
        <v/>
      </c>
      <c r="S115" s="48" t="str">
        <f>IF(E115&lt;&gt;"", IF(S114&lt;&gt;"", E115*S114,""),"")</f>
        <v/>
      </c>
      <c r="T115" s="48" t="str">
        <f>IF(E115&lt;&gt;"", IF(T114&lt;&gt;"", E115*T114,""),"")</f>
        <v/>
      </c>
      <c r="U115" s="48" t="str">
        <f>IF(E115&lt;&gt;"", IF(U114&lt;&gt;"", E115*U114,""),"")</f>
        <v/>
      </c>
      <c r="V115" s="48" t="str">
        <f>IF(E115&lt;&gt;"", IF(V114&lt;&gt;"", E115*V114,""),"")</f>
        <v/>
      </c>
      <c r="W115" s="48" t="str">
        <f>IF(E115&lt;&gt;"", IF(W114&lt;&gt;"", E115*W114,""),"")</f>
        <v/>
      </c>
      <c r="X115" s="48" t="str">
        <f>IF(E115&lt;&gt;"", IF(X114&lt;&gt;"", E115*X114,""),"")</f>
        <v/>
      </c>
      <c r="Y115" s="48" t="str">
        <f>IF(E115&lt;&gt;"", IF(Y114&lt;&gt;"", E115*Y114,""),"")</f>
        <v/>
      </c>
      <c r="Z115" s="48" t="str">
        <f>IF(E115&lt;&gt;"", IF(Z114&lt;&gt;"", E115*Z114,""),"")</f>
        <v/>
      </c>
      <c r="AA115" s="22"/>
      <c r="AB115" s="22" t="str">
        <f>IF(E115&lt;&gt;"", IF(AB114&lt;&gt;"", E115*AB114, ""), "")</f>
        <v/>
      </c>
      <c r="AC115" s="22" t="str">
        <f>IF(E115&lt;&gt;"", IF(AC114&lt;&gt;"", E115*AC114, ""), "")</f>
        <v/>
      </c>
      <c r="AD115" s="22" t="str">
        <f>IF(E115&lt;&gt;"", IF(AD114&lt;&gt;"", E115*AD114, ""), "")</f>
        <v/>
      </c>
      <c r="AE115" s="22" t="str">
        <f>IF(E115&lt;&gt;"", IF(AE114&lt;&gt;"", E115*AE114, ""), "")</f>
        <v/>
      </c>
      <c r="AF115" s="22" t="str">
        <f>IF(E115&lt;&gt;"", IF(AF114&lt;&gt;"", E115*AF114, ""), "")</f>
        <v/>
      </c>
      <c r="AG115" s="22" t="str">
        <f>IF(E115&lt;&gt;"", IF(AG114&lt;&gt;"", E115*AG114, ""), "")</f>
        <v/>
      </c>
      <c r="AH115" s="22" t="str">
        <f>IF(E115&lt;&gt;"", IF(AH114&lt;&gt;"", E115*AH114, ""), "")</f>
        <v/>
      </c>
      <c r="AI115" s="22" t="str">
        <f>IF(E115&lt;&gt;"", IF(AI114&lt;&gt;"", E115*AI114, ""), "")</f>
        <v/>
      </c>
      <c r="AJ115" s="22" t="str">
        <f>IF(E115&lt;&gt;"", IF(AJ114&lt;&gt;"", E115*AJ114, ""), "")</f>
        <v/>
      </c>
      <c r="AK115" s="22" t="str">
        <f>IF(E115&lt;&gt;"", IF(AK114&lt;&gt;"", E115*AK114, ""), "")</f>
        <v/>
      </c>
      <c r="AL115" s="22" t="str">
        <f>IF(E115&lt;&gt;"", IF(AL114&lt;&gt;"", E115*AL114, ""), "")</f>
        <v/>
      </c>
      <c r="AM115" s="22" t="str">
        <f>IF(E115&lt;&gt;"", IF(AM114&lt;&gt;"", E115*AM114, ""), "")</f>
        <v/>
      </c>
      <c r="AN115" s="22" t="str">
        <f>IF(E115&lt;&gt;"", IF(AN114&lt;&gt;"", E115*AN114, ""), "")</f>
        <v/>
      </c>
      <c r="AO115" s="22" t="str">
        <f>IF(E115&lt;&gt;"", IF(AO114&lt;&gt;"", E115*AO114, ""), "")</f>
        <v/>
      </c>
      <c r="AP115" s="22" t="str">
        <f>IF(E115&lt;&gt;"", IF(AP114&lt;&gt;"", E115*AP114, ""), "")</f>
        <v/>
      </c>
      <c r="AQ115" s="22" t="str">
        <f>IF(E115&lt;&gt;"", IF(AQ114&lt;&gt;"", E115*AQ114, ""), "")</f>
        <v/>
      </c>
      <c r="AR115" s="22" t="str">
        <f>IF(E115&lt;&gt;"", IF(AR114&lt;&gt;"", E115*AR114, ""), "")</f>
        <v/>
      </c>
      <c r="AS115" s="22" t="str">
        <f>IF(E115&lt;&gt;"", IF(AS114&lt;&gt;"", E115*AS114, ""), "")</f>
        <v/>
      </c>
      <c r="AT115" s="22" t="str">
        <f>IF(E115&lt;&gt;"", IF(AT114&lt;&gt;"", E115*AT114, ""), "")</f>
        <v/>
      </c>
      <c r="AU115" s="22" t="str">
        <f>IF(E115&lt;&gt;"", IF(AU114&lt;&gt;"", E115*AU114, ""), "")</f>
        <v/>
      </c>
      <c r="AV115" s="22" t="str">
        <f>IF(E115&lt;&gt;"", IF(AV114&lt;&gt;"", E115*AV114, ""), "")</f>
        <v/>
      </c>
      <c r="AW115" s="22" t="str">
        <f>IF(E115&lt;&gt;"", IF(AW114&lt;&gt;"", E115*AW114, ""), "")</f>
        <v/>
      </c>
      <c r="AX115" s="22" t="str">
        <f>IF(E115&lt;&gt;"", IF(AX114&lt;&gt;"", E115*AX114, ""), "")</f>
        <v/>
      </c>
      <c r="AY115" s="22" t="str">
        <f>IF(E115&lt;&gt;"", IF(AY114&lt;&gt;"", E115*AY114, ""), "")</f>
        <v/>
      </c>
      <c r="AZ115" s="22" t="str">
        <f>IF(E115&lt;&gt;"", IF(AZ114&lt;&gt;"", E115*AZ114, ""), "")</f>
        <v/>
      </c>
      <c r="BA115" s="22" t="str">
        <f>IF(E115&lt;&gt;"", IF(BA114&lt;&gt;"", E115*BA114, ""), "")</f>
        <v/>
      </c>
      <c r="BB115" s="22" t="str">
        <f>IF(E115&lt;&gt;"", IF(BB114&lt;&gt;"", E115*BB114, ""), "")</f>
        <v/>
      </c>
      <c r="BC115" s="22" t="str">
        <f>IF(E115&lt;&gt;"", IF(BC114&lt;&gt;"", E115*BC114, ""), "")</f>
        <v/>
      </c>
      <c r="BD115" s="22" t="str">
        <f>IF(E115&lt;&gt;"", IF(BD114&lt;&gt;"", E115*BD114, ""), "")</f>
        <v/>
      </c>
      <c r="BE115" s="22" t="str">
        <f>IF(E115&lt;&gt;"", IF(BE114&lt;&gt;"", E115*BE114, ""), "")</f>
        <v/>
      </c>
      <c r="DB115" s="18">
        <f>G115</f>
        <v>52</v>
      </c>
    </row>
    <row r="116" spans="1:117" ht="20.100000000000001" customHeight="1">
      <c r="A116" s="220">
        <v>8</v>
      </c>
      <c r="B116" s="7"/>
      <c r="C116" s="7"/>
      <c r="D116" s="5" t="s">
        <v>239</v>
      </c>
      <c r="E116" s="3"/>
      <c r="F116" s="46">
        <v>1</v>
      </c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59"/>
      <c r="AB116" s="59"/>
      <c r="AC116" s="59"/>
      <c r="AD116" s="59"/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  <c r="BC116" s="59"/>
      <c r="BD116" s="59"/>
      <c r="BE116" s="59"/>
    </row>
    <row r="117" spans="1:117" ht="20.100000000000001" customHeight="1">
      <c r="A117" s="221"/>
      <c r="B117" s="7"/>
      <c r="C117" s="7"/>
      <c r="D117" s="78" t="s">
        <v>274</v>
      </c>
      <c r="E117" s="47">
        <f>IF(egTextCal(D117)&lt;&gt;0, egTextCal(D117),"")</f>
        <v>161</v>
      </c>
      <c r="F117" s="48">
        <f>IF(E117&lt;&gt;"", IF(F116&lt;&gt;"", E117*F116,""),"")</f>
        <v>161</v>
      </c>
      <c r="G117" s="48" t="str">
        <f>IF(E117&lt;&gt;"", IF(G116&lt;&gt;"", E117*G116,""),"")</f>
        <v/>
      </c>
      <c r="H117" s="48" t="str">
        <f>IF(E117&lt;&gt;"", IF(H116&lt;&gt;"", E117*H116,""),"")</f>
        <v/>
      </c>
      <c r="I117" s="48" t="str">
        <f>IF(E117&lt;&gt;"", IF(I116&lt;&gt;"", E117*I116,""),"")</f>
        <v/>
      </c>
      <c r="J117" s="48" t="str">
        <f>IF(E117&lt;&gt;"", IF(J116&lt;&gt;"", E117*J116,""),"")</f>
        <v/>
      </c>
      <c r="K117" s="48" t="str">
        <f>IF(E117&lt;&gt;"", IF(K116&lt;&gt;"", E117*K116,""),"")</f>
        <v/>
      </c>
      <c r="L117" s="48" t="str">
        <f>IF(E117&lt;&gt;"", IF(L116&lt;&gt;"", E117*L116,""),"")</f>
        <v/>
      </c>
      <c r="M117" s="48" t="str">
        <f>IF(E117&lt;&gt;"", IF(M116&lt;&gt;"", E117*M116,""),"")</f>
        <v/>
      </c>
      <c r="N117" s="48" t="str">
        <f>IF(E117&lt;&gt;"", IF(N116&lt;&gt;"", E117*N116,""),"")</f>
        <v/>
      </c>
      <c r="O117" s="48" t="str">
        <f>IF(E117&lt;&gt;"", IF(O116&lt;&gt;"", E117*O116,""),"")</f>
        <v/>
      </c>
      <c r="P117" s="48" t="str">
        <f>IF(E117&lt;&gt;"", IF(P116&lt;&gt;"", E117*P116,""),"")</f>
        <v/>
      </c>
      <c r="Q117" s="48" t="str">
        <f>IF(E117&lt;&gt;"", IF(Q116&lt;&gt;"", E117*Q116,""),"")</f>
        <v/>
      </c>
      <c r="R117" s="48" t="str">
        <f>IF(E117&lt;&gt;"", IF(R116&lt;&gt;"", E117*R116,""),"")</f>
        <v/>
      </c>
      <c r="S117" s="48" t="str">
        <f>IF(E117&lt;&gt;"", IF(S116&lt;&gt;"", E117*S116,""),"")</f>
        <v/>
      </c>
      <c r="T117" s="48" t="str">
        <f>IF(E117&lt;&gt;"", IF(T116&lt;&gt;"", E117*T116,""),"")</f>
        <v/>
      </c>
      <c r="U117" s="48" t="str">
        <f>IF(E117&lt;&gt;"", IF(U116&lt;&gt;"", E117*U116,""),"")</f>
        <v/>
      </c>
      <c r="V117" s="48" t="str">
        <f>IF(E117&lt;&gt;"", IF(V116&lt;&gt;"", E117*V116,""),"")</f>
        <v/>
      </c>
      <c r="W117" s="48" t="str">
        <f>IF(E117&lt;&gt;"", IF(W116&lt;&gt;"", E117*W116,""),"")</f>
        <v/>
      </c>
      <c r="X117" s="48" t="str">
        <f>IF(E117&lt;&gt;"", IF(X116&lt;&gt;"", E117*X116,""),"")</f>
        <v/>
      </c>
      <c r="Y117" s="48" t="str">
        <f>IF(E117&lt;&gt;"", IF(Y116&lt;&gt;"", E117*Y116,""),"")</f>
        <v/>
      </c>
      <c r="Z117" s="48" t="str">
        <f>IF(E117&lt;&gt;"", IF(Z116&lt;&gt;"", E117*Z116,""),"")</f>
        <v/>
      </c>
      <c r="AA117" s="22"/>
      <c r="AB117" s="22" t="str">
        <f>IF(E117&lt;&gt;"", IF(AB116&lt;&gt;"", E117*AB116, ""), "")</f>
        <v/>
      </c>
      <c r="AC117" s="22" t="str">
        <f>IF(E117&lt;&gt;"", IF(AC116&lt;&gt;"", E117*AC116, ""), "")</f>
        <v/>
      </c>
      <c r="AD117" s="22" t="str">
        <f>IF(E117&lt;&gt;"", IF(AD116&lt;&gt;"", E117*AD116, ""), "")</f>
        <v/>
      </c>
      <c r="AE117" s="22" t="str">
        <f>IF(E117&lt;&gt;"", IF(AE116&lt;&gt;"", E117*AE116, ""), "")</f>
        <v/>
      </c>
      <c r="AF117" s="22" t="str">
        <f>IF(E117&lt;&gt;"", IF(AF116&lt;&gt;"", E117*AF116, ""), "")</f>
        <v/>
      </c>
      <c r="AG117" s="22" t="str">
        <f>IF(E117&lt;&gt;"", IF(AG116&lt;&gt;"", E117*AG116, ""), "")</f>
        <v/>
      </c>
      <c r="AH117" s="22" t="str">
        <f>IF(E117&lt;&gt;"", IF(AH116&lt;&gt;"", E117*AH116, ""), "")</f>
        <v/>
      </c>
      <c r="AI117" s="22" t="str">
        <f>IF(E117&lt;&gt;"", IF(AI116&lt;&gt;"", E117*AI116, ""), "")</f>
        <v/>
      </c>
      <c r="AJ117" s="22" t="str">
        <f>IF(E117&lt;&gt;"", IF(AJ116&lt;&gt;"", E117*AJ116, ""), "")</f>
        <v/>
      </c>
      <c r="AK117" s="22" t="str">
        <f>IF(E117&lt;&gt;"", IF(AK116&lt;&gt;"", E117*AK116, ""), "")</f>
        <v/>
      </c>
      <c r="AL117" s="22" t="str">
        <f>IF(E117&lt;&gt;"", IF(AL116&lt;&gt;"", E117*AL116, ""), "")</f>
        <v/>
      </c>
      <c r="AM117" s="22" t="str">
        <f>IF(E117&lt;&gt;"", IF(AM116&lt;&gt;"", E117*AM116, ""), "")</f>
        <v/>
      </c>
      <c r="AN117" s="22" t="str">
        <f>IF(E117&lt;&gt;"", IF(AN116&lt;&gt;"", E117*AN116, ""), "")</f>
        <v/>
      </c>
      <c r="AO117" s="22" t="str">
        <f>IF(E117&lt;&gt;"", IF(AO116&lt;&gt;"", E117*AO116, ""), "")</f>
        <v/>
      </c>
      <c r="AP117" s="22" t="str">
        <f>IF(E117&lt;&gt;"", IF(AP116&lt;&gt;"", E117*AP116, ""), "")</f>
        <v/>
      </c>
      <c r="AQ117" s="22" t="str">
        <f>IF(E117&lt;&gt;"", IF(AQ116&lt;&gt;"", E117*AQ116, ""), "")</f>
        <v/>
      </c>
      <c r="AR117" s="22" t="str">
        <f>IF(E117&lt;&gt;"", IF(AR116&lt;&gt;"", E117*AR116, ""), "")</f>
        <v/>
      </c>
      <c r="AS117" s="22" t="str">
        <f>IF(E117&lt;&gt;"", IF(AS116&lt;&gt;"", E117*AS116, ""), "")</f>
        <v/>
      </c>
      <c r="AT117" s="22" t="str">
        <f>IF(E117&lt;&gt;"", IF(AT116&lt;&gt;"", E117*AT116, ""), "")</f>
        <v/>
      </c>
      <c r="AU117" s="22" t="str">
        <f>IF(E117&lt;&gt;"", IF(AU116&lt;&gt;"", E117*AU116, ""), "")</f>
        <v/>
      </c>
      <c r="AV117" s="22" t="str">
        <f>IF(E117&lt;&gt;"", IF(AV116&lt;&gt;"", E117*AV116, ""), "")</f>
        <v/>
      </c>
      <c r="AW117" s="22" t="str">
        <f>IF(E117&lt;&gt;"", IF(AW116&lt;&gt;"", E117*AW116, ""), "")</f>
        <v/>
      </c>
      <c r="AX117" s="22" t="str">
        <f>IF(E117&lt;&gt;"", IF(AX116&lt;&gt;"", E117*AX116, ""), "")</f>
        <v/>
      </c>
      <c r="AY117" s="22" t="str">
        <f>IF(E117&lt;&gt;"", IF(AY116&lt;&gt;"", E117*AY116, ""), "")</f>
        <v/>
      </c>
      <c r="AZ117" s="22" t="str">
        <f>IF(E117&lt;&gt;"", IF(AZ116&lt;&gt;"", E117*AZ116, ""), "")</f>
        <v/>
      </c>
      <c r="BA117" s="22" t="str">
        <f>IF(E117&lt;&gt;"", IF(BA116&lt;&gt;"", E117*BA116, ""), "")</f>
        <v/>
      </c>
      <c r="BB117" s="22" t="str">
        <f>IF(E117&lt;&gt;"", IF(BB116&lt;&gt;"", E117*BB116, ""), "")</f>
        <v/>
      </c>
      <c r="BC117" s="22" t="str">
        <f>IF(E117&lt;&gt;"", IF(BC116&lt;&gt;"", E117*BC116, ""), "")</f>
        <v/>
      </c>
      <c r="BD117" s="22" t="str">
        <f>IF(E117&lt;&gt;"", IF(BD116&lt;&gt;"", E117*BD116, ""), "")</f>
        <v/>
      </c>
      <c r="BE117" s="22" t="str">
        <f>IF(E117&lt;&gt;"", IF(BE116&lt;&gt;"", E117*BE116, ""), "")</f>
        <v/>
      </c>
      <c r="DA117" s="18">
        <f>F117</f>
        <v>161</v>
      </c>
    </row>
    <row r="118" spans="1:117" ht="20.100000000000001" customHeight="1">
      <c r="A118" s="220">
        <v>9</v>
      </c>
      <c r="B118" s="7"/>
      <c r="C118" s="7"/>
      <c r="D118" s="5" t="s">
        <v>246</v>
      </c>
      <c r="E118" s="3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>
        <v>1</v>
      </c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59"/>
      <c r="AB118" s="59"/>
      <c r="AC118" s="59"/>
      <c r="AD118" s="59"/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  <c r="BC118" s="59"/>
      <c r="BD118" s="59"/>
      <c r="BE118" s="59"/>
    </row>
    <row r="119" spans="1:117" ht="20.100000000000001" customHeight="1">
      <c r="A119" s="221"/>
      <c r="B119" s="7"/>
      <c r="C119" s="7"/>
      <c r="D119" s="78">
        <v>2</v>
      </c>
      <c r="E119" s="47">
        <f>IF(egTextCal(D119)&lt;&gt;0, egTextCal(D119),"")</f>
        <v>2</v>
      </c>
      <c r="F119" s="48" t="str">
        <f>IF(E119&lt;&gt;"", IF(F118&lt;&gt;"", E119*F118,""),"")</f>
        <v/>
      </c>
      <c r="G119" s="48" t="str">
        <f>IF(E119&lt;&gt;"", IF(G118&lt;&gt;"", E119*G118,""),"")</f>
        <v/>
      </c>
      <c r="H119" s="48" t="str">
        <f>IF(E119&lt;&gt;"", IF(H118&lt;&gt;"", E119*H118,""),"")</f>
        <v/>
      </c>
      <c r="I119" s="48" t="str">
        <f>IF(E119&lt;&gt;"", IF(I118&lt;&gt;"", E119*I118,""),"")</f>
        <v/>
      </c>
      <c r="J119" s="48" t="str">
        <f>IF(E119&lt;&gt;"", IF(J118&lt;&gt;"", E119*J118,""),"")</f>
        <v/>
      </c>
      <c r="K119" s="48" t="str">
        <f>IF(E119&lt;&gt;"", IF(K118&lt;&gt;"", E119*K118,""),"")</f>
        <v/>
      </c>
      <c r="L119" s="48" t="str">
        <f>IF(E119&lt;&gt;"", IF(L118&lt;&gt;"", E119*L118,""),"")</f>
        <v/>
      </c>
      <c r="M119" s="48" t="str">
        <f>IF(E119&lt;&gt;"", IF(M118&lt;&gt;"", E119*M118,""),"")</f>
        <v/>
      </c>
      <c r="N119" s="48" t="str">
        <f>IF(E119&lt;&gt;"", IF(N118&lt;&gt;"", E119*N118,""),"")</f>
        <v/>
      </c>
      <c r="O119" s="48" t="str">
        <f>IF(E119&lt;&gt;"", IF(O118&lt;&gt;"", E119*O118,""),"")</f>
        <v/>
      </c>
      <c r="P119" s="48">
        <f>IF(E119&lt;&gt;"", IF(P118&lt;&gt;"", E119*P118,""),"")</f>
        <v>2</v>
      </c>
      <c r="Q119" s="48" t="str">
        <f>IF(E119&lt;&gt;"", IF(Q118&lt;&gt;"", E119*Q118,""),"")</f>
        <v/>
      </c>
      <c r="R119" s="48" t="str">
        <f>IF(E119&lt;&gt;"", IF(R118&lt;&gt;"", E119*R118,""),"")</f>
        <v/>
      </c>
      <c r="S119" s="48" t="str">
        <f>IF(E119&lt;&gt;"", IF(S118&lt;&gt;"", E119*S118,""),"")</f>
        <v/>
      </c>
      <c r="T119" s="48" t="str">
        <f>IF(E119&lt;&gt;"", IF(T118&lt;&gt;"", E119*T118,""),"")</f>
        <v/>
      </c>
      <c r="U119" s="48" t="str">
        <f>IF(E119&lt;&gt;"", IF(U118&lt;&gt;"", E119*U118,""),"")</f>
        <v/>
      </c>
      <c r="V119" s="48" t="str">
        <f>IF(E119&lt;&gt;"", IF(V118&lt;&gt;"", E119*V118,""),"")</f>
        <v/>
      </c>
      <c r="W119" s="48" t="str">
        <f>IF(E119&lt;&gt;"", IF(W118&lt;&gt;"", E119*W118,""),"")</f>
        <v/>
      </c>
      <c r="X119" s="48" t="str">
        <f>IF(E119&lt;&gt;"", IF(X118&lt;&gt;"", E119*X118,""),"")</f>
        <v/>
      </c>
      <c r="Y119" s="48" t="str">
        <f>IF(E119&lt;&gt;"", IF(Y118&lt;&gt;"", E119*Y118,""),"")</f>
        <v/>
      </c>
      <c r="Z119" s="48" t="str">
        <f>IF(E119&lt;&gt;"", IF(Z118&lt;&gt;"", E119*Z118,""),"")</f>
        <v/>
      </c>
      <c r="AA119" s="22"/>
      <c r="AB119" s="22" t="str">
        <f>IF(E119&lt;&gt;"", IF(AB118&lt;&gt;"", E119*AB118, ""), "")</f>
        <v/>
      </c>
      <c r="AC119" s="22" t="str">
        <f>IF(E119&lt;&gt;"", IF(AC118&lt;&gt;"", E119*AC118, ""), "")</f>
        <v/>
      </c>
      <c r="AD119" s="22" t="str">
        <f>IF(E119&lt;&gt;"", IF(AD118&lt;&gt;"", E119*AD118, ""), "")</f>
        <v/>
      </c>
      <c r="AE119" s="22" t="str">
        <f>IF(E119&lt;&gt;"", IF(AE118&lt;&gt;"", E119*AE118, ""), "")</f>
        <v/>
      </c>
      <c r="AF119" s="22" t="str">
        <f>IF(E119&lt;&gt;"", IF(AF118&lt;&gt;"", E119*AF118, ""), "")</f>
        <v/>
      </c>
      <c r="AG119" s="22" t="str">
        <f>IF(E119&lt;&gt;"", IF(AG118&lt;&gt;"", E119*AG118, ""), "")</f>
        <v/>
      </c>
      <c r="AH119" s="22" t="str">
        <f>IF(E119&lt;&gt;"", IF(AH118&lt;&gt;"", E119*AH118, ""), "")</f>
        <v/>
      </c>
      <c r="AI119" s="22" t="str">
        <f>IF(E119&lt;&gt;"", IF(AI118&lt;&gt;"", E119*AI118, ""), "")</f>
        <v/>
      </c>
      <c r="AJ119" s="22" t="str">
        <f>IF(E119&lt;&gt;"", IF(AJ118&lt;&gt;"", E119*AJ118, ""), "")</f>
        <v/>
      </c>
      <c r="AK119" s="22" t="str">
        <f>IF(E119&lt;&gt;"", IF(AK118&lt;&gt;"", E119*AK118, ""), "")</f>
        <v/>
      </c>
      <c r="AL119" s="22" t="str">
        <f>IF(E119&lt;&gt;"", IF(AL118&lt;&gt;"", E119*AL118, ""), "")</f>
        <v/>
      </c>
      <c r="AM119" s="22" t="str">
        <f>IF(E119&lt;&gt;"", IF(AM118&lt;&gt;"", E119*AM118, ""), "")</f>
        <v/>
      </c>
      <c r="AN119" s="22" t="str">
        <f>IF(E119&lt;&gt;"", IF(AN118&lt;&gt;"", E119*AN118, ""), "")</f>
        <v/>
      </c>
      <c r="AO119" s="22" t="str">
        <f>IF(E119&lt;&gt;"", IF(AO118&lt;&gt;"", E119*AO118, ""), "")</f>
        <v/>
      </c>
      <c r="AP119" s="22" t="str">
        <f>IF(E119&lt;&gt;"", IF(AP118&lt;&gt;"", E119*AP118, ""), "")</f>
        <v/>
      </c>
      <c r="AQ119" s="22" t="str">
        <f>IF(E119&lt;&gt;"", IF(AQ118&lt;&gt;"", E119*AQ118, ""), "")</f>
        <v/>
      </c>
      <c r="AR119" s="22" t="str">
        <f>IF(E119&lt;&gt;"", IF(AR118&lt;&gt;"", E119*AR118, ""), "")</f>
        <v/>
      </c>
      <c r="AS119" s="22" t="str">
        <f>IF(E119&lt;&gt;"", IF(AS118&lt;&gt;"", E119*AS118, ""), "")</f>
        <v/>
      </c>
      <c r="AT119" s="22" t="str">
        <f>IF(E119&lt;&gt;"", IF(AT118&lt;&gt;"", E119*AT118, ""), "")</f>
        <v/>
      </c>
      <c r="AU119" s="22" t="str">
        <f>IF(E119&lt;&gt;"", IF(AU118&lt;&gt;"", E119*AU118, ""), "")</f>
        <v/>
      </c>
      <c r="AV119" s="22" t="str">
        <f>IF(E119&lt;&gt;"", IF(AV118&lt;&gt;"", E119*AV118, ""), "")</f>
        <v/>
      </c>
      <c r="AW119" s="22" t="str">
        <f>IF(E119&lt;&gt;"", IF(AW118&lt;&gt;"", E119*AW118, ""), "")</f>
        <v/>
      </c>
      <c r="AX119" s="22" t="str">
        <f>IF(E119&lt;&gt;"", IF(AX118&lt;&gt;"", E119*AX118, ""), "")</f>
        <v/>
      </c>
      <c r="AY119" s="22" t="str">
        <f>IF(E119&lt;&gt;"", IF(AY118&lt;&gt;"", E119*AY118, ""), "")</f>
        <v/>
      </c>
      <c r="AZ119" s="22" t="str">
        <f>IF(E119&lt;&gt;"", IF(AZ118&lt;&gt;"", E119*AZ118, ""), "")</f>
        <v/>
      </c>
      <c r="BA119" s="22" t="str">
        <f>IF(E119&lt;&gt;"", IF(BA118&lt;&gt;"", E119*BA118, ""), "")</f>
        <v/>
      </c>
      <c r="BB119" s="22" t="str">
        <f>IF(E119&lt;&gt;"", IF(BB118&lt;&gt;"", E119*BB118, ""), "")</f>
        <v/>
      </c>
      <c r="BC119" s="22" t="str">
        <f>IF(E119&lt;&gt;"", IF(BC118&lt;&gt;"", E119*BC118, ""), "")</f>
        <v/>
      </c>
      <c r="BD119" s="22" t="str">
        <f>IF(E119&lt;&gt;"", IF(BD118&lt;&gt;"", E119*BD118, ""), "")</f>
        <v/>
      </c>
      <c r="BE119" s="22" t="str">
        <f>IF(E119&lt;&gt;"", IF(BE118&lt;&gt;"", E119*BE118, ""), "")</f>
        <v/>
      </c>
      <c r="DK119" s="18">
        <f>P119</f>
        <v>2</v>
      </c>
    </row>
    <row r="120" spans="1:117" ht="20.100000000000001" customHeight="1">
      <c r="A120" s="220">
        <v>10</v>
      </c>
      <c r="B120" s="7"/>
      <c r="C120" s="7"/>
      <c r="D120" s="5" t="s">
        <v>275</v>
      </c>
      <c r="E120" s="3"/>
      <c r="F120" s="46"/>
      <c r="G120" s="46"/>
      <c r="H120" s="46"/>
      <c r="I120" s="46"/>
      <c r="J120" s="46"/>
      <c r="K120" s="46"/>
      <c r="L120" s="46"/>
      <c r="M120" s="46"/>
      <c r="N120" s="46"/>
      <c r="O120" s="46">
        <v>1</v>
      </c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59"/>
      <c r="AB120" s="59"/>
      <c r="AC120" s="59"/>
      <c r="AD120" s="59"/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  <c r="BC120" s="59"/>
      <c r="BD120" s="59"/>
      <c r="BE120" s="59"/>
    </row>
    <row r="121" spans="1:117" ht="20.100000000000001" customHeight="1">
      <c r="A121" s="221"/>
      <c r="B121" s="7"/>
      <c r="C121" s="7"/>
      <c r="D121" s="78">
        <v>4</v>
      </c>
      <c r="E121" s="47">
        <f>IF(egTextCal(D121)&lt;&gt;0, egTextCal(D121),"")</f>
        <v>4</v>
      </c>
      <c r="F121" s="48" t="str">
        <f>IF(E121&lt;&gt;"", IF(F120&lt;&gt;"", E121*F120,""),"")</f>
        <v/>
      </c>
      <c r="G121" s="48" t="str">
        <f>IF(E121&lt;&gt;"", IF(G120&lt;&gt;"", E121*G120,""),"")</f>
        <v/>
      </c>
      <c r="H121" s="48" t="str">
        <f>IF(E121&lt;&gt;"", IF(H120&lt;&gt;"", E121*H120,""),"")</f>
        <v/>
      </c>
      <c r="I121" s="48" t="str">
        <f>IF(E121&lt;&gt;"", IF(I120&lt;&gt;"", E121*I120,""),"")</f>
        <v/>
      </c>
      <c r="J121" s="48" t="str">
        <f>IF(E121&lt;&gt;"", IF(J120&lt;&gt;"", E121*J120,""),"")</f>
        <v/>
      </c>
      <c r="K121" s="48" t="str">
        <f>IF(E121&lt;&gt;"", IF(K120&lt;&gt;"", E121*K120,""),"")</f>
        <v/>
      </c>
      <c r="L121" s="48" t="str">
        <f>IF(E121&lt;&gt;"", IF(L120&lt;&gt;"", E121*L120,""),"")</f>
        <v/>
      </c>
      <c r="M121" s="48" t="str">
        <f>IF(E121&lt;&gt;"", IF(M120&lt;&gt;"", E121*M120,""),"")</f>
        <v/>
      </c>
      <c r="N121" s="48" t="str">
        <f>IF(E121&lt;&gt;"", IF(N120&lt;&gt;"", E121*N120,""),"")</f>
        <v/>
      </c>
      <c r="O121" s="48">
        <f>IF(E121&lt;&gt;"", IF(O120&lt;&gt;"", E121*O120,""),"")</f>
        <v>4</v>
      </c>
      <c r="P121" s="48" t="str">
        <f>IF(E121&lt;&gt;"", IF(P120&lt;&gt;"", E121*P120,""),"")</f>
        <v/>
      </c>
      <c r="Q121" s="48" t="str">
        <f>IF(E121&lt;&gt;"", IF(Q120&lt;&gt;"", E121*Q120,""),"")</f>
        <v/>
      </c>
      <c r="R121" s="48" t="str">
        <f>IF(E121&lt;&gt;"", IF(R120&lt;&gt;"", E121*R120,""),"")</f>
        <v/>
      </c>
      <c r="S121" s="48" t="str">
        <f>IF(E121&lt;&gt;"", IF(S120&lt;&gt;"", E121*S120,""),"")</f>
        <v/>
      </c>
      <c r="T121" s="48" t="str">
        <f>IF(E121&lt;&gt;"", IF(T120&lt;&gt;"", E121*T120,""),"")</f>
        <v/>
      </c>
      <c r="U121" s="48" t="str">
        <f>IF(E121&lt;&gt;"", IF(U120&lt;&gt;"", E121*U120,""),"")</f>
        <v/>
      </c>
      <c r="V121" s="48" t="str">
        <f>IF(E121&lt;&gt;"", IF(V120&lt;&gt;"", E121*V120,""),"")</f>
        <v/>
      </c>
      <c r="W121" s="48" t="str">
        <f>IF(E121&lt;&gt;"", IF(W120&lt;&gt;"", E121*W120,""),"")</f>
        <v/>
      </c>
      <c r="X121" s="48" t="str">
        <f>IF(E121&lt;&gt;"", IF(X120&lt;&gt;"", E121*X120,""),"")</f>
        <v/>
      </c>
      <c r="Y121" s="48" t="str">
        <f>IF(E121&lt;&gt;"", IF(Y120&lt;&gt;"", E121*Y120,""),"")</f>
        <v/>
      </c>
      <c r="Z121" s="48" t="str">
        <f>IF(E121&lt;&gt;"", IF(Z120&lt;&gt;"", E121*Z120,""),"")</f>
        <v/>
      </c>
      <c r="AA121" s="22"/>
      <c r="AB121" s="22" t="str">
        <f>IF(E121&lt;&gt;"", IF(AB120&lt;&gt;"", E121*AB120, ""), "")</f>
        <v/>
      </c>
      <c r="AC121" s="22" t="str">
        <f>IF(E121&lt;&gt;"", IF(AC120&lt;&gt;"", E121*AC120, ""), "")</f>
        <v/>
      </c>
      <c r="AD121" s="22" t="str">
        <f>IF(E121&lt;&gt;"", IF(AD120&lt;&gt;"", E121*AD120, ""), "")</f>
        <v/>
      </c>
      <c r="AE121" s="22" t="str">
        <f>IF(E121&lt;&gt;"", IF(AE120&lt;&gt;"", E121*AE120, ""), "")</f>
        <v/>
      </c>
      <c r="AF121" s="22" t="str">
        <f>IF(E121&lt;&gt;"", IF(AF120&lt;&gt;"", E121*AF120, ""), "")</f>
        <v/>
      </c>
      <c r="AG121" s="22" t="str">
        <f>IF(E121&lt;&gt;"", IF(AG120&lt;&gt;"", E121*AG120, ""), "")</f>
        <v/>
      </c>
      <c r="AH121" s="22" t="str">
        <f>IF(E121&lt;&gt;"", IF(AH120&lt;&gt;"", E121*AH120, ""), "")</f>
        <v/>
      </c>
      <c r="AI121" s="22" t="str">
        <f>IF(E121&lt;&gt;"", IF(AI120&lt;&gt;"", E121*AI120, ""), "")</f>
        <v/>
      </c>
      <c r="AJ121" s="22" t="str">
        <f>IF(E121&lt;&gt;"", IF(AJ120&lt;&gt;"", E121*AJ120, ""), "")</f>
        <v/>
      </c>
      <c r="AK121" s="22" t="str">
        <f>IF(E121&lt;&gt;"", IF(AK120&lt;&gt;"", E121*AK120, ""), "")</f>
        <v/>
      </c>
      <c r="AL121" s="22" t="str">
        <f>IF(E121&lt;&gt;"", IF(AL120&lt;&gt;"", E121*AL120, ""), "")</f>
        <v/>
      </c>
      <c r="AM121" s="22" t="str">
        <f>IF(E121&lt;&gt;"", IF(AM120&lt;&gt;"", E121*AM120, ""), "")</f>
        <v/>
      </c>
      <c r="AN121" s="22" t="str">
        <f>IF(E121&lt;&gt;"", IF(AN120&lt;&gt;"", E121*AN120, ""), "")</f>
        <v/>
      </c>
      <c r="AO121" s="22" t="str">
        <f>IF(E121&lt;&gt;"", IF(AO120&lt;&gt;"", E121*AO120, ""), "")</f>
        <v/>
      </c>
      <c r="AP121" s="22" t="str">
        <f>IF(E121&lt;&gt;"", IF(AP120&lt;&gt;"", E121*AP120, ""), "")</f>
        <v/>
      </c>
      <c r="AQ121" s="22" t="str">
        <f>IF(E121&lt;&gt;"", IF(AQ120&lt;&gt;"", E121*AQ120, ""), "")</f>
        <v/>
      </c>
      <c r="AR121" s="22" t="str">
        <f>IF(E121&lt;&gt;"", IF(AR120&lt;&gt;"", E121*AR120, ""), "")</f>
        <v/>
      </c>
      <c r="AS121" s="22" t="str">
        <f>IF(E121&lt;&gt;"", IF(AS120&lt;&gt;"", E121*AS120, ""), "")</f>
        <v/>
      </c>
      <c r="AT121" s="22" t="str">
        <f>IF(E121&lt;&gt;"", IF(AT120&lt;&gt;"", E121*AT120, ""), "")</f>
        <v/>
      </c>
      <c r="AU121" s="22" t="str">
        <f>IF(E121&lt;&gt;"", IF(AU120&lt;&gt;"", E121*AU120, ""), "")</f>
        <v/>
      </c>
      <c r="AV121" s="22" t="str">
        <f>IF(E121&lt;&gt;"", IF(AV120&lt;&gt;"", E121*AV120, ""), "")</f>
        <v/>
      </c>
      <c r="AW121" s="22" t="str">
        <f>IF(E121&lt;&gt;"", IF(AW120&lt;&gt;"", E121*AW120, ""), "")</f>
        <v/>
      </c>
      <c r="AX121" s="22" t="str">
        <f>IF(E121&lt;&gt;"", IF(AX120&lt;&gt;"", E121*AX120, ""), "")</f>
        <v/>
      </c>
      <c r="AY121" s="22" t="str">
        <f>IF(E121&lt;&gt;"", IF(AY120&lt;&gt;"", E121*AY120, ""), "")</f>
        <v/>
      </c>
      <c r="AZ121" s="22" t="str">
        <f>IF(E121&lt;&gt;"", IF(AZ120&lt;&gt;"", E121*AZ120, ""), "")</f>
        <v/>
      </c>
      <c r="BA121" s="22" t="str">
        <f>IF(E121&lt;&gt;"", IF(BA120&lt;&gt;"", E121*BA120, ""), "")</f>
        <v/>
      </c>
      <c r="BB121" s="22" t="str">
        <f>IF(E121&lt;&gt;"", IF(BB120&lt;&gt;"", E121*BB120, ""), "")</f>
        <v/>
      </c>
      <c r="BC121" s="22" t="str">
        <f>IF(E121&lt;&gt;"", IF(BC120&lt;&gt;"", E121*BC120, ""), "")</f>
        <v/>
      </c>
      <c r="BD121" s="22" t="str">
        <f>IF(E121&lt;&gt;"", IF(BD120&lt;&gt;"", E121*BD120, ""), "")</f>
        <v/>
      </c>
      <c r="BE121" s="22" t="str">
        <f>IF(E121&lt;&gt;"", IF(BE120&lt;&gt;"", E121*BE120, ""), "")</f>
        <v/>
      </c>
      <c r="DJ121" s="18">
        <f>O121</f>
        <v>4</v>
      </c>
    </row>
    <row r="122" spans="1:117" ht="20.100000000000001" customHeight="1">
      <c r="A122" s="220">
        <v>11</v>
      </c>
      <c r="B122" s="7"/>
      <c r="C122" s="7"/>
      <c r="D122" s="5" t="s">
        <v>276</v>
      </c>
      <c r="E122" s="3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>
        <v>1</v>
      </c>
      <c r="S122" s="46"/>
      <c r="T122" s="46"/>
      <c r="U122" s="46"/>
      <c r="V122" s="46"/>
      <c r="W122" s="46"/>
      <c r="X122" s="46"/>
      <c r="Y122" s="46"/>
      <c r="Z122" s="46"/>
      <c r="AA122" s="59"/>
      <c r="AB122" s="59"/>
      <c r="AC122" s="59"/>
      <c r="AD122" s="59"/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  <c r="BC122" s="59"/>
      <c r="BD122" s="59"/>
      <c r="BE122" s="59"/>
    </row>
    <row r="123" spans="1:117" ht="20.100000000000001" customHeight="1">
      <c r="A123" s="221"/>
      <c r="B123" s="7"/>
      <c r="C123" s="7"/>
      <c r="D123" s="78">
        <v>2</v>
      </c>
      <c r="E123" s="47">
        <f>IF(egTextCal(D123)&lt;&gt;0, egTextCal(D123),"")</f>
        <v>2</v>
      </c>
      <c r="F123" s="48" t="str">
        <f>IF(E123&lt;&gt;"", IF(F122&lt;&gt;"", E123*F122,""),"")</f>
        <v/>
      </c>
      <c r="G123" s="48" t="str">
        <f>IF(E123&lt;&gt;"", IF(G122&lt;&gt;"", E123*G122,""),"")</f>
        <v/>
      </c>
      <c r="H123" s="48" t="str">
        <f>IF(E123&lt;&gt;"", IF(H122&lt;&gt;"", E123*H122,""),"")</f>
        <v/>
      </c>
      <c r="I123" s="48" t="str">
        <f>IF(E123&lt;&gt;"", IF(I122&lt;&gt;"", E123*I122,""),"")</f>
        <v/>
      </c>
      <c r="J123" s="48" t="str">
        <f>IF(E123&lt;&gt;"", IF(J122&lt;&gt;"", E123*J122,""),"")</f>
        <v/>
      </c>
      <c r="K123" s="48" t="str">
        <f>IF(E123&lt;&gt;"", IF(K122&lt;&gt;"", E123*K122,""),"")</f>
        <v/>
      </c>
      <c r="L123" s="48" t="str">
        <f>IF(E123&lt;&gt;"", IF(L122&lt;&gt;"", E123*L122,""),"")</f>
        <v/>
      </c>
      <c r="M123" s="48" t="str">
        <f>IF(E123&lt;&gt;"", IF(M122&lt;&gt;"", E123*M122,""),"")</f>
        <v/>
      </c>
      <c r="N123" s="48" t="str">
        <f>IF(E123&lt;&gt;"", IF(N122&lt;&gt;"", E123*N122,""),"")</f>
        <v/>
      </c>
      <c r="O123" s="48" t="str">
        <f>IF(E123&lt;&gt;"", IF(O122&lt;&gt;"", E123*O122,""),"")</f>
        <v/>
      </c>
      <c r="P123" s="48" t="str">
        <f>IF(E123&lt;&gt;"", IF(P122&lt;&gt;"", E123*P122,""),"")</f>
        <v/>
      </c>
      <c r="Q123" s="48" t="str">
        <f>IF(E123&lt;&gt;"", IF(Q122&lt;&gt;"", E123*Q122,""),"")</f>
        <v/>
      </c>
      <c r="R123" s="48">
        <f>IF(E123&lt;&gt;"", IF(R122&lt;&gt;"", E123*R122,""),"")</f>
        <v>2</v>
      </c>
      <c r="S123" s="48" t="str">
        <f>IF(E123&lt;&gt;"", IF(S122&lt;&gt;"", E123*S122,""),"")</f>
        <v/>
      </c>
      <c r="T123" s="48" t="str">
        <f>IF(E123&lt;&gt;"", IF(T122&lt;&gt;"", E123*T122,""),"")</f>
        <v/>
      </c>
      <c r="U123" s="48" t="str">
        <f>IF(E123&lt;&gt;"", IF(U122&lt;&gt;"", E123*U122,""),"")</f>
        <v/>
      </c>
      <c r="V123" s="48" t="str">
        <f>IF(E123&lt;&gt;"", IF(V122&lt;&gt;"", E123*V122,""),"")</f>
        <v/>
      </c>
      <c r="W123" s="48" t="str">
        <f>IF(E123&lt;&gt;"", IF(W122&lt;&gt;"", E123*W122,""),"")</f>
        <v/>
      </c>
      <c r="X123" s="48" t="str">
        <f>IF(E123&lt;&gt;"", IF(X122&lt;&gt;"", E123*X122,""),"")</f>
        <v/>
      </c>
      <c r="Y123" s="48" t="str">
        <f>IF(E123&lt;&gt;"", IF(Y122&lt;&gt;"", E123*Y122,""),"")</f>
        <v/>
      </c>
      <c r="Z123" s="48" t="str">
        <f>IF(E123&lt;&gt;"", IF(Z122&lt;&gt;"", E123*Z122,""),"")</f>
        <v/>
      </c>
      <c r="AA123" s="22"/>
      <c r="AB123" s="22" t="str">
        <f>IF(E123&lt;&gt;"", IF(AB122&lt;&gt;"", E123*AB122, ""), "")</f>
        <v/>
      </c>
      <c r="AC123" s="22" t="str">
        <f>IF(E123&lt;&gt;"", IF(AC122&lt;&gt;"", E123*AC122, ""), "")</f>
        <v/>
      </c>
      <c r="AD123" s="22" t="str">
        <f>IF(E123&lt;&gt;"", IF(AD122&lt;&gt;"", E123*AD122, ""), "")</f>
        <v/>
      </c>
      <c r="AE123" s="22" t="str">
        <f>IF(E123&lt;&gt;"", IF(AE122&lt;&gt;"", E123*AE122, ""), "")</f>
        <v/>
      </c>
      <c r="AF123" s="22" t="str">
        <f>IF(E123&lt;&gt;"", IF(AF122&lt;&gt;"", E123*AF122, ""), "")</f>
        <v/>
      </c>
      <c r="AG123" s="22" t="str">
        <f>IF(E123&lt;&gt;"", IF(AG122&lt;&gt;"", E123*AG122, ""), "")</f>
        <v/>
      </c>
      <c r="AH123" s="22" t="str">
        <f>IF(E123&lt;&gt;"", IF(AH122&lt;&gt;"", E123*AH122, ""), "")</f>
        <v/>
      </c>
      <c r="AI123" s="22" t="str">
        <f>IF(E123&lt;&gt;"", IF(AI122&lt;&gt;"", E123*AI122, ""), "")</f>
        <v/>
      </c>
      <c r="AJ123" s="22" t="str">
        <f>IF(E123&lt;&gt;"", IF(AJ122&lt;&gt;"", E123*AJ122, ""), "")</f>
        <v/>
      </c>
      <c r="AK123" s="22" t="str">
        <f>IF(E123&lt;&gt;"", IF(AK122&lt;&gt;"", E123*AK122, ""), "")</f>
        <v/>
      </c>
      <c r="AL123" s="22" t="str">
        <f>IF(E123&lt;&gt;"", IF(AL122&lt;&gt;"", E123*AL122, ""), "")</f>
        <v/>
      </c>
      <c r="AM123" s="22" t="str">
        <f>IF(E123&lt;&gt;"", IF(AM122&lt;&gt;"", E123*AM122, ""), "")</f>
        <v/>
      </c>
      <c r="AN123" s="22" t="str">
        <f>IF(E123&lt;&gt;"", IF(AN122&lt;&gt;"", E123*AN122, ""), "")</f>
        <v/>
      </c>
      <c r="AO123" s="22" t="str">
        <f>IF(E123&lt;&gt;"", IF(AO122&lt;&gt;"", E123*AO122, ""), "")</f>
        <v/>
      </c>
      <c r="AP123" s="22" t="str">
        <f>IF(E123&lt;&gt;"", IF(AP122&lt;&gt;"", E123*AP122, ""), "")</f>
        <v/>
      </c>
      <c r="AQ123" s="22" t="str">
        <f>IF(E123&lt;&gt;"", IF(AQ122&lt;&gt;"", E123*AQ122, ""), "")</f>
        <v/>
      </c>
      <c r="AR123" s="22" t="str">
        <f>IF(E123&lt;&gt;"", IF(AR122&lt;&gt;"", E123*AR122, ""), "")</f>
        <v/>
      </c>
      <c r="AS123" s="22" t="str">
        <f>IF(E123&lt;&gt;"", IF(AS122&lt;&gt;"", E123*AS122, ""), "")</f>
        <v/>
      </c>
      <c r="AT123" s="22" t="str">
        <f>IF(E123&lt;&gt;"", IF(AT122&lt;&gt;"", E123*AT122, ""), "")</f>
        <v/>
      </c>
      <c r="AU123" s="22" t="str">
        <f>IF(E123&lt;&gt;"", IF(AU122&lt;&gt;"", E123*AU122, ""), "")</f>
        <v/>
      </c>
      <c r="AV123" s="22" t="str">
        <f>IF(E123&lt;&gt;"", IF(AV122&lt;&gt;"", E123*AV122, ""), "")</f>
        <v/>
      </c>
      <c r="AW123" s="22" t="str">
        <f>IF(E123&lt;&gt;"", IF(AW122&lt;&gt;"", E123*AW122, ""), "")</f>
        <v/>
      </c>
      <c r="AX123" s="22" t="str">
        <f>IF(E123&lt;&gt;"", IF(AX122&lt;&gt;"", E123*AX122, ""), "")</f>
        <v/>
      </c>
      <c r="AY123" s="22" t="str">
        <f>IF(E123&lt;&gt;"", IF(AY122&lt;&gt;"", E123*AY122, ""), "")</f>
        <v/>
      </c>
      <c r="AZ123" s="22" t="str">
        <f>IF(E123&lt;&gt;"", IF(AZ122&lt;&gt;"", E123*AZ122, ""), "")</f>
        <v/>
      </c>
      <c r="BA123" s="22" t="str">
        <f>IF(E123&lt;&gt;"", IF(BA122&lt;&gt;"", E123*BA122, ""), "")</f>
        <v/>
      </c>
      <c r="BB123" s="22" t="str">
        <f>IF(E123&lt;&gt;"", IF(BB122&lt;&gt;"", E123*BB122, ""), "")</f>
        <v/>
      </c>
      <c r="BC123" s="22" t="str">
        <f>IF(E123&lt;&gt;"", IF(BC122&lt;&gt;"", E123*BC122, ""), "")</f>
        <v/>
      </c>
      <c r="BD123" s="22" t="str">
        <f>IF(E123&lt;&gt;"", IF(BD122&lt;&gt;"", E123*BD122, ""), "")</f>
        <v/>
      </c>
      <c r="BE123" s="22" t="str">
        <f>IF(E123&lt;&gt;"", IF(BE122&lt;&gt;"", E123*BE122, ""), "")</f>
        <v/>
      </c>
      <c r="DM123" s="18">
        <f>R123</f>
        <v>2</v>
      </c>
    </row>
    <row r="124" spans="1:117" ht="20.100000000000001" customHeight="1">
      <c r="A124" s="220">
        <v>12</v>
      </c>
      <c r="B124" s="7"/>
      <c r="C124" s="7"/>
      <c r="D124" s="5" t="s">
        <v>277</v>
      </c>
      <c r="E124" s="3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59"/>
      <c r="AB124" s="59"/>
      <c r="AC124" s="59"/>
      <c r="AD124" s="59"/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59"/>
      <c r="BA124" s="59"/>
      <c r="BB124" s="59"/>
      <c r="BC124" s="59"/>
      <c r="BD124" s="59"/>
      <c r="BE124" s="59"/>
    </row>
    <row r="125" spans="1:117" ht="20.100000000000001" customHeight="1">
      <c r="A125" s="221"/>
      <c r="B125" s="7"/>
      <c r="C125" s="7"/>
      <c r="D125" s="78">
        <v>6</v>
      </c>
      <c r="E125" s="47">
        <f>IF(egTextCal(D125)&lt;&gt;0, egTextCal(D125),"")</f>
        <v>6</v>
      </c>
      <c r="F125" s="48" t="str">
        <f>IF(E125&lt;&gt;"", IF(F124&lt;&gt;"", E125*F124,""),"")</f>
        <v/>
      </c>
      <c r="G125" s="48" t="str">
        <f>IF(E125&lt;&gt;"", IF(G124&lt;&gt;"", E125*G124,""),"")</f>
        <v/>
      </c>
      <c r="H125" s="48" t="str">
        <f>IF(E125&lt;&gt;"", IF(H124&lt;&gt;"", E125*H124,""),"")</f>
        <v/>
      </c>
      <c r="I125" s="48" t="str">
        <f>IF(E125&lt;&gt;"", IF(I124&lt;&gt;"", E125*I124,""),"")</f>
        <v/>
      </c>
      <c r="J125" s="48" t="str">
        <f>IF(E125&lt;&gt;"", IF(J124&lt;&gt;"", E125*J124,""),"")</f>
        <v/>
      </c>
      <c r="K125" s="48" t="str">
        <f>IF(E125&lt;&gt;"", IF(K124&lt;&gt;"", E125*K124,""),"")</f>
        <v/>
      </c>
      <c r="L125" s="48" t="str">
        <f>IF(E125&lt;&gt;"", IF(L124&lt;&gt;"", E125*L124,""),"")</f>
        <v/>
      </c>
      <c r="M125" s="48" t="str">
        <f>IF(E125&lt;&gt;"", IF(M124&lt;&gt;"", E125*M124,""),"")</f>
        <v/>
      </c>
      <c r="N125" s="48" t="str">
        <f>IF(E125&lt;&gt;"", IF(N124&lt;&gt;"", E125*N124,""),"")</f>
        <v/>
      </c>
      <c r="O125" s="48" t="str">
        <f>IF(E125&lt;&gt;"", IF(O124&lt;&gt;"", E125*O124,""),"")</f>
        <v/>
      </c>
      <c r="P125" s="48" t="str">
        <f>IF(E125&lt;&gt;"", IF(P124&lt;&gt;"", E125*P124,""),"")</f>
        <v/>
      </c>
      <c r="Q125" s="48" t="str">
        <f>IF(E125&lt;&gt;"", IF(Q124&lt;&gt;"", E125*Q124,""),"")</f>
        <v/>
      </c>
      <c r="R125" s="48" t="str">
        <f>IF(E125&lt;&gt;"", IF(R124&lt;&gt;"", E125*R124,""),"")</f>
        <v/>
      </c>
      <c r="S125" s="48" t="str">
        <f>IF(E125&lt;&gt;"", IF(S124&lt;&gt;"", E125*S124,""),"")</f>
        <v/>
      </c>
      <c r="T125" s="48" t="str">
        <f>IF(E125&lt;&gt;"", IF(T124&lt;&gt;"", E125*T124,""),"")</f>
        <v/>
      </c>
      <c r="U125" s="48" t="str">
        <f>IF(E125&lt;&gt;"", IF(U124&lt;&gt;"", E125*U124,""),"")</f>
        <v/>
      </c>
      <c r="V125" s="48" t="str">
        <f>IF(E125&lt;&gt;"", IF(V124&lt;&gt;"", E125*V124,""),"")</f>
        <v/>
      </c>
      <c r="W125" s="48" t="str">
        <f>IF(E125&lt;&gt;"", IF(W124&lt;&gt;"", E125*W124,""),"")</f>
        <v/>
      </c>
      <c r="X125" s="48" t="str">
        <f>IF(E125&lt;&gt;"", IF(X124&lt;&gt;"", E125*X124,""),"")</f>
        <v/>
      </c>
      <c r="Y125" s="48" t="str">
        <f>IF(E125&lt;&gt;"", IF(Y124&lt;&gt;"", E125*Y124,""),"")</f>
        <v/>
      </c>
      <c r="Z125" s="48" t="str">
        <f>IF(E125&lt;&gt;"", IF(Z124&lt;&gt;"", E125*Z124,""),"")</f>
        <v/>
      </c>
      <c r="AA125" s="22"/>
      <c r="AB125" s="22" t="str">
        <f>IF(E125&lt;&gt;"", IF(AB124&lt;&gt;"", E125*AB124, ""), "")</f>
        <v/>
      </c>
      <c r="AC125" s="22" t="str">
        <f>IF(E125&lt;&gt;"", IF(AC124&lt;&gt;"", E125*AC124, ""), "")</f>
        <v/>
      </c>
      <c r="AD125" s="22" t="str">
        <f>IF(E125&lt;&gt;"", IF(AD124&lt;&gt;"", E125*AD124, ""), "")</f>
        <v/>
      </c>
      <c r="AE125" s="22" t="str">
        <f>IF(E125&lt;&gt;"", IF(AE124&lt;&gt;"", E125*AE124, ""), "")</f>
        <v/>
      </c>
      <c r="AF125" s="22" t="str">
        <f>IF(E125&lt;&gt;"", IF(AF124&lt;&gt;"", E125*AF124, ""), "")</f>
        <v/>
      </c>
      <c r="AG125" s="22" t="str">
        <f>IF(E125&lt;&gt;"", IF(AG124&lt;&gt;"", E125*AG124, ""), "")</f>
        <v/>
      </c>
      <c r="AH125" s="22" t="str">
        <f>IF(E125&lt;&gt;"", IF(AH124&lt;&gt;"", E125*AH124, ""), "")</f>
        <v/>
      </c>
      <c r="AI125" s="22" t="str">
        <f>IF(E125&lt;&gt;"", IF(AI124&lt;&gt;"", E125*AI124, ""), "")</f>
        <v/>
      </c>
      <c r="AJ125" s="22" t="str">
        <f>IF(E125&lt;&gt;"", IF(AJ124&lt;&gt;"", E125*AJ124, ""), "")</f>
        <v/>
      </c>
      <c r="AK125" s="22" t="str">
        <f>IF(E125&lt;&gt;"", IF(AK124&lt;&gt;"", E125*AK124, ""), "")</f>
        <v/>
      </c>
      <c r="AL125" s="22" t="str">
        <f>IF(E125&lt;&gt;"", IF(AL124&lt;&gt;"", E125*AL124, ""), "")</f>
        <v/>
      </c>
      <c r="AM125" s="22" t="str">
        <f>IF(E125&lt;&gt;"", IF(AM124&lt;&gt;"", E125*AM124, ""), "")</f>
        <v/>
      </c>
      <c r="AN125" s="22" t="str">
        <f>IF(E125&lt;&gt;"", IF(AN124&lt;&gt;"", E125*AN124, ""), "")</f>
        <v/>
      </c>
      <c r="AO125" s="22" t="str">
        <f>IF(E125&lt;&gt;"", IF(AO124&lt;&gt;"", E125*AO124, ""), "")</f>
        <v/>
      </c>
      <c r="AP125" s="22" t="str">
        <f>IF(E125&lt;&gt;"", IF(AP124&lt;&gt;"", E125*AP124, ""), "")</f>
        <v/>
      </c>
      <c r="AQ125" s="22" t="str">
        <f>IF(E125&lt;&gt;"", IF(AQ124&lt;&gt;"", E125*AQ124, ""), "")</f>
        <v/>
      </c>
      <c r="AR125" s="22" t="str">
        <f>IF(E125&lt;&gt;"", IF(AR124&lt;&gt;"", E125*AR124, ""), "")</f>
        <v/>
      </c>
      <c r="AS125" s="22" t="str">
        <f>IF(E125&lt;&gt;"", IF(AS124&lt;&gt;"", E125*AS124, ""), "")</f>
        <v/>
      </c>
      <c r="AT125" s="22" t="str">
        <f>IF(E125&lt;&gt;"", IF(AT124&lt;&gt;"", E125*AT124, ""), "")</f>
        <v/>
      </c>
      <c r="AU125" s="22" t="str">
        <f>IF(E125&lt;&gt;"", IF(AU124&lt;&gt;"", E125*AU124, ""), "")</f>
        <v/>
      </c>
      <c r="AV125" s="22" t="str">
        <f>IF(E125&lt;&gt;"", IF(AV124&lt;&gt;"", E125*AV124, ""), "")</f>
        <v/>
      </c>
      <c r="AW125" s="22" t="str">
        <f>IF(E125&lt;&gt;"", IF(AW124&lt;&gt;"", E125*AW124, ""), "")</f>
        <v/>
      </c>
      <c r="AX125" s="22" t="str">
        <f>IF(E125&lt;&gt;"", IF(AX124&lt;&gt;"", E125*AX124, ""), "")</f>
        <v/>
      </c>
      <c r="AY125" s="22" t="str">
        <f>IF(E125&lt;&gt;"", IF(AY124&lt;&gt;"", E125*AY124, ""), "")</f>
        <v/>
      </c>
      <c r="AZ125" s="22" t="str">
        <f>IF(E125&lt;&gt;"", IF(AZ124&lt;&gt;"", E125*AZ124, ""), "")</f>
        <v/>
      </c>
      <c r="BA125" s="22" t="str">
        <f>IF(E125&lt;&gt;"", IF(BA124&lt;&gt;"", E125*BA124, ""), "")</f>
        <v/>
      </c>
      <c r="BB125" s="22" t="str">
        <f>IF(E125&lt;&gt;"", IF(BB124&lt;&gt;"", E125*BB124, ""), "")</f>
        <v/>
      </c>
      <c r="BC125" s="22" t="str">
        <f>IF(E125&lt;&gt;"", IF(BC124&lt;&gt;"", E125*BC124, ""), "")</f>
        <v/>
      </c>
      <c r="BD125" s="22" t="str">
        <f>IF(E125&lt;&gt;"", IF(BD124&lt;&gt;"", E125*BD124, ""), "")</f>
        <v/>
      </c>
      <c r="BE125" s="22" t="str">
        <f>IF(E125&lt;&gt;"", IF(BE124&lt;&gt;"", E125*BE124, ""), "")</f>
        <v/>
      </c>
    </row>
    <row r="126" spans="1:117" ht="20.100000000000001" customHeight="1">
      <c r="A126" s="220">
        <v>13</v>
      </c>
      <c r="B126" s="7"/>
      <c r="C126" s="7"/>
      <c r="D126" s="5" t="s">
        <v>278</v>
      </c>
      <c r="E126" s="3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59"/>
      <c r="AB126" s="59"/>
      <c r="AC126" s="59"/>
      <c r="AD126" s="59"/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59"/>
      <c r="BA126" s="59"/>
      <c r="BB126" s="59"/>
      <c r="BC126" s="59"/>
      <c r="BD126" s="59"/>
      <c r="BE126" s="59"/>
    </row>
    <row r="127" spans="1:117" ht="20.100000000000001" customHeight="1">
      <c r="A127" s="221"/>
      <c r="B127" s="7"/>
      <c r="C127" s="7"/>
      <c r="D127" s="78">
        <v>2</v>
      </c>
      <c r="E127" s="47">
        <f>IF(egTextCal(D127)&lt;&gt;0, egTextCal(D127),"")</f>
        <v>2</v>
      </c>
      <c r="F127" s="48" t="str">
        <f>IF(E127&lt;&gt;"", IF(F126&lt;&gt;"", E127*F126,""),"")</f>
        <v/>
      </c>
      <c r="G127" s="48" t="str">
        <f>IF(E127&lt;&gt;"", IF(G126&lt;&gt;"", E127*G126,""),"")</f>
        <v/>
      </c>
      <c r="H127" s="48" t="str">
        <f>IF(E127&lt;&gt;"", IF(H126&lt;&gt;"", E127*H126,""),"")</f>
        <v/>
      </c>
      <c r="I127" s="48" t="str">
        <f>IF(E127&lt;&gt;"", IF(I126&lt;&gt;"", E127*I126,""),"")</f>
        <v/>
      </c>
      <c r="J127" s="48" t="str">
        <f>IF(E127&lt;&gt;"", IF(J126&lt;&gt;"", E127*J126,""),"")</f>
        <v/>
      </c>
      <c r="K127" s="48" t="str">
        <f>IF(E127&lt;&gt;"", IF(K126&lt;&gt;"", E127*K126,""),"")</f>
        <v/>
      </c>
      <c r="L127" s="48" t="str">
        <f>IF(E127&lt;&gt;"", IF(L126&lt;&gt;"", E127*L126,""),"")</f>
        <v/>
      </c>
      <c r="M127" s="48" t="str">
        <f>IF(E127&lt;&gt;"", IF(M126&lt;&gt;"", E127*M126,""),"")</f>
        <v/>
      </c>
      <c r="N127" s="48" t="str">
        <f>IF(E127&lt;&gt;"", IF(N126&lt;&gt;"", E127*N126,""),"")</f>
        <v/>
      </c>
      <c r="O127" s="48" t="str">
        <f>IF(E127&lt;&gt;"", IF(O126&lt;&gt;"", E127*O126,""),"")</f>
        <v/>
      </c>
      <c r="P127" s="48" t="str">
        <f>IF(E127&lt;&gt;"", IF(P126&lt;&gt;"", E127*P126,""),"")</f>
        <v/>
      </c>
      <c r="Q127" s="48" t="str">
        <f>IF(E127&lt;&gt;"", IF(Q126&lt;&gt;"", E127*Q126,""),"")</f>
        <v/>
      </c>
      <c r="R127" s="48" t="str">
        <f>IF(E127&lt;&gt;"", IF(R126&lt;&gt;"", E127*R126,""),"")</f>
        <v/>
      </c>
      <c r="S127" s="48" t="str">
        <f>IF(E127&lt;&gt;"", IF(S126&lt;&gt;"", E127*S126,""),"")</f>
        <v/>
      </c>
      <c r="T127" s="48" t="str">
        <f>IF(E127&lt;&gt;"", IF(T126&lt;&gt;"", E127*T126,""),"")</f>
        <v/>
      </c>
      <c r="U127" s="48" t="str">
        <f>IF(E127&lt;&gt;"", IF(U126&lt;&gt;"", E127*U126,""),"")</f>
        <v/>
      </c>
      <c r="V127" s="48" t="str">
        <f>IF(E127&lt;&gt;"", IF(V126&lt;&gt;"", E127*V126,""),"")</f>
        <v/>
      </c>
      <c r="W127" s="48" t="str">
        <f>IF(E127&lt;&gt;"", IF(W126&lt;&gt;"", E127*W126,""),"")</f>
        <v/>
      </c>
      <c r="X127" s="48" t="str">
        <f>IF(E127&lt;&gt;"", IF(X126&lt;&gt;"", E127*X126,""),"")</f>
        <v/>
      </c>
      <c r="Y127" s="48" t="str">
        <f>IF(E127&lt;&gt;"", IF(Y126&lt;&gt;"", E127*Y126,""),"")</f>
        <v/>
      </c>
      <c r="Z127" s="48" t="str">
        <f>IF(E127&lt;&gt;"", IF(Z126&lt;&gt;"", E127*Z126,""),"")</f>
        <v/>
      </c>
      <c r="AA127" s="22"/>
      <c r="AB127" s="22" t="str">
        <f>IF(E127&lt;&gt;"", IF(AB126&lt;&gt;"", E127*AB126, ""), "")</f>
        <v/>
      </c>
      <c r="AC127" s="22" t="str">
        <f>IF(E127&lt;&gt;"", IF(AC126&lt;&gt;"", E127*AC126, ""), "")</f>
        <v/>
      </c>
      <c r="AD127" s="22" t="str">
        <f>IF(E127&lt;&gt;"", IF(AD126&lt;&gt;"", E127*AD126, ""), "")</f>
        <v/>
      </c>
      <c r="AE127" s="22" t="str">
        <f>IF(E127&lt;&gt;"", IF(AE126&lt;&gt;"", E127*AE126, ""), "")</f>
        <v/>
      </c>
      <c r="AF127" s="22" t="str">
        <f>IF(E127&lt;&gt;"", IF(AF126&lt;&gt;"", E127*AF126, ""), "")</f>
        <v/>
      </c>
      <c r="AG127" s="22" t="str">
        <f>IF(E127&lt;&gt;"", IF(AG126&lt;&gt;"", E127*AG126, ""), "")</f>
        <v/>
      </c>
      <c r="AH127" s="22" t="str">
        <f>IF(E127&lt;&gt;"", IF(AH126&lt;&gt;"", E127*AH126, ""), "")</f>
        <v/>
      </c>
      <c r="AI127" s="22" t="str">
        <f>IF(E127&lt;&gt;"", IF(AI126&lt;&gt;"", E127*AI126, ""), "")</f>
        <v/>
      </c>
      <c r="AJ127" s="22" t="str">
        <f>IF(E127&lt;&gt;"", IF(AJ126&lt;&gt;"", E127*AJ126, ""), "")</f>
        <v/>
      </c>
      <c r="AK127" s="22" t="str">
        <f>IF(E127&lt;&gt;"", IF(AK126&lt;&gt;"", E127*AK126, ""), "")</f>
        <v/>
      </c>
      <c r="AL127" s="22" t="str">
        <f>IF(E127&lt;&gt;"", IF(AL126&lt;&gt;"", E127*AL126, ""), "")</f>
        <v/>
      </c>
      <c r="AM127" s="22" t="str">
        <f>IF(E127&lt;&gt;"", IF(AM126&lt;&gt;"", E127*AM126, ""), "")</f>
        <v/>
      </c>
      <c r="AN127" s="22" t="str">
        <f>IF(E127&lt;&gt;"", IF(AN126&lt;&gt;"", E127*AN126, ""), "")</f>
        <v/>
      </c>
      <c r="AO127" s="22" t="str">
        <f>IF(E127&lt;&gt;"", IF(AO126&lt;&gt;"", E127*AO126, ""), "")</f>
        <v/>
      </c>
      <c r="AP127" s="22" t="str">
        <f>IF(E127&lt;&gt;"", IF(AP126&lt;&gt;"", E127*AP126, ""), "")</f>
        <v/>
      </c>
      <c r="AQ127" s="22" t="str">
        <f>IF(E127&lt;&gt;"", IF(AQ126&lt;&gt;"", E127*AQ126, ""), "")</f>
        <v/>
      </c>
      <c r="AR127" s="22" t="str">
        <f>IF(E127&lt;&gt;"", IF(AR126&lt;&gt;"", E127*AR126, ""), "")</f>
        <v/>
      </c>
      <c r="AS127" s="22" t="str">
        <f>IF(E127&lt;&gt;"", IF(AS126&lt;&gt;"", E127*AS126, ""), "")</f>
        <v/>
      </c>
      <c r="AT127" s="22" t="str">
        <f>IF(E127&lt;&gt;"", IF(AT126&lt;&gt;"", E127*AT126, ""), "")</f>
        <v/>
      </c>
      <c r="AU127" s="22" t="str">
        <f>IF(E127&lt;&gt;"", IF(AU126&lt;&gt;"", E127*AU126, ""), "")</f>
        <v/>
      </c>
      <c r="AV127" s="22" t="str">
        <f>IF(E127&lt;&gt;"", IF(AV126&lt;&gt;"", E127*AV126, ""), "")</f>
        <v/>
      </c>
      <c r="AW127" s="22" t="str">
        <f>IF(E127&lt;&gt;"", IF(AW126&lt;&gt;"", E127*AW126, ""), "")</f>
        <v/>
      </c>
      <c r="AX127" s="22" t="str">
        <f>IF(E127&lt;&gt;"", IF(AX126&lt;&gt;"", E127*AX126, ""), "")</f>
        <v/>
      </c>
      <c r="AY127" s="22" t="str">
        <f>IF(E127&lt;&gt;"", IF(AY126&lt;&gt;"", E127*AY126, ""), "")</f>
        <v/>
      </c>
      <c r="AZ127" s="22" t="str">
        <f>IF(E127&lt;&gt;"", IF(AZ126&lt;&gt;"", E127*AZ126, ""), "")</f>
        <v/>
      </c>
      <c r="BA127" s="22" t="str">
        <f>IF(E127&lt;&gt;"", IF(BA126&lt;&gt;"", E127*BA126, ""), "")</f>
        <v/>
      </c>
      <c r="BB127" s="22" t="str">
        <f>IF(E127&lt;&gt;"", IF(BB126&lt;&gt;"", E127*BB126, ""), "")</f>
        <v/>
      </c>
      <c r="BC127" s="22" t="str">
        <f>IF(E127&lt;&gt;"", IF(BC126&lt;&gt;"", E127*BC126, ""), "")</f>
        <v/>
      </c>
      <c r="BD127" s="22" t="str">
        <f>IF(E127&lt;&gt;"", IF(BD126&lt;&gt;"", E127*BD126, ""), "")</f>
        <v/>
      </c>
      <c r="BE127" s="22" t="str">
        <f>IF(E127&lt;&gt;"", IF(BE126&lt;&gt;"", E127*BE126, ""), "")</f>
        <v/>
      </c>
    </row>
    <row r="128" spans="1:117" ht="20.100000000000001" customHeight="1">
      <c r="A128" s="220">
        <v>14</v>
      </c>
      <c r="B128" s="7"/>
      <c r="C128" s="7"/>
      <c r="D128" s="5" t="s">
        <v>279</v>
      </c>
      <c r="E128" s="3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59"/>
      <c r="AB128" s="59"/>
      <c r="AC128" s="59"/>
      <c r="AD128" s="59"/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59"/>
      <c r="BA128" s="59"/>
      <c r="BB128" s="59"/>
      <c r="BC128" s="59"/>
      <c r="BD128" s="59"/>
      <c r="BE128" s="59"/>
    </row>
    <row r="129" spans="1:119" ht="20.100000000000001" customHeight="1">
      <c r="A129" s="221"/>
      <c r="B129" s="7"/>
      <c r="C129" s="7"/>
      <c r="D129" s="78"/>
      <c r="E129" s="47" t="str">
        <f>IF(egTextCal(D129)&lt;&gt;0, egTextCal(D129),"")</f>
        <v/>
      </c>
      <c r="F129" s="48" t="str">
        <f>IF(E129&lt;&gt;"", IF(F128&lt;&gt;"", E129*F128,""),"")</f>
        <v/>
      </c>
      <c r="G129" s="48" t="str">
        <f>IF(E129&lt;&gt;"", IF(G128&lt;&gt;"", E129*G128,""),"")</f>
        <v/>
      </c>
      <c r="H129" s="48" t="str">
        <f>IF(E129&lt;&gt;"", IF(H128&lt;&gt;"", E129*H128,""),"")</f>
        <v/>
      </c>
      <c r="I129" s="48" t="str">
        <f>IF(E129&lt;&gt;"", IF(I128&lt;&gt;"", E129*I128,""),"")</f>
        <v/>
      </c>
      <c r="J129" s="48" t="str">
        <f>IF(E129&lt;&gt;"", IF(J128&lt;&gt;"", E129*J128,""),"")</f>
        <v/>
      </c>
      <c r="K129" s="48" t="str">
        <f>IF(E129&lt;&gt;"", IF(K128&lt;&gt;"", E129*K128,""),"")</f>
        <v/>
      </c>
      <c r="L129" s="48" t="str">
        <f>IF(E129&lt;&gt;"", IF(L128&lt;&gt;"", E129*L128,""),"")</f>
        <v/>
      </c>
      <c r="M129" s="48" t="str">
        <f>IF(E129&lt;&gt;"", IF(M128&lt;&gt;"", E129*M128,""),"")</f>
        <v/>
      </c>
      <c r="N129" s="48" t="str">
        <f>IF(E129&lt;&gt;"", IF(N128&lt;&gt;"", E129*N128,""),"")</f>
        <v/>
      </c>
      <c r="O129" s="48" t="str">
        <f>IF(E129&lt;&gt;"", IF(O128&lt;&gt;"", E129*O128,""),"")</f>
        <v/>
      </c>
      <c r="P129" s="48" t="str">
        <f>IF(E129&lt;&gt;"", IF(P128&lt;&gt;"", E129*P128,""),"")</f>
        <v/>
      </c>
      <c r="Q129" s="48" t="str">
        <f>IF(E129&lt;&gt;"", IF(Q128&lt;&gt;"", E129*Q128,""),"")</f>
        <v/>
      </c>
      <c r="R129" s="48" t="str">
        <f>IF(E129&lt;&gt;"", IF(R128&lt;&gt;"", E129*R128,""),"")</f>
        <v/>
      </c>
      <c r="S129" s="48" t="str">
        <f>IF(E129&lt;&gt;"", IF(S128&lt;&gt;"", E129*S128,""),"")</f>
        <v/>
      </c>
      <c r="T129" s="48" t="str">
        <f>IF(E129&lt;&gt;"", IF(T128&lt;&gt;"", E129*T128,""),"")</f>
        <v/>
      </c>
      <c r="U129" s="48" t="str">
        <f>IF(E129&lt;&gt;"", IF(U128&lt;&gt;"", E129*U128,""),"")</f>
        <v/>
      </c>
      <c r="V129" s="48" t="str">
        <f>IF(E129&lt;&gt;"", IF(V128&lt;&gt;"", E129*V128,""),"")</f>
        <v/>
      </c>
      <c r="W129" s="48" t="str">
        <f>IF(E129&lt;&gt;"", IF(W128&lt;&gt;"", E129*W128,""),"")</f>
        <v/>
      </c>
      <c r="X129" s="48" t="str">
        <f>IF(E129&lt;&gt;"", IF(X128&lt;&gt;"", E129*X128,""),"")</f>
        <v/>
      </c>
      <c r="Y129" s="48" t="str">
        <f>IF(E129&lt;&gt;"", IF(Y128&lt;&gt;"", E129*Y128,""),"")</f>
        <v/>
      </c>
      <c r="Z129" s="48" t="str">
        <f>IF(E129&lt;&gt;"", IF(Z128&lt;&gt;"", E129*Z128,""),"")</f>
        <v/>
      </c>
      <c r="AA129" s="22"/>
      <c r="AB129" s="22" t="str">
        <f>IF(E129&lt;&gt;"", IF(AB128&lt;&gt;"", E129*AB128, ""), "")</f>
        <v/>
      </c>
      <c r="AC129" s="22" t="str">
        <f>IF(E129&lt;&gt;"", IF(AC128&lt;&gt;"", E129*AC128, ""), "")</f>
        <v/>
      </c>
      <c r="AD129" s="22" t="str">
        <f>IF(E129&lt;&gt;"", IF(AD128&lt;&gt;"", E129*AD128, ""), "")</f>
        <v/>
      </c>
      <c r="AE129" s="22" t="str">
        <f>IF(E129&lt;&gt;"", IF(AE128&lt;&gt;"", E129*AE128, ""), "")</f>
        <v/>
      </c>
      <c r="AF129" s="22" t="str">
        <f>IF(E129&lt;&gt;"", IF(AF128&lt;&gt;"", E129*AF128, ""), "")</f>
        <v/>
      </c>
      <c r="AG129" s="22" t="str">
        <f>IF(E129&lt;&gt;"", IF(AG128&lt;&gt;"", E129*AG128, ""), "")</f>
        <v/>
      </c>
      <c r="AH129" s="22" t="str">
        <f>IF(E129&lt;&gt;"", IF(AH128&lt;&gt;"", E129*AH128, ""), "")</f>
        <v/>
      </c>
      <c r="AI129" s="22" t="str">
        <f>IF(E129&lt;&gt;"", IF(AI128&lt;&gt;"", E129*AI128, ""), "")</f>
        <v/>
      </c>
      <c r="AJ129" s="22" t="str">
        <f>IF(E129&lt;&gt;"", IF(AJ128&lt;&gt;"", E129*AJ128, ""), "")</f>
        <v/>
      </c>
      <c r="AK129" s="22" t="str">
        <f>IF(E129&lt;&gt;"", IF(AK128&lt;&gt;"", E129*AK128, ""), "")</f>
        <v/>
      </c>
      <c r="AL129" s="22" t="str">
        <f>IF(E129&lt;&gt;"", IF(AL128&lt;&gt;"", E129*AL128, ""), "")</f>
        <v/>
      </c>
      <c r="AM129" s="22" t="str">
        <f>IF(E129&lt;&gt;"", IF(AM128&lt;&gt;"", E129*AM128, ""), "")</f>
        <v/>
      </c>
      <c r="AN129" s="22" t="str">
        <f>IF(E129&lt;&gt;"", IF(AN128&lt;&gt;"", E129*AN128, ""), "")</f>
        <v/>
      </c>
      <c r="AO129" s="22" t="str">
        <f>IF(E129&lt;&gt;"", IF(AO128&lt;&gt;"", E129*AO128, ""), "")</f>
        <v/>
      </c>
      <c r="AP129" s="22" t="str">
        <f>IF(E129&lt;&gt;"", IF(AP128&lt;&gt;"", E129*AP128, ""), "")</f>
        <v/>
      </c>
      <c r="AQ129" s="22" t="str">
        <f>IF(E129&lt;&gt;"", IF(AQ128&lt;&gt;"", E129*AQ128, ""), "")</f>
        <v/>
      </c>
      <c r="AR129" s="22" t="str">
        <f>IF(E129&lt;&gt;"", IF(AR128&lt;&gt;"", E129*AR128, ""), "")</f>
        <v/>
      </c>
      <c r="AS129" s="22" t="str">
        <f>IF(E129&lt;&gt;"", IF(AS128&lt;&gt;"", E129*AS128, ""), "")</f>
        <v/>
      </c>
      <c r="AT129" s="22" t="str">
        <f>IF(E129&lt;&gt;"", IF(AT128&lt;&gt;"", E129*AT128, ""), "")</f>
        <v/>
      </c>
      <c r="AU129" s="22" t="str">
        <f>IF(E129&lt;&gt;"", IF(AU128&lt;&gt;"", E129*AU128, ""), "")</f>
        <v/>
      </c>
      <c r="AV129" s="22" t="str">
        <f>IF(E129&lt;&gt;"", IF(AV128&lt;&gt;"", E129*AV128, ""), "")</f>
        <v/>
      </c>
      <c r="AW129" s="22" t="str">
        <f>IF(E129&lt;&gt;"", IF(AW128&lt;&gt;"", E129*AW128, ""), "")</f>
        <v/>
      </c>
      <c r="AX129" s="22" t="str">
        <f>IF(E129&lt;&gt;"", IF(AX128&lt;&gt;"", E129*AX128, ""), "")</f>
        <v/>
      </c>
      <c r="AY129" s="22" t="str">
        <f>IF(E129&lt;&gt;"", IF(AY128&lt;&gt;"", E129*AY128, ""), "")</f>
        <v/>
      </c>
      <c r="AZ129" s="22" t="str">
        <f>IF(E129&lt;&gt;"", IF(AZ128&lt;&gt;"", E129*AZ128, ""), "")</f>
        <v/>
      </c>
      <c r="BA129" s="22" t="str">
        <f>IF(E129&lt;&gt;"", IF(BA128&lt;&gt;"", E129*BA128, ""), "")</f>
        <v/>
      </c>
      <c r="BB129" s="22" t="str">
        <f>IF(E129&lt;&gt;"", IF(BB128&lt;&gt;"", E129*BB128, ""), "")</f>
        <v/>
      </c>
      <c r="BC129" s="22" t="str">
        <f>IF(E129&lt;&gt;"", IF(BC128&lt;&gt;"", E129*BC128, ""), "")</f>
        <v/>
      </c>
      <c r="BD129" s="22" t="str">
        <f>IF(E129&lt;&gt;"", IF(BD128&lt;&gt;"", E129*BD128, ""), "")</f>
        <v/>
      </c>
      <c r="BE129" s="22" t="str">
        <f>IF(E129&lt;&gt;"", IF(BE128&lt;&gt;"", E129*BE128, ""), "")</f>
        <v/>
      </c>
    </row>
    <row r="130" spans="1:119" ht="20.100000000000001" customHeight="1">
      <c r="A130" s="220">
        <v>15</v>
      </c>
      <c r="B130" s="7"/>
      <c r="C130" s="7"/>
      <c r="D130" s="5" t="s">
        <v>237</v>
      </c>
      <c r="E130" s="3"/>
      <c r="F130" s="46"/>
      <c r="G130" s="46">
        <v>1</v>
      </c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59"/>
      <c r="AB130" s="59"/>
      <c r="AC130" s="59"/>
      <c r="AD130" s="59"/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  <c r="BC130" s="59"/>
      <c r="BD130" s="59"/>
      <c r="BE130" s="59"/>
    </row>
    <row r="131" spans="1:119" ht="20.100000000000001" customHeight="1">
      <c r="A131" s="221"/>
      <c r="B131" s="7"/>
      <c r="C131" s="7"/>
      <c r="D131" s="78" t="s">
        <v>280</v>
      </c>
      <c r="E131" s="47">
        <f>IF(egTextCal(D131)&lt;&gt;0, egTextCal(D131),"")</f>
        <v>46</v>
      </c>
      <c r="F131" s="48" t="str">
        <f>IF(E131&lt;&gt;"", IF(F130&lt;&gt;"", E131*F130,""),"")</f>
        <v/>
      </c>
      <c r="G131" s="48">
        <f>IF(E131&lt;&gt;"", IF(G130&lt;&gt;"", E131*G130,""),"")</f>
        <v>46</v>
      </c>
      <c r="H131" s="48" t="str">
        <f>IF(E131&lt;&gt;"", IF(H130&lt;&gt;"", E131*H130,""),"")</f>
        <v/>
      </c>
      <c r="I131" s="48" t="str">
        <f>IF(E131&lt;&gt;"", IF(I130&lt;&gt;"", E131*I130,""),"")</f>
        <v/>
      </c>
      <c r="J131" s="48" t="str">
        <f>IF(E131&lt;&gt;"", IF(J130&lt;&gt;"", E131*J130,""),"")</f>
        <v/>
      </c>
      <c r="K131" s="48" t="str">
        <f>IF(E131&lt;&gt;"", IF(K130&lt;&gt;"", E131*K130,""),"")</f>
        <v/>
      </c>
      <c r="L131" s="48" t="str">
        <f>IF(E131&lt;&gt;"", IF(L130&lt;&gt;"", E131*L130,""),"")</f>
        <v/>
      </c>
      <c r="M131" s="48" t="str">
        <f>IF(E131&lt;&gt;"", IF(M130&lt;&gt;"", E131*M130,""),"")</f>
        <v/>
      </c>
      <c r="N131" s="48" t="str">
        <f>IF(E131&lt;&gt;"", IF(N130&lt;&gt;"", E131*N130,""),"")</f>
        <v/>
      </c>
      <c r="O131" s="48" t="str">
        <f>IF(E131&lt;&gt;"", IF(O130&lt;&gt;"", E131*O130,""),"")</f>
        <v/>
      </c>
      <c r="P131" s="48" t="str">
        <f>IF(E131&lt;&gt;"", IF(P130&lt;&gt;"", E131*P130,""),"")</f>
        <v/>
      </c>
      <c r="Q131" s="48" t="str">
        <f>IF(E131&lt;&gt;"", IF(Q130&lt;&gt;"", E131*Q130,""),"")</f>
        <v/>
      </c>
      <c r="R131" s="48" t="str">
        <f>IF(E131&lt;&gt;"", IF(R130&lt;&gt;"", E131*R130,""),"")</f>
        <v/>
      </c>
      <c r="S131" s="48" t="str">
        <f>IF(E131&lt;&gt;"", IF(S130&lt;&gt;"", E131*S130,""),"")</f>
        <v/>
      </c>
      <c r="T131" s="48" t="str">
        <f>IF(E131&lt;&gt;"", IF(T130&lt;&gt;"", E131*T130,""),"")</f>
        <v/>
      </c>
      <c r="U131" s="48" t="str">
        <f>IF(E131&lt;&gt;"", IF(U130&lt;&gt;"", E131*U130,""),"")</f>
        <v/>
      </c>
      <c r="V131" s="48" t="str">
        <f>IF(E131&lt;&gt;"", IF(V130&lt;&gt;"", E131*V130,""),"")</f>
        <v/>
      </c>
      <c r="W131" s="48" t="str">
        <f>IF(E131&lt;&gt;"", IF(W130&lt;&gt;"", E131*W130,""),"")</f>
        <v/>
      </c>
      <c r="X131" s="48" t="str">
        <f>IF(E131&lt;&gt;"", IF(X130&lt;&gt;"", E131*X130,""),"")</f>
        <v/>
      </c>
      <c r="Y131" s="48" t="str">
        <f>IF(E131&lt;&gt;"", IF(Y130&lt;&gt;"", E131*Y130,""),"")</f>
        <v/>
      </c>
      <c r="Z131" s="48" t="str">
        <f>IF(E131&lt;&gt;"", IF(Z130&lt;&gt;"", E131*Z130,""),"")</f>
        <v/>
      </c>
      <c r="AA131" s="22"/>
      <c r="AB131" s="22" t="str">
        <f>IF(E131&lt;&gt;"", IF(AB130&lt;&gt;"", E131*AB130, ""), "")</f>
        <v/>
      </c>
      <c r="AC131" s="22" t="str">
        <f>IF(E131&lt;&gt;"", IF(AC130&lt;&gt;"", E131*AC130, ""), "")</f>
        <v/>
      </c>
      <c r="AD131" s="22" t="str">
        <f>IF(E131&lt;&gt;"", IF(AD130&lt;&gt;"", E131*AD130, ""), "")</f>
        <v/>
      </c>
      <c r="AE131" s="22" t="str">
        <f>IF(E131&lt;&gt;"", IF(AE130&lt;&gt;"", E131*AE130, ""), "")</f>
        <v/>
      </c>
      <c r="AF131" s="22" t="str">
        <f>IF(E131&lt;&gt;"", IF(AF130&lt;&gt;"", E131*AF130, ""), "")</f>
        <v/>
      </c>
      <c r="AG131" s="22" t="str">
        <f>IF(E131&lt;&gt;"", IF(AG130&lt;&gt;"", E131*AG130, ""), "")</f>
        <v/>
      </c>
      <c r="AH131" s="22" t="str">
        <f>IF(E131&lt;&gt;"", IF(AH130&lt;&gt;"", E131*AH130, ""), "")</f>
        <v/>
      </c>
      <c r="AI131" s="22" t="str">
        <f>IF(E131&lt;&gt;"", IF(AI130&lt;&gt;"", E131*AI130, ""), "")</f>
        <v/>
      </c>
      <c r="AJ131" s="22" t="str">
        <f>IF(E131&lt;&gt;"", IF(AJ130&lt;&gt;"", E131*AJ130, ""), "")</f>
        <v/>
      </c>
      <c r="AK131" s="22" t="str">
        <f>IF(E131&lt;&gt;"", IF(AK130&lt;&gt;"", E131*AK130, ""), "")</f>
        <v/>
      </c>
      <c r="AL131" s="22" t="str">
        <f>IF(E131&lt;&gt;"", IF(AL130&lt;&gt;"", E131*AL130, ""), "")</f>
        <v/>
      </c>
      <c r="AM131" s="22" t="str">
        <f>IF(E131&lt;&gt;"", IF(AM130&lt;&gt;"", E131*AM130, ""), "")</f>
        <v/>
      </c>
      <c r="AN131" s="22" t="str">
        <f>IF(E131&lt;&gt;"", IF(AN130&lt;&gt;"", E131*AN130, ""), "")</f>
        <v/>
      </c>
      <c r="AO131" s="22" t="str">
        <f>IF(E131&lt;&gt;"", IF(AO130&lt;&gt;"", E131*AO130, ""), "")</f>
        <v/>
      </c>
      <c r="AP131" s="22" t="str">
        <f>IF(E131&lt;&gt;"", IF(AP130&lt;&gt;"", E131*AP130, ""), "")</f>
        <v/>
      </c>
      <c r="AQ131" s="22" t="str">
        <f>IF(E131&lt;&gt;"", IF(AQ130&lt;&gt;"", E131*AQ130, ""), "")</f>
        <v/>
      </c>
      <c r="AR131" s="22" t="str">
        <f>IF(E131&lt;&gt;"", IF(AR130&lt;&gt;"", E131*AR130, ""), "")</f>
        <v/>
      </c>
      <c r="AS131" s="22" t="str">
        <f>IF(E131&lt;&gt;"", IF(AS130&lt;&gt;"", E131*AS130, ""), "")</f>
        <v/>
      </c>
      <c r="AT131" s="22" t="str">
        <f>IF(E131&lt;&gt;"", IF(AT130&lt;&gt;"", E131*AT130, ""), "")</f>
        <v/>
      </c>
      <c r="AU131" s="22" t="str">
        <f>IF(E131&lt;&gt;"", IF(AU130&lt;&gt;"", E131*AU130, ""), "")</f>
        <v/>
      </c>
      <c r="AV131" s="22" t="str">
        <f>IF(E131&lt;&gt;"", IF(AV130&lt;&gt;"", E131*AV130, ""), "")</f>
        <v/>
      </c>
      <c r="AW131" s="22" t="str">
        <f>IF(E131&lt;&gt;"", IF(AW130&lt;&gt;"", E131*AW130, ""), "")</f>
        <v/>
      </c>
      <c r="AX131" s="22" t="str">
        <f>IF(E131&lt;&gt;"", IF(AX130&lt;&gt;"", E131*AX130, ""), "")</f>
        <v/>
      </c>
      <c r="AY131" s="22" t="str">
        <f>IF(E131&lt;&gt;"", IF(AY130&lt;&gt;"", E131*AY130, ""), "")</f>
        <v/>
      </c>
      <c r="AZ131" s="22" t="str">
        <f>IF(E131&lt;&gt;"", IF(AZ130&lt;&gt;"", E131*AZ130, ""), "")</f>
        <v/>
      </c>
      <c r="BA131" s="22" t="str">
        <f>IF(E131&lt;&gt;"", IF(BA130&lt;&gt;"", E131*BA130, ""), "")</f>
        <v/>
      </c>
      <c r="BB131" s="22" t="str">
        <f>IF(E131&lt;&gt;"", IF(BB130&lt;&gt;"", E131*BB130, ""), "")</f>
        <v/>
      </c>
      <c r="BC131" s="22" t="str">
        <f>IF(E131&lt;&gt;"", IF(BC130&lt;&gt;"", E131*BC130, ""), "")</f>
        <v/>
      </c>
      <c r="BD131" s="22" t="str">
        <f>IF(E131&lt;&gt;"", IF(BD130&lt;&gt;"", E131*BD130, ""), "")</f>
        <v/>
      </c>
      <c r="BE131" s="22" t="str">
        <f>IF(E131&lt;&gt;"", IF(BE130&lt;&gt;"", E131*BE130, ""), "")</f>
        <v/>
      </c>
      <c r="DB131" s="18">
        <f>G131</f>
        <v>46</v>
      </c>
    </row>
    <row r="132" spans="1:119" ht="20.100000000000001" customHeight="1">
      <c r="A132" s="220">
        <v>16</v>
      </c>
      <c r="B132" s="7"/>
      <c r="C132" s="7"/>
      <c r="D132" s="5" t="s">
        <v>239</v>
      </c>
      <c r="E132" s="3"/>
      <c r="F132" s="46">
        <v>1</v>
      </c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59"/>
      <c r="AB132" s="59"/>
      <c r="AC132" s="59"/>
      <c r="AD132" s="59"/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59"/>
      <c r="BA132" s="59"/>
      <c r="BB132" s="59"/>
      <c r="BC132" s="59"/>
      <c r="BD132" s="59"/>
      <c r="BE132" s="59"/>
    </row>
    <row r="133" spans="1:119" ht="20.100000000000001" customHeight="1">
      <c r="A133" s="221"/>
      <c r="B133" s="7"/>
      <c r="C133" s="7"/>
      <c r="D133" s="78">
        <v>4</v>
      </c>
      <c r="E133" s="47">
        <f>IF(egTextCal(D133)&lt;&gt;0, egTextCal(D133),"")</f>
        <v>4</v>
      </c>
      <c r="F133" s="48">
        <f>IF(E133&lt;&gt;"", IF(F132&lt;&gt;"", E133*F132,""),"")</f>
        <v>4</v>
      </c>
      <c r="G133" s="48" t="str">
        <f>IF(E133&lt;&gt;"", IF(G132&lt;&gt;"", E133*G132,""),"")</f>
        <v/>
      </c>
      <c r="H133" s="48" t="str">
        <f>IF(E133&lt;&gt;"", IF(H132&lt;&gt;"", E133*H132,""),"")</f>
        <v/>
      </c>
      <c r="I133" s="48" t="str">
        <f>IF(E133&lt;&gt;"", IF(I132&lt;&gt;"", E133*I132,""),"")</f>
        <v/>
      </c>
      <c r="J133" s="48" t="str">
        <f>IF(E133&lt;&gt;"", IF(J132&lt;&gt;"", E133*J132,""),"")</f>
        <v/>
      </c>
      <c r="K133" s="48" t="str">
        <f>IF(E133&lt;&gt;"", IF(K132&lt;&gt;"", E133*K132,""),"")</f>
        <v/>
      </c>
      <c r="L133" s="48" t="str">
        <f>IF(E133&lt;&gt;"", IF(L132&lt;&gt;"", E133*L132,""),"")</f>
        <v/>
      </c>
      <c r="M133" s="48" t="str">
        <f>IF(E133&lt;&gt;"", IF(M132&lt;&gt;"", E133*M132,""),"")</f>
        <v/>
      </c>
      <c r="N133" s="48" t="str">
        <f>IF(E133&lt;&gt;"", IF(N132&lt;&gt;"", E133*N132,""),"")</f>
        <v/>
      </c>
      <c r="O133" s="48" t="str">
        <f>IF(E133&lt;&gt;"", IF(O132&lt;&gt;"", E133*O132,""),"")</f>
        <v/>
      </c>
      <c r="P133" s="48" t="str">
        <f>IF(E133&lt;&gt;"", IF(P132&lt;&gt;"", E133*P132,""),"")</f>
        <v/>
      </c>
      <c r="Q133" s="48" t="str">
        <f>IF(E133&lt;&gt;"", IF(Q132&lt;&gt;"", E133*Q132,""),"")</f>
        <v/>
      </c>
      <c r="R133" s="48" t="str">
        <f>IF(E133&lt;&gt;"", IF(R132&lt;&gt;"", E133*R132,""),"")</f>
        <v/>
      </c>
      <c r="S133" s="48" t="str">
        <f>IF(E133&lt;&gt;"", IF(S132&lt;&gt;"", E133*S132,""),"")</f>
        <v/>
      </c>
      <c r="T133" s="48" t="str">
        <f>IF(E133&lt;&gt;"", IF(T132&lt;&gt;"", E133*T132,""),"")</f>
        <v/>
      </c>
      <c r="U133" s="48" t="str">
        <f>IF(E133&lt;&gt;"", IF(U132&lt;&gt;"", E133*U132,""),"")</f>
        <v/>
      </c>
      <c r="V133" s="48" t="str">
        <f>IF(E133&lt;&gt;"", IF(V132&lt;&gt;"", E133*V132,""),"")</f>
        <v/>
      </c>
      <c r="W133" s="48" t="str">
        <f>IF(E133&lt;&gt;"", IF(W132&lt;&gt;"", E133*W132,""),"")</f>
        <v/>
      </c>
      <c r="X133" s="48" t="str">
        <f>IF(E133&lt;&gt;"", IF(X132&lt;&gt;"", E133*X132,""),"")</f>
        <v/>
      </c>
      <c r="Y133" s="48" t="str">
        <f>IF(E133&lt;&gt;"", IF(Y132&lt;&gt;"", E133*Y132,""),"")</f>
        <v/>
      </c>
      <c r="Z133" s="48" t="str">
        <f>IF(E133&lt;&gt;"", IF(Z132&lt;&gt;"", E133*Z132,""),"")</f>
        <v/>
      </c>
      <c r="AA133" s="22"/>
      <c r="AB133" s="22" t="str">
        <f>IF(E133&lt;&gt;"", IF(AB132&lt;&gt;"", E133*AB132, ""), "")</f>
        <v/>
      </c>
      <c r="AC133" s="22" t="str">
        <f>IF(E133&lt;&gt;"", IF(AC132&lt;&gt;"", E133*AC132, ""), "")</f>
        <v/>
      </c>
      <c r="AD133" s="22" t="str">
        <f>IF(E133&lt;&gt;"", IF(AD132&lt;&gt;"", E133*AD132, ""), "")</f>
        <v/>
      </c>
      <c r="AE133" s="22" t="str">
        <f>IF(E133&lt;&gt;"", IF(AE132&lt;&gt;"", E133*AE132, ""), "")</f>
        <v/>
      </c>
      <c r="AF133" s="22" t="str">
        <f>IF(E133&lt;&gt;"", IF(AF132&lt;&gt;"", E133*AF132, ""), "")</f>
        <v/>
      </c>
      <c r="AG133" s="22" t="str">
        <f>IF(E133&lt;&gt;"", IF(AG132&lt;&gt;"", E133*AG132, ""), "")</f>
        <v/>
      </c>
      <c r="AH133" s="22" t="str">
        <f>IF(E133&lt;&gt;"", IF(AH132&lt;&gt;"", E133*AH132, ""), "")</f>
        <v/>
      </c>
      <c r="AI133" s="22" t="str">
        <f>IF(E133&lt;&gt;"", IF(AI132&lt;&gt;"", E133*AI132, ""), "")</f>
        <v/>
      </c>
      <c r="AJ133" s="22" t="str">
        <f>IF(E133&lt;&gt;"", IF(AJ132&lt;&gt;"", E133*AJ132, ""), "")</f>
        <v/>
      </c>
      <c r="AK133" s="22" t="str">
        <f>IF(E133&lt;&gt;"", IF(AK132&lt;&gt;"", E133*AK132, ""), "")</f>
        <v/>
      </c>
      <c r="AL133" s="22" t="str">
        <f>IF(E133&lt;&gt;"", IF(AL132&lt;&gt;"", E133*AL132, ""), "")</f>
        <v/>
      </c>
      <c r="AM133" s="22" t="str">
        <f>IF(E133&lt;&gt;"", IF(AM132&lt;&gt;"", E133*AM132, ""), "")</f>
        <v/>
      </c>
      <c r="AN133" s="22" t="str">
        <f>IF(E133&lt;&gt;"", IF(AN132&lt;&gt;"", E133*AN132, ""), "")</f>
        <v/>
      </c>
      <c r="AO133" s="22" t="str">
        <f>IF(E133&lt;&gt;"", IF(AO132&lt;&gt;"", E133*AO132, ""), "")</f>
        <v/>
      </c>
      <c r="AP133" s="22" t="str">
        <f>IF(E133&lt;&gt;"", IF(AP132&lt;&gt;"", E133*AP132, ""), "")</f>
        <v/>
      </c>
      <c r="AQ133" s="22" t="str">
        <f>IF(E133&lt;&gt;"", IF(AQ132&lt;&gt;"", E133*AQ132, ""), "")</f>
        <v/>
      </c>
      <c r="AR133" s="22" t="str">
        <f>IF(E133&lt;&gt;"", IF(AR132&lt;&gt;"", E133*AR132, ""), "")</f>
        <v/>
      </c>
      <c r="AS133" s="22" t="str">
        <f>IF(E133&lt;&gt;"", IF(AS132&lt;&gt;"", E133*AS132, ""), "")</f>
        <v/>
      </c>
      <c r="AT133" s="22" t="str">
        <f>IF(E133&lt;&gt;"", IF(AT132&lt;&gt;"", E133*AT132, ""), "")</f>
        <v/>
      </c>
      <c r="AU133" s="22" t="str">
        <f>IF(E133&lt;&gt;"", IF(AU132&lt;&gt;"", E133*AU132, ""), "")</f>
        <v/>
      </c>
      <c r="AV133" s="22" t="str">
        <f>IF(E133&lt;&gt;"", IF(AV132&lt;&gt;"", E133*AV132, ""), "")</f>
        <v/>
      </c>
      <c r="AW133" s="22" t="str">
        <f>IF(E133&lt;&gt;"", IF(AW132&lt;&gt;"", E133*AW132, ""), "")</f>
        <v/>
      </c>
      <c r="AX133" s="22" t="str">
        <f>IF(E133&lt;&gt;"", IF(AX132&lt;&gt;"", E133*AX132, ""), "")</f>
        <v/>
      </c>
      <c r="AY133" s="22" t="str">
        <f>IF(E133&lt;&gt;"", IF(AY132&lt;&gt;"", E133*AY132, ""), "")</f>
        <v/>
      </c>
      <c r="AZ133" s="22" t="str">
        <f>IF(E133&lt;&gt;"", IF(AZ132&lt;&gt;"", E133*AZ132, ""), "")</f>
        <v/>
      </c>
      <c r="BA133" s="22" t="str">
        <f>IF(E133&lt;&gt;"", IF(BA132&lt;&gt;"", E133*BA132, ""), "")</f>
        <v/>
      </c>
      <c r="BB133" s="22" t="str">
        <f>IF(E133&lt;&gt;"", IF(BB132&lt;&gt;"", E133*BB132, ""), "")</f>
        <v/>
      </c>
      <c r="BC133" s="22" t="str">
        <f>IF(E133&lt;&gt;"", IF(BC132&lt;&gt;"", E133*BC132, ""), "")</f>
        <v/>
      </c>
      <c r="BD133" s="22" t="str">
        <f>IF(E133&lt;&gt;"", IF(BD132&lt;&gt;"", E133*BD132, ""), "")</f>
        <v/>
      </c>
      <c r="BE133" s="22" t="str">
        <f>IF(E133&lt;&gt;"", IF(BE132&lt;&gt;"", E133*BE132, ""), "")</f>
        <v/>
      </c>
      <c r="DA133" s="18">
        <f>F133</f>
        <v>4</v>
      </c>
    </row>
    <row r="134" spans="1:119" ht="20.100000000000001" customHeight="1">
      <c r="A134" s="220">
        <v>17</v>
      </c>
      <c r="B134" s="7"/>
      <c r="C134" s="7"/>
      <c r="D134" s="5" t="s">
        <v>281</v>
      </c>
      <c r="E134" s="3"/>
      <c r="F134" s="46"/>
      <c r="G134" s="46"/>
      <c r="H134" s="46"/>
      <c r="I134" s="46"/>
      <c r="J134" s="46"/>
      <c r="K134" s="46"/>
      <c r="L134" s="46">
        <v>1</v>
      </c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59"/>
      <c r="AB134" s="59"/>
      <c r="AC134" s="59"/>
      <c r="AD134" s="59"/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59"/>
      <c r="BA134" s="59"/>
      <c r="BB134" s="59"/>
      <c r="BC134" s="59"/>
      <c r="BD134" s="59"/>
      <c r="BE134" s="59"/>
    </row>
    <row r="135" spans="1:119" ht="20.100000000000001" customHeight="1">
      <c r="A135" s="221"/>
      <c r="B135" s="7"/>
      <c r="C135" s="7"/>
      <c r="D135" s="78" t="s">
        <v>282</v>
      </c>
      <c r="E135" s="47">
        <f>IF(egTextCal(D135)&lt;&gt;0, egTextCal(D135),"")</f>
        <v>6</v>
      </c>
      <c r="F135" s="48" t="str">
        <f>IF(E135&lt;&gt;"", IF(F134&lt;&gt;"", E135*F134,""),"")</f>
        <v/>
      </c>
      <c r="G135" s="48" t="str">
        <f>IF(E135&lt;&gt;"", IF(G134&lt;&gt;"", E135*G134,""),"")</f>
        <v/>
      </c>
      <c r="H135" s="48" t="str">
        <f>IF(E135&lt;&gt;"", IF(H134&lt;&gt;"", E135*H134,""),"")</f>
        <v/>
      </c>
      <c r="I135" s="48" t="str">
        <f>IF(E135&lt;&gt;"", IF(I134&lt;&gt;"", E135*I134,""),"")</f>
        <v/>
      </c>
      <c r="J135" s="48" t="str">
        <f>IF(E135&lt;&gt;"", IF(J134&lt;&gt;"", E135*J134,""),"")</f>
        <v/>
      </c>
      <c r="K135" s="48" t="str">
        <f>IF(E135&lt;&gt;"", IF(K134&lt;&gt;"", E135*K134,""),"")</f>
        <v/>
      </c>
      <c r="L135" s="48">
        <f>IF(E135&lt;&gt;"", IF(L134&lt;&gt;"", E135*L134,""),"")</f>
        <v>6</v>
      </c>
      <c r="M135" s="48" t="str">
        <f>IF(E135&lt;&gt;"", IF(M134&lt;&gt;"", E135*M134,""),"")</f>
        <v/>
      </c>
      <c r="N135" s="48" t="str">
        <f>IF(E135&lt;&gt;"", IF(N134&lt;&gt;"", E135*N134,""),"")</f>
        <v/>
      </c>
      <c r="O135" s="48" t="str">
        <f>IF(E135&lt;&gt;"", IF(O134&lt;&gt;"", E135*O134,""),"")</f>
        <v/>
      </c>
      <c r="P135" s="48" t="str">
        <f>IF(E135&lt;&gt;"", IF(P134&lt;&gt;"", E135*P134,""),"")</f>
        <v/>
      </c>
      <c r="Q135" s="48" t="str">
        <f>IF(E135&lt;&gt;"", IF(Q134&lt;&gt;"", E135*Q134,""),"")</f>
        <v/>
      </c>
      <c r="R135" s="48" t="str">
        <f>IF(E135&lt;&gt;"", IF(R134&lt;&gt;"", E135*R134,""),"")</f>
        <v/>
      </c>
      <c r="S135" s="48" t="str">
        <f>IF(E135&lt;&gt;"", IF(S134&lt;&gt;"", E135*S134,""),"")</f>
        <v/>
      </c>
      <c r="T135" s="48" t="str">
        <f>IF(E135&lt;&gt;"", IF(T134&lt;&gt;"", E135*T134,""),"")</f>
        <v/>
      </c>
      <c r="U135" s="48" t="str">
        <f>IF(E135&lt;&gt;"", IF(U134&lt;&gt;"", E135*U134,""),"")</f>
        <v/>
      </c>
      <c r="V135" s="48" t="str">
        <f>IF(E135&lt;&gt;"", IF(V134&lt;&gt;"", E135*V134,""),"")</f>
        <v/>
      </c>
      <c r="W135" s="48" t="str">
        <f>IF(E135&lt;&gt;"", IF(W134&lt;&gt;"", E135*W134,""),"")</f>
        <v/>
      </c>
      <c r="X135" s="48" t="str">
        <f>IF(E135&lt;&gt;"", IF(X134&lt;&gt;"", E135*X134,""),"")</f>
        <v/>
      </c>
      <c r="Y135" s="48" t="str">
        <f>IF(E135&lt;&gt;"", IF(Y134&lt;&gt;"", E135*Y134,""),"")</f>
        <v/>
      </c>
      <c r="Z135" s="48" t="str">
        <f>IF(E135&lt;&gt;"", IF(Z134&lt;&gt;"", E135*Z134,""),"")</f>
        <v/>
      </c>
      <c r="AA135" s="22"/>
      <c r="AB135" s="22" t="str">
        <f>IF(E135&lt;&gt;"", IF(AB134&lt;&gt;"", E135*AB134, ""), "")</f>
        <v/>
      </c>
      <c r="AC135" s="22" t="str">
        <f>IF(E135&lt;&gt;"", IF(AC134&lt;&gt;"", E135*AC134, ""), "")</f>
        <v/>
      </c>
      <c r="AD135" s="22" t="str">
        <f>IF(E135&lt;&gt;"", IF(AD134&lt;&gt;"", E135*AD134, ""), "")</f>
        <v/>
      </c>
      <c r="AE135" s="22" t="str">
        <f>IF(E135&lt;&gt;"", IF(AE134&lt;&gt;"", E135*AE134, ""), "")</f>
        <v/>
      </c>
      <c r="AF135" s="22" t="str">
        <f>IF(E135&lt;&gt;"", IF(AF134&lt;&gt;"", E135*AF134, ""), "")</f>
        <v/>
      </c>
      <c r="AG135" s="22" t="str">
        <f>IF(E135&lt;&gt;"", IF(AG134&lt;&gt;"", E135*AG134, ""), "")</f>
        <v/>
      </c>
      <c r="AH135" s="22" t="str">
        <f>IF(E135&lt;&gt;"", IF(AH134&lt;&gt;"", E135*AH134, ""), "")</f>
        <v/>
      </c>
      <c r="AI135" s="22" t="str">
        <f>IF(E135&lt;&gt;"", IF(AI134&lt;&gt;"", E135*AI134, ""), "")</f>
        <v/>
      </c>
      <c r="AJ135" s="22" t="str">
        <f>IF(E135&lt;&gt;"", IF(AJ134&lt;&gt;"", E135*AJ134, ""), "")</f>
        <v/>
      </c>
      <c r="AK135" s="22" t="str">
        <f>IF(E135&lt;&gt;"", IF(AK134&lt;&gt;"", E135*AK134, ""), "")</f>
        <v/>
      </c>
      <c r="AL135" s="22" t="str">
        <f>IF(E135&lt;&gt;"", IF(AL134&lt;&gt;"", E135*AL134, ""), "")</f>
        <v/>
      </c>
      <c r="AM135" s="22" t="str">
        <f>IF(E135&lt;&gt;"", IF(AM134&lt;&gt;"", E135*AM134, ""), "")</f>
        <v/>
      </c>
      <c r="AN135" s="22" t="str">
        <f>IF(E135&lt;&gt;"", IF(AN134&lt;&gt;"", E135*AN134, ""), "")</f>
        <v/>
      </c>
      <c r="AO135" s="22" t="str">
        <f>IF(E135&lt;&gt;"", IF(AO134&lt;&gt;"", E135*AO134, ""), "")</f>
        <v/>
      </c>
      <c r="AP135" s="22" t="str">
        <f>IF(E135&lt;&gt;"", IF(AP134&lt;&gt;"", E135*AP134, ""), "")</f>
        <v/>
      </c>
      <c r="AQ135" s="22" t="str">
        <f>IF(E135&lt;&gt;"", IF(AQ134&lt;&gt;"", E135*AQ134, ""), "")</f>
        <v/>
      </c>
      <c r="AR135" s="22" t="str">
        <f>IF(E135&lt;&gt;"", IF(AR134&lt;&gt;"", E135*AR134, ""), "")</f>
        <v/>
      </c>
      <c r="AS135" s="22" t="str">
        <f>IF(E135&lt;&gt;"", IF(AS134&lt;&gt;"", E135*AS134, ""), "")</f>
        <v/>
      </c>
      <c r="AT135" s="22" t="str">
        <f>IF(E135&lt;&gt;"", IF(AT134&lt;&gt;"", E135*AT134, ""), "")</f>
        <v/>
      </c>
      <c r="AU135" s="22" t="str">
        <f>IF(E135&lt;&gt;"", IF(AU134&lt;&gt;"", E135*AU134, ""), "")</f>
        <v/>
      </c>
      <c r="AV135" s="22" t="str">
        <f>IF(E135&lt;&gt;"", IF(AV134&lt;&gt;"", E135*AV134, ""), "")</f>
        <v/>
      </c>
      <c r="AW135" s="22" t="str">
        <f>IF(E135&lt;&gt;"", IF(AW134&lt;&gt;"", E135*AW134, ""), "")</f>
        <v/>
      </c>
      <c r="AX135" s="22" t="str">
        <f>IF(E135&lt;&gt;"", IF(AX134&lt;&gt;"", E135*AX134, ""), "")</f>
        <v/>
      </c>
      <c r="AY135" s="22" t="str">
        <f>IF(E135&lt;&gt;"", IF(AY134&lt;&gt;"", E135*AY134, ""), "")</f>
        <v/>
      </c>
      <c r="AZ135" s="22" t="str">
        <f>IF(E135&lt;&gt;"", IF(AZ134&lt;&gt;"", E135*AZ134, ""), "")</f>
        <v/>
      </c>
      <c r="BA135" s="22" t="str">
        <f>IF(E135&lt;&gt;"", IF(BA134&lt;&gt;"", E135*BA134, ""), "")</f>
        <v/>
      </c>
      <c r="BB135" s="22" t="str">
        <f>IF(E135&lt;&gt;"", IF(BB134&lt;&gt;"", E135*BB134, ""), "")</f>
        <v/>
      </c>
      <c r="BC135" s="22" t="str">
        <f>IF(E135&lt;&gt;"", IF(BC134&lt;&gt;"", E135*BC134, ""), "")</f>
        <v/>
      </c>
      <c r="BD135" s="22" t="str">
        <f>IF(E135&lt;&gt;"", IF(BD134&lt;&gt;"", E135*BD134, ""), "")</f>
        <v/>
      </c>
      <c r="BE135" s="22" t="str">
        <f>IF(E135&lt;&gt;"", IF(BE134&lt;&gt;"", E135*BE134, ""), "")</f>
        <v/>
      </c>
      <c r="DG135" s="18">
        <f>L135</f>
        <v>6</v>
      </c>
    </row>
    <row r="136" spans="1:119" ht="20.100000000000001" customHeight="1">
      <c r="A136" s="220">
        <v>18</v>
      </c>
      <c r="B136" s="7"/>
      <c r="C136" s="7"/>
      <c r="D136" s="5" t="s">
        <v>283</v>
      </c>
      <c r="E136" s="3"/>
      <c r="F136" s="46"/>
      <c r="G136" s="46"/>
      <c r="H136" s="46"/>
      <c r="I136" s="46"/>
      <c r="J136" s="46"/>
      <c r="K136" s="46"/>
      <c r="L136" s="46"/>
      <c r="M136" s="46">
        <v>1</v>
      </c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59"/>
      <c r="AB136" s="59"/>
      <c r="AC136" s="59"/>
      <c r="AD136" s="59"/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59"/>
      <c r="BA136" s="59"/>
      <c r="BB136" s="59"/>
      <c r="BC136" s="59"/>
      <c r="BD136" s="59"/>
      <c r="BE136" s="59"/>
    </row>
    <row r="137" spans="1:119" ht="20.100000000000001" customHeight="1">
      <c r="A137" s="221"/>
      <c r="B137" s="7"/>
      <c r="C137" s="7"/>
      <c r="D137" s="78" t="s">
        <v>284</v>
      </c>
      <c r="E137" s="47">
        <f>IF(egTextCal(D137)&lt;&gt;0, egTextCal(D137),"")</f>
        <v>8</v>
      </c>
      <c r="F137" s="48" t="str">
        <f>IF(E137&lt;&gt;"", IF(F136&lt;&gt;"", E137*F136,""),"")</f>
        <v/>
      </c>
      <c r="G137" s="48" t="str">
        <f>IF(E137&lt;&gt;"", IF(G136&lt;&gt;"", E137*G136,""),"")</f>
        <v/>
      </c>
      <c r="H137" s="48" t="str">
        <f>IF(E137&lt;&gt;"", IF(H136&lt;&gt;"", E137*H136,""),"")</f>
        <v/>
      </c>
      <c r="I137" s="48" t="str">
        <f>IF(E137&lt;&gt;"", IF(I136&lt;&gt;"", E137*I136,""),"")</f>
        <v/>
      </c>
      <c r="J137" s="48" t="str">
        <f>IF(E137&lt;&gt;"", IF(J136&lt;&gt;"", E137*J136,""),"")</f>
        <v/>
      </c>
      <c r="K137" s="48" t="str">
        <f>IF(E137&lt;&gt;"", IF(K136&lt;&gt;"", E137*K136,""),"")</f>
        <v/>
      </c>
      <c r="L137" s="48" t="str">
        <f>IF(E137&lt;&gt;"", IF(L136&lt;&gt;"", E137*L136,""),"")</f>
        <v/>
      </c>
      <c r="M137" s="48">
        <f>IF(E137&lt;&gt;"", IF(M136&lt;&gt;"", E137*M136,""),"")</f>
        <v>8</v>
      </c>
      <c r="N137" s="48" t="str">
        <f>IF(E137&lt;&gt;"", IF(N136&lt;&gt;"", E137*N136,""),"")</f>
        <v/>
      </c>
      <c r="O137" s="48" t="str">
        <f>IF(E137&lt;&gt;"", IF(O136&lt;&gt;"", E137*O136,""),"")</f>
        <v/>
      </c>
      <c r="P137" s="48" t="str">
        <f>IF(E137&lt;&gt;"", IF(P136&lt;&gt;"", E137*P136,""),"")</f>
        <v/>
      </c>
      <c r="Q137" s="48" t="str">
        <f>IF(E137&lt;&gt;"", IF(Q136&lt;&gt;"", E137*Q136,""),"")</f>
        <v/>
      </c>
      <c r="R137" s="48" t="str">
        <f>IF(E137&lt;&gt;"", IF(R136&lt;&gt;"", E137*R136,""),"")</f>
        <v/>
      </c>
      <c r="S137" s="48" t="str">
        <f>IF(E137&lt;&gt;"", IF(S136&lt;&gt;"", E137*S136,""),"")</f>
        <v/>
      </c>
      <c r="T137" s="48" t="str">
        <f>IF(E137&lt;&gt;"", IF(T136&lt;&gt;"", E137*T136,""),"")</f>
        <v/>
      </c>
      <c r="U137" s="48" t="str">
        <f>IF(E137&lt;&gt;"", IF(U136&lt;&gt;"", E137*U136,""),"")</f>
        <v/>
      </c>
      <c r="V137" s="48" t="str">
        <f>IF(E137&lt;&gt;"", IF(V136&lt;&gt;"", E137*V136,""),"")</f>
        <v/>
      </c>
      <c r="W137" s="48" t="str">
        <f>IF(E137&lt;&gt;"", IF(W136&lt;&gt;"", E137*W136,""),"")</f>
        <v/>
      </c>
      <c r="X137" s="48" t="str">
        <f>IF(E137&lt;&gt;"", IF(X136&lt;&gt;"", E137*X136,""),"")</f>
        <v/>
      </c>
      <c r="Y137" s="48" t="str">
        <f>IF(E137&lt;&gt;"", IF(Y136&lt;&gt;"", E137*Y136,""),"")</f>
        <v/>
      </c>
      <c r="Z137" s="48" t="str">
        <f>IF(E137&lt;&gt;"", IF(Z136&lt;&gt;"", E137*Z136,""),"")</f>
        <v/>
      </c>
      <c r="AA137" s="22"/>
      <c r="AB137" s="22" t="str">
        <f>IF(E137&lt;&gt;"", IF(AB136&lt;&gt;"", E137*AB136, ""), "")</f>
        <v/>
      </c>
      <c r="AC137" s="22" t="str">
        <f>IF(E137&lt;&gt;"", IF(AC136&lt;&gt;"", E137*AC136, ""), "")</f>
        <v/>
      </c>
      <c r="AD137" s="22" t="str">
        <f>IF(E137&lt;&gt;"", IF(AD136&lt;&gt;"", E137*AD136, ""), "")</f>
        <v/>
      </c>
      <c r="AE137" s="22" t="str">
        <f>IF(E137&lt;&gt;"", IF(AE136&lt;&gt;"", E137*AE136, ""), "")</f>
        <v/>
      </c>
      <c r="AF137" s="22" t="str">
        <f>IF(E137&lt;&gt;"", IF(AF136&lt;&gt;"", E137*AF136, ""), "")</f>
        <v/>
      </c>
      <c r="AG137" s="22" t="str">
        <f>IF(E137&lt;&gt;"", IF(AG136&lt;&gt;"", E137*AG136, ""), "")</f>
        <v/>
      </c>
      <c r="AH137" s="22" t="str">
        <f>IF(E137&lt;&gt;"", IF(AH136&lt;&gt;"", E137*AH136, ""), "")</f>
        <v/>
      </c>
      <c r="AI137" s="22" t="str">
        <f>IF(E137&lt;&gt;"", IF(AI136&lt;&gt;"", E137*AI136, ""), "")</f>
        <v/>
      </c>
      <c r="AJ137" s="22" t="str">
        <f>IF(E137&lt;&gt;"", IF(AJ136&lt;&gt;"", E137*AJ136, ""), "")</f>
        <v/>
      </c>
      <c r="AK137" s="22" t="str">
        <f>IF(E137&lt;&gt;"", IF(AK136&lt;&gt;"", E137*AK136, ""), "")</f>
        <v/>
      </c>
      <c r="AL137" s="22" t="str">
        <f>IF(E137&lt;&gt;"", IF(AL136&lt;&gt;"", E137*AL136, ""), "")</f>
        <v/>
      </c>
      <c r="AM137" s="22" t="str">
        <f>IF(E137&lt;&gt;"", IF(AM136&lt;&gt;"", E137*AM136, ""), "")</f>
        <v/>
      </c>
      <c r="AN137" s="22" t="str">
        <f>IF(E137&lt;&gt;"", IF(AN136&lt;&gt;"", E137*AN136, ""), "")</f>
        <v/>
      </c>
      <c r="AO137" s="22" t="str">
        <f>IF(E137&lt;&gt;"", IF(AO136&lt;&gt;"", E137*AO136, ""), "")</f>
        <v/>
      </c>
      <c r="AP137" s="22" t="str">
        <f>IF(E137&lt;&gt;"", IF(AP136&lt;&gt;"", E137*AP136, ""), "")</f>
        <v/>
      </c>
      <c r="AQ137" s="22" t="str">
        <f>IF(E137&lt;&gt;"", IF(AQ136&lt;&gt;"", E137*AQ136, ""), "")</f>
        <v/>
      </c>
      <c r="AR137" s="22" t="str">
        <f>IF(E137&lt;&gt;"", IF(AR136&lt;&gt;"", E137*AR136, ""), "")</f>
        <v/>
      </c>
      <c r="AS137" s="22" t="str">
        <f>IF(E137&lt;&gt;"", IF(AS136&lt;&gt;"", E137*AS136, ""), "")</f>
        <v/>
      </c>
      <c r="AT137" s="22" t="str">
        <f>IF(E137&lt;&gt;"", IF(AT136&lt;&gt;"", E137*AT136, ""), "")</f>
        <v/>
      </c>
      <c r="AU137" s="22" t="str">
        <f>IF(E137&lt;&gt;"", IF(AU136&lt;&gt;"", E137*AU136, ""), "")</f>
        <v/>
      </c>
      <c r="AV137" s="22" t="str">
        <f>IF(E137&lt;&gt;"", IF(AV136&lt;&gt;"", E137*AV136, ""), "")</f>
        <v/>
      </c>
      <c r="AW137" s="22" t="str">
        <f>IF(E137&lt;&gt;"", IF(AW136&lt;&gt;"", E137*AW136, ""), "")</f>
        <v/>
      </c>
      <c r="AX137" s="22" t="str">
        <f>IF(E137&lt;&gt;"", IF(AX136&lt;&gt;"", E137*AX136, ""), "")</f>
        <v/>
      </c>
      <c r="AY137" s="22" t="str">
        <f>IF(E137&lt;&gt;"", IF(AY136&lt;&gt;"", E137*AY136, ""), "")</f>
        <v/>
      </c>
      <c r="AZ137" s="22" t="str">
        <f>IF(E137&lt;&gt;"", IF(AZ136&lt;&gt;"", E137*AZ136, ""), "")</f>
        <v/>
      </c>
      <c r="BA137" s="22" t="str">
        <f>IF(E137&lt;&gt;"", IF(BA136&lt;&gt;"", E137*BA136, ""), "")</f>
        <v/>
      </c>
      <c r="BB137" s="22" t="str">
        <f>IF(E137&lt;&gt;"", IF(BB136&lt;&gt;"", E137*BB136, ""), "")</f>
        <v/>
      </c>
      <c r="BC137" s="22" t="str">
        <f>IF(E137&lt;&gt;"", IF(BC136&lt;&gt;"", E137*BC136, ""), "")</f>
        <v/>
      </c>
      <c r="BD137" s="22" t="str">
        <f>IF(E137&lt;&gt;"", IF(BD136&lt;&gt;"", E137*BD136, ""), "")</f>
        <v/>
      </c>
      <c r="BE137" s="22" t="str">
        <f>IF(E137&lt;&gt;"", IF(BE136&lt;&gt;"", E137*BE136, ""), "")</f>
        <v/>
      </c>
      <c r="DH137" s="18">
        <f>M137</f>
        <v>8</v>
      </c>
    </row>
    <row r="138" spans="1:119" ht="20.100000000000001" customHeight="1">
      <c r="A138" s="220">
        <v>19</v>
      </c>
      <c r="B138" s="7"/>
      <c r="C138" s="7"/>
      <c r="D138" s="5" t="s">
        <v>285</v>
      </c>
      <c r="E138" s="3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>
        <v>1</v>
      </c>
      <c r="U138" s="46"/>
      <c r="V138" s="46"/>
      <c r="W138" s="46"/>
      <c r="X138" s="46"/>
      <c r="Y138" s="46"/>
      <c r="Z138" s="46"/>
      <c r="AA138" s="59"/>
      <c r="AB138" s="59"/>
      <c r="AC138" s="59"/>
      <c r="AD138" s="59"/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  <c r="BC138" s="59"/>
      <c r="BD138" s="59"/>
      <c r="BE138" s="59"/>
    </row>
    <row r="139" spans="1:119" ht="20.100000000000001" customHeight="1">
      <c r="A139" s="221"/>
      <c r="B139" s="7"/>
      <c r="C139" s="7"/>
      <c r="D139" s="78" t="s">
        <v>286</v>
      </c>
      <c r="E139" s="47">
        <f>IF(egTextCal(D139)&lt;&gt;0, egTextCal(D139),"")</f>
        <v>408</v>
      </c>
      <c r="F139" s="48" t="str">
        <f>IF(E139&lt;&gt;"", IF(F138&lt;&gt;"", E139*F138,""),"")</f>
        <v/>
      </c>
      <c r="G139" s="48" t="str">
        <f>IF(E139&lt;&gt;"", IF(G138&lt;&gt;"", E139*G138,""),"")</f>
        <v/>
      </c>
      <c r="H139" s="48" t="str">
        <f>IF(E139&lt;&gt;"", IF(H138&lt;&gt;"", E139*H138,""),"")</f>
        <v/>
      </c>
      <c r="I139" s="48" t="str">
        <f>IF(E139&lt;&gt;"", IF(I138&lt;&gt;"", E139*I138,""),"")</f>
        <v/>
      </c>
      <c r="J139" s="48" t="str">
        <f>IF(E139&lt;&gt;"", IF(J138&lt;&gt;"", E139*J138,""),"")</f>
        <v/>
      </c>
      <c r="K139" s="48" t="str">
        <f>IF(E139&lt;&gt;"", IF(K138&lt;&gt;"", E139*K138,""),"")</f>
        <v/>
      </c>
      <c r="L139" s="48" t="str">
        <f>IF(E139&lt;&gt;"", IF(L138&lt;&gt;"", E139*L138,""),"")</f>
        <v/>
      </c>
      <c r="M139" s="48" t="str">
        <f>IF(E139&lt;&gt;"", IF(M138&lt;&gt;"", E139*M138,""),"")</f>
        <v/>
      </c>
      <c r="N139" s="48" t="str">
        <f>IF(E139&lt;&gt;"", IF(N138&lt;&gt;"", E139*N138,""),"")</f>
        <v/>
      </c>
      <c r="O139" s="48" t="str">
        <f>IF(E139&lt;&gt;"", IF(O138&lt;&gt;"", E139*O138,""),"")</f>
        <v/>
      </c>
      <c r="P139" s="48" t="str">
        <f>IF(E139&lt;&gt;"", IF(P138&lt;&gt;"", E139*P138,""),"")</f>
        <v/>
      </c>
      <c r="Q139" s="48" t="str">
        <f>IF(E139&lt;&gt;"", IF(Q138&lt;&gt;"", E139*Q138,""),"")</f>
        <v/>
      </c>
      <c r="R139" s="48" t="str">
        <f>IF(E139&lt;&gt;"", IF(R138&lt;&gt;"", E139*R138,""),"")</f>
        <v/>
      </c>
      <c r="S139" s="48" t="str">
        <f>IF(E139&lt;&gt;"", IF(S138&lt;&gt;"", E139*S138,""),"")</f>
        <v/>
      </c>
      <c r="T139" s="48">
        <f>IF(E139&lt;&gt;"", IF(T138&lt;&gt;"", E139*T138,""),"")</f>
        <v>408</v>
      </c>
      <c r="U139" s="48" t="str">
        <f>IF(E139&lt;&gt;"", IF(U138&lt;&gt;"", E139*U138,""),"")</f>
        <v/>
      </c>
      <c r="V139" s="48" t="str">
        <f>IF(E139&lt;&gt;"", IF(V138&lt;&gt;"", E139*V138,""),"")</f>
        <v/>
      </c>
      <c r="W139" s="48" t="str">
        <f>IF(E139&lt;&gt;"", IF(W138&lt;&gt;"", E139*W138,""),"")</f>
        <v/>
      </c>
      <c r="X139" s="48" t="str">
        <f>IF(E139&lt;&gt;"", IF(X138&lt;&gt;"", E139*X138,""),"")</f>
        <v/>
      </c>
      <c r="Y139" s="48" t="str">
        <f>IF(E139&lt;&gt;"", IF(Y138&lt;&gt;"", E139*Y138,""),"")</f>
        <v/>
      </c>
      <c r="Z139" s="48" t="str">
        <f>IF(E139&lt;&gt;"", IF(Z138&lt;&gt;"", E139*Z138,""),"")</f>
        <v/>
      </c>
      <c r="AA139" s="22"/>
      <c r="AB139" s="22" t="str">
        <f>IF(E139&lt;&gt;"", IF(AB138&lt;&gt;"", E139*AB138, ""), "")</f>
        <v/>
      </c>
      <c r="AC139" s="22" t="str">
        <f>IF(E139&lt;&gt;"", IF(AC138&lt;&gt;"", E139*AC138, ""), "")</f>
        <v/>
      </c>
      <c r="AD139" s="22" t="str">
        <f>IF(E139&lt;&gt;"", IF(AD138&lt;&gt;"", E139*AD138, ""), "")</f>
        <v/>
      </c>
      <c r="AE139" s="22" t="str">
        <f>IF(E139&lt;&gt;"", IF(AE138&lt;&gt;"", E139*AE138, ""), "")</f>
        <v/>
      </c>
      <c r="AF139" s="22" t="str">
        <f>IF(E139&lt;&gt;"", IF(AF138&lt;&gt;"", E139*AF138, ""), "")</f>
        <v/>
      </c>
      <c r="AG139" s="22" t="str">
        <f>IF(E139&lt;&gt;"", IF(AG138&lt;&gt;"", E139*AG138, ""), "")</f>
        <v/>
      </c>
      <c r="AH139" s="22" t="str">
        <f>IF(E139&lt;&gt;"", IF(AH138&lt;&gt;"", E139*AH138, ""), "")</f>
        <v/>
      </c>
      <c r="AI139" s="22" t="str">
        <f>IF(E139&lt;&gt;"", IF(AI138&lt;&gt;"", E139*AI138, ""), "")</f>
        <v/>
      </c>
      <c r="AJ139" s="22" t="str">
        <f>IF(E139&lt;&gt;"", IF(AJ138&lt;&gt;"", E139*AJ138, ""), "")</f>
        <v/>
      </c>
      <c r="AK139" s="22" t="str">
        <f>IF(E139&lt;&gt;"", IF(AK138&lt;&gt;"", E139*AK138, ""), "")</f>
        <v/>
      </c>
      <c r="AL139" s="22" t="str">
        <f>IF(E139&lt;&gt;"", IF(AL138&lt;&gt;"", E139*AL138, ""), "")</f>
        <v/>
      </c>
      <c r="AM139" s="22" t="str">
        <f>IF(E139&lt;&gt;"", IF(AM138&lt;&gt;"", E139*AM138, ""), "")</f>
        <v/>
      </c>
      <c r="AN139" s="22" t="str">
        <f>IF(E139&lt;&gt;"", IF(AN138&lt;&gt;"", E139*AN138, ""), "")</f>
        <v/>
      </c>
      <c r="AO139" s="22" t="str">
        <f>IF(E139&lt;&gt;"", IF(AO138&lt;&gt;"", E139*AO138, ""), "")</f>
        <v/>
      </c>
      <c r="AP139" s="22" t="str">
        <f>IF(E139&lt;&gt;"", IF(AP138&lt;&gt;"", E139*AP138, ""), "")</f>
        <v/>
      </c>
      <c r="AQ139" s="22" t="str">
        <f>IF(E139&lt;&gt;"", IF(AQ138&lt;&gt;"", E139*AQ138, ""), "")</f>
        <v/>
      </c>
      <c r="AR139" s="22" t="str">
        <f>IF(E139&lt;&gt;"", IF(AR138&lt;&gt;"", E139*AR138, ""), "")</f>
        <v/>
      </c>
      <c r="AS139" s="22" t="str">
        <f>IF(E139&lt;&gt;"", IF(AS138&lt;&gt;"", E139*AS138, ""), "")</f>
        <v/>
      </c>
      <c r="AT139" s="22" t="str">
        <f>IF(E139&lt;&gt;"", IF(AT138&lt;&gt;"", E139*AT138, ""), "")</f>
        <v/>
      </c>
      <c r="AU139" s="22" t="str">
        <f>IF(E139&lt;&gt;"", IF(AU138&lt;&gt;"", E139*AU138, ""), "")</f>
        <v/>
      </c>
      <c r="AV139" s="22" t="str">
        <f>IF(E139&lt;&gt;"", IF(AV138&lt;&gt;"", E139*AV138, ""), "")</f>
        <v/>
      </c>
      <c r="AW139" s="22" t="str">
        <f>IF(E139&lt;&gt;"", IF(AW138&lt;&gt;"", E139*AW138, ""), "")</f>
        <v/>
      </c>
      <c r="AX139" s="22" t="str">
        <f>IF(E139&lt;&gt;"", IF(AX138&lt;&gt;"", E139*AX138, ""), "")</f>
        <v/>
      </c>
      <c r="AY139" s="22" t="str">
        <f>IF(E139&lt;&gt;"", IF(AY138&lt;&gt;"", E139*AY138, ""), "")</f>
        <v/>
      </c>
      <c r="AZ139" s="22" t="str">
        <f>IF(E139&lt;&gt;"", IF(AZ138&lt;&gt;"", E139*AZ138, ""), "")</f>
        <v/>
      </c>
      <c r="BA139" s="22" t="str">
        <f>IF(E139&lt;&gt;"", IF(BA138&lt;&gt;"", E139*BA138, ""), "")</f>
        <v/>
      </c>
      <c r="BB139" s="22" t="str">
        <f>IF(E139&lt;&gt;"", IF(BB138&lt;&gt;"", E139*BB138, ""), "")</f>
        <v/>
      </c>
      <c r="BC139" s="22" t="str">
        <f>IF(E139&lt;&gt;"", IF(BC138&lt;&gt;"", E139*BC138, ""), "")</f>
        <v/>
      </c>
      <c r="BD139" s="22" t="str">
        <f>IF(E139&lt;&gt;"", IF(BD138&lt;&gt;"", E139*BD138, ""), "")</f>
        <v/>
      </c>
      <c r="BE139" s="22" t="str">
        <f>IF(E139&lt;&gt;"", IF(BE138&lt;&gt;"", E139*BE138, ""), "")</f>
        <v/>
      </c>
      <c r="DO139" s="18">
        <f>T139</f>
        <v>408</v>
      </c>
    </row>
    <row r="140" spans="1:119" ht="20.100000000000001" customHeight="1">
      <c r="A140" s="220">
        <v>20</v>
      </c>
      <c r="B140" s="7"/>
      <c r="C140" s="7"/>
      <c r="D140" s="5" t="s">
        <v>287</v>
      </c>
      <c r="E140" s="3"/>
      <c r="F140" s="46"/>
      <c r="G140" s="46"/>
      <c r="H140" s="46"/>
      <c r="I140" s="46"/>
      <c r="J140" s="46"/>
      <c r="K140" s="46"/>
      <c r="L140" s="46"/>
      <c r="M140" s="46"/>
      <c r="N140" s="46">
        <v>1</v>
      </c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59"/>
      <c r="AB140" s="59"/>
      <c r="AC140" s="59"/>
      <c r="AD140" s="59"/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  <c r="BC140" s="59"/>
      <c r="BD140" s="59"/>
      <c r="BE140" s="59"/>
    </row>
    <row r="141" spans="1:119" ht="20.100000000000001" customHeight="1">
      <c r="A141" s="221"/>
      <c r="B141" s="58"/>
      <c r="C141" s="58"/>
      <c r="D141" s="78">
        <v>5</v>
      </c>
      <c r="E141" s="47">
        <f>IF(egTextCal(D141)&lt;&gt;0, egTextCal(D141),"")</f>
        <v>5</v>
      </c>
      <c r="F141" s="48" t="str">
        <f>IF(E141&lt;&gt;"", IF(F140&lt;&gt;"", E141*F140,""),"")</f>
        <v/>
      </c>
      <c r="G141" s="48" t="str">
        <f>IF(E141&lt;&gt;"", IF(G140&lt;&gt;"", E141*G140,""),"")</f>
        <v/>
      </c>
      <c r="H141" s="48" t="str">
        <f>IF(E141&lt;&gt;"", IF(H140&lt;&gt;"", E141*H140,""),"")</f>
        <v/>
      </c>
      <c r="I141" s="48" t="str">
        <f>IF(E141&lt;&gt;"", IF(I140&lt;&gt;"", E141*I140,""),"")</f>
        <v/>
      </c>
      <c r="J141" s="48" t="str">
        <f>IF(E141&lt;&gt;"", IF(J140&lt;&gt;"", E141*J140,""),"")</f>
        <v/>
      </c>
      <c r="K141" s="48" t="str">
        <f>IF(E141&lt;&gt;"", IF(K140&lt;&gt;"", E141*K140,""),"")</f>
        <v/>
      </c>
      <c r="L141" s="48" t="str">
        <f>IF(E141&lt;&gt;"", IF(L140&lt;&gt;"", E141*L140,""),"")</f>
        <v/>
      </c>
      <c r="M141" s="48" t="str">
        <f>IF(E141&lt;&gt;"", IF(M140&lt;&gt;"", E141*M140,""),"")</f>
        <v/>
      </c>
      <c r="N141" s="48">
        <f>IF(E141&lt;&gt;"", IF(N140&lt;&gt;"", E141*N140,""),"")</f>
        <v>5</v>
      </c>
      <c r="O141" s="48" t="str">
        <f>IF(E141&lt;&gt;"", IF(O140&lt;&gt;"", E141*O140,""),"")</f>
        <v/>
      </c>
      <c r="P141" s="48" t="str">
        <f>IF(E141&lt;&gt;"", IF(P140&lt;&gt;"", E141*P140,""),"")</f>
        <v/>
      </c>
      <c r="Q141" s="48" t="str">
        <f>IF(E141&lt;&gt;"", IF(Q140&lt;&gt;"", E141*Q140,""),"")</f>
        <v/>
      </c>
      <c r="R141" s="48" t="str">
        <f>IF(E141&lt;&gt;"", IF(R140&lt;&gt;"", E141*R140,""),"")</f>
        <v/>
      </c>
      <c r="S141" s="48" t="str">
        <f>IF(E141&lt;&gt;"", IF(S140&lt;&gt;"", E141*S140,""),"")</f>
        <v/>
      </c>
      <c r="T141" s="48" t="str">
        <f>IF(E141&lt;&gt;"", IF(T140&lt;&gt;"", E141*T140,""),"")</f>
        <v/>
      </c>
      <c r="U141" s="48" t="str">
        <f>IF(E141&lt;&gt;"", IF(U140&lt;&gt;"", E141*U140,""),"")</f>
        <v/>
      </c>
      <c r="V141" s="48" t="str">
        <f>IF(E141&lt;&gt;"", IF(V140&lt;&gt;"", E141*V140,""),"")</f>
        <v/>
      </c>
      <c r="W141" s="48" t="str">
        <f>IF(E141&lt;&gt;"", IF(W140&lt;&gt;"", E141*W140,""),"")</f>
        <v/>
      </c>
      <c r="X141" s="48" t="str">
        <f>IF(E141&lt;&gt;"", IF(X140&lt;&gt;"", E141*X140,""),"")</f>
        <v/>
      </c>
      <c r="Y141" s="48" t="str">
        <f>IF(E141&lt;&gt;"", IF(Y140&lt;&gt;"", E141*Y140,""),"")</f>
        <v/>
      </c>
      <c r="Z141" s="48" t="str">
        <f>IF(E141&lt;&gt;"", IF(Z140&lt;&gt;"", E141*Z140,""),"")</f>
        <v/>
      </c>
      <c r="AA141" s="22"/>
      <c r="AB141" s="22" t="str">
        <f>IF(E141&lt;&gt;"", IF(AB140&lt;&gt;"", E141*AB140, ""), "")</f>
        <v/>
      </c>
      <c r="AC141" s="22" t="str">
        <f>IF(E141&lt;&gt;"", IF(AC140&lt;&gt;"", E141*AC140, ""), "")</f>
        <v/>
      </c>
      <c r="AD141" s="22" t="str">
        <f>IF(E141&lt;&gt;"", IF(AD140&lt;&gt;"", E141*AD140, ""), "")</f>
        <v/>
      </c>
      <c r="AE141" s="22" t="str">
        <f>IF(E141&lt;&gt;"", IF(AE140&lt;&gt;"", E141*AE140, ""), "")</f>
        <v/>
      </c>
      <c r="AF141" s="22" t="str">
        <f>IF(E141&lt;&gt;"", IF(AF140&lt;&gt;"", E141*AF140, ""), "")</f>
        <v/>
      </c>
      <c r="AG141" s="22" t="str">
        <f>IF(E141&lt;&gt;"", IF(AG140&lt;&gt;"", E141*AG140, ""), "")</f>
        <v/>
      </c>
      <c r="AH141" s="22" t="str">
        <f>IF(E141&lt;&gt;"", IF(AH140&lt;&gt;"", E141*AH140, ""), "")</f>
        <v/>
      </c>
      <c r="AI141" s="22" t="str">
        <f>IF(E141&lt;&gt;"", IF(AI140&lt;&gt;"", E141*AI140, ""), "")</f>
        <v/>
      </c>
      <c r="AJ141" s="22" t="str">
        <f>IF(E141&lt;&gt;"", IF(AJ140&lt;&gt;"", E141*AJ140, ""), "")</f>
        <v/>
      </c>
      <c r="AK141" s="22" t="str">
        <f>IF(E141&lt;&gt;"", IF(AK140&lt;&gt;"", E141*AK140, ""), "")</f>
        <v/>
      </c>
      <c r="AL141" s="22" t="str">
        <f>IF(E141&lt;&gt;"", IF(AL140&lt;&gt;"", E141*AL140, ""), "")</f>
        <v/>
      </c>
      <c r="AM141" s="22" t="str">
        <f>IF(E141&lt;&gt;"", IF(AM140&lt;&gt;"", E141*AM140, ""), "")</f>
        <v/>
      </c>
      <c r="AN141" s="22" t="str">
        <f>IF(E141&lt;&gt;"", IF(AN140&lt;&gt;"", E141*AN140, ""), "")</f>
        <v/>
      </c>
      <c r="AO141" s="22" t="str">
        <f>IF(E141&lt;&gt;"", IF(AO140&lt;&gt;"", E141*AO140, ""), "")</f>
        <v/>
      </c>
      <c r="AP141" s="22" t="str">
        <f>IF(E141&lt;&gt;"", IF(AP140&lt;&gt;"", E141*AP140, ""), "")</f>
        <v/>
      </c>
      <c r="AQ141" s="22" t="str">
        <f>IF(E141&lt;&gt;"", IF(AQ140&lt;&gt;"", E141*AQ140, ""), "")</f>
        <v/>
      </c>
      <c r="AR141" s="22" t="str">
        <f>IF(E141&lt;&gt;"", IF(AR140&lt;&gt;"", E141*AR140, ""), "")</f>
        <v/>
      </c>
      <c r="AS141" s="22" t="str">
        <f>IF(E141&lt;&gt;"", IF(AS140&lt;&gt;"", E141*AS140, ""), "")</f>
        <v/>
      </c>
      <c r="AT141" s="22" t="str">
        <f>IF(E141&lt;&gt;"", IF(AT140&lt;&gt;"", E141*AT140, ""), "")</f>
        <v/>
      </c>
      <c r="AU141" s="22" t="str">
        <f>IF(E141&lt;&gt;"", IF(AU140&lt;&gt;"", E141*AU140, ""), "")</f>
        <v/>
      </c>
      <c r="AV141" s="22" t="str">
        <f>IF(E141&lt;&gt;"", IF(AV140&lt;&gt;"", E141*AV140, ""), "")</f>
        <v/>
      </c>
      <c r="AW141" s="22" t="str">
        <f>IF(E141&lt;&gt;"", IF(AW140&lt;&gt;"", E141*AW140, ""), "")</f>
        <v/>
      </c>
      <c r="AX141" s="22" t="str">
        <f>IF(E141&lt;&gt;"", IF(AX140&lt;&gt;"", E141*AX140, ""), "")</f>
        <v/>
      </c>
      <c r="AY141" s="22" t="str">
        <f>IF(E141&lt;&gt;"", IF(AY140&lt;&gt;"", E141*AY140, ""), "")</f>
        <v/>
      </c>
      <c r="AZ141" s="22" t="str">
        <f>IF(E141&lt;&gt;"", IF(AZ140&lt;&gt;"", E141*AZ140, ""), "")</f>
        <v/>
      </c>
      <c r="BA141" s="22" t="str">
        <f>IF(E141&lt;&gt;"", IF(BA140&lt;&gt;"", E141*BA140, ""), "")</f>
        <v/>
      </c>
      <c r="BB141" s="22" t="str">
        <f>IF(E141&lt;&gt;"", IF(BB140&lt;&gt;"", E141*BB140, ""), "")</f>
        <v/>
      </c>
      <c r="BC141" s="22" t="str">
        <f>IF(E141&lt;&gt;"", IF(BC140&lt;&gt;"", E141*BC140, ""), "")</f>
        <v/>
      </c>
      <c r="BD141" s="22" t="str">
        <f>IF(E141&lt;&gt;"", IF(BD140&lt;&gt;"", E141*BD140, ""), "")</f>
        <v/>
      </c>
      <c r="BE141" s="22" t="str">
        <f>IF(E141&lt;&gt;"", IF(BE140&lt;&gt;"", E141*BE140, ""), "")</f>
        <v/>
      </c>
      <c r="DI141" s="18">
        <f>N141</f>
        <v>5</v>
      </c>
    </row>
    <row r="142" spans="1:119" ht="20.100000000000001" customHeight="1">
      <c r="BA142" s="2"/>
      <c r="BB142" s="2"/>
      <c r="BC142" s="2"/>
      <c r="BD142" s="2"/>
      <c r="BE142" s="2"/>
    </row>
    <row r="143" spans="1:119" ht="20.100000000000001" customHeight="1">
      <c r="BA143" s="2"/>
      <c r="BB143" s="2"/>
      <c r="BC143" s="2"/>
      <c r="BD143" s="2"/>
      <c r="BE143" s="2"/>
    </row>
    <row r="144" spans="1:119" ht="20.100000000000001" customHeight="1">
      <c r="BA144" s="2"/>
      <c r="BB144" s="2"/>
      <c r="BC144" s="2"/>
      <c r="BD144" s="2"/>
      <c r="BE144" s="2"/>
    </row>
    <row r="145" spans="1:132" ht="20.100000000000001" customHeight="1">
      <c r="D145" s="222" t="s">
        <v>644</v>
      </c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23"/>
      <c r="S145" s="223"/>
      <c r="T145" s="223"/>
      <c r="U145" s="223"/>
      <c r="V145" s="223"/>
      <c r="W145" s="223"/>
      <c r="X145" s="223"/>
      <c r="Y145" s="223"/>
      <c r="Z145" s="223"/>
      <c r="BA145" s="2"/>
      <c r="BB145" s="2"/>
      <c r="BC145" s="2"/>
      <c r="BD145" s="2"/>
      <c r="BE145" s="2"/>
    </row>
    <row r="146" spans="1:132" ht="20.100000000000001" customHeight="1">
      <c r="A146" s="219" t="s">
        <v>320</v>
      </c>
      <c r="B146" s="73"/>
      <c r="C146" s="75"/>
      <c r="D146" s="219" t="s">
        <v>180</v>
      </c>
      <c r="E146" s="219" t="s">
        <v>181</v>
      </c>
      <c r="F146" s="54" t="s">
        <v>250</v>
      </c>
      <c r="G146" s="54" t="s">
        <v>251</v>
      </c>
      <c r="H146" s="54" t="s">
        <v>252</v>
      </c>
      <c r="I146" s="54" t="s">
        <v>253</v>
      </c>
      <c r="J146" s="54" t="s">
        <v>254</v>
      </c>
      <c r="K146" s="54" t="s">
        <v>593</v>
      </c>
      <c r="L146" s="54" t="s">
        <v>255</v>
      </c>
      <c r="M146" s="54" t="s">
        <v>256</v>
      </c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</row>
    <row r="147" spans="1:132" ht="20.100000000000001" customHeight="1">
      <c r="A147" s="220"/>
      <c r="B147" s="14"/>
      <c r="C147" s="42"/>
      <c r="D147" s="220"/>
      <c r="E147" s="220"/>
      <c r="F147" s="44" t="s">
        <v>257</v>
      </c>
      <c r="G147" s="44"/>
      <c r="H147" s="44" t="s">
        <v>258</v>
      </c>
      <c r="I147" s="44" t="s">
        <v>259</v>
      </c>
      <c r="J147" s="44" t="s">
        <v>591</v>
      </c>
      <c r="K147" s="44" t="s">
        <v>594</v>
      </c>
      <c r="L147" s="44" t="s">
        <v>260</v>
      </c>
      <c r="M147" s="44" t="s">
        <v>261</v>
      </c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</row>
    <row r="148" spans="1:132" ht="20.100000000000001" customHeight="1">
      <c r="A148" s="221"/>
      <c r="B148" s="74"/>
      <c r="C148" s="76"/>
      <c r="D148" s="221"/>
      <c r="E148" s="221"/>
      <c r="F148" s="55" t="s">
        <v>262</v>
      </c>
      <c r="G148" s="55" t="s">
        <v>263</v>
      </c>
      <c r="H148" s="55" t="s">
        <v>264</v>
      </c>
      <c r="I148" s="55" t="s">
        <v>262</v>
      </c>
      <c r="J148" s="55" t="s">
        <v>592</v>
      </c>
      <c r="K148" s="55" t="s">
        <v>595</v>
      </c>
      <c r="L148" s="55" t="s">
        <v>265</v>
      </c>
      <c r="M148" s="55" t="s">
        <v>266</v>
      </c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</row>
    <row r="149" spans="1:132" ht="20.100000000000001" customHeight="1">
      <c r="A149" s="220">
        <v>1</v>
      </c>
      <c r="B149" s="7"/>
      <c r="C149" s="7"/>
      <c r="D149" s="5" t="s">
        <v>590</v>
      </c>
      <c r="E149" s="3"/>
      <c r="F149" s="46"/>
      <c r="G149" s="46"/>
      <c r="H149" s="46"/>
      <c r="I149" s="46"/>
      <c r="J149" s="46">
        <v>1</v>
      </c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59"/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  <c r="BC149" s="59"/>
      <c r="BD149" s="59"/>
      <c r="BE149" s="59"/>
    </row>
    <row r="150" spans="1:132" ht="20.100000000000001" customHeight="1">
      <c r="A150" s="221"/>
      <c r="B150" s="7"/>
      <c r="C150" s="7"/>
      <c r="D150" s="78">
        <v>1</v>
      </c>
      <c r="E150" s="47">
        <f>IF(egTextCal(D150)&lt;&gt;0, egTextCal(D150),"")</f>
        <v>1</v>
      </c>
      <c r="F150" s="48" t="str">
        <f>IF(E150&lt;&gt;"", IF(F149&lt;&gt;"", E150*F149,""),"")</f>
        <v/>
      </c>
      <c r="G150" s="48" t="str">
        <f>IF(E150&lt;&gt;"", IF(G149&lt;&gt;"", E150*G149,""),"")</f>
        <v/>
      </c>
      <c r="H150" s="48" t="str">
        <f>IF(E150&lt;&gt;"", IF(H149&lt;&gt;"", E150*H149,""),"")</f>
        <v/>
      </c>
      <c r="I150" s="48" t="str">
        <f>IF(E150&lt;&gt;"", IF(I149&lt;&gt;"", E150*I149,""),"")</f>
        <v/>
      </c>
      <c r="J150" s="48">
        <f>IF(E150&lt;&gt;"", IF(J149&lt;&gt;"", E150*J149,""),"")</f>
        <v>1</v>
      </c>
      <c r="K150" s="48" t="str">
        <f>IF(E150&lt;&gt;"", IF(K149&lt;&gt;"", E150*K149,""),"")</f>
        <v/>
      </c>
      <c r="L150" s="48" t="str">
        <f>IF(E150&lt;&gt;"", IF(L149&lt;&gt;"", E150*L149,""),"")</f>
        <v/>
      </c>
      <c r="M150" s="48" t="str">
        <f>IF(E150&lt;&gt;"", IF(M149&lt;&gt;"", E150*M149,""),"")</f>
        <v/>
      </c>
      <c r="N150" s="48" t="str">
        <f>IF(E150&lt;&gt;"", IF(N149&lt;&gt;"", E150*N149,""),"")</f>
        <v/>
      </c>
      <c r="O150" s="48" t="str">
        <f>IF(E150&lt;&gt;"", IF(O149&lt;&gt;"", E150*O149,""),"")</f>
        <v/>
      </c>
      <c r="P150" s="48" t="str">
        <f>IF(E150&lt;&gt;"", IF(P149&lt;&gt;"", E150*P149,""),"")</f>
        <v/>
      </c>
      <c r="Q150" s="48" t="str">
        <f>IF(E150&lt;&gt;"", IF(Q149&lt;&gt;"", E150*Q149,""),"")</f>
        <v/>
      </c>
      <c r="R150" s="48" t="str">
        <f>IF(E150&lt;&gt;"", IF(R149&lt;&gt;"", E150*R149,""),"")</f>
        <v/>
      </c>
      <c r="S150" s="48" t="str">
        <f>IF(E150&lt;&gt;"", IF(S149&lt;&gt;"", E150*S149,""),"")</f>
        <v/>
      </c>
      <c r="T150" s="48" t="str">
        <f>IF(E150&lt;&gt;"", IF(T149&lt;&gt;"", E150*T149,""),"")</f>
        <v/>
      </c>
      <c r="U150" s="48" t="str">
        <f>IF(E150&lt;&gt;"", IF(U149&lt;&gt;"", E150*U149,""),"")</f>
        <v/>
      </c>
      <c r="V150" s="48" t="str">
        <f>IF(E150&lt;&gt;"", IF(V149&lt;&gt;"", E150*V149,""),"")</f>
        <v/>
      </c>
      <c r="W150" s="48" t="str">
        <f>IF(E150&lt;&gt;"", IF(W149&lt;&gt;"", E150*W149,""),"")</f>
        <v/>
      </c>
      <c r="X150" s="48" t="str">
        <f>IF(E150&lt;&gt;"", IF(X149&lt;&gt;"", E150*X149,""),"")</f>
        <v/>
      </c>
      <c r="Y150" s="48" t="str">
        <f>IF(E150&lt;&gt;"", IF(Y149&lt;&gt;"", E150*Y149,""),"")</f>
        <v/>
      </c>
      <c r="Z150" s="48" t="str">
        <f>IF(E150&lt;&gt;"", IF(Z149&lt;&gt;"", E150*Z149,""),"")</f>
        <v/>
      </c>
      <c r="AA150" s="22"/>
      <c r="AB150" s="22" t="str">
        <f>IF(E150&lt;&gt;"", IF(AB149&lt;&gt;"", E150*AB149, ""), "")</f>
        <v/>
      </c>
      <c r="AC150" s="22" t="str">
        <f>IF(E150&lt;&gt;"", IF(AC149&lt;&gt;"", E150*AC149, ""), "")</f>
        <v/>
      </c>
      <c r="AD150" s="22" t="str">
        <f>IF(E150&lt;&gt;"", IF(AD149&lt;&gt;"", E150*AD149, ""), "")</f>
        <v/>
      </c>
      <c r="AE150" s="22" t="str">
        <f>IF(E150&lt;&gt;"", IF(AE149&lt;&gt;"", E150*AE149, ""), "")</f>
        <v/>
      </c>
      <c r="AF150" s="22" t="str">
        <f>IF(E150&lt;&gt;"", IF(AF149&lt;&gt;"", E150*AF149, ""), "")</f>
        <v/>
      </c>
      <c r="AG150" s="22" t="str">
        <f>IF(E150&lt;&gt;"", IF(AG149&lt;&gt;"", E150*AG149, ""), "")</f>
        <v/>
      </c>
      <c r="AH150" s="22" t="str">
        <f>IF(E150&lt;&gt;"", IF(AH149&lt;&gt;"", E150*AH149, ""), "")</f>
        <v/>
      </c>
      <c r="AI150" s="22" t="str">
        <f>IF(E150&lt;&gt;"", IF(AI149&lt;&gt;"", E150*AI149, ""), "")</f>
        <v/>
      </c>
      <c r="AJ150" s="22" t="str">
        <f>IF(E150&lt;&gt;"", IF(AJ149&lt;&gt;"", E150*AJ149, ""), "")</f>
        <v/>
      </c>
      <c r="AK150" s="22" t="str">
        <f>IF(E150&lt;&gt;"", IF(AK149&lt;&gt;"", E150*AK149, ""), "")</f>
        <v/>
      </c>
      <c r="AL150" s="22" t="str">
        <f>IF(E150&lt;&gt;"", IF(AL149&lt;&gt;"", E150*AL149, ""), "")</f>
        <v/>
      </c>
      <c r="AM150" s="22" t="str">
        <f>IF(E150&lt;&gt;"", IF(AM149&lt;&gt;"", E150*AM149, ""), "")</f>
        <v/>
      </c>
      <c r="AN150" s="22" t="str">
        <f>IF(E150&lt;&gt;"", IF(AN149&lt;&gt;"", E150*AN149, ""), "")</f>
        <v/>
      </c>
      <c r="AO150" s="22" t="str">
        <f>IF(E150&lt;&gt;"", IF(AO149&lt;&gt;"", E150*AO149, ""), "")</f>
        <v/>
      </c>
      <c r="AP150" s="22" t="str">
        <f>IF(E150&lt;&gt;"", IF(AP149&lt;&gt;"", E150*AP149, ""), "")</f>
        <v/>
      </c>
      <c r="AQ150" s="22" t="str">
        <f>IF(E150&lt;&gt;"", IF(AQ149&lt;&gt;"", E150*AQ149, ""), "")</f>
        <v/>
      </c>
      <c r="AR150" s="22" t="str">
        <f>IF(E150&lt;&gt;"", IF(AR149&lt;&gt;"", E150*AR149, ""), "")</f>
        <v/>
      </c>
      <c r="AS150" s="22" t="str">
        <f>IF(E150&lt;&gt;"", IF(AS149&lt;&gt;"", E150*AS149, ""), "")</f>
        <v/>
      </c>
      <c r="AT150" s="22" t="str">
        <f>IF(E150&lt;&gt;"", IF(AT149&lt;&gt;"", E150*AT149, ""), "")</f>
        <v/>
      </c>
      <c r="AU150" s="22" t="str">
        <f>IF(E150&lt;&gt;"", IF(AU149&lt;&gt;"", E150*AU149, ""), "")</f>
        <v/>
      </c>
      <c r="AV150" s="22" t="str">
        <f>IF(E150&lt;&gt;"", IF(AV149&lt;&gt;"", E150*AV149, ""), "")</f>
        <v/>
      </c>
      <c r="AW150" s="22" t="str">
        <f>IF(E150&lt;&gt;"", IF(AW149&lt;&gt;"", E150*AW149, ""), "")</f>
        <v/>
      </c>
      <c r="AX150" s="22" t="str">
        <f>IF(E150&lt;&gt;"", IF(AX149&lt;&gt;"", E150*AX149, ""), "")</f>
        <v/>
      </c>
      <c r="AY150" s="22" t="str">
        <f>IF(E150&lt;&gt;"", IF(AY149&lt;&gt;"", E150*AY149, ""), "")</f>
        <v/>
      </c>
      <c r="AZ150" s="22" t="str">
        <f>IF(E150&lt;&gt;"", IF(AZ149&lt;&gt;"", E150*AZ149, ""), "")</f>
        <v/>
      </c>
      <c r="BA150" s="22" t="str">
        <f>IF(E150&lt;&gt;"", IF(BA149&lt;&gt;"", E150*BA149, ""), "")</f>
        <v/>
      </c>
      <c r="BB150" s="22" t="str">
        <f>IF(E150&lt;&gt;"", IF(BB149&lt;&gt;"", E150*BB149, ""), "")</f>
        <v/>
      </c>
      <c r="BC150" s="22" t="str">
        <f>IF(E150&lt;&gt;"", IF(BC149&lt;&gt;"", E150*BC149, ""), "")</f>
        <v/>
      </c>
      <c r="BD150" s="22" t="str">
        <f>IF(E150&lt;&gt;"", IF(BD149&lt;&gt;"", E150*BD149, ""), "")</f>
        <v/>
      </c>
      <c r="BE150" s="22" t="str">
        <f>IF(E150&lt;&gt;"", IF(BE149&lt;&gt;"", E150*BE149, ""), "")</f>
        <v/>
      </c>
      <c r="DZ150" s="18">
        <f>J150</f>
        <v>1</v>
      </c>
    </row>
    <row r="151" spans="1:132" ht="20.100000000000001" customHeight="1">
      <c r="A151" s="220">
        <v>2</v>
      </c>
      <c r="B151" s="7"/>
      <c r="C151" s="7"/>
      <c r="D151" s="5" t="s">
        <v>267</v>
      </c>
      <c r="E151" s="3"/>
      <c r="F151" s="46"/>
      <c r="G151" s="46"/>
      <c r="H151" s="46"/>
      <c r="I151" s="46"/>
      <c r="J151" s="46"/>
      <c r="K151" s="46"/>
      <c r="L151" s="46">
        <v>1</v>
      </c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59"/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  <c r="BC151" s="59"/>
      <c r="BD151" s="59"/>
      <c r="BE151" s="59"/>
    </row>
    <row r="152" spans="1:132" ht="20.100000000000001" customHeight="1">
      <c r="A152" s="221"/>
      <c r="B152" s="7"/>
      <c r="C152" s="7"/>
      <c r="D152" s="78">
        <v>6</v>
      </c>
      <c r="E152" s="47">
        <f>IF(egTextCal(D152)&lt;&gt;0, egTextCal(D152),"")</f>
        <v>6</v>
      </c>
      <c r="F152" s="48" t="str">
        <f>IF(E152&lt;&gt;"", IF(F151&lt;&gt;"", E152*F151,""),"")</f>
        <v/>
      </c>
      <c r="G152" s="48" t="str">
        <f>IF(E152&lt;&gt;"", IF(G151&lt;&gt;"", E152*G151,""),"")</f>
        <v/>
      </c>
      <c r="H152" s="48" t="str">
        <f>IF(E152&lt;&gt;"", IF(H151&lt;&gt;"", E152*H151,""),"")</f>
        <v/>
      </c>
      <c r="I152" s="48" t="str">
        <f>IF(E152&lt;&gt;"", IF(I151&lt;&gt;"", E152*I151,""),"")</f>
        <v/>
      </c>
      <c r="J152" s="48" t="str">
        <f>IF(E152&lt;&gt;"", IF(J151&lt;&gt;"", E152*J151,""),"")</f>
        <v/>
      </c>
      <c r="K152" s="48" t="str">
        <f>IF(E152&lt;&gt;"", IF(K151&lt;&gt;"", E152*K151,""),"")</f>
        <v/>
      </c>
      <c r="L152" s="48">
        <f>IF(E152&lt;&gt;"", IF(L151&lt;&gt;"", E152*L151,""),"")</f>
        <v>6</v>
      </c>
      <c r="M152" s="48" t="str">
        <f>IF(E152&lt;&gt;"", IF(M151&lt;&gt;"", E152*M151,""),"")</f>
        <v/>
      </c>
      <c r="N152" s="48" t="str">
        <f>IF(E152&lt;&gt;"", IF(N151&lt;&gt;"", E152*N151,""),"")</f>
        <v/>
      </c>
      <c r="O152" s="48" t="str">
        <f>IF(E152&lt;&gt;"", IF(O151&lt;&gt;"", E152*O151,""),"")</f>
        <v/>
      </c>
      <c r="P152" s="48" t="str">
        <f>IF(E152&lt;&gt;"", IF(P151&lt;&gt;"", E152*P151,""),"")</f>
        <v/>
      </c>
      <c r="Q152" s="48" t="str">
        <f>IF(E152&lt;&gt;"", IF(Q151&lt;&gt;"", E152*Q151,""),"")</f>
        <v/>
      </c>
      <c r="R152" s="48" t="str">
        <f>IF(E152&lt;&gt;"", IF(R151&lt;&gt;"", E152*R151,""),"")</f>
        <v/>
      </c>
      <c r="S152" s="48" t="str">
        <f>IF(E152&lt;&gt;"", IF(S151&lt;&gt;"", E152*S151,""),"")</f>
        <v/>
      </c>
      <c r="T152" s="48" t="str">
        <f>IF(E152&lt;&gt;"", IF(T151&lt;&gt;"", E152*T151,""),"")</f>
        <v/>
      </c>
      <c r="U152" s="48" t="str">
        <f>IF(E152&lt;&gt;"", IF(U151&lt;&gt;"", E152*U151,""),"")</f>
        <v/>
      </c>
      <c r="V152" s="48" t="str">
        <f>IF(E152&lt;&gt;"", IF(V151&lt;&gt;"", E152*V151,""),"")</f>
        <v/>
      </c>
      <c r="W152" s="48" t="str">
        <f>IF(E152&lt;&gt;"", IF(W151&lt;&gt;"", E152*W151,""),"")</f>
        <v/>
      </c>
      <c r="X152" s="48" t="str">
        <f>IF(E152&lt;&gt;"", IF(X151&lt;&gt;"", E152*X151,""),"")</f>
        <v/>
      </c>
      <c r="Y152" s="48" t="str">
        <f>IF(E152&lt;&gt;"", IF(Y151&lt;&gt;"", E152*Y151,""),"")</f>
        <v/>
      </c>
      <c r="Z152" s="48" t="str">
        <f>IF(E152&lt;&gt;"", IF(Z151&lt;&gt;"", E152*Z151,""),"")</f>
        <v/>
      </c>
      <c r="AA152" s="22"/>
      <c r="AB152" s="22" t="str">
        <f>IF(E152&lt;&gt;"", IF(AB151&lt;&gt;"", E152*AB151, ""), "")</f>
        <v/>
      </c>
      <c r="AC152" s="22" t="str">
        <f>IF(E152&lt;&gt;"", IF(AC151&lt;&gt;"", E152*AC151, ""), "")</f>
        <v/>
      </c>
      <c r="AD152" s="22" t="str">
        <f>IF(E152&lt;&gt;"", IF(AD151&lt;&gt;"", E152*AD151, ""), "")</f>
        <v/>
      </c>
      <c r="AE152" s="22" t="str">
        <f>IF(E152&lt;&gt;"", IF(AE151&lt;&gt;"", E152*AE151, ""), "")</f>
        <v/>
      </c>
      <c r="AF152" s="22" t="str">
        <f>IF(E152&lt;&gt;"", IF(AF151&lt;&gt;"", E152*AF151, ""), "")</f>
        <v/>
      </c>
      <c r="AG152" s="22" t="str">
        <f>IF(E152&lt;&gt;"", IF(AG151&lt;&gt;"", E152*AG151, ""), "")</f>
        <v/>
      </c>
      <c r="AH152" s="22" t="str">
        <f>IF(E152&lt;&gt;"", IF(AH151&lt;&gt;"", E152*AH151, ""), "")</f>
        <v/>
      </c>
      <c r="AI152" s="22" t="str">
        <f>IF(E152&lt;&gt;"", IF(AI151&lt;&gt;"", E152*AI151, ""), "")</f>
        <v/>
      </c>
      <c r="AJ152" s="22" t="str">
        <f>IF(E152&lt;&gt;"", IF(AJ151&lt;&gt;"", E152*AJ151, ""), "")</f>
        <v/>
      </c>
      <c r="AK152" s="22" t="str">
        <f>IF(E152&lt;&gt;"", IF(AK151&lt;&gt;"", E152*AK151, ""), "")</f>
        <v/>
      </c>
      <c r="AL152" s="22" t="str">
        <f>IF(E152&lt;&gt;"", IF(AL151&lt;&gt;"", E152*AL151, ""), "")</f>
        <v/>
      </c>
      <c r="AM152" s="22" t="str">
        <f>IF(E152&lt;&gt;"", IF(AM151&lt;&gt;"", E152*AM151, ""), "")</f>
        <v/>
      </c>
      <c r="AN152" s="22" t="str">
        <f>IF(E152&lt;&gt;"", IF(AN151&lt;&gt;"", E152*AN151, ""), "")</f>
        <v/>
      </c>
      <c r="AO152" s="22" t="str">
        <f>IF(E152&lt;&gt;"", IF(AO151&lt;&gt;"", E152*AO151, ""), "")</f>
        <v/>
      </c>
      <c r="AP152" s="22" t="str">
        <f>IF(E152&lt;&gt;"", IF(AP151&lt;&gt;"", E152*AP151, ""), "")</f>
        <v/>
      </c>
      <c r="AQ152" s="22" t="str">
        <f>IF(E152&lt;&gt;"", IF(AQ151&lt;&gt;"", E152*AQ151, ""), "")</f>
        <v/>
      </c>
      <c r="AR152" s="22" t="str">
        <f>IF(E152&lt;&gt;"", IF(AR151&lt;&gt;"", E152*AR151, ""), "")</f>
        <v/>
      </c>
      <c r="AS152" s="22" t="str">
        <f>IF(E152&lt;&gt;"", IF(AS151&lt;&gt;"", E152*AS151, ""), "")</f>
        <v/>
      </c>
      <c r="AT152" s="22" t="str">
        <f>IF(E152&lt;&gt;"", IF(AT151&lt;&gt;"", E152*AT151, ""), "")</f>
        <v/>
      </c>
      <c r="AU152" s="22" t="str">
        <f>IF(E152&lt;&gt;"", IF(AU151&lt;&gt;"", E152*AU151, ""), "")</f>
        <v/>
      </c>
      <c r="AV152" s="22" t="str">
        <f>IF(E152&lt;&gt;"", IF(AV151&lt;&gt;"", E152*AV151, ""), "")</f>
        <v/>
      </c>
      <c r="AW152" s="22" t="str">
        <f>IF(E152&lt;&gt;"", IF(AW151&lt;&gt;"", E152*AW151, ""), "")</f>
        <v/>
      </c>
      <c r="AX152" s="22" t="str">
        <f>IF(E152&lt;&gt;"", IF(AX151&lt;&gt;"", E152*AX151, ""), "")</f>
        <v/>
      </c>
      <c r="AY152" s="22" t="str">
        <f>IF(E152&lt;&gt;"", IF(AY151&lt;&gt;"", E152*AY151, ""), "")</f>
        <v/>
      </c>
      <c r="AZ152" s="22" t="str">
        <f>IF(E152&lt;&gt;"", IF(AZ151&lt;&gt;"", E152*AZ151, ""), "")</f>
        <v/>
      </c>
      <c r="BA152" s="22" t="str">
        <f>IF(E152&lt;&gt;"", IF(BA151&lt;&gt;"", E152*BA151, ""), "")</f>
        <v/>
      </c>
      <c r="BB152" s="22" t="str">
        <f>IF(E152&lt;&gt;"", IF(BB151&lt;&gt;"", E152*BB151, ""), "")</f>
        <v/>
      </c>
      <c r="BC152" s="22" t="str">
        <f>IF(E152&lt;&gt;"", IF(BC151&lt;&gt;"", E152*BC151, ""), "")</f>
        <v/>
      </c>
      <c r="BD152" s="22" t="str">
        <f>IF(E152&lt;&gt;"", IF(BD151&lt;&gt;"", E152*BD151, ""), "")</f>
        <v/>
      </c>
      <c r="BE152" s="22" t="str">
        <f>IF(E152&lt;&gt;"", IF(BE151&lt;&gt;"", E152*BE151, ""), "")</f>
        <v/>
      </c>
      <c r="EB152" s="18">
        <f>L152</f>
        <v>6</v>
      </c>
    </row>
    <row r="153" spans="1:132" ht="20.100000000000001" customHeight="1">
      <c r="A153" s="220">
        <v>3</v>
      </c>
      <c r="B153" s="7"/>
      <c r="C153" s="7"/>
      <c r="D153" s="5" t="s">
        <v>268</v>
      </c>
      <c r="E153" s="3"/>
      <c r="F153" s="46"/>
      <c r="G153" s="46"/>
      <c r="H153" s="46">
        <v>1</v>
      </c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59"/>
      <c r="AB153" s="59"/>
      <c r="AC153" s="59"/>
      <c r="AD153" s="59"/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  <c r="BC153" s="59"/>
      <c r="BD153" s="59"/>
      <c r="BE153" s="59"/>
    </row>
    <row r="154" spans="1:132" ht="20.100000000000001" customHeight="1">
      <c r="A154" s="221"/>
      <c r="B154" s="7"/>
      <c r="C154" s="7"/>
      <c r="D154" s="78">
        <v>1</v>
      </c>
      <c r="E154" s="47">
        <f>IF(egTextCal(D154)&lt;&gt;0, egTextCal(D154),"")</f>
        <v>1</v>
      </c>
      <c r="F154" s="48" t="str">
        <f>IF(E154&lt;&gt;"", IF(F153&lt;&gt;"", E154*F153,""),"")</f>
        <v/>
      </c>
      <c r="G154" s="48" t="str">
        <f>IF(E154&lt;&gt;"", IF(G153&lt;&gt;"", E154*G153,""),"")</f>
        <v/>
      </c>
      <c r="H154" s="48">
        <f>IF(E154&lt;&gt;"", IF(H153&lt;&gt;"", E154*H153,""),"")</f>
        <v>1</v>
      </c>
      <c r="I154" s="48" t="str">
        <f>IF(E154&lt;&gt;"", IF(I153&lt;&gt;"", E154*I153,""),"")</f>
        <v/>
      </c>
      <c r="J154" s="48" t="str">
        <f>IF(E154&lt;&gt;"", IF(J153&lt;&gt;"", E154*J153,""),"")</f>
        <v/>
      </c>
      <c r="K154" s="48" t="str">
        <f>IF(E154&lt;&gt;"", IF(K153&lt;&gt;"", E154*K153,""),"")</f>
        <v/>
      </c>
      <c r="L154" s="48" t="str">
        <f>IF(E154&lt;&gt;"", IF(L153&lt;&gt;"", E154*L153,""),"")</f>
        <v/>
      </c>
      <c r="M154" s="48" t="str">
        <f>IF(E154&lt;&gt;"", IF(M153&lt;&gt;"", E154*M153,""),"")</f>
        <v/>
      </c>
      <c r="N154" s="48" t="str">
        <f>IF(E154&lt;&gt;"", IF(N153&lt;&gt;"", E154*N153,""),"")</f>
        <v/>
      </c>
      <c r="O154" s="48" t="str">
        <f>IF(E154&lt;&gt;"", IF(O153&lt;&gt;"", E154*O153,""),"")</f>
        <v/>
      </c>
      <c r="P154" s="48" t="str">
        <f>IF(E154&lt;&gt;"", IF(P153&lt;&gt;"", E154*P153,""),"")</f>
        <v/>
      </c>
      <c r="Q154" s="48" t="str">
        <f>IF(E154&lt;&gt;"", IF(Q153&lt;&gt;"", E154*Q153,""),"")</f>
        <v/>
      </c>
      <c r="R154" s="48" t="str">
        <f>IF(E154&lt;&gt;"", IF(R153&lt;&gt;"", E154*R153,""),"")</f>
        <v/>
      </c>
      <c r="S154" s="48" t="str">
        <f>IF(E154&lt;&gt;"", IF(S153&lt;&gt;"", E154*S153,""),"")</f>
        <v/>
      </c>
      <c r="T154" s="48" t="str">
        <f>IF(E154&lt;&gt;"", IF(T153&lt;&gt;"", E154*T153,""),"")</f>
        <v/>
      </c>
      <c r="U154" s="48" t="str">
        <f>IF(E154&lt;&gt;"", IF(U153&lt;&gt;"", E154*U153,""),"")</f>
        <v/>
      </c>
      <c r="V154" s="48" t="str">
        <f>IF(E154&lt;&gt;"", IF(V153&lt;&gt;"", E154*V153,""),"")</f>
        <v/>
      </c>
      <c r="W154" s="48" t="str">
        <f>IF(E154&lt;&gt;"", IF(W153&lt;&gt;"", E154*W153,""),"")</f>
        <v/>
      </c>
      <c r="X154" s="48" t="str">
        <f>IF(E154&lt;&gt;"", IF(X153&lt;&gt;"", E154*X153,""),"")</f>
        <v/>
      </c>
      <c r="Y154" s="48" t="str">
        <f>IF(E154&lt;&gt;"", IF(Y153&lt;&gt;"", E154*Y153,""),"")</f>
        <v/>
      </c>
      <c r="Z154" s="48" t="str">
        <f>IF(E154&lt;&gt;"", IF(Z153&lt;&gt;"", E154*Z153,""),"")</f>
        <v/>
      </c>
      <c r="AA154" s="22"/>
      <c r="AB154" s="22" t="str">
        <f>IF(E154&lt;&gt;"", IF(AB153&lt;&gt;"", E154*AB153, ""), "")</f>
        <v/>
      </c>
      <c r="AC154" s="22" t="str">
        <f>IF(E154&lt;&gt;"", IF(AC153&lt;&gt;"", E154*AC153, ""), "")</f>
        <v/>
      </c>
      <c r="AD154" s="22" t="str">
        <f>IF(E154&lt;&gt;"", IF(AD153&lt;&gt;"", E154*AD153, ""), "")</f>
        <v/>
      </c>
      <c r="AE154" s="22" t="str">
        <f>IF(E154&lt;&gt;"", IF(AE153&lt;&gt;"", E154*AE153, ""), "")</f>
        <v/>
      </c>
      <c r="AF154" s="22" t="str">
        <f>IF(E154&lt;&gt;"", IF(AF153&lt;&gt;"", E154*AF153, ""), "")</f>
        <v/>
      </c>
      <c r="AG154" s="22" t="str">
        <f>IF(E154&lt;&gt;"", IF(AG153&lt;&gt;"", E154*AG153, ""), "")</f>
        <v/>
      </c>
      <c r="AH154" s="22" t="str">
        <f>IF(E154&lt;&gt;"", IF(AH153&lt;&gt;"", E154*AH153, ""), "")</f>
        <v/>
      </c>
      <c r="AI154" s="22" t="str">
        <f>IF(E154&lt;&gt;"", IF(AI153&lt;&gt;"", E154*AI153, ""), "")</f>
        <v/>
      </c>
      <c r="AJ154" s="22" t="str">
        <f>IF(E154&lt;&gt;"", IF(AJ153&lt;&gt;"", E154*AJ153, ""), "")</f>
        <v/>
      </c>
      <c r="AK154" s="22" t="str">
        <f>IF(E154&lt;&gt;"", IF(AK153&lt;&gt;"", E154*AK153, ""), "")</f>
        <v/>
      </c>
      <c r="AL154" s="22" t="str">
        <f>IF(E154&lt;&gt;"", IF(AL153&lt;&gt;"", E154*AL153, ""), "")</f>
        <v/>
      </c>
      <c r="AM154" s="22" t="str">
        <f>IF(E154&lt;&gt;"", IF(AM153&lt;&gt;"", E154*AM153, ""), "")</f>
        <v/>
      </c>
      <c r="AN154" s="22" t="str">
        <f>IF(E154&lt;&gt;"", IF(AN153&lt;&gt;"", E154*AN153, ""), "")</f>
        <v/>
      </c>
      <c r="AO154" s="22" t="str">
        <f>IF(E154&lt;&gt;"", IF(AO153&lt;&gt;"", E154*AO153, ""), "")</f>
        <v/>
      </c>
      <c r="AP154" s="22" t="str">
        <f>IF(E154&lt;&gt;"", IF(AP153&lt;&gt;"", E154*AP153, ""), "")</f>
        <v/>
      </c>
      <c r="AQ154" s="22" t="str">
        <f>IF(E154&lt;&gt;"", IF(AQ153&lt;&gt;"", E154*AQ153, ""), "")</f>
        <v/>
      </c>
      <c r="AR154" s="22" t="str">
        <f>IF(E154&lt;&gt;"", IF(AR153&lt;&gt;"", E154*AR153, ""), "")</f>
        <v/>
      </c>
      <c r="AS154" s="22" t="str">
        <f>IF(E154&lt;&gt;"", IF(AS153&lt;&gt;"", E154*AS153, ""), "")</f>
        <v/>
      </c>
      <c r="AT154" s="22" t="str">
        <f>IF(E154&lt;&gt;"", IF(AT153&lt;&gt;"", E154*AT153, ""), "")</f>
        <v/>
      </c>
      <c r="AU154" s="22" t="str">
        <f>IF(E154&lt;&gt;"", IF(AU153&lt;&gt;"", E154*AU153, ""), "")</f>
        <v/>
      </c>
      <c r="AV154" s="22" t="str">
        <f>IF(E154&lt;&gt;"", IF(AV153&lt;&gt;"", E154*AV153, ""), "")</f>
        <v/>
      </c>
      <c r="AW154" s="22" t="str">
        <f>IF(E154&lt;&gt;"", IF(AW153&lt;&gt;"", E154*AW153, ""), "")</f>
        <v/>
      </c>
      <c r="AX154" s="22" t="str">
        <f>IF(E154&lt;&gt;"", IF(AX153&lt;&gt;"", E154*AX153, ""), "")</f>
        <v/>
      </c>
      <c r="AY154" s="22" t="str">
        <f>IF(E154&lt;&gt;"", IF(AY153&lt;&gt;"", E154*AY153, ""), "")</f>
        <v/>
      </c>
      <c r="AZ154" s="22" t="str">
        <f>IF(E154&lt;&gt;"", IF(AZ153&lt;&gt;"", E154*AZ153, ""), "")</f>
        <v/>
      </c>
      <c r="BA154" s="22" t="str">
        <f>IF(E154&lt;&gt;"", IF(BA153&lt;&gt;"", E154*BA153, ""), "")</f>
        <v/>
      </c>
      <c r="BB154" s="22" t="str">
        <f>IF(E154&lt;&gt;"", IF(BB153&lt;&gt;"", E154*BB153, ""), "")</f>
        <v/>
      </c>
      <c r="BC154" s="22" t="str">
        <f>IF(E154&lt;&gt;"", IF(BC153&lt;&gt;"", E154*BC153, ""), "")</f>
        <v/>
      </c>
      <c r="BD154" s="22" t="str">
        <f>IF(E154&lt;&gt;"", IF(BD153&lt;&gt;"", E154*BD153, ""), "")</f>
        <v/>
      </c>
      <c r="BE154" s="22" t="str">
        <f>IF(E154&lt;&gt;"", IF(BE153&lt;&gt;"", E154*BE153, ""), "")</f>
        <v/>
      </c>
      <c r="DX154" s="18">
        <f>H154</f>
        <v>1</v>
      </c>
    </row>
    <row r="155" spans="1:132" ht="20.100000000000001" customHeight="1">
      <c r="A155" s="220">
        <v>4</v>
      </c>
      <c r="B155" s="7"/>
      <c r="C155" s="7"/>
      <c r="D155" s="5" t="s">
        <v>269</v>
      </c>
      <c r="E155" s="3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  <c r="BC155" s="59"/>
      <c r="BD155" s="59"/>
      <c r="BE155" s="59"/>
    </row>
    <row r="156" spans="1:132" ht="20.100000000000001" customHeight="1">
      <c r="A156" s="221"/>
      <c r="B156" s="7"/>
      <c r="C156" s="7"/>
      <c r="D156" s="78"/>
      <c r="E156" s="47" t="str">
        <f>IF(egTextCal(D156)&lt;&gt;0, egTextCal(D156),"")</f>
        <v/>
      </c>
      <c r="F156" s="48" t="str">
        <f>IF(E156&lt;&gt;"", IF(F155&lt;&gt;"", E156*F155,""),"")</f>
        <v/>
      </c>
      <c r="G156" s="48" t="str">
        <f>IF(E156&lt;&gt;"", IF(G155&lt;&gt;"", E156*G155,""),"")</f>
        <v/>
      </c>
      <c r="H156" s="48" t="str">
        <f>IF(E156&lt;&gt;"", IF(H155&lt;&gt;"", E156*H155,""),"")</f>
        <v/>
      </c>
      <c r="I156" s="48" t="str">
        <f>IF(E156&lt;&gt;"", IF(I155&lt;&gt;"", E156*I155,""),"")</f>
        <v/>
      </c>
      <c r="J156" s="48" t="str">
        <f>IF(E156&lt;&gt;"", IF(J155&lt;&gt;"", E156*J155,""),"")</f>
        <v/>
      </c>
      <c r="K156" s="48" t="str">
        <f>IF(E156&lt;&gt;"", IF(K155&lt;&gt;"", E156*K155,""),"")</f>
        <v/>
      </c>
      <c r="L156" s="48" t="str">
        <f>IF(E156&lt;&gt;"", IF(L155&lt;&gt;"", E156*L155,""),"")</f>
        <v/>
      </c>
      <c r="M156" s="48" t="str">
        <f>IF(E156&lt;&gt;"", IF(M155&lt;&gt;"", E156*M155,""),"")</f>
        <v/>
      </c>
      <c r="N156" s="48" t="str">
        <f>IF(E156&lt;&gt;"", IF(N155&lt;&gt;"", E156*N155,""),"")</f>
        <v/>
      </c>
      <c r="O156" s="48" t="str">
        <f>IF(E156&lt;&gt;"", IF(O155&lt;&gt;"", E156*O155,""),"")</f>
        <v/>
      </c>
      <c r="P156" s="48" t="str">
        <f>IF(E156&lt;&gt;"", IF(P155&lt;&gt;"", E156*P155,""),"")</f>
        <v/>
      </c>
      <c r="Q156" s="48" t="str">
        <f>IF(E156&lt;&gt;"", IF(Q155&lt;&gt;"", E156*Q155,""),"")</f>
        <v/>
      </c>
      <c r="R156" s="48" t="str">
        <f>IF(E156&lt;&gt;"", IF(R155&lt;&gt;"", E156*R155,""),"")</f>
        <v/>
      </c>
      <c r="S156" s="48" t="str">
        <f>IF(E156&lt;&gt;"", IF(S155&lt;&gt;"", E156*S155,""),"")</f>
        <v/>
      </c>
      <c r="T156" s="48" t="str">
        <f>IF(E156&lt;&gt;"", IF(T155&lt;&gt;"", E156*T155,""),"")</f>
        <v/>
      </c>
      <c r="U156" s="48" t="str">
        <f>IF(E156&lt;&gt;"", IF(U155&lt;&gt;"", E156*U155,""),"")</f>
        <v/>
      </c>
      <c r="V156" s="48" t="str">
        <f>IF(E156&lt;&gt;"", IF(V155&lt;&gt;"", E156*V155,""),"")</f>
        <v/>
      </c>
      <c r="W156" s="48" t="str">
        <f>IF(E156&lt;&gt;"", IF(W155&lt;&gt;"", E156*W155,""),"")</f>
        <v/>
      </c>
      <c r="X156" s="48" t="str">
        <f>IF(E156&lt;&gt;"", IF(X155&lt;&gt;"", E156*X155,""),"")</f>
        <v/>
      </c>
      <c r="Y156" s="48" t="str">
        <f>IF(E156&lt;&gt;"", IF(Y155&lt;&gt;"", E156*Y155,""),"")</f>
        <v/>
      </c>
      <c r="Z156" s="48" t="str">
        <f>IF(E156&lt;&gt;"", IF(Z155&lt;&gt;"", E156*Z155,""),"")</f>
        <v/>
      </c>
      <c r="AA156" s="22"/>
      <c r="AB156" s="22" t="str">
        <f>IF(E156&lt;&gt;"", IF(AB155&lt;&gt;"", E156*AB155, ""), "")</f>
        <v/>
      </c>
      <c r="AC156" s="22" t="str">
        <f>IF(E156&lt;&gt;"", IF(AC155&lt;&gt;"", E156*AC155, ""), "")</f>
        <v/>
      </c>
      <c r="AD156" s="22" t="str">
        <f>IF(E156&lt;&gt;"", IF(AD155&lt;&gt;"", E156*AD155, ""), "")</f>
        <v/>
      </c>
      <c r="AE156" s="22" t="str">
        <f>IF(E156&lt;&gt;"", IF(AE155&lt;&gt;"", E156*AE155, ""), "")</f>
        <v/>
      </c>
      <c r="AF156" s="22" t="str">
        <f>IF(E156&lt;&gt;"", IF(AF155&lt;&gt;"", E156*AF155, ""), "")</f>
        <v/>
      </c>
      <c r="AG156" s="22" t="str">
        <f>IF(E156&lt;&gt;"", IF(AG155&lt;&gt;"", E156*AG155, ""), "")</f>
        <v/>
      </c>
      <c r="AH156" s="22" t="str">
        <f>IF(E156&lt;&gt;"", IF(AH155&lt;&gt;"", E156*AH155, ""), "")</f>
        <v/>
      </c>
      <c r="AI156" s="22" t="str">
        <f>IF(E156&lt;&gt;"", IF(AI155&lt;&gt;"", E156*AI155, ""), "")</f>
        <v/>
      </c>
      <c r="AJ156" s="22" t="str">
        <f>IF(E156&lt;&gt;"", IF(AJ155&lt;&gt;"", E156*AJ155, ""), "")</f>
        <v/>
      </c>
      <c r="AK156" s="22" t="str">
        <f>IF(E156&lt;&gt;"", IF(AK155&lt;&gt;"", E156*AK155, ""), "")</f>
        <v/>
      </c>
      <c r="AL156" s="22" t="str">
        <f>IF(E156&lt;&gt;"", IF(AL155&lt;&gt;"", E156*AL155, ""), "")</f>
        <v/>
      </c>
      <c r="AM156" s="22" t="str">
        <f>IF(E156&lt;&gt;"", IF(AM155&lt;&gt;"", E156*AM155, ""), "")</f>
        <v/>
      </c>
      <c r="AN156" s="22" t="str">
        <f>IF(E156&lt;&gt;"", IF(AN155&lt;&gt;"", E156*AN155, ""), "")</f>
        <v/>
      </c>
      <c r="AO156" s="22" t="str">
        <f>IF(E156&lt;&gt;"", IF(AO155&lt;&gt;"", E156*AO155, ""), "")</f>
        <v/>
      </c>
      <c r="AP156" s="22" t="str">
        <f>IF(E156&lt;&gt;"", IF(AP155&lt;&gt;"", E156*AP155, ""), "")</f>
        <v/>
      </c>
      <c r="AQ156" s="22" t="str">
        <f>IF(E156&lt;&gt;"", IF(AQ155&lt;&gt;"", E156*AQ155, ""), "")</f>
        <v/>
      </c>
      <c r="AR156" s="22" t="str">
        <f>IF(E156&lt;&gt;"", IF(AR155&lt;&gt;"", E156*AR155, ""), "")</f>
        <v/>
      </c>
      <c r="AS156" s="22" t="str">
        <f>IF(E156&lt;&gt;"", IF(AS155&lt;&gt;"", E156*AS155, ""), "")</f>
        <v/>
      </c>
      <c r="AT156" s="22" t="str">
        <f>IF(E156&lt;&gt;"", IF(AT155&lt;&gt;"", E156*AT155, ""), "")</f>
        <v/>
      </c>
      <c r="AU156" s="22" t="str">
        <f>IF(E156&lt;&gt;"", IF(AU155&lt;&gt;"", E156*AU155, ""), "")</f>
        <v/>
      </c>
      <c r="AV156" s="22" t="str">
        <f>IF(E156&lt;&gt;"", IF(AV155&lt;&gt;"", E156*AV155, ""), "")</f>
        <v/>
      </c>
      <c r="AW156" s="22" t="str">
        <f>IF(E156&lt;&gt;"", IF(AW155&lt;&gt;"", E156*AW155, ""), "")</f>
        <v/>
      </c>
      <c r="AX156" s="22" t="str">
        <f>IF(E156&lt;&gt;"", IF(AX155&lt;&gt;"", E156*AX155, ""), "")</f>
        <v/>
      </c>
      <c r="AY156" s="22" t="str">
        <f>IF(E156&lt;&gt;"", IF(AY155&lt;&gt;"", E156*AY155, ""), "")</f>
        <v/>
      </c>
      <c r="AZ156" s="22" t="str">
        <f>IF(E156&lt;&gt;"", IF(AZ155&lt;&gt;"", E156*AZ155, ""), "")</f>
        <v/>
      </c>
      <c r="BA156" s="22" t="str">
        <f>IF(E156&lt;&gt;"", IF(BA155&lt;&gt;"", E156*BA155, ""), "")</f>
        <v/>
      </c>
      <c r="BB156" s="22" t="str">
        <f>IF(E156&lt;&gt;"", IF(BB155&lt;&gt;"", E156*BB155, ""), "")</f>
        <v/>
      </c>
      <c r="BC156" s="22" t="str">
        <f>IF(E156&lt;&gt;"", IF(BC155&lt;&gt;"", E156*BC155, ""), "")</f>
        <v/>
      </c>
      <c r="BD156" s="22" t="str">
        <f>IF(E156&lt;&gt;"", IF(BD155&lt;&gt;"", E156*BD155, ""), "")</f>
        <v/>
      </c>
      <c r="BE156" s="22" t="str">
        <f>IF(E156&lt;&gt;"", IF(BE155&lt;&gt;"", E156*BE155, ""), "")</f>
        <v/>
      </c>
    </row>
    <row r="157" spans="1:132" ht="20.100000000000001" customHeight="1">
      <c r="A157" s="220">
        <v>5</v>
      </c>
      <c r="B157" s="7"/>
      <c r="C157" s="7"/>
      <c r="D157" s="5" t="s">
        <v>270</v>
      </c>
      <c r="E157" s="3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59"/>
      <c r="AB157" s="59"/>
      <c r="AC157" s="59"/>
      <c r="AD157" s="59"/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  <c r="BC157" s="59"/>
      <c r="BD157" s="59"/>
      <c r="BE157" s="59"/>
    </row>
    <row r="158" spans="1:132" ht="20.100000000000001" customHeight="1">
      <c r="A158" s="221"/>
      <c r="B158" s="7"/>
      <c r="C158" s="7"/>
      <c r="D158" s="78" t="s">
        <v>271</v>
      </c>
      <c r="E158" s="47">
        <f>IF(egTextCal(D158)&lt;&gt;0, egTextCal(D158),"")</f>
        <v>45</v>
      </c>
      <c r="F158" s="48" t="str">
        <f>IF(E158&lt;&gt;"", IF(F157&lt;&gt;"", E158*F157,""),"")</f>
        <v/>
      </c>
      <c r="G158" s="48" t="str">
        <f>IF(E158&lt;&gt;"", IF(G157&lt;&gt;"", E158*G157,""),"")</f>
        <v/>
      </c>
      <c r="H158" s="48" t="str">
        <f>IF(E158&lt;&gt;"", IF(H157&lt;&gt;"", E158*H157,""),"")</f>
        <v/>
      </c>
      <c r="I158" s="48" t="str">
        <f>IF(E158&lt;&gt;"", IF(I157&lt;&gt;"", E158*I157,""),"")</f>
        <v/>
      </c>
      <c r="J158" s="48" t="str">
        <f>IF(E158&lt;&gt;"", IF(J157&lt;&gt;"", E158*J157,""),"")</f>
        <v/>
      </c>
      <c r="K158" s="48" t="str">
        <f>IF(E158&lt;&gt;"", IF(K157&lt;&gt;"", E158*K157,""),"")</f>
        <v/>
      </c>
      <c r="L158" s="48" t="str">
        <f>IF(E158&lt;&gt;"", IF(L157&lt;&gt;"", E158*L157,""),"")</f>
        <v/>
      </c>
      <c r="M158" s="48" t="str">
        <f>IF(E158&lt;&gt;"", IF(M157&lt;&gt;"", E158*M157,""),"")</f>
        <v/>
      </c>
      <c r="N158" s="48" t="str">
        <f>IF(E158&lt;&gt;"", IF(N157&lt;&gt;"", E158*N157,""),"")</f>
        <v/>
      </c>
      <c r="O158" s="48" t="str">
        <f>IF(E158&lt;&gt;"", IF(O157&lt;&gt;"", E158*O157,""),"")</f>
        <v/>
      </c>
      <c r="P158" s="48" t="str">
        <f>IF(E158&lt;&gt;"", IF(P157&lt;&gt;"", E158*P157,""),"")</f>
        <v/>
      </c>
      <c r="Q158" s="48" t="str">
        <f>IF(E158&lt;&gt;"", IF(Q157&lt;&gt;"", E158*Q157,""),"")</f>
        <v/>
      </c>
      <c r="R158" s="48" t="str">
        <f>IF(E158&lt;&gt;"", IF(R157&lt;&gt;"", E158*R157,""),"")</f>
        <v/>
      </c>
      <c r="S158" s="48" t="str">
        <f>IF(E158&lt;&gt;"", IF(S157&lt;&gt;"", E158*S157,""),"")</f>
        <v/>
      </c>
      <c r="T158" s="48" t="str">
        <f>IF(E158&lt;&gt;"", IF(T157&lt;&gt;"", E158*T157,""),"")</f>
        <v/>
      </c>
      <c r="U158" s="48" t="str">
        <f>IF(E158&lt;&gt;"", IF(U157&lt;&gt;"", E158*U157,""),"")</f>
        <v/>
      </c>
      <c r="V158" s="48" t="str">
        <f>IF(E158&lt;&gt;"", IF(V157&lt;&gt;"", E158*V157,""),"")</f>
        <v/>
      </c>
      <c r="W158" s="48" t="str">
        <f>IF(E158&lt;&gt;"", IF(W157&lt;&gt;"", E158*W157,""),"")</f>
        <v/>
      </c>
      <c r="X158" s="48" t="str">
        <f>IF(E158&lt;&gt;"", IF(X157&lt;&gt;"", E158*X157,""),"")</f>
        <v/>
      </c>
      <c r="Y158" s="48" t="str">
        <f>IF(E158&lt;&gt;"", IF(Y157&lt;&gt;"", E158*Y157,""),"")</f>
        <v/>
      </c>
      <c r="Z158" s="48" t="str">
        <f>IF(E158&lt;&gt;"", IF(Z157&lt;&gt;"", E158*Z157,""),"")</f>
        <v/>
      </c>
      <c r="AA158" s="22"/>
      <c r="AB158" s="22" t="str">
        <f>IF(E158&lt;&gt;"", IF(AB157&lt;&gt;"", E158*AB157, ""), "")</f>
        <v/>
      </c>
      <c r="AC158" s="22" t="str">
        <f>IF(E158&lt;&gt;"", IF(AC157&lt;&gt;"", E158*AC157, ""), "")</f>
        <v/>
      </c>
      <c r="AD158" s="22" t="str">
        <f>IF(E158&lt;&gt;"", IF(AD157&lt;&gt;"", E158*AD157, ""), "")</f>
        <v/>
      </c>
      <c r="AE158" s="22" t="str">
        <f>IF(E158&lt;&gt;"", IF(AE157&lt;&gt;"", E158*AE157, ""), "")</f>
        <v/>
      </c>
      <c r="AF158" s="22" t="str">
        <f>IF(E158&lt;&gt;"", IF(AF157&lt;&gt;"", E158*AF157, ""), "")</f>
        <v/>
      </c>
      <c r="AG158" s="22" t="str">
        <f>IF(E158&lt;&gt;"", IF(AG157&lt;&gt;"", E158*AG157, ""), "")</f>
        <v/>
      </c>
      <c r="AH158" s="22" t="str">
        <f>IF(E158&lt;&gt;"", IF(AH157&lt;&gt;"", E158*AH157, ""), "")</f>
        <v/>
      </c>
      <c r="AI158" s="22" t="str">
        <f>IF(E158&lt;&gt;"", IF(AI157&lt;&gt;"", E158*AI157, ""), "")</f>
        <v/>
      </c>
      <c r="AJ158" s="22" t="str">
        <f>IF(E158&lt;&gt;"", IF(AJ157&lt;&gt;"", E158*AJ157, ""), "")</f>
        <v/>
      </c>
      <c r="AK158" s="22" t="str">
        <f>IF(E158&lt;&gt;"", IF(AK157&lt;&gt;"", E158*AK157, ""), "")</f>
        <v/>
      </c>
      <c r="AL158" s="22" t="str">
        <f>IF(E158&lt;&gt;"", IF(AL157&lt;&gt;"", E158*AL157, ""), "")</f>
        <v/>
      </c>
      <c r="AM158" s="22" t="str">
        <f>IF(E158&lt;&gt;"", IF(AM157&lt;&gt;"", E158*AM157, ""), "")</f>
        <v/>
      </c>
      <c r="AN158" s="22" t="str">
        <f>IF(E158&lt;&gt;"", IF(AN157&lt;&gt;"", E158*AN157, ""), "")</f>
        <v/>
      </c>
      <c r="AO158" s="22" t="str">
        <f>IF(E158&lt;&gt;"", IF(AO157&lt;&gt;"", E158*AO157, ""), "")</f>
        <v/>
      </c>
      <c r="AP158" s="22" t="str">
        <f>IF(E158&lt;&gt;"", IF(AP157&lt;&gt;"", E158*AP157, ""), "")</f>
        <v/>
      </c>
      <c r="AQ158" s="22" t="str">
        <f>IF(E158&lt;&gt;"", IF(AQ157&lt;&gt;"", E158*AQ157, ""), "")</f>
        <v/>
      </c>
      <c r="AR158" s="22" t="str">
        <f>IF(E158&lt;&gt;"", IF(AR157&lt;&gt;"", E158*AR157, ""), "")</f>
        <v/>
      </c>
      <c r="AS158" s="22" t="str">
        <f>IF(E158&lt;&gt;"", IF(AS157&lt;&gt;"", E158*AS157, ""), "")</f>
        <v/>
      </c>
      <c r="AT158" s="22" t="str">
        <f>IF(E158&lt;&gt;"", IF(AT157&lt;&gt;"", E158*AT157, ""), "")</f>
        <v/>
      </c>
      <c r="AU158" s="22" t="str">
        <f>IF(E158&lt;&gt;"", IF(AU157&lt;&gt;"", E158*AU157, ""), "")</f>
        <v/>
      </c>
      <c r="AV158" s="22" t="str">
        <f>IF(E158&lt;&gt;"", IF(AV157&lt;&gt;"", E158*AV157, ""), "")</f>
        <v/>
      </c>
      <c r="AW158" s="22" t="str">
        <f>IF(E158&lt;&gt;"", IF(AW157&lt;&gt;"", E158*AW157, ""), "")</f>
        <v/>
      </c>
      <c r="AX158" s="22" t="str">
        <f>IF(E158&lt;&gt;"", IF(AX157&lt;&gt;"", E158*AX157, ""), "")</f>
        <v/>
      </c>
      <c r="AY158" s="22" t="str">
        <f>IF(E158&lt;&gt;"", IF(AY157&lt;&gt;"", E158*AY157, ""), "")</f>
        <v/>
      </c>
      <c r="AZ158" s="22" t="str">
        <f>IF(E158&lt;&gt;"", IF(AZ157&lt;&gt;"", E158*AZ157, ""), "")</f>
        <v/>
      </c>
      <c r="BA158" s="22" t="str">
        <f>IF(E158&lt;&gt;"", IF(BA157&lt;&gt;"", E158*BA157, ""), "")</f>
        <v/>
      </c>
      <c r="BB158" s="22" t="str">
        <f>IF(E158&lt;&gt;"", IF(BB157&lt;&gt;"", E158*BB157, ""), "")</f>
        <v/>
      </c>
      <c r="BC158" s="22" t="str">
        <f>IF(E158&lt;&gt;"", IF(BC157&lt;&gt;"", E158*BC157, ""), "")</f>
        <v/>
      </c>
      <c r="BD158" s="22" t="str">
        <f>IF(E158&lt;&gt;"", IF(BD157&lt;&gt;"", E158*BD157, ""), "")</f>
        <v/>
      </c>
      <c r="BE158" s="22" t="str">
        <f>IF(E158&lt;&gt;"", IF(BE157&lt;&gt;"", E158*BE157, ""), "")</f>
        <v/>
      </c>
    </row>
    <row r="159" spans="1:132" ht="20.100000000000001" customHeight="1">
      <c r="A159" s="220">
        <v>6</v>
      </c>
      <c r="B159" s="7"/>
      <c r="C159" s="7"/>
      <c r="D159" s="5" t="s">
        <v>235</v>
      </c>
      <c r="E159" s="3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59"/>
      <c r="AB159" s="59"/>
      <c r="AC159" s="59"/>
      <c r="AD159" s="59"/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  <c r="BC159" s="59"/>
      <c r="BD159" s="59"/>
      <c r="BE159" s="59"/>
    </row>
    <row r="160" spans="1:132" ht="20.100000000000001" customHeight="1">
      <c r="A160" s="221"/>
      <c r="B160" s="7"/>
      <c r="C160" s="7"/>
      <c r="D160" s="78" t="s">
        <v>272</v>
      </c>
      <c r="E160" s="47">
        <f>IF(egTextCal(D160)&lt;&gt;0, egTextCal(D160),"")</f>
        <v>48</v>
      </c>
      <c r="F160" s="48" t="str">
        <f>IF(E160&lt;&gt;"", IF(F159&lt;&gt;"", E160*F159,""),"")</f>
        <v/>
      </c>
      <c r="G160" s="48" t="str">
        <f>IF(E160&lt;&gt;"", IF(G159&lt;&gt;"", E160*G159,""),"")</f>
        <v/>
      </c>
      <c r="H160" s="48" t="str">
        <f>IF(E160&lt;&gt;"", IF(H159&lt;&gt;"", E160*H159,""),"")</f>
        <v/>
      </c>
      <c r="I160" s="48" t="str">
        <f>IF(E160&lt;&gt;"", IF(I159&lt;&gt;"", E160*I159,""),"")</f>
        <v/>
      </c>
      <c r="J160" s="48" t="str">
        <f>IF(E160&lt;&gt;"", IF(J159&lt;&gt;"", E160*J159,""),"")</f>
        <v/>
      </c>
      <c r="K160" s="48" t="str">
        <f>IF(E160&lt;&gt;"", IF(K159&lt;&gt;"", E160*K159,""),"")</f>
        <v/>
      </c>
      <c r="L160" s="48" t="str">
        <f>IF(E160&lt;&gt;"", IF(L159&lt;&gt;"", E160*L159,""),"")</f>
        <v/>
      </c>
      <c r="M160" s="48" t="str">
        <f>IF(E160&lt;&gt;"", IF(M159&lt;&gt;"", E160*M159,""),"")</f>
        <v/>
      </c>
      <c r="N160" s="48" t="str">
        <f>IF(E160&lt;&gt;"", IF(N159&lt;&gt;"", E160*N159,""),"")</f>
        <v/>
      </c>
      <c r="O160" s="48" t="str">
        <f>IF(E160&lt;&gt;"", IF(O159&lt;&gt;"", E160*O159,""),"")</f>
        <v/>
      </c>
      <c r="P160" s="48" t="str">
        <f>IF(E160&lt;&gt;"", IF(P159&lt;&gt;"", E160*P159,""),"")</f>
        <v/>
      </c>
      <c r="Q160" s="48" t="str">
        <f>IF(E160&lt;&gt;"", IF(Q159&lt;&gt;"", E160*Q159,""),"")</f>
        <v/>
      </c>
      <c r="R160" s="48" t="str">
        <f>IF(E160&lt;&gt;"", IF(R159&lt;&gt;"", E160*R159,""),"")</f>
        <v/>
      </c>
      <c r="S160" s="48" t="str">
        <f>IF(E160&lt;&gt;"", IF(S159&lt;&gt;"", E160*S159,""),"")</f>
        <v/>
      </c>
      <c r="T160" s="48" t="str">
        <f>IF(E160&lt;&gt;"", IF(T159&lt;&gt;"", E160*T159,""),"")</f>
        <v/>
      </c>
      <c r="U160" s="48" t="str">
        <f>IF(E160&lt;&gt;"", IF(U159&lt;&gt;"", E160*U159,""),"")</f>
        <v/>
      </c>
      <c r="V160" s="48" t="str">
        <f>IF(E160&lt;&gt;"", IF(V159&lt;&gt;"", E160*V159,""),"")</f>
        <v/>
      </c>
      <c r="W160" s="48" t="str">
        <f>IF(E160&lt;&gt;"", IF(W159&lt;&gt;"", E160*W159,""),"")</f>
        <v/>
      </c>
      <c r="X160" s="48" t="str">
        <f>IF(E160&lt;&gt;"", IF(X159&lt;&gt;"", E160*X159,""),"")</f>
        <v/>
      </c>
      <c r="Y160" s="48" t="str">
        <f>IF(E160&lt;&gt;"", IF(Y159&lt;&gt;"", E160*Y159,""),"")</f>
        <v/>
      </c>
      <c r="Z160" s="48" t="str">
        <f>IF(E160&lt;&gt;"", IF(Z159&lt;&gt;"", E160*Z159,""),"")</f>
        <v/>
      </c>
      <c r="AA160" s="22"/>
      <c r="AB160" s="22" t="str">
        <f>IF(E160&lt;&gt;"", IF(AB159&lt;&gt;"", E160*AB159, ""), "")</f>
        <v/>
      </c>
      <c r="AC160" s="22" t="str">
        <f>IF(E160&lt;&gt;"", IF(AC159&lt;&gt;"", E160*AC159, ""), "")</f>
        <v/>
      </c>
      <c r="AD160" s="22" t="str">
        <f>IF(E160&lt;&gt;"", IF(AD159&lt;&gt;"", E160*AD159, ""), "")</f>
        <v/>
      </c>
      <c r="AE160" s="22" t="str">
        <f>IF(E160&lt;&gt;"", IF(AE159&lt;&gt;"", E160*AE159, ""), "")</f>
        <v/>
      </c>
      <c r="AF160" s="22" t="str">
        <f>IF(E160&lt;&gt;"", IF(AF159&lt;&gt;"", E160*AF159, ""), "")</f>
        <v/>
      </c>
      <c r="AG160" s="22" t="str">
        <f>IF(E160&lt;&gt;"", IF(AG159&lt;&gt;"", E160*AG159, ""), "")</f>
        <v/>
      </c>
      <c r="AH160" s="22" t="str">
        <f>IF(E160&lt;&gt;"", IF(AH159&lt;&gt;"", E160*AH159, ""), "")</f>
        <v/>
      </c>
      <c r="AI160" s="22" t="str">
        <f>IF(E160&lt;&gt;"", IF(AI159&lt;&gt;"", E160*AI159, ""), "")</f>
        <v/>
      </c>
      <c r="AJ160" s="22" t="str">
        <f>IF(E160&lt;&gt;"", IF(AJ159&lt;&gt;"", E160*AJ159, ""), "")</f>
        <v/>
      </c>
      <c r="AK160" s="22" t="str">
        <f>IF(E160&lt;&gt;"", IF(AK159&lt;&gt;"", E160*AK159, ""), "")</f>
        <v/>
      </c>
      <c r="AL160" s="22" t="str">
        <f>IF(E160&lt;&gt;"", IF(AL159&lt;&gt;"", E160*AL159, ""), "")</f>
        <v/>
      </c>
      <c r="AM160" s="22" t="str">
        <f>IF(E160&lt;&gt;"", IF(AM159&lt;&gt;"", E160*AM159, ""), "")</f>
        <v/>
      </c>
      <c r="AN160" s="22" t="str">
        <f>IF(E160&lt;&gt;"", IF(AN159&lt;&gt;"", E160*AN159, ""), "")</f>
        <v/>
      </c>
      <c r="AO160" s="22" t="str">
        <f>IF(E160&lt;&gt;"", IF(AO159&lt;&gt;"", E160*AO159, ""), "")</f>
        <v/>
      </c>
      <c r="AP160" s="22" t="str">
        <f>IF(E160&lt;&gt;"", IF(AP159&lt;&gt;"", E160*AP159, ""), "")</f>
        <v/>
      </c>
      <c r="AQ160" s="22" t="str">
        <f>IF(E160&lt;&gt;"", IF(AQ159&lt;&gt;"", E160*AQ159, ""), "")</f>
        <v/>
      </c>
      <c r="AR160" s="22" t="str">
        <f>IF(E160&lt;&gt;"", IF(AR159&lt;&gt;"", E160*AR159, ""), "")</f>
        <v/>
      </c>
      <c r="AS160" s="22" t="str">
        <f>IF(E160&lt;&gt;"", IF(AS159&lt;&gt;"", E160*AS159, ""), "")</f>
        <v/>
      </c>
      <c r="AT160" s="22" t="str">
        <f>IF(E160&lt;&gt;"", IF(AT159&lt;&gt;"", E160*AT159, ""), "")</f>
        <v/>
      </c>
      <c r="AU160" s="22" t="str">
        <f>IF(E160&lt;&gt;"", IF(AU159&lt;&gt;"", E160*AU159, ""), "")</f>
        <v/>
      </c>
      <c r="AV160" s="22" t="str">
        <f>IF(E160&lt;&gt;"", IF(AV159&lt;&gt;"", E160*AV159, ""), "")</f>
        <v/>
      </c>
      <c r="AW160" s="22" t="str">
        <f>IF(E160&lt;&gt;"", IF(AW159&lt;&gt;"", E160*AW159, ""), "")</f>
        <v/>
      </c>
      <c r="AX160" s="22" t="str">
        <f>IF(E160&lt;&gt;"", IF(AX159&lt;&gt;"", E160*AX159, ""), "")</f>
        <v/>
      </c>
      <c r="AY160" s="22" t="str">
        <f>IF(E160&lt;&gt;"", IF(AY159&lt;&gt;"", E160*AY159, ""), "")</f>
        <v/>
      </c>
      <c r="AZ160" s="22" t="str">
        <f>IF(E160&lt;&gt;"", IF(AZ159&lt;&gt;"", E160*AZ159, ""), "")</f>
        <v/>
      </c>
      <c r="BA160" s="22" t="str">
        <f>IF(E160&lt;&gt;"", IF(BA159&lt;&gt;"", E160*BA159, ""), "")</f>
        <v/>
      </c>
      <c r="BB160" s="22" t="str">
        <f>IF(E160&lt;&gt;"", IF(BB159&lt;&gt;"", E160*BB159, ""), "")</f>
        <v/>
      </c>
      <c r="BC160" s="22" t="str">
        <f>IF(E160&lt;&gt;"", IF(BC159&lt;&gt;"", E160*BC159, ""), "")</f>
        <v/>
      </c>
      <c r="BD160" s="22" t="str">
        <f>IF(E160&lt;&gt;"", IF(BD159&lt;&gt;"", E160*BD159, ""), "")</f>
        <v/>
      </c>
      <c r="BE160" s="22" t="str">
        <f>IF(E160&lt;&gt;"", IF(BE159&lt;&gt;"", E160*BE159, ""), "")</f>
        <v/>
      </c>
    </row>
    <row r="161" spans="1:129" ht="20.100000000000001" customHeight="1">
      <c r="A161" s="220">
        <v>7</v>
      </c>
      <c r="B161" s="7"/>
      <c r="C161" s="7"/>
      <c r="D161" s="5" t="s">
        <v>237</v>
      </c>
      <c r="E161" s="3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59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  <c r="BC161" s="59"/>
      <c r="BD161" s="59"/>
      <c r="BE161" s="59"/>
    </row>
    <row r="162" spans="1:129" ht="20.100000000000001" customHeight="1">
      <c r="A162" s="221"/>
      <c r="B162" s="7"/>
      <c r="C162" s="7"/>
      <c r="D162" s="78" t="s">
        <v>273</v>
      </c>
      <c r="E162" s="47">
        <f>IF(egTextCal(D162)&lt;&gt;0, egTextCal(D162),"")</f>
        <v>52</v>
      </c>
      <c r="F162" s="48" t="str">
        <f>IF(E162&lt;&gt;"", IF(F161&lt;&gt;"", E162*F161,""),"")</f>
        <v/>
      </c>
      <c r="G162" s="48" t="str">
        <f>IF(E162&lt;&gt;"", IF(G161&lt;&gt;"", E162*G161,""),"")</f>
        <v/>
      </c>
      <c r="H162" s="48" t="str">
        <f>IF(E162&lt;&gt;"", IF(H161&lt;&gt;"", E162*H161,""),"")</f>
        <v/>
      </c>
      <c r="I162" s="48" t="str">
        <f>IF(E162&lt;&gt;"", IF(I161&lt;&gt;"", E162*I161,""),"")</f>
        <v/>
      </c>
      <c r="J162" s="48" t="str">
        <f>IF(E162&lt;&gt;"", IF(J161&lt;&gt;"", E162*J161,""),"")</f>
        <v/>
      </c>
      <c r="K162" s="48" t="str">
        <f>IF(E162&lt;&gt;"", IF(K161&lt;&gt;"", E162*K161,""),"")</f>
        <v/>
      </c>
      <c r="L162" s="48" t="str">
        <f>IF(E162&lt;&gt;"", IF(L161&lt;&gt;"", E162*L161,""),"")</f>
        <v/>
      </c>
      <c r="M162" s="48" t="str">
        <f>IF(E162&lt;&gt;"", IF(M161&lt;&gt;"", E162*M161,""),"")</f>
        <v/>
      </c>
      <c r="N162" s="48" t="str">
        <f>IF(E162&lt;&gt;"", IF(N161&lt;&gt;"", E162*N161,""),"")</f>
        <v/>
      </c>
      <c r="O162" s="48" t="str">
        <f>IF(E162&lt;&gt;"", IF(O161&lt;&gt;"", E162*O161,""),"")</f>
        <v/>
      </c>
      <c r="P162" s="48" t="str">
        <f>IF(E162&lt;&gt;"", IF(P161&lt;&gt;"", E162*P161,""),"")</f>
        <v/>
      </c>
      <c r="Q162" s="48" t="str">
        <f>IF(E162&lt;&gt;"", IF(Q161&lt;&gt;"", E162*Q161,""),"")</f>
        <v/>
      </c>
      <c r="R162" s="48" t="str">
        <f>IF(E162&lt;&gt;"", IF(R161&lt;&gt;"", E162*R161,""),"")</f>
        <v/>
      </c>
      <c r="S162" s="48" t="str">
        <f>IF(E162&lt;&gt;"", IF(S161&lt;&gt;"", E162*S161,""),"")</f>
        <v/>
      </c>
      <c r="T162" s="48" t="str">
        <f>IF(E162&lt;&gt;"", IF(T161&lt;&gt;"", E162*T161,""),"")</f>
        <v/>
      </c>
      <c r="U162" s="48" t="str">
        <f>IF(E162&lt;&gt;"", IF(U161&lt;&gt;"", E162*U161,""),"")</f>
        <v/>
      </c>
      <c r="V162" s="48" t="str">
        <f>IF(E162&lt;&gt;"", IF(V161&lt;&gt;"", E162*V161,""),"")</f>
        <v/>
      </c>
      <c r="W162" s="48" t="str">
        <f>IF(E162&lt;&gt;"", IF(W161&lt;&gt;"", E162*W161,""),"")</f>
        <v/>
      </c>
      <c r="X162" s="48" t="str">
        <f>IF(E162&lt;&gt;"", IF(X161&lt;&gt;"", E162*X161,""),"")</f>
        <v/>
      </c>
      <c r="Y162" s="48" t="str">
        <f>IF(E162&lt;&gt;"", IF(Y161&lt;&gt;"", E162*Y161,""),"")</f>
        <v/>
      </c>
      <c r="Z162" s="48" t="str">
        <f>IF(E162&lt;&gt;"", IF(Z161&lt;&gt;"", E162*Z161,""),"")</f>
        <v/>
      </c>
      <c r="AA162" s="22"/>
      <c r="AB162" s="22" t="str">
        <f>IF(E162&lt;&gt;"", IF(AB161&lt;&gt;"", E162*AB161, ""), "")</f>
        <v/>
      </c>
      <c r="AC162" s="22" t="str">
        <f>IF(E162&lt;&gt;"", IF(AC161&lt;&gt;"", E162*AC161, ""), "")</f>
        <v/>
      </c>
      <c r="AD162" s="22" t="str">
        <f>IF(E162&lt;&gt;"", IF(AD161&lt;&gt;"", E162*AD161, ""), "")</f>
        <v/>
      </c>
      <c r="AE162" s="22" t="str">
        <f>IF(E162&lt;&gt;"", IF(AE161&lt;&gt;"", E162*AE161, ""), "")</f>
        <v/>
      </c>
      <c r="AF162" s="22" t="str">
        <f>IF(E162&lt;&gt;"", IF(AF161&lt;&gt;"", E162*AF161, ""), "")</f>
        <v/>
      </c>
      <c r="AG162" s="22" t="str">
        <f>IF(E162&lt;&gt;"", IF(AG161&lt;&gt;"", E162*AG161, ""), "")</f>
        <v/>
      </c>
      <c r="AH162" s="22" t="str">
        <f>IF(E162&lt;&gt;"", IF(AH161&lt;&gt;"", E162*AH161, ""), "")</f>
        <v/>
      </c>
      <c r="AI162" s="22" t="str">
        <f>IF(E162&lt;&gt;"", IF(AI161&lt;&gt;"", E162*AI161, ""), "")</f>
        <v/>
      </c>
      <c r="AJ162" s="22" t="str">
        <f>IF(E162&lt;&gt;"", IF(AJ161&lt;&gt;"", E162*AJ161, ""), "")</f>
        <v/>
      </c>
      <c r="AK162" s="22" t="str">
        <f>IF(E162&lt;&gt;"", IF(AK161&lt;&gt;"", E162*AK161, ""), "")</f>
        <v/>
      </c>
      <c r="AL162" s="22" t="str">
        <f>IF(E162&lt;&gt;"", IF(AL161&lt;&gt;"", E162*AL161, ""), "")</f>
        <v/>
      </c>
      <c r="AM162" s="22" t="str">
        <f>IF(E162&lt;&gt;"", IF(AM161&lt;&gt;"", E162*AM161, ""), "")</f>
        <v/>
      </c>
      <c r="AN162" s="22" t="str">
        <f>IF(E162&lt;&gt;"", IF(AN161&lt;&gt;"", E162*AN161, ""), "")</f>
        <v/>
      </c>
      <c r="AO162" s="22" t="str">
        <f>IF(E162&lt;&gt;"", IF(AO161&lt;&gt;"", E162*AO161, ""), "")</f>
        <v/>
      </c>
      <c r="AP162" s="22" t="str">
        <f>IF(E162&lt;&gt;"", IF(AP161&lt;&gt;"", E162*AP161, ""), "")</f>
        <v/>
      </c>
      <c r="AQ162" s="22" t="str">
        <f>IF(E162&lt;&gt;"", IF(AQ161&lt;&gt;"", E162*AQ161, ""), "")</f>
        <v/>
      </c>
      <c r="AR162" s="22" t="str">
        <f>IF(E162&lt;&gt;"", IF(AR161&lt;&gt;"", E162*AR161, ""), "")</f>
        <v/>
      </c>
      <c r="AS162" s="22" t="str">
        <f>IF(E162&lt;&gt;"", IF(AS161&lt;&gt;"", E162*AS161, ""), "")</f>
        <v/>
      </c>
      <c r="AT162" s="22" t="str">
        <f>IF(E162&lt;&gt;"", IF(AT161&lt;&gt;"", E162*AT161, ""), "")</f>
        <v/>
      </c>
      <c r="AU162" s="22" t="str">
        <f>IF(E162&lt;&gt;"", IF(AU161&lt;&gt;"", E162*AU161, ""), "")</f>
        <v/>
      </c>
      <c r="AV162" s="22" t="str">
        <f>IF(E162&lt;&gt;"", IF(AV161&lt;&gt;"", E162*AV161, ""), "")</f>
        <v/>
      </c>
      <c r="AW162" s="22" t="str">
        <f>IF(E162&lt;&gt;"", IF(AW161&lt;&gt;"", E162*AW161, ""), "")</f>
        <v/>
      </c>
      <c r="AX162" s="22" t="str">
        <f>IF(E162&lt;&gt;"", IF(AX161&lt;&gt;"", E162*AX161, ""), "")</f>
        <v/>
      </c>
      <c r="AY162" s="22" t="str">
        <f>IF(E162&lt;&gt;"", IF(AY161&lt;&gt;"", E162*AY161, ""), "")</f>
        <v/>
      </c>
      <c r="AZ162" s="22" t="str">
        <f>IF(E162&lt;&gt;"", IF(AZ161&lt;&gt;"", E162*AZ161, ""), "")</f>
        <v/>
      </c>
      <c r="BA162" s="22" t="str">
        <f>IF(E162&lt;&gt;"", IF(BA161&lt;&gt;"", E162*BA161, ""), "")</f>
        <v/>
      </c>
      <c r="BB162" s="22" t="str">
        <f>IF(E162&lt;&gt;"", IF(BB161&lt;&gt;"", E162*BB161, ""), "")</f>
        <v/>
      </c>
      <c r="BC162" s="22" t="str">
        <f>IF(E162&lt;&gt;"", IF(BC161&lt;&gt;"", E162*BC161, ""), "")</f>
        <v/>
      </c>
      <c r="BD162" s="22" t="str">
        <f>IF(E162&lt;&gt;"", IF(BD161&lt;&gt;"", E162*BD161, ""), "")</f>
        <v/>
      </c>
      <c r="BE162" s="22" t="str">
        <f>IF(E162&lt;&gt;"", IF(BE161&lt;&gt;"", E162*BE161, ""), "")</f>
        <v/>
      </c>
    </row>
    <row r="163" spans="1:129" ht="20.100000000000001" customHeight="1">
      <c r="A163" s="220">
        <v>8</v>
      </c>
      <c r="B163" s="7"/>
      <c r="C163" s="7"/>
      <c r="D163" s="5" t="s">
        <v>239</v>
      </c>
      <c r="E163" s="3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  <c r="BC163" s="59"/>
      <c r="BD163" s="59"/>
      <c r="BE163" s="59"/>
    </row>
    <row r="164" spans="1:129" ht="20.100000000000001" customHeight="1">
      <c r="A164" s="221"/>
      <c r="B164" s="7"/>
      <c r="C164" s="7"/>
      <c r="D164" s="78" t="s">
        <v>274</v>
      </c>
      <c r="E164" s="47">
        <f>IF(egTextCal(D164)&lt;&gt;0, egTextCal(D164),"")</f>
        <v>161</v>
      </c>
      <c r="F164" s="48" t="str">
        <f>IF(E164&lt;&gt;"", IF(F163&lt;&gt;"", E164*F163,""),"")</f>
        <v/>
      </c>
      <c r="G164" s="48" t="str">
        <f>IF(E164&lt;&gt;"", IF(G163&lt;&gt;"", E164*G163,""),"")</f>
        <v/>
      </c>
      <c r="H164" s="48" t="str">
        <f>IF(E164&lt;&gt;"", IF(H163&lt;&gt;"", E164*H163,""),"")</f>
        <v/>
      </c>
      <c r="I164" s="48" t="str">
        <f>IF(E164&lt;&gt;"", IF(I163&lt;&gt;"", E164*I163,""),"")</f>
        <v/>
      </c>
      <c r="J164" s="48" t="str">
        <f>IF(E164&lt;&gt;"", IF(J163&lt;&gt;"", E164*J163,""),"")</f>
        <v/>
      </c>
      <c r="K164" s="48" t="str">
        <f>IF(E164&lt;&gt;"", IF(K163&lt;&gt;"", E164*K163,""),"")</f>
        <v/>
      </c>
      <c r="L164" s="48" t="str">
        <f>IF(E164&lt;&gt;"", IF(L163&lt;&gt;"", E164*L163,""),"")</f>
        <v/>
      </c>
      <c r="M164" s="48" t="str">
        <f>IF(E164&lt;&gt;"", IF(M163&lt;&gt;"", E164*M163,""),"")</f>
        <v/>
      </c>
      <c r="N164" s="48" t="str">
        <f>IF(E164&lt;&gt;"", IF(N163&lt;&gt;"", E164*N163,""),"")</f>
        <v/>
      </c>
      <c r="O164" s="48" t="str">
        <f>IF(E164&lt;&gt;"", IF(O163&lt;&gt;"", E164*O163,""),"")</f>
        <v/>
      </c>
      <c r="P164" s="48" t="str">
        <f>IF(E164&lt;&gt;"", IF(P163&lt;&gt;"", E164*P163,""),"")</f>
        <v/>
      </c>
      <c r="Q164" s="48" t="str">
        <f>IF(E164&lt;&gt;"", IF(Q163&lt;&gt;"", E164*Q163,""),"")</f>
        <v/>
      </c>
      <c r="R164" s="48" t="str">
        <f>IF(E164&lt;&gt;"", IF(R163&lt;&gt;"", E164*R163,""),"")</f>
        <v/>
      </c>
      <c r="S164" s="48" t="str">
        <f>IF(E164&lt;&gt;"", IF(S163&lt;&gt;"", E164*S163,""),"")</f>
        <v/>
      </c>
      <c r="T164" s="48" t="str">
        <f>IF(E164&lt;&gt;"", IF(T163&lt;&gt;"", E164*T163,""),"")</f>
        <v/>
      </c>
      <c r="U164" s="48" t="str">
        <f>IF(E164&lt;&gt;"", IF(U163&lt;&gt;"", E164*U163,""),"")</f>
        <v/>
      </c>
      <c r="V164" s="48" t="str">
        <f>IF(E164&lt;&gt;"", IF(V163&lt;&gt;"", E164*V163,""),"")</f>
        <v/>
      </c>
      <c r="W164" s="48" t="str">
        <f>IF(E164&lt;&gt;"", IF(W163&lt;&gt;"", E164*W163,""),"")</f>
        <v/>
      </c>
      <c r="X164" s="48" t="str">
        <f>IF(E164&lt;&gt;"", IF(X163&lt;&gt;"", E164*X163,""),"")</f>
        <v/>
      </c>
      <c r="Y164" s="48" t="str">
        <f>IF(E164&lt;&gt;"", IF(Y163&lt;&gt;"", E164*Y163,""),"")</f>
        <v/>
      </c>
      <c r="Z164" s="48" t="str">
        <f>IF(E164&lt;&gt;"", IF(Z163&lt;&gt;"", E164*Z163,""),"")</f>
        <v/>
      </c>
      <c r="AA164" s="22"/>
      <c r="AB164" s="22" t="str">
        <f>IF(E164&lt;&gt;"", IF(AB163&lt;&gt;"", E164*AB163, ""), "")</f>
        <v/>
      </c>
      <c r="AC164" s="22" t="str">
        <f>IF(E164&lt;&gt;"", IF(AC163&lt;&gt;"", E164*AC163, ""), "")</f>
        <v/>
      </c>
      <c r="AD164" s="22" t="str">
        <f>IF(E164&lt;&gt;"", IF(AD163&lt;&gt;"", E164*AD163, ""), "")</f>
        <v/>
      </c>
      <c r="AE164" s="22" t="str">
        <f>IF(E164&lt;&gt;"", IF(AE163&lt;&gt;"", E164*AE163, ""), "")</f>
        <v/>
      </c>
      <c r="AF164" s="22" t="str">
        <f>IF(E164&lt;&gt;"", IF(AF163&lt;&gt;"", E164*AF163, ""), "")</f>
        <v/>
      </c>
      <c r="AG164" s="22" t="str">
        <f>IF(E164&lt;&gt;"", IF(AG163&lt;&gt;"", E164*AG163, ""), "")</f>
        <v/>
      </c>
      <c r="AH164" s="22" t="str">
        <f>IF(E164&lt;&gt;"", IF(AH163&lt;&gt;"", E164*AH163, ""), "")</f>
        <v/>
      </c>
      <c r="AI164" s="22" t="str">
        <f>IF(E164&lt;&gt;"", IF(AI163&lt;&gt;"", E164*AI163, ""), "")</f>
        <v/>
      </c>
      <c r="AJ164" s="22" t="str">
        <f>IF(E164&lt;&gt;"", IF(AJ163&lt;&gt;"", E164*AJ163, ""), "")</f>
        <v/>
      </c>
      <c r="AK164" s="22" t="str">
        <f>IF(E164&lt;&gt;"", IF(AK163&lt;&gt;"", E164*AK163, ""), "")</f>
        <v/>
      </c>
      <c r="AL164" s="22" t="str">
        <f>IF(E164&lt;&gt;"", IF(AL163&lt;&gt;"", E164*AL163, ""), "")</f>
        <v/>
      </c>
      <c r="AM164" s="22" t="str">
        <f>IF(E164&lt;&gt;"", IF(AM163&lt;&gt;"", E164*AM163, ""), "")</f>
        <v/>
      </c>
      <c r="AN164" s="22" t="str">
        <f>IF(E164&lt;&gt;"", IF(AN163&lt;&gt;"", E164*AN163, ""), "")</f>
        <v/>
      </c>
      <c r="AO164" s="22" t="str">
        <f>IF(E164&lt;&gt;"", IF(AO163&lt;&gt;"", E164*AO163, ""), "")</f>
        <v/>
      </c>
      <c r="AP164" s="22" t="str">
        <f>IF(E164&lt;&gt;"", IF(AP163&lt;&gt;"", E164*AP163, ""), "")</f>
        <v/>
      </c>
      <c r="AQ164" s="22" t="str">
        <f>IF(E164&lt;&gt;"", IF(AQ163&lt;&gt;"", E164*AQ163, ""), "")</f>
        <v/>
      </c>
      <c r="AR164" s="22" t="str">
        <f>IF(E164&lt;&gt;"", IF(AR163&lt;&gt;"", E164*AR163, ""), "")</f>
        <v/>
      </c>
      <c r="AS164" s="22" t="str">
        <f>IF(E164&lt;&gt;"", IF(AS163&lt;&gt;"", E164*AS163, ""), "")</f>
        <v/>
      </c>
      <c r="AT164" s="22" t="str">
        <f>IF(E164&lt;&gt;"", IF(AT163&lt;&gt;"", E164*AT163, ""), "")</f>
        <v/>
      </c>
      <c r="AU164" s="22" t="str">
        <f>IF(E164&lt;&gt;"", IF(AU163&lt;&gt;"", E164*AU163, ""), "")</f>
        <v/>
      </c>
      <c r="AV164" s="22" t="str">
        <f>IF(E164&lt;&gt;"", IF(AV163&lt;&gt;"", E164*AV163, ""), "")</f>
        <v/>
      </c>
      <c r="AW164" s="22" t="str">
        <f>IF(E164&lt;&gt;"", IF(AW163&lt;&gt;"", E164*AW163, ""), "")</f>
        <v/>
      </c>
      <c r="AX164" s="22" t="str">
        <f>IF(E164&lt;&gt;"", IF(AX163&lt;&gt;"", E164*AX163, ""), "")</f>
        <v/>
      </c>
      <c r="AY164" s="22" t="str">
        <f>IF(E164&lt;&gt;"", IF(AY163&lt;&gt;"", E164*AY163, ""), "")</f>
        <v/>
      </c>
      <c r="AZ164" s="22" t="str">
        <f>IF(E164&lt;&gt;"", IF(AZ163&lt;&gt;"", E164*AZ163, ""), "")</f>
        <v/>
      </c>
      <c r="BA164" s="22" t="str">
        <f>IF(E164&lt;&gt;"", IF(BA163&lt;&gt;"", E164*BA163, ""), "")</f>
        <v/>
      </c>
      <c r="BB164" s="22" t="str">
        <f>IF(E164&lt;&gt;"", IF(BB163&lt;&gt;"", E164*BB163, ""), "")</f>
        <v/>
      </c>
      <c r="BC164" s="22" t="str">
        <f>IF(E164&lt;&gt;"", IF(BC163&lt;&gt;"", E164*BC163, ""), "")</f>
        <v/>
      </c>
      <c r="BD164" s="22" t="str">
        <f>IF(E164&lt;&gt;"", IF(BD163&lt;&gt;"", E164*BD163, ""), "")</f>
        <v/>
      </c>
      <c r="BE164" s="22" t="str">
        <f>IF(E164&lt;&gt;"", IF(BE163&lt;&gt;"", E164*BE163, ""), "")</f>
        <v/>
      </c>
    </row>
    <row r="165" spans="1:129" ht="20.100000000000001" customHeight="1">
      <c r="A165" s="220">
        <v>9</v>
      </c>
      <c r="B165" s="7"/>
      <c r="C165" s="7"/>
      <c r="D165" s="5" t="s">
        <v>246</v>
      </c>
      <c r="E165" s="3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59"/>
      <c r="AB165" s="59"/>
      <c r="AC165" s="59"/>
      <c r="AD165" s="59"/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  <c r="BC165" s="59"/>
      <c r="BD165" s="59"/>
      <c r="BE165" s="59"/>
    </row>
    <row r="166" spans="1:129" ht="20.100000000000001" customHeight="1">
      <c r="A166" s="221"/>
      <c r="B166" s="7"/>
      <c r="C166" s="7"/>
      <c r="D166" s="78">
        <v>2</v>
      </c>
      <c r="E166" s="47">
        <f>IF(egTextCal(D166)&lt;&gt;0, egTextCal(D166),"")</f>
        <v>2</v>
      </c>
      <c r="F166" s="48" t="str">
        <f>IF(E166&lt;&gt;"", IF(F165&lt;&gt;"", E166*F165,""),"")</f>
        <v/>
      </c>
      <c r="G166" s="48" t="str">
        <f>IF(E166&lt;&gt;"", IF(G165&lt;&gt;"", E166*G165,""),"")</f>
        <v/>
      </c>
      <c r="H166" s="48" t="str">
        <f>IF(E166&lt;&gt;"", IF(H165&lt;&gt;"", E166*H165,""),"")</f>
        <v/>
      </c>
      <c r="I166" s="48" t="str">
        <f>IF(E166&lt;&gt;"", IF(I165&lt;&gt;"", E166*I165,""),"")</f>
        <v/>
      </c>
      <c r="J166" s="48" t="str">
        <f>IF(E166&lt;&gt;"", IF(J165&lt;&gt;"", E166*J165,""),"")</f>
        <v/>
      </c>
      <c r="K166" s="48" t="str">
        <f>IF(E166&lt;&gt;"", IF(K165&lt;&gt;"", E166*K165,""),"")</f>
        <v/>
      </c>
      <c r="L166" s="48" t="str">
        <f>IF(E166&lt;&gt;"", IF(L165&lt;&gt;"", E166*L165,""),"")</f>
        <v/>
      </c>
      <c r="M166" s="48" t="str">
        <f>IF(E166&lt;&gt;"", IF(M165&lt;&gt;"", E166*M165,""),"")</f>
        <v/>
      </c>
      <c r="N166" s="48" t="str">
        <f>IF(E166&lt;&gt;"", IF(N165&lt;&gt;"", E166*N165,""),"")</f>
        <v/>
      </c>
      <c r="O166" s="48" t="str">
        <f>IF(E166&lt;&gt;"", IF(O165&lt;&gt;"", E166*O165,""),"")</f>
        <v/>
      </c>
      <c r="P166" s="48" t="str">
        <f>IF(E166&lt;&gt;"", IF(P165&lt;&gt;"", E166*P165,""),"")</f>
        <v/>
      </c>
      <c r="Q166" s="48" t="str">
        <f>IF(E166&lt;&gt;"", IF(Q165&lt;&gt;"", E166*Q165,""),"")</f>
        <v/>
      </c>
      <c r="R166" s="48" t="str">
        <f>IF(E166&lt;&gt;"", IF(R165&lt;&gt;"", E166*R165,""),"")</f>
        <v/>
      </c>
      <c r="S166" s="48" t="str">
        <f>IF(E166&lt;&gt;"", IF(S165&lt;&gt;"", E166*S165,""),"")</f>
        <v/>
      </c>
      <c r="T166" s="48" t="str">
        <f>IF(E166&lt;&gt;"", IF(T165&lt;&gt;"", E166*T165,""),"")</f>
        <v/>
      </c>
      <c r="U166" s="48" t="str">
        <f>IF(E166&lt;&gt;"", IF(U165&lt;&gt;"", E166*U165,""),"")</f>
        <v/>
      </c>
      <c r="V166" s="48" t="str">
        <f>IF(E166&lt;&gt;"", IF(V165&lt;&gt;"", E166*V165,""),"")</f>
        <v/>
      </c>
      <c r="W166" s="48" t="str">
        <f>IF(E166&lt;&gt;"", IF(W165&lt;&gt;"", E166*W165,""),"")</f>
        <v/>
      </c>
      <c r="X166" s="48" t="str">
        <f>IF(E166&lt;&gt;"", IF(X165&lt;&gt;"", E166*X165,""),"")</f>
        <v/>
      </c>
      <c r="Y166" s="48" t="str">
        <f>IF(E166&lt;&gt;"", IF(Y165&lt;&gt;"", E166*Y165,""),"")</f>
        <v/>
      </c>
      <c r="Z166" s="48" t="str">
        <f>IF(E166&lt;&gt;"", IF(Z165&lt;&gt;"", E166*Z165,""),"")</f>
        <v/>
      </c>
      <c r="AA166" s="22"/>
      <c r="AB166" s="22" t="str">
        <f>IF(E166&lt;&gt;"", IF(AB165&lt;&gt;"", E166*AB165, ""), "")</f>
        <v/>
      </c>
      <c r="AC166" s="22" t="str">
        <f>IF(E166&lt;&gt;"", IF(AC165&lt;&gt;"", E166*AC165, ""), "")</f>
        <v/>
      </c>
      <c r="AD166" s="22" t="str">
        <f>IF(E166&lt;&gt;"", IF(AD165&lt;&gt;"", E166*AD165, ""), "")</f>
        <v/>
      </c>
      <c r="AE166" s="22" t="str">
        <f>IF(E166&lt;&gt;"", IF(AE165&lt;&gt;"", E166*AE165, ""), "")</f>
        <v/>
      </c>
      <c r="AF166" s="22" t="str">
        <f>IF(E166&lt;&gt;"", IF(AF165&lt;&gt;"", E166*AF165, ""), "")</f>
        <v/>
      </c>
      <c r="AG166" s="22" t="str">
        <f>IF(E166&lt;&gt;"", IF(AG165&lt;&gt;"", E166*AG165, ""), "")</f>
        <v/>
      </c>
      <c r="AH166" s="22" t="str">
        <f>IF(E166&lt;&gt;"", IF(AH165&lt;&gt;"", E166*AH165, ""), "")</f>
        <v/>
      </c>
      <c r="AI166" s="22" t="str">
        <f>IF(E166&lt;&gt;"", IF(AI165&lt;&gt;"", E166*AI165, ""), "")</f>
        <v/>
      </c>
      <c r="AJ166" s="22" t="str">
        <f>IF(E166&lt;&gt;"", IF(AJ165&lt;&gt;"", E166*AJ165, ""), "")</f>
        <v/>
      </c>
      <c r="AK166" s="22" t="str">
        <f>IF(E166&lt;&gt;"", IF(AK165&lt;&gt;"", E166*AK165, ""), "")</f>
        <v/>
      </c>
      <c r="AL166" s="22" t="str">
        <f>IF(E166&lt;&gt;"", IF(AL165&lt;&gt;"", E166*AL165, ""), "")</f>
        <v/>
      </c>
      <c r="AM166" s="22" t="str">
        <f>IF(E166&lt;&gt;"", IF(AM165&lt;&gt;"", E166*AM165, ""), "")</f>
        <v/>
      </c>
      <c r="AN166" s="22" t="str">
        <f>IF(E166&lt;&gt;"", IF(AN165&lt;&gt;"", E166*AN165, ""), "")</f>
        <v/>
      </c>
      <c r="AO166" s="22" t="str">
        <f>IF(E166&lt;&gt;"", IF(AO165&lt;&gt;"", E166*AO165, ""), "")</f>
        <v/>
      </c>
      <c r="AP166" s="22" t="str">
        <f>IF(E166&lt;&gt;"", IF(AP165&lt;&gt;"", E166*AP165, ""), "")</f>
        <v/>
      </c>
      <c r="AQ166" s="22" t="str">
        <f>IF(E166&lt;&gt;"", IF(AQ165&lt;&gt;"", E166*AQ165, ""), "")</f>
        <v/>
      </c>
      <c r="AR166" s="22" t="str">
        <f>IF(E166&lt;&gt;"", IF(AR165&lt;&gt;"", E166*AR165, ""), "")</f>
        <v/>
      </c>
      <c r="AS166" s="22" t="str">
        <f>IF(E166&lt;&gt;"", IF(AS165&lt;&gt;"", E166*AS165, ""), "")</f>
        <v/>
      </c>
      <c r="AT166" s="22" t="str">
        <f>IF(E166&lt;&gt;"", IF(AT165&lt;&gt;"", E166*AT165, ""), "")</f>
        <v/>
      </c>
      <c r="AU166" s="22" t="str">
        <f>IF(E166&lt;&gt;"", IF(AU165&lt;&gt;"", E166*AU165, ""), "")</f>
        <v/>
      </c>
      <c r="AV166" s="22" t="str">
        <f>IF(E166&lt;&gt;"", IF(AV165&lt;&gt;"", E166*AV165, ""), "")</f>
        <v/>
      </c>
      <c r="AW166" s="22" t="str">
        <f>IF(E166&lt;&gt;"", IF(AW165&lt;&gt;"", E166*AW165, ""), "")</f>
        <v/>
      </c>
      <c r="AX166" s="22" t="str">
        <f>IF(E166&lt;&gt;"", IF(AX165&lt;&gt;"", E166*AX165, ""), "")</f>
        <v/>
      </c>
      <c r="AY166" s="22" t="str">
        <f>IF(E166&lt;&gt;"", IF(AY165&lt;&gt;"", E166*AY165, ""), "")</f>
        <v/>
      </c>
      <c r="AZ166" s="22" t="str">
        <f>IF(E166&lt;&gt;"", IF(AZ165&lt;&gt;"", E166*AZ165, ""), "")</f>
        <v/>
      </c>
      <c r="BA166" s="22" t="str">
        <f>IF(E166&lt;&gt;"", IF(BA165&lt;&gt;"", E166*BA165, ""), "")</f>
        <v/>
      </c>
      <c r="BB166" s="22" t="str">
        <f>IF(E166&lt;&gt;"", IF(BB165&lt;&gt;"", E166*BB165, ""), "")</f>
        <v/>
      </c>
      <c r="BC166" s="22" t="str">
        <f>IF(E166&lt;&gt;"", IF(BC165&lt;&gt;"", E166*BC165, ""), "")</f>
        <v/>
      </c>
      <c r="BD166" s="22" t="str">
        <f>IF(E166&lt;&gt;"", IF(BD165&lt;&gt;"", E166*BD165, ""), "")</f>
        <v/>
      </c>
      <c r="BE166" s="22" t="str">
        <f>IF(E166&lt;&gt;"", IF(BE165&lt;&gt;"", E166*BE165, ""), "")</f>
        <v/>
      </c>
    </row>
    <row r="167" spans="1:129" ht="20.100000000000001" customHeight="1">
      <c r="A167" s="220">
        <v>10</v>
      </c>
      <c r="B167" s="7"/>
      <c r="C167" s="7"/>
      <c r="D167" s="5" t="s">
        <v>275</v>
      </c>
      <c r="E167" s="3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59"/>
      <c r="AB167" s="59"/>
      <c r="AC167" s="59"/>
      <c r="AD167" s="59"/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  <c r="BC167" s="59"/>
      <c r="BD167" s="59"/>
      <c r="BE167" s="59"/>
    </row>
    <row r="168" spans="1:129" ht="20.100000000000001" customHeight="1">
      <c r="A168" s="221"/>
      <c r="B168" s="7"/>
      <c r="C168" s="7"/>
      <c r="D168" s="78">
        <v>4</v>
      </c>
      <c r="E168" s="47">
        <f>IF(egTextCal(D168)&lt;&gt;0, egTextCal(D168),"")</f>
        <v>4</v>
      </c>
      <c r="F168" s="48" t="str">
        <f>IF(E168&lt;&gt;"", IF(F167&lt;&gt;"", E168*F167,""),"")</f>
        <v/>
      </c>
      <c r="G168" s="48" t="str">
        <f>IF(E168&lt;&gt;"", IF(G167&lt;&gt;"", E168*G167,""),"")</f>
        <v/>
      </c>
      <c r="H168" s="48" t="str">
        <f>IF(E168&lt;&gt;"", IF(H167&lt;&gt;"", E168*H167,""),"")</f>
        <v/>
      </c>
      <c r="I168" s="48" t="str">
        <f>IF(E168&lt;&gt;"", IF(I167&lt;&gt;"", E168*I167,""),"")</f>
        <v/>
      </c>
      <c r="J168" s="48" t="str">
        <f>IF(E168&lt;&gt;"", IF(J167&lt;&gt;"", E168*J167,""),"")</f>
        <v/>
      </c>
      <c r="K168" s="48" t="str">
        <f>IF(E168&lt;&gt;"", IF(K167&lt;&gt;"", E168*K167,""),"")</f>
        <v/>
      </c>
      <c r="L168" s="48" t="str">
        <f>IF(E168&lt;&gt;"", IF(L167&lt;&gt;"", E168*L167,""),"")</f>
        <v/>
      </c>
      <c r="M168" s="48" t="str">
        <f>IF(E168&lt;&gt;"", IF(M167&lt;&gt;"", E168*M167,""),"")</f>
        <v/>
      </c>
      <c r="N168" s="48" t="str">
        <f>IF(E168&lt;&gt;"", IF(N167&lt;&gt;"", E168*N167,""),"")</f>
        <v/>
      </c>
      <c r="O168" s="48" t="str">
        <f>IF(E168&lt;&gt;"", IF(O167&lt;&gt;"", E168*O167,""),"")</f>
        <v/>
      </c>
      <c r="P168" s="48" t="str">
        <f>IF(E168&lt;&gt;"", IF(P167&lt;&gt;"", E168*P167,""),"")</f>
        <v/>
      </c>
      <c r="Q168" s="48" t="str">
        <f>IF(E168&lt;&gt;"", IF(Q167&lt;&gt;"", E168*Q167,""),"")</f>
        <v/>
      </c>
      <c r="R168" s="48" t="str">
        <f>IF(E168&lt;&gt;"", IF(R167&lt;&gt;"", E168*R167,""),"")</f>
        <v/>
      </c>
      <c r="S168" s="48" t="str">
        <f>IF(E168&lt;&gt;"", IF(S167&lt;&gt;"", E168*S167,""),"")</f>
        <v/>
      </c>
      <c r="T168" s="48" t="str">
        <f>IF(E168&lt;&gt;"", IF(T167&lt;&gt;"", E168*T167,""),"")</f>
        <v/>
      </c>
      <c r="U168" s="48" t="str">
        <f>IF(E168&lt;&gt;"", IF(U167&lt;&gt;"", E168*U167,""),"")</f>
        <v/>
      </c>
      <c r="V168" s="48" t="str">
        <f>IF(E168&lt;&gt;"", IF(V167&lt;&gt;"", E168*V167,""),"")</f>
        <v/>
      </c>
      <c r="W168" s="48" t="str">
        <f>IF(E168&lt;&gt;"", IF(W167&lt;&gt;"", E168*W167,""),"")</f>
        <v/>
      </c>
      <c r="X168" s="48" t="str">
        <f>IF(E168&lt;&gt;"", IF(X167&lt;&gt;"", E168*X167,""),"")</f>
        <v/>
      </c>
      <c r="Y168" s="48" t="str">
        <f>IF(E168&lt;&gt;"", IF(Y167&lt;&gt;"", E168*Y167,""),"")</f>
        <v/>
      </c>
      <c r="Z168" s="48" t="str">
        <f>IF(E168&lt;&gt;"", IF(Z167&lt;&gt;"", E168*Z167,""),"")</f>
        <v/>
      </c>
      <c r="AA168" s="22"/>
      <c r="AB168" s="22" t="str">
        <f>IF(E168&lt;&gt;"", IF(AB167&lt;&gt;"", E168*AB167, ""), "")</f>
        <v/>
      </c>
      <c r="AC168" s="22" t="str">
        <f>IF(E168&lt;&gt;"", IF(AC167&lt;&gt;"", E168*AC167, ""), "")</f>
        <v/>
      </c>
      <c r="AD168" s="22" t="str">
        <f>IF(E168&lt;&gt;"", IF(AD167&lt;&gt;"", E168*AD167, ""), "")</f>
        <v/>
      </c>
      <c r="AE168" s="22" t="str">
        <f>IF(E168&lt;&gt;"", IF(AE167&lt;&gt;"", E168*AE167, ""), "")</f>
        <v/>
      </c>
      <c r="AF168" s="22" t="str">
        <f>IF(E168&lt;&gt;"", IF(AF167&lt;&gt;"", E168*AF167, ""), "")</f>
        <v/>
      </c>
      <c r="AG168" s="22" t="str">
        <f>IF(E168&lt;&gt;"", IF(AG167&lt;&gt;"", E168*AG167, ""), "")</f>
        <v/>
      </c>
      <c r="AH168" s="22" t="str">
        <f>IF(E168&lt;&gt;"", IF(AH167&lt;&gt;"", E168*AH167, ""), "")</f>
        <v/>
      </c>
      <c r="AI168" s="22" t="str">
        <f>IF(E168&lt;&gt;"", IF(AI167&lt;&gt;"", E168*AI167, ""), "")</f>
        <v/>
      </c>
      <c r="AJ168" s="22" t="str">
        <f>IF(E168&lt;&gt;"", IF(AJ167&lt;&gt;"", E168*AJ167, ""), "")</f>
        <v/>
      </c>
      <c r="AK168" s="22" t="str">
        <f>IF(E168&lt;&gt;"", IF(AK167&lt;&gt;"", E168*AK167, ""), "")</f>
        <v/>
      </c>
      <c r="AL168" s="22" t="str">
        <f>IF(E168&lt;&gt;"", IF(AL167&lt;&gt;"", E168*AL167, ""), "")</f>
        <v/>
      </c>
      <c r="AM168" s="22" t="str">
        <f>IF(E168&lt;&gt;"", IF(AM167&lt;&gt;"", E168*AM167, ""), "")</f>
        <v/>
      </c>
      <c r="AN168" s="22" t="str">
        <f>IF(E168&lt;&gt;"", IF(AN167&lt;&gt;"", E168*AN167, ""), "")</f>
        <v/>
      </c>
      <c r="AO168" s="22" t="str">
        <f>IF(E168&lt;&gt;"", IF(AO167&lt;&gt;"", E168*AO167, ""), "")</f>
        <v/>
      </c>
      <c r="AP168" s="22" t="str">
        <f>IF(E168&lt;&gt;"", IF(AP167&lt;&gt;"", E168*AP167, ""), "")</f>
        <v/>
      </c>
      <c r="AQ168" s="22" t="str">
        <f>IF(E168&lt;&gt;"", IF(AQ167&lt;&gt;"", E168*AQ167, ""), "")</f>
        <v/>
      </c>
      <c r="AR168" s="22" t="str">
        <f>IF(E168&lt;&gt;"", IF(AR167&lt;&gt;"", E168*AR167, ""), "")</f>
        <v/>
      </c>
      <c r="AS168" s="22" t="str">
        <f>IF(E168&lt;&gt;"", IF(AS167&lt;&gt;"", E168*AS167, ""), "")</f>
        <v/>
      </c>
      <c r="AT168" s="22" t="str">
        <f>IF(E168&lt;&gt;"", IF(AT167&lt;&gt;"", E168*AT167, ""), "")</f>
        <v/>
      </c>
      <c r="AU168" s="22" t="str">
        <f>IF(E168&lt;&gt;"", IF(AU167&lt;&gt;"", E168*AU167, ""), "")</f>
        <v/>
      </c>
      <c r="AV168" s="22" t="str">
        <f>IF(E168&lt;&gt;"", IF(AV167&lt;&gt;"", E168*AV167, ""), "")</f>
        <v/>
      </c>
      <c r="AW168" s="22" t="str">
        <f>IF(E168&lt;&gt;"", IF(AW167&lt;&gt;"", E168*AW167, ""), "")</f>
        <v/>
      </c>
      <c r="AX168" s="22" t="str">
        <f>IF(E168&lt;&gt;"", IF(AX167&lt;&gt;"", E168*AX167, ""), "")</f>
        <v/>
      </c>
      <c r="AY168" s="22" t="str">
        <f>IF(E168&lt;&gt;"", IF(AY167&lt;&gt;"", E168*AY167, ""), "")</f>
        <v/>
      </c>
      <c r="AZ168" s="22" t="str">
        <f>IF(E168&lt;&gt;"", IF(AZ167&lt;&gt;"", E168*AZ167, ""), "")</f>
        <v/>
      </c>
      <c r="BA168" s="22" t="str">
        <f>IF(E168&lt;&gt;"", IF(BA167&lt;&gt;"", E168*BA167, ""), "")</f>
        <v/>
      </c>
      <c r="BB168" s="22" t="str">
        <f>IF(E168&lt;&gt;"", IF(BB167&lt;&gt;"", E168*BB167, ""), "")</f>
        <v/>
      </c>
      <c r="BC168" s="22" t="str">
        <f>IF(E168&lt;&gt;"", IF(BC167&lt;&gt;"", E168*BC167, ""), "")</f>
        <v/>
      </c>
      <c r="BD168" s="22" t="str">
        <f>IF(E168&lt;&gt;"", IF(BD167&lt;&gt;"", E168*BD167, ""), "")</f>
        <v/>
      </c>
      <c r="BE168" s="22" t="str">
        <f>IF(E168&lt;&gt;"", IF(BE167&lt;&gt;"", E168*BE167, ""), "")</f>
        <v/>
      </c>
    </row>
    <row r="169" spans="1:129" ht="20.100000000000001" customHeight="1">
      <c r="A169" s="220">
        <v>11</v>
      </c>
      <c r="B169" s="7"/>
      <c r="C169" s="7"/>
      <c r="D169" s="5" t="s">
        <v>276</v>
      </c>
      <c r="E169" s="3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59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  <c r="BC169" s="59"/>
      <c r="BD169" s="59"/>
      <c r="BE169" s="59"/>
    </row>
    <row r="170" spans="1:129" ht="20.100000000000001" customHeight="1">
      <c r="A170" s="221"/>
      <c r="B170" s="7"/>
      <c r="C170" s="7"/>
      <c r="D170" s="78">
        <v>2</v>
      </c>
      <c r="E170" s="47">
        <f>IF(egTextCal(D170)&lt;&gt;0, egTextCal(D170),"")</f>
        <v>2</v>
      </c>
      <c r="F170" s="48" t="str">
        <f>IF(E170&lt;&gt;"", IF(F169&lt;&gt;"", E170*F169,""),"")</f>
        <v/>
      </c>
      <c r="G170" s="48" t="str">
        <f>IF(E170&lt;&gt;"", IF(G169&lt;&gt;"", E170*G169,""),"")</f>
        <v/>
      </c>
      <c r="H170" s="48" t="str">
        <f>IF(E170&lt;&gt;"", IF(H169&lt;&gt;"", E170*H169,""),"")</f>
        <v/>
      </c>
      <c r="I170" s="48" t="str">
        <f>IF(E170&lt;&gt;"", IF(I169&lt;&gt;"", E170*I169,""),"")</f>
        <v/>
      </c>
      <c r="J170" s="48" t="str">
        <f>IF(E170&lt;&gt;"", IF(J169&lt;&gt;"", E170*J169,""),"")</f>
        <v/>
      </c>
      <c r="K170" s="48" t="str">
        <f>IF(E170&lt;&gt;"", IF(K169&lt;&gt;"", E170*K169,""),"")</f>
        <v/>
      </c>
      <c r="L170" s="48" t="str">
        <f>IF(E170&lt;&gt;"", IF(L169&lt;&gt;"", E170*L169,""),"")</f>
        <v/>
      </c>
      <c r="M170" s="48" t="str">
        <f>IF(E170&lt;&gt;"", IF(M169&lt;&gt;"", E170*M169,""),"")</f>
        <v/>
      </c>
      <c r="N170" s="48" t="str">
        <f>IF(E170&lt;&gt;"", IF(N169&lt;&gt;"", E170*N169,""),"")</f>
        <v/>
      </c>
      <c r="O170" s="48" t="str">
        <f>IF(E170&lt;&gt;"", IF(O169&lt;&gt;"", E170*O169,""),"")</f>
        <v/>
      </c>
      <c r="P170" s="48" t="str">
        <f>IF(E170&lt;&gt;"", IF(P169&lt;&gt;"", E170*P169,""),"")</f>
        <v/>
      </c>
      <c r="Q170" s="48" t="str">
        <f>IF(E170&lt;&gt;"", IF(Q169&lt;&gt;"", E170*Q169,""),"")</f>
        <v/>
      </c>
      <c r="R170" s="48" t="str">
        <f>IF(E170&lt;&gt;"", IF(R169&lt;&gt;"", E170*R169,""),"")</f>
        <v/>
      </c>
      <c r="S170" s="48" t="str">
        <f>IF(E170&lt;&gt;"", IF(S169&lt;&gt;"", E170*S169,""),"")</f>
        <v/>
      </c>
      <c r="T170" s="48" t="str">
        <f>IF(E170&lt;&gt;"", IF(T169&lt;&gt;"", E170*T169,""),"")</f>
        <v/>
      </c>
      <c r="U170" s="48" t="str">
        <f>IF(E170&lt;&gt;"", IF(U169&lt;&gt;"", E170*U169,""),"")</f>
        <v/>
      </c>
      <c r="V170" s="48" t="str">
        <f>IF(E170&lt;&gt;"", IF(V169&lt;&gt;"", E170*V169,""),"")</f>
        <v/>
      </c>
      <c r="W170" s="48" t="str">
        <f>IF(E170&lt;&gt;"", IF(W169&lt;&gt;"", E170*W169,""),"")</f>
        <v/>
      </c>
      <c r="X170" s="48" t="str">
        <f>IF(E170&lt;&gt;"", IF(X169&lt;&gt;"", E170*X169,""),"")</f>
        <v/>
      </c>
      <c r="Y170" s="48" t="str">
        <f>IF(E170&lt;&gt;"", IF(Y169&lt;&gt;"", E170*Y169,""),"")</f>
        <v/>
      </c>
      <c r="Z170" s="48" t="str">
        <f>IF(E170&lt;&gt;"", IF(Z169&lt;&gt;"", E170*Z169,""),"")</f>
        <v/>
      </c>
      <c r="AA170" s="22"/>
      <c r="AB170" s="22" t="str">
        <f>IF(E170&lt;&gt;"", IF(AB169&lt;&gt;"", E170*AB169, ""), "")</f>
        <v/>
      </c>
      <c r="AC170" s="22" t="str">
        <f>IF(E170&lt;&gt;"", IF(AC169&lt;&gt;"", E170*AC169, ""), "")</f>
        <v/>
      </c>
      <c r="AD170" s="22" t="str">
        <f>IF(E170&lt;&gt;"", IF(AD169&lt;&gt;"", E170*AD169, ""), "")</f>
        <v/>
      </c>
      <c r="AE170" s="22" t="str">
        <f>IF(E170&lt;&gt;"", IF(AE169&lt;&gt;"", E170*AE169, ""), "")</f>
        <v/>
      </c>
      <c r="AF170" s="22" t="str">
        <f>IF(E170&lt;&gt;"", IF(AF169&lt;&gt;"", E170*AF169, ""), "")</f>
        <v/>
      </c>
      <c r="AG170" s="22" t="str">
        <f>IF(E170&lt;&gt;"", IF(AG169&lt;&gt;"", E170*AG169, ""), "")</f>
        <v/>
      </c>
      <c r="AH170" s="22" t="str">
        <f>IF(E170&lt;&gt;"", IF(AH169&lt;&gt;"", E170*AH169, ""), "")</f>
        <v/>
      </c>
      <c r="AI170" s="22" t="str">
        <f>IF(E170&lt;&gt;"", IF(AI169&lt;&gt;"", E170*AI169, ""), "")</f>
        <v/>
      </c>
      <c r="AJ170" s="22" t="str">
        <f>IF(E170&lt;&gt;"", IF(AJ169&lt;&gt;"", E170*AJ169, ""), "")</f>
        <v/>
      </c>
      <c r="AK170" s="22" t="str">
        <f>IF(E170&lt;&gt;"", IF(AK169&lt;&gt;"", E170*AK169, ""), "")</f>
        <v/>
      </c>
      <c r="AL170" s="22" t="str">
        <f>IF(E170&lt;&gt;"", IF(AL169&lt;&gt;"", E170*AL169, ""), "")</f>
        <v/>
      </c>
      <c r="AM170" s="22" t="str">
        <f>IF(E170&lt;&gt;"", IF(AM169&lt;&gt;"", E170*AM169, ""), "")</f>
        <v/>
      </c>
      <c r="AN170" s="22" t="str">
        <f>IF(E170&lt;&gt;"", IF(AN169&lt;&gt;"", E170*AN169, ""), "")</f>
        <v/>
      </c>
      <c r="AO170" s="22" t="str">
        <f>IF(E170&lt;&gt;"", IF(AO169&lt;&gt;"", E170*AO169, ""), "")</f>
        <v/>
      </c>
      <c r="AP170" s="22" t="str">
        <f>IF(E170&lt;&gt;"", IF(AP169&lt;&gt;"", E170*AP169, ""), "")</f>
        <v/>
      </c>
      <c r="AQ170" s="22" t="str">
        <f>IF(E170&lt;&gt;"", IF(AQ169&lt;&gt;"", E170*AQ169, ""), "")</f>
        <v/>
      </c>
      <c r="AR170" s="22" t="str">
        <f>IF(E170&lt;&gt;"", IF(AR169&lt;&gt;"", E170*AR169, ""), "")</f>
        <v/>
      </c>
      <c r="AS170" s="22" t="str">
        <f>IF(E170&lt;&gt;"", IF(AS169&lt;&gt;"", E170*AS169, ""), "")</f>
        <v/>
      </c>
      <c r="AT170" s="22" t="str">
        <f>IF(E170&lt;&gt;"", IF(AT169&lt;&gt;"", E170*AT169, ""), "")</f>
        <v/>
      </c>
      <c r="AU170" s="22" t="str">
        <f>IF(E170&lt;&gt;"", IF(AU169&lt;&gt;"", E170*AU169, ""), "")</f>
        <v/>
      </c>
      <c r="AV170" s="22" t="str">
        <f>IF(E170&lt;&gt;"", IF(AV169&lt;&gt;"", E170*AV169, ""), "")</f>
        <v/>
      </c>
      <c r="AW170" s="22" t="str">
        <f>IF(E170&lt;&gt;"", IF(AW169&lt;&gt;"", E170*AW169, ""), "")</f>
        <v/>
      </c>
      <c r="AX170" s="22" t="str">
        <f>IF(E170&lt;&gt;"", IF(AX169&lt;&gt;"", E170*AX169, ""), "")</f>
        <v/>
      </c>
      <c r="AY170" s="22" t="str">
        <f>IF(E170&lt;&gt;"", IF(AY169&lt;&gt;"", E170*AY169, ""), "")</f>
        <v/>
      </c>
      <c r="AZ170" s="22" t="str">
        <f>IF(E170&lt;&gt;"", IF(AZ169&lt;&gt;"", E170*AZ169, ""), "")</f>
        <v/>
      </c>
      <c r="BA170" s="22" t="str">
        <f>IF(E170&lt;&gt;"", IF(BA169&lt;&gt;"", E170*BA169, ""), "")</f>
        <v/>
      </c>
      <c r="BB170" s="22" t="str">
        <f>IF(E170&lt;&gt;"", IF(BB169&lt;&gt;"", E170*BB169, ""), "")</f>
        <v/>
      </c>
      <c r="BC170" s="22" t="str">
        <f>IF(E170&lt;&gt;"", IF(BC169&lt;&gt;"", E170*BC169, ""), "")</f>
        <v/>
      </c>
      <c r="BD170" s="22" t="str">
        <f>IF(E170&lt;&gt;"", IF(BD169&lt;&gt;"", E170*BD169, ""), "")</f>
        <v/>
      </c>
      <c r="BE170" s="22" t="str">
        <f>IF(E170&lt;&gt;"", IF(BE169&lt;&gt;"", E170*BE169, ""), "")</f>
        <v/>
      </c>
    </row>
    <row r="171" spans="1:129" ht="20.100000000000001" customHeight="1">
      <c r="A171" s="220">
        <v>12</v>
      </c>
      <c r="B171" s="7"/>
      <c r="C171" s="7"/>
      <c r="D171" s="5" t="s">
        <v>277</v>
      </c>
      <c r="E171" s="3"/>
      <c r="F171" s="46">
        <v>1</v>
      </c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59"/>
      <c r="AB171" s="59"/>
      <c r="AC171" s="59"/>
      <c r="AD171" s="59"/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  <c r="BC171" s="59"/>
      <c r="BD171" s="59"/>
      <c r="BE171" s="59"/>
    </row>
    <row r="172" spans="1:129" ht="20.100000000000001" customHeight="1">
      <c r="A172" s="221"/>
      <c r="B172" s="7"/>
      <c r="C172" s="7"/>
      <c r="D172" s="78">
        <v>6</v>
      </c>
      <c r="E172" s="47">
        <f>IF(egTextCal(D172)&lt;&gt;0, egTextCal(D172),"")</f>
        <v>6</v>
      </c>
      <c r="F172" s="48">
        <f>IF(E172&lt;&gt;"", IF(F171&lt;&gt;"", E172*F171,""),"")</f>
        <v>6</v>
      </c>
      <c r="G172" s="48" t="str">
        <f>IF(E172&lt;&gt;"", IF(G171&lt;&gt;"", E172*G171,""),"")</f>
        <v/>
      </c>
      <c r="H172" s="48" t="str">
        <f>IF(E172&lt;&gt;"", IF(H171&lt;&gt;"", E172*H171,""),"")</f>
        <v/>
      </c>
      <c r="I172" s="48" t="str">
        <f>IF(E172&lt;&gt;"", IF(I171&lt;&gt;"", E172*I171,""),"")</f>
        <v/>
      </c>
      <c r="J172" s="48" t="str">
        <f>IF(E172&lt;&gt;"", IF(J171&lt;&gt;"", E172*J171,""),"")</f>
        <v/>
      </c>
      <c r="K172" s="48" t="str">
        <f>IF(E172&lt;&gt;"", IF(K171&lt;&gt;"", E172*K171,""),"")</f>
        <v/>
      </c>
      <c r="L172" s="48" t="str">
        <f>IF(E172&lt;&gt;"", IF(L171&lt;&gt;"", E172*L171,""),"")</f>
        <v/>
      </c>
      <c r="M172" s="48" t="str">
        <f>IF(E172&lt;&gt;"", IF(M171&lt;&gt;"", E172*M171,""),"")</f>
        <v/>
      </c>
      <c r="N172" s="48" t="str">
        <f>IF(E172&lt;&gt;"", IF(N171&lt;&gt;"", E172*N171,""),"")</f>
        <v/>
      </c>
      <c r="O172" s="48" t="str">
        <f>IF(E172&lt;&gt;"", IF(O171&lt;&gt;"", E172*O171,""),"")</f>
        <v/>
      </c>
      <c r="P172" s="48" t="str">
        <f>IF(E172&lt;&gt;"", IF(P171&lt;&gt;"", E172*P171,""),"")</f>
        <v/>
      </c>
      <c r="Q172" s="48" t="str">
        <f>IF(E172&lt;&gt;"", IF(Q171&lt;&gt;"", E172*Q171,""),"")</f>
        <v/>
      </c>
      <c r="R172" s="48" t="str">
        <f>IF(E172&lt;&gt;"", IF(R171&lt;&gt;"", E172*R171,""),"")</f>
        <v/>
      </c>
      <c r="S172" s="48" t="str">
        <f>IF(E172&lt;&gt;"", IF(S171&lt;&gt;"", E172*S171,""),"")</f>
        <v/>
      </c>
      <c r="T172" s="48" t="str">
        <f>IF(E172&lt;&gt;"", IF(T171&lt;&gt;"", E172*T171,""),"")</f>
        <v/>
      </c>
      <c r="U172" s="48" t="str">
        <f>IF(E172&lt;&gt;"", IF(U171&lt;&gt;"", E172*U171,""),"")</f>
        <v/>
      </c>
      <c r="V172" s="48" t="str">
        <f>IF(E172&lt;&gt;"", IF(V171&lt;&gt;"", E172*V171,""),"")</f>
        <v/>
      </c>
      <c r="W172" s="48" t="str">
        <f>IF(E172&lt;&gt;"", IF(W171&lt;&gt;"", E172*W171,""),"")</f>
        <v/>
      </c>
      <c r="X172" s="48" t="str">
        <f>IF(E172&lt;&gt;"", IF(X171&lt;&gt;"", E172*X171,""),"")</f>
        <v/>
      </c>
      <c r="Y172" s="48" t="str">
        <f>IF(E172&lt;&gt;"", IF(Y171&lt;&gt;"", E172*Y171,""),"")</f>
        <v/>
      </c>
      <c r="Z172" s="48" t="str">
        <f>IF(E172&lt;&gt;"", IF(Z171&lt;&gt;"", E172*Z171,""),"")</f>
        <v/>
      </c>
      <c r="AA172" s="22"/>
      <c r="AB172" s="22" t="str">
        <f>IF(E172&lt;&gt;"", IF(AB171&lt;&gt;"", E172*AB171, ""), "")</f>
        <v/>
      </c>
      <c r="AC172" s="22" t="str">
        <f>IF(E172&lt;&gt;"", IF(AC171&lt;&gt;"", E172*AC171, ""), "")</f>
        <v/>
      </c>
      <c r="AD172" s="22" t="str">
        <f>IF(E172&lt;&gt;"", IF(AD171&lt;&gt;"", E172*AD171, ""), "")</f>
        <v/>
      </c>
      <c r="AE172" s="22" t="str">
        <f>IF(E172&lt;&gt;"", IF(AE171&lt;&gt;"", E172*AE171, ""), "")</f>
        <v/>
      </c>
      <c r="AF172" s="22" t="str">
        <f>IF(E172&lt;&gt;"", IF(AF171&lt;&gt;"", E172*AF171, ""), "")</f>
        <v/>
      </c>
      <c r="AG172" s="22" t="str">
        <f>IF(E172&lt;&gt;"", IF(AG171&lt;&gt;"", E172*AG171, ""), "")</f>
        <v/>
      </c>
      <c r="AH172" s="22" t="str">
        <f>IF(E172&lt;&gt;"", IF(AH171&lt;&gt;"", E172*AH171, ""), "")</f>
        <v/>
      </c>
      <c r="AI172" s="22" t="str">
        <f>IF(E172&lt;&gt;"", IF(AI171&lt;&gt;"", E172*AI171, ""), "")</f>
        <v/>
      </c>
      <c r="AJ172" s="22" t="str">
        <f>IF(E172&lt;&gt;"", IF(AJ171&lt;&gt;"", E172*AJ171, ""), "")</f>
        <v/>
      </c>
      <c r="AK172" s="22" t="str">
        <f>IF(E172&lt;&gt;"", IF(AK171&lt;&gt;"", E172*AK171, ""), "")</f>
        <v/>
      </c>
      <c r="AL172" s="22" t="str">
        <f>IF(E172&lt;&gt;"", IF(AL171&lt;&gt;"", E172*AL171, ""), "")</f>
        <v/>
      </c>
      <c r="AM172" s="22" t="str">
        <f>IF(E172&lt;&gt;"", IF(AM171&lt;&gt;"", E172*AM171, ""), "")</f>
        <v/>
      </c>
      <c r="AN172" s="22" t="str">
        <f>IF(E172&lt;&gt;"", IF(AN171&lt;&gt;"", E172*AN171, ""), "")</f>
        <v/>
      </c>
      <c r="AO172" s="22" t="str">
        <f>IF(E172&lt;&gt;"", IF(AO171&lt;&gt;"", E172*AO171, ""), "")</f>
        <v/>
      </c>
      <c r="AP172" s="22" t="str">
        <f>IF(E172&lt;&gt;"", IF(AP171&lt;&gt;"", E172*AP171, ""), "")</f>
        <v/>
      </c>
      <c r="AQ172" s="22" t="str">
        <f>IF(E172&lt;&gt;"", IF(AQ171&lt;&gt;"", E172*AQ171, ""), "")</f>
        <v/>
      </c>
      <c r="AR172" s="22" t="str">
        <f>IF(E172&lt;&gt;"", IF(AR171&lt;&gt;"", E172*AR171, ""), "")</f>
        <v/>
      </c>
      <c r="AS172" s="22" t="str">
        <f>IF(E172&lt;&gt;"", IF(AS171&lt;&gt;"", E172*AS171, ""), "")</f>
        <v/>
      </c>
      <c r="AT172" s="22" t="str">
        <f>IF(E172&lt;&gt;"", IF(AT171&lt;&gt;"", E172*AT171, ""), "")</f>
        <v/>
      </c>
      <c r="AU172" s="22" t="str">
        <f>IF(E172&lt;&gt;"", IF(AU171&lt;&gt;"", E172*AU171, ""), "")</f>
        <v/>
      </c>
      <c r="AV172" s="22" t="str">
        <f>IF(E172&lt;&gt;"", IF(AV171&lt;&gt;"", E172*AV171, ""), "")</f>
        <v/>
      </c>
      <c r="AW172" s="22" t="str">
        <f>IF(E172&lt;&gt;"", IF(AW171&lt;&gt;"", E172*AW171, ""), "")</f>
        <v/>
      </c>
      <c r="AX172" s="22" t="str">
        <f>IF(E172&lt;&gt;"", IF(AX171&lt;&gt;"", E172*AX171, ""), "")</f>
        <v/>
      </c>
      <c r="AY172" s="22" t="str">
        <f>IF(E172&lt;&gt;"", IF(AY171&lt;&gt;"", E172*AY171, ""), "")</f>
        <v/>
      </c>
      <c r="AZ172" s="22" t="str">
        <f>IF(E172&lt;&gt;"", IF(AZ171&lt;&gt;"", E172*AZ171, ""), "")</f>
        <v/>
      </c>
      <c r="BA172" s="22" t="str">
        <f>IF(E172&lt;&gt;"", IF(BA171&lt;&gt;"", E172*BA171, ""), "")</f>
        <v/>
      </c>
      <c r="BB172" s="22" t="str">
        <f>IF(E172&lt;&gt;"", IF(BB171&lt;&gt;"", E172*BB171, ""), "")</f>
        <v/>
      </c>
      <c r="BC172" s="22" t="str">
        <f>IF(E172&lt;&gt;"", IF(BC171&lt;&gt;"", E172*BC171, ""), "")</f>
        <v/>
      </c>
      <c r="BD172" s="22" t="str">
        <f>IF(E172&lt;&gt;"", IF(BD171&lt;&gt;"", E172*BD171, ""), "")</f>
        <v/>
      </c>
      <c r="BE172" s="22" t="str">
        <f>IF(E172&lt;&gt;"", IF(BE171&lt;&gt;"", E172*BE171, ""), "")</f>
        <v/>
      </c>
      <c r="DV172" s="18">
        <f>F172</f>
        <v>6</v>
      </c>
    </row>
    <row r="173" spans="1:129" ht="20.100000000000001" customHeight="1">
      <c r="A173" s="220">
        <v>13</v>
      </c>
      <c r="B173" s="7"/>
      <c r="C173" s="7"/>
      <c r="D173" s="5" t="s">
        <v>278</v>
      </c>
      <c r="E173" s="3"/>
      <c r="F173" s="46"/>
      <c r="G173" s="46"/>
      <c r="H173" s="46"/>
      <c r="I173" s="46">
        <v>1</v>
      </c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59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59"/>
      <c r="BD173" s="59"/>
      <c r="BE173" s="59"/>
    </row>
    <row r="174" spans="1:129" ht="20.100000000000001" customHeight="1">
      <c r="A174" s="221"/>
      <c r="B174" s="7"/>
      <c r="C174" s="7"/>
      <c r="D174" s="78">
        <v>2</v>
      </c>
      <c r="E174" s="47">
        <f>IF(egTextCal(D174)&lt;&gt;0, egTextCal(D174),"")</f>
        <v>2</v>
      </c>
      <c r="F174" s="48" t="str">
        <f>IF(E174&lt;&gt;"", IF(F173&lt;&gt;"", E174*F173,""),"")</f>
        <v/>
      </c>
      <c r="G174" s="48" t="str">
        <f>IF(E174&lt;&gt;"", IF(G173&lt;&gt;"", E174*G173,""),"")</f>
        <v/>
      </c>
      <c r="H174" s="48" t="str">
        <f>IF(E174&lt;&gt;"", IF(H173&lt;&gt;"", E174*H173,""),"")</f>
        <v/>
      </c>
      <c r="I174" s="48">
        <f>IF(E174&lt;&gt;"", IF(I173&lt;&gt;"", E174*I173,""),"")</f>
        <v>2</v>
      </c>
      <c r="J174" s="48" t="str">
        <f>IF(E174&lt;&gt;"", IF(J173&lt;&gt;"", E174*J173,""),"")</f>
        <v/>
      </c>
      <c r="K174" s="48" t="str">
        <f>IF(E174&lt;&gt;"", IF(K173&lt;&gt;"", E174*K173,""),"")</f>
        <v/>
      </c>
      <c r="L174" s="48" t="str">
        <f>IF(E174&lt;&gt;"", IF(L173&lt;&gt;"", E174*L173,""),"")</f>
        <v/>
      </c>
      <c r="M174" s="48" t="str">
        <f>IF(E174&lt;&gt;"", IF(M173&lt;&gt;"", E174*M173,""),"")</f>
        <v/>
      </c>
      <c r="N174" s="48" t="str">
        <f>IF(E174&lt;&gt;"", IF(N173&lt;&gt;"", E174*N173,""),"")</f>
        <v/>
      </c>
      <c r="O174" s="48" t="str">
        <f>IF(E174&lt;&gt;"", IF(O173&lt;&gt;"", E174*O173,""),"")</f>
        <v/>
      </c>
      <c r="P174" s="48" t="str">
        <f>IF(E174&lt;&gt;"", IF(P173&lt;&gt;"", E174*P173,""),"")</f>
        <v/>
      </c>
      <c r="Q174" s="48" t="str">
        <f>IF(E174&lt;&gt;"", IF(Q173&lt;&gt;"", E174*Q173,""),"")</f>
        <v/>
      </c>
      <c r="R174" s="48" t="str">
        <f>IF(E174&lt;&gt;"", IF(R173&lt;&gt;"", E174*R173,""),"")</f>
        <v/>
      </c>
      <c r="S174" s="48" t="str">
        <f>IF(E174&lt;&gt;"", IF(S173&lt;&gt;"", E174*S173,""),"")</f>
        <v/>
      </c>
      <c r="T174" s="48" t="str">
        <f>IF(E174&lt;&gt;"", IF(T173&lt;&gt;"", E174*T173,""),"")</f>
        <v/>
      </c>
      <c r="U174" s="48" t="str">
        <f>IF(E174&lt;&gt;"", IF(U173&lt;&gt;"", E174*U173,""),"")</f>
        <v/>
      </c>
      <c r="V174" s="48" t="str">
        <f>IF(E174&lt;&gt;"", IF(V173&lt;&gt;"", E174*V173,""),"")</f>
        <v/>
      </c>
      <c r="W174" s="48" t="str">
        <f>IF(E174&lt;&gt;"", IF(W173&lt;&gt;"", E174*W173,""),"")</f>
        <v/>
      </c>
      <c r="X174" s="48" t="str">
        <f>IF(E174&lt;&gt;"", IF(X173&lt;&gt;"", E174*X173,""),"")</f>
        <v/>
      </c>
      <c r="Y174" s="48" t="str">
        <f>IF(E174&lt;&gt;"", IF(Y173&lt;&gt;"", E174*Y173,""),"")</f>
        <v/>
      </c>
      <c r="Z174" s="48" t="str">
        <f>IF(E174&lt;&gt;"", IF(Z173&lt;&gt;"", E174*Z173,""),"")</f>
        <v/>
      </c>
      <c r="AA174" s="22"/>
      <c r="AB174" s="22" t="str">
        <f>IF(E174&lt;&gt;"", IF(AB173&lt;&gt;"", E174*AB173, ""), "")</f>
        <v/>
      </c>
      <c r="AC174" s="22" t="str">
        <f>IF(E174&lt;&gt;"", IF(AC173&lt;&gt;"", E174*AC173, ""), "")</f>
        <v/>
      </c>
      <c r="AD174" s="22" t="str">
        <f>IF(E174&lt;&gt;"", IF(AD173&lt;&gt;"", E174*AD173, ""), "")</f>
        <v/>
      </c>
      <c r="AE174" s="22" t="str">
        <f>IF(E174&lt;&gt;"", IF(AE173&lt;&gt;"", E174*AE173, ""), "")</f>
        <v/>
      </c>
      <c r="AF174" s="22" t="str">
        <f>IF(E174&lt;&gt;"", IF(AF173&lt;&gt;"", E174*AF173, ""), "")</f>
        <v/>
      </c>
      <c r="AG174" s="22" t="str">
        <f>IF(E174&lt;&gt;"", IF(AG173&lt;&gt;"", E174*AG173, ""), "")</f>
        <v/>
      </c>
      <c r="AH174" s="22" t="str">
        <f>IF(E174&lt;&gt;"", IF(AH173&lt;&gt;"", E174*AH173, ""), "")</f>
        <v/>
      </c>
      <c r="AI174" s="22" t="str">
        <f>IF(E174&lt;&gt;"", IF(AI173&lt;&gt;"", E174*AI173, ""), "")</f>
        <v/>
      </c>
      <c r="AJ174" s="22" t="str">
        <f>IF(E174&lt;&gt;"", IF(AJ173&lt;&gt;"", E174*AJ173, ""), "")</f>
        <v/>
      </c>
      <c r="AK174" s="22" t="str">
        <f>IF(E174&lt;&gt;"", IF(AK173&lt;&gt;"", E174*AK173, ""), "")</f>
        <v/>
      </c>
      <c r="AL174" s="22" t="str">
        <f>IF(E174&lt;&gt;"", IF(AL173&lt;&gt;"", E174*AL173, ""), "")</f>
        <v/>
      </c>
      <c r="AM174" s="22" t="str">
        <f>IF(E174&lt;&gt;"", IF(AM173&lt;&gt;"", E174*AM173, ""), "")</f>
        <v/>
      </c>
      <c r="AN174" s="22" t="str">
        <f>IF(E174&lt;&gt;"", IF(AN173&lt;&gt;"", E174*AN173, ""), "")</f>
        <v/>
      </c>
      <c r="AO174" s="22" t="str">
        <f>IF(E174&lt;&gt;"", IF(AO173&lt;&gt;"", E174*AO173, ""), "")</f>
        <v/>
      </c>
      <c r="AP174" s="22" t="str">
        <f>IF(E174&lt;&gt;"", IF(AP173&lt;&gt;"", E174*AP173, ""), "")</f>
        <v/>
      </c>
      <c r="AQ174" s="22" t="str">
        <f>IF(E174&lt;&gt;"", IF(AQ173&lt;&gt;"", E174*AQ173, ""), "")</f>
        <v/>
      </c>
      <c r="AR174" s="22" t="str">
        <f>IF(E174&lt;&gt;"", IF(AR173&lt;&gt;"", E174*AR173, ""), "")</f>
        <v/>
      </c>
      <c r="AS174" s="22" t="str">
        <f>IF(E174&lt;&gt;"", IF(AS173&lt;&gt;"", E174*AS173, ""), "")</f>
        <v/>
      </c>
      <c r="AT174" s="22" t="str">
        <f>IF(E174&lt;&gt;"", IF(AT173&lt;&gt;"", E174*AT173, ""), "")</f>
        <v/>
      </c>
      <c r="AU174" s="22" t="str">
        <f>IF(E174&lt;&gt;"", IF(AU173&lt;&gt;"", E174*AU173, ""), "")</f>
        <v/>
      </c>
      <c r="AV174" s="22" t="str">
        <f>IF(E174&lt;&gt;"", IF(AV173&lt;&gt;"", E174*AV173, ""), "")</f>
        <v/>
      </c>
      <c r="AW174" s="22" t="str">
        <f>IF(E174&lt;&gt;"", IF(AW173&lt;&gt;"", E174*AW173, ""), "")</f>
        <v/>
      </c>
      <c r="AX174" s="22" t="str">
        <f>IF(E174&lt;&gt;"", IF(AX173&lt;&gt;"", E174*AX173, ""), "")</f>
        <v/>
      </c>
      <c r="AY174" s="22" t="str">
        <f>IF(E174&lt;&gt;"", IF(AY173&lt;&gt;"", E174*AY173, ""), "")</f>
        <v/>
      </c>
      <c r="AZ174" s="22" t="str">
        <f>IF(E174&lt;&gt;"", IF(AZ173&lt;&gt;"", E174*AZ173, ""), "")</f>
        <v/>
      </c>
      <c r="BA174" s="22" t="str">
        <f>IF(E174&lt;&gt;"", IF(BA173&lt;&gt;"", E174*BA173, ""), "")</f>
        <v/>
      </c>
      <c r="BB174" s="22" t="str">
        <f>IF(E174&lt;&gt;"", IF(BB173&lt;&gt;"", E174*BB173, ""), "")</f>
        <v/>
      </c>
      <c r="BC174" s="22" t="str">
        <f>IF(E174&lt;&gt;"", IF(BC173&lt;&gt;"", E174*BC173, ""), "")</f>
        <v/>
      </c>
      <c r="BD174" s="22" t="str">
        <f>IF(E174&lt;&gt;"", IF(BD173&lt;&gt;"", E174*BD173, ""), "")</f>
        <v/>
      </c>
      <c r="BE174" s="22" t="str">
        <f>IF(E174&lt;&gt;"", IF(BE173&lt;&gt;"", E174*BE173, ""), "")</f>
        <v/>
      </c>
      <c r="DY174" s="18">
        <f>I174</f>
        <v>2</v>
      </c>
    </row>
    <row r="175" spans="1:129" ht="20.100000000000001" customHeight="1">
      <c r="A175" s="220">
        <v>14</v>
      </c>
      <c r="B175" s="7"/>
      <c r="C175" s="7"/>
      <c r="D175" s="5" t="s">
        <v>279</v>
      </c>
      <c r="E175" s="3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59"/>
      <c r="AB175" s="59"/>
      <c r="AC175" s="59"/>
      <c r="AD175" s="59"/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  <c r="BC175" s="59"/>
      <c r="BD175" s="59"/>
      <c r="BE175" s="59"/>
    </row>
    <row r="176" spans="1:129" ht="20.100000000000001" customHeight="1">
      <c r="A176" s="221"/>
      <c r="B176" s="7"/>
      <c r="C176" s="7"/>
      <c r="D176" s="78"/>
      <c r="E176" s="47" t="str">
        <f>IF(egTextCal(D176)&lt;&gt;0, egTextCal(D176),"")</f>
        <v/>
      </c>
      <c r="F176" s="48" t="str">
        <f>IF(E176&lt;&gt;"", IF(F175&lt;&gt;"", E176*F175,""),"")</f>
        <v/>
      </c>
      <c r="G176" s="48" t="str">
        <f>IF(E176&lt;&gt;"", IF(G175&lt;&gt;"", E176*G175,""),"")</f>
        <v/>
      </c>
      <c r="H176" s="48" t="str">
        <f>IF(E176&lt;&gt;"", IF(H175&lt;&gt;"", E176*H175,""),"")</f>
        <v/>
      </c>
      <c r="I176" s="48" t="str">
        <f>IF(E176&lt;&gt;"", IF(I175&lt;&gt;"", E176*I175,""),"")</f>
        <v/>
      </c>
      <c r="J176" s="48" t="str">
        <f>IF(E176&lt;&gt;"", IF(J175&lt;&gt;"", E176*J175,""),"")</f>
        <v/>
      </c>
      <c r="K176" s="48" t="str">
        <f>IF(E176&lt;&gt;"", IF(K175&lt;&gt;"", E176*K175,""),"")</f>
        <v/>
      </c>
      <c r="L176" s="48" t="str">
        <f>IF(E176&lt;&gt;"", IF(L175&lt;&gt;"", E176*L175,""),"")</f>
        <v/>
      </c>
      <c r="M176" s="48" t="str">
        <f>IF(E176&lt;&gt;"", IF(M175&lt;&gt;"", E176*M175,""),"")</f>
        <v/>
      </c>
      <c r="N176" s="48" t="str">
        <f>IF(E176&lt;&gt;"", IF(N175&lt;&gt;"", E176*N175,""),"")</f>
        <v/>
      </c>
      <c r="O176" s="48" t="str">
        <f>IF(E176&lt;&gt;"", IF(O175&lt;&gt;"", E176*O175,""),"")</f>
        <v/>
      </c>
      <c r="P176" s="48" t="str">
        <f>IF(E176&lt;&gt;"", IF(P175&lt;&gt;"", E176*P175,""),"")</f>
        <v/>
      </c>
      <c r="Q176" s="48" t="str">
        <f>IF(E176&lt;&gt;"", IF(Q175&lt;&gt;"", E176*Q175,""),"")</f>
        <v/>
      </c>
      <c r="R176" s="48" t="str">
        <f>IF(E176&lt;&gt;"", IF(R175&lt;&gt;"", E176*R175,""),"")</f>
        <v/>
      </c>
      <c r="S176" s="48" t="str">
        <f>IF(E176&lt;&gt;"", IF(S175&lt;&gt;"", E176*S175,""),"")</f>
        <v/>
      </c>
      <c r="T176" s="48" t="str">
        <f>IF(E176&lt;&gt;"", IF(T175&lt;&gt;"", E176*T175,""),"")</f>
        <v/>
      </c>
      <c r="U176" s="48" t="str">
        <f>IF(E176&lt;&gt;"", IF(U175&lt;&gt;"", E176*U175,""),"")</f>
        <v/>
      </c>
      <c r="V176" s="48" t="str">
        <f>IF(E176&lt;&gt;"", IF(V175&lt;&gt;"", E176*V175,""),"")</f>
        <v/>
      </c>
      <c r="W176" s="48" t="str">
        <f>IF(E176&lt;&gt;"", IF(W175&lt;&gt;"", E176*W175,""),"")</f>
        <v/>
      </c>
      <c r="X176" s="48" t="str">
        <f>IF(E176&lt;&gt;"", IF(X175&lt;&gt;"", E176*X175,""),"")</f>
        <v/>
      </c>
      <c r="Y176" s="48" t="str">
        <f>IF(E176&lt;&gt;"", IF(Y175&lt;&gt;"", E176*Y175,""),"")</f>
        <v/>
      </c>
      <c r="Z176" s="48" t="str">
        <f>IF(E176&lt;&gt;"", IF(Z175&lt;&gt;"", E176*Z175,""),"")</f>
        <v/>
      </c>
      <c r="AA176" s="22"/>
      <c r="AB176" s="22" t="str">
        <f>IF(E176&lt;&gt;"", IF(AB175&lt;&gt;"", E176*AB175, ""), "")</f>
        <v/>
      </c>
      <c r="AC176" s="22" t="str">
        <f>IF(E176&lt;&gt;"", IF(AC175&lt;&gt;"", E176*AC175, ""), "")</f>
        <v/>
      </c>
      <c r="AD176" s="22" t="str">
        <f>IF(E176&lt;&gt;"", IF(AD175&lt;&gt;"", E176*AD175, ""), "")</f>
        <v/>
      </c>
      <c r="AE176" s="22" t="str">
        <f>IF(E176&lt;&gt;"", IF(AE175&lt;&gt;"", E176*AE175, ""), "")</f>
        <v/>
      </c>
      <c r="AF176" s="22" t="str">
        <f>IF(E176&lt;&gt;"", IF(AF175&lt;&gt;"", E176*AF175, ""), "")</f>
        <v/>
      </c>
      <c r="AG176" s="22" t="str">
        <f>IF(E176&lt;&gt;"", IF(AG175&lt;&gt;"", E176*AG175, ""), "")</f>
        <v/>
      </c>
      <c r="AH176" s="22" t="str">
        <f>IF(E176&lt;&gt;"", IF(AH175&lt;&gt;"", E176*AH175, ""), "")</f>
        <v/>
      </c>
      <c r="AI176" s="22" t="str">
        <f>IF(E176&lt;&gt;"", IF(AI175&lt;&gt;"", E176*AI175, ""), "")</f>
        <v/>
      </c>
      <c r="AJ176" s="22" t="str">
        <f>IF(E176&lt;&gt;"", IF(AJ175&lt;&gt;"", E176*AJ175, ""), "")</f>
        <v/>
      </c>
      <c r="AK176" s="22" t="str">
        <f>IF(E176&lt;&gt;"", IF(AK175&lt;&gt;"", E176*AK175, ""), "")</f>
        <v/>
      </c>
      <c r="AL176" s="22" t="str">
        <f>IF(E176&lt;&gt;"", IF(AL175&lt;&gt;"", E176*AL175, ""), "")</f>
        <v/>
      </c>
      <c r="AM176" s="22" t="str">
        <f>IF(E176&lt;&gt;"", IF(AM175&lt;&gt;"", E176*AM175, ""), "")</f>
        <v/>
      </c>
      <c r="AN176" s="22" t="str">
        <f>IF(E176&lt;&gt;"", IF(AN175&lt;&gt;"", E176*AN175, ""), "")</f>
        <v/>
      </c>
      <c r="AO176" s="22" t="str">
        <f>IF(E176&lt;&gt;"", IF(AO175&lt;&gt;"", E176*AO175, ""), "")</f>
        <v/>
      </c>
      <c r="AP176" s="22" t="str">
        <f>IF(E176&lt;&gt;"", IF(AP175&lt;&gt;"", E176*AP175, ""), "")</f>
        <v/>
      </c>
      <c r="AQ176" s="22" t="str">
        <f>IF(E176&lt;&gt;"", IF(AQ175&lt;&gt;"", E176*AQ175, ""), "")</f>
        <v/>
      </c>
      <c r="AR176" s="22" t="str">
        <f>IF(E176&lt;&gt;"", IF(AR175&lt;&gt;"", E176*AR175, ""), "")</f>
        <v/>
      </c>
      <c r="AS176" s="22" t="str">
        <f>IF(E176&lt;&gt;"", IF(AS175&lt;&gt;"", E176*AS175, ""), "")</f>
        <v/>
      </c>
      <c r="AT176" s="22" t="str">
        <f>IF(E176&lt;&gt;"", IF(AT175&lt;&gt;"", E176*AT175, ""), "")</f>
        <v/>
      </c>
      <c r="AU176" s="22" t="str">
        <f>IF(E176&lt;&gt;"", IF(AU175&lt;&gt;"", E176*AU175, ""), "")</f>
        <v/>
      </c>
      <c r="AV176" s="22" t="str">
        <f>IF(E176&lt;&gt;"", IF(AV175&lt;&gt;"", E176*AV175, ""), "")</f>
        <v/>
      </c>
      <c r="AW176" s="22" t="str">
        <f>IF(E176&lt;&gt;"", IF(AW175&lt;&gt;"", E176*AW175, ""), "")</f>
        <v/>
      </c>
      <c r="AX176" s="22" t="str">
        <f>IF(E176&lt;&gt;"", IF(AX175&lt;&gt;"", E176*AX175, ""), "")</f>
        <v/>
      </c>
      <c r="AY176" s="22" t="str">
        <f>IF(E176&lt;&gt;"", IF(AY175&lt;&gt;"", E176*AY175, ""), "")</f>
        <v/>
      </c>
      <c r="AZ176" s="22" t="str">
        <f>IF(E176&lt;&gt;"", IF(AZ175&lt;&gt;"", E176*AZ175, ""), "")</f>
        <v/>
      </c>
      <c r="BA176" s="22" t="str">
        <f>IF(E176&lt;&gt;"", IF(BA175&lt;&gt;"", E176*BA175, ""), "")</f>
        <v/>
      </c>
      <c r="BB176" s="22" t="str">
        <f>IF(E176&lt;&gt;"", IF(BB175&lt;&gt;"", E176*BB175, ""), "")</f>
        <v/>
      </c>
      <c r="BC176" s="22" t="str">
        <f>IF(E176&lt;&gt;"", IF(BC175&lt;&gt;"", E176*BC175, ""), "")</f>
        <v/>
      </c>
      <c r="BD176" s="22" t="str">
        <f>IF(E176&lt;&gt;"", IF(BD175&lt;&gt;"", E176*BD175, ""), "")</f>
        <v/>
      </c>
      <c r="BE176" s="22" t="str">
        <f>IF(E176&lt;&gt;"", IF(BE175&lt;&gt;"", E176*BE175, ""), "")</f>
        <v/>
      </c>
    </row>
    <row r="177" spans="1:57" ht="20.100000000000001" customHeight="1">
      <c r="A177" s="220">
        <v>15</v>
      </c>
      <c r="B177" s="7"/>
      <c r="C177" s="7"/>
      <c r="D177" s="5" t="s">
        <v>237</v>
      </c>
      <c r="E177" s="3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59"/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59"/>
      <c r="BD177" s="59"/>
      <c r="BE177" s="59"/>
    </row>
    <row r="178" spans="1:57" ht="20.100000000000001" customHeight="1">
      <c r="A178" s="221"/>
      <c r="B178" s="7"/>
      <c r="C178" s="7"/>
      <c r="D178" s="78" t="s">
        <v>280</v>
      </c>
      <c r="E178" s="47">
        <f>IF(egTextCal(D178)&lt;&gt;0, egTextCal(D178),"")</f>
        <v>46</v>
      </c>
      <c r="F178" s="48" t="str">
        <f>IF(E178&lt;&gt;"", IF(F177&lt;&gt;"", E178*F177,""),"")</f>
        <v/>
      </c>
      <c r="G178" s="48" t="str">
        <f>IF(E178&lt;&gt;"", IF(G177&lt;&gt;"", E178*G177,""),"")</f>
        <v/>
      </c>
      <c r="H178" s="48" t="str">
        <f>IF(E178&lt;&gt;"", IF(H177&lt;&gt;"", E178*H177,""),"")</f>
        <v/>
      </c>
      <c r="I178" s="48" t="str">
        <f>IF(E178&lt;&gt;"", IF(I177&lt;&gt;"", E178*I177,""),"")</f>
        <v/>
      </c>
      <c r="J178" s="48" t="str">
        <f>IF(E178&lt;&gt;"", IF(J177&lt;&gt;"", E178*J177,""),"")</f>
        <v/>
      </c>
      <c r="K178" s="48" t="str">
        <f>IF(E178&lt;&gt;"", IF(K177&lt;&gt;"", E178*K177,""),"")</f>
        <v/>
      </c>
      <c r="L178" s="48" t="str">
        <f>IF(E178&lt;&gt;"", IF(L177&lt;&gt;"", E178*L177,""),"")</f>
        <v/>
      </c>
      <c r="M178" s="48" t="str">
        <f>IF(E178&lt;&gt;"", IF(M177&lt;&gt;"", E178*M177,""),"")</f>
        <v/>
      </c>
      <c r="N178" s="48" t="str">
        <f>IF(E178&lt;&gt;"", IF(N177&lt;&gt;"", E178*N177,""),"")</f>
        <v/>
      </c>
      <c r="O178" s="48" t="str">
        <f>IF(E178&lt;&gt;"", IF(O177&lt;&gt;"", E178*O177,""),"")</f>
        <v/>
      </c>
      <c r="P178" s="48" t="str">
        <f>IF(E178&lt;&gt;"", IF(P177&lt;&gt;"", E178*P177,""),"")</f>
        <v/>
      </c>
      <c r="Q178" s="48" t="str">
        <f>IF(E178&lt;&gt;"", IF(Q177&lt;&gt;"", E178*Q177,""),"")</f>
        <v/>
      </c>
      <c r="R178" s="48" t="str">
        <f>IF(E178&lt;&gt;"", IF(R177&lt;&gt;"", E178*R177,""),"")</f>
        <v/>
      </c>
      <c r="S178" s="48" t="str">
        <f>IF(E178&lt;&gt;"", IF(S177&lt;&gt;"", E178*S177,""),"")</f>
        <v/>
      </c>
      <c r="T178" s="48" t="str">
        <f>IF(E178&lt;&gt;"", IF(T177&lt;&gt;"", E178*T177,""),"")</f>
        <v/>
      </c>
      <c r="U178" s="48" t="str">
        <f>IF(E178&lt;&gt;"", IF(U177&lt;&gt;"", E178*U177,""),"")</f>
        <v/>
      </c>
      <c r="V178" s="48" t="str">
        <f>IF(E178&lt;&gt;"", IF(V177&lt;&gt;"", E178*V177,""),"")</f>
        <v/>
      </c>
      <c r="W178" s="48" t="str">
        <f>IF(E178&lt;&gt;"", IF(W177&lt;&gt;"", E178*W177,""),"")</f>
        <v/>
      </c>
      <c r="X178" s="48" t="str">
        <f>IF(E178&lt;&gt;"", IF(X177&lt;&gt;"", E178*X177,""),"")</f>
        <v/>
      </c>
      <c r="Y178" s="48" t="str">
        <f>IF(E178&lt;&gt;"", IF(Y177&lt;&gt;"", E178*Y177,""),"")</f>
        <v/>
      </c>
      <c r="Z178" s="48" t="str">
        <f>IF(E178&lt;&gt;"", IF(Z177&lt;&gt;"", E178*Z177,""),"")</f>
        <v/>
      </c>
      <c r="AA178" s="22"/>
      <c r="AB178" s="22" t="str">
        <f>IF(E178&lt;&gt;"", IF(AB177&lt;&gt;"", E178*AB177, ""), "")</f>
        <v/>
      </c>
      <c r="AC178" s="22" t="str">
        <f>IF(E178&lt;&gt;"", IF(AC177&lt;&gt;"", E178*AC177, ""), "")</f>
        <v/>
      </c>
      <c r="AD178" s="22" t="str">
        <f>IF(E178&lt;&gt;"", IF(AD177&lt;&gt;"", E178*AD177, ""), "")</f>
        <v/>
      </c>
      <c r="AE178" s="22" t="str">
        <f>IF(E178&lt;&gt;"", IF(AE177&lt;&gt;"", E178*AE177, ""), "")</f>
        <v/>
      </c>
      <c r="AF178" s="22" t="str">
        <f>IF(E178&lt;&gt;"", IF(AF177&lt;&gt;"", E178*AF177, ""), "")</f>
        <v/>
      </c>
      <c r="AG178" s="22" t="str">
        <f>IF(E178&lt;&gt;"", IF(AG177&lt;&gt;"", E178*AG177, ""), "")</f>
        <v/>
      </c>
      <c r="AH178" s="22" t="str">
        <f>IF(E178&lt;&gt;"", IF(AH177&lt;&gt;"", E178*AH177, ""), "")</f>
        <v/>
      </c>
      <c r="AI178" s="22" t="str">
        <f>IF(E178&lt;&gt;"", IF(AI177&lt;&gt;"", E178*AI177, ""), "")</f>
        <v/>
      </c>
      <c r="AJ178" s="22" t="str">
        <f>IF(E178&lt;&gt;"", IF(AJ177&lt;&gt;"", E178*AJ177, ""), "")</f>
        <v/>
      </c>
      <c r="AK178" s="22" t="str">
        <f>IF(E178&lt;&gt;"", IF(AK177&lt;&gt;"", E178*AK177, ""), "")</f>
        <v/>
      </c>
      <c r="AL178" s="22" t="str">
        <f>IF(E178&lt;&gt;"", IF(AL177&lt;&gt;"", E178*AL177, ""), "")</f>
        <v/>
      </c>
      <c r="AM178" s="22" t="str">
        <f>IF(E178&lt;&gt;"", IF(AM177&lt;&gt;"", E178*AM177, ""), "")</f>
        <v/>
      </c>
      <c r="AN178" s="22" t="str">
        <f>IF(E178&lt;&gt;"", IF(AN177&lt;&gt;"", E178*AN177, ""), "")</f>
        <v/>
      </c>
      <c r="AO178" s="22" t="str">
        <f>IF(E178&lt;&gt;"", IF(AO177&lt;&gt;"", E178*AO177, ""), "")</f>
        <v/>
      </c>
      <c r="AP178" s="22" t="str">
        <f>IF(E178&lt;&gt;"", IF(AP177&lt;&gt;"", E178*AP177, ""), "")</f>
        <v/>
      </c>
      <c r="AQ178" s="22" t="str">
        <f>IF(E178&lt;&gt;"", IF(AQ177&lt;&gt;"", E178*AQ177, ""), "")</f>
        <v/>
      </c>
      <c r="AR178" s="22" t="str">
        <f>IF(E178&lt;&gt;"", IF(AR177&lt;&gt;"", E178*AR177, ""), "")</f>
        <v/>
      </c>
      <c r="AS178" s="22" t="str">
        <f>IF(E178&lt;&gt;"", IF(AS177&lt;&gt;"", E178*AS177, ""), "")</f>
        <v/>
      </c>
      <c r="AT178" s="22" t="str">
        <f>IF(E178&lt;&gt;"", IF(AT177&lt;&gt;"", E178*AT177, ""), "")</f>
        <v/>
      </c>
      <c r="AU178" s="22" t="str">
        <f>IF(E178&lt;&gt;"", IF(AU177&lt;&gt;"", E178*AU177, ""), "")</f>
        <v/>
      </c>
      <c r="AV178" s="22" t="str">
        <f>IF(E178&lt;&gt;"", IF(AV177&lt;&gt;"", E178*AV177, ""), "")</f>
        <v/>
      </c>
      <c r="AW178" s="22" t="str">
        <f>IF(E178&lt;&gt;"", IF(AW177&lt;&gt;"", E178*AW177, ""), "")</f>
        <v/>
      </c>
      <c r="AX178" s="22" t="str">
        <f>IF(E178&lt;&gt;"", IF(AX177&lt;&gt;"", E178*AX177, ""), "")</f>
        <v/>
      </c>
      <c r="AY178" s="22" t="str">
        <f>IF(E178&lt;&gt;"", IF(AY177&lt;&gt;"", E178*AY177, ""), "")</f>
        <v/>
      </c>
      <c r="AZ178" s="22" t="str">
        <f>IF(E178&lt;&gt;"", IF(AZ177&lt;&gt;"", E178*AZ177, ""), "")</f>
        <v/>
      </c>
      <c r="BA178" s="22" t="str">
        <f>IF(E178&lt;&gt;"", IF(BA177&lt;&gt;"", E178*BA177, ""), "")</f>
        <v/>
      </c>
      <c r="BB178" s="22" t="str">
        <f>IF(E178&lt;&gt;"", IF(BB177&lt;&gt;"", E178*BB177, ""), "")</f>
        <v/>
      </c>
      <c r="BC178" s="22" t="str">
        <f>IF(E178&lt;&gt;"", IF(BC177&lt;&gt;"", E178*BC177, ""), "")</f>
        <v/>
      </c>
      <c r="BD178" s="22" t="str">
        <f>IF(E178&lt;&gt;"", IF(BD177&lt;&gt;"", E178*BD177, ""), "")</f>
        <v/>
      </c>
      <c r="BE178" s="22" t="str">
        <f>IF(E178&lt;&gt;"", IF(BE177&lt;&gt;"", E178*BE177, ""), "")</f>
        <v/>
      </c>
    </row>
    <row r="179" spans="1:57" ht="20.100000000000001" customHeight="1">
      <c r="A179" s="220">
        <v>16</v>
      </c>
      <c r="B179" s="7"/>
      <c r="C179" s="7"/>
      <c r="D179" s="5" t="s">
        <v>239</v>
      </c>
      <c r="E179" s="3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59"/>
      <c r="BD179" s="59"/>
      <c r="BE179" s="59"/>
    </row>
    <row r="180" spans="1:57" ht="20.100000000000001" customHeight="1">
      <c r="A180" s="221"/>
      <c r="B180" s="7"/>
      <c r="C180" s="7"/>
      <c r="D180" s="78">
        <v>4</v>
      </c>
      <c r="E180" s="47">
        <f>IF(egTextCal(D180)&lt;&gt;0, egTextCal(D180),"")</f>
        <v>4</v>
      </c>
      <c r="F180" s="48" t="str">
        <f>IF(E180&lt;&gt;"", IF(F179&lt;&gt;"", E180*F179,""),"")</f>
        <v/>
      </c>
      <c r="G180" s="48" t="str">
        <f>IF(E180&lt;&gt;"", IF(G179&lt;&gt;"", E180*G179,""),"")</f>
        <v/>
      </c>
      <c r="H180" s="48" t="str">
        <f>IF(E180&lt;&gt;"", IF(H179&lt;&gt;"", E180*H179,""),"")</f>
        <v/>
      </c>
      <c r="I180" s="48" t="str">
        <f>IF(E180&lt;&gt;"", IF(I179&lt;&gt;"", E180*I179,""),"")</f>
        <v/>
      </c>
      <c r="J180" s="48" t="str">
        <f>IF(E180&lt;&gt;"", IF(J179&lt;&gt;"", E180*J179,""),"")</f>
        <v/>
      </c>
      <c r="K180" s="48" t="str">
        <f>IF(E180&lt;&gt;"", IF(K179&lt;&gt;"", E180*K179,""),"")</f>
        <v/>
      </c>
      <c r="L180" s="48" t="str">
        <f>IF(E180&lt;&gt;"", IF(L179&lt;&gt;"", E180*L179,""),"")</f>
        <v/>
      </c>
      <c r="M180" s="48" t="str">
        <f>IF(E180&lt;&gt;"", IF(M179&lt;&gt;"", E180*M179,""),"")</f>
        <v/>
      </c>
      <c r="N180" s="48" t="str">
        <f>IF(E180&lt;&gt;"", IF(N179&lt;&gt;"", E180*N179,""),"")</f>
        <v/>
      </c>
      <c r="O180" s="48" t="str">
        <f>IF(E180&lt;&gt;"", IF(O179&lt;&gt;"", E180*O179,""),"")</f>
        <v/>
      </c>
      <c r="P180" s="48" t="str">
        <f>IF(E180&lt;&gt;"", IF(P179&lt;&gt;"", E180*P179,""),"")</f>
        <v/>
      </c>
      <c r="Q180" s="48" t="str">
        <f>IF(E180&lt;&gt;"", IF(Q179&lt;&gt;"", E180*Q179,""),"")</f>
        <v/>
      </c>
      <c r="R180" s="48" t="str">
        <f>IF(E180&lt;&gt;"", IF(R179&lt;&gt;"", E180*R179,""),"")</f>
        <v/>
      </c>
      <c r="S180" s="48" t="str">
        <f>IF(E180&lt;&gt;"", IF(S179&lt;&gt;"", E180*S179,""),"")</f>
        <v/>
      </c>
      <c r="T180" s="48" t="str">
        <f>IF(E180&lt;&gt;"", IF(T179&lt;&gt;"", E180*T179,""),"")</f>
        <v/>
      </c>
      <c r="U180" s="48" t="str">
        <f>IF(E180&lt;&gt;"", IF(U179&lt;&gt;"", E180*U179,""),"")</f>
        <v/>
      </c>
      <c r="V180" s="48" t="str">
        <f>IF(E180&lt;&gt;"", IF(V179&lt;&gt;"", E180*V179,""),"")</f>
        <v/>
      </c>
      <c r="W180" s="48" t="str">
        <f>IF(E180&lt;&gt;"", IF(W179&lt;&gt;"", E180*W179,""),"")</f>
        <v/>
      </c>
      <c r="X180" s="48" t="str">
        <f>IF(E180&lt;&gt;"", IF(X179&lt;&gt;"", E180*X179,""),"")</f>
        <v/>
      </c>
      <c r="Y180" s="48" t="str">
        <f>IF(E180&lt;&gt;"", IF(Y179&lt;&gt;"", E180*Y179,""),"")</f>
        <v/>
      </c>
      <c r="Z180" s="48" t="str">
        <f>IF(E180&lt;&gt;"", IF(Z179&lt;&gt;"", E180*Z179,""),"")</f>
        <v/>
      </c>
      <c r="AA180" s="22"/>
      <c r="AB180" s="22" t="str">
        <f>IF(E180&lt;&gt;"", IF(AB179&lt;&gt;"", E180*AB179, ""), "")</f>
        <v/>
      </c>
      <c r="AC180" s="22" t="str">
        <f>IF(E180&lt;&gt;"", IF(AC179&lt;&gt;"", E180*AC179, ""), "")</f>
        <v/>
      </c>
      <c r="AD180" s="22" t="str">
        <f>IF(E180&lt;&gt;"", IF(AD179&lt;&gt;"", E180*AD179, ""), "")</f>
        <v/>
      </c>
      <c r="AE180" s="22" t="str">
        <f>IF(E180&lt;&gt;"", IF(AE179&lt;&gt;"", E180*AE179, ""), "")</f>
        <v/>
      </c>
      <c r="AF180" s="22" t="str">
        <f>IF(E180&lt;&gt;"", IF(AF179&lt;&gt;"", E180*AF179, ""), "")</f>
        <v/>
      </c>
      <c r="AG180" s="22" t="str">
        <f>IF(E180&lt;&gt;"", IF(AG179&lt;&gt;"", E180*AG179, ""), "")</f>
        <v/>
      </c>
      <c r="AH180" s="22" t="str">
        <f>IF(E180&lt;&gt;"", IF(AH179&lt;&gt;"", E180*AH179, ""), "")</f>
        <v/>
      </c>
      <c r="AI180" s="22" t="str">
        <f>IF(E180&lt;&gt;"", IF(AI179&lt;&gt;"", E180*AI179, ""), "")</f>
        <v/>
      </c>
      <c r="AJ180" s="22" t="str">
        <f>IF(E180&lt;&gt;"", IF(AJ179&lt;&gt;"", E180*AJ179, ""), "")</f>
        <v/>
      </c>
      <c r="AK180" s="22" t="str">
        <f>IF(E180&lt;&gt;"", IF(AK179&lt;&gt;"", E180*AK179, ""), "")</f>
        <v/>
      </c>
      <c r="AL180" s="22" t="str">
        <f>IF(E180&lt;&gt;"", IF(AL179&lt;&gt;"", E180*AL179, ""), "")</f>
        <v/>
      </c>
      <c r="AM180" s="22" t="str">
        <f>IF(E180&lt;&gt;"", IF(AM179&lt;&gt;"", E180*AM179, ""), "")</f>
        <v/>
      </c>
      <c r="AN180" s="22" t="str">
        <f>IF(E180&lt;&gt;"", IF(AN179&lt;&gt;"", E180*AN179, ""), "")</f>
        <v/>
      </c>
      <c r="AO180" s="22" t="str">
        <f>IF(E180&lt;&gt;"", IF(AO179&lt;&gt;"", E180*AO179, ""), "")</f>
        <v/>
      </c>
      <c r="AP180" s="22" t="str">
        <f>IF(E180&lt;&gt;"", IF(AP179&lt;&gt;"", E180*AP179, ""), "")</f>
        <v/>
      </c>
      <c r="AQ180" s="22" t="str">
        <f>IF(E180&lt;&gt;"", IF(AQ179&lt;&gt;"", E180*AQ179, ""), "")</f>
        <v/>
      </c>
      <c r="AR180" s="22" t="str">
        <f>IF(E180&lt;&gt;"", IF(AR179&lt;&gt;"", E180*AR179, ""), "")</f>
        <v/>
      </c>
      <c r="AS180" s="22" t="str">
        <f>IF(E180&lt;&gt;"", IF(AS179&lt;&gt;"", E180*AS179, ""), "")</f>
        <v/>
      </c>
      <c r="AT180" s="22" t="str">
        <f>IF(E180&lt;&gt;"", IF(AT179&lt;&gt;"", E180*AT179, ""), "")</f>
        <v/>
      </c>
      <c r="AU180" s="22" t="str">
        <f>IF(E180&lt;&gt;"", IF(AU179&lt;&gt;"", E180*AU179, ""), "")</f>
        <v/>
      </c>
      <c r="AV180" s="22" t="str">
        <f>IF(E180&lt;&gt;"", IF(AV179&lt;&gt;"", E180*AV179, ""), "")</f>
        <v/>
      </c>
      <c r="AW180" s="22" t="str">
        <f>IF(E180&lt;&gt;"", IF(AW179&lt;&gt;"", E180*AW179, ""), "")</f>
        <v/>
      </c>
      <c r="AX180" s="22" t="str">
        <f>IF(E180&lt;&gt;"", IF(AX179&lt;&gt;"", E180*AX179, ""), "")</f>
        <v/>
      </c>
      <c r="AY180" s="22" t="str">
        <f>IF(E180&lt;&gt;"", IF(AY179&lt;&gt;"", E180*AY179, ""), "")</f>
        <v/>
      </c>
      <c r="AZ180" s="22" t="str">
        <f>IF(E180&lt;&gt;"", IF(AZ179&lt;&gt;"", E180*AZ179, ""), "")</f>
        <v/>
      </c>
      <c r="BA180" s="22" t="str">
        <f>IF(E180&lt;&gt;"", IF(BA179&lt;&gt;"", E180*BA179, ""), "")</f>
        <v/>
      </c>
      <c r="BB180" s="22" t="str">
        <f>IF(E180&lt;&gt;"", IF(BB179&lt;&gt;"", E180*BB179, ""), "")</f>
        <v/>
      </c>
      <c r="BC180" s="22" t="str">
        <f>IF(E180&lt;&gt;"", IF(BC179&lt;&gt;"", E180*BC179, ""), "")</f>
        <v/>
      </c>
      <c r="BD180" s="22" t="str">
        <f>IF(E180&lt;&gt;"", IF(BD179&lt;&gt;"", E180*BD179, ""), "")</f>
        <v/>
      </c>
      <c r="BE180" s="22" t="str">
        <f>IF(E180&lt;&gt;"", IF(BE179&lt;&gt;"", E180*BE179, ""), "")</f>
        <v/>
      </c>
    </row>
    <row r="181" spans="1:57" ht="20.100000000000001" customHeight="1">
      <c r="A181" s="220">
        <v>17</v>
      </c>
      <c r="B181" s="7"/>
      <c r="C181" s="7"/>
      <c r="D181" s="5" t="s">
        <v>281</v>
      </c>
      <c r="E181" s="3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59"/>
      <c r="BD181" s="59"/>
      <c r="BE181" s="59"/>
    </row>
    <row r="182" spans="1:57" ht="20.100000000000001" customHeight="1">
      <c r="A182" s="221"/>
      <c r="B182" s="7"/>
      <c r="C182" s="7"/>
      <c r="D182" s="78" t="s">
        <v>282</v>
      </c>
      <c r="E182" s="47">
        <f>IF(egTextCal(D182)&lt;&gt;0, egTextCal(D182),"")</f>
        <v>6</v>
      </c>
      <c r="F182" s="48" t="str">
        <f>IF(E182&lt;&gt;"", IF(F181&lt;&gt;"", E182*F181,""),"")</f>
        <v/>
      </c>
      <c r="G182" s="48" t="str">
        <f>IF(E182&lt;&gt;"", IF(G181&lt;&gt;"", E182*G181,""),"")</f>
        <v/>
      </c>
      <c r="H182" s="48" t="str">
        <f>IF(E182&lt;&gt;"", IF(H181&lt;&gt;"", E182*H181,""),"")</f>
        <v/>
      </c>
      <c r="I182" s="48" t="str">
        <f>IF(E182&lt;&gt;"", IF(I181&lt;&gt;"", E182*I181,""),"")</f>
        <v/>
      </c>
      <c r="J182" s="48" t="str">
        <f>IF(E182&lt;&gt;"", IF(J181&lt;&gt;"", E182*J181,""),"")</f>
        <v/>
      </c>
      <c r="K182" s="48" t="str">
        <f>IF(E182&lt;&gt;"", IF(K181&lt;&gt;"", E182*K181,""),"")</f>
        <v/>
      </c>
      <c r="L182" s="48" t="str">
        <f>IF(E182&lt;&gt;"", IF(L181&lt;&gt;"", E182*L181,""),"")</f>
        <v/>
      </c>
      <c r="M182" s="48" t="str">
        <f>IF(E182&lt;&gt;"", IF(M181&lt;&gt;"", E182*M181,""),"")</f>
        <v/>
      </c>
      <c r="N182" s="48" t="str">
        <f>IF(E182&lt;&gt;"", IF(N181&lt;&gt;"", E182*N181,""),"")</f>
        <v/>
      </c>
      <c r="O182" s="48" t="str">
        <f>IF(E182&lt;&gt;"", IF(O181&lt;&gt;"", E182*O181,""),"")</f>
        <v/>
      </c>
      <c r="P182" s="48" t="str">
        <f>IF(E182&lt;&gt;"", IF(P181&lt;&gt;"", E182*P181,""),"")</f>
        <v/>
      </c>
      <c r="Q182" s="48" t="str">
        <f>IF(E182&lt;&gt;"", IF(Q181&lt;&gt;"", E182*Q181,""),"")</f>
        <v/>
      </c>
      <c r="R182" s="48" t="str">
        <f>IF(E182&lt;&gt;"", IF(R181&lt;&gt;"", E182*R181,""),"")</f>
        <v/>
      </c>
      <c r="S182" s="48" t="str">
        <f>IF(E182&lt;&gt;"", IF(S181&lt;&gt;"", E182*S181,""),"")</f>
        <v/>
      </c>
      <c r="T182" s="48" t="str">
        <f>IF(E182&lt;&gt;"", IF(T181&lt;&gt;"", E182*T181,""),"")</f>
        <v/>
      </c>
      <c r="U182" s="48" t="str">
        <f>IF(E182&lt;&gt;"", IF(U181&lt;&gt;"", E182*U181,""),"")</f>
        <v/>
      </c>
      <c r="V182" s="48" t="str">
        <f>IF(E182&lt;&gt;"", IF(V181&lt;&gt;"", E182*V181,""),"")</f>
        <v/>
      </c>
      <c r="W182" s="48" t="str">
        <f>IF(E182&lt;&gt;"", IF(W181&lt;&gt;"", E182*W181,""),"")</f>
        <v/>
      </c>
      <c r="X182" s="48" t="str">
        <f>IF(E182&lt;&gt;"", IF(X181&lt;&gt;"", E182*X181,""),"")</f>
        <v/>
      </c>
      <c r="Y182" s="48" t="str">
        <f>IF(E182&lt;&gt;"", IF(Y181&lt;&gt;"", E182*Y181,""),"")</f>
        <v/>
      </c>
      <c r="Z182" s="48" t="str">
        <f>IF(E182&lt;&gt;"", IF(Z181&lt;&gt;"", E182*Z181,""),"")</f>
        <v/>
      </c>
      <c r="AA182" s="22"/>
      <c r="AB182" s="22" t="str">
        <f>IF(E182&lt;&gt;"", IF(AB181&lt;&gt;"", E182*AB181, ""), "")</f>
        <v/>
      </c>
      <c r="AC182" s="22" t="str">
        <f>IF(E182&lt;&gt;"", IF(AC181&lt;&gt;"", E182*AC181, ""), "")</f>
        <v/>
      </c>
      <c r="AD182" s="22" t="str">
        <f>IF(E182&lt;&gt;"", IF(AD181&lt;&gt;"", E182*AD181, ""), "")</f>
        <v/>
      </c>
      <c r="AE182" s="22" t="str">
        <f>IF(E182&lt;&gt;"", IF(AE181&lt;&gt;"", E182*AE181, ""), "")</f>
        <v/>
      </c>
      <c r="AF182" s="22" t="str">
        <f>IF(E182&lt;&gt;"", IF(AF181&lt;&gt;"", E182*AF181, ""), "")</f>
        <v/>
      </c>
      <c r="AG182" s="22" t="str">
        <f>IF(E182&lt;&gt;"", IF(AG181&lt;&gt;"", E182*AG181, ""), "")</f>
        <v/>
      </c>
      <c r="AH182" s="22" t="str">
        <f>IF(E182&lt;&gt;"", IF(AH181&lt;&gt;"", E182*AH181, ""), "")</f>
        <v/>
      </c>
      <c r="AI182" s="22" t="str">
        <f>IF(E182&lt;&gt;"", IF(AI181&lt;&gt;"", E182*AI181, ""), "")</f>
        <v/>
      </c>
      <c r="AJ182" s="22" t="str">
        <f>IF(E182&lt;&gt;"", IF(AJ181&lt;&gt;"", E182*AJ181, ""), "")</f>
        <v/>
      </c>
      <c r="AK182" s="22" t="str">
        <f>IF(E182&lt;&gt;"", IF(AK181&lt;&gt;"", E182*AK181, ""), "")</f>
        <v/>
      </c>
      <c r="AL182" s="22" t="str">
        <f>IF(E182&lt;&gt;"", IF(AL181&lt;&gt;"", E182*AL181, ""), "")</f>
        <v/>
      </c>
      <c r="AM182" s="22" t="str">
        <f>IF(E182&lt;&gt;"", IF(AM181&lt;&gt;"", E182*AM181, ""), "")</f>
        <v/>
      </c>
      <c r="AN182" s="22" t="str">
        <f>IF(E182&lt;&gt;"", IF(AN181&lt;&gt;"", E182*AN181, ""), "")</f>
        <v/>
      </c>
      <c r="AO182" s="22" t="str">
        <f>IF(E182&lt;&gt;"", IF(AO181&lt;&gt;"", E182*AO181, ""), "")</f>
        <v/>
      </c>
      <c r="AP182" s="22" t="str">
        <f>IF(E182&lt;&gt;"", IF(AP181&lt;&gt;"", E182*AP181, ""), "")</f>
        <v/>
      </c>
      <c r="AQ182" s="22" t="str">
        <f>IF(E182&lt;&gt;"", IF(AQ181&lt;&gt;"", E182*AQ181, ""), "")</f>
        <v/>
      </c>
      <c r="AR182" s="22" t="str">
        <f>IF(E182&lt;&gt;"", IF(AR181&lt;&gt;"", E182*AR181, ""), "")</f>
        <v/>
      </c>
      <c r="AS182" s="22" t="str">
        <f>IF(E182&lt;&gt;"", IF(AS181&lt;&gt;"", E182*AS181, ""), "")</f>
        <v/>
      </c>
      <c r="AT182" s="22" t="str">
        <f>IF(E182&lt;&gt;"", IF(AT181&lt;&gt;"", E182*AT181, ""), "")</f>
        <v/>
      </c>
      <c r="AU182" s="22" t="str">
        <f>IF(E182&lt;&gt;"", IF(AU181&lt;&gt;"", E182*AU181, ""), "")</f>
        <v/>
      </c>
      <c r="AV182" s="22" t="str">
        <f>IF(E182&lt;&gt;"", IF(AV181&lt;&gt;"", E182*AV181, ""), "")</f>
        <v/>
      </c>
      <c r="AW182" s="22" t="str">
        <f>IF(E182&lt;&gt;"", IF(AW181&lt;&gt;"", E182*AW181, ""), "")</f>
        <v/>
      </c>
      <c r="AX182" s="22" t="str">
        <f>IF(E182&lt;&gt;"", IF(AX181&lt;&gt;"", E182*AX181, ""), "")</f>
        <v/>
      </c>
      <c r="AY182" s="22" t="str">
        <f>IF(E182&lt;&gt;"", IF(AY181&lt;&gt;"", E182*AY181, ""), "")</f>
        <v/>
      </c>
      <c r="AZ182" s="22" t="str">
        <f>IF(E182&lt;&gt;"", IF(AZ181&lt;&gt;"", E182*AZ181, ""), "")</f>
        <v/>
      </c>
      <c r="BA182" s="22" t="str">
        <f>IF(E182&lt;&gt;"", IF(BA181&lt;&gt;"", E182*BA181, ""), "")</f>
        <v/>
      </c>
      <c r="BB182" s="22" t="str">
        <f>IF(E182&lt;&gt;"", IF(BB181&lt;&gt;"", E182*BB181, ""), "")</f>
        <v/>
      </c>
      <c r="BC182" s="22" t="str">
        <f>IF(E182&lt;&gt;"", IF(BC181&lt;&gt;"", E182*BC181, ""), "")</f>
        <v/>
      </c>
      <c r="BD182" s="22" t="str">
        <f>IF(E182&lt;&gt;"", IF(BD181&lt;&gt;"", E182*BD181, ""), "")</f>
        <v/>
      </c>
      <c r="BE182" s="22" t="str">
        <f>IF(E182&lt;&gt;"", IF(BE181&lt;&gt;"", E182*BE181, ""), "")</f>
        <v/>
      </c>
    </row>
    <row r="183" spans="1:57" ht="20.100000000000001" customHeight="1">
      <c r="A183" s="220">
        <v>18</v>
      </c>
      <c r="B183" s="7"/>
      <c r="C183" s="7"/>
      <c r="D183" s="5" t="s">
        <v>283</v>
      </c>
      <c r="E183" s="3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59"/>
      <c r="AB183" s="59"/>
      <c r="AC183" s="59"/>
      <c r="AD183" s="59"/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  <c r="BC183" s="59"/>
      <c r="BD183" s="59"/>
      <c r="BE183" s="59"/>
    </row>
    <row r="184" spans="1:57" ht="20.100000000000001" customHeight="1">
      <c r="A184" s="221"/>
      <c r="B184" s="7"/>
      <c r="C184" s="7"/>
      <c r="D184" s="78" t="s">
        <v>284</v>
      </c>
      <c r="E184" s="47">
        <f>IF(egTextCal(D184)&lt;&gt;0, egTextCal(D184),"")</f>
        <v>8</v>
      </c>
      <c r="F184" s="48" t="str">
        <f>IF(E184&lt;&gt;"", IF(F183&lt;&gt;"", E184*F183,""),"")</f>
        <v/>
      </c>
      <c r="G184" s="48" t="str">
        <f>IF(E184&lt;&gt;"", IF(G183&lt;&gt;"", E184*G183,""),"")</f>
        <v/>
      </c>
      <c r="H184" s="48" t="str">
        <f>IF(E184&lt;&gt;"", IF(H183&lt;&gt;"", E184*H183,""),"")</f>
        <v/>
      </c>
      <c r="I184" s="48" t="str">
        <f>IF(E184&lt;&gt;"", IF(I183&lt;&gt;"", E184*I183,""),"")</f>
        <v/>
      </c>
      <c r="J184" s="48" t="str">
        <f>IF(E184&lt;&gt;"", IF(J183&lt;&gt;"", E184*J183,""),"")</f>
        <v/>
      </c>
      <c r="K184" s="48" t="str">
        <f>IF(E184&lt;&gt;"", IF(K183&lt;&gt;"", E184*K183,""),"")</f>
        <v/>
      </c>
      <c r="L184" s="48" t="str">
        <f>IF(E184&lt;&gt;"", IF(L183&lt;&gt;"", E184*L183,""),"")</f>
        <v/>
      </c>
      <c r="M184" s="48" t="str">
        <f>IF(E184&lt;&gt;"", IF(M183&lt;&gt;"", E184*M183,""),"")</f>
        <v/>
      </c>
      <c r="N184" s="48" t="str">
        <f>IF(E184&lt;&gt;"", IF(N183&lt;&gt;"", E184*N183,""),"")</f>
        <v/>
      </c>
      <c r="O184" s="48" t="str">
        <f>IF(E184&lt;&gt;"", IF(O183&lt;&gt;"", E184*O183,""),"")</f>
        <v/>
      </c>
      <c r="P184" s="48" t="str">
        <f>IF(E184&lt;&gt;"", IF(P183&lt;&gt;"", E184*P183,""),"")</f>
        <v/>
      </c>
      <c r="Q184" s="48" t="str">
        <f>IF(E184&lt;&gt;"", IF(Q183&lt;&gt;"", E184*Q183,""),"")</f>
        <v/>
      </c>
      <c r="R184" s="48" t="str">
        <f>IF(E184&lt;&gt;"", IF(R183&lt;&gt;"", E184*R183,""),"")</f>
        <v/>
      </c>
      <c r="S184" s="48" t="str">
        <f>IF(E184&lt;&gt;"", IF(S183&lt;&gt;"", E184*S183,""),"")</f>
        <v/>
      </c>
      <c r="T184" s="48" t="str">
        <f>IF(E184&lt;&gt;"", IF(T183&lt;&gt;"", E184*T183,""),"")</f>
        <v/>
      </c>
      <c r="U184" s="48" t="str">
        <f>IF(E184&lt;&gt;"", IF(U183&lt;&gt;"", E184*U183,""),"")</f>
        <v/>
      </c>
      <c r="V184" s="48" t="str">
        <f>IF(E184&lt;&gt;"", IF(V183&lt;&gt;"", E184*V183,""),"")</f>
        <v/>
      </c>
      <c r="W184" s="48" t="str">
        <f>IF(E184&lt;&gt;"", IF(W183&lt;&gt;"", E184*W183,""),"")</f>
        <v/>
      </c>
      <c r="X184" s="48" t="str">
        <f>IF(E184&lt;&gt;"", IF(X183&lt;&gt;"", E184*X183,""),"")</f>
        <v/>
      </c>
      <c r="Y184" s="48" t="str">
        <f>IF(E184&lt;&gt;"", IF(Y183&lt;&gt;"", E184*Y183,""),"")</f>
        <v/>
      </c>
      <c r="Z184" s="48" t="str">
        <f>IF(E184&lt;&gt;"", IF(Z183&lt;&gt;"", E184*Z183,""),"")</f>
        <v/>
      </c>
      <c r="AA184" s="22"/>
      <c r="AB184" s="22" t="str">
        <f>IF(E184&lt;&gt;"", IF(AB183&lt;&gt;"", E184*AB183, ""), "")</f>
        <v/>
      </c>
      <c r="AC184" s="22" t="str">
        <f>IF(E184&lt;&gt;"", IF(AC183&lt;&gt;"", E184*AC183, ""), "")</f>
        <v/>
      </c>
      <c r="AD184" s="22" t="str">
        <f>IF(E184&lt;&gt;"", IF(AD183&lt;&gt;"", E184*AD183, ""), "")</f>
        <v/>
      </c>
      <c r="AE184" s="22" t="str">
        <f>IF(E184&lt;&gt;"", IF(AE183&lt;&gt;"", E184*AE183, ""), "")</f>
        <v/>
      </c>
      <c r="AF184" s="22" t="str">
        <f>IF(E184&lt;&gt;"", IF(AF183&lt;&gt;"", E184*AF183, ""), "")</f>
        <v/>
      </c>
      <c r="AG184" s="22" t="str">
        <f>IF(E184&lt;&gt;"", IF(AG183&lt;&gt;"", E184*AG183, ""), "")</f>
        <v/>
      </c>
      <c r="AH184" s="22" t="str">
        <f>IF(E184&lt;&gt;"", IF(AH183&lt;&gt;"", E184*AH183, ""), "")</f>
        <v/>
      </c>
      <c r="AI184" s="22" t="str">
        <f>IF(E184&lt;&gt;"", IF(AI183&lt;&gt;"", E184*AI183, ""), "")</f>
        <v/>
      </c>
      <c r="AJ184" s="22" t="str">
        <f>IF(E184&lt;&gt;"", IF(AJ183&lt;&gt;"", E184*AJ183, ""), "")</f>
        <v/>
      </c>
      <c r="AK184" s="22" t="str">
        <f>IF(E184&lt;&gt;"", IF(AK183&lt;&gt;"", E184*AK183, ""), "")</f>
        <v/>
      </c>
      <c r="AL184" s="22" t="str">
        <f>IF(E184&lt;&gt;"", IF(AL183&lt;&gt;"", E184*AL183, ""), "")</f>
        <v/>
      </c>
      <c r="AM184" s="22" t="str">
        <f>IF(E184&lt;&gt;"", IF(AM183&lt;&gt;"", E184*AM183, ""), "")</f>
        <v/>
      </c>
      <c r="AN184" s="22" t="str">
        <f>IF(E184&lt;&gt;"", IF(AN183&lt;&gt;"", E184*AN183, ""), "")</f>
        <v/>
      </c>
      <c r="AO184" s="22" t="str">
        <f>IF(E184&lt;&gt;"", IF(AO183&lt;&gt;"", E184*AO183, ""), "")</f>
        <v/>
      </c>
      <c r="AP184" s="22" t="str">
        <f>IF(E184&lt;&gt;"", IF(AP183&lt;&gt;"", E184*AP183, ""), "")</f>
        <v/>
      </c>
      <c r="AQ184" s="22" t="str">
        <f>IF(E184&lt;&gt;"", IF(AQ183&lt;&gt;"", E184*AQ183, ""), "")</f>
        <v/>
      </c>
      <c r="AR184" s="22" t="str">
        <f>IF(E184&lt;&gt;"", IF(AR183&lt;&gt;"", E184*AR183, ""), "")</f>
        <v/>
      </c>
      <c r="AS184" s="22" t="str">
        <f>IF(E184&lt;&gt;"", IF(AS183&lt;&gt;"", E184*AS183, ""), "")</f>
        <v/>
      </c>
      <c r="AT184" s="22" t="str">
        <f>IF(E184&lt;&gt;"", IF(AT183&lt;&gt;"", E184*AT183, ""), "")</f>
        <v/>
      </c>
      <c r="AU184" s="22" t="str">
        <f>IF(E184&lt;&gt;"", IF(AU183&lt;&gt;"", E184*AU183, ""), "")</f>
        <v/>
      </c>
      <c r="AV184" s="22" t="str">
        <f>IF(E184&lt;&gt;"", IF(AV183&lt;&gt;"", E184*AV183, ""), "")</f>
        <v/>
      </c>
      <c r="AW184" s="22" t="str">
        <f>IF(E184&lt;&gt;"", IF(AW183&lt;&gt;"", E184*AW183, ""), "")</f>
        <v/>
      </c>
      <c r="AX184" s="22" t="str">
        <f>IF(E184&lt;&gt;"", IF(AX183&lt;&gt;"", E184*AX183, ""), "")</f>
        <v/>
      </c>
      <c r="AY184" s="22" t="str">
        <f>IF(E184&lt;&gt;"", IF(AY183&lt;&gt;"", E184*AY183, ""), "")</f>
        <v/>
      </c>
      <c r="AZ184" s="22" t="str">
        <f>IF(E184&lt;&gt;"", IF(AZ183&lt;&gt;"", E184*AZ183, ""), "")</f>
        <v/>
      </c>
      <c r="BA184" s="22" t="str">
        <f>IF(E184&lt;&gt;"", IF(BA183&lt;&gt;"", E184*BA183, ""), "")</f>
        <v/>
      </c>
      <c r="BB184" s="22" t="str">
        <f>IF(E184&lt;&gt;"", IF(BB183&lt;&gt;"", E184*BB183, ""), "")</f>
        <v/>
      </c>
      <c r="BC184" s="22" t="str">
        <f>IF(E184&lt;&gt;"", IF(BC183&lt;&gt;"", E184*BC183, ""), "")</f>
        <v/>
      </c>
      <c r="BD184" s="22" t="str">
        <f>IF(E184&lt;&gt;"", IF(BD183&lt;&gt;"", E184*BD183, ""), "")</f>
        <v/>
      </c>
      <c r="BE184" s="22" t="str">
        <f>IF(E184&lt;&gt;"", IF(BE183&lt;&gt;"", E184*BE183, ""), "")</f>
        <v/>
      </c>
    </row>
    <row r="185" spans="1:57" ht="20.100000000000001" customHeight="1">
      <c r="A185" s="220">
        <v>19</v>
      </c>
      <c r="B185" s="7"/>
      <c r="C185" s="7"/>
      <c r="D185" s="5" t="s">
        <v>285</v>
      </c>
      <c r="E185" s="3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59"/>
      <c r="AB185" s="59"/>
      <c r="AC185" s="59"/>
      <c r="AD185" s="59"/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  <c r="BC185" s="59"/>
      <c r="BD185" s="59"/>
      <c r="BE185" s="59"/>
    </row>
    <row r="186" spans="1:57" ht="20.100000000000001" customHeight="1">
      <c r="A186" s="221"/>
      <c r="B186" s="7"/>
      <c r="C186" s="7"/>
      <c r="D186" s="78" t="s">
        <v>286</v>
      </c>
      <c r="E186" s="47">
        <f>IF(egTextCal(D186)&lt;&gt;0, egTextCal(D186),"")</f>
        <v>408</v>
      </c>
      <c r="F186" s="48" t="str">
        <f>IF(E186&lt;&gt;"", IF(F185&lt;&gt;"", E186*F185,""),"")</f>
        <v/>
      </c>
      <c r="G186" s="48" t="str">
        <f>IF(E186&lt;&gt;"", IF(G185&lt;&gt;"", E186*G185,""),"")</f>
        <v/>
      </c>
      <c r="H186" s="48" t="str">
        <f>IF(E186&lt;&gt;"", IF(H185&lt;&gt;"", E186*H185,""),"")</f>
        <v/>
      </c>
      <c r="I186" s="48" t="str">
        <f>IF(E186&lt;&gt;"", IF(I185&lt;&gt;"", E186*I185,""),"")</f>
        <v/>
      </c>
      <c r="J186" s="48" t="str">
        <f>IF(E186&lt;&gt;"", IF(J185&lt;&gt;"", E186*J185,""),"")</f>
        <v/>
      </c>
      <c r="K186" s="48" t="str">
        <f>IF(E186&lt;&gt;"", IF(K185&lt;&gt;"", E186*K185,""),"")</f>
        <v/>
      </c>
      <c r="L186" s="48" t="str">
        <f>IF(E186&lt;&gt;"", IF(L185&lt;&gt;"", E186*L185,""),"")</f>
        <v/>
      </c>
      <c r="M186" s="48" t="str">
        <f>IF(E186&lt;&gt;"", IF(M185&lt;&gt;"", E186*M185,""),"")</f>
        <v/>
      </c>
      <c r="N186" s="48" t="str">
        <f>IF(E186&lt;&gt;"", IF(N185&lt;&gt;"", E186*N185,""),"")</f>
        <v/>
      </c>
      <c r="O186" s="48" t="str">
        <f>IF(E186&lt;&gt;"", IF(O185&lt;&gt;"", E186*O185,""),"")</f>
        <v/>
      </c>
      <c r="P186" s="48" t="str">
        <f>IF(E186&lt;&gt;"", IF(P185&lt;&gt;"", E186*P185,""),"")</f>
        <v/>
      </c>
      <c r="Q186" s="48" t="str">
        <f>IF(E186&lt;&gt;"", IF(Q185&lt;&gt;"", E186*Q185,""),"")</f>
        <v/>
      </c>
      <c r="R186" s="48" t="str">
        <f>IF(E186&lt;&gt;"", IF(R185&lt;&gt;"", E186*R185,""),"")</f>
        <v/>
      </c>
      <c r="S186" s="48" t="str">
        <f>IF(E186&lt;&gt;"", IF(S185&lt;&gt;"", E186*S185,""),"")</f>
        <v/>
      </c>
      <c r="T186" s="48" t="str">
        <f>IF(E186&lt;&gt;"", IF(T185&lt;&gt;"", E186*T185,""),"")</f>
        <v/>
      </c>
      <c r="U186" s="48" t="str">
        <f>IF(E186&lt;&gt;"", IF(U185&lt;&gt;"", E186*U185,""),"")</f>
        <v/>
      </c>
      <c r="V186" s="48" t="str">
        <f>IF(E186&lt;&gt;"", IF(V185&lt;&gt;"", E186*V185,""),"")</f>
        <v/>
      </c>
      <c r="W186" s="48" t="str">
        <f>IF(E186&lt;&gt;"", IF(W185&lt;&gt;"", E186*W185,""),"")</f>
        <v/>
      </c>
      <c r="X186" s="48" t="str">
        <f>IF(E186&lt;&gt;"", IF(X185&lt;&gt;"", E186*X185,""),"")</f>
        <v/>
      </c>
      <c r="Y186" s="48" t="str">
        <f>IF(E186&lt;&gt;"", IF(Y185&lt;&gt;"", E186*Y185,""),"")</f>
        <v/>
      </c>
      <c r="Z186" s="48" t="str">
        <f>IF(E186&lt;&gt;"", IF(Z185&lt;&gt;"", E186*Z185,""),"")</f>
        <v/>
      </c>
      <c r="AA186" s="22"/>
      <c r="AB186" s="22" t="str">
        <f>IF(E186&lt;&gt;"", IF(AB185&lt;&gt;"", E186*AB185, ""), "")</f>
        <v/>
      </c>
      <c r="AC186" s="22" t="str">
        <f>IF(E186&lt;&gt;"", IF(AC185&lt;&gt;"", E186*AC185, ""), "")</f>
        <v/>
      </c>
      <c r="AD186" s="22" t="str">
        <f>IF(E186&lt;&gt;"", IF(AD185&lt;&gt;"", E186*AD185, ""), "")</f>
        <v/>
      </c>
      <c r="AE186" s="22" t="str">
        <f>IF(E186&lt;&gt;"", IF(AE185&lt;&gt;"", E186*AE185, ""), "")</f>
        <v/>
      </c>
      <c r="AF186" s="22" t="str">
        <f>IF(E186&lt;&gt;"", IF(AF185&lt;&gt;"", E186*AF185, ""), "")</f>
        <v/>
      </c>
      <c r="AG186" s="22" t="str">
        <f>IF(E186&lt;&gt;"", IF(AG185&lt;&gt;"", E186*AG185, ""), "")</f>
        <v/>
      </c>
      <c r="AH186" s="22" t="str">
        <f>IF(E186&lt;&gt;"", IF(AH185&lt;&gt;"", E186*AH185, ""), "")</f>
        <v/>
      </c>
      <c r="AI186" s="22" t="str">
        <f>IF(E186&lt;&gt;"", IF(AI185&lt;&gt;"", E186*AI185, ""), "")</f>
        <v/>
      </c>
      <c r="AJ186" s="22" t="str">
        <f>IF(E186&lt;&gt;"", IF(AJ185&lt;&gt;"", E186*AJ185, ""), "")</f>
        <v/>
      </c>
      <c r="AK186" s="22" t="str">
        <f>IF(E186&lt;&gt;"", IF(AK185&lt;&gt;"", E186*AK185, ""), "")</f>
        <v/>
      </c>
      <c r="AL186" s="22" t="str">
        <f>IF(E186&lt;&gt;"", IF(AL185&lt;&gt;"", E186*AL185, ""), "")</f>
        <v/>
      </c>
      <c r="AM186" s="22" t="str">
        <f>IF(E186&lt;&gt;"", IF(AM185&lt;&gt;"", E186*AM185, ""), "")</f>
        <v/>
      </c>
      <c r="AN186" s="22" t="str">
        <f>IF(E186&lt;&gt;"", IF(AN185&lt;&gt;"", E186*AN185, ""), "")</f>
        <v/>
      </c>
      <c r="AO186" s="22" t="str">
        <f>IF(E186&lt;&gt;"", IF(AO185&lt;&gt;"", E186*AO185, ""), "")</f>
        <v/>
      </c>
      <c r="AP186" s="22" t="str">
        <f>IF(E186&lt;&gt;"", IF(AP185&lt;&gt;"", E186*AP185, ""), "")</f>
        <v/>
      </c>
      <c r="AQ186" s="22" t="str">
        <f>IF(E186&lt;&gt;"", IF(AQ185&lt;&gt;"", E186*AQ185, ""), "")</f>
        <v/>
      </c>
      <c r="AR186" s="22" t="str">
        <f>IF(E186&lt;&gt;"", IF(AR185&lt;&gt;"", E186*AR185, ""), "")</f>
        <v/>
      </c>
      <c r="AS186" s="22" t="str">
        <f>IF(E186&lt;&gt;"", IF(AS185&lt;&gt;"", E186*AS185, ""), "")</f>
        <v/>
      </c>
      <c r="AT186" s="22" t="str">
        <f>IF(E186&lt;&gt;"", IF(AT185&lt;&gt;"", E186*AT185, ""), "")</f>
        <v/>
      </c>
      <c r="AU186" s="22" t="str">
        <f>IF(E186&lt;&gt;"", IF(AU185&lt;&gt;"", E186*AU185, ""), "")</f>
        <v/>
      </c>
      <c r="AV186" s="22" t="str">
        <f>IF(E186&lt;&gt;"", IF(AV185&lt;&gt;"", E186*AV185, ""), "")</f>
        <v/>
      </c>
      <c r="AW186" s="22" t="str">
        <f>IF(E186&lt;&gt;"", IF(AW185&lt;&gt;"", E186*AW185, ""), "")</f>
        <v/>
      </c>
      <c r="AX186" s="22" t="str">
        <f>IF(E186&lt;&gt;"", IF(AX185&lt;&gt;"", E186*AX185, ""), "")</f>
        <v/>
      </c>
      <c r="AY186" s="22" t="str">
        <f>IF(E186&lt;&gt;"", IF(AY185&lt;&gt;"", E186*AY185, ""), "")</f>
        <v/>
      </c>
      <c r="AZ186" s="22" t="str">
        <f>IF(E186&lt;&gt;"", IF(AZ185&lt;&gt;"", E186*AZ185, ""), "")</f>
        <v/>
      </c>
      <c r="BA186" s="22" t="str">
        <f>IF(E186&lt;&gt;"", IF(BA185&lt;&gt;"", E186*BA185, ""), "")</f>
        <v/>
      </c>
      <c r="BB186" s="22" t="str">
        <f>IF(E186&lt;&gt;"", IF(BB185&lt;&gt;"", E186*BB185, ""), "")</f>
        <v/>
      </c>
      <c r="BC186" s="22" t="str">
        <f>IF(E186&lt;&gt;"", IF(BC185&lt;&gt;"", E186*BC185, ""), "")</f>
        <v/>
      </c>
      <c r="BD186" s="22" t="str">
        <f>IF(E186&lt;&gt;"", IF(BD185&lt;&gt;"", E186*BD185, ""), "")</f>
        <v/>
      </c>
      <c r="BE186" s="22" t="str">
        <f>IF(E186&lt;&gt;"", IF(BE185&lt;&gt;"", E186*BE185, ""), "")</f>
        <v/>
      </c>
    </row>
    <row r="187" spans="1:57" ht="20.100000000000001" customHeight="1">
      <c r="A187" s="220">
        <v>20</v>
      </c>
      <c r="B187" s="7"/>
      <c r="C187" s="7"/>
      <c r="D187" s="5" t="s">
        <v>287</v>
      </c>
      <c r="E187" s="3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59"/>
      <c r="AB187" s="59"/>
      <c r="AC187" s="59"/>
      <c r="AD187" s="59"/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  <c r="BC187" s="59"/>
      <c r="BD187" s="59"/>
      <c r="BE187" s="59"/>
    </row>
    <row r="188" spans="1:57" ht="20.100000000000001" customHeight="1">
      <c r="A188" s="221"/>
      <c r="B188" s="58"/>
      <c r="C188" s="58"/>
      <c r="D188" s="78">
        <v>5</v>
      </c>
      <c r="E188" s="47">
        <f>IF(egTextCal(D188)&lt;&gt;0, egTextCal(D188),"")</f>
        <v>5</v>
      </c>
      <c r="F188" s="48" t="str">
        <f>IF(E188&lt;&gt;"", IF(F187&lt;&gt;"", E188*F187,""),"")</f>
        <v/>
      </c>
      <c r="G188" s="48" t="str">
        <f>IF(E188&lt;&gt;"", IF(G187&lt;&gt;"", E188*G187,""),"")</f>
        <v/>
      </c>
      <c r="H188" s="48" t="str">
        <f>IF(E188&lt;&gt;"", IF(H187&lt;&gt;"", E188*H187,""),"")</f>
        <v/>
      </c>
      <c r="I188" s="48" t="str">
        <f>IF(E188&lt;&gt;"", IF(I187&lt;&gt;"", E188*I187,""),"")</f>
        <v/>
      </c>
      <c r="J188" s="48" t="str">
        <f>IF(E188&lt;&gt;"", IF(J187&lt;&gt;"", E188*J187,""),"")</f>
        <v/>
      </c>
      <c r="K188" s="48" t="str">
        <f>IF(E188&lt;&gt;"", IF(K187&lt;&gt;"", E188*K187,""),"")</f>
        <v/>
      </c>
      <c r="L188" s="48" t="str">
        <f>IF(E188&lt;&gt;"", IF(L187&lt;&gt;"", E188*L187,""),"")</f>
        <v/>
      </c>
      <c r="M188" s="48" t="str">
        <f>IF(E188&lt;&gt;"", IF(M187&lt;&gt;"", E188*M187,""),"")</f>
        <v/>
      </c>
      <c r="N188" s="48" t="str">
        <f>IF(E188&lt;&gt;"", IF(N187&lt;&gt;"", E188*N187,""),"")</f>
        <v/>
      </c>
      <c r="O188" s="48" t="str">
        <f>IF(E188&lt;&gt;"", IF(O187&lt;&gt;"", E188*O187,""),"")</f>
        <v/>
      </c>
      <c r="P188" s="48" t="str">
        <f>IF(E188&lt;&gt;"", IF(P187&lt;&gt;"", E188*P187,""),"")</f>
        <v/>
      </c>
      <c r="Q188" s="48" t="str">
        <f>IF(E188&lt;&gt;"", IF(Q187&lt;&gt;"", E188*Q187,""),"")</f>
        <v/>
      </c>
      <c r="R188" s="48" t="str">
        <f>IF(E188&lt;&gt;"", IF(R187&lt;&gt;"", E188*R187,""),"")</f>
        <v/>
      </c>
      <c r="S188" s="48" t="str">
        <f>IF(E188&lt;&gt;"", IF(S187&lt;&gt;"", E188*S187,""),"")</f>
        <v/>
      </c>
      <c r="T188" s="48" t="str">
        <f>IF(E188&lt;&gt;"", IF(T187&lt;&gt;"", E188*T187,""),"")</f>
        <v/>
      </c>
      <c r="U188" s="48" t="str">
        <f>IF(E188&lt;&gt;"", IF(U187&lt;&gt;"", E188*U187,""),"")</f>
        <v/>
      </c>
      <c r="V188" s="48" t="str">
        <f>IF(E188&lt;&gt;"", IF(V187&lt;&gt;"", E188*V187,""),"")</f>
        <v/>
      </c>
      <c r="W188" s="48" t="str">
        <f>IF(E188&lt;&gt;"", IF(W187&lt;&gt;"", E188*W187,""),"")</f>
        <v/>
      </c>
      <c r="X188" s="48" t="str">
        <f>IF(E188&lt;&gt;"", IF(X187&lt;&gt;"", E188*X187,""),"")</f>
        <v/>
      </c>
      <c r="Y188" s="48" t="str">
        <f>IF(E188&lt;&gt;"", IF(Y187&lt;&gt;"", E188*Y187,""),"")</f>
        <v/>
      </c>
      <c r="Z188" s="48" t="str">
        <f>IF(E188&lt;&gt;"", IF(Z187&lt;&gt;"", E188*Z187,""),"")</f>
        <v/>
      </c>
      <c r="AA188" s="22"/>
      <c r="AB188" s="22" t="str">
        <f>IF(E188&lt;&gt;"", IF(AB187&lt;&gt;"", E188*AB187, ""), "")</f>
        <v/>
      </c>
      <c r="AC188" s="22" t="str">
        <f>IF(E188&lt;&gt;"", IF(AC187&lt;&gt;"", E188*AC187, ""), "")</f>
        <v/>
      </c>
      <c r="AD188" s="22" t="str">
        <f>IF(E188&lt;&gt;"", IF(AD187&lt;&gt;"", E188*AD187, ""), "")</f>
        <v/>
      </c>
      <c r="AE188" s="22" t="str">
        <f>IF(E188&lt;&gt;"", IF(AE187&lt;&gt;"", E188*AE187, ""), "")</f>
        <v/>
      </c>
      <c r="AF188" s="22" t="str">
        <f>IF(E188&lt;&gt;"", IF(AF187&lt;&gt;"", E188*AF187, ""), "")</f>
        <v/>
      </c>
      <c r="AG188" s="22" t="str">
        <f>IF(E188&lt;&gt;"", IF(AG187&lt;&gt;"", E188*AG187, ""), "")</f>
        <v/>
      </c>
      <c r="AH188" s="22" t="str">
        <f>IF(E188&lt;&gt;"", IF(AH187&lt;&gt;"", E188*AH187, ""), "")</f>
        <v/>
      </c>
      <c r="AI188" s="22" t="str">
        <f>IF(E188&lt;&gt;"", IF(AI187&lt;&gt;"", E188*AI187, ""), "")</f>
        <v/>
      </c>
      <c r="AJ188" s="22" t="str">
        <f>IF(E188&lt;&gt;"", IF(AJ187&lt;&gt;"", E188*AJ187, ""), "")</f>
        <v/>
      </c>
      <c r="AK188" s="22" t="str">
        <f>IF(E188&lt;&gt;"", IF(AK187&lt;&gt;"", E188*AK187, ""), "")</f>
        <v/>
      </c>
      <c r="AL188" s="22" t="str">
        <f>IF(E188&lt;&gt;"", IF(AL187&lt;&gt;"", E188*AL187, ""), "")</f>
        <v/>
      </c>
      <c r="AM188" s="22" t="str">
        <f>IF(E188&lt;&gt;"", IF(AM187&lt;&gt;"", E188*AM187, ""), "")</f>
        <v/>
      </c>
      <c r="AN188" s="22" t="str">
        <f>IF(E188&lt;&gt;"", IF(AN187&lt;&gt;"", E188*AN187, ""), "")</f>
        <v/>
      </c>
      <c r="AO188" s="22" t="str">
        <f>IF(E188&lt;&gt;"", IF(AO187&lt;&gt;"", E188*AO187, ""), "")</f>
        <v/>
      </c>
      <c r="AP188" s="22" t="str">
        <f>IF(E188&lt;&gt;"", IF(AP187&lt;&gt;"", E188*AP187, ""), "")</f>
        <v/>
      </c>
      <c r="AQ188" s="22" t="str">
        <f>IF(E188&lt;&gt;"", IF(AQ187&lt;&gt;"", E188*AQ187, ""), "")</f>
        <v/>
      </c>
      <c r="AR188" s="22" t="str">
        <f>IF(E188&lt;&gt;"", IF(AR187&lt;&gt;"", E188*AR187, ""), "")</f>
        <v/>
      </c>
      <c r="AS188" s="22" t="str">
        <f>IF(E188&lt;&gt;"", IF(AS187&lt;&gt;"", E188*AS187, ""), "")</f>
        <v/>
      </c>
      <c r="AT188" s="22" t="str">
        <f>IF(E188&lt;&gt;"", IF(AT187&lt;&gt;"", E188*AT187, ""), "")</f>
        <v/>
      </c>
      <c r="AU188" s="22" t="str">
        <f>IF(E188&lt;&gt;"", IF(AU187&lt;&gt;"", E188*AU187, ""), "")</f>
        <v/>
      </c>
      <c r="AV188" s="22" t="str">
        <f>IF(E188&lt;&gt;"", IF(AV187&lt;&gt;"", E188*AV187, ""), "")</f>
        <v/>
      </c>
      <c r="AW188" s="22" t="str">
        <f>IF(E188&lt;&gt;"", IF(AW187&lt;&gt;"", E188*AW187, ""), "")</f>
        <v/>
      </c>
      <c r="AX188" s="22" t="str">
        <f>IF(E188&lt;&gt;"", IF(AX187&lt;&gt;"", E188*AX187, ""), "")</f>
        <v/>
      </c>
      <c r="AY188" s="22" t="str">
        <f>IF(E188&lt;&gt;"", IF(AY187&lt;&gt;"", E188*AY187, ""), "")</f>
        <v/>
      </c>
      <c r="AZ188" s="22" t="str">
        <f>IF(E188&lt;&gt;"", IF(AZ187&lt;&gt;"", E188*AZ187, ""), "")</f>
        <v/>
      </c>
      <c r="BA188" s="22" t="str">
        <f>IF(E188&lt;&gt;"", IF(BA187&lt;&gt;"", E188*BA187, ""), "")</f>
        <v/>
      </c>
      <c r="BB188" s="22" t="str">
        <f>IF(E188&lt;&gt;"", IF(BB187&lt;&gt;"", E188*BB187, ""), "")</f>
        <v/>
      </c>
      <c r="BC188" s="22" t="str">
        <f>IF(E188&lt;&gt;"", IF(BC187&lt;&gt;"", E188*BC187, ""), "")</f>
        <v/>
      </c>
      <c r="BD188" s="22" t="str">
        <f>IF(E188&lt;&gt;"", IF(BD187&lt;&gt;"", E188*BD187, ""), "")</f>
        <v/>
      </c>
      <c r="BE188" s="22" t="str">
        <f>IF(E188&lt;&gt;"", IF(BE187&lt;&gt;"", E188*BE187, ""), "")</f>
        <v/>
      </c>
    </row>
    <row r="189" spans="1:57" ht="20.100000000000001" customHeight="1">
      <c r="BA189" s="2"/>
      <c r="BB189" s="2"/>
      <c r="BC189" s="2"/>
      <c r="BD189" s="2"/>
      <c r="BE189" s="2"/>
    </row>
    <row r="190" spans="1:57" ht="20.100000000000001" customHeight="1">
      <c r="BA190" s="2"/>
      <c r="BB190" s="2"/>
      <c r="BC190" s="2"/>
      <c r="BD190" s="2"/>
      <c r="BE190" s="2"/>
    </row>
    <row r="191" spans="1:57" ht="20.100000000000001" customHeight="1">
      <c r="BA191" s="2"/>
      <c r="BB191" s="2"/>
      <c r="BC191" s="2"/>
      <c r="BD191" s="2"/>
      <c r="BE191" s="2"/>
    </row>
    <row r="192" spans="1:57" ht="20.100000000000001" customHeight="1">
      <c r="D192" s="222" t="s">
        <v>644</v>
      </c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23"/>
      <c r="S192" s="223"/>
      <c r="T192" s="223"/>
      <c r="U192" s="223"/>
      <c r="V192" s="223"/>
      <c r="W192" s="223"/>
      <c r="X192" s="223"/>
      <c r="Y192" s="223"/>
      <c r="Z192" s="223"/>
      <c r="BA192" s="2"/>
      <c r="BB192" s="2"/>
      <c r="BC192" s="2"/>
      <c r="BD192" s="2"/>
      <c r="BE192" s="2"/>
    </row>
    <row r="193" spans="1:124" ht="20.100000000000001" customHeight="1">
      <c r="A193" s="219" t="s">
        <v>320</v>
      </c>
      <c r="B193" s="73"/>
      <c r="C193" s="75"/>
      <c r="D193" s="219" t="s">
        <v>180</v>
      </c>
      <c r="E193" s="219" t="s">
        <v>181</v>
      </c>
      <c r="F193" s="54" t="s">
        <v>182</v>
      </c>
      <c r="G193" s="54" t="s">
        <v>182</v>
      </c>
      <c r="H193" s="54" t="s">
        <v>182</v>
      </c>
      <c r="I193" s="54" t="s">
        <v>182</v>
      </c>
      <c r="J193" s="54" t="s">
        <v>182</v>
      </c>
      <c r="K193" s="54" t="s">
        <v>182</v>
      </c>
      <c r="L193" s="54" t="s">
        <v>183</v>
      </c>
      <c r="M193" s="54" t="s">
        <v>183</v>
      </c>
      <c r="N193" s="54" t="s">
        <v>184</v>
      </c>
      <c r="O193" s="54" t="s">
        <v>184</v>
      </c>
      <c r="P193" s="54" t="s">
        <v>185</v>
      </c>
      <c r="Q193" s="54" t="s">
        <v>186</v>
      </c>
      <c r="R193" s="54" t="s">
        <v>187</v>
      </c>
      <c r="S193" s="54" t="s">
        <v>187</v>
      </c>
      <c r="T193" s="54" t="s">
        <v>188</v>
      </c>
      <c r="U193" s="54" t="s">
        <v>188</v>
      </c>
      <c r="V193" s="54" t="s">
        <v>189</v>
      </c>
      <c r="W193" s="54" t="s">
        <v>189</v>
      </c>
      <c r="X193" s="54" t="s">
        <v>189</v>
      </c>
      <c r="Y193" s="54" t="s">
        <v>190</v>
      </c>
      <c r="Z193" s="54" t="s">
        <v>587</v>
      </c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</row>
    <row r="194" spans="1:124" ht="20.100000000000001" customHeight="1">
      <c r="A194" s="220"/>
      <c r="B194" s="14"/>
      <c r="C194" s="42"/>
      <c r="D194" s="220"/>
      <c r="E194" s="220"/>
      <c r="F194" s="44" t="s">
        <v>191</v>
      </c>
      <c r="G194" s="44" t="s">
        <v>191</v>
      </c>
      <c r="H194" s="44" t="s">
        <v>191</v>
      </c>
      <c r="I194" s="44" t="s">
        <v>191</v>
      </c>
      <c r="J194" s="44" t="s">
        <v>192</v>
      </c>
      <c r="K194" s="44" t="s">
        <v>192</v>
      </c>
      <c r="L194" s="44" t="s">
        <v>182</v>
      </c>
      <c r="M194" s="44" t="s">
        <v>193</v>
      </c>
      <c r="N194" s="44" t="s">
        <v>194</v>
      </c>
      <c r="O194" s="44" t="s">
        <v>195</v>
      </c>
      <c r="P194" s="44" t="s">
        <v>196</v>
      </c>
      <c r="Q194" s="44" t="s">
        <v>197</v>
      </c>
      <c r="R194" s="44" t="s">
        <v>198</v>
      </c>
      <c r="S194" s="44" t="s">
        <v>199</v>
      </c>
      <c r="T194" s="44" t="s">
        <v>200</v>
      </c>
      <c r="U194" s="44" t="s">
        <v>200</v>
      </c>
      <c r="V194" s="44" t="s">
        <v>201</v>
      </c>
      <c r="W194" s="44" t="s">
        <v>202</v>
      </c>
      <c r="X194" s="44" t="s">
        <v>203</v>
      </c>
      <c r="Y194" s="44" t="s">
        <v>204</v>
      </c>
      <c r="Z194" s="44" t="s">
        <v>588</v>
      </c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</row>
    <row r="195" spans="1:124" ht="20.100000000000001" customHeight="1">
      <c r="A195" s="221"/>
      <c r="B195" s="74"/>
      <c r="C195" s="76"/>
      <c r="D195" s="221"/>
      <c r="E195" s="221"/>
      <c r="F195" s="55" t="s">
        <v>205</v>
      </c>
      <c r="G195" s="55" t="s">
        <v>206</v>
      </c>
      <c r="H195" s="55" t="s">
        <v>207</v>
      </c>
      <c r="I195" s="55" t="s">
        <v>208</v>
      </c>
      <c r="J195" s="55" t="s">
        <v>209</v>
      </c>
      <c r="K195" s="55" t="s">
        <v>210</v>
      </c>
      <c r="L195" s="55" t="s">
        <v>211</v>
      </c>
      <c r="M195" s="55" t="s">
        <v>211</v>
      </c>
      <c r="N195" s="55" t="s">
        <v>212</v>
      </c>
      <c r="O195" s="55" t="s">
        <v>213</v>
      </c>
      <c r="P195" s="55" t="s">
        <v>214</v>
      </c>
      <c r="Q195" s="55" t="s">
        <v>215</v>
      </c>
      <c r="R195" s="55" t="s">
        <v>216</v>
      </c>
      <c r="S195" s="55" t="s">
        <v>216</v>
      </c>
      <c r="T195" s="55" t="s">
        <v>217</v>
      </c>
      <c r="U195" s="55" t="s">
        <v>218</v>
      </c>
      <c r="V195" s="55" t="s">
        <v>219</v>
      </c>
      <c r="W195" s="55" t="s">
        <v>219</v>
      </c>
      <c r="X195" s="55" t="s">
        <v>219</v>
      </c>
      <c r="Y195" s="55" t="s">
        <v>220</v>
      </c>
      <c r="Z195" s="55" t="s">
        <v>586</v>
      </c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  <c r="AK195" s="60"/>
      <c r="AL195" s="60"/>
      <c r="AM195" s="60"/>
      <c r="AN195" s="60"/>
      <c r="AO195" s="60"/>
      <c r="AP195" s="60"/>
      <c r="AQ195" s="60"/>
      <c r="AR195" s="60"/>
      <c r="AS195" s="60"/>
      <c r="AT195" s="60"/>
      <c r="AU195" s="60"/>
      <c r="AV195" s="60"/>
      <c r="AW195" s="60"/>
      <c r="AX195" s="60"/>
      <c r="AY195" s="60"/>
      <c r="AZ195" s="60"/>
      <c r="BA195" s="60"/>
      <c r="BB195" s="60"/>
      <c r="BC195" s="60"/>
      <c r="BD195" s="60"/>
      <c r="BE195" s="60"/>
    </row>
    <row r="196" spans="1:124" ht="20.100000000000001" customHeight="1">
      <c r="A196" s="220">
        <v>1</v>
      </c>
      <c r="B196" s="7"/>
      <c r="C196" s="7"/>
      <c r="D196" s="5" t="s">
        <v>288</v>
      </c>
      <c r="E196" s="3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>
        <v>1</v>
      </c>
      <c r="R196" s="46"/>
      <c r="S196" s="46"/>
      <c r="T196" s="46"/>
      <c r="U196" s="46"/>
      <c r="V196" s="46"/>
      <c r="W196" s="46"/>
      <c r="X196" s="46"/>
      <c r="Y196" s="46"/>
      <c r="Z196" s="46"/>
      <c r="AA196" s="59"/>
      <c r="AB196" s="59"/>
      <c r="AC196" s="59"/>
      <c r="AD196" s="59"/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59"/>
      <c r="BA196" s="59"/>
      <c r="BB196" s="59"/>
      <c r="BC196" s="59"/>
      <c r="BD196" s="59"/>
      <c r="BE196" s="59"/>
    </row>
    <row r="197" spans="1:124" ht="20.100000000000001" customHeight="1">
      <c r="A197" s="221"/>
      <c r="B197" s="7"/>
      <c r="C197" s="7"/>
      <c r="D197" s="78">
        <v>5</v>
      </c>
      <c r="E197" s="47">
        <f>IF(egTextCal(D197)&lt;&gt;0, egTextCal(D197),"")</f>
        <v>5</v>
      </c>
      <c r="F197" s="48" t="str">
        <f>IF(E197&lt;&gt;"", IF(F196&lt;&gt;"", E197*F196,""),"")</f>
        <v/>
      </c>
      <c r="G197" s="48" t="str">
        <f>IF(E197&lt;&gt;"", IF(G196&lt;&gt;"", E197*G196,""),"")</f>
        <v/>
      </c>
      <c r="H197" s="48" t="str">
        <f>IF(E197&lt;&gt;"", IF(H196&lt;&gt;"", E197*H196,""),"")</f>
        <v/>
      </c>
      <c r="I197" s="48" t="str">
        <f>IF(E197&lt;&gt;"", IF(I196&lt;&gt;"", E197*I196,""),"")</f>
        <v/>
      </c>
      <c r="J197" s="48" t="str">
        <f>IF(E197&lt;&gt;"", IF(J196&lt;&gt;"", E197*J196,""),"")</f>
        <v/>
      </c>
      <c r="K197" s="48" t="str">
        <f>IF(E197&lt;&gt;"", IF(K196&lt;&gt;"", E197*K196,""),"")</f>
        <v/>
      </c>
      <c r="L197" s="48" t="str">
        <f>IF(E197&lt;&gt;"", IF(L196&lt;&gt;"", E197*L196,""),"")</f>
        <v/>
      </c>
      <c r="M197" s="48" t="str">
        <f>IF(E197&lt;&gt;"", IF(M196&lt;&gt;"", E197*M196,""),"")</f>
        <v/>
      </c>
      <c r="N197" s="48" t="str">
        <f>IF(E197&lt;&gt;"", IF(N196&lt;&gt;"", E197*N196,""),"")</f>
        <v/>
      </c>
      <c r="O197" s="48" t="str">
        <f>IF(E197&lt;&gt;"", IF(O196&lt;&gt;"", E197*O196,""),"")</f>
        <v/>
      </c>
      <c r="P197" s="48" t="str">
        <f>IF(E197&lt;&gt;"", IF(P196&lt;&gt;"", E197*P196,""),"")</f>
        <v/>
      </c>
      <c r="Q197" s="48">
        <f>IF(E197&lt;&gt;"", IF(Q196&lt;&gt;"", E197*Q196,""),"")</f>
        <v>5</v>
      </c>
      <c r="R197" s="48" t="str">
        <f>IF(E197&lt;&gt;"", IF(R196&lt;&gt;"", E197*R196,""),"")</f>
        <v/>
      </c>
      <c r="S197" s="48" t="str">
        <f>IF(E197&lt;&gt;"", IF(S196&lt;&gt;"", E197*S196,""),"")</f>
        <v/>
      </c>
      <c r="T197" s="48" t="str">
        <f>IF(E197&lt;&gt;"", IF(T196&lt;&gt;"", E197*T196,""),"")</f>
        <v/>
      </c>
      <c r="U197" s="48" t="str">
        <f>IF(E197&lt;&gt;"", IF(U196&lt;&gt;"", E197*U196,""),"")</f>
        <v/>
      </c>
      <c r="V197" s="48" t="str">
        <f>IF(E197&lt;&gt;"", IF(V196&lt;&gt;"", E197*V196,""),"")</f>
        <v/>
      </c>
      <c r="W197" s="48" t="str">
        <f>IF(E197&lt;&gt;"", IF(W196&lt;&gt;"", E197*W196,""),"")</f>
        <v/>
      </c>
      <c r="X197" s="48" t="str">
        <f>IF(E197&lt;&gt;"", IF(X196&lt;&gt;"", E197*X196,""),"")</f>
        <v/>
      </c>
      <c r="Y197" s="48" t="str">
        <f>IF(E197&lt;&gt;"", IF(Y196&lt;&gt;"", E197*Y196,""),"")</f>
        <v/>
      </c>
      <c r="Z197" s="48" t="str">
        <f>IF(E197&lt;&gt;"", IF(Z196&lt;&gt;"", E197*Z196,""),"")</f>
        <v/>
      </c>
      <c r="AA197" s="22"/>
      <c r="AB197" s="22" t="str">
        <f>IF(E197&lt;&gt;"", IF(AB196&lt;&gt;"", E197*AB196, ""), "")</f>
        <v/>
      </c>
      <c r="AC197" s="22" t="str">
        <f>IF(E197&lt;&gt;"", IF(AC196&lt;&gt;"", E197*AC196, ""), "")</f>
        <v/>
      </c>
      <c r="AD197" s="22" t="str">
        <f>IF(E197&lt;&gt;"", IF(AD196&lt;&gt;"", E197*AD196, ""), "")</f>
        <v/>
      </c>
      <c r="AE197" s="22" t="str">
        <f>IF(E197&lt;&gt;"", IF(AE196&lt;&gt;"", E197*AE196, ""), "")</f>
        <v/>
      </c>
      <c r="AF197" s="22" t="str">
        <f>IF(E197&lt;&gt;"", IF(AF196&lt;&gt;"", E197*AF196, ""), "")</f>
        <v/>
      </c>
      <c r="AG197" s="22" t="str">
        <f>IF(E197&lt;&gt;"", IF(AG196&lt;&gt;"", E197*AG196, ""), "")</f>
        <v/>
      </c>
      <c r="AH197" s="22" t="str">
        <f>IF(E197&lt;&gt;"", IF(AH196&lt;&gt;"", E197*AH196, ""), "")</f>
        <v/>
      </c>
      <c r="AI197" s="22" t="str">
        <f>IF(E197&lt;&gt;"", IF(AI196&lt;&gt;"", E197*AI196, ""), "")</f>
        <v/>
      </c>
      <c r="AJ197" s="22" t="str">
        <f>IF(E197&lt;&gt;"", IF(AJ196&lt;&gt;"", E197*AJ196, ""), "")</f>
        <v/>
      </c>
      <c r="AK197" s="22" t="str">
        <f>IF(E197&lt;&gt;"", IF(AK196&lt;&gt;"", E197*AK196, ""), "")</f>
        <v/>
      </c>
      <c r="AL197" s="22" t="str">
        <f>IF(E197&lt;&gt;"", IF(AL196&lt;&gt;"", E197*AL196, ""), "")</f>
        <v/>
      </c>
      <c r="AM197" s="22" t="str">
        <f>IF(E197&lt;&gt;"", IF(AM196&lt;&gt;"", E197*AM196, ""), "")</f>
        <v/>
      </c>
      <c r="AN197" s="22" t="str">
        <f>IF(E197&lt;&gt;"", IF(AN196&lt;&gt;"", E197*AN196, ""), "")</f>
        <v/>
      </c>
      <c r="AO197" s="22" t="str">
        <f>IF(E197&lt;&gt;"", IF(AO196&lt;&gt;"", E197*AO196, ""), "")</f>
        <v/>
      </c>
      <c r="AP197" s="22" t="str">
        <f>IF(E197&lt;&gt;"", IF(AP196&lt;&gt;"", E197*AP196, ""), "")</f>
        <v/>
      </c>
      <c r="AQ197" s="22" t="str">
        <f>IF(E197&lt;&gt;"", IF(AQ196&lt;&gt;"", E197*AQ196, ""), "")</f>
        <v/>
      </c>
      <c r="AR197" s="22" t="str">
        <f>IF(E197&lt;&gt;"", IF(AR196&lt;&gt;"", E197*AR196, ""), "")</f>
        <v/>
      </c>
      <c r="AS197" s="22" t="str">
        <f>IF(E197&lt;&gt;"", IF(AS196&lt;&gt;"", E197*AS196, ""), "")</f>
        <v/>
      </c>
      <c r="AT197" s="22" t="str">
        <f>IF(E197&lt;&gt;"", IF(AT196&lt;&gt;"", E197*AT196, ""), "")</f>
        <v/>
      </c>
      <c r="AU197" s="22" t="str">
        <f>IF(E197&lt;&gt;"", IF(AU196&lt;&gt;"", E197*AU196, ""), "")</f>
        <v/>
      </c>
      <c r="AV197" s="22" t="str">
        <f>IF(E197&lt;&gt;"", IF(AV196&lt;&gt;"", E197*AV196, ""), "")</f>
        <v/>
      </c>
      <c r="AW197" s="22" t="str">
        <f>IF(E197&lt;&gt;"", IF(AW196&lt;&gt;"", E197*AW196, ""), "")</f>
        <v/>
      </c>
      <c r="AX197" s="22" t="str">
        <f>IF(E197&lt;&gt;"", IF(AX196&lt;&gt;"", E197*AX196, ""), "")</f>
        <v/>
      </c>
      <c r="AY197" s="22" t="str">
        <f>IF(E197&lt;&gt;"", IF(AY196&lt;&gt;"", E197*AY196, ""), "")</f>
        <v/>
      </c>
      <c r="AZ197" s="22" t="str">
        <f>IF(E197&lt;&gt;"", IF(AZ196&lt;&gt;"", E197*AZ196, ""), "")</f>
        <v/>
      </c>
      <c r="BA197" s="22" t="str">
        <f>IF(E197&lt;&gt;"", IF(BA196&lt;&gt;"", E197*BA196, ""), "")</f>
        <v/>
      </c>
      <c r="BB197" s="22" t="str">
        <f>IF(E197&lt;&gt;"", IF(BB196&lt;&gt;"", E197*BB196, ""), "")</f>
        <v/>
      </c>
      <c r="BC197" s="22" t="str">
        <f>IF(E197&lt;&gt;"", IF(BC196&lt;&gt;"", E197*BC196, ""), "")</f>
        <v/>
      </c>
      <c r="BD197" s="22" t="str">
        <f>IF(E197&lt;&gt;"", IF(BD196&lt;&gt;"", E197*BD196, ""), "")</f>
        <v/>
      </c>
      <c r="BE197" s="22" t="str">
        <f>IF(E197&lt;&gt;"", IF(BE196&lt;&gt;"", E197*BE196, ""), "")</f>
        <v/>
      </c>
      <c r="DL197" s="18">
        <f>Q197</f>
        <v>5</v>
      </c>
    </row>
    <row r="198" spans="1:124" ht="20.100000000000001" customHeight="1">
      <c r="A198" s="220">
        <v>2</v>
      </c>
      <c r="B198" s="7"/>
      <c r="C198" s="7"/>
      <c r="D198" s="5" t="s">
        <v>289</v>
      </c>
      <c r="E198" s="3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>
        <v>1</v>
      </c>
      <c r="Z198" s="46"/>
      <c r="AA198" s="59"/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59"/>
      <c r="BA198" s="59"/>
      <c r="BB198" s="59"/>
      <c r="BC198" s="59"/>
      <c r="BD198" s="59"/>
      <c r="BE198" s="59"/>
    </row>
    <row r="199" spans="1:124" ht="20.100000000000001" customHeight="1">
      <c r="A199" s="221"/>
      <c r="B199" s="7"/>
      <c r="C199" s="7"/>
      <c r="D199" s="78">
        <v>4</v>
      </c>
      <c r="E199" s="47">
        <f>IF(egTextCal(D199)&lt;&gt;0, egTextCal(D199),"")</f>
        <v>4</v>
      </c>
      <c r="F199" s="48" t="str">
        <f>IF(E199&lt;&gt;"", IF(F198&lt;&gt;"", E199*F198,""),"")</f>
        <v/>
      </c>
      <c r="G199" s="48" t="str">
        <f>IF(E199&lt;&gt;"", IF(G198&lt;&gt;"", E199*G198,""),"")</f>
        <v/>
      </c>
      <c r="H199" s="48" t="str">
        <f>IF(E199&lt;&gt;"", IF(H198&lt;&gt;"", E199*H198,""),"")</f>
        <v/>
      </c>
      <c r="I199" s="48" t="str">
        <f>IF(E199&lt;&gt;"", IF(I198&lt;&gt;"", E199*I198,""),"")</f>
        <v/>
      </c>
      <c r="J199" s="48" t="str">
        <f>IF(E199&lt;&gt;"", IF(J198&lt;&gt;"", E199*J198,""),"")</f>
        <v/>
      </c>
      <c r="K199" s="48" t="str">
        <f>IF(E199&lt;&gt;"", IF(K198&lt;&gt;"", E199*K198,""),"")</f>
        <v/>
      </c>
      <c r="L199" s="48" t="str">
        <f>IF(E199&lt;&gt;"", IF(L198&lt;&gt;"", E199*L198,""),"")</f>
        <v/>
      </c>
      <c r="M199" s="48" t="str">
        <f>IF(E199&lt;&gt;"", IF(M198&lt;&gt;"", E199*M198,""),"")</f>
        <v/>
      </c>
      <c r="N199" s="48" t="str">
        <f>IF(E199&lt;&gt;"", IF(N198&lt;&gt;"", E199*N198,""),"")</f>
        <v/>
      </c>
      <c r="O199" s="48" t="str">
        <f>IF(E199&lt;&gt;"", IF(O198&lt;&gt;"", E199*O198,""),"")</f>
        <v/>
      </c>
      <c r="P199" s="48" t="str">
        <f>IF(E199&lt;&gt;"", IF(P198&lt;&gt;"", E199*P198,""),"")</f>
        <v/>
      </c>
      <c r="Q199" s="48" t="str">
        <f>IF(E199&lt;&gt;"", IF(Q198&lt;&gt;"", E199*Q198,""),"")</f>
        <v/>
      </c>
      <c r="R199" s="48" t="str">
        <f>IF(E199&lt;&gt;"", IF(R198&lt;&gt;"", E199*R198,""),"")</f>
        <v/>
      </c>
      <c r="S199" s="48" t="str">
        <f>IF(E199&lt;&gt;"", IF(S198&lt;&gt;"", E199*S198,""),"")</f>
        <v/>
      </c>
      <c r="T199" s="48" t="str">
        <f>IF(E199&lt;&gt;"", IF(T198&lt;&gt;"", E199*T198,""),"")</f>
        <v/>
      </c>
      <c r="U199" s="48" t="str">
        <f>IF(E199&lt;&gt;"", IF(U198&lt;&gt;"", E199*U198,""),"")</f>
        <v/>
      </c>
      <c r="V199" s="48" t="str">
        <f>IF(E199&lt;&gt;"", IF(V198&lt;&gt;"", E199*V198,""),"")</f>
        <v/>
      </c>
      <c r="W199" s="48" t="str">
        <f>IF(E199&lt;&gt;"", IF(W198&lt;&gt;"", E199*W198,""),"")</f>
        <v/>
      </c>
      <c r="X199" s="48" t="str">
        <f>IF(E199&lt;&gt;"", IF(X198&lt;&gt;"", E199*X198,""),"")</f>
        <v/>
      </c>
      <c r="Y199" s="48">
        <f>IF(E199&lt;&gt;"", IF(Y198&lt;&gt;"", E199*Y198,""),"")</f>
        <v>4</v>
      </c>
      <c r="Z199" s="48" t="str">
        <f>IF(E199&lt;&gt;"", IF(Z198&lt;&gt;"", E199*Z198,""),"")</f>
        <v/>
      </c>
      <c r="AA199" s="22"/>
      <c r="AB199" s="22" t="str">
        <f>IF(E199&lt;&gt;"", IF(AB198&lt;&gt;"", E199*AB198, ""), "")</f>
        <v/>
      </c>
      <c r="AC199" s="22" t="str">
        <f>IF(E199&lt;&gt;"", IF(AC198&lt;&gt;"", E199*AC198, ""), "")</f>
        <v/>
      </c>
      <c r="AD199" s="22" t="str">
        <f>IF(E199&lt;&gt;"", IF(AD198&lt;&gt;"", E199*AD198, ""), "")</f>
        <v/>
      </c>
      <c r="AE199" s="22" t="str">
        <f>IF(E199&lt;&gt;"", IF(AE198&lt;&gt;"", E199*AE198, ""), "")</f>
        <v/>
      </c>
      <c r="AF199" s="22" t="str">
        <f>IF(E199&lt;&gt;"", IF(AF198&lt;&gt;"", E199*AF198, ""), "")</f>
        <v/>
      </c>
      <c r="AG199" s="22" t="str">
        <f>IF(E199&lt;&gt;"", IF(AG198&lt;&gt;"", E199*AG198, ""), "")</f>
        <v/>
      </c>
      <c r="AH199" s="22" t="str">
        <f>IF(E199&lt;&gt;"", IF(AH198&lt;&gt;"", E199*AH198, ""), "")</f>
        <v/>
      </c>
      <c r="AI199" s="22" t="str">
        <f>IF(E199&lt;&gt;"", IF(AI198&lt;&gt;"", E199*AI198, ""), "")</f>
        <v/>
      </c>
      <c r="AJ199" s="22" t="str">
        <f>IF(E199&lt;&gt;"", IF(AJ198&lt;&gt;"", E199*AJ198, ""), "")</f>
        <v/>
      </c>
      <c r="AK199" s="22" t="str">
        <f>IF(E199&lt;&gt;"", IF(AK198&lt;&gt;"", E199*AK198, ""), "")</f>
        <v/>
      </c>
      <c r="AL199" s="22" t="str">
        <f>IF(E199&lt;&gt;"", IF(AL198&lt;&gt;"", E199*AL198, ""), "")</f>
        <v/>
      </c>
      <c r="AM199" s="22" t="str">
        <f>IF(E199&lt;&gt;"", IF(AM198&lt;&gt;"", E199*AM198, ""), "")</f>
        <v/>
      </c>
      <c r="AN199" s="22" t="str">
        <f>IF(E199&lt;&gt;"", IF(AN198&lt;&gt;"", E199*AN198, ""), "")</f>
        <v/>
      </c>
      <c r="AO199" s="22" t="str">
        <f>IF(E199&lt;&gt;"", IF(AO198&lt;&gt;"", E199*AO198, ""), "")</f>
        <v/>
      </c>
      <c r="AP199" s="22" t="str">
        <f>IF(E199&lt;&gt;"", IF(AP198&lt;&gt;"", E199*AP198, ""), "")</f>
        <v/>
      </c>
      <c r="AQ199" s="22" t="str">
        <f>IF(E199&lt;&gt;"", IF(AQ198&lt;&gt;"", E199*AQ198, ""), "")</f>
        <v/>
      </c>
      <c r="AR199" s="22" t="str">
        <f>IF(E199&lt;&gt;"", IF(AR198&lt;&gt;"", E199*AR198, ""), "")</f>
        <v/>
      </c>
      <c r="AS199" s="22" t="str">
        <f>IF(E199&lt;&gt;"", IF(AS198&lt;&gt;"", E199*AS198, ""), "")</f>
        <v/>
      </c>
      <c r="AT199" s="22" t="str">
        <f>IF(E199&lt;&gt;"", IF(AT198&lt;&gt;"", E199*AT198, ""), "")</f>
        <v/>
      </c>
      <c r="AU199" s="22" t="str">
        <f>IF(E199&lt;&gt;"", IF(AU198&lt;&gt;"", E199*AU198, ""), "")</f>
        <v/>
      </c>
      <c r="AV199" s="22" t="str">
        <f>IF(E199&lt;&gt;"", IF(AV198&lt;&gt;"", E199*AV198, ""), "")</f>
        <v/>
      </c>
      <c r="AW199" s="22" t="str">
        <f>IF(E199&lt;&gt;"", IF(AW198&lt;&gt;"", E199*AW198, ""), "")</f>
        <v/>
      </c>
      <c r="AX199" s="22" t="str">
        <f>IF(E199&lt;&gt;"", IF(AX198&lt;&gt;"", E199*AX198, ""), "")</f>
        <v/>
      </c>
      <c r="AY199" s="22" t="str">
        <f>IF(E199&lt;&gt;"", IF(AY198&lt;&gt;"", E199*AY198, ""), "")</f>
        <v/>
      </c>
      <c r="AZ199" s="22" t="str">
        <f>IF(E199&lt;&gt;"", IF(AZ198&lt;&gt;"", E199*AZ198, ""), "")</f>
        <v/>
      </c>
      <c r="BA199" s="22" t="str">
        <f>IF(E199&lt;&gt;"", IF(BA198&lt;&gt;"", E199*BA198, ""), "")</f>
        <v/>
      </c>
      <c r="BB199" s="22" t="str">
        <f>IF(E199&lt;&gt;"", IF(BB198&lt;&gt;"", E199*BB198, ""), "")</f>
        <v/>
      </c>
      <c r="BC199" s="22" t="str">
        <f>IF(E199&lt;&gt;"", IF(BC198&lt;&gt;"", E199*BC198, ""), "")</f>
        <v/>
      </c>
      <c r="BD199" s="22" t="str">
        <f>IF(E199&lt;&gt;"", IF(BD198&lt;&gt;"", E199*BD198, ""), "")</f>
        <v/>
      </c>
      <c r="BE199" s="22" t="str">
        <f>IF(E199&lt;&gt;"", IF(BE198&lt;&gt;"", E199*BE198, ""), "")</f>
        <v/>
      </c>
      <c r="DT199" s="18">
        <f>Y199</f>
        <v>4</v>
      </c>
    </row>
    <row r="200" spans="1:124" ht="20.100000000000001" customHeight="1">
      <c r="A200" s="220">
        <v>3</v>
      </c>
      <c r="B200" s="7"/>
      <c r="C200" s="7"/>
      <c r="D200" s="5" t="s">
        <v>290</v>
      </c>
      <c r="E200" s="3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59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  <c r="BC200" s="59"/>
      <c r="BD200" s="59"/>
      <c r="BE200" s="59"/>
    </row>
    <row r="201" spans="1:124" ht="20.100000000000001" customHeight="1">
      <c r="A201" s="221"/>
      <c r="B201" s="7"/>
      <c r="C201" s="7"/>
      <c r="D201" s="78"/>
      <c r="E201" s="47" t="str">
        <f>IF(egTextCal(D201)&lt;&gt;0, egTextCal(D201),"")</f>
        <v/>
      </c>
      <c r="F201" s="48" t="str">
        <f>IF(E201&lt;&gt;"", IF(F200&lt;&gt;"", E201*F200,""),"")</f>
        <v/>
      </c>
      <c r="G201" s="48" t="str">
        <f>IF(E201&lt;&gt;"", IF(G200&lt;&gt;"", E201*G200,""),"")</f>
        <v/>
      </c>
      <c r="H201" s="48" t="str">
        <f>IF(E201&lt;&gt;"", IF(H200&lt;&gt;"", E201*H200,""),"")</f>
        <v/>
      </c>
      <c r="I201" s="48" t="str">
        <f>IF(E201&lt;&gt;"", IF(I200&lt;&gt;"", E201*I200,""),"")</f>
        <v/>
      </c>
      <c r="J201" s="48" t="str">
        <f>IF(E201&lt;&gt;"", IF(J200&lt;&gt;"", E201*J200,""),"")</f>
        <v/>
      </c>
      <c r="K201" s="48" t="str">
        <f>IF(E201&lt;&gt;"", IF(K200&lt;&gt;"", E201*K200,""),"")</f>
        <v/>
      </c>
      <c r="L201" s="48" t="str">
        <f>IF(E201&lt;&gt;"", IF(L200&lt;&gt;"", E201*L200,""),"")</f>
        <v/>
      </c>
      <c r="M201" s="48" t="str">
        <f>IF(E201&lt;&gt;"", IF(M200&lt;&gt;"", E201*M200,""),"")</f>
        <v/>
      </c>
      <c r="N201" s="48" t="str">
        <f>IF(E201&lt;&gt;"", IF(N200&lt;&gt;"", E201*N200,""),"")</f>
        <v/>
      </c>
      <c r="O201" s="48" t="str">
        <f>IF(E201&lt;&gt;"", IF(O200&lt;&gt;"", E201*O200,""),"")</f>
        <v/>
      </c>
      <c r="P201" s="48" t="str">
        <f>IF(E201&lt;&gt;"", IF(P200&lt;&gt;"", E201*P200,""),"")</f>
        <v/>
      </c>
      <c r="Q201" s="48" t="str">
        <f>IF(E201&lt;&gt;"", IF(Q200&lt;&gt;"", E201*Q200,""),"")</f>
        <v/>
      </c>
      <c r="R201" s="48" t="str">
        <f>IF(E201&lt;&gt;"", IF(R200&lt;&gt;"", E201*R200,""),"")</f>
        <v/>
      </c>
      <c r="S201" s="48" t="str">
        <f>IF(E201&lt;&gt;"", IF(S200&lt;&gt;"", E201*S200,""),"")</f>
        <v/>
      </c>
      <c r="T201" s="48" t="str">
        <f>IF(E201&lt;&gt;"", IF(T200&lt;&gt;"", E201*T200,""),"")</f>
        <v/>
      </c>
      <c r="U201" s="48" t="str">
        <f>IF(E201&lt;&gt;"", IF(U200&lt;&gt;"", E201*U200,""),"")</f>
        <v/>
      </c>
      <c r="V201" s="48" t="str">
        <f>IF(E201&lt;&gt;"", IF(V200&lt;&gt;"", E201*V200,""),"")</f>
        <v/>
      </c>
      <c r="W201" s="48" t="str">
        <f>IF(E201&lt;&gt;"", IF(W200&lt;&gt;"", E201*W200,""),"")</f>
        <v/>
      </c>
      <c r="X201" s="48" t="str">
        <f>IF(E201&lt;&gt;"", IF(X200&lt;&gt;"", E201*X200,""),"")</f>
        <v/>
      </c>
      <c r="Y201" s="48" t="str">
        <f>IF(E201&lt;&gt;"", IF(Y200&lt;&gt;"", E201*Y200,""),"")</f>
        <v/>
      </c>
      <c r="Z201" s="48" t="str">
        <f>IF(E201&lt;&gt;"", IF(Z200&lt;&gt;"", E201*Z200,""),"")</f>
        <v/>
      </c>
      <c r="AA201" s="22"/>
      <c r="AB201" s="22" t="str">
        <f>IF(E201&lt;&gt;"", IF(AB200&lt;&gt;"", E201*AB200, ""), "")</f>
        <v/>
      </c>
      <c r="AC201" s="22" t="str">
        <f>IF(E201&lt;&gt;"", IF(AC200&lt;&gt;"", E201*AC200, ""), "")</f>
        <v/>
      </c>
      <c r="AD201" s="22" t="str">
        <f>IF(E201&lt;&gt;"", IF(AD200&lt;&gt;"", E201*AD200, ""), "")</f>
        <v/>
      </c>
      <c r="AE201" s="22" t="str">
        <f>IF(E201&lt;&gt;"", IF(AE200&lt;&gt;"", E201*AE200, ""), "")</f>
        <v/>
      </c>
      <c r="AF201" s="22" t="str">
        <f>IF(E201&lt;&gt;"", IF(AF200&lt;&gt;"", E201*AF200, ""), "")</f>
        <v/>
      </c>
      <c r="AG201" s="22" t="str">
        <f>IF(E201&lt;&gt;"", IF(AG200&lt;&gt;"", E201*AG200, ""), "")</f>
        <v/>
      </c>
      <c r="AH201" s="22" t="str">
        <f>IF(E201&lt;&gt;"", IF(AH200&lt;&gt;"", E201*AH200, ""), "")</f>
        <v/>
      </c>
      <c r="AI201" s="22" t="str">
        <f>IF(E201&lt;&gt;"", IF(AI200&lt;&gt;"", E201*AI200, ""), "")</f>
        <v/>
      </c>
      <c r="AJ201" s="22" t="str">
        <f>IF(E201&lt;&gt;"", IF(AJ200&lt;&gt;"", E201*AJ200, ""), "")</f>
        <v/>
      </c>
      <c r="AK201" s="22" t="str">
        <f>IF(E201&lt;&gt;"", IF(AK200&lt;&gt;"", E201*AK200, ""), "")</f>
        <v/>
      </c>
      <c r="AL201" s="22" t="str">
        <f>IF(E201&lt;&gt;"", IF(AL200&lt;&gt;"", E201*AL200, ""), "")</f>
        <v/>
      </c>
      <c r="AM201" s="22" t="str">
        <f>IF(E201&lt;&gt;"", IF(AM200&lt;&gt;"", E201*AM200, ""), "")</f>
        <v/>
      </c>
      <c r="AN201" s="22" t="str">
        <f>IF(E201&lt;&gt;"", IF(AN200&lt;&gt;"", E201*AN200, ""), "")</f>
        <v/>
      </c>
      <c r="AO201" s="22" t="str">
        <f>IF(E201&lt;&gt;"", IF(AO200&lt;&gt;"", E201*AO200, ""), "")</f>
        <v/>
      </c>
      <c r="AP201" s="22" t="str">
        <f>IF(E201&lt;&gt;"", IF(AP200&lt;&gt;"", E201*AP200, ""), "")</f>
        <v/>
      </c>
      <c r="AQ201" s="22" t="str">
        <f>IF(E201&lt;&gt;"", IF(AQ200&lt;&gt;"", E201*AQ200, ""), "")</f>
        <v/>
      </c>
      <c r="AR201" s="22" t="str">
        <f>IF(E201&lt;&gt;"", IF(AR200&lt;&gt;"", E201*AR200, ""), "")</f>
        <v/>
      </c>
      <c r="AS201" s="22" t="str">
        <f>IF(E201&lt;&gt;"", IF(AS200&lt;&gt;"", E201*AS200, ""), "")</f>
        <v/>
      </c>
      <c r="AT201" s="22" t="str">
        <f>IF(E201&lt;&gt;"", IF(AT200&lt;&gt;"", E201*AT200, ""), "")</f>
        <v/>
      </c>
      <c r="AU201" s="22" t="str">
        <f>IF(E201&lt;&gt;"", IF(AU200&lt;&gt;"", E201*AU200, ""), "")</f>
        <v/>
      </c>
      <c r="AV201" s="22" t="str">
        <f>IF(E201&lt;&gt;"", IF(AV200&lt;&gt;"", E201*AV200, ""), "")</f>
        <v/>
      </c>
      <c r="AW201" s="22" t="str">
        <f>IF(E201&lt;&gt;"", IF(AW200&lt;&gt;"", E201*AW200, ""), "")</f>
        <v/>
      </c>
      <c r="AX201" s="22" t="str">
        <f>IF(E201&lt;&gt;"", IF(AX200&lt;&gt;"", E201*AX200, ""), "")</f>
        <v/>
      </c>
      <c r="AY201" s="22" t="str">
        <f>IF(E201&lt;&gt;"", IF(AY200&lt;&gt;"", E201*AY200, ""), "")</f>
        <v/>
      </c>
      <c r="AZ201" s="22" t="str">
        <f>IF(E201&lt;&gt;"", IF(AZ200&lt;&gt;"", E201*AZ200, ""), "")</f>
        <v/>
      </c>
      <c r="BA201" s="22" t="str">
        <f>IF(E201&lt;&gt;"", IF(BA200&lt;&gt;"", E201*BA200, ""), "")</f>
        <v/>
      </c>
      <c r="BB201" s="22" t="str">
        <f>IF(E201&lt;&gt;"", IF(BB200&lt;&gt;"", E201*BB200, ""), "")</f>
        <v/>
      </c>
      <c r="BC201" s="22" t="str">
        <f>IF(E201&lt;&gt;"", IF(BC200&lt;&gt;"", E201*BC200, ""), "")</f>
        <v/>
      </c>
      <c r="BD201" s="22" t="str">
        <f>IF(E201&lt;&gt;"", IF(BD200&lt;&gt;"", E201*BD200, ""), "")</f>
        <v/>
      </c>
      <c r="BE201" s="22" t="str">
        <f>IF(E201&lt;&gt;"", IF(BE200&lt;&gt;"", E201*BE200, ""), "")</f>
        <v/>
      </c>
    </row>
    <row r="202" spans="1:124" ht="20.100000000000001" customHeight="1">
      <c r="A202" s="220">
        <v>4</v>
      </c>
      <c r="B202" s="7"/>
      <c r="C202" s="7"/>
      <c r="D202" s="5" t="s">
        <v>237</v>
      </c>
      <c r="E202" s="3"/>
      <c r="F202" s="46"/>
      <c r="G202" s="46">
        <v>1</v>
      </c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59"/>
      <c r="AB202" s="59"/>
      <c r="AC202" s="59"/>
      <c r="AD202" s="59"/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  <c r="BC202" s="59"/>
      <c r="BD202" s="59"/>
      <c r="BE202" s="59"/>
    </row>
    <row r="203" spans="1:124" ht="20.100000000000001" customHeight="1">
      <c r="A203" s="221"/>
      <c r="B203" s="7"/>
      <c r="C203" s="7"/>
      <c r="D203" s="78" t="s">
        <v>291</v>
      </c>
      <c r="E203" s="47">
        <f>IF(egTextCal(D203)&lt;&gt;0, egTextCal(D203),"")</f>
        <v>117</v>
      </c>
      <c r="F203" s="48" t="str">
        <f>IF(E203&lt;&gt;"", IF(F202&lt;&gt;"", E203*F202,""),"")</f>
        <v/>
      </c>
      <c r="G203" s="48">
        <f>IF(E203&lt;&gt;"", IF(G202&lt;&gt;"", E203*G202,""),"")</f>
        <v>117</v>
      </c>
      <c r="H203" s="48" t="str">
        <f>IF(E203&lt;&gt;"", IF(H202&lt;&gt;"", E203*H202,""),"")</f>
        <v/>
      </c>
      <c r="I203" s="48" t="str">
        <f>IF(E203&lt;&gt;"", IF(I202&lt;&gt;"", E203*I202,""),"")</f>
        <v/>
      </c>
      <c r="J203" s="48" t="str">
        <f>IF(E203&lt;&gt;"", IF(J202&lt;&gt;"", E203*J202,""),"")</f>
        <v/>
      </c>
      <c r="K203" s="48" t="str">
        <f>IF(E203&lt;&gt;"", IF(K202&lt;&gt;"", E203*K202,""),"")</f>
        <v/>
      </c>
      <c r="L203" s="48" t="str">
        <f>IF(E203&lt;&gt;"", IF(L202&lt;&gt;"", E203*L202,""),"")</f>
        <v/>
      </c>
      <c r="M203" s="48" t="str">
        <f>IF(E203&lt;&gt;"", IF(M202&lt;&gt;"", E203*M202,""),"")</f>
        <v/>
      </c>
      <c r="N203" s="48" t="str">
        <f>IF(E203&lt;&gt;"", IF(N202&lt;&gt;"", E203*N202,""),"")</f>
        <v/>
      </c>
      <c r="O203" s="48" t="str">
        <f>IF(E203&lt;&gt;"", IF(O202&lt;&gt;"", E203*O202,""),"")</f>
        <v/>
      </c>
      <c r="P203" s="48" t="str">
        <f>IF(E203&lt;&gt;"", IF(P202&lt;&gt;"", E203*P202,""),"")</f>
        <v/>
      </c>
      <c r="Q203" s="48" t="str">
        <f>IF(E203&lt;&gt;"", IF(Q202&lt;&gt;"", E203*Q202,""),"")</f>
        <v/>
      </c>
      <c r="R203" s="48" t="str">
        <f>IF(E203&lt;&gt;"", IF(R202&lt;&gt;"", E203*R202,""),"")</f>
        <v/>
      </c>
      <c r="S203" s="48" t="str">
        <f>IF(E203&lt;&gt;"", IF(S202&lt;&gt;"", E203*S202,""),"")</f>
        <v/>
      </c>
      <c r="T203" s="48" t="str">
        <f>IF(E203&lt;&gt;"", IF(T202&lt;&gt;"", E203*T202,""),"")</f>
        <v/>
      </c>
      <c r="U203" s="48" t="str">
        <f>IF(E203&lt;&gt;"", IF(U202&lt;&gt;"", E203*U202,""),"")</f>
        <v/>
      </c>
      <c r="V203" s="48" t="str">
        <f>IF(E203&lt;&gt;"", IF(V202&lt;&gt;"", E203*V202,""),"")</f>
        <v/>
      </c>
      <c r="W203" s="48" t="str">
        <f>IF(E203&lt;&gt;"", IF(W202&lt;&gt;"", E203*W202,""),"")</f>
        <v/>
      </c>
      <c r="X203" s="48" t="str">
        <f>IF(E203&lt;&gt;"", IF(X202&lt;&gt;"", E203*X202,""),"")</f>
        <v/>
      </c>
      <c r="Y203" s="48" t="str">
        <f>IF(E203&lt;&gt;"", IF(Y202&lt;&gt;"", E203*Y202,""),"")</f>
        <v/>
      </c>
      <c r="Z203" s="48" t="str">
        <f>IF(E203&lt;&gt;"", IF(Z202&lt;&gt;"", E203*Z202,""),"")</f>
        <v/>
      </c>
      <c r="AA203" s="22"/>
      <c r="AB203" s="22" t="str">
        <f>IF(E203&lt;&gt;"", IF(AB202&lt;&gt;"", E203*AB202, ""), "")</f>
        <v/>
      </c>
      <c r="AC203" s="22" t="str">
        <f>IF(E203&lt;&gt;"", IF(AC202&lt;&gt;"", E203*AC202, ""), "")</f>
        <v/>
      </c>
      <c r="AD203" s="22" t="str">
        <f>IF(E203&lt;&gt;"", IF(AD202&lt;&gt;"", E203*AD202, ""), "")</f>
        <v/>
      </c>
      <c r="AE203" s="22" t="str">
        <f>IF(E203&lt;&gt;"", IF(AE202&lt;&gt;"", E203*AE202, ""), "")</f>
        <v/>
      </c>
      <c r="AF203" s="22" t="str">
        <f>IF(E203&lt;&gt;"", IF(AF202&lt;&gt;"", E203*AF202, ""), "")</f>
        <v/>
      </c>
      <c r="AG203" s="22" t="str">
        <f>IF(E203&lt;&gt;"", IF(AG202&lt;&gt;"", E203*AG202, ""), "")</f>
        <v/>
      </c>
      <c r="AH203" s="22" t="str">
        <f>IF(E203&lt;&gt;"", IF(AH202&lt;&gt;"", E203*AH202, ""), "")</f>
        <v/>
      </c>
      <c r="AI203" s="22" t="str">
        <f>IF(E203&lt;&gt;"", IF(AI202&lt;&gt;"", E203*AI202, ""), "")</f>
        <v/>
      </c>
      <c r="AJ203" s="22" t="str">
        <f>IF(E203&lt;&gt;"", IF(AJ202&lt;&gt;"", E203*AJ202, ""), "")</f>
        <v/>
      </c>
      <c r="AK203" s="22" t="str">
        <f>IF(E203&lt;&gt;"", IF(AK202&lt;&gt;"", E203*AK202, ""), "")</f>
        <v/>
      </c>
      <c r="AL203" s="22" t="str">
        <f>IF(E203&lt;&gt;"", IF(AL202&lt;&gt;"", E203*AL202, ""), "")</f>
        <v/>
      </c>
      <c r="AM203" s="22" t="str">
        <f>IF(E203&lt;&gt;"", IF(AM202&lt;&gt;"", E203*AM202, ""), "")</f>
        <v/>
      </c>
      <c r="AN203" s="22" t="str">
        <f>IF(E203&lt;&gt;"", IF(AN202&lt;&gt;"", E203*AN202, ""), "")</f>
        <v/>
      </c>
      <c r="AO203" s="22" t="str">
        <f>IF(E203&lt;&gt;"", IF(AO202&lt;&gt;"", E203*AO202, ""), "")</f>
        <v/>
      </c>
      <c r="AP203" s="22" t="str">
        <f>IF(E203&lt;&gt;"", IF(AP202&lt;&gt;"", E203*AP202, ""), "")</f>
        <v/>
      </c>
      <c r="AQ203" s="22" t="str">
        <f>IF(E203&lt;&gt;"", IF(AQ202&lt;&gt;"", E203*AQ202, ""), "")</f>
        <v/>
      </c>
      <c r="AR203" s="22" t="str">
        <f>IF(E203&lt;&gt;"", IF(AR202&lt;&gt;"", E203*AR202, ""), "")</f>
        <v/>
      </c>
      <c r="AS203" s="22" t="str">
        <f>IF(E203&lt;&gt;"", IF(AS202&lt;&gt;"", E203*AS202, ""), "")</f>
        <v/>
      </c>
      <c r="AT203" s="22" t="str">
        <f>IF(E203&lt;&gt;"", IF(AT202&lt;&gt;"", E203*AT202, ""), "")</f>
        <v/>
      </c>
      <c r="AU203" s="22" t="str">
        <f>IF(E203&lt;&gt;"", IF(AU202&lt;&gt;"", E203*AU202, ""), "")</f>
        <v/>
      </c>
      <c r="AV203" s="22" t="str">
        <f>IF(E203&lt;&gt;"", IF(AV202&lt;&gt;"", E203*AV202, ""), "")</f>
        <v/>
      </c>
      <c r="AW203" s="22" t="str">
        <f>IF(E203&lt;&gt;"", IF(AW202&lt;&gt;"", E203*AW202, ""), "")</f>
        <v/>
      </c>
      <c r="AX203" s="22" t="str">
        <f>IF(E203&lt;&gt;"", IF(AX202&lt;&gt;"", E203*AX202, ""), "")</f>
        <v/>
      </c>
      <c r="AY203" s="22" t="str">
        <f>IF(E203&lt;&gt;"", IF(AY202&lt;&gt;"", E203*AY202, ""), "")</f>
        <v/>
      </c>
      <c r="AZ203" s="22" t="str">
        <f>IF(E203&lt;&gt;"", IF(AZ202&lt;&gt;"", E203*AZ202, ""), "")</f>
        <v/>
      </c>
      <c r="BA203" s="22" t="str">
        <f>IF(E203&lt;&gt;"", IF(BA202&lt;&gt;"", E203*BA202, ""), "")</f>
        <v/>
      </c>
      <c r="BB203" s="22" t="str">
        <f>IF(E203&lt;&gt;"", IF(BB202&lt;&gt;"", E203*BB202, ""), "")</f>
        <v/>
      </c>
      <c r="BC203" s="22" t="str">
        <f>IF(E203&lt;&gt;"", IF(BC202&lt;&gt;"", E203*BC202, ""), "")</f>
        <v/>
      </c>
      <c r="BD203" s="22" t="str">
        <f>IF(E203&lt;&gt;"", IF(BD202&lt;&gt;"", E203*BD202, ""), "")</f>
        <v/>
      </c>
      <c r="BE203" s="22" t="str">
        <f>IF(E203&lt;&gt;"", IF(BE202&lt;&gt;"", E203*BE202, ""), "")</f>
        <v/>
      </c>
      <c r="DB203" s="18">
        <f>G203</f>
        <v>117</v>
      </c>
    </row>
    <row r="204" spans="1:124" ht="20.100000000000001" customHeight="1">
      <c r="A204" s="220">
        <v>5</v>
      </c>
      <c r="B204" s="7"/>
      <c r="C204" s="7"/>
      <c r="D204" s="5" t="s">
        <v>239</v>
      </c>
      <c r="E204" s="3"/>
      <c r="F204" s="46">
        <v>1</v>
      </c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59"/>
      <c r="AB204" s="59"/>
      <c r="AC204" s="59"/>
      <c r="AD204" s="59"/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  <c r="BC204" s="59"/>
      <c r="BD204" s="59"/>
      <c r="BE204" s="59"/>
    </row>
    <row r="205" spans="1:124" ht="20.100000000000001" customHeight="1">
      <c r="A205" s="221"/>
      <c r="B205" s="7"/>
      <c r="C205" s="7"/>
      <c r="D205" s="78" t="s">
        <v>292</v>
      </c>
      <c r="E205" s="47">
        <f>IF(egTextCal(D205)&lt;&gt;0, egTextCal(D205),"")</f>
        <v>74</v>
      </c>
      <c r="F205" s="48">
        <f>IF(E205&lt;&gt;"", IF(F204&lt;&gt;"", E205*F204,""),"")</f>
        <v>74</v>
      </c>
      <c r="G205" s="48" t="str">
        <f>IF(E205&lt;&gt;"", IF(G204&lt;&gt;"", E205*G204,""),"")</f>
        <v/>
      </c>
      <c r="H205" s="48" t="str">
        <f>IF(E205&lt;&gt;"", IF(H204&lt;&gt;"", E205*H204,""),"")</f>
        <v/>
      </c>
      <c r="I205" s="48" t="str">
        <f>IF(E205&lt;&gt;"", IF(I204&lt;&gt;"", E205*I204,""),"")</f>
        <v/>
      </c>
      <c r="J205" s="48" t="str">
        <f>IF(E205&lt;&gt;"", IF(J204&lt;&gt;"", E205*J204,""),"")</f>
        <v/>
      </c>
      <c r="K205" s="48" t="str">
        <f>IF(E205&lt;&gt;"", IF(K204&lt;&gt;"", E205*K204,""),"")</f>
        <v/>
      </c>
      <c r="L205" s="48" t="str">
        <f>IF(E205&lt;&gt;"", IF(L204&lt;&gt;"", E205*L204,""),"")</f>
        <v/>
      </c>
      <c r="M205" s="48" t="str">
        <f>IF(E205&lt;&gt;"", IF(M204&lt;&gt;"", E205*M204,""),"")</f>
        <v/>
      </c>
      <c r="N205" s="48" t="str">
        <f>IF(E205&lt;&gt;"", IF(N204&lt;&gt;"", E205*N204,""),"")</f>
        <v/>
      </c>
      <c r="O205" s="48" t="str">
        <f>IF(E205&lt;&gt;"", IF(O204&lt;&gt;"", E205*O204,""),"")</f>
        <v/>
      </c>
      <c r="P205" s="48" t="str">
        <f>IF(E205&lt;&gt;"", IF(P204&lt;&gt;"", E205*P204,""),"")</f>
        <v/>
      </c>
      <c r="Q205" s="48" t="str">
        <f>IF(E205&lt;&gt;"", IF(Q204&lt;&gt;"", E205*Q204,""),"")</f>
        <v/>
      </c>
      <c r="R205" s="48" t="str">
        <f>IF(E205&lt;&gt;"", IF(R204&lt;&gt;"", E205*R204,""),"")</f>
        <v/>
      </c>
      <c r="S205" s="48" t="str">
        <f>IF(E205&lt;&gt;"", IF(S204&lt;&gt;"", E205*S204,""),"")</f>
        <v/>
      </c>
      <c r="T205" s="48" t="str">
        <f>IF(E205&lt;&gt;"", IF(T204&lt;&gt;"", E205*T204,""),"")</f>
        <v/>
      </c>
      <c r="U205" s="48" t="str">
        <f>IF(E205&lt;&gt;"", IF(U204&lt;&gt;"", E205*U204,""),"")</f>
        <v/>
      </c>
      <c r="V205" s="48" t="str">
        <f>IF(E205&lt;&gt;"", IF(V204&lt;&gt;"", E205*V204,""),"")</f>
        <v/>
      </c>
      <c r="W205" s="48" t="str">
        <f>IF(E205&lt;&gt;"", IF(W204&lt;&gt;"", E205*W204,""),"")</f>
        <v/>
      </c>
      <c r="X205" s="48" t="str">
        <f>IF(E205&lt;&gt;"", IF(X204&lt;&gt;"", E205*X204,""),"")</f>
        <v/>
      </c>
      <c r="Y205" s="48" t="str">
        <f>IF(E205&lt;&gt;"", IF(Y204&lt;&gt;"", E205*Y204,""),"")</f>
        <v/>
      </c>
      <c r="Z205" s="48" t="str">
        <f>IF(E205&lt;&gt;"", IF(Z204&lt;&gt;"", E205*Z204,""),"")</f>
        <v/>
      </c>
      <c r="AA205" s="22"/>
      <c r="AB205" s="22" t="str">
        <f>IF(E205&lt;&gt;"", IF(AB204&lt;&gt;"", E205*AB204, ""), "")</f>
        <v/>
      </c>
      <c r="AC205" s="22" t="str">
        <f>IF(E205&lt;&gt;"", IF(AC204&lt;&gt;"", E205*AC204, ""), "")</f>
        <v/>
      </c>
      <c r="AD205" s="22" t="str">
        <f>IF(E205&lt;&gt;"", IF(AD204&lt;&gt;"", E205*AD204, ""), "")</f>
        <v/>
      </c>
      <c r="AE205" s="22" t="str">
        <f>IF(E205&lt;&gt;"", IF(AE204&lt;&gt;"", E205*AE204, ""), "")</f>
        <v/>
      </c>
      <c r="AF205" s="22" t="str">
        <f>IF(E205&lt;&gt;"", IF(AF204&lt;&gt;"", E205*AF204, ""), "")</f>
        <v/>
      </c>
      <c r="AG205" s="22" t="str">
        <f>IF(E205&lt;&gt;"", IF(AG204&lt;&gt;"", E205*AG204, ""), "")</f>
        <v/>
      </c>
      <c r="AH205" s="22" t="str">
        <f>IF(E205&lt;&gt;"", IF(AH204&lt;&gt;"", E205*AH204, ""), "")</f>
        <v/>
      </c>
      <c r="AI205" s="22" t="str">
        <f>IF(E205&lt;&gt;"", IF(AI204&lt;&gt;"", E205*AI204, ""), "")</f>
        <v/>
      </c>
      <c r="AJ205" s="22" t="str">
        <f>IF(E205&lt;&gt;"", IF(AJ204&lt;&gt;"", E205*AJ204, ""), "")</f>
        <v/>
      </c>
      <c r="AK205" s="22" t="str">
        <f>IF(E205&lt;&gt;"", IF(AK204&lt;&gt;"", E205*AK204, ""), "")</f>
        <v/>
      </c>
      <c r="AL205" s="22" t="str">
        <f>IF(E205&lt;&gt;"", IF(AL204&lt;&gt;"", E205*AL204, ""), "")</f>
        <v/>
      </c>
      <c r="AM205" s="22" t="str">
        <f>IF(E205&lt;&gt;"", IF(AM204&lt;&gt;"", E205*AM204, ""), "")</f>
        <v/>
      </c>
      <c r="AN205" s="22" t="str">
        <f>IF(E205&lt;&gt;"", IF(AN204&lt;&gt;"", E205*AN204, ""), "")</f>
        <v/>
      </c>
      <c r="AO205" s="22" t="str">
        <f>IF(E205&lt;&gt;"", IF(AO204&lt;&gt;"", E205*AO204, ""), "")</f>
        <v/>
      </c>
      <c r="AP205" s="22" t="str">
        <f>IF(E205&lt;&gt;"", IF(AP204&lt;&gt;"", E205*AP204, ""), "")</f>
        <v/>
      </c>
      <c r="AQ205" s="22" t="str">
        <f>IF(E205&lt;&gt;"", IF(AQ204&lt;&gt;"", E205*AQ204, ""), "")</f>
        <v/>
      </c>
      <c r="AR205" s="22" t="str">
        <f>IF(E205&lt;&gt;"", IF(AR204&lt;&gt;"", E205*AR204, ""), "")</f>
        <v/>
      </c>
      <c r="AS205" s="22" t="str">
        <f>IF(E205&lt;&gt;"", IF(AS204&lt;&gt;"", E205*AS204, ""), "")</f>
        <v/>
      </c>
      <c r="AT205" s="22" t="str">
        <f>IF(E205&lt;&gt;"", IF(AT204&lt;&gt;"", E205*AT204, ""), "")</f>
        <v/>
      </c>
      <c r="AU205" s="22" t="str">
        <f>IF(E205&lt;&gt;"", IF(AU204&lt;&gt;"", E205*AU204, ""), "")</f>
        <v/>
      </c>
      <c r="AV205" s="22" t="str">
        <f>IF(E205&lt;&gt;"", IF(AV204&lt;&gt;"", E205*AV204, ""), "")</f>
        <v/>
      </c>
      <c r="AW205" s="22" t="str">
        <f>IF(E205&lt;&gt;"", IF(AW204&lt;&gt;"", E205*AW204, ""), "")</f>
        <v/>
      </c>
      <c r="AX205" s="22" t="str">
        <f>IF(E205&lt;&gt;"", IF(AX204&lt;&gt;"", E205*AX204, ""), "")</f>
        <v/>
      </c>
      <c r="AY205" s="22" t="str">
        <f>IF(E205&lt;&gt;"", IF(AY204&lt;&gt;"", E205*AY204, ""), "")</f>
        <v/>
      </c>
      <c r="AZ205" s="22" t="str">
        <f>IF(E205&lt;&gt;"", IF(AZ204&lt;&gt;"", E205*AZ204, ""), "")</f>
        <v/>
      </c>
      <c r="BA205" s="22" t="str">
        <f>IF(E205&lt;&gt;"", IF(BA204&lt;&gt;"", E205*BA204, ""), "")</f>
        <v/>
      </c>
      <c r="BB205" s="22" t="str">
        <f>IF(E205&lt;&gt;"", IF(BB204&lt;&gt;"", E205*BB204, ""), "")</f>
        <v/>
      </c>
      <c r="BC205" s="22" t="str">
        <f>IF(E205&lt;&gt;"", IF(BC204&lt;&gt;"", E205*BC204, ""), "")</f>
        <v/>
      </c>
      <c r="BD205" s="22" t="str">
        <f>IF(E205&lt;&gt;"", IF(BD204&lt;&gt;"", E205*BD204, ""), "")</f>
        <v/>
      </c>
      <c r="BE205" s="22" t="str">
        <f>IF(E205&lt;&gt;"", IF(BE204&lt;&gt;"", E205*BE204, ""), "")</f>
        <v/>
      </c>
      <c r="DA205" s="18">
        <f>F205</f>
        <v>74</v>
      </c>
    </row>
    <row r="206" spans="1:124" ht="20.100000000000001" customHeight="1">
      <c r="A206" s="220">
        <v>6</v>
      </c>
      <c r="B206" s="7"/>
      <c r="C206" s="7"/>
      <c r="D206" s="5" t="s">
        <v>241</v>
      </c>
      <c r="E206" s="3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>
        <v>1</v>
      </c>
      <c r="V206" s="46"/>
      <c r="W206" s="46"/>
      <c r="X206" s="46"/>
      <c r="Y206" s="46"/>
      <c r="Z206" s="46"/>
      <c r="AA206" s="59"/>
      <c r="AB206" s="59"/>
      <c r="AC206" s="59"/>
      <c r="AD206" s="59"/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59"/>
      <c r="BA206" s="59"/>
      <c r="BB206" s="59"/>
      <c r="BC206" s="59"/>
      <c r="BD206" s="59"/>
      <c r="BE206" s="59"/>
    </row>
    <row r="207" spans="1:124" ht="20.100000000000001" customHeight="1">
      <c r="A207" s="221"/>
      <c r="B207" s="7"/>
      <c r="C207" s="7"/>
      <c r="D207" s="78" t="s">
        <v>293</v>
      </c>
      <c r="E207" s="47">
        <f>IF(egTextCal(D207)&lt;&gt;0, egTextCal(D207),"")</f>
        <v>597</v>
      </c>
      <c r="F207" s="48" t="str">
        <f>IF(E207&lt;&gt;"", IF(F206&lt;&gt;"", E207*F206,""),"")</f>
        <v/>
      </c>
      <c r="G207" s="48" t="str">
        <f>IF(E207&lt;&gt;"", IF(G206&lt;&gt;"", E207*G206,""),"")</f>
        <v/>
      </c>
      <c r="H207" s="48" t="str">
        <f>IF(E207&lt;&gt;"", IF(H206&lt;&gt;"", E207*H206,""),"")</f>
        <v/>
      </c>
      <c r="I207" s="48" t="str">
        <f>IF(E207&lt;&gt;"", IF(I206&lt;&gt;"", E207*I206,""),"")</f>
        <v/>
      </c>
      <c r="J207" s="48" t="str">
        <f>IF(E207&lt;&gt;"", IF(J206&lt;&gt;"", E207*J206,""),"")</f>
        <v/>
      </c>
      <c r="K207" s="48" t="str">
        <f>IF(E207&lt;&gt;"", IF(K206&lt;&gt;"", E207*K206,""),"")</f>
        <v/>
      </c>
      <c r="L207" s="48" t="str">
        <f>IF(E207&lt;&gt;"", IF(L206&lt;&gt;"", E207*L206,""),"")</f>
        <v/>
      </c>
      <c r="M207" s="48" t="str">
        <f>IF(E207&lt;&gt;"", IF(M206&lt;&gt;"", E207*M206,""),"")</f>
        <v/>
      </c>
      <c r="N207" s="48" t="str">
        <f>IF(E207&lt;&gt;"", IF(N206&lt;&gt;"", E207*N206,""),"")</f>
        <v/>
      </c>
      <c r="O207" s="48" t="str">
        <f>IF(E207&lt;&gt;"", IF(O206&lt;&gt;"", E207*O206,""),"")</f>
        <v/>
      </c>
      <c r="P207" s="48" t="str">
        <f>IF(E207&lt;&gt;"", IF(P206&lt;&gt;"", E207*P206,""),"")</f>
        <v/>
      </c>
      <c r="Q207" s="48" t="str">
        <f>IF(E207&lt;&gt;"", IF(Q206&lt;&gt;"", E207*Q206,""),"")</f>
        <v/>
      </c>
      <c r="R207" s="48" t="str">
        <f>IF(E207&lt;&gt;"", IF(R206&lt;&gt;"", E207*R206,""),"")</f>
        <v/>
      </c>
      <c r="S207" s="48" t="str">
        <f>IF(E207&lt;&gt;"", IF(S206&lt;&gt;"", E207*S206,""),"")</f>
        <v/>
      </c>
      <c r="T207" s="48" t="str">
        <f>IF(E207&lt;&gt;"", IF(T206&lt;&gt;"", E207*T206,""),"")</f>
        <v/>
      </c>
      <c r="U207" s="48">
        <f>IF(E207&lt;&gt;"", IF(U206&lt;&gt;"", E207*U206,""),"")</f>
        <v>597</v>
      </c>
      <c r="V207" s="48" t="str">
        <f>IF(E207&lt;&gt;"", IF(V206&lt;&gt;"", E207*V206,""),"")</f>
        <v/>
      </c>
      <c r="W207" s="48" t="str">
        <f>IF(E207&lt;&gt;"", IF(W206&lt;&gt;"", E207*W206,""),"")</f>
        <v/>
      </c>
      <c r="X207" s="48" t="str">
        <f>IF(E207&lt;&gt;"", IF(X206&lt;&gt;"", E207*X206,""),"")</f>
        <v/>
      </c>
      <c r="Y207" s="48" t="str">
        <f>IF(E207&lt;&gt;"", IF(Y206&lt;&gt;"", E207*Y206,""),"")</f>
        <v/>
      </c>
      <c r="Z207" s="48" t="str">
        <f>IF(E207&lt;&gt;"", IF(Z206&lt;&gt;"", E207*Z206,""),"")</f>
        <v/>
      </c>
      <c r="AA207" s="22"/>
      <c r="AB207" s="22" t="str">
        <f>IF(E207&lt;&gt;"", IF(AB206&lt;&gt;"", E207*AB206, ""), "")</f>
        <v/>
      </c>
      <c r="AC207" s="22" t="str">
        <f>IF(E207&lt;&gt;"", IF(AC206&lt;&gt;"", E207*AC206, ""), "")</f>
        <v/>
      </c>
      <c r="AD207" s="22" t="str">
        <f>IF(E207&lt;&gt;"", IF(AD206&lt;&gt;"", E207*AD206, ""), "")</f>
        <v/>
      </c>
      <c r="AE207" s="22" t="str">
        <f>IF(E207&lt;&gt;"", IF(AE206&lt;&gt;"", E207*AE206, ""), "")</f>
        <v/>
      </c>
      <c r="AF207" s="22" t="str">
        <f>IF(E207&lt;&gt;"", IF(AF206&lt;&gt;"", E207*AF206, ""), "")</f>
        <v/>
      </c>
      <c r="AG207" s="22" t="str">
        <f>IF(E207&lt;&gt;"", IF(AG206&lt;&gt;"", E207*AG206, ""), "")</f>
        <v/>
      </c>
      <c r="AH207" s="22" t="str">
        <f>IF(E207&lt;&gt;"", IF(AH206&lt;&gt;"", E207*AH206, ""), "")</f>
        <v/>
      </c>
      <c r="AI207" s="22" t="str">
        <f>IF(E207&lt;&gt;"", IF(AI206&lt;&gt;"", E207*AI206, ""), "")</f>
        <v/>
      </c>
      <c r="AJ207" s="22" t="str">
        <f>IF(E207&lt;&gt;"", IF(AJ206&lt;&gt;"", E207*AJ206, ""), "")</f>
        <v/>
      </c>
      <c r="AK207" s="22" t="str">
        <f>IF(E207&lt;&gt;"", IF(AK206&lt;&gt;"", E207*AK206, ""), "")</f>
        <v/>
      </c>
      <c r="AL207" s="22" t="str">
        <f>IF(E207&lt;&gt;"", IF(AL206&lt;&gt;"", E207*AL206, ""), "")</f>
        <v/>
      </c>
      <c r="AM207" s="22" t="str">
        <f>IF(E207&lt;&gt;"", IF(AM206&lt;&gt;"", E207*AM206, ""), "")</f>
        <v/>
      </c>
      <c r="AN207" s="22" t="str">
        <f>IF(E207&lt;&gt;"", IF(AN206&lt;&gt;"", E207*AN206, ""), "")</f>
        <v/>
      </c>
      <c r="AO207" s="22" t="str">
        <f>IF(E207&lt;&gt;"", IF(AO206&lt;&gt;"", E207*AO206, ""), "")</f>
        <v/>
      </c>
      <c r="AP207" s="22" t="str">
        <f>IF(E207&lt;&gt;"", IF(AP206&lt;&gt;"", E207*AP206, ""), "")</f>
        <v/>
      </c>
      <c r="AQ207" s="22" t="str">
        <f>IF(E207&lt;&gt;"", IF(AQ206&lt;&gt;"", E207*AQ206, ""), "")</f>
        <v/>
      </c>
      <c r="AR207" s="22" t="str">
        <f>IF(E207&lt;&gt;"", IF(AR206&lt;&gt;"", E207*AR206, ""), "")</f>
        <v/>
      </c>
      <c r="AS207" s="22" t="str">
        <f>IF(E207&lt;&gt;"", IF(AS206&lt;&gt;"", E207*AS206, ""), "")</f>
        <v/>
      </c>
      <c r="AT207" s="22" t="str">
        <f>IF(E207&lt;&gt;"", IF(AT206&lt;&gt;"", E207*AT206, ""), "")</f>
        <v/>
      </c>
      <c r="AU207" s="22" t="str">
        <f>IF(E207&lt;&gt;"", IF(AU206&lt;&gt;"", E207*AU206, ""), "")</f>
        <v/>
      </c>
      <c r="AV207" s="22" t="str">
        <f>IF(E207&lt;&gt;"", IF(AV206&lt;&gt;"", E207*AV206, ""), "")</f>
        <v/>
      </c>
      <c r="AW207" s="22" t="str">
        <f>IF(E207&lt;&gt;"", IF(AW206&lt;&gt;"", E207*AW206, ""), "")</f>
        <v/>
      </c>
      <c r="AX207" s="22" t="str">
        <f>IF(E207&lt;&gt;"", IF(AX206&lt;&gt;"", E207*AX206, ""), "")</f>
        <v/>
      </c>
      <c r="AY207" s="22" t="str">
        <f>IF(E207&lt;&gt;"", IF(AY206&lt;&gt;"", E207*AY206, ""), "")</f>
        <v/>
      </c>
      <c r="AZ207" s="22" t="str">
        <f>IF(E207&lt;&gt;"", IF(AZ206&lt;&gt;"", E207*AZ206, ""), "")</f>
        <v/>
      </c>
      <c r="BA207" s="22" t="str">
        <f>IF(E207&lt;&gt;"", IF(BA206&lt;&gt;"", E207*BA206, ""), "")</f>
        <v/>
      </c>
      <c r="BB207" s="22" t="str">
        <f>IF(E207&lt;&gt;"", IF(BB206&lt;&gt;"", E207*BB206, ""), "")</f>
        <v/>
      </c>
      <c r="BC207" s="22" t="str">
        <f>IF(E207&lt;&gt;"", IF(BC206&lt;&gt;"", E207*BC206, ""), "")</f>
        <v/>
      </c>
      <c r="BD207" s="22" t="str">
        <f>IF(E207&lt;&gt;"", IF(BD206&lt;&gt;"", E207*BD206, ""), "")</f>
        <v/>
      </c>
      <c r="BE207" s="22" t="str">
        <f>IF(E207&lt;&gt;"", IF(BE206&lt;&gt;"", E207*BE206, ""), "")</f>
        <v/>
      </c>
      <c r="DP207" s="18">
        <f>U207</f>
        <v>597</v>
      </c>
    </row>
    <row r="208" spans="1:124" ht="20.100000000000001" customHeight="1">
      <c r="A208" s="220">
        <v>7</v>
      </c>
      <c r="B208" s="7"/>
      <c r="C208" s="7"/>
      <c r="D208" s="5" t="s">
        <v>285</v>
      </c>
      <c r="E208" s="3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>
        <v>1</v>
      </c>
      <c r="U208" s="46"/>
      <c r="V208" s="46"/>
      <c r="W208" s="46"/>
      <c r="X208" s="46"/>
      <c r="Y208" s="46"/>
      <c r="Z208" s="46"/>
      <c r="AA208" s="59"/>
      <c r="AB208" s="59"/>
      <c r="AC208" s="59"/>
      <c r="AD208" s="59"/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59"/>
      <c r="BA208" s="59"/>
      <c r="BB208" s="59"/>
      <c r="BC208" s="59"/>
      <c r="BD208" s="59"/>
      <c r="BE208" s="59"/>
    </row>
    <row r="209" spans="1:125" ht="20.100000000000001" customHeight="1">
      <c r="A209" s="221"/>
      <c r="B209" s="7"/>
      <c r="C209" s="7"/>
      <c r="D209" s="78" t="s">
        <v>294</v>
      </c>
      <c r="E209" s="47">
        <f>IF(egTextCal(D209)&lt;&gt;0, egTextCal(D209),"")</f>
        <v>272</v>
      </c>
      <c r="F209" s="48" t="str">
        <f>IF(E209&lt;&gt;"", IF(F208&lt;&gt;"", E209*F208,""),"")</f>
        <v/>
      </c>
      <c r="G209" s="48" t="str">
        <f>IF(E209&lt;&gt;"", IF(G208&lt;&gt;"", E209*G208,""),"")</f>
        <v/>
      </c>
      <c r="H209" s="48" t="str">
        <f>IF(E209&lt;&gt;"", IF(H208&lt;&gt;"", E209*H208,""),"")</f>
        <v/>
      </c>
      <c r="I209" s="48" t="str">
        <f>IF(E209&lt;&gt;"", IF(I208&lt;&gt;"", E209*I208,""),"")</f>
        <v/>
      </c>
      <c r="J209" s="48" t="str">
        <f>IF(E209&lt;&gt;"", IF(J208&lt;&gt;"", E209*J208,""),"")</f>
        <v/>
      </c>
      <c r="K209" s="48" t="str">
        <f>IF(E209&lt;&gt;"", IF(K208&lt;&gt;"", E209*K208,""),"")</f>
        <v/>
      </c>
      <c r="L209" s="48" t="str">
        <f>IF(E209&lt;&gt;"", IF(L208&lt;&gt;"", E209*L208,""),"")</f>
        <v/>
      </c>
      <c r="M209" s="48" t="str">
        <f>IF(E209&lt;&gt;"", IF(M208&lt;&gt;"", E209*M208,""),"")</f>
        <v/>
      </c>
      <c r="N209" s="48" t="str">
        <f>IF(E209&lt;&gt;"", IF(N208&lt;&gt;"", E209*N208,""),"")</f>
        <v/>
      </c>
      <c r="O209" s="48" t="str">
        <f>IF(E209&lt;&gt;"", IF(O208&lt;&gt;"", E209*O208,""),"")</f>
        <v/>
      </c>
      <c r="P209" s="48" t="str">
        <f>IF(E209&lt;&gt;"", IF(P208&lt;&gt;"", E209*P208,""),"")</f>
        <v/>
      </c>
      <c r="Q209" s="48" t="str">
        <f>IF(E209&lt;&gt;"", IF(Q208&lt;&gt;"", E209*Q208,""),"")</f>
        <v/>
      </c>
      <c r="R209" s="48" t="str">
        <f>IF(E209&lt;&gt;"", IF(R208&lt;&gt;"", E209*R208,""),"")</f>
        <v/>
      </c>
      <c r="S209" s="48" t="str">
        <f>IF(E209&lt;&gt;"", IF(S208&lt;&gt;"", E209*S208,""),"")</f>
        <v/>
      </c>
      <c r="T209" s="48">
        <f>IF(E209&lt;&gt;"", IF(T208&lt;&gt;"", E209*T208,""),"")</f>
        <v>272</v>
      </c>
      <c r="U209" s="48" t="str">
        <f>IF(E209&lt;&gt;"", IF(U208&lt;&gt;"", E209*U208,""),"")</f>
        <v/>
      </c>
      <c r="V209" s="48" t="str">
        <f>IF(E209&lt;&gt;"", IF(V208&lt;&gt;"", E209*V208,""),"")</f>
        <v/>
      </c>
      <c r="W209" s="48" t="str">
        <f>IF(E209&lt;&gt;"", IF(W208&lt;&gt;"", E209*W208,""),"")</f>
        <v/>
      </c>
      <c r="X209" s="48" t="str">
        <f>IF(E209&lt;&gt;"", IF(X208&lt;&gt;"", E209*X208,""),"")</f>
        <v/>
      </c>
      <c r="Y209" s="48" t="str">
        <f>IF(E209&lt;&gt;"", IF(Y208&lt;&gt;"", E209*Y208,""),"")</f>
        <v/>
      </c>
      <c r="Z209" s="48" t="str">
        <f>IF(E209&lt;&gt;"", IF(Z208&lt;&gt;"", E209*Z208,""),"")</f>
        <v/>
      </c>
      <c r="AA209" s="22"/>
      <c r="AB209" s="22" t="str">
        <f>IF(E209&lt;&gt;"", IF(AB208&lt;&gt;"", E209*AB208, ""), "")</f>
        <v/>
      </c>
      <c r="AC209" s="22" t="str">
        <f>IF(E209&lt;&gt;"", IF(AC208&lt;&gt;"", E209*AC208, ""), "")</f>
        <v/>
      </c>
      <c r="AD209" s="22" t="str">
        <f>IF(E209&lt;&gt;"", IF(AD208&lt;&gt;"", E209*AD208, ""), "")</f>
        <v/>
      </c>
      <c r="AE209" s="22" t="str">
        <f>IF(E209&lt;&gt;"", IF(AE208&lt;&gt;"", E209*AE208, ""), "")</f>
        <v/>
      </c>
      <c r="AF209" s="22" t="str">
        <f>IF(E209&lt;&gt;"", IF(AF208&lt;&gt;"", E209*AF208, ""), "")</f>
        <v/>
      </c>
      <c r="AG209" s="22" t="str">
        <f>IF(E209&lt;&gt;"", IF(AG208&lt;&gt;"", E209*AG208, ""), "")</f>
        <v/>
      </c>
      <c r="AH209" s="22" t="str">
        <f>IF(E209&lt;&gt;"", IF(AH208&lt;&gt;"", E209*AH208, ""), "")</f>
        <v/>
      </c>
      <c r="AI209" s="22" t="str">
        <f>IF(E209&lt;&gt;"", IF(AI208&lt;&gt;"", E209*AI208, ""), "")</f>
        <v/>
      </c>
      <c r="AJ209" s="22" t="str">
        <f>IF(E209&lt;&gt;"", IF(AJ208&lt;&gt;"", E209*AJ208, ""), "")</f>
        <v/>
      </c>
      <c r="AK209" s="22" t="str">
        <f>IF(E209&lt;&gt;"", IF(AK208&lt;&gt;"", E209*AK208, ""), "")</f>
        <v/>
      </c>
      <c r="AL209" s="22" t="str">
        <f>IF(E209&lt;&gt;"", IF(AL208&lt;&gt;"", E209*AL208, ""), "")</f>
        <v/>
      </c>
      <c r="AM209" s="22" t="str">
        <f>IF(E209&lt;&gt;"", IF(AM208&lt;&gt;"", E209*AM208, ""), "")</f>
        <v/>
      </c>
      <c r="AN209" s="22" t="str">
        <f>IF(E209&lt;&gt;"", IF(AN208&lt;&gt;"", E209*AN208, ""), "")</f>
        <v/>
      </c>
      <c r="AO209" s="22" t="str">
        <f>IF(E209&lt;&gt;"", IF(AO208&lt;&gt;"", E209*AO208, ""), "")</f>
        <v/>
      </c>
      <c r="AP209" s="22" t="str">
        <f>IF(E209&lt;&gt;"", IF(AP208&lt;&gt;"", E209*AP208, ""), "")</f>
        <v/>
      </c>
      <c r="AQ209" s="22" t="str">
        <f>IF(E209&lt;&gt;"", IF(AQ208&lt;&gt;"", E209*AQ208, ""), "")</f>
        <v/>
      </c>
      <c r="AR209" s="22" t="str">
        <f>IF(E209&lt;&gt;"", IF(AR208&lt;&gt;"", E209*AR208, ""), "")</f>
        <v/>
      </c>
      <c r="AS209" s="22" t="str">
        <f>IF(E209&lt;&gt;"", IF(AS208&lt;&gt;"", E209*AS208, ""), "")</f>
        <v/>
      </c>
      <c r="AT209" s="22" t="str">
        <f>IF(E209&lt;&gt;"", IF(AT208&lt;&gt;"", E209*AT208, ""), "")</f>
        <v/>
      </c>
      <c r="AU209" s="22" t="str">
        <f>IF(E209&lt;&gt;"", IF(AU208&lt;&gt;"", E209*AU208, ""), "")</f>
        <v/>
      </c>
      <c r="AV209" s="22" t="str">
        <f>IF(E209&lt;&gt;"", IF(AV208&lt;&gt;"", E209*AV208, ""), "")</f>
        <v/>
      </c>
      <c r="AW209" s="22" t="str">
        <f>IF(E209&lt;&gt;"", IF(AW208&lt;&gt;"", E209*AW208, ""), "")</f>
        <v/>
      </c>
      <c r="AX209" s="22" t="str">
        <f>IF(E209&lt;&gt;"", IF(AX208&lt;&gt;"", E209*AX208, ""), "")</f>
        <v/>
      </c>
      <c r="AY209" s="22" t="str">
        <f>IF(E209&lt;&gt;"", IF(AY208&lt;&gt;"", E209*AY208, ""), "")</f>
        <v/>
      </c>
      <c r="AZ209" s="22" t="str">
        <f>IF(E209&lt;&gt;"", IF(AZ208&lt;&gt;"", E209*AZ208, ""), "")</f>
        <v/>
      </c>
      <c r="BA209" s="22" t="str">
        <f>IF(E209&lt;&gt;"", IF(BA208&lt;&gt;"", E209*BA208, ""), "")</f>
        <v/>
      </c>
      <c r="BB209" s="22" t="str">
        <f>IF(E209&lt;&gt;"", IF(BB208&lt;&gt;"", E209*BB208, ""), "")</f>
        <v/>
      </c>
      <c r="BC209" s="22" t="str">
        <f>IF(E209&lt;&gt;"", IF(BC208&lt;&gt;"", E209*BC208, ""), "")</f>
        <v/>
      </c>
      <c r="BD209" s="22" t="str">
        <f>IF(E209&lt;&gt;"", IF(BD208&lt;&gt;"", E209*BD208, ""), "")</f>
        <v/>
      </c>
      <c r="BE209" s="22" t="str">
        <f>IF(E209&lt;&gt;"", IF(BE208&lt;&gt;"", E209*BE208, ""), "")</f>
        <v/>
      </c>
      <c r="DO209" s="18">
        <f>T209</f>
        <v>272</v>
      </c>
    </row>
    <row r="210" spans="1:125" ht="20.100000000000001" customHeight="1">
      <c r="A210" s="220">
        <v>8</v>
      </c>
      <c r="B210" s="7"/>
      <c r="C210" s="7"/>
      <c r="D210" s="5" t="s">
        <v>246</v>
      </c>
      <c r="E210" s="3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>
        <v>1</v>
      </c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59"/>
      <c r="AB210" s="59"/>
      <c r="AC210" s="59"/>
      <c r="AD210" s="59"/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59"/>
      <c r="BB210" s="59"/>
      <c r="BC210" s="59"/>
      <c r="BD210" s="59"/>
      <c r="BE210" s="59"/>
    </row>
    <row r="211" spans="1:125" ht="20.100000000000001" customHeight="1">
      <c r="A211" s="221"/>
      <c r="B211" s="7"/>
      <c r="C211" s="7"/>
      <c r="D211" s="78">
        <v>3</v>
      </c>
      <c r="E211" s="47">
        <f>IF(egTextCal(D211)&lt;&gt;0, egTextCal(D211),"")</f>
        <v>3</v>
      </c>
      <c r="F211" s="48" t="str">
        <f>IF(E211&lt;&gt;"", IF(F210&lt;&gt;"", E211*F210,""),"")</f>
        <v/>
      </c>
      <c r="G211" s="48" t="str">
        <f>IF(E211&lt;&gt;"", IF(G210&lt;&gt;"", E211*G210,""),"")</f>
        <v/>
      </c>
      <c r="H211" s="48" t="str">
        <f>IF(E211&lt;&gt;"", IF(H210&lt;&gt;"", E211*H210,""),"")</f>
        <v/>
      </c>
      <c r="I211" s="48" t="str">
        <f>IF(E211&lt;&gt;"", IF(I210&lt;&gt;"", E211*I210,""),"")</f>
        <v/>
      </c>
      <c r="J211" s="48" t="str">
        <f>IF(E211&lt;&gt;"", IF(J210&lt;&gt;"", E211*J210,""),"")</f>
        <v/>
      </c>
      <c r="K211" s="48" t="str">
        <f>IF(E211&lt;&gt;"", IF(K210&lt;&gt;"", E211*K210,""),"")</f>
        <v/>
      </c>
      <c r="L211" s="48" t="str">
        <f>IF(E211&lt;&gt;"", IF(L210&lt;&gt;"", E211*L210,""),"")</f>
        <v/>
      </c>
      <c r="M211" s="48" t="str">
        <f>IF(E211&lt;&gt;"", IF(M210&lt;&gt;"", E211*M210,""),"")</f>
        <v/>
      </c>
      <c r="N211" s="48" t="str">
        <f>IF(E211&lt;&gt;"", IF(N210&lt;&gt;"", E211*N210,""),"")</f>
        <v/>
      </c>
      <c r="O211" s="48" t="str">
        <f>IF(E211&lt;&gt;"", IF(O210&lt;&gt;"", E211*O210,""),"")</f>
        <v/>
      </c>
      <c r="P211" s="48">
        <f>IF(E211&lt;&gt;"", IF(P210&lt;&gt;"", E211*P210,""),"")</f>
        <v>3</v>
      </c>
      <c r="Q211" s="48" t="str">
        <f>IF(E211&lt;&gt;"", IF(Q210&lt;&gt;"", E211*Q210,""),"")</f>
        <v/>
      </c>
      <c r="R211" s="48" t="str">
        <f>IF(E211&lt;&gt;"", IF(R210&lt;&gt;"", E211*R210,""),"")</f>
        <v/>
      </c>
      <c r="S211" s="48" t="str">
        <f>IF(E211&lt;&gt;"", IF(S210&lt;&gt;"", E211*S210,""),"")</f>
        <v/>
      </c>
      <c r="T211" s="48" t="str">
        <f>IF(E211&lt;&gt;"", IF(T210&lt;&gt;"", E211*T210,""),"")</f>
        <v/>
      </c>
      <c r="U211" s="48" t="str">
        <f>IF(E211&lt;&gt;"", IF(U210&lt;&gt;"", E211*U210,""),"")</f>
        <v/>
      </c>
      <c r="V211" s="48" t="str">
        <f>IF(E211&lt;&gt;"", IF(V210&lt;&gt;"", E211*V210,""),"")</f>
        <v/>
      </c>
      <c r="W211" s="48" t="str">
        <f>IF(E211&lt;&gt;"", IF(W210&lt;&gt;"", E211*W210,""),"")</f>
        <v/>
      </c>
      <c r="X211" s="48" t="str">
        <f>IF(E211&lt;&gt;"", IF(X210&lt;&gt;"", E211*X210,""),"")</f>
        <v/>
      </c>
      <c r="Y211" s="48" t="str">
        <f>IF(E211&lt;&gt;"", IF(Y210&lt;&gt;"", E211*Y210,""),"")</f>
        <v/>
      </c>
      <c r="Z211" s="48" t="str">
        <f>IF(E211&lt;&gt;"", IF(Z210&lt;&gt;"", E211*Z210,""),"")</f>
        <v/>
      </c>
      <c r="AA211" s="22"/>
      <c r="AB211" s="22" t="str">
        <f>IF(E211&lt;&gt;"", IF(AB210&lt;&gt;"", E211*AB210, ""), "")</f>
        <v/>
      </c>
      <c r="AC211" s="22" t="str">
        <f>IF(E211&lt;&gt;"", IF(AC210&lt;&gt;"", E211*AC210, ""), "")</f>
        <v/>
      </c>
      <c r="AD211" s="22" t="str">
        <f>IF(E211&lt;&gt;"", IF(AD210&lt;&gt;"", E211*AD210, ""), "")</f>
        <v/>
      </c>
      <c r="AE211" s="22" t="str">
        <f>IF(E211&lt;&gt;"", IF(AE210&lt;&gt;"", E211*AE210, ""), "")</f>
        <v/>
      </c>
      <c r="AF211" s="22" t="str">
        <f>IF(E211&lt;&gt;"", IF(AF210&lt;&gt;"", E211*AF210, ""), "")</f>
        <v/>
      </c>
      <c r="AG211" s="22" t="str">
        <f>IF(E211&lt;&gt;"", IF(AG210&lt;&gt;"", E211*AG210, ""), "")</f>
        <v/>
      </c>
      <c r="AH211" s="22" t="str">
        <f>IF(E211&lt;&gt;"", IF(AH210&lt;&gt;"", E211*AH210, ""), "")</f>
        <v/>
      </c>
      <c r="AI211" s="22" t="str">
        <f>IF(E211&lt;&gt;"", IF(AI210&lt;&gt;"", E211*AI210, ""), "")</f>
        <v/>
      </c>
      <c r="AJ211" s="22" t="str">
        <f>IF(E211&lt;&gt;"", IF(AJ210&lt;&gt;"", E211*AJ210, ""), "")</f>
        <v/>
      </c>
      <c r="AK211" s="22" t="str">
        <f>IF(E211&lt;&gt;"", IF(AK210&lt;&gt;"", E211*AK210, ""), "")</f>
        <v/>
      </c>
      <c r="AL211" s="22" t="str">
        <f>IF(E211&lt;&gt;"", IF(AL210&lt;&gt;"", E211*AL210, ""), "")</f>
        <v/>
      </c>
      <c r="AM211" s="22" t="str">
        <f>IF(E211&lt;&gt;"", IF(AM210&lt;&gt;"", E211*AM210, ""), "")</f>
        <v/>
      </c>
      <c r="AN211" s="22" t="str">
        <f>IF(E211&lt;&gt;"", IF(AN210&lt;&gt;"", E211*AN210, ""), "")</f>
        <v/>
      </c>
      <c r="AO211" s="22" t="str">
        <f>IF(E211&lt;&gt;"", IF(AO210&lt;&gt;"", E211*AO210, ""), "")</f>
        <v/>
      </c>
      <c r="AP211" s="22" t="str">
        <f>IF(E211&lt;&gt;"", IF(AP210&lt;&gt;"", E211*AP210, ""), "")</f>
        <v/>
      </c>
      <c r="AQ211" s="22" t="str">
        <f>IF(E211&lt;&gt;"", IF(AQ210&lt;&gt;"", E211*AQ210, ""), "")</f>
        <v/>
      </c>
      <c r="AR211" s="22" t="str">
        <f>IF(E211&lt;&gt;"", IF(AR210&lt;&gt;"", E211*AR210, ""), "")</f>
        <v/>
      </c>
      <c r="AS211" s="22" t="str">
        <f>IF(E211&lt;&gt;"", IF(AS210&lt;&gt;"", E211*AS210, ""), "")</f>
        <v/>
      </c>
      <c r="AT211" s="22" t="str">
        <f>IF(E211&lt;&gt;"", IF(AT210&lt;&gt;"", E211*AT210, ""), "")</f>
        <v/>
      </c>
      <c r="AU211" s="22" t="str">
        <f>IF(E211&lt;&gt;"", IF(AU210&lt;&gt;"", E211*AU210, ""), "")</f>
        <v/>
      </c>
      <c r="AV211" s="22" t="str">
        <f>IF(E211&lt;&gt;"", IF(AV210&lt;&gt;"", E211*AV210, ""), "")</f>
        <v/>
      </c>
      <c r="AW211" s="22" t="str">
        <f>IF(E211&lt;&gt;"", IF(AW210&lt;&gt;"", E211*AW210, ""), "")</f>
        <v/>
      </c>
      <c r="AX211" s="22" t="str">
        <f>IF(E211&lt;&gt;"", IF(AX210&lt;&gt;"", E211*AX210, ""), "")</f>
        <v/>
      </c>
      <c r="AY211" s="22" t="str">
        <f>IF(E211&lt;&gt;"", IF(AY210&lt;&gt;"", E211*AY210, ""), "")</f>
        <v/>
      </c>
      <c r="AZ211" s="22" t="str">
        <f>IF(E211&lt;&gt;"", IF(AZ210&lt;&gt;"", E211*AZ210, ""), "")</f>
        <v/>
      </c>
      <c r="BA211" s="22" t="str">
        <f>IF(E211&lt;&gt;"", IF(BA210&lt;&gt;"", E211*BA210, ""), "")</f>
        <v/>
      </c>
      <c r="BB211" s="22" t="str">
        <f>IF(E211&lt;&gt;"", IF(BB210&lt;&gt;"", E211*BB210, ""), "")</f>
        <v/>
      </c>
      <c r="BC211" s="22" t="str">
        <f>IF(E211&lt;&gt;"", IF(BC210&lt;&gt;"", E211*BC210, ""), "")</f>
        <v/>
      </c>
      <c r="BD211" s="22" t="str">
        <f>IF(E211&lt;&gt;"", IF(BD210&lt;&gt;"", E211*BD210, ""), "")</f>
        <v/>
      </c>
      <c r="BE211" s="22" t="str">
        <f>IF(E211&lt;&gt;"", IF(BE210&lt;&gt;"", E211*BE210, ""), "")</f>
        <v/>
      </c>
      <c r="DK211" s="18">
        <f>P211</f>
        <v>3</v>
      </c>
    </row>
    <row r="212" spans="1:125" ht="20.100000000000001" customHeight="1">
      <c r="A212" s="220">
        <v>9</v>
      </c>
      <c r="B212" s="7"/>
      <c r="C212" s="7"/>
      <c r="D212" s="5" t="s">
        <v>275</v>
      </c>
      <c r="E212" s="3"/>
      <c r="F212" s="46"/>
      <c r="G212" s="46"/>
      <c r="H212" s="46"/>
      <c r="I212" s="46"/>
      <c r="J212" s="46"/>
      <c r="K212" s="46"/>
      <c r="L212" s="46"/>
      <c r="M212" s="46"/>
      <c r="N212" s="46"/>
      <c r="O212" s="46">
        <v>1</v>
      </c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</row>
    <row r="213" spans="1:125" ht="20.100000000000001" customHeight="1">
      <c r="A213" s="221"/>
      <c r="B213" s="7"/>
      <c r="C213" s="7"/>
      <c r="D213" s="78">
        <v>4</v>
      </c>
      <c r="E213" s="47">
        <f>IF(egTextCal(D213)&lt;&gt;0, egTextCal(D213),"")</f>
        <v>4</v>
      </c>
      <c r="F213" s="48" t="str">
        <f>IF(E213&lt;&gt;"", IF(F212&lt;&gt;"", E213*F212,""),"")</f>
        <v/>
      </c>
      <c r="G213" s="48" t="str">
        <f>IF(E213&lt;&gt;"", IF(G212&lt;&gt;"", E213*G212,""),"")</f>
        <v/>
      </c>
      <c r="H213" s="48" t="str">
        <f>IF(E213&lt;&gt;"", IF(H212&lt;&gt;"", E213*H212,""),"")</f>
        <v/>
      </c>
      <c r="I213" s="48" t="str">
        <f>IF(E213&lt;&gt;"", IF(I212&lt;&gt;"", E213*I212,""),"")</f>
        <v/>
      </c>
      <c r="J213" s="48" t="str">
        <f>IF(E213&lt;&gt;"", IF(J212&lt;&gt;"", E213*J212,""),"")</f>
        <v/>
      </c>
      <c r="K213" s="48" t="str">
        <f>IF(E213&lt;&gt;"", IF(K212&lt;&gt;"", E213*K212,""),"")</f>
        <v/>
      </c>
      <c r="L213" s="48" t="str">
        <f>IF(E213&lt;&gt;"", IF(L212&lt;&gt;"", E213*L212,""),"")</f>
        <v/>
      </c>
      <c r="M213" s="48" t="str">
        <f>IF(E213&lt;&gt;"", IF(M212&lt;&gt;"", E213*M212,""),"")</f>
        <v/>
      </c>
      <c r="N213" s="48" t="str">
        <f>IF(E213&lt;&gt;"", IF(N212&lt;&gt;"", E213*N212,""),"")</f>
        <v/>
      </c>
      <c r="O213" s="48">
        <f>IF(E213&lt;&gt;"", IF(O212&lt;&gt;"", E213*O212,""),"")</f>
        <v>4</v>
      </c>
      <c r="P213" s="48" t="str">
        <f>IF(E213&lt;&gt;"", IF(P212&lt;&gt;"", E213*P212,""),"")</f>
        <v/>
      </c>
      <c r="Q213" s="48" t="str">
        <f>IF(E213&lt;&gt;"", IF(Q212&lt;&gt;"", E213*Q212,""),"")</f>
        <v/>
      </c>
      <c r="R213" s="48" t="str">
        <f>IF(E213&lt;&gt;"", IF(R212&lt;&gt;"", E213*R212,""),"")</f>
        <v/>
      </c>
      <c r="S213" s="48" t="str">
        <f>IF(E213&lt;&gt;"", IF(S212&lt;&gt;"", E213*S212,""),"")</f>
        <v/>
      </c>
      <c r="T213" s="48" t="str">
        <f>IF(E213&lt;&gt;"", IF(T212&lt;&gt;"", E213*T212,""),"")</f>
        <v/>
      </c>
      <c r="U213" s="48" t="str">
        <f>IF(E213&lt;&gt;"", IF(U212&lt;&gt;"", E213*U212,""),"")</f>
        <v/>
      </c>
      <c r="V213" s="48" t="str">
        <f>IF(E213&lt;&gt;"", IF(V212&lt;&gt;"", E213*V212,""),"")</f>
        <v/>
      </c>
      <c r="W213" s="48" t="str">
        <f>IF(E213&lt;&gt;"", IF(W212&lt;&gt;"", E213*W212,""),"")</f>
        <v/>
      </c>
      <c r="X213" s="48" t="str">
        <f>IF(E213&lt;&gt;"", IF(X212&lt;&gt;"", E213*X212,""),"")</f>
        <v/>
      </c>
      <c r="Y213" s="48" t="str">
        <f>IF(E213&lt;&gt;"", IF(Y212&lt;&gt;"", E213*Y212,""),"")</f>
        <v/>
      </c>
      <c r="Z213" s="48" t="str">
        <f>IF(E213&lt;&gt;"", IF(Z212&lt;&gt;"", E213*Z212,""),"")</f>
        <v/>
      </c>
      <c r="AA213" s="22"/>
      <c r="AB213" s="22" t="str">
        <f>IF(E213&lt;&gt;"", IF(AB212&lt;&gt;"", E213*AB212, ""), "")</f>
        <v/>
      </c>
      <c r="AC213" s="22" t="str">
        <f>IF(E213&lt;&gt;"", IF(AC212&lt;&gt;"", E213*AC212, ""), "")</f>
        <v/>
      </c>
      <c r="AD213" s="22" t="str">
        <f>IF(E213&lt;&gt;"", IF(AD212&lt;&gt;"", E213*AD212, ""), "")</f>
        <v/>
      </c>
      <c r="AE213" s="22" t="str">
        <f>IF(E213&lt;&gt;"", IF(AE212&lt;&gt;"", E213*AE212, ""), "")</f>
        <v/>
      </c>
      <c r="AF213" s="22" t="str">
        <f>IF(E213&lt;&gt;"", IF(AF212&lt;&gt;"", E213*AF212, ""), "")</f>
        <v/>
      </c>
      <c r="AG213" s="22" t="str">
        <f>IF(E213&lt;&gt;"", IF(AG212&lt;&gt;"", E213*AG212, ""), "")</f>
        <v/>
      </c>
      <c r="AH213" s="22" t="str">
        <f>IF(E213&lt;&gt;"", IF(AH212&lt;&gt;"", E213*AH212, ""), "")</f>
        <v/>
      </c>
      <c r="AI213" s="22" t="str">
        <f>IF(E213&lt;&gt;"", IF(AI212&lt;&gt;"", E213*AI212, ""), "")</f>
        <v/>
      </c>
      <c r="AJ213" s="22" t="str">
        <f>IF(E213&lt;&gt;"", IF(AJ212&lt;&gt;"", E213*AJ212, ""), "")</f>
        <v/>
      </c>
      <c r="AK213" s="22" t="str">
        <f>IF(E213&lt;&gt;"", IF(AK212&lt;&gt;"", E213*AK212, ""), "")</f>
        <v/>
      </c>
      <c r="AL213" s="22" t="str">
        <f>IF(E213&lt;&gt;"", IF(AL212&lt;&gt;"", E213*AL212, ""), "")</f>
        <v/>
      </c>
      <c r="AM213" s="22" t="str">
        <f>IF(E213&lt;&gt;"", IF(AM212&lt;&gt;"", E213*AM212, ""), "")</f>
        <v/>
      </c>
      <c r="AN213" s="22" t="str">
        <f>IF(E213&lt;&gt;"", IF(AN212&lt;&gt;"", E213*AN212, ""), "")</f>
        <v/>
      </c>
      <c r="AO213" s="22" t="str">
        <f>IF(E213&lt;&gt;"", IF(AO212&lt;&gt;"", E213*AO212, ""), "")</f>
        <v/>
      </c>
      <c r="AP213" s="22" t="str">
        <f>IF(E213&lt;&gt;"", IF(AP212&lt;&gt;"", E213*AP212, ""), "")</f>
        <v/>
      </c>
      <c r="AQ213" s="22" t="str">
        <f>IF(E213&lt;&gt;"", IF(AQ212&lt;&gt;"", E213*AQ212, ""), "")</f>
        <v/>
      </c>
      <c r="AR213" s="22" t="str">
        <f>IF(E213&lt;&gt;"", IF(AR212&lt;&gt;"", E213*AR212, ""), "")</f>
        <v/>
      </c>
      <c r="AS213" s="22" t="str">
        <f>IF(E213&lt;&gt;"", IF(AS212&lt;&gt;"", E213*AS212, ""), "")</f>
        <v/>
      </c>
      <c r="AT213" s="22" t="str">
        <f>IF(E213&lt;&gt;"", IF(AT212&lt;&gt;"", E213*AT212, ""), "")</f>
        <v/>
      </c>
      <c r="AU213" s="22" t="str">
        <f>IF(E213&lt;&gt;"", IF(AU212&lt;&gt;"", E213*AU212, ""), "")</f>
        <v/>
      </c>
      <c r="AV213" s="22" t="str">
        <f>IF(E213&lt;&gt;"", IF(AV212&lt;&gt;"", E213*AV212, ""), "")</f>
        <v/>
      </c>
      <c r="AW213" s="22" t="str">
        <f>IF(E213&lt;&gt;"", IF(AW212&lt;&gt;"", E213*AW212, ""), "")</f>
        <v/>
      </c>
      <c r="AX213" s="22" t="str">
        <f>IF(E213&lt;&gt;"", IF(AX212&lt;&gt;"", E213*AX212, ""), "")</f>
        <v/>
      </c>
      <c r="AY213" s="22" t="str">
        <f>IF(E213&lt;&gt;"", IF(AY212&lt;&gt;"", E213*AY212, ""), "")</f>
        <v/>
      </c>
      <c r="AZ213" s="22" t="str">
        <f>IF(E213&lt;&gt;"", IF(AZ212&lt;&gt;"", E213*AZ212, ""), "")</f>
        <v/>
      </c>
      <c r="BA213" s="22" t="str">
        <f>IF(E213&lt;&gt;"", IF(BA212&lt;&gt;"", E213*BA212, ""), "")</f>
        <v/>
      </c>
      <c r="BB213" s="22" t="str">
        <f>IF(E213&lt;&gt;"", IF(BB212&lt;&gt;"", E213*BB212, ""), "")</f>
        <v/>
      </c>
      <c r="BC213" s="22" t="str">
        <f>IF(E213&lt;&gt;"", IF(BC212&lt;&gt;"", E213*BC212, ""), "")</f>
        <v/>
      </c>
      <c r="BD213" s="22" t="str">
        <f>IF(E213&lt;&gt;"", IF(BD212&lt;&gt;"", E213*BD212, ""), "")</f>
        <v/>
      </c>
      <c r="BE213" s="22" t="str">
        <f>IF(E213&lt;&gt;"", IF(BE212&lt;&gt;"", E213*BE212, ""), "")</f>
        <v/>
      </c>
      <c r="DJ213" s="18">
        <f>O213</f>
        <v>4</v>
      </c>
    </row>
    <row r="214" spans="1:125" ht="20.100000000000001" customHeight="1">
      <c r="A214" s="220">
        <v>10</v>
      </c>
      <c r="B214" s="7"/>
      <c r="C214" s="7"/>
      <c r="D214" s="5" t="s">
        <v>590</v>
      </c>
      <c r="E214" s="3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59"/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59"/>
      <c r="BD214" s="59"/>
      <c r="BE214" s="59"/>
    </row>
    <row r="215" spans="1:125" ht="20.100000000000001" customHeight="1">
      <c r="A215" s="221"/>
      <c r="B215" s="7"/>
      <c r="C215" s="7"/>
      <c r="D215" s="78">
        <v>1</v>
      </c>
      <c r="E215" s="47">
        <f>IF(egTextCal(D215)&lt;&gt;0, egTextCal(D215),"")</f>
        <v>1</v>
      </c>
      <c r="F215" s="48" t="str">
        <f>IF(E215&lt;&gt;"", IF(F214&lt;&gt;"", E215*F214,""),"")</f>
        <v/>
      </c>
      <c r="G215" s="48" t="str">
        <f>IF(E215&lt;&gt;"", IF(G214&lt;&gt;"", E215*G214,""),"")</f>
        <v/>
      </c>
      <c r="H215" s="48" t="str">
        <f>IF(E215&lt;&gt;"", IF(H214&lt;&gt;"", E215*H214,""),"")</f>
        <v/>
      </c>
      <c r="I215" s="48" t="str">
        <f>IF(E215&lt;&gt;"", IF(I214&lt;&gt;"", E215*I214,""),"")</f>
        <v/>
      </c>
      <c r="J215" s="48" t="str">
        <f>IF(E215&lt;&gt;"", IF(J214&lt;&gt;"", E215*J214,""),"")</f>
        <v/>
      </c>
      <c r="K215" s="48" t="str">
        <f>IF(E215&lt;&gt;"", IF(K214&lt;&gt;"", E215*K214,""),"")</f>
        <v/>
      </c>
      <c r="L215" s="48" t="str">
        <f>IF(E215&lt;&gt;"", IF(L214&lt;&gt;"", E215*L214,""),"")</f>
        <v/>
      </c>
      <c r="M215" s="48" t="str">
        <f>IF(E215&lt;&gt;"", IF(M214&lt;&gt;"", E215*M214,""),"")</f>
        <v/>
      </c>
      <c r="N215" s="48" t="str">
        <f>IF(E215&lt;&gt;"", IF(N214&lt;&gt;"", E215*N214,""),"")</f>
        <v/>
      </c>
      <c r="O215" s="48" t="str">
        <f>IF(E215&lt;&gt;"", IF(O214&lt;&gt;"", E215*O214,""),"")</f>
        <v/>
      </c>
      <c r="P215" s="48" t="str">
        <f>IF(E215&lt;&gt;"", IF(P214&lt;&gt;"", E215*P214,""),"")</f>
        <v/>
      </c>
      <c r="Q215" s="48" t="str">
        <f>IF(E215&lt;&gt;"", IF(Q214&lt;&gt;"", E215*Q214,""),"")</f>
        <v/>
      </c>
      <c r="R215" s="48" t="str">
        <f>IF(E215&lt;&gt;"", IF(R214&lt;&gt;"", E215*R214,""),"")</f>
        <v/>
      </c>
      <c r="S215" s="48" t="str">
        <f>IF(E215&lt;&gt;"", IF(S214&lt;&gt;"", E215*S214,""),"")</f>
        <v/>
      </c>
      <c r="T215" s="48" t="str">
        <f>IF(E215&lt;&gt;"", IF(T214&lt;&gt;"", E215*T214,""),"")</f>
        <v/>
      </c>
      <c r="U215" s="48" t="str">
        <f>IF(E215&lt;&gt;"", IF(U214&lt;&gt;"", E215*U214,""),"")</f>
        <v/>
      </c>
      <c r="V215" s="48" t="str">
        <f>IF(E215&lt;&gt;"", IF(V214&lt;&gt;"", E215*V214,""),"")</f>
        <v/>
      </c>
      <c r="W215" s="48" t="str">
        <f>IF(E215&lt;&gt;"", IF(W214&lt;&gt;"", E215*W214,""),"")</f>
        <v/>
      </c>
      <c r="X215" s="48" t="str">
        <f>IF(E215&lt;&gt;"", IF(X214&lt;&gt;"", E215*X214,""),"")</f>
        <v/>
      </c>
      <c r="Y215" s="48" t="str">
        <f>IF(E215&lt;&gt;"", IF(Y214&lt;&gt;"", E215*Y214,""),"")</f>
        <v/>
      </c>
      <c r="Z215" s="48" t="str">
        <f>IF(E215&lt;&gt;"", IF(Z214&lt;&gt;"", E215*Z214,""),"")</f>
        <v/>
      </c>
      <c r="AA215" s="22"/>
      <c r="AB215" s="22" t="str">
        <f>IF(E215&lt;&gt;"", IF(AB214&lt;&gt;"", E215*AB214, ""), "")</f>
        <v/>
      </c>
      <c r="AC215" s="22" t="str">
        <f>IF(E215&lt;&gt;"", IF(AC214&lt;&gt;"", E215*AC214, ""), "")</f>
        <v/>
      </c>
      <c r="AD215" s="22" t="str">
        <f>IF(E215&lt;&gt;"", IF(AD214&lt;&gt;"", E215*AD214, ""), "")</f>
        <v/>
      </c>
      <c r="AE215" s="22" t="str">
        <f>IF(E215&lt;&gt;"", IF(AE214&lt;&gt;"", E215*AE214, ""), "")</f>
        <v/>
      </c>
      <c r="AF215" s="22" t="str">
        <f>IF(E215&lt;&gt;"", IF(AF214&lt;&gt;"", E215*AF214, ""), "")</f>
        <v/>
      </c>
      <c r="AG215" s="22" t="str">
        <f>IF(E215&lt;&gt;"", IF(AG214&lt;&gt;"", E215*AG214, ""), "")</f>
        <v/>
      </c>
      <c r="AH215" s="22" t="str">
        <f>IF(E215&lt;&gt;"", IF(AH214&lt;&gt;"", E215*AH214, ""), "")</f>
        <v/>
      </c>
      <c r="AI215" s="22" t="str">
        <f>IF(E215&lt;&gt;"", IF(AI214&lt;&gt;"", E215*AI214, ""), "")</f>
        <v/>
      </c>
      <c r="AJ215" s="22" t="str">
        <f>IF(E215&lt;&gt;"", IF(AJ214&lt;&gt;"", E215*AJ214, ""), "")</f>
        <v/>
      </c>
      <c r="AK215" s="22" t="str">
        <f>IF(E215&lt;&gt;"", IF(AK214&lt;&gt;"", E215*AK214, ""), "")</f>
        <v/>
      </c>
      <c r="AL215" s="22" t="str">
        <f>IF(E215&lt;&gt;"", IF(AL214&lt;&gt;"", E215*AL214, ""), "")</f>
        <v/>
      </c>
      <c r="AM215" s="22" t="str">
        <f>IF(E215&lt;&gt;"", IF(AM214&lt;&gt;"", E215*AM214, ""), "")</f>
        <v/>
      </c>
      <c r="AN215" s="22" t="str">
        <f>IF(E215&lt;&gt;"", IF(AN214&lt;&gt;"", E215*AN214, ""), "")</f>
        <v/>
      </c>
      <c r="AO215" s="22" t="str">
        <f>IF(E215&lt;&gt;"", IF(AO214&lt;&gt;"", E215*AO214, ""), "")</f>
        <v/>
      </c>
      <c r="AP215" s="22" t="str">
        <f>IF(E215&lt;&gt;"", IF(AP214&lt;&gt;"", E215*AP214, ""), "")</f>
        <v/>
      </c>
      <c r="AQ215" s="22" t="str">
        <f>IF(E215&lt;&gt;"", IF(AQ214&lt;&gt;"", E215*AQ214, ""), "")</f>
        <v/>
      </c>
      <c r="AR215" s="22" t="str">
        <f>IF(E215&lt;&gt;"", IF(AR214&lt;&gt;"", E215*AR214, ""), "")</f>
        <v/>
      </c>
      <c r="AS215" s="22" t="str">
        <f>IF(E215&lt;&gt;"", IF(AS214&lt;&gt;"", E215*AS214, ""), "")</f>
        <v/>
      </c>
      <c r="AT215" s="22" t="str">
        <f>IF(E215&lt;&gt;"", IF(AT214&lt;&gt;"", E215*AT214, ""), "")</f>
        <v/>
      </c>
      <c r="AU215" s="22" t="str">
        <f>IF(E215&lt;&gt;"", IF(AU214&lt;&gt;"", E215*AU214, ""), "")</f>
        <v/>
      </c>
      <c r="AV215" s="22" t="str">
        <f>IF(E215&lt;&gt;"", IF(AV214&lt;&gt;"", E215*AV214, ""), "")</f>
        <v/>
      </c>
      <c r="AW215" s="22" t="str">
        <f>IF(E215&lt;&gt;"", IF(AW214&lt;&gt;"", E215*AW214, ""), "")</f>
        <v/>
      </c>
      <c r="AX215" s="22" t="str">
        <f>IF(E215&lt;&gt;"", IF(AX214&lt;&gt;"", E215*AX214, ""), "")</f>
        <v/>
      </c>
      <c r="AY215" s="22" t="str">
        <f>IF(E215&lt;&gt;"", IF(AY214&lt;&gt;"", E215*AY214, ""), "")</f>
        <v/>
      </c>
      <c r="AZ215" s="22" t="str">
        <f>IF(E215&lt;&gt;"", IF(AZ214&lt;&gt;"", E215*AZ214, ""), "")</f>
        <v/>
      </c>
      <c r="BA215" s="22" t="str">
        <f>IF(E215&lt;&gt;"", IF(BA214&lt;&gt;"", E215*BA214, ""), "")</f>
        <v/>
      </c>
      <c r="BB215" s="22" t="str">
        <f>IF(E215&lt;&gt;"", IF(BB214&lt;&gt;"", E215*BB214, ""), "")</f>
        <v/>
      </c>
      <c r="BC215" s="22" t="str">
        <f>IF(E215&lt;&gt;"", IF(BC214&lt;&gt;"", E215*BC214, ""), "")</f>
        <v/>
      </c>
      <c r="BD215" s="22" t="str">
        <f>IF(E215&lt;&gt;"", IF(BD214&lt;&gt;"", E215*BD214, ""), "")</f>
        <v/>
      </c>
      <c r="BE215" s="22" t="str">
        <f>IF(E215&lt;&gt;"", IF(BE214&lt;&gt;"", E215*BE214, ""), "")</f>
        <v/>
      </c>
    </row>
    <row r="216" spans="1:125" ht="20.100000000000001" customHeight="1">
      <c r="A216" s="220">
        <v>11</v>
      </c>
      <c r="B216" s="7"/>
      <c r="C216" s="7"/>
      <c r="D216" s="5" t="s">
        <v>589</v>
      </c>
      <c r="E216" s="3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>
        <v>1</v>
      </c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59"/>
      <c r="BD216" s="59"/>
      <c r="BE216" s="59"/>
    </row>
    <row r="217" spans="1:125" ht="20.100000000000001" customHeight="1">
      <c r="A217" s="221"/>
      <c r="B217" s="7"/>
      <c r="C217" s="7"/>
      <c r="D217" s="78">
        <v>3</v>
      </c>
      <c r="E217" s="47">
        <f>IF(egTextCal(D217)&lt;&gt;0, egTextCal(D217),"")</f>
        <v>3</v>
      </c>
      <c r="F217" s="48" t="str">
        <f>IF(E217&lt;&gt;"", IF(F216&lt;&gt;"", E217*F216,""),"")</f>
        <v/>
      </c>
      <c r="G217" s="48" t="str">
        <f>IF(E217&lt;&gt;"", IF(G216&lt;&gt;"", E217*G216,""),"")</f>
        <v/>
      </c>
      <c r="H217" s="48" t="str">
        <f>IF(E217&lt;&gt;"", IF(H216&lt;&gt;"", E217*H216,""),"")</f>
        <v/>
      </c>
      <c r="I217" s="48" t="str">
        <f>IF(E217&lt;&gt;"", IF(I216&lt;&gt;"", E217*I216,""),"")</f>
        <v/>
      </c>
      <c r="J217" s="48" t="str">
        <f>IF(E217&lt;&gt;"", IF(J216&lt;&gt;"", E217*J216,""),"")</f>
        <v/>
      </c>
      <c r="K217" s="48" t="str">
        <f>IF(E217&lt;&gt;"", IF(K216&lt;&gt;"", E217*K216,""),"")</f>
        <v/>
      </c>
      <c r="L217" s="48" t="str">
        <f>IF(E217&lt;&gt;"", IF(L216&lt;&gt;"", E217*L216,""),"")</f>
        <v/>
      </c>
      <c r="M217" s="48" t="str">
        <f>IF(E217&lt;&gt;"", IF(M216&lt;&gt;"", E217*M216,""),"")</f>
        <v/>
      </c>
      <c r="N217" s="48" t="str">
        <f>IF(E217&lt;&gt;"", IF(N216&lt;&gt;"", E217*N216,""),"")</f>
        <v/>
      </c>
      <c r="O217" s="48" t="str">
        <f>IF(E217&lt;&gt;"", IF(O216&lt;&gt;"", E217*O216,""),"")</f>
        <v/>
      </c>
      <c r="P217" s="48" t="str">
        <f>IF(E217&lt;&gt;"", IF(P216&lt;&gt;"", E217*P216,""),"")</f>
        <v/>
      </c>
      <c r="Q217" s="48" t="str">
        <f>IF(E217&lt;&gt;"", IF(Q216&lt;&gt;"", E217*Q216,""),"")</f>
        <v/>
      </c>
      <c r="R217" s="48" t="str">
        <f>IF(E217&lt;&gt;"", IF(R216&lt;&gt;"", E217*R216,""),"")</f>
        <v/>
      </c>
      <c r="S217" s="48" t="str">
        <f>IF(E217&lt;&gt;"", IF(S216&lt;&gt;"", E217*S216,""),"")</f>
        <v/>
      </c>
      <c r="T217" s="48" t="str">
        <f>IF(E217&lt;&gt;"", IF(T216&lt;&gt;"", E217*T216,""),"")</f>
        <v/>
      </c>
      <c r="U217" s="48" t="str">
        <f>IF(E217&lt;&gt;"", IF(U216&lt;&gt;"", E217*U216,""),"")</f>
        <v/>
      </c>
      <c r="V217" s="48" t="str">
        <f>IF(E217&lt;&gt;"", IF(V216&lt;&gt;"", E217*V216,""),"")</f>
        <v/>
      </c>
      <c r="W217" s="48" t="str">
        <f>IF(E217&lt;&gt;"", IF(W216&lt;&gt;"", E217*W216,""),"")</f>
        <v/>
      </c>
      <c r="X217" s="48" t="str">
        <f>IF(E217&lt;&gt;"", IF(X216&lt;&gt;"", E217*X216,""),"")</f>
        <v/>
      </c>
      <c r="Y217" s="48" t="str">
        <f>IF(E217&lt;&gt;"", IF(Y216&lt;&gt;"", E217*Y216,""),"")</f>
        <v/>
      </c>
      <c r="Z217" s="48">
        <f>IF(E217&lt;&gt;"", IF(Z216&lt;&gt;"", E217*Z216,""),"")</f>
        <v>3</v>
      </c>
      <c r="AA217" s="22"/>
      <c r="AB217" s="22" t="str">
        <f>IF(E217&lt;&gt;"", IF(AB216&lt;&gt;"", E217*AB216, ""), "")</f>
        <v/>
      </c>
      <c r="AC217" s="22" t="str">
        <f>IF(E217&lt;&gt;"", IF(AC216&lt;&gt;"", E217*AC216, ""), "")</f>
        <v/>
      </c>
      <c r="AD217" s="22" t="str">
        <f>IF(E217&lt;&gt;"", IF(AD216&lt;&gt;"", E217*AD216, ""), "")</f>
        <v/>
      </c>
      <c r="AE217" s="22" t="str">
        <f>IF(E217&lt;&gt;"", IF(AE216&lt;&gt;"", E217*AE216, ""), "")</f>
        <v/>
      </c>
      <c r="AF217" s="22" t="str">
        <f>IF(E217&lt;&gt;"", IF(AF216&lt;&gt;"", E217*AF216, ""), "")</f>
        <v/>
      </c>
      <c r="AG217" s="22" t="str">
        <f>IF(E217&lt;&gt;"", IF(AG216&lt;&gt;"", E217*AG216, ""), "")</f>
        <v/>
      </c>
      <c r="AH217" s="22" t="str">
        <f>IF(E217&lt;&gt;"", IF(AH216&lt;&gt;"", E217*AH216, ""), "")</f>
        <v/>
      </c>
      <c r="AI217" s="22" t="str">
        <f>IF(E217&lt;&gt;"", IF(AI216&lt;&gt;"", E217*AI216, ""), "")</f>
        <v/>
      </c>
      <c r="AJ217" s="22" t="str">
        <f>IF(E217&lt;&gt;"", IF(AJ216&lt;&gt;"", E217*AJ216, ""), "")</f>
        <v/>
      </c>
      <c r="AK217" s="22" t="str">
        <f>IF(E217&lt;&gt;"", IF(AK216&lt;&gt;"", E217*AK216, ""), "")</f>
        <v/>
      </c>
      <c r="AL217" s="22" t="str">
        <f>IF(E217&lt;&gt;"", IF(AL216&lt;&gt;"", E217*AL216, ""), "")</f>
        <v/>
      </c>
      <c r="AM217" s="22" t="str">
        <f>IF(E217&lt;&gt;"", IF(AM216&lt;&gt;"", E217*AM216, ""), "")</f>
        <v/>
      </c>
      <c r="AN217" s="22" t="str">
        <f>IF(E217&lt;&gt;"", IF(AN216&lt;&gt;"", E217*AN216, ""), "")</f>
        <v/>
      </c>
      <c r="AO217" s="22" t="str">
        <f>IF(E217&lt;&gt;"", IF(AO216&lt;&gt;"", E217*AO216, ""), "")</f>
        <v/>
      </c>
      <c r="AP217" s="22" t="str">
        <f>IF(E217&lt;&gt;"", IF(AP216&lt;&gt;"", E217*AP216, ""), "")</f>
        <v/>
      </c>
      <c r="AQ217" s="22" t="str">
        <f>IF(E217&lt;&gt;"", IF(AQ216&lt;&gt;"", E217*AQ216, ""), "")</f>
        <v/>
      </c>
      <c r="AR217" s="22" t="str">
        <f>IF(E217&lt;&gt;"", IF(AR216&lt;&gt;"", E217*AR216, ""), "")</f>
        <v/>
      </c>
      <c r="AS217" s="22" t="str">
        <f>IF(E217&lt;&gt;"", IF(AS216&lt;&gt;"", E217*AS216, ""), "")</f>
        <v/>
      </c>
      <c r="AT217" s="22" t="str">
        <f>IF(E217&lt;&gt;"", IF(AT216&lt;&gt;"", E217*AT216, ""), "")</f>
        <v/>
      </c>
      <c r="AU217" s="22" t="str">
        <f>IF(E217&lt;&gt;"", IF(AU216&lt;&gt;"", E217*AU216, ""), "")</f>
        <v/>
      </c>
      <c r="AV217" s="22" t="str">
        <f>IF(E217&lt;&gt;"", IF(AV216&lt;&gt;"", E217*AV216, ""), "")</f>
        <v/>
      </c>
      <c r="AW217" s="22" t="str">
        <f>IF(E217&lt;&gt;"", IF(AW216&lt;&gt;"", E217*AW216, ""), "")</f>
        <v/>
      </c>
      <c r="AX217" s="22" t="str">
        <f>IF(E217&lt;&gt;"", IF(AX216&lt;&gt;"", E217*AX216, ""), "")</f>
        <v/>
      </c>
      <c r="AY217" s="22" t="str">
        <f>IF(E217&lt;&gt;"", IF(AY216&lt;&gt;"", E217*AY216, ""), "")</f>
        <v/>
      </c>
      <c r="AZ217" s="22" t="str">
        <f>IF(E217&lt;&gt;"", IF(AZ216&lt;&gt;"", E217*AZ216, ""), "")</f>
        <v/>
      </c>
      <c r="BA217" s="22" t="str">
        <f>IF(E217&lt;&gt;"", IF(BA216&lt;&gt;"", E217*BA216, ""), "")</f>
        <v/>
      </c>
      <c r="BB217" s="22" t="str">
        <f>IF(E217&lt;&gt;"", IF(BB216&lt;&gt;"", E217*BB216, ""), "")</f>
        <v/>
      </c>
      <c r="BC217" s="22" t="str">
        <f>IF(E217&lt;&gt;"", IF(BC216&lt;&gt;"", E217*BC216, ""), "")</f>
        <v/>
      </c>
      <c r="BD217" s="22" t="str">
        <f>IF(E217&lt;&gt;"", IF(BD216&lt;&gt;"", E217*BD216, ""), "")</f>
        <v/>
      </c>
      <c r="BE217" s="22" t="str">
        <f>IF(E217&lt;&gt;"", IF(BE216&lt;&gt;"", E217*BE216, ""), "")</f>
        <v/>
      </c>
      <c r="DU217" s="18">
        <f>Z217</f>
        <v>3</v>
      </c>
    </row>
    <row r="218" spans="1:125" ht="20.100000000000001" customHeight="1">
      <c r="A218" s="220">
        <v>12</v>
      </c>
      <c r="B218" s="7"/>
      <c r="C218" s="7"/>
      <c r="D218" s="5" t="s">
        <v>295</v>
      </c>
      <c r="E218" s="3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59"/>
      <c r="BB218" s="59"/>
      <c r="BC218" s="59"/>
      <c r="BD218" s="59"/>
      <c r="BE218" s="59"/>
    </row>
    <row r="219" spans="1:125" ht="20.100000000000001" customHeight="1">
      <c r="A219" s="221"/>
      <c r="B219" s="7"/>
      <c r="C219" s="7"/>
      <c r="D219" s="78"/>
      <c r="E219" s="47" t="str">
        <f>IF(egTextCal(D219)&lt;&gt;0, egTextCal(D219),"")</f>
        <v/>
      </c>
      <c r="F219" s="48" t="str">
        <f>IF(E219&lt;&gt;"", IF(F218&lt;&gt;"", E219*F218,""),"")</f>
        <v/>
      </c>
      <c r="G219" s="48" t="str">
        <f>IF(E219&lt;&gt;"", IF(G218&lt;&gt;"", E219*G218,""),"")</f>
        <v/>
      </c>
      <c r="H219" s="48" t="str">
        <f>IF(E219&lt;&gt;"", IF(H218&lt;&gt;"", E219*H218,""),"")</f>
        <v/>
      </c>
      <c r="I219" s="48" t="str">
        <f>IF(E219&lt;&gt;"", IF(I218&lt;&gt;"", E219*I218,""),"")</f>
        <v/>
      </c>
      <c r="J219" s="48" t="str">
        <f>IF(E219&lt;&gt;"", IF(J218&lt;&gt;"", E219*J218,""),"")</f>
        <v/>
      </c>
      <c r="K219" s="48" t="str">
        <f>IF(E219&lt;&gt;"", IF(K218&lt;&gt;"", E219*K218,""),"")</f>
        <v/>
      </c>
      <c r="L219" s="48" t="str">
        <f>IF(E219&lt;&gt;"", IF(L218&lt;&gt;"", E219*L218,""),"")</f>
        <v/>
      </c>
      <c r="M219" s="48" t="str">
        <f>IF(E219&lt;&gt;"", IF(M218&lt;&gt;"", E219*M218,""),"")</f>
        <v/>
      </c>
      <c r="N219" s="48" t="str">
        <f>IF(E219&lt;&gt;"", IF(N218&lt;&gt;"", E219*N218,""),"")</f>
        <v/>
      </c>
      <c r="O219" s="48" t="str">
        <f>IF(E219&lt;&gt;"", IF(O218&lt;&gt;"", E219*O218,""),"")</f>
        <v/>
      </c>
      <c r="P219" s="48" t="str">
        <f>IF(E219&lt;&gt;"", IF(P218&lt;&gt;"", E219*P218,""),"")</f>
        <v/>
      </c>
      <c r="Q219" s="48" t="str">
        <f>IF(E219&lt;&gt;"", IF(Q218&lt;&gt;"", E219*Q218,""),"")</f>
        <v/>
      </c>
      <c r="R219" s="48" t="str">
        <f>IF(E219&lt;&gt;"", IF(R218&lt;&gt;"", E219*R218,""),"")</f>
        <v/>
      </c>
      <c r="S219" s="48" t="str">
        <f>IF(E219&lt;&gt;"", IF(S218&lt;&gt;"", E219*S218,""),"")</f>
        <v/>
      </c>
      <c r="T219" s="48" t="str">
        <f>IF(E219&lt;&gt;"", IF(T218&lt;&gt;"", E219*T218,""),"")</f>
        <v/>
      </c>
      <c r="U219" s="48" t="str">
        <f>IF(E219&lt;&gt;"", IF(U218&lt;&gt;"", E219*U218,""),"")</f>
        <v/>
      </c>
      <c r="V219" s="48" t="str">
        <f>IF(E219&lt;&gt;"", IF(V218&lt;&gt;"", E219*V218,""),"")</f>
        <v/>
      </c>
      <c r="W219" s="48" t="str">
        <f>IF(E219&lt;&gt;"", IF(W218&lt;&gt;"", E219*W218,""),"")</f>
        <v/>
      </c>
      <c r="X219" s="48" t="str">
        <f>IF(E219&lt;&gt;"", IF(X218&lt;&gt;"", E219*X218,""),"")</f>
        <v/>
      </c>
      <c r="Y219" s="48" t="str">
        <f>IF(E219&lt;&gt;"", IF(Y218&lt;&gt;"", E219*Y218,""),"")</f>
        <v/>
      </c>
      <c r="Z219" s="48" t="str">
        <f>IF(E219&lt;&gt;"", IF(Z218&lt;&gt;"", E219*Z218,""),"")</f>
        <v/>
      </c>
      <c r="AA219" s="22"/>
      <c r="AB219" s="22" t="str">
        <f>IF(E219&lt;&gt;"", IF(AB218&lt;&gt;"", E219*AB218, ""), "")</f>
        <v/>
      </c>
      <c r="AC219" s="22" t="str">
        <f>IF(E219&lt;&gt;"", IF(AC218&lt;&gt;"", E219*AC218, ""), "")</f>
        <v/>
      </c>
      <c r="AD219" s="22" t="str">
        <f>IF(E219&lt;&gt;"", IF(AD218&lt;&gt;"", E219*AD218, ""), "")</f>
        <v/>
      </c>
      <c r="AE219" s="22" t="str">
        <f>IF(E219&lt;&gt;"", IF(AE218&lt;&gt;"", E219*AE218, ""), "")</f>
        <v/>
      </c>
      <c r="AF219" s="22" t="str">
        <f>IF(E219&lt;&gt;"", IF(AF218&lt;&gt;"", E219*AF218, ""), "")</f>
        <v/>
      </c>
      <c r="AG219" s="22" t="str">
        <f>IF(E219&lt;&gt;"", IF(AG218&lt;&gt;"", E219*AG218, ""), "")</f>
        <v/>
      </c>
      <c r="AH219" s="22" t="str">
        <f>IF(E219&lt;&gt;"", IF(AH218&lt;&gt;"", E219*AH218, ""), "")</f>
        <v/>
      </c>
      <c r="AI219" s="22" t="str">
        <f>IF(E219&lt;&gt;"", IF(AI218&lt;&gt;"", E219*AI218, ""), "")</f>
        <v/>
      </c>
      <c r="AJ219" s="22" t="str">
        <f>IF(E219&lt;&gt;"", IF(AJ218&lt;&gt;"", E219*AJ218, ""), "")</f>
        <v/>
      </c>
      <c r="AK219" s="22" t="str">
        <f>IF(E219&lt;&gt;"", IF(AK218&lt;&gt;"", E219*AK218, ""), "")</f>
        <v/>
      </c>
      <c r="AL219" s="22" t="str">
        <f>IF(E219&lt;&gt;"", IF(AL218&lt;&gt;"", E219*AL218, ""), "")</f>
        <v/>
      </c>
      <c r="AM219" s="22" t="str">
        <f>IF(E219&lt;&gt;"", IF(AM218&lt;&gt;"", E219*AM218, ""), "")</f>
        <v/>
      </c>
      <c r="AN219" s="22" t="str">
        <f>IF(E219&lt;&gt;"", IF(AN218&lt;&gt;"", E219*AN218, ""), "")</f>
        <v/>
      </c>
      <c r="AO219" s="22" t="str">
        <f>IF(E219&lt;&gt;"", IF(AO218&lt;&gt;"", E219*AO218, ""), "")</f>
        <v/>
      </c>
      <c r="AP219" s="22" t="str">
        <f>IF(E219&lt;&gt;"", IF(AP218&lt;&gt;"", E219*AP218, ""), "")</f>
        <v/>
      </c>
      <c r="AQ219" s="22" t="str">
        <f>IF(E219&lt;&gt;"", IF(AQ218&lt;&gt;"", E219*AQ218, ""), "")</f>
        <v/>
      </c>
      <c r="AR219" s="22" t="str">
        <f>IF(E219&lt;&gt;"", IF(AR218&lt;&gt;"", E219*AR218, ""), "")</f>
        <v/>
      </c>
      <c r="AS219" s="22" t="str">
        <f>IF(E219&lt;&gt;"", IF(AS218&lt;&gt;"", E219*AS218, ""), "")</f>
        <v/>
      </c>
      <c r="AT219" s="22" t="str">
        <f>IF(E219&lt;&gt;"", IF(AT218&lt;&gt;"", E219*AT218, ""), "")</f>
        <v/>
      </c>
      <c r="AU219" s="22" t="str">
        <f>IF(E219&lt;&gt;"", IF(AU218&lt;&gt;"", E219*AU218, ""), "")</f>
        <v/>
      </c>
      <c r="AV219" s="22" t="str">
        <f>IF(E219&lt;&gt;"", IF(AV218&lt;&gt;"", E219*AV218, ""), "")</f>
        <v/>
      </c>
      <c r="AW219" s="22" t="str">
        <f>IF(E219&lt;&gt;"", IF(AW218&lt;&gt;"", E219*AW218, ""), "")</f>
        <v/>
      </c>
      <c r="AX219" s="22" t="str">
        <f>IF(E219&lt;&gt;"", IF(AX218&lt;&gt;"", E219*AX218, ""), "")</f>
        <v/>
      </c>
      <c r="AY219" s="22" t="str">
        <f>IF(E219&lt;&gt;"", IF(AY218&lt;&gt;"", E219*AY218, ""), "")</f>
        <v/>
      </c>
      <c r="AZ219" s="22" t="str">
        <f>IF(E219&lt;&gt;"", IF(AZ218&lt;&gt;"", E219*AZ218, ""), "")</f>
        <v/>
      </c>
      <c r="BA219" s="22" t="str">
        <f>IF(E219&lt;&gt;"", IF(BA218&lt;&gt;"", E219*BA218, ""), "")</f>
        <v/>
      </c>
      <c r="BB219" s="22" t="str">
        <f>IF(E219&lt;&gt;"", IF(BB218&lt;&gt;"", E219*BB218, ""), "")</f>
        <v/>
      </c>
      <c r="BC219" s="22" t="str">
        <f>IF(E219&lt;&gt;"", IF(BC218&lt;&gt;"", E219*BC218, ""), "")</f>
        <v/>
      </c>
      <c r="BD219" s="22" t="str">
        <f>IF(E219&lt;&gt;"", IF(BD218&lt;&gt;"", E219*BD218, ""), "")</f>
        <v/>
      </c>
      <c r="BE219" s="22" t="str">
        <f>IF(E219&lt;&gt;"", IF(BE218&lt;&gt;"", E219*BE218, ""), "")</f>
        <v/>
      </c>
    </row>
    <row r="220" spans="1:125" ht="20.100000000000001" customHeight="1">
      <c r="A220" s="220">
        <v>13</v>
      </c>
      <c r="B220" s="7"/>
      <c r="C220" s="7"/>
      <c r="D220" s="5" t="s">
        <v>239</v>
      </c>
      <c r="E220" s="3"/>
      <c r="F220" s="46">
        <v>1</v>
      </c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59"/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59"/>
      <c r="BA220" s="59"/>
      <c r="BB220" s="59"/>
      <c r="BC220" s="59"/>
      <c r="BD220" s="59"/>
      <c r="BE220" s="59"/>
    </row>
    <row r="221" spans="1:125" ht="20.100000000000001" customHeight="1">
      <c r="A221" s="221"/>
      <c r="B221" s="7"/>
      <c r="C221" s="7"/>
      <c r="D221" s="78" t="s">
        <v>296</v>
      </c>
      <c r="E221" s="47">
        <f>IF(egTextCal(D221)&lt;&gt;0, egTextCal(D221),"")</f>
        <v>26</v>
      </c>
      <c r="F221" s="48">
        <f>IF(E221&lt;&gt;"", IF(F220&lt;&gt;"", E221*F220,""),"")</f>
        <v>26</v>
      </c>
      <c r="G221" s="48" t="str">
        <f>IF(E221&lt;&gt;"", IF(G220&lt;&gt;"", E221*G220,""),"")</f>
        <v/>
      </c>
      <c r="H221" s="48" t="str">
        <f>IF(E221&lt;&gt;"", IF(H220&lt;&gt;"", E221*H220,""),"")</f>
        <v/>
      </c>
      <c r="I221" s="48" t="str">
        <f>IF(E221&lt;&gt;"", IF(I220&lt;&gt;"", E221*I220,""),"")</f>
        <v/>
      </c>
      <c r="J221" s="48" t="str">
        <f>IF(E221&lt;&gt;"", IF(J220&lt;&gt;"", E221*J220,""),"")</f>
        <v/>
      </c>
      <c r="K221" s="48" t="str">
        <f>IF(E221&lt;&gt;"", IF(K220&lt;&gt;"", E221*K220,""),"")</f>
        <v/>
      </c>
      <c r="L221" s="48" t="str">
        <f>IF(E221&lt;&gt;"", IF(L220&lt;&gt;"", E221*L220,""),"")</f>
        <v/>
      </c>
      <c r="M221" s="48" t="str">
        <f>IF(E221&lt;&gt;"", IF(M220&lt;&gt;"", E221*M220,""),"")</f>
        <v/>
      </c>
      <c r="N221" s="48" t="str">
        <f>IF(E221&lt;&gt;"", IF(N220&lt;&gt;"", E221*N220,""),"")</f>
        <v/>
      </c>
      <c r="O221" s="48" t="str">
        <f>IF(E221&lt;&gt;"", IF(O220&lt;&gt;"", E221*O220,""),"")</f>
        <v/>
      </c>
      <c r="P221" s="48" t="str">
        <f>IF(E221&lt;&gt;"", IF(P220&lt;&gt;"", E221*P220,""),"")</f>
        <v/>
      </c>
      <c r="Q221" s="48" t="str">
        <f>IF(E221&lt;&gt;"", IF(Q220&lt;&gt;"", E221*Q220,""),"")</f>
        <v/>
      </c>
      <c r="R221" s="48" t="str">
        <f>IF(E221&lt;&gt;"", IF(R220&lt;&gt;"", E221*R220,""),"")</f>
        <v/>
      </c>
      <c r="S221" s="48" t="str">
        <f>IF(E221&lt;&gt;"", IF(S220&lt;&gt;"", E221*S220,""),"")</f>
        <v/>
      </c>
      <c r="T221" s="48" t="str">
        <f>IF(E221&lt;&gt;"", IF(T220&lt;&gt;"", E221*T220,""),"")</f>
        <v/>
      </c>
      <c r="U221" s="48" t="str">
        <f>IF(E221&lt;&gt;"", IF(U220&lt;&gt;"", E221*U220,""),"")</f>
        <v/>
      </c>
      <c r="V221" s="48" t="str">
        <f>IF(E221&lt;&gt;"", IF(V220&lt;&gt;"", E221*V220,""),"")</f>
        <v/>
      </c>
      <c r="W221" s="48" t="str">
        <f>IF(E221&lt;&gt;"", IF(W220&lt;&gt;"", E221*W220,""),"")</f>
        <v/>
      </c>
      <c r="X221" s="48" t="str">
        <f>IF(E221&lt;&gt;"", IF(X220&lt;&gt;"", E221*X220,""),"")</f>
        <v/>
      </c>
      <c r="Y221" s="48" t="str">
        <f>IF(E221&lt;&gt;"", IF(Y220&lt;&gt;"", E221*Y220,""),"")</f>
        <v/>
      </c>
      <c r="Z221" s="48" t="str">
        <f>IF(E221&lt;&gt;"", IF(Z220&lt;&gt;"", E221*Z220,""),"")</f>
        <v/>
      </c>
      <c r="AA221" s="22"/>
      <c r="AB221" s="22" t="str">
        <f>IF(E221&lt;&gt;"", IF(AB220&lt;&gt;"", E221*AB220, ""), "")</f>
        <v/>
      </c>
      <c r="AC221" s="22" t="str">
        <f>IF(E221&lt;&gt;"", IF(AC220&lt;&gt;"", E221*AC220, ""), "")</f>
        <v/>
      </c>
      <c r="AD221" s="22" t="str">
        <f>IF(E221&lt;&gt;"", IF(AD220&lt;&gt;"", E221*AD220, ""), "")</f>
        <v/>
      </c>
      <c r="AE221" s="22" t="str">
        <f>IF(E221&lt;&gt;"", IF(AE220&lt;&gt;"", E221*AE220, ""), "")</f>
        <v/>
      </c>
      <c r="AF221" s="22" t="str">
        <f>IF(E221&lt;&gt;"", IF(AF220&lt;&gt;"", E221*AF220, ""), "")</f>
        <v/>
      </c>
      <c r="AG221" s="22" t="str">
        <f>IF(E221&lt;&gt;"", IF(AG220&lt;&gt;"", E221*AG220, ""), "")</f>
        <v/>
      </c>
      <c r="AH221" s="22" t="str">
        <f>IF(E221&lt;&gt;"", IF(AH220&lt;&gt;"", E221*AH220, ""), "")</f>
        <v/>
      </c>
      <c r="AI221" s="22" t="str">
        <f>IF(E221&lt;&gt;"", IF(AI220&lt;&gt;"", E221*AI220, ""), "")</f>
        <v/>
      </c>
      <c r="AJ221" s="22" t="str">
        <f>IF(E221&lt;&gt;"", IF(AJ220&lt;&gt;"", E221*AJ220, ""), "")</f>
        <v/>
      </c>
      <c r="AK221" s="22" t="str">
        <f>IF(E221&lt;&gt;"", IF(AK220&lt;&gt;"", E221*AK220, ""), "")</f>
        <v/>
      </c>
      <c r="AL221" s="22" t="str">
        <f>IF(E221&lt;&gt;"", IF(AL220&lt;&gt;"", E221*AL220, ""), "")</f>
        <v/>
      </c>
      <c r="AM221" s="22" t="str">
        <f>IF(E221&lt;&gt;"", IF(AM220&lt;&gt;"", E221*AM220, ""), "")</f>
        <v/>
      </c>
      <c r="AN221" s="22" t="str">
        <f>IF(E221&lt;&gt;"", IF(AN220&lt;&gt;"", E221*AN220, ""), "")</f>
        <v/>
      </c>
      <c r="AO221" s="22" t="str">
        <f>IF(E221&lt;&gt;"", IF(AO220&lt;&gt;"", E221*AO220, ""), "")</f>
        <v/>
      </c>
      <c r="AP221" s="22" t="str">
        <f>IF(E221&lt;&gt;"", IF(AP220&lt;&gt;"", E221*AP220, ""), "")</f>
        <v/>
      </c>
      <c r="AQ221" s="22" t="str">
        <f>IF(E221&lt;&gt;"", IF(AQ220&lt;&gt;"", E221*AQ220, ""), "")</f>
        <v/>
      </c>
      <c r="AR221" s="22" t="str">
        <f>IF(E221&lt;&gt;"", IF(AR220&lt;&gt;"", E221*AR220, ""), "")</f>
        <v/>
      </c>
      <c r="AS221" s="22" t="str">
        <f>IF(E221&lt;&gt;"", IF(AS220&lt;&gt;"", E221*AS220, ""), "")</f>
        <v/>
      </c>
      <c r="AT221" s="22" t="str">
        <f>IF(E221&lt;&gt;"", IF(AT220&lt;&gt;"", E221*AT220, ""), "")</f>
        <v/>
      </c>
      <c r="AU221" s="22" t="str">
        <f>IF(E221&lt;&gt;"", IF(AU220&lt;&gt;"", E221*AU220, ""), "")</f>
        <v/>
      </c>
      <c r="AV221" s="22" t="str">
        <f>IF(E221&lt;&gt;"", IF(AV220&lt;&gt;"", E221*AV220, ""), "")</f>
        <v/>
      </c>
      <c r="AW221" s="22" t="str">
        <f>IF(E221&lt;&gt;"", IF(AW220&lt;&gt;"", E221*AW220, ""), "")</f>
        <v/>
      </c>
      <c r="AX221" s="22" t="str">
        <f>IF(E221&lt;&gt;"", IF(AX220&lt;&gt;"", E221*AX220, ""), "")</f>
        <v/>
      </c>
      <c r="AY221" s="22" t="str">
        <f>IF(E221&lt;&gt;"", IF(AY220&lt;&gt;"", E221*AY220, ""), "")</f>
        <v/>
      </c>
      <c r="AZ221" s="22" t="str">
        <f>IF(E221&lt;&gt;"", IF(AZ220&lt;&gt;"", E221*AZ220, ""), "")</f>
        <v/>
      </c>
      <c r="BA221" s="22" t="str">
        <f>IF(E221&lt;&gt;"", IF(BA220&lt;&gt;"", E221*BA220, ""), "")</f>
        <v/>
      </c>
      <c r="BB221" s="22" t="str">
        <f>IF(E221&lt;&gt;"", IF(BB220&lt;&gt;"", E221*BB220, ""), "")</f>
        <v/>
      </c>
      <c r="BC221" s="22" t="str">
        <f>IF(E221&lt;&gt;"", IF(BC220&lt;&gt;"", E221*BC220, ""), "")</f>
        <v/>
      </c>
      <c r="BD221" s="22" t="str">
        <f>IF(E221&lt;&gt;"", IF(BD220&lt;&gt;"", E221*BD220, ""), "")</f>
        <v/>
      </c>
      <c r="BE221" s="22" t="str">
        <f>IF(E221&lt;&gt;"", IF(BE220&lt;&gt;"", E221*BE220, ""), "")</f>
        <v/>
      </c>
      <c r="DA221" s="18">
        <f>F221</f>
        <v>26</v>
      </c>
    </row>
    <row r="222" spans="1:125" ht="20.100000000000001" customHeight="1">
      <c r="A222" s="220">
        <v>14</v>
      </c>
      <c r="B222" s="7"/>
      <c r="C222" s="7"/>
      <c r="D222" s="5" t="s">
        <v>241</v>
      </c>
      <c r="E222" s="3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>
        <v>1</v>
      </c>
      <c r="V222" s="46"/>
      <c r="W222" s="46"/>
      <c r="X222" s="46"/>
      <c r="Y222" s="46"/>
      <c r="Z222" s="46"/>
      <c r="AA222" s="59"/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9"/>
      <c r="BA222" s="59"/>
      <c r="BB222" s="59"/>
      <c r="BC222" s="59"/>
      <c r="BD222" s="59"/>
      <c r="BE222" s="59"/>
    </row>
    <row r="223" spans="1:125" ht="20.100000000000001" customHeight="1">
      <c r="A223" s="221"/>
      <c r="B223" s="7"/>
      <c r="C223" s="7"/>
      <c r="D223" s="78" t="s">
        <v>297</v>
      </c>
      <c r="E223" s="47">
        <f>IF(egTextCal(D223)&lt;&gt;0, egTextCal(D223),"")</f>
        <v>57</v>
      </c>
      <c r="F223" s="48" t="str">
        <f>IF(E223&lt;&gt;"", IF(F222&lt;&gt;"", E223*F222,""),"")</f>
        <v/>
      </c>
      <c r="G223" s="48" t="str">
        <f>IF(E223&lt;&gt;"", IF(G222&lt;&gt;"", E223*G222,""),"")</f>
        <v/>
      </c>
      <c r="H223" s="48" t="str">
        <f>IF(E223&lt;&gt;"", IF(H222&lt;&gt;"", E223*H222,""),"")</f>
        <v/>
      </c>
      <c r="I223" s="48" t="str">
        <f>IF(E223&lt;&gt;"", IF(I222&lt;&gt;"", E223*I222,""),"")</f>
        <v/>
      </c>
      <c r="J223" s="48" t="str">
        <f>IF(E223&lt;&gt;"", IF(J222&lt;&gt;"", E223*J222,""),"")</f>
        <v/>
      </c>
      <c r="K223" s="48" t="str">
        <f>IF(E223&lt;&gt;"", IF(K222&lt;&gt;"", E223*K222,""),"")</f>
        <v/>
      </c>
      <c r="L223" s="48" t="str">
        <f>IF(E223&lt;&gt;"", IF(L222&lt;&gt;"", E223*L222,""),"")</f>
        <v/>
      </c>
      <c r="M223" s="48" t="str">
        <f>IF(E223&lt;&gt;"", IF(M222&lt;&gt;"", E223*M222,""),"")</f>
        <v/>
      </c>
      <c r="N223" s="48" t="str">
        <f>IF(E223&lt;&gt;"", IF(N222&lt;&gt;"", E223*N222,""),"")</f>
        <v/>
      </c>
      <c r="O223" s="48" t="str">
        <f>IF(E223&lt;&gt;"", IF(O222&lt;&gt;"", E223*O222,""),"")</f>
        <v/>
      </c>
      <c r="P223" s="48" t="str">
        <f>IF(E223&lt;&gt;"", IF(P222&lt;&gt;"", E223*P222,""),"")</f>
        <v/>
      </c>
      <c r="Q223" s="48" t="str">
        <f>IF(E223&lt;&gt;"", IF(Q222&lt;&gt;"", E223*Q222,""),"")</f>
        <v/>
      </c>
      <c r="R223" s="48" t="str">
        <f>IF(E223&lt;&gt;"", IF(R222&lt;&gt;"", E223*R222,""),"")</f>
        <v/>
      </c>
      <c r="S223" s="48" t="str">
        <f>IF(E223&lt;&gt;"", IF(S222&lt;&gt;"", E223*S222,""),"")</f>
        <v/>
      </c>
      <c r="T223" s="48" t="str">
        <f>IF(E223&lt;&gt;"", IF(T222&lt;&gt;"", E223*T222,""),"")</f>
        <v/>
      </c>
      <c r="U223" s="48">
        <f>IF(E223&lt;&gt;"", IF(U222&lt;&gt;"", E223*U222,""),"")</f>
        <v>57</v>
      </c>
      <c r="V223" s="48" t="str">
        <f>IF(E223&lt;&gt;"", IF(V222&lt;&gt;"", E223*V222,""),"")</f>
        <v/>
      </c>
      <c r="W223" s="48" t="str">
        <f>IF(E223&lt;&gt;"", IF(W222&lt;&gt;"", E223*W222,""),"")</f>
        <v/>
      </c>
      <c r="X223" s="48" t="str">
        <f>IF(E223&lt;&gt;"", IF(X222&lt;&gt;"", E223*X222,""),"")</f>
        <v/>
      </c>
      <c r="Y223" s="48" t="str">
        <f>IF(E223&lt;&gt;"", IF(Y222&lt;&gt;"", E223*Y222,""),"")</f>
        <v/>
      </c>
      <c r="Z223" s="48" t="str">
        <f>IF(E223&lt;&gt;"", IF(Z222&lt;&gt;"", E223*Z222,""),"")</f>
        <v/>
      </c>
      <c r="AA223" s="22"/>
      <c r="AB223" s="22" t="str">
        <f>IF(E223&lt;&gt;"", IF(AB222&lt;&gt;"", E223*AB222, ""), "")</f>
        <v/>
      </c>
      <c r="AC223" s="22" t="str">
        <f>IF(E223&lt;&gt;"", IF(AC222&lt;&gt;"", E223*AC222, ""), "")</f>
        <v/>
      </c>
      <c r="AD223" s="22" t="str">
        <f>IF(E223&lt;&gt;"", IF(AD222&lt;&gt;"", E223*AD222, ""), "")</f>
        <v/>
      </c>
      <c r="AE223" s="22" t="str">
        <f>IF(E223&lt;&gt;"", IF(AE222&lt;&gt;"", E223*AE222, ""), "")</f>
        <v/>
      </c>
      <c r="AF223" s="22" t="str">
        <f>IF(E223&lt;&gt;"", IF(AF222&lt;&gt;"", E223*AF222, ""), "")</f>
        <v/>
      </c>
      <c r="AG223" s="22" t="str">
        <f>IF(E223&lt;&gt;"", IF(AG222&lt;&gt;"", E223*AG222, ""), "")</f>
        <v/>
      </c>
      <c r="AH223" s="22" t="str">
        <f>IF(E223&lt;&gt;"", IF(AH222&lt;&gt;"", E223*AH222, ""), "")</f>
        <v/>
      </c>
      <c r="AI223" s="22" t="str">
        <f>IF(E223&lt;&gt;"", IF(AI222&lt;&gt;"", E223*AI222, ""), "")</f>
        <v/>
      </c>
      <c r="AJ223" s="22" t="str">
        <f>IF(E223&lt;&gt;"", IF(AJ222&lt;&gt;"", E223*AJ222, ""), "")</f>
        <v/>
      </c>
      <c r="AK223" s="22" t="str">
        <f>IF(E223&lt;&gt;"", IF(AK222&lt;&gt;"", E223*AK222, ""), "")</f>
        <v/>
      </c>
      <c r="AL223" s="22" t="str">
        <f>IF(E223&lt;&gt;"", IF(AL222&lt;&gt;"", E223*AL222, ""), "")</f>
        <v/>
      </c>
      <c r="AM223" s="22" t="str">
        <f>IF(E223&lt;&gt;"", IF(AM222&lt;&gt;"", E223*AM222, ""), "")</f>
        <v/>
      </c>
      <c r="AN223" s="22" t="str">
        <f>IF(E223&lt;&gt;"", IF(AN222&lt;&gt;"", E223*AN222, ""), "")</f>
        <v/>
      </c>
      <c r="AO223" s="22" t="str">
        <f>IF(E223&lt;&gt;"", IF(AO222&lt;&gt;"", E223*AO222, ""), "")</f>
        <v/>
      </c>
      <c r="AP223" s="22" t="str">
        <f>IF(E223&lt;&gt;"", IF(AP222&lt;&gt;"", E223*AP222, ""), "")</f>
        <v/>
      </c>
      <c r="AQ223" s="22" t="str">
        <f>IF(E223&lt;&gt;"", IF(AQ222&lt;&gt;"", E223*AQ222, ""), "")</f>
        <v/>
      </c>
      <c r="AR223" s="22" t="str">
        <f>IF(E223&lt;&gt;"", IF(AR222&lt;&gt;"", E223*AR222, ""), "")</f>
        <v/>
      </c>
      <c r="AS223" s="22" t="str">
        <f>IF(E223&lt;&gt;"", IF(AS222&lt;&gt;"", E223*AS222, ""), "")</f>
        <v/>
      </c>
      <c r="AT223" s="22" t="str">
        <f>IF(E223&lt;&gt;"", IF(AT222&lt;&gt;"", E223*AT222, ""), "")</f>
        <v/>
      </c>
      <c r="AU223" s="22" t="str">
        <f>IF(E223&lt;&gt;"", IF(AU222&lt;&gt;"", E223*AU222, ""), "")</f>
        <v/>
      </c>
      <c r="AV223" s="22" t="str">
        <f>IF(E223&lt;&gt;"", IF(AV222&lt;&gt;"", E223*AV222, ""), "")</f>
        <v/>
      </c>
      <c r="AW223" s="22" t="str">
        <f>IF(E223&lt;&gt;"", IF(AW222&lt;&gt;"", E223*AW222, ""), "")</f>
        <v/>
      </c>
      <c r="AX223" s="22" t="str">
        <f>IF(E223&lt;&gt;"", IF(AX222&lt;&gt;"", E223*AX222, ""), "")</f>
        <v/>
      </c>
      <c r="AY223" s="22" t="str">
        <f>IF(E223&lt;&gt;"", IF(AY222&lt;&gt;"", E223*AY222, ""), "")</f>
        <v/>
      </c>
      <c r="AZ223" s="22" t="str">
        <f>IF(E223&lt;&gt;"", IF(AZ222&lt;&gt;"", E223*AZ222, ""), "")</f>
        <v/>
      </c>
      <c r="BA223" s="22" t="str">
        <f>IF(E223&lt;&gt;"", IF(BA222&lt;&gt;"", E223*BA222, ""), "")</f>
        <v/>
      </c>
      <c r="BB223" s="22" t="str">
        <f>IF(E223&lt;&gt;"", IF(BB222&lt;&gt;"", E223*BB222, ""), "")</f>
        <v/>
      </c>
      <c r="BC223" s="22" t="str">
        <f>IF(E223&lt;&gt;"", IF(BC222&lt;&gt;"", E223*BC222, ""), "")</f>
        <v/>
      </c>
      <c r="BD223" s="22" t="str">
        <f>IF(E223&lt;&gt;"", IF(BD222&lt;&gt;"", E223*BD222, ""), "")</f>
        <v/>
      </c>
      <c r="BE223" s="22" t="str">
        <f>IF(E223&lt;&gt;"", IF(BE222&lt;&gt;"", E223*BE222, ""), "")</f>
        <v/>
      </c>
      <c r="DP223" s="18">
        <f>U223</f>
        <v>57</v>
      </c>
    </row>
    <row r="224" spans="1:125" ht="20.100000000000001" customHeight="1">
      <c r="A224" s="220">
        <v>15</v>
      </c>
      <c r="B224" s="7"/>
      <c r="C224" s="7"/>
      <c r="D224" s="5" t="s">
        <v>287</v>
      </c>
      <c r="E224" s="3"/>
      <c r="F224" s="46"/>
      <c r="G224" s="46"/>
      <c r="H224" s="46"/>
      <c r="I224" s="46"/>
      <c r="J224" s="46"/>
      <c r="K224" s="46"/>
      <c r="L224" s="46"/>
      <c r="M224" s="46"/>
      <c r="N224" s="46">
        <v>1</v>
      </c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59"/>
      <c r="BD224" s="59"/>
      <c r="BE224" s="59"/>
    </row>
    <row r="225" spans="1:116" ht="20.100000000000001" customHeight="1">
      <c r="A225" s="221"/>
      <c r="B225" s="7"/>
      <c r="C225" s="7"/>
      <c r="D225" s="78">
        <v>1</v>
      </c>
      <c r="E225" s="47">
        <f>IF(egTextCal(D225)&lt;&gt;0, egTextCal(D225),"")</f>
        <v>1</v>
      </c>
      <c r="F225" s="48" t="str">
        <f>IF(E225&lt;&gt;"", IF(F224&lt;&gt;"", E225*F224,""),"")</f>
        <v/>
      </c>
      <c r="G225" s="48" t="str">
        <f>IF(E225&lt;&gt;"", IF(G224&lt;&gt;"", E225*G224,""),"")</f>
        <v/>
      </c>
      <c r="H225" s="48" t="str">
        <f>IF(E225&lt;&gt;"", IF(H224&lt;&gt;"", E225*H224,""),"")</f>
        <v/>
      </c>
      <c r="I225" s="48" t="str">
        <f>IF(E225&lt;&gt;"", IF(I224&lt;&gt;"", E225*I224,""),"")</f>
        <v/>
      </c>
      <c r="J225" s="48" t="str">
        <f>IF(E225&lt;&gt;"", IF(J224&lt;&gt;"", E225*J224,""),"")</f>
        <v/>
      </c>
      <c r="K225" s="48" t="str">
        <f>IF(E225&lt;&gt;"", IF(K224&lt;&gt;"", E225*K224,""),"")</f>
        <v/>
      </c>
      <c r="L225" s="48" t="str">
        <f>IF(E225&lt;&gt;"", IF(L224&lt;&gt;"", E225*L224,""),"")</f>
        <v/>
      </c>
      <c r="M225" s="48" t="str">
        <f>IF(E225&lt;&gt;"", IF(M224&lt;&gt;"", E225*M224,""),"")</f>
        <v/>
      </c>
      <c r="N225" s="48">
        <f>IF(E225&lt;&gt;"", IF(N224&lt;&gt;"", E225*N224,""),"")</f>
        <v>1</v>
      </c>
      <c r="O225" s="48" t="str">
        <f>IF(E225&lt;&gt;"", IF(O224&lt;&gt;"", E225*O224,""),"")</f>
        <v/>
      </c>
      <c r="P225" s="48" t="str">
        <f>IF(E225&lt;&gt;"", IF(P224&lt;&gt;"", E225*P224,""),"")</f>
        <v/>
      </c>
      <c r="Q225" s="48" t="str">
        <f>IF(E225&lt;&gt;"", IF(Q224&lt;&gt;"", E225*Q224,""),"")</f>
        <v/>
      </c>
      <c r="R225" s="48" t="str">
        <f>IF(E225&lt;&gt;"", IF(R224&lt;&gt;"", E225*R224,""),"")</f>
        <v/>
      </c>
      <c r="S225" s="48" t="str">
        <f>IF(E225&lt;&gt;"", IF(S224&lt;&gt;"", E225*S224,""),"")</f>
        <v/>
      </c>
      <c r="T225" s="48" t="str">
        <f>IF(E225&lt;&gt;"", IF(T224&lt;&gt;"", E225*T224,""),"")</f>
        <v/>
      </c>
      <c r="U225" s="48" t="str">
        <f>IF(E225&lt;&gt;"", IF(U224&lt;&gt;"", E225*U224,""),"")</f>
        <v/>
      </c>
      <c r="V225" s="48" t="str">
        <f>IF(E225&lt;&gt;"", IF(V224&lt;&gt;"", E225*V224,""),"")</f>
        <v/>
      </c>
      <c r="W225" s="48" t="str">
        <f>IF(E225&lt;&gt;"", IF(W224&lt;&gt;"", E225*W224,""),"")</f>
        <v/>
      </c>
      <c r="X225" s="48" t="str">
        <f>IF(E225&lt;&gt;"", IF(X224&lt;&gt;"", E225*X224,""),"")</f>
        <v/>
      </c>
      <c r="Y225" s="48" t="str">
        <f>IF(E225&lt;&gt;"", IF(Y224&lt;&gt;"", E225*Y224,""),"")</f>
        <v/>
      </c>
      <c r="Z225" s="48" t="str">
        <f>IF(E225&lt;&gt;"", IF(Z224&lt;&gt;"", E225*Z224,""),"")</f>
        <v/>
      </c>
      <c r="AA225" s="22"/>
      <c r="AB225" s="22" t="str">
        <f>IF(E225&lt;&gt;"", IF(AB224&lt;&gt;"", E225*AB224, ""), "")</f>
        <v/>
      </c>
      <c r="AC225" s="22" t="str">
        <f>IF(E225&lt;&gt;"", IF(AC224&lt;&gt;"", E225*AC224, ""), "")</f>
        <v/>
      </c>
      <c r="AD225" s="22" t="str">
        <f>IF(E225&lt;&gt;"", IF(AD224&lt;&gt;"", E225*AD224, ""), "")</f>
        <v/>
      </c>
      <c r="AE225" s="22" t="str">
        <f>IF(E225&lt;&gt;"", IF(AE224&lt;&gt;"", E225*AE224, ""), "")</f>
        <v/>
      </c>
      <c r="AF225" s="22" t="str">
        <f>IF(E225&lt;&gt;"", IF(AF224&lt;&gt;"", E225*AF224, ""), "")</f>
        <v/>
      </c>
      <c r="AG225" s="22" t="str">
        <f>IF(E225&lt;&gt;"", IF(AG224&lt;&gt;"", E225*AG224, ""), "")</f>
        <v/>
      </c>
      <c r="AH225" s="22" t="str">
        <f>IF(E225&lt;&gt;"", IF(AH224&lt;&gt;"", E225*AH224, ""), "")</f>
        <v/>
      </c>
      <c r="AI225" s="22" t="str">
        <f>IF(E225&lt;&gt;"", IF(AI224&lt;&gt;"", E225*AI224, ""), "")</f>
        <v/>
      </c>
      <c r="AJ225" s="22" t="str">
        <f>IF(E225&lt;&gt;"", IF(AJ224&lt;&gt;"", E225*AJ224, ""), "")</f>
        <v/>
      </c>
      <c r="AK225" s="22" t="str">
        <f>IF(E225&lt;&gt;"", IF(AK224&lt;&gt;"", E225*AK224, ""), "")</f>
        <v/>
      </c>
      <c r="AL225" s="22" t="str">
        <f>IF(E225&lt;&gt;"", IF(AL224&lt;&gt;"", E225*AL224, ""), "")</f>
        <v/>
      </c>
      <c r="AM225" s="22" t="str">
        <f>IF(E225&lt;&gt;"", IF(AM224&lt;&gt;"", E225*AM224, ""), "")</f>
        <v/>
      </c>
      <c r="AN225" s="22" t="str">
        <f>IF(E225&lt;&gt;"", IF(AN224&lt;&gt;"", E225*AN224, ""), "")</f>
        <v/>
      </c>
      <c r="AO225" s="22" t="str">
        <f>IF(E225&lt;&gt;"", IF(AO224&lt;&gt;"", E225*AO224, ""), "")</f>
        <v/>
      </c>
      <c r="AP225" s="22" t="str">
        <f>IF(E225&lt;&gt;"", IF(AP224&lt;&gt;"", E225*AP224, ""), "")</f>
        <v/>
      </c>
      <c r="AQ225" s="22" t="str">
        <f>IF(E225&lt;&gt;"", IF(AQ224&lt;&gt;"", E225*AQ224, ""), "")</f>
        <v/>
      </c>
      <c r="AR225" s="22" t="str">
        <f>IF(E225&lt;&gt;"", IF(AR224&lt;&gt;"", E225*AR224, ""), "")</f>
        <v/>
      </c>
      <c r="AS225" s="22" t="str">
        <f>IF(E225&lt;&gt;"", IF(AS224&lt;&gt;"", E225*AS224, ""), "")</f>
        <v/>
      </c>
      <c r="AT225" s="22" t="str">
        <f>IF(E225&lt;&gt;"", IF(AT224&lt;&gt;"", E225*AT224, ""), "")</f>
        <v/>
      </c>
      <c r="AU225" s="22" t="str">
        <f>IF(E225&lt;&gt;"", IF(AU224&lt;&gt;"", E225*AU224, ""), "")</f>
        <v/>
      </c>
      <c r="AV225" s="22" t="str">
        <f>IF(E225&lt;&gt;"", IF(AV224&lt;&gt;"", E225*AV224, ""), "")</f>
        <v/>
      </c>
      <c r="AW225" s="22" t="str">
        <f>IF(E225&lt;&gt;"", IF(AW224&lt;&gt;"", E225*AW224, ""), "")</f>
        <v/>
      </c>
      <c r="AX225" s="22" t="str">
        <f>IF(E225&lt;&gt;"", IF(AX224&lt;&gt;"", E225*AX224, ""), "")</f>
        <v/>
      </c>
      <c r="AY225" s="22" t="str">
        <f>IF(E225&lt;&gt;"", IF(AY224&lt;&gt;"", E225*AY224, ""), "")</f>
        <v/>
      </c>
      <c r="AZ225" s="22" t="str">
        <f>IF(E225&lt;&gt;"", IF(AZ224&lt;&gt;"", E225*AZ224, ""), "")</f>
        <v/>
      </c>
      <c r="BA225" s="22" t="str">
        <f>IF(E225&lt;&gt;"", IF(BA224&lt;&gt;"", E225*BA224, ""), "")</f>
        <v/>
      </c>
      <c r="BB225" s="22" t="str">
        <f>IF(E225&lt;&gt;"", IF(BB224&lt;&gt;"", E225*BB224, ""), "")</f>
        <v/>
      </c>
      <c r="BC225" s="22" t="str">
        <f>IF(E225&lt;&gt;"", IF(BC224&lt;&gt;"", E225*BC224, ""), "")</f>
        <v/>
      </c>
      <c r="BD225" s="22" t="str">
        <f>IF(E225&lt;&gt;"", IF(BD224&lt;&gt;"", E225*BD224, ""), "")</f>
        <v/>
      </c>
      <c r="BE225" s="22" t="str">
        <f>IF(E225&lt;&gt;"", IF(BE224&lt;&gt;"", E225*BE224, ""), "")</f>
        <v/>
      </c>
      <c r="DI225" s="18">
        <f>N225</f>
        <v>1</v>
      </c>
    </row>
    <row r="226" spans="1:116" ht="20.100000000000001" customHeight="1">
      <c r="A226" s="220">
        <v>16</v>
      </c>
      <c r="B226" s="7"/>
      <c r="C226" s="7"/>
      <c r="D226" s="5" t="s">
        <v>288</v>
      </c>
      <c r="E226" s="3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>
        <v>1</v>
      </c>
      <c r="R226" s="46"/>
      <c r="S226" s="46"/>
      <c r="T226" s="46"/>
      <c r="U226" s="46"/>
      <c r="V226" s="46"/>
      <c r="W226" s="46"/>
      <c r="X226" s="46"/>
      <c r="Y226" s="46"/>
      <c r="Z226" s="46"/>
      <c r="AA226" s="59"/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  <c r="AT226" s="59"/>
      <c r="AU226" s="59"/>
      <c r="AV226" s="59"/>
      <c r="AW226" s="59"/>
      <c r="AX226" s="59"/>
      <c r="AY226" s="59"/>
      <c r="AZ226" s="59"/>
      <c r="BA226" s="59"/>
      <c r="BB226" s="59"/>
      <c r="BC226" s="59"/>
      <c r="BD226" s="59"/>
      <c r="BE226" s="59"/>
    </row>
    <row r="227" spans="1:116" ht="20.100000000000001" customHeight="1">
      <c r="A227" s="221"/>
      <c r="B227" s="7"/>
      <c r="C227" s="7"/>
      <c r="D227" s="78">
        <v>1</v>
      </c>
      <c r="E227" s="47">
        <f>IF(egTextCal(D227)&lt;&gt;0, egTextCal(D227),"")</f>
        <v>1</v>
      </c>
      <c r="F227" s="48" t="str">
        <f>IF(E227&lt;&gt;"", IF(F226&lt;&gt;"", E227*F226,""),"")</f>
        <v/>
      </c>
      <c r="G227" s="48" t="str">
        <f>IF(E227&lt;&gt;"", IF(G226&lt;&gt;"", E227*G226,""),"")</f>
        <v/>
      </c>
      <c r="H227" s="48" t="str">
        <f>IF(E227&lt;&gt;"", IF(H226&lt;&gt;"", E227*H226,""),"")</f>
        <v/>
      </c>
      <c r="I227" s="48" t="str">
        <f>IF(E227&lt;&gt;"", IF(I226&lt;&gt;"", E227*I226,""),"")</f>
        <v/>
      </c>
      <c r="J227" s="48" t="str">
        <f>IF(E227&lt;&gt;"", IF(J226&lt;&gt;"", E227*J226,""),"")</f>
        <v/>
      </c>
      <c r="K227" s="48" t="str">
        <f>IF(E227&lt;&gt;"", IF(K226&lt;&gt;"", E227*K226,""),"")</f>
        <v/>
      </c>
      <c r="L227" s="48" t="str">
        <f>IF(E227&lt;&gt;"", IF(L226&lt;&gt;"", E227*L226,""),"")</f>
        <v/>
      </c>
      <c r="M227" s="48" t="str">
        <f>IF(E227&lt;&gt;"", IF(M226&lt;&gt;"", E227*M226,""),"")</f>
        <v/>
      </c>
      <c r="N227" s="48" t="str">
        <f>IF(E227&lt;&gt;"", IF(N226&lt;&gt;"", E227*N226,""),"")</f>
        <v/>
      </c>
      <c r="O227" s="48" t="str">
        <f>IF(E227&lt;&gt;"", IF(O226&lt;&gt;"", E227*O226,""),"")</f>
        <v/>
      </c>
      <c r="P227" s="48" t="str">
        <f>IF(E227&lt;&gt;"", IF(P226&lt;&gt;"", E227*P226,""),"")</f>
        <v/>
      </c>
      <c r="Q227" s="48">
        <f>IF(E227&lt;&gt;"", IF(Q226&lt;&gt;"", E227*Q226,""),"")</f>
        <v>1</v>
      </c>
      <c r="R227" s="48" t="str">
        <f>IF(E227&lt;&gt;"", IF(R226&lt;&gt;"", E227*R226,""),"")</f>
        <v/>
      </c>
      <c r="S227" s="48" t="str">
        <f>IF(E227&lt;&gt;"", IF(S226&lt;&gt;"", E227*S226,""),"")</f>
        <v/>
      </c>
      <c r="T227" s="48" t="str">
        <f>IF(E227&lt;&gt;"", IF(T226&lt;&gt;"", E227*T226,""),"")</f>
        <v/>
      </c>
      <c r="U227" s="48" t="str">
        <f>IF(E227&lt;&gt;"", IF(U226&lt;&gt;"", E227*U226,""),"")</f>
        <v/>
      </c>
      <c r="V227" s="48" t="str">
        <f>IF(E227&lt;&gt;"", IF(V226&lt;&gt;"", E227*V226,""),"")</f>
        <v/>
      </c>
      <c r="W227" s="48" t="str">
        <f>IF(E227&lt;&gt;"", IF(W226&lt;&gt;"", E227*W226,""),"")</f>
        <v/>
      </c>
      <c r="X227" s="48" t="str">
        <f>IF(E227&lt;&gt;"", IF(X226&lt;&gt;"", E227*X226,""),"")</f>
        <v/>
      </c>
      <c r="Y227" s="48" t="str">
        <f>IF(E227&lt;&gt;"", IF(Y226&lt;&gt;"", E227*Y226,""),"")</f>
        <v/>
      </c>
      <c r="Z227" s="48" t="str">
        <f>IF(E227&lt;&gt;"", IF(Z226&lt;&gt;"", E227*Z226,""),"")</f>
        <v/>
      </c>
      <c r="AA227" s="22"/>
      <c r="AB227" s="22" t="str">
        <f>IF(E227&lt;&gt;"", IF(AB226&lt;&gt;"", E227*AB226, ""), "")</f>
        <v/>
      </c>
      <c r="AC227" s="22" t="str">
        <f>IF(E227&lt;&gt;"", IF(AC226&lt;&gt;"", E227*AC226, ""), "")</f>
        <v/>
      </c>
      <c r="AD227" s="22" t="str">
        <f>IF(E227&lt;&gt;"", IF(AD226&lt;&gt;"", E227*AD226, ""), "")</f>
        <v/>
      </c>
      <c r="AE227" s="22" t="str">
        <f>IF(E227&lt;&gt;"", IF(AE226&lt;&gt;"", E227*AE226, ""), "")</f>
        <v/>
      </c>
      <c r="AF227" s="22" t="str">
        <f>IF(E227&lt;&gt;"", IF(AF226&lt;&gt;"", E227*AF226, ""), "")</f>
        <v/>
      </c>
      <c r="AG227" s="22" t="str">
        <f>IF(E227&lt;&gt;"", IF(AG226&lt;&gt;"", E227*AG226, ""), "")</f>
        <v/>
      </c>
      <c r="AH227" s="22" t="str">
        <f>IF(E227&lt;&gt;"", IF(AH226&lt;&gt;"", E227*AH226, ""), "")</f>
        <v/>
      </c>
      <c r="AI227" s="22" t="str">
        <f>IF(E227&lt;&gt;"", IF(AI226&lt;&gt;"", E227*AI226, ""), "")</f>
        <v/>
      </c>
      <c r="AJ227" s="22" t="str">
        <f>IF(E227&lt;&gt;"", IF(AJ226&lt;&gt;"", E227*AJ226, ""), "")</f>
        <v/>
      </c>
      <c r="AK227" s="22" t="str">
        <f>IF(E227&lt;&gt;"", IF(AK226&lt;&gt;"", E227*AK226, ""), "")</f>
        <v/>
      </c>
      <c r="AL227" s="22" t="str">
        <f>IF(E227&lt;&gt;"", IF(AL226&lt;&gt;"", E227*AL226, ""), "")</f>
        <v/>
      </c>
      <c r="AM227" s="22" t="str">
        <f>IF(E227&lt;&gt;"", IF(AM226&lt;&gt;"", E227*AM226, ""), "")</f>
        <v/>
      </c>
      <c r="AN227" s="22" t="str">
        <f>IF(E227&lt;&gt;"", IF(AN226&lt;&gt;"", E227*AN226, ""), "")</f>
        <v/>
      </c>
      <c r="AO227" s="22" t="str">
        <f>IF(E227&lt;&gt;"", IF(AO226&lt;&gt;"", E227*AO226, ""), "")</f>
        <v/>
      </c>
      <c r="AP227" s="22" t="str">
        <f>IF(E227&lt;&gt;"", IF(AP226&lt;&gt;"", E227*AP226, ""), "")</f>
        <v/>
      </c>
      <c r="AQ227" s="22" t="str">
        <f>IF(E227&lt;&gt;"", IF(AQ226&lt;&gt;"", E227*AQ226, ""), "")</f>
        <v/>
      </c>
      <c r="AR227" s="22" t="str">
        <f>IF(E227&lt;&gt;"", IF(AR226&lt;&gt;"", E227*AR226, ""), "")</f>
        <v/>
      </c>
      <c r="AS227" s="22" t="str">
        <f>IF(E227&lt;&gt;"", IF(AS226&lt;&gt;"", E227*AS226, ""), "")</f>
        <v/>
      </c>
      <c r="AT227" s="22" t="str">
        <f>IF(E227&lt;&gt;"", IF(AT226&lt;&gt;"", E227*AT226, ""), "")</f>
        <v/>
      </c>
      <c r="AU227" s="22" t="str">
        <f>IF(E227&lt;&gt;"", IF(AU226&lt;&gt;"", E227*AU226, ""), "")</f>
        <v/>
      </c>
      <c r="AV227" s="22" t="str">
        <f>IF(E227&lt;&gt;"", IF(AV226&lt;&gt;"", E227*AV226, ""), "")</f>
        <v/>
      </c>
      <c r="AW227" s="22" t="str">
        <f>IF(E227&lt;&gt;"", IF(AW226&lt;&gt;"", E227*AW226, ""), "")</f>
        <v/>
      </c>
      <c r="AX227" s="22" t="str">
        <f>IF(E227&lt;&gt;"", IF(AX226&lt;&gt;"", E227*AX226, ""), "")</f>
        <v/>
      </c>
      <c r="AY227" s="22" t="str">
        <f>IF(E227&lt;&gt;"", IF(AY226&lt;&gt;"", E227*AY226, ""), "")</f>
        <v/>
      </c>
      <c r="AZ227" s="22" t="str">
        <f>IF(E227&lt;&gt;"", IF(AZ226&lt;&gt;"", E227*AZ226, ""), "")</f>
        <v/>
      </c>
      <c r="BA227" s="22" t="str">
        <f>IF(E227&lt;&gt;"", IF(BA226&lt;&gt;"", E227*BA226, ""), "")</f>
        <v/>
      </c>
      <c r="BB227" s="22" t="str">
        <f>IF(E227&lt;&gt;"", IF(BB226&lt;&gt;"", E227*BB226, ""), "")</f>
        <v/>
      </c>
      <c r="BC227" s="22" t="str">
        <f>IF(E227&lt;&gt;"", IF(BC226&lt;&gt;"", E227*BC226, ""), "")</f>
        <v/>
      </c>
      <c r="BD227" s="22" t="str">
        <f>IF(E227&lt;&gt;"", IF(BD226&lt;&gt;"", E227*BD226, ""), "")</f>
        <v/>
      </c>
      <c r="BE227" s="22" t="str">
        <f>IF(E227&lt;&gt;"", IF(BE226&lt;&gt;"", E227*BE226, ""), "")</f>
        <v/>
      </c>
      <c r="DL227" s="18">
        <f>Q227</f>
        <v>1</v>
      </c>
    </row>
    <row r="228" spans="1:116" ht="20.100000000000001" customHeight="1">
      <c r="A228" s="220">
        <v>17</v>
      </c>
      <c r="B228" s="7"/>
      <c r="C228" s="7"/>
      <c r="D228" s="5" t="s">
        <v>596</v>
      </c>
      <c r="E228" s="3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59"/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  <c r="AP228" s="59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59"/>
      <c r="BB228" s="59"/>
      <c r="BC228" s="59"/>
      <c r="BD228" s="59"/>
      <c r="BE228" s="59"/>
    </row>
    <row r="229" spans="1:116" ht="20.100000000000001" customHeight="1">
      <c r="A229" s="221"/>
      <c r="B229" s="7"/>
      <c r="C229" s="7"/>
      <c r="D229" s="78">
        <v>1</v>
      </c>
      <c r="E229" s="47">
        <f>IF(egTextCal(D229)&lt;&gt;0, egTextCal(D229),"")</f>
        <v>1</v>
      </c>
      <c r="F229" s="48" t="str">
        <f>IF(E229&lt;&gt;"", IF(F228&lt;&gt;"", E229*F228,""),"")</f>
        <v/>
      </c>
      <c r="G229" s="48" t="str">
        <f>IF(E229&lt;&gt;"", IF(G228&lt;&gt;"", E229*G228,""),"")</f>
        <v/>
      </c>
      <c r="H229" s="48" t="str">
        <f>IF(E229&lt;&gt;"", IF(H228&lt;&gt;"", E229*H228,""),"")</f>
        <v/>
      </c>
      <c r="I229" s="48" t="str">
        <f>IF(E229&lt;&gt;"", IF(I228&lt;&gt;"", E229*I228,""),"")</f>
        <v/>
      </c>
      <c r="J229" s="48" t="str">
        <f>IF(E229&lt;&gt;"", IF(J228&lt;&gt;"", E229*J228,""),"")</f>
        <v/>
      </c>
      <c r="K229" s="48" t="str">
        <f>IF(E229&lt;&gt;"", IF(K228&lt;&gt;"", E229*K228,""),"")</f>
        <v/>
      </c>
      <c r="L229" s="48" t="str">
        <f>IF(E229&lt;&gt;"", IF(L228&lt;&gt;"", E229*L228,""),"")</f>
        <v/>
      </c>
      <c r="M229" s="48" t="str">
        <f>IF(E229&lt;&gt;"", IF(M228&lt;&gt;"", E229*M228,""),"")</f>
        <v/>
      </c>
      <c r="N229" s="48" t="str">
        <f>IF(E229&lt;&gt;"", IF(N228&lt;&gt;"", E229*N228,""),"")</f>
        <v/>
      </c>
      <c r="O229" s="48" t="str">
        <f>IF(E229&lt;&gt;"", IF(O228&lt;&gt;"", E229*O228,""),"")</f>
        <v/>
      </c>
      <c r="P229" s="48" t="str">
        <f>IF(E229&lt;&gt;"", IF(P228&lt;&gt;"", E229*P228,""),"")</f>
        <v/>
      </c>
      <c r="Q229" s="48" t="str">
        <f>IF(E229&lt;&gt;"", IF(Q228&lt;&gt;"", E229*Q228,""),"")</f>
        <v/>
      </c>
      <c r="R229" s="48" t="str">
        <f>IF(E229&lt;&gt;"", IF(R228&lt;&gt;"", E229*R228,""),"")</f>
        <v/>
      </c>
      <c r="S229" s="48" t="str">
        <f>IF(E229&lt;&gt;"", IF(S228&lt;&gt;"", E229*S228,""),"")</f>
        <v/>
      </c>
      <c r="T229" s="48" t="str">
        <f>IF(E229&lt;&gt;"", IF(T228&lt;&gt;"", E229*T228,""),"")</f>
        <v/>
      </c>
      <c r="U229" s="48" t="str">
        <f>IF(E229&lt;&gt;"", IF(U228&lt;&gt;"", E229*U228,""),"")</f>
        <v/>
      </c>
      <c r="V229" s="48" t="str">
        <f>IF(E229&lt;&gt;"", IF(V228&lt;&gt;"", E229*V228,""),"")</f>
        <v/>
      </c>
      <c r="W229" s="48" t="str">
        <f>IF(E229&lt;&gt;"", IF(W228&lt;&gt;"", E229*W228,""),"")</f>
        <v/>
      </c>
      <c r="X229" s="48" t="str">
        <f>IF(E229&lt;&gt;"", IF(X228&lt;&gt;"", E229*X228,""),"")</f>
        <v/>
      </c>
      <c r="Y229" s="48" t="str">
        <f>IF(E229&lt;&gt;"", IF(Y228&lt;&gt;"", E229*Y228,""),"")</f>
        <v/>
      </c>
      <c r="Z229" s="48" t="str">
        <f>IF(E229&lt;&gt;"", IF(Z228&lt;&gt;"", E229*Z228,""),"")</f>
        <v/>
      </c>
      <c r="AA229" s="22"/>
      <c r="AB229" s="22" t="str">
        <f>IF(E229&lt;&gt;"", IF(AB228&lt;&gt;"", E229*AB228, ""), "")</f>
        <v/>
      </c>
      <c r="AC229" s="22" t="str">
        <f>IF(E229&lt;&gt;"", IF(AC228&lt;&gt;"", E229*AC228, ""), "")</f>
        <v/>
      </c>
      <c r="AD229" s="22" t="str">
        <f>IF(E229&lt;&gt;"", IF(AD228&lt;&gt;"", E229*AD228, ""), "")</f>
        <v/>
      </c>
      <c r="AE229" s="22" t="str">
        <f>IF(E229&lt;&gt;"", IF(AE228&lt;&gt;"", E229*AE228, ""), "")</f>
        <v/>
      </c>
      <c r="AF229" s="22" t="str">
        <f>IF(E229&lt;&gt;"", IF(AF228&lt;&gt;"", E229*AF228, ""), "")</f>
        <v/>
      </c>
      <c r="AG229" s="22" t="str">
        <f>IF(E229&lt;&gt;"", IF(AG228&lt;&gt;"", E229*AG228, ""), "")</f>
        <v/>
      </c>
      <c r="AH229" s="22" t="str">
        <f>IF(E229&lt;&gt;"", IF(AH228&lt;&gt;"", E229*AH228, ""), "")</f>
        <v/>
      </c>
      <c r="AI229" s="22" t="str">
        <f>IF(E229&lt;&gt;"", IF(AI228&lt;&gt;"", E229*AI228, ""), "")</f>
        <v/>
      </c>
      <c r="AJ229" s="22" t="str">
        <f>IF(E229&lt;&gt;"", IF(AJ228&lt;&gt;"", E229*AJ228, ""), "")</f>
        <v/>
      </c>
      <c r="AK229" s="22" t="str">
        <f>IF(E229&lt;&gt;"", IF(AK228&lt;&gt;"", E229*AK228, ""), "")</f>
        <v/>
      </c>
      <c r="AL229" s="22" t="str">
        <f>IF(E229&lt;&gt;"", IF(AL228&lt;&gt;"", E229*AL228, ""), "")</f>
        <v/>
      </c>
      <c r="AM229" s="22" t="str">
        <f>IF(E229&lt;&gt;"", IF(AM228&lt;&gt;"", E229*AM228, ""), "")</f>
        <v/>
      </c>
      <c r="AN229" s="22" t="str">
        <f>IF(E229&lt;&gt;"", IF(AN228&lt;&gt;"", E229*AN228, ""), "")</f>
        <v/>
      </c>
      <c r="AO229" s="22" t="str">
        <f>IF(E229&lt;&gt;"", IF(AO228&lt;&gt;"", E229*AO228, ""), "")</f>
        <v/>
      </c>
      <c r="AP229" s="22" t="str">
        <f>IF(E229&lt;&gt;"", IF(AP228&lt;&gt;"", E229*AP228, ""), "")</f>
        <v/>
      </c>
      <c r="AQ229" s="22" t="str">
        <f>IF(E229&lt;&gt;"", IF(AQ228&lt;&gt;"", E229*AQ228, ""), "")</f>
        <v/>
      </c>
      <c r="AR229" s="22" t="str">
        <f>IF(E229&lt;&gt;"", IF(AR228&lt;&gt;"", E229*AR228, ""), "")</f>
        <v/>
      </c>
      <c r="AS229" s="22" t="str">
        <f>IF(E229&lt;&gt;"", IF(AS228&lt;&gt;"", E229*AS228, ""), "")</f>
        <v/>
      </c>
      <c r="AT229" s="22" t="str">
        <f>IF(E229&lt;&gt;"", IF(AT228&lt;&gt;"", E229*AT228, ""), "")</f>
        <v/>
      </c>
      <c r="AU229" s="22" t="str">
        <f>IF(E229&lt;&gt;"", IF(AU228&lt;&gt;"", E229*AU228, ""), "")</f>
        <v/>
      </c>
      <c r="AV229" s="22" t="str">
        <f>IF(E229&lt;&gt;"", IF(AV228&lt;&gt;"", E229*AV228, ""), "")</f>
        <v/>
      </c>
      <c r="AW229" s="22" t="str">
        <f>IF(E229&lt;&gt;"", IF(AW228&lt;&gt;"", E229*AW228, ""), "")</f>
        <v/>
      </c>
      <c r="AX229" s="22" t="str">
        <f>IF(E229&lt;&gt;"", IF(AX228&lt;&gt;"", E229*AX228, ""), "")</f>
        <v/>
      </c>
      <c r="AY229" s="22" t="str">
        <f>IF(E229&lt;&gt;"", IF(AY228&lt;&gt;"", E229*AY228, ""), "")</f>
        <v/>
      </c>
      <c r="AZ229" s="22" t="str">
        <f>IF(E229&lt;&gt;"", IF(AZ228&lt;&gt;"", E229*AZ228, ""), "")</f>
        <v/>
      </c>
      <c r="BA229" s="22" t="str">
        <f>IF(E229&lt;&gt;"", IF(BA228&lt;&gt;"", E229*BA228, ""), "")</f>
        <v/>
      </c>
      <c r="BB229" s="22" t="str">
        <f>IF(E229&lt;&gt;"", IF(BB228&lt;&gt;"", E229*BB228, ""), "")</f>
        <v/>
      </c>
      <c r="BC229" s="22" t="str">
        <f>IF(E229&lt;&gt;"", IF(BC228&lt;&gt;"", E229*BC228, ""), "")</f>
        <v/>
      </c>
      <c r="BD229" s="22" t="str">
        <f>IF(E229&lt;&gt;"", IF(BD228&lt;&gt;"", E229*BD228, ""), "")</f>
        <v/>
      </c>
      <c r="BE229" s="22" t="str">
        <f>IF(E229&lt;&gt;"", IF(BE228&lt;&gt;"", E229*BE228, ""), "")</f>
        <v/>
      </c>
    </row>
    <row r="230" spans="1:116" ht="20.100000000000001" customHeight="1">
      <c r="A230" s="220">
        <v>18</v>
      </c>
      <c r="B230" s="7"/>
      <c r="C230" s="7"/>
      <c r="D230" s="5"/>
      <c r="E230" s="3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  <c r="AP230" s="59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59"/>
      <c r="BB230" s="59"/>
      <c r="BC230" s="59"/>
      <c r="BD230" s="59"/>
      <c r="BE230" s="59"/>
    </row>
    <row r="231" spans="1:116" ht="20.100000000000001" customHeight="1">
      <c r="A231" s="221"/>
      <c r="B231" s="7"/>
      <c r="C231" s="7"/>
      <c r="D231" s="78"/>
      <c r="E231" s="47" t="str">
        <f>IF(egTextCal(D231)&lt;&gt;0, egTextCal(D231),"")</f>
        <v/>
      </c>
      <c r="F231" s="48" t="str">
        <f>IF(E231&lt;&gt;"", IF(F230&lt;&gt;"", E231*F230,""),"")</f>
        <v/>
      </c>
      <c r="G231" s="48" t="str">
        <f>IF(E231&lt;&gt;"", IF(G230&lt;&gt;"", E231*G230,""),"")</f>
        <v/>
      </c>
      <c r="H231" s="48" t="str">
        <f>IF(E231&lt;&gt;"", IF(H230&lt;&gt;"", E231*H230,""),"")</f>
        <v/>
      </c>
      <c r="I231" s="48" t="str">
        <f>IF(E231&lt;&gt;"", IF(I230&lt;&gt;"", E231*I230,""),"")</f>
        <v/>
      </c>
      <c r="J231" s="48" t="str">
        <f>IF(E231&lt;&gt;"", IF(J230&lt;&gt;"", E231*J230,""),"")</f>
        <v/>
      </c>
      <c r="K231" s="48" t="str">
        <f>IF(E231&lt;&gt;"", IF(K230&lt;&gt;"", E231*K230,""),"")</f>
        <v/>
      </c>
      <c r="L231" s="48" t="str">
        <f>IF(E231&lt;&gt;"", IF(L230&lt;&gt;"", E231*L230,""),"")</f>
        <v/>
      </c>
      <c r="M231" s="48" t="str">
        <f>IF(E231&lt;&gt;"", IF(M230&lt;&gt;"", E231*M230,""),"")</f>
        <v/>
      </c>
      <c r="N231" s="48" t="str">
        <f>IF(E231&lt;&gt;"", IF(N230&lt;&gt;"", E231*N230,""),"")</f>
        <v/>
      </c>
      <c r="O231" s="48" t="str">
        <f>IF(E231&lt;&gt;"", IF(O230&lt;&gt;"", E231*O230,""),"")</f>
        <v/>
      </c>
      <c r="P231" s="48" t="str">
        <f>IF(E231&lt;&gt;"", IF(P230&lt;&gt;"", E231*P230,""),"")</f>
        <v/>
      </c>
      <c r="Q231" s="48" t="str">
        <f>IF(E231&lt;&gt;"", IF(Q230&lt;&gt;"", E231*Q230,""),"")</f>
        <v/>
      </c>
      <c r="R231" s="48" t="str">
        <f>IF(E231&lt;&gt;"", IF(R230&lt;&gt;"", E231*R230,""),"")</f>
        <v/>
      </c>
      <c r="S231" s="48" t="str">
        <f>IF(E231&lt;&gt;"", IF(S230&lt;&gt;"", E231*S230,""),"")</f>
        <v/>
      </c>
      <c r="T231" s="48" t="str">
        <f>IF(E231&lt;&gt;"", IF(T230&lt;&gt;"", E231*T230,""),"")</f>
        <v/>
      </c>
      <c r="U231" s="48" t="str">
        <f>IF(E231&lt;&gt;"", IF(U230&lt;&gt;"", E231*U230,""),"")</f>
        <v/>
      </c>
      <c r="V231" s="48" t="str">
        <f>IF(E231&lt;&gt;"", IF(V230&lt;&gt;"", E231*V230,""),"")</f>
        <v/>
      </c>
      <c r="W231" s="48" t="str">
        <f>IF(E231&lt;&gt;"", IF(W230&lt;&gt;"", E231*W230,""),"")</f>
        <v/>
      </c>
      <c r="X231" s="48" t="str">
        <f>IF(E231&lt;&gt;"", IF(X230&lt;&gt;"", E231*X230,""),"")</f>
        <v/>
      </c>
      <c r="Y231" s="48" t="str">
        <f>IF(E231&lt;&gt;"", IF(Y230&lt;&gt;"", E231*Y230,""),"")</f>
        <v/>
      </c>
      <c r="Z231" s="48" t="str">
        <f>IF(E231&lt;&gt;"", IF(Z230&lt;&gt;"", E231*Z230,""),"")</f>
        <v/>
      </c>
      <c r="AA231" s="22"/>
      <c r="AB231" s="22" t="str">
        <f>IF(E231&lt;&gt;"", IF(AB230&lt;&gt;"", E231*AB230, ""), "")</f>
        <v/>
      </c>
      <c r="AC231" s="22" t="str">
        <f>IF(E231&lt;&gt;"", IF(AC230&lt;&gt;"", E231*AC230, ""), "")</f>
        <v/>
      </c>
      <c r="AD231" s="22" t="str">
        <f>IF(E231&lt;&gt;"", IF(AD230&lt;&gt;"", E231*AD230, ""), "")</f>
        <v/>
      </c>
      <c r="AE231" s="22" t="str">
        <f>IF(E231&lt;&gt;"", IF(AE230&lt;&gt;"", E231*AE230, ""), "")</f>
        <v/>
      </c>
      <c r="AF231" s="22" t="str">
        <f>IF(E231&lt;&gt;"", IF(AF230&lt;&gt;"", E231*AF230, ""), "")</f>
        <v/>
      </c>
      <c r="AG231" s="22" t="str">
        <f>IF(E231&lt;&gt;"", IF(AG230&lt;&gt;"", E231*AG230, ""), "")</f>
        <v/>
      </c>
      <c r="AH231" s="22" t="str">
        <f>IF(E231&lt;&gt;"", IF(AH230&lt;&gt;"", E231*AH230, ""), "")</f>
        <v/>
      </c>
      <c r="AI231" s="22" t="str">
        <f>IF(E231&lt;&gt;"", IF(AI230&lt;&gt;"", E231*AI230, ""), "")</f>
        <v/>
      </c>
      <c r="AJ231" s="22" t="str">
        <f>IF(E231&lt;&gt;"", IF(AJ230&lt;&gt;"", E231*AJ230, ""), "")</f>
        <v/>
      </c>
      <c r="AK231" s="22" t="str">
        <f>IF(E231&lt;&gt;"", IF(AK230&lt;&gt;"", E231*AK230, ""), "")</f>
        <v/>
      </c>
      <c r="AL231" s="22" t="str">
        <f>IF(E231&lt;&gt;"", IF(AL230&lt;&gt;"", E231*AL230, ""), "")</f>
        <v/>
      </c>
      <c r="AM231" s="22" t="str">
        <f>IF(E231&lt;&gt;"", IF(AM230&lt;&gt;"", E231*AM230, ""), "")</f>
        <v/>
      </c>
      <c r="AN231" s="22" t="str">
        <f>IF(E231&lt;&gt;"", IF(AN230&lt;&gt;"", E231*AN230, ""), "")</f>
        <v/>
      </c>
      <c r="AO231" s="22" t="str">
        <f>IF(E231&lt;&gt;"", IF(AO230&lt;&gt;"", E231*AO230, ""), "")</f>
        <v/>
      </c>
      <c r="AP231" s="22" t="str">
        <f>IF(E231&lt;&gt;"", IF(AP230&lt;&gt;"", E231*AP230, ""), "")</f>
        <v/>
      </c>
      <c r="AQ231" s="22" t="str">
        <f>IF(E231&lt;&gt;"", IF(AQ230&lt;&gt;"", E231*AQ230, ""), "")</f>
        <v/>
      </c>
      <c r="AR231" s="22" t="str">
        <f>IF(E231&lt;&gt;"", IF(AR230&lt;&gt;"", E231*AR230, ""), "")</f>
        <v/>
      </c>
      <c r="AS231" s="22" t="str">
        <f>IF(E231&lt;&gt;"", IF(AS230&lt;&gt;"", E231*AS230, ""), "")</f>
        <v/>
      </c>
      <c r="AT231" s="22" t="str">
        <f>IF(E231&lt;&gt;"", IF(AT230&lt;&gt;"", E231*AT230, ""), "")</f>
        <v/>
      </c>
      <c r="AU231" s="22" t="str">
        <f>IF(E231&lt;&gt;"", IF(AU230&lt;&gt;"", E231*AU230, ""), "")</f>
        <v/>
      </c>
      <c r="AV231" s="22" t="str">
        <f>IF(E231&lt;&gt;"", IF(AV230&lt;&gt;"", E231*AV230, ""), "")</f>
        <v/>
      </c>
      <c r="AW231" s="22" t="str">
        <f>IF(E231&lt;&gt;"", IF(AW230&lt;&gt;"", E231*AW230, ""), "")</f>
        <v/>
      </c>
      <c r="AX231" s="22" t="str">
        <f>IF(E231&lt;&gt;"", IF(AX230&lt;&gt;"", E231*AX230, ""), "")</f>
        <v/>
      </c>
      <c r="AY231" s="22" t="str">
        <f>IF(E231&lt;&gt;"", IF(AY230&lt;&gt;"", E231*AY230, ""), "")</f>
        <v/>
      </c>
      <c r="AZ231" s="22" t="str">
        <f>IF(E231&lt;&gt;"", IF(AZ230&lt;&gt;"", E231*AZ230, ""), "")</f>
        <v/>
      </c>
      <c r="BA231" s="22" t="str">
        <f>IF(E231&lt;&gt;"", IF(BA230&lt;&gt;"", E231*BA230, ""), "")</f>
        <v/>
      </c>
      <c r="BB231" s="22" t="str">
        <f>IF(E231&lt;&gt;"", IF(BB230&lt;&gt;"", E231*BB230, ""), "")</f>
        <v/>
      </c>
      <c r="BC231" s="22" t="str">
        <f>IF(E231&lt;&gt;"", IF(BC230&lt;&gt;"", E231*BC230, ""), "")</f>
        <v/>
      </c>
      <c r="BD231" s="22" t="str">
        <f>IF(E231&lt;&gt;"", IF(BD230&lt;&gt;"", E231*BD230, ""), "")</f>
        <v/>
      </c>
      <c r="BE231" s="22" t="str">
        <f>IF(E231&lt;&gt;"", IF(BE230&lt;&gt;"", E231*BE230, ""), "")</f>
        <v/>
      </c>
    </row>
    <row r="232" spans="1:116" ht="20.100000000000001" customHeight="1">
      <c r="A232" s="220">
        <v>19</v>
      </c>
      <c r="B232" s="7"/>
      <c r="C232" s="7"/>
      <c r="D232" s="5"/>
      <c r="E232" s="3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59"/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  <c r="AP232" s="59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59"/>
      <c r="BB232" s="59"/>
      <c r="BC232" s="59"/>
      <c r="BD232" s="59"/>
      <c r="BE232" s="59"/>
    </row>
    <row r="233" spans="1:116" ht="20.100000000000001" customHeight="1">
      <c r="A233" s="221"/>
      <c r="B233" s="7"/>
      <c r="C233" s="7"/>
      <c r="D233" s="78"/>
      <c r="E233" s="47" t="str">
        <f>IF(egTextCal(D233)&lt;&gt;0, egTextCal(D233),"")</f>
        <v/>
      </c>
      <c r="F233" s="48" t="str">
        <f>IF(E233&lt;&gt;"", IF(F232&lt;&gt;"", E233*F232,""),"")</f>
        <v/>
      </c>
      <c r="G233" s="48" t="str">
        <f>IF(E233&lt;&gt;"", IF(G232&lt;&gt;"", E233*G232,""),"")</f>
        <v/>
      </c>
      <c r="H233" s="48" t="str">
        <f>IF(E233&lt;&gt;"", IF(H232&lt;&gt;"", E233*H232,""),"")</f>
        <v/>
      </c>
      <c r="I233" s="48" t="str">
        <f>IF(E233&lt;&gt;"", IF(I232&lt;&gt;"", E233*I232,""),"")</f>
        <v/>
      </c>
      <c r="J233" s="48" t="str">
        <f>IF(E233&lt;&gt;"", IF(J232&lt;&gt;"", E233*J232,""),"")</f>
        <v/>
      </c>
      <c r="K233" s="48" t="str">
        <f>IF(E233&lt;&gt;"", IF(K232&lt;&gt;"", E233*K232,""),"")</f>
        <v/>
      </c>
      <c r="L233" s="48" t="str">
        <f>IF(E233&lt;&gt;"", IF(L232&lt;&gt;"", E233*L232,""),"")</f>
        <v/>
      </c>
      <c r="M233" s="48" t="str">
        <f>IF(E233&lt;&gt;"", IF(M232&lt;&gt;"", E233*M232,""),"")</f>
        <v/>
      </c>
      <c r="N233" s="48" t="str">
        <f>IF(E233&lt;&gt;"", IF(N232&lt;&gt;"", E233*N232,""),"")</f>
        <v/>
      </c>
      <c r="O233" s="48" t="str">
        <f>IF(E233&lt;&gt;"", IF(O232&lt;&gt;"", E233*O232,""),"")</f>
        <v/>
      </c>
      <c r="P233" s="48" t="str">
        <f>IF(E233&lt;&gt;"", IF(P232&lt;&gt;"", E233*P232,""),"")</f>
        <v/>
      </c>
      <c r="Q233" s="48" t="str">
        <f>IF(E233&lt;&gt;"", IF(Q232&lt;&gt;"", E233*Q232,""),"")</f>
        <v/>
      </c>
      <c r="R233" s="48" t="str">
        <f>IF(E233&lt;&gt;"", IF(R232&lt;&gt;"", E233*R232,""),"")</f>
        <v/>
      </c>
      <c r="S233" s="48" t="str">
        <f>IF(E233&lt;&gt;"", IF(S232&lt;&gt;"", E233*S232,""),"")</f>
        <v/>
      </c>
      <c r="T233" s="48" t="str">
        <f>IF(E233&lt;&gt;"", IF(T232&lt;&gt;"", E233*T232,""),"")</f>
        <v/>
      </c>
      <c r="U233" s="48" t="str">
        <f>IF(E233&lt;&gt;"", IF(U232&lt;&gt;"", E233*U232,""),"")</f>
        <v/>
      </c>
      <c r="V233" s="48" t="str">
        <f>IF(E233&lt;&gt;"", IF(V232&lt;&gt;"", E233*V232,""),"")</f>
        <v/>
      </c>
      <c r="W233" s="48" t="str">
        <f>IF(E233&lt;&gt;"", IF(W232&lt;&gt;"", E233*W232,""),"")</f>
        <v/>
      </c>
      <c r="X233" s="48" t="str">
        <f>IF(E233&lt;&gt;"", IF(X232&lt;&gt;"", E233*X232,""),"")</f>
        <v/>
      </c>
      <c r="Y233" s="48" t="str">
        <f>IF(E233&lt;&gt;"", IF(Y232&lt;&gt;"", E233*Y232,""),"")</f>
        <v/>
      </c>
      <c r="Z233" s="48" t="str">
        <f>IF(E233&lt;&gt;"", IF(Z232&lt;&gt;"", E233*Z232,""),"")</f>
        <v/>
      </c>
      <c r="AA233" s="22"/>
      <c r="AB233" s="22" t="str">
        <f>IF(E233&lt;&gt;"", IF(AB232&lt;&gt;"", E233*AB232, ""), "")</f>
        <v/>
      </c>
      <c r="AC233" s="22" t="str">
        <f>IF(E233&lt;&gt;"", IF(AC232&lt;&gt;"", E233*AC232, ""), "")</f>
        <v/>
      </c>
      <c r="AD233" s="22" t="str">
        <f>IF(E233&lt;&gt;"", IF(AD232&lt;&gt;"", E233*AD232, ""), "")</f>
        <v/>
      </c>
      <c r="AE233" s="22" t="str">
        <f>IF(E233&lt;&gt;"", IF(AE232&lt;&gt;"", E233*AE232, ""), "")</f>
        <v/>
      </c>
      <c r="AF233" s="22" t="str">
        <f>IF(E233&lt;&gt;"", IF(AF232&lt;&gt;"", E233*AF232, ""), "")</f>
        <v/>
      </c>
      <c r="AG233" s="22" t="str">
        <f>IF(E233&lt;&gt;"", IF(AG232&lt;&gt;"", E233*AG232, ""), "")</f>
        <v/>
      </c>
      <c r="AH233" s="22" t="str">
        <f>IF(E233&lt;&gt;"", IF(AH232&lt;&gt;"", E233*AH232, ""), "")</f>
        <v/>
      </c>
      <c r="AI233" s="22" t="str">
        <f>IF(E233&lt;&gt;"", IF(AI232&lt;&gt;"", E233*AI232, ""), "")</f>
        <v/>
      </c>
      <c r="AJ233" s="22" t="str">
        <f>IF(E233&lt;&gt;"", IF(AJ232&lt;&gt;"", E233*AJ232, ""), "")</f>
        <v/>
      </c>
      <c r="AK233" s="22" t="str">
        <f>IF(E233&lt;&gt;"", IF(AK232&lt;&gt;"", E233*AK232, ""), "")</f>
        <v/>
      </c>
      <c r="AL233" s="22" t="str">
        <f>IF(E233&lt;&gt;"", IF(AL232&lt;&gt;"", E233*AL232, ""), "")</f>
        <v/>
      </c>
      <c r="AM233" s="22" t="str">
        <f>IF(E233&lt;&gt;"", IF(AM232&lt;&gt;"", E233*AM232, ""), "")</f>
        <v/>
      </c>
      <c r="AN233" s="22" t="str">
        <f>IF(E233&lt;&gt;"", IF(AN232&lt;&gt;"", E233*AN232, ""), "")</f>
        <v/>
      </c>
      <c r="AO233" s="22" t="str">
        <f>IF(E233&lt;&gt;"", IF(AO232&lt;&gt;"", E233*AO232, ""), "")</f>
        <v/>
      </c>
      <c r="AP233" s="22" t="str">
        <f>IF(E233&lt;&gt;"", IF(AP232&lt;&gt;"", E233*AP232, ""), "")</f>
        <v/>
      </c>
      <c r="AQ233" s="22" t="str">
        <f>IF(E233&lt;&gt;"", IF(AQ232&lt;&gt;"", E233*AQ232, ""), "")</f>
        <v/>
      </c>
      <c r="AR233" s="22" t="str">
        <f>IF(E233&lt;&gt;"", IF(AR232&lt;&gt;"", E233*AR232, ""), "")</f>
        <v/>
      </c>
      <c r="AS233" s="22" t="str">
        <f>IF(E233&lt;&gt;"", IF(AS232&lt;&gt;"", E233*AS232, ""), "")</f>
        <v/>
      </c>
      <c r="AT233" s="22" t="str">
        <f>IF(E233&lt;&gt;"", IF(AT232&lt;&gt;"", E233*AT232, ""), "")</f>
        <v/>
      </c>
      <c r="AU233" s="22" t="str">
        <f>IF(E233&lt;&gt;"", IF(AU232&lt;&gt;"", E233*AU232, ""), "")</f>
        <v/>
      </c>
      <c r="AV233" s="22" t="str">
        <f>IF(E233&lt;&gt;"", IF(AV232&lt;&gt;"", E233*AV232, ""), "")</f>
        <v/>
      </c>
      <c r="AW233" s="22" t="str">
        <f>IF(E233&lt;&gt;"", IF(AW232&lt;&gt;"", E233*AW232, ""), "")</f>
        <v/>
      </c>
      <c r="AX233" s="22" t="str">
        <f>IF(E233&lt;&gt;"", IF(AX232&lt;&gt;"", E233*AX232, ""), "")</f>
        <v/>
      </c>
      <c r="AY233" s="22" t="str">
        <f>IF(E233&lt;&gt;"", IF(AY232&lt;&gt;"", E233*AY232, ""), "")</f>
        <v/>
      </c>
      <c r="AZ233" s="22" t="str">
        <f>IF(E233&lt;&gt;"", IF(AZ232&lt;&gt;"", E233*AZ232, ""), "")</f>
        <v/>
      </c>
      <c r="BA233" s="22" t="str">
        <f>IF(E233&lt;&gt;"", IF(BA232&lt;&gt;"", E233*BA232, ""), "")</f>
        <v/>
      </c>
      <c r="BB233" s="22" t="str">
        <f>IF(E233&lt;&gt;"", IF(BB232&lt;&gt;"", E233*BB232, ""), "")</f>
        <v/>
      </c>
      <c r="BC233" s="22" t="str">
        <f>IF(E233&lt;&gt;"", IF(BC232&lt;&gt;"", E233*BC232, ""), "")</f>
        <v/>
      </c>
      <c r="BD233" s="22" t="str">
        <f>IF(E233&lt;&gt;"", IF(BD232&lt;&gt;"", E233*BD232, ""), "")</f>
        <v/>
      </c>
      <c r="BE233" s="22" t="str">
        <f>IF(E233&lt;&gt;"", IF(BE232&lt;&gt;"", E233*BE232, ""), "")</f>
        <v/>
      </c>
    </row>
    <row r="234" spans="1:116" ht="20.100000000000001" customHeight="1">
      <c r="A234" s="220">
        <v>20</v>
      </c>
      <c r="B234" s="7"/>
      <c r="C234" s="7" t="s">
        <v>299</v>
      </c>
      <c r="D234" s="5" t="s">
        <v>300</v>
      </c>
      <c r="E234" s="3" t="s">
        <v>177</v>
      </c>
      <c r="F234" s="46">
        <f t="shared" ref="F234:Z234" si="0">SUM(DA8:DA233)</f>
        <v>274</v>
      </c>
      <c r="G234" s="46">
        <f t="shared" si="0"/>
        <v>502</v>
      </c>
      <c r="H234" s="46">
        <f t="shared" si="0"/>
        <v>104</v>
      </c>
      <c r="I234" s="46">
        <f t="shared" si="0"/>
        <v>45</v>
      </c>
      <c r="J234" s="46">
        <f t="shared" si="0"/>
        <v>262</v>
      </c>
      <c r="K234" s="46">
        <f t="shared" si="0"/>
        <v>131</v>
      </c>
      <c r="L234" s="46">
        <f t="shared" si="0"/>
        <v>6</v>
      </c>
      <c r="M234" s="46">
        <f t="shared" si="0"/>
        <v>8</v>
      </c>
      <c r="N234" s="46">
        <f t="shared" si="0"/>
        <v>6</v>
      </c>
      <c r="O234" s="46">
        <f t="shared" si="0"/>
        <v>8</v>
      </c>
      <c r="P234" s="46">
        <f t="shared" si="0"/>
        <v>12</v>
      </c>
      <c r="Q234" s="46">
        <f t="shared" si="0"/>
        <v>6</v>
      </c>
      <c r="R234" s="46">
        <f t="shared" si="0"/>
        <v>2</v>
      </c>
      <c r="S234" s="46">
        <f t="shared" si="0"/>
        <v>1</v>
      </c>
      <c r="T234" s="46">
        <f t="shared" si="0"/>
        <v>680</v>
      </c>
      <c r="U234" s="46">
        <f t="shared" si="0"/>
        <v>2753</v>
      </c>
      <c r="V234" s="46">
        <f t="shared" si="0"/>
        <v>262</v>
      </c>
      <c r="W234" s="46">
        <f t="shared" si="0"/>
        <v>131</v>
      </c>
      <c r="X234" s="46">
        <f t="shared" si="0"/>
        <v>524</v>
      </c>
      <c r="Y234" s="46">
        <f t="shared" si="0"/>
        <v>4</v>
      </c>
      <c r="Z234" s="46">
        <f t="shared" si="0"/>
        <v>3</v>
      </c>
      <c r="AA234" s="59"/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  <c r="AP234" s="59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59"/>
      <c r="BB234" s="59"/>
      <c r="BC234" s="59"/>
      <c r="BD234" s="59"/>
      <c r="BE234" s="59"/>
    </row>
    <row r="235" spans="1:116" ht="20.100000000000001" customHeight="1">
      <c r="A235" s="221"/>
      <c r="B235" s="58"/>
      <c r="C235" s="58"/>
      <c r="D235" s="78" t="s">
        <v>301</v>
      </c>
      <c r="E235" s="47">
        <v>1</v>
      </c>
      <c r="F235" s="48">
        <f>E235*F234</f>
        <v>274</v>
      </c>
      <c r="G235" s="48">
        <f>E235*G234</f>
        <v>502</v>
      </c>
      <c r="H235" s="48">
        <f>E235*H234</f>
        <v>104</v>
      </c>
      <c r="I235" s="48">
        <f>E235*I234</f>
        <v>45</v>
      </c>
      <c r="J235" s="48">
        <f>E235*J234</f>
        <v>262</v>
      </c>
      <c r="K235" s="48">
        <f>E235*K234</f>
        <v>131</v>
      </c>
      <c r="L235" s="48">
        <f>E235*L234</f>
        <v>6</v>
      </c>
      <c r="M235" s="48">
        <f>E235*M234</f>
        <v>8</v>
      </c>
      <c r="N235" s="48">
        <f>E235*N234</f>
        <v>6</v>
      </c>
      <c r="O235" s="48">
        <f>E235*O234</f>
        <v>8</v>
      </c>
      <c r="P235" s="48">
        <f>E235*P234</f>
        <v>12</v>
      </c>
      <c r="Q235" s="48">
        <f>E235*Q234</f>
        <v>6</v>
      </c>
      <c r="R235" s="48">
        <f>E235*R234</f>
        <v>2</v>
      </c>
      <c r="S235" s="48">
        <f>E235*S234</f>
        <v>1</v>
      </c>
      <c r="T235" s="48">
        <f>E235*T234</f>
        <v>680</v>
      </c>
      <c r="U235" s="48">
        <f>E235*U234</f>
        <v>2753</v>
      </c>
      <c r="V235" s="48">
        <f>E235*V234</f>
        <v>262</v>
      </c>
      <c r="W235" s="48">
        <f>E235*W234</f>
        <v>131</v>
      </c>
      <c r="X235" s="48">
        <f>E235*X234</f>
        <v>524</v>
      </c>
      <c r="Y235" s="48">
        <f>E235*Y234</f>
        <v>4</v>
      </c>
      <c r="Z235" s="48">
        <f>E235*Z234</f>
        <v>3</v>
      </c>
      <c r="AA235" s="22"/>
      <c r="AB235" s="22" t="str">
        <f>IF(E235&lt;&gt;"", IF(AB234&lt;&gt;"", E235*AB234, ""), "")</f>
        <v/>
      </c>
      <c r="AC235" s="22" t="str">
        <f>IF(E235&lt;&gt;"", IF(AC234&lt;&gt;"", E235*AC234, ""), "")</f>
        <v/>
      </c>
      <c r="AD235" s="22" t="str">
        <f>IF(E235&lt;&gt;"", IF(AD234&lt;&gt;"", E235*AD234, ""), "")</f>
        <v/>
      </c>
      <c r="AE235" s="22" t="str">
        <f>IF(E235&lt;&gt;"", IF(AE234&lt;&gt;"", E235*AE234, ""), "")</f>
        <v/>
      </c>
      <c r="AF235" s="22" t="str">
        <f>IF(E235&lt;&gt;"", IF(AF234&lt;&gt;"", E235*AF234, ""), "")</f>
        <v/>
      </c>
      <c r="AG235" s="22" t="str">
        <f>IF(E235&lt;&gt;"", IF(AG234&lt;&gt;"", E235*AG234, ""), "")</f>
        <v/>
      </c>
      <c r="AH235" s="22" t="str">
        <f>IF(E235&lt;&gt;"", IF(AH234&lt;&gt;"", E235*AH234, ""), "")</f>
        <v/>
      </c>
      <c r="AI235" s="22" t="str">
        <f>IF(E235&lt;&gt;"", IF(AI234&lt;&gt;"", E235*AI234, ""), "")</f>
        <v/>
      </c>
      <c r="AJ235" s="22" t="str">
        <f>IF(E235&lt;&gt;"", IF(AJ234&lt;&gt;"", E235*AJ234, ""), "")</f>
        <v/>
      </c>
      <c r="AK235" s="22" t="str">
        <f>IF(E235&lt;&gt;"", IF(AK234&lt;&gt;"", E235*AK234, ""), "")</f>
        <v/>
      </c>
      <c r="AL235" s="22" t="str">
        <f>IF(E235&lt;&gt;"", IF(AL234&lt;&gt;"", E235*AL234, ""), "")</f>
        <v/>
      </c>
      <c r="AM235" s="22" t="str">
        <f>IF(E235&lt;&gt;"", IF(AM234&lt;&gt;"", E235*AM234, ""), "")</f>
        <v/>
      </c>
      <c r="AN235" s="22" t="str">
        <f>IF(E235&lt;&gt;"", IF(AN234&lt;&gt;"", E235*AN234, ""), "")</f>
        <v/>
      </c>
      <c r="AO235" s="22" t="str">
        <f>IF(E235&lt;&gt;"", IF(AO234&lt;&gt;"", E235*AO234, ""), "")</f>
        <v/>
      </c>
      <c r="AP235" s="22" t="str">
        <f>IF(E235&lt;&gt;"", IF(AP234&lt;&gt;"", E235*AP234, ""), "")</f>
        <v/>
      </c>
      <c r="AQ235" s="22" t="str">
        <f>IF(E235&lt;&gt;"", IF(AQ234&lt;&gt;"", E235*AQ234, ""), "")</f>
        <v/>
      </c>
      <c r="AR235" s="22" t="str">
        <f>IF(E235&lt;&gt;"", IF(AR234&lt;&gt;"", E235*AR234, ""), "")</f>
        <v/>
      </c>
      <c r="AS235" s="22" t="str">
        <f>IF(E235&lt;&gt;"", IF(AS234&lt;&gt;"", E235*AS234, ""), "")</f>
        <v/>
      </c>
      <c r="AT235" s="22" t="str">
        <f>IF(E235&lt;&gt;"", IF(AT234&lt;&gt;"", E235*AT234, ""), "")</f>
        <v/>
      </c>
      <c r="AU235" s="22" t="str">
        <f>IF(E235&lt;&gt;"", IF(AU234&lt;&gt;"", E235*AU234, ""), "")</f>
        <v/>
      </c>
      <c r="AV235" s="22" t="str">
        <f>IF(E235&lt;&gt;"", IF(AV234&lt;&gt;"", E235*AV234, ""), "")</f>
        <v/>
      </c>
      <c r="AW235" s="22" t="str">
        <f>IF(E235&lt;&gt;"", IF(AW234&lt;&gt;"", E235*AW234, ""), "")</f>
        <v/>
      </c>
      <c r="AX235" s="22" t="str">
        <f>IF(E235&lt;&gt;"", IF(AX234&lt;&gt;"", E235*AX234, ""), "")</f>
        <v/>
      </c>
      <c r="AY235" s="22" t="str">
        <f>IF(E235&lt;&gt;"", IF(AY234&lt;&gt;"", E235*AY234, ""), "")</f>
        <v/>
      </c>
      <c r="AZ235" s="22" t="str">
        <f>IF(E235&lt;&gt;"", IF(AZ234&lt;&gt;"", E235*AZ234, ""), "")</f>
        <v/>
      </c>
      <c r="BA235" s="22" t="str">
        <f>IF(E235&lt;&gt;"", IF(BA234&lt;&gt;"", E235*BA234, ""), "")</f>
        <v/>
      </c>
      <c r="BB235" s="22" t="str">
        <f>IF(E235&lt;&gt;"", IF(BB234&lt;&gt;"", E235*BB234, ""), "")</f>
        <v/>
      </c>
      <c r="BC235" s="22" t="str">
        <f>IF(E235&lt;&gt;"", IF(BC234&lt;&gt;"", E235*BC234, ""), "")</f>
        <v/>
      </c>
      <c r="BD235" s="22" t="str">
        <f>IF(E235&lt;&gt;"", IF(BD234&lt;&gt;"", E235*BD234, ""), "")</f>
        <v/>
      </c>
      <c r="BE235" s="22" t="str">
        <f>IF(E235&lt;&gt;"", IF(BE234&lt;&gt;"", E235*BE234, ""), "")</f>
        <v/>
      </c>
    </row>
    <row r="236" spans="1:116" ht="20.100000000000001" customHeight="1">
      <c r="BA236" s="2"/>
      <c r="BB236" s="2"/>
      <c r="BC236" s="2"/>
      <c r="BD236" s="2"/>
      <c r="BE236" s="2"/>
    </row>
    <row r="237" spans="1:116" ht="20.100000000000001" customHeight="1">
      <c r="BA237" s="2"/>
      <c r="BB237" s="2"/>
      <c r="BC237" s="2"/>
      <c r="BD237" s="2"/>
      <c r="BE237" s="2"/>
    </row>
    <row r="238" spans="1:116" ht="20.100000000000001" customHeight="1">
      <c r="BA238" s="2"/>
      <c r="BB238" s="2"/>
      <c r="BC238" s="2"/>
      <c r="BD238" s="2"/>
      <c r="BE238" s="2"/>
    </row>
    <row r="239" spans="1:116" ht="20.100000000000001" customHeight="1">
      <c r="D239" s="222" t="s">
        <v>644</v>
      </c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23"/>
      <c r="S239" s="223"/>
      <c r="T239" s="223"/>
      <c r="U239" s="223"/>
      <c r="V239" s="223"/>
      <c r="W239" s="223"/>
      <c r="X239" s="223"/>
      <c r="Y239" s="223"/>
      <c r="Z239" s="223"/>
      <c r="BA239" s="2"/>
      <c r="BB239" s="2"/>
      <c r="BC239" s="2"/>
      <c r="BD239" s="2"/>
      <c r="BE239" s="2"/>
    </row>
    <row r="240" spans="1:116" ht="20.100000000000001" customHeight="1">
      <c r="A240" s="219" t="s">
        <v>320</v>
      </c>
      <c r="B240" s="73"/>
      <c r="C240" s="75"/>
      <c r="D240" s="219" t="s">
        <v>180</v>
      </c>
      <c r="E240" s="219" t="s">
        <v>181</v>
      </c>
      <c r="F240" s="54" t="s">
        <v>250</v>
      </c>
      <c r="G240" s="54" t="s">
        <v>251</v>
      </c>
      <c r="H240" s="54" t="s">
        <v>252</v>
      </c>
      <c r="I240" s="54" t="s">
        <v>253</v>
      </c>
      <c r="J240" s="54" t="s">
        <v>254</v>
      </c>
      <c r="K240" s="54" t="s">
        <v>593</v>
      </c>
      <c r="L240" s="54" t="s">
        <v>255</v>
      </c>
      <c r="M240" s="54" t="s">
        <v>256</v>
      </c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</row>
    <row r="241" spans="1:57" ht="20.100000000000001" customHeight="1">
      <c r="A241" s="220"/>
      <c r="B241" s="14"/>
      <c r="C241" s="42"/>
      <c r="D241" s="220"/>
      <c r="E241" s="220"/>
      <c r="F241" s="44" t="s">
        <v>257</v>
      </c>
      <c r="G241" s="44"/>
      <c r="H241" s="44" t="s">
        <v>258</v>
      </c>
      <c r="I241" s="44" t="s">
        <v>259</v>
      </c>
      <c r="J241" s="44" t="s">
        <v>591</v>
      </c>
      <c r="K241" s="44" t="s">
        <v>594</v>
      </c>
      <c r="L241" s="44" t="s">
        <v>260</v>
      </c>
      <c r="M241" s="44" t="s">
        <v>261</v>
      </c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</row>
    <row r="242" spans="1:57" ht="20.100000000000001" customHeight="1">
      <c r="A242" s="221"/>
      <c r="B242" s="74"/>
      <c r="C242" s="76"/>
      <c r="D242" s="221"/>
      <c r="E242" s="221"/>
      <c r="F242" s="55" t="s">
        <v>262</v>
      </c>
      <c r="G242" s="55" t="s">
        <v>263</v>
      </c>
      <c r="H242" s="55" t="s">
        <v>264</v>
      </c>
      <c r="I242" s="55" t="s">
        <v>262</v>
      </c>
      <c r="J242" s="55" t="s">
        <v>592</v>
      </c>
      <c r="K242" s="55" t="s">
        <v>595</v>
      </c>
      <c r="L242" s="55" t="s">
        <v>265</v>
      </c>
      <c r="M242" s="55" t="s">
        <v>266</v>
      </c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60"/>
      <c r="AB242" s="60"/>
      <c r="AC242" s="60"/>
      <c r="AD242" s="60"/>
      <c r="AE242" s="60"/>
      <c r="AF242" s="60"/>
      <c r="AG242" s="60"/>
      <c r="AH242" s="60"/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60"/>
      <c r="AU242" s="60"/>
      <c r="AV242" s="60"/>
      <c r="AW242" s="60"/>
      <c r="AX242" s="60"/>
      <c r="AY242" s="60"/>
      <c r="AZ242" s="60"/>
      <c r="BA242" s="60"/>
      <c r="BB242" s="60"/>
      <c r="BC242" s="60"/>
      <c r="BD242" s="60"/>
      <c r="BE242" s="60"/>
    </row>
    <row r="243" spans="1:57" ht="20.100000000000001" customHeight="1">
      <c r="A243" s="220">
        <v>1</v>
      </c>
      <c r="B243" s="7"/>
      <c r="C243" s="7"/>
      <c r="D243" s="5" t="s">
        <v>288</v>
      </c>
      <c r="E243" s="3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  <c r="AP243" s="59"/>
      <c r="AQ243" s="59"/>
      <c r="AR243" s="59"/>
      <c r="AS243" s="59"/>
      <c r="AT243" s="59"/>
      <c r="AU243" s="59"/>
      <c r="AV243" s="59"/>
      <c r="AW243" s="59"/>
      <c r="AX243" s="59"/>
      <c r="AY243" s="59"/>
      <c r="AZ243" s="59"/>
      <c r="BA243" s="59"/>
      <c r="BB243" s="59"/>
      <c r="BC243" s="59"/>
      <c r="BD243" s="59"/>
      <c r="BE243" s="59"/>
    </row>
    <row r="244" spans="1:57" ht="20.100000000000001" customHeight="1">
      <c r="A244" s="221"/>
      <c r="B244" s="7"/>
      <c r="C244" s="7"/>
      <c r="D244" s="78">
        <v>5</v>
      </c>
      <c r="E244" s="47">
        <f>IF(egTextCal(D244)&lt;&gt;0, egTextCal(D244),"")</f>
        <v>5</v>
      </c>
      <c r="F244" s="48" t="str">
        <f>IF(E244&lt;&gt;"", IF(F243&lt;&gt;"", E244*F243,""),"")</f>
        <v/>
      </c>
      <c r="G244" s="48" t="str">
        <f>IF(E244&lt;&gt;"", IF(G243&lt;&gt;"", E244*G243,""),"")</f>
        <v/>
      </c>
      <c r="H244" s="48" t="str">
        <f>IF(E244&lt;&gt;"", IF(H243&lt;&gt;"", E244*H243,""),"")</f>
        <v/>
      </c>
      <c r="I244" s="48" t="str">
        <f>IF(E244&lt;&gt;"", IF(I243&lt;&gt;"", E244*I243,""),"")</f>
        <v/>
      </c>
      <c r="J244" s="48" t="str">
        <f>IF(E244&lt;&gt;"", IF(J243&lt;&gt;"", E244*J243,""),"")</f>
        <v/>
      </c>
      <c r="K244" s="48" t="str">
        <f>IF(E244&lt;&gt;"", IF(K243&lt;&gt;"", E244*K243,""),"")</f>
        <v/>
      </c>
      <c r="L244" s="48" t="str">
        <f>IF(E244&lt;&gt;"", IF(L243&lt;&gt;"", E244*L243,""),"")</f>
        <v/>
      </c>
      <c r="M244" s="48" t="str">
        <f>IF(E244&lt;&gt;"", IF(M243&lt;&gt;"", E244*M243,""),"")</f>
        <v/>
      </c>
      <c r="N244" s="48" t="str">
        <f>IF(E244&lt;&gt;"", IF(N243&lt;&gt;"", E244*N243,""),"")</f>
        <v/>
      </c>
      <c r="O244" s="48" t="str">
        <f>IF(E244&lt;&gt;"", IF(O243&lt;&gt;"", E244*O243,""),"")</f>
        <v/>
      </c>
      <c r="P244" s="48" t="str">
        <f>IF(E244&lt;&gt;"", IF(P243&lt;&gt;"", E244*P243,""),"")</f>
        <v/>
      </c>
      <c r="Q244" s="48" t="str">
        <f>IF(E244&lt;&gt;"", IF(Q243&lt;&gt;"", E244*Q243,""),"")</f>
        <v/>
      </c>
      <c r="R244" s="48" t="str">
        <f>IF(E244&lt;&gt;"", IF(R243&lt;&gt;"", E244*R243,""),"")</f>
        <v/>
      </c>
      <c r="S244" s="48" t="str">
        <f>IF(E244&lt;&gt;"", IF(S243&lt;&gt;"", E244*S243,""),"")</f>
        <v/>
      </c>
      <c r="T244" s="48" t="str">
        <f>IF(E244&lt;&gt;"", IF(T243&lt;&gt;"", E244*T243,""),"")</f>
        <v/>
      </c>
      <c r="U244" s="48" t="str">
        <f>IF(E244&lt;&gt;"", IF(U243&lt;&gt;"", E244*U243,""),"")</f>
        <v/>
      </c>
      <c r="V244" s="48" t="str">
        <f>IF(E244&lt;&gt;"", IF(V243&lt;&gt;"", E244*V243,""),"")</f>
        <v/>
      </c>
      <c r="W244" s="48" t="str">
        <f>IF(E244&lt;&gt;"", IF(W243&lt;&gt;"", E244*W243,""),"")</f>
        <v/>
      </c>
      <c r="X244" s="48" t="str">
        <f>IF(E244&lt;&gt;"", IF(X243&lt;&gt;"", E244*X243,""),"")</f>
        <v/>
      </c>
      <c r="Y244" s="48" t="str">
        <f>IF(E244&lt;&gt;"", IF(Y243&lt;&gt;"", E244*Y243,""),"")</f>
        <v/>
      </c>
      <c r="Z244" s="48" t="str">
        <f>IF(E244&lt;&gt;"", IF(Z243&lt;&gt;"", E244*Z243,""),"")</f>
        <v/>
      </c>
      <c r="AA244" s="22"/>
      <c r="AB244" s="22" t="str">
        <f>IF(E244&lt;&gt;"", IF(AB243&lt;&gt;"", E244*AB243, ""), "")</f>
        <v/>
      </c>
      <c r="AC244" s="22" t="str">
        <f>IF(E244&lt;&gt;"", IF(AC243&lt;&gt;"", E244*AC243, ""), "")</f>
        <v/>
      </c>
      <c r="AD244" s="22" t="str">
        <f>IF(E244&lt;&gt;"", IF(AD243&lt;&gt;"", E244*AD243, ""), "")</f>
        <v/>
      </c>
      <c r="AE244" s="22" t="str">
        <f>IF(E244&lt;&gt;"", IF(AE243&lt;&gt;"", E244*AE243, ""), "")</f>
        <v/>
      </c>
      <c r="AF244" s="22" t="str">
        <f>IF(E244&lt;&gt;"", IF(AF243&lt;&gt;"", E244*AF243, ""), "")</f>
        <v/>
      </c>
      <c r="AG244" s="22" t="str">
        <f>IF(E244&lt;&gt;"", IF(AG243&lt;&gt;"", E244*AG243, ""), "")</f>
        <v/>
      </c>
      <c r="AH244" s="22" t="str">
        <f>IF(E244&lt;&gt;"", IF(AH243&lt;&gt;"", E244*AH243, ""), "")</f>
        <v/>
      </c>
      <c r="AI244" s="22" t="str">
        <f>IF(E244&lt;&gt;"", IF(AI243&lt;&gt;"", E244*AI243, ""), "")</f>
        <v/>
      </c>
      <c r="AJ244" s="22" t="str">
        <f>IF(E244&lt;&gt;"", IF(AJ243&lt;&gt;"", E244*AJ243, ""), "")</f>
        <v/>
      </c>
      <c r="AK244" s="22" t="str">
        <f>IF(E244&lt;&gt;"", IF(AK243&lt;&gt;"", E244*AK243, ""), "")</f>
        <v/>
      </c>
      <c r="AL244" s="22" t="str">
        <f>IF(E244&lt;&gt;"", IF(AL243&lt;&gt;"", E244*AL243, ""), "")</f>
        <v/>
      </c>
      <c r="AM244" s="22" t="str">
        <f>IF(E244&lt;&gt;"", IF(AM243&lt;&gt;"", E244*AM243, ""), "")</f>
        <v/>
      </c>
      <c r="AN244" s="22" t="str">
        <f>IF(E244&lt;&gt;"", IF(AN243&lt;&gt;"", E244*AN243, ""), "")</f>
        <v/>
      </c>
      <c r="AO244" s="22" t="str">
        <f>IF(E244&lt;&gt;"", IF(AO243&lt;&gt;"", E244*AO243, ""), "")</f>
        <v/>
      </c>
      <c r="AP244" s="22" t="str">
        <f>IF(E244&lt;&gt;"", IF(AP243&lt;&gt;"", E244*AP243, ""), "")</f>
        <v/>
      </c>
      <c r="AQ244" s="22" t="str">
        <f>IF(E244&lt;&gt;"", IF(AQ243&lt;&gt;"", E244*AQ243, ""), "")</f>
        <v/>
      </c>
      <c r="AR244" s="22" t="str">
        <f>IF(E244&lt;&gt;"", IF(AR243&lt;&gt;"", E244*AR243, ""), "")</f>
        <v/>
      </c>
      <c r="AS244" s="22" t="str">
        <f>IF(E244&lt;&gt;"", IF(AS243&lt;&gt;"", E244*AS243, ""), "")</f>
        <v/>
      </c>
      <c r="AT244" s="22" t="str">
        <f>IF(E244&lt;&gt;"", IF(AT243&lt;&gt;"", E244*AT243, ""), "")</f>
        <v/>
      </c>
      <c r="AU244" s="22" t="str">
        <f>IF(E244&lt;&gt;"", IF(AU243&lt;&gt;"", E244*AU243, ""), "")</f>
        <v/>
      </c>
      <c r="AV244" s="22" t="str">
        <f>IF(E244&lt;&gt;"", IF(AV243&lt;&gt;"", E244*AV243, ""), "")</f>
        <v/>
      </c>
      <c r="AW244" s="22" t="str">
        <f>IF(E244&lt;&gt;"", IF(AW243&lt;&gt;"", E244*AW243, ""), "")</f>
        <v/>
      </c>
      <c r="AX244" s="22" t="str">
        <f>IF(E244&lt;&gt;"", IF(AX243&lt;&gt;"", E244*AX243, ""), "")</f>
        <v/>
      </c>
      <c r="AY244" s="22" t="str">
        <f>IF(E244&lt;&gt;"", IF(AY243&lt;&gt;"", E244*AY243, ""), "")</f>
        <v/>
      </c>
      <c r="AZ244" s="22" t="str">
        <f>IF(E244&lt;&gt;"", IF(AZ243&lt;&gt;"", E244*AZ243, ""), "")</f>
        <v/>
      </c>
      <c r="BA244" s="22" t="str">
        <f>IF(E244&lt;&gt;"", IF(BA243&lt;&gt;"", E244*BA243, ""), "")</f>
        <v/>
      </c>
      <c r="BB244" s="22" t="str">
        <f>IF(E244&lt;&gt;"", IF(BB243&lt;&gt;"", E244*BB243, ""), "")</f>
        <v/>
      </c>
      <c r="BC244" s="22" t="str">
        <f>IF(E244&lt;&gt;"", IF(BC243&lt;&gt;"", E244*BC243, ""), "")</f>
        <v/>
      </c>
      <c r="BD244" s="22" t="str">
        <f>IF(E244&lt;&gt;"", IF(BD243&lt;&gt;"", E244*BD243, ""), "")</f>
        <v/>
      </c>
      <c r="BE244" s="22" t="str">
        <f>IF(E244&lt;&gt;"", IF(BE243&lt;&gt;"", E244*BE243, ""), "")</f>
        <v/>
      </c>
    </row>
    <row r="245" spans="1:57" ht="20.100000000000001" customHeight="1">
      <c r="A245" s="220">
        <v>2</v>
      </c>
      <c r="B245" s="7"/>
      <c r="C245" s="7"/>
      <c r="D245" s="5" t="s">
        <v>289</v>
      </c>
      <c r="E245" s="3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59"/>
      <c r="BB245" s="59"/>
      <c r="BC245" s="59"/>
      <c r="BD245" s="59"/>
      <c r="BE245" s="59"/>
    </row>
    <row r="246" spans="1:57" ht="20.100000000000001" customHeight="1">
      <c r="A246" s="221"/>
      <c r="B246" s="7"/>
      <c r="C246" s="7"/>
      <c r="D246" s="78">
        <v>4</v>
      </c>
      <c r="E246" s="47">
        <f>IF(egTextCal(D246)&lt;&gt;0, egTextCal(D246),"")</f>
        <v>4</v>
      </c>
      <c r="F246" s="48" t="str">
        <f>IF(E246&lt;&gt;"", IF(F245&lt;&gt;"", E246*F245,""),"")</f>
        <v/>
      </c>
      <c r="G246" s="48" t="str">
        <f>IF(E246&lt;&gt;"", IF(G245&lt;&gt;"", E246*G245,""),"")</f>
        <v/>
      </c>
      <c r="H246" s="48" t="str">
        <f>IF(E246&lt;&gt;"", IF(H245&lt;&gt;"", E246*H245,""),"")</f>
        <v/>
      </c>
      <c r="I246" s="48" t="str">
        <f>IF(E246&lt;&gt;"", IF(I245&lt;&gt;"", E246*I245,""),"")</f>
        <v/>
      </c>
      <c r="J246" s="48" t="str">
        <f>IF(E246&lt;&gt;"", IF(J245&lt;&gt;"", E246*J245,""),"")</f>
        <v/>
      </c>
      <c r="K246" s="48" t="str">
        <f>IF(E246&lt;&gt;"", IF(K245&lt;&gt;"", E246*K245,""),"")</f>
        <v/>
      </c>
      <c r="L246" s="48" t="str">
        <f>IF(E246&lt;&gt;"", IF(L245&lt;&gt;"", E246*L245,""),"")</f>
        <v/>
      </c>
      <c r="M246" s="48" t="str">
        <f>IF(E246&lt;&gt;"", IF(M245&lt;&gt;"", E246*M245,""),"")</f>
        <v/>
      </c>
      <c r="N246" s="48" t="str">
        <f>IF(E246&lt;&gt;"", IF(N245&lt;&gt;"", E246*N245,""),"")</f>
        <v/>
      </c>
      <c r="O246" s="48" t="str">
        <f>IF(E246&lt;&gt;"", IF(O245&lt;&gt;"", E246*O245,""),"")</f>
        <v/>
      </c>
      <c r="P246" s="48" t="str">
        <f>IF(E246&lt;&gt;"", IF(P245&lt;&gt;"", E246*P245,""),"")</f>
        <v/>
      </c>
      <c r="Q246" s="48" t="str">
        <f>IF(E246&lt;&gt;"", IF(Q245&lt;&gt;"", E246*Q245,""),"")</f>
        <v/>
      </c>
      <c r="R246" s="48" t="str">
        <f>IF(E246&lt;&gt;"", IF(R245&lt;&gt;"", E246*R245,""),"")</f>
        <v/>
      </c>
      <c r="S246" s="48" t="str">
        <f>IF(E246&lt;&gt;"", IF(S245&lt;&gt;"", E246*S245,""),"")</f>
        <v/>
      </c>
      <c r="T246" s="48" t="str">
        <f>IF(E246&lt;&gt;"", IF(T245&lt;&gt;"", E246*T245,""),"")</f>
        <v/>
      </c>
      <c r="U246" s="48" t="str">
        <f>IF(E246&lt;&gt;"", IF(U245&lt;&gt;"", E246*U245,""),"")</f>
        <v/>
      </c>
      <c r="V246" s="48" t="str">
        <f>IF(E246&lt;&gt;"", IF(V245&lt;&gt;"", E246*V245,""),"")</f>
        <v/>
      </c>
      <c r="W246" s="48" t="str">
        <f>IF(E246&lt;&gt;"", IF(W245&lt;&gt;"", E246*W245,""),"")</f>
        <v/>
      </c>
      <c r="X246" s="48" t="str">
        <f>IF(E246&lt;&gt;"", IF(X245&lt;&gt;"", E246*X245,""),"")</f>
        <v/>
      </c>
      <c r="Y246" s="48" t="str">
        <f>IF(E246&lt;&gt;"", IF(Y245&lt;&gt;"", E246*Y245,""),"")</f>
        <v/>
      </c>
      <c r="Z246" s="48" t="str">
        <f>IF(E246&lt;&gt;"", IF(Z245&lt;&gt;"", E246*Z245,""),"")</f>
        <v/>
      </c>
      <c r="AA246" s="22"/>
      <c r="AB246" s="22" t="str">
        <f>IF(E246&lt;&gt;"", IF(AB245&lt;&gt;"", E246*AB245, ""), "")</f>
        <v/>
      </c>
      <c r="AC246" s="22" t="str">
        <f>IF(E246&lt;&gt;"", IF(AC245&lt;&gt;"", E246*AC245, ""), "")</f>
        <v/>
      </c>
      <c r="AD246" s="22" t="str">
        <f>IF(E246&lt;&gt;"", IF(AD245&lt;&gt;"", E246*AD245, ""), "")</f>
        <v/>
      </c>
      <c r="AE246" s="22" t="str">
        <f>IF(E246&lt;&gt;"", IF(AE245&lt;&gt;"", E246*AE245, ""), "")</f>
        <v/>
      </c>
      <c r="AF246" s="22" t="str">
        <f>IF(E246&lt;&gt;"", IF(AF245&lt;&gt;"", E246*AF245, ""), "")</f>
        <v/>
      </c>
      <c r="AG246" s="22" t="str">
        <f>IF(E246&lt;&gt;"", IF(AG245&lt;&gt;"", E246*AG245, ""), "")</f>
        <v/>
      </c>
      <c r="AH246" s="22" t="str">
        <f>IF(E246&lt;&gt;"", IF(AH245&lt;&gt;"", E246*AH245, ""), "")</f>
        <v/>
      </c>
      <c r="AI246" s="22" t="str">
        <f>IF(E246&lt;&gt;"", IF(AI245&lt;&gt;"", E246*AI245, ""), "")</f>
        <v/>
      </c>
      <c r="AJ246" s="22" t="str">
        <f>IF(E246&lt;&gt;"", IF(AJ245&lt;&gt;"", E246*AJ245, ""), "")</f>
        <v/>
      </c>
      <c r="AK246" s="22" t="str">
        <f>IF(E246&lt;&gt;"", IF(AK245&lt;&gt;"", E246*AK245, ""), "")</f>
        <v/>
      </c>
      <c r="AL246" s="22" t="str">
        <f>IF(E246&lt;&gt;"", IF(AL245&lt;&gt;"", E246*AL245, ""), "")</f>
        <v/>
      </c>
      <c r="AM246" s="22" t="str">
        <f>IF(E246&lt;&gt;"", IF(AM245&lt;&gt;"", E246*AM245, ""), "")</f>
        <v/>
      </c>
      <c r="AN246" s="22" t="str">
        <f>IF(E246&lt;&gt;"", IF(AN245&lt;&gt;"", E246*AN245, ""), "")</f>
        <v/>
      </c>
      <c r="AO246" s="22" t="str">
        <f>IF(E246&lt;&gt;"", IF(AO245&lt;&gt;"", E246*AO245, ""), "")</f>
        <v/>
      </c>
      <c r="AP246" s="22" t="str">
        <f>IF(E246&lt;&gt;"", IF(AP245&lt;&gt;"", E246*AP245, ""), "")</f>
        <v/>
      </c>
      <c r="AQ246" s="22" t="str">
        <f>IF(E246&lt;&gt;"", IF(AQ245&lt;&gt;"", E246*AQ245, ""), "")</f>
        <v/>
      </c>
      <c r="AR246" s="22" t="str">
        <f>IF(E246&lt;&gt;"", IF(AR245&lt;&gt;"", E246*AR245, ""), "")</f>
        <v/>
      </c>
      <c r="AS246" s="22" t="str">
        <f>IF(E246&lt;&gt;"", IF(AS245&lt;&gt;"", E246*AS245, ""), "")</f>
        <v/>
      </c>
      <c r="AT246" s="22" t="str">
        <f>IF(E246&lt;&gt;"", IF(AT245&lt;&gt;"", E246*AT245, ""), "")</f>
        <v/>
      </c>
      <c r="AU246" s="22" t="str">
        <f>IF(E246&lt;&gt;"", IF(AU245&lt;&gt;"", E246*AU245, ""), "")</f>
        <v/>
      </c>
      <c r="AV246" s="22" t="str">
        <f>IF(E246&lt;&gt;"", IF(AV245&lt;&gt;"", E246*AV245, ""), "")</f>
        <v/>
      </c>
      <c r="AW246" s="22" t="str">
        <f>IF(E246&lt;&gt;"", IF(AW245&lt;&gt;"", E246*AW245, ""), "")</f>
        <v/>
      </c>
      <c r="AX246" s="22" t="str">
        <f>IF(E246&lt;&gt;"", IF(AX245&lt;&gt;"", E246*AX245, ""), "")</f>
        <v/>
      </c>
      <c r="AY246" s="22" t="str">
        <f>IF(E246&lt;&gt;"", IF(AY245&lt;&gt;"", E246*AY245, ""), "")</f>
        <v/>
      </c>
      <c r="AZ246" s="22" t="str">
        <f>IF(E246&lt;&gt;"", IF(AZ245&lt;&gt;"", E246*AZ245, ""), "")</f>
        <v/>
      </c>
      <c r="BA246" s="22" t="str">
        <f>IF(E246&lt;&gt;"", IF(BA245&lt;&gt;"", E246*BA245, ""), "")</f>
        <v/>
      </c>
      <c r="BB246" s="22" t="str">
        <f>IF(E246&lt;&gt;"", IF(BB245&lt;&gt;"", E246*BB245, ""), "")</f>
        <v/>
      </c>
      <c r="BC246" s="22" t="str">
        <f>IF(E246&lt;&gt;"", IF(BC245&lt;&gt;"", E246*BC245, ""), "")</f>
        <v/>
      </c>
      <c r="BD246" s="22" t="str">
        <f>IF(E246&lt;&gt;"", IF(BD245&lt;&gt;"", E246*BD245, ""), "")</f>
        <v/>
      </c>
      <c r="BE246" s="22" t="str">
        <f>IF(E246&lt;&gt;"", IF(BE245&lt;&gt;"", E246*BE245, ""), "")</f>
        <v/>
      </c>
    </row>
    <row r="247" spans="1:57" ht="20.100000000000001" customHeight="1">
      <c r="A247" s="220">
        <v>3</v>
      </c>
      <c r="B247" s="7"/>
      <c r="C247" s="7"/>
      <c r="D247" s="5" t="s">
        <v>290</v>
      </c>
      <c r="E247" s="3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59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  <c r="AP247" s="59"/>
      <c r="AQ247" s="59"/>
      <c r="AR247" s="59"/>
      <c r="AS247" s="59"/>
      <c r="AT247" s="59"/>
      <c r="AU247" s="59"/>
      <c r="AV247" s="59"/>
      <c r="AW247" s="59"/>
      <c r="AX247" s="59"/>
      <c r="AY247" s="59"/>
      <c r="AZ247" s="59"/>
      <c r="BA247" s="59"/>
      <c r="BB247" s="59"/>
      <c r="BC247" s="59"/>
      <c r="BD247" s="59"/>
      <c r="BE247" s="59"/>
    </row>
    <row r="248" spans="1:57" ht="20.100000000000001" customHeight="1">
      <c r="A248" s="221"/>
      <c r="B248" s="7"/>
      <c r="C248" s="7"/>
      <c r="D248" s="78"/>
      <c r="E248" s="47" t="str">
        <f>IF(egTextCal(D248)&lt;&gt;0, egTextCal(D248),"")</f>
        <v/>
      </c>
      <c r="F248" s="48" t="str">
        <f>IF(E248&lt;&gt;"", IF(F247&lt;&gt;"", E248*F247,""),"")</f>
        <v/>
      </c>
      <c r="G248" s="48" t="str">
        <f>IF(E248&lt;&gt;"", IF(G247&lt;&gt;"", E248*G247,""),"")</f>
        <v/>
      </c>
      <c r="H248" s="48" t="str">
        <f>IF(E248&lt;&gt;"", IF(H247&lt;&gt;"", E248*H247,""),"")</f>
        <v/>
      </c>
      <c r="I248" s="48" t="str">
        <f>IF(E248&lt;&gt;"", IF(I247&lt;&gt;"", E248*I247,""),"")</f>
        <v/>
      </c>
      <c r="J248" s="48" t="str">
        <f>IF(E248&lt;&gt;"", IF(J247&lt;&gt;"", E248*J247,""),"")</f>
        <v/>
      </c>
      <c r="K248" s="48" t="str">
        <f>IF(E248&lt;&gt;"", IF(K247&lt;&gt;"", E248*K247,""),"")</f>
        <v/>
      </c>
      <c r="L248" s="48" t="str">
        <f>IF(E248&lt;&gt;"", IF(L247&lt;&gt;"", E248*L247,""),"")</f>
        <v/>
      </c>
      <c r="M248" s="48" t="str">
        <f>IF(E248&lt;&gt;"", IF(M247&lt;&gt;"", E248*M247,""),"")</f>
        <v/>
      </c>
      <c r="N248" s="48" t="str">
        <f>IF(E248&lt;&gt;"", IF(N247&lt;&gt;"", E248*N247,""),"")</f>
        <v/>
      </c>
      <c r="O248" s="48" t="str">
        <f>IF(E248&lt;&gt;"", IF(O247&lt;&gt;"", E248*O247,""),"")</f>
        <v/>
      </c>
      <c r="P248" s="48" t="str">
        <f>IF(E248&lt;&gt;"", IF(P247&lt;&gt;"", E248*P247,""),"")</f>
        <v/>
      </c>
      <c r="Q248" s="48" t="str">
        <f>IF(E248&lt;&gt;"", IF(Q247&lt;&gt;"", E248*Q247,""),"")</f>
        <v/>
      </c>
      <c r="R248" s="48" t="str">
        <f>IF(E248&lt;&gt;"", IF(R247&lt;&gt;"", E248*R247,""),"")</f>
        <v/>
      </c>
      <c r="S248" s="48" t="str">
        <f>IF(E248&lt;&gt;"", IF(S247&lt;&gt;"", E248*S247,""),"")</f>
        <v/>
      </c>
      <c r="T248" s="48" t="str">
        <f>IF(E248&lt;&gt;"", IF(T247&lt;&gt;"", E248*T247,""),"")</f>
        <v/>
      </c>
      <c r="U248" s="48" t="str">
        <f>IF(E248&lt;&gt;"", IF(U247&lt;&gt;"", E248*U247,""),"")</f>
        <v/>
      </c>
      <c r="V248" s="48" t="str">
        <f>IF(E248&lt;&gt;"", IF(V247&lt;&gt;"", E248*V247,""),"")</f>
        <v/>
      </c>
      <c r="W248" s="48" t="str">
        <f>IF(E248&lt;&gt;"", IF(W247&lt;&gt;"", E248*W247,""),"")</f>
        <v/>
      </c>
      <c r="X248" s="48" t="str">
        <f>IF(E248&lt;&gt;"", IF(X247&lt;&gt;"", E248*X247,""),"")</f>
        <v/>
      </c>
      <c r="Y248" s="48" t="str">
        <f>IF(E248&lt;&gt;"", IF(Y247&lt;&gt;"", E248*Y247,""),"")</f>
        <v/>
      </c>
      <c r="Z248" s="48" t="str">
        <f>IF(E248&lt;&gt;"", IF(Z247&lt;&gt;"", E248*Z247,""),"")</f>
        <v/>
      </c>
      <c r="AA248" s="22"/>
      <c r="AB248" s="22" t="str">
        <f>IF(E248&lt;&gt;"", IF(AB247&lt;&gt;"", E248*AB247, ""), "")</f>
        <v/>
      </c>
      <c r="AC248" s="22" t="str">
        <f>IF(E248&lt;&gt;"", IF(AC247&lt;&gt;"", E248*AC247, ""), "")</f>
        <v/>
      </c>
      <c r="AD248" s="22" t="str">
        <f>IF(E248&lt;&gt;"", IF(AD247&lt;&gt;"", E248*AD247, ""), "")</f>
        <v/>
      </c>
      <c r="AE248" s="22" t="str">
        <f>IF(E248&lt;&gt;"", IF(AE247&lt;&gt;"", E248*AE247, ""), "")</f>
        <v/>
      </c>
      <c r="AF248" s="22" t="str">
        <f>IF(E248&lt;&gt;"", IF(AF247&lt;&gt;"", E248*AF247, ""), "")</f>
        <v/>
      </c>
      <c r="AG248" s="22" t="str">
        <f>IF(E248&lt;&gt;"", IF(AG247&lt;&gt;"", E248*AG247, ""), "")</f>
        <v/>
      </c>
      <c r="AH248" s="22" t="str">
        <f>IF(E248&lt;&gt;"", IF(AH247&lt;&gt;"", E248*AH247, ""), "")</f>
        <v/>
      </c>
      <c r="AI248" s="22" t="str">
        <f>IF(E248&lt;&gt;"", IF(AI247&lt;&gt;"", E248*AI247, ""), "")</f>
        <v/>
      </c>
      <c r="AJ248" s="22" t="str">
        <f>IF(E248&lt;&gt;"", IF(AJ247&lt;&gt;"", E248*AJ247, ""), "")</f>
        <v/>
      </c>
      <c r="AK248" s="22" t="str">
        <f>IF(E248&lt;&gt;"", IF(AK247&lt;&gt;"", E248*AK247, ""), "")</f>
        <v/>
      </c>
      <c r="AL248" s="22" t="str">
        <f>IF(E248&lt;&gt;"", IF(AL247&lt;&gt;"", E248*AL247, ""), "")</f>
        <v/>
      </c>
      <c r="AM248" s="22" t="str">
        <f>IF(E248&lt;&gt;"", IF(AM247&lt;&gt;"", E248*AM247, ""), "")</f>
        <v/>
      </c>
      <c r="AN248" s="22" t="str">
        <f>IF(E248&lt;&gt;"", IF(AN247&lt;&gt;"", E248*AN247, ""), "")</f>
        <v/>
      </c>
      <c r="AO248" s="22" t="str">
        <f>IF(E248&lt;&gt;"", IF(AO247&lt;&gt;"", E248*AO247, ""), "")</f>
        <v/>
      </c>
      <c r="AP248" s="22" t="str">
        <f>IF(E248&lt;&gt;"", IF(AP247&lt;&gt;"", E248*AP247, ""), "")</f>
        <v/>
      </c>
      <c r="AQ248" s="22" t="str">
        <f>IF(E248&lt;&gt;"", IF(AQ247&lt;&gt;"", E248*AQ247, ""), "")</f>
        <v/>
      </c>
      <c r="AR248" s="22" t="str">
        <f>IF(E248&lt;&gt;"", IF(AR247&lt;&gt;"", E248*AR247, ""), "")</f>
        <v/>
      </c>
      <c r="AS248" s="22" t="str">
        <f>IF(E248&lt;&gt;"", IF(AS247&lt;&gt;"", E248*AS247, ""), "")</f>
        <v/>
      </c>
      <c r="AT248" s="22" t="str">
        <f>IF(E248&lt;&gt;"", IF(AT247&lt;&gt;"", E248*AT247, ""), "")</f>
        <v/>
      </c>
      <c r="AU248" s="22" t="str">
        <f>IF(E248&lt;&gt;"", IF(AU247&lt;&gt;"", E248*AU247, ""), "")</f>
        <v/>
      </c>
      <c r="AV248" s="22" t="str">
        <f>IF(E248&lt;&gt;"", IF(AV247&lt;&gt;"", E248*AV247, ""), "")</f>
        <v/>
      </c>
      <c r="AW248" s="22" t="str">
        <f>IF(E248&lt;&gt;"", IF(AW247&lt;&gt;"", E248*AW247, ""), "")</f>
        <v/>
      </c>
      <c r="AX248" s="22" t="str">
        <f>IF(E248&lt;&gt;"", IF(AX247&lt;&gt;"", E248*AX247, ""), "")</f>
        <v/>
      </c>
      <c r="AY248" s="22" t="str">
        <f>IF(E248&lt;&gt;"", IF(AY247&lt;&gt;"", E248*AY247, ""), "")</f>
        <v/>
      </c>
      <c r="AZ248" s="22" t="str">
        <f>IF(E248&lt;&gt;"", IF(AZ247&lt;&gt;"", E248*AZ247, ""), "")</f>
        <v/>
      </c>
      <c r="BA248" s="22" t="str">
        <f>IF(E248&lt;&gt;"", IF(BA247&lt;&gt;"", E248*BA247, ""), "")</f>
        <v/>
      </c>
      <c r="BB248" s="22" t="str">
        <f>IF(E248&lt;&gt;"", IF(BB247&lt;&gt;"", E248*BB247, ""), "")</f>
        <v/>
      </c>
      <c r="BC248" s="22" t="str">
        <f>IF(E248&lt;&gt;"", IF(BC247&lt;&gt;"", E248*BC247, ""), "")</f>
        <v/>
      </c>
      <c r="BD248" s="22" t="str">
        <f>IF(E248&lt;&gt;"", IF(BD247&lt;&gt;"", E248*BD247, ""), "")</f>
        <v/>
      </c>
      <c r="BE248" s="22" t="str">
        <f>IF(E248&lt;&gt;"", IF(BE247&lt;&gt;"", E248*BE247, ""), "")</f>
        <v/>
      </c>
    </row>
    <row r="249" spans="1:57" ht="20.100000000000001" customHeight="1">
      <c r="A249" s="220">
        <v>4</v>
      </c>
      <c r="B249" s="7"/>
      <c r="C249" s="7"/>
      <c r="D249" s="5" t="s">
        <v>237</v>
      </c>
      <c r="E249" s="3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  <c r="AP249" s="59"/>
      <c r="AQ249" s="59"/>
      <c r="AR249" s="59"/>
      <c r="AS249" s="59"/>
      <c r="AT249" s="59"/>
      <c r="AU249" s="59"/>
      <c r="AV249" s="59"/>
      <c r="AW249" s="59"/>
      <c r="AX249" s="59"/>
      <c r="AY249" s="59"/>
      <c r="AZ249" s="59"/>
      <c r="BA249" s="59"/>
      <c r="BB249" s="59"/>
      <c r="BC249" s="59"/>
      <c r="BD249" s="59"/>
      <c r="BE249" s="59"/>
    </row>
    <row r="250" spans="1:57" ht="20.100000000000001" customHeight="1">
      <c r="A250" s="221"/>
      <c r="B250" s="7"/>
      <c r="C250" s="7"/>
      <c r="D250" s="78" t="s">
        <v>291</v>
      </c>
      <c r="E250" s="47">
        <f>IF(egTextCal(D250)&lt;&gt;0, egTextCal(D250),"")</f>
        <v>117</v>
      </c>
      <c r="F250" s="48" t="str">
        <f>IF(E250&lt;&gt;"", IF(F249&lt;&gt;"", E250*F249,""),"")</f>
        <v/>
      </c>
      <c r="G250" s="48" t="str">
        <f>IF(E250&lt;&gt;"", IF(G249&lt;&gt;"", E250*G249,""),"")</f>
        <v/>
      </c>
      <c r="H250" s="48" t="str">
        <f>IF(E250&lt;&gt;"", IF(H249&lt;&gt;"", E250*H249,""),"")</f>
        <v/>
      </c>
      <c r="I250" s="48" t="str">
        <f>IF(E250&lt;&gt;"", IF(I249&lt;&gt;"", E250*I249,""),"")</f>
        <v/>
      </c>
      <c r="J250" s="48" t="str">
        <f>IF(E250&lt;&gt;"", IF(J249&lt;&gt;"", E250*J249,""),"")</f>
        <v/>
      </c>
      <c r="K250" s="48" t="str">
        <f>IF(E250&lt;&gt;"", IF(K249&lt;&gt;"", E250*K249,""),"")</f>
        <v/>
      </c>
      <c r="L250" s="48" t="str">
        <f>IF(E250&lt;&gt;"", IF(L249&lt;&gt;"", E250*L249,""),"")</f>
        <v/>
      </c>
      <c r="M250" s="48" t="str">
        <f>IF(E250&lt;&gt;"", IF(M249&lt;&gt;"", E250*M249,""),"")</f>
        <v/>
      </c>
      <c r="N250" s="48" t="str">
        <f>IF(E250&lt;&gt;"", IF(N249&lt;&gt;"", E250*N249,""),"")</f>
        <v/>
      </c>
      <c r="O250" s="48" t="str">
        <f>IF(E250&lt;&gt;"", IF(O249&lt;&gt;"", E250*O249,""),"")</f>
        <v/>
      </c>
      <c r="P250" s="48" t="str">
        <f>IF(E250&lt;&gt;"", IF(P249&lt;&gt;"", E250*P249,""),"")</f>
        <v/>
      </c>
      <c r="Q250" s="48" t="str">
        <f>IF(E250&lt;&gt;"", IF(Q249&lt;&gt;"", E250*Q249,""),"")</f>
        <v/>
      </c>
      <c r="R250" s="48" t="str">
        <f>IF(E250&lt;&gt;"", IF(R249&lt;&gt;"", E250*R249,""),"")</f>
        <v/>
      </c>
      <c r="S250" s="48" t="str">
        <f>IF(E250&lt;&gt;"", IF(S249&lt;&gt;"", E250*S249,""),"")</f>
        <v/>
      </c>
      <c r="T250" s="48" t="str">
        <f>IF(E250&lt;&gt;"", IF(T249&lt;&gt;"", E250*T249,""),"")</f>
        <v/>
      </c>
      <c r="U250" s="48" t="str">
        <f>IF(E250&lt;&gt;"", IF(U249&lt;&gt;"", E250*U249,""),"")</f>
        <v/>
      </c>
      <c r="V250" s="48" t="str">
        <f>IF(E250&lt;&gt;"", IF(V249&lt;&gt;"", E250*V249,""),"")</f>
        <v/>
      </c>
      <c r="W250" s="48" t="str">
        <f>IF(E250&lt;&gt;"", IF(W249&lt;&gt;"", E250*W249,""),"")</f>
        <v/>
      </c>
      <c r="X250" s="48" t="str">
        <f>IF(E250&lt;&gt;"", IF(X249&lt;&gt;"", E250*X249,""),"")</f>
        <v/>
      </c>
      <c r="Y250" s="48" t="str">
        <f>IF(E250&lt;&gt;"", IF(Y249&lt;&gt;"", E250*Y249,""),"")</f>
        <v/>
      </c>
      <c r="Z250" s="48" t="str">
        <f>IF(E250&lt;&gt;"", IF(Z249&lt;&gt;"", E250*Z249,""),"")</f>
        <v/>
      </c>
      <c r="AA250" s="22"/>
      <c r="AB250" s="22" t="str">
        <f>IF(E250&lt;&gt;"", IF(AB249&lt;&gt;"", E250*AB249, ""), "")</f>
        <v/>
      </c>
      <c r="AC250" s="22" t="str">
        <f>IF(E250&lt;&gt;"", IF(AC249&lt;&gt;"", E250*AC249, ""), "")</f>
        <v/>
      </c>
      <c r="AD250" s="22" t="str">
        <f>IF(E250&lt;&gt;"", IF(AD249&lt;&gt;"", E250*AD249, ""), "")</f>
        <v/>
      </c>
      <c r="AE250" s="22" t="str">
        <f>IF(E250&lt;&gt;"", IF(AE249&lt;&gt;"", E250*AE249, ""), "")</f>
        <v/>
      </c>
      <c r="AF250" s="22" t="str">
        <f>IF(E250&lt;&gt;"", IF(AF249&lt;&gt;"", E250*AF249, ""), "")</f>
        <v/>
      </c>
      <c r="AG250" s="22" t="str">
        <f>IF(E250&lt;&gt;"", IF(AG249&lt;&gt;"", E250*AG249, ""), "")</f>
        <v/>
      </c>
      <c r="AH250" s="22" t="str">
        <f>IF(E250&lt;&gt;"", IF(AH249&lt;&gt;"", E250*AH249, ""), "")</f>
        <v/>
      </c>
      <c r="AI250" s="22" t="str">
        <f>IF(E250&lt;&gt;"", IF(AI249&lt;&gt;"", E250*AI249, ""), "")</f>
        <v/>
      </c>
      <c r="AJ250" s="22" t="str">
        <f>IF(E250&lt;&gt;"", IF(AJ249&lt;&gt;"", E250*AJ249, ""), "")</f>
        <v/>
      </c>
      <c r="AK250" s="22" t="str">
        <f>IF(E250&lt;&gt;"", IF(AK249&lt;&gt;"", E250*AK249, ""), "")</f>
        <v/>
      </c>
      <c r="AL250" s="22" t="str">
        <f>IF(E250&lt;&gt;"", IF(AL249&lt;&gt;"", E250*AL249, ""), "")</f>
        <v/>
      </c>
      <c r="AM250" s="22" t="str">
        <f>IF(E250&lt;&gt;"", IF(AM249&lt;&gt;"", E250*AM249, ""), "")</f>
        <v/>
      </c>
      <c r="AN250" s="22" t="str">
        <f>IF(E250&lt;&gt;"", IF(AN249&lt;&gt;"", E250*AN249, ""), "")</f>
        <v/>
      </c>
      <c r="AO250" s="22" t="str">
        <f>IF(E250&lt;&gt;"", IF(AO249&lt;&gt;"", E250*AO249, ""), "")</f>
        <v/>
      </c>
      <c r="AP250" s="22" t="str">
        <f>IF(E250&lt;&gt;"", IF(AP249&lt;&gt;"", E250*AP249, ""), "")</f>
        <v/>
      </c>
      <c r="AQ250" s="22" t="str">
        <f>IF(E250&lt;&gt;"", IF(AQ249&lt;&gt;"", E250*AQ249, ""), "")</f>
        <v/>
      </c>
      <c r="AR250" s="22" t="str">
        <f>IF(E250&lt;&gt;"", IF(AR249&lt;&gt;"", E250*AR249, ""), "")</f>
        <v/>
      </c>
      <c r="AS250" s="22" t="str">
        <f>IF(E250&lt;&gt;"", IF(AS249&lt;&gt;"", E250*AS249, ""), "")</f>
        <v/>
      </c>
      <c r="AT250" s="22" t="str">
        <f>IF(E250&lt;&gt;"", IF(AT249&lt;&gt;"", E250*AT249, ""), "")</f>
        <v/>
      </c>
      <c r="AU250" s="22" t="str">
        <f>IF(E250&lt;&gt;"", IF(AU249&lt;&gt;"", E250*AU249, ""), "")</f>
        <v/>
      </c>
      <c r="AV250" s="22" t="str">
        <f>IF(E250&lt;&gt;"", IF(AV249&lt;&gt;"", E250*AV249, ""), "")</f>
        <v/>
      </c>
      <c r="AW250" s="22" t="str">
        <f>IF(E250&lt;&gt;"", IF(AW249&lt;&gt;"", E250*AW249, ""), "")</f>
        <v/>
      </c>
      <c r="AX250" s="22" t="str">
        <f>IF(E250&lt;&gt;"", IF(AX249&lt;&gt;"", E250*AX249, ""), "")</f>
        <v/>
      </c>
      <c r="AY250" s="22" t="str">
        <f>IF(E250&lt;&gt;"", IF(AY249&lt;&gt;"", E250*AY249, ""), "")</f>
        <v/>
      </c>
      <c r="AZ250" s="22" t="str">
        <f>IF(E250&lt;&gt;"", IF(AZ249&lt;&gt;"", E250*AZ249, ""), "")</f>
        <v/>
      </c>
      <c r="BA250" s="22" t="str">
        <f>IF(E250&lt;&gt;"", IF(BA249&lt;&gt;"", E250*BA249, ""), "")</f>
        <v/>
      </c>
      <c r="BB250" s="22" t="str">
        <f>IF(E250&lt;&gt;"", IF(BB249&lt;&gt;"", E250*BB249, ""), "")</f>
        <v/>
      </c>
      <c r="BC250" s="22" t="str">
        <f>IF(E250&lt;&gt;"", IF(BC249&lt;&gt;"", E250*BC249, ""), "")</f>
        <v/>
      </c>
      <c r="BD250" s="22" t="str">
        <f>IF(E250&lt;&gt;"", IF(BD249&lt;&gt;"", E250*BD249, ""), "")</f>
        <v/>
      </c>
      <c r="BE250" s="22" t="str">
        <f>IF(E250&lt;&gt;"", IF(BE249&lt;&gt;"", E250*BE249, ""), "")</f>
        <v/>
      </c>
    </row>
    <row r="251" spans="1:57" ht="20.100000000000001" customHeight="1">
      <c r="A251" s="220">
        <v>5</v>
      </c>
      <c r="B251" s="7"/>
      <c r="C251" s="7"/>
      <c r="D251" s="5" t="s">
        <v>239</v>
      </c>
      <c r="E251" s="3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59"/>
      <c r="AB251" s="59"/>
      <c r="AC251" s="59"/>
      <c r="AD251" s="59"/>
      <c r="AE251" s="59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59"/>
      <c r="BD251" s="59"/>
      <c r="BE251" s="59"/>
    </row>
    <row r="252" spans="1:57" ht="20.100000000000001" customHeight="1">
      <c r="A252" s="221"/>
      <c r="B252" s="7"/>
      <c r="C252" s="7"/>
      <c r="D252" s="78" t="s">
        <v>292</v>
      </c>
      <c r="E252" s="47">
        <f>IF(egTextCal(D252)&lt;&gt;0, egTextCal(D252),"")</f>
        <v>74</v>
      </c>
      <c r="F252" s="48" t="str">
        <f>IF(E252&lt;&gt;"", IF(F251&lt;&gt;"", E252*F251,""),"")</f>
        <v/>
      </c>
      <c r="G252" s="48" t="str">
        <f>IF(E252&lt;&gt;"", IF(G251&lt;&gt;"", E252*G251,""),"")</f>
        <v/>
      </c>
      <c r="H252" s="48" t="str">
        <f>IF(E252&lt;&gt;"", IF(H251&lt;&gt;"", E252*H251,""),"")</f>
        <v/>
      </c>
      <c r="I252" s="48" t="str">
        <f>IF(E252&lt;&gt;"", IF(I251&lt;&gt;"", E252*I251,""),"")</f>
        <v/>
      </c>
      <c r="J252" s="48" t="str">
        <f>IF(E252&lt;&gt;"", IF(J251&lt;&gt;"", E252*J251,""),"")</f>
        <v/>
      </c>
      <c r="K252" s="48" t="str">
        <f>IF(E252&lt;&gt;"", IF(K251&lt;&gt;"", E252*K251,""),"")</f>
        <v/>
      </c>
      <c r="L252" s="48" t="str">
        <f>IF(E252&lt;&gt;"", IF(L251&lt;&gt;"", E252*L251,""),"")</f>
        <v/>
      </c>
      <c r="M252" s="48" t="str">
        <f>IF(E252&lt;&gt;"", IF(M251&lt;&gt;"", E252*M251,""),"")</f>
        <v/>
      </c>
      <c r="N252" s="48" t="str">
        <f>IF(E252&lt;&gt;"", IF(N251&lt;&gt;"", E252*N251,""),"")</f>
        <v/>
      </c>
      <c r="O252" s="48" t="str">
        <f>IF(E252&lt;&gt;"", IF(O251&lt;&gt;"", E252*O251,""),"")</f>
        <v/>
      </c>
      <c r="P252" s="48" t="str">
        <f>IF(E252&lt;&gt;"", IF(P251&lt;&gt;"", E252*P251,""),"")</f>
        <v/>
      </c>
      <c r="Q252" s="48" t="str">
        <f>IF(E252&lt;&gt;"", IF(Q251&lt;&gt;"", E252*Q251,""),"")</f>
        <v/>
      </c>
      <c r="R252" s="48" t="str">
        <f>IF(E252&lt;&gt;"", IF(R251&lt;&gt;"", E252*R251,""),"")</f>
        <v/>
      </c>
      <c r="S252" s="48" t="str">
        <f>IF(E252&lt;&gt;"", IF(S251&lt;&gt;"", E252*S251,""),"")</f>
        <v/>
      </c>
      <c r="T252" s="48" t="str">
        <f>IF(E252&lt;&gt;"", IF(T251&lt;&gt;"", E252*T251,""),"")</f>
        <v/>
      </c>
      <c r="U252" s="48" t="str">
        <f>IF(E252&lt;&gt;"", IF(U251&lt;&gt;"", E252*U251,""),"")</f>
        <v/>
      </c>
      <c r="V252" s="48" t="str">
        <f>IF(E252&lt;&gt;"", IF(V251&lt;&gt;"", E252*V251,""),"")</f>
        <v/>
      </c>
      <c r="W252" s="48" t="str">
        <f>IF(E252&lt;&gt;"", IF(W251&lt;&gt;"", E252*W251,""),"")</f>
        <v/>
      </c>
      <c r="X252" s="48" t="str">
        <f>IF(E252&lt;&gt;"", IF(X251&lt;&gt;"", E252*X251,""),"")</f>
        <v/>
      </c>
      <c r="Y252" s="48" t="str">
        <f>IF(E252&lt;&gt;"", IF(Y251&lt;&gt;"", E252*Y251,""),"")</f>
        <v/>
      </c>
      <c r="Z252" s="48" t="str">
        <f>IF(E252&lt;&gt;"", IF(Z251&lt;&gt;"", E252*Z251,""),"")</f>
        <v/>
      </c>
      <c r="AA252" s="22"/>
      <c r="AB252" s="22" t="str">
        <f>IF(E252&lt;&gt;"", IF(AB251&lt;&gt;"", E252*AB251, ""), "")</f>
        <v/>
      </c>
      <c r="AC252" s="22" t="str">
        <f>IF(E252&lt;&gt;"", IF(AC251&lt;&gt;"", E252*AC251, ""), "")</f>
        <v/>
      </c>
      <c r="AD252" s="22" t="str">
        <f>IF(E252&lt;&gt;"", IF(AD251&lt;&gt;"", E252*AD251, ""), "")</f>
        <v/>
      </c>
      <c r="AE252" s="22" t="str">
        <f>IF(E252&lt;&gt;"", IF(AE251&lt;&gt;"", E252*AE251, ""), "")</f>
        <v/>
      </c>
      <c r="AF252" s="22" t="str">
        <f>IF(E252&lt;&gt;"", IF(AF251&lt;&gt;"", E252*AF251, ""), "")</f>
        <v/>
      </c>
      <c r="AG252" s="22" t="str">
        <f>IF(E252&lt;&gt;"", IF(AG251&lt;&gt;"", E252*AG251, ""), "")</f>
        <v/>
      </c>
      <c r="AH252" s="22" t="str">
        <f>IF(E252&lt;&gt;"", IF(AH251&lt;&gt;"", E252*AH251, ""), "")</f>
        <v/>
      </c>
      <c r="AI252" s="22" t="str">
        <f>IF(E252&lt;&gt;"", IF(AI251&lt;&gt;"", E252*AI251, ""), "")</f>
        <v/>
      </c>
      <c r="AJ252" s="22" t="str">
        <f>IF(E252&lt;&gt;"", IF(AJ251&lt;&gt;"", E252*AJ251, ""), "")</f>
        <v/>
      </c>
      <c r="AK252" s="22" t="str">
        <f>IF(E252&lt;&gt;"", IF(AK251&lt;&gt;"", E252*AK251, ""), "")</f>
        <v/>
      </c>
      <c r="AL252" s="22" t="str">
        <f>IF(E252&lt;&gt;"", IF(AL251&lt;&gt;"", E252*AL251, ""), "")</f>
        <v/>
      </c>
      <c r="AM252" s="22" t="str">
        <f>IF(E252&lt;&gt;"", IF(AM251&lt;&gt;"", E252*AM251, ""), "")</f>
        <v/>
      </c>
      <c r="AN252" s="22" t="str">
        <f>IF(E252&lt;&gt;"", IF(AN251&lt;&gt;"", E252*AN251, ""), "")</f>
        <v/>
      </c>
      <c r="AO252" s="22" t="str">
        <f>IF(E252&lt;&gt;"", IF(AO251&lt;&gt;"", E252*AO251, ""), "")</f>
        <v/>
      </c>
      <c r="AP252" s="22" t="str">
        <f>IF(E252&lt;&gt;"", IF(AP251&lt;&gt;"", E252*AP251, ""), "")</f>
        <v/>
      </c>
      <c r="AQ252" s="22" t="str">
        <f>IF(E252&lt;&gt;"", IF(AQ251&lt;&gt;"", E252*AQ251, ""), "")</f>
        <v/>
      </c>
      <c r="AR252" s="22" t="str">
        <f>IF(E252&lt;&gt;"", IF(AR251&lt;&gt;"", E252*AR251, ""), "")</f>
        <v/>
      </c>
      <c r="AS252" s="22" t="str">
        <f>IF(E252&lt;&gt;"", IF(AS251&lt;&gt;"", E252*AS251, ""), "")</f>
        <v/>
      </c>
      <c r="AT252" s="22" t="str">
        <f>IF(E252&lt;&gt;"", IF(AT251&lt;&gt;"", E252*AT251, ""), "")</f>
        <v/>
      </c>
      <c r="AU252" s="22" t="str">
        <f>IF(E252&lt;&gt;"", IF(AU251&lt;&gt;"", E252*AU251, ""), "")</f>
        <v/>
      </c>
      <c r="AV252" s="22" t="str">
        <f>IF(E252&lt;&gt;"", IF(AV251&lt;&gt;"", E252*AV251, ""), "")</f>
        <v/>
      </c>
      <c r="AW252" s="22" t="str">
        <f>IF(E252&lt;&gt;"", IF(AW251&lt;&gt;"", E252*AW251, ""), "")</f>
        <v/>
      </c>
      <c r="AX252" s="22" t="str">
        <f>IF(E252&lt;&gt;"", IF(AX251&lt;&gt;"", E252*AX251, ""), "")</f>
        <v/>
      </c>
      <c r="AY252" s="22" t="str">
        <f>IF(E252&lt;&gt;"", IF(AY251&lt;&gt;"", E252*AY251, ""), "")</f>
        <v/>
      </c>
      <c r="AZ252" s="22" t="str">
        <f>IF(E252&lt;&gt;"", IF(AZ251&lt;&gt;"", E252*AZ251, ""), "")</f>
        <v/>
      </c>
      <c r="BA252" s="22" t="str">
        <f>IF(E252&lt;&gt;"", IF(BA251&lt;&gt;"", E252*BA251, ""), "")</f>
        <v/>
      </c>
      <c r="BB252" s="22" t="str">
        <f>IF(E252&lt;&gt;"", IF(BB251&lt;&gt;"", E252*BB251, ""), "")</f>
        <v/>
      </c>
      <c r="BC252" s="22" t="str">
        <f>IF(E252&lt;&gt;"", IF(BC251&lt;&gt;"", E252*BC251, ""), "")</f>
        <v/>
      </c>
      <c r="BD252" s="22" t="str">
        <f>IF(E252&lt;&gt;"", IF(BD251&lt;&gt;"", E252*BD251, ""), "")</f>
        <v/>
      </c>
      <c r="BE252" s="22" t="str">
        <f>IF(E252&lt;&gt;"", IF(BE251&lt;&gt;"", E252*BE251, ""), "")</f>
        <v/>
      </c>
    </row>
    <row r="253" spans="1:57" ht="20.100000000000001" customHeight="1">
      <c r="A253" s="220">
        <v>6</v>
      </c>
      <c r="B253" s="7"/>
      <c r="C253" s="7"/>
      <c r="D253" s="5" t="s">
        <v>241</v>
      </c>
      <c r="E253" s="3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  <c r="AT253" s="59"/>
      <c r="AU253" s="59"/>
      <c r="AV253" s="59"/>
      <c r="AW253" s="59"/>
      <c r="AX253" s="59"/>
      <c r="AY253" s="59"/>
      <c r="AZ253" s="59"/>
      <c r="BA253" s="59"/>
      <c r="BB253" s="59"/>
      <c r="BC253" s="59"/>
      <c r="BD253" s="59"/>
      <c r="BE253" s="59"/>
    </row>
    <row r="254" spans="1:57" ht="20.100000000000001" customHeight="1">
      <c r="A254" s="221"/>
      <c r="B254" s="7"/>
      <c r="C254" s="7"/>
      <c r="D254" s="78" t="s">
        <v>293</v>
      </c>
      <c r="E254" s="47">
        <f>IF(egTextCal(D254)&lt;&gt;0, egTextCal(D254),"")</f>
        <v>597</v>
      </c>
      <c r="F254" s="48" t="str">
        <f>IF(E254&lt;&gt;"", IF(F253&lt;&gt;"", E254*F253,""),"")</f>
        <v/>
      </c>
      <c r="G254" s="48" t="str">
        <f>IF(E254&lt;&gt;"", IF(G253&lt;&gt;"", E254*G253,""),"")</f>
        <v/>
      </c>
      <c r="H254" s="48" t="str">
        <f>IF(E254&lt;&gt;"", IF(H253&lt;&gt;"", E254*H253,""),"")</f>
        <v/>
      </c>
      <c r="I254" s="48" t="str">
        <f>IF(E254&lt;&gt;"", IF(I253&lt;&gt;"", E254*I253,""),"")</f>
        <v/>
      </c>
      <c r="J254" s="48" t="str">
        <f>IF(E254&lt;&gt;"", IF(J253&lt;&gt;"", E254*J253,""),"")</f>
        <v/>
      </c>
      <c r="K254" s="48" t="str">
        <f>IF(E254&lt;&gt;"", IF(K253&lt;&gt;"", E254*K253,""),"")</f>
        <v/>
      </c>
      <c r="L254" s="48" t="str">
        <f>IF(E254&lt;&gt;"", IF(L253&lt;&gt;"", E254*L253,""),"")</f>
        <v/>
      </c>
      <c r="M254" s="48" t="str">
        <f>IF(E254&lt;&gt;"", IF(M253&lt;&gt;"", E254*M253,""),"")</f>
        <v/>
      </c>
      <c r="N254" s="48" t="str">
        <f>IF(E254&lt;&gt;"", IF(N253&lt;&gt;"", E254*N253,""),"")</f>
        <v/>
      </c>
      <c r="O254" s="48" t="str">
        <f>IF(E254&lt;&gt;"", IF(O253&lt;&gt;"", E254*O253,""),"")</f>
        <v/>
      </c>
      <c r="P254" s="48" t="str">
        <f>IF(E254&lt;&gt;"", IF(P253&lt;&gt;"", E254*P253,""),"")</f>
        <v/>
      </c>
      <c r="Q254" s="48" t="str">
        <f>IF(E254&lt;&gt;"", IF(Q253&lt;&gt;"", E254*Q253,""),"")</f>
        <v/>
      </c>
      <c r="R254" s="48" t="str">
        <f>IF(E254&lt;&gt;"", IF(R253&lt;&gt;"", E254*R253,""),"")</f>
        <v/>
      </c>
      <c r="S254" s="48" t="str">
        <f>IF(E254&lt;&gt;"", IF(S253&lt;&gt;"", E254*S253,""),"")</f>
        <v/>
      </c>
      <c r="T254" s="48" t="str">
        <f>IF(E254&lt;&gt;"", IF(T253&lt;&gt;"", E254*T253,""),"")</f>
        <v/>
      </c>
      <c r="U254" s="48" t="str">
        <f>IF(E254&lt;&gt;"", IF(U253&lt;&gt;"", E254*U253,""),"")</f>
        <v/>
      </c>
      <c r="V254" s="48" t="str">
        <f>IF(E254&lt;&gt;"", IF(V253&lt;&gt;"", E254*V253,""),"")</f>
        <v/>
      </c>
      <c r="W254" s="48" t="str">
        <f>IF(E254&lt;&gt;"", IF(W253&lt;&gt;"", E254*W253,""),"")</f>
        <v/>
      </c>
      <c r="X254" s="48" t="str">
        <f>IF(E254&lt;&gt;"", IF(X253&lt;&gt;"", E254*X253,""),"")</f>
        <v/>
      </c>
      <c r="Y254" s="48" t="str">
        <f>IF(E254&lt;&gt;"", IF(Y253&lt;&gt;"", E254*Y253,""),"")</f>
        <v/>
      </c>
      <c r="Z254" s="48" t="str">
        <f>IF(E254&lt;&gt;"", IF(Z253&lt;&gt;"", E254*Z253,""),"")</f>
        <v/>
      </c>
      <c r="AA254" s="22"/>
      <c r="AB254" s="22" t="str">
        <f>IF(E254&lt;&gt;"", IF(AB253&lt;&gt;"", E254*AB253, ""), "")</f>
        <v/>
      </c>
      <c r="AC254" s="22" t="str">
        <f>IF(E254&lt;&gt;"", IF(AC253&lt;&gt;"", E254*AC253, ""), "")</f>
        <v/>
      </c>
      <c r="AD254" s="22" t="str">
        <f>IF(E254&lt;&gt;"", IF(AD253&lt;&gt;"", E254*AD253, ""), "")</f>
        <v/>
      </c>
      <c r="AE254" s="22" t="str">
        <f>IF(E254&lt;&gt;"", IF(AE253&lt;&gt;"", E254*AE253, ""), "")</f>
        <v/>
      </c>
      <c r="AF254" s="22" t="str">
        <f>IF(E254&lt;&gt;"", IF(AF253&lt;&gt;"", E254*AF253, ""), "")</f>
        <v/>
      </c>
      <c r="AG254" s="22" t="str">
        <f>IF(E254&lt;&gt;"", IF(AG253&lt;&gt;"", E254*AG253, ""), "")</f>
        <v/>
      </c>
      <c r="AH254" s="22" t="str">
        <f>IF(E254&lt;&gt;"", IF(AH253&lt;&gt;"", E254*AH253, ""), "")</f>
        <v/>
      </c>
      <c r="AI254" s="22" t="str">
        <f>IF(E254&lt;&gt;"", IF(AI253&lt;&gt;"", E254*AI253, ""), "")</f>
        <v/>
      </c>
      <c r="AJ254" s="22" t="str">
        <f>IF(E254&lt;&gt;"", IF(AJ253&lt;&gt;"", E254*AJ253, ""), "")</f>
        <v/>
      </c>
      <c r="AK254" s="22" t="str">
        <f>IF(E254&lt;&gt;"", IF(AK253&lt;&gt;"", E254*AK253, ""), "")</f>
        <v/>
      </c>
      <c r="AL254" s="22" t="str">
        <f>IF(E254&lt;&gt;"", IF(AL253&lt;&gt;"", E254*AL253, ""), "")</f>
        <v/>
      </c>
      <c r="AM254" s="22" t="str">
        <f>IF(E254&lt;&gt;"", IF(AM253&lt;&gt;"", E254*AM253, ""), "")</f>
        <v/>
      </c>
      <c r="AN254" s="22" t="str">
        <f>IF(E254&lt;&gt;"", IF(AN253&lt;&gt;"", E254*AN253, ""), "")</f>
        <v/>
      </c>
      <c r="AO254" s="22" t="str">
        <f>IF(E254&lt;&gt;"", IF(AO253&lt;&gt;"", E254*AO253, ""), "")</f>
        <v/>
      </c>
      <c r="AP254" s="22" t="str">
        <f>IF(E254&lt;&gt;"", IF(AP253&lt;&gt;"", E254*AP253, ""), "")</f>
        <v/>
      </c>
      <c r="AQ254" s="22" t="str">
        <f>IF(E254&lt;&gt;"", IF(AQ253&lt;&gt;"", E254*AQ253, ""), "")</f>
        <v/>
      </c>
      <c r="AR254" s="22" t="str">
        <f>IF(E254&lt;&gt;"", IF(AR253&lt;&gt;"", E254*AR253, ""), "")</f>
        <v/>
      </c>
      <c r="AS254" s="22" t="str">
        <f>IF(E254&lt;&gt;"", IF(AS253&lt;&gt;"", E254*AS253, ""), "")</f>
        <v/>
      </c>
      <c r="AT254" s="22" t="str">
        <f>IF(E254&lt;&gt;"", IF(AT253&lt;&gt;"", E254*AT253, ""), "")</f>
        <v/>
      </c>
      <c r="AU254" s="22" t="str">
        <f>IF(E254&lt;&gt;"", IF(AU253&lt;&gt;"", E254*AU253, ""), "")</f>
        <v/>
      </c>
      <c r="AV254" s="22" t="str">
        <f>IF(E254&lt;&gt;"", IF(AV253&lt;&gt;"", E254*AV253, ""), "")</f>
        <v/>
      </c>
      <c r="AW254" s="22" t="str">
        <f>IF(E254&lt;&gt;"", IF(AW253&lt;&gt;"", E254*AW253, ""), "")</f>
        <v/>
      </c>
      <c r="AX254" s="22" t="str">
        <f>IF(E254&lt;&gt;"", IF(AX253&lt;&gt;"", E254*AX253, ""), "")</f>
        <v/>
      </c>
      <c r="AY254" s="22" t="str">
        <f>IF(E254&lt;&gt;"", IF(AY253&lt;&gt;"", E254*AY253, ""), "")</f>
        <v/>
      </c>
      <c r="AZ254" s="22" t="str">
        <f>IF(E254&lt;&gt;"", IF(AZ253&lt;&gt;"", E254*AZ253, ""), "")</f>
        <v/>
      </c>
      <c r="BA254" s="22" t="str">
        <f>IF(E254&lt;&gt;"", IF(BA253&lt;&gt;"", E254*BA253, ""), "")</f>
        <v/>
      </c>
      <c r="BB254" s="22" t="str">
        <f>IF(E254&lt;&gt;"", IF(BB253&lt;&gt;"", E254*BB253, ""), "")</f>
        <v/>
      </c>
      <c r="BC254" s="22" t="str">
        <f>IF(E254&lt;&gt;"", IF(BC253&lt;&gt;"", E254*BC253, ""), "")</f>
        <v/>
      </c>
      <c r="BD254" s="22" t="str">
        <f>IF(E254&lt;&gt;"", IF(BD253&lt;&gt;"", E254*BD253, ""), "")</f>
        <v/>
      </c>
      <c r="BE254" s="22" t="str">
        <f>IF(E254&lt;&gt;"", IF(BE253&lt;&gt;"", E254*BE253, ""), "")</f>
        <v/>
      </c>
    </row>
    <row r="255" spans="1:57" ht="20.100000000000001" customHeight="1">
      <c r="A255" s="220">
        <v>7</v>
      </c>
      <c r="B255" s="7"/>
      <c r="C255" s="7"/>
      <c r="D255" s="5" t="s">
        <v>285</v>
      </c>
      <c r="E255" s="3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  <c r="AQ255" s="59"/>
      <c r="AR255" s="59"/>
      <c r="AS255" s="59"/>
      <c r="AT255" s="59"/>
      <c r="AU255" s="59"/>
      <c r="AV255" s="59"/>
      <c r="AW255" s="59"/>
      <c r="AX255" s="59"/>
      <c r="AY255" s="59"/>
      <c r="AZ255" s="59"/>
      <c r="BA255" s="59"/>
      <c r="BB255" s="59"/>
      <c r="BC255" s="59"/>
      <c r="BD255" s="59"/>
      <c r="BE255" s="59"/>
    </row>
    <row r="256" spans="1:57" ht="20.100000000000001" customHeight="1">
      <c r="A256" s="221"/>
      <c r="B256" s="7"/>
      <c r="C256" s="7"/>
      <c r="D256" s="78" t="s">
        <v>294</v>
      </c>
      <c r="E256" s="47">
        <f>IF(egTextCal(D256)&lt;&gt;0, egTextCal(D256),"")</f>
        <v>272</v>
      </c>
      <c r="F256" s="48" t="str">
        <f>IF(E256&lt;&gt;"", IF(F255&lt;&gt;"", E256*F255,""),"")</f>
        <v/>
      </c>
      <c r="G256" s="48" t="str">
        <f>IF(E256&lt;&gt;"", IF(G255&lt;&gt;"", E256*G255,""),"")</f>
        <v/>
      </c>
      <c r="H256" s="48" t="str">
        <f>IF(E256&lt;&gt;"", IF(H255&lt;&gt;"", E256*H255,""),"")</f>
        <v/>
      </c>
      <c r="I256" s="48" t="str">
        <f>IF(E256&lt;&gt;"", IF(I255&lt;&gt;"", E256*I255,""),"")</f>
        <v/>
      </c>
      <c r="J256" s="48" t="str">
        <f>IF(E256&lt;&gt;"", IF(J255&lt;&gt;"", E256*J255,""),"")</f>
        <v/>
      </c>
      <c r="K256" s="48" t="str">
        <f>IF(E256&lt;&gt;"", IF(K255&lt;&gt;"", E256*K255,""),"")</f>
        <v/>
      </c>
      <c r="L256" s="48" t="str">
        <f>IF(E256&lt;&gt;"", IF(L255&lt;&gt;"", E256*L255,""),"")</f>
        <v/>
      </c>
      <c r="M256" s="48" t="str">
        <f>IF(E256&lt;&gt;"", IF(M255&lt;&gt;"", E256*M255,""),"")</f>
        <v/>
      </c>
      <c r="N256" s="48" t="str">
        <f>IF(E256&lt;&gt;"", IF(N255&lt;&gt;"", E256*N255,""),"")</f>
        <v/>
      </c>
      <c r="O256" s="48" t="str">
        <f>IF(E256&lt;&gt;"", IF(O255&lt;&gt;"", E256*O255,""),"")</f>
        <v/>
      </c>
      <c r="P256" s="48" t="str">
        <f>IF(E256&lt;&gt;"", IF(P255&lt;&gt;"", E256*P255,""),"")</f>
        <v/>
      </c>
      <c r="Q256" s="48" t="str">
        <f>IF(E256&lt;&gt;"", IF(Q255&lt;&gt;"", E256*Q255,""),"")</f>
        <v/>
      </c>
      <c r="R256" s="48" t="str">
        <f>IF(E256&lt;&gt;"", IF(R255&lt;&gt;"", E256*R255,""),"")</f>
        <v/>
      </c>
      <c r="S256" s="48" t="str">
        <f>IF(E256&lt;&gt;"", IF(S255&lt;&gt;"", E256*S255,""),"")</f>
        <v/>
      </c>
      <c r="T256" s="48" t="str">
        <f>IF(E256&lt;&gt;"", IF(T255&lt;&gt;"", E256*T255,""),"")</f>
        <v/>
      </c>
      <c r="U256" s="48" t="str">
        <f>IF(E256&lt;&gt;"", IF(U255&lt;&gt;"", E256*U255,""),"")</f>
        <v/>
      </c>
      <c r="V256" s="48" t="str">
        <f>IF(E256&lt;&gt;"", IF(V255&lt;&gt;"", E256*V255,""),"")</f>
        <v/>
      </c>
      <c r="W256" s="48" t="str">
        <f>IF(E256&lt;&gt;"", IF(W255&lt;&gt;"", E256*W255,""),"")</f>
        <v/>
      </c>
      <c r="X256" s="48" t="str">
        <f>IF(E256&lt;&gt;"", IF(X255&lt;&gt;"", E256*X255,""),"")</f>
        <v/>
      </c>
      <c r="Y256" s="48" t="str">
        <f>IF(E256&lt;&gt;"", IF(Y255&lt;&gt;"", E256*Y255,""),"")</f>
        <v/>
      </c>
      <c r="Z256" s="48" t="str">
        <f>IF(E256&lt;&gt;"", IF(Z255&lt;&gt;"", E256*Z255,""),"")</f>
        <v/>
      </c>
      <c r="AA256" s="22"/>
      <c r="AB256" s="22" t="str">
        <f>IF(E256&lt;&gt;"", IF(AB255&lt;&gt;"", E256*AB255, ""), "")</f>
        <v/>
      </c>
      <c r="AC256" s="22" t="str">
        <f>IF(E256&lt;&gt;"", IF(AC255&lt;&gt;"", E256*AC255, ""), "")</f>
        <v/>
      </c>
      <c r="AD256" s="22" t="str">
        <f>IF(E256&lt;&gt;"", IF(AD255&lt;&gt;"", E256*AD255, ""), "")</f>
        <v/>
      </c>
      <c r="AE256" s="22" t="str">
        <f>IF(E256&lt;&gt;"", IF(AE255&lt;&gt;"", E256*AE255, ""), "")</f>
        <v/>
      </c>
      <c r="AF256" s="22" t="str">
        <f>IF(E256&lt;&gt;"", IF(AF255&lt;&gt;"", E256*AF255, ""), "")</f>
        <v/>
      </c>
      <c r="AG256" s="22" t="str">
        <f>IF(E256&lt;&gt;"", IF(AG255&lt;&gt;"", E256*AG255, ""), "")</f>
        <v/>
      </c>
      <c r="AH256" s="22" t="str">
        <f>IF(E256&lt;&gt;"", IF(AH255&lt;&gt;"", E256*AH255, ""), "")</f>
        <v/>
      </c>
      <c r="AI256" s="22" t="str">
        <f>IF(E256&lt;&gt;"", IF(AI255&lt;&gt;"", E256*AI255, ""), "")</f>
        <v/>
      </c>
      <c r="AJ256" s="22" t="str">
        <f>IF(E256&lt;&gt;"", IF(AJ255&lt;&gt;"", E256*AJ255, ""), "")</f>
        <v/>
      </c>
      <c r="AK256" s="22" t="str">
        <f>IF(E256&lt;&gt;"", IF(AK255&lt;&gt;"", E256*AK255, ""), "")</f>
        <v/>
      </c>
      <c r="AL256" s="22" t="str">
        <f>IF(E256&lt;&gt;"", IF(AL255&lt;&gt;"", E256*AL255, ""), "")</f>
        <v/>
      </c>
      <c r="AM256" s="22" t="str">
        <f>IF(E256&lt;&gt;"", IF(AM255&lt;&gt;"", E256*AM255, ""), "")</f>
        <v/>
      </c>
      <c r="AN256" s="22" t="str">
        <f>IF(E256&lt;&gt;"", IF(AN255&lt;&gt;"", E256*AN255, ""), "")</f>
        <v/>
      </c>
      <c r="AO256" s="22" t="str">
        <f>IF(E256&lt;&gt;"", IF(AO255&lt;&gt;"", E256*AO255, ""), "")</f>
        <v/>
      </c>
      <c r="AP256" s="22" t="str">
        <f>IF(E256&lt;&gt;"", IF(AP255&lt;&gt;"", E256*AP255, ""), "")</f>
        <v/>
      </c>
      <c r="AQ256" s="22" t="str">
        <f>IF(E256&lt;&gt;"", IF(AQ255&lt;&gt;"", E256*AQ255, ""), "")</f>
        <v/>
      </c>
      <c r="AR256" s="22" t="str">
        <f>IF(E256&lt;&gt;"", IF(AR255&lt;&gt;"", E256*AR255, ""), "")</f>
        <v/>
      </c>
      <c r="AS256" s="22" t="str">
        <f>IF(E256&lt;&gt;"", IF(AS255&lt;&gt;"", E256*AS255, ""), "")</f>
        <v/>
      </c>
      <c r="AT256" s="22" t="str">
        <f>IF(E256&lt;&gt;"", IF(AT255&lt;&gt;"", E256*AT255, ""), "")</f>
        <v/>
      </c>
      <c r="AU256" s="22" t="str">
        <f>IF(E256&lt;&gt;"", IF(AU255&lt;&gt;"", E256*AU255, ""), "")</f>
        <v/>
      </c>
      <c r="AV256" s="22" t="str">
        <f>IF(E256&lt;&gt;"", IF(AV255&lt;&gt;"", E256*AV255, ""), "")</f>
        <v/>
      </c>
      <c r="AW256" s="22" t="str">
        <f>IF(E256&lt;&gt;"", IF(AW255&lt;&gt;"", E256*AW255, ""), "")</f>
        <v/>
      </c>
      <c r="AX256" s="22" t="str">
        <f>IF(E256&lt;&gt;"", IF(AX255&lt;&gt;"", E256*AX255, ""), "")</f>
        <v/>
      </c>
      <c r="AY256" s="22" t="str">
        <f>IF(E256&lt;&gt;"", IF(AY255&lt;&gt;"", E256*AY255, ""), "")</f>
        <v/>
      </c>
      <c r="AZ256" s="22" t="str">
        <f>IF(E256&lt;&gt;"", IF(AZ255&lt;&gt;"", E256*AZ255, ""), "")</f>
        <v/>
      </c>
      <c r="BA256" s="22" t="str">
        <f>IF(E256&lt;&gt;"", IF(BA255&lt;&gt;"", E256*BA255, ""), "")</f>
        <v/>
      </c>
      <c r="BB256" s="22" t="str">
        <f>IF(E256&lt;&gt;"", IF(BB255&lt;&gt;"", E256*BB255, ""), "")</f>
        <v/>
      </c>
      <c r="BC256" s="22" t="str">
        <f>IF(E256&lt;&gt;"", IF(BC255&lt;&gt;"", E256*BC255, ""), "")</f>
        <v/>
      </c>
      <c r="BD256" s="22" t="str">
        <f>IF(E256&lt;&gt;"", IF(BD255&lt;&gt;"", E256*BD255, ""), "")</f>
        <v/>
      </c>
      <c r="BE256" s="22" t="str">
        <f>IF(E256&lt;&gt;"", IF(BE255&lt;&gt;"", E256*BE255, ""), "")</f>
        <v/>
      </c>
    </row>
    <row r="257" spans="1:130" ht="20.100000000000001" customHeight="1">
      <c r="A257" s="220">
        <v>8</v>
      </c>
      <c r="B257" s="7"/>
      <c r="C257" s="7"/>
      <c r="D257" s="5" t="s">
        <v>246</v>
      </c>
      <c r="E257" s="3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  <c r="AT257" s="59"/>
      <c r="AU257" s="59"/>
      <c r="AV257" s="59"/>
      <c r="AW257" s="59"/>
      <c r="AX257" s="59"/>
      <c r="AY257" s="59"/>
      <c r="AZ257" s="59"/>
      <c r="BA257" s="59"/>
      <c r="BB257" s="59"/>
      <c r="BC257" s="59"/>
      <c r="BD257" s="59"/>
      <c r="BE257" s="59"/>
    </row>
    <row r="258" spans="1:130" ht="20.100000000000001" customHeight="1">
      <c r="A258" s="221"/>
      <c r="B258" s="7"/>
      <c r="C258" s="7"/>
      <c r="D258" s="78">
        <v>3</v>
      </c>
      <c r="E258" s="47">
        <f>IF(egTextCal(D258)&lt;&gt;0, egTextCal(D258),"")</f>
        <v>3</v>
      </c>
      <c r="F258" s="48" t="str">
        <f>IF(E258&lt;&gt;"", IF(F257&lt;&gt;"", E258*F257,""),"")</f>
        <v/>
      </c>
      <c r="G258" s="48" t="str">
        <f>IF(E258&lt;&gt;"", IF(G257&lt;&gt;"", E258*G257,""),"")</f>
        <v/>
      </c>
      <c r="H258" s="48" t="str">
        <f>IF(E258&lt;&gt;"", IF(H257&lt;&gt;"", E258*H257,""),"")</f>
        <v/>
      </c>
      <c r="I258" s="48" t="str">
        <f>IF(E258&lt;&gt;"", IF(I257&lt;&gt;"", E258*I257,""),"")</f>
        <v/>
      </c>
      <c r="J258" s="48" t="str">
        <f>IF(E258&lt;&gt;"", IF(J257&lt;&gt;"", E258*J257,""),"")</f>
        <v/>
      </c>
      <c r="K258" s="48" t="str">
        <f>IF(E258&lt;&gt;"", IF(K257&lt;&gt;"", E258*K257,""),"")</f>
        <v/>
      </c>
      <c r="L258" s="48" t="str">
        <f>IF(E258&lt;&gt;"", IF(L257&lt;&gt;"", E258*L257,""),"")</f>
        <v/>
      </c>
      <c r="M258" s="48" t="str">
        <f>IF(E258&lt;&gt;"", IF(M257&lt;&gt;"", E258*M257,""),"")</f>
        <v/>
      </c>
      <c r="N258" s="48" t="str">
        <f>IF(E258&lt;&gt;"", IF(N257&lt;&gt;"", E258*N257,""),"")</f>
        <v/>
      </c>
      <c r="O258" s="48" t="str">
        <f>IF(E258&lt;&gt;"", IF(O257&lt;&gt;"", E258*O257,""),"")</f>
        <v/>
      </c>
      <c r="P258" s="48" t="str">
        <f>IF(E258&lt;&gt;"", IF(P257&lt;&gt;"", E258*P257,""),"")</f>
        <v/>
      </c>
      <c r="Q258" s="48" t="str">
        <f>IF(E258&lt;&gt;"", IF(Q257&lt;&gt;"", E258*Q257,""),"")</f>
        <v/>
      </c>
      <c r="R258" s="48" t="str">
        <f>IF(E258&lt;&gt;"", IF(R257&lt;&gt;"", E258*R257,""),"")</f>
        <v/>
      </c>
      <c r="S258" s="48" t="str">
        <f>IF(E258&lt;&gt;"", IF(S257&lt;&gt;"", E258*S257,""),"")</f>
        <v/>
      </c>
      <c r="T258" s="48" t="str">
        <f>IF(E258&lt;&gt;"", IF(T257&lt;&gt;"", E258*T257,""),"")</f>
        <v/>
      </c>
      <c r="U258" s="48" t="str">
        <f>IF(E258&lt;&gt;"", IF(U257&lt;&gt;"", E258*U257,""),"")</f>
        <v/>
      </c>
      <c r="V258" s="48" t="str">
        <f>IF(E258&lt;&gt;"", IF(V257&lt;&gt;"", E258*V257,""),"")</f>
        <v/>
      </c>
      <c r="W258" s="48" t="str">
        <f>IF(E258&lt;&gt;"", IF(W257&lt;&gt;"", E258*W257,""),"")</f>
        <v/>
      </c>
      <c r="X258" s="48" t="str">
        <f>IF(E258&lt;&gt;"", IF(X257&lt;&gt;"", E258*X257,""),"")</f>
        <v/>
      </c>
      <c r="Y258" s="48" t="str">
        <f>IF(E258&lt;&gt;"", IF(Y257&lt;&gt;"", E258*Y257,""),"")</f>
        <v/>
      </c>
      <c r="Z258" s="48" t="str">
        <f>IF(E258&lt;&gt;"", IF(Z257&lt;&gt;"", E258*Z257,""),"")</f>
        <v/>
      </c>
      <c r="AA258" s="22"/>
      <c r="AB258" s="22" t="str">
        <f>IF(E258&lt;&gt;"", IF(AB257&lt;&gt;"", E258*AB257, ""), "")</f>
        <v/>
      </c>
      <c r="AC258" s="22" t="str">
        <f>IF(E258&lt;&gt;"", IF(AC257&lt;&gt;"", E258*AC257, ""), "")</f>
        <v/>
      </c>
      <c r="AD258" s="22" t="str">
        <f>IF(E258&lt;&gt;"", IF(AD257&lt;&gt;"", E258*AD257, ""), "")</f>
        <v/>
      </c>
      <c r="AE258" s="22" t="str">
        <f>IF(E258&lt;&gt;"", IF(AE257&lt;&gt;"", E258*AE257, ""), "")</f>
        <v/>
      </c>
      <c r="AF258" s="22" t="str">
        <f>IF(E258&lt;&gt;"", IF(AF257&lt;&gt;"", E258*AF257, ""), "")</f>
        <v/>
      </c>
      <c r="AG258" s="22" t="str">
        <f>IF(E258&lt;&gt;"", IF(AG257&lt;&gt;"", E258*AG257, ""), "")</f>
        <v/>
      </c>
      <c r="AH258" s="22" t="str">
        <f>IF(E258&lt;&gt;"", IF(AH257&lt;&gt;"", E258*AH257, ""), "")</f>
        <v/>
      </c>
      <c r="AI258" s="22" t="str">
        <f>IF(E258&lt;&gt;"", IF(AI257&lt;&gt;"", E258*AI257, ""), "")</f>
        <v/>
      </c>
      <c r="AJ258" s="22" t="str">
        <f>IF(E258&lt;&gt;"", IF(AJ257&lt;&gt;"", E258*AJ257, ""), "")</f>
        <v/>
      </c>
      <c r="AK258" s="22" t="str">
        <f>IF(E258&lt;&gt;"", IF(AK257&lt;&gt;"", E258*AK257, ""), "")</f>
        <v/>
      </c>
      <c r="AL258" s="22" t="str">
        <f>IF(E258&lt;&gt;"", IF(AL257&lt;&gt;"", E258*AL257, ""), "")</f>
        <v/>
      </c>
      <c r="AM258" s="22" t="str">
        <f>IF(E258&lt;&gt;"", IF(AM257&lt;&gt;"", E258*AM257, ""), "")</f>
        <v/>
      </c>
      <c r="AN258" s="22" t="str">
        <f>IF(E258&lt;&gt;"", IF(AN257&lt;&gt;"", E258*AN257, ""), "")</f>
        <v/>
      </c>
      <c r="AO258" s="22" t="str">
        <f>IF(E258&lt;&gt;"", IF(AO257&lt;&gt;"", E258*AO257, ""), "")</f>
        <v/>
      </c>
      <c r="AP258" s="22" t="str">
        <f>IF(E258&lt;&gt;"", IF(AP257&lt;&gt;"", E258*AP257, ""), "")</f>
        <v/>
      </c>
      <c r="AQ258" s="22" t="str">
        <f>IF(E258&lt;&gt;"", IF(AQ257&lt;&gt;"", E258*AQ257, ""), "")</f>
        <v/>
      </c>
      <c r="AR258" s="22" t="str">
        <f>IF(E258&lt;&gt;"", IF(AR257&lt;&gt;"", E258*AR257, ""), "")</f>
        <v/>
      </c>
      <c r="AS258" s="22" t="str">
        <f>IF(E258&lt;&gt;"", IF(AS257&lt;&gt;"", E258*AS257, ""), "")</f>
        <v/>
      </c>
      <c r="AT258" s="22" t="str">
        <f>IF(E258&lt;&gt;"", IF(AT257&lt;&gt;"", E258*AT257, ""), "")</f>
        <v/>
      </c>
      <c r="AU258" s="22" t="str">
        <f>IF(E258&lt;&gt;"", IF(AU257&lt;&gt;"", E258*AU257, ""), "")</f>
        <v/>
      </c>
      <c r="AV258" s="22" t="str">
        <f>IF(E258&lt;&gt;"", IF(AV257&lt;&gt;"", E258*AV257, ""), "")</f>
        <v/>
      </c>
      <c r="AW258" s="22" t="str">
        <f>IF(E258&lt;&gt;"", IF(AW257&lt;&gt;"", E258*AW257, ""), "")</f>
        <v/>
      </c>
      <c r="AX258" s="22" t="str">
        <f>IF(E258&lt;&gt;"", IF(AX257&lt;&gt;"", E258*AX257, ""), "")</f>
        <v/>
      </c>
      <c r="AY258" s="22" t="str">
        <f>IF(E258&lt;&gt;"", IF(AY257&lt;&gt;"", E258*AY257, ""), "")</f>
        <v/>
      </c>
      <c r="AZ258" s="22" t="str">
        <f>IF(E258&lt;&gt;"", IF(AZ257&lt;&gt;"", E258*AZ257, ""), "")</f>
        <v/>
      </c>
      <c r="BA258" s="22" t="str">
        <f>IF(E258&lt;&gt;"", IF(BA257&lt;&gt;"", E258*BA257, ""), "")</f>
        <v/>
      </c>
      <c r="BB258" s="22" t="str">
        <f>IF(E258&lt;&gt;"", IF(BB257&lt;&gt;"", E258*BB257, ""), "")</f>
        <v/>
      </c>
      <c r="BC258" s="22" t="str">
        <f>IF(E258&lt;&gt;"", IF(BC257&lt;&gt;"", E258*BC257, ""), "")</f>
        <v/>
      </c>
      <c r="BD258" s="22" t="str">
        <f>IF(E258&lt;&gt;"", IF(BD257&lt;&gt;"", E258*BD257, ""), "")</f>
        <v/>
      </c>
      <c r="BE258" s="22" t="str">
        <f>IF(E258&lt;&gt;"", IF(BE257&lt;&gt;"", E258*BE257, ""), "")</f>
        <v/>
      </c>
    </row>
    <row r="259" spans="1:130" ht="20.100000000000001" customHeight="1">
      <c r="A259" s="220">
        <v>9</v>
      </c>
      <c r="B259" s="7"/>
      <c r="C259" s="7"/>
      <c r="D259" s="5" t="s">
        <v>275</v>
      </c>
      <c r="E259" s="3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59"/>
      <c r="AB259" s="59"/>
      <c r="AC259" s="59"/>
      <c r="AD259" s="59"/>
      <c r="AE259" s="59"/>
      <c r="AF259" s="59"/>
      <c r="AG259" s="59"/>
      <c r="AH259" s="59"/>
      <c r="AI259" s="59"/>
      <c r="AJ259" s="59"/>
      <c r="AK259" s="59"/>
      <c r="AL259" s="59"/>
      <c r="AM259" s="59"/>
      <c r="AN259" s="59"/>
      <c r="AO259" s="59"/>
      <c r="AP259" s="59"/>
      <c r="AQ259" s="59"/>
      <c r="AR259" s="59"/>
      <c r="AS259" s="59"/>
      <c r="AT259" s="59"/>
      <c r="AU259" s="59"/>
      <c r="AV259" s="59"/>
      <c r="AW259" s="59"/>
      <c r="AX259" s="59"/>
      <c r="AY259" s="59"/>
      <c r="AZ259" s="59"/>
      <c r="BA259" s="59"/>
      <c r="BB259" s="59"/>
      <c r="BC259" s="59"/>
      <c r="BD259" s="59"/>
      <c r="BE259" s="59"/>
    </row>
    <row r="260" spans="1:130" ht="20.100000000000001" customHeight="1">
      <c r="A260" s="221"/>
      <c r="B260" s="7"/>
      <c r="C260" s="7"/>
      <c r="D260" s="78">
        <v>4</v>
      </c>
      <c r="E260" s="47">
        <f>IF(egTextCal(D260)&lt;&gt;0, egTextCal(D260),"")</f>
        <v>4</v>
      </c>
      <c r="F260" s="48" t="str">
        <f>IF(E260&lt;&gt;"", IF(F259&lt;&gt;"", E260*F259,""),"")</f>
        <v/>
      </c>
      <c r="G260" s="48" t="str">
        <f>IF(E260&lt;&gt;"", IF(G259&lt;&gt;"", E260*G259,""),"")</f>
        <v/>
      </c>
      <c r="H260" s="48" t="str">
        <f>IF(E260&lt;&gt;"", IF(H259&lt;&gt;"", E260*H259,""),"")</f>
        <v/>
      </c>
      <c r="I260" s="48" t="str">
        <f>IF(E260&lt;&gt;"", IF(I259&lt;&gt;"", E260*I259,""),"")</f>
        <v/>
      </c>
      <c r="J260" s="48" t="str">
        <f>IF(E260&lt;&gt;"", IF(J259&lt;&gt;"", E260*J259,""),"")</f>
        <v/>
      </c>
      <c r="K260" s="48" t="str">
        <f>IF(E260&lt;&gt;"", IF(K259&lt;&gt;"", E260*K259,""),"")</f>
        <v/>
      </c>
      <c r="L260" s="48" t="str">
        <f>IF(E260&lt;&gt;"", IF(L259&lt;&gt;"", E260*L259,""),"")</f>
        <v/>
      </c>
      <c r="M260" s="48" t="str">
        <f>IF(E260&lt;&gt;"", IF(M259&lt;&gt;"", E260*M259,""),"")</f>
        <v/>
      </c>
      <c r="N260" s="48" t="str">
        <f>IF(E260&lt;&gt;"", IF(N259&lt;&gt;"", E260*N259,""),"")</f>
        <v/>
      </c>
      <c r="O260" s="48" t="str">
        <f>IF(E260&lt;&gt;"", IF(O259&lt;&gt;"", E260*O259,""),"")</f>
        <v/>
      </c>
      <c r="P260" s="48" t="str">
        <f>IF(E260&lt;&gt;"", IF(P259&lt;&gt;"", E260*P259,""),"")</f>
        <v/>
      </c>
      <c r="Q260" s="48" t="str">
        <f>IF(E260&lt;&gt;"", IF(Q259&lt;&gt;"", E260*Q259,""),"")</f>
        <v/>
      </c>
      <c r="R260" s="48" t="str">
        <f>IF(E260&lt;&gt;"", IF(R259&lt;&gt;"", E260*R259,""),"")</f>
        <v/>
      </c>
      <c r="S260" s="48" t="str">
        <f>IF(E260&lt;&gt;"", IF(S259&lt;&gt;"", E260*S259,""),"")</f>
        <v/>
      </c>
      <c r="T260" s="48" t="str">
        <f>IF(E260&lt;&gt;"", IF(T259&lt;&gt;"", E260*T259,""),"")</f>
        <v/>
      </c>
      <c r="U260" s="48" t="str">
        <f>IF(E260&lt;&gt;"", IF(U259&lt;&gt;"", E260*U259,""),"")</f>
        <v/>
      </c>
      <c r="V260" s="48" t="str">
        <f>IF(E260&lt;&gt;"", IF(V259&lt;&gt;"", E260*V259,""),"")</f>
        <v/>
      </c>
      <c r="W260" s="48" t="str">
        <f>IF(E260&lt;&gt;"", IF(W259&lt;&gt;"", E260*W259,""),"")</f>
        <v/>
      </c>
      <c r="X260" s="48" t="str">
        <f>IF(E260&lt;&gt;"", IF(X259&lt;&gt;"", E260*X259,""),"")</f>
        <v/>
      </c>
      <c r="Y260" s="48" t="str">
        <f>IF(E260&lt;&gt;"", IF(Y259&lt;&gt;"", E260*Y259,""),"")</f>
        <v/>
      </c>
      <c r="Z260" s="48" t="str">
        <f>IF(E260&lt;&gt;"", IF(Z259&lt;&gt;"", E260*Z259,""),"")</f>
        <v/>
      </c>
      <c r="AA260" s="22"/>
      <c r="AB260" s="22" t="str">
        <f>IF(E260&lt;&gt;"", IF(AB259&lt;&gt;"", E260*AB259, ""), "")</f>
        <v/>
      </c>
      <c r="AC260" s="22" t="str">
        <f>IF(E260&lt;&gt;"", IF(AC259&lt;&gt;"", E260*AC259, ""), "")</f>
        <v/>
      </c>
      <c r="AD260" s="22" t="str">
        <f>IF(E260&lt;&gt;"", IF(AD259&lt;&gt;"", E260*AD259, ""), "")</f>
        <v/>
      </c>
      <c r="AE260" s="22" t="str">
        <f>IF(E260&lt;&gt;"", IF(AE259&lt;&gt;"", E260*AE259, ""), "")</f>
        <v/>
      </c>
      <c r="AF260" s="22" t="str">
        <f>IF(E260&lt;&gt;"", IF(AF259&lt;&gt;"", E260*AF259, ""), "")</f>
        <v/>
      </c>
      <c r="AG260" s="22" t="str">
        <f>IF(E260&lt;&gt;"", IF(AG259&lt;&gt;"", E260*AG259, ""), "")</f>
        <v/>
      </c>
      <c r="AH260" s="22" t="str">
        <f>IF(E260&lt;&gt;"", IF(AH259&lt;&gt;"", E260*AH259, ""), "")</f>
        <v/>
      </c>
      <c r="AI260" s="22" t="str">
        <f>IF(E260&lt;&gt;"", IF(AI259&lt;&gt;"", E260*AI259, ""), "")</f>
        <v/>
      </c>
      <c r="AJ260" s="22" t="str">
        <f>IF(E260&lt;&gt;"", IF(AJ259&lt;&gt;"", E260*AJ259, ""), "")</f>
        <v/>
      </c>
      <c r="AK260" s="22" t="str">
        <f>IF(E260&lt;&gt;"", IF(AK259&lt;&gt;"", E260*AK259, ""), "")</f>
        <v/>
      </c>
      <c r="AL260" s="22" t="str">
        <f>IF(E260&lt;&gt;"", IF(AL259&lt;&gt;"", E260*AL259, ""), "")</f>
        <v/>
      </c>
      <c r="AM260" s="22" t="str">
        <f>IF(E260&lt;&gt;"", IF(AM259&lt;&gt;"", E260*AM259, ""), "")</f>
        <v/>
      </c>
      <c r="AN260" s="22" t="str">
        <f>IF(E260&lt;&gt;"", IF(AN259&lt;&gt;"", E260*AN259, ""), "")</f>
        <v/>
      </c>
      <c r="AO260" s="22" t="str">
        <f>IF(E260&lt;&gt;"", IF(AO259&lt;&gt;"", E260*AO259, ""), "")</f>
        <v/>
      </c>
      <c r="AP260" s="22" t="str">
        <f>IF(E260&lt;&gt;"", IF(AP259&lt;&gt;"", E260*AP259, ""), "")</f>
        <v/>
      </c>
      <c r="AQ260" s="22" t="str">
        <f>IF(E260&lt;&gt;"", IF(AQ259&lt;&gt;"", E260*AQ259, ""), "")</f>
        <v/>
      </c>
      <c r="AR260" s="22" t="str">
        <f>IF(E260&lt;&gt;"", IF(AR259&lt;&gt;"", E260*AR259, ""), "")</f>
        <v/>
      </c>
      <c r="AS260" s="22" t="str">
        <f>IF(E260&lt;&gt;"", IF(AS259&lt;&gt;"", E260*AS259, ""), "")</f>
        <v/>
      </c>
      <c r="AT260" s="22" t="str">
        <f>IF(E260&lt;&gt;"", IF(AT259&lt;&gt;"", E260*AT259, ""), "")</f>
        <v/>
      </c>
      <c r="AU260" s="22" t="str">
        <f>IF(E260&lt;&gt;"", IF(AU259&lt;&gt;"", E260*AU259, ""), "")</f>
        <v/>
      </c>
      <c r="AV260" s="22" t="str">
        <f>IF(E260&lt;&gt;"", IF(AV259&lt;&gt;"", E260*AV259, ""), "")</f>
        <v/>
      </c>
      <c r="AW260" s="22" t="str">
        <f>IF(E260&lt;&gt;"", IF(AW259&lt;&gt;"", E260*AW259, ""), "")</f>
        <v/>
      </c>
      <c r="AX260" s="22" t="str">
        <f>IF(E260&lt;&gt;"", IF(AX259&lt;&gt;"", E260*AX259, ""), "")</f>
        <v/>
      </c>
      <c r="AY260" s="22" t="str">
        <f>IF(E260&lt;&gt;"", IF(AY259&lt;&gt;"", E260*AY259, ""), "")</f>
        <v/>
      </c>
      <c r="AZ260" s="22" t="str">
        <f>IF(E260&lt;&gt;"", IF(AZ259&lt;&gt;"", E260*AZ259, ""), "")</f>
        <v/>
      </c>
      <c r="BA260" s="22" t="str">
        <f>IF(E260&lt;&gt;"", IF(BA259&lt;&gt;"", E260*BA259, ""), "")</f>
        <v/>
      </c>
      <c r="BB260" s="22" t="str">
        <f>IF(E260&lt;&gt;"", IF(BB259&lt;&gt;"", E260*BB259, ""), "")</f>
        <v/>
      </c>
      <c r="BC260" s="22" t="str">
        <f>IF(E260&lt;&gt;"", IF(BC259&lt;&gt;"", E260*BC259, ""), "")</f>
        <v/>
      </c>
      <c r="BD260" s="22" t="str">
        <f>IF(E260&lt;&gt;"", IF(BD259&lt;&gt;"", E260*BD259, ""), "")</f>
        <v/>
      </c>
      <c r="BE260" s="22" t="str">
        <f>IF(E260&lt;&gt;"", IF(BE259&lt;&gt;"", E260*BE259, ""), "")</f>
        <v/>
      </c>
    </row>
    <row r="261" spans="1:130" ht="20.100000000000001" customHeight="1">
      <c r="A261" s="220">
        <v>10</v>
      </c>
      <c r="B261" s="7"/>
      <c r="C261" s="7"/>
      <c r="D261" s="5" t="s">
        <v>590</v>
      </c>
      <c r="E261" s="3"/>
      <c r="F261" s="46"/>
      <c r="G261" s="46"/>
      <c r="H261" s="46"/>
      <c r="I261" s="46"/>
      <c r="J261" s="46">
        <v>1</v>
      </c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  <c r="AP261" s="59"/>
      <c r="AQ261" s="59"/>
      <c r="AR261" s="59"/>
      <c r="AS261" s="59"/>
      <c r="AT261" s="59"/>
      <c r="AU261" s="59"/>
      <c r="AV261" s="59"/>
      <c r="AW261" s="59"/>
      <c r="AX261" s="59"/>
      <c r="AY261" s="59"/>
      <c r="AZ261" s="59"/>
      <c r="BA261" s="59"/>
      <c r="BB261" s="59"/>
      <c r="BC261" s="59"/>
      <c r="BD261" s="59"/>
      <c r="BE261" s="59"/>
    </row>
    <row r="262" spans="1:130" ht="20.100000000000001" customHeight="1">
      <c r="A262" s="221"/>
      <c r="B262" s="7"/>
      <c r="C262" s="7"/>
      <c r="D262" s="78">
        <v>1</v>
      </c>
      <c r="E262" s="47">
        <f>IF(egTextCal(D262)&lt;&gt;0, egTextCal(D262),"")</f>
        <v>1</v>
      </c>
      <c r="F262" s="48" t="str">
        <f>IF(E262&lt;&gt;"", IF(F261&lt;&gt;"", E262*F261,""),"")</f>
        <v/>
      </c>
      <c r="G262" s="48" t="str">
        <f>IF(E262&lt;&gt;"", IF(G261&lt;&gt;"", E262*G261,""),"")</f>
        <v/>
      </c>
      <c r="H262" s="48" t="str">
        <f>IF(E262&lt;&gt;"", IF(H261&lt;&gt;"", E262*H261,""),"")</f>
        <v/>
      </c>
      <c r="I262" s="48" t="str">
        <f>IF(E262&lt;&gt;"", IF(I261&lt;&gt;"", E262*I261,""),"")</f>
        <v/>
      </c>
      <c r="J262" s="48">
        <f>IF(E262&lt;&gt;"", IF(J261&lt;&gt;"", E262*J261,""),"")</f>
        <v>1</v>
      </c>
      <c r="K262" s="48" t="str">
        <f>IF(E262&lt;&gt;"", IF(K261&lt;&gt;"", E262*K261,""),"")</f>
        <v/>
      </c>
      <c r="L262" s="48" t="str">
        <f>IF(E262&lt;&gt;"", IF(L261&lt;&gt;"", E262*L261,""),"")</f>
        <v/>
      </c>
      <c r="M262" s="48" t="str">
        <f>IF(E262&lt;&gt;"", IF(M261&lt;&gt;"", E262*M261,""),"")</f>
        <v/>
      </c>
      <c r="N262" s="48" t="str">
        <f>IF(E262&lt;&gt;"", IF(N261&lt;&gt;"", E262*N261,""),"")</f>
        <v/>
      </c>
      <c r="O262" s="48" t="str">
        <f>IF(E262&lt;&gt;"", IF(O261&lt;&gt;"", E262*O261,""),"")</f>
        <v/>
      </c>
      <c r="P262" s="48" t="str">
        <f>IF(E262&lt;&gt;"", IF(P261&lt;&gt;"", E262*P261,""),"")</f>
        <v/>
      </c>
      <c r="Q262" s="48" t="str">
        <f>IF(E262&lt;&gt;"", IF(Q261&lt;&gt;"", E262*Q261,""),"")</f>
        <v/>
      </c>
      <c r="R262" s="48" t="str">
        <f>IF(E262&lt;&gt;"", IF(R261&lt;&gt;"", E262*R261,""),"")</f>
        <v/>
      </c>
      <c r="S262" s="48" t="str">
        <f>IF(E262&lt;&gt;"", IF(S261&lt;&gt;"", E262*S261,""),"")</f>
        <v/>
      </c>
      <c r="T262" s="48" t="str">
        <f>IF(E262&lt;&gt;"", IF(T261&lt;&gt;"", E262*T261,""),"")</f>
        <v/>
      </c>
      <c r="U262" s="48" t="str">
        <f>IF(E262&lt;&gt;"", IF(U261&lt;&gt;"", E262*U261,""),"")</f>
        <v/>
      </c>
      <c r="V262" s="48" t="str">
        <f>IF(E262&lt;&gt;"", IF(V261&lt;&gt;"", E262*V261,""),"")</f>
        <v/>
      </c>
      <c r="W262" s="48" t="str">
        <f>IF(E262&lt;&gt;"", IF(W261&lt;&gt;"", E262*W261,""),"")</f>
        <v/>
      </c>
      <c r="X262" s="48" t="str">
        <f>IF(E262&lt;&gt;"", IF(X261&lt;&gt;"", E262*X261,""),"")</f>
        <v/>
      </c>
      <c r="Y262" s="48" t="str">
        <f>IF(E262&lt;&gt;"", IF(Y261&lt;&gt;"", E262*Y261,""),"")</f>
        <v/>
      </c>
      <c r="Z262" s="48" t="str">
        <f>IF(E262&lt;&gt;"", IF(Z261&lt;&gt;"", E262*Z261,""),"")</f>
        <v/>
      </c>
      <c r="AA262" s="22"/>
      <c r="AB262" s="22" t="str">
        <f>IF(E262&lt;&gt;"", IF(AB261&lt;&gt;"", E262*AB261, ""), "")</f>
        <v/>
      </c>
      <c r="AC262" s="22" t="str">
        <f>IF(E262&lt;&gt;"", IF(AC261&lt;&gt;"", E262*AC261, ""), "")</f>
        <v/>
      </c>
      <c r="AD262" s="22" t="str">
        <f>IF(E262&lt;&gt;"", IF(AD261&lt;&gt;"", E262*AD261, ""), "")</f>
        <v/>
      </c>
      <c r="AE262" s="22" t="str">
        <f>IF(E262&lt;&gt;"", IF(AE261&lt;&gt;"", E262*AE261, ""), "")</f>
        <v/>
      </c>
      <c r="AF262" s="22" t="str">
        <f>IF(E262&lt;&gt;"", IF(AF261&lt;&gt;"", E262*AF261, ""), "")</f>
        <v/>
      </c>
      <c r="AG262" s="22" t="str">
        <f>IF(E262&lt;&gt;"", IF(AG261&lt;&gt;"", E262*AG261, ""), "")</f>
        <v/>
      </c>
      <c r="AH262" s="22" t="str">
        <f>IF(E262&lt;&gt;"", IF(AH261&lt;&gt;"", E262*AH261, ""), "")</f>
        <v/>
      </c>
      <c r="AI262" s="22" t="str">
        <f>IF(E262&lt;&gt;"", IF(AI261&lt;&gt;"", E262*AI261, ""), "")</f>
        <v/>
      </c>
      <c r="AJ262" s="22" t="str">
        <f>IF(E262&lt;&gt;"", IF(AJ261&lt;&gt;"", E262*AJ261, ""), "")</f>
        <v/>
      </c>
      <c r="AK262" s="22" t="str">
        <f>IF(E262&lt;&gt;"", IF(AK261&lt;&gt;"", E262*AK261, ""), "")</f>
        <v/>
      </c>
      <c r="AL262" s="22" t="str">
        <f>IF(E262&lt;&gt;"", IF(AL261&lt;&gt;"", E262*AL261, ""), "")</f>
        <v/>
      </c>
      <c r="AM262" s="22" t="str">
        <f>IF(E262&lt;&gt;"", IF(AM261&lt;&gt;"", E262*AM261, ""), "")</f>
        <v/>
      </c>
      <c r="AN262" s="22" t="str">
        <f>IF(E262&lt;&gt;"", IF(AN261&lt;&gt;"", E262*AN261, ""), "")</f>
        <v/>
      </c>
      <c r="AO262" s="22" t="str">
        <f>IF(E262&lt;&gt;"", IF(AO261&lt;&gt;"", E262*AO261, ""), "")</f>
        <v/>
      </c>
      <c r="AP262" s="22" t="str">
        <f>IF(E262&lt;&gt;"", IF(AP261&lt;&gt;"", E262*AP261, ""), "")</f>
        <v/>
      </c>
      <c r="AQ262" s="22" t="str">
        <f>IF(E262&lt;&gt;"", IF(AQ261&lt;&gt;"", E262*AQ261, ""), "")</f>
        <v/>
      </c>
      <c r="AR262" s="22" t="str">
        <f>IF(E262&lt;&gt;"", IF(AR261&lt;&gt;"", E262*AR261, ""), "")</f>
        <v/>
      </c>
      <c r="AS262" s="22" t="str">
        <f>IF(E262&lt;&gt;"", IF(AS261&lt;&gt;"", E262*AS261, ""), "")</f>
        <v/>
      </c>
      <c r="AT262" s="22" t="str">
        <f>IF(E262&lt;&gt;"", IF(AT261&lt;&gt;"", E262*AT261, ""), "")</f>
        <v/>
      </c>
      <c r="AU262" s="22" t="str">
        <f>IF(E262&lt;&gt;"", IF(AU261&lt;&gt;"", E262*AU261, ""), "")</f>
        <v/>
      </c>
      <c r="AV262" s="22" t="str">
        <f>IF(E262&lt;&gt;"", IF(AV261&lt;&gt;"", E262*AV261, ""), "")</f>
        <v/>
      </c>
      <c r="AW262" s="22" t="str">
        <f>IF(E262&lt;&gt;"", IF(AW261&lt;&gt;"", E262*AW261, ""), "")</f>
        <v/>
      </c>
      <c r="AX262" s="22" t="str">
        <f>IF(E262&lt;&gt;"", IF(AX261&lt;&gt;"", E262*AX261, ""), "")</f>
        <v/>
      </c>
      <c r="AY262" s="22" t="str">
        <f>IF(E262&lt;&gt;"", IF(AY261&lt;&gt;"", E262*AY261, ""), "")</f>
        <v/>
      </c>
      <c r="AZ262" s="22" t="str">
        <f>IF(E262&lt;&gt;"", IF(AZ261&lt;&gt;"", E262*AZ261, ""), "")</f>
        <v/>
      </c>
      <c r="BA262" s="22" t="str">
        <f>IF(E262&lt;&gt;"", IF(BA261&lt;&gt;"", E262*BA261, ""), "")</f>
        <v/>
      </c>
      <c r="BB262" s="22" t="str">
        <f>IF(E262&lt;&gt;"", IF(BB261&lt;&gt;"", E262*BB261, ""), "")</f>
        <v/>
      </c>
      <c r="BC262" s="22" t="str">
        <f>IF(E262&lt;&gt;"", IF(BC261&lt;&gt;"", E262*BC261, ""), "")</f>
        <v/>
      </c>
      <c r="BD262" s="22" t="str">
        <f>IF(E262&lt;&gt;"", IF(BD261&lt;&gt;"", E262*BD261, ""), "")</f>
        <v/>
      </c>
      <c r="BE262" s="22" t="str">
        <f>IF(E262&lt;&gt;"", IF(BE261&lt;&gt;"", E262*BE261, ""), "")</f>
        <v/>
      </c>
      <c r="DZ262" s="18">
        <f>J262</f>
        <v>1</v>
      </c>
    </row>
    <row r="263" spans="1:130" ht="20.100000000000001" customHeight="1">
      <c r="A263" s="220">
        <v>11</v>
      </c>
      <c r="B263" s="7"/>
      <c r="C263" s="7"/>
      <c r="D263" s="5" t="s">
        <v>589</v>
      </c>
      <c r="E263" s="3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59"/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  <c r="AT263" s="59"/>
      <c r="AU263" s="59"/>
      <c r="AV263" s="59"/>
      <c r="AW263" s="59"/>
      <c r="AX263" s="59"/>
      <c r="AY263" s="59"/>
      <c r="AZ263" s="59"/>
      <c r="BA263" s="59"/>
      <c r="BB263" s="59"/>
      <c r="BC263" s="59"/>
      <c r="BD263" s="59"/>
      <c r="BE263" s="59"/>
    </row>
    <row r="264" spans="1:130" ht="20.100000000000001" customHeight="1">
      <c r="A264" s="221"/>
      <c r="B264" s="7"/>
      <c r="C264" s="7"/>
      <c r="D264" s="78">
        <v>3</v>
      </c>
      <c r="E264" s="47">
        <f>IF(egTextCal(D264)&lt;&gt;0, egTextCal(D264),"")</f>
        <v>3</v>
      </c>
      <c r="F264" s="48" t="str">
        <f>IF(E264&lt;&gt;"", IF(F263&lt;&gt;"", E264*F263,""),"")</f>
        <v/>
      </c>
      <c r="G264" s="48" t="str">
        <f>IF(E264&lt;&gt;"", IF(G263&lt;&gt;"", E264*G263,""),"")</f>
        <v/>
      </c>
      <c r="H264" s="48" t="str">
        <f>IF(E264&lt;&gt;"", IF(H263&lt;&gt;"", E264*H263,""),"")</f>
        <v/>
      </c>
      <c r="I264" s="48" t="str">
        <f>IF(E264&lt;&gt;"", IF(I263&lt;&gt;"", E264*I263,""),"")</f>
        <v/>
      </c>
      <c r="J264" s="48" t="str">
        <f>IF(E264&lt;&gt;"", IF(J263&lt;&gt;"", E264*J263,""),"")</f>
        <v/>
      </c>
      <c r="K264" s="48" t="str">
        <f>IF(E264&lt;&gt;"", IF(K263&lt;&gt;"", E264*K263,""),"")</f>
        <v/>
      </c>
      <c r="L264" s="48" t="str">
        <f>IF(E264&lt;&gt;"", IF(L263&lt;&gt;"", E264*L263,""),"")</f>
        <v/>
      </c>
      <c r="M264" s="48" t="str">
        <f>IF(E264&lt;&gt;"", IF(M263&lt;&gt;"", E264*M263,""),"")</f>
        <v/>
      </c>
      <c r="N264" s="48" t="str">
        <f>IF(E264&lt;&gt;"", IF(N263&lt;&gt;"", E264*N263,""),"")</f>
        <v/>
      </c>
      <c r="O264" s="48" t="str">
        <f>IF(E264&lt;&gt;"", IF(O263&lt;&gt;"", E264*O263,""),"")</f>
        <v/>
      </c>
      <c r="P264" s="48" t="str">
        <f>IF(E264&lt;&gt;"", IF(P263&lt;&gt;"", E264*P263,""),"")</f>
        <v/>
      </c>
      <c r="Q264" s="48" t="str">
        <f>IF(E264&lt;&gt;"", IF(Q263&lt;&gt;"", E264*Q263,""),"")</f>
        <v/>
      </c>
      <c r="R264" s="48" t="str">
        <f>IF(E264&lt;&gt;"", IF(R263&lt;&gt;"", E264*R263,""),"")</f>
        <v/>
      </c>
      <c r="S264" s="48" t="str">
        <f>IF(E264&lt;&gt;"", IF(S263&lt;&gt;"", E264*S263,""),"")</f>
        <v/>
      </c>
      <c r="T264" s="48" t="str">
        <f>IF(E264&lt;&gt;"", IF(T263&lt;&gt;"", E264*T263,""),"")</f>
        <v/>
      </c>
      <c r="U264" s="48" t="str">
        <f>IF(E264&lt;&gt;"", IF(U263&lt;&gt;"", E264*U263,""),"")</f>
        <v/>
      </c>
      <c r="V264" s="48" t="str">
        <f>IF(E264&lt;&gt;"", IF(V263&lt;&gt;"", E264*V263,""),"")</f>
        <v/>
      </c>
      <c r="W264" s="48" t="str">
        <f>IF(E264&lt;&gt;"", IF(W263&lt;&gt;"", E264*W263,""),"")</f>
        <v/>
      </c>
      <c r="X264" s="48" t="str">
        <f>IF(E264&lt;&gt;"", IF(X263&lt;&gt;"", E264*X263,""),"")</f>
        <v/>
      </c>
      <c r="Y264" s="48" t="str">
        <f>IF(E264&lt;&gt;"", IF(Y263&lt;&gt;"", E264*Y263,""),"")</f>
        <v/>
      </c>
      <c r="Z264" s="48" t="str">
        <f>IF(E264&lt;&gt;"", IF(Z263&lt;&gt;"", E264*Z263,""),"")</f>
        <v/>
      </c>
      <c r="AA264" s="22"/>
      <c r="AB264" s="22" t="str">
        <f>IF(E264&lt;&gt;"", IF(AB263&lt;&gt;"", E264*AB263, ""), "")</f>
        <v/>
      </c>
      <c r="AC264" s="22" t="str">
        <f>IF(E264&lt;&gt;"", IF(AC263&lt;&gt;"", E264*AC263, ""), "")</f>
        <v/>
      </c>
      <c r="AD264" s="22" t="str">
        <f>IF(E264&lt;&gt;"", IF(AD263&lt;&gt;"", E264*AD263, ""), "")</f>
        <v/>
      </c>
      <c r="AE264" s="22" t="str">
        <f>IF(E264&lt;&gt;"", IF(AE263&lt;&gt;"", E264*AE263, ""), "")</f>
        <v/>
      </c>
      <c r="AF264" s="22" t="str">
        <f>IF(E264&lt;&gt;"", IF(AF263&lt;&gt;"", E264*AF263, ""), "")</f>
        <v/>
      </c>
      <c r="AG264" s="22" t="str">
        <f>IF(E264&lt;&gt;"", IF(AG263&lt;&gt;"", E264*AG263, ""), "")</f>
        <v/>
      </c>
      <c r="AH264" s="22" t="str">
        <f>IF(E264&lt;&gt;"", IF(AH263&lt;&gt;"", E264*AH263, ""), "")</f>
        <v/>
      </c>
      <c r="AI264" s="22" t="str">
        <f>IF(E264&lt;&gt;"", IF(AI263&lt;&gt;"", E264*AI263, ""), "")</f>
        <v/>
      </c>
      <c r="AJ264" s="22" t="str">
        <f>IF(E264&lt;&gt;"", IF(AJ263&lt;&gt;"", E264*AJ263, ""), "")</f>
        <v/>
      </c>
      <c r="AK264" s="22" t="str">
        <f>IF(E264&lt;&gt;"", IF(AK263&lt;&gt;"", E264*AK263, ""), "")</f>
        <v/>
      </c>
      <c r="AL264" s="22" t="str">
        <f>IF(E264&lt;&gt;"", IF(AL263&lt;&gt;"", E264*AL263, ""), "")</f>
        <v/>
      </c>
      <c r="AM264" s="22" t="str">
        <f>IF(E264&lt;&gt;"", IF(AM263&lt;&gt;"", E264*AM263, ""), "")</f>
        <v/>
      </c>
      <c r="AN264" s="22" t="str">
        <f>IF(E264&lt;&gt;"", IF(AN263&lt;&gt;"", E264*AN263, ""), "")</f>
        <v/>
      </c>
      <c r="AO264" s="22" t="str">
        <f>IF(E264&lt;&gt;"", IF(AO263&lt;&gt;"", E264*AO263, ""), "")</f>
        <v/>
      </c>
      <c r="AP264" s="22" t="str">
        <f>IF(E264&lt;&gt;"", IF(AP263&lt;&gt;"", E264*AP263, ""), "")</f>
        <v/>
      </c>
      <c r="AQ264" s="22" t="str">
        <f>IF(E264&lt;&gt;"", IF(AQ263&lt;&gt;"", E264*AQ263, ""), "")</f>
        <v/>
      </c>
      <c r="AR264" s="22" t="str">
        <f>IF(E264&lt;&gt;"", IF(AR263&lt;&gt;"", E264*AR263, ""), "")</f>
        <v/>
      </c>
      <c r="AS264" s="22" t="str">
        <f>IF(E264&lt;&gt;"", IF(AS263&lt;&gt;"", E264*AS263, ""), "")</f>
        <v/>
      </c>
      <c r="AT264" s="22" t="str">
        <f>IF(E264&lt;&gt;"", IF(AT263&lt;&gt;"", E264*AT263, ""), "")</f>
        <v/>
      </c>
      <c r="AU264" s="22" t="str">
        <f>IF(E264&lt;&gt;"", IF(AU263&lt;&gt;"", E264*AU263, ""), "")</f>
        <v/>
      </c>
      <c r="AV264" s="22" t="str">
        <f>IF(E264&lt;&gt;"", IF(AV263&lt;&gt;"", E264*AV263, ""), "")</f>
        <v/>
      </c>
      <c r="AW264" s="22" t="str">
        <f>IF(E264&lt;&gt;"", IF(AW263&lt;&gt;"", E264*AW263, ""), "")</f>
        <v/>
      </c>
      <c r="AX264" s="22" t="str">
        <f>IF(E264&lt;&gt;"", IF(AX263&lt;&gt;"", E264*AX263, ""), "")</f>
        <v/>
      </c>
      <c r="AY264" s="22" t="str">
        <f>IF(E264&lt;&gt;"", IF(AY263&lt;&gt;"", E264*AY263, ""), "")</f>
        <v/>
      </c>
      <c r="AZ264" s="22" t="str">
        <f>IF(E264&lt;&gt;"", IF(AZ263&lt;&gt;"", E264*AZ263, ""), "")</f>
        <v/>
      </c>
      <c r="BA264" s="22" t="str">
        <f>IF(E264&lt;&gt;"", IF(BA263&lt;&gt;"", E264*BA263, ""), "")</f>
        <v/>
      </c>
      <c r="BB264" s="22" t="str">
        <f>IF(E264&lt;&gt;"", IF(BB263&lt;&gt;"", E264*BB263, ""), "")</f>
        <v/>
      </c>
      <c r="BC264" s="22" t="str">
        <f>IF(E264&lt;&gt;"", IF(BC263&lt;&gt;"", E264*BC263, ""), "")</f>
        <v/>
      </c>
      <c r="BD264" s="22" t="str">
        <f>IF(E264&lt;&gt;"", IF(BD263&lt;&gt;"", E264*BD263, ""), "")</f>
        <v/>
      </c>
      <c r="BE264" s="22" t="str">
        <f>IF(E264&lt;&gt;"", IF(BE263&lt;&gt;"", E264*BE263, ""), "")</f>
        <v/>
      </c>
    </row>
    <row r="265" spans="1:130" ht="20.100000000000001" customHeight="1">
      <c r="A265" s="220">
        <v>12</v>
      </c>
      <c r="B265" s="7"/>
      <c r="C265" s="7"/>
      <c r="D265" s="5" t="s">
        <v>295</v>
      </c>
      <c r="E265" s="3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59"/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59"/>
      <c r="AP265" s="59"/>
      <c r="AQ265" s="59"/>
      <c r="AR265" s="59"/>
      <c r="AS265" s="59"/>
      <c r="AT265" s="59"/>
      <c r="AU265" s="59"/>
      <c r="AV265" s="59"/>
      <c r="AW265" s="59"/>
      <c r="AX265" s="59"/>
      <c r="AY265" s="59"/>
      <c r="AZ265" s="59"/>
      <c r="BA265" s="59"/>
      <c r="BB265" s="59"/>
      <c r="BC265" s="59"/>
      <c r="BD265" s="59"/>
      <c r="BE265" s="59"/>
    </row>
    <row r="266" spans="1:130" ht="20.100000000000001" customHeight="1">
      <c r="A266" s="221"/>
      <c r="B266" s="7"/>
      <c r="C266" s="7"/>
      <c r="D266" s="78"/>
      <c r="E266" s="47" t="str">
        <f>IF(egTextCal(D266)&lt;&gt;0, egTextCal(D266),"")</f>
        <v/>
      </c>
      <c r="F266" s="48" t="str">
        <f>IF(E266&lt;&gt;"", IF(F265&lt;&gt;"", E266*F265,""),"")</f>
        <v/>
      </c>
      <c r="G266" s="48" t="str">
        <f>IF(E266&lt;&gt;"", IF(G265&lt;&gt;"", E266*G265,""),"")</f>
        <v/>
      </c>
      <c r="H266" s="48" t="str">
        <f>IF(E266&lt;&gt;"", IF(H265&lt;&gt;"", E266*H265,""),"")</f>
        <v/>
      </c>
      <c r="I266" s="48" t="str">
        <f>IF(E266&lt;&gt;"", IF(I265&lt;&gt;"", E266*I265,""),"")</f>
        <v/>
      </c>
      <c r="J266" s="48" t="str">
        <f>IF(E266&lt;&gt;"", IF(J265&lt;&gt;"", E266*J265,""),"")</f>
        <v/>
      </c>
      <c r="K266" s="48" t="str">
        <f>IF(E266&lt;&gt;"", IF(K265&lt;&gt;"", E266*K265,""),"")</f>
        <v/>
      </c>
      <c r="L266" s="48" t="str">
        <f>IF(E266&lt;&gt;"", IF(L265&lt;&gt;"", E266*L265,""),"")</f>
        <v/>
      </c>
      <c r="M266" s="48" t="str">
        <f>IF(E266&lt;&gt;"", IF(M265&lt;&gt;"", E266*M265,""),"")</f>
        <v/>
      </c>
      <c r="N266" s="48" t="str">
        <f>IF(E266&lt;&gt;"", IF(N265&lt;&gt;"", E266*N265,""),"")</f>
        <v/>
      </c>
      <c r="O266" s="48" t="str">
        <f>IF(E266&lt;&gt;"", IF(O265&lt;&gt;"", E266*O265,""),"")</f>
        <v/>
      </c>
      <c r="P266" s="48" t="str">
        <f>IF(E266&lt;&gt;"", IF(P265&lt;&gt;"", E266*P265,""),"")</f>
        <v/>
      </c>
      <c r="Q266" s="48" t="str">
        <f>IF(E266&lt;&gt;"", IF(Q265&lt;&gt;"", E266*Q265,""),"")</f>
        <v/>
      </c>
      <c r="R266" s="48" t="str">
        <f>IF(E266&lt;&gt;"", IF(R265&lt;&gt;"", E266*R265,""),"")</f>
        <v/>
      </c>
      <c r="S266" s="48" t="str">
        <f>IF(E266&lt;&gt;"", IF(S265&lt;&gt;"", E266*S265,""),"")</f>
        <v/>
      </c>
      <c r="T266" s="48" t="str">
        <f>IF(E266&lt;&gt;"", IF(T265&lt;&gt;"", E266*T265,""),"")</f>
        <v/>
      </c>
      <c r="U266" s="48" t="str">
        <f>IF(E266&lt;&gt;"", IF(U265&lt;&gt;"", E266*U265,""),"")</f>
        <v/>
      </c>
      <c r="V266" s="48" t="str">
        <f>IF(E266&lt;&gt;"", IF(V265&lt;&gt;"", E266*V265,""),"")</f>
        <v/>
      </c>
      <c r="W266" s="48" t="str">
        <f>IF(E266&lt;&gt;"", IF(W265&lt;&gt;"", E266*W265,""),"")</f>
        <v/>
      </c>
      <c r="X266" s="48" t="str">
        <f>IF(E266&lt;&gt;"", IF(X265&lt;&gt;"", E266*X265,""),"")</f>
        <v/>
      </c>
      <c r="Y266" s="48" t="str">
        <f>IF(E266&lt;&gt;"", IF(Y265&lt;&gt;"", E266*Y265,""),"")</f>
        <v/>
      </c>
      <c r="Z266" s="48" t="str">
        <f>IF(E266&lt;&gt;"", IF(Z265&lt;&gt;"", E266*Z265,""),"")</f>
        <v/>
      </c>
      <c r="AA266" s="22"/>
      <c r="AB266" s="22" t="str">
        <f>IF(E266&lt;&gt;"", IF(AB265&lt;&gt;"", E266*AB265, ""), "")</f>
        <v/>
      </c>
      <c r="AC266" s="22" t="str">
        <f>IF(E266&lt;&gt;"", IF(AC265&lt;&gt;"", E266*AC265, ""), "")</f>
        <v/>
      </c>
      <c r="AD266" s="22" t="str">
        <f>IF(E266&lt;&gt;"", IF(AD265&lt;&gt;"", E266*AD265, ""), "")</f>
        <v/>
      </c>
      <c r="AE266" s="22" t="str">
        <f>IF(E266&lt;&gt;"", IF(AE265&lt;&gt;"", E266*AE265, ""), "")</f>
        <v/>
      </c>
      <c r="AF266" s="22" t="str">
        <f>IF(E266&lt;&gt;"", IF(AF265&lt;&gt;"", E266*AF265, ""), "")</f>
        <v/>
      </c>
      <c r="AG266" s="22" t="str">
        <f>IF(E266&lt;&gt;"", IF(AG265&lt;&gt;"", E266*AG265, ""), "")</f>
        <v/>
      </c>
      <c r="AH266" s="22" t="str">
        <f>IF(E266&lt;&gt;"", IF(AH265&lt;&gt;"", E266*AH265, ""), "")</f>
        <v/>
      </c>
      <c r="AI266" s="22" t="str">
        <f>IF(E266&lt;&gt;"", IF(AI265&lt;&gt;"", E266*AI265, ""), "")</f>
        <v/>
      </c>
      <c r="AJ266" s="22" t="str">
        <f>IF(E266&lt;&gt;"", IF(AJ265&lt;&gt;"", E266*AJ265, ""), "")</f>
        <v/>
      </c>
      <c r="AK266" s="22" t="str">
        <f>IF(E266&lt;&gt;"", IF(AK265&lt;&gt;"", E266*AK265, ""), "")</f>
        <v/>
      </c>
      <c r="AL266" s="22" t="str">
        <f>IF(E266&lt;&gt;"", IF(AL265&lt;&gt;"", E266*AL265, ""), "")</f>
        <v/>
      </c>
      <c r="AM266" s="22" t="str">
        <f>IF(E266&lt;&gt;"", IF(AM265&lt;&gt;"", E266*AM265, ""), "")</f>
        <v/>
      </c>
      <c r="AN266" s="22" t="str">
        <f>IF(E266&lt;&gt;"", IF(AN265&lt;&gt;"", E266*AN265, ""), "")</f>
        <v/>
      </c>
      <c r="AO266" s="22" t="str">
        <f>IF(E266&lt;&gt;"", IF(AO265&lt;&gt;"", E266*AO265, ""), "")</f>
        <v/>
      </c>
      <c r="AP266" s="22" t="str">
        <f>IF(E266&lt;&gt;"", IF(AP265&lt;&gt;"", E266*AP265, ""), "")</f>
        <v/>
      </c>
      <c r="AQ266" s="22" t="str">
        <f>IF(E266&lt;&gt;"", IF(AQ265&lt;&gt;"", E266*AQ265, ""), "")</f>
        <v/>
      </c>
      <c r="AR266" s="22" t="str">
        <f>IF(E266&lt;&gt;"", IF(AR265&lt;&gt;"", E266*AR265, ""), "")</f>
        <v/>
      </c>
      <c r="AS266" s="22" t="str">
        <f>IF(E266&lt;&gt;"", IF(AS265&lt;&gt;"", E266*AS265, ""), "")</f>
        <v/>
      </c>
      <c r="AT266" s="22" t="str">
        <f>IF(E266&lt;&gt;"", IF(AT265&lt;&gt;"", E266*AT265, ""), "")</f>
        <v/>
      </c>
      <c r="AU266" s="22" t="str">
        <f>IF(E266&lt;&gt;"", IF(AU265&lt;&gt;"", E266*AU265, ""), "")</f>
        <v/>
      </c>
      <c r="AV266" s="22" t="str">
        <f>IF(E266&lt;&gt;"", IF(AV265&lt;&gt;"", E266*AV265, ""), "")</f>
        <v/>
      </c>
      <c r="AW266" s="22" t="str">
        <f>IF(E266&lt;&gt;"", IF(AW265&lt;&gt;"", E266*AW265, ""), "")</f>
        <v/>
      </c>
      <c r="AX266" s="22" t="str">
        <f>IF(E266&lt;&gt;"", IF(AX265&lt;&gt;"", E266*AX265, ""), "")</f>
        <v/>
      </c>
      <c r="AY266" s="22" t="str">
        <f>IF(E266&lt;&gt;"", IF(AY265&lt;&gt;"", E266*AY265, ""), "")</f>
        <v/>
      </c>
      <c r="AZ266" s="22" t="str">
        <f>IF(E266&lt;&gt;"", IF(AZ265&lt;&gt;"", E266*AZ265, ""), "")</f>
        <v/>
      </c>
      <c r="BA266" s="22" t="str">
        <f>IF(E266&lt;&gt;"", IF(BA265&lt;&gt;"", E266*BA265, ""), "")</f>
        <v/>
      </c>
      <c r="BB266" s="22" t="str">
        <f>IF(E266&lt;&gt;"", IF(BB265&lt;&gt;"", E266*BB265, ""), "")</f>
        <v/>
      </c>
      <c r="BC266" s="22" t="str">
        <f>IF(E266&lt;&gt;"", IF(BC265&lt;&gt;"", E266*BC265, ""), "")</f>
        <v/>
      </c>
      <c r="BD266" s="22" t="str">
        <f>IF(E266&lt;&gt;"", IF(BD265&lt;&gt;"", E266*BD265, ""), "")</f>
        <v/>
      </c>
      <c r="BE266" s="22" t="str">
        <f>IF(E266&lt;&gt;"", IF(BE265&lt;&gt;"", E266*BE265, ""), "")</f>
        <v/>
      </c>
    </row>
    <row r="267" spans="1:130" ht="20.100000000000001" customHeight="1">
      <c r="A267" s="220">
        <v>13</v>
      </c>
      <c r="B267" s="7"/>
      <c r="C267" s="7"/>
      <c r="D267" s="5" t="s">
        <v>239</v>
      </c>
      <c r="E267" s="3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  <c r="AQ267" s="59"/>
      <c r="AR267" s="59"/>
      <c r="AS267" s="59"/>
      <c r="AT267" s="59"/>
      <c r="AU267" s="59"/>
      <c r="AV267" s="59"/>
      <c r="AW267" s="59"/>
      <c r="AX267" s="59"/>
      <c r="AY267" s="59"/>
      <c r="AZ267" s="59"/>
      <c r="BA267" s="59"/>
      <c r="BB267" s="59"/>
      <c r="BC267" s="59"/>
      <c r="BD267" s="59"/>
      <c r="BE267" s="59"/>
    </row>
    <row r="268" spans="1:130" ht="20.100000000000001" customHeight="1">
      <c r="A268" s="221"/>
      <c r="B268" s="7"/>
      <c r="C268" s="7"/>
      <c r="D268" s="78" t="s">
        <v>296</v>
      </c>
      <c r="E268" s="47">
        <f>IF(egTextCal(D268)&lt;&gt;0, egTextCal(D268),"")</f>
        <v>26</v>
      </c>
      <c r="F268" s="48" t="str">
        <f>IF(E268&lt;&gt;"", IF(F267&lt;&gt;"", E268*F267,""),"")</f>
        <v/>
      </c>
      <c r="G268" s="48" t="str">
        <f>IF(E268&lt;&gt;"", IF(G267&lt;&gt;"", E268*G267,""),"")</f>
        <v/>
      </c>
      <c r="H268" s="48" t="str">
        <f>IF(E268&lt;&gt;"", IF(H267&lt;&gt;"", E268*H267,""),"")</f>
        <v/>
      </c>
      <c r="I268" s="48" t="str">
        <f>IF(E268&lt;&gt;"", IF(I267&lt;&gt;"", E268*I267,""),"")</f>
        <v/>
      </c>
      <c r="J268" s="48" t="str">
        <f>IF(E268&lt;&gt;"", IF(J267&lt;&gt;"", E268*J267,""),"")</f>
        <v/>
      </c>
      <c r="K268" s="48" t="str">
        <f>IF(E268&lt;&gt;"", IF(K267&lt;&gt;"", E268*K267,""),"")</f>
        <v/>
      </c>
      <c r="L268" s="48" t="str">
        <f>IF(E268&lt;&gt;"", IF(L267&lt;&gt;"", E268*L267,""),"")</f>
        <v/>
      </c>
      <c r="M268" s="48" t="str">
        <f>IF(E268&lt;&gt;"", IF(M267&lt;&gt;"", E268*M267,""),"")</f>
        <v/>
      </c>
      <c r="N268" s="48" t="str">
        <f>IF(E268&lt;&gt;"", IF(N267&lt;&gt;"", E268*N267,""),"")</f>
        <v/>
      </c>
      <c r="O268" s="48" t="str">
        <f>IF(E268&lt;&gt;"", IF(O267&lt;&gt;"", E268*O267,""),"")</f>
        <v/>
      </c>
      <c r="P268" s="48" t="str">
        <f>IF(E268&lt;&gt;"", IF(P267&lt;&gt;"", E268*P267,""),"")</f>
        <v/>
      </c>
      <c r="Q268" s="48" t="str">
        <f>IF(E268&lt;&gt;"", IF(Q267&lt;&gt;"", E268*Q267,""),"")</f>
        <v/>
      </c>
      <c r="R268" s="48" t="str">
        <f>IF(E268&lt;&gt;"", IF(R267&lt;&gt;"", E268*R267,""),"")</f>
        <v/>
      </c>
      <c r="S268" s="48" t="str">
        <f>IF(E268&lt;&gt;"", IF(S267&lt;&gt;"", E268*S267,""),"")</f>
        <v/>
      </c>
      <c r="T268" s="48" t="str">
        <f>IF(E268&lt;&gt;"", IF(T267&lt;&gt;"", E268*T267,""),"")</f>
        <v/>
      </c>
      <c r="U268" s="48" t="str">
        <f>IF(E268&lt;&gt;"", IF(U267&lt;&gt;"", E268*U267,""),"")</f>
        <v/>
      </c>
      <c r="V268" s="48" t="str">
        <f>IF(E268&lt;&gt;"", IF(V267&lt;&gt;"", E268*V267,""),"")</f>
        <v/>
      </c>
      <c r="W268" s="48" t="str">
        <f>IF(E268&lt;&gt;"", IF(W267&lt;&gt;"", E268*W267,""),"")</f>
        <v/>
      </c>
      <c r="X268" s="48" t="str">
        <f>IF(E268&lt;&gt;"", IF(X267&lt;&gt;"", E268*X267,""),"")</f>
        <v/>
      </c>
      <c r="Y268" s="48" t="str">
        <f>IF(E268&lt;&gt;"", IF(Y267&lt;&gt;"", E268*Y267,""),"")</f>
        <v/>
      </c>
      <c r="Z268" s="48" t="str">
        <f>IF(E268&lt;&gt;"", IF(Z267&lt;&gt;"", E268*Z267,""),"")</f>
        <v/>
      </c>
      <c r="AA268" s="22"/>
      <c r="AB268" s="22" t="str">
        <f>IF(E268&lt;&gt;"", IF(AB267&lt;&gt;"", E268*AB267, ""), "")</f>
        <v/>
      </c>
      <c r="AC268" s="22" t="str">
        <f>IF(E268&lt;&gt;"", IF(AC267&lt;&gt;"", E268*AC267, ""), "")</f>
        <v/>
      </c>
      <c r="AD268" s="22" t="str">
        <f>IF(E268&lt;&gt;"", IF(AD267&lt;&gt;"", E268*AD267, ""), "")</f>
        <v/>
      </c>
      <c r="AE268" s="22" t="str">
        <f>IF(E268&lt;&gt;"", IF(AE267&lt;&gt;"", E268*AE267, ""), "")</f>
        <v/>
      </c>
      <c r="AF268" s="22" t="str">
        <f>IF(E268&lt;&gt;"", IF(AF267&lt;&gt;"", E268*AF267, ""), "")</f>
        <v/>
      </c>
      <c r="AG268" s="22" t="str">
        <f>IF(E268&lt;&gt;"", IF(AG267&lt;&gt;"", E268*AG267, ""), "")</f>
        <v/>
      </c>
      <c r="AH268" s="22" t="str">
        <f>IF(E268&lt;&gt;"", IF(AH267&lt;&gt;"", E268*AH267, ""), "")</f>
        <v/>
      </c>
      <c r="AI268" s="22" t="str">
        <f>IF(E268&lt;&gt;"", IF(AI267&lt;&gt;"", E268*AI267, ""), "")</f>
        <v/>
      </c>
      <c r="AJ268" s="22" t="str">
        <f>IF(E268&lt;&gt;"", IF(AJ267&lt;&gt;"", E268*AJ267, ""), "")</f>
        <v/>
      </c>
      <c r="AK268" s="22" t="str">
        <f>IF(E268&lt;&gt;"", IF(AK267&lt;&gt;"", E268*AK267, ""), "")</f>
        <v/>
      </c>
      <c r="AL268" s="22" t="str">
        <f>IF(E268&lt;&gt;"", IF(AL267&lt;&gt;"", E268*AL267, ""), "")</f>
        <v/>
      </c>
      <c r="AM268" s="22" t="str">
        <f>IF(E268&lt;&gt;"", IF(AM267&lt;&gt;"", E268*AM267, ""), "")</f>
        <v/>
      </c>
      <c r="AN268" s="22" t="str">
        <f>IF(E268&lt;&gt;"", IF(AN267&lt;&gt;"", E268*AN267, ""), "")</f>
        <v/>
      </c>
      <c r="AO268" s="22" t="str">
        <f>IF(E268&lt;&gt;"", IF(AO267&lt;&gt;"", E268*AO267, ""), "")</f>
        <v/>
      </c>
      <c r="AP268" s="22" t="str">
        <f>IF(E268&lt;&gt;"", IF(AP267&lt;&gt;"", E268*AP267, ""), "")</f>
        <v/>
      </c>
      <c r="AQ268" s="22" t="str">
        <f>IF(E268&lt;&gt;"", IF(AQ267&lt;&gt;"", E268*AQ267, ""), "")</f>
        <v/>
      </c>
      <c r="AR268" s="22" t="str">
        <f>IF(E268&lt;&gt;"", IF(AR267&lt;&gt;"", E268*AR267, ""), "")</f>
        <v/>
      </c>
      <c r="AS268" s="22" t="str">
        <f>IF(E268&lt;&gt;"", IF(AS267&lt;&gt;"", E268*AS267, ""), "")</f>
        <v/>
      </c>
      <c r="AT268" s="22" t="str">
        <f>IF(E268&lt;&gt;"", IF(AT267&lt;&gt;"", E268*AT267, ""), "")</f>
        <v/>
      </c>
      <c r="AU268" s="22" t="str">
        <f>IF(E268&lt;&gt;"", IF(AU267&lt;&gt;"", E268*AU267, ""), "")</f>
        <v/>
      </c>
      <c r="AV268" s="22" t="str">
        <f>IF(E268&lt;&gt;"", IF(AV267&lt;&gt;"", E268*AV267, ""), "")</f>
        <v/>
      </c>
      <c r="AW268" s="22" t="str">
        <f>IF(E268&lt;&gt;"", IF(AW267&lt;&gt;"", E268*AW267, ""), "")</f>
        <v/>
      </c>
      <c r="AX268" s="22" t="str">
        <f>IF(E268&lt;&gt;"", IF(AX267&lt;&gt;"", E268*AX267, ""), "")</f>
        <v/>
      </c>
      <c r="AY268" s="22" t="str">
        <f>IF(E268&lt;&gt;"", IF(AY267&lt;&gt;"", E268*AY267, ""), "")</f>
        <v/>
      </c>
      <c r="AZ268" s="22" t="str">
        <f>IF(E268&lt;&gt;"", IF(AZ267&lt;&gt;"", E268*AZ267, ""), "")</f>
        <v/>
      </c>
      <c r="BA268" s="22" t="str">
        <f>IF(E268&lt;&gt;"", IF(BA267&lt;&gt;"", E268*BA267, ""), "")</f>
        <v/>
      </c>
      <c r="BB268" s="22" t="str">
        <f>IF(E268&lt;&gt;"", IF(BB267&lt;&gt;"", E268*BB267, ""), "")</f>
        <v/>
      </c>
      <c r="BC268" s="22" t="str">
        <f>IF(E268&lt;&gt;"", IF(BC267&lt;&gt;"", E268*BC267, ""), "")</f>
        <v/>
      </c>
      <c r="BD268" s="22" t="str">
        <f>IF(E268&lt;&gt;"", IF(BD267&lt;&gt;"", E268*BD267, ""), "")</f>
        <v/>
      </c>
      <c r="BE268" s="22" t="str">
        <f>IF(E268&lt;&gt;"", IF(BE267&lt;&gt;"", E268*BE267, ""), "")</f>
        <v/>
      </c>
    </row>
    <row r="269" spans="1:130" ht="20.100000000000001" customHeight="1">
      <c r="A269" s="220">
        <v>14</v>
      </c>
      <c r="B269" s="7"/>
      <c r="C269" s="7"/>
      <c r="D269" s="5" t="s">
        <v>241</v>
      </c>
      <c r="E269" s="3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59"/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  <c r="AQ269" s="59"/>
      <c r="AR269" s="59"/>
      <c r="AS269" s="59"/>
      <c r="AT269" s="59"/>
      <c r="AU269" s="59"/>
      <c r="AV269" s="59"/>
      <c r="AW269" s="59"/>
      <c r="AX269" s="59"/>
      <c r="AY269" s="59"/>
      <c r="AZ269" s="59"/>
      <c r="BA269" s="59"/>
      <c r="BB269" s="59"/>
      <c r="BC269" s="59"/>
      <c r="BD269" s="59"/>
      <c r="BE269" s="59"/>
    </row>
    <row r="270" spans="1:130" ht="20.100000000000001" customHeight="1">
      <c r="A270" s="221"/>
      <c r="B270" s="7"/>
      <c r="C270" s="7"/>
      <c r="D270" s="78" t="s">
        <v>297</v>
      </c>
      <c r="E270" s="47">
        <f>IF(egTextCal(D270)&lt;&gt;0, egTextCal(D270),"")</f>
        <v>57</v>
      </c>
      <c r="F270" s="48" t="str">
        <f>IF(E270&lt;&gt;"", IF(F269&lt;&gt;"", E270*F269,""),"")</f>
        <v/>
      </c>
      <c r="G270" s="48" t="str">
        <f>IF(E270&lt;&gt;"", IF(G269&lt;&gt;"", E270*G269,""),"")</f>
        <v/>
      </c>
      <c r="H270" s="48" t="str">
        <f>IF(E270&lt;&gt;"", IF(H269&lt;&gt;"", E270*H269,""),"")</f>
        <v/>
      </c>
      <c r="I270" s="48" t="str">
        <f>IF(E270&lt;&gt;"", IF(I269&lt;&gt;"", E270*I269,""),"")</f>
        <v/>
      </c>
      <c r="J270" s="48" t="str">
        <f>IF(E270&lt;&gt;"", IF(J269&lt;&gt;"", E270*J269,""),"")</f>
        <v/>
      </c>
      <c r="K270" s="48" t="str">
        <f>IF(E270&lt;&gt;"", IF(K269&lt;&gt;"", E270*K269,""),"")</f>
        <v/>
      </c>
      <c r="L270" s="48" t="str">
        <f>IF(E270&lt;&gt;"", IF(L269&lt;&gt;"", E270*L269,""),"")</f>
        <v/>
      </c>
      <c r="M270" s="48" t="str">
        <f>IF(E270&lt;&gt;"", IF(M269&lt;&gt;"", E270*M269,""),"")</f>
        <v/>
      </c>
      <c r="N270" s="48" t="str">
        <f>IF(E270&lt;&gt;"", IF(N269&lt;&gt;"", E270*N269,""),"")</f>
        <v/>
      </c>
      <c r="O270" s="48" t="str">
        <f>IF(E270&lt;&gt;"", IF(O269&lt;&gt;"", E270*O269,""),"")</f>
        <v/>
      </c>
      <c r="P270" s="48" t="str">
        <f>IF(E270&lt;&gt;"", IF(P269&lt;&gt;"", E270*P269,""),"")</f>
        <v/>
      </c>
      <c r="Q270" s="48" t="str">
        <f>IF(E270&lt;&gt;"", IF(Q269&lt;&gt;"", E270*Q269,""),"")</f>
        <v/>
      </c>
      <c r="R270" s="48" t="str">
        <f>IF(E270&lt;&gt;"", IF(R269&lt;&gt;"", E270*R269,""),"")</f>
        <v/>
      </c>
      <c r="S270" s="48" t="str">
        <f>IF(E270&lt;&gt;"", IF(S269&lt;&gt;"", E270*S269,""),"")</f>
        <v/>
      </c>
      <c r="T270" s="48" t="str">
        <f>IF(E270&lt;&gt;"", IF(T269&lt;&gt;"", E270*T269,""),"")</f>
        <v/>
      </c>
      <c r="U270" s="48" t="str">
        <f>IF(E270&lt;&gt;"", IF(U269&lt;&gt;"", E270*U269,""),"")</f>
        <v/>
      </c>
      <c r="V270" s="48" t="str">
        <f>IF(E270&lt;&gt;"", IF(V269&lt;&gt;"", E270*V269,""),"")</f>
        <v/>
      </c>
      <c r="W270" s="48" t="str">
        <f>IF(E270&lt;&gt;"", IF(W269&lt;&gt;"", E270*W269,""),"")</f>
        <v/>
      </c>
      <c r="X270" s="48" t="str">
        <f>IF(E270&lt;&gt;"", IF(X269&lt;&gt;"", E270*X269,""),"")</f>
        <v/>
      </c>
      <c r="Y270" s="48" t="str">
        <f>IF(E270&lt;&gt;"", IF(Y269&lt;&gt;"", E270*Y269,""),"")</f>
        <v/>
      </c>
      <c r="Z270" s="48" t="str">
        <f>IF(E270&lt;&gt;"", IF(Z269&lt;&gt;"", E270*Z269,""),"")</f>
        <v/>
      </c>
      <c r="AA270" s="22"/>
      <c r="AB270" s="22" t="str">
        <f>IF(E270&lt;&gt;"", IF(AB269&lt;&gt;"", E270*AB269, ""), "")</f>
        <v/>
      </c>
      <c r="AC270" s="22" t="str">
        <f>IF(E270&lt;&gt;"", IF(AC269&lt;&gt;"", E270*AC269, ""), "")</f>
        <v/>
      </c>
      <c r="AD270" s="22" t="str">
        <f>IF(E270&lt;&gt;"", IF(AD269&lt;&gt;"", E270*AD269, ""), "")</f>
        <v/>
      </c>
      <c r="AE270" s="22" t="str">
        <f>IF(E270&lt;&gt;"", IF(AE269&lt;&gt;"", E270*AE269, ""), "")</f>
        <v/>
      </c>
      <c r="AF270" s="22" t="str">
        <f>IF(E270&lt;&gt;"", IF(AF269&lt;&gt;"", E270*AF269, ""), "")</f>
        <v/>
      </c>
      <c r="AG270" s="22" t="str">
        <f>IF(E270&lt;&gt;"", IF(AG269&lt;&gt;"", E270*AG269, ""), "")</f>
        <v/>
      </c>
      <c r="AH270" s="22" t="str">
        <f>IF(E270&lt;&gt;"", IF(AH269&lt;&gt;"", E270*AH269, ""), "")</f>
        <v/>
      </c>
      <c r="AI270" s="22" t="str">
        <f>IF(E270&lt;&gt;"", IF(AI269&lt;&gt;"", E270*AI269, ""), "")</f>
        <v/>
      </c>
      <c r="AJ270" s="22" t="str">
        <f>IF(E270&lt;&gt;"", IF(AJ269&lt;&gt;"", E270*AJ269, ""), "")</f>
        <v/>
      </c>
      <c r="AK270" s="22" t="str">
        <f>IF(E270&lt;&gt;"", IF(AK269&lt;&gt;"", E270*AK269, ""), "")</f>
        <v/>
      </c>
      <c r="AL270" s="22" t="str">
        <f>IF(E270&lt;&gt;"", IF(AL269&lt;&gt;"", E270*AL269, ""), "")</f>
        <v/>
      </c>
      <c r="AM270" s="22" t="str">
        <f>IF(E270&lt;&gt;"", IF(AM269&lt;&gt;"", E270*AM269, ""), "")</f>
        <v/>
      </c>
      <c r="AN270" s="22" t="str">
        <f>IF(E270&lt;&gt;"", IF(AN269&lt;&gt;"", E270*AN269, ""), "")</f>
        <v/>
      </c>
      <c r="AO270" s="22" t="str">
        <f>IF(E270&lt;&gt;"", IF(AO269&lt;&gt;"", E270*AO269, ""), "")</f>
        <v/>
      </c>
      <c r="AP270" s="22" t="str">
        <f>IF(E270&lt;&gt;"", IF(AP269&lt;&gt;"", E270*AP269, ""), "")</f>
        <v/>
      </c>
      <c r="AQ270" s="22" t="str">
        <f>IF(E270&lt;&gt;"", IF(AQ269&lt;&gt;"", E270*AQ269, ""), "")</f>
        <v/>
      </c>
      <c r="AR270" s="22" t="str">
        <f>IF(E270&lt;&gt;"", IF(AR269&lt;&gt;"", E270*AR269, ""), "")</f>
        <v/>
      </c>
      <c r="AS270" s="22" t="str">
        <f>IF(E270&lt;&gt;"", IF(AS269&lt;&gt;"", E270*AS269, ""), "")</f>
        <v/>
      </c>
      <c r="AT270" s="22" t="str">
        <f>IF(E270&lt;&gt;"", IF(AT269&lt;&gt;"", E270*AT269, ""), "")</f>
        <v/>
      </c>
      <c r="AU270" s="22" t="str">
        <f>IF(E270&lt;&gt;"", IF(AU269&lt;&gt;"", E270*AU269, ""), "")</f>
        <v/>
      </c>
      <c r="AV270" s="22" t="str">
        <f>IF(E270&lt;&gt;"", IF(AV269&lt;&gt;"", E270*AV269, ""), "")</f>
        <v/>
      </c>
      <c r="AW270" s="22" t="str">
        <f>IF(E270&lt;&gt;"", IF(AW269&lt;&gt;"", E270*AW269, ""), "")</f>
        <v/>
      </c>
      <c r="AX270" s="22" t="str">
        <f>IF(E270&lt;&gt;"", IF(AX269&lt;&gt;"", E270*AX269, ""), "")</f>
        <v/>
      </c>
      <c r="AY270" s="22" t="str">
        <f>IF(E270&lt;&gt;"", IF(AY269&lt;&gt;"", E270*AY269, ""), "")</f>
        <v/>
      </c>
      <c r="AZ270" s="22" t="str">
        <f>IF(E270&lt;&gt;"", IF(AZ269&lt;&gt;"", E270*AZ269, ""), "")</f>
        <v/>
      </c>
      <c r="BA270" s="22" t="str">
        <f>IF(E270&lt;&gt;"", IF(BA269&lt;&gt;"", E270*BA269, ""), "")</f>
        <v/>
      </c>
      <c r="BB270" s="22" t="str">
        <f>IF(E270&lt;&gt;"", IF(BB269&lt;&gt;"", E270*BB269, ""), "")</f>
        <v/>
      </c>
      <c r="BC270" s="22" t="str">
        <f>IF(E270&lt;&gt;"", IF(BC269&lt;&gt;"", E270*BC269, ""), "")</f>
        <v/>
      </c>
      <c r="BD270" s="22" t="str">
        <f>IF(E270&lt;&gt;"", IF(BD269&lt;&gt;"", E270*BD269, ""), "")</f>
        <v/>
      </c>
      <c r="BE270" s="22" t="str">
        <f>IF(E270&lt;&gt;"", IF(BE269&lt;&gt;"", E270*BE269, ""), "")</f>
        <v/>
      </c>
    </row>
    <row r="271" spans="1:130" ht="20.100000000000001" customHeight="1">
      <c r="A271" s="220">
        <v>15</v>
      </c>
      <c r="B271" s="7"/>
      <c r="C271" s="7"/>
      <c r="D271" s="5" t="s">
        <v>287</v>
      </c>
      <c r="E271" s="3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  <c r="AT271" s="59"/>
      <c r="AU271" s="59"/>
      <c r="AV271" s="59"/>
      <c r="AW271" s="59"/>
      <c r="AX271" s="59"/>
      <c r="AY271" s="59"/>
      <c r="AZ271" s="59"/>
      <c r="BA271" s="59"/>
      <c r="BB271" s="59"/>
      <c r="BC271" s="59"/>
      <c r="BD271" s="59"/>
      <c r="BE271" s="59"/>
    </row>
    <row r="272" spans="1:130" ht="20.100000000000001" customHeight="1">
      <c r="A272" s="221"/>
      <c r="B272" s="7"/>
      <c r="C272" s="7"/>
      <c r="D272" s="78">
        <v>1</v>
      </c>
      <c r="E272" s="47">
        <f>IF(egTextCal(D272)&lt;&gt;0, egTextCal(D272),"")</f>
        <v>1</v>
      </c>
      <c r="F272" s="48" t="str">
        <f>IF(E272&lt;&gt;"", IF(F271&lt;&gt;"", E272*F271,""),"")</f>
        <v/>
      </c>
      <c r="G272" s="48" t="str">
        <f>IF(E272&lt;&gt;"", IF(G271&lt;&gt;"", E272*G271,""),"")</f>
        <v/>
      </c>
      <c r="H272" s="48" t="str">
        <f>IF(E272&lt;&gt;"", IF(H271&lt;&gt;"", E272*H271,""),"")</f>
        <v/>
      </c>
      <c r="I272" s="48" t="str">
        <f>IF(E272&lt;&gt;"", IF(I271&lt;&gt;"", E272*I271,""),"")</f>
        <v/>
      </c>
      <c r="J272" s="48" t="str">
        <f>IF(E272&lt;&gt;"", IF(J271&lt;&gt;"", E272*J271,""),"")</f>
        <v/>
      </c>
      <c r="K272" s="48" t="str">
        <f>IF(E272&lt;&gt;"", IF(K271&lt;&gt;"", E272*K271,""),"")</f>
        <v/>
      </c>
      <c r="L272" s="48" t="str">
        <f>IF(E272&lt;&gt;"", IF(L271&lt;&gt;"", E272*L271,""),"")</f>
        <v/>
      </c>
      <c r="M272" s="48" t="str">
        <f>IF(E272&lt;&gt;"", IF(M271&lt;&gt;"", E272*M271,""),"")</f>
        <v/>
      </c>
      <c r="N272" s="48" t="str">
        <f>IF(E272&lt;&gt;"", IF(N271&lt;&gt;"", E272*N271,""),"")</f>
        <v/>
      </c>
      <c r="O272" s="48" t="str">
        <f>IF(E272&lt;&gt;"", IF(O271&lt;&gt;"", E272*O271,""),"")</f>
        <v/>
      </c>
      <c r="P272" s="48" t="str">
        <f>IF(E272&lt;&gt;"", IF(P271&lt;&gt;"", E272*P271,""),"")</f>
        <v/>
      </c>
      <c r="Q272" s="48" t="str">
        <f>IF(E272&lt;&gt;"", IF(Q271&lt;&gt;"", E272*Q271,""),"")</f>
        <v/>
      </c>
      <c r="R272" s="48" t="str">
        <f>IF(E272&lt;&gt;"", IF(R271&lt;&gt;"", E272*R271,""),"")</f>
        <v/>
      </c>
      <c r="S272" s="48" t="str">
        <f>IF(E272&lt;&gt;"", IF(S271&lt;&gt;"", E272*S271,""),"")</f>
        <v/>
      </c>
      <c r="T272" s="48" t="str">
        <f>IF(E272&lt;&gt;"", IF(T271&lt;&gt;"", E272*T271,""),"")</f>
        <v/>
      </c>
      <c r="U272" s="48" t="str">
        <f>IF(E272&lt;&gt;"", IF(U271&lt;&gt;"", E272*U271,""),"")</f>
        <v/>
      </c>
      <c r="V272" s="48" t="str">
        <f>IF(E272&lt;&gt;"", IF(V271&lt;&gt;"", E272*V271,""),"")</f>
        <v/>
      </c>
      <c r="W272" s="48" t="str">
        <f>IF(E272&lt;&gt;"", IF(W271&lt;&gt;"", E272*W271,""),"")</f>
        <v/>
      </c>
      <c r="X272" s="48" t="str">
        <f>IF(E272&lt;&gt;"", IF(X271&lt;&gt;"", E272*X271,""),"")</f>
        <v/>
      </c>
      <c r="Y272" s="48" t="str">
        <f>IF(E272&lt;&gt;"", IF(Y271&lt;&gt;"", E272*Y271,""),"")</f>
        <v/>
      </c>
      <c r="Z272" s="48" t="str">
        <f>IF(E272&lt;&gt;"", IF(Z271&lt;&gt;"", E272*Z271,""),"")</f>
        <v/>
      </c>
      <c r="AA272" s="22"/>
      <c r="AB272" s="22" t="str">
        <f>IF(E272&lt;&gt;"", IF(AB271&lt;&gt;"", E272*AB271, ""), "")</f>
        <v/>
      </c>
      <c r="AC272" s="22" t="str">
        <f>IF(E272&lt;&gt;"", IF(AC271&lt;&gt;"", E272*AC271, ""), "")</f>
        <v/>
      </c>
      <c r="AD272" s="22" t="str">
        <f>IF(E272&lt;&gt;"", IF(AD271&lt;&gt;"", E272*AD271, ""), "")</f>
        <v/>
      </c>
      <c r="AE272" s="22" t="str">
        <f>IF(E272&lt;&gt;"", IF(AE271&lt;&gt;"", E272*AE271, ""), "")</f>
        <v/>
      </c>
      <c r="AF272" s="22" t="str">
        <f>IF(E272&lt;&gt;"", IF(AF271&lt;&gt;"", E272*AF271, ""), "")</f>
        <v/>
      </c>
      <c r="AG272" s="22" t="str">
        <f>IF(E272&lt;&gt;"", IF(AG271&lt;&gt;"", E272*AG271, ""), "")</f>
        <v/>
      </c>
      <c r="AH272" s="22" t="str">
        <f>IF(E272&lt;&gt;"", IF(AH271&lt;&gt;"", E272*AH271, ""), "")</f>
        <v/>
      </c>
      <c r="AI272" s="22" t="str">
        <f>IF(E272&lt;&gt;"", IF(AI271&lt;&gt;"", E272*AI271, ""), "")</f>
        <v/>
      </c>
      <c r="AJ272" s="22" t="str">
        <f>IF(E272&lt;&gt;"", IF(AJ271&lt;&gt;"", E272*AJ271, ""), "")</f>
        <v/>
      </c>
      <c r="AK272" s="22" t="str">
        <f>IF(E272&lt;&gt;"", IF(AK271&lt;&gt;"", E272*AK271, ""), "")</f>
        <v/>
      </c>
      <c r="AL272" s="22" t="str">
        <f>IF(E272&lt;&gt;"", IF(AL271&lt;&gt;"", E272*AL271, ""), "")</f>
        <v/>
      </c>
      <c r="AM272" s="22" t="str">
        <f>IF(E272&lt;&gt;"", IF(AM271&lt;&gt;"", E272*AM271, ""), "")</f>
        <v/>
      </c>
      <c r="AN272" s="22" t="str">
        <f>IF(E272&lt;&gt;"", IF(AN271&lt;&gt;"", E272*AN271, ""), "")</f>
        <v/>
      </c>
      <c r="AO272" s="22" t="str">
        <f>IF(E272&lt;&gt;"", IF(AO271&lt;&gt;"", E272*AO271, ""), "")</f>
        <v/>
      </c>
      <c r="AP272" s="22" t="str">
        <f>IF(E272&lt;&gt;"", IF(AP271&lt;&gt;"", E272*AP271, ""), "")</f>
        <v/>
      </c>
      <c r="AQ272" s="22" t="str">
        <f>IF(E272&lt;&gt;"", IF(AQ271&lt;&gt;"", E272*AQ271, ""), "")</f>
        <v/>
      </c>
      <c r="AR272" s="22" t="str">
        <f>IF(E272&lt;&gt;"", IF(AR271&lt;&gt;"", E272*AR271, ""), "")</f>
        <v/>
      </c>
      <c r="AS272" s="22" t="str">
        <f>IF(E272&lt;&gt;"", IF(AS271&lt;&gt;"", E272*AS271, ""), "")</f>
        <v/>
      </c>
      <c r="AT272" s="22" t="str">
        <f>IF(E272&lt;&gt;"", IF(AT271&lt;&gt;"", E272*AT271, ""), "")</f>
        <v/>
      </c>
      <c r="AU272" s="22" t="str">
        <f>IF(E272&lt;&gt;"", IF(AU271&lt;&gt;"", E272*AU271, ""), "")</f>
        <v/>
      </c>
      <c r="AV272" s="22" t="str">
        <f>IF(E272&lt;&gt;"", IF(AV271&lt;&gt;"", E272*AV271, ""), "")</f>
        <v/>
      </c>
      <c r="AW272" s="22" t="str">
        <f>IF(E272&lt;&gt;"", IF(AW271&lt;&gt;"", E272*AW271, ""), "")</f>
        <v/>
      </c>
      <c r="AX272" s="22" t="str">
        <f>IF(E272&lt;&gt;"", IF(AX271&lt;&gt;"", E272*AX271, ""), "")</f>
        <v/>
      </c>
      <c r="AY272" s="22" t="str">
        <f>IF(E272&lt;&gt;"", IF(AY271&lt;&gt;"", E272*AY271, ""), "")</f>
        <v/>
      </c>
      <c r="AZ272" s="22" t="str">
        <f>IF(E272&lt;&gt;"", IF(AZ271&lt;&gt;"", E272*AZ271, ""), "")</f>
        <v/>
      </c>
      <c r="BA272" s="22" t="str">
        <f>IF(E272&lt;&gt;"", IF(BA271&lt;&gt;"", E272*BA271, ""), "")</f>
        <v/>
      </c>
      <c r="BB272" s="22" t="str">
        <f>IF(E272&lt;&gt;"", IF(BB271&lt;&gt;"", E272*BB271, ""), "")</f>
        <v/>
      </c>
      <c r="BC272" s="22" t="str">
        <f>IF(E272&lt;&gt;"", IF(BC271&lt;&gt;"", E272*BC271, ""), "")</f>
        <v/>
      </c>
      <c r="BD272" s="22" t="str">
        <f>IF(E272&lt;&gt;"", IF(BD271&lt;&gt;"", E272*BD271, ""), "")</f>
        <v/>
      </c>
      <c r="BE272" s="22" t="str">
        <f>IF(E272&lt;&gt;"", IF(BE271&lt;&gt;"", E272*BE271, ""), "")</f>
        <v/>
      </c>
    </row>
    <row r="273" spans="1:131" ht="20.100000000000001" customHeight="1">
      <c r="A273" s="220">
        <v>16</v>
      </c>
      <c r="B273" s="7"/>
      <c r="C273" s="7"/>
      <c r="D273" s="5" t="s">
        <v>288</v>
      </c>
      <c r="E273" s="3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59"/>
      <c r="AB273" s="59"/>
      <c r="AC273" s="59"/>
      <c r="AD273" s="59"/>
      <c r="AE273" s="59"/>
      <c r="AF273" s="59"/>
      <c r="AG273" s="59"/>
      <c r="AH273" s="59"/>
      <c r="AI273" s="59"/>
      <c r="AJ273" s="59"/>
      <c r="AK273" s="59"/>
      <c r="AL273" s="59"/>
      <c r="AM273" s="59"/>
      <c r="AN273" s="59"/>
      <c r="AO273" s="59"/>
      <c r="AP273" s="59"/>
      <c r="AQ273" s="59"/>
      <c r="AR273" s="59"/>
      <c r="AS273" s="59"/>
      <c r="AT273" s="59"/>
      <c r="AU273" s="59"/>
      <c r="AV273" s="59"/>
      <c r="AW273" s="59"/>
      <c r="AX273" s="59"/>
      <c r="AY273" s="59"/>
      <c r="AZ273" s="59"/>
      <c r="BA273" s="59"/>
      <c r="BB273" s="59"/>
      <c r="BC273" s="59"/>
      <c r="BD273" s="59"/>
      <c r="BE273" s="59"/>
    </row>
    <row r="274" spans="1:131" ht="20.100000000000001" customHeight="1">
      <c r="A274" s="221"/>
      <c r="B274" s="7"/>
      <c r="C274" s="7"/>
      <c r="D274" s="78">
        <v>1</v>
      </c>
      <c r="E274" s="47">
        <f>IF(egTextCal(D274)&lt;&gt;0, egTextCal(D274),"")</f>
        <v>1</v>
      </c>
      <c r="F274" s="48" t="str">
        <f>IF(E274&lt;&gt;"", IF(F273&lt;&gt;"", E274*F273,""),"")</f>
        <v/>
      </c>
      <c r="G274" s="48" t="str">
        <f>IF(E274&lt;&gt;"", IF(G273&lt;&gt;"", E274*G273,""),"")</f>
        <v/>
      </c>
      <c r="H274" s="48" t="str">
        <f>IF(E274&lt;&gt;"", IF(H273&lt;&gt;"", E274*H273,""),"")</f>
        <v/>
      </c>
      <c r="I274" s="48" t="str">
        <f>IF(E274&lt;&gt;"", IF(I273&lt;&gt;"", E274*I273,""),"")</f>
        <v/>
      </c>
      <c r="J274" s="48" t="str">
        <f>IF(E274&lt;&gt;"", IF(J273&lt;&gt;"", E274*J273,""),"")</f>
        <v/>
      </c>
      <c r="K274" s="48" t="str">
        <f>IF(E274&lt;&gt;"", IF(K273&lt;&gt;"", E274*K273,""),"")</f>
        <v/>
      </c>
      <c r="L274" s="48" t="str">
        <f>IF(E274&lt;&gt;"", IF(L273&lt;&gt;"", E274*L273,""),"")</f>
        <v/>
      </c>
      <c r="M274" s="48" t="str">
        <f>IF(E274&lt;&gt;"", IF(M273&lt;&gt;"", E274*M273,""),"")</f>
        <v/>
      </c>
      <c r="N274" s="48" t="str">
        <f>IF(E274&lt;&gt;"", IF(N273&lt;&gt;"", E274*N273,""),"")</f>
        <v/>
      </c>
      <c r="O274" s="48" t="str">
        <f>IF(E274&lt;&gt;"", IF(O273&lt;&gt;"", E274*O273,""),"")</f>
        <v/>
      </c>
      <c r="P274" s="48" t="str">
        <f>IF(E274&lt;&gt;"", IF(P273&lt;&gt;"", E274*P273,""),"")</f>
        <v/>
      </c>
      <c r="Q274" s="48" t="str">
        <f>IF(E274&lt;&gt;"", IF(Q273&lt;&gt;"", E274*Q273,""),"")</f>
        <v/>
      </c>
      <c r="R274" s="48" t="str">
        <f>IF(E274&lt;&gt;"", IF(R273&lt;&gt;"", E274*R273,""),"")</f>
        <v/>
      </c>
      <c r="S274" s="48" t="str">
        <f>IF(E274&lt;&gt;"", IF(S273&lt;&gt;"", E274*S273,""),"")</f>
        <v/>
      </c>
      <c r="T274" s="48" t="str">
        <f>IF(E274&lt;&gt;"", IF(T273&lt;&gt;"", E274*T273,""),"")</f>
        <v/>
      </c>
      <c r="U274" s="48" t="str">
        <f>IF(E274&lt;&gt;"", IF(U273&lt;&gt;"", E274*U273,""),"")</f>
        <v/>
      </c>
      <c r="V274" s="48" t="str">
        <f>IF(E274&lt;&gt;"", IF(V273&lt;&gt;"", E274*V273,""),"")</f>
        <v/>
      </c>
      <c r="W274" s="48" t="str">
        <f>IF(E274&lt;&gt;"", IF(W273&lt;&gt;"", E274*W273,""),"")</f>
        <v/>
      </c>
      <c r="X274" s="48" t="str">
        <f>IF(E274&lt;&gt;"", IF(X273&lt;&gt;"", E274*X273,""),"")</f>
        <v/>
      </c>
      <c r="Y274" s="48" t="str">
        <f>IF(E274&lt;&gt;"", IF(Y273&lt;&gt;"", E274*Y273,""),"")</f>
        <v/>
      </c>
      <c r="Z274" s="48" t="str">
        <f>IF(E274&lt;&gt;"", IF(Z273&lt;&gt;"", E274*Z273,""),"")</f>
        <v/>
      </c>
      <c r="AA274" s="22"/>
      <c r="AB274" s="22" t="str">
        <f>IF(E274&lt;&gt;"", IF(AB273&lt;&gt;"", E274*AB273, ""), "")</f>
        <v/>
      </c>
      <c r="AC274" s="22" t="str">
        <f>IF(E274&lt;&gt;"", IF(AC273&lt;&gt;"", E274*AC273, ""), "")</f>
        <v/>
      </c>
      <c r="AD274" s="22" t="str">
        <f>IF(E274&lt;&gt;"", IF(AD273&lt;&gt;"", E274*AD273, ""), "")</f>
        <v/>
      </c>
      <c r="AE274" s="22" t="str">
        <f>IF(E274&lt;&gt;"", IF(AE273&lt;&gt;"", E274*AE273, ""), "")</f>
        <v/>
      </c>
      <c r="AF274" s="22" t="str">
        <f>IF(E274&lt;&gt;"", IF(AF273&lt;&gt;"", E274*AF273, ""), "")</f>
        <v/>
      </c>
      <c r="AG274" s="22" t="str">
        <f>IF(E274&lt;&gt;"", IF(AG273&lt;&gt;"", E274*AG273, ""), "")</f>
        <v/>
      </c>
      <c r="AH274" s="22" t="str">
        <f>IF(E274&lt;&gt;"", IF(AH273&lt;&gt;"", E274*AH273, ""), "")</f>
        <v/>
      </c>
      <c r="AI274" s="22" t="str">
        <f>IF(E274&lt;&gt;"", IF(AI273&lt;&gt;"", E274*AI273, ""), "")</f>
        <v/>
      </c>
      <c r="AJ274" s="22" t="str">
        <f>IF(E274&lt;&gt;"", IF(AJ273&lt;&gt;"", E274*AJ273, ""), "")</f>
        <v/>
      </c>
      <c r="AK274" s="22" t="str">
        <f>IF(E274&lt;&gt;"", IF(AK273&lt;&gt;"", E274*AK273, ""), "")</f>
        <v/>
      </c>
      <c r="AL274" s="22" t="str">
        <f>IF(E274&lt;&gt;"", IF(AL273&lt;&gt;"", E274*AL273, ""), "")</f>
        <v/>
      </c>
      <c r="AM274" s="22" t="str">
        <f>IF(E274&lt;&gt;"", IF(AM273&lt;&gt;"", E274*AM273, ""), "")</f>
        <v/>
      </c>
      <c r="AN274" s="22" t="str">
        <f>IF(E274&lt;&gt;"", IF(AN273&lt;&gt;"", E274*AN273, ""), "")</f>
        <v/>
      </c>
      <c r="AO274" s="22" t="str">
        <f>IF(E274&lt;&gt;"", IF(AO273&lt;&gt;"", E274*AO273, ""), "")</f>
        <v/>
      </c>
      <c r="AP274" s="22" t="str">
        <f>IF(E274&lt;&gt;"", IF(AP273&lt;&gt;"", E274*AP273, ""), "")</f>
        <v/>
      </c>
      <c r="AQ274" s="22" t="str">
        <f>IF(E274&lt;&gt;"", IF(AQ273&lt;&gt;"", E274*AQ273, ""), "")</f>
        <v/>
      </c>
      <c r="AR274" s="22" t="str">
        <f>IF(E274&lt;&gt;"", IF(AR273&lt;&gt;"", E274*AR273, ""), "")</f>
        <v/>
      </c>
      <c r="AS274" s="22" t="str">
        <f>IF(E274&lt;&gt;"", IF(AS273&lt;&gt;"", E274*AS273, ""), "")</f>
        <v/>
      </c>
      <c r="AT274" s="22" t="str">
        <f>IF(E274&lt;&gt;"", IF(AT273&lt;&gt;"", E274*AT273, ""), "")</f>
        <v/>
      </c>
      <c r="AU274" s="22" t="str">
        <f>IF(E274&lt;&gt;"", IF(AU273&lt;&gt;"", E274*AU273, ""), "")</f>
        <v/>
      </c>
      <c r="AV274" s="22" t="str">
        <f>IF(E274&lt;&gt;"", IF(AV273&lt;&gt;"", E274*AV273, ""), "")</f>
        <v/>
      </c>
      <c r="AW274" s="22" t="str">
        <f>IF(E274&lt;&gt;"", IF(AW273&lt;&gt;"", E274*AW273, ""), "")</f>
        <v/>
      </c>
      <c r="AX274" s="22" t="str">
        <f>IF(E274&lt;&gt;"", IF(AX273&lt;&gt;"", E274*AX273, ""), "")</f>
        <v/>
      </c>
      <c r="AY274" s="22" t="str">
        <f>IF(E274&lt;&gt;"", IF(AY273&lt;&gt;"", E274*AY273, ""), "")</f>
        <v/>
      </c>
      <c r="AZ274" s="22" t="str">
        <f>IF(E274&lt;&gt;"", IF(AZ273&lt;&gt;"", E274*AZ273, ""), "")</f>
        <v/>
      </c>
      <c r="BA274" s="22" t="str">
        <f>IF(E274&lt;&gt;"", IF(BA273&lt;&gt;"", E274*BA273, ""), "")</f>
        <v/>
      </c>
      <c r="BB274" s="22" t="str">
        <f>IF(E274&lt;&gt;"", IF(BB273&lt;&gt;"", E274*BB273, ""), "")</f>
        <v/>
      </c>
      <c r="BC274" s="22" t="str">
        <f>IF(E274&lt;&gt;"", IF(BC273&lt;&gt;"", E274*BC273, ""), "")</f>
        <v/>
      </c>
      <c r="BD274" s="22" t="str">
        <f>IF(E274&lt;&gt;"", IF(BD273&lt;&gt;"", E274*BD273, ""), "")</f>
        <v/>
      </c>
      <c r="BE274" s="22" t="str">
        <f>IF(E274&lt;&gt;"", IF(BE273&lt;&gt;"", E274*BE273, ""), "")</f>
        <v/>
      </c>
    </row>
    <row r="275" spans="1:131" ht="20.100000000000001" customHeight="1">
      <c r="A275" s="220">
        <v>17</v>
      </c>
      <c r="B275" s="7"/>
      <c r="C275" s="7"/>
      <c r="D275" s="5" t="s">
        <v>596</v>
      </c>
      <c r="E275" s="3"/>
      <c r="F275" s="46"/>
      <c r="G275" s="46"/>
      <c r="H275" s="46"/>
      <c r="I275" s="46"/>
      <c r="J275" s="46"/>
      <c r="K275" s="46">
        <v>1</v>
      </c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59"/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  <c r="AQ275" s="59"/>
      <c r="AR275" s="59"/>
      <c r="AS275" s="59"/>
      <c r="AT275" s="59"/>
      <c r="AU275" s="59"/>
      <c r="AV275" s="59"/>
      <c r="AW275" s="59"/>
      <c r="AX275" s="59"/>
      <c r="AY275" s="59"/>
      <c r="AZ275" s="59"/>
      <c r="BA275" s="59"/>
      <c r="BB275" s="59"/>
      <c r="BC275" s="59"/>
      <c r="BD275" s="59"/>
      <c r="BE275" s="59"/>
    </row>
    <row r="276" spans="1:131" ht="20.100000000000001" customHeight="1">
      <c r="A276" s="221"/>
      <c r="B276" s="7"/>
      <c r="C276" s="7"/>
      <c r="D276" s="78">
        <v>1</v>
      </c>
      <c r="E276" s="47">
        <f>IF(egTextCal(D276)&lt;&gt;0, egTextCal(D276),"")</f>
        <v>1</v>
      </c>
      <c r="F276" s="48" t="str">
        <f>IF(E276&lt;&gt;"", IF(F275&lt;&gt;"", E276*F275,""),"")</f>
        <v/>
      </c>
      <c r="G276" s="48" t="str">
        <f>IF(E276&lt;&gt;"", IF(G275&lt;&gt;"", E276*G275,""),"")</f>
        <v/>
      </c>
      <c r="H276" s="48" t="str">
        <f>IF(E276&lt;&gt;"", IF(H275&lt;&gt;"", E276*H275,""),"")</f>
        <v/>
      </c>
      <c r="I276" s="48" t="str">
        <f>IF(E276&lt;&gt;"", IF(I275&lt;&gt;"", E276*I275,""),"")</f>
        <v/>
      </c>
      <c r="J276" s="48" t="str">
        <f>IF(E276&lt;&gt;"", IF(J275&lt;&gt;"", E276*J275,""),"")</f>
        <v/>
      </c>
      <c r="K276" s="48">
        <f>IF(E276&lt;&gt;"", IF(K275&lt;&gt;"", E276*K275,""),"")</f>
        <v>1</v>
      </c>
      <c r="L276" s="48" t="str">
        <f>IF(E276&lt;&gt;"", IF(L275&lt;&gt;"", E276*L275,""),"")</f>
        <v/>
      </c>
      <c r="M276" s="48" t="str">
        <f>IF(E276&lt;&gt;"", IF(M275&lt;&gt;"", E276*M275,""),"")</f>
        <v/>
      </c>
      <c r="N276" s="48" t="str">
        <f>IF(E276&lt;&gt;"", IF(N275&lt;&gt;"", E276*N275,""),"")</f>
        <v/>
      </c>
      <c r="O276" s="48" t="str">
        <f>IF(E276&lt;&gt;"", IF(O275&lt;&gt;"", E276*O275,""),"")</f>
        <v/>
      </c>
      <c r="P276" s="48" t="str">
        <f>IF(E276&lt;&gt;"", IF(P275&lt;&gt;"", E276*P275,""),"")</f>
        <v/>
      </c>
      <c r="Q276" s="48" t="str">
        <f>IF(E276&lt;&gt;"", IF(Q275&lt;&gt;"", E276*Q275,""),"")</f>
        <v/>
      </c>
      <c r="R276" s="48" t="str">
        <f>IF(E276&lt;&gt;"", IF(R275&lt;&gt;"", E276*R275,""),"")</f>
        <v/>
      </c>
      <c r="S276" s="48" t="str">
        <f>IF(E276&lt;&gt;"", IF(S275&lt;&gt;"", E276*S275,""),"")</f>
        <v/>
      </c>
      <c r="T276" s="48" t="str">
        <f>IF(E276&lt;&gt;"", IF(T275&lt;&gt;"", E276*T275,""),"")</f>
        <v/>
      </c>
      <c r="U276" s="48" t="str">
        <f>IF(E276&lt;&gt;"", IF(U275&lt;&gt;"", E276*U275,""),"")</f>
        <v/>
      </c>
      <c r="V276" s="48" t="str">
        <f>IF(E276&lt;&gt;"", IF(V275&lt;&gt;"", E276*V275,""),"")</f>
        <v/>
      </c>
      <c r="W276" s="48" t="str">
        <f>IF(E276&lt;&gt;"", IF(W275&lt;&gt;"", E276*W275,""),"")</f>
        <v/>
      </c>
      <c r="X276" s="48" t="str">
        <f>IF(E276&lt;&gt;"", IF(X275&lt;&gt;"", E276*X275,""),"")</f>
        <v/>
      </c>
      <c r="Y276" s="48" t="str">
        <f>IF(E276&lt;&gt;"", IF(Y275&lt;&gt;"", E276*Y275,""),"")</f>
        <v/>
      </c>
      <c r="Z276" s="48" t="str">
        <f>IF(E276&lt;&gt;"", IF(Z275&lt;&gt;"", E276*Z275,""),"")</f>
        <v/>
      </c>
      <c r="AA276" s="22"/>
      <c r="AB276" s="22" t="str">
        <f>IF(E276&lt;&gt;"", IF(AB275&lt;&gt;"", E276*AB275, ""), "")</f>
        <v/>
      </c>
      <c r="AC276" s="22" t="str">
        <f>IF(E276&lt;&gt;"", IF(AC275&lt;&gt;"", E276*AC275, ""), "")</f>
        <v/>
      </c>
      <c r="AD276" s="22" t="str">
        <f>IF(E276&lt;&gt;"", IF(AD275&lt;&gt;"", E276*AD275, ""), "")</f>
        <v/>
      </c>
      <c r="AE276" s="22" t="str">
        <f>IF(E276&lt;&gt;"", IF(AE275&lt;&gt;"", E276*AE275, ""), "")</f>
        <v/>
      </c>
      <c r="AF276" s="22" t="str">
        <f>IF(E276&lt;&gt;"", IF(AF275&lt;&gt;"", E276*AF275, ""), "")</f>
        <v/>
      </c>
      <c r="AG276" s="22" t="str">
        <f>IF(E276&lt;&gt;"", IF(AG275&lt;&gt;"", E276*AG275, ""), "")</f>
        <v/>
      </c>
      <c r="AH276" s="22" t="str">
        <f>IF(E276&lt;&gt;"", IF(AH275&lt;&gt;"", E276*AH275, ""), "")</f>
        <v/>
      </c>
      <c r="AI276" s="22" t="str">
        <f>IF(E276&lt;&gt;"", IF(AI275&lt;&gt;"", E276*AI275, ""), "")</f>
        <v/>
      </c>
      <c r="AJ276" s="22" t="str">
        <f>IF(E276&lt;&gt;"", IF(AJ275&lt;&gt;"", E276*AJ275, ""), "")</f>
        <v/>
      </c>
      <c r="AK276" s="22" t="str">
        <f>IF(E276&lt;&gt;"", IF(AK275&lt;&gt;"", E276*AK275, ""), "")</f>
        <v/>
      </c>
      <c r="AL276" s="22" t="str">
        <f>IF(E276&lt;&gt;"", IF(AL275&lt;&gt;"", E276*AL275, ""), "")</f>
        <v/>
      </c>
      <c r="AM276" s="22" t="str">
        <f>IF(E276&lt;&gt;"", IF(AM275&lt;&gt;"", E276*AM275, ""), "")</f>
        <v/>
      </c>
      <c r="AN276" s="22" t="str">
        <f>IF(E276&lt;&gt;"", IF(AN275&lt;&gt;"", E276*AN275, ""), "")</f>
        <v/>
      </c>
      <c r="AO276" s="22" t="str">
        <f>IF(E276&lt;&gt;"", IF(AO275&lt;&gt;"", E276*AO275, ""), "")</f>
        <v/>
      </c>
      <c r="AP276" s="22" t="str">
        <f>IF(E276&lt;&gt;"", IF(AP275&lt;&gt;"", E276*AP275, ""), "")</f>
        <v/>
      </c>
      <c r="AQ276" s="22" t="str">
        <f>IF(E276&lt;&gt;"", IF(AQ275&lt;&gt;"", E276*AQ275, ""), "")</f>
        <v/>
      </c>
      <c r="AR276" s="22" t="str">
        <f>IF(E276&lt;&gt;"", IF(AR275&lt;&gt;"", E276*AR275, ""), "")</f>
        <v/>
      </c>
      <c r="AS276" s="22" t="str">
        <f>IF(E276&lt;&gt;"", IF(AS275&lt;&gt;"", E276*AS275, ""), "")</f>
        <v/>
      </c>
      <c r="AT276" s="22" t="str">
        <f>IF(E276&lt;&gt;"", IF(AT275&lt;&gt;"", E276*AT275, ""), "")</f>
        <v/>
      </c>
      <c r="AU276" s="22" t="str">
        <f>IF(E276&lt;&gt;"", IF(AU275&lt;&gt;"", E276*AU275, ""), "")</f>
        <v/>
      </c>
      <c r="AV276" s="22" t="str">
        <f>IF(E276&lt;&gt;"", IF(AV275&lt;&gt;"", E276*AV275, ""), "")</f>
        <v/>
      </c>
      <c r="AW276" s="22" t="str">
        <f>IF(E276&lt;&gt;"", IF(AW275&lt;&gt;"", E276*AW275, ""), "")</f>
        <v/>
      </c>
      <c r="AX276" s="22" t="str">
        <f>IF(E276&lt;&gt;"", IF(AX275&lt;&gt;"", E276*AX275, ""), "")</f>
        <v/>
      </c>
      <c r="AY276" s="22" t="str">
        <f>IF(E276&lt;&gt;"", IF(AY275&lt;&gt;"", E276*AY275, ""), "")</f>
        <v/>
      </c>
      <c r="AZ276" s="22" t="str">
        <f>IF(E276&lt;&gt;"", IF(AZ275&lt;&gt;"", E276*AZ275, ""), "")</f>
        <v/>
      </c>
      <c r="BA276" s="22" t="str">
        <f>IF(E276&lt;&gt;"", IF(BA275&lt;&gt;"", E276*BA275, ""), "")</f>
        <v/>
      </c>
      <c r="BB276" s="22" t="str">
        <f>IF(E276&lt;&gt;"", IF(BB275&lt;&gt;"", E276*BB275, ""), "")</f>
        <v/>
      </c>
      <c r="BC276" s="22" t="str">
        <f>IF(E276&lt;&gt;"", IF(BC275&lt;&gt;"", E276*BC275, ""), "")</f>
        <v/>
      </c>
      <c r="BD276" s="22" t="str">
        <f>IF(E276&lt;&gt;"", IF(BD275&lt;&gt;"", E276*BD275, ""), "")</f>
        <v/>
      </c>
      <c r="BE276" s="22" t="str">
        <f>IF(E276&lt;&gt;"", IF(BE275&lt;&gt;"", E276*BE275, ""), "")</f>
        <v/>
      </c>
      <c r="EA276" s="18">
        <f>K276</f>
        <v>1</v>
      </c>
    </row>
    <row r="277" spans="1:131" ht="20.100000000000001" customHeight="1">
      <c r="A277" s="220">
        <v>18</v>
      </c>
      <c r="B277" s="7"/>
      <c r="C277" s="7"/>
      <c r="D277" s="5"/>
      <c r="E277" s="3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  <c r="AQ277" s="59"/>
      <c r="AR277" s="59"/>
      <c r="AS277" s="59"/>
      <c r="AT277" s="59"/>
      <c r="AU277" s="59"/>
      <c r="AV277" s="59"/>
      <c r="AW277" s="59"/>
      <c r="AX277" s="59"/>
      <c r="AY277" s="59"/>
      <c r="AZ277" s="59"/>
      <c r="BA277" s="59"/>
      <c r="BB277" s="59"/>
      <c r="BC277" s="59"/>
      <c r="BD277" s="59"/>
      <c r="BE277" s="59"/>
    </row>
    <row r="278" spans="1:131" ht="20.100000000000001" customHeight="1">
      <c r="A278" s="221"/>
      <c r="B278" s="7"/>
      <c r="C278" s="7"/>
      <c r="D278" s="78"/>
      <c r="E278" s="47" t="str">
        <f>IF(egTextCal(D278)&lt;&gt;0, egTextCal(D278),"")</f>
        <v/>
      </c>
      <c r="F278" s="48" t="str">
        <f>IF(E278&lt;&gt;"", IF(F277&lt;&gt;"", E278*F277,""),"")</f>
        <v/>
      </c>
      <c r="G278" s="48" t="str">
        <f>IF(E278&lt;&gt;"", IF(G277&lt;&gt;"", E278*G277,""),"")</f>
        <v/>
      </c>
      <c r="H278" s="48" t="str">
        <f>IF(E278&lt;&gt;"", IF(H277&lt;&gt;"", E278*H277,""),"")</f>
        <v/>
      </c>
      <c r="I278" s="48" t="str">
        <f>IF(E278&lt;&gt;"", IF(I277&lt;&gt;"", E278*I277,""),"")</f>
        <v/>
      </c>
      <c r="J278" s="48" t="str">
        <f>IF(E278&lt;&gt;"", IF(J277&lt;&gt;"", E278*J277,""),"")</f>
        <v/>
      </c>
      <c r="K278" s="48" t="str">
        <f>IF(E278&lt;&gt;"", IF(K277&lt;&gt;"", E278*K277,""),"")</f>
        <v/>
      </c>
      <c r="L278" s="48" t="str">
        <f>IF(E278&lt;&gt;"", IF(L277&lt;&gt;"", E278*L277,""),"")</f>
        <v/>
      </c>
      <c r="M278" s="48" t="str">
        <f>IF(E278&lt;&gt;"", IF(M277&lt;&gt;"", E278*M277,""),"")</f>
        <v/>
      </c>
      <c r="N278" s="48" t="str">
        <f>IF(E278&lt;&gt;"", IF(N277&lt;&gt;"", E278*N277,""),"")</f>
        <v/>
      </c>
      <c r="O278" s="48" t="str">
        <f>IF(E278&lt;&gt;"", IF(O277&lt;&gt;"", E278*O277,""),"")</f>
        <v/>
      </c>
      <c r="P278" s="48" t="str">
        <f>IF(E278&lt;&gt;"", IF(P277&lt;&gt;"", E278*P277,""),"")</f>
        <v/>
      </c>
      <c r="Q278" s="48" t="str">
        <f>IF(E278&lt;&gt;"", IF(Q277&lt;&gt;"", E278*Q277,""),"")</f>
        <v/>
      </c>
      <c r="R278" s="48" t="str">
        <f>IF(E278&lt;&gt;"", IF(R277&lt;&gt;"", E278*R277,""),"")</f>
        <v/>
      </c>
      <c r="S278" s="48" t="str">
        <f>IF(E278&lt;&gt;"", IF(S277&lt;&gt;"", E278*S277,""),"")</f>
        <v/>
      </c>
      <c r="T278" s="48" t="str">
        <f>IF(E278&lt;&gt;"", IF(T277&lt;&gt;"", E278*T277,""),"")</f>
        <v/>
      </c>
      <c r="U278" s="48" t="str">
        <f>IF(E278&lt;&gt;"", IF(U277&lt;&gt;"", E278*U277,""),"")</f>
        <v/>
      </c>
      <c r="V278" s="48" t="str">
        <f>IF(E278&lt;&gt;"", IF(V277&lt;&gt;"", E278*V277,""),"")</f>
        <v/>
      </c>
      <c r="W278" s="48" t="str">
        <f>IF(E278&lt;&gt;"", IF(W277&lt;&gt;"", E278*W277,""),"")</f>
        <v/>
      </c>
      <c r="X278" s="48" t="str">
        <f>IF(E278&lt;&gt;"", IF(X277&lt;&gt;"", E278*X277,""),"")</f>
        <v/>
      </c>
      <c r="Y278" s="48" t="str">
        <f>IF(E278&lt;&gt;"", IF(Y277&lt;&gt;"", E278*Y277,""),"")</f>
        <v/>
      </c>
      <c r="Z278" s="48" t="str">
        <f>IF(E278&lt;&gt;"", IF(Z277&lt;&gt;"", E278*Z277,""),"")</f>
        <v/>
      </c>
      <c r="AA278" s="22"/>
      <c r="AB278" s="22" t="str">
        <f>IF(E278&lt;&gt;"", IF(AB277&lt;&gt;"", E278*AB277, ""), "")</f>
        <v/>
      </c>
      <c r="AC278" s="22" t="str">
        <f>IF(E278&lt;&gt;"", IF(AC277&lt;&gt;"", E278*AC277, ""), "")</f>
        <v/>
      </c>
      <c r="AD278" s="22" t="str">
        <f>IF(E278&lt;&gt;"", IF(AD277&lt;&gt;"", E278*AD277, ""), "")</f>
        <v/>
      </c>
      <c r="AE278" s="22" t="str">
        <f>IF(E278&lt;&gt;"", IF(AE277&lt;&gt;"", E278*AE277, ""), "")</f>
        <v/>
      </c>
      <c r="AF278" s="22" t="str">
        <f>IF(E278&lt;&gt;"", IF(AF277&lt;&gt;"", E278*AF277, ""), "")</f>
        <v/>
      </c>
      <c r="AG278" s="22" t="str">
        <f>IF(E278&lt;&gt;"", IF(AG277&lt;&gt;"", E278*AG277, ""), "")</f>
        <v/>
      </c>
      <c r="AH278" s="22" t="str">
        <f>IF(E278&lt;&gt;"", IF(AH277&lt;&gt;"", E278*AH277, ""), "")</f>
        <v/>
      </c>
      <c r="AI278" s="22" t="str">
        <f>IF(E278&lt;&gt;"", IF(AI277&lt;&gt;"", E278*AI277, ""), "")</f>
        <v/>
      </c>
      <c r="AJ278" s="22" t="str">
        <f>IF(E278&lt;&gt;"", IF(AJ277&lt;&gt;"", E278*AJ277, ""), "")</f>
        <v/>
      </c>
      <c r="AK278" s="22" t="str">
        <f>IF(E278&lt;&gt;"", IF(AK277&lt;&gt;"", E278*AK277, ""), "")</f>
        <v/>
      </c>
      <c r="AL278" s="22" t="str">
        <f>IF(E278&lt;&gt;"", IF(AL277&lt;&gt;"", E278*AL277, ""), "")</f>
        <v/>
      </c>
      <c r="AM278" s="22" t="str">
        <f>IF(E278&lt;&gt;"", IF(AM277&lt;&gt;"", E278*AM277, ""), "")</f>
        <v/>
      </c>
      <c r="AN278" s="22" t="str">
        <f>IF(E278&lt;&gt;"", IF(AN277&lt;&gt;"", E278*AN277, ""), "")</f>
        <v/>
      </c>
      <c r="AO278" s="22" t="str">
        <f>IF(E278&lt;&gt;"", IF(AO277&lt;&gt;"", E278*AO277, ""), "")</f>
        <v/>
      </c>
      <c r="AP278" s="22" t="str">
        <f>IF(E278&lt;&gt;"", IF(AP277&lt;&gt;"", E278*AP277, ""), "")</f>
        <v/>
      </c>
      <c r="AQ278" s="22" t="str">
        <f>IF(E278&lt;&gt;"", IF(AQ277&lt;&gt;"", E278*AQ277, ""), "")</f>
        <v/>
      </c>
      <c r="AR278" s="22" t="str">
        <f>IF(E278&lt;&gt;"", IF(AR277&lt;&gt;"", E278*AR277, ""), "")</f>
        <v/>
      </c>
      <c r="AS278" s="22" t="str">
        <f>IF(E278&lt;&gt;"", IF(AS277&lt;&gt;"", E278*AS277, ""), "")</f>
        <v/>
      </c>
      <c r="AT278" s="22" t="str">
        <f>IF(E278&lt;&gt;"", IF(AT277&lt;&gt;"", E278*AT277, ""), "")</f>
        <v/>
      </c>
      <c r="AU278" s="22" t="str">
        <f>IF(E278&lt;&gt;"", IF(AU277&lt;&gt;"", E278*AU277, ""), "")</f>
        <v/>
      </c>
      <c r="AV278" s="22" t="str">
        <f>IF(E278&lt;&gt;"", IF(AV277&lt;&gt;"", E278*AV277, ""), "")</f>
        <v/>
      </c>
      <c r="AW278" s="22" t="str">
        <f>IF(E278&lt;&gt;"", IF(AW277&lt;&gt;"", E278*AW277, ""), "")</f>
        <v/>
      </c>
      <c r="AX278" s="22" t="str">
        <f>IF(E278&lt;&gt;"", IF(AX277&lt;&gt;"", E278*AX277, ""), "")</f>
        <v/>
      </c>
      <c r="AY278" s="22" t="str">
        <f>IF(E278&lt;&gt;"", IF(AY277&lt;&gt;"", E278*AY277, ""), "")</f>
        <v/>
      </c>
      <c r="AZ278" s="22" t="str">
        <f>IF(E278&lt;&gt;"", IF(AZ277&lt;&gt;"", E278*AZ277, ""), "")</f>
        <v/>
      </c>
      <c r="BA278" s="22" t="str">
        <f>IF(E278&lt;&gt;"", IF(BA277&lt;&gt;"", E278*BA277, ""), "")</f>
        <v/>
      </c>
      <c r="BB278" s="22" t="str">
        <f>IF(E278&lt;&gt;"", IF(BB277&lt;&gt;"", E278*BB277, ""), "")</f>
        <v/>
      </c>
      <c r="BC278" s="22" t="str">
        <f>IF(E278&lt;&gt;"", IF(BC277&lt;&gt;"", E278*BC277, ""), "")</f>
        <v/>
      </c>
      <c r="BD278" s="22" t="str">
        <f>IF(E278&lt;&gt;"", IF(BD277&lt;&gt;"", E278*BD277, ""), "")</f>
        <v/>
      </c>
      <c r="BE278" s="22" t="str">
        <f>IF(E278&lt;&gt;"", IF(BE277&lt;&gt;"", E278*BE277, ""), "")</f>
        <v/>
      </c>
    </row>
    <row r="279" spans="1:131" ht="20.100000000000001" customHeight="1">
      <c r="A279" s="220">
        <v>19</v>
      </c>
      <c r="B279" s="7"/>
      <c r="C279" s="7"/>
      <c r="D279" s="5"/>
      <c r="E279" s="3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  <c r="AT279" s="59"/>
      <c r="AU279" s="59"/>
      <c r="AV279" s="59"/>
      <c r="AW279" s="59"/>
      <c r="AX279" s="59"/>
      <c r="AY279" s="59"/>
      <c r="AZ279" s="59"/>
      <c r="BA279" s="59"/>
      <c r="BB279" s="59"/>
      <c r="BC279" s="59"/>
      <c r="BD279" s="59"/>
      <c r="BE279" s="59"/>
    </row>
    <row r="280" spans="1:131" ht="20.100000000000001" customHeight="1">
      <c r="A280" s="221"/>
      <c r="B280" s="7"/>
      <c r="C280" s="7"/>
      <c r="D280" s="78"/>
      <c r="E280" s="47" t="str">
        <f>IF(egTextCal(D280)&lt;&gt;0, egTextCal(D280),"")</f>
        <v/>
      </c>
      <c r="F280" s="48" t="str">
        <f>IF(E280&lt;&gt;"", IF(F279&lt;&gt;"", E280*F279,""),"")</f>
        <v/>
      </c>
      <c r="G280" s="48" t="str">
        <f>IF(E280&lt;&gt;"", IF(G279&lt;&gt;"", E280*G279,""),"")</f>
        <v/>
      </c>
      <c r="H280" s="48" t="str">
        <f>IF(E280&lt;&gt;"", IF(H279&lt;&gt;"", E280*H279,""),"")</f>
        <v/>
      </c>
      <c r="I280" s="48" t="str">
        <f>IF(E280&lt;&gt;"", IF(I279&lt;&gt;"", E280*I279,""),"")</f>
        <v/>
      </c>
      <c r="J280" s="48" t="str">
        <f>IF(E280&lt;&gt;"", IF(J279&lt;&gt;"", E280*J279,""),"")</f>
        <v/>
      </c>
      <c r="K280" s="48" t="str">
        <f>IF(E280&lt;&gt;"", IF(K279&lt;&gt;"", E280*K279,""),"")</f>
        <v/>
      </c>
      <c r="L280" s="48" t="str">
        <f>IF(E280&lt;&gt;"", IF(L279&lt;&gt;"", E280*L279,""),"")</f>
        <v/>
      </c>
      <c r="M280" s="48" t="str">
        <f>IF(E280&lt;&gt;"", IF(M279&lt;&gt;"", E280*M279,""),"")</f>
        <v/>
      </c>
      <c r="N280" s="48" t="str">
        <f>IF(E280&lt;&gt;"", IF(N279&lt;&gt;"", E280*N279,""),"")</f>
        <v/>
      </c>
      <c r="O280" s="48" t="str">
        <f>IF(E280&lt;&gt;"", IF(O279&lt;&gt;"", E280*O279,""),"")</f>
        <v/>
      </c>
      <c r="P280" s="48" t="str">
        <f>IF(E280&lt;&gt;"", IF(P279&lt;&gt;"", E280*P279,""),"")</f>
        <v/>
      </c>
      <c r="Q280" s="48" t="str">
        <f>IF(E280&lt;&gt;"", IF(Q279&lt;&gt;"", E280*Q279,""),"")</f>
        <v/>
      </c>
      <c r="R280" s="48" t="str">
        <f>IF(E280&lt;&gt;"", IF(R279&lt;&gt;"", E280*R279,""),"")</f>
        <v/>
      </c>
      <c r="S280" s="48" t="str">
        <f>IF(E280&lt;&gt;"", IF(S279&lt;&gt;"", E280*S279,""),"")</f>
        <v/>
      </c>
      <c r="T280" s="48" t="str">
        <f>IF(E280&lt;&gt;"", IF(T279&lt;&gt;"", E280*T279,""),"")</f>
        <v/>
      </c>
      <c r="U280" s="48" t="str">
        <f>IF(E280&lt;&gt;"", IF(U279&lt;&gt;"", E280*U279,""),"")</f>
        <v/>
      </c>
      <c r="V280" s="48" t="str">
        <f>IF(E280&lt;&gt;"", IF(V279&lt;&gt;"", E280*V279,""),"")</f>
        <v/>
      </c>
      <c r="W280" s="48" t="str">
        <f>IF(E280&lt;&gt;"", IF(W279&lt;&gt;"", E280*W279,""),"")</f>
        <v/>
      </c>
      <c r="X280" s="48" t="str">
        <f>IF(E280&lt;&gt;"", IF(X279&lt;&gt;"", E280*X279,""),"")</f>
        <v/>
      </c>
      <c r="Y280" s="48" t="str">
        <f>IF(E280&lt;&gt;"", IF(Y279&lt;&gt;"", E280*Y279,""),"")</f>
        <v/>
      </c>
      <c r="Z280" s="48" t="str">
        <f>IF(E280&lt;&gt;"", IF(Z279&lt;&gt;"", E280*Z279,""),"")</f>
        <v/>
      </c>
      <c r="AA280" s="22"/>
      <c r="AB280" s="22" t="str">
        <f>IF(E280&lt;&gt;"", IF(AB279&lt;&gt;"", E280*AB279, ""), "")</f>
        <v/>
      </c>
      <c r="AC280" s="22" t="str">
        <f>IF(E280&lt;&gt;"", IF(AC279&lt;&gt;"", E280*AC279, ""), "")</f>
        <v/>
      </c>
      <c r="AD280" s="22" t="str">
        <f>IF(E280&lt;&gt;"", IF(AD279&lt;&gt;"", E280*AD279, ""), "")</f>
        <v/>
      </c>
      <c r="AE280" s="22" t="str">
        <f>IF(E280&lt;&gt;"", IF(AE279&lt;&gt;"", E280*AE279, ""), "")</f>
        <v/>
      </c>
      <c r="AF280" s="22" t="str">
        <f>IF(E280&lt;&gt;"", IF(AF279&lt;&gt;"", E280*AF279, ""), "")</f>
        <v/>
      </c>
      <c r="AG280" s="22" t="str">
        <f>IF(E280&lt;&gt;"", IF(AG279&lt;&gt;"", E280*AG279, ""), "")</f>
        <v/>
      </c>
      <c r="AH280" s="22" t="str">
        <f>IF(E280&lt;&gt;"", IF(AH279&lt;&gt;"", E280*AH279, ""), "")</f>
        <v/>
      </c>
      <c r="AI280" s="22" t="str">
        <f>IF(E280&lt;&gt;"", IF(AI279&lt;&gt;"", E280*AI279, ""), "")</f>
        <v/>
      </c>
      <c r="AJ280" s="22" t="str">
        <f>IF(E280&lt;&gt;"", IF(AJ279&lt;&gt;"", E280*AJ279, ""), "")</f>
        <v/>
      </c>
      <c r="AK280" s="22" t="str">
        <f>IF(E280&lt;&gt;"", IF(AK279&lt;&gt;"", E280*AK279, ""), "")</f>
        <v/>
      </c>
      <c r="AL280" s="22" t="str">
        <f>IF(E280&lt;&gt;"", IF(AL279&lt;&gt;"", E280*AL279, ""), "")</f>
        <v/>
      </c>
      <c r="AM280" s="22" t="str">
        <f>IF(E280&lt;&gt;"", IF(AM279&lt;&gt;"", E280*AM279, ""), "")</f>
        <v/>
      </c>
      <c r="AN280" s="22" t="str">
        <f>IF(E280&lt;&gt;"", IF(AN279&lt;&gt;"", E280*AN279, ""), "")</f>
        <v/>
      </c>
      <c r="AO280" s="22" t="str">
        <f>IF(E280&lt;&gt;"", IF(AO279&lt;&gt;"", E280*AO279, ""), "")</f>
        <v/>
      </c>
      <c r="AP280" s="22" t="str">
        <f>IF(E280&lt;&gt;"", IF(AP279&lt;&gt;"", E280*AP279, ""), "")</f>
        <v/>
      </c>
      <c r="AQ280" s="22" t="str">
        <f>IF(E280&lt;&gt;"", IF(AQ279&lt;&gt;"", E280*AQ279, ""), "")</f>
        <v/>
      </c>
      <c r="AR280" s="22" t="str">
        <f>IF(E280&lt;&gt;"", IF(AR279&lt;&gt;"", E280*AR279, ""), "")</f>
        <v/>
      </c>
      <c r="AS280" s="22" t="str">
        <f>IF(E280&lt;&gt;"", IF(AS279&lt;&gt;"", E280*AS279, ""), "")</f>
        <v/>
      </c>
      <c r="AT280" s="22" t="str">
        <f>IF(E280&lt;&gt;"", IF(AT279&lt;&gt;"", E280*AT279, ""), "")</f>
        <v/>
      </c>
      <c r="AU280" s="22" t="str">
        <f>IF(E280&lt;&gt;"", IF(AU279&lt;&gt;"", E280*AU279, ""), "")</f>
        <v/>
      </c>
      <c r="AV280" s="22" t="str">
        <f>IF(E280&lt;&gt;"", IF(AV279&lt;&gt;"", E280*AV279, ""), "")</f>
        <v/>
      </c>
      <c r="AW280" s="22" t="str">
        <f>IF(E280&lt;&gt;"", IF(AW279&lt;&gt;"", E280*AW279, ""), "")</f>
        <v/>
      </c>
      <c r="AX280" s="22" t="str">
        <f>IF(E280&lt;&gt;"", IF(AX279&lt;&gt;"", E280*AX279, ""), "")</f>
        <v/>
      </c>
      <c r="AY280" s="22" t="str">
        <f>IF(E280&lt;&gt;"", IF(AY279&lt;&gt;"", E280*AY279, ""), "")</f>
        <v/>
      </c>
      <c r="AZ280" s="22" t="str">
        <f>IF(E280&lt;&gt;"", IF(AZ279&lt;&gt;"", E280*AZ279, ""), "")</f>
        <v/>
      </c>
      <c r="BA280" s="22" t="str">
        <f>IF(E280&lt;&gt;"", IF(BA279&lt;&gt;"", E280*BA279, ""), "")</f>
        <v/>
      </c>
      <c r="BB280" s="22" t="str">
        <f>IF(E280&lt;&gt;"", IF(BB279&lt;&gt;"", E280*BB279, ""), "")</f>
        <v/>
      </c>
      <c r="BC280" s="22" t="str">
        <f>IF(E280&lt;&gt;"", IF(BC279&lt;&gt;"", E280*BC279, ""), "")</f>
        <v/>
      </c>
      <c r="BD280" s="22" t="str">
        <f>IF(E280&lt;&gt;"", IF(BD279&lt;&gt;"", E280*BD279, ""), "")</f>
        <v/>
      </c>
      <c r="BE280" s="22" t="str">
        <f>IF(E280&lt;&gt;"", IF(BE279&lt;&gt;"", E280*BE279, ""), "")</f>
        <v/>
      </c>
    </row>
    <row r="281" spans="1:131" ht="20.100000000000001" customHeight="1">
      <c r="A281" s="220">
        <v>20</v>
      </c>
      <c r="B281" s="7"/>
      <c r="C281" s="7" t="s">
        <v>299</v>
      </c>
      <c r="D281" s="5" t="s">
        <v>300</v>
      </c>
      <c r="E281" s="3" t="s">
        <v>177</v>
      </c>
      <c r="F281" s="46">
        <f t="shared" ref="F281:M281" si="1">SUM(DV8:DV280)</f>
        <v>6</v>
      </c>
      <c r="G281" s="46">
        <f t="shared" si="1"/>
        <v>6</v>
      </c>
      <c r="H281" s="46">
        <f t="shared" si="1"/>
        <v>1</v>
      </c>
      <c r="I281" s="46">
        <f t="shared" si="1"/>
        <v>2</v>
      </c>
      <c r="J281" s="46">
        <f t="shared" si="1"/>
        <v>2</v>
      </c>
      <c r="K281" s="46">
        <f t="shared" si="1"/>
        <v>1</v>
      </c>
      <c r="L281" s="46">
        <f t="shared" si="1"/>
        <v>6</v>
      </c>
      <c r="M281" s="46">
        <f t="shared" si="1"/>
        <v>6</v>
      </c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59"/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59"/>
      <c r="AT281" s="59"/>
      <c r="AU281" s="59"/>
      <c r="AV281" s="59"/>
      <c r="AW281" s="59"/>
      <c r="AX281" s="59"/>
      <c r="AY281" s="59"/>
      <c r="AZ281" s="59"/>
      <c r="BA281" s="59"/>
      <c r="BB281" s="59"/>
      <c r="BC281" s="59"/>
      <c r="BD281" s="59"/>
      <c r="BE281" s="59"/>
    </row>
    <row r="282" spans="1:131" ht="20.100000000000001" customHeight="1">
      <c r="A282" s="221"/>
      <c r="B282" s="58"/>
      <c r="C282" s="58"/>
      <c r="D282" s="78" t="s">
        <v>301</v>
      </c>
      <c r="E282" s="47">
        <v>1</v>
      </c>
      <c r="F282" s="48">
        <f>E282*F281</f>
        <v>6</v>
      </c>
      <c r="G282" s="48">
        <f>E282*G281</f>
        <v>6</v>
      </c>
      <c r="H282" s="48">
        <f>E282*H281</f>
        <v>1</v>
      </c>
      <c r="I282" s="48">
        <f>E282*I281</f>
        <v>2</v>
      </c>
      <c r="J282" s="48">
        <f>E282*J281</f>
        <v>2</v>
      </c>
      <c r="K282" s="48">
        <f>E282*K281</f>
        <v>1</v>
      </c>
      <c r="L282" s="48">
        <f>E282*L281</f>
        <v>6</v>
      </c>
      <c r="M282" s="48">
        <f>E282*M281</f>
        <v>6</v>
      </c>
      <c r="N282" s="48" t="str">
        <f>IF(E282&lt;&gt;"", IF(N281&lt;&gt;"", E282*N281,""),"")</f>
        <v/>
      </c>
      <c r="O282" s="48" t="str">
        <f>IF(E282&lt;&gt;"", IF(O281&lt;&gt;"", E282*O281,""),"")</f>
        <v/>
      </c>
      <c r="P282" s="48" t="str">
        <f>IF(E282&lt;&gt;"", IF(P281&lt;&gt;"", E282*P281,""),"")</f>
        <v/>
      </c>
      <c r="Q282" s="48" t="str">
        <f>IF(E282&lt;&gt;"", IF(Q281&lt;&gt;"", E282*Q281,""),"")</f>
        <v/>
      </c>
      <c r="R282" s="48" t="str">
        <f>IF(E282&lt;&gt;"", IF(R281&lt;&gt;"", E282*R281,""),"")</f>
        <v/>
      </c>
      <c r="S282" s="48" t="str">
        <f>IF(E282&lt;&gt;"", IF(S281&lt;&gt;"", E282*S281,""),"")</f>
        <v/>
      </c>
      <c r="T282" s="48" t="str">
        <f>IF(E282&lt;&gt;"", IF(T281&lt;&gt;"", E282*T281,""),"")</f>
        <v/>
      </c>
      <c r="U282" s="48" t="str">
        <f>IF(E282&lt;&gt;"", IF(U281&lt;&gt;"", E282*U281,""),"")</f>
        <v/>
      </c>
      <c r="V282" s="48" t="str">
        <f>IF(E282&lt;&gt;"", IF(V281&lt;&gt;"", E282*V281,""),"")</f>
        <v/>
      </c>
      <c r="W282" s="48" t="str">
        <f>IF(E282&lt;&gt;"", IF(W281&lt;&gt;"", E282*W281,""),"")</f>
        <v/>
      </c>
      <c r="X282" s="48" t="str">
        <f>IF(E282&lt;&gt;"", IF(X281&lt;&gt;"", E282*X281,""),"")</f>
        <v/>
      </c>
      <c r="Y282" s="48" t="str">
        <f>IF(E282&lt;&gt;"", IF(Y281&lt;&gt;"", E282*Y281,""),"")</f>
        <v/>
      </c>
      <c r="Z282" s="48" t="str">
        <f>IF(E282&lt;&gt;"", IF(Z281&lt;&gt;"", E282*Z281,""),"")</f>
        <v/>
      </c>
      <c r="AA282" s="22"/>
      <c r="AB282" s="22" t="str">
        <f>IF(E282&lt;&gt;"", IF(AB281&lt;&gt;"", E282*AB281, ""), "")</f>
        <v/>
      </c>
      <c r="AC282" s="22" t="str">
        <f>IF(E282&lt;&gt;"", IF(AC281&lt;&gt;"", E282*AC281, ""), "")</f>
        <v/>
      </c>
      <c r="AD282" s="22" t="str">
        <f>IF(E282&lt;&gt;"", IF(AD281&lt;&gt;"", E282*AD281, ""), "")</f>
        <v/>
      </c>
      <c r="AE282" s="22" t="str">
        <f>IF(E282&lt;&gt;"", IF(AE281&lt;&gt;"", E282*AE281, ""), "")</f>
        <v/>
      </c>
      <c r="AF282" s="22" t="str">
        <f>IF(E282&lt;&gt;"", IF(AF281&lt;&gt;"", E282*AF281, ""), "")</f>
        <v/>
      </c>
      <c r="AG282" s="22" t="str">
        <f>IF(E282&lt;&gt;"", IF(AG281&lt;&gt;"", E282*AG281, ""), "")</f>
        <v/>
      </c>
      <c r="AH282" s="22" t="str">
        <f>IF(E282&lt;&gt;"", IF(AH281&lt;&gt;"", E282*AH281, ""), "")</f>
        <v/>
      </c>
      <c r="AI282" s="22" t="str">
        <f>IF(E282&lt;&gt;"", IF(AI281&lt;&gt;"", E282*AI281, ""), "")</f>
        <v/>
      </c>
      <c r="AJ282" s="22" t="str">
        <f>IF(E282&lt;&gt;"", IF(AJ281&lt;&gt;"", E282*AJ281, ""), "")</f>
        <v/>
      </c>
      <c r="AK282" s="22" t="str">
        <f>IF(E282&lt;&gt;"", IF(AK281&lt;&gt;"", E282*AK281, ""), "")</f>
        <v/>
      </c>
      <c r="AL282" s="22" t="str">
        <f>IF(E282&lt;&gt;"", IF(AL281&lt;&gt;"", E282*AL281, ""), "")</f>
        <v/>
      </c>
      <c r="AM282" s="22" t="str">
        <f>IF(E282&lt;&gt;"", IF(AM281&lt;&gt;"", E282*AM281, ""), "")</f>
        <v/>
      </c>
      <c r="AN282" s="22" t="str">
        <f>IF(E282&lt;&gt;"", IF(AN281&lt;&gt;"", E282*AN281, ""), "")</f>
        <v/>
      </c>
      <c r="AO282" s="22" t="str">
        <f>IF(E282&lt;&gt;"", IF(AO281&lt;&gt;"", E282*AO281, ""), "")</f>
        <v/>
      </c>
      <c r="AP282" s="22" t="str">
        <f>IF(E282&lt;&gt;"", IF(AP281&lt;&gt;"", E282*AP281, ""), "")</f>
        <v/>
      </c>
      <c r="AQ282" s="22" t="str">
        <f>IF(E282&lt;&gt;"", IF(AQ281&lt;&gt;"", E282*AQ281, ""), "")</f>
        <v/>
      </c>
      <c r="AR282" s="22" t="str">
        <f>IF(E282&lt;&gt;"", IF(AR281&lt;&gt;"", E282*AR281, ""), "")</f>
        <v/>
      </c>
      <c r="AS282" s="22" t="str">
        <f>IF(E282&lt;&gt;"", IF(AS281&lt;&gt;"", E282*AS281, ""), "")</f>
        <v/>
      </c>
      <c r="AT282" s="22" t="str">
        <f>IF(E282&lt;&gt;"", IF(AT281&lt;&gt;"", E282*AT281, ""), "")</f>
        <v/>
      </c>
      <c r="AU282" s="22" t="str">
        <f>IF(E282&lt;&gt;"", IF(AU281&lt;&gt;"", E282*AU281, ""), "")</f>
        <v/>
      </c>
      <c r="AV282" s="22" t="str">
        <f>IF(E282&lt;&gt;"", IF(AV281&lt;&gt;"", E282*AV281, ""), "")</f>
        <v/>
      </c>
      <c r="AW282" s="22" t="str">
        <f>IF(E282&lt;&gt;"", IF(AW281&lt;&gt;"", E282*AW281, ""), "")</f>
        <v/>
      </c>
      <c r="AX282" s="22" t="str">
        <f>IF(E282&lt;&gt;"", IF(AX281&lt;&gt;"", E282*AX281, ""), "")</f>
        <v/>
      </c>
      <c r="AY282" s="22" t="str">
        <f>IF(E282&lt;&gt;"", IF(AY281&lt;&gt;"", E282*AY281, ""), "")</f>
        <v/>
      </c>
      <c r="AZ282" s="22" t="str">
        <f>IF(E282&lt;&gt;"", IF(AZ281&lt;&gt;"", E282*AZ281, ""), "")</f>
        <v/>
      </c>
      <c r="BA282" s="22" t="str">
        <f>IF(E282&lt;&gt;"", IF(BA281&lt;&gt;"", E282*BA281, ""), "")</f>
        <v/>
      </c>
      <c r="BB282" s="22" t="str">
        <f>IF(E282&lt;&gt;"", IF(BB281&lt;&gt;"", E282*BB281, ""), "")</f>
        <v/>
      </c>
      <c r="BC282" s="22" t="str">
        <f>IF(E282&lt;&gt;"", IF(BC281&lt;&gt;"", E282*BC281, ""), "")</f>
        <v/>
      </c>
      <c r="BD282" s="22" t="str">
        <f>IF(E282&lt;&gt;"", IF(BD281&lt;&gt;"", E282*BD281, ""), "")</f>
        <v/>
      </c>
      <c r="BE282" s="22" t="str">
        <f>IF(E282&lt;&gt;"", IF(BE281&lt;&gt;"", E282*BE281, ""), "")</f>
        <v/>
      </c>
    </row>
    <row r="283" spans="1:131" ht="20.100000000000001" customHeight="1">
      <c r="BA283" s="2"/>
      <c r="BB283" s="2"/>
      <c r="BC283" s="2"/>
      <c r="BD283" s="2"/>
      <c r="BE283" s="2"/>
    </row>
    <row r="284" spans="1:131" ht="20.100000000000001" customHeight="1">
      <c r="BA284" s="2"/>
      <c r="BB284" s="2"/>
      <c r="BC284" s="2"/>
      <c r="BD284" s="2"/>
      <c r="BE284" s="2"/>
    </row>
    <row r="285" spans="1:131" ht="20.100000000000001" customHeight="1">
      <c r="BA285" s="2"/>
      <c r="BB285" s="2"/>
      <c r="BC285" s="2"/>
      <c r="BD285" s="2"/>
      <c r="BE285" s="2"/>
    </row>
    <row r="286" spans="1:131" ht="20.100000000000001" customHeight="1">
      <c r="D286" s="222" t="s">
        <v>645</v>
      </c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23"/>
      <c r="S286" s="223"/>
      <c r="T286" s="223"/>
      <c r="U286" s="223"/>
      <c r="V286" s="223"/>
      <c r="W286" s="223"/>
      <c r="X286" s="223"/>
      <c r="Y286" s="223"/>
      <c r="Z286" s="223"/>
      <c r="BA286" s="2"/>
      <c r="BB286" s="2"/>
      <c r="BC286" s="2"/>
      <c r="BD286" s="2"/>
      <c r="BE286" s="2"/>
    </row>
    <row r="287" spans="1:131" ht="20.100000000000001" customHeight="1">
      <c r="A287" s="219" t="s">
        <v>320</v>
      </c>
      <c r="B287" s="73"/>
      <c r="C287" s="75"/>
      <c r="D287" s="219" t="s">
        <v>180</v>
      </c>
      <c r="E287" s="219" t="s">
        <v>181</v>
      </c>
      <c r="F287" s="54" t="s">
        <v>182</v>
      </c>
      <c r="G287" s="54" t="s">
        <v>184</v>
      </c>
      <c r="H287" s="54" t="s">
        <v>186</v>
      </c>
      <c r="I287" s="54" t="s">
        <v>188</v>
      </c>
      <c r="J287" s="54" t="s">
        <v>302</v>
      </c>
      <c r="K287" s="54" t="s">
        <v>302</v>
      </c>
      <c r="L287" s="54" t="s">
        <v>303</v>
      </c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DA287" s="18" t="s">
        <v>182</v>
      </c>
      <c r="DB287" s="18" t="s">
        <v>184</v>
      </c>
      <c r="DC287" s="18" t="s">
        <v>186</v>
      </c>
      <c r="DD287" s="18" t="s">
        <v>188</v>
      </c>
      <c r="DE287" s="18" t="s">
        <v>302</v>
      </c>
      <c r="DF287" s="18" t="s">
        <v>302</v>
      </c>
      <c r="DG287" s="18" t="s">
        <v>303</v>
      </c>
    </row>
    <row r="288" spans="1:131" ht="20.100000000000001" customHeight="1">
      <c r="A288" s="220"/>
      <c r="B288" s="14"/>
      <c r="C288" s="42"/>
      <c r="D288" s="220"/>
      <c r="E288" s="220"/>
      <c r="F288" s="44" t="s">
        <v>191</v>
      </c>
      <c r="G288" s="44" t="s">
        <v>195</v>
      </c>
      <c r="H288" s="44" t="s">
        <v>304</v>
      </c>
      <c r="I288" s="44" t="s">
        <v>200</v>
      </c>
      <c r="J288" s="44" t="s">
        <v>305</v>
      </c>
      <c r="K288" s="44" t="s">
        <v>305</v>
      </c>
      <c r="L288" s="44" t="s">
        <v>305</v>
      </c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DA288" s="18" t="s">
        <v>191</v>
      </c>
      <c r="DB288" s="18" t="s">
        <v>195</v>
      </c>
      <c r="DC288" s="18" t="s">
        <v>318</v>
      </c>
      <c r="DD288" s="18" t="s">
        <v>200</v>
      </c>
      <c r="DE288" s="18" t="s">
        <v>305</v>
      </c>
      <c r="DF288" s="18" t="s">
        <v>305</v>
      </c>
      <c r="DG288" s="18" t="s">
        <v>305</v>
      </c>
    </row>
    <row r="289" spans="1:111" ht="20.100000000000001" customHeight="1">
      <c r="A289" s="221"/>
      <c r="B289" s="74"/>
      <c r="C289" s="76"/>
      <c r="D289" s="221"/>
      <c r="E289" s="221"/>
      <c r="F289" s="55" t="s">
        <v>205</v>
      </c>
      <c r="G289" s="55" t="s">
        <v>213</v>
      </c>
      <c r="H289" s="55" t="s">
        <v>215</v>
      </c>
      <c r="I289" s="55" t="s">
        <v>218</v>
      </c>
      <c r="J289" s="55" t="s">
        <v>306</v>
      </c>
      <c r="K289" s="55" t="s">
        <v>307</v>
      </c>
      <c r="L289" s="55" t="s">
        <v>308</v>
      </c>
      <c r="M289" s="55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60"/>
      <c r="AB289" s="60"/>
      <c r="AC289" s="60"/>
      <c r="AD289" s="60"/>
      <c r="AE289" s="60"/>
      <c r="AF289" s="60"/>
      <c r="AG289" s="60"/>
      <c r="AH289" s="60"/>
      <c r="AI289" s="60"/>
      <c r="AJ289" s="60"/>
      <c r="AK289" s="60"/>
      <c r="AL289" s="60"/>
      <c r="AM289" s="60"/>
      <c r="AN289" s="60"/>
      <c r="AO289" s="60"/>
      <c r="AP289" s="60"/>
      <c r="AQ289" s="60"/>
      <c r="AR289" s="60"/>
      <c r="AS289" s="60"/>
      <c r="AT289" s="60"/>
      <c r="AU289" s="60"/>
      <c r="AV289" s="60"/>
      <c r="AW289" s="60"/>
      <c r="AX289" s="60"/>
      <c r="AY289" s="60"/>
      <c r="AZ289" s="60"/>
      <c r="BA289" s="60"/>
      <c r="BB289" s="60"/>
      <c r="BC289" s="60"/>
      <c r="BD289" s="60"/>
      <c r="BE289" s="60"/>
      <c r="DA289" s="18" t="s">
        <v>319</v>
      </c>
      <c r="DB289" s="18" t="s">
        <v>213</v>
      </c>
      <c r="DC289" s="18" t="s">
        <v>215</v>
      </c>
      <c r="DD289" s="18" t="s">
        <v>218</v>
      </c>
      <c r="DE289" s="18" t="s">
        <v>306</v>
      </c>
      <c r="DF289" s="18" t="s">
        <v>307</v>
      </c>
      <c r="DG289" s="18" t="s">
        <v>308</v>
      </c>
    </row>
    <row r="290" spans="1:111" ht="20.100000000000001" customHeight="1">
      <c r="A290" s="220">
        <v>1</v>
      </c>
      <c r="B290" s="7"/>
      <c r="C290" s="7"/>
      <c r="D290" s="5" t="s">
        <v>309</v>
      </c>
      <c r="E290" s="3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59"/>
      <c r="AT290" s="59"/>
      <c r="AU290" s="59"/>
      <c r="AV290" s="59"/>
      <c r="AW290" s="59"/>
      <c r="AX290" s="59"/>
      <c r="AY290" s="59"/>
      <c r="AZ290" s="59"/>
      <c r="BA290" s="59"/>
      <c r="BB290" s="59"/>
      <c r="BC290" s="59"/>
      <c r="BD290" s="59"/>
      <c r="BE290" s="59"/>
    </row>
    <row r="291" spans="1:111" ht="20.100000000000001" customHeight="1">
      <c r="A291" s="221"/>
      <c r="B291" s="7"/>
      <c r="C291" s="7"/>
      <c r="D291" s="78"/>
      <c r="E291" s="47" t="str">
        <f>IF(egTextCal(D291)&lt;&gt;0, egTextCal(D291),"")</f>
        <v/>
      </c>
      <c r="F291" s="48" t="str">
        <f>IF(E291&lt;&gt;"", IF(F290&lt;&gt;"", E291*F290,""),"")</f>
        <v/>
      </c>
      <c r="G291" s="48" t="str">
        <f>IF(E291&lt;&gt;"", IF(G290&lt;&gt;"", E291*G290,""),"")</f>
        <v/>
      </c>
      <c r="H291" s="48" t="str">
        <f>IF(E291&lt;&gt;"", IF(H290&lt;&gt;"", E291*H290,""),"")</f>
        <v/>
      </c>
      <c r="I291" s="48" t="str">
        <f>IF(E291&lt;&gt;"", IF(I290&lt;&gt;"", E291*I290,""),"")</f>
        <v/>
      </c>
      <c r="J291" s="48" t="str">
        <f>IF(E291&lt;&gt;"", IF(J290&lt;&gt;"", E291*J290,""),"")</f>
        <v/>
      </c>
      <c r="K291" s="48" t="str">
        <f>IF(E291&lt;&gt;"", IF(K290&lt;&gt;"", E291*K290,""),"")</f>
        <v/>
      </c>
      <c r="L291" s="48" t="str">
        <f>IF(E291&lt;&gt;"", IF(L290&lt;&gt;"", E291*L290,""),"")</f>
        <v/>
      </c>
      <c r="M291" s="48" t="str">
        <f>IF(E291&lt;&gt;"", IF(M290&lt;&gt;"", E291*M290,""),"")</f>
        <v/>
      </c>
      <c r="N291" s="48" t="str">
        <f>IF(E291&lt;&gt;"", IF(N290&lt;&gt;"", E291*N290,""),"")</f>
        <v/>
      </c>
      <c r="O291" s="48" t="str">
        <f>IF(E291&lt;&gt;"", IF(O290&lt;&gt;"", E291*O290,""),"")</f>
        <v/>
      </c>
      <c r="P291" s="48" t="str">
        <f>IF(E291&lt;&gt;"", IF(P290&lt;&gt;"", E291*P290,""),"")</f>
        <v/>
      </c>
      <c r="Q291" s="48" t="str">
        <f>IF(E291&lt;&gt;"", IF(Q290&lt;&gt;"", E291*Q290,""),"")</f>
        <v/>
      </c>
      <c r="R291" s="48" t="str">
        <f>IF(E291&lt;&gt;"", IF(R290&lt;&gt;"", E291*R290,""),"")</f>
        <v/>
      </c>
      <c r="S291" s="48" t="str">
        <f>IF(E291&lt;&gt;"", IF(S290&lt;&gt;"", E291*S290,""),"")</f>
        <v/>
      </c>
      <c r="T291" s="48" t="str">
        <f>IF(E291&lt;&gt;"", IF(T290&lt;&gt;"", E291*T290,""),"")</f>
        <v/>
      </c>
      <c r="U291" s="48" t="str">
        <f>IF(E291&lt;&gt;"", IF(U290&lt;&gt;"", E291*U290,""),"")</f>
        <v/>
      </c>
      <c r="V291" s="48" t="str">
        <f>IF(E291&lt;&gt;"", IF(V290&lt;&gt;"", E291*V290,""),"")</f>
        <v/>
      </c>
      <c r="W291" s="48" t="str">
        <f>IF(E291&lt;&gt;"", IF(W290&lt;&gt;"", E291*W290,""),"")</f>
        <v/>
      </c>
      <c r="X291" s="48" t="str">
        <f>IF(E291&lt;&gt;"", IF(X290&lt;&gt;"", E291*X290,""),"")</f>
        <v/>
      </c>
      <c r="Y291" s="48" t="str">
        <f>IF(E291&lt;&gt;"", IF(Y290&lt;&gt;"", E291*Y290,""),"")</f>
        <v/>
      </c>
      <c r="Z291" s="48" t="str">
        <f>IF(E291&lt;&gt;"", IF(Z290&lt;&gt;"", E291*Z290,""),"")</f>
        <v/>
      </c>
      <c r="AA291" s="22"/>
      <c r="AB291" s="22" t="str">
        <f>IF(E291&lt;&gt;"", IF(AB290&lt;&gt;"", E291*AB290, ""), "")</f>
        <v/>
      </c>
      <c r="AC291" s="22" t="str">
        <f>IF(E291&lt;&gt;"", IF(AC290&lt;&gt;"", E291*AC290, ""), "")</f>
        <v/>
      </c>
      <c r="AD291" s="22" t="str">
        <f>IF(E291&lt;&gt;"", IF(AD290&lt;&gt;"", E291*AD290, ""), "")</f>
        <v/>
      </c>
      <c r="AE291" s="22" t="str">
        <f>IF(E291&lt;&gt;"", IF(AE290&lt;&gt;"", E291*AE290, ""), "")</f>
        <v/>
      </c>
      <c r="AF291" s="22" t="str">
        <f>IF(E291&lt;&gt;"", IF(AF290&lt;&gt;"", E291*AF290, ""), "")</f>
        <v/>
      </c>
      <c r="AG291" s="22" t="str">
        <f>IF(E291&lt;&gt;"", IF(AG290&lt;&gt;"", E291*AG290, ""), "")</f>
        <v/>
      </c>
      <c r="AH291" s="22" t="str">
        <f>IF(E291&lt;&gt;"", IF(AH290&lt;&gt;"", E291*AH290, ""), "")</f>
        <v/>
      </c>
      <c r="AI291" s="22" t="str">
        <f>IF(E291&lt;&gt;"", IF(AI290&lt;&gt;"", E291*AI290, ""), "")</f>
        <v/>
      </c>
      <c r="AJ291" s="22" t="str">
        <f>IF(E291&lt;&gt;"", IF(AJ290&lt;&gt;"", E291*AJ290, ""), "")</f>
        <v/>
      </c>
      <c r="AK291" s="22" t="str">
        <f>IF(E291&lt;&gt;"", IF(AK290&lt;&gt;"", E291*AK290, ""), "")</f>
        <v/>
      </c>
      <c r="AL291" s="22" t="str">
        <f>IF(E291&lt;&gt;"", IF(AL290&lt;&gt;"", E291*AL290, ""), "")</f>
        <v/>
      </c>
      <c r="AM291" s="22" t="str">
        <f>IF(E291&lt;&gt;"", IF(AM290&lt;&gt;"", E291*AM290, ""), "")</f>
        <v/>
      </c>
      <c r="AN291" s="22" t="str">
        <f>IF(E291&lt;&gt;"", IF(AN290&lt;&gt;"", E291*AN290, ""), "")</f>
        <v/>
      </c>
      <c r="AO291" s="22" t="str">
        <f>IF(E291&lt;&gt;"", IF(AO290&lt;&gt;"", E291*AO290, ""), "")</f>
        <v/>
      </c>
      <c r="AP291" s="22" t="str">
        <f>IF(E291&lt;&gt;"", IF(AP290&lt;&gt;"", E291*AP290, ""), "")</f>
        <v/>
      </c>
      <c r="AQ291" s="22" t="str">
        <f>IF(E291&lt;&gt;"", IF(AQ290&lt;&gt;"", E291*AQ290, ""), "")</f>
        <v/>
      </c>
      <c r="AR291" s="22" t="str">
        <f>IF(E291&lt;&gt;"", IF(AR290&lt;&gt;"", E291*AR290, ""), "")</f>
        <v/>
      </c>
      <c r="AS291" s="22" t="str">
        <f>IF(E291&lt;&gt;"", IF(AS290&lt;&gt;"", E291*AS290, ""), "")</f>
        <v/>
      </c>
      <c r="AT291" s="22" t="str">
        <f>IF(E291&lt;&gt;"", IF(AT290&lt;&gt;"", E291*AT290, ""), "")</f>
        <v/>
      </c>
      <c r="AU291" s="22" t="str">
        <f>IF(E291&lt;&gt;"", IF(AU290&lt;&gt;"", E291*AU290, ""), "")</f>
        <v/>
      </c>
      <c r="AV291" s="22" t="str">
        <f>IF(E291&lt;&gt;"", IF(AV290&lt;&gt;"", E291*AV290, ""), "")</f>
        <v/>
      </c>
      <c r="AW291" s="22" t="str">
        <f>IF(E291&lt;&gt;"", IF(AW290&lt;&gt;"", E291*AW290, ""), "")</f>
        <v/>
      </c>
      <c r="AX291" s="22" t="str">
        <f>IF(E291&lt;&gt;"", IF(AX290&lt;&gt;"", E291*AX290, ""), "")</f>
        <v/>
      </c>
      <c r="AY291" s="22" t="str">
        <f>IF(E291&lt;&gt;"", IF(AY290&lt;&gt;"", E291*AY290, ""), "")</f>
        <v/>
      </c>
      <c r="AZ291" s="22" t="str">
        <f>IF(E291&lt;&gt;"", IF(AZ290&lt;&gt;"", E291*AZ290, ""), "")</f>
        <v/>
      </c>
      <c r="BA291" s="22" t="str">
        <f>IF(E291&lt;&gt;"", IF(BA290&lt;&gt;"", E291*BA290, ""), "")</f>
        <v/>
      </c>
      <c r="BB291" s="22" t="str">
        <f>IF(E291&lt;&gt;"", IF(BB290&lt;&gt;"", E291*BB290, ""), "")</f>
        <v/>
      </c>
      <c r="BC291" s="22" t="str">
        <f>IF(E291&lt;&gt;"", IF(BC290&lt;&gt;"", E291*BC290, ""), "")</f>
        <v/>
      </c>
      <c r="BD291" s="22" t="str">
        <f>IF(E291&lt;&gt;"", IF(BD290&lt;&gt;"", E291*BD290, ""), "")</f>
        <v/>
      </c>
      <c r="BE291" s="22" t="str">
        <f>IF(E291&lt;&gt;"", IF(BE290&lt;&gt;"", E291*BE290, ""), "")</f>
        <v/>
      </c>
    </row>
    <row r="292" spans="1:111" ht="20.100000000000001" customHeight="1">
      <c r="A292" s="220">
        <v>2</v>
      </c>
      <c r="B292" s="7"/>
      <c r="C292" s="7"/>
      <c r="D292" s="5" t="s">
        <v>239</v>
      </c>
      <c r="E292" s="3"/>
      <c r="F292" s="46">
        <v>1</v>
      </c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59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59"/>
      <c r="AT292" s="59"/>
      <c r="AU292" s="59"/>
      <c r="AV292" s="59"/>
      <c r="AW292" s="59"/>
      <c r="AX292" s="59"/>
      <c r="AY292" s="59"/>
      <c r="AZ292" s="59"/>
      <c r="BA292" s="59"/>
      <c r="BB292" s="59"/>
      <c r="BC292" s="59"/>
      <c r="BD292" s="59"/>
      <c r="BE292" s="59"/>
    </row>
    <row r="293" spans="1:111" ht="20.100000000000001" customHeight="1">
      <c r="A293" s="221"/>
      <c r="B293" s="7"/>
      <c r="C293" s="7"/>
      <c r="D293" s="78" t="s">
        <v>310</v>
      </c>
      <c r="E293" s="47">
        <f>IF(egTextCal(D293)&lt;&gt;0, egTextCal(D293),"")</f>
        <v>135</v>
      </c>
      <c r="F293" s="48">
        <f>IF(E293&lt;&gt;"", IF(F292&lt;&gt;"", E293*F292,""),"")</f>
        <v>135</v>
      </c>
      <c r="G293" s="48" t="str">
        <f>IF(E293&lt;&gt;"", IF(G292&lt;&gt;"", E293*G292,""),"")</f>
        <v/>
      </c>
      <c r="H293" s="48" t="str">
        <f>IF(E293&lt;&gt;"", IF(H292&lt;&gt;"", E293*H292,""),"")</f>
        <v/>
      </c>
      <c r="I293" s="48" t="str">
        <f>IF(E293&lt;&gt;"", IF(I292&lt;&gt;"", E293*I292,""),"")</f>
        <v/>
      </c>
      <c r="J293" s="48" t="str">
        <f>IF(E293&lt;&gt;"", IF(J292&lt;&gt;"", E293*J292,""),"")</f>
        <v/>
      </c>
      <c r="K293" s="48" t="str">
        <f>IF(E293&lt;&gt;"", IF(K292&lt;&gt;"", E293*K292,""),"")</f>
        <v/>
      </c>
      <c r="L293" s="48" t="str">
        <f>IF(E293&lt;&gt;"", IF(L292&lt;&gt;"", E293*L292,""),"")</f>
        <v/>
      </c>
      <c r="M293" s="48" t="str">
        <f>IF(E293&lt;&gt;"", IF(M292&lt;&gt;"", E293*M292,""),"")</f>
        <v/>
      </c>
      <c r="N293" s="48" t="str">
        <f>IF(E293&lt;&gt;"", IF(N292&lt;&gt;"", E293*N292,""),"")</f>
        <v/>
      </c>
      <c r="O293" s="48" t="str">
        <f>IF(E293&lt;&gt;"", IF(O292&lt;&gt;"", E293*O292,""),"")</f>
        <v/>
      </c>
      <c r="P293" s="48" t="str">
        <f>IF(E293&lt;&gt;"", IF(P292&lt;&gt;"", E293*P292,""),"")</f>
        <v/>
      </c>
      <c r="Q293" s="48" t="str">
        <f>IF(E293&lt;&gt;"", IF(Q292&lt;&gt;"", E293*Q292,""),"")</f>
        <v/>
      </c>
      <c r="R293" s="48" t="str">
        <f>IF(E293&lt;&gt;"", IF(R292&lt;&gt;"", E293*R292,""),"")</f>
        <v/>
      </c>
      <c r="S293" s="48" t="str">
        <f>IF(E293&lt;&gt;"", IF(S292&lt;&gt;"", E293*S292,""),"")</f>
        <v/>
      </c>
      <c r="T293" s="48" t="str">
        <f>IF(E293&lt;&gt;"", IF(T292&lt;&gt;"", E293*T292,""),"")</f>
        <v/>
      </c>
      <c r="U293" s="48" t="str">
        <f>IF(E293&lt;&gt;"", IF(U292&lt;&gt;"", E293*U292,""),"")</f>
        <v/>
      </c>
      <c r="V293" s="48" t="str">
        <f>IF(E293&lt;&gt;"", IF(V292&lt;&gt;"", E293*V292,""),"")</f>
        <v/>
      </c>
      <c r="W293" s="48" t="str">
        <f>IF(E293&lt;&gt;"", IF(W292&lt;&gt;"", E293*W292,""),"")</f>
        <v/>
      </c>
      <c r="X293" s="48" t="str">
        <f>IF(E293&lt;&gt;"", IF(X292&lt;&gt;"", E293*X292,""),"")</f>
        <v/>
      </c>
      <c r="Y293" s="48" t="str">
        <f>IF(E293&lt;&gt;"", IF(Y292&lt;&gt;"", E293*Y292,""),"")</f>
        <v/>
      </c>
      <c r="Z293" s="48" t="str">
        <f>IF(E293&lt;&gt;"", IF(Z292&lt;&gt;"", E293*Z292,""),"")</f>
        <v/>
      </c>
      <c r="AA293" s="22"/>
      <c r="AB293" s="22" t="str">
        <f>IF(E293&lt;&gt;"", IF(AB292&lt;&gt;"", E293*AB292, ""), "")</f>
        <v/>
      </c>
      <c r="AC293" s="22" t="str">
        <f>IF(E293&lt;&gt;"", IF(AC292&lt;&gt;"", E293*AC292, ""), "")</f>
        <v/>
      </c>
      <c r="AD293" s="22" t="str">
        <f>IF(E293&lt;&gt;"", IF(AD292&lt;&gt;"", E293*AD292, ""), "")</f>
        <v/>
      </c>
      <c r="AE293" s="22" t="str">
        <f>IF(E293&lt;&gt;"", IF(AE292&lt;&gt;"", E293*AE292, ""), "")</f>
        <v/>
      </c>
      <c r="AF293" s="22" t="str">
        <f>IF(E293&lt;&gt;"", IF(AF292&lt;&gt;"", E293*AF292, ""), "")</f>
        <v/>
      </c>
      <c r="AG293" s="22" t="str">
        <f>IF(E293&lt;&gt;"", IF(AG292&lt;&gt;"", E293*AG292, ""), "")</f>
        <v/>
      </c>
      <c r="AH293" s="22" t="str">
        <f>IF(E293&lt;&gt;"", IF(AH292&lt;&gt;"", E293*AH292, ""), "")</f>
        <v/>
      </c>
      <c r="AI293" s="22" t="str">
        <f>IF(E293&lt;&gt;"", IF(AI292&lt;&gt;"", E293*AI292, ""), "")</f>
        <v/>
      </c>
      <c r="AJ293" s="22" t="str">
        <f>IF(E293&lt;&gt;"", IF(AJ292&lt;&gt;"", E293*AJ292, ""), "")</f>
        <v/>
      </c>
      <c r="AK293" s="22" t="str">
        <f>IF(E293&lt;&gt;"", IF(AK292&lt;&gt;"", E293*AK292, ""), "")</f>
        <v/>
      </c>
      <c r="AL293" s="22" t="str">
        <f>IF(E293&lt;&gt;"", IF(AL292&lt;&gt;"", E293*AL292, ""), "")</f>
        <v/>
      </c>
      <c r="AM293" s="22" t="str">
        <f>IF(E293&lt;&gt;"", IF(AM292&lt;&gt;"", E293*AM292, ""), "")</f>
        <v/>
      </c>
      <c r="AN293" s="22" t="str">
        <f>IF(E293&lt;&gt;"", IF(AN292&lt;&gt;"", E293*AN292, ""), "")</f>
        <v/>
      </c>
      <c r="AO293" s="22" t="str">
        <f>IF(E293&lt;&gt;"", IF(AO292&lt;&gt;"", E293*AO292, ""), "")</f>
        <v/>
      </c>
      <c r="AP293" s="22" t="str">
        <f>IF(E293&lt;&gt;"", IF(AP292&lt;&gt;"", E293*AP292, ""), "")</f>
        <v/>
      </c>
      <c r="AQ293" s="22" t="str">
        <f>IF(E293&lt;&gt;"", IF(AQ292&lt;&gt;"", E293*AQ292, ""), "")</f>
        <v/>
      </c>
      <c r="AR293" s="22" t="str">
        <f>IF(E293&lt;&gt;"", IF(AR292&lt;&gt;"", E293*AR292, ""), "")</f>
        <v/>
      </c>
      <c r="AS293" s="22" t="str">
        <f>IF(E293&lt;&gt;"", IF(AS292&lt;&gt;"", E293*AS292, ""), "")</f>
        <v/>
      </c>
      <c r="AT293" s="22" t="str">
        <f>IF(E293&lt;&gt;"", IF(AT292&lt;&gt;"", E293*AT292, ""), "")</f>
        <v/>
      </c>
      <c r="AU293" s="22" t="str">
        <f>IF(E293&lt;&gt;"", IF(AU292&lt;&gt;"", E293*AU292, ""), "")</f>
        <v/>
      </c>
      <c r="AV293" s="22" t="str">
        <f>IF(E293&lt;&gt;"", IF(AV292&lt;&gt;"", E293*AV292, ""), "")</f>
        <v/>
      </c>
      <c r="AW293" s="22" t="str">
        <f>IF(E293&lt;&gt;"", IF(AW292&lt;&gt;"", E293*AW292, ""), "")</f>
        <v/>
      </c>
      <c r="AX293" s="22" t="str">
        <f>IF(E293&lt;&gt;"", IF(AX292&lt;&gt;"", E293*AX292, ""), "")</f>
        <v/>
      </c>
      <c r="AY293" s="22" t="str">
        <f>IF(E293&lt;&gt;"", IF(AY292&lt;&gt;"", E293*AY292, ""), "")</f>
        <v/>
      </c>
      <c r="AZ293" s="22" t="str">
        <f>IF(E293&lt;&gt;"", IF(AZ292&lt;&gt;"", E293*AZ292, ""), "")</f>
        <v/>
      </c>
      <c r="BA293" s="22" t="str">
        <f>IF(E293&lt;&gt;"", IF(BA292&lt;&gt;"", E293*BA292, ""), "")</f>
        <v/>
      </c>
      <c r="BB293" s="22" t="str">
        <f>IF(E293&lt;&gt;"", IF(BB292&lt;&gt;"", E293*BB292, ""), "")</f>
        <v/>
      </c>
      <c r="BC293" s="22" t="str">
        <f>IF(E293&lt;&gt;"", IF(BC292&lt;&gt;"", E293*BC292, ""), "")</f>
        <v/>
      </c>
      <c r="BD293" s="22" t="str">
        <f>IF(E293&lt;&gt;"", IF(BD292&lt;&gt;"", E293*BD292, ""), "")</f>
        <v/>
      </c>
      <c r="BE293" s="22" t="str">
        <f>IF(E293&lt;&gt;"", IF(BE292&lt;&gt;"", E293*BE292, ""), "")</f>
        <v/>
      </c>
      <c r="DA293" s="18">
        <f>F293</f>
        <v>135</v>
      </c>
    </row>
    <row r="294" spans="1:111" ht="20.100000000000001" customHeight="1">
      <c r="A294" s="220">
        <v>3</v>
      </c>
      <c r="B294" s="7"/>
      <c r="C294" s="7"/>
      <c r="D294" s="5" t="s">
        <v>239</v>
      </c>
      <c r="E294" s="3"/>
      <c r="F294" s="46">
        <v>1</v>
      </c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59"/>
      <c r="AB294" s="59"/>
      <c r="AC294" s="59"/>
      <c r="AD294" s="59"/>
      <c r="AE294" s="59"/>
      <c r="AF294" s="59"/>
      <c r="AG294" s="59"/>
      <c r="AH294" s="59"/>
      <c r="AI294" s="59"/>
      <c r="AJ294" s="59"/>
      <c r="AK294" s="59"/>
      <c r="AL294" s="59"/>
      <c r="AM294" s="59"/>
      <c r="AN294" s="59"/>
      <c r="AO294" s="59"/>
      <c r="AP294" s="59"/>
      <c r="AQ294" s="59"/>
      <c r="AR294" s="59"/>
      <c r="AS294" s="59"/>
      <c r="AT294" s="59"/>
      <c r="AU294" s="59"/>
      <c r="AV294" s="59"/>
      <c r="AW294" s="59"/>
      <c r="AX294" s="59"/>
      <c r="AY294" s="59"/>
      <c r="AZ294" s="59"/>
      <c r="BA294" s="59"/>
      <c r="BB294" s="59"/>
      <c r="BC294" s="59"/>
      <c r="BD294" s="59"/>
      <c r="BE294" s="59"/>
    </row>
    <row r="295" spans="1:111" ht="20.100000000000001" customHeight="1">
      <c r="A295" s="221"/>
      <c r="B295" s="7"/>
      <c r="C295" s="7"/>
      <c r="D295" s="78" t="s">
        <v>311</v>
      </c>
      <c r="E295" s="47">
        <f>IF(egTextCal(D295)&lt;&gt;0, egTextCal(D295),"")</f>
        <v>135</v>
      </c>
      <c r="F295" s="48">
        <f>IF(E295&lt;&gt;"", IF(F294&lt;&gt;"", E295*F294,""),"")</f>
        <v>135</v>
      </c>
      <c r="G295" s="48" t="str">
        <f>IF(E295&lt;&gt;"", IF(G294&lt;&gt;"", E295*G294,""),"")</f>
        <v/>
      </c>
      <c r="H295" s="48" t="str">
        <f>IF(E295&lt;&gt;"", IF(H294&lt;&gt;"", E295*H294,""),"")</f>
        <v/>
      </c>
      <c r="I295" s="48" t="str">
        <f>IF(E295&lt;&gt;"", IF(I294&lt;&gt;"", E295*I294,""),"")</f>
        <v/>
      </c>
      <c r="J295" s="48" t="str">
        <f>IF(E295&lt;&gt;"", IF(J294&lt;&gt;"", E295*J294,""),"")</f>
        <v/>
      </c>
      <c r="K295" s="48" t="str">
        <f>IF(E295&lt;&gt;"", IF(K294&lt;&gt;"", E295*K294,""),"")</f>
        <v/>
      </c>
      <c r="L295" s="48" t="str">
        <f>IF(E295&lt;&gt;"", IF(L294&lt;&gt;"", E295*L294,""),"")</f>
        <v/>
      </c>
      <c r="M295" s="48" t="str">
        <f>IF(E295&lt;&gt;"", IF(M294&lt;&gt;"", E295*M294,""),"")</f>
        <v/>
      </c>
      <c r="N295" s="48" t="str">
        <f>IF(E295&lt;&gt;"", IF(N294&lt;&gt;"", E295*N294,""),"")</f>
        <v/>
      </c>
      <c r="O295" s="48" t="str">
        <f>IF(E295&lt;&gt;"", IF(O294&lt;&gt;"", E295*O294,""),"")</f>
        <v/>
      </c>
      <c r="P295" s="48" t="str">
        <f>IF(E295&lt;&gt;"", IF(P294&lt;&gt;"", E295*P294,""),"")</f>
        <v/>
      </c>
      <c r="Q295" s="48" t="str">
        <f>IF(E295&lt;&gt;"", IF(Q294&lt;&gt;"", E295*Q294,""),"")</f>
        <v/>
      </c>
      <c r="R295" s="48" t="str">
        <f>IF(E295&lt;&gt;"", IF(R294&lt;&gt;"", E295*R294,""),"")</f>
        <v/>
      </c>
      <c r="S295" s="48" t="str">
        <f>IF(E295&lt;&gt;"", IF(S294&lt;&gt;"", E295*S294,""),"")</f>
        <v/>
      </c>
      <c r="T295" s="48" t="str">
        <f>IF(E295&lt;&gt;"", IF(T294&lt;&gt;"", E295*T294,""),"")</f>
        <v/>
      </c>
      <c r="U295" s="48" t="str">
        <f>IF(E295&lt;&gt;"", IF(U294&lt;&gt;"", E295*U294,""),"")</f>
        <v/>
      </c>
      <c r="V295" s="48" t="str">
        <f>IF(E295&lt;&gt;"", IF(V294&lt;&gt;"", E295*V294,""),"")</f>
        <v/>
      </c>
      <c r="W295" s="48" t="str">
        <f>IF(E295&lt;&gt;"", IF(W294&lt;&gt;"", E295*W294,""),"")</f>
        <v/>
      </c>
      <c r="X295" s="48" t="str">
        <f>IF(E295&lt;&gt;"", IF(X294&lt;&gt;"", E295*X294,""),"")</f>
        <v/>
      </c>
      <c r="Y295" s="48" t="str">
        <f>IF(E295&lt;&gt;"", IF(Y294&lt;&gt;"", E295*Y294,""),"")</f>
        <v/>
      </c>
      <c r="Z295" s="48" t="str">
        <f>IF(E295&lt;&gt;"", IF(Z294&lt;&gt;"", E295*Z294,""),"")</f>
        <v/>
      </c>
      <c r="AA295" s="22"/>
      <c r="AB295" s="22" t="str">
        <f>IF(E295&lt;&gt;"", IF(AB294&lt;&gt;"", E295*AB294, ""), "")</f>
        <v/>
      </c>
      <c r="AC295" s="22" t="str">
        <f>IF(E295&lt;&gt;"", IF(AC294&lt;&gt;"", E295*AC294, ""), "")</f>
        <v/>
      </c>
      <c r="AD295" s="22" t="str">
        <f>IF(E295&lt;&gt;"", IF(AD294&lt;&gt;"", E295*AD294, ""), "")</f>
        <v/>
      </c>
      <c r="AE295" s="22" t="str">
        <f>IF(E295&lt;&gt;"", IF(AE294&lt;&gt;"", E295*AE294, ""), "")</f>
        <v/>
      </c>
      <c r="AF295" s="22" t="str">
        <f>IF(E295&lt;&gt;"", IF(AF294&lt;&gt;"", E295*AF294, ""), "")</f>
        <v/>
      </c>
      <c r="AG295" s="22" t="str">
        <f>IF(E295&lt;&gt;"", IF(AG294&lt;&gt;"", E295*AG294, ""), "")</f>
        <v/>
      </c>
      <c r="AH295" s="22" t="str">
        <f>IF(E295&lt;&gt;"", IF(AH294&lt;&gt;"", E295*AH294, ""), "")</f>
        <v/>
      </c>
      <c r="AI295" s="22" t="str">
        <f>IF(E295&lt;&gt;"", IF(AI294&lt;&gt;"", E295*AI294, ""), "")</f>
        <v/>
      </c>
      <c r="AJ295" s="22" t="str">
        <f>IF(E295&lt;&gt;"", IF(AJ294&lt;&gt;"", E295*AJ294, ""), "")</f>
        <v/>
      </c>
      <c r="AK295" s="22" t="str">
        <f>IF(E295&lt;&gt;"", IF(AK294&lt;&gt;"", E295*AK294, ""), "")</f>
        <v/>
      </c>
      <c r="AL295" s="22" t="str">
        <f>IF(E295&lt;&gt;"", IF(AL294&lt;&gt;"", E295*AL294, ""), "")</f>
        <v/>
      </c>
      <c r="AM295" s="22" t="str">
        <f>IF(E295&lt;&gt;"", IF(AM294&lt;&gt;"", E295*AM294, ""), "")</f>
        <v/>
      </c>
      <c r="AN295" s="22" t="str">
        <f>IF(E295&lt;&gt;"", IF(AN294&lt;&gt;"", E295*AN294, ""), "")</f>
        <v/>
      </c>
      <c r="AO295" s="22" t="str">
        <f>IF(E295&lt;&gt;"", IF(AO294&lt;&gt;"", E295*AO294, ""), "")</f>
        <v/>
      </c>
      <c r="AP295" s="22" t="str">
        <f>IF(E295&lt;&gt;"", IF(AP294&lt;&gt;"", E295*AP294, ""), "")</f>
        <v/>
      </c>
      <c r="AQ295" s="22" t="str">
        <f>IF(E295&lt;&gt;"", IF(AQ294&lt;&gt;"", E295*AQ294, ""), "")</f>
        <v/>
      </c>
      <c r="AR295" s="22" t="str">
        <f>IF(E295&lt;&gt;"", IF(AR294&lt;&gt;"", E295*AR294, ""), "")</f>
        <v/>
      </c>
      <c r="AS295" s="22" t="str">
        <f>IF(E295&lt;&gt;"", IF(AS294&lt;&gt;"", E295*AS294, ""), "")</f>
        <v/>
      </c>
      <c r="AT295" s="22" t="str">
        <f>IF(E295&lt;&gt;"", IF(AT294&lt;&gt;"", E295*AT294, ""), "")</f>
        <v/>
      </c>
      <c r="AU295" s="22" t="str">
        <f>IF(E295&lt;&gt;"", IF(AU294&lt;&gt;"", E295*AU294, ""), "")</f>
        <v/>
      </c>
      <c r="AV295" s="22" t="str">
        <f>IF(E295&lt;&gt;"", IF(AV294&lt;&gt;"", E295*AV294, ""), "")</f>
        <v/>
      </c>
      <c r="AW295" s="22" t="str">
        <f>IF(E295&lt;&gt;"", IF(AW294&lt;&gt;"", E295*AW294, ""), "")</f>
        <v/>
      </c>
      <c r="AX295" s="22" t="str">
        <f>IF(E295&lt;&gt;"", IF(AX294&lt;&gt;"", E295*AX294, ""), "")</f>
        <v/>
      </c>
      <c r="AY295" s="22" t="str">
        <f>IF(E295&lt;&gt;"", IF(AY294&lt;&gt;"", E295*AY294, ""), "")</f>
        <v/>
      </c>
      <c r="AZ295" s="22" t="str">
        <f>IF(E295&lt;&gt;"", IF(AZ294&lt;&gt;"", E295*AZ294, ""), "")</f>
        <v/>
      </c>
      <c r="BA295" s="22" t="str">
        <f>IF(E295&lt;&gt;"", IF(BA294&lt;&gt;"", E295*BA294, ""), "")</f>
        <v/>
      </c>
      <c r="BB295" s="22" t="str">
        <f>IF(E295&lt;&gt;"", IF(BB294&lt;&gt;"", E295*BB294, ""), "")</f>
        <v/>
      </c>
      <c r="BC295" s="22" t="str">
        <f>IF(E295&lt;&gt;"", IF(BC294&lt;&gt;"", E295*BC294, ""), "")</f>
        <v/>
      </c>
      <c r="BD295" s="22" t="str">
        <f>IF(E295&lt;&gt;"", IF(BD294&lt;&gt;"", E295*BD294, ""), "")</f>
        <v/>
      </c>
      <c r="BE295" s="22" t="str">
        <f>IF(E295&lt;&gt;"", IF(BE294&lt;&gt;"", E295*BE294, ""), "")</f>
        <v/>
      </c>
      <c r="DA295" s="18">
        <f>F295</f>
        <v>135</v>
      </c>
    </row>
    <row r="296" spans="1:111" ht="20.100000000000001" customHeight="1">
      <c r="A296" s="220">
        <v>4</v>
      </c>
      <c r="B296" s="7"/>
      <c r="C296" s="7"/>
      <c r="D296" s="5" t="s">
        <v>241</v>
      </c>
      <c r="E296" s="3"/>
      <c r="F296" s="46"/>
      <c r="G296" s="46"/>
      <c r="H296" s="46"/>
      <c r="I296" s="46">
        <v>1</v>
      </c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59"/>
      <c r="AB296" s="59"/>
      <c r="AC296" s="59"/>
      <c r="AD296" s="59"/>
      <c r="AE296" s="59"/>
      <c r="AF296" s="59"/>
      <c r="AG296" s="59"/>
      <c r="AH296" s="59"/>
      <c r="AI296" s="59"/>
      <c r="AJ296" s="59"/>
      <c r="AK296" s="59"/>
      <c r="AL296" s="59"/>
      <c r="AM296" s="59"/>
      <c r="AN296" s="59"/>
      <c r="AO296" s="59"/>
      <c r="AP296" s="59"/>
      <c r="AQ296" s="59"/>
      <c r="AR296" s="59"/>
      <c r="AS296" s="59"/>
      <c r="AT296" s="59"/>
      <c r="AU296" s="59"/>
      <c r="AV296" s="59"/>
      <c r="AW296" s="59"/>
      <c r="AX296" s="59"/>
      <c r="AY296" s="59"/>
      <c r="AZ296" s="59"/>
      <c r="BA296" s="59"/>
      <c r="BB296" s="59"/>
      <c r="BC296" s="59"/>
      <c r="BD296" s="59"/>
      <c r="BE296" s="59"/>
    </row>
    <row r="297" spans="1:111" ht="20.100000000000001" customHeight="1">
      <c r="A297" s="221"/>
      <c r="B297" s="7"/>
      <c r="C297" s="7"/>
      <c r="D297" s="78" t="s">
        <v>312</v>
      </c>
      <c r="E297" s="47">
        <f>IF(egTextCal(D297)&lt;&gt;0, egTextCal(D297),"")</f>
        <v>540</v>
      </c>
      <c r="F297" s="48" t="str">
        <f>IF(E297&lt;&gt;"", IF(F296&lt;&gt;"", E297*F296,""),"")</f>
        <v/>
      </c>
      <c r="G297" s="48" t="str">
        <f>IF(E297&lt;&gt;"", IF(G296&lt;&gt;"", E297*G296,""),"")</f>
        <v/>
      </c>
      <c r="H297" s="48" t="str">
        <f>IF(E297&lt;&gt;"", IF(H296&lt;&gt;"", E297*H296,""),"")</f>
        <v/>
      </c>
      <c r="I297" s="48">
        <f>IF(E297&lt;&gt;"", IF(I296&lt;&gt;"", E297*I296,""),"")</f>
        <v>540</v>
      </c>
      <c r="J297" s="48" t="str">
        <f>IF(E297&lt;&gt;"", IF(J296&lt;&gt;"", E297*J296,""),"")</f>
        <v/>
      </c>
      <c r="K297" s="48" t="str">
        <f>IF(E297&lt;&gt;"", IF(K296&lt;&gt;"", E297*K296,""),"")</f>
        <v/>
      </c>
      <c r="L297" s="48" t="str">
        <f>IF(E297&lt;&gt;"", IF(L296&lt;&gt;"", E297*L296,""),"")</f>
        <v/>
      </c>
      <c r="M297" s="48" t="str">
        <f>IF(E297&lt;&gt;"", IF(M296&lt;&gt;"", E297*M296,""),"")</f>
        <v/>
      </c>
      <c r="N297" s="48" t="str">
        <f>IF(E297&lt;&gt;"", IF(N296&lt;&gt;"", E297*N296,""),"")</f>
        <v/>
      </c>
      <c r="O297" s="48" t="str">
        <f>IF(E297&lt;&gt;"", IF(O296&lt;&gt;"", E297*O296,""),"")</f>
        <v/>
      </c>
      <c r="P297" s="48" t="str">
        <f>IF(E297&lt;&gt;"", IF(P296&lt;&gt;"", E297*P296,""),"")</f>
        <v/>
      </c>
      <c r="Q297" s="48" t="str">
        <f>IF(E297&lt;&gt;"", IF(Q296&lt;&gt;"", E297*Q296,""),"")</f>
        <v/>
      </c>
      <c r="R297" s="48" t="str">
        <f>IF(E297&lt;&gt;"", IF(R296&lt;&gt;"", E297*R296,""),"")</f>
        <v/>
      </c>
      <c r="S297" s="48" t="str">
        <f>IF(E297&lt;&gt;"", IF(S296&lt;&gt;"", E297*S296,""),"")</f>
        <v/>
      </c>
      <c r="T297" s="48" t="str">
        <f>IF(E297&lt;&gt;"", IF(T296&lt;&gt;"", E297*T296,""),"")</f>
        <v/>
      </c>
      <c r="U297" s="48" t="str">
        <f>IF(E297&lt;&gt;"", IF(U296&lt;&gt;"", E297*U296,""),"")</f>
        <v/>
      </c>
      <c r="V297" s="48" t="str">
        <f>IF(E297&lt;&gt;"", IF(V296&lt;&gt;"", E297*V296,""),"")</f>
        <v/>
      </c>
      <c r="W297" s="48" t="str">
        <f>IF(E297&lt;&gt;"", IF(W296&lt;&gt;"", E297*W296,""),"")</f>
        <v/>
      </c>
      <c r="X297" s="48" t="str">
        <f>IF(E297&lt;&gt;"", IF(X296&lt;&gt;"", E297*X296,""),"")</f>
        <v/>
      </c>
      <c r="Y297" s="48" t="str">
        <f>IF(E297&lt;&gt;"", IF(Y296&lt;&gt;"", E297*Y296,""),"")</f>
        <v/>
      </c>
      <c r="Z297" s="48" t="str">
        <f>IF(E297&lt;&gt;"", IF(Z296&lt;&gt;"", E297*Z296,""),"")</f>
        <v/>
      </c>
      <c r="AA297" s="22"/>
      <c r="AB297" s="22" t="str">
        <f>IF(E297&lt;&gt;"", IF(AB296&lt;&gt;"", E297*AB296, ""), "")</f>
        <v/>
      </c>
      <c r="AC297" s="22" t="str">
        <f>IF(E297&lt;&gt;"", IF(AC296&lt;&gt;"", E297*AC296, ""), "")</f>
        <v/>
      </c>
      <c r="AD297" s="22" t="str">
        <f>IF(E297&lt;&gt;"", IF(AD296&lt;&gt;"", E297*AD296, ""), "")</f>
        <v/>
      </c>
      <c r="AE297" s="22" t="str">
        <f>IF(E297&lt;&gt;"", IF(AE296&lt;&gt;"", E297*AE296, ""), "")</f>
        <v/>
      </c>
      <c r="AF297" s="22" t="str">
        <f>IF(E297&lt;&gt;"", IF(AF296&lt;&gt;"", E297*AF296, ""), "")</f>
        <v/>
      </c>
      <c r="AG297" s="22" t="str">
        <f>IF(E297&lt;&gt;"", IF(AG296&lt;&gt;"", E297*AG296, ""), "")</f>
        <v/>
      </c>
      <c r="AH297" s="22" t="str">
        <f>IF(E297&lt;&gt;"", IF(AH296&lt;&gt;"", E297*AH296, ""), "")</f>
        <v/>
      </c>
      <c r="AI297" s="22" t="str">
        <f>IF(E297&lt;&gt;"", IF(AI296&lt;&gt;"", E297*AI296, ""), "")</f>
        <v/>
      </c>
      <c r="AJ297" s="22" t="str">
        <f>IF(E297&lt;&gt;"", IF(AJ296&lt;&gt;"", E297*AJ296, ""), "")</f>
        <v/>
      </c>
      <c r="AK297" s="22" t="str">
        <f>IF(E297&lt;&gt;"", IF(AK296&lt;&gt;"", E297*AK296, ""), "")</f>
        <v/>
      </c>
      <c r="AL297" s="22" t="str">
        <f>IF(E297&lt;&gt;"", IF(AL296&lt;&gt;"", E297*AL296, ""), "")</f>
        <v/>
      </c>
      <c r="AM297" s="22" t="str">
        <f>IF(E297&lt;&gt;"", IF(AM296&lt;&gt;"", E297*AM296, ""), "")</f>
        <v/>
      </c>
      <c r="AN297" s="22" t="str">
        <f>IF(E297&lt;&gt;"", IF(AN296&lt;&gt;"", E297*AN296, ""), "")</f>
        <v/>
      </c>
      <c r="AO297" s="22" t="str">
        <f>IF(E297&lt;&gt;"", IF(AO296&lt;&gt;"", E297*AO296, ""), "")</f>
        <v/>
      </c>
      <c r="AP297" s="22" t="str">
        <f>IF(E297&lt;&gt;"", IF(AP296&lt;&gt;"", E297*AP296, ""), "")</f>
        <v/>
      </c>
      <c r="AQ297" s="22" t="str">
        <f>IF(E297&lt;&gt;"", IF(AQ296&lt;&gt;"", E297*AQ296, ""), "")</f>
        <v/>
      </c>
      <c r="AR297" s="22" t="str">
        <f>IF(E297&lt;&gt;"", IF(AR296&lt;&gt;"", E297*AR296, ""), "")</f>
        <v/>
      </c>
      <c r="AS297" s="22" t="str">
        <f>IF(E297&lt;&gt;"", IF(AS296&lt;&gt;"", E297*AS296, ""), "")</f>
        <v/>
      </c>
      <c r="AT297" s="22" t="str">
        <f>IF(E297&lt;&gt;"", IF(AT296&lt;&gt;"", E297*AT296, ""), "")</f>
        <v/>
      </c>
      <c r="AU297" s="22" t="str">
        <f>IF(E297&lt;&gt;"", IF(AU296&lt;&gt;"", E297*AU296, ""), "")</f>
        <v/>
      </c>
      <c r="AV297" s="22" t="str">
        <f>IF(E297&lt;&gt;"", IF(AV296&lt;&gt;"", E297*AV296, ""), "")</f>
        <v/>
      </c>
      <c r="AW297" s="22" t="str">
        <f>IF(E297&lt;&gt;"", IF(AW296&lt;&gt;"", E297*AW296, ""), "")</f>
        <v/>
      </c>
      <c r="AX297" s="22" t="str">
        <f>IF(E297&lt;&gt;"", IF(AX296&lt;&gt;"", E297*AX296, ""), "")</f>
        <v/>
      </c>
      <c r="AY297" s="22" t="str">
        <f>IF(E297&lt;&gt;"", IF(AY296&lt;&gt;"", E297*AY296, ""), "")</f>
        <v/>
      </c>
      <c r="AZ297" s="22" t="str">
        <f>IF(E297&lt;&gt;"", IF(AZ296&lt;&gt;"", E297*AZ296, ""), "")</f>
        <v/>
      </c>
      <c r="BA297" s="22" t="str">
        <f>IF(E297&lt;&gt;"", IF(BA296&lt;&gt;"", E297*BA296, ""), "")</f>
        <v/>
      </c>
      <c r="BB297" s="22" t="str">
        <f>IF(E297&lt;&gt;"", IF(BB296&lt;&gt;"", E297*BB296, ""), "")</f>
        <v/>
      </c>
      <c r="BC297" s="22" t="str">
        <f>IF(E297&lt;&gt;"", IF(BC296&lt;&gt;"", E297*BC296, ""), "")</f>
        <v/>
      </c>
      <c r="BD297" s="22" t="str">
        <f>IF(E297&lt;&gt;"", IF(BD296&lt;&gt;"", E297*BD296, ""), "")</f>
        <v/>
      </c>
      <c r="BE297" s="22" t="str">
        <f>IF(E297&lt;&gt;"", IF(BE296&lt;&gt;"", E297*BE296, ""), "")</f>
        <v/>
      </c>
      <c r="DD297" s="18">
        <f>I297</f>
        <v>540</v>
      </c>
    </row>
    <row r="298" spans="1:111" ht="20.100000000000001" customHeight="1">
      <c r="A298" s="220">
        <v>5</v>
      </c>
      <c r="B298" s="7"/>
      <c r="C298" s="7"/>
      <c r="D298" s="5" t="s">
        <v>275</v>
      </c>
      <c r="E298" s="3"/>
      <c r="F298" s="46"/>
      <c r="G298" s="46">
        <v>1</v>
      </c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59"/>
      <c r="AT298" s="59"/>
      <c r="AU298" s="59"/>
      <c r="AV298" s="59"/>
      <c r="AW298" s="59"/>
      <c r="AX298" s="59"/>
      <c r="AY298" s="59"/>
      <c r="AZ298" s="59"/>
      <c r="BA298" s="59"/>
      <c r="BB298" s="59"/>
      <c r="BC298" s="59"/>
      <c r="BD298" s="59"/>
      <c r="BE298" s="59"/>
    </row>
    <row r="299" spans="1:111" ht="20.100000000000001" customHeight="1">
      <c r="A299" s="221"/>
      <c r="B299" s="7"/>
      <c r="C299" s="7"/>
      <c r="D299" s="78" t="s">
        <v>313</v>
      </c>
      <c r="E299" s="47">
        <f>IF(egTextCal(D299)&lt;&gt;0, egTextCal(D299),"")</f>
        <v>13</v>
      </c>
      <c r="F299" s="48" t="str">
        <f>IF(E299&lt;&gt;"", IF(F298&lt;&gt;"", E299*F298,""),"")</f>
        <v/>
      </c>
      <c r="G299" s="48">
        <f>IF(E299&lt;&gt;"", IF(G298&lt;&gt;"", E299*G298,""),"")</f>
        <v>13</v>
      </c>
      <c r="H299" s="48" t="str">
        <f>IF(E299&lt;&gt;"", IF(H298&lt;&gt;"", E299*H298,""),"")</f>
        <v/>
      </c>
      <c r="I299" s="48" t="str">
        <f>IF(E299&lt;&gt;"", IF(I298&lt;&gt;"", E299*I298,""),"")</f>
        <v/>
      </c>
      <c r="J299" s="48" t="str">
        <f>IF(E299&lt;&gt;"", IF(J298&lt;&gt;"", E299*J298,""),"")</f>
        <v/>
      </c>
      <c r="K299" s="48" t="str">
        <f>IF(E299&lt;&gt;"", IF(K298&lt;&gt;"", E299*K298,""),"")</f>
        <v/>
      </c>
      <c r="L299" s="48" t="str">
        <f>IF(E299&lt;&gt;"", IF(L298&lt;&gt;"", E299*L298,""),"")</f>
        <v/>
      </c>
      <c r="M299" s="48" t="str">
        <f>IF(E299&lt;&gt;"", IF(M298&lt;&gt;"", E299*M298,""),"")</f>
        <v/>
      </c>
      <c r="N299" s="48" t="str">
        <f>IF(E299&lt;&gt;"", IF(N298&lt;&gt;"", E299*N298,""),"")</f>
        <v/>
      </c>
      <c r="O299" s="48" t="str">
        <f>IF(E299&lt;&gt;"", IF(O298&lt;&gt;"", E299*O298,""),"")</f>
        <v/>
      </c>
      <c r="P299" s="48" t="str">
        <f>IF(E299&lt;&gt;"", IF(P298&lt;&gt;"", E299*P298,""),"")</f>
        <v/>
      </c>
      <c r="Q299" s="48" t="str">
        <f>IF(E299&lt;&gt;"", IF(Q298&lt;&gt;"", E299*Q298,""),"")</f>
        <v/>
      </c>
      <c r="R299" s="48" t="str">
        <f>IF(E299&lt;&gt;"", IF(R298&lt;&gt;"", E299*R298,""),"")</f>
        <v/>
      </c>
      <c r="S299" s="48" t="str">
        <f>IF(E299&lt;&gt;"", IF(S298&lt;&gt;"", E299*S298,""),"")</f>
        <v/>
      </c>
      <c r="T299" s="48" t="str">
        <f>IF(E299&lt;&gt;"", IF(T298&lt;&gt;"", E299*T298,""),"")</f>
        <v/>
      </c>
      <c r="U299" s="48" t="str">
        <f>IF(E299&lt;&gt;"", IF(U298&lt;&gt;"", E299*U298,""),"")</f>
        <v/>
      </c>
      <c r="V299" s="48" t="str">
        <f>IF(E299&lt;&gt;"", IF(V298&lt;&gt;"", E299*V298,""),"")</f>
        <v/>
      </c>
      <c r="W299" s="48" t="str">
        <f>IF(E299&lt;&gt;"", IF(W298&lt;&gt;"", E299*W298,""),"")</f>
        <v/>
      </c>
      <c r="X299" s="48" t="str">
        <f>IF(E299&lt;&gt;"", IF(X298&lt;&gt;"", E299*X298,""),"")</f>
        <v/>
      </c>
      <c r="Y299" s="48" t="str">
        <f>IF(E299&lt;&gt;"", IF(Y298&lt;&gt;"", E299*Y298,""),"")</f>
        <v/>
      </c>
      <c r="Z299" s="48" t="str">
        <f>IF(E299&lt;&gt;"", IF(Z298&lt;&gt;"", E299*Z298,""),"")</f>
        <v/>
      </c>
      <c r="AA299" s="22"/>
      <c r="AB299" s="22" t="str">
        <f>IF(E299&lt;&gt;"", IF(AB298&lt;&gt;"", E299*AB298, ""), "")</f>
        <v/>
      </c>
      <c r="AC299" s="22" t="str">
        <f>IF(E299&lt;&gt;"", IF(AC298&lt;&gt;"", E299*AC298, ""), "")</f>
        <v/>
      </c>
      <c r="AD299" s="22" t="str">
        <f>IF(E299&lt;&gt;"", IF(AD298&lt;&gt;"", E299*AD298, ""), "")</f>
        <v/>
      </c>
      <c r="AE299" s="22" t="str">
        <f>IF(E299&lt;&gt;"", IF(AE298&lt;&gt;"", E299*AE298, ""), "")</f>
        <v/>
      </c>
      <c r="AF299" s="22" t="str">
        <f>IF(E299&lt;&gt;"", IF(AF298&lt;&gt;"", E299*AF298, ""), "")</f>
        <v/>
      </c>
      <c r="AG299" s="22" t="str">
        <f>IF(E299&lt;&gt;"", IF(AG298&lt;&gt;"", E299*AG298, ""), "")</f>
        <v/>
      </c>
      <c r="AH299" s="22" t="str">
        <f>IF(E299&lt;&gt;"", IF(AH298&lt;&gt;"", E299*AH298, ""), "")</f>
        <v/>
      </c>
      <c r="AI299" s="22" t="str">
        <f>IF(E299&lt;&gt;"", IF(AI298&lt;&gt;"", E299*AI298, ""), "")</f>
        <v/>
      </c>
      <c r="AJ299" s="22" t="str">
        <f>IF(E299&lt;&gt;"", IF(AJ298&lt;&gt;"", E299*AJ298, ""), "")</f>
        <v/>
      </c>
      <c r="AK299" s="22" t="str">
        <f>IF(E299&lt;&gt;"", IF(AK298&lt;&gt;"", E299*AK298, ""), "")</f>
        <v/>
      </c>
      <c r="AL299" s="22" t="str">
        <f>IF(E299&lt;&gt;"", IF(AL298&lt;&gt;"", E299*AL298, ""), "")</f>
        <v/>
      </c>
      <c r="AM299" s="22" t="str">
        <f>IF(E299&lt;&gt;"", IF(AM298&lt;&gt;"", E299*AM298, ""), "")</f>
        <v/>
      </c>
      <c r="AN299" s="22" t="str">
        <f>IF(E299&lt;&gt;"", IF(AN298&lt;&gt;"", E299*AN298, ""), "")</f>
        <v/>
      </c>
      <c r="AO299" s="22" t="str">
        <f>IF(E299&lt;&gt;"", IF(AO298&lt;&gt;"", E299*AO298, ""), "")</f>
        <v/>
      </c>
      <c r="AP299" s="22" t="str">
        <f>IF(E299&lt;&gt;"", IF(AP298&lt;&gt;"", E299*AP298, ""), "")</f>
        <v/>
      </c>
      <c r="AQ299" s="22" t="str">
        <f>IF(E299&lt;&gt;"", IF(AQ298&lt;&gt;"", E299*AQ298, ""), "")</f>
        <v/>
      </c>
      <c r="AR299" s="22" t="str">
        <f>IF(E299&lt;&gt;"", IF(AR298&lt;&gt;"", E299*AR298, ""), "")</f>
        <v/>
      </c>
      <c r="AS299" s="22" t="str">
        <f>IF(E299&lt;&gt;"", IF(AS298&lt;&gt;"", E299*AS298, ""), "")</f>
        <v/>
      </c>
      <c r="AT299" s="22" t="str">
        <f>IF(E299&lt;&gt;"", IF(AT298&lt;&gt;"", E299*AT298, ""), "")</f>
        <v/>
      </c>
      <c r="AU299" s="22" t="str">
        <f>IF(E299&lt;&gt;"", IF(AU298&lt;&gt;"", E299*AU298, ""), "")</f>
        <v/>
      </c>
      <c r="AV299" s="22" t="str">
        <f>IF(E299&lt;&gt;"", IF(AV298&lt;&gt;"", E299*AV298, ""), "")</f>
        <v/>
      </c>
      <c r="AW299" s="22" t="str">
        <f>IF(E299&lt;&gt;"", IF(AW298&lt;&gt;"", E299*AW298, ""), "")</f>
        <v/>
      </c>
      <c r="AX299" s="22" t="str">
        <f>IF(E299&lt;&gt;"", IF(AX298&lt;&gt;"", E299*AX298, ""), "")</f>
        <v/>
      </c>
      <c r="AY299" s="22" t="str">
        <f>IF(E299&lt;&gt;"", IF(AY298&lt;&gt;"", E299*AY298, ""), "")</f>
        <v/>
      </c>
      <c r="AZ299" s="22" t="str">
        <f>IF(E299&lt;&gt;"", IF(AZ298&lt;&gt;"", E299*AZ298, ""), "")</f>
        <v/>
      </c>
      <c r="BA299" s="22" t="str">
        <f>IF(E299&lt;&gt;"", IF(BA298&lt;&gt;"", E299*BA298, ""), "")</f>
        <v/>
      </c>
      <c r="BB299" s="22" t="str">
        <f>IF(E299&lt;&gt;"", IF(BB298&lt;&gt;"", E299*BB298, ""), "")</f>
        <v/>
      </c>
      <c r="BC299" s="22" t="str">
        <f>IF(E299&lt;&gt;"", IF(BC298&lt;&gt;"", E299*BC298, ""), "")</f>
        <v/>
      </c>
      <c r="BD299" s="22" t="str">
        <f>IF(E299&lt;&gt;"", IF(BD298&lt;&gt;"", E299*BD298, ""), "")</f>
        <v/>
      </c>
      <c r="BE299" s="22" t="str">
        <f>IF(E299&lt;&gt;"", IF(BE298&lt;&gt;"", E299*BE298, ""), "")</f>
        <v/>
      </c>
      <c r="DB299" s="18">
        <f>G299</f>
        <v>13</v>
      </c>
    </row>
    <row r="300" spans="1:111" ht="20.100000000000001" customHeight="1">
      <c r="A300" s="220">
        <v>6</v>
      </c>
      <c r="B300" s="7"/>
      <c r="C300" s="7"/>
      <c r="D300" s="5" t="s">
        <v>314</v>
      </c>
      <c r="E300" s="3"/>
      <c r="F300" s="46"/>
      <c r="G300" s="46"/>
      <c r="H300" s="46">
        <v>1</v>
      </c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59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  <c r="AP300" s="59"/>
      <c r="AQ300" s="59"/>
      <c r="AR300" s="59"/>
      <c r="AS300" s="59"/>
      <c r="AT300" s="59"/>
      <c r="AU300" s="59"/>
      <c r="AV300" s="59"/>
      <c r="AW300" s="59"/>
      <c r="AX300" s="59"/>
      <c r="AY300" s="59"/>
      <c r="AZ300" s="59"/>
      <c r="BA300" s="59"/>
      <c r="BB300" s="59"/>
      <c r="BC300" s="59"/>
      <c r="BD300" s="59"/>
      <c r="BE300" s="59"/>
    </row>
    <row r="301" spans="1:111" ht="20.100000000000001" customHeight="1">
      <c r="A301" s="221"/>
      <c r="B301" s="7"/>
      <c r="C301" s="7"/>
      <c r="D301" s="78" t="s">
        <v>313</v>
      </c>
      <c r="E301" s="47">
        <f>IF(egTextCal(D301)&lt;&gt;0, egTextCal(D301),"")</f>
        <v>13</v>
      </c>
      <c r="F301" s="48" t="str">
        <f>IF(E301&lt;&gt;"", IF(F300&lt;&gt;"", E301*F300,""),"")</f>
        <v/>
      </c>
      <c r="G301" s="48" t="str">
        <f>IF(E301&lt;&gt;"", IF(G300&lt;&gt;"", E301*G300,""),"")</f>
        <v/>
      </c>
      <c r="H301" s="48">
        <f>IF(E301&lt;&gt;"", IF(H300&lt;&gt;"", E301*H300,""),"")</f>
        <v>13</v>
      </c>
      <c r="I301" s="48" t="str">
        <f>IF(E301&lt;&gt;"", IF(I300&lt;&gt;"", E301*I300,""),"")</f>
        <v/>
      </c>
      <c r="J301" s="48" t="str">
        <f>IF(E301&lt;&gt;"", IF(J300&lt;&gt;"", E301*J300,""),"")</f>
        <v/>
      </c>
      <c r="K301" s="48" t="str">
        <f>IF(E301&lt;&gt;"", IF(K300&lt;&gt;"", E301*K300,""),"")</f>
        <v/>
      </c>
      <c r="L301" s="48" t="str">
        <f>IF(E301&lt;&gt;"", IF(L300&lt;&gt;"", E301*L300,""),"")</f>
        <v/>
      </c>
      <c r="M301" s="48" t="str">
        <f>IF(E301&lt;&gt;"", IF(M300&lt;&gt;"", E301*M300,""),"")</f>
        <v/>
      </c>
      <c r="N301" s="48" t="str">
        <f>IF(E301&lt;&gt;"", IF(N300&lt;&gt;"", E301*N300,""),"")</f>
        <v/>
      </c>
      <c r="O301" s="48" t="str">
        <f>IF(E301&lt;&gt;"", IF(O300&lt;&gt;"", E301*O300,""),"")</f>
        <v/>
      </c>
      <c r="P301" s="48" t="str">
        <f>IF(E301&lt;&gt;"", IF(P300&lt;&gt;"", E301*P300,""),"")</f>
        <v/>
      </c>
      <c r="Q301" s="48" t="str">
        <f>IF(E301&lt;&gt;"", IF(Q300&lt;&gt;"", E301*Q300,""),"")</f>
        <v/>
      </c>
      <c r="R301" s="48" t="str">
        <f>IF(E301&lt;&gt;"", IF(R300&lt;&gt;"", E301*R300,""),"")</f>
        <v/>
      </c>
      <c r="S301" s="48" t="str">
        <f>IF(E301&lt;&gt;"", IF(S300&lt;&gt;"", E301*S300,""),"")</f>
        <v/>
      </c>
      <c r="T301" s="48" t="str">
        <f>IF(E301&lt;&gt;"", IF(T300&lt;&gt;"", E301*T300,""),"")</f>
        <v/>
      </c>
      <c r="U301" s="48" t="str">
        <f>IF(E301&lt;&gt;"", IF(U300&lt;&gt;"", E301*U300,""),"")</f>
        <v/>
      </c>
      <c r="V301" s="48" t="str">
        <f>IF(E301&lt;&gt;"", IF(V300&lt;&gt;"", E301*V300,""),"")</f>
        <v/>
      </c>
      <c r="W301" s="48" t="str">
        <f>IF(E301&lt;&gt;"", IF(W300&lt;&gt;"", E301*W300,""),"")</f>
        <v/>
      </c>
      <c r="X301" s="48" t="str">
        <f>IF(E301&lt;&gt;"", IF(X300&lt;&gt;"", E301*X300,""),"")</f>
        <v/>
      </c>
      <c r="Y301" s="48" t="str">
        <f>IF(E301&lt;&gt;"", IF(Y300&lt;&gt;"", E301*Y300,""),"")</f>
        <v/>
      </c>
      <c r="Z301" s="48" t="str">
        <f>IF(E301&lt;&gt;"", IF(Z300&lt;&gt;"", E301*Z300,""),"")</f>
        <v/>
      </c>
      <c r="AA301" s="22"/>
      <c r="AB301" s="22" t="str">
        <f>IF(E301&lt;&gt;"", IF(AB300&lt;&gt;"", E301*AB300, ""), "")</f>
        <v/>
      </c>
      <c r="AC301" s="22" t="str">
        <f>IF(E301&lt;&gt;"", IF(AC300&lt;&gt;"", E301*AC300, ""), "")</f>
        <v/>
      </c>
      <c r="AD301" s="22" t="str">
        <f>IF(E301&lt;&gt;"", IF(AD300&lt;&gt;"", E301*AD300, ""), "")</f>
        <v/>
      </c>
      <c r="AE301" s="22" t="str">
        <f>IF(E301&lt;&gt;"", IF(AE300&lt;&gt;"", E301*AE300, ""), "")</f>
        <v/>
      </c>
      <c r="AF301" s="22" t="str">
        <f>IF(E301&lt;&gt;"", IF(AF300&lt;&gt;"", E301*AF300, ""), "")</f>
        <v/>
      </c>
      <c r="AG301" s="22" t="str">
        <f>IF(E301&lt;&gt;"", IF(AG300&lt;&gt;"", E301*AG300, ""), "")</f>
        <v/>
      </c>
      <c r="AH301" s="22" t="str">
        <f>IF(E301&lt;&gt;"", IF(AH300&lt;&gt;"", E301*AH300, ""), "")</f>
        <v/>
      </c>
      <c r="AI301" s="22" t="str">
        <f>IF(E301&lt;&gt;"", IF(AI300&lt;&gt;"", E301*AI300, ""), "")</f>
        <v/>
      </c>
      <c r="AJ301" s="22" t="str">
        <f>IF(E301&lt;&gt;"", IF(AJ300&lt;&gt;"", E301*AJ300, ""), "")</f>
        <v/>
      </c>
      <c r="AK301" s="22" t="str">
        <f>IF(E301&lt;&gt;"", IF(AK300&lt;&gt;"", E301*AK300, ""), "")</f>
        <v/>
      </c>
      <c r="AL301" s="22" t="str">
        <f>IF(E301&lt;&gt;"", IF(AL300&lt;&gt;"", E301*AL300, ""), "")</f>
        <v/>
      </c>
      <c r="AM301" s="22" t="str">
        <f>IF(E301&lt;&gt;"", IF(AM300&lt;&gt;"", E301*AM300, ""), "")</f>
        <v/>
      </c>
      <c r="AN301" s="22" t="str">
        <f>IF(E301&lt;&gt;"", IF(AN300&lt;&gt;"", E301*AN300, ""), "")</f>
        <v/>
      </c>
      <c r="AO301" s="22" t="str">
        <f>IF(E301&lt;&gt;"", IF(AO300&lt;&gt;"", E301*AO300, ""), "")</f>
        <v/>
      </c>
      <c r="AP301" s="22" t="str">
        <f>IF(E301&lt;&gt;"", IF(AP300&lt;&gt;"", E301*AP300, ""), "")</f>
        <v/>
      </c>
      <c r="AQ301" s="22" t="str">
        <f>IF(E301&lt;&gt;"", IF(AQ300&lt;&gt;"", E301*AQ300, ""), "")</f>
        <v/>
      </c>
      <c r="AR301" s="22" t="str">
        <f>IF(E301&lt;&gt;"", IF(AR300&lt;&gt;"", E301*AR300, ""), "")</f>
        <v/>
      </c>
      <c r="AS301" s="22" t="str">
        <f>IF(E301&lt;&gt;"", IF(AS300&lt;&gt;"", E301*AS300, ""), "")</f>
        <v/>
      </c>
      <c r="AT301" s="22" t="str">
        <f>IF(E301&lt;&gt;"", IF(AT300&lt;&gt;"", E301*AT300, ""), "")</f>
        <v/>
      </c>
      <c r="AU301" s="22" t="str">
        <f>IF(E301&lt;&gt;"", IF(AU300&lt;&gt;"", E301*AU300, ""), "")</f>
        <v/>
      </c>
      <c r="AV301" s="22" t="str">
        <f>IF(E301&lt;&gt;"", IF(AV300&lt;&gt;"", E301*AV300, ""), "")</f>
        <v/>
      </c>
      <c r="AW301" s="22" t="str">
        <f>IF(E301&lt;&gt;"", IF(AW300&lt;&gt;"", E301*AW300, ""), "")</f>
        <v/>
      </c>
      <c r="AX301" s="22" t="str">
        <f>IF(E301&lt;&gt;"", IF(AX300&lt;&gt;"", E301*AX300, ""), "")</f>
        <v/>
      </c>
      <c r="AY301" s="22" t="str">
        <f>IF(E301&lt;&gt;"", IF(AY300&lt;&gt;"", E301*AY300, ""), "")</f>
        <v/>
      </c>
      <c r="AZ301" s="22" t="str">
        <f>IF(E301&lt;&gt;"", IF(AZ300&lt;&gt;"", E301*AZ300, ""), "")</f>
        <v/>
      </c>
      <c r="BA301" s="22" t="str">
        <f>IF(E301&lt;&gt;"", IF(BA300&lt;&gt;"", E301*BA300, ""), "")</f>
        <v/>
      </c>
      <c r="BB301" s="22" t="str">
        <f>IF(E301&lt;&gt;"", IF(BB300&lt;&gt;"", E301*BB300, ""), "")</f>
        <v/>
      </c>
      <c r="BC301" s="22" t="str">
        <f>IF(E301&lt;&gt;"", IF(BC300&lt;&gt;"", E301*BC300, ""), "")</f>
        <v/>
      </c>
      <c r="BD301" s="22" t="str">
        <f>IF(E301&lt;&gt;"", IF(BD300&lt;&gt;"", E301*BD300, ""), "")</f>
        <v/>
      </c>
      <c r="BE301" s="22" t="str">
        <f>IF(E301&lt;&gt;"", IF(BE300&lt;&gt;"", E301*BE300, ""), "")</f>
        <v/>
      </c>
      <c r="DC301" s="18">
        <f>H301</f>
        <v>13</v>
      </c>
    </row>
    <row r="302" spans="1:111" ht="20.100000000000001" customHeight="1">
      <c r="A302" s="220">
        <v>7</v>
      </c>
      <c r="B302" s="7"/>
      <c r="C302" s="7"/>
      <c r="D302" s="5" t="s">
        <v>315</v>
      </c>
      <c r="E302" s="3"/>
      <c r="F302" s="46"/>
      <c r="G302" s="46"/>
      <c r="H302" s="46"/>
      <c r="I302" s="46"/>
      <c r="J302" s="46"/>
      <c r="K302" s="46">
        <v>1</v>
      </c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  <c r="AP302" s="59"/>
      <c r="AQ302" s="59"/>
      <c r="AR302" s="59"/>
      <c r="AS302" s="59"/>
      <c r="AT302" s="59"/>
      <c r="AU302" s="59"/>
      <c r="AV302" s="59"/>
      <c r="AW302" s="59"/>
      <c r="AX302" s="59"/>
      <c r="AY302" s="59"/>
      <c r="AZ302" s="59"/>
      <c r="BA302" s="59"/>
      <c r="BB302" s="59"/>
      <c r="BC302" s="59"/>
      <c r="BD302" s="59"/>
      <c r="BE302" s="59"/>
    </row>
    <row r="303" spans="1:111" ht="20.100000000000001" customHeight="1">
      <c r="A303" s="221"/>
      <c r="B303" s="7"/>
      <c r="C303" s="7"/>
      <c r="D303" s="78">
        <v>4</v>
      </c>
      <c r="E303" s="47">
        <f>IF(egTextCal(D303)&lt;&gt;0, egTextCal(D303),"")</f>
        <v>4</v>
      </c>
      <c r="F303" s="48" t="str">
        <f>IF(E303&lt;&gt;"", IF(F302&lt;&gt;"", E303*F302,""),"")</f>
        <v/>
      </c>
      <c r="G303" s="48" t="str">
        <f>IF(E303&lt;&gt;"", IF(G302&lt;&gt;"", E303*G302,""),"")</f>
        <v/>
      </c>
      <c r="H303" s="48" t="str">
        <f>IF(E303&lt;&gt;"", IF(H302&lt;&gt;"", E303*H302,""),"")</f>
        <v/>
      </c>
      <c r="I303" s="48" t="str">
        <f>IF(E303&lt;&gt;"", IF(I302&lt;&gt;"", E303*I302,""),"")</f>
        <v/>
      </c>
      <c r="J303" s="48" t="str">
        <f>IF(E303&lt;&gt;"", IF(J302&lt;&gt;"", E303*J302,""),"")</f>
        <v/>
      </c>
      <c r="K303" s="48">
        <f>IF(E303&lt;&gt;"", IF(K302&lt;&gt;"", E303*K302,""),"")</f>
        <v>4</v>
      </c>
      <c r="L303" s="48" t="str">
        <f>IF(E303&lt;&gt;"", IF(L302&lt;&gt;"", E303*L302,""),"")</f>
        <v/>
      </c>
      <c r="M303" s="48" t="str">
        <f>IF(E303&lt;&gt;"", IF(M302&lt;&gt;"", E303*M302,""),"")</f>
        <v/>
      </c>
      <c r="N303" s="48" t="str">
        <f>IF(E303&lt;&gt;"", IF(N302&lt;&gt;"", E303*N302,""),"")</f>
        <v/>
      </c>
      <c r="O303" s="48" t="str">
        <f>IF(E303&lt;&gt;"", IF(O302&lt;&gt;"", E303*O302,""),"")</f>
        <v/>
      </c>
      <c r="P303" s="48" t="str">
        <f>IF(E303&lt;&gt;"", IF(P302&lt;&gt;"", E303*P302,""),"")</f>
        <v/>
      </c>
      <c r="Q303" s="48" t="str">
        <f>IF(E303&lt;&gt;"", IF(Q302&lt;&gt;"", E303*Q302,""),"")</f>
        <v/>
      </c>
      <c r="R303" s="48" t="str">
        <f>IF(E303&lt;&gt;"", IF(R302&lt;&gt;"", E303*R302,""),"")</f>
        <v/>
      </c>
      <c r="S303" s="48" t="str">
        <f>IF(E303&lt;&gt;"", IF(S302&lt;&gt;"", E303*S302,""),"")</f>
        <v/>
      </c>
      <c r="T303" s="48" t="str">
        <f>IF(E303&lt;&gt;"", IF(T302&lt;&gt;"", E303*T302,""),"")</f>
        <v/>
      </c>
      <c r="U303" s="48" t="str">
        <f>IF(E303&lt;&gt;"", IF(U302&lt;&gt;"", E303*U302,""),"")</f>
        <v/>
      </c>
      <c r="V303" s="48" t="str">
        <f>IF(E303&lt;&gt;"", IF(V302&lt;&gt;"", E303*V302,""),"")</f>
        <v/>
      </c>
      <c r="W303" s="48" t="str">
        <f>IF(E303&lt;&gt;"", IF(W302&lt;&gt;"", E303*W302,""),"")</f>
        <v/>
      </c>
      <c r="X303" s="48" t="str">
        <f>IF(E303&lt;&gt;"", IF(X302&lt;&gt;"", E303*X302,""),"")</f>
        <v/>
      </c>
      <c r="Y303" s="48" t="str">
        <f>IF(E303&lt;&gt;"", IF(Y302&lt;&gt;"", E303*Y302,""),"")</f>
        <v/>
      </c>
      <c r="Z303" s="48" t="str">
        <f>IF(E303&lt;&gt;"", IF(Z302&lt;&gt;"", E303*Z302,""),"")</f>
        <v/>
      </c>
      <c r="AA303" s="22"/>
      <c r="AB303" s="22" t="str">
        <f>IF(E303&lt;&gt;"", IF(AB302&lt;&gt;"", E303*AB302, ""), "")</f>
        <v/>
      </c>
      <c r="AC303" s="22" t="str">
        <f>IF(E303&lt;&gt;"", IF(AC302&lt;&gt;"", E303*AC302, ""), "")</f>
        <v/>
      </c>
      <c r="AD303" s="22" t="str">
        <f>IF(E303&lt;&gt;"", IF(AD302&lt;&gt;"", E303*AD302, ""), "")</f>
        <v/>
      </c>
      <c r="AE303" s="22" t="str">
        <f>IF(E303&lt;&gt;"", IF(AE302&lt;&gt;"", E303*AE302, ""), "")</f>
        <v/>
      </c>
      <c r="AF303" s="22" t="str">
        <f>IF(E303&lt;&gt;"", IF(AF302&lt;&gt;"", E303*AF302, ""), "")</f>
        <v/>
      </c>
      <c r="AG303" s="22" t="str">
        <f>IF(E303&lt;&gt;"", IF(AG302&lt;&gt;"", E303*AG302, ""), "")</f>
        <v/>
      </c>
      <c r="AH303" s="22" t="str">
        <f>IF(E303&lt;&gt;"", IF(AH302&lt;&gt;"", E303*AH302, ""), "")</f>
        <v/>
      </c>
      <c r="AI303" s="22" t="str">
        <f>IF(E303&lt;&gt;"", IF(AI302&lt;&gt;"", E303*AI302, ""), "")</f>
        <v/>
      </c>
      <c r="AJ303" s="22" t="str">
        <f>IF(E303&lt;&gt;"", IF(AJ302&lt;&gt;"", E303*AJ302, ""), "")</f>
        <v/>
      </c>
      <c r="AK303" s="22" t="str">
        <f>IF(E303&lt;&gt;"", IF(AK302&lt;&gt;"", E303*AK302, ""), "")</f>
        <v/>
      </c>
      <c r="AL303" s="22" t="str">
        <f>IF(E303&lt;&gt;"", IF(AL302&lt;&gt;"", E303*AL302, ""), "")</f>
        <v/>
      </c>
      <c r="AM303" s="22" t="str">
        <f>IF(E303&lt;&gt;"", IF(AM302&lt;&gt;"", E303*AM302, ""), "")</f>
        <v/>
      </c>
      <c r="AN303" s="22" t="str">
        <f>IF(E303&lt;&gt;"", IF(AN302&lt;&gt;"", E303*AN302, ""), "")</f>
        <v/>
      </c>
      <c r="AO303" s="22" t="str">
        <f>IF(E303&lt;&gt;"", IF(AO302&lt;&gt;"", E303*AO302, ""), "")</f>
        <v/>
      </c>
      <c r="AP303" s="22" t="str">
        <f>IF(E303&lt;&gt;"", IF(AP302&lt;&gt;"", E303*AP302, ""), "")</f>
        <v/>
      </c>
      <c r="AQ303" s="22" t="str">
        <f>IF(E303&lt;&gt;"", IF(AQ302&lt;&gt;"", E303*AQ302, ""), "")</f>
        <v/>
      </c>
      <c r="AR303" s="22" t="str">
        <f>IF(E303&lt;&gt;"", IF(AR302&lt;&gt;"", E303*AR302, ""), "")</f>
        <v/>
      </c>
      <c r="AS303" s="22" t="str">
        <f>IF(E303&lt;&gt;"", IF(AS302&lt;&gt;"", E303*AS302, ""), "")</f>
        <v/>
      </c>
      <c r="AT303" s="22" t="str">
        <f>IF(E303&lt;&gt;"", IF(AT302&lt;&gt;"", E303*AT302, ""), "")</f>
        <v/>
      </c>
      <c r="AU303" s="22" t="str">
        <f>IF(E303&lt;&gt;"", IF(AU302&lt;&gt;"", E303*AU302, ""), "")</f>
        <v/>
      </c>
      <c r="AV303" s="22" t="str">
        <f>IF(E303&lt;&gt;"", IF(AV302&lt;&gt;"", E303*AV302, ""), "")</f>
        <v/>
      </c>
      <c r="AW303" s="22" t="str">
        <f>IF(E303&lt;&gt;"", IF(AW302&lt;&gt;"", E303*AW302, ""), "")</f>
        <v/>
      </c>
      <c r="AX303" s="22" t="str">
        <f>IF(E303&lt;&gt;"", IF(AX302&lt;&gt;"", E303*AX302, ""), "")</f>
        <v/>
      </c>
      <c r="AY303" s="22" t="str">
        <f>IF(E303&lt;&gt;"", IF(AY302&lt;&gt;"", E303*AY302, ""), "")</f>
        <v/>
      </c>
      <c r="AZ303" s="22" t="str">
        <f>IF(E303&lt;&gt;"", IF(AZ302&lt;&gt;"", E303*AZ302, ""), "")</f>
        <v/>
      </c>
      <c r="BA303" s="22" t="str">
        <f>IF(E303&lt;&gt;"", IF(BA302&lt;&gt;"", E303*BA302, ""), "")</f>
        <v/>
      </c>
      <c r="BB303" s="22" t="str">
        <f>IF(E303&lt;&gt;"", IF(BB302&lt;&gt;"", E303*BB302, ""), "")</f>
        <v/>
      </c>
      <c r="BC303" s="22" t="str">
        <f>IF(E303&lt;&gt;"", IF(BC302&lt;&gt;"", E303*BC302, ""), "")</f>
        <v/>
      </c>
      <c r="BD303" s="22" t="str">
        <f>IF(E303&lt;&gt;"", IF(BD302&lt;&gt;"", E303*BD302, ""), "")</f>
        <v/>
      </c>
      <c r="BE303" s="22" t="str">
        <f>IF(E303&lt;&gt;"", IF(BE302&lt;&gt;"", E303*BE302, ""), "")</f>
        <v/>
      </c>
      <c r="DF303" s="18">
        <f>K303</f>
        <v>4</v>
      </c>
    </row>
    <row r="304" spans="1:111" ht="20.100000000000001" customHeight="1">
      <c r="A304" s="220">
        <v>8</v>
      </c>
      <c r="B304" s="7"/>
      <c r="C304" s="7"/>
      <c r="D304" s="5" t="s">
        <v>316</v>
      </c>
      <c r="E304" s="3"/>
      <c r="F304" s="46"/>
      <c r="G304" s="46"/>
      <c r="H304" s="46"/>
      <c r="I304" s="46"/>
      <c r="J304" s="46">
        <v>1</v>
      </c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59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  <c r="AP304" s="59"/>
      <c r="AQ304" s="59"/>
      <c r="AR304" s="59"/>
      <c r="AS304" s="59"/>
      <c r="AT304" s="59"/>
      <c r="AU304" s="59"/>
      <c r="AV304" s="59"/>
      <c r="AW304" s="59"/>
      <c r="AX304" s="59"/>
      <c r="AY304" s="59"/>
      <c r="AZ304" s="59"/>
      <c r="BA304" s="59"/>
      <c r="BB304" s="59"/>
      <c r="BC304" s="59"/>
      <c r="BD304" s="59"/>
      <c r="BE304" s="59"/>
    </row>
    <row r="305" spans="1:111" ht="20.100000000000001" customHeight="1">
      <c r="A305" s="221"/>
      <c r="B305" s="7"/>
      <c r="C305" s="7"/>
      <c r="D305" s="78">
        <v>2</v>
      </c>
      <c r="E305" s="47">
        <f>IF(egTextCal(D305)&lt;&gt;0, egTextCal(D305),"")</f>
        <v>2</v>
      </c>
      <c r="F305" s="48" t="str">
        <f>IF(E305&lt;&gt;"", IF(F304&lt;&gt;"", E305*F304,""),"")</f>
        <v/>
      </c>
      <c r="G305" s="48" t="str">
        <f>IF(E305&lt;&gt;"", IF(G304&lt;&gt;"", E305*G304,""),"")</f>
        <v/>
      </c>
      <c r="H305" s="48" t="str">
        <f>IF(E305&lt;&gt;"", IF(H304&lt;&gt;"", E305*H304,""),"")</f>
        <v/>
      </c>
      <c r="I305" s="48" t="str">
        <f>IF(E305&lt;&gt;"", IF(I304&lt;&gt;"", E305*I304,""),"")</f>
        <v/>
      </c>
      <c r="J305" s="48">
        <f>IF(E305&lt;&gt;"", IF(J304&lt;&gt;"", E305*J304,""),"")</f>
        <v>2</v>
      </c>
      <c r="K305" s="48" t="str">
        <f>IF(E305&lt;&gt;"", IF(K304&lt;&gt;"", E305*K304,""),"")</f>
        <v/>
      </c>
      <c r="L305" s="48" t="str">
        <f>IF(E305&lt;&gt;"", IF(L304&lt;&gt;"", E305*L304,""),"")</f>
        <v/>
      </c>
      <c r="M305" s="48" t="str">
        <f>IF(E305&lt;&gt;"", IF(M304&lt;&gt;"", E305*M304,""),"")</f>
        <v/>
      </c>
      <c r="N305" s="48" t="str">
        <f>IF(E305&lt;&gt;"", IF(N304&lt;&gt;"", E305*N304,""),"")</f>
        <v/>
      </c>
      <c r="O305" s="48" t="str">
        <f>IF(E305&lt;&gt;"", IF(O304&lt;&gt;"", E305*O304,""),"")</f>
        <v/>
      </c>
      <c r="P305" s="48" t="str">
        <f>IF(E305&lt;&gt;"", IF(P304&lt;&gt;"", E305*P304,""),"")</f>
        <v/>
      </c>
      <c r="Q305" s="48" t="str">
        <f>IF(E305&lt;&gt;"", IF(Q304&lt;&gt;"", E305*Q304,""),"")</f>
        <v/>
      </c>
      <c r="R305" s="48" t="str">
        <f>IF(E305&lt;&gt;"", IF(R304&lt;&gt;"", E305*R304,""),"")</f>
        <v/>
      </c>
      <c r="S305" s="48" t="str">
        <f>IF(E305&lt;&gt;"", IF(S304&lt;&gt;"", E305*S304,""),"")</f>
        <v/>
      </c>
      <c r="T305" s="48" t="str">
        <f>IF(E305&lt;&gt;"", IF(T304&lt;&gt;"", E305*T304,""),"")</f>
        <v/>
      </c>
      <c r="U305" s="48" t="str">
        <f>IF(E305&lt;&gt;"", IF(U304&lt;&gt;"", E305*U304,""),"")</f>
        <v/>
      </c>
      <c r="V305" s="48" t="str">
        <f>IF(E305&lt;&gt;"", IF(V304&lt;&gt;"", E305*V304,""),"")</f>
        <v/>
      </c>
      <c r="W305" s="48" t="str">
        <f>IF(E305&lt;&gt;"", IF(W304&lt;&gt;"", E305*W304,""),"")</f>
        <v/>
      </c>
      <c r="X305" s="48" t="str">
        <f>IF(E305&lt;&gt;"", IF(X304&lt;&gt;"", E305*X304,""),"")</f>
        <v/>
      </c>
      <c r="Y305" s="48" t="str">
        <f>IF(E305&lt;&gt;"", IF(Y304&lt;&gt;"", E305*Y304,""),"")</f>
        <v/>
      </c>
      <c r="Z305" s="48" t="str">
        <f>IF(E305&lt;&gt;"", IF(Z304&lt;&gt;"", E305*Z304,""),"")</f>
        <v/>
      </c>
      <c r="AA305" s="22"/>
      <c r="AB305" s="22" t="str">
        <f>IF(E305&lt;&gt;"", IF(AB304&lt;&gt;"", E305*AB304, ""), "")</f>
        <v/>
      </c>
      <c r="AC305" s="22" t="str">
        <f>IF(E305&lt;&gt;"", IF(AC304&lt;&gt;"", E305*AC304, ""), "")</f>
        <v/>
      </c>
      <c r="AD305" s="22" t="str">
        <f>IF(E305&lt;&gt;"", IF(AD304&lt;&gt;"", E305*AD304, ""), "")</f>
        <v/>
      </c>
      <c r="AE305" s="22" t="str">
        <f>IF(E305&lt;&gt;"", IF(AE304&lt;&gt;"", E305*AE304, ""), "")</f>
        <v/>
      </c>
      <c r="AF305" s="22" t="str">
        <f>IF(E305&lt;&gt;"", IF(AF304&lt;&gt;"", E305*AF304, ""), "")</f>
        <v/>
      </c>
      <c r="AG305" s="22" t="str">
        <f>IF(E305&lt;&gt;"", IF(AG304&lt;&gt;"", E305*AG304, ""), "")</f>
        <v/>
      </c>
      <c r="AH305" s="22" t="str">
        <f>IF(E305&lt;&gt;"", IF(AH304&lt;&gt;"", E305*AH304, ""), "")</f>
        <v/>
      </c>
      <c r="AI305" s="22" t="str">
        <f>IF(E305&lt;&gt;"", IF(AI304&lt;&gt;"", E305*AI304, ""), "")</f>
        <v/>
      </c>
      <c r="AJ305" s="22" t="str">
        <f>IF(E305&lt;&gt;"", IF(AJ304&lt;&gt;"", E305*AJ304, ""), "")</f>
        <v/>
      </c>
      <c r="AK305" s="22" t="str">
        <f>IF(E305&lt;&gt;"", IF(AK304&lt;&gt;"", E305*AK304, ""), "")</f>
        <v/>
      </c>
      <c r="AL305" s="22" t="str">
        <f>IF(E305&lt;&gt;"", IF(AL304&lt;&gt;"", E305*AL304, ""), "")</f>
        <v/>
      </c>
      <c r="AM305" s="22" t="str">
        <f>IF(E305&lt;&gt;"", IF(AM304&lt;&gt;"", E305*AM304, ""), "")</f>
        <v/>
      </c>
      <c r="AN305" s="22" t="str">
        <f>IF(E305&lt;&gt;"", IF(AN304&lt;&gt;"", E305*AN304, ""), "")</f>
        <v/>
      </c>
      <c r="AO305" s="22" t="str">
        <f>IF(E305&lt;&gt;"", IF(AO304&lt;&gt;"", E305*AO304, ""), "")</f>
        <v/>
      </c>
      <c r="AP305" s="22" t="str">
        <f>IF(E305&lt;&gt;"", IF(AP304&lt;&gt;"", E305*AP304, ""), "")</f>
        <v/>
      </c>
      <c r="AQ305" s="22" t="str">
        <f>IF(E305&lt;&gt;"", IF(AQ304&lt;&gt;"", E305*AQ304, ""), "")</f>
        <v/>
      </c>
      <c r="AR305" s="22" t="str">
        <f>IF(E305&lt;&gt;"", IF(AR304&lt;&gt;"", E305*AR304, ""), "")</f>
        <v/>
      </c>
      <c r="AS305" s="22" t="str">
        <f>IF(E305&lt;&gt;"", IF(AS304&lt;&gt;"", E305*AS304, ""), "")</f>
        <v/>
      </c>
      <c r="AT305" s="22" t="str">
        <f>IF(E305&lt;&gt;"", IF(AT304&lt;&gt;"", E305*AT304, ""), "")</f>
        <v/>
      </c>
      <c r="AU305" s="22" t="str">
        <f>IF(E305&lt;&gt;"", IF(AU304&lt;&gt;"", E305*AU304, ""), "")</f>
        <v/>
      </c>
      <c r="AV305" s="22" t="str">
        <f>IF(E305&lt;&gt;"", IF(AV304&lt;&gt;"", E305*AV304, ""), "")</f>
        <v/>
      </c>
      <c r="AW305" s="22" t="str">
        <f>IF(E305&lt;&gt;"", IF(AW304&lt;&gt;"", E305*AW304, ""), "")</f>
        <v/>
      </c>
      <c r="AX305" s="22" t="str">
        <f>IF(E305&lt;&gt;"", IF(AX304&lt;&gt;"", E305*AX304, ""), "")</f>
        <v/>
      </c>
      <c r="AY305" s="22" t="str">
        <f>IF(E305&lt;&gt;"", IF(AY304&lt;&gt;"", E305*AY304, ""), "")</f>
        <v/>
      </c>
      <c r="AZ305" s="22" t="str">
        <f>IF(E305&lt;&gt;"", IF(AZ304&lt;&gt;"", E305*AZ304, ""), "")</f>
        <v/>
      </c>
      <c r="BA305" s="22" t="str">
        <f>IF(E305&lt;&gt;"", IF(BA304&lt;&gt;"", E305*BA304, ""), "")</f>
        <v/>
      </c>
      <c r="BB305" s="22" t="str">
        <f>IF(E305&lt;&gt;"", IF(BB304&lt;&gt;"", E305*BB304, ""), "")</f>
        <v/>
      </c>
      <c r="BC305" s="22" t="str">
        <f>IF(E305&lt;&gt;"", IF(BC304&lt;&gt;"", E305*BC304, ""), "")</f>
        <v/>
      </c>
      <c r="BD305" s="22" t="str">
        <f>IF(E305&lt;&gt;"", IF(BD304&lt;&gt;"", E305*BD304, ""), "")</f>
        <v/>
      </c>
      <c r="BE305" s="22" t="str">
        <f>IF(E305&lt;&gt;"", IF(BE304&lt;&gt;"", E305*BE304, ""), "")</f>
        <v/>
      </c>
      <c r="DE305" s="18">
        <f>J305</f>
        <v>2</v>
      </c>
    </row>
    <row r="306" spans="1:111" ht="20.100000000000001" customHeight="1">
      <c r="A306" s="220">
        <v>9</v>
      </c>
      <c r="B306" s="7"/>
      <c r="C306" s="7"/>
      <c r="D306" s="5" t="s">
        <v>317</v>
      </c>
      <c r="E306" s="3"/>
      <c r="F306" s="46"/>
      <c r="G306" s="46"/>
      <c r="H306" s="46"/>
      <c r="I306" s="46"/>
      <c r="J306" s="46"/>
      <c r="K306" s="46"/>
      <c r="L306" s="46">
        <v>1</v>
      </c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  <c r="AP306" s="59"/>
      <c r="AQ306" s="59"/>
      <c r="AR306" s="59"/>
      <c r="AS306" s="59"/>
      <c r="AT306" s="59"/>
      <c r="AU306" s="59"/>
      <c r="AV306" s="59"/>
      <c r="AW306" s="59"/>
      <c r="AX306" s="59"/>
      <c r="AY306" s="59"/>
      <c r="AZ306" s="59"/>
      <c r="BA306" s="59"/>
      <c r="BB306" s="59"/>
      <c r="BC306" s="59"/>
      <c r="BD306" s="59"/>
      <c r="BE306" s="59"/>
    </row>
    <row r="307" spans="1:111" ht="20.100000000000001" customHeight="1">
      <c r="A307" s="221"/>
      <c r="B307" s="7"/>
      <c r="C307" s="7"/>
      <c r="D307" s="78">
        <v>8</v>
      </c>
      <c r="E307" s="47">
        <f>IF(egTextCal(D307)&lt;&gt;0, egTextCal(D307),"")</f>
        <v>8</v>
      </c>
      <c r="F307" s="48" t="str">
        <f>IF(E307&lt;&gt;"", IF(F306&lt;&gt;"", E307*F306,""),"")</f>
        <v/>
      </c>
      <c r="G307" s="48" t="str">
        <f>IF(E307&lt;&gt;"", IF(G306&lt;&gt;"", E307*G306,""),"")</f>
        <v/>
      </c>
      <c r="H307" s="48" t="str">
        <f>IF(E307&lt;&gt;"", IF(H306&lt;&gt;"", E307*H306,""),"")</f>
        <v/>
      </c>
      <c r="I307" s="48" t="str">
        <f>IF(E307&lt;&gt;"", IF(I306&lt;&gt;"", E307*I306,""),"")</f>
        <v/>
      </c>
      <c r="J307" s="48" t="str">
        <f>IF(E307&lt;&gt;"", IF(J306&lt;&gt;"", E307*J306,""),"")</f>
        <v/>
      </c>
      <c r="K307" s="48" t="str">
        <f>IF(E307&lt;&gt;"", IF(K306&lt;&gt;"", E307*K306,""),"")</f>
        <v/>
      </c>
      <c r="L307" s="48">
        <f>IF(E307&lt;&gt;"", IF(L306&lt;&gt;"", E307*L306,""),"")</f>
        <v>8</v>
      </c>
      <c r="M307" s="48" t="str">
        <f>IF(E307&lt;&gt;"", IF(M306&lt;&gt;"", E307*M306,""),"")</f>
        <v/>
      </c>
      <c r="N307" s="48" t="str">
        <f>IF(E307&lt;&gt;"", IF(N306&lt;&gt;"", E307*N306,""),"")</f>
        <v/>
      </c>
      <c r="O307" s="48" t="str">
        <f>IF(E307&lt;&gt;"", IF(O306&lt;&gt;"", E307*O306,""),"")</f>
        <v/>
      </c>
      <c r="P307" s="48" t="str">
        <f>IF(E307&lt;&gt;"", IF(P306&lt;&gt;"", E307*P306,""),"")</f>
        <v/>
      </c>
      <c r="Q307" s="48" t="str">
        <f>IF(E307&lt;&gt;"", IF(Q306&lt;&gt;"", E307*Q306,""),"")</f>
        <v/>
      </c>
      <c r="R307" s="48" t="str">
        <f>IF(E307&lt;&gt;"", IF(R306&lt;&gt;"", E307*R306,""),"")</f>
        <v/>
      </c>
      <c r="S307" s="48" t="str">
        <f>IF(E307&lt;&gt;"", IF(S306&lt;&gt;"", E307*S306,""),"")</f>
        <v/>
      </c>
      <c r="T307" s="48" t="str">
        <f>IF(E307&lt;&gt;"", IF(T306&lt;&gt;"", E307*T306,""),"")</f>
        <v/>
      </c>
      <c r="U307" s="48" t="str">
        <f>IF(E307&lt;&gt;"", IF(U306&lt;&gt;"", E307*U306,""),"")</f>
        <v/>
      </c>
      <c r="V307" s="48" t="str">
        <f>IF(E307&lt;&gt;"", IF(V306&lt;&gt;"", E307*V306,""),"")</f>
        <v/>
      </c>
      <c r="W307" s="48" t="str">
        <f>IF(E307&lt;&gt;"", IF(W306&lt;&gt;"", E307*W306,""),"")</f>
        <v/>
      </c>
      <c r="X307" s="48" t="str">
        <f>IF(E307&lt;&gt;"", IF(X306&lt;&gt;"", E307*X306,""),"")</f>
        <v/>
      </c>
      <c r="Y307" s="48" t="str">
        <f>IF(E307&lt;&gt;"", IF(Y306&lt;&gt;"", E307*Y306,""),"")</f>
        <v/>
      </c>
      <c r="Z307" s="48" t="str">
        <f>IF(E307&lt;&gt;"", IF(Z306&lt;&gt;"", E307*Z306,""),"")</f>
        <v/>
      </c>
      <c r="AA307" s="22"/>
      <c r="AB307" s="22" t="str">
        <f>IF(E307&lt;&gt;"", IF(AB306&lt;&gt;"", E307*AB306, ""), "")</f>
        <v/>
      </c>
      <c r="AC307" s="22" t="str">
        <f>IF(E307&lt;&gt;"", IF(AC306&lt;&gt;"", E307*AC306, ""), "")</f>
        <v/>
      </c>
      <c r="AD307" s="22" t="str">
        <f>IF(E307&lt;&gt;"", IF(AD306&lt;&gt;"", E307*AD306, ""), "")</f>
        <v/>
      </c>
      <c r="AE307" s="22" t="str">
        <f>IF(E307&lt;&gt;"", IF(AE306&lt;&gt;"", E307*AE306, ""), "")</f>
        <v/>
      </c>
      <c r="AF307" s="22" t="str">
        <f>IF(E307&lt;&gt;"", IF(AF306&lt;&gt;"", E307*AF306, ""), "")</f>
        <v/>
      </c>
      <c r="AG307" s="22" t="str">
        <f>IF(E307&lt;&gt;"", IF(AG306&lt;&gt;"", E307*AG306, ""), "")</f>
        <v/>
      </c>
      <c r="AH307" s="22" t="str">
        <f>IF(E307&lt;&gt;"", IF(AH306&lt;&gt;"", E307*AH306, ""), "")</f>
        <v/>
      </c>
      <c r="AI307" s="22" t="str">
        <f>IF(E307&lt;&gt;"", IF(AI306&lt;&gt;"", E307*AI306, ""), "")</f>
        <v/>
      </c>
      <c r="AJ307" s="22" t="str">
        <f>IF(E307&lt;&gt;"", IF(AJ306&lt;&gt;"", E307*AJ306, ""), "")</f>
        <v/>
      </c>
      <c r="AK307" s="22" t="str">
        <f>IF(E307&lt;&gt;"", IF(AK306&lt;&gt;"", E307*AK306, ""), "")</f>
        <v/>
      </c>
      <c r="AL307" s="22" t="str">
        <f>IF(E307&lt;&gt;"", IF(AL306&lt;&gt;"", E307*AL306, ""), "")</f>
        <v/>
      </c>
      <c r="AM307" s="22" t="str">
        <f>IF(E307&lt;&gt;"", IF(AM306&lt;&gt;"", E307*AM306, ""), "")</f>
        <v/>
      </c>
      <c r="AN307" s="22" t="str">
        <f>IF(E307&lt;&gt;"", IF(AN306&lt;&gt;"", E307*AN306, ""), "")</f>
        <v/>
      </c>
      <c r="AO307" s="22" t="str">
        <f>IF(E307&lt;&gt;"", IF(AO306&lt;&gt;"", E307*AO306, ""), "")</f>
        <v/>
      </c>
      <c r="AP307" s="22" t="str">
        <f>IF(E307&lt;&gt;"", IF(AP306&lt;&gt;"", E307*AP306, ""), "")</f>
        <v/>
      </c>
      <c r="AQ307" s="22" t="str">
        <f>IF(E307&lt;&gt;"", IF(AQ306&lt;&gt;"", E307*AQ306, ""), "")</f>
        <v/>
      </c>
      <c r="AR307" s="22" t="str">
        <f>IF(E307&lt;&gt;"", IF(AR306&lt;&gt;"", E307*AR306, ""), "")</f>
        <v/>
      </c>
      <c r="AS307" s="22" t="str">
        <f>IF(E307&lt;&gt;"", IF(AS306&lt;&gt;"", E307*AS306, ""), "")</f>
        <v/>
      </c>
      <c r="AT307" s="22" t="str">
        <f>IF(E307&lt;&gt;"", IF(AT306&lt;&gt;"", E307*AT306, ""), "")</f>
        <v/>
      </c>
      <c r="AU307" s="22" t="str">
        <f>IF(E307&lt;&gt;"", IF(AU306&lt;&gt;"", E307*AU306, ""), "")</f>
        <v/>
      </c>
      <c r="AV307" s="22" t="str">
        <f>IF(E307&lt;&gt;"", IF(AV306&lt;&gt;"", E307*AV306, ""), "")</f>
        <v/>
      </c>
      <c r="AW307" s="22" t="str">
        <f>IF(E307&lt;&gt;"", IF(AW306&lt;&gt;"", E307*AW306, ""), "")</f>
        <v/>
      </c>
      <c r="AX307" s="22" t="str">
        <f>IF(E307&lt;&gt;"", IF(AX306&lt;&gt;"", E307*AX306, ""), "")</f>
        <v/>
      </c>
      <c r="AY307" s="22" t="str">
        <f>IF(E307&lt;&gt;"", IF(AY306&lt;&gt;"", E307*AY306, ""), "")</f>
        <v/>
      </c>
      <c r="AZ307" s="22" t="str">
        <f>IF(E307&lt;&gt;"", IF(AZ306&lt;&gt;"", E307*AZ306, ""), "")</f>
        <v/>
      </c>
      <c r="BA307" s="22" t="str">
        <f>IF(E307&lt;&gt;"", IF(BA306&lt;&gt;"", E307*BA306, ""), "")</f>
        <v/>
      </c>
      <c r="BB307" s="22" t="str">
        <f>IF(E307&lt;&gt;"", IF(BB306&lt;&gt;"", E307*BB306, ""), "")</f>
        <v/>
      </c>
      <c r="BC307" s="22" t="str">
        <f>IF(E307&lt;&gt;"", IF(BC306&lt;&gt;"", E307*BC306, ""), "")</f>
        <v/>
      </c>
      <c r="BD307" s="22" t="str">
        <f>IF(E307&lt;&gt;"", IF(BD306&lt;&gt;"", E307*BD306, ""), "")</f>
        <v/>
      </c>
      <c r="BE307" s="22" t="str">
        <f>IF(E307&lt;&gt;"", IF(BE306&lt;&gt;"", E307*BE306, ""), "")</f>
        <v/>
      </c>
      <c r="DG307" s="18">
        <f>L307</f>
        <v>8</v>
      </c>
    </row>
    <row r="308" spans="1:111" ht="20.100000000000001" customHeight="1">
      <c r="A308" s="220">
        <v>10</v>
      </c>
      <c r="B308" s="7"/>
      <c r="C308" s="7"/>
      <c r="D308" s="5"/>
      <c r="E308" s="3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59"/>
      <c r="AB308" s="59"/>
      <c r="AC308" s="59"/>
      <c r="AD308" s="59"/>
      <c r="AE308" s="59"/>
      <c r="AF308" s="59"/>
      <c r="AG308" s="59"/>
      <c r="AH308" s="59"/>
      <c r="AI308" s="59"/>
      <c r="AJ308" s="59"/>
      <c r="AK308" s="59"/>
      <c r="AL308" s="59"/>
      <c r="AM308" s="59"/>
      <c r="AN308" s="59"/>
      <c r="AO308" s="59"/>
      <c r="AP308" s="59"/>
      <c r="AQ308" s="59"/>
      <c r="AR308" s="59"/>
      <c r="AS308" s="59"/>
      <c r="AT308" s="59"/>
      <c r="AU308" s="59"/>
      <c r="AV308" s="59"/>
      <c r="AW308" s="59"/>
      <c r="AX308" s="59"/>
      <c r="AY308" s="59"/>
      <c r="AZ308" s="59"/>
      <c r="BA308" s="59"/>
      <c r="BB308" s="59"/>
      <c r="BC308" s="59"/>
      <c r="BD308" s="59"/>
      <c r="BE308" s="59"/>
    </row>
    <row r="309" spans="1:111" ht="20.100000000000001" customHeight="1">
      <c r="A309" s="221"/>
      <c r="B309" s="7"/>
      <c r="C309" s="7"/>
      <c r="D309" s="78"/>
      <c r="E309" s="47" t="str">
        <f>IF(egTextCal(D309)&lt;&gt;0, egTextCal(D309),"")</f>
        <v/>
      </c>
      <c r="F309" s="48" t="str">
        <f>IF(E309&lt;&gt;"", IF(F308&lt;&gt;"", E309*F308,""),"")</f>
        <v/>
      </c>
      <c r="G309" s="48" t="str">
        <f>IF(E309&lt;&gt;"", IF(G308&lt;&gt;"", E309*G308,""),"")</f>
        <v/>
      </c>
      <c r="H309" s="48" t="str">
        <f>IF(E309&lt;&gt;"", IF(H308&lt;&gt;"", E309*H308,""),"")</f>
        <v/>
      </c>
      <c r="I309" s="48" t="str">
        <f>IF(E309&lt;&gt;"", IF(I308&lt;&gt;"", E309*I308,""),"")</f>
        <v/>
      </c>
      <c r="J309" s="48" t="str">
        <f>IF(E309&lt;&gt;"", IF(J308&lt;&gt;"", E309*J308,""),"")</f>
        <v/>
      </c>
      <c r="K309" s="48" t="str">
        <f>IF(E309&lt;&gt;"", IF(K308&lt;&gt;"", E309*K308,""),"")</f>
        <v/>
      </c>
      <c r="L309" s="48" t="str">
        <f>IF(E309&lt;&gt;"", IF(L308&lt;&gt;"", E309*L308,""),"")</f>
        <v/>
      </c>
      <c r="M309" s="48" t="str">
        <f>IF(E309&lt;&gt;"", IF(M308&lt;&gt;"", E309*M308,""),"")</f>
        <v/>
      </c>
      <c r="N309" s="48" t="str">
        <f>IF(E309&lt;&gt;"", IF(N308&lt;&gt;"", E309*N308,""),"")</f>
        <v/>
      </c>
      <c r="O309" s="48" t="str">
        <f>IF(E309&lt;&gt;"", IF(O308&lt;&gt;"", E309*O308,""),"")</f>
        <v/>
      </c>
      <c r="P309" s="48" t="str">
        <f>IF(E309&lt;&gt;"", IF(P308&lt;&gt;"", E309*P308,""),"")</f>
        <v/>
      </c>
      <c r="Q309" s="48" t="str">
        <f>IF(E309&lt;&gt;"", IF(Q308&lt;&gt;"", E309*Q308,""),"")</f>
        <v/>
      </c>
      <c r="R309" s="48" t="str">
        <f>IF(E309&lt;&gt;"", IF(R308&lt;&gt;"", E309*R308,""),"")</f>
        <v/>
      </c>
      <c r="S309" s="48" t="str">
        <f>IF(E309&lt;&gt;"", IF(S308&lt;&gt;"", E309*S308,""),"")</f>
        <v/>
      </c>
      <c r="T309" s="48" t="str">
        <f>IF(E309&lt;&gt;"", IF(T308&lt;&gt;"", E309*T308,""),"")</f>
        <v/>
      </c>
      <c r="U309" s="48" t="str">
        <f>IF(E309&lt;&gt;"", IF(U308&lt;&gt;"", E309*U308,""),"")</f>
        <v/>
      </c>
      <c r="V309" s="48" t="str">
        <f>IF(E309&lt;&gt;"", IF(V308&lt;&gt;"", E309*V308,""),"")</f>
        <v/>
      </c>
      <c r="W309" s="48" t="str">
        <f>IF(E309&lt;&gt;"", IF(W308&lt;&gt;"", E309*W308,""),"")</f>
        <v/>
      </c>
      <c r="X309" s="48" t="str">
        <f>IF(E309&lt;&gt;"", IF(X308&lt;&gt;"", E309*X308,""),"")</f>
        <v/>
      </c>
      <c r="Y309" s="48" t="str">
        <f>IF(E309&lt;&gt;"", IF(Y308&lt;&gt;"", E309*Y308,""),"")</f>
        <v/>
      </c>
      <c r="Z309" s="48" t="str">
        <f>IF(E309&lt;&gt;"", IF(Z308&lt;&gt;"", E309*Z308,""),"")</f>
        <v/>
      </c>
      <c r="AA309" s="22"/>
      <c r="AB309" s="22" t="str">
        <f>IF(E309&lt;&gt;"", IF(AB308&lt;&gt;"", E309*AB308, ""), "")</f>
        <v/>
      </c>
      <c r="AC309" s="22" t="str">
        <f>IF(E309&lt;&gt;"", IF(AC308&lt;&gt;"", E309*AC308, ""), "")</f>
        <v/>
      </c>
      <c r="AD309" s="22" t="str">
        <f>IF(E309&lt;&gt;"", IF(AD308&lt;&gt;"", E309*AD308, ""), "")</f>
        <v/>
      </c>
      <c r="AE309" s="22" t="str">
        <f>IF(E309&lt;&gt;"", IF(AE308&lt;&gt;"", E309*AE308, ""), "")</f>
        <v/>
      </c>
      <c r="AF309" s="22" t="str">
        <f>IF(E309&lt;&gt;"", IF(AF308&lt;&gt;"", E309*AF308, ""), "")</f>
        <v/>
      </c>
      <c r="AG309" s="22" t="str">
        <f>IF(E309&lt;&gt;"", IF(AG308&lt;&gt;"", E309*AG308, ""), "")</f>
        <v/>
      </c>
      <c r="AH309" s="22" t="str">
        <f>IF(E309&lt;&gt;"", IF(AH308&lt;&gt;"", E309*AH308, ""), "")</f>
        <v/>
      </c>
      <c r="AI309" s="22" t="str">
        <f>IF(E309&lt;&gt;"", IF(AI308&lt;&gt;"", E309*AI308, ""), "")</f>
        <v/>
      </c>
      <c r="AJ309" s="22" t="str">
        <f>IF(E309&lt;&gt;"", IF(AJ308&lt;&gt;"", E309*AJ308, ""), "")</f>
        <v/>
      </c>
      <c r="AK309" s="22" t="str">
        <f>IF(E309&lt;&gt;"", IF(AK308&lt;&gt;"", E309*AK308, ""), "")</f>
        <v/>
      </c>
      <c r="AL309" s="22" t="str">
        <f>IF(E309&lt;&gt;"", IF(AL308&lt;&gt;"", E309*AL308, ""), "")</f>
        <v/>
      </c>
      <c r="AM309" s="22" t="str">
        <f>IF(E309&lt;&gt;"", IF(AM308&lt;&gt;"", E309*AM308, ""), "")</f>
        <v/>
      </c>
      <c r="AN309" s="22" t="str">
        <f>IF(E309&lt;&gt;"", IF(AN308&lt;&gt;"", E309*AN308, ""), "")</f>
        <v/>
      </c>
      <c r="AO309" s="22" t="str">
        <f>IF(E309&lt;&gt;"", IF(AO308&lt;&gt;"", E309*AO308, ""), "")</f>
        <v/>
      </c>
      <c r="AP309" s="22" t="str">
        <f>IF(E309&lt;&gt;"", IF(AP308&lt;&gt;"", E309*AP308, ""), "")</f>
        <v/>
      </c>
      <c r="AQ309" s="22" t="str">
        <f>IF(E309&lt;&gt;"", IF(AQ308&lt;&gt;"", E309*AQ308, ""), "")</f>
        <v/>
      </c>
      <c r="AR309" s="22" t="str">
        <f>IF(E309&lt;&gt;"", IF(AR308&lt;&gt;"", E309*AR308, ""), "")</f>
        <v/>
      </c>
      <c r="AS309" s="22" t="str">
        <f>IF(E309&lt;&gt;"", IF(AS308&lt;&gt;"", E309*AS308, ""), "")</f>
        <v/>
      </c>
      <c r="AT309" s="22" t="str">
        <f>IF(E309&lt;&gt;"", IF(AT308&lt;&gt;"", E309*AT308, ""), "")</f>
        <v/>
      </c>
      <c r="AU309" s="22" t="str">
        <f>IF(E309&lt;&gt;"", IF(AU308&lt;&gt;"", E309*AU308, ""), "")</f>
        <v/>
      </c>
      <c r="AV309" s="22" t="str">
        <f>IF(E309&lt;&gt;"", IF(AV308&lt;&gt;"", E309*AV308, ""), "")</f>
        <v/>
      </c>
      <c r="AW309" s="22" t="str">
        <f>IF(E309&lt;&gt;"", IF(AW308&lt;&gt;"", E309*AW308, ""), "")</f>
        <v/>
      </c>
      <c r="AX309" s="22" t="str">
        <f>IF(E309&lt;&gt;"", IF(AX308&lt;&gt;"", E309*AX308, ""), "")</f>
        <v/>
      </c>
      <c r="AY309" s="22" t="str">
        <f>IF(E309&lt;&gt;"", IF(AY308&lt;&gt;"", E309*AY308, ""), "")</f>
        <v/>
      </c>
      <c r="AZ309" s="22" t="str">
        <f>IF(E309&lt;&gt;"", IF(AZ308&lt;&gt;"", E309*AZ308, ""), "")</f>
        <v/>
      </c>
      <c r="BA309" s="22" t="str">
        <f>IF(E309&lt;&gt;"", IF(BA308&lt;&gt;"", E309*BA308, ""), "")</f>
        <v/>
      </c>
      <c r="BB309" s="22" t="str">
        <f>IF(E309&lt;&gt;"", IF(BB308&lt;&gt;"", E309*BB308, ""), "")</f>
        <v/>
      </c>
      <c r="BC309" s="22" t="str">
        <f>IF(E309&lt;&gt;"", IF(BC308&lt;&gt;"", E309*BC308, ""), "")</f>
        <v/>
      </c>
      <c r="BD309" s="22" t="str">
        <f>IF(E309&lt;&gt;"", IF(BD308&lt;&gt;"", E309*BD308, ""), "")</f>
        <v/>
      </c>
      <c r="BE309" s="22" t="str">
        <f>IF(E309&lt;&gt;"", IF(BE308&lt;&gt;"", E309*BE308, ""), "")</f>
        <v/>
      </c>
    </row>
    <row r="310" spans="1:111" ht="20.100000000000001" customHeight="1">
      <c r="A310" s="220">
        <v>11</v>
      </c>
      <c r="B310" s="7"/>
      <c r="C310" s="7"/>
      <c r="D310" s="5"/>
      <c r="E310" s="3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59"/>
      <c r="AB310" s="59"/>
      <c r="AC310" s="59"/>
      <c r="AD310" s="59"/>
      <c r="AE310" s="59"/>
      <c r="AF310" s="59"/>
      <c r="AG310" s="59"/>
      <c r="AH310" s="59"/>
      <c r="AI310" s="59"/>
      <c r="AJ310" s="59"/>
      <c r="AK310" s="59"/>
      <c r="AL310" s="59"/>
      <c r="AM310" s="59"/>
      <c r="AN310" s="59"/>
      <c r="AO310" s="59"/>
      <c r="AP310" s="59"/>
      <c r="AQ310" s="59"/>
      <c r="AR310" s="59"/>
      <c r="AS310" s="59"/>
      <c r="AT310" s="59"/>
      <c r="AU310" s="59"/>
      <c r="AV310" s="59"/>
      <c r="AW310" s="59"/>
      <c r="AX310" s="59"/>
      <c r="AY310" s="59"/>
      <c r="AZ310" s="59"/>
      <c r="BA310" s="59"/>
      <c r="BB310" s="59"/>
      <c r="BC310" s="59"/>
      <c r="BD310" s="59"/>
      <c r="BE310" s="59"/>
    </row>
    <row r="311" spans="1:111" ht="20.100000000000001" customHeight="1">
      <c r="A311" s="221"/>
      <c r="B311" s="7"/>
      <c r="C311" s="7"/>
      <c r="D311" s="78"/>
      <c r="E311" s="47" t="str">
        <f>IF(egTextCal(D311)&lt;&gt;0, egTextCal(D311),"")</f>
        <v/>
      </c>
      <c r="F311" s="48" t="str">
        <f>IF(E311&lt;&gt;"", IF(F310&lt;&gt;"", E311*F310,""),"")</f>
        <v/>
      </c>
      <c r="G311" s="48" t="str">
        <f>IF(E311&lt;&gt;"", IF(G310&lt;&gt;"", E311*G310,""),"")</f>
        <v/>
      </c>
      <c r="H311" s="48" t="str">
        <f>IF(E311&lt;&gt;"", IF(H310&lt;&gt;"", E311*H310,""),"")</f>
        <v/>
      </c>
      <c r="I311" s="48" t="str">
        <f>IF(E311&lt;&gt;"", IF(I310&lt;&gt;"", E311*I310,""),"")</f>
        <v/>
      </c>
      <c r="J311" s="48" t="str">
        <f>IF(E311&lt;&gt;"", IF(J310&lt;&gt;"", E311*J310,""),"")</f>
        <v/>
      </c>
      <c r="K311" s="48" t="str">
        <f>IF(E311&lt;&gt;"", IF(K310&lt;&gt;"", E311*K310,""),"")</f>
        <v/>
      </c>
      <c r="L311" s="48" t="str">
        <f>IF(E311&lt;&gt;"", IF(L310&lt;&gt;"", E311*L310,""),"")</f>
        <v/>
      </c>
      <c r="M311" s="48" t="str">
        <f>IF(E311&lt;&gt;"", IF(M310&lt;&gt;"", E311*M310,""),"")</f>
        <v/>
      </c>
      <c r="N311" s="48" t="str">
        <f>IF(E311&lt;&gt;"", IF(N310&lt;&gt;"", E311*N310,""),"")</f>
        <v/>
      </c>
      <c r="O311" s="48" t="str">
        <f>IF(E311&lt;&gt;"", IF(O310&lt;&gt;"", E311*O310,""),"")</f>
        <v/>
      </c>
      <c r="P311" s="48" t="str">
        <f>IF(E311&lt;&gt;"", IF(P310&lt;&gt;"", E311*P310,""),"")</f>
        <v/>
      </c>
      <c r="Q311" s="48" t="str">
        <f>IF(E311&lt;&gt;"", IF(Q310&lt;&gt;"", E311*Q310,""),"")</f>
        <v/>
      </c>
      <c r="R311" s="48" t="str">
        <f>IF(E311&lt;&gt;"", IF(R310&lt;&gt;"", E311*R310,""),"")</f>
        <v/>
      </c>
      <c r="S311" s="48" t="str">
        <f>IF(E311&lt;&gt;"", IF(S310&lt;&gt;"", E311*S310,""),"")</f>
        <v/>
      </c>
      <c r="T311" s="48" t="str">
        <f>IF(E311&lt;&gt;"", IF(T310&lt;&gt;"", E311*T310,""),"")</f>
        <v/>
      </c>
      <c r="U311" s="48" t="str">
        <f>IF(E311&lt;&gt;"", IF(U310&lt;&gt;"", E311*U310,""),"")</f>
        <v/>
      </c>
      <c r="V311" s="48" t="str">
        <f>IF(E311&lt;&gt;"", IF(V310&lt;&gt;"", E311*V310,""),"")</f>
        <v/>
      </c>
      <c r="W311" s="48" t="str">
        <f>IF(E311&lt;&gt;"", IF(W310&lt;&gt;"", E311*W310,""),"")</f>
        <v/>
      </c>
      <c r="X311" s="48" t="str">
        <f>IF(E311&lt;&gt;"", IF(X310&lt;&gt;"", E311*X310,""),"")</f>
        <v/>
      </c>
      <c r="Y311" s="48" t="str">
        <f>IF(E311&lt;&gt;"", IF(Y310&lt;&gt;"", E311*Y310,""),"")</f>
        <v/>
      </c>
      <c r="Z311" s="48" t="str">
        <f>IF(E311&lt;&gt;"", IF(Z310&lt;&gt;"", E311*Z310,""),"")</f>
        <v/>
      </c>
      <c r="AA311" s="22"/>
      <c r="AB311" s="22" t="str">
        <f>IF(E311&lt;&gt;"", IF(AB310&lt;&gt;"", E311*AB310, ""), "")</f>
        <v/>
      </c>
      <c r="AC311" s="22" t="str">
        <f>IF(E311&lt;&gt;"", IF(AC310&lt;&gt;"", E311*AC310, ""), "")</f>
        <v/>
      </c>
      <c r="AD311" s="22" t="str">
        <f>IF(E311&lt;&gt;"", IF(AD310&lt;&gt;"", E311*AD310, ""), "")</f>
        <v/>
      </c>
      <c r="AE311" s="22" t="str">
        <f>IF(E311&lt;&gt;"", IF(AE310&lt;&gt;"", E311*AE310, ""), "")</f>
        <v/>
      </c>
      <c r="AF311" s="22" t="str">
        <f>IF(E311&lt;&gt;"", IF(AF310&lt;&gt;"", E311*AF310, ""), "")</f>
        <v/>
      </c>
      <c r="AG311" s="22" t="str">
        <f>IF(E311&lt;&gt;"", IF(AG310&lt;&gt;"", E311*AG310, ""), "")</f>
        <v/>
      </c>
      <c r="AH311" s="22" t="str">
        <f>IF(E311&lt;&gt;"", IF(AH310&lt;&gt;"", E311*AH310, ""), "")</f>
        <v/>
      </c>
      <c r="AI311" s="22" t="str">
        <f>IF(E311&lt;&gt;"", IF(AI310&lt;&gt;"", E311*AI310, ""), "")</f>
        <v/>
      </c>
      <c r="AJ311" s="22" t="str">
        <f>IF(E311&lt;&gt;"", IF(AJ310&lt;&gt;"", E311*AJ310, ""), "")</f>
        <v/>
      </c>
      <c r="AK311" s="22" t="str">
        <f>IF(E311&lt;&gt;"", IF(AK310&lt;&gt;"", E311*AK310, ""), "")</f>
        <v/>
      </c>
      <c r="AL311" s="22" t="str">
        <f>IF(E311&lt;&gt;"", IF(AL310&lt;&gt;"", E311*AL310, ""), "")</f>
        <v/>
      </c>
      <c r="AM311" s="22" t="str">
        <f>IF(E311&lt;&gt;"", IF(AM310&lt;&gt;"", E311*AM310, ""), "")</f>
        <v/>
      </c>
      <c r="AN311" s="22" t="str">
        <f>IF(E311&lt;&gt;"", IF(AN310&lt;&gt;"", E311*AN310, ""), "")</f>
        <v/>
      </c>
      <c r="AO311" s="22" t="str">
        <f>IF(E311&lt;&gt;"", IF(AO310&lt;&gt;"", E311*AO310, ""), "")</f>
        <v/>
      </c>
      <c r="AP311" s="22" t="str">
        <f>IF(E311&lt;&gt;"", IF(AP310&lt;&gt;"", E311*AP310, ""), "")</f>
        <v/>
      </c>
      <c r="AQ311" s="22" t="str">
        <f>IF(E311&lt;&gt;"", IF(AQ310&lt;&gt;"", E311*AQ310, ""), "")</f>
        <v/>
      </c>
      <c r="AR311" s="22" t="str">
        <f>IF(E311&lt;&gt;"", IF(AR310&lt;&gt;"", E311*AR310, ""), "")</f>
        <v/>
      </c>
      <c r="AS311" s="22" t="str">
        <f>IF(E311&lt;&gt;"", IF(AS310&lt;&gt;"", E311*AS310, ""), "")</f>
        <v/>
      </c>
      <c r="AT311" s="22" t="str">
        <f>IF(E311&lt;&gt;"", IF(AT310&lt;&gt;"", E311*AT310, ""), "")</f>
        <v/>
      </c>
      <c r="AU311" s="22" t="str">
        <f>IF(E311&lt;&gt;"", IF(AU310&lt;&gt;"", E311*AU310, ""), "")</f>
        <v/>
      </c>
      <c r="AV311" s="22" t="str">
        <f>IF(E311&lt;&gt;"", IF(AV310&lt;&gt;"", E311*AV310, ""), "")</f>
        <v/>
      </c>
      <c r="AW311" s="22" t="str">
        <f>IF(E311&lt;&gt;"", IF(AW310&lt;&gt;"", E311*AW310, ""), "")</f>
        <v/>
      </c>
      <c r="AX311" s="22" t="str">
        <f>IF(E311&lt;&gt;"", IF(AX310&lt;&gt;"", E311*AX310, ""), "")</f>
        <v/>
      </c>
      <c r="AY311" s="22" t="str">
        <f>IF(E311&lt;&gt;"", IF(AY310&lt;&gt;"", E311*AY310, ""), "")</f>
        <v/>
      </c>
      <c r="AZ311" s="22" t="str">
        <f>IF(E311&lt;&gt;"", IF(AZ310&lt;&gt;"", E311*AZ310, ""), "")</f>
        <v/>
      </c>
      <c r="BA311" s="22" t="str">
        <f>IF(E311&lt;&gt;"", IF(BA310&lt;&gt;"", E311*BA310, ""), "")</f>
        <v/>
      </c>
      <c r="BB311" s="22" t="str">
        <f>IF(E311&lt;&gt;"", IF(BB310&lt;&gt;"", E311*BB310, ""), "")</f>
        <v/>
      </c>
      <c r="BC311" s="22" t="str">
        <f>IF(E311&lt;&gt;"", IF(BC310&lt;&gt;"", E311*BC310, ""), "")</f>
        <v/>
      </c>
      <c r="BD311" s="22" t="str">
        <f>IF(E311&lt;&gt;"", IF(BD310&lt;&gt;"", E311*BD310, ""), "")</f>
        <v/>
      </c>
      <c r="BE311" s="22" t="str">
        <f>IF(E311&lt;&gt;"", IF(BE310&lt;&gt;"", E311*BE310, ""), "")</f>
        <v/>
      </c>
    </row>
    <row r="312" spans="1:111" ht="20.100000000000001" customHeight="1">
      <c r="A312" s="220">
        <v>12</v>
      </c>
      <c r="B312" s="7"/>
      <c r="C312" s="7"/>
      <c r="D312" s="5"/>
      <c r="E312" s="3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59"/>
      <c r="AB312" s="59"/>
      <c r="AC312" s="59"/>
      <c r="AD312" s="59"/>
      <c r="AE312" s="59"/>
      <c r="AF312" s="59"/>
      <c r="AG312" s="59"/>
      <c r="AH312" s="59"/>
      <c r="AI312" s="59"/>
      <c r="AJ312" s="59"/>
      <c r="AK312" s="59"/>
      <c r="AL312" s="59"/>
      <c r="AM312" s="59"/>
      <c r="AN312" s="59"/>
      <c r="AO312" s="59"/>
      <c r="AP312" s="59"/>
      <c r="AQ312" s="59"/>
      <c r="AR312" s="59"/>
      <c r="AS312" s="59"/>
      <c r="AT312" s="59"/>
      <c r="AU312" s="59"/>
      <c r="AV312" s="59"/>
      <c r="AW312" s="59"/>
      <c r="AX312" s="59"/>
      <c r="AY312" s="59"/>
      <c r="AZ312" s="59"/>
      <c r="BA312" s="59"/>
      <c r="BB312" s="59"/>
      <c r="BC312" s="59"/>
      <c r="BD312" s="59"/>
      <c r="BE312" s="59"/>
    </row>
    <row r="313" spans="1:111" ht="20.100000000000001" customHeight="1">
      <c r="A313" s="221"/>
      <c r="B313" s="7"/>
      <c r="C313" s="7"/>
      <c r="D313" s="78"/>
      <c r="E313" s="47" t="str">
        <f>IF(egTextCal(D313)&lt;&gt;0, egTextCal(D313),"")</f>
        <v/>
      </c>
      <c r="F313" s="48" t="str">
        <f>IF(E313&lt;&gt;"", IF(F312&lt;&gt;"", E313*F312,""),"")</f>
        <v/>
      </c>
      <c r="G313" s="48" t="str">
        <f>IF(E313&lt;&gt;"", IF(G312&lt;&gt;"", E313*G312,""),"")</f>
        <v/>
      </c>
      <c r="H313" s="48" t="str">
        <f>IF(E313&lt;&gt;"", IF(H312&lt;&gt;"", E313*H312,""),"")</f>
        <v/>
      </c>
      <c r="I313" s="48" t="str">
        <f>IF(E313&lt;&gt;"", IF(I312&lt;&gt;"", E313*I312,""),"")</f>
        <v/>
      </c>
      <c r="J313" s="48" t="str">
        <f>IF(E313&lt;&gt;"", IF(J312&lt;&gt;"", E313*J312,""),"")</f>
        <v/>
      </c>
      <c r="K313" s="48" t="str">
        <f>IF(E313&lt;&gt;"", IF(K312&lt;&gt;"", E313*K312,""),"")</f>
        <v/>
      </c>
      <c r="L313" s="48" t="str">
        <f>IF(E313&lt;&gt;"", IF(L312&lt;&gt;"", E313*L312,""),"")</f>
        <v/>
      </c>
      <c r="M313" s="48" t="str">
        <f>IF(E313&lt;&gt;"", IF(M312&lt;&gt;"", E313*M312,""),"")</f>
        <v/>
      </c>
      <c r="N313" s="48" t="str">
        <f>IF(E313&lt;&gt;"", IF(N312&lt;&gt;"", E313*N312,""),"")</f>
        <v/>
      </c>
      <c r="O313" s="48" t="str">
        <f>IF(E313&lt;&gt;"", IF(O312&lt;&gt;"", E313*O312,""),"")</f>
        <v/>
      </c>
      <c r="P313" s="48" t="str">
        <f>IF(E313&lt;&gt;"", IF(P312&lt;&gt;"", E313*P312,""),"")</f>
        <v/>
      </c>
      <c r="Q313" s="48" t="str">
        <f>IF(E313&lt;&gt;"", IF(Q312&lt;&gt;"", E313*Q312,""),"")</f>
        <v/>
      </c>
      <c r="R313" s="48" t="str">
        <f>IF(E313&lt;&gt;"", IF(R312&lt;&gt;"", E313*R312,""),"")</f>
        <v/>
      </c>
      <c r="S313" s="48" t="str">
        <f>IF(E313&lt;&gt;"", IF(S312&lt;&gt;"", E313*S312,""),"")</f>
        <v/>
      </c>
      <c r="T313" s="48" t="str">
        <f>IF(E313&lt;&gt;"", IF(T312&lt;&gt;"", E313*T312,""),"")</f>
        <v/>
      </c>
      <c r="U313" s="48" t="str">
        <f>IF(E313&lt;&gt;"", IF(U312&lt;&gt;"", E313*U312,""),"")</f>
        <v/>
      </c>
      <c r="V313" s="48" t="str">
        <f>IF(E313&lt;&gt;"", IF(V312&lt;&gt;"", E313*V312,""),"")</f>
        <v/>
      </c>
      <c r="W313" s="48" t="str">
        <f>IF(E313&lt;&gt;"", IF(W312&lt;&gt;"", E313*W312,""),"")</f>
        <v/>
      </c>
      <c r="X313" s="48" t="str">
        <f>IF(E313&lt;&gt;"", IF(X312&lt;&gt;"", E313*X312,""),"")</f>
        <v/>
      </c>
      <c r="Y313" s="48" t="str">
        <f>IF(E313&lt;&gt;"", IF(Y312&lt;&gt;"", E313*Y312,""),"")</f>
        <v/>
      </c>
      <c r="Z313" s="48" t="str">
        <f>IF(E313&lt;&gt;"", IF(Z312&lt;&gt;"", E313*Z312,""),"")</f>
        <v/>
      </c>
      <c r="AA313" s="22"/>
      <c r="AB313" s="22" t="str">
        <f>IF(E313&lt;&gt;"", IF(AB312&lt;&gt;"", E313*AB312, ""), "")</f>
        <v/>
      </c>
      <c r="AC313" s="22" t="str">
        <f>IF(E313&lt;&gt;"", IF(AC312&lt;&gt;"", E313*AC312, ""), "")</f>
        <v/>
      </c>
      <c r="AD313" s="22" t="str">
        <f>IF(E313&lt;&gt;"", IF(AD312&lt;&gt;"", E313*AD312, ""), "")</f>
        <v/>
      </c>
      <c r="AE313" s="22" t="str">
        <f>IF(E313&lt;&gt;"", IF(AE312&lt;&gt;"", E313*AE312, ""), "")</f>
        <v/>
      </c>
      <c r="AF313" s="22" t="str">
        <f>IF(E313&lt;&gt;"", IF(AF312&lt;&gt;"", E313*AF312, ""), "")</f>
        <v/>
      </c>
      <c r="AG313" s="22" t="str">
        <f>IF(E313&lt;&gt;"", IF(AG312&lt;&gt;"", E313*AG312, ""), "")</f>
        <v/>
      </c>
      <c r="AH313" s="22" t="str">
        <f>IF(E313&lt;&gt;"", IF(AH312&lt;&gt;"", E313*AH312, ""), "")</f>
        <v/>
      </c>
      <c r="AI313" s="22" t="str">
        <f>IF(E313&lt;&gt;"", IF(AI312&lt;&gt;"", E313*AI312, ""), "")</f>
        <v/>
      </c>
      <c r="AJ313" s="22" t="str">
        <f>IF(E313&lt;&gt;"", IF(AJ312&lt;&gt;"", E313*AJ312, ""), "")</f>
        <v/>
      </c>
      <c r="AK313" s="22" t="str">
        <f>IF(E313&lt;&gt;"", IF(AK312&lt;&gt;"", E313*AK312, ""), "")</f>
        <v/>
      </c>
      <c r="AL313" s="22" t="str">
        <f>IF(E313&lt;&gt;"", IF(AL312&lt;&gt;"", E313*AL312, ""), "")</f>
        <v/>
      </c>
      <c r="AM313" s="22" t="str">
        <f>IF(E313&lt;&gt;"", IF(AM312&lt;&gt;"", E313*AM312, ""), "")</f>
        <v/>
      </c>
      <c r="AN313" s="22" t="str">
        <f>IF(E313&lt;&gt;"", IF(AN312&lt;&gt;"", E313*AN312, ""), "")</f>
        <v/>
      </c>
      <c r="AO313" s="22" t="str">
        <f>IF(E313&lt;&gt;"", IF(AO312&lt;&gt;"", E313*AO312, ""), "")</f>
        <v/>
      </c>
      <c r="AP313" s="22" t="str">
        <f>IF(E313&lt;&gt;"", IF(AP312&lt;&gt;"", E313*AP312, ""), "")</f>
        <v/>
      </c>
      <c r="AQ313" s="22" t="str">
        <f>IF(E313&lt;&gt;"", IF(AQ312&lt;&gt;"", E313*AQ312, ""), "")</f>
        <v/>
      </c>
      <c r="AR313" s="22" t="str">
        <f>IF(E313&lt;&gt;"", IF(AR312&lt;&gt;"", E313*AR312, ""), "")</f>
        <v/>
      </c>
      <c r="AS313" s="22" t="str">
        <f>IF(E313&lt;&gt;"", IF(AS312&lt;&gt;"", E313*AS312, ""), "")</f>
        <v/>
      </c>
      <c r="AT313" s="22" t="str">
        <f>IF(E313&lt;&gt;"", IF(AT312&lt;&gt;"", E313*AT312, ""), "")</f>
        <v/>
      </c>
      <c r="AU313" s="22" t="str">
        <f>IF(E313&lt;&gt;"", IF(AU312&lt;&gt;"", E313*AU312, ""), "")</f>
        <v/>
      </c>
      <c r="AV313" s="22" t="str">
        <f>IF(E313&lt;&gt;"", IF(AV312&lt;&gt;"", E313*AV312, ""), "")</f>
        <v/>
      </c>
      <c r="AW313" s="22" t="str">
        <f>IF(E313&lt;&gt;"", IF(AW312&lt;&gt;"", E313*AW312, ""), "")</f>
        <v/>
      </c>
      <c r="AX313" s="22" t="str">
        <f>IF(E313&lt;&gt;"", IF(AX312&lt;&gt;"", E313*AX312, ""), "")</f>
        <v/>
      </c>
      <c r="AY313" s="22" t="str">
        <f>IF(E313&lt;&gt;"", IF(AY312&lt;&gt;"", E313*AY312, ""), "")</f>
        <v/>
      </c>
      <c r="AZ313" s="22" t="str">
        <f>IF(E313&lt;&gt;"", IF(AZ312&lt;&gt;"", E313*AZ312, ""), "")</f>
        <v/>
      </c>
      <c r="BA313" s="22" t="str">
        <f>IF(E313&lt;&gt;"", IF(BA312&lt;&gt;"", E313*BA312, ""), "")</f>
        <v/>
      </c>
      <c r="BB313" s="22" t="str">
        <f>IF(E313&lt;&gt;"", IF(BB312&lt;&gt;"", E313*BB312, ""), "")</f>
        <v/>
      </c>
      <c r="BC313" s="22" t="str">
        <f>IF(E313&lt;&gt;"", IF(BC312&lt;&gt;"", E313*BC312, ""), "")</f>
        <v/>
      </c>
      <c r="BD313" s="22" t="str">
        <f>IF(E313&lt;&gt;"", IF(BD312&lt;&gt;"", E313*BD312, ""), "")</f>
        <v/>
      </c>
      <c r="BE313" s="22" t="str">
        <f>IF(E313&lt;&gt;"", IF(BE312&lt;&gt;"", E313*BE312, ""), "")</f>
        <v/>
      </c>
    </row>
    <row r="314" spans="1:111" ht="20.100000000000001" customHeight="1">
      <c r="A314" s="220">
        <v>13</v>
      </c>
      <c r="B314" s="7"/>
      <c r="C314" s="7"/>
      <c r="D314" s="5"/>
      <c r="E314" s="3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59"/>
      <c r="AB314" s="59"/>
      <c r="AC314" s="59"/>
      <c r="AD314" s="59"/>
      <c r="AE314" s="59"/>
      <c r="AF314" s="59"/>
      <c r="AG314" s="59"/>
      <c r="AH314" s="59"/>
      <c r="AI314" s="59"/>
      <c r="AJ314" s="59"/>
      <c r="AK314" s="59"/>
      <c r="AL314" s="59"/>
      <c r="AM314" s="59"/>
      <c r="AN314" s="59"/>
      <c r="AO314" s="59"/>
      <c r="AP314" s="59"/>
      <c r="AQ314" s="59"/>
      <c r="AR314" s="59"/>
      <c r="AS314" s="59"/>
      <c r="AT314" s="59"/>
      <c r="AU314" s="59"/>
      <c r="AV314" s="59"/>
      <c r="AW314" s="59"/>
      <c r="AX314" s="59"/>
      <c r="AY314" s="59"/>
      <c r="AZ314" s="59"/>
      <c r="BA314" s="59"/>
      <c r="BB314" s="59"/>
      <c r="BC314" s="59"/>
      <c r="BD314" s="59"/>
      <c r="BE314" s="59"/>
    </row>
    <row r="315" spans="1:111" ht="20.100000000000001" customHeight="1">
      <c r="A315" s="221"/>
      <c r="B315" s="7"/>
      <c r="C315" s="7"/>
      <c r="D315" s="78"/>
      <c r="E315" s="47" t="str">
        <f>IF(egTextCal(D315)&lt;&gt;0, egTextCal(D315),"")</f>
        <v/>
      </c>
      <c r="F315" s="48" t="str">
        <f>IF(E315&lt;&gt;"", IF(F314&lt;&gt;"", E315*F314,""),"")</f>
        <v/>
      </c>
      <c r="G315" s="48" t="str">
        <f>IF(E315&lt;&gt;"", IF(G314&lt;&gt;"", E315*G314,""),"")</f>
        <v/>
      </c>
      <c r="H315" s="48" t="str">
        <f>IF(E315&lt;&gt;"", IF(H314&lt;&gt;"", E315*H314,""),"")</f>
        <v/>
      </c>
      <c r="I315" s="48" t="str">
        <f>IF(E315&lt;&gt;"", IF(I314&lt;&gt;"", E315*I314,""),"")</f>
        <v/>
      </c>
      <c r="J315" s="48" t="str">
        <f>IF(E315&lt;&gt;"", IF(J314&lt;&gt;"", E315*J314,""),"")</f>
        <v/>
      </c>
      <c r="K315" s="48" t="str">
        <f>IF(E315&lt;&gt;"", IF(K314&lt;&gt;"", E315*K314,""),"")</f>
        <v/>
      </c>
      <c r="L315" s="48" t="str">
        <f>IF(E315&lt;&gt;"", IF(L314&lt;&gt;"", E315*L314,""),"")</f>
        <v/>
      </c>
      <c r="M315" s="48" t="str">
        <f>IF(E315&lt;&gt;"", IF(M314&lt;&gt;"", E315*M314,""),"")</f>
        <v/>
      </c>
      <c r="N315" s="48" t="str">
        <f>IF(E315&lt;&gt;"", IF(N314&lt;&gt;"", E315*N314,""),"")</f>
        <v/>
      </c>
      <c r="O315" s="48" t="str">
        <f>IF(E315&lt;&gt;"", IF(O314&lt;&gt;"", E315*O314,""),"")</f>
        <v/>
      </c>
      <c r="P315" s="48" t="str">
        <f>IF(E315&lt;&gt;"", IF(P314&lt;&gt;"", E315*P314,""),"")</f>
        <v/>
      </c>
      <c r="Q315" s="48" t="str">
        <f>IF(E315&lt;&gt;"", IF(Q314&lt;&gt;"", E315*Q314,""),"")</f>
        <v/>
      </c>
      <c r="R315" s="48" t="str">
        <f>IF(E315&lt;&gt;"", IF(R314&lt;&gt;"", E315*R314,""),"")</f>
        <v/>
      </c>
      <c r="S315" s="48" t="str">
        <f>IF(E315&lt;&gt;"", IF(S314&lt;&gt;"", E315*S314,""),"")</f>
        <v/>
      </c>
      <c r="T315" s="48" t="str">
        <f>IF(E315&lt;&gt;"", IF(T314&lt;&gt;"", E315*T314,""),"")</f>
        <v/>
      </c>
      <c r="U315" s="48" t="str">
        <f>IF(E315&lt;&gt;"", IF(U314&lt;&gt;"", E315*U314,""),"")</f>
        <v/>
      </c>
      <c r="V315" s="48" t="str">
        <f>IF(E315&lt;&gt;"", IF(V314&lt;&gt;"", E315*V314,""),"")</f>
        <v/>
      </c>
      <c r="W315" s="48" t="str">
        <f>IF(E315&lt;&gt;"", IF(W314&lt;&gt;"", E315*W314,""),"")</f>
        <v/>
      </c>
      <c r="X315" s="48" t="str">
        <f>IF(E315&lt;&gt;"", IF(X314&lt;&gt;"", E315*X314,""),"")</f>
        <v/>
      </c>
      <c r="Y315" s="48" t="str">
        <f>IF(E315&lt;&gt;"", IF(Y314&lt;&gt;"", E315*Y314,""),"")</f>
        <v/>
      </c>
      <c r="Z315" s="48" t="str">
        <f>IF(E315&lt;&gt;"", IF(Z314&lt;&gt;"", E315*Z314,""),"")</f>
        <v/>
      </c>
      <c r="AA315" s="22"/>
      <c r="AB315" s="22" t="str">
        <f>IF(E315&lt;&gt;"", IF(AB314&lt;&gt;"", E315*AB314, ""), "")</f>
        <v/>
      </c>
      <c r="AC315" s="22" t="str">
        <f>IF(E315&lt;&gt;"", IF(AC314&lt;&gt;"", E315*AC314, ""), "")</f>
        <v/>
      </c>
      <c r="AD315" s="22" t="str">
        <f>IF(E315&lt;&gt;"", IF(AD314&lt;&gt;"", E315*AD314, ""), "")</f>
        <v/>
      </c>
      <c r="AE315" s="22" t="str">
        <f>IF(E315&lt;&gt;"", IF(AE314&lt;&gt;"", E315*AE314, ""), "")</f>
        <v/>
      </c>
      <c r="AF315" s="22" t="str">
        <f>IF(E315&lt;&gt;"", IF(AF314&lt;&gt;"", E315*AF314, ""), "")</f>
        <v/>
      </c>
      <c r="AG315" s="22" t="str">
        <f>IF(E315&lt;&gt;"", IF(AG314&lt;&gt;"", E315*AG314, ""), "")</f>
        <v/>
      </c>
      <c r="AH315" s="22" t="str">
        <f>IF(E315&lt;&gt;"", IF(AH314&lt;&gt;"", E315*AH314, ""), "")</f>
        <v/>
      </c>
      <c r="AI315" s="22" t="str">
        <f>IF(E315&lt;&gt;"", IF(AI314&lt;&gt;"", E315*AI314, ""), "")</f>
        <v/>
      </c>
      <c r="AJ315" s="22" t="str">
        <f>IF(E315&lt;&gt;"", IF(AJ314&lt;&gt;"", E315*AJ314, ""), "")</f>
        <v/>
      </c>
      <c r="AK315" s="22" t="str">
        <f>IF(E315&lt;&gt;"", IF(AK314&lt;&gt;"", E315*AK314, ""), "")</f>
        <v/>
      </c>
      <c r="AL315" s="22" t="str">
        <f>IF(E315&lt;&gt;"", IF(AL314&lt;&gt;"", E315*AL314, ""), "")</f>
        <v/>
      </c>
      <c r="AM315" s="22" t="str">
        <f>IF(E315&lt;&gt;"", IF(AM314&lt;&gt;"", E315*AM314, ""), "")</f>
        <v/>
      </c>
      <c r="AN315" s="22" t="str">
        <f>IF(E315&lt;&gt;"", IF(AN314&lt;&gt;"", E315*AN314, ""), "")</f>
        <v/>
      </c>
      <c r="AO315" s="22" t="str">
        <f>IF(E315&lt;&gt;"", IF(AO314&lt;&gt;"", E315*AO314, ""), "")</f>
        <v/>
      </c>
      <c r="AP315" s="22" t="str">
        <f>IF(E315&lt;&gt;"", IF(AP314&lt;&gt;"", E315*AP314, ""), "")</f>
        <v/>
      </c>
      <c r="AQ315" s="22" t="str">
        <f>IF(E315&lt;&gt;"", IF(AQ314&lt;&gt;"", E315*AQ314, ""), "")</f>
        <v/>
      </c>
      <c r="AR315" s="22" t="str">
        <f>IF(E315&lt;&gt;"", IF(AR314&lt;&gt;"", E315*AR314, ""), "")</f>
        <v/>
      </c>
      <c r="AS315" s="22" t="str">
        <f>IF(E315&lt;&gt;"", IF(AS314&lt;&gt;"", E315*AS314, ""), "")</f>
        <v/>
      </c>
      <c r="AT315" s="22" t="str">
        <f>IF(E315&lt;&gt;"", IF(AT314&lt;&gt;"", E315*AT314, ""), "")</f>
        <v/>
      </c>
      <c r="AU315" s="22" t="str">
        <f>IF(E315&lt;&gt;"", IF(AU314&lt;&gt;"", E315*AU314, ""), "")</f>
        <v/>
      </c>
      <c r="AV315" s="22" t="str">
        <f>IF(E315&lt;&gt;"", IF(AV314&lt;&gt;"", E315*AV314, ""), "")</f>
        <v/>
      </c>
      <c r="AW315" s="22" t="str">
        <f>IF(E315&lt;&gt;"", IF(AW314&lt;&gt;"", E315*AW314, ""), "")</f>
        <v/>
      </c>
      <c r="AX315" s="22" t="str">
        <f>IF(E315&lt;&gt;"", IF(AX314&lt;&gt;"", E315*AX314, ""), "")</f>
        <v/>
      </c>
      <c r="AY315" s="22" t="str">
        <f>IF(E315&lt;&gt;"", IF(AY314&lt;&gt;"", E315*AY314, ""), "")</f>
        <v/>
      </c>
      <c r="AZ315" s="22" t="str">
        <f>IF(E315&lt;&gt;"", IF(AZ314&lt;&gt;"", E315*AZ314, ""), "")</f>
        <v/>
      </c>
      <c r="BA315" s="22" t="str">
        <f>IF(E315&lt;&gt;"", IF(BA314&lt;&gt;"", E315*BA314, ""), "")</f>
        <v/>
      </c>
      <c r="BB315" s="22" t="str">
        <f>IF(E315&lt;&gt;"", IF(BB314&lt;&gt;"", E315*BB314, ""), "")</f>
        <v/>
      </c>
      <c r="BC315" s="22" t="str">
        <f>IF(E315&lt;&gt;"", IF(BC314&lt;&gt;"", E315*BC314, ""), "")</f>
        <v/>
      </c>
      <c r="BD315" s="22" t="str">
        <f>IF(E315&lt;&gt;"", IF(BD314&lt;&gt;"", E315*BD314, ""), "")</f>
        <v/>
      </c>
      <c r="BE315" s="22" t="str">
        <f>IF(E315&lt;&gt;"", IF(BE314&lt;&gt;"", E315*BE314, ""), "")</f>
        <v/>
      </c>
    </row>
    <row r="316" spans="1:111" ht="20.100000000000001" customHeight="1">
      <c r="A316" s="220">
        <v>14</v>
      </c>
      <c r="B316" s="7"/>
      <c r="C316" s="7"/>
      <c r="D316" s="5"/>
      <c r="E316" s="3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59"/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P316" s="59"/>
      <c r="AQ316" s="59"/>
      <c r="AR316" s="59"/>
      <c r="AS316" s="59"/>
      <c r="AT316" s="59"/>
      <c r="AU316" s="59"/>
      <c r="AV316" s="59"/>
      <c r="AW316" s="59"/>
      <c r="AX316" s="59"/>
      <c r="AY316" s="59"/>
      <c r="AZ316" s="59"/>
      <c r="BA316" s="59"/>
      <c r="BB316" s="59"/>
      <c r="BC316" s="59"/>
      <c r="BD316" s="59"/>
      <c r="BE316" s="59"/>
    </row>
    <row r="317" spans="1:111" ht="20.100000000000001" customHeight="1">
      <c r="A317" s="221"/>
      <c r="B317" s="7"/>
      <c r="C317" s="7"/>
      <c r="D317" s="78"/>
      <c r="E317" s="47" t="str">
        <f>IF(egTextCal(D317)&lt;&gt;0, egTextCal(D317),"")</f>
        <v/>
      </c>
      <c r="F317" s="48" t="str">
        <f>IF(E317&lt;&gt;"", IF(F316&lt;&gt;"", E317*F316,""),"")</f>
        <v/>
      </c>
      <c r="G317" s="48" t="str">
        <f>IF(E317&lt;&gt;"", IF(G316&lt;&gt;"", E317*G316,""),"")</f>
        <v/>
      </c>
      <c r="H317" s="48" t="str">
        <f>IF(E317&lt;&gt;"", IF(H316&lt;&gt;"", E317*H316,""),"")</f>
        <v/>
      </c>
      <c r="I317" s="48" t="str">
        <f>IF(E317&lt;&gt;"", IF(I316&lt;&gt;"", E317*I316,""),"")</f>
        <v/>
      </c>
      <c r="J317" s="48" t="str">
        <f>IF(E317&lt;&gt;"", IF(J316&lt;&gt;"", E317*J316,""),"")</f>
        <v/>
      </c>
      <c r="K317" s="48" t="str">
        <f>IF(E317&lt;&gt;"", IF(K316&lt;&gt;"", E317*K316,""),"")</f>
        <v/>
      </c>
      <c r="L317" s="48" t="str">
        <f>IF(E317&lt;&gt;"", IF(L316&lt;&gt;"", E317*L316,""),"")</f>
        <v/>
      </c>
      <c r="M317" s="48" t="str">
        <f>IF(E317&lt;&gt;"", IF(M316&lt;&gt;"", E317*M316,""),"")</f>
        <v/>
      </c>
      <c r="N317" s="48" t="str">
        <f>IF(E317&lt;&gt;"", IF(N316&lt;&gt;"", E317*N316,""),"")</f>
        <v/>
      </c>
      <c r="O317" s="48" t="str">
        <f>IF(E317&lt;&gt;"", IF(O316&lt;&gt;"", E317*O316,""),"")</f>
        <v/>
      </c>
      <c r="P317" s="48" t="str">
        <f>IF(E317&lt;&gt;"", IF(P316&lt;&gt;"", E317*P316,""),"")</f>
        <v/>
      </c>
      <c r="Q317" s="48" t="str">
        <f>IF(E317&lt;&gt;"", IF(Q316&lt;&gt;"", E317*Q316,""),"")</f>
        <v/>
      </c>
      <c r="R317" s="48" t="str">
        <f>IF(E317&lt;&gt;"", IF(R316&lt;&gt;"", E317*R316,""),"")</f>
        <v/>
      </c>
      <c r="S317" s="48" t="str">
        <f>IF(E317&lt;&gt;"", IF(S316&lt;&gt;"", E317*S316,""),"")</f>
        <v/>
      </c>
      <c r="T317" s="48" t="str">
        <f>IF(E317&lt;&gt;"", IF(T316&lt;&gt;"", E317*T316,""),"")</f>
        <v/>
      </c>
      <c r="U317" s="48" t="str">
        <f>IF(E317&lt;&gt;"", IF(U316&lt;&gt;"", E317*U316,""),"")</f>
        <v/>
      </c>
      <c r="V317" s="48" t="str">
        <f>IF(E317&lt;&gt;"", IF(V316&lt;&gt;"", E317*V316,""),"")</f>
        <v/>
      </c>
      <c r="W317" s="48" t="str">
        <f>IF(E317&lt;&gt;"", IF(W316&lt;&gt;"", E317*W316,""),"")</f>
        <v/>
      </c>
      <c r="X317" s="48" t="str">
        <f>IF(E317&lt;&gt;"", IF(X316&lt;&gt;"", E317*X316,""),"")</f>
        <v/>
      </c>
      <c r="Y317" s="48" t="str">
        <f>IF(E317&lt;&gt;"", IF(Y316&lt;&gt;"", E317*Y316,""),"")</f>
        <v/>
      </c>
      <c r="Z317" s="48" t="str">
        <f>IF(E317&lt;&gt;"", IF(Z316&lt;&gt;"", E317*Z316,""),"")</f>
        <v/>
      </c>
      <c r="AA317" s="22"/>
      <c r="AB317" s="22" t="str">
        <f>IF(E317&lt;&gt;"", IF(AB316&lt;&gt;"", E317*AB316, ""), "")</f>
        <v/>
      </c>
      <c r="AC317" s="22" t="str">
        <f>IF(E317&lt;&gt;"", IF(AC316&lt;&gt;"", E317*AC316, ""), "")</f>
        <v/>
      </c>
      <c r="AD317" s="22" t="str">
        <f>IF(E317&lt;&gt;"", IF(AD316&lt;&gt;"", E317*AD316, ""), "")</f>
        <v/>
      </c>
      <c r="AE317" s="22" t="str">
        <f>IF(E317&lt;&gt;"", IF(AE316&lt;&gt;"", E317*AE316, ""), "")</f>
        <v/>
      </c>
      <c r="AF317" s="22" t="str">
        <f>IF(E317&lt;&gt;"", IF(AF316&lt;&gt;"", E317*AF316, ""), "")</f>
        <v/>
      </c>
      <c r="AG317" s="22" t="str">
        <f>IF(E317&lt;&gt;"", IF(AG316&lt;&gt;"", E317*AG316, ""), "")</f>
        <v/>
      </c>
      <c r="AH317" s="22" t="str">
        <f>IF(E317&lt;&gt;"", IF(AH316&lt;&gt;"", E317*AH316, ""), "")</f>
        <v/>
      </c>
      <c r="AI317" s="22" t="str">
        <f>IF(E317&lt;&gt;"", IF(AI316&lt;&gt;"", E317*AI316, ""), "")</f>
        <v/>
      </c>
      <c r="AJ317" s="22" t="str">
        <f>IF(E317&lt;&gt;"", IF(AJ316&lt;&gt;"", E317*AJ316, ""), "")</f>
        <v/>
      </c>
      <c r="AK317" s="22" t="str">
        <f>IF(E317&lt;&gt;"", IF(AK316&lt;&gt;"", E317*AK316, ""), "")</f>
        <v/>
      </c>
      <c r="AL317" s="22" t="str">
        <f>IF(E317&lt;&gt;"", IF(AL316&lt;&gt;"", E317*AL316, ""), "")</f>
        <v/>
      </c>
      <c r="AM317" s="22" t="str">
        <f>IF(E317&lt;&gt;"", IF(AM316&lt;&gt;"", E317*AM316, ""), "")</f>
        <v/>
      </c>
      <c r="AN317" s="22" t="str">
        <f>IF(E317&lt;&gt;"", IF(AN316&lt;&gt;"", E317*AN316, ""), "")</f>
        <v/>
      </c>
      <c r="AO317" s="22" t="str">
        <f>IF(E317&lt;&gt;"", IF(AO316&lt;&gt;"", E317*AO316, ""), "")</f>
        <v/>
      </c>
      <c r="AP317" s="22" t="str">
        <f>IF(E317&lt;&gt;"", IF(AP316&lt;&gt;"", E317*AP316, ""), "")</f>
        <v/>
      </c>
      <c r="AQ317" s="22" t="str">
        <f>IF(E317&lt;&gt;"", IF(AQ316&lt;&gt;"", E317*AQ316, ""), "")</f>
        <v/>
      </c>
      <c r="AR317" s="22" t="str">
        <f>IF(E317&lt;&gt;"", IF(AR316&lt;&gt;"", E317*AR316, ""), "")</f>
        <v/>
      </c>
      <c r="AS317" s="22" t="str">
        <f>IF(E317&lt;&gt;"", IF(AS316&lt;&gt;"", E317*AS316, ""), "")</f>
        <v/>
      </c>
      <c r="AT317" s="22" t="str">
        <f>IF(E317&lt;&gt;"", IF(AT316&lt;&gt;"", E317*AT316, ""), "")</f>
        <v/>
      </c>
      <c r="AU317" s="22" t="str">
        <f>IF(E317&lt;&gt;"", IF(AU316&lt;&gt;"", E317*AU316, ""), "")</f>
        <v/>
      </c>
      <c r="AV317" s="22" t="str">
        <f>IF(E317&lt;&gt;"", IF(AV316&lt;&gt;"", E317*AV316, ""), "")</f>
        <v/>
      </c>
      <c r="AW317" s="22" t="str">
        <f>IF(E317&lt;&gt;"", IF(AW316&lt;&gt;"", E317*AW316, ""), "")</f>
        <v/>
      </c>
      <c r="AX317" s="22" t="str">
        <f>IF(E317&lt;&gt;"", IF(AX316&lt;&gt;"", E317*AX316, ""), "")</f>
        <v/>
      </c>
      <c r="AY317" s="22" t="str">
        <f>IF(E317&lt;&gt;"", IF(AY316&lt;&gt;"", E317*AY316, ""), "")</f>
        <v/>
      </c>
      <c r="AZ317" s="22" t="str">
        <f>IF(E317&lt;&gt;"", IF(AZ316&lt;&gt;"", E317*AZ316, ""), "")</f>
        <v/>
      </c>
      <c r="BA317" s="22" t="str">
        <f>IF(E317&lt;&gt;"", IF(BA316&lt;&gt;"", E317*BA316, ""), "")</f>
        <v/>
      </c>
      <c r="BB317" s="22" t="str">
        <f>IF(E317&lt;&gt;"", IF(BB316&lt;&gt;"", E317*BB316, ""), "")</f>
        <v/>
      </c>
      <c r="BC317" s="22" t="str">
        <f>IF(E317&lt;&gt;"", IF(BC316&lt;&gt;"", E317*BC316, ""), "")</f>
        <v/>
      </c>
      <c r="BD317" s="22" t="str">
        <f>IF(E317&lt;&gt;"", IF(BD316&lt;&gt;"", E317*BD316, ""), "")</f>
        <v/>
      </c>
      <c r="BE317" s="22" t="str">
        <f>IF(E317&lt;&gt;"", IF(BE316&lt;&gt;"", E317*BE316, ""), "")</f>
        <v/>
      </c>
    </row>
    <row r="318" spans="1:111" ht="20.100000000000001" customHeight="1">
      <c r="A318" s="220">
        <v>15</v>
      </c>
      <c r="B318" s="7"/>
      <c r="C318" s="7"/>
      <c r="D318" s="5"/>
      <c r="E318" s="3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59"/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59"/>
      <c r="AT318" s="59"/>
      <c r="AU318" s="59"/>
      <c r="AV318" s="59"/>
      <c r="AW318" s="59"/>
      <c r="AX318" s="59"/>
      <c r="AY318" s="59"/>
      <c r="AZ318" s="59"/>
      <c r="BA318" s="59"/>
      <c r="BB318" s="59"/>
      <c r="BC318" s="59"/>
      <c r="BD318" s="59"/>
      <c r="BE318" s="59"/>
    </row>
    <row r="319" spans="1:111" ht="20.100000000000001" customHeight="1">
      <c r="A319" s="221"/>
      <c r="B319" s="7"/>
      <c r="C319" s="7"/>
      <c r="D319" s="78"/>
      <c r="E319" s="47" t="str">
        <f>IF(egTextCal(D319)&lt;&gt;0, egTextCal(D319),"")</f>
        <v/>
      </c>
      <c r="F319" s="48" t="str">
        <f>IF(E319&lt;&gt;"", IF(F318&lt;&gt;"", E319*F318,""),"")</f>
        <v/>
      </c>
      <c r="G319" s="48" t="str">
        <f>IF(E319&lt;&gt;"", IF(G318&lt;&gt;"", E319*G318,""),"")</f>
        <v/>
      </c>
      <c r="H319" s="48" t="str">
        <f>IF(E319&lt;&gt;"", IF(H318&lt;&gt;"", E319*H318,""),"")</f>
        <v/>
      </c>
      <c r="I319" s="48" t="str">
        <f>IF(E319&lt;&gt;"", IF(I318&lt;&gt;"", E319*I318,""),"")</f>
        <v/>
      </c>
      <c r="J319" s="48" t="str">
        <f>IF(E319&lt;&gt;"", IF(J318&lt;&gt;"", E319*J318,""),"")</f>
        <v/>
      </c>
      <c r="K319" s="48" t="str">
        <f>IF(E319&lt;&gt;"", IF(K318&lt;&gt;"", E319*K318,""),"")</f>
        <v/>
      </c>
      <c r="L319" s="48" t="str">
        <f>IF(E319&lt;&gt;"", IF(L318&lt;&gt;"", E319*L318,""),"")</f>
        <v/>
      </c>
      <c r="M319" s="48" t="str">
        <f>IF(E319&lt;&gt;"", IF(M318&lt;&gt;"", E319*M318,""),"")</f>
        <v/>
      </c>
      <c r="N319" s="48" t="str">
        <f>IF(E319&lt;&gt;"", IF(N318&lt;&gt;"", E319*N318,""),"")</f>
        <v/>
      </c>
      <c r="O319" s="48" t="str">
        <f>IF(E319&lt;&gt;"", IF(O318&lt;&gt;"", E319*O318,""),"")</f>
        <v/>
      </c>
      <c r="P319" s="48" t="str">
        <f>IF(E319&lt;&gt;"", IF(P318&lt;&gt;"", E319*P318,""),"")</f>
        <v/>
      </c>
      <c r="Q319" s="48" t="str">
        <f>IF(E319&lt;&gt;"", IF(Q318&lt;&gt;"", E319*Q318,""),"")</f>
        <v/>
      </c>
      <c r="R319" s="48" t="str">
        <f>IF(E319&lt;&gt;"", IF(R318&lt;&gt;"", E319*R318,""),"")</f>
        <v/>
      </c>
      <c r="S319" s="48" t="str">
        <f>IF(E319&lt;&gt;"", IF(S318&lt;&gt;"", E319*S318,""),"")</f>
        <v/>
      </c>
      <c r="T319" s="48" t="str">
        <f>IF(E319&lt;&gt;"", IF(T318&lt;&gt;"", E319*T318,""),"")</f>
        <v/>
      </c>
      <c r="U319" s="48" t="str">
        <f>IF(E319&lt;&gt;"", IF(U318&lt;&gt;"", E319*U318,""),"")</f>
        <v/>
      </c>
      <c r="V319" s="48" t="str">
        <f>IF(E319&lt;&gt;"", IF(V318&lt;&gt;"", E319*V318,""),"")</f>
        <v/>
      </c>
      <c r="W319" s="48" t="str">
        <f>IF(E319&lt;&gt;"", IF(W318&lt;&gt;"", E319*W318,""),"")</f>
        <v/>
      </c>
      <c r="X319" s="48" t="str">
        <f>IF(E319&lt;&gt;"", IF(X318&lt;&gt;"", E319*X318,""),"")</f>
        <v/>
      </c>
      <c r="Y319" s="48" t="str">
        <f>IF(E319&lt;&gt;"", IF(Y318&lt;&gt;"", E319*Y318,""),"")</f>
        <v/>
      </c>
      <c r="Z319" s="48" t="str">
        <f>IF(E319&lt;&gt;"", IF(Z318&lt;&gt;"", E319*Z318,""),"")</f>
        <v/>
      </c>
      <c r="AA319" s="22"/>
      <c r="AB319" s="22" t="str">
        <f>IF(E319&lt;&gt;"", IF(AB318&lt;&gt;"", E319*AB318, ""), "")</f>
        <v/>
      </c>
      <c r="AC319" s="22" t="str">
        <f>IF(E319&lt;&gt;"", IF(AC318&lt;&gt;"", E319*AC318, ""), "")</f>
        <v/>
      </c>
      <c r="AD319" s="22" t="str">
        <f>IF(E319&lt;&gt;"", IF(AD318&lt;&gt;"", E319*AD318, ""), "")</f>
        <v/>
      </c>
      <c r="AE319" s="22" t="str">
        <f>IF(E319&lt;&gt;"", IF(AE318&lt;&gt;"", E319*AE318, ""), "")</f>
        <v/>
      </c>
      <c r="AF319" s="22" t="str">
        <f>IF(E319&lt;&gt;"", IF(AF318&lt;&gt;"", E319*AF318, ""), "")</f>
        <v/>
      </c>
      <c r="AG319" s="22" t="str">
        <f>IF(E319&lt;&gt;"", IF(AG318&lt;&gt;"", E319*AG318, ""), "")</f>
        <v/>
      </c>
      <c r="AH319" s="22" t="str">
        <f>IF(E319&lt;&gt;"", IF(AH318&lt;&gt;"", E319*AH318, ""), "")</f>
        <v/>
      </c>
      <c r="AI319" s="22" t="str">
        <f>IF(E319&lt;&gt;"", IF(AI318&lt;&gt;"", E319*AI318, ""), "")</f>
        <v/>
      </c>
      <c r="AJ319" s="22" t="str">
        <f>IF(E319&lt;&gt;"", IF(AJ318&lt;&gt;"", E319*AJ318, ""), "")</f>
        <v/>
      </c>
      <c r="AK319" s="22" t="str">
        <f>IF(E319&lt;&gt;"", IF(AK318&lt;&gt;"", E319*AK318, ""), "")</f>
        <v/>
      </c>
      <c r="AL319" s="22" t="str">
        <f>IF(E319&lt;&gt;"", IF(AL318&lt;&gt;"", E319*AL318, ""), "")</f>
        <v/>
      </c>
      <c r="AM319" s="22" t="str">
        <f>IF(E319&lt;&gt;"", IF(AM318&lt;&gt;"", E319*AM318, ""), "")</f>
        <v/>
      </c>
      <c r="AN319" s="22" t="str">
        <f>IF(E319&lt;&gt;"", IF(AN318&lt;&gt;"", E319*AN318, ""), "")</f>
        <v/>
      </c>
      <c r="AO319" s="22" t="str">
        <f>IF(E319&lt;&gt;"", IF(AO318&lt;&gt;"", E319*AO318, ""), "")</f>
        <v/>
      </c>
      <c r="AP319" s="22" t="str">
        <f>IF(E319&lt;&gt;"", IF(AP318&lt;&gt;"", E319*AP318, ""), "")</f>
        <v/>
      </c>
      <c r="AQ319" s="22" t="str">
        <f>IF(E319&lt;&gt;"", IF(AQ318&lt;&gt;"", E319*AQ318, ""), "")</f>
        <v/>
      </c>
      <c r="AR319" s="22" t="str">
        <f>IF(E319&lt;&gt;"", IF(AR318&lt;&gt;"", E319*AR318, ""), "")</f>
        <v/>
      </c>
      <c r="AS319" s="22" t="str">
        <f>IF(E319&lt;&gt;"", IF(AS318&lt;&gt;"", E319*AS318, ""), "")</f>
        <v/>
      </c>
      <c r="AT319" s="22" t="str">
        <f>IF(E319&lt;&gt;"", IF(AT318&lt;&gt;"", E319*AT318, ""), "")</f>
        <v/>
      </c>
      <c r="AU319" s="22" t="str">
        <f>IF(E319&lt;&gt;"", IF(AU318&lt;&gt;"", E319*AU318, ""), "")</f>
        <v/>
      </c>
      <c r="AV319" s="22" t="str">
        <f>IF(E319&lt;&gt;"", IF(AV318&lt;&gt;"", E319*AV318, ""), "")</f>
        <v/>
      </c>
      <c r="AW319" s="22" t="str">
        <f>IF(E319&lt;&gt;"", IF(AW318&lt;&gt;"", E319*AW318, ""), "")</f>
        <v/>
      </c>
      <c r="AX319" s="22" t="str">
        <f>IF(E319&lt;&gt;"", IF(AX318&lt;&gt;"", E319*AX318, ""), "")</f>
        <v/>
      </c>
      <c r="AY319" s="22" t="str">
        <f>IF(E319&lt;&gt;"", IF(AY318&lt;&gt;"", E319*AY318, ""), "")</f>
        <v/>
      </c>
      <c r="AZ319" s="22" t="str">
        <f>IF(E319&lt;&gt;"", IF(AZ318&lt;&gt;"", E319*AZ318, ""), "")</f>
        <v/>
      </c>
      <c r="BA319" s="22" t="str">
        <f>IF(E319&lt;&gt;"", IF(BA318&lt;&gt;"", E319*BA318, ""), "")</f>
        <v/>
      </c>
      <c r="BB319" s="22" t="str">
        <f>IF(E319&lt;&gt;"", IF(BB318&lt;&gt;"", E319*BB318, ""), "")</f>
        <v/>
      </c>
      <c r="BC319" s="22" t="str">
        <f>IF(E319&lt;&gt;"", IF(BC318&lt;&gt;"", E319*BC318, ""), "")</f>
        <v/>
      </c>
      <c r="BD319" s="22" t="str">
        <f>IF(E319&lt;&gt;"", IF(BD318&lt;&gt;"", E319*BD318, ""), "")</f>
        <v/>
      </c>
      <c r="BE319" s="22" t="str">
        <f>IF(E319&lt;&gt;"", IF(BE318&lt;&gt;"", E319*BE318, ""), "")</f>
        <v/>
      </c>
    </row>
    <row r="320" spans="1:111" ht="20.100000000000001" customHeight="1">
      <c r="A320" s="220">
        <v>16</v>
      </c>
      <c r="B320" s="7"/>
      <c r="C320" s="7"/>
      <c r="D320" s="5"/>
      <c r="E320" s="3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  <c r="AP320" s="59"/>
      <c r="AQ320" s="59"/>
      <c r="AR320" s="59"/>
      <c r="AS320" s="59"/>
      <c r="AT320" s="59"/>
      <c r="AU320" s="59"/>
      <c r="AV320" s="59"/>
      <c r="AW320" s="59"/>
      <c r="AX320" s="59"/>
      <c r="AY320" s="59"/>
      <c r="AZ320" s="59"/>
      <c r="BA320" s="59"/>
      <c r="BB320" s="59"/>
      <c r="BC320" s="59"/>
      <c r="BD320" s="59"/>
      <c r="BE320" s="59"/>
    </row>
    <row r="321" spans="1:57" ht="20.100000000000001" customHeight="1">
      <c r="A321" s="221"/>
      <c r="B321" s="7"/>
      <c r="C321" s="7"/>
      <c r="D321" s="78"/>
      <c r="E321" s="47" t="str">
        <f>IF(egTextCal(D321)&lt;&gt;0, egTextCal(D321),"")</f>
        <v/>
      </c>
      <c r="F321" s="48" t="str">
        <f>IF(E321&lt;&gt;"", IF(F320&lt;&gt;"", E321*F320,""),"")</f>
        <v/>
      </c>
      <c r="G321" s="48" t="str">
        <f>IF(E321&lt;&gt;"", IF(G320&lt;&gt;"", E321*G320,""),"")</f>
        <v/>
      </c>
      <c r="H321" s="48" t="str">
        <f>IF(E321&lt;&gt;"", IF(H320&lt;&gt;"", E321*H320,""),"")</f>
        <v/>
      </c>
      <c r="I321" s="48" t="str">
        <f>IF(E321&lt;&gt;"", IF(I320&lt;&gt;"", E321*I320,""),"")</f>
        <v/>
      </c>
      <c r="J321" s="48" t="str">
        <f>IF(E321&lt;&gt;"", IF(J320&lt;&gt;"", E321*J320,""),"")</f>
        <v/>
      </c>
      <c r="K321" s="48" t="str">
        <f>IF(E321&lt;&gt;"", IF(K320&lt;&gt;"", E321*K320,""),"")</f>
        <v/>
      </c>
      <c r="L321" s="48" t="str">
        <f>IF(E321&lt;&gt;"", IF(L320&lt;&gt;"", E321*L320,""),"")</f>
        <v/>
      </c>
      <c r="M321" s="48" t="str">
        <f>IF(E321&lt;&gt;"", IF(M320&lt;&gt;"", E321*M320,""),"")</f>
        <v/>
      </c>
      <c r="N321" s="48" t="str">
        <f>IF(E321&lt;&gt;"", IF(N320&lt;&gt;"", E321*N320,""),"")</f>
        <v/>
      </c>
      <c r="O321" s="48" t="str">
        <f>IF(E321&lt;&gt;"", IF(O320&lt;&gt;"", E321*O320,""),"")</f>
        <v/>
      </c>
      <c r="P321" s="48" t="str">
        <f>IF(E321&lt;&gt;"", IF(P320&lt;&gt;"", E321*P320,""),"")</f>
        <v/>
      </c>
      <c r="Q321" s="48" t="str">
        <f>IF(E321&lt;&gt;"", IF(Q320&lt;&gt;"", E321*Q320,""),"")</f>
        <v/>
      </c>
      <c r="R321" s="48" t="str">
        <f>IF(E321&lt;&gt;"", IF(R320&lt;&gt;"", E321*R320,""),"")</f>
        <v/>
      </c>
      <c r="S321" s="48" t="str">
        <f>IF(E321&lt;&gt;"", IF(S320&lt;&gt;"", E321*S320,""),"")</f>
        <v/>
      </c>
      <c r="T321" s="48" t="str">
        <f>IF(E321&lt;&gt;"", IF(T320&lt;&gt;"", E321*T320,""),"")</f>
        <v/>
      </c>
      <c r="U321" s="48" t="str">
        <f>IF(E321&lt;&gt;"", IF(U320&lt;&gt;"", E321*U320,""),"")</f>
        <v/>
      </c>
      <c r="V321" s="48" t="str">
        <f>IF(E321&lt;&gt;"", IF(V320&lt;&gt;"", E321*V320,""),"")</f>
        <v/>
      </c>
      <c r="W321" s="48" t="str">
        <f>IF(E321&lt;&gt;"", IF(W320&lt;&gt;"", E321*W320,""),"")</f>
        <v/>
      </c>
      <c r="X321" s="48" t="str">
        <f>IF(E321&lt;&gt;"", IF(X320&lt;&gt;"", E321*X320,""),"")</f>
        <v/>
      </c>
      <c r="Y321" s="48" t="str">
        <f>IF(E321&lt;&gt;"", IF(Y320&lt;&gt;"", E321*Y320,""),"")</f>
        <v/>
      </c>
      <c r="Z321" s="48" t="str">
        <f>IF(E321&lt;&gt;"", IF(Z320&lt;&gt;"", E321*Z320,""),"")</f>
        <v/>
      </c>
      <c r="AA321" s="22"/>
      <c r="AB321" s="22" t="str">
        <f>IF(E321&lt;&gt;"", IF(AB320&lt;&gt;"", E321*AB320, ""), "")</f>
        <v/>
      </c>
      <c r="AC321" s="22" t="str">
        <f>IF(E321&lt;&gt;"", IF(AC320&lt;&gt;"", E321*AC320, ""), "")</f>
        <v/>
      </c>
      <c r="AD321" s="22" t="str">
        <f>IF(E321&lt;&gt;"", IF(AD320&lt;&gt;"", E321*AD320, ""), "")</f>
        <v/>
      </c>
      <c r="AE321" s="22" t="str">
        <f>IF(E321&lt;&gt;"", IF(AE320&lt;&gt;"", E321*AE320, ""), "")</f>
        <v/>
      </c>
      <c r="AF321" s="22" t="str">
        <f>IF(E321&lt;&gt;"", IF(AF320&lt;&gt;"", E321*AF320, ""), "")</f>
        <v/>
      </c>
      <c r="AG321" s="22" t="str">
        <f>IF(E321&lt;&gt;"", IF(AG320&lt;&gt;"", E321*AG320, ""), "")</f>
        <v/>
      </c>
      <c r="AH321" s="22" t="str">
        <f>IF(E321&lt;&gt;"", IF(AH320&lt;&gt;"", E321*AH320, ""), "")</f>
        <v/>
      </c>
      <c r="AI321" s="22" t="str">
        <f>IF(E321&lt;&gt;"", IF(AI320&lt;&gt;"", E321*AI320, ""), "")</f>
        <v/>
      </c>
      <c r="AJ321" s="22" t="str">
        <f>IF(E321&lt;&gt;"", IF(AJ320&lt;&gt;"", E321*AJ320, ""), "")</f>
        <v/>
      </c>
      <c r="AK321" s="22" t="str">
        <f>IF(E321&lt;&gt;"", IF(AK320&lt;&gt;"", E321*AK320, ""), "")</f>
        <v/>
      </c>
      <c r="AL321" s="22" t="str">
        <f>IF(E321&lt;&gt;"", IF(AL320&lt;&gt;"", E321*AL320, ""), "")</f>
        <v/>
      </c>
      <c r="AM321" s="22" t="str">
        <f>IF(E321&lt;&gt;"", IF(AM320&lt;&gt;"", E321*AM320, ""), "")</f>
        <v/>
      </c>
      <c r="AN321" s="22" t="str">
        <f>IF(E321&lt;&gt;"", IF(AN320&lt;&gt;"", E321*AN320, ""), "")</f>
        <v/>
      </c>
      <c r="AO321" s="22" t="str">
        <f>IF(E321&lt;&gt;"", IF(AO320&lt;&gt;"", E321*AO320, ""), "")</f>
        <v/>
      </c>
      <c r="AP321" s="22" t="str">
        <f>IF(E321&lt;&gt;"", IF(AP320&lt;&gt;"", E321*AP320, ""), "")</f>
        <v/>
      </c>
      <c r="AQ321" s="22" t="str">
        <f>IF(E321&lt;&gt;"", IF(AQ320&lt;&gt;"", E321*AQ320, ""), "")</f>
        <v/>
      </c>
      <c r="AR321" s="22" t="str">
        <f>IF(E321&lt;&gt;"", IF(AR320&lt;&gt;"", E321*AR320, ""), "")</f>
        <v/>
      </c>
      <c r="AS321" s="22" t="str">
        <f>IF(E321&lt;&gt;"", IF(AS320&lt;&gt;"", E321*AS320, ""), "")</f>
        <v/>
      </c>
      <c r="AT321" s="22" t="str">
        <f>IF(E321&lt;&gt;"", IF(AT320&lt;&gt;"", E321*AT320, ""), "")</f>
        <v/>
      </c>
      <c r="AU321" s="22" t="str">
        <f>IF(E321&lt;&gt;"", IF(AU320&lt;&gt;"", E321*AU320, ""), "")</f>
        <v/>
      </c>
      <c r="AV321" s="22" t="str">
        <f>IF(E321&lt;&gt;"", IF(AV320&lt;&gt;"", E321*AV320, ""), "")</f>
        <v/>
      </c>
      <c r="AW321" s="22" t="str">
        <f>IF(E321&lt;&gt;"", IF(AW320&lt;&gt;"", E321*AW320, ""), "")</f>
        <v/>
      </c>
      <c r="AX321" s="22" t="str">
        <f>IF(E321&lt;&gt;"", IF(AX320&lt;&gt;"", E321*AX320, ""), "")</f>
        <v/>
      </c>
      <c r="AY321" s="22" t="str">
        <f>IF(E321&lt;&gt;"", IF(AY320&lt;&gt;"", E321*AY320, ""), "")</f>
        <v/>
      </c>
      <c r="AZ321" s="22" t="str">
        <f>IF(E321&lt;&gt;"", IF(AZ320&lt;&gt;"", E321*AZ320, ""), "")</f>
        <v/>
      </c>
      <c r="BA321" s="22" t="str">
        <f>IF(E321&lt;&gt;"", IF(BA320&lt;&gt;"", E321*BA320, ""), "")</f>
        <v/>
      </c>
      <c r="BB321" s="22" t="str">
        <f>IF(E321&lt;&gt;"", IF(BB320&lt;&gt;"", E321*BB320, ""), "")</f>
        <v/>
      </c>
      <c r="BC321" s="22" t="str">
        <f>IF(E321&lt;&gt;"", IF(BC320&lt;&gt;"", E321*BC320, ""), "")</f>
        <v/>
      </c>
      <c r="BD321" s="22" t="str">
        <f>IF(E321&lt;&gt;"", IF(BD320&lt;&gt;"", E321*BD320, ""), "")</f>
        <v/>
      </c>
      <c r="BE321" s="22" t="str">
        <f>IF(E321&lt;&gt;"", IF(BE320&lt;&gt;"", E321*BE320, ""), "")</f>
        <v/>
      </c>
    </row>
    <row r="322" spans="1:57" ht="20.100000000000001" customHeight="1">
      <c r="A322" s="220">
        <v>17</v>
      </c>
      <c r="B322" s="7"/>
      <c r="C322" s="7"/>
      <c r="D322" s="5"/>
      <c r="E322" s="3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59"/>
      <c r="AB322" s="59"/>
      <c r="AC322" s="59"/>
      <c r="AD322" s="59"/>
      <c r="AE322" s="59"/>
      <c r="AF322" s="59"/>
      <c r="AG322" s="59"/>
      <c r="AH322" s="59"/>
      <c r="AI322" s="59"/>
      <c r="AJ322" s="59"/>
      <c r="AK322" s="59"/>
      <c r="AL322" s="59"/>
      <c r="AM322" s="59"/>
      <c r="AN322" s="59"/>
      <c r="AO322" s="59"/>
      <c r="AP322" s="59"/>
      <c r="AQ322" s="59"/>
      <c r="AR322" s="59"/>
      <c r="AS322" s="59"/>
      <c r="AT322" s="59"/>
      <c r="AU322" s="59"/>
      <c r="AV322" s="59"/>
      <c r="AW322" s="59"/>
      <c r="AX322" s="59"/>
      <c r="AY322" s="59"/>
      <c r="AZ322" s="59"/>
      <c r="BA322" s="59"/>
      <c r="BB322" s="59"/>
      <c r="BC322" s="59"/>
      <c r="BD322" s="59"/>
      <c r="BE322" s="59"/>
    </row>
    <row r="323" spans="1:57" ht="20.100000000000001" customHeight="1">
      <c r="A323" s="221"/>
      <c r="B323" s="7"/>
      <c r="C323" s="7"/>
      <c r="D323" s="78"/>
      <c r="E323" s="47" t="str">
        <f>IF(egTextCal(D323)&lt;&gt;0, egTextCal(D323),"")</f>
        <v/>
      </c>
      <c r="F323" s="48" t="str">
        <f>IF(E323&lt;&gt;"", IF(F322&lt;&gt;"", E323*F322,""),"")</f>
        <v/>
      </c>
      <c r="G323" s="48" t="str">
        <f>IF(E323&lt;&gt;"", IF(G322&lt;&gt;"", E323*G322,""),"")</f>
        <v/>
      </c>
      <c r="H323" s="48" t="str">
        <f>IF(E323&lt;&gt;"", IF(H322&lt;&gt;"", E323*H322,""),"")</f>
        <v/>
      </c>
      <c r="I323" s="48" t="str">
        <f>IF(E323&lt;&gt;"", IF(I322&lt;&gt;"", E323*I322,""),"")</f>
        <v/>
      </c>
      <c r="J323" s="48" t="str">
        <f>IF(E323&lt;&gt;"", IF(J322&lt;&gt;"", E323*J322,""),"")</f>
        <v/>
      </c>
      <c r="K323" s="48" t="str">
        <f>IF(E323&lt;&gt;"", IF(K322&lt;&gt;"", E323*K322,""),"")</f>
        <v/>
      </c>
      <c r="L323" s="48" t="str">
        <f>IF(E323&lt;&gt;"", IF(L322&lt;&gt;"", E323*L322,""),"")</f>
        <v/>
      </c>
      <c r="M323" s="48" t="str">
        <f>IF(E323&lt;&gt;"", IF(M322&lt;&gt;"", E323*M322,""),"")</f>
        <v/>
      </c>
      <c r="N323" s="48" t="str">
        <f>IF(E323&lt;&gt;"", IF(N322&lt;&gt;"", E323*N322,""),"")</f>
        <v/>
      </c>
      <c r="O323" s="48" t="str">
        <f>IF(E323&lt;&gt;"", IF(O322&lt;&gt;"", E323*O322,""),"")</f>
        <v/>
      </c>
      <c r="P323" s="48" t="str">
        <f>IF(E323&lt;&gt;"", IF(P322&lt;&gt;"", E323*P322,""),"")</f>
        <v/>
      </c>
      <c r="Q323" s="48" t="str">
        <f>IF(E323&lt;&gt;"", IF(Q322&lt;&gt;"", E323*Q322,""),"")</f>
        <v/>
      </c>
      <c r="R323" s="48" t="str">
        <f>IF(E323&lt;&gt;"", IF(R322&lt;&gt;"", E323*R322,""),"")</f>
        <v/>
      </c>
      <c r="S323" s="48" t="str">
        <f>IF(E323&lt;&gt;"", IF(S322&lt;&gt;"", E323*S322,""),"")</f>
        <v/>
      </c>
      <c r="T323" s="48" t="str">
        <f>IF(E323&lt;&gt;"", IF(T322&lt;&gt;"", E323*T322,""),"")</f>
        <v/>
      </c>
      <c r="U323" s="48" t="str">
        <f>IF(E323&lt;&gt;"", IF(U322&lt;&gt;"", E323*U322,""),"")</f>
        <v/>
      </c>
      <c r="V323" s="48" t="str">
        <f>IF(E323&lt;&gt;"", IF(V322&lt;&gt;"", E323*V322,""),"")</f>
        <v/>
      </c>
      <c r="W323" s="48" t="str">
        <f>IF(E323&lt;&gt;"", IF(W322&lt;&gt;"", E323*W322,""),"")</f>
        <v/>
      </c>
      <c r="X323" s="48" t="str">
        <f>IF(E323&lt;&gt;"", IF(X322&lt;&gt;"", E323*X322,""),"")</f>
        <v/>
      </c>
      <c r="Y323" s="48" t="str">
        <f>IF(E323&lt;&gt;"", IF(Y322&lt;&gt;"", E323*Y322,""),"")</f>
        <v/>
      </c>
      <c r="Z323" s="48" t="str">
        <f>IF(E323&lt;&gt;"", IF(Z322&lt;&gt;"", E323*Z322,""),"")</f>
        <v/>
      </c>
      <c r="AA323" s="22"/>
      <c r="AB323" s="22" t="str">
        <f>IF(E323&lt;&gt;"", IF(AB322&lt;&gt;"", E323*AB322, ""), "")</f>
        <v/>
      </c>
      <c r="AC323" s="22" t="str">
        <f>IF(E323&lt;&gt;"", IF(AC322&lt;&gt;"", E323*AC322, ""), "")</f>
        <v/>
      </c>
      <c r="AD323" s="22" t="str">
        <f>IF(E323&lt;&gt;"", IF(AD322&lt;&gt;"", E323*AD322, ""), "")</f>
        <v/>
      </c>
      <c r="AE323" s="22" t="str">
        <f>IF(E323&lt;&gt;"", IF(AE322&lt;&gt;"", E323*AE322, ""), "")</f>
        <v/>
      </c>
      <c r="AF323" s="22" t="str">
        <f>IF(E323&lt;&gt;"", IF(AF322&lt;&gt;"", E323*AF322, ""), "")</f>
        <v/>
      </c>
      <c r="AG323" s="22" t="str">
        <f>IF(E323&lt;&gt;"", IF(AG322&lt;&gt;"", E323*AG322, ""), "")</f>
        <v/>
      </c>
      <c r="AH323" s="22" t="str">
        <f>IF(E323&lt;&gt;"", IF(AH322&lt;&gt;"", E323*AH322, ""), "")</f>
        <v/>
      </c>
      <c r="AI323" s="22" t="str">
        <f>IF(E323&lt;&gt;"", IF(AI322&lt;&gt;"", E323*AI322, ""), "")</f>
        <v/>
      </c>
      <c r="AJ323" s="22" t="str">
        <f>IF(E323&lt;&gt;"", IF(AJ322&lt;&gt;"", E323*AJ322, ""), "")</f>
        <v/>
      </c>
      <c r="AK323" s="22" t="str">
        <f>IF(E323&lt;&gt;"", IF(AK322&lt;&gt;"", E323*AK322, ""), "")</f>
        <v/>
      </c>
      <c r="AL323" s="22" t="str">
        <f>IF(E323&lt;&gt;"", IF(AL322&lt;&gt;"", E323*AL322, ""), "")</f>
        <v/>
      </c>
      <c r="AM323" s="22" t="str">
        <f>IF(E323&lt;&gt;"", IF(AM322&lt;&gt;"", E323*AM322, ""), "")</f>
        <v/>
      </c>
      <c r="AN323" s="22" t="str">
        <f>IF(E323&lt;&gt;"", IF(AN322&lt;&gt;"", E323*AN322, ""), "")</f>
        <v/>
      </c>
      <c r="AO323" s="22" t="str">
        <f>IF(E323&lt;&gt;"", IF(AO322&lt;&gt;"", E323*AO322, ""), "")</f>
        <v/>
      </c>
      <c r="AP323" s="22" t="str">
        <f>IF(E323&lt;&gt;"", IF(AP322&lt;&gt;"", E323*AP322, ""), "")</f>
        <v/>
      </c>
      <c r="AQ323" s="22" t="str">
        <f>IF(E323&lt;&gt;"", IF(AQ322&lt;&gt;"", E323*AQ322, ""), "")</f>
        <v/>
      </c>
      <c r="AR323" s="22" t="str">
        <f>IF(E323&lt;&gt;"", IF(AR322&lt;&gt;"", E323*AR322, ""), "")</f>
        <v/>
      </c>
      <c r="AS323" s="22" t="str">
        <f>IF(E323&lt;&gt;"", IF(AS322&lt;&gt;"", E323*AS322, ""), "")</f>
        <v/>
      </c>
      <c r="AT323" s="22" t="str">
        <f>IF(E323&lt;&gt;"", IF(AT322&lt;&gt;"", E323*AT322, ""), "")</f>
        <v/>
      </c>
      <c r="AU323" s="22" t="str">
        <f>IF(E323&lt;&gt;"", IF(AU322&lt;&gt;"", E323*AU322, ""), "")</f>
        <v/>
      </c>
      <c r="AV323" s="22" t="str">
        <f>IF(E323&lt;&gt;"", IF(AV322&lt;&gt;"", E323*AV322, ""), "")</f>
        <v/>
      </c>
      <c r="AW323" s="22" t="str">
        <f>IF(E323&lt;&gt;"", IF(AW322&lt;&gt;"", E323*AW322, ""), "")</f>
        <v/>
      </c>
      <c r="AX323" s="22" t="str">
        <f>IF(E323&lt;&gt;"", IF(AX322&lt;&gt;"", E323*AX322, ""), "")</f>
        <v/>
      </c>
      <c r="AY323" s="22" t="str">
        <f>IF(E323&lt;&gt;"", IF(AY322&lt;&gt;"", E323*AY322, ""), "")</f>
        <v/>
      </c>
      <c r="AZ323" s="22" t="str">
        <f>IF(E323&lt;&gt;"", IF(AZ322&lt;&gt;"", E323*AZ322, ""), "")</f>
        <v/>
      </c>
      <c r="BA323" s="22" t="str">
        <f>IF(E323&lt;&gt;"", IF(BA322&lt;&gt;"", E323*BA322, ""), "")</f>
        <v/>
      </c>
      <c r="BB323" s="22" t="str">
        <f>IF(E323&lt;&gt;"", IF(BB322&lt;&gt;"", E323*BB322, ""), "")</f>
        <v/>
      </c>
      <c r="BC323" s="22" t="str">
        <f>IF(E323&lt;&gt;"", IF(BC322&lt;&gt;"", E323*BC322, ""), "")</f>
        <v/>
      </c>
      <c r="BD323" s="22" t="str">
        <f>IF(E323&lt;&gt;"", IF(BD322&lt;&gt;"", E323*BD322, ""), "")</f>
        <v/>
      </c>
      <c r="BE323" s="22" t="str">
        <f>IF(E323&lt;&gt;"", IF(BE322&lt;&gt;"", E323*BE322, ""), "")</f>
        <v/>
      </c>
    </row>
    <row r="324" spans="1:57" ht="20.100000000000001" customHeight="1">
      <c r="A324" s="220">
        <v>18</v>
      </c>
      <c r="B324" s="7"/>
      <c r="C324" s="7"/>
      <c r="D324" s="5"/>
      <c r="E324" s="3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59"/>
      <c r="AB324" s="59"/>
      <c r="AC324" s="59"/>
      <c r="AD324" s="59"/>
      <c r="AE324" s="59"/>
      <c r="AF324" s="59"/>
      <c r="AG324" s="59"/>
      <c r="AH324" s="59"/>
      <c r="AI324" s="59"/>
      <c r="AJ324" s="59"/>
      <c r="AK324" s="59"/>
      <c r="AL324" s="59"/>
      <c r="AM324" s="59"/>
      <c r="AN324" s="59"/>
      <c r="AO324" s="59"/>
      <c r="AP324" s="59"/>
      <c r="AQ324" s="59"/>
      <c r="AR324" s="59"/>
      <c r="AS324" s="59"/>
      <c r="AT324" s="59"/>
      <c r="AU324" s="59"/>
      <c r="AV324" s="59"/>
      <c r="AW324" s="59"/>
      <c r="AX324" s="59"/>
      <c r="AY324" s="59"/>
      <c r="AZ324" s="59"/>
      <c r="BA324" s="59"/>
      <c r="BB324" s="59"/>
      <c r="BC324" s="59"/>
      <c r="BD324" s="59"/>
      <c r="BE324" s="59"/>
    </row>
    <row r="325" spans="1:57" ht="20.100000000000001" customHeight="1">
      <c r="A325" s="221"/>
      <c r="B325" s="7"/>
      <c r="C325" s="7"/>
      <c r="D325" s="78"/>
      <c r="E325" s="47" t="str">
        <f>IF(egTextCal(D325)&lt;&gt;0, egTextCal(D325),"")</f>
        <v/>
      </c>
      <c r="F325" s="48" t="str">
        <f>IF(E325&lt;&gt;"", IF(F324&lt;&gt;"", E325*F324,""),"")</f>
        <v/>
      </c>
      <c r="G325" s="48" t="str">
        <f>IF(E325&lt;&gt;"", IF(G324&lt;&gt;"", E325*G324,""),"")</f>
        <v/>
      </c>
      <c r="H325" s="48" t="str">
        <f>IF(E325&lt;&gt;"", IF(H324&lt;&gt;"", E325*H324,""),"")</f>
        <v/>
      </c>
      <c r="I325" s="48" t="str">
        <f>IF(E325&lt;&gt;"", IF(I324&lt;&gt;"", E325*I324,""),"")</f>
        <v/>
      </c>
      <c r="J325" s="48" t="str">
        <f>IF(E325&lt;&gt;"", IF(J324&lt;&gt;"", E325*J324,""),"")</f>
        <v/>
      </c>
      <c r="K325" s="48" t="str">
        <f>IF(E325&lt;&gt;"", IF(K324&lt;&gt;"", E325*K324,""),"")</f>
        <v/>
      </c>
      <c r="L325" s="48" t="str">
        <f>IF(E325&lt;&gt;"", IF(L324&lt;&gt;"", E325*L324,""),"")</f>
        <v/>
      </c>
      <c r="M325" s="48" t="str">
        <f>IF(E325&lt;&gt;"", IF(M324&lt;&gt;"", E325*M324,""),"")</f>
        <v/>
      </c>
      <c r="N325" s="48" t="str">
        <f>IF(E325&lt;&gt;"", IF(N324&lt;&gt;"", E325*N324,""),"")</f>
        <v/>
      </c>
      <c r="O325" s="48" t="str">
        <f>IF(E325&lt;&gt;"", IF(O324&lt;&gt;"", E325*O324,""),"")</f>
        <v/>
      </c>
      <c r="P325" s="48" t="str">
        <f>IF(E325&lt;&gt;"", IF(P324&lt;&gt;"", E325*P324,""),"")</f>
        <v/>
      </c>
      <c r="Q325" s="48" t="str">
        <f>IF(E325&lt;&gt;"", IF(Q324&lt;&gt;"", E325*Q324,""),"")</f>
        <v/>
      </c>
      <c r="R325" s="48" t="str">
        <f>IF(E325&lt;&gt;"", IF(R324&lt;&gt;"", E325*R324,""),"")</f>
        <v/>
      </c>
      <c r="S325" s="48" t="str">
        <f>IF(E325&lt;&gt;"", IF(S324&lt;&gt;"", E325*S324,""),"")</f>
        <v/>
      </c>
      <c r="T325" s="48" t="str">
        <f>IF(E325&lt;&gt;"", IF(T324&lt;&gt;"", E325*T324,""),"")</f>
        <v/>
      </c>
      <c r="U325" s="48" t="str">
        <f>IF(E325&lt;&gt;"", IF(U324&lt;&gt;"", E325*U324,""),"")</f>
        <v/>
      </c>
      <c r="V325" s="48" t="str">
        <f>IF(E325&lt;&gt;"", IF(V324&lt;&gt;"", E325*V324,""),"")</f>
        <v/>
      </c>
      <c r="W325" s="48" t="str">
        <f>IF(E325&lt;&gt;"", IF(W324&lt;&gt;"", E325*W324,""),"")</f>
        <v/>
      </c>
      <c r="X325" s="48" t="str">
        <f>IF(E325&lt;&gt;"", IF(X324&lt;&gt;"", E325*X324,""),"")</f>
        <v/>
      </c>
      <c r="Y325" s="48" t="str">
        <f>IF(E325&lt;&gt;"", IF(Y324&lt;&gt;"", E325*Y324,""),"")</f>
        <v/>
      </c>
      <c r="Z325" s="48" t="str">
        <f>IF(E325&lt;&gt;"", IF(Z324&lt;&gt;"", E325*Z324,""),"")</f>
        <v/>
      </c>
      <c r="AA325" s="22"/>
      <c r="AB325" s="22" t="str">
        <f>IF(E325&lt;&gt;"", IF(AB324&lt;&gt;"", E325*AB324, ""), "")</f>
        <v/>
      </c>
      <c r="AC325" s="22" t="str">
        <f>IF(E325&lt;&gt;"", IF(AC324&lt;&gt;"", E325*AC324, ""), "")</f>
        <v/>
      </c>
      <c r="AD325" s="22" t="str">
        <f>IF(E325&lt;&gt;"", IF(AD324&lt;&gt;"", E325*AD324, ""), "")</f>
        <v/>
      </c>
      <c r="AE325" s="22" t="str">
        <f>IF(E325&lt;&gt;"", IF(AE324&lt;&gt;"", E325*AE324, ""), "")</f>
        <v/>
      </c>
      <c r="AF325" s="22" t="str">
        <f>IF(E325&lt;&gt;"", IF(AF324&lt;&gt;"", E325*AF324, ""), "")</f>
        <v/>
      </c>
      <c r="AG325" s="22" t="str">
        <f>IF(E325&lt;&gt;"", IF(AG324&lt;&gt;"", E325*AG324, ""), "")</f>
        <v/>
      </c>
      <c r="AH325" s="22" t="str">
        <f>IF(E325&lt;&gt;"", IF(AH324&lt;&gt;"", E325*AH324, ""), "")</f>
        <v/>
      </c>
      <c r="AI325" s="22" t="str">
        <f>IF(E325&lt;&gt;"", IF(AI324&lt;&gt;"", E325*AI324, ""), "")</f>
        <v/>
      </c>
      <c r="AJ325" s="22" t="str">
        <f>IF(E325&lt;&gt;"", IF(AJ324&lt;&gt;"", E325*AJ324, ""), "")</f>
        <v/>
      </c>
      <c r="AK325" s="22" t="str">
        <f>IF(E325&lt;&gt;"", IF(AK324&lt;&gt;"", E325*AK324, ""), "")</f>
        <v/>
      </c>
      <c r="AL325" s="22" t="str">
        <f>IF(E325&lt;&gt;"", IF(AL324&lt;&gt;"", E325*AL324, ""), "")</f>
        <v/>
      </c>
      <c r="AM325" s="22" t="str">
        <f>IF(E325&lt;&gt;"", IF(AM324&lt;&gt;"", E325*AM324, ""), "")</f>
        <v/>
      </c>
      <c r="AN325" s="22" t="str">
        <f>IF(E325&lt;&gt;"", IF(AN324&lt;&gt;"", E325*AN324, ""), "")</f>
        <v/>
      </c>
      <c r="AO325" s="22" t="str">
        <f>IF(E325&lt;&gt;"", IF(AO324&lt;&gt;"", E325*AO324, ""), "")</f>
        <v/>
      </c>
      <c r="AP325" s="22" t="str">
        <f>IF(E325&lt;&gt;"", IF(AP324&lt;&gt;"", E325*AP324, ""), "")</f>
        <v/>
      </c>
      <c r="AQ325" s="22" t="str">
        <f>IF(E325&lt;&gt;"", IF(AQ324&lt;&gt;"", E325*AQ324, ""), "")</f>
        <v/>
      </c>
      <c r="AR325" s="22" t="str">
        <f>IF(E325&lt;&gt;"", IF(AR324&lt;&gt;"", E325*AR324, ""), "")</f>
        <v/>
      </c>
      <c r="AS325" s="22" t="str">
        <f>IF(E325&lt;&gt;"", IF(AS324&lt;&gt;"", E325*AS324, ""), "")</f>
        <v/>
      </c>
      <c r="AT325" s="22" t="str">
        <f>IF(E325&lt;&gt;"", IF(AT324&lt;&gt;"", E325*AT324, ""), "")</f>
        <v/>
      </c>
      <c r="AU325" s="22" t="str">
        <f>IF(E325&lt;&gt;"", IF(AU324&lt;&gt;"", E325*AU324, ""), "")</f>
        <v/>
      </c>
      <c r="AV325" s="22" t="str">
        <f>IF(E325&lt;&gt;"", IF(AV324&lt;&gt;"", E325*AV324, ""), "")</f>
        <v/>
      </c>
      <c r="AW325" s="22" t="str">
        <f>IF(E325&lt;&gt;"", IF(AW324&lt;&gt;"", E325*AW324, ""), "")</f>
        <v/>
      </c>
      <c r="AX325" s="22" t="str">
        <f>IF(E325&lt;&gt;"", IF(AX324&lt;&gt;"", E325*AX324, ""), "")</f>
        <v/>
      </c>
      <c r="AY325" s="22" t="str">
        <f>IF(E325&lt;&gt;"", IF(AY324&lt;&gt;"", E325*AY324, ""), "")</f>
        <v/>
      </c>
      <c r="AZ325" s="22" t="str">
        <f>IF(E325&lt;&gt;"", IF(AZ324&lt;&gt;"", E325*AZ324, ""), "")</f>
        <v/>
      </c>
      <c r="BA325" s="22" t="str">
        <f>IF(E325&lt;&gt;"", IF(BA324&lt;&gt;"", E325*BA324, ""), "")</f>
        <v/>
      </c>
      <c r="BB325" s="22" t="str">
        <f>IF(E325&lt;&gt;"", IF(BB324&lt;&gt;"", E325*BB324, ""), "")</f>
        <v/>
      </c>
      <c r="BC325" s="22" t="str">
        <f>IF(E325&lt;&gt;"", IF(BC324&lt;&gt;"", E325*BC324, ""), "")</f>
        <v/>
      </c>
      <c r="BD325" s="22" t="str">
        <f>IF(E325&lt;&gt;"", IF(BD324&lt;&gt;"", E325*BD324, ""), "")</f>
        <v/>
      </c>
      <c r="BE325" s="22" t="str">
        <f>IF(E325&lt;&gt;"", IF(BE324&lt;&gt;"", E325*BE324, ""), "")</f>
        <v/>
      </c>
    </row>
    <row r="326" spans="1:57" ht="20.100000000000001" customHeight="1">
      <c r="A326" s="220">
        <v>19</v>
      </c>
      <c r="B326" s="7"/>
      <c r="C326" s="7"/>
      <c r="D326" s="5"/>
      <c r="E326" s="3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59"/>
      <c r="AB326" s="59"/>
      <c r="AC326" s="59"/>
      <c r="AD326" s="59"/>
      <c r="AE326" s="59"/>
      <c r="AF326" s="59"/>
      <c r="AG326" s="59"/>
      <c r="AH326" s="59"/>
      <c r="AI326" s="59"/>
      <c r="AJ326" s="59"/>
      <c r="AK326" s="59"/>
      <c r="AL326" s="59"/>
      <c r="AM326" s="59"/>
      <c r="AN326" s="59"/>
      <c r="AO326" s="59"/>
      <c r="AP326" s="59"/>
      <c r="AQ326" s="59"/>
      <c r="AR326" s="59"/>
      <c r="AS326" s="59"/>
      <c r="AT326" s="59"/>
      <c r="AU326" s="59"/>
      <c r="AV326" s="59"/>
      <c r="AW326" s="59"/>
      <c r="AX326" s="59"/>
      <c r="AY326" s="59"/>
      <c r="AZ326" s="59"/>
      <c r="BA326" s="59"/>
      <c r="BB326" s="59"/>
      <c r="BC326" s="59"/>
      <c r="BD326" s="59"/>
      <c r="BE326" s="59"/>
    </row>
    <row r="327" spans="1:57" ht="20.100000000000001" customHeight="1">
      <c r="A327" s="221"/>
      <c r="B327" s="7"/>
      <c r="C327" s="7"/>
      <c r="D327" s="78"/>
      <c r="E327" s="47" t="str">
        <f>IF(egTextCal(D327)&lt;&gt;0, egTextCal(D327),"")</f>
        <v/>
      </c>
      <c r="F327" s="48" t="str">
        <f>IF(E327&lt;&gt;"", IF(F326&lt;&gt;"", E327*F326,""),"")</f>
        <v/>
      </c>
      <c r="G327" s="48" t="str">
        <f>IF(E327&lt;&gt;"", IF(G326&lt;&gt;"", E327*G326,""),"")</f>
        <v/>
      </c>
      <c r="H327" s="48" t="str">
        <f>IF(E327&lt;&gt;"", IF(H326&lt;&gt;"", E327*H326,""),"")</f>
        <v/>
      </c>
      <c r="I327" s="48" t="str">
        <f>IF(E327&lt;&gt;"", IF(I326&lt;&gt;"", E327*I326,""),"")</f>
        <v/>
      </c>
      <c r="J327" s="48" t="str">
        <f>IF(E327&lt;&gt;"", IF(J326&lt;&gt;"", E327*J326,""),"")</f>
        <v/>
      </c>
      <c r="K327" s="48" t="str">
        <f>IF(E327&lt;&gt;"", IF(K326&lt;&gt;"", E327*K326,""),"")</f>
        <v/>
      </c>
      <c r="L327" s="48" t="str">
        <f>IF(E327&lt;&gt;"", IF(L326&lt;&gt;"", E327*L326,""),"")</f>
        <v/>
      </c>
      <c r="M327" s="48" t="str">
        <f>IF(E327&lt;&gt;"", IF(M326&lt;&gt;"", E327*M326,""),"")</f>
        <v/>
      </c>
      <c r="N327" s="48" t="str">
        <f>IF(E327&lt;&gt;"", IF(N326&lt;&gt;"", E327*N326,""),"")</f>
        <v/>
      </c>
      <c r="O327" s="48" t="str">
        <f>IF(E327&lt;&gt;"", IF(O326&lt;&gt;"", E327*O326,""),"")</f>
        <v/>
      </c>
      <c r="P327" s="48" t="str">
        <f>IF(E327&lt;&gt;"", IF(P326&lt;&gt;"", E327*P326,""),"")</f>
        <v/>
      </c>
      <c r="Q327" s="48" t="str">
        <f>IF(E327&lt;&gt;"", IF(Q326&lt;&gt;"", E327*Q326,""),"")</f>
        <v/>
      </c>
      <c r="R327" s="48" t="str">
        <f>IF(E327&lt;&gt;"", IF(R326&lt;&gt;"", E327*R326,""),"")</f>
        <v/>
      </c>
      <c r="S327" s="48" t="str">
        <f>IF(E327&lt;&gt;"", IF(S326&lt;&gt;"", E327*S326,""),"")</f>
        <v/>
      </c>
      <c r="T327" s="48" t="str">
        <f>IF(E327&lt;&gt;"", IF(T326&lt;&gt;"", E327*T326,""),"")</f>
        <v/>
      </c>
      <c r="U327" s="48" t="str">
        <f>IF(E327&lt;&gt;"", IF(U326&lt;&gt;"", E327*U326,""),"")</f>
        <v/>
      </c>
      <c r="V327" s="48" t="str">
        <f>IF(E327&lt;&gt;"", IF(V326&lt;&gt;"", E327*V326,""),"")</f>
        <v/>
      </c>
      <c r="W327" s="48" t="str">
        <f>IF(E327&lt;&gt;"", IF(W326&lt;&gt;"", E327*W326,""),"")</f>
        <v/>
      </c>
      <c r="X327" s="48" t="str">
        <f>IF(E327&lt;&gt;"", IF(X326&lt;&gt;"", E327*X326,""),"")</f>
        <v/>
      </c>
      <c r="Y327" s="48" t="str">
        <f>IF(E327&lt;&gt;"", IF(Y326&lt;&gt;"", E327*Y326,""),"")</f>
        <v/>
      </c>
      <c r="Z327" s="48" t="str">
        <f>IF(E327&lt;&gt;"", IF(Z326&lt;&gt;"", E327*Z326,""),"")</f>
        <v/>
      </c>
      <c r="AA327" s="22"/>
      <c r="AB327" s="22" t="str">
        <f>IF(E327&lt;&gt;"", IF(AB326&lt;&gt;"", E327*AB326, ""), "")</f>
        <v/>
      </c>
      <c r="AC327" s="22" t="str">
        <f>IF(E327&lt;&gt;"", IF(AC326&lt;&gt;"", E327*AC326, ""), "")</f>
        <v/>
      </c>
      <c r="AD327" s="22" t="str">
        <f>IF(E327&lt;&gt;"", IF(AD326&lt;&gt;"", E327*AD326, ""), "")</f>
        <v/>
      </c>
      <c r="AE327" s="22" t="str">
        <f>IF(E327&lt;&gt;"", IF(AE326&lt;&gt;"", E327*AE326, ""), "")</f>
        <v/>
      </c>
      <c r="AF327" s="22" t="str">
        <f>IF(E327&lt;&gt;"", IF(AF326&lt;&gt;"", E327*AF326, ""), "")</f>
        <v/>
      </c>
      <c r="AG327" s="22" t="str">
        <f>IF(E327&lt;&gt;"", IF(AG326&lt;&gt;"", E327*AG326, ""), "")</f>
        <v/>
      </c>
      <c r="AH327" s="22" t="str">
        <f>IF(E327&lt;&gt;"", IF(AH326&lt;&gt;"", E327*AH326, ""), "")</f>
        <v/>
      </c>
      <c r="AI327" s="22" t="str">
        <f>IF(E327&lt;&gt;"", IF(AI326&lt;&gt;"", E327*AI326, ""), "")</f>
        <v/>
      </c>
      <c r="AJ327" s="22" t="str">
        <f>IF(E327&lt;&gt;"", IF(AJ326&lt;&gt;"", E327*AJ326, ""), "")</f>
        <v/>
      </c>
      <c r="AK327" s="22" t="str">
        <f>IF(E327&lt;&gt;"", IF(AK326&lt;&gt;"", E327*AK326, ""), "")</f>
        <v/>
      </c>
      <c r="AL327" s="22" t="str">
        <f>IF(E327&lt;&gt;"", IF(AL326&lt;&gt;"", E327*AL326, ""), "")</f>
        <v/>
      </c>
      <c r="AM327" s="22" t="str">
        <f>IF(E327&lt;&gt;"", IF(AM326&lt;&gt;"", E327*AM326, ""), "")</f>
        <v/>
      </c>
      <c r="AN327" s="22" t="str">
        <f>IF(E327&lt;&gt;"", IF(AN326&lt;&gt;"", E327*AN326, ""), "")</f>
        <v/>
      </c>
      <c r="AO327" s="22" t="str">
        <f>IF(E327&lt;&gt;"", IF(AO326&lt;&gt;"", E327*AO326, ""), "")</f>
        <v/>
      </c>
      <c r="AP327" s="22" t="str">
        <f>IF(E327&lt;&gt;"", IF(AP326&lt;&gt;"", E327*AP326, ""), "")</f>
        <v/>
      </c>
      <c r="AQ327" s="22" t="str">
        <f>IF(E327&lt;&gt;"", IF(AQ326&lt;&gt;"", E327*AQ326, ""), "")</f>
        <v/>
      </c>
      <c r="AR327" s="22" t="str">
        <f>IF(E327&lt;&gt;"", IF(AR326&lt;&gt;"", E327*AR326, ""), "")</f>
        <v/>
      </c>
      <c r="AS327" s="22" t="str">
        <f>IF(E327&lt;&gt;"", IF(AS326&lt;&gt;"", E327*AS326, ""), "")</f>
        <v/>
      </c>
      <c r="AT327" s="22" t="str">
        <f>IF(E327&lt;&gt;"", IF(AT326&lt;&gt;"", E327*AT326, ""), "")</f>
        <v/>
      </c>
      <c r="AU327" s="22" t="str">
        <f>IF(E327&lt;&gt;"", IF(AU326&lt;&gt;"", E327*AU326, ""), "")</f>
        <v/>
      </c>
      <c r="AV327" s="22" t="str">
        <f>IF(E327&lt;&gt;"", IF(AV326&lt;&gt;"", E327*AV326, ""), "")</f>
        <v/>
      </c>
      <c r="AW327" s="22" t="str">
        <f>IF(E327&lt;&gt;"", IF(AW326&lt;&gt;"", E327*AW326, ""), "")</f>
        <v/>
      </c>
      <c r="AX327" s="22" t="str">
        <f>IF(E327&lt;&gt;"", IF(AX326&lt;&gt;"", E327*AX326, ""), "")</f>
        <v/>
      </c>
      <c r="AY327" s="22" t="str">
        <f>IF(E327&lt;&gt;"", IF(AY326&lt;&gt;"", E327*AY326, ""), "")</f>
        <v/>
      </c>
      <c r="AZ327" s="22" t="str">
        <f>IF(E327&lt;&gt;"", IF(AZ326&lt;&gt;"", E327*AZ326, ""), "")</f>
        <v/>
      </c>
      <c r="BA327" s="22" t="str">
        <f>IF(E327&lt;&gt;"", IF(BA326&lt;&gt;"", E327*BA326, ""), "")</f>
        <v/>
      </c>
      <c r="BB327" s="22" t="str">
        <f>IF(E327&lt;&gt;"", IF(BB326&lt;&gt;"", E327*BB326, ""), "")</f>
        <v/>
      </c>
      <c r="BC327" s="22" t="str">
        <f>IF(E327&lt;&gt;"", IF(BC326&lt;&gt;"", E327*BC326, ""), "")</f>
        <v/>
      </c>
      <c r="BD327" s="22" t="str">
        <f>IF(E327&lt;&gt;"", IF(BD326&lt;&gt;"", E327*BD326, ""), "")</f>
        <v/>
      </c>
      <c r="BE327" s="22" t="str">
        <f>IF(E327&lt;&gt;"", IF(BE326&lt;&gt;"", E327*BE326, ""), "")</f>
        <v/>
      </c>
    </row>
    <row r="328" spans="1:57" ht="20.100000000000001" customHeight="1">
      <c r="A328" s="220">
        <v>20</v>
      </c>
      <c r="B328" s="7"/>
      <c r="C328" s="7" t="s">
        <v>299</v>
      </c>
      <c r="D328" s="5" t="s">
        <v>300</v>
      </c>
      <c r="E328" s="3" t="s">
        <v>177</v>
      </c>
      <c r="F328" s="46">
        <f t="shared" ref="F328:L328" si="2">SUM(DA291:DA327)</f>
        <v>270</v>
      </c>
      <c r="G328" s="46">
        <f t="shared" si="2"/>
        <v>13</v>
      </c>
      <c r="H328" s="46">
        <f t="shared" si="2"/>
        <v>13</v>
      </c>
      <c r="I328" s="46">
        <f t="shared" si="2"/>
        <v>540</v>
      </c>
      <c r="J328" s="46">
        <f t="shared" si="2"/>
        <v>2</v>
      </c>
      <c r="K328" s="46">
        <f t="shared" si="2"/>
        <v>4</v>
      </c>
      <c r="L328" s="46">
        <f t="shared" si="2"/>
        <v>8</v>
      </c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59"/>
      <c r="AB328" s="59"/>
      <c r="AC328" s="59"/>
      <c r="AD328" s="59"/>
      <c r="AE328" s="59"/>
      <c r="AF328" s="59"/>
      <c r="AG328" s="59"/>
      <c r="AH328" s="59"/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59"/>
      <c r="AT328" s="59"/>
      <c r="AU328" s="59"/>
      <c r="AV328" s="59"/>
      <c r="AW328" s="59"/>
      <c r="AX328" s="59"/>
      <c r="AY328" s="59"/>
      <c r="AZ328" s="59"/>
      <c r="BA328" s="59"/>
      <c r="BB328" s="59"/>
      <c r="BC328" s="59"/>
      <c r="BD328" s="59"/>
      <c r="BE328" s="59"/>
    </row>
    <row r="329" spans="1:57" ht="20.100000000000001" customHeight="1">
      <c r="A329" s="221"/>
      <c r="B329" s="58"/>
      <c r="C329" s="58"/>
      <c r="D329" s="78" t="s">
        <v>301</v>
      </c>
      <c r="E329" s="47">
        <v>1</v>
      </c>
      <c r="F329" s="48">
        <f>E329*F328</f>
        <v>270</v>
      </c>
      <c r="G329" s="48">
        <f>E329*G328</f>
        <v>13</v>
      </c>
      <c r="H329" s="48">
        <f>E329*H328</f>
        <v>13</v>
      </c>
      <c r="I329" s="48">
        <f>E329*I328</f>
        <v>540</v>
      </c>
      <c r="J329" s="48">
        <f>E329*J328</f>
        <v>2</v>
      </c>
      <c r="K329" s="48">
        <f>E329*K328</f>
        <v>4</v>
      </c>
      <c r="L329" s="48">
        <f>E329*L328</f>
        <v>8</v>
      </c>
      <c r="M329" s="48" t="str">
        <f>IF(E329&lt;&gt;"", IF(M328&lt;&gt;"", E329*M328,""),"")</f>
        <v/>
      </c>
      <c r="N329" s="48" t="str">
        <f>IF(E329&lt;&gt;"", IF(N328&lt;&gt;"", E329*N328,""),"")</f>
        <v/>
      </c>
      <c r="O329" s="48" t="str">
        <f>IF(E329&lt;&gt;"", IF(O328&lt;&gt;"", E329*O328,""),"")</f>
        <v/>
      </c>
      <c r="P329" s="48" t="str">
        <f>IF(E329&lt;&gt;"", IF(P328&lt;&gt;"", E329*P328,""),"")</f>
        <v/>
      </c>
      <c r="Q329" s="48" t="str">
        <f>IF(E329&lt;&gt;"", IF(Q328&lt;&gt;"", E329*Q328,""),"")</f>
        <v/>
      </c>
      <c r="R329" s="48" t="str">
        <f>IF(E329&lt;&gt;"", IF(R328&lt;&gt;"", E329*R328,""),"")</f>
        <v/>
      </c>
      <c r="S329" s="48" t="str">
        <f>IF(E329&lt;&gt;"", IF(S328&lt;&gt;"", E329*S328,""),"")</f>
        <v/>
      </c>
      <c r="T329" s="48" t="str">
        <f>IF(E329&lt;&gt;"", IF(T328&lt;&gt;"", E329*T328,""),"")</f>
        <v/>
      </c>
      <c r="U329" s="48" t="str">
        <f>IF(E329&lt;&gt;"", IF(U328&lt;&gt;"", E329*U328,""),"")</f>
        <v/>
      </c>
      <c r="V329" s="48" t="str">
        <f>IF(E329&lt;&gt;"", IF(V328&lt;&gt;"", E329*V328,""),"")</f>
        <v/>
      </c>
      <c r="W329" s="48" t="str">
        <f>IF(E329&lt;&gt;"", IF(W328&lt;&gt;"", E329*W328,""),"")</f>
        <v/>
      </c>
      <c r="X329" s="48" t="str">
        <f>IF(E329&lt;&gt;"", IF(X328&lt;&gt;"", E329*X328,""),"")</f>
        <v/>
      </c>
      <c r="Y329" s="48" t="str">
        <f>IF(E329&lt;&gt;"", IF(Y328&lt;&gt;"", E329*Y328,""),"")</f>
        <v/>
      </c>
      <c r="Z329" s="48" t="str">
        <f>IF(E329&lt;&gt;"", IF(Z328&lt;&gt;"", E329*Z328,""),"")</f>
        <v/>
      </c>
      <c r="AA329" s="22"/>
      <c r="AB329" s="22" t="str">
        <f>IF(E329&lt;&gt;"", IF(AB328&lt;&gt;"", E329*AB328, ""), "")</f>
        <v/>
      </c>
      <c r="AC329" s="22" t="str">
        <f>IF(E329&lt;&gt;"", IF(AC328&lt;&gt;"", E329*AC328, ""), "")</f>
        <v/>
      </c>
      <c r="AD329" s="22" t="str">
        <f>IF(E329&lt;&gt;"", IF(AD328&lt;&gt;"", E329*AD328, ""), "")</f>
        <v/>
      </c>
      <c r="AE329" s="22" t="str">
        <f>IF(E329&lt;&gt;"", IF(AE328&lt;&gt;"", E329*AE328, ""), "")</f>
        <v/>
      </c>
      <c r="AF329" s="22" t="str">
        <f>IF(E329&lt;&gt;"", IF(AF328&lt;&gt;"", E329*AF328, ""), "")</f>
        <v/>
      </c>
      <c r="AG329" s="22" t="str">
        <f>IF(E329&lt;&gt;"", IF(AG328&lt;&gt;"", E329*AG328, ""), "")</f>
        <v/>
      </c>
      <c r="AH329" s="22" t="str">
        <f>IF(E329&lt;&gt;"", IF(AH328&lt;&gt;"", E329*AH328, ""), "")</f>
        <v/>
      </c>
      <c r="AI329" s="22" t="str">
        <f>IF(E329&lt;&gt;"", IF(AI328&lt;&gt;"", E329*AI328, ""), "")</f>
        <v/>
      </c>
      <c r="AJ329" s="22" t="str">
        <f>IF(E329&lt;&gt;"", IF(AJ328&lt;&gt;"", E329*AJ328, ""), "")</f>
        <v/>
      </c>
      <c r="AK329" s="22" t="str">
        <f>IF(E329&lt;&gt;"", IF(AK328&lt;&gt;"", E329*AK328, ""), "")</f>
        <v/>
      </c>
      <c r="AL329" s="22" t="str">
        <f>IF(E329&lt;&gt;"", IF(AL328&lt;&gt;"", E329*AL328, ""), "")</f>
        <v/>
      </c>
      <c r="AM329" s="22" t="str">
        <f>IF(E329&lt;&gt;"", IF(AM328&lt;&gt;"", E329*AM328, ""), "")</f>
        <v/>
      </c>
      <c r="AN329" s="22" t="str">
        <f>IF(E329&lt;&gt;"", IF(AN328&lt;&gt;"", E329*AN328, ""), "")</f>
        <v/>
      </c>
      <c r="AO329" s="22" t="str">
        <f>IF(E329&lt;&gt;"", IF(AO328&lt;&gt;"", E329*AO328, ""), "")</f>
        <v/>
      </c>
      <c r="AP329" s="22" t="str">
        <f>IF(E329&lt;&gt;"", IF(AP328&lt;&gt;"", E329*AP328, ""), "")</f>
        <v/>
      </c>
      <c r="AQ329" s="22" t="str">
        <f>IF(E329&lt;&gt;"", IF(AQ328&lt;&gt;"", E329*AQ328, ""), "")</f>
        <v/>
      </c>
      <c r="AR329" s="22" t="str">
        <f>IF(E329&lt;&gt;"", IF(AR328&lt;&gt;"", E329*AR328, ""), "")</f>
        <v/>
      </c>
      <c r="AS329" s="22" t="str">
        <f>IF(E329&lt;&gt;"", IF(AS328&lt;&gt;"", E329*AS328, ""), "")</f>
        <v/>
      </c>
      <c r="AT329" s="22" t="str">
        <f>IF(E329&lt;&gt;"", IF(AT328&lt;&gt;"", E329*AT328, ""), "")</f>
        <v/>
      </c>
      <c r="AU329" s="22" t="str">
        <f>IF(E329&lt;&gt;"", IF(AU328&lt;&gt;"", E329*AU328, ""), "")</f>
        <v/>
      </c>
      <c r="AV329" s="22" t="str">
        <f>IF(E329&lt;&gt;"", IF(AV328&lt;&gt;"", E329*AV328, ""), "")</f>
        <v/>
      </c>
      <c r="AW329" s="22" t="str">
        <f>IF(E329&lt;&gt;"", IF(AW328&lt;&gt;"", E329*AW328, ""), "")</f>
        <v/>
      </c>
      <c r="AX329" s="22" t="str">
        <f>IF(E329&lt;&gt;"", IF(AX328&lt;&gt;"", E329*AX328, ""), "")</f>
        <v/>
      </c>
      <c r="AY329" s="22" t="str">
        <f>IF(E329&lt;&gt;"", IF(AY328&lt;&gt;"", E329*AY328, ""), "")</f>
        <v/>
      </c>
      <c r="AZ329" s="22" t="str">
        <f>IF(E329&lt;&gt;"", IF(AZ328&lt;&gt;"", E329*AZ328, ""), "")</f>
        <v/>
      </c>
      <c r="BA329" s="22" t="str">
        <f>IF(E329&lt;&gt;"", IF(BA328&lt;&gt;"", E329*BA328, ""), "")</f>
        <v/>
      </c>
      <c r="BB329" s="22" t="str">
        <f>IF(E329&lt;&gt;"", IF(BB328&lt;&gt;"", E329*BB328, ""), "")</f>
        <v/>
      </c>
      <c r="BC329" s="22" t="str">
        <f>IF(E329&lt;&gt;"", IF(BC328&lt;&gt;"", E329*BC328, ""), "")</f>
        <v/>
      </c>
      <c r="BD329" s="22" t="str">
        <f>IF(E329&lt;&gt;"", IF(BD328&lt;&gt;"", E329*BD328, ""), "")</f>
        <v/>
      </c>
      <c r="BE329" s="22" t="str">
        <f>IF(E329&lt;&gt;"", IF(BE328&lt;&gt;"", E329*BE328, ""), "")</f>
        <v/>
      </c>
    </row>
  </sheetData>
  <mergeCells count="168">
    <mergeCell ref="A4:A6"/>
    <mergeCell ref="A17:A18"/>
    <mergeCell ref="A19:A20"/>
    <mergeCell ref="A21:A22"/>
    <mergeCell ref="A23:A24"/>
    <mergeCell ref="A9:A10"/>
    <mergeCell ref="A11:A12"/>
    <mergeCell ref="A13:A14"/>
    <mergeCell ref="A15:A16"/>
    <mergeCell ref="A7:A8"/>
    <mergeCell ref="A41:A42"/>
    <mergeCell ref="A43:A44"/>
    <mergeCell ref="A45:A46"/>
    <mergeCell ref="A33:A34"/>
    <mergeCell ref="A35:A36"/>
    <mergeCell ref="A37:A38"/>
    <mergeCell ref="A39:A40"/>
    <mergeCell ref="A51:A53"/>
    <mergeCell ref="A25:A26"/>
    <mergeCell ref="A27:A28"/>
    <mergeCell ref="A29:A30"/>
    <mergeCell ref="A31:A32"/>
    <mergeCell ref="A66:A67"/>
    <mergeCell ref="A68:A69"/>
    <mergeCell ref="A70:A71"/>
    <mergeCell ref="A72:A73"/>
    <mergeCell ref="A58:A59"/>
    <mergeCell ref="A60:A61"/>
    <mergeCell ref="A62:A63"/>
    <mergeCell ref="A64:A65"/>
    <mergeCell ref="A54:A55"/>
    <mergeCell ref="A56:A57"/>
    <mergeCell ref="A99:A101"/>
    <mergeCell ref="A90:A91"/>
    <mergeCell ref="A92:A93"/>
    <mergeCell ref="A82:A83"/>
    <mergeCell ref="A84:A85"/>
    <mergeCell ref="A86:A87"/>
    <mergeCell ref="A88:A89"/>
    <mergeCell ref="A74:A75"/>
    <mergeCell ref="A76:A77"/>
    <mergeCell ref="A78:A79"/>
    <mergeCell ref="A80:A81"/>
    <mergeCell ref="A110:A111"/>
    <mergeCell ref="A112:A113"/>
    <mergeCell ref="A114:A115"/>
    <mergeCell ref="A116:A117"/>
    <mergeCell ref="A118:A119"/>
    <mergeCell ref="A102:A103"/>
    <mergeCell ref="A104:A105"/>
    <mergeCell ref="A106:A107"/>
    <mergeCell ref="A108:A109"/>
    <mergeCell ref="A130:A131"/>
    <mergeCell ref="A132:A133"/>
    <mergeCell ref="A134:A135"/>
    <mergeCell ref="A136:A137"/>
    <mergeCell ref="A138:A139"/>
    <mergeCell ref="A146:A148"/>
    <mergeCell ref="A120:A121"/>
    <mergeCell ref="A122:A123"/>
    <mergeCell ref="A124:A125"/>
    <mergeCell ref="A126:A127"/>
    <mergeCell ref="A128:A129"/>
    <mergeCell ref="A210:A211"/>
    <mergeCell ref="A212:A213"/>
    <mergeCell ref="A214:A215"/>
    <mergeCell ref="A216:A217"/>
    <mergeCell ref="A218:A219"/>
    <mergeCell ref="A240:A242"/>
    <mergeCell ref="A232:A233"/>
    <mergeCell ref="A234:A235"/>
    <mergeCell ref="A140:A141"/>
    <mergeCell ref="A149:A150"/>
    <mergeCell ref="A151:A152"/>
    <mergeCell ref="A153:A154"/>
    <mergeCell ref="A183:A184"/>
    <mergeCell ref="A165:A166"/>
    <mergeCell ref="A167:A168"/>
    <mergeCell ref="A169:A170"/>
    <mergeCell ref="A171:A172"/>
    <mergeCell ref="A173:A174"/>
    <mergeCell ref="A208:A209"/>
    <mergeCell ref="A247:A248"/>
    <mergeCell ref="A249:A250"/>
    <mergeCell ref="A251:A252"/>
    <mergeCell ref="A253:A254"/>
    <mergeCell ref="A243:A244"/>
    <mergeCell ref="A220:A221"/>
    <mergeCell ref="A222:A223"/>
    <mergeCell ref="A224:A225"/>
    <mergeCell ref="A226:A227"/>
    <mergeCell ref="A228:A229"/>
    <mergeCell ref="A328:A329"/>
    <mergeCell ref="A310:A311"/>
    <mergeCell ref="A312:A313"/>
    <mergeCell ref="A314:A315"/>
    <mergeCell ref="A316:A317"/>
    <mergeCell ref="A318:A319"/>
    <mergeCell ref="A300:A301"/>
    <mergeCell ref="A302:A303"/>
    <mergeCell ref="A304:A305"/>
    <mergeCell ref="A306:A307"/>
    <mergeCell ref="A308:A309"/>
    <mergeCell ref="A320:A321"/>
    <mergeCell ref="A322:A323"/>
    <mergeCell ref="A324:A325"/>
    <mergeCell ref="A326:A327"/>
    <mergeCell ref="A290:A291"/>
    <mergeCell ref="A292:A293"/>
    <mergeCell ref="A294:A295"/>
    <mergeCell ref="A296:A297"/>
    <mergeCell ref="A298:A299"/>
    <mergeCell ref="A155:A156"/>
    <mergeCell ref="A157:A158"/>
    <mergeCell ref="A159:A160"/>
    <mergeCell ref="A161:A162"/>
    <mergeCell ref="A163:A164"/>
    <mergeCell ref="A200:A201"/>
    <mergeCell ref="A202:A203"/>
    <mergeCell ref="A204:A205"/>
    <mergeCell ref="A206:A207"/>
    <mergeCell ref="A185:A186"/>
    <mergeCell ref="A187:A188"/>
    <mergeCell ref="A196:A197"/>
    <mergeCell ref="A198:A199"/>
    <mergeCell ref="A193:A195"/>
    <mergeCell ref="A230:A231"/>
    <mergeCell ref="A175:A176"/>
    <mergeCell ref="A177:A178"/>
    <mergeCell ref="A179:A180"/>
    <mergeCell ref="A181:A182"/>
    <mergeCell ref="D287:D289"/>
    <mergeCell ref="E287:E289"/>
    <mergeCell ref="A275:A276"/>
    <mergeCell ref="A277:A278"/>
    <mergeCell ref="A279:A280"/>
    <mergeCell ref="A281:A282"/>
    <mergeCell ref="A287:A289"/>
    <mergeCell ref="A265:A266"/>
    <mergeCell ref="A267:A268"/>
    <mergeCell ref="A269:A270"/>
    <mergeCell ref="A271:A272"/>
    <mergeCell ref="A273:A274"/>
    <mergeCell ref="D286:Z286"/>
    <mergeCell ref="A255:A256"/>
    <mergeCell ref="A257:A258"/>
    <mergeCell ref="A259:A260"/>
    <mergeCell ref="A261:A262"/>
    <mergeCell ref="A263:A264"/>
    <mergeCell ref="D3:Z3"/>
    <mergeCell ref="D50:Z50"/>
    <mergeCell ref="D98:Z98"/>
    <mergeCell ref="D145:Z145"/>
    <mergeCell ref="D192:Z192"/>
    <mergeCell ref="D239:Z239"/>
    <mergeCell ref="D193:D195"/>
    <mergeCell ref="E193:E195"/>
    <mergeCell ref="D240:D242"/>
    <mergeCell ref="E240:E242"/>
    <mergeCell ref="D99:D101"/>
    <mergeCell ref="E99:E101"/>
    <mergeCell ref="D146:D148"/>
    <mergeCell ref="E146:E148"/>
    <mergeCell ref="D4:D6"/>
    <mergeCell ref="E4:E6"/>
    <mergeCell ref="D51:D53"/>
    <mergeCell ref="E51:E53"/>
    <mergeCell ref="A245:A246"/>
  </mergeCells>
  <phoneticPr fontId="4" type="noConversion"/>
  <printOptions horizontalCentered="1" verticalCentered="1"/>
  <pageMargins left="0.74803149606299213" right="0.35433070866141736" top="0.59055118110236227" bottom="0.59055118110236227" header="0.51181102362204722" footer="0.47244094488188981"/>
  <pageSetup paperSize="9" scale="55" orientation="landscape" r:id="rId1"/>
  <headerFooter alignWithMargins="0">
    <oddHeader>&amp;C&amp;36세 부 산 출 서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19D86"/>
  </sheetPr>
  <dimension ref="A1:AV22"/>
  <sheetViews>
    <sheetView view="pageBreakPreview" zoomScaleNormal="110" zoomScaleSheetLayoutView="100" workbookViewId="0">
      <pane xSplit="4" ySplit="4" topLeftCell="E5" activePane="bottomRight" state="frozen"/>
      <selection activeCell="E5" sqref="E5"/>
      <selection pane="topRight" activeCell="E5" sqref="E5"/>
      <selection pane="bottomLeft" activeCell="E5" sqref="E5"/>
      <selection pane="bottomRight" activeCell="AZ21" sqref="AZ21"/>
    </sheetView>
  </sheetViews>
  <sheetFormatPr defaultColWidth="8.8984375" defaultRowHeight="17.399999999999999"/>
  <cols>
    <col min="1" max="1" width="5.8984375" style="87" customWidth="1"/>
    <col min="2" max="2" width="29.8984375" style="87" customWidth="1"/>
    <col min="3" max="4" width="4.09765625" style="88" customWidth="1"/>
    <col min="5" max="5" width="7.09765625" style="89" customWidth="1"/>
    <col min="6" max="6" width="8.59765625" style="89" customWidth="1"/>
    <col min="7" max="7" width="5.8984375" style="89" customWidth="1"/>
    <col min="8" max="8" width="8.59765625" style="89" customWidth="1"/>
    <col min="9" max="9" width="5.8984375" style="89" customWidth="1"/>
    <col min="10" max="10" width="8.59765625" style="89" customWidth="1"/>
    <col min="11" max="11" width="5.8984375" style="89" customWidth="1"/>
    <col min="12" max="12" width="8.59765625" style="89" customWidth="1"/>
    <col min="13" max="13" width="5.8984375" style="87" customWidth="1"/>
    <col min="14" max="50" width="0" style="79" hidden="1" customWidth="1"/>
    <col min="51" max="16384" width="8.8984375" style="79"/>
  </cols>
  <sheetData>
    <row r="1" spans="1:48" ht="30" customHeight="1">
      <c r="A1" s="225" t="s">
        <v>646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</row>
    <row r="2" spans="1:48" ht="23.1" customHeight="1">
      <c r="A2" s="226" t="s">
        <v>647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</row>
    <row r="3" spans="1:48" ht="23.1" customHeight="1">
      <c r="A3" s="224" t="s">
        <v>320</v>
      </c>
      <c r="B3" s="224" t="s">
        <v>648</v>
      </c>
      <c r="C3" s="224" t="s">
        <v>326</v>
      </c>
      <c r="D3" s="224" t="s">
        <v>649</v>
      </c>
      <c r="E3" s="224" t="s">
        <v>650</v>
      </c>
      <c r="F3" s="224"/>
      <c r="G3" s="224" t="s">
        <v>651</v>
      </c>
      <c r="H3" s="224"/>
      <c r="I3" s="224" t="s">
        <v>652</v>
      </c>
      <c r="J3" s="224"/>
      <c r="K3" s="224" t="s">
        <v>653</v>
      </c>
      <c r="L3" s="224"/>
      <c r="M3" s="224" t="s">
        <v>654</v>
      </c>
    </row>
    <row r="4" spans="1:48" ht="23.1" customHeight="1">
      <c r="A4" s="224"/>
      <c r="B4" s="224"/>
      <c r="C4" s="224"/>
      <c r="D4" s="224"/>
      <c r="E4" s="80" t="s">
        <v>655</v>
      </c>
      <c r="F4" s="80" t="s">
        <v>656</v>
      </c>
      <c r="G4" s="80" t="s">
        <v>655</v>
      </c>
      <c r="H4" s="80" t="s">
        <v>656</v>
      </c>
      <c r="I4" s="80" t="s">
        <v>655</v>
      </c>
      <c r="J4" s="80" t="s">
        <v>656</v>
      </c>
      <c r="K4" s="80" t="s">
        <v>655</v>
      </c>
      <c r="L4" s="80" t="s">
        <v>656</v>
      </c>
      <c r="M4" s="224"/>
    </row>
    <row r="5" spans="1:48" ht="23.1" customHeight="1">
      <c r="A5" s="81" t="s">
        <v>558</v>
      </c>
      <c r="B5" s="81" t="s">
        <v>657</v>
      </c>
      <c r="C5" s="82" t="s">
        <v>177</v>
      </c>
      <c r="D5" s="83">
        <v>1</v>
      </c>
      <c r="E5" s="84">
        <f>SUMIF(N4:N11, O5, F4:F11)</f>
        <v>87161990</v>
      </c>
      <c r="F5" s="84">
        <f t="shared" ref="F5:F11" si="0">D5*E5</f>
        <v>87161990</v>
      </c>
      <c r="G5" s="84">
        <f>SUMIF(N4:N11, O5, H4:H11)</f>
        <v>70963785</v>
      </c>
      <c r="H5" s="84">
        <f t="shared" ref="H5:H11" si="1">D5*G5</f>
        <v>70963785</v>
      </c>
      <c r="I5" s="84">
        <f>SUMIF(N4:N11, O5, J4:J11)</f>
        <v>22828</v>
      </c>
      <c r="J5" s="84">
        <f t="shared" ref="J5:J11" si="2">D5*I5</f>
        <v>22828</v>
      </c>
      <c r="K5" s="84">
        <f t="shared" ref="K5:L11" si="3">E5+G5+I5</f>
        <v>158148603</v>
      </c>
      <c r="L5" s="84">
        <f t="shared" si="3"/>
        <v>158148603</v>
      </c>
      <c r="M5" s="85"/>
      <c r="O5" s="86" t="s">
        <v>558</v>
      </c>
      <c r="Q5" s="79">
        <v>1</v>
      </c>
      <c r="R5" s="79">
        <v>26032</v>
      </c>
      <c r="S5" s="79">
        <v>0</v>
      </c>
      <c r="T5" s="79">
        <v>0</v>
      </c>
      <c r="U5" s="79">
        <v>0</v>
      </c>
      <c r="V5" s="79">
        <v>0</v>
      </c>
      <c r="W5" s="79">
        <v>0</v>
      </c>
      <c r="X5" s="79">
        <v>0</v>
      </c>
      <c r="Y5" s="79">
        <v>0</v>
      </c>
      <c r="Z5" s="79">
        <v>0</v>
      </c>
      <c r="AA5" s="79">
        <v>0</v>
      </c>
      <c r="AB5" s="79">
        <v>0</v>
      </c>
      <c r="AC5" s="79">
        <v>0</v>
      </c>
      <c r="AD5" s="79">
        <v>0</v>
      </c>
      <c r="AE5" s="79">
        <v>0</v>
      </c>
      <c r="AF5" s="79">
        <v>0</v>
      </c>
      <c r="AG5" s="79">
        <v>0</v>
      </c>
      <c r="AH5" s="79">
        <v>0</v>
      </c>
      <c r="AI5" s="79">
        <v>0</v>
      </c>
      <c r="AJ5" s="79">
        <v>0</v>
      </c>
      <c r="AK5" s="79">
        <v>0</v>
      </c>
      <c r="AL5" s="79">
        <v>0</v>
      </c>
      <c r="AM5" s="79">
        <v>0</v>
      </c>
      <c r="AN5" s="79">
        <v>0</v>
      </c>
      <c r="AO5" s="79">
        <v>0</v>
      </c>
      <c r="AP5" s="79">
        <v>0</v>
      </c>
      <c r="AQ5" s="79">
        <v>0</v>
      </c>
      <c r="AR5" s="79">
        <v>0</v>
      </c>
      <c r="AS5" s="79">
        <v>0</v>
      </c>
      <c r="AT5" s="79">
        <v>0</v>
      </c>
      <c r="AU5" s="79">
        <v>0</v>
      </c>
      <c r="AV5" s="79">
        <v>0</v>
      </c>
    </row>
    <row r="6" spans="1:48" ht="23.1" customHeight="1">
      <c r="A6" s="81" t="s">
        <v>532</v>
      </c>
      <c r="B6" s="81" t="s">
        <v>658</v>
      </c>
      <c r="C6" s="82" t="s">
        <v>177</v>
      </c>
      <c r="D6" s="83">
        <v>1</v>
      </c>
      <c r="E6" s="84">
        <f>SUMIF(N4:N11, O6, F4:F11)</f>
        <v>87161990</v>
      </c>
      <c r="F6" s="84">
        <f>D6*E6</f>
        <v>87161990</v>
      </c>
      <c r="G6" s="84">
        <f>SUMIF(N4:N11, O6, H4:H11)</f>
        <v>70963785</v>
      </c>
      <c r="H6" s="84">
        <f t="shared" si="1"/>
        <v>70963785</v>
      </c>
      <c r="I6" s="84">
        <f>SUMIF(N4:N11, O6, J4:J11)</f>
        <v>22828</v>
      </c>
      <c r="J6" s="84">
        <f t="shared" si="2"/>
        <v>22828</v>
      </c>
      <c r="K6" s="84">
        <f t="shared" si="3"/>
        <v>158148603</v>
      </c>
      <c r="L6" s="84">
        <f t="shared" si="3"/>
        <v>158148603</v>
      </c>
      <c r="M6" s="85"/>
      <c r="N6" s="86" t="s">
        <v>558</v>
      </c>
      <c r="O6" s="86" t="s">
        <v>532</v>
      </c>
      <c r="Q6" s="79">
        <v>1</v>
      </c>
      <c r="R6" s="79">
        <v>26032</v>
      </c>
      <c r="S6" s="79">
        <v>0</v>
      </c>
      <c r="T6" s="79">
        <v>0</v>
      </c>
      <c r="U6" s="79">
        <v>0</v>
      </c>
      <c r="V6" s="79">
        <v>0</v>
      </c>
      <c r="W6" s="79">
        <v>0</v>
      </c>
      <c r="X6" s="79">
        <v>0</v>
      </c>
      <c r="Y6" s="79">
        <v>0</v>
      </c>
      <c r="Z6" s="79">
        <v>0</v>
      </c>
      <c r="AA6" s="79">
        <v>0</v>
      </c>
      <c r="AB6" s="79">
        <v>0</v>
      </c>
      <c r="AC6" s="79">
        <v>0</v>
      </c>
      <c r="AD6" s="79">
        <v>0</v>
      </c>
      <c r="AE6" s="79">
        <v>0</v>
      </c>
      <c r="AF6" s="79">
        <v>0</v>
      </c>
      <c r="AG6" s="79">
        <v>0</v>
      </c>
      <c r="AH6" s="79">
        <v>0</v>
      </c>
      <c r="AI6" s="79">
        <v>0</v>
      </c>
      <c r="AJ6" s="79">
        <v>0</v>
      </c>
      <c r="AK6" s="79">
        <v>0</v>
      </c>
      <c r="AL6" s="79">
        <v>0</v>
      </c>
      <c r="AM6" s="79">
        <v>0</v>
      </c>
      <c r="AN6" s="79">
        <v>0</v>
      </c>
      <c r="AO6" s="79">
        <v>0</v>
      </c>
      <c r="AP6" s="79">
        <v>0</v>
      </c>
      <c r="AQ6" s="79">
        <v>0</v>
      </c>
      <c r="AR6" s="79">
        <v>0</v>
      </c>
      <c r="AS6" s="79">
        <v>0</v>
      </c>
      <c r="AT6" s="79">
        <v>0</v>
      </c>
      <c r="AU6" s="79">
        <v>0</v>
      </c>
      <c r="AV6" s="79">
        <v>0</v>
      </c>
    </row>
    <row r="7" spans="1:48" ht="23.1" customHeight="1">
      <c r="A7" s="81" t="s">
        <v>659</v>
      </c>
      <c r="B7" s="81" t="s">
        <v>660</v>
      </c>
      <c r="C7" s="82" t="s">
        <v>177</v>
      </c>
      <c r="D7" s="83">
        <v>1</v>
      </c>
      <c r="E7" s="84">
        <f>'내역서 (2)'!F22</f>
        <v>23369306</v>
      </c>
      <c r="F7" s="84">
        <f t="shared" si="0"/>
        <v>23369306</v>
      </c>
      <c r="G7" s="84">
        <f>'내역서 (2)'!H22</f>
        <v>4365305</v>
      </c>
      <c r="H7" s="84">
        <f t="shared" si="1"/>
        <v>4365305</v>
      </c>
      <c r="I7" s="84">
        <f>'내역서 (2)'!J22</f>
        <v>0</v>
      </c>
      <c r="J7" s="84">
        <f t="shared" si="2"/>
        <v>0</v>
      </c>
      <c r="K7" s="84">
        <f t="shared" si="3"/>
        <v>27734611</v>
      </c>
      <c r="L7" s="84">
        <f t="shared" si="3"/>
        <v>27734611</v>
      </c>
      <c r="M7" s="85"/>
      <c r="N7" s="86" t="s">
        <v>532</v>
      </c>
      <c r="O7" s="86" t="s">
        <v>659</v>
      </c>
      <c r="Q7" s="79">
        <v>1</v>
      </c>
      <c r="R7" s="79">
        <f>D7*'내역서 (2)'!R22</f>
        <v>0</v>
      </c>
      <c r="S7" s="79">
        <f>D7*'내역서 (2)'!S22</f>
        <v>0</v>
      </c>
      <c r="T7" s="79">
        <f>D7*'내역서 (2)'!T22</f>
        <v>0</v>
      </c>
      <c r="U7" s="79">
        <f>D7*'내역서 (2)'!U22</f>
        <v>0</v>
      </c>
      <c r="V7" s="79">
        <f>D7*'내역서 (2)'!V22</f>
        <v>0</v>
      </c>
      <c r="W7" s="79">
        <f>D7*'내역서 (2)'!W22</f>
        <v>0</v>
      </c>
      <c r="X7" s="79">
        <f>D7*'내역서 (2)'!X22</f>
        <v>0</v>
      </c>
      <c r="Y7" s="79">
        <f>D7*'내역서 (2)'!Y22</f>
        <v>0</v>
      </c>
      <c r="Z7" s="79">
        <f>D7*'내역서 (2)'!Z22</f>
        <v>0</v>
      </c>
      <c r="AA7" s="79">
        <f>D7*'내역서 (2)'!AA22</f>
        <v>0</v>
      </c>
      <c r="AB7" s="79">
        <f>D7*'내역서 (2)'!AB22</f>
        <v>0</v>
      </c>
      <c r="AC7" s="79">
        <f>D7*'내역서 (2)'!AC22</f>
        <v>0</v>
      </c>
      <c r="AD7" s="79">
        <f>D7*'내역서 (2)'!AD22</f>
        <v>0</v>
      </c>
      <c r="AE7" s="79">
        <f>D7*'내역서 (2)'!AE22</f>
        <v>0</v>
      </c>
      <c r="AF7" s="79">
        <f>D7*'내역서 (2)'!AF22</f>
        <v>0</v>
      </c>
      <c r="AG7" s="79">
        <f>D7*'내역서 (2)'!AG22</f>
        <v>0</v>
      </c>
      <c r="AH7" s="79">
        <f>D7*'내역서 (2)'!AH22</f>
        <v>0</v>
      </c>
      <c r="AI7" s="79">
        <f>D7*'내역서 (2)'!AI22</f>
        <v>0</v>
      </c>
      <c r="AJ7" s="79">
        <f>D7*'내역서 (2)'!AJ22</f>
        <v>0</v>
      </c>
      <c r="AK7" s="79">
        <f>D7*'내역서 (2)'!AK22</f>
        <v>0</v>
      </c>
      <c r="AL7" s="79">
        <f>D7*'내역서 (2)'!AL22</f>
        <v>0</v>
      </c>
      <c r="AM7" s="79">
        <f>D7*'내역서 (2)'!AM22</f>
        <v>0</v>
      </c>
      <c r="AN7" s="79">
        <f>D7*'내역서 (2)'!AN22</f>
        <v>0</v>
      </c>
      <c r="AO7" s="79">
        <f>D7*'내역서 (2)'!AO22</f>
        <v>0</v>
      </c>
      <c r="AP7" s="79">
        <f>D7*'내역서 (2)'!AP22</f>
        <v>0</v>
      </c>
      <c r="AQ7" s="79">
        <f>D7*'내역서 (2)'!AQ22</f>
        <v>0</v>
      </c>
      <c r="AR7" s="79">
        <f>D7*'내역서 (2)'!AR22</f>
        <v>0</v>
      </c>
      <c r="AS7" s="79">
        <f>D7*'내역서 (2)'!AS22</f>
        <v>0</v>
      </c>
      <c r="AT7" s="79">
        <f>D7*'내역서 (2)'!AT22</f>
        <v>0</v>
      </c>
      <c r="AU7" s="79">
        <f>D7*'내역서 (2)'!AU22</f>
        <v>0</v>
      </c>
      <c r="AV7" s="79">
        <f>D7*'내역서 (2)'!AV22</f>
        <v>0</v>
      </c>
    </row>
    <row r="8" spans="1:48" ht="23.1" customHeight="1">
      <c r="A8" s="81" t="s">
        <v>661</v>
      </c>
      <c r="B8" s="81" t="s">
        <v>662</v>
      </c>
      <c r="C8" s="82" t="s">
        <v>177</v>
      </c>
      <c r="D8" s="83">
        <v>1</v>
      </c>
      <c r="E8" s="84">
        <f>'내역서 (2)'!F94</f>
        <v>11571250</v>
      </c>
      <c r="F8" s="84">
        <f t="shared" si="0"/>
        <v>11571250</v>
      </c>
      <c r="G8" s="84">
        <f>'내역서 (2)'!H94</f>
        <v>13663893</v>
      </c>
      <c r="H8" s="84">
        <f t="shared" si="1"/>
        <v>13663893</v>
      </c>
      <c r="I8" s="84">
        <f>'내역서 (2)'!J94</f>
        <v>17926</v>
      </c>
      <c r="J8" s="84">
        <f t="shared" si="2"/>
        <v>17926</v>
      </c>
      <c r="K8" s="84">
        <f t="shared" si="3"/>
        <v>25253069</v>
      </c>
      <c r="L8" s="84">
        <f t="shared" si="3"/>
        <v>25253069</v>
      </c>
      <c r="M8" s="85"/>
      <c r="N8" s="86" t="s">
        <v>532</v>
      </c>
      <c r="O8" s="86" t="s">
        <v>661</v>
      </c>
      <c r="Q8" s="79">
        <v>1</v>
      </c>
      <c r="R8" s="79">
        <f>D8*'내역서 (2)'!R94</f>
        <v>17926</v>
      </c>
      <c r="S8" s="79">
        <f>D8*'내역서 (2)'!S94</f>
        <v>0</v>
      </c>
      <c r="T8" s="79">
        <f>D8*'내역서 (2)'!T94</f>
        <v>0</v>
      </c>
      <c r="U8" s="79">
        <f>D8*'내역서 (2)'!U94</f>
        <v>0</v>
      </c>
      <c r="V8" s="79">
        <f>D8*'내역서 (2)'!V94</f>
        <v>0</v>
      </c>
      <c r="W8" s="79">
        <f>D8*'내역서 (2)'!W94</f>
        <v>0</v>
      </c>
      <c r="X8" s="79">
        <f>D8*'내역서 (2)'!X94</f>
        <v>0</v>
      </c>
      <c r="Y8" s="79">
        <f>D8*'내역서 (2)'!Y94</f>
        <v>0</v>
      </c>
      <c r="Z8" s="79">
        <f>D8*'내역서 (2)'!Z94</f>
        <v>0</v>
      </c>
      <c r="AA8" s="79">
        <f>D8*'내역서 (2)'!AA94</f>
        <v>0</v>
      </c>
      <c r="AB8" s="79">
        <f>D8*'내역서 (2)'!AB94</f>
        <v>0</v>
      </c>
      <c r="AC8" s="79">
        <f>D8*'내역서 (2)'!AC94</f>
        <v>0</v>
      </c>
      <c r="AD8" s="79">
        <f>D8*'내역서 (2)'!AD94</f>
        <v>0</v>
      </c>
      <c r="AE8" s="79">
        <f>D8*'내역서 (2)'!AE94</f>
        <v>0</v>
      </c>
      <c r="AF8" s="79">
        <f>D8*'내역서 (2)'!AF94</f>
        <v>0</v>
      </c>
      <c r="AG8" s="79">
        <f>D8*'내역서 (2)'!AG94</f>
        <v>0</v>
      </c>
      <c r="AH8" s="79">
        <f>D8*'내역서 (2)'!AH94</f>
        <v>0</v>
      </c>
      <c r="AI8" s="79">
        <f>D8*'내역서 (2)'!AI94</f>
        <v>0</v>
      </c>
      <c r="AJ8" s="79">
        <f>D8*'내역서 (2)'!AJ94</f>
        <v>0</v>
      </c>
      <c r="AK8" s="79">
        <f>D8*'내역서 (2)'!AK94</f>
        <v>0</v>
      </c>
      <c r="AL8" s="79">
        <f>D8*'내역서 (2)'!AL94</f>
        <v>0</v>
      </c>
      <c r="AM8" s="79">
        <f>D8*'내역서 (2)'!AM94</f>
        <v>0</v>
      </c>
      <c r="AN8" s="79">
        <f>D8*'내역서 (2)'!AN94</f>
        <v>0</v>
      </c>
      <c r="AO8" s="79">
        <f>D8*'내역서 (2)'!AO94</f>
        <v>0</v>
      </c>
      <c r="AP8" s="79">
        <f>D8*'내역서 (2)'!AP94</f>
        <v>0</v>
      </c>
      <c r="AQ8" s="79">
        <f>D8*'내역서 (2)'!AQ94</f>
        <v>0</v>
      </c>
      <c r="AR8" s="79">
        <f>D8*'내역서 (2)'!AR94</f>
        <v>0</v>
      </c>
      <c r="AS8" s="79">
        <f>D8*'내역서 (2)'!AS94</f>
        <v>0</v>
      </c>
      <c r="AT8" s="79">
        <f>D8*'내역서 (2)'!AT94</f>
        <v>0</v>
      </c>
      <c r="AU8" s="79">
        <f>D8*'내역서 (2)'!AU94</f>
        <v>0</v>
      </c>
      <c r="AV8" s="79">
        <f>D8*'내역서 (2)'!AV94</f>
        <v>0</v>
      </c>
    </row>
    <row r="9" spans="1:48" ht="23.1" customHeight="1">
      <c r="A9" s="81" t="s">
        <v>663</v>
      </c>
      <c r="B9" s="81" t="s">
        <v>664</v>
      </c>
      <c r="C9" s="82" t="s">
        <v>177</v>
      </c>
      <c r="D9" s="83">
        <v>1</v>
      </c>
      <c r="E9" s="84">
        <f>'내역서 (2)'!F148</f>
        <v>8214599</v>
      </c>
      <c r="F9" s="84">
        <f t="shared" si="0"/>
        <v>8214599</v>
      </c>
      <c r="G9" s="84">
        <f>'내역서 (2)'!H148</f>
        <v>10671667</v>
      </c>
      <c r="H9" s="84">
        <f t="shared" si="1"/>
        <v>10671667</v>
      </c>
      <c r="I9" s="84">
        <f>'내역서 (2)'!J148</f>
        <v>4902</v>
      </c>
      <c r="J9" s="84">
        <f t="shared" si="2"/>
        <v>4902</v>
      </c>
      <c r="K9" s="84">
        <f t="shared" si="3"/>
        <v>18891168</v>
      </c>
      <c r="L9" s="84">
        <f t="shared" si="3"/>
        <v>18891168</v>
      </c>
      <c r="M9" s="85"/>
      <c r="N9" s="86" t="s">
        <v>532</v>
      </c>
      <c r="O9" s="86" t="s">
        <v>663</v>
      </c>
      <c r="Q9" s="79">
        <v>1</v>
      </c>
      <c r="R9" s="79">
        <f>D9*'내역서 (2)'!R148</f>
        <v>4902</v>
      </c>
      <c r="S9" s="79">
        <f>D9*'내역서 (2)'!S148</f>
        <v>0</v>
      </c>
      <c r="T9" s="79">
        <f>D9*'내역서 (2)'!T148</f>
        <v>0</v>
      </c>
      <c r="U9" s="79">
        <f>D9*'내역서 (2)'!U148</f>
        <v>0</v>
      </c>
      <c r="V9" s="79">
        <f>D9*'내역서 (2)'!V148</f>
        <v>0</v>
      </c>
      <c r="W9" s="79">
        <f>D9*'내역서 (2)'!W148</f>
        <v>0</v>
      </c>
      <c r="X9" s="79">
        <f>D9*'내역서 (2)'!X148</f>
        <v>0</v>
      </c>
      <c r="Y9" s="79">
        <f>D9*'내역서 (2)'!Y148</f>
        <v>0</v>
      </c>
      <c r="Z9" s="79">
        <f>D9*'내역서 (2)'!Z148</f>
        <v>0</v>
      </c>
      <c r="AA9" s="79">
        <f>D9*'내역서 (2)'!AA148</f>
        <v>0</v>
      </c>
      <c r="AB9" s="79">
        <f>D9*'내역서 (2)'!AB148</f>
        <v>0</v>
      </c>
      <c r="AC9" s="79">
        <f>D9*'내역서 (2)'!AC148</f>
        <v>0</v>
      </c>
      <c r="AD9" s="79">
        <f>D9*'내역서 (2)'!AD148</f>
        <v>0</v>
      </c>
      <c r="AE9" s="79">
        <f>D9*'내역서 (2)'!AE148</f>
        <v>0</v>
      </c>
      <c r="AF9" s="79">
        <f>D9*'내역서 (2)'!AF148</f>
        <v>0</v>
      </c>
      <c r="AG9" s="79">
        <f>D9*'내역서 (2)'!AG148</f>
        <v>0</v>
      </c>
      <c r="AH9" s="79">
        <f>D9*'내역서 (2)'!AH148</f>
        <v>0</v>
      </c>
      <c r="AI9" s="79">
        <f>D9*'내역서 (2)'!AI148</f>
        <v>0</v>
      </c>
      <c r="AJ9" s="79">
        <f>D9*'내역서 (2)'!AJ148</f>
        <v>0</v>
      </c>
      <c r="AK9" s="79">
        <f>D9*'내역서 (2)'!AK148</f>
        <v>0</v>
      </c>
      <c r="AL9" s="79">
        <f>D9*'내역서 (2)'!AL148</f>
        <v>0</v>
      </c>
      <c r="AM9" s="79">
        <f>D9*'내역서 (2)'!AM148</f>
        <v>0</v>
      </c>
      <c r="AN9" s="79">
        <f>D9*'내역서 (2)'!AN148</f>
        <v>0</v>
      </c>
      <c r="AO9" s="79">
        <f>D9*'내역서 (2)'!AO148</f>
        <v>0</v>
      </c>
      <c r="AP9" s="79">
        <f>D9*'내역서 (2)'!AP148</f>
        <v>0</v>
      </c>
      <c r="AQ9" s="79">
        <f>D9*'내역서 (2)'!AQ148</f>
        <v>0</v>
      </c>
      <c r="AR9" s="79">
        <f>D9*'내역서 (2)'!AR148</f>
        <v>0</v>
      </c>
      <c r="AS9" s="79">
        <f>D9*'내역서 (2)'!AS148</f>
        <v>0</v>
      </c>
      <c r="AT9" s="79">
        <f>D9*'내역서 (2)'!AT148</f>
        <v>0</v>
      </c>
      <c r="AU9" s="79">
        <f>D9*'내역서 (2)'!AU148</f>
        <v>0</v>
      </c>
      <c r="AV9" s="79">
        <f>D9*'내역서 (2)'!AV148</f>
        <v>0</v>
      </c>
    </row>
    <row r="10" spans="1:48" ht="23.1" customHeight="1">
      <c r="A10" s="81" t="s">
        <v>665</v>
      </c>
      <c r="B10" s="81" t="s">
        <v>666</v>
      </c>
      <c r="C10" s="82" t="s">
        <v>177</v>
      </c>
      <c r="D10" s="83">
        <v>1</v>
      </c>
      <c r="E10" s="84">
        <f>'내역서 (2)'!F220</f>
        <v>24705735</v>
      </c>
      <c r="F10" s="84">
        <f t="shared" si="0"/>
        <v>24705735</v>
      </c>
      <c r="G10" s="84">
        <f>'내역서 (2)'!H220</f>
        <v>36148520</v>
      </c>
      <c r="H10" s="84">
        <f t="shared" si="1"/>
        <v>36148520</v>
      </c>
      <c r="I10" s="84">
        <f>'내역서 (2)'!J220</f>
        <v>0</v>
      </c>
      <c r="J10" s="84">
        <f t="shared" si="2"/>
        <v>0</v>
      </c>
      <c r="K10" s="84">
        <f t="shared" si="3"/>
        <v>60854255</v>
      </c>
      <c r="L10" s="84">
        <f t="shared" si="3"/>
        <v>60854255</v>
      </c>
      <c r="M10" s="85"/>
      <c r="N10" s="86" t="s">
        <v>532</v>
      </c>
      <c r="O10" s="86" t="s">
        <v>665</v>
      </c>
      <c r="Q10" s="79">
        <v>1</v>
      </c>
      <c r="R10" s="79">
        <f>D10*'내역서 (2)'!R220</f>
        <v>0</v>
      </c>
      <c r="S10" s="79">
        <f>D10*'내역서 (2)'!S220</f>
        <v>0</v>
      </c>
      <c r="T10" s="79">
        <f>D10*'내역서 (2)'!T220</f>
        <v>0</v>
      </c>
      <c r="U10" s="79">
        <f>D10*'내역서 (2)'!U220</f>
        <v>0</v>
      </c>
      <c r="V10" s="79">
        <f>D10*'내역서 (2)'!V220</f>
        <v>0</v>
      </c>
      <c r="W10" s="79">
        <f>D10*'내역서 (2)'!W220</f>
        <v>0</v>
      </c>
      <c r="X10" s="79">
        <f>D10*'내역서 (2)'!X220</f>
        <v>0</v>
      </c>
      <c r="Y10" s="79">
        <f>D10*'내역서 (2)'!Y220</f>
        <v>0</v>
      </c>
      <c r="Z10" s="79">
        <f>D10*'내역서 (2)'!Z220</f>
        <v>0</v>
      </c>
      <c r="AA10" s="79">
        <f>D10*'내역서 (2)'!AA220</f>
        <v>0</v>
      </c>
      <c r="AB10" s="79">
        <f>D10*'내역서 (2)'!AB220</f>
        <v>0</v>
      </c>
      <c r="AC10" s="79">
        <f>D10*'내역서 (2)'!AC220</f>
        <v>0</v>
      </c>
      <c r="AD10" s="79">
        <f>D10*'내역서 (2)'!AD220</f>
        <v>0</v>
      </c>
      <c r="AE10" s="79">
        <f>D10*'내역서 (2)'!AE220</f>
        <v>0</v>
      </c>
      <c r="AF10" s="79">
        <f>D10*'내역서 (2)'!AF220</f>
        <v>0</v>
      </c>
      <c r="AG10" s="79">
        <f>D10*'내역서 (2)'!AG220</f>
        <v>0</v>
      </c>
      <c r="AH10" s="79">
        <f>D10*'내역서 (2)'!AH220</f>
        <v>0</v>
      </c>
      <c r="AI10" s="79">
        <f>D10*'내역서 (2)'!AI220</f>
        <v>0</v>
      </c>
      <c r="AJ10" s="79">
        <f>D10*'내역서 (2)'!AJ220</f>
        <v>0</v>
      </c>
      <c r="AK10" s="79">
        <f>D10*'내역서 (2)'!AK220</f>
        <v>0</v>
      </c>
      <c r="AL10" s="79">
        <f>D10*'내역서 (2)'!AL220</f>
        <v>0</v>
      </c>
      <c r="AM10" s="79">
        <f>D10*'내역서 (2)'!AM220</f>
        <v>0</v>
      </c>
      <c r="AN10" s="79">
        <f>D10*'내역서 (2)'!AN220</f>
        <v>0</v>
      </c>
      <c r="AO10" s="79">
        <f>D10*'내역서 (2)'!AO220</f>
        <v>0</v>
      </c>
      <c r="AP10" s="79">
        <f>D10*'내역서 (2)'!AP220</f>
        <v>0</v>
      </c>
      <c r="AQ10" s="79">
        <f>D10*'내역서 (2)'!AQ220</f>
        <v>0</v>
      </c>
      <c r="AR10" s="79">
        <f>D10*'내역서 (2)'!AR220</f>
        <v>0</v>
      </c>
      <c r="AS10" s="79">
        <f>D10*'내역서 (2)'!AS220</f>
        <v>0</v>
      </c>
      <c r="AT10" s="79">
        <f>D10*'내역서 (2)'!AT220</f>
        <v>0</v>
      </c>
      <c r="AU10" s="79">
        <f>D10*'내역서 (2)'!AU220</f>
        <v>0</v>
      </c>
      <c r="AV10" s="79">
        <f>D10*'내역서 (2)'!AV220</f>
        <v>0</v>
      </c>
    </row>
    <row r="11" spans="1:48" ht="23.1" customHeight="1">
      <c r="A11" s="81" t="s">
        <v>667</v>
      </c>
      <c r="B11" s="81" t="s">
        <v>668</v>
      </c>
      <c r="C11" s="82" t="s">
        <v>177</v>
      </c>
      <c r="D11" s="83">
        <v>1</v>
      </c>
      <c r="E11" s="84">
        <f>'내역서 (2)'!F274</f>
        <v>19301100</v>
      </c>
      <c r="F11" s="84">
        <f t="shared" si="0"/>
        <v>19301100</v>
      </c>
      <c r="G11" s="84">
        <f>'내역서 (2)'!H274</f>
        <v>6114400</v>
      </c>
      <c r="H11" s="84">
        <f t="shared" si="1"/>
        <v>6114400</v>
      </c>
      <c r="I11" s="84">
        <f>'내역서 (2)'!J274</f>
        <v>0</v>
      </c>
      <c r="J11" s="84">
        <f t="shared" si="2"/>
        <v>0</v>
      </c>
      <c r="K11" s="84">
        <f t="shared" si="3"/>
        <v>25415500</v>
      </c>
      <c r="L11" s="84">
        <f t="shared" si="3"/>
        <v>25415500</v>
      </c>
      <c r="M11" s="85"/>
      <c r="N11" s="86" t="s">
        <v>532</v>
      </c>
      <c r="O11" s="86" t="s">
        <v>667</v>
      </c>
      <c r="Q11" s="79">
        <v>1</v>
      </c>
      <c r="R11" s="79">
        <f>D11*'내역서 (2)'!R274</f>
        <v>0</v>
      </c>
      <c r="S11" s="79">
        <f>D11*'내역서 (2)'!S274</f>
        <v>0</v>
      </c>
      <c r="T11" s="79">
        <f>D11*'내역서 (2)'!T274</f>
        <v>0</v>
      </c>
      <c r="U11" s="79">
        <f>D11*'내역서 (2)'!U274</f>
        <v>0</v>
      </c>
      <c r="V11" s="79">
        <f>D11*'내역서 (2)'!V274</f>
        <v>0</v>
      </c>
      <c r="W11" s="79">
        <f>D11*'내역서 (2)'!W274</f>
        <v>0</v>
      </c>
      <c r="X11" s="79">
        <f>D11*'내역서 (2)'!X274</f>
        <v>0</v>
      </c>
      <c r="Y11" s="79">
        <f>D11*'내역서 (2)'!Y274</f>
        <v>0</v>
      </c>
      <c r="Z11" s="79">
        <f>D11*'내역서 (2)'!Z274</f>
        <v>0</v>
      </c>
      <c r="AA11" s="79">
        <f>D11*'내역서 (2)'!AA274</f>
        <v>0</v>
      </c>
      <c r="AB11" s="79">
        <f>D11*'내역서 (2)'!AB274</f>
        <v>0</v>
      </c>
      <c r="AC11" s="79">
        <f>D11*'내역서 (2)'!AC274</f>
        <v>0</v>
      </c>
      <c r="AD11" s="79">
        <f>D11*'내역서 (2)'!AD274</f>
        <v>0</v>
      </c>
      <c r="AE11" s="79">
        <f>D11*'내역서 (2)'!AE274</f>
        <v>0</v>
      </c>
      <c r="AF11" s="79">
        <f>D11*'내역서 (2)'!AF274</f>
        <v>0</v>
      </c>
      <c r="AG11" s="79">
        <f>D11*'내역서 (2)'!AG274</f>
        <v>0</v>
      </c>
      <c r="AH11" s="79">
        <f>D11*'내역서 (2)'!AH274</f>
        <v>0</v>
      </c>
      <c r="AI11" s="79">
        <f>D11*'내역서 (2)'!AI274</f>
        <v>0</v>
      </c>
      <c r="AJ11" s="79">
        <f>D11*'내역서 (2)'!AJ274</f>
        <v>0</v>
      </c>
      <c r="AK11" s="79">
        <f>D11*'내역서 (2)'!AK274</f>
        <v>0</v>
      </c>
      <c r="AL11" s="79">
        <f>D11*'내역서 (2)'!AL274</f>
        <v>0</v>
      </c>
      <c r="AM11" s="79">
        <f>D11*'내역서 (2)'!AM274</f>
        <v>0</v>
      </c>
      <c r="AN11" s="79">
        <f>D11*'내역서 (2)'!AN274</f>
        <v>0</v>
      </c>
      <c r="AO11" s="79">
        <f>D11*'내역서 (2)'!AO274</f>
        <v>0</v>
      </c>
      <c r="AP11" s="79">
        <f>D11*'내역서 (2)'!AP274</f>
        <v>0</v>
      </c>
      <c r="AQ11" s="79">
        <f>D11*'내역서 (2)'!AQ274</f>
        <v>0</v>
      </c>
      <c r="AR11" s="79">
        <f>D11*'내역서 (2)'!AR274</f>
        <v>0</v>
      </c>
      <c r="AS11" s="79">
        <f>D11*'내역서 (2)'!AS274</f>
        <v>0</v>
      </c>
      <c r="AT11" s="79">
        <f>D11*'내역서 (2)'!AT274</f>
        <v>0</v>
      </c>
      <c r="AU11" s="79">
        <f>D11*'내역서 (2)'!AU274</f>
        <v>0</v>
      </c>
      <c r="AV11" s="79">
        <f>D11*'내역서 (2)'!AV274</f>
        <v>0</v>
      </c>
    </row>
    <row r="12" spans="1:48" ht="23.1" customHeight="1">
      <c r="A12" s="85"/>
      <c r="B12" s="85"/>
      <c r="C12" s="83"/>
      <c r="D12" s="83"/>
      <c r="E12" s="84"/>
      <c r="F12" s="84"/>
      <c r="G12" s="84"/>
      <c r="H12" s="84"/>
      <c r="I12" s="84"/>
      <c r="J12" s="84"/>
      <c r="K12" s="84"/>
      <c r="L12" s="84"/>
      <c r="M12" s="85"/>
    </row>
    <row r="13" spans="1:48" ht="23.1" customHeight="1">
      <c r="A13" s="85"/>
      <c r="B13" s="85"/>
      <c r="C13" s="83"/>
      <c r="D13" s="83"/>
      <c r="E13" s="84"/>
      <c r="F13" s="84"/>
      <c r="G13" s="84"/>
      <c r="H13" s="84"/>
      <c r="I13" s="84"/>
      <c r="J13" s="84"/>
      <c r="K13" s="84"/>
      <c r="L13" s="84"/>
      <c r="M13" s="85"/>
    </row>
    <row r="14" spans="1:48" ht="23.1" customHeight="1">
      <c r="A14" s="85"/>
      <c r="B14" s="85"/>
      <c r="C14" s="83"/>
      <c r="D14" s="83"/>
      <c r="E14" s="84"/>
      <c r="F14" s="84"/>
      <c r="G14" s="84"/>
      <c r="H14" s="84"/>
      <c r="I14" s="84"/>
      <c r="J14" s="84"/>
      <c r="K14" s="84"/>
      <c r="L14" s="84"/>
      <c r="M14" s="85"/>
    </row>
    <row r="15" spans="1:48" ht="23.1" customHeight="1">
      <c r="A15" s="85"/>
      <c r="B15" s="85"/>
      <c r="C15" s="83"/>
      <c r="D15" s="83"/>
      <c r="E15" s="84"/>
      <c r="F15" s="84"/>
      <c r="G15" s="84"/>
      <c r="H15" s="84"/>
      <c r="I15" s="84"/>
      <c r="J15" s="84"/>
      <c r="K15" s="84"/>
      <c r="L15" s="84"/>
      <c r="M15" s="85"/>
    </row>
    <row r="16" spans="1:48" ht="23.1" customHeight="1">
      <c r="A16" s="85"/>
      <c r="B16" s="85"/>
      <c r="C16" s="83"/>
      <c r="D16" s="83"/>
      <c r="E16" s="84"/>
      <c r="F16" s="84"/>
      <c r="G16" s="84"/>
      <c r="H16" s="84"/>
      <c r="I16" s="84"/>
      <c r="J16" s="84"/>
      <c r="K16" s="84"/>
      <c r="L16" s="84"/>
      <c r="M16" s="85"/>
    </row>
    <row r="17" spans="1:13" ht="23.1" customHeight="1">
      <c r="A17" s="85"/>
      <c r="B17" s="85"/>
      <c r="C17" s="83"/>
      <c r="D17" s="83"/>
      <c r="E17" s="84"/>
      <c r="F17" s="84"/>
      <c r="G17" s="84"/>
      <c r="H17" s="84"/>
      <c r="I17" s="84"/>
      <c r="J17" s="84"/>
      <c r="K17" s="84"/>
      <c r="L17" s="84"/>
      <c r="M17" s="85"/>
    </row>
    <row r="18" spans="1:13" ht="23.1" customHeight="1">
      <c r="A18" s="85"/>
      <c r="B18" s="85"/>
      <c r="C18" s="83"/>
      <c r="D18" s="83"/>
      <c r="E18" s="84"/>
      <c r="F18" s="84"/>
      <c r="G18" s="84"/>
      <c r="H18" s="84"/>
      <c r="I18" s="84"/>
      <c r="J18" s="84"/>
      <c r="K18" s="84"/>
      <c r="L18" s="84"/>
      <c r="M18" s="85"/>
    </row>
    <row r="19" spans="1:13" ht="23.1" customHeight="1">
      <c r="A19" s="85"/>
      <c r="B19" s="85"/>
      <c r="C19" s="83"/>
      <c r="D19" s="83"/>
      <c r="E19" s="84"/>
      <c r="F19" s="84"/>
      <c r="G19" s="84"/>
      <c r="H19" s="84"/>
      <c r="I19" s="84"/>
      <c r="J19" s="84"/>
      <c r="K19" s="84"/>
      <c r="L19" s="84"/>
      <c r="M19" s="85"/>
    </row>
    <row r="20" spans="1:13" ht="23.1" customHeight="1">
      <c r="A20" s="85"/>
      <c r="B20" s="85"/>
      <c r="C20" s="83"/>
      <c r="D20" s="83"/>
      <c r="E20" s="84"/>
      <c r="F20" s="84"/>
      <c r="G20" s="84"/>
      <c r="H20" s="84"/>
      <c r="I20" s="84"/>
      <c r="J20" s="84"/>
      <c r="K20" s="84"/>
      <c r="L20" s="84"/>
      <c r="M20" s="85"/>
    </row>
    <row r="21" spans="1:13" ht="23.1" customHeight="1">
      <c r="A21" s="85"/>
      <c r="B21" s="85"/>
      <c r="C21" s="83"/>
      <c r="D21" s="83"/>
      <c r="E21" s="84"/>
      <c r="F21" s="84"/>
      <c r="G21" s="84"/>
      <c r="H21" s="84"/>
      <c r="I21" s="84"/>
      <c r="J21" s="84"/>
      <c r="K21" s="84"/>
      <c r="L21" s="84"/>
      <c r="M21" s="85"/>
    </row>
    <row r="22" spans="1:13" ht="23.1" customHeight="1">
      <c r="A22" s="85"/>
      <c r="B22" s="85"/>
      <c r="C22" s="83"/>
      <c r="D22" s="83"/>
      <c r="E22" s="84"/>
      <c r="F22" s="84"/>
      <c r="G22" s="84"/>
      <c r="H22" s="84"/>
      <c r="I22" s="84"/>
      <c r="J22" s="84"/>
      <c r="K22" s="84"/>
      <c r="L22" s="84"/>
      <c r="M22" s="85"/>
    </row>
  </sheetData>
  <mergeCells count="11">
    <mergeCell ref="M3:M4"/>
    <mergeCell ref="A1:M1"/>
    <mergeCell ref="A2:M2"/>
    <mergeCell ref="A3:A4"/>
    <mergeCell ref="B3:B4"/>
    <mergeCell ref="C3:C4"/>
    <mergeCell ref="D3:D4"/>
    <mergeCell ref="E3:F3"/>
    <mergeCell ref="G3:H3"/>
    <mergeCell ref="I3:J3"/>
    <mergeCell ref="K3:L3"/>
  </mergeCells>
  <phoneticPr fontId="4" type="noConversion"/>
  <conditionalFormatting sqref="A5:M22">
    <cfRule type="containsText" dxfId="11" priority="1" stopIfTrue="1" operator="containsText" text=".">
      <formula>NOT(ISERROR(SEARCH(".",A5)))</formula>
    </cfRule>
    <cfRule type="notContainsText" dxfId="10" priority="2" stopIfTrue="1" operator="notContains" text=".">
      <formula>ISERROR(SEARCH(".",A5))</formula>
    </cfRule>
  </conditionalFormatting>
  <pageMargins left="0.74090148180296356" right="0" top="0.54405108810217628" bottom="0.1388888888888889" header="0.3" footer="0.1388888888888889"/>
  <pageSetup paperSize="9" orientation="landscape" r:id="rId1"/>
  <rowBreaks count="1" manualBreakCount="1">
    <brk id="22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FFB7"/>
  </sheetPr>
  <dimension ref="A1:AX274"/>
  <sheetViews>
    <sheetView view="pageBreakPreview" zoomScaleNormal="130" zoomScaleSheetLayoutView="100" workbookViewId="0">
      <pane xSplit="4" ySplit="4" topLeftCell="E101" activePane="bottomRight" state="frozen"/>
      <selection activeCell="E5" sqref="E5"/>
      <selection pane="topRight" activeCell="E5" sqref="E5"/>
      <selection pane="bottomLeft" activeCell="E5" sqref="E5"/>
      <selection pane="bottomRight" activeCell="E13" sqref="E13"/>
    </sheetView>
  </sheetViews>
  <sheetFormatPr defaultColWidth="8.8984375" defaultRowHeight="17.399999999999999"/>
  <cols>
    <col min="1" max="2" width="19.19921875" style="87" customWidth="1"/>
    <col min="3" max="3" width="4.09765625" style="88" customWidth="1"/>
    <col min="4" max="5" width="5.8984375" style="89" customWidth="1"/>
    <col min="6" max="6" width="7.69921875" style="89" customWidth="1"/>
    <col min="7" max="7" width="5.8984375" style="89" customWidth="1"/>
    <col min="8" max="8" width="7.69921875" style="89" customWidth="1"/>
    <col min="9" max="9" width="5.8984375" style="89" customWidth="1"/>
    <col min="10" max="10" width="7.69921875" style="89" customWidth="1"/>
    <col min="11" max="11" width="5.8984375" style="89" customWidth="1"/>
    <col min="12" max="12" width="7.69921875" style="89" customWidth="1"/>
    <col min="13" max="13" width="5.8984375" style="89" customWidth="1"/>
    <col min="14" max="50" width="0" style="79" hidden="1" customWidth="1"/>
    <col min="51" max="16384" width="8.8984375" style="79"/>
  </cols>
  <sheetData>
    <row r="1" spans="1:50" ht="30" customHeight="1">
      <c r="A1" s="225" t="s">
        <v>669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</row>
    <row r="2" spans="1:50" ht="23.1" customHeight="1">
      <c r="A2" s="226" t="s">
        <v>647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</row>
    <row r="3" spans="1:50" ht="23.1" customHeight="1">
      <c r="A3" s="224" t="s">
        <v>670</v>
      </c>
      <c r="B3" s="224" t="s">
        <v>671</v>
      </c>
      <c r="C3" s="224" t="s">
        <v>326</v>
      </c>
      <c r="D3" s="224" t="s">
        <v>672</v>
      </c>
      <c r="E3" s="224" t="s">
        <v>650</v>
      </c>
      <c r="F3" s="224"/>
      <c r="G3" s="224" t="s">
        <v>651</v>
      </c>
      <c r="H3" s="224"/>
      <c r="I3" s="224" t="s">
        <v>652</v>
      </c>
      <c r="J3" s="224"/>
      <c r="K3" s="224" t="s">
        <v>653</v>
      </c>
      <c r="L3" s="224"/>
      <c r="M3" s="224" t="s">
        <v>654</v>
      </c>
    </row>
    <row r="4" spans="1:50" ht="23.1" customHeight="1">
      <c r="A4" s="224"/>
      <c r="B4" s="224"/>
      <c r="C4" s="224"/>
      <c r="D4" s="224"/>
      <c r="E4" s="80" t="s">
        <v>655</v>
      </c>
      <c r="F4" s="80" t="s">
        <v>673</v>
      </c>
      <c r="G4" s="80" t="s">
        <v>655</v>
      </c>
      <c r="H4" s="80" t="s">
        <v>673</v>
      </c>
      <c r="I4" s="80" t="s">
        <v>655</v>
      </c>
      <c r="J4" s="80" t="s">
        <v>673</v>
      </c>
      <c r="K4" s="80" t="s">
        <v>655</v>
      </c>
      <c r="L4" s="80" t="s">
        <v>673</v>
      </c>
      <c r="M4" s="224"/>
      <c r="N4" s="79" t="s">
        <v>674</v>
      </c>
      <c r="O4" s="79" t="s">
        <v>675</v>
      </c>
      <c r="P4" s="79" t="s">
        <v>676</v>
      </c>
      <c r="Q4" s="79" t="s">
        <v>677</v>
      </c>
      <c r="R4" s="79" t="s">
        <v>678</v>
      </c>
      <c r="S4" s="79" t="s">
        <v>679</v>
      </c>
      <c r="T4" s="79" t="s">
        <v>680</v>
      </c>
      <c r="U4" s="79" t="s">
        <v>681</v>
      </c>
      <c r="V4" s="79" t="s">
        <v>682</v>
      </c>
      <c r="W4" s="79" t="s">
        <v>683</v>
      </c>
      <c r="X4" s="79" t="s">
        <v>684</v>
      </c>
      <c r="Y4" s="79" t="s">
        <v>685</v>
      </c>
      <c r="Z4" s="79" t="s">
        <v>686</v>
      </c>
      <c r="AA4" s="79" t="s">
        <v>687</v>
      </c>
      <c r="AB4" s="79" t="s">
        <v>688</v>
      </c>
      <c r="AC4" s="79" t="s">
        <v>689</v>
      </c>
      <c r="AD4" s="79" t="s">
        <v>690</v>
      </c>
      <c r="AE4" s="79" t="s">
        <v>691</v>
      </c>
      <c r="AF4" s="79" t="s">
        <v>692</v>
      </c>
      <c r="AG4" s="79" t="s">
        <v>693</v>
      </c>
      <c r="AH4" s="79" t="s">
        <v>694</v>
      </c>
      <c r="AI4" s="79" t="s">
        <v>695</v>
      </c>
      <c r="AJ4" s="79" t="s">
        <v>696</v>
      </c>
      <c r="AK4" s="79" t="s">
        <v>697</v>
      </c>
      <c r="AL4" s="79" t="s">
        <v>698</v>
      </c>
      <c r="AM4" s="79" t="s">
        <v>699</v>
      </c>
      <c r="AN4" s="79" t="s">
        <v>700</v>
      </c>
      <c r="AO4" s="79" t="s">
        <v>701</v>
      </c>
      <c r="AP4" s="79" t="s">
        <v>702</v>
      </c>
      <c r="AQ4" s="79" t="s">
        <v>703</v>
      </c>
      <c r="AR4" s="79" t="s">
        <v>704</v>
      </c>
      <c r="AS4" s="79" t="s">
        <v>705</v>
      </c>
      <c r="AT4" s="79" t="s">
        <v>706</v>
      </c>
      <c r="AU4" s="79" t="s">
        <v>707</v>
      </c>
      <c r="AV4" s="79" t="s">
        <v>708</v>
      </c>
      <c r="AW4" s="79" t="s">
        <v>709</v>
      </c>
      <c r="AX4" s="79" t="s">
        <v>710</v>
      </c>
    </row>
    <row r="5" spans="1:50" ht="23.1" customHeight="1">
      <c r="A5" s="230" t="s">
        <v>711</v>
      </c>
      <c r="B5" s="231"/>
      <c r="C5" s="231"/>
      <c r="D5" s="231"/>
      <c r="E5" s="231"/>
      <c r="F5" s="231"/>
      <c r="G5" s="231"/>
      <c r="H5" s="231"/>
      <c r="I5" s="231"/>
      <c r="J5" s="231"/>
      <c r="K5" s="231"/>
      <c r="L5" s="231"/>
      <c r="M5" s="232"/>
    </row>
    <row r="6" spans="1:50" ht="23.1" customHeight="1">
      <c r="A6" s="81" t="s">
        <v>712</v>
      </c>
      <c r="B6" s="81" t="s">
        <v>713</v>
      </c>
      <c r="C6" s="82" t="s">
        <v>366</v>
      </c>
      <c r="D6" s="84">
        <f>공량산출서!F8</f>
        <v>1</v>
      </c>
      <c r="E6" s="84">
        <f>단가대비표!L41</f>
        <v>2166217.2000000002</v>
      </c>
      <c r="F6" s="84">
        <f t="shared" ref="F6:F14" si="0">ROUNDDOWN(D6*E6, 0)</f>
        <v>2166217</v>
      </c>
      <c r="G6" s="84">
        <v>0</v>
      </c>
      <c r="H6" s="84">
        <f t="shared" ref="H6:H14" si="1">ROUNDDOWN(D6*G6, 0)</f>
        <v>0</v>
      </c>
      <c r="I6" s="84">
        <v>0</v>
      </c>
      <c r="J6" s="84">
        <f t="shared" ref="J6:J14" si="2">ROUNDDOWN(D6*I6, 0)</f>
        <v>0</v>
      </c>
      <c r="K6" s="84">
        <f t="shared" ref="K6:L17" si="3">E6+G6+I6</f>
        <v>2166217.2000000002</v>
      </c>
      <c r="L6" s="84">
        <f t="shared" si="3"/>
        <v>2166217</v>
      </c>
      <c r="M6" s="84"/>
      <c r="O6" s="79" t="str">
        <f t="shared" ref="O6:O14" si="4">"01"</f>
        <v>01</v>
      </c>
      <c r="P6" s="86" t="s">
        <v>678</v>
      </c>
      <c r="Q6" s="79">
        <v>1</v>
      </c>
      <c r="R6" s="79">
        <f t="shared" ref="R6:R17" si="5">IF(P6="기계경비", J6, 0)</f>
        <v>0</v>
      </c>
      <c r="S6" s="79">
        <f t="shared" ref="S6:S17" si="6">IF(P6="운반비", J6, 0)</f>
        <v>0</v>
      </c>
      <c r="T6" s="79">
        <f t="shared" ref="T6:T17" si="7">IF(P6="작업부산물", F6, 0)</f>
        <v>0</v>
      </c>
      <c r="U6" s="79">
        <f t="shared" ref="U6:U17" si="8">IF(P6="관급", F6, 0)</f>
        <v>0</v>
      </c>
      <c r="V6" s="79">
        <f t="shared" ref="V6:V17" si="9">IF(P6="외주비", J6, 0)</f>
        <v>0</v>
      </c>
      <c r="W6" s="79">
        <f t="shared" ref="W6:W17" si="10">IF(P6="장비비", J6, 0)</f>
        <v>0</v>
      </c>
      <c r="X6" s="79">
        <f t="shared" ref="X6:X17" si="11">IF(P6="폐기물처리비", L6, 0)</f>
        <v>0</v>
      </c>
      <c r="Y6" s="79">
        <f t="shared" ref="Y6:Y17" si="12">IF(P6="가설비", J6, 0)</f>
        <v>0</v>
      </c>
      <c r="Z6" s="79">
        <f t="shared" ref="Z6:Z17" si="13">IF(P6="잡비제외분", F6, 0)</f>
        <v>0</v>
      </c>
      <c r="AA6" s="79">
        <f t="shared" ref="AA6:AA17" si="14">IF(P6="사급자재대", L6, 0)</f>
        <v>0</v>
      </c>
      <c r="AB6" s="79">
        <f t="shared" ref="AB6:AB17" si="15">IF(P6="관급자재대", L6, 0)</f>
        <v>0</v>
      </c>
      <c r="AC6" s="79">
        <f t="shared" ref="AC6:AC17" si="16">IF(P6="부산물", L6, 0)</f>
        <v>0</v>
      </c>
      <c r="AD6" s="79">
        <f t="shared" ref="AD6:AD17" si="17">IF(P6="품질검사비", L6, 0)</f>
        <v>0</v>
      </c>
      <c r="AE6" s="79">
        <f t="shared" ref="AE6:AE17" si="18">IF(P6="사용자항목3", L6, 0)</f>
        <v>0</v>
      </c>
      <c r="AF6" s="79">
        <f t="shared" ref="AF6:AF17" si="19">IF(P6="급식소 환기설비시험 조정평가", L6, 0)</f>
        <v>0</v>
      </c>
      <c r="AG6" s="79">
        <f t="shared" ref="AG6:AG17" si="20">IF(P6="사용자항목5", L6, 0)</f>
        <v>0</v>
      </c>
      <c r="AH6" s="79">
        <f t="shared" ref="AH6:AH17" si="21">IF(P6="사용자항목6", L6, 0)</f>
        <v>0</v>
      </c>
      <c r="AI6" s="79">
        <f t="shared" ref="AI6:AI17" si="22">IF(P6="사용자항목7", L6, 0)</f>
        <v>0</v>
      </c>
      <c r="AJ6" s="79">
        <f t="shared" ref="AJ6:AJ17" si="23">IF(P6="사용자항목8", L6, 0)</f>
        <v>0</v>
      </c>
      <c r="AK6" s="79">
        <f t="shared" ref="AK6:AK17" si="24">IF(P6="사용자항목9", L6, 0)</f>
        <v>0</v>
      </c>
      <c r="AL6" s="79">
        <f t="shared" ref="AL6:AL17" si="25">IF(P6="사용자항목10", L6, 0)</f>
        <v>0</v>
      </c>
      <c r="AM6" s="79">
        <f t="shared" ref="AM6:AM17" si="26">IF(P6="사용자항목11", L6, 0)</f>
        <v>0</v>
      </c>
      <c r="AN6" s="79">
        <f t="shared" ref="AN6:AN17" si="27">IF(P6="사용자항목12", L6, 0)</f>
        <v>0</v>
      </c>
      <c r="AO6" s="79">
        <f t="shared" ref="AO6:AO17" si="28">IF(P6="사용자항목13", L6, 0)</f>
        <v>0</v>
      </c>
      <c r="AP6" s="79">
        <f t="shared" ref="AP6:AP17" si="29">IF(P6="사용자항목14", L6, 0)</f>
        <v>0</v>
      </c>
      <c r="AQ6" s="79">
        <f t="shared" ref="AQ6:AQ17" si="30">IF(P6="사용자항목15", L6, 0)</f>
        <v>0</v>
      </c>
      <c r="AR6" s="79">
        <f t="shared" ref="AR6:AR17" si="31">IF(P6="사용자항목16", L6, 0)</f>
        <v>0</v>
      </c>
      <c r="AS6" s="79">
        <f t="shared" ref="AS6:AS17" si="32">IF(P6="사용자항목17", L6, 0)</f>
        <v>0</v>
      </c>
      <c r="AT6" s="79">
        <f t="shared" ref="AT6:AT17" si="33">IF(P6="사용자항목18", L6, 0)</f>
        <v>0</v>
      </c>
      <c r="AU6" s="79">
        <f t="shared" ref="AU6:AU17" si="34">IF(P6="사용자항목19", L6, 0)</f>
        <v>0</v>
      </c>
    </row>
    <row r="7" spans="1:50" ht="23.1" customHeight="1">
      <c r="A7" s="81" t="s">
        <v>714</v>
      </c>
      <c r="B7" s="81" t="s">
        <v>715</v>
      </c>
      <c r="C7" s="82" t="s">
        <v>366</v>
      </c>
      <c r="D7" s="84">
        <f>공량산출서!F10</f>
        <v>1</v>
      </c>
      <c r="E7" s="84">
        <f>단가대비표!L40</f>
        <v>993568.03</v>
      </c>
      <c r="F7" s="84">
        <f t="shared" si="0"/>
        <v>993568</v>
      </c>
      <c r="G7" s="84">
        <v>0</v>
      </c>
      <c r="H7" s="84">
        <f t="shared" si="1"/>
        <v>0</v>
      </c>
      <c r="I7" s="84">
        <v>0</v>
      </c>
      <c r="J7" s="84">
        <f t="shared" si="2"/>
        <v>0</v>
      </c>
      <c r="K7" s="84">
        <f t="shared" si="3"/>
        <v>993568.03</v>
      </c>
      <c r="L7" s="84">
        <f t="shared" si="3"/>
        <v>993568</v>
      </c>
      <c r="M7" s="84"/>
      <c r="O7" s="79" t="str">
        <f t="shared" si="4"/>
        <v>01</v>
      </c>
      <c r="P7" s="86" t="s">
        <v>678</v>
      </c>
      <c r="Q7" s="79">
        <v>1</v>
      </c>
      <c r="R7" s="79">
        <f t="shared" si="5"/>
        <v>0</v>
      </c>
      <c r="S7" s="79">
        <f t="shared" si="6"/>
        <v>0</v>
      </c>
      <c r="T7" s="79">
        <f t="shared" si="7"/>
        <v>0</v>
      </c>
      <c r="U7" s="79">
        <f t="shared" si="8"/>
        <v>0</v>
      </c>
      <c r="V7" s="79">
        <f t="shared" si="9"/>
        <v>0</v>
      </c>
      <c r="W7" s="79">
        <f t="shared" si="10"/>
        <v>0</v>
      </c>
      <c r="X7" s="79">
        <f t="shared" si="11"/>
        <v>0</v>
      </c>
      <c r="Y7" s="79">
        <f t="shared" si="12"/>
        <v>0</v>
      </c>
      <c r="Z7" s="79">
        <f t="shared" si="13"/>
        <v>0</v>
      </c>
      <c r="AA7" s="79">
        <f t="shared" si="14"/>
        <v>0</v>
      </c>
      <c r="AB7" s="79">
        <f t="shared" si="15"/>
        <v>0</v>
      </c>
      <c r="AC7" s="79">
        <f t="shared" si="16"/>
        <v>0</v>
      </c>
      <c r="AD7" s="79">
        <f t="shared" si="17"/>
        <v>0</v>
      </c>
      <c r="AE7" s="79">
        <f t="shared" si="18"/>
        <v>0</v>
      </c>
      <c r="AF7" s="79">
        <f t="shared" si="19"/>
        <v>0</v>
      </c>
      <c r="AG7" s="79">
        <f t="shared" si="20"/>
        <v>0</v>
      </c>
      <c r="AH7" s="79">
        <f t="shared" si="21"/>
        <v>0</v>
      </c>
      <c r="AI7" s="79">
        <f t="shared" si="22"/>
        <v>0</v>
      </c>
      <c r="AJ7" s="79">
        <f t="shared" si="23"/>
        <v>0</v>
      </c>
      <c r="AK7" s="79">
        <f t="shared" si="24"/>
        <v>0</v>
      </c>
      <c r="AL7" s="79">
        <f t="shared" si="25"/>
        <v>0</v>
      </c>
      <c r="AM7" s="79">
        <f t="shared" si="26"/>
        <v>0</v>
      </c>
      <c r="AN7" s="79">
        <f t="shared" si="27"/>
        <v>0</v>
      </c>
      <c r="AO7" s="79">
        <f t="shared" si="28"/>
        <v>0</v>
      </c>
      <c r="AP7" s="79">
        <f t="shared" si="29"/>
        <v>0</v>
      </c>
      <c r="AQ7" s="79">
        <f t="shared" si="30"/>
        <v>0</v>
      </c>
      <c r="AR7" s="79">
        <f t="shared" si="31"/>
        <v>0</v>
      </c>
      <c r="AS7" s="79">
        <f t="shared" si="32"/>
        <v>0</v>
      </c>
      <c r="AT7" s="79">
        <f t="shared" si="33"/>
        <v>0</v>
      </c>
      <c r="AU7" s="79">
        <f t="shared" si="34"/>
        <v>0</v>
      </c>
    </row>
    <row r="8" spans="1:50" ht="23.1" customHeight="1">
      <c r="A8" s="81" t="s">
        <v>716</v>
      </c>
      <c r="B8" s="81" t="s">
        <v>713</v>
      </c>
      <c r="C8" s="82" t="s">
        <v>366</v>
      </c>
      <c r="D8" s="84">
        <f>공량산출서!F12</f>
        <v>1</v>
      </c>
      <c r="E8" s="84">
        <f>단가대비표!L76</f>
        <v>9699480</v>
      </c>
      <c r="F8" s="84">
        <f t="shared" si="0"/>
        <v>9699480</v>
      </c>
      <c r="G8" s="84">
        <v>0</v>
      </c>
      <c r="H8" s="84">
        <f t="shared" si="1"/>
        <v>0</v>
      </c>
      <c r="I8" s="84">
        <v>0</v>
      </c>
      <c r="J8" s="84">
        <f t="shared" si="2"/>
        <v>0</v>
      </c>
      <c r="K8" s="84">
        <f t="shared" si="3"/>
        <v>9699480</v>
      </c>
      <c r="L8" s="84">
        <f t="shared" si="3"/>
        <v>9699480</v>
      </c>
      <c r="M8" s="84"/>
      <c r="O8" s="79" t="str">
        <f t="shared" si="4"/>
        <v>01</v>
      </c>
      <c r="P8" s="86" t="s">
        <v>678</v>
      </c>
      <c r="Q8" s="79">
        <v>1</v>
      </c>
      <c r="R8" s="79">
        <f t="shared" si="5"/>
        <v>0</v>
      </c>
      <c r="S8" s="79">
        <f t="shared" si="6"/>
        <v>0</v>
      </c>
      <c r="T8" s="79">
        <f t="shared" si="7"/>
        <v>0</v>
      </c>
      <c r="U8" s="79">
        <f t="shared" si="8"/>
        <v>0</v>
      </c>
      <c r="V8" s="79">
        <f t="shared" si="9"/>
        <v>0</v>
      </c>
      <c r="W8" s="79">
        <f t="shared" si="10"/>
        <v>0</v>
      </c>
      <c r="X8" s="79">
        <f t="shared" si="11"/>
        <v>0</v>
      </c>
      <c r="Y8" s="79">
        <f t="shared" si="12"/>
        <v>0</v>
      </c>
      <c r="Z8" s="79">
        <f t="shared" si="13"/>
        <v>0</v>
      </c>
      <c r="AA8" s="79">
        <f t="shared" si="14"/>
        <v>0</v>
      </c>
      <c r="AB8" s="79">
        <f t="shared" si="15"/>
        <v>0</v>
      </c>
      <c r="AC8" s="79">
        <f t="shared" si="16"/>
        <v>0</v>
      </c>
      <c r="AD8" s="79">
        <f t="shared" si="17"/>
        <v>0</v>
      </c>
      <c r="AE8" s="79">
        <f t="shared" si="18"/>
        <v>0</v>
      </c>
      <c r="AF8" s="79">
        <f t="shared" si="19"/>
        <v>0</v>
      </c>
      <c r="AG8" s="79">
        <f t="shared" si="20"/>
        <v>0</v>
      </c>
      <c r="AH8" s="79">
        <f t="shared" si="21"/>
        <v>0</v>
      </c>
      <c r="AI8" s="79">
        <f t="shared" si="22"/>
        <v>0</v>
      </c>
      <c r="AJ8" s="79">
        <f t="shared" si="23"/>
        <v>0</v>
      </c>
      <c r="AK8" s="79">
        <f t="shared" si="24"/>
        <v>0</v>
      </c>
      <c r="AL8" s="79">
        <f t="shared" si="25"/>
        <v>0</v>
      </c>
      <c r="AM8" s="79">
        <f t="shared" si="26"/>
        <v>0</v>
      </c>
      <c r="AN8" s="79">
        <f t="shared" si="27"/>
        <v>0</v>
      </c>
      <c r="AO8" s="79">
        <f t="shared" si="28"/>
        <v>0</v>
      </c>
      <c r="AP8" s="79">
        <f t="shared" si="29"/>
        <v>0</v>
      </c>
      <c r="AQ8" s="79">
        <f t="shared" si="30"/>
        <v>0</v>
      </c>
      <c r="AR8" s="79">
        <f t="shared" si="31"/>
        <v>0</v>
      </c>
      <c r="AS8" s="79">
        <f t="shared" si="32"/>
        <v>0</v>
      </c>
      <c r="AT8" s="79">
        <f t="shared" si="33"/>
        <v>0</v>
      </c>
      <c r="AU8" s="79">
        <f t="shared" si="34"/>
        <v>0</v>
      </c>
    </row>
    <row r="9" spans="1:50" ht="23.1" customHeight="1">
      <c r="A9" s="81" t="s">
        <v>717</v>
      </c>
      <c r="B9" s="81" t="s">
        <v>718</v>
      </c>
      <c r="C9" s="82" t="s">
        <v>366</v>
      </c>
      <c r="D9" s="84">
        <v>1</v>
      </c>
      <c r="E9" s="84">
        <f>단가대비표!L62</f>
        <v>632621.64</v>
      </c>
      <c r="F9" s="84">
        <f t="shared" si="0"/>
        <v>632621</v>
      </c>
      <c r="G9" s="84">
        <v>0</v>
      </c>
      <c r="H9" s="84">
        <f t="shared" si="1"/>
        <v>0</v>
      </c>
      <c r="I9" s="84">
        <v>0</v>
      </c>
      <c r="J9" s="84">
        <f t="shared" si="2"/>
        <v>0</v>
      </c>
      <c r="K9" s="84">
        <f t="shared" si="3"/>
        <v>632621.64</v>
      </c>
      <c r="L9" s="84">
        <f t="shared" si="3"/>
        <v>632621</v>
      </c>
      <c r="M9" s="84"/>
      <c r="O9" s="79" t="str">
        <f t="shared" si="4"/>
        <v>01</v>
      </c>
      <c r="P9" s="86" t="s">
        <v>678</v>
      </c>
      <c r="Q9" s="79">
        <v>1</v>
      </c>
      <c r="R9" s="79">
        <f t="shared" si="5"/>
        <v>0</v>
      </c>
      <c r="S9" s="79">
        <f t="shared" si="6"/>
        <v>0</v>
      </c>
      <c r="T9" s="79">
        <f t="shared" si="7"/>
        <v>0</v>
      </c>
      <c r="U9" s="79">
        <f t="shared" si="8"/>
        <v>0</v>
      </c>
      <c r="V9" s="79">
        <f t="shared" si="9"/>
        <v>0</v>
      </c>
      <c r="W9" s="79">
        <f t="shared" si="10"/>
        <v>0</v>
      </c>
      <c r="X9" s="79">
        <f t="shared" si="11"/>
        <v>0</v>
      </c>
      <c r="Y9" s="79">
        <f t="shared" si="12"/>
        <v>0</v>
      </c>
      <c r="Z9" s="79">
        <f t="shared" si="13"/>
        <v>0</v>
      </c>
      <c r="AA9" s="79">
        <f t="shared" si="14"/>
        <v>0</v>
      </c>
      <c r="AB9" s="79">
        <f t="shared" si="15"/>
        <v>0</v>
      </c>
      <c r="AC9" s="79">
        <f t="shared" si="16"/>
        <v>0</v>
      </c>
      <c r="AD9" s="79">
        <f t="shared" si="17"/>
        <v>0</v>
      </c>
      <c r="AE9" s="79">
        <f t="shared" si="18"/>
        <v>0</v>
      </c>
      <c r="AF9" s="79">
        <f t="shared" si="19"/>
        <v>0</v>
      </c>
      <c r="AG9" s="79">
        <f t="shared" si="20"/>
        <v>0</v>
      </c>
      <c r="AH9" s="79">
        <f t="shared" si="21"/>
        <v>0</v>
      </c>
      <c r="AI9" s="79">
        <f t="shared" si="22"/>
        <v>0</v>
      </c>
      <c r="AJ9" s="79">
        <f t="shared" si="23"/>
        <v>0</v>
      </c>
      <c r="AK9" s="79">
        <f t="shared" si="24"/>
        <v>0</v>
      </c>
      <c r="AL9" s="79">
        <f t="shared" si="25"/>
        <v>0</v>
      </c>
      <c r="AM9" s="79">
        <f t="shared" si="26"/>
        <v>0</v>
      </c>
      <c r="AN9" s="79">
        <f t="shared" si="27"/>
        <v>0</v>
      </c>
      <c r="AO9" s="79">
        <f t="shared" si="28"/>
        <v>0</v>
      </c>
      <c r="AP9" s="79">
        <f t="shared" si="29"/>
        <v>0</v>
      </c>
      <c r="AQ9" s="79">
        <f t="shared" si="30"/>
        <v>0</v>
      </c>
      <c r="AR9" s="79">
        <f t="shared" si="31"/>
        <v>0</v>
      </c>
      <c r="AS9" s="79">
        <f t="shared" si="32"/>
        <v>0</v>
      </c>
      <c r="AT9" s="79">
        <f t="shared" si="33"/>
        <v>0</v>
      </c>
      <c r="AU9" s="79">
        <f t="shared" si="34"/>
        <v>0</v>
      </c>
    </row>
    <row r="10" spans="1:50" ht="23.1" customHeight="1">
      <c r="A10" s="81" t="s">
        <v>717</v>
      </c>
      <c r="B10" s="81" t="s">
        <v>719</v>
      </c>
      <c r="C10" s="82" t="s">
        <v>366</v>
      </c>
      <c r="D10" s="84">
        <v>1</v>
      </c>
      <c r="E10" s="84">
        <f>단가대비표!L61</f>
        <v>5224247.7</v>
      </c>
      <c r="F10" s="84">
        <f t="shared" si="0"/>
        <v>5224247</v>
      </c>
      <c r="G10" s="84">
        <v>0</v>
      </c>
      <c r="H10" s="84">
        <f t="shared" si="1"/>
        <v>0</v>
      </c>
      <c r="I10" s="84">
        <v>0</v>
      </c>
      <c r="J10" s="84">
        <f t="shared" si="2"/>
        <v>0</v>
      </c>
      <c r="K10" s="84">
        <f t="shared" si="3"/>
        <v>5224247.7</v>
      </c>
      <c r="L10" s="84">
        <f t="shared" si="3"/>
        <v>5224247</v>
      </c>
      <c r="M10" s="84"/>
      <c r="O10" s="79" t="str">
        <f t="shared" si="4"/>
        <v>01</v>
      </c>
      <c r="P10" s="86" t="s">
        <v>678</v>
      </c>
      <c r="Q10" s="79">
        <v>1</v>
      </c>
      <c r="R10" s="79">
        <f t="shared" si="5"/>
        <v>0</v>
      </c>
      <c r="S10" s="79">
        <f t="shared" si="6"/>
        <v>0</v>
      </c>
      <c r="T10" s="79">
        <f t="shared" si="7"/>
        <v>0</v>
      </c>
      <c r="U10" s="79">
        <f t="shared" si="8"/>
        <v>0</v>
      </c>
      <c r="V10" s="79">
        <f t="shared" si="9"/>
        <v>0</v>
      </c>
      <c r="W10" s="79">
        <f t="shared" si="10"/>
        <v>0</v>
      </c>
      <c r="X10" s="79">
        <f t="shared" si="11"/>
        <v>0</v>
      </c>
      <c r="Y10" s="79">
        <f t="shared" si="12"/>
        <v>0</v>
      </c>
      <c r="Z10" s="79">
        <f t="shared" si="13"/>
        <v>0</v>
      </c>
      <c r="AA10" s="79">
        <f t="shared" si="14"/>
        <v>0</v>
      </c>
      <c r="AB10" s="79">
        <f t="shared" si="15"/>
        <v>0</v>
      </c>
      <c r="AC10" s="79">
        <f t="shared" si="16"/>
        <v>0</v>
      </c>
      <c r="AD10" s="79">
        <f t="shared" si="17"/>
        <v>0</v>
      </c>
      <c r="AE10" s="79">
        <f t="shared" si="18"/>
        <v>0</v>
      </c>
      <c r="AF10" s="79">
        <f t="shared" si="19"/>
        <v>0</v>
      </c>
      <c r="AG10" s="79">
        <f t="shared" si="20"/>
        <v>0</v>
      </c>
      <c r="AH10" s="79">
        <f t="shared" si="21"/>
        <v>0</v>
      </c>
      <c r="AI10" s="79">
        <f t="shared" si="22"/>
        <v>0</v>
      </c>
      <c r="AJ10" s="79">
        <f t="shared" si="23"/>
        <v>0</v>
      </c>
      <c r="AK10" s="79">
        <f t="shared" si="24"/>
        <v>0</v>
      </c>
      <c r="AL10" s="79">
        <f t="shared" si="25"/>
        <v>0</v>
      </c>
      <c r="AM10" s="79">
        <f t="shared" si="26"/>
        <v>0</v>
      </c>
      <c r="AN10" s="79">
        <f t="shared" si="27"/>
        <v>0</v>
      </c>
      <c r="AO10" s="79">
        <f t="shared" si="28"/>
        <v>0</v>
      </c>
      <c r="AP10" s="79">
        <f t="shared" si="29"/>
        <v>0</v>
      </c>
      <c r="AQ10" s="79">
        <f t="shared" si="30"/>
        <v>0</v>
      </c>
      <c r="AR10" s="79">
        <f t="shared" si="31"/>
        <v>0</v>
      </c>
      <c r="AS10" s="79">
        <f t="shared" si="32"/>
        <v>0</v>
      </c>
      <c r="AT10" s="79">
        <f t="shared" si="33"/>
        <v>0</v>
      </c>
      <c r="AU10" s="79">
        <f t="shared" si="34"/>
        <v>0</v>
      </c>
    </row>
    <row r="11" spans="1:50" ht="23.1" customHeight="1">
      <c r="A11" s="81" t="s">
        <v>720</v>
      </c>
      <c r="B11" s="81" t="s">
        <v>721</v>
      </c>
      <c r="C11" s="82" t="s">
        <v>722</v>
      </c>
      <c r="D11" s="84">
        <v>1</v>
      </c>
      <c r="E11" s="84">
        <f>단가대비표!L116</f>
        <v>378926.35200000001</v>
      </c>
      <c r="F11" s="84">
        <f t="shared" si="0"/>
        <v>378926</v>
      </c>
      <c r="G11" s="84">
        <v>0</v>
      </c>
      <c r="H11" s="84">
        <f t="shared" si="1"/>
        <v>0</v>
      </c>
      <c r="I11" s="84">
        <v>0</v>
      </c>
      <c r="J11" s="84">
        <f t="shared" si="2"/>
        <v>0</v>
      </c>
      <c r="K11" s="84">
        <f t="shared" si="3"/>
        <v>378926.35200000001</v>
      </c>
      <c r="L11" s="84">
        <f t="shared" si="3"/>
        <v>378926</v>
      </c>
      <c r="M11" s="84"/>
      <c r="O11" s="79" t="str">
        <f t="shared" si="4"/>
        <v>01</v>
      </c>
      <c r="P11" s="86" t="s">
        <v>678</v>
      </c>
      <c r="Q11" s="79">
        <v>1</v>
      </c>
      <c r="R11" s="79">
        <f t="shared" si="5"/>
        <v>0</v>
      </c>
      <c r="S11" s="79">
        <f t="shared" si="6"/>
        <v>0</v>
      </c>
      <c r="T11" s="79">
        <f t="shared" si="7"/>
        <v>0</v>
      </c>
      <c r="U11" s="79">
        <f t="shared" si="8"/>
        <v>0</v>
      </c>
      <c r="V11" s="79">
        <f t="shared" si="9"/>
        <v>0</v>
      </c>
      <c r="W11" s="79">
        <f t="shared" si="10"/>
        <v>0</v>
      </c>
      <c r="X11" s="79">
        <f t="shared" si="11"/>
        <v>0</v>
      </c>
      <c r="Y11" s="79">
        <f t="shared" si="12"/>
        <v>0</v>
      </c>
      <c r="Z11" s="79">
        <f t="shared" si="13"/>
        <v>0</v>
      </c>
      <c r="AA11" s="79">
        <f t="shared" si="14"/>
        <v>0</v>
      </c>
      <c r="AB11" s="79">
        <f t="shared" si="15"/>
        <v>0</v>
      </c>
      <c r="AC11" s="79">
        <f t="shared" si="16"/>
        <v>0</v>
      </c>
      <c r="AD11" s="79">
        <f t="shared" si="17"/>
        <v>0</v>
      </c>
      <c r="AE11" s="79">
        <f t="shared" si="18"/>
        <v>0</v>
      </c>
      <c r="AF11" s="79">
        <f t="shared" si="19"/>
        <v>0</v>
      </c>
      <c r="AG11" s="79">
        <f t="shared" si="20"/>
        <v>0</v>
      </c>
      <c r="AH11" s="79">
        <f t="shared" si="21"/>
        <v>0</v>
      </c>
      <c r="AI11" s="79">
        <f t="shared" si="22"/>
        <v>0</v>
      </c>
      <c r="AJ11" s="79">
        <f t="shared" si="23"/>
        <v>0</v>
      </c>
      <c r="AK11" s="79">
        <f t="shared" si="24"/>
        <v>0</v>
      </c>
      <c r="AL11" s="79">
        <f t="shared" si="25"/>
        <v>0</v>
      </c>
      <c r="AM11" s="79">
        <f t="shared" si="26"/>
        <v>0</v>
      </c>
      <c r="AN11" s="79">
        <f t="shared" si="27"/>
        <v>0</v>
      </c>
      <c r="AO11" s="79">
        <f t="shared" si="28"/>
        <v>0</v>
      </c>
      <c r="AP11" s="79">
        <f t="shared" si="29"/>
        <v>0</v>
      </c>
      <c r="AQ11" s="79">
        <f t="shared" si="30"/>
        <v>0</v>
      </c>
      <c r="AR11" s="79">
        <f t="shared" si="31"/>
        <v>0</v>
      </c>
      <c r="AS11" s="79">
        <f t="shared" si="32"/>
        <v>0</v>
      </c>
      <c r="AT11" s="79">
        <f t="shared" si="33"/>
        <v>0</v>
      </c>
      <c r="AU11" s="79">
        <f t="shared" si="34"/>
        <v>0</v>
      </c>
    </row>
    <row r="12" spans="1:50" ht="23.1" customHeight="1">
      <c r="A12" s="81" t="s">
        <v>723</v>
      </c>
      <c r="B12" s="81" t="s">
        <v>724</v>
      </c>
      <c r="C12" s="82" t="s">
        <v>725</v>
      </c>
      <c r="D12" s="84">
        <f>공량산출서!F14</f>
        <v>1</v>
      </c>
      <c r="E12" s="84">
        <f>단가대비표!L129</f>
        <v>723868.6</v>
      </c>
      <c r="F12" s="84">
        <f t="shared" si="0"/>
        <v>723868</v>
      </c>
      <c r="G12" s="84">
        <v>0</v>
      </c>
      <c r="H12" s="84">
        <f t="shared" si="1"/>
        <v>0</v>
      </c>
      <c r="I12" s="84">
        <v>0</v>
      </c>
      <c r="J12" s="84">
        <f t="shared" si="2"/>
        <v>0</v>
      </c>
      <c r="K12" s="84">
        <f t="shared" si="3"/>
        <v>723868.6</v>
      </c>
      <c r="L12" s="84">
        <f t="shared" si="3"/>
        <v>723868</v>
      </c>
      <c r="M12" s="84"/>
      <c r="O12" s="79" t="str">
        <f t="shared" si="4"/>
        <v>01</v>
      </c>
      <c r="P12" s="86" t="s">
        <v>678</v>
      </c>
      <c r="Q12" s="79">
        <v>1</v>
      </c>
      <c r="R12" s="79">
        <f t="shared" si="5"/>
        <v>0</v>
      </c>
      <c r="S12" s="79">
        <f t="shared" si="6"/>
        <v>0</v>
      </c>
      <c r="T12" s="79">
        <f t="shared" si="7"/>
        <v>0</v>
      </c>
      <c r="U12" s="79">
        <f t="shared" si="8"/>
        <v>0</v>
      </c>
      <c r="V12" s="79">
        <f t="shared" si="9"/>
        <v>0</v>
      </c>
      <c r="W12" s="79">
        <f t="shared" si="10"/>
        <v>0</v>
      </c>
      <c r="X12" s="79">
        <f t="shared" si="11"/>
        <v>0</v>
      </c>
      <c r="Y12" s="79">
        <f t="shared" si="12"/>
        <v>0</v>
      </c>
      <c r="Z12" s="79">
        <f t="shared" si="13"/>
        <v>0</v>
      </c>
      <c r="AA12" s="79">
        <f t="shared" si="14"/>
        <v>0</v>
      </c>
      <c r="AB12" s="79">
        <f t="shared" si="15"/>
        <v>0</v>
      </c>
      <c r="AC12" s="79">
        <f t="shared" si="16"/>
        <v>0</v>
      </c>
      <c r="AD12" s="79">
        <f t="shared" si="17"/>
        <v>0</v>
      </c>
      <c r="AE12" s="79">
        <f t="shared" si="18"/>
        <v>0</v>
      </c>
      <c r="AF12" s="79">
        <f t="shared" si="19"/>
        <v>0</v>
      </c>
      <c r="AG12" s="79">
        <f t="shared" si="20"/>
        <v>0</v>
      </c>
      <c r="AH12" s="79">
        <f t="shared" si="21"/>
        <v>0</v>
      </c>
      <c r="AI12" s="79">
        <f t="shared" si="22"/>
        <v>0</v>
      </c>
      <c r="AJ12" s="79">
        <f t="shared" si="23"/>
        <v>0</v>
      </c>
      <c r="AK12" s="79">
        <f t="shared" si="24"/>
        <v>0</v>
      </c>
      <c r="AL12" s="79">
        <f t="shared" si="25"/>
        <v>0</v>
      </c>
      <c r="AM12" s="79">
        <f t="shared" si="26"/>
        <v>0</v>
      </c>
      <c r="AN12" s="79">
        <f t="shared" si="27"/>
        <v>0</v>
      </c>
      <c r="AO12" s="79">
        <f t="shared" si="28"/>
        <v>0</v>
      </c>
      <c r="AP12" s="79">
        <f t="shared" si="29"/>
        <v>0</v>
      </c>
      <c r="AQ12" s="79">
        <f t="shared" si="30"/>
        <v>0</v>
      </c>
      <c r="AR12" s="79">
        <f t="shared" si="31"/>
        <v>0</v>
      </c>
      <c r="AS12" s="79">
        <f t="shared" si="32"/>
        <v>0</v>
      </c>
      <c r="AT12" s="79">
        <f t="shared" si="33"/>
        <v>0</v>
      </c>
      <c r="AU12" s="79">
        <f t="shared" si="34"/>
        <v>0</v>
      </c>
    </row>
    <row r="13" spans="1:50" ht="23.1" customHeight="1">
      <c r="A13" s="81" t="s">
        <v>723</v>
      </c>
      <c r="B13" s="81" t="s">
        <v>726</v>
      </c>
      <c r="C13" s="82" t="s">
        <v>725</v>
      </c>
      <c r="D13" s="84">
        <f>공량산출서!F16</f>
        <v>2</v>
      </c>
      <c r="E13" s="84">
        <f>단가대비표!L128</f>
        <v>1706390</v>
      </c>
      <c r="F13" s="84">
        <f t="shared" si="0"/>
        <v>3412780</v>
      </c>
      <c r="G13" s="84">
        <v>0</v>
      </c>
      <c r="H13" s="84">
        <f t="shared" si="1"/>
        <v>0</v>
      </c>
      <c r="I13" s="84">
        <v>0</v>
      </c>
      <c r="J13" s="84">
        <f t="shared" si="2"/>
        <v>0</v>
      </c>
      <c r="K13" s="84">
        <f t="shared" si="3"/>
        <v>1706390</v>
      </c>
      <c r="L13" s="84">
        <f t="shared" si="3"/>
        <v>3412780</v>
      </c>
      <c r="M13" s="84"/>
      <c r="O13" s="79" t="str">
        <f t="shared" si="4"/>
        <v>01</v>
      </c>
      <c r="P13" s="86" t="s">
        <v>678</v>
      </c>
      <c r="Q13" s="79">
        <v>1</v>
      </c>
      <c r="R13" s="79">
        <f t="shared" si="5"/>
        <v>0</v>
      </c>
      <c r="S13" s="79">
        <f t="shared" si="6"/>
        <v>0</v>
      </c>
      <c r="T13" s="79">
        <f t="shared" si="7"/>
        <v>0</v>
      </c>
      <c r="U13" s="79">
        <f t="shared" si="8"/>
        <v>0</v>
      </c>
      <c r="V13" s="79">
        <f t="shared" si="9"/>
        <v>0</v>
      </c>
      <c r="W13" s="79">
        <f t="shared" si="10"/>
        <v>0</v>
      </c>
      <c r="X13" s="79">
        <f t="shared" si="11"/>
        <v>0</v>
      </c>
      <c r="Y13" s="79">
        <f t="shared" si="12"/>
        <v>0</v>
      </c>
      <c r="Z13" s="79">
        <f t="shared" si="13"/>
        <v>0</v>
      </c>
      <c r="AA13" s="79">
        <f t="shared" si="14"/>
        <v>0</v>
      </c>
      <c r="AB13" s="79">
        <f t="shared" si="15"/>
        <v>0</v>
      </c>
      <c r="AC13" s="79">
        <f t="shared" si="16"/>
        <v>0</v>
      </c>
      <c r="AD13" s="79">
        <f t="shared" si="17"/>
        <v>0</v>
      </c>
      <c r="AE13" s="79">
        <f t="shared" si="18"/>
        <v>0</v>
      </c>
      <c r="AF13" s="79">
        <f t="shared" si="19"/>
        <v>0</v>
      </c>
      <c r="AG13" s="79">
        <f t="shared" si="20"/>
        <v>0</v>
      </c>
      <c r="AH13" s="79">
        <f t="shared" si="21"/>
        <v>0</v>
      </c>
      <c r="AI13" s="79">
        <f t="shared" si="22"/>
        <v>0</v>
      </c>
      <c r="AJ13" s="79">
        <f t="shared" si="23"/>
        <v>0</v>
      </c>
      <c r="AK13" s="79">
        <f t="shared" si="24"/>
        <v>0</v>
      </c>
      <c r="AL13" s="79">
        <f t="shared" si="25"/>
        <v>0</v>
      </c>
      <c r="AM13" s="79">
        <f t="shared" si="26"/>
        <v>0</v>
      </c>
      <c r="AN13" s="79">
        <f t="shared" si="27"/>
        <v>0</v>
      </c>
      <c r="AO13" s="79">
        <f t="shared" si="28"/>
        <v>0</v>
      </c>
      <c r="AP13" s="79">
        <f t="shared" si="29"/>
        <v>0</v>
      </c>
      <c r="AQ13" s="79">
        <f t="shared" si="30"/>
        <v>0</v>
      </c>
      <c r="AR13" s="79">
        <f t="shared" si="31"/>
        <v>0</v>
      </c>
      <c r="AS13" s="79">
        <f t="shared" si="32"/>
        <v>0</v>
      </c>
      <c r="AT13" s="79">
        <f t="shared" si="33"/>
        <v>0</v>
      </c>
      <c r="AU13" s="79">
        <f t="shared" si="34"/>
        <v>0</v>
      </c>
    </row>
    <row r="14" spans="1:50" ht="23.1" customHeight="1">
      <c r="A14" s="81" t="s">
        <v>727</v>
      </c>
      <c r="B14" s="81" t="s">
        <v>728</v>
      </c>
      <c r="C14" s="82" t="s">
        <v>366</v>
      </c>
      <c r="D14" s="84">
        <f>공량산출서!F18</f>
        <v>2</v>
      </c>
      <c r="E14" s="84">
        <f>단가대비표!L158</f>
        <v>25146.799999999999</v>
      </c>
      <c r="F14" s="84">
        <f t="shared" si="0"/>
        <v>50293</v>
      </c>
      <c r="G14" s="84">
        <v>0</v>
      </c>
      <c r="H14" s="84">
        <f t="shared" si="1"/>
        <v>0</v>
      </c>
      <c r="I14" s="84">
        <v>0</v>
      </c>
      <c r="J14" s="84">
        <f t="shared" si="2"/>
        <v>0</v>
      </c>
      <c r="K14" s="84">
        <f t="shared" si="3"/>
        <v>25146.799999999999</v>
      </c>
      <c r="L14" s="84">
        <f t="shared" si="3"/>
        <v>50293</v>
      </c>
      <c r="M14" s="84"/>
      <c r="O14" s="79" t="str">
        <f t="shared" si="4"/>
        <v>01</v>
      </c>
      <c r="P14" s="86" t="s">
        <v>678</v>
      </c>
      <c r="Q14" s="79">
        <v>1</v>
      </c>
      <c r="R14" s="79">
        <f t="shared" si="5"/>
        <v>0</v>
      </c>
      <c r="S14" s="79">
        <f t="shared" si="6"/>
        <v>0</v>
      </c>
      <c r="T14" s="79">
        <f t="shared" si="7"/>
        <v>0</v>
      </c>
      <c r="U14" s="79">
        <f t="shared" si="8"/>
        <v>0</v>
      </c>
      <c r="V14" s="79">
        <f t="shared" si="9"/>
        <v>0</v>
      </c>
      <c r="W14" s="79">
        <f t="shared" si="10"/>
        <v>0</v>
      </c>
      <c r="X14" s="79">
        <f t="shared" si="11"/>
        <v>0</v>
      </c>
      <c r="Y14" s="79">
        <f t="shared" si="12"/>
        <v>0</v>
      </c>
      <c r="Z14" s="79">
        <f t="shared" si="13"/>
        <v>0</v>
      </c>
      <c r="AA14" s="79">
        <f t="shared" si="14"/>
        <v>0</v>
      </c>
      <c r="AB14" s="79">
        <f t="shared" si="15"/>
        <v>0</v>
      </c>
      <c r="AC14" s="79">
        <f t="shared" si="16"/>
        <v>0</v>
      </c>
      <c r="AD14" s="79">
        <f t="shared" si="17"/>
        <v>0</v>
      </c>
      <c r="AE14" s="79">
        <f t="shared" si="18"/>
        <v>0</v>
      </c>
      <c r="AF14" s="79">
        <f t="shared" si="19"/>
        <v>0</v>
      </c>
      <c r="AG14" s="79">
        <f t="shared" si="20"/>
        <v>0</v>
      </c>
      <c r="AH14" s="79">
        <f t="shared" si="21"/>
        <v>0</v>
      </c>
      <c r="AI14" s="79">
        <f t="shared" si="22"/>
        <v>0</v>
      </c>
      <c r="AJ14" s="79">
        <f t="shared" si="23"/>
        <v>0</v>
      </c>
      <c r="AK14" s="79">
        <f t="shared" si="24"/>
        <v>0</v>
      </c>
      <c r="AL14" s="79">
        <f t="shared" si="25"/>
        <v>0</v>
      </c>
      <c r="AM14" s="79">
        <f t="shared" si="26"/>
        <v>0</v>
      </c>
      <c r="AN14" s="79">
        <f t="shared" si="27"/>
        <v>0</v>
      </c>
      <c r="AO14" s="79">
        <f t="shared" si="28"/>
        <v>0</v>
      </c>
      <c r="AP14" s="79">
        <f t="shared" si="29"/>
        <v>0</v>
      </c>
      <c r="AQ14" s="79">
        <f t="shared" si="30"/>
        <v>0</v>
      </c>
      <c r="AR14" s="79">
        <f t="shared" si="31"/>
        <v>0</v>
      </c>
      <c r="AS14" s="79">
        <f t="shared" si="32"/>
        <v>0</v>
      </c>
      <c r="AT14" s="79">
        <f t="shared" si="33"/>
        <v>0</v>
      </c>
      <c r="AU14" s="79">
        <f t="shared" si="34"/>
        <v>0</v>
      </c>
    </row>
    <row r="15" spans="1:50" ht="23.1" customHeight="1">
      <c r="A15" s="81" t="s">
        <v>729</v>
      </c>
      <c r="B15" s="85" t="str">
        <f>"노무비의 " &amp; N15*100 &amp; "%"</f>
        <v>노무비의 2%</v>
      </c>
      <c r="C15" s="82" t="s">
        <v>177</v>
      </c>
      <c r="D15" s="84">
        <v>1</v>
      </c>
      <c r="E15" s="84">
        <f>SUMIF(O6:O17, "02", H6:H17)</f>
        <v>4365305</v>
      </c>
      <c r="F15" s="84">
        <f>ROUNDDOWN((E15)*N15, 0)</f>
        <v>87306</v>
      </c>
      <c r="G15" s="84"/>
      <c r="H15" s="84"/>
      <c r="I15" s="84"/>
      <c r="J15" s="84"/>
      <c r="K15" s="84">
        <f t="shared" si="3"/>
        <v>4365305</v>
      </c>
      <c r="L15" s="84">
        <f t="shared" si="3"/>
        <v>87306</v>
      </c>
      <c r="M15" s="84"/>
      <c r="N15" s="79">
        <v>0.02</v>
      </c>
      <c r="O15" s="79" t="str">
        <f>""</f>
        <v/>
      </c>
      <c r="P15" s="86" t="s">
        <v>678</v>
      </c>
      <c r="Q15" s="79">
        <v>1</v>
      </c>
      <c r="R15" s="79">
        <f t="shared" si="5"/>
        <v>0</v>
      </c>
      <c r="S15" s="79">
        <f t="shared" si="6"/>
        <v>0</v>
      </c>
      <c r="T15" s="79">
        <f t="shared" si="7"/>
        <v>0</v>
      </c>
      <c r="U15" s="79">
        <f t="shared" si="8"/>
        <v>0</v>
      </c>
      <c r="V15" s="79">
        <f t="shared" si="9"/>
        <v>0</v>
      </c>
      <c r="W15" s="79">
        <f t="shared" si="10"/>
        <v>0</v>
      </c>
      <c r="X15" s="79">
        <f t="shared" si="11"/>
        <v>0</v>
      </c>
      <c r="Y15" s="79">
        <f t="shared" si="12"/>
        <v>0</v>
      </c>
      <c r="Z15" s="79">
        <f t="shared" si="13"/>
        <v>0</v>
      </c>
      <c r="AA15" s="79">
        <f t="shared" si="14"/>
        <v>0</v>
      </c>
      <c r="AB15" s="79">
        <f t="shared" si="15"/>
        <v>0</v>
      </c>
      <c r="AC15" s="79">
        <f t="shared" si="16"/>
        <v>0</v>
      </c>
      <c r="AD15" s="79">
        <f t="shared" si="17"/>
        <v>0</v>
      </c>
      <c r="AE15" s="79">
        <f t="shared" si="18"/>
        <v>0</v>
      </c>
      <c r="AF15" s="79">
        <f t="shared" si="19"/>
        <v>0</v>
      </c>
      <c r="AG15" s="79">
        <f t="shared" si="20"/>
        <v>0</v>
      </c>
      <c r="AH15" s="79">
        <f t="shared" si="21"/>
        <v>0</v>
      </c>
      <c r="AI15" s="79">
        <f t="shared" si="22"/>
        <v>0</v>
      </c>
      <c r="AJ15" s="79">
        <f t="shared" si="23"/>
        <v>0</v>
      </c>
      <c r="AK15" s="79">
        <f t="shared" si="24"/>
        <v>0</v>
      </c>
      <c r="AL15" s="79">
        <f t="shared" si="25"/>
        <v>0</v>
      </c>
      <c r="AM15" s="79">
        <f t="shared" si="26"/>
        <v>0</v>
      </c>
      <c r="AN15" s="79">
        <f t="shared" si="27"/>
        <v>0</v>
      </c>
      <c r="AO15" s="79">
        <f t="shared" si="28"/>
        <v>0</v>
      </c>
      <c r="AP15" s="79">
        <f t="shared" si="29"/>
        <v>0</v>
      </c>
      <c r="AQ15" s="79">
        <f t="shared" si="30"/>
        <v>0</v>
      </c>
      <c r="AR15" s="79">
        <f t="shared" si="31"/>
        <v>0</v>
      </c>
      <c r="AS15" s="79">
        <f t="shared" si="32"/>
        <v>0</v>
      </c>
      <c r="AT15" s="79">
        <f t="shared" si="33"/>
        <v>0</v>
      </c>
      <c r="AU15" s="79">
        <f t="shared" si="34"/>
        <v>0</v>
      </c>
      <c r="AW15" s="86" t="s">
        <v>730</v>
      </c>
      <c r="AX15" s="86" t="s">
        <v>731</v>
      </c>
    </row>
    <row r="16" spans="1:50" ht="23.1" customHeight="1">
      <c r="A16" s="81" t="s">
        <v>732</v>
      </c>
      <c r="B16" s="81" t="s">
        <v>733</v>
      </c>
      <c r="C16" s="82" t="s">
        <v>446</v>
      </c>
      <c r="D16" s="84">
        <f>공량산출서!G21</f>
        <v>16.68</v>
      </c>
      <c r="E16" s="84">
        <v>0</v>
      </c>
      <c r="F16" s="84">
        <f>ROUNDDOWN(D16*E16, 0)</f>
        <v>0</v>
      </c>
      <c r="G16" s="84">
        <f>단가대비표!L160</f>
        <v>213435.26120000001</v>
      </c>
      <c r="H16" s="84">
        <f>ROUNDDOWN(D16*G16, 0)</f>
        <v>3560100</v>
      </c>
      <c r="I16" s="84">
        <v>0</v>
      </c>
      <c r="J16" s="84">
        <f>ROUNDDOWN(D16*I16, 0)</f>
        <v>0</v>
      </c>
      <c r="K16" s="84">
        <f t="shared" si="3"/>
        <v>213435.26120000001</v>
      </c>
      <c r="L16" s="84">
        <f t="shared" si="3"/>
        <v>3560100</v>
      </c>
      <c r="M16" s="84"/>
      <c r="O16" s="79" t="str">
        <f>"02"</f>
        <v>02</v>
      </c>
      <c r="P16" s="86" t="s">
        <v>678</v>
      </c>
      <c r="Q16" s="79">
        <v>1</v>
      </c>
      <c r="R16" s="79">
        <f t="shared" si="5"/>
        <v>0</v>
      </c>
      <c r="S16" s="79">
        <f t="shared" si="6"/>
        <v>0</v>
      </c>
      <c r="T16" s="79">
        <f t="shared" si="7"/>
        <v>0</v>
      </c>
      <c r="U16" s="79">
        <f t="shared" si="8"/>
        <v>0</v>
      </c>
      <c r="V16" s="79">
        <f t="shared" si="9"/>
        <v>0</v>
      </c>
      <c r="W16" s="79">
        <f t="shared" si="10"/>
        <v>0</v>
      </c>
      <c r="X16" s="79">
        <f t="shared" si="11"/>
        <v>0</v>
      </c>
      <c r="Y16" s="79">
        <f t="shared" si="12"/>
        <v>0</v>
      </c>
      <c r="Z16" s="79">
        <f t="shared" si="13"/>
        <v>0</v>
      </c>
      <c r="AA16" s="79">
        <f t="shared" si="14"/>
        <v>0</v>
      </c>
      <c r="AB16" s="79">
        <f t="shared" si="15"/>
        <v>0</v>
      </c>
      <c r="AC16" s="79">
        <f t="shared" si="16"/>
        <v>0</v>
      </c>
      <c r="AD16" s="79">
        <f t="shared" si="17"/>
        <v>0</v>
      </c>
      <c r="AE16" s="79">
        <f t="shared" si="18"/>
        <v>0</v>
      </c>
      <c r="AF16" s="79">
        <f t="shared" si="19"/>
        <v>0</v>
      </c>
      <c r="AG16" s="79">
        <f t="shared" si="20"/>
        <v>0</v>
      </c>
      <c r="AH16" s="79">
        <f t="shared" si="21"/>
        <v>0</v>
      </c>
      <c r="AI16" s="79">
        <f t="shared" si="22"/>
        <v>0</v>
      </c>
      <c r="AJ16" s="79">
        <f t="shared" si="23"/>
        <v>0</v>
      </c>
      <c r="AK16" s="79">
        <f t="shared" si="24"/>
        <v>0</v>
      </c>
      <c r="AL16" s="79">
        <f t="shared" si="25"/>
        <v>0</v>
      </c>
      <c r="AM16" s="79">
        <f t="shared" si="26"/>
        <v>0</v>
      </c>
      <c r="AN16" s="79">
        <f t="shared" si="27"/>
        <v>0</v>
      </c>
      <c r="AO16" s="79">
        <f t="shared" si="28"/>
        <v>0</v>
      </c>
      <c r="AP16" s="79">
        <f t="shared" si="29"/>
        <v>0</v>
      </c>
      <c r="AQ16" s="79">
        <f t="shared" si="30"/>
        <v>0</v>
      </c>
      <c r="AR16" s="79">
        <f t="shared" si="31"/>
        <v>0</v>
      </c>
      <c r="AS16" s="79">
        <f t="shared" si="32"/>
        <v>0</v>
      </c>
      <c r="AT16" s="79">
        <f t="shared" si="33"/>
        <v>0</v>
      </c>
      <c r="AU16" s="79">
        <f t="shared" si="34"/>
        <v>0</v>
      </c>
    </row>
    <row r="17" spans="1:50" ht="23.1" customHeight="1">
      <c r="A17" s="81" t="s">
        <v>452</v>
      </c>
      <c r="B17" s="81" t="s">
        <v>733</v>
      </c>
      <c r="C17" s="82" t="s">
        <v>446</v>
      </c>
      <c r="D17" s="84">
        <f>공량산출서!H21</f>
        <v>5.28</v>
      </c>
      <c r="E17" s="84">
        <v>0</v>
      </c>
      <c r="F17" s="84">
        <f>ROUNDDOWN(D17*E17, 0)</f>
        <v>0</v>
      </c>
      <c r="G17" s="84">
        <f>단가대비표!L164</f>
        <v>152500.9724</v>
      </c>
      <c r="H17" s="84">
        <f>ROUNDDOWN(D17*G17, 0)</f>
        <v>805205</v>
      </c>
      <c r="I17" s="84">
        <v>0</v>
      </c>
      <c r="J17" s="84">
        <f>ROUNDDOWN(D17*I17, 0)</f>
        <v>0</v>
      </c>
      <c r="K17" s="84">
        <f t="shared" si="3"/>
        <v>152500.9724</v>
      </c>
      <c r="L17" s="84">
        <f t="shared" si="3"/>
        <v>805205</v>
      </c>
      <c r="M17" s="84"/>
      <c r="O17" s="79" t="str">
        <f>"02"</f>
        <v>02</v>
      </c>
      <c r="P17" s="86" t="s">
        <v>678</v>
      </c>
      <c r="Q17" s="79">
        <v>1</v>
      </c>
      <c r="R17" s="79">
        <f t="shared" si="5"/>
        <v>0</v>
      </c>
      <c r="S17" s="79">
        <f t="shared" si="6"/>
        <v>0</v>
      </c>
      <c r="T17" s="79">
        <f t="shared" si="7"/>
        <v>0</v>
      </c>
      <c r="U17" s="79">
        <f t="shared" si="8"/>
        <v>0</v>
      </c>
      <c r="V17" s="79">
        <f t="shared" si="9"/>
        <v>0</v>
      </c>
      <c r="W17" s="79">
        <f t="shared" si="10"/>
        <v>0</v>
      </c>
      <c r="X17" s="79">
        <f t="shared" si="11"/>
        <v>0</v>
      </c>
      <c r="Y17" s="79">
        <f t="shared" si="12"/>
        <v>0</v>
      </c>
      <c r="Z17" s="79">
        <f t="shared" si="13"/>
        <v>0</v>
      </c>
      <c r="AA17" s="79">
        <f t="shared" si="14"/>
        <v>0</v>
      </c>
      <c r="AB17" s="79">
        <f t="shared" si="15"/>
        <v>0</v>
      </c>
      <c r="AC17" s="79">
        <f t="shared" si="16"/>
        <v>0</v>
      </c>
      <c r="AD17" s="79">
        <f t="shared" si="17"/>
        <v>0</v>
      </c>
      <c r="AE17" s="79">
        <f t="shared" si="18"/>
        <v>0</v>
      </c>
      <c r="AF17" s="79">
        <f t="shared" si="19"/>
        <v>0</v>
      </c>
      <c r="AG17" s="79">
        <f t="shared" si="20"/>
        <v>0</v>
      </c>
      <c r="AH17" s="79">
        <f t="shared" si="21"/>
        <v>0</v>
      </c>
      <c r="AI17" s="79">
        <f t="shared" si="22"/>
        <v>0</v>
      </c>
      <c r="AJ17" s="79">
        <f t="shared" si="23"/>
        <v>0</v>
      </c>
      <c r="AK17" s="79">
        <f t="shared" si="24"/>
        <v>0</v>
      </c>
      <c r="AL17" s="79">
        <f t="shared" si="25"/>
        <v>0</v>
      </c>
      <c r="AM17" s="79">
        <f t="shared" si="26"/>
        <v>0</v>
      </c>
      <c r="AN17" s="79">
        <f t="shared" si="27"/>
        <v>0</v>
      </c>
      <c r="AO17" s="79">
        <f t="shared" si="28"/>
        <v>0</v>
      </c>
      <c r="AP17" s="79">
        <f t="shared" si="29"/>
        <v>0</v>
      </c>
      <c r="AQ17" s="79">
        <f t="shared" si="30"/>
        <v>0</v>
      </c>
      <c r="AR17" s="79">
        <f t="shared" si="31"/>
        <v>0</v>
      </c>
      <c r="AS17" s="79">
        <f t="shared" si="32"/>
        <v>0</v>
      </c>
      <c r="AT17" s="79">
        <f t="shared" si="33"/>
        <v>0</v>
      </c>
      <c r="AU17" s="79">
        <f t="shared" si="34"/>
        <v>0</v>
      </c>
    </row>
    <row r="18" spans="1:50" ht="23.1" customHeight="1">
      <c r="A18" s="85"/>
      <c r="B18" s="85"/>
      <c r="C18" s="83"/>
      <c r="D18" s="84"/>
      <c r="E18" s="84"/>
      <c r="F18" s="84"/>
      <c r="G18" s="84"/>
      <c r="H18" s="84"/>
      <c r="I18" s="84"/>
      <c r="J18" s="84"/>
      <c r="K18" s="84"/>
      <c r="L18" s="84"/>
      <c r="M18" s="84"/>
    </row>
    <row r="19" spans="1:50" ht="23.1" customHeight="1">
      <c r="A19" s="85"/>
      <c r="B19" s="85"/>
      <c r="C19" s="83"/>
      <c r="D19" s="84"/>
      <c r="E19" s="84"/>
      <c r="F19" s="84"/>
      <c r="G19" s="84"/>
      <c r="H19" s="84"/>
      <c r="I19" s="84"/>
      <c r="J19" s="84"/>
      <c r="K19" s="84"/>
      <c r="L19" s="84"/>
      <c r="M19" s="84"/>
    </row>
    <row r="20" spans="1:50" ht="23.1" customHeight="1">
      <c r="A20" s="85"/>
      <c r="B20" s="85"/>
      <c r="C20" s="83"/>
      <c r="D20" s="84"/>
      <c r="E20" s="84"/>
      <c r="F20" s="84"/>
      <c r="G20" s="84"/>
      <c r="H20" s="84"/>
      <c r="I20" s="84"/>
      <c r="J20" s="84"/>
      <c r="K20" s="84"/>
      <c r="L20" s="84"/>
      <c r="M20" s="84"/>
    </row>
    <row r="21" spans="1:50" ht="23.1" customHeight="1">
      <c r="A21" s="85"/>
      <c r="B21" s="85"/>
      <c r="C21" s="83"/>
      <c r="D21" s="84"/>
      <c r="E21" s="84"/>
      <c r="F21" s="84"/>
      <c r="G21" s="84"/>
      <c r="H21" s="84"/>
      <c r="I21" s="84"/>
      <c r="J21" s="84"/>
      <c r="K21" s="84"/>
      <c r="L21" s="84"/>
      <c r="M21" s="84"/>
    </row>
    <row r="22" spans="1:50" ht="23.1" customHeight="1">
      <c r="A22" s="90" t="s">
        <v>734</v>
      </c>
      <c r="B22" s="91"/>
      <c r="C22" s="92"/>
      <c r="D22" s="93"/>
      <c r="E22" s="93"/>
      <c r="F22" s="93">
        <f>ROUNDDOWN(SUMIF(Q6:Q21, "1", F6:F21), 0)</f>
        <v>23369306</v>
      </c>
      <c r="G22" s="93"/>
      <c r="H22" s="93">
        <f>ROUNDDOWN(SUMIF(Q6:Q21, "1", H6:H21), 0)</f>
        <v>4365305</v>
      </c>
      <c r="I22" s="93"/>
      <c r="J22" s="93">
        <f>ROUNDDOWN(SUMIF(Q6:Q21, "1", J6:J21), 0)</f>
        <v>0</v>
      </c>
      <c r="K22" s="93"/>
      <c r="L22" s="93">
        <f>F22+H22+J22</f>
        <v>27734611</v>
      </c>
      <c r="M22" s="93"/>
      <c r="R22" s="79">
        <f t="shared" ref="R22:AX22" si="35">ROUNDDOWN(SUM(R6:R17), 0)</f>
        <v>0</v>
      </c>
      <c r="S22" s="79">
        <f t="shared" si="35"/>
        <v>0</v>
      </c>
      <c r="T22" s="79">
        <f t="shared" si="35"/>
        <v>0</v>
      </c>
      <c r="U22" s="79">
        <f t="shared" si="35"/>
        <v>0</v>
      </c>
      <c r="V22" s="79">
        <f t="shared" si="35"/>
        <v>0</v>
      </c>
      <c r="W22" s="79">
        <f t="shared" si="35"/>
        <v>0</v>
      </c>
      <c r="X22" s="79">
        <f t="shared" si="35"/>
        <v>0</v>
      </c>
      <c r="Y22" s="79">
        <f t="shared" si="35"/>
        <v>0</v>
      </c>
      <c r="Z22" s="79">
        <f t="shared" si="35"/>
        <v>0</v>
      </c>
      <c r="AA22" s="79">
        <f t="shared" si="35"/>
        <v>0</v>
      </c>
      <c r="AB22" s="79">
        <f t="shared" si="35"/>
        <v>0</v>
      </c>
      <c r="AC22" s="79">
        <f t="shared" si="35"/>
        <v>0</v>
      </c>
      <c r="AD22" s="79">
        <f t="shared" si="35"/>
        <v>0</v>
      </c>
      <c r="AE22" s="79">
        <f t="shared" si="35"/>
        <v>0</v>
      </c>
      <c r="AF22" s="79">
        <f t="shared" si="35"/>
        <v>0</v>
      </c>
      <c r="AG22" s="79">
        <f t="shared" si="35"/>
        <v>0</v>
      </c>
      <c r="AH22" s="79">
        <f t="shared" si="35"/>
        <v>0</v>
      </c>
      <c r="AI22" s="79">
        <f t="shared" si="35"/>
        <v>0</v>
      </c>
      <c r="AJ22" s="79">
        <f t="shared" si="35"/>
        <v>0</v>
      </c>
      <c r="AK22" s="79">
        <f t="shared" si="35"/>
        <v>0</v>
      </c>
      <c r="AL22" s="79">
        <f t="shared" si="35"/>
        <v>0</v>
      </c>
      <c r="AM22" s="79">
        <f t="shared" si="35"/>
        <v>0</v>
      </c>
      <c r="AN22" s="79">
        <f t="shared" si="35"/>
        <v>0</v>
      </c>
      <c r="AO22" s="79">
        <f t="shared" si="35"/>
        <v>0</v>
      </c>
      <c r="AP22" s="79">
        <f t="shared" si="35"/>
        <v>0</v>
      </c>
      <c r="AQ22" s="79">
        <f t="shared" si="35"/>
        <v>0</v>
      </c>
      <c r="AR22" s="79">
        <f t="shared" si="35"/>
        <v>0</v>
      </c>
      <c r="AS22" s="79">
        <f t="shared" si="35"/>
        <v>0</v>
      </c>
      <c r="AT22" s="79">
        <f t="shared" si="35"/>
        <v>0</v>
      </c>
      <c r="AU22" s="79">
        <f t="shared" si="35"/>
        <v>0</v>
      </c>
      <c r="AV22" s="79">
        <f t="shared" si="35"/>
        <v>0</v>
      </c>
      <c r="AW22" s="79">
        <f t="shared" si="35"/>
        <v>0</v>
      </c>
      <c r="AX22" s="79">
        <f t="shared" si="35"/>
        <v>0</v>
      </c>
    </row>
    <row r="23" spans="1:50" ht="23.1" customHeight="1">
      <c r="A23" s="228" t="s">
        <v>735</v>
      </c>
      <c r="B23" s="229"/>
      <c r="C23" s="229"/>
      <c r="D23" s="229"/>
      <c r="E23" s="229"/>
      <c r="F23" s="229"/>
      <c r="G23" s="229"/>
      <c r="H23" s="229"/>
      <c r="I23" s="229"/>
      <c r="J23" s="229"/>
      <c r="K23" s="229"/>
      <c r="L23" s="229"/>
      <c r="M23" s="229"/>
    </row>
    <row r="24" spans="1:50" ht="23.1" customHeight="1">
      <c r="A24" s="81" t="s">
        <v>736</v>
      </c>
      <c r="B24" s="81" t="s">
        <v>737</v>
      </c>
      <c r="C24" s="82" t="s">
        <v>343</v>
      </c>
      <c r="D24" s="84">
        <v>2</v>
      </c>
      <c r="E24" s="84">
        <f>단가대비표!L81</f>
        <v>17063.900000000001</v>
      </c>
      <c r="F24" s="84">
        <f t="shared" ref="F24:F87" si="36">ROUNDDOWN(D24*E24, 0)</f>
        <v>34127</v>
      </c>
      <c r="G24" s="84">
        <v>0</v>
      </c>
      <c r="H24" s="84">
        <f t="shared" ref="H24:H87" si="37">ROUNDDOWN(D24*G24, 0)</f>
        <v>0</v>
      </c>
      <c r="I24" s="84">
        <v>0</v>
      </c>
      <c r="J24" s="84">
        <f t="shared" ref="J24:J87" si="38">ROUNDDOWN(D24*I24, 0)</f>
        <v>0</v>
      </c>
      <c r="K24" s="84">
        <f t="shared" ref="K24:L55" si="39">E24+G24+I24</f>
        <v>17063.900000000001</v>
      </c>
      <c r="L24" s="84">
        <f t="shared" si="39"/>
        <v>34127</v>
      </c>
      <c r="M24" s="84"/>
      <c r="O24" s="79" t="str">
        <f t="shared" ref="O24:O32" si="40">"01"</f>
        <v>01</v>
      </c>
      <c r="P24" s="86" t="s">
        <v>678</v>
      </c>
      <c r="Q24" s="79">
        <v>1</v>
      </c>
      <c r="R24" s="79">
        <f t="shared" ref="R24:R87" si="41">IF(P24="기계경비", J24, 0)</f>
        <v>0</v>
      </c>
      <c r="S24" s="79">
        <f t="shared" ref="S24:S87" si="42">IF(P24="운반비", J24, 0)</f>
        <v>0</v>
      </c>
      <c r="T24" s="79">
        <f t="shared" ref="T24:T87" si="43">IF(P24="작업부산물", F24, 0)</f>
        <v>0</v>
      </c>
      <c r="U24" s="79">
        <f t="shared" ref="U24:U87" si="44">IF(P24="관급", F24, 0)</f>
        <v>0</v>
      </c>
      <c r="V24" s="79">
        <f t="shared" ref="V24:V87" si="45">IF(P24="외주비", J24, 0)</f>
        <v>0</v>
      </c>
      <c r="W24" s="79">
        <f t="shared" ref="W24:W87" si="46">IF(P24="장비비", J24, 0)</f>
        <v>0</v>
      </c>
      <c r="X24" s="79">
        <f t="shared" ref="X24:X87" si="47">IF(P24="폐기물처리비", L24, 0)</f>
        <v>0</v>
      </c>
      <c r="Y24" s="79">
        <f t="shared" ref="Y24:Y87" si="48">IF(P24="가설비", J24, 0)</f>
        <v>0</v>
      </c>
      <c r="Z24" s="79">
        <f t="shared" ref="Z24:Z87" si="49">IF(P24="잡비제외분", F24, 0)</f>
        <v>0</v>
      </c>
      <c r="AA24" s="79">
        <f t="shared" ref="AA24:AA87" si="50">IF(P24="사급자재대", L24, 0)</f>
        <v>0</v>
      </c>
      <c r="AB24" s="79">
        <f t="shared" ref="AB24:AB87" si="51">IF(P24="관급자재대", L24, 0)</f>
        <v>0</v>
      </c>
      <c r="AC24" s="79">
        <f t="shared" ref="AC24:AC87" si="52">IF(P24="부산물", L24, 0)</f>
        <v>0</v>
      </c>
      <c r="AD24" s="79">
        <f t="shared" ref="AD24:AD87" si="53">IF(P24="품질검사비", L24, 0)</f>
        <v>0</v>
      </c>
      <c r="AE24" s="79">
        <f t="shared" ref="AE24:AE87" si="54">IF(P24="사용자항목3", L24, 0)</f>
        <v>0</v>
      </c>
      <c r="AF24" s="79">
        <f t="shared" ref="AF24:AF87" si="55">IF(P24="급식소 환기설비시험 조정평가", L24, 0)</f>
        <v>0</v>
      </c>
      <c r="AG24" s="79">
        <f t="shared" ref="AG24:AG87" si="56">IF(P24="사용자항목5", L24, 0)</f>
        <v>0</v>
      </c>
      <c r="AH24" s="79">
        <f t="shared" ref="AH24:AH87" si="57">IF(P24="사용자항목6", L24, 0)</f>
        <v>0</v>
      </c>
      <c r="AI24" s="79">
        <f t="shared" ref="AI24:AI87" si="58">IF(P24="사용자항목7", L24, 0)</f>
        <v>0</v>
      </c>
      <c r="AJ24" s="79">
        <f t="shared" ref="AJ24:AJ87" si="59">IF(P24="사용자항목8", L24, 0)</f>
        <v>0</v>
      </c>
      <c r="AK24" s="79">
        <f t="shared" ref="AK24:AK87" si="60">IF(P24="사용자항목9", L24, 0)</f>
        <v>0</v>
      </c>
      <c r="AL24" s="79">
        <f t="shared" ref="AL24:AL87" si="61">IF(P24="사용자항목10", L24, 0)</f>
        <v>0</v>
      </c>
      <c r="AM24" s="79">
        <f t="shared" ref="AM24:AM87" si="62">IF(P24="사용자항목11", L24, 0)</f>
        <v>0</v>
      </c>
      <c r="AN24" s="79">
        <f t="shared" ref="AN24:AN87" si="63">IF(P24="사용자항목12", L24, 0)</f>
        <v>0</v>
      </c>
      <c r="AO24" s="79">
        <f t="shared" ref="AO24:AO87" si="64">IF(P24="사용자항목13", L24, 0)</f>
        <v>0</v>
      </c>
      <c r="AP24" s="79">
        <f t="shared" ref="AP24:AP87" si="65">IF(P24="사용자항목14", L24, 0)</f>
        <v>0</v>
      </c>
      <c r="AQ24" s="79">
        <f t="shared" ref="AQ24:AQ87" si="66">IF(P24="사용자항목15", L24, 0)</f>
        <v>0</v>
      </c>
      <c r="AR24" s="79">
        <f t="shared" ref="AR24:AR87" si="67">IF(P24="사용자항목16", L24, 0)</f>
        <v>0</v>
      </c>
      <c r="AS24" s="79">
        <f t="shared" ref="AS24:AS87" si="68">IF(P24="사용자항목17", L24, 0)</f>
        <v>0</v>
      </c>
      <c r="AT24" s="79">
        <f t="shared" ref="AT24:AT87" si="69">IF(P24="사용자항목18", L24, 0)</f>
        <v>0</v>
      </c>
      <c r="AU24" s="79">
        <f t="shared" ref="AU24:AU87" si="70">IF(P24="사용자항목19", L24, 0)</f>
        <v>0</v>
      </c>
    </row>
    <row r="25" spans="1:50" ht="23.1" customHeight="1">
      <c r="A25" s="81" t="s">
        <v>738</v>
      </c>
      <c r="B25" s="85"/>
      <c r="C25" s="82" t="s">
        <v>343</v>
      </c>
      <c r="D25" s="84">
        <v>2</v>
      </c>
      <c r="E25" s="84">
        <f>단가대비표!L75</f>
        <v>1436.96</v>
      </c>
      <c r="F25" s="84">
        <f t="shared" si="36"/>
        <v>2873</v>
      </c>
      <c r="G25" s="84">
        <v>0</v>
      </c>
      <c r="H25" s="84">
        <f t="shared" si="37"/>
        <v>0</v>
      </c>
      <c r="I25" s="84">
        <v>0</v>
      </c>
      <c r="J25" s="84">
        <f t="shared" si="38"/>
        <v>0</v>
      </c>
      <c r="K25" s="84">
        <f t="shared" si="39"/>
        <v>1436.96</v>
      </c>
      <c r="L25" s="84">
        <f t="shared" si="39"/>
        <v>2873</v>
      </c>
      <c r="M25" s="84"/>
      <c r="O25" s="79" t="str">
        <f t="shared" si="40"/>
        <v>01</v>
      </c>
      <c r="P25" s="86" t="s">
        <v>678</v>
      </c>
      <c r="Q25" s="79">
        <v>1</v>
      </c>
      <c r="R25" s="79">
        <f t="shared" si="41"/>
        <v>0</v>
      </c>
      <c r="S25" s="79">
        <f t="shared" si="42"/>
        <v>0</v>
      </c>
      <c r="T25" s="79">
        <f t="shared" si="43"/>
        <v>0</v>
      </c>
      <c r="U25" s="79">
        <f t="shared" si="44"/>
        <v>0</v>
      </c>
      <c r="V25" s="79">
        <f t="shared" si="45"/>
        <v>0</v>
      </c>
      <c r="W25" s="79">
        <f t="shared" si="46"/>
        <v>0</v>
      </c>
      <c r="X25" s="79">
        <f t="shared" si="47"/>
        <v>0</v>
      </c>
      <c r="Y25" s="79">
        <f t="shared" si="48"/>
        <v>0</v>
      </c>
      <c r="Z25" s="79">
        <f t="shared" si="49"/>
        <v>0</v>
      </c>
      <c r="AA25" s="79">
        <f t="shared" si="50"/>
        <v>0</v>
      </c>
      <c r="AB25" s="79">
        <f t="shared" si="51"/>
        <v>0</v>
      </c>
      <c r="AC25" s="79">
        <f t="shared" si="52"/>
        <v>0</v>
      </c>
      <c r="AD25" s="79">
        <f t="shared" si="53"/>
        <v>0</v>
      </c>
      <c r="AE25" s="79">
        <f t="shared" si="54"/>
        <v>0</v>
      </c>
      <c r="AF25" s="79">
        <f t="shared" si="55"/>
        <v>0</v>
      </c>
      <c r="AG25" s="79">
        <f t="shared" si="56"/>
        <v>0</v>
      </c>
      <c r="AH25" s="79">
        <f t="shared" si="57"/>
        <v>0</v>
      </c>
      <c r="AI25" s="79">
        <f t="shared" si="58"/>
        <v>0</v>
      </c>
      <c r="AJ25" s="79">
        <f t="shared" si="59"/>
        <v>0</v>
      </c>
      <c r="AK25" s="79">
        <f t="shared" si="60"/>
        <v>0</v>
      </c>
      <c r="AL25" s="79">
        <f t="shared" si="61"/>
        <v>0</v>
      </c>
      <c r="AM25" s="79">
        <f t="shared" si="62"/>
        <v>0</v>
      </c>
      <c r="AN25" s="79">
        <f t="shared" si="63"/>
        <v>0</v>
      </c>
      <c r="AO25" s="79">
        <f t="shared" si="64"/>
        <v>0</v>
      </c>
      <c r="AP25" s="79">
        <f t="shared" si="65"/>
        <v>0</v>
      </c>
      <c r="AQ25" s="79">
        <f t="shared" si="66"/>
        <v>0</v>
      </c>
      <c r="AR25" s="79">
        <f t="shared" si="67"/>
        <v>0</v>
      </c>
      <c r="AS25" s="79">
        <f t="shared" si="68"/>
        <v>0</v>
      </c>
      <c r="AT25" s="79">
        <f t="shared" si="69"/>
        <v>0</v>
      </c>
      <c r="AU25" s="79">
        <f t="shared" si="70"/>
        <v>0</v>
      </c>
    </row>
    <row r="26" spans="1:50" ht="23.1" customHeight="1">
      <c r="A26" s="81" t="s">
        <v>739</v>
      </c>
      <c r="B26" s="85"/>
      <c r="C26" s="82" t="s">
        <v>343</v>
      </c>
      <c r="D26" s="84">
        <v>2</v>
      </c>
      <c r="E26" s="84">
        <f>단가대비표!L74</f>
        <v>898.1</v>
      </c>
      <c r="F26" s="84">
        <f t="shared" si="36"/>
        <v>1796</v>
      </c>
      <c r="G26" s="84">
        <v>0</v>
      </c>
      <c r="H26" s="84">
        <f t="shared" si="37"/>
        <v>0</v>
      </c>
      <c r="I26" s="84">
        <v>0</v>
      </c>
      <c r="J26" s="84">
        <f t="shared" si="38"/>
        <v>0</v>
      </c>
      <c r="K26" s="84">
        <f t="shared" si="39"/>
        <v>898.1</v>
      </c>
      <c r="L26" s="84">
        <f t="shared" si="39"/>
        <v>1796</v>
      </c>
      <c r="M26" s="84"/>
      <c r="O26" s="79" t="str">
        <f t="shared" si="40"/>
        <v>01</v>
      </c>
      <c r="P26" s="86" t="s">
        <v>678</v>
      </c>
      <c r="Q26" s="79">
        <v>1</v>
      </c>
      <c r="R26" s="79">
        <f t="shared" si="41"/>
        <v>0</v>
      </c>
      <c r="S26" s="79">
        <f t="shared" si="42"/>
        <v>0</v>
      </c>
      <c r="T26" s="79">
        <f t="shared" si="43"/>
        <v>0</v>
      </c>
      <c r="U26" s="79">
        <f t="shared" si="44"/>
        <v>0</v>
      </c>
      <c r="V26" s="79">
        <f t="shared" si="45"/>
        <v>0</v>
      </c>
      <c r="W26" s="79">
        <f t="shared" si="46"/>
        <v>0</v>
      </c>
      <c r="X26" s="79">
        <f t="shared" si="47"/>
        <v>0</v>
      </c>
      <c r="Y26" s="79">
        <f t="shared" si="48"/>
        <v>0</v>
      </c>
      <c r="Z26" s="79">
        <f t="shared" si="49"/>
        <v>0</v>
      </c>
      <c r="AA26" s="79">
        <f t="shared" si="50"/>
        <v>0</v>
      </c>
      <c r="AB26" s="79">
        <f t="shared" si="51"/>
        <v>0</v>
      </c>
      <c r="AC26" s="79">
        <f t="shared" si="52"/>
        <v>0</v>
      </c>
      <c r="AD26" s="79">
        <f t="shared" si="53"/>
        <v>0</v>
      </c>
      <c r="AE26" s="79">
        <f t="shared" si="54"/>
        <v>0</v>
      </c>
      <c r="AF26" s="79">
        <f t="shared" si="55"/>
        <v>0</v>
      </c>
      <c r="AG26" s="79">
        <f t="shared" si="56"/>
        <v>0</v>
      </c>
      <c r="AH26" s="79">
        <f t="shared" si="57"/>
        <v>0</v>
      </c>
      <c r="AI26" s="79">
        <f t="shared" si="58"/>
        <v>0</v>
      </c>
      <c r="AJ26" s="79">
        <f t="shared" si="59"/>
        <v>0</v>
      </c>
      <c r="AK26" s="79">
        <f t="shared" si="60"/>
        <v>0</v>
      </c>
      <c r="AL26" s="79">
        <f t="shared" si="61"/>
        <v>0</v>
      </c>
      <c r="AM26" s="79">
        <f t="shared" si="62"/>
        <v>0</v>
      </c>
      <c r="AN26" s="79">
        <f t="shared" si="63"/>
        <v>0</v>
      </c>
      <c r="AO26" s="79">
        <f t="shared" si="64"/>
        <v>0</v>
      </c>
      <c r="AP26" s="79">
        <f t="shared" si="65"/>
        <v>0</v>
      </c>
      <c r="AQ26" s="79">
        <f t="shared" si="66"/>
        <v>0</v>
      </c>
      <c r="AR26" s="79">
        <f t="shared" si="67"/>
        <v>0</v>
      </c>
      <c r="AS26" s="79">
        <f t="shared" si="68"/>
        <v>0</v>
      </c>
      <c r="AT26" s="79">
        <f t="shared" si="69"/>
        <v>0</v>
      </c>
      <c r="AU26" s="79">
        <f t="shared" si="70"/>
        <v>0</v>
      </c>
    </row>
    <row r="27" spans="1:50" ht="23.1" customHeight="1">
      <c r="A27" s="81" t="s">
        <v>740</v>
      </c>
      <c r="B27" s="81" t="s">
        <v>741</v>
      </c>
      <c r="C27" s="82" t="s">
        <v>742</v>
      </c>
      <c r="D27" s="84">
        <f>공량산출서!F24</f>
        <v>3</v>
      </c>
      <c r="E27" s="84">
        <f>단가대비표!L47</f>
        <v>1760.2760000000001</v>
      </c>
      <c r="F27" s="84">
        <f t="shared" si="36"/>
        <v>5280</v>
      </c>
      <c r="G27" s="84">
        <v>0</v>
      </c>
      <c r="H27" s="84">
        <f t="shared" si="37"/>
        <v>0</v>
      </c>
      <c r="I27" s="84">
        <v>0</v>
      </c>
      <c r="J27" s="84">
        <f t="shared" si="38"/>
        <v>0</v>
      </c>
      <c r="K27" s="84">
        <f t="shared" si="39"/>
        <v>1760.2760000000001</v>
      </c>
      <c r="L27" s="84">
        <f t="shared" si="39"/>
        <v>5280</v>
      </c>
      <c r="M27" s="84"/>
      <c r="O27" s="79" t="str">
        <f t="shared" si="40"/>
        <v>01</v>
      </c>
      <c r="P27" s="86" t="s">
        <v>678</v>
      </c>
      <c r="Q27" s="79">
        <v>1</v>
      </c>
      <c r="R27" s="79">
        <f t="shared" si="41"/>
        <v>0</v>
      </c>
      <c r="S27" s="79">
        <f t="shared" si="42"/>
        <v>0</v>
      </c>
      <c r="T27" s="79">
        <f t="shared" si="43"/>
        <v>0</v>
      </c>
      <c r="U27" s="79">
        <f t="shared" si="44"/>
        <v>0</v>
      </c>
      <c r="V27" s="79">
        <f t="shared" si="45"/>
        <v>0</v>
      </c>
      <c r="W27" s="79">
        <f t="shared" si="46"/>
        <v>0</v>
      </c>
      <c r="X27" s="79">
        <f t="shared" si="47"/>
        <v>0</v>
      </c>
      <c r="Y27" s="79">
        <f t="shared" si="48"/>
        <v>0</v>
      </c>
      <c r="Z27" s="79">
        <f t="shared" si="49"/>
        <v>0</v>
      </c>
      <c r="AA27" s="79">
        <f t="shared" si="50"/>
        <v>0</v>
      </c>
      <c r="AB27" s="79">
        <f t="shared" si="51"/>
        <v>0</v>
      </c>
      <c r="AC27" s="79">
        <f t="shared" si="52"/>
        <v>0</v>
      </c>
      <c r="AD27" s="79">
        <f t="shared" si="53"/>
        <v>0</v>
      </c>
      <c r="AE27" s="79">
        <f t="shared" si="54"/>
        <v>0</v>
      </c>
      <c r="AF27" s="79">
        <f t="shared" si="55"/>
        <v>0</v>
      </c>
      <c r="AG27" s="79">
        <f t="shared" si="56"/>
        <v>0</v>
      </c>
      <c r="AH27" s="79">
        <f t="shared" si="57"/>
        <v>0</v>
      </c>
      <c r="AI27" s="79">
        <f t="shared" si="58"/>
        <v>0</v>
      </c>
      <c r="AJ27" s="79">
        <f t="shared" si="59"/>
        <v>0</v>
      </c>
      <c r="AK27" s="79">
        <f t="shared" si="60"/>
        <v>0</v>
      </c>
      <c r="AL27" s="79">
        <f t="shared" si="61"/>
        <v>0</v>
      </c>
      <c r="AM27" s="79">
        <f t="shared" si="62"/>
        <v>0</v>
      </c>
      <c r="AN27" s="79">
        <f t="shared" si="63"/>
        <v>0</v>
      </c>
      <c r="AO27" s="79">
        <f t="shared" si="64"/>
        <v>0</v>
      </c>
      <c r="AP27" s="79">
        <f t="shared" si="65"/>
        <v>0</v>
      </c>
      <c r="AQ27" s="79">
        <f t="shared" si="66"/>
        <v>0</v>
      </c>
      <c r="AR27" s="79">
        <f t="shared" si="67"/>
        <v>0</v>
      </c>
      <c r="AS27" s="79">
        <f t="shared" si="68"/>
        <v>0</v>
      </c>
      <c r="AT27" s="79">
        <f t="shared" si="69"/>
        <v>0</v>
      </c>
      <c r="AU27" s="79">
        <f t="shared" si="70"/>
        <v>0</v>
      </c>
    </row>
    <row r="28" spans="1:50" ht="23.1" customHeight="1">
      <c r="A28" s="81" t="s">
        <v>740</v>
      </c>
      <c r="B28" s="81" t="s">
        <v>743</v>
      </c>
      <c r="C28" s="82" t="s">
        <v>742</v>
      </c>
      <c r="D28" s="84">
        <f>공량산출서!F26</f>
        <v>5</v>
      </c>
      <c r="E28" s="84">
        <f>단가대비표!L48</f>
        <v>3296.027</v>
      </c>
      <c r="F28" s="84">
        <f t="shared" si="36"/>
        <v>16480</v>
      </c>
      <c r="G28" s="84">
        <v>0</v>
      </c>
      <c r="H28" s="84">
        <f t="shared" si="37"/>
        <v>0</v>
      </c>
      <c r="I28" s="84">
        <v>0</v>
      </c>
      <c r="J28" s="84">
        <f t="shared" si="38"/>
        <v>0</v>
      </c>
      <c r="K28" s="84">
        <f t="shared" si="39"/>
        <v>3296.027</v>
      </c>
      <c r="L28" s="84">
        <f t="shared" si="39"/>
        <v>16480</v>
      </c>
      <c r="M28" s="84"/>
      <c r="O28" s="79" t="str">
        <f t="shared" si="40"/>
        <v>01</v>
      </c>
      <c r="P28" s="86" t="s">
        <v>678</v>
      </c>
      <c r="Q28" s="79">
        <v>1</v>
      </c>
      <c r="R28" s="79">
        <f t="shared" si="41"/>
        <v>0</v>
      </c>
      <c r="S28" s="79">
        <f t="shared" si="42"/>
        <v>0</v>
      </c>
      <c r="T28" s="79">
        <f t="shared" si="43"/>
        <v>0</v>
      </c>
      <c r="U28" s="79">
        <f t="shared" si="44"/>
        <v>0</v>
      </c>
      <c r="V28" s="79">
        <f t="shared" si="45"/>
        <v>0</v>
      </c>
      <c r="W28" s="79">
        <f t="shared" si="46"/>
        <v>0</v>
      </c>
      <c r="X28" s="79">
        <f t="shared" si="47"/>
        <v>0</v>
      </c>
      <c r="Y28" s="79">
        <f t="shared" si="48"/>
        <v>0</v>
      </c>
      <c r="Z28" s="79">
        <f t="shared" si="49"/>
        <v>0</v>
      </c>
      <c r="AA28" s="79">
        <f t="shared" si="50"/>
        <v>0</v>
      </c>
      <c r="AB28" s="79">
        <f t="shared" si="51"/>
        <v>0</v>
      </c>
      <c r="AC28" s="79">
        <f t="shared" si="52"/>
        <v>0</v>
      </c>
      <c r="AD28" s="79">
        <f t="shared" si="53"/>
        <v>0</v>
      </c>
      <c r="AE28" s="79">
        <f t="shared" si="54"/>
        <v>0</v>
      </c>
      <c r="AF28" s="79">
        <f t="shared" si="55"/>
        <v>0</v>
      </c>
      <c r="AG28" s="79">
        <f t="shared" si="56"/>
        <v>0</v>
      </c>
      <c r="AH28" s="79">
        <f t="shared" si="57"/>
        <v>0</v>
      </c>
      <c r="AI28" s="79">
        <f t="shared" si="58"/>
        <v>0</v>
      </c>
      <c r="AJ28" s="79">
        <f t="shared" si="59"/>
        <v>0</v>
      </c>
      <c r="AK28" s="79">
        <f t="shared" si="60"/>
        <v>0</v>
      </c>
      <c r="AL28" s="79">
        <f t="shared" si="61"/>
        <v>0</v>
      </c>
      <c r="AM28" s="79">
        <f t="shared" si="62"/>
        <v>0</v>
      </c>
      <c r="AN28" s="79">
        <f t="shared" si="63"/>
        <v>0</v>
      </c>
      <c r="AO28" s="79">
        <f t="shared" si="64"/>
        <v>0</v>
      </c>
      <c r="AP28" s="79">
        <f t="shared" si="65"/>
        <v>0</v>
      </c>
      <c r="AQ28" s="79">
        <f t="shared" si="66"/>
        <v>0</v>
      </c>
      <c r="AR28" s="79">
        <f t="shared" si="67"/>
        <v>0</v>
      </c>
      <c r="AS28" s="79">
        <f t="shared" si="68"/>
        <v>0</v>
      </c>
      <c r="AT28" s="79">
        <f t="shared" si="69"/>
        <v>0</v>
      </c>
      <c r="AU28" s="79">
        <f t="shared" si="70"/>
        <v>0</v>
      </c>
    </row>
    <row r="29" spans="1:50" ht="23.1" customHeight="1">
      <c r="A29" s="81" t="s">
        <v>740</v>
      </c>
      <c r="B29" s="81" t="s">
        <v>744</v>
      </c>
      <c r="C29" s="82" t="s">
        <v>742</v>
      </c>
      <c r="D29" s="84">
        <f>공량산출서!F28</f>
        <v>7</v>
      </c>
      <c r="E29" s="84">
        <f>단가대비표!L51</f>
        <v>6852.5029999999997</v>
      </c>
      <c r="F29" s="84">
        <f t="shared" si="36"/>
        <v>47967</v>
      </c>
      <c r="G29" s="84">
        <v>0</v>
      </c>
      <c r="H29" s="84">
        <f t="shared" si="37"/>
        <v>0</v>
      </c>
      <c r="I29" s="84">
        <v>0</v>
      </c>
      <c r="J29" s="84">
        <f t="shared" si="38"/>
        <v>0</v>
      </c>
      <c r="K29" s="84">
        <f t="shared" si="39"/>
        <v>6852.5029999999997</v>
      </c>
      <c r="L29" s="84">
        <f t="shared" si="39"/>
        <v>47967</v>
      </c>
      <c r="M29" s="84"/>
      <c r="O29" s="79" t="str">
        <f t="shared" si="40"/>
        <v>01</v>
      </c>
      <c r="P29" s="86" t="s">
        <v>678</v>
      </c>
      <c r="Q29" s="79">
        <v>1</v>
      </c>
      <c r="R29" s="79">
        <f t="shared" si="41"/>
        <v>0</v>
      </c>
      <c r="S29" s="79">
        <f t="shared" si="42"/>
        <v>0</v>
      </c>
      <c r="T29" s="79">
        <f t="shared" si="43"/>
        <v>0</v>
      </c>
      <c r="U29" s="79">
        <f t="shared" si="44"/>
        <v>0</v>
      </c>
      <c r="V29" s="79">
        <f t="shared" si="45"/>
        <v>0</v>
      </c>
      <c r="W29" s="79">
        <f t="shared" si="46"/>
        <v>0</v>
      </c>
      <c r="X29" s="79">
        <f t="shared" si="47"/>
        <v>0</v>
      </c>
      <c r="Y29" s="79">
        <f t="shared" si="48"/>
        <v>0</v>
      </c>
      <c r="Z29" s="79">
        <f t="shared" si="49"/>
        <v>0</v>
      </c>
      <c r="AA29" s="79">
        <f t="shared" si="50"/>
        <v>0</v>
      </c>
      <c r="AB29" s="79">
        <f t="shared" si="51"/>
        <v>0</v>
      </c>
      <c r="AC29" s="79">
        <f t="shared" si="52"/>
        <v>0</v>
      </c>
      <c r="AD29" s="79">
        <f t="shared" si="53"/>
        <v>0</v>
      </c>
      <c r="AE29" s="79">
        <f t="shared" si="54"/>
        <v>0</v>
      </c>
      <c r="AF29" s="79">
        <f t="shared" si="55"/>
        <v>0</v>
      </c>
      <c r="AG29" s="79">
        <f t="shared" si="56"/>
        <v>0</v>
      </c>
      <c r="AH29" s="79">
        <f t="shared" si="57"/>
        <v>0</v>
      </c>
      <c r="AI29" s="79">
        <f t="shared" si="58"/>
        <v>0</v>
      </c>
      <c r="AJ29" s="79">
        <f t="shared" si="59"/>
        <v>0</v>
      </c>
      <c r="AK29" s="79">
        <f t="shared" si="60"/>
        <v>0</v>
      </c>
      <c r="AL29" s="79">
        <f t="shared" si="61"/>
        <v>0</v>
      </c>
      <c r="AM29" s="79">
        <f t="shared" si="62"/>
        <v>0</v>
      </c>
      <c r="AN29" s="79">
        <f t="shared" si="63"/>
        <v>0</v>
      </c>
      <c r="AO29" s="79">
        <f t="shared" si="64"/>
        <v>0</v>
      </c>
      <c r="AP29" s="79">
        <f t="shared" si="65"/>
        <v>0</v>
      </c>
      <c r="AQ29" s="79">
        <f t="shared" si="66"/>
        <v>0</v>
      </c>
      <c r="AR29" s="79">
        <f t="shared" si="67"/>
        <v>0</v>
      </c>
      <c r="AS29" s="79">
        <f t="shared" si="68"/>
        <v>0</v>
      </c>
      <c r="AT29" s="79">
        <f t="shared" si="69"/>
        <v>0</v>
      </c>
      <c r="AU29" s="79">
        <f t="shared" si="70"/>
        <v>0</v>
      </c>
    </row>
    <row r="30" spans="1:50" ht="23.1" customHeight="1">
      <c r="A30" s="81" t="s">
        <v>740</v>
      </c>
      <c r="B30" s="81" t="s">
        <v>744</v>
      </c>
      <c r="C30" s="82" t="s">
        <v>742</v>
      </c>
      <c r="D30" s="84">
        <f>공량산출서!F30</f>
        <v>7</v>
      </c>
      <c r="E30" s="84">
        <f>단가대비표!L51</f>
        <v>6852.5029999999997</v>
      </c>
      <c r="F30" s="84">
        <f t="shared" si="36"/>
        <v>47967</v>
      </c>
      <c r="G30" s="84">
        <v>0</v>
      </c>
      <c r="H30" s="84">
        <f t="shared" si="37"/>
        <v>0</v>
      </c>
      <c r="I30" s="84">
        <v>0</v>
      </c>
      <c r="J30" s="84">
        <f t="shared" si="38"/>
        <v>0</v>
      </c>
      <c r="K30" s="84">
        <f t="shared" si="39"/>
        <v>6852.5029999999997</v>
      </c>
      <c r="L30" s="84">
        <f t="shared" si="39"/>
        <v>47967</v>
      </c>
      <c r="M30" s="84"/>
      <c r="O30" s="79" t="str">
        <f t="shared" si="40"/>
        <v>01</v>
      </c>
      <c r="P30" s="86" t="s">
        <v>678</v>
      </c>
      <c r="Q30" s="79">
        <v>1</v>
      </c>
      <c r="R30" s="79">
        <f t="shared" si="41"/>
        <v>0</v>
      </c>
      <c r="S30" s="79">
        <f t="shared" si="42"/>
        <v>0</v>
      </c>
      <c r="T30" s="79">
        <f t="shared" si="43"/>
        <v>0</v>
      </c>
      <c r="U30" s="79">
        <f t="shared" si="44"/>
        <v>0</v>
      </c>
      <c r="V30" s="79">
        <f t="shared" si="45"/>
        <v>0</v>
      </c>
      <c r="W30" s="79">
        <f t="shared" si="46"/>
        <v>0</v>
      </c>
      <c r="X30" s="79">
        <f t="shared" si="47"/>
        <v>0</v>
      </c>
      <c r="Y30" s="79">
        <f t="shared" si="48"/>
        <v>0</v>
      </c>
      <c r="Z30" s="79">
        <f t="shared" si="49"/>
        <v>0</v>
      </c>
      <c r="AA30" s="79">
        <f t="shared" si="50"/>
        <v>0</v>
      </c>
      <c r="AB30" s="79">
        <f t="shared" si="51"/>
        <v>0</v>
      </c>
      <c r="AC30" s="79">
        <f t="shared" si="52"/>
        <v>0</v>
      </c>
      <c r="AD30" s="79">
        <f t="shared" si="53"/>
        <v>0</v>
      </c>
      <c r="AE30" s="79">
        <f t="shared" si="54"/>
        <v>0</v>
      </c>
      <c r="AF30" s="79">
        <f t="shared" si="55"/>
        <v>0</v>
      </c>
      <c r="AG30" s="79">
        <f t="shared" si="56"/>
        <v>0</v>
      </c>
      <c r="AH30" s="79">
        <f t="shared" si="57"/>
        <v>0</v>
      </c>
      <c r="AI30" s="79">
        <f t="shared" si="58"/>
        <v>0</v>
      </c>
      <c r="AJ30" s="79">
        <f t="shared" si="59"/>
        <v>0</v>
      </c>
      <c r="AK30" s="79">
        <f t="shared" si="60"/>
        <v>0</v>
      </c>
      <c r="AL30" s="79">
        <f t="shared" si="61"/>
        <v>0</v>
      </c>
      <c r="AM30" s="79">
        <f t="shared" si="62"/>
        <v>0</v>
      </c>
      <c r="AN30" s="79">
        <f t="shared" si="63"/>
        <v>0</v>
      </c>
      <c r="AO30" s="79">
        <f t="shared" si="64"/>
        <v>0</v>
      </c>
      <c r="AP30" s="79">
        <f t="shared" si="65"/>
        <v>0</v>
      </c>
      <c r="AQ30" s="79">
        <f t="shared" si="66"/>
        <v>0</v>
      </c>
      <c r="AR30" s="79">
        <f t="shared" si="67"/>
        <v>0</v>
      </c>
      <c r="AS30" s="79">
        <f t="shared" si="68"/>
        <v>0</v>
      </c>
      <c r="AT30" s="79">
        <f t="shared" si="69"/>
        <v>0</v>
      </c>
      <c r="AU30" s="79">
        <f t="shared" si="70"/>
        <v>0</v>
      </c>
    </row>
    <row r="31" spans="1:50" ht="23.1" customHeight="1">
      <c r="A31" s="81" t="s">
        <v>740</v>
      </c>
      <c r="B31" s="81" t="s">
        <v>745</v>
      </c>
      <c r="C31" s="82" t="s">
        <v>742</v>
      </c>
      <c r="D31" s="84">
        <f>공량산출서!F32</f>
        <v>16</v>
      </c>
      <c r="E31" s="84">
        <f>단가대비표!L44</f>
        <v>16309.496000000001</v>
      </c>
      <c r="F31" s="84">
        <f t="shared" si="36"/>
        <v>260951</v>
      </c>
      <c r="G31" s="84">
        <v>0</v>
      </c>
      <c r="H31" s="84">
        <f t="shared" si="37"/>
        <v>0</v>
      </c>
      <c r="I31" s="84">
        <v>0</v>
      </c>
      <c r="J31" s="84">
        <f t="shared" si="38"/>
        <v>0</v>
      </c>
      <c r="K31" s="84">
        <f t="shared" si="39"/>
        <v>16309.496000000001</v>
      </c>
      <c r="L31" s="84">
        <f t="shared" si="39"/>
        <v>260951</v>
      </c>
      <c r="M31" s="84"/>
      <c r="O31" s="79" t="str">
        <f t="shared" si="40"/>
        <v>01</v>
      </c>
      <c r="P31" s="86" t="s">
        <v>678</v>
      </c>
      <c r="Q31" s="79">
        <v>1</v>
      </c>
      <c r="R31" s="79">
        <f t="shared" si="41"/>
        <v>0</v>
      </c>
      <c r="S31" s="79">
        <f t="shared" si="42"/>
        <v>0</v>
      </c>
      <c r="T31" s="79">
        <f t="shared" si="43"/>
        <v>0</v>
      </c>
      <c r="U31" s="79">
        <f t="shared" si="44"/>
        <v>0</v>
      </c>
      <c r="V31" s="79">
        <f t="shared" si="45"/>
        <v>0</v>
      </c>
      <c r="W31" s="79">
        <f t="shared" si="46"/>
        <v>0</v>
      </c>
      <c r="X31" s="79">
        <f t="shared" si="47"/>
        <v>0</v>
      </c>
      <c r="Y31" s="79">
        <f t="shared" si="48"/>
        <v>0</v>
      </c>
      <c r="Z31" s="79">
        <f t="shared" si="49"/>
        <v>0</v>
      </c>
      <c r="AA31" s="79">
        <f t="shared" si="50"/>
        <v>0</v>
      </c>
      <c r="AB31" s="79">
        <f t="shared" si="51"/>
        <v>0</v>
      </c>
      <c r="AC31" s="79">
        <f t="shared" si="52"/>
        <v>0</v>
      </c>
      <c r="AD31" s="79">
        <f t="shared" si="53"/>
        <v>0</v>
      </c>
      <c r="AE31" s="79">
        <f t="shared" si="54"/>
        <v>0</v>
      </c>
      <c r="AF31" s="79">
        <f t="shared" si="55"/>
        <v>0</v>
      </c>
      <c r="AG31" s="79">
        <f t="shared" si="56"/>
        <v>0</v>
      </c>
      <c r="AH31" s="79">
        <f t="shared" si="57"/>
        <v>0</v>
      </c>
      <c r="AI31" s="79">
        <f t="shared" si="58"/>
        <v>0</v>
      </c>
      <c r="AJ31" s="79">
        <f t="shared" si="59"/>
        <v>0</v>
      </c>
      <c r="AK31" s="79">
        <f t="shared" si="60"/>
        <v>0</v>
      </c>
      <c r="AL31" s="79">
        <f t="shared" si="61"/>
        <v>0</v>
      </c>
      <c r="AM31" s="79">
        <f t="shared" si="62"/>
        <v>0</v>
      </c>
      <c r="AN31" s="79">
        <f t="shared" si="63"/>
        <v>0</v>
      </c>
      <c r="AO31" s="79">
        <f t="shared" si="64"/>
        <v>0</v>
      </c>
      <c r="AP31" s="79">
        <f t="shared" si="65"/>
        <v>0</v>
      </c>
      <c r="AQ31" s="79">
        <f t="shared" si="66"/>
        <v>0</v>
      </c>
      <c r="AR31" s="79">
        <f t="shared" si="67"/>
        <v>0</v>
      </c>
      <c r="AS31" s="79">
        <f t="shared" si="68"/>
        <v>0</v>
      </c>
      <c r="AT31" s="79">
        <f t="shared" si="69"/>
        <v>0</v>
      </c>
      <c r="AU31" s="79">
        <f t="shared" si="70"/>
        <v>0</v>
      </c>
    </row>
    <row r="32" spans="1:50" ht="23.1" customHeight="1">
      <c r="A32" s="81" t="s">
        <v>740</v>
      </c>
      <c r="B32" s="81" t="s">
        <v>746</v>
      </c>
      <c r="C32" s="82" t="s">
        <v>742</v>
      </c>
      <c r="D32" s="84">
        <f>공량산출서!F34</f>
        <v>36</v>
      </c>
      <c r="E32" s="84">
        <f>단가대비표!L46</f>
        <v>25676.679</v>
      </c>
      <c r="F32" s="84">
        <f t="shared" si="36"/>
        <v>924360</v>
      </c>
      <c r="G32" s="84">
        <v>0</v>
      </c>
      <c r="H32" s="84">
        <f t="shared" si="37"/>
        <v>0</v>
      </c>
      <c r="I32" s="84">
        <v>0</v>
      </c>
      <c r="J32" s="84">
        <f t="shared" si="38"/>
        <v>0</v>
      </c>
      <c r="K32" s="84">
        <f t="shared" si="39"/>
        <v>25676.679</v>
      </c>
      <c r="L32" s="84">
        <f t="shared" si="39"/>
        <v>924360</v>
      </c>
      <c r="M32" s="84"/>
      <c r="O32" s="79" t="str">
        <f t="shared" si="40"/>
        <v>01</v>
      </c>
      <c r="P32" s="86" t="s">
        <v>678</v>
      </c>
      <c r="Q32" s="79">
        <v>1</v>
      </c>
      <c r="R32" s="79">
        <f t="shared" si="41"/>
        <v>0</v>
      </c>
      <c r="S32" s="79">
        <f t="shared" si="42"/>
        <v>0</v>
      </c>
      <c r="T32" s="79">
        <f t="shared" si="43"/>
        <v>0</v>
      </c>
      <c r="U32" s="79">
        <f t="shared" si="44"/>
        <v>0</v>
      </c>
      <c r="V32" s="79">
        <f t="shared" si="45"/>
        <v>0</v>
      </c>
      <c r="W32" s="79">
        <f t="shared" si="46"/>
        <v>0</v>
      </c>
      <c r="X32" s="79">
        <f t="shared" si="47"/>
        <v>0</v>
      </c>
      <c r="Y32" s="79">
        <f t="shared" si="48"/>
        <v>0</v>
      </c>
      <c r="Z32" s="79">
        <f t="shared" si="49"/>
        <v>0</v>
      </c>
      <c r="AA32" s="79">
        <f t="shared" si="50"/>
        <v>0</v>
      </c>
      <c r="AB32" s="79">
        <f t="shared" si="51"/>
        <v>0</v>
      </c>
      <c r="AC32" s="79">
        <f t="shared" si="52"/>
        <v>0</v>
      </c>
      <c r="AD32" s="79">
        <f t="shared" si="53"/>
        <v>0</v>
      </c>
      <c r="AE32" s="79">
        <f t="shared" si="54"/>
        <v>0</v>
      </c>
      <c r="AF32" s="79">
        <f t="shared" si="55"/>
        <v>0</v>
      </c>
      <c r="AG32" s="79">
        <f t="shared" si="56"/>
        <v>0</v>
      </c>
      <c r="AH32" s="79">
        <f t="shared" si="57"/>
        <v>0</v>
      </c>
      <c r="AI32" s="79">
        <f t="shared" si="58"/>
        <v>0</v>
      </c>
      <c r="AJ32" s="79">
        <f t="shared" si="59"/>
        <v>0</v>
      </c>
      <c r="AK32" s="79">
        <f t="shared" si="60"/>
        <v>0</v>
      </c>
      <c r="AL32" s="79">
        <f t="shared" si="61"/>
        <v>0</v>
      </c>
      <c r="AM32" s="79">
        <f t="shared" si="62"/>
        <v>0</v>
      </c>
      <c r="AN32" s="79">
        <f t="shared" si="63"/>
        <v>0</v>
      </c>
      <c r="AO32" s="79">
        <f t="shared" si="64"/>
        <v>0</v>
      </c>
      <c r="AP32" s="79">
        <f t="shared" si="65"/>
        <v>0</v>
      </c>
      <c r="AQ32" s="79">
        <f t="shared" si="66"/>
        <v>0</v>
      </c>
      <c r="AR32" s="79">
        <f t="shared" si="67"/>
        <v>0</v>
      </c>
      <c r="AS32" s="79">
        <f t="shared" si="68"/>
        <v>0</v>
      </c>
      <c r="AT32" s="79">
        <f t="shared" si="69"/>
        <v>0</v>
      </c>
      <c r="AU32" s="79">
        <f t="shared" si="70"/>
        <v>0</v>
      </c>
    </row>
    <row r="33" spans="1:47" ht="23.1" customHeight="1">
      <c r="A33" s="81" t="s">
        <v>747</v>
      </c>
      <c r="B33" s="81" t="s">
        <v>748</v>
      </c>
      <c r="C33" s="82" t="s">
        <v>333</v>
      </c>
      <c r="D33" s="84">
        <v>2</v>
      </c>
      <c r="E33" s="84">
        <f>일위대가목록!G28</f>
        <v>2371</v>
      </c>
      <c r="F33" s="84">
        <f t="shared" si="36"/>
        <v>4742</v>
      </c>
      <c r="G33" s="84">
        <f>일위대가목록!I28</f>
        <v>3660</v>
      </c>
      <c r="H33" s="84">
        <f t="shared" si="37"/>
        <v>7320</v>
      </c>
      <c r="I33" s="84">
        <f>일위대가목록!K28</f>
        <v>0</v>
      </c>
      <c r="J33" s="84">
        <f t="shared" si="38"/>
        <v>0</v>
      </c>
      <c r="K33" s="84">
        <f t="shared" si="39"/>
        <v>6031</v>
      </c>
      <c r="L33" s="84">
        <f t="shared" si="39"/>
        <v>12062</v>
      </c>
      <c r="M33" s="84" t="s">
        <v>749</v>
      </c>
      <c r="O33" s="79" t="str">
        <f>""</f>
        <v/>
      </c>
      <c r="P33" s="86" t="s">
        <v>678</v>
      </c>
      <c r="Q33" s="79">
        <v>1</v>
      </c>
      <c r="R33" s="79">
        <f t="shared" si="41"/>
        <v>0</v>
      </c>
      <c r="S33" s="79">
        <f t="shared" si="42"/>
        <v>0</v>
      </c>
      <c r="T33" s="79">
        <f t="shared" si="43"/>
        <v>0</v>
      </c>
      <c r="U33" s="79">
        <f t="shared" si="44"/>
        <v>0</v>
      </c>
      <c r="V33" s="79">
        <f t="shared" si="45"/>
        <v>0</v>
      </c>
      <c r="W33" s="79">
        <f t="shared" si="46"/>
        <v>0</v>
      </c>
      <c r="X33" s="79">
        <f t="shared" si="47"/>
        <v>0</v>
      </c>
      <c r="Y33" s="79">
        <f t="shared" si="48"/>
        <v>0</v>
      </c>
      <c r="Z33" s="79">
        <f t="shared" si="49"/>
        <v>0</v>
      </c>
      <c r="AA33" s="79">
        <f t="shared" si="50"/>
        <v>0</v>
      </c>
      <c r="AB33" s="79">
        <f t="shared" si="51"/>
        <v>0</v>
      </c>
      <c r="AC33" s="79">
        <f t="shared" si="52"/>
        <v>0</v>
      </c>
      <c r="AD33" s="79">
        <f t="shared" si="53"/>
        <v>0</v>
      </c>
      <c r="AE33" s="79">
        <f t="shared" si="54"/>
        <v>0</v>
      </c>
      <c r="AF33" s="79">
        <f t="shared" si="55"/>
        <v>0</v>
      </c>
      <c r="AG33" s="79">
        <f t="shared" si="56"/>
        <v>0</v>
      </c>
      <c r="AH33" s="79">
        <f t="shared" si="57"/>
        <v>0</v>
      </c>
      <c r="AI33" s="79">
        <f t="shared" si="58"/>
        <v>0</v>
      </c>
      <c r="AJ33" s="79">
        <f t="shared" si="59"/>
        <v>0</v>
      </c>
      <c r="AK33" s="79">
        <f t="shared" si="60"/>
        <v>0</v>
      </c>
      <c r="AL33" s="79">
        <f t="shared" si="61"/>
        <v>0</v>
      </c>
      <c r="AM33" s="79">
        <f t="shared" si="62"/>
        <v>0</v>
      </c>
      <c r="AN33" s="79">
        <f t="shared" si="63"/>
        <v>0</v>
      </c>
      <c r="AO33" s="79">
        <f t="shared" si="64"/>
        <v>0</v>
      </c>
      <c r="AP33" s="79">
        <f t="shared" si="65"/>
        <v>0</v>
      </c>
      <c r="AQ33" s="79">
        <f t="shared" si="66"/>
        <v>0</v>
      </c>
      <c r="AR33" s="79">
        <f t="shared" si="67"/>
        <v>0</v>
      </c>
      <c r="AS33" s="79">
        <f t="shared" si="68"/>
        <v>0</v>
      </c>
      <c r="AT33" s="79">
        <f t="shared" si="69"/>
        <v>0</v>
      </c>
      <c r="AU33" s="79">
        <f t="shared" si="70"/>
        <v>0</v>
      </c>
    </row>
    <row r="34" spans="1:47" ht="23.1" customHeight="1">
      <c r="A34" s="81" t="s">
        <v>747</v>
      </c>
      <c r="B34" s="81" t="s">
        <v>750</v>
      </c>
      <c r="C34" s="82" t="s">
        <v>333</v>
      </c>
      <c r="D34" s="84">
        <v>12</v>
      </c>
      <c r="E34" s="84">
        <f>일위대가목록!G29</f>
        <v>3589</v>
      </c>
      <c r="F34" s="84">
        <f t="shared" si="36"/>
        <v>43068</v>
      </c>
      <c r="G34" s="84">
        <f>일위대가목록!I29</f>
        <v>7499</v>
      </c>
      <c r="H34" s="84">
        <f t="shared" si="37"/>
        <v>89988</v>
      </c>
      <c r="I34" s="84">
        <f>일위대가목록!K29</f>
        <v>0</v>
      </c>
      <c r="J34" s="84">
        <f t="shared" si="38"/>
        <v>0</v>
      </c>
      <c r="K34" s="84">
        <f t="shared" si="39"/>
        <v>11088</v>
      </c>
      <c r="L34" s="84">
        <f t="shared" si="39"/>
        <v>133056</v>
      </c>
      <c r="M34" s="84" t="s">
        <v>751</v>
      </c>
      <c r="O34" s="79" t="str">
        <f>""</f>
        <v/>
      </c>
      <c r="P34" s="86" t="s">
        <v>678</v>
      </c>
      <c r="Q34" s="79">
        <v>1</v>
      </c>
      <c r="R34" s="79">
        <f t="shared" si="41"/>
        <v>0</v>
      </c>
      <c r="S34" s="79">
        <f t="shared" si="42"/>
        <v>0</v>
      </c>
      <c r="T34" s="79">
        <f t="shared" si="43"/>
        <v>0</v>
      </c>
      <c r="U34" s="79">
        <f t="shared" si="44"/>
        <v>0</v>
      </c>
      <c r="V34" s="79">
        <f t="shared" si="45"/>
        <v>0</v>
      </c>
      <c r="W34" s="79">
        <f t="shared" si="46"/>
        <v>0</v>
      </c>
      <c r="X34" s="79">
        <f t="shared" si="47"/>
        <v>0</v>
      </c>
      <c r="Y34" s="79">
        <f t="shared" si="48"/>
        <v>0</v>
      </c>
      <c r="Z34" s="79">
        <f t="shared" si="49"/>
        <v>0</v>
      </c>
      <c r="AA34" s="79">
        <f t="shared" si="50"/>
        <v>0</v>
      </c>
      <c r="AB34" s="79">
        <f t="shared" si="51"/>
        <v>0</v>
      </c>
      <c r="AC34" s="79">
        <f t="shared" si="52"/>
        <v>0</v>
      </c>
      <c r="AD34" s="79">
        <f t="shared" si="53"/>
        <v>0</v>
      </c>
      <c r="AE34" s="79">
        <f t="shared" si="54"/>
        <v>0</v>
      </c>
      <c r="AF34" s="79">
        <f t="shared" si="55"/>
        <v>0</v>
      </c>
      <c r="AG34" s="79">
        <f t="shared" si="56"/>
        <v>0</v>
      </c>
      <c r="AH34" s="79">
        <f t="shared" si="57"/>
        <v>0</v>
      </c>
      <c r="AI34" s="79">
        <f t="shared" si="58"/>
        <v>0</v>
      </c>
      <c r="AJ34" s="79">
        <f t="shared" si="59"/>
        <v>0</v>
      </c>
      <c r="AK34" s="79">
        <f t="shared" si="60"/>
        <v>0</v>
      </c>
      <c r="AL34" s="79">
        <f t="shared" si="61"/>
        <v>0</v>
      </c>
      <c r="AM34" s="79">
        <f t="shared" si="62"/>
        <v>0</v>
      </c>
      <c r="AN34" s="79">
        <f t="shared" si="63"/>
        <v>0</v>
      </c>
      <c r="AO34" s="79">
        <f t="shared" si="64"/>
        <v>0</v>
      </c>
      <c r="AP34" s="79">
        <f t="shared" si="65"/>
        <v>0</v>
      </c>
      <c r="AQ34" s="79">
        <f t="shared" si="66"/>
        <v>0</v>
      </c>
      <c r="AR34" s="79">
        <f t="shared" si="67"/>
        <v>0</v>
      </c>
      <c r="AS34" s="79">
        <f t="shared" si="68"/>
        <v>0</v>
      </c>
      <c r="AT34" s="79">
        <f t="shared" si="69"/>
        <v>0</v>
      </c>
      <c r="AU34" s="79">
        <f t="shared" si="70"/>
        <v>0</v>
      </c>
    </row>
    <row r="35" spans="1:47" ht="23.1" customHeight="1">
      <c r="A35" s="81" t="s">
        <v>747</v>
      </c>
      <c r="B35" s="81" t="s">
        <v>752</v>
      </c>
      <c r="C35" s="82" t="s">
        <v>333</v>
      </c>
      <c r="D35" s="84">
        <v>10</v>
      </c>
      <c r="E35" s="84">
        <f>일위대가목록!G32</f>
        <v>9208</v>
      </c>
      <c r="F35" s="84">
        <f t="shared" si="36"/>
        <v>92080</v>
      </c>
      <c r="G35" s="84">
        <f>일위대가목록!I32</f>
        <v>16091</v>
      </c>
      <c r="H35" s="84">
        <f t="shared" si="37"/>
        <v>160910</v>
      </c>
      <c r="I35" s="84">
        <f>일위대가목록!K32</f>
        <v>0</v>
      </c>
      <c r="J35" s="84">
        <f t="shared" si="38"/>
        <v>0</v>
      </c>
      <c r="K35" s="84">
        <f t="shared" si="39"/>
        <v>25299</v>
      </c>
      <c r="L35" s="84">
        <f t="shared" si="39"/>
        <v>252990</v>
      </c>
      <c r="M35" s="84" t="s">
        <v>753</v>
      </c>
      <c r="O35" s="79" t="str">
        <f>""</f>
        <v/>
      </c>
      <c r="P35" s="86" t="s">
        <v>678</v>
      </c>
      <c r="Q35" s="79">
        <v>1</v>
      </c>
      <c r="R35" s="79">
        <f t="shared" si="41"/>
        <v>0</v>
      </c>
      <c r="S35" s="79">
        <f t="shared" si="42"/>
        <v>0</v>
      </c>
      <c r="T35" s="79">
        <f t="shared" si="43"/>
        <v>0</v>
      </c>
      <c r="U35" s="79">
        <f t="shared" si="44"/>
        <v>0</v>
      </c>
      <c r="V35" s="79">
        <f t="shared" si="45"/>
        <v>0</v>
      </c>
      <c r="W35" s="79">
        <f t="shared" si="46"/>
        <v>0</v>
      </c>
      <c r="X35" s="79">
        <f t="shared" si="47"/>
        <v>0</v>
      </c>
      <c r="Y35" s="79">
        <f t="shared" si="48"/>
        <v>0</v>
      </c>
      <c r="Z35" s="79">
        <f t="shared" si="49"/>
        <v>0</v>
      </c>
      <c r="AA35" s="79">
        <f t="shared" si="50"/>
        <v>0</v>
      </c>
      <c r="AB35" s="79">
        <f t="shared" si="51"/>
        <v>0</v>
      </c>
      <c r="AC35" s="79">
        <f t="shared" si="52"/>
        <v>0</v>
      </c>
      <c r="AD35" s="79">
        <f t="shared" si="53"/>
        <v>0</v>
      </c>
      <c r="AE35" s="79">
        <f t="shared" si="54"/>
        <v>0</v>
      </c>
      <c r="AF35" s="79">
        <f t="shared" si="55"/>
        <v>0</v>
      </c>
      <c r="AG35" s="79">
        <f t="shared" si="56"/>
        <v>0</v>
      </c>
      <c r="AH35" s="79">
        <f t="shared" si="57"/>
        <v>0</v>
      </c>
      <c r="AI35" s="79">
        <f t="shared" si="58"/>
        <v>0</v>
      </c>
      <c r="AJ35" s="79">
        <f t="shared" si="59"/>
        <v>0</v>
      </c>
      <c r="AK35" s="79">
        <f t="shared" si="60"/>
        <v>0</v>
      </c>
      <c r="AL35" s="79">
        <f t="shared" si="61"/>
        <v>0</v>
      </c>
      <c r="AM35" s="79">
        <f t="shared" si="62"/>
        <v>0</v>
      </c>
      <c r="AN35" s="79">
        <f t="shared" si="63"/>
        <v>0</v>
      </c>
      <c r="AO35" s="79">
        <f t="shared" si="64"/>
        <v>0</v>
      </c>
      <c r="AP35" s="79">
        <f t="shared" si="65"/>
        <v>0</v>
      </c>
      <c r="AQ35" s="79">
        <f t="shared" si="66"/>
        <v>0</v>
      </c>
      <c r="AR35" s="79">
        <f t="shared" si="67"/>
        <v>0</v>
      </c>
      <c r="AS35" s="79">
        <f t="shared" si="68"/>
        <v>0</v>
      </c>
      <c r="AT35" s="79">
        <f t="shared" si="69"/>
        <v>0</v>
      </c>
      <c r="AU35" s="79">
        <f t="shared" si="70"/>
        <v>0</v>
      </c>
    </row>
    <row r="36" spans="1:47" ht="23.1" customHeight="1">
      <c r="A36" s="81" t="s">
        <v>747</v>
      </c>
      <c r="B36" s="81" t="s">
        <v>754</v>
      </c>
      <c r="C36" s="82" t="s">
        <v>333</v>
      </c>
      <c r="D36" s="84">
        <v>32</v>
      </c>
      <c r="E36" s="84">
        <f>일위대가목록!G33</f>
        <v>14895</v>
      </c>
      <c r="F36" s="84">
        <f t="shared" si="36"/>
        <v>476640</v>
      </c>
      <c r="G36" s="84">
        <f>일위대가목록!I33</f>
        <v>22384</v>
      </c>
      <c r="H36" s="84">
        <f t="shared" si="37"/>
        <v>716288</v>
      </c>
      <c r="I36" s="84">
        <f>일위대가목록!K33</f>
        <v>0</v>
      </c>
      <c r="J36" s="84">
        <f t="shared" si="38"/>
        <v>0</v>
      </c>
      <c r="K36" s="84">
        <f t="shared" si="39"/>
        <v>37279</v>
      </c>
      <c r="L36" s="84">
        <f t="shared" si="39"/>
        <v>1192928</v>
      </c>
      <c r="M36" s="84" t="s">
        <v>755</v>
      </c>
      <c r="O36" s="79" t="str">
        <f>""</f>
        <v/>
      </c>
      <c r="P36" s="86" t="s">
        <v>678</v>
      </c>
      <c r="Q36" s="79">
        <v>1</v>
      </c>
      <c r="R36" s="79">
        <f t="shared" si="41"/>
        <v>0</v>
      </c>
      <c r="S36" s="79">
        <f t="shared" si="42"/>
        <v>0</v>
      </c>
      <c r="T36" s="79">
        <f t="shared" si="43"/>
        <v>0</v>
      </c>
      <c r="U36" s="79">
        <f t="shared" si="44"/>
        <v>0</v>
      </c>
      <c r="V36" s="79">
        <f t="shared" si="45"/>
        <v>0</v>
      </c>
      <c r="W36" s="79">
        <f t="shared" si="46"/>
        <v>0</v>
      </c>
      <c r="X36" s="79">
        <f t="shared" si="47"/>
        <v>0</v>
      </c>
      <c r="Y36" s="79">
        <f t="shared" si="48"/>
        <v>0</v>
      </c>
      <c r="Z36" s="79">
        <f t="shared" si="49"/>
        <v>0</v>
      </c>
      <c r="AA36" s="79">
        <f t="shared" si="50"/>
        <v>0</v>
      </c>
      <c r="AB36" s="79">
        <f t="shared" si="51"/>
        <v>0</v>
      </c>
      <c r="AC36" s="79">
        <f t="shared" si="52"/>
        <v>0</v>
      </c>
      <c r="AD36" s="79">
        <f t="shared" si="53"/>
        <v>0</v>
      </c>
      <c r="AE36" s="79">
        <f t="shared" si="54"/>
        <v>0</v>
      </c>
      <c r="AF36" s="79">
        <f t="shared" si="55"/>
        <v>0</v>
      </c>
      <c r="AG36" s="79">
        <f t="shared" si="56"/>
        <v>0</v>
      </c>
      <c r="AH36" s="79">
        <f t="shared" si="57"/>
        <v>0</v>
      </c>
      <c r="AI36" s="79">
        <f t="shared" si="58"/>
        <v>0</v>
      </c>
      <c r="AJ36" s="79">
        <f t="shared" si="59"/>
        <v>0</v>
      </c>
      <c r="AK36" s="79">
        <f t="shared" si="60"/>
        <v>0</v>
      </c>
      <c r="AL36" s="79">
        <f t="shared" si="61"/>
        <v>0</v>
      </c>
      <c r="AM36" s="79">
        <f t="shared" si="62"/>
        <v>0</v>
      </c>
      <c r="AN36" s="79">
        <f t="shared" si="63"/>
        <v>0</v>
      </c>
      <c r="AO36" s="79">
        <f t="shared" si="64"/>
        <v>0</v>
      </c>
      <c r="AP36" s="79">
        <f t="shared" si="65"/>
        <v>0</v>
      </c>
      <c r="AQ36" s="79">
        <f t="shared" si="66"/>
        <v>0</v>
      </c>
      <c r="AR36" s="79">
        <f t="shared" si="67"/>
        <v>0</v>
      </c>
      <c r="AS36" s="79">
        <f t="shared" si="68"/>
        <v>0</v>
      </c>
      <c r="AT36" s="79">
        <f t="shared" si="69"/>
        <v>0</v>
      </c>
      <c r="AU36" s="79">
        <f t="shared" si="70"/>
        <v>0</v>
      </c>
    </row>
    <row r="37" spans="1:47" ht="23.1" customHeight="1">
      <c r="A37" s="81" t="s">
        <v>756</v>
      </c>
      <c r="B37" s="81" t="s">
        <v>757</v>
      </c>
      <c r="C37" s="82" t="s">
        <v>343</v>
      </c>
      <c r="D37" s="84">
        <v>2</v>
      </c>
      <c r="E37" s="84">
        <f>단가대비표!L108</f>
        <v>1050.777</v>
      </c>
      <c r="F37" s="84">
        <f t="shared" si="36"/>
        <v>2101</v>
      </c>
      <c r="G37" s="84">
        <v>0</v>
      </c>
      <c r="H37" s="84">
        <f t="shared" si="37"/>
        <v>0</v>
      </c>
      <c r="I37" s="84">
        <v>0</v>
      </c>
      <c r="J37" s="84">
        <f t="shared" si="38"/>
        <v>0</v>
      </c>
      <c r="K37" s="84">
        <f t="shared" si="39"/>
        <v>1050.777</v>
      </c>
      <c r="L37" s="84">
        <f t="shared" si="39"/>
        <v>2101</v>
      </c>
      <c r="M37" s="84"/>
      <c r="O37" s="79" t="str">
        <f t="shared" ref="O37:O46" si="71">"01"</f>
        <v>01</v>
      </c>
      <c r="P37" s="86" t="s">
        <v>678</v>
      </c>
      <c r="Q37" s="79">
        <v>1</v>
      </c>
      <c r="R37" s="79">
        <f t="shared" si="41"/>
        <v>0</v>
      </c>
      <c r="S37" s="79">
        <f t="shared" si="42"/>
        <v>0</v>
      </c>
      <c r="T37" s="79">
        <f t="shared" si="43"/>
        <v>0</v>
      </c>
      <c r="U37" s="79">
        <f t="shared" si="44"/>
        <v>0</v>
      </c>
      <c r="V37" s="79">
        <f t="shared" si="45"/>
        <v>0</v>
      </c>
      <c r="W37" s="79">
        <f t="shared" si="46"/>
        <v>0</v>
      </c>
      <c r="X37" s="79">
        <f t="shared" si="47"/>
        <v>0</v>
      </c>
      <c r="Y37" s="79">
        <f t="shared" si="48"/>
        <v>0</v>
      </c>
      <c r="Z37" s="79">
        <f t="shared" si="49"/>
        <v>0</v>
      </c>
      <c r="AA37" s="79">
        <f t="shared" si="50"/>
        <v>0</v>
      </c>
      <c r="AB37" s="79">
        <f t="shared" si="51"/>
        <v>0</v>
      </c>
      <c r="AC37" s="79">
        <f t="shared" si="52"/>
        <v>0</v>
      </c>
      <c r="AD37" s="79">
        <f t="shared" si="53"/>
        <v>0</v>
      </c>
      <c r="AE37" s="79">
        <f t="shared" si="54"/>
        <v>0</v>
      </c>
      <c r="AF37" s="79">
        <f t="shared" si="55"/>
        <v>0</v>
      </c>
      <c r="AG37" s="79">
        <f t="shared" si="56"/>
        <v>0</v>
      </c>
      <c r="AH37" s="79">
        <f t="shared" si="57"/>
        <v>0</v>
      </c>
      <c r="AI37" s="79">
        <f t="shared" si="58"/>
        <v>0</v>
      </c>
      <c r="AJ37" s="79">
        <f t="shared" si="59"/>
        <v>0</v>
      </c>
      <c r="AK37" s="79">
        <f t="shared" si="60"/>
        <v>0</v>
      </c>
      <c r="AL37" s="79">
        <f t="shared" si="61"/>
        <v>0</v>
      </c>
      <c r="AM37" s="79">
        <f t="shared" si="62"/>
        <v>0</v>
      </c>
      <c r="AN37" s="79">
        <f t="shared" si="63"/>
        <v>0</v>
      </c>
      <c r="AO37" s="79">
        <f t="shared" si="64"/>
        <v>0</v>
      </c>
      <c r="AP37" s="79">
        <f t="shared" si="65"/>
        <v>0</v>
      </c>
      <c r="AQ37" s="79">
        <f t="shared" si="66"/>
        <v>0</v>
      </c>
      <c r="AR37" s="79">
        <f t="shared" si="67"/>
        <v>0</v>
      </c>
      <c r="AS37" s="79">
        <f t="shared" si="68"/>
        <v>0</v>
      </c>
      <c r="AT37" s="79">
        <f t="shared" si="69"/>
        <v>0</v>
      </c>
      <c r="AU37" s="79">
        <f t="shared" si="70"/>
        <v>0</v>
      </c>
    </row>
    <row r="38" spans="1:47" ht="23.1" customHeight="1">
      <c r="A38" s="81" t="s">
        <v>756</v>
      </c>
      <c r="B38" s="81" t="s">
        <v>758</v>
      </c>
      <c r="C38" s="82" t="s">
        <v>343</v>
      </c>
      <c r="D38" s="84">
        <v>2</v>
      </c>
      <c r="E38" s="84">
        <f>단가대비표!L110</f>
        <v>2766.1480000000001</v>
      </c>
      <c r="F38" s="84">
        <f t="shared" si="36"/>
        <v>5532</v>
      </c>
      <c r="G38" s="84">
        <v>0</v>
      </c>
      <c r="H38" s="84">
        <f t="shared" si="37"/>
        <v>0</v>
      </c>
      <c r="I38" s="84">
        <v>0</v>
      </c>
      <c r="J38" s="84">
        <f t="shared" si="38"/>
        <v>0</v>
      </c>
      <c r="K38" s="84">
        <f t="shared" si="39"/>
        <v>2766.1480000000001</v>
      </c>
      <c r="L38" s="84">
        <f t="shared" si="39"/>
        <v>5532</v>
      </c>
      <c r="M38" s="84"/>
      <c r="O38" s="79" t="str">
        <f t="shared" si="71"/>
        <v>01</v>
      </c>
      <c r="P38" s="86" t="s">
        <v>678</v>
      </c>
      <c r="Q38" s="79">
        <v>1</v>
      </c>
      <c r="R38" s="79">
        <f t="shared" si="41"/>
        <v>0</v>
      </c>
      <c r="S38" s="79">
        <f t="shared" si="42"/>
        <v>0</v>
      </c>
      <c r="T38" s="79">
        <f t="shared" si="43"/>
        <v>0</v>
      </c>
      <c r="U38" s="79">
        <f t="shared" si="44"/>
        <v>0</v>
      </c>
      <c r="V38" s="79">
        <f t="shared" si="45"/>
        <v>0</v>
      </c>
      <c r="W38" s="79">
        <f t="shared" si="46"/>
        <v>0</v>
      </c>
      <c r="X38" s="79">
        <f t="shared" si="47"/>
        <v>0</v>
      </c>
      <c r="Y38" s="79">
        <f t="shared" si="48"/>
        <v>0</v>
      </c>
      <c r="Z38" s="79">
        <f t="shared" si="49"/>
        <v>0</v>
      </c>
      <c r="AA38" s="79">
        <f t="shared" si="50"/>
        <v>0</v>
      </c>
      <c r="AB38" s="79">
        <f t="shared" si="51"/>
        <v>0</v>
      </c>
      <c r="AC38" s="79">
        <f t="shared" si="52"/>
        <v>0</v>
      </c>
      <c r="AD38" s="79">
        <f t="shared" si="53"/>
        <v>0</v>
      </c>
      <c r="AE38" s="79">
        <f t="shared" si="54"/>
        <v>0</v>
      </c>
      <c r="AF38" s="79">
        <f t="shared" si="55"/>
        <v>0</v>
      </c>
      <c r="AG38" s="79">
        <f t="shared" si="56"/>
        <v>0</v>
      </c>
      <c r="AH38" s="79">
        <f t="shared" si="57"/>
        <v>0</v>
      </c>
      <c r="AI38" s="79">
        <f t="shared" si="58"/>
        <v>0</v>
      </c>
      <c r="AJ38" s="79">
        <f t="shared" si="59"/>
        <v>0</v>
      </c>
      <c r="AK38" s="79">
        <f t="shared" si="60"/>
        <v>0</v>
      </c>
      <c r="AL38" s="79">
        <f t="shared" si="61"/>
        <v>0</v>
      </c>
      <c r="AM38" s="79">
        <f t="shared" si="62"/>
        <v>0</v>
      </c>
      <c r="AN38" s="79">
        <f t="shared" si="63"/>
        <v>0</v>
      </c>
      <c r="AO38" s="79">
        <f t="shared" si="64"/>
        <v>0</v>
      </c>
      <c r="AP38" s="79">
        <f t="shared" si="65"/>
        <v>0</v>
      </c>
      <c r="AQ38" s="79">
        <f t="shared" si="66"/>
        <v>0</v>
      </c>
      <c r="AR38" s="79">
        <f t="shared" si="67"/>
        <v>0</v>
      </c>
      <c r="AS38" s="79">
        <f t="shared" si="68"/>
        <v>0</v>
      </c>
      <c r="AT38" s="79">
        <f t="shared" si="69"/>
        <v>0</v>
      </c>
      <c r="AU38" s="79">
        <f t="shared" si="70"/>
        <v>0</v>
      </c>
    </row>
    <row r="39" spans="1:47" ht="23.1" customHeight="1">
      <c r="A39" s="81" t="s">
        <v>756</v>
      </c>
      <c r="B39" s="81" t="s">
        <v>759</v>
      </c>
      <c r="C39" s="82" t="s">
        <v>343</v>
      </c>
      <c r="D39" s="84">
        <v>3</v>
      </c>
      <c r="E39" s="84">
        <f>단가대비표!L111</f>
        <v>4185.1459999999997</v>
      </c>
      <c r="F39" s="84">
        <f t="shared" si="36"/>
        <v>12555</v>
      </c>
      <c r="G39" s="84">
        <v>0</v>
      </c>
      <c r="H39" s="84">
        <f t="shared" si="37"/>
        <v>0</v>
      </c>
      <c r="I39" s="84">
        <v>0</v>
      </c>
      <c r="J39" s="84">
        <f t="shared" si="38"/>
        <v>0</v>
      </c>
      <c r="K39" s="84">
        <f t="shared" si="39"/>
        <v>4185.1459999999997</v>
      </c>
      <c r="L39" s="84">
        <f t="shared" si="39"/>
        <v>12555</v>
      </c>
      <c r="M39" s="84"/>
      <c r="O39" s="79" t="str">
        <f t="shared" si="71"/>
        <v>01</v>
      </c>
      <c r="P39" s="86" t="s">
        <v>678</v>
      </c>
      <c r="Q39" s="79">
        <v>1</v>
      </c>
      <c r="R39" s="79">
        <f t="shared" si="41"/>
        <v>0</v>
      </c>
      <c r="S39" s="79">
        <f t="shared" si="42"/>
        <v>0</v>
      </c>
      <c r="T39" s="79">
        <f t="shared" si="43"/>
        <v>0</v>
      </c>
      <c r="U39" s="79">
        <f t="shared" si="44"/>
        <v>0</v>
      </c>
      <c r="V39" s="79">
        <f t="shared" si="45"/>
        <v>0</v>
      </c>
      <c r="W39" s="79">
        <f t="shared" si="46"/>
        <v>0</v>
      </c>
      <c r="X39" s="79">
        <f t="shared" si="47"/>
        <v>0</v>
      </c>
      <c r="Y39" s="79">
        <f t="shared" si="48"/>
        <v>0</v>
      </c>
      <c r="Z39" s="79">
        <f t="shared" si="49"/>
        <v>0</v>
      </c>
      <c r="AA39" s="79">
        <f t="shared" si="50"/>
        <v>0</v>
      </c>
      <c r="AB39" s="79">
        <f t="shared" si="51"/>
        <v>0</v>
      </c>
      <c r="AC39" s="79">
        <f t="shared" si="52"/>
        <v>0</v>
      </c>
      <c r="AD39" s="79">
        <f t="shared" si="53"/>
        <v>0</v>
      </c>
      <c r="AE39" s="79">
        <f t="shared" si="54"/>
        <v>0</v>
      </c>
      <c r="AF39" s="79">
        <f t="shared" si="55"/>
        <v>0</v>
      </c>
      <c r="AG39" s="79">
        <f t="shared" si="56"/>
        <v>0</v>
      </c>
      <c r="AH39" s="79">
        <f t="shared" si="57"/>
        <v>0</v>
      </c>
      <c r="AI39" s="79">
        <f t="shared" si="58"/>
        <v>0</v>
      </c>
      <c r="AJ39" s="79">
        <f t="shared" si="59"/>
        <v>0</v>
      </c>
      <c r="AK39" s="79">
        <f t="shared" si="60"/>
        <v>0</v>
      </c>
      <c r="AL39" s="79">
        <f t="shared" si="61"/>
        <v>0</v>
      </c>
      <c r="AM39" s="79">
        <f t="shared" si="62"/>
        <v>0</v>
      </c>
      <c r="AN39" s="79">
        <f t="shared" si="63"/>
        <v>0</v>
      </c>
      <c r="AO39" s="79">
        <f t="shared" si="64"/>
        <v>0</v>
      </c>
      <c r="AP39" s="79">
        <f t="shared" si="65"/>
        <v>0</v>
      </c>
      <c r="AQ39" s="79">
        <f t="shared" si="66"/>
        <v>0</v>
      </c>
      <c r="AR39" s="79">
        <f t="shared" si="67"/>
        <v>0</v>
      </c>
      <c r="AS39" s="79">
        <f t="shared" si="68"/>
        <v>0</v>
      </c>
      <c r="AT39" s="79">
        <f t="shared" si="69"/>
        <v>0</v>
      </c>
      <c r="AU39" s="79">
        <f t="shared" si="70"/>
        <v>0</v>
      </c>
    </row>
    <row r="40" spans="1:47" ht="23.1" customHeight="1">
      <c r="A40" s="81" t="s">
        <v>756</v>
      </c>
      <c r="B40" s="81" t="s">
        <v>760</v>
      </c>
      <c r="C40" s="82" t="s">
        <v>343</v>
      </c>
      <c r="D40" s="84">
        <v>6</v>
      </c>
      <c r="E40" s="84">
        <f>단가대비표!L96</f>
        <v>10094.644</v>
      </c>
      <c r="F40" s="84">
        <f t="shared" si="36"/>
        <v>60567</v>
      </c>
      <c r="G40" s="84">
        <v>0</v>
      </c>
      <c r="H40" s="84">
        <f t="shared" si="37"/>
        <v>0</v>
      </c>
      <c r="I40" s="84">
        <v>0</v>
      </c>
      <c r="J40" s="84">
        <f t="shared" si="38"/>
        <v>0</v>
      </c>
      <c r="K40" s="84">
        <f t="shared" si="39"/>
        <v>10094.644</v>
      </c>
      <c r="L40" s="84">
        <f t="shared" si="39"/>
        <v>60567</v>
      </c>
      <c r="M40" s="84"/>
      <c r="O40" s="79" t="str">
        <f t="shared" si="71"/>
        <v>01</v>
      </c>
      <c r="P40" s="86" t="s">
        <v>678</v>
      </c>
      <c r="Q40" s="79">
        <v>1</v>
      </c>
      <c r="R40" s="79">
        <f t="shared" si="41"/>
        <v>0</v>
      </c>
      <c r="S40" s="79">
        <f t="shared" si="42"/>
        <v>0</v>
      </c>
      <c r="T40" s="79">
        <f t="shared" si="43"/>
        <v>0</v>
      </c>
      <c r="U40" s="79">
        <f t="shared" si="44"/>
        <v>0</v>
      </c>
      <c r="V40" s="79">
        <f t="shared" si="45"/>
        <v>0</v>
      </c>
      <c r="W40" s="79">
        <f t="shared" si="46"/>
        <v>0</v>
      </c>
      <c r="X40" s="79">
        <f t="shared" si="47"/>
        <v>0</v>
      </c>
      <c r="Y40" s="79">
        <f t="shared" si="48"/>
        <v>0</v>
      </c>
      <c r="Z40" s="79">
        <f t="shared" si="49"/>
        <v>0</v>
      </c>
      <c r="AA40" s="79">
        <f t="shared" si="50"/>
        <v>0</v>
      </c>
      <c r="AB40" s="79">
        <f t="shared" si="51"/>
        <v>0</v>
      </c>
      <c r="AC40" s="79">
        <f t="shared" si="52"/>
        <v>0</v>
      </c>
      <c r="AD40" s="79">
        <f t="shared" si="53"/>
        <v>0</v>
      </c>
      <c r="AE40" s="79">
        <f t="shared" si="54"/>
        <v>0</v>
      </c>
      <c r="AF40" s="79">
        <f t="shared" si="55"/>
        <v>0</v>
      </c>
      <c r="AG40" s="79">
        <f t="shared" si="56"/>
        <v>0</v>
      </c>
      <c r="AH40" s="79">
        <f t="shared" si="57"/>
        <v>0</v>
      </c>
      <c r="AI40" s="79">
        <f t="shared" si="58"/>
        <v>0</v>
      </c>
      <c r="AJ40" s="79">
        <f t="shared" si="59"/>
        <v>0</v>
      </c>
      <c r="AK40" s="79">
        <f t="shared" si="60"/>
        <v>0</v>
      </c>
      <c r="AL40" s="79">
        <f t="shared" si="61"/>
        <v>0</v>
      </c>
      <c r="AM40" s="79">
        <f t="shared" si="62"/>
        <v>0</v>
      </c>
      <c r="AN40" s="79">
        <f t="shared" si="63"/>
        <v>0</v>
      </c>
      <c r="AO40" s="79">
        <f t="shared" si="64"/>
        <v>0</v>
      </c>
      <c r="AP40" s="79">
        <f t="shared" si="65"/>
        <v>0</v>
      </c>
      <c r="AQ40" s="79">
        <f t="shared" si="66"/>
        <v>0</v>
      </c>
      <c r="AR40" s="79">
        <f t="shared" si="67"/>
        <v>0</v>
      </c>
      <c r="AS40" s="79">
        <f t="shared" si="68"/>
        <v>0</v>
      </c>
      <c r="AT40" s="79">
        <f t="shared" si="69"/>
        <v>0</v>
      </c>
      <c r="AU40" s="79">
        <f t="shared" si="70"/>
        <v>0</v>
      </c>
    </row>
    <row r="41" spans="1:47" ht="23.1" customHeight="1">
      <c r="A41" s="81" t="s">
        <v>756</v>
      </c>
      <c r="B41" s="81" t="s">
        <v>761</v>
      </c>
      <c r="C41" s="82" t="s">
        <v>343</v>
      </c>
      <c r="D41" s="84">
        <v>6</v>
      </c>
      <c r="E41" s="84">
        <f>단가대비표!L97</f>
        <v>14540.239</v>
      </c>
      <c r="F41" s="84">
        <f t="shared" si="36"/>
        <v>87241</v>
      </c>
      <c r="G41" s="84">
        <v>0</v>
      </c>
      <c r="H41" s="84">
        <f t="shared" si="37"/>
        <v>0</v>
      </c>
      <c r="I41" s="84">
        <v>0</v>
      </c>
      <c r="J41" s="84">
        <f t="shared" si="38"/>
        <v>0</v>
      </c>
      <c r="K41" s="84">
        <f t="shared" si="39"/>
        <v>14540.239</v>
      </c>
      <c r="L41" s="84">
        <f t="shared" si="39"/>
        <v>87241</v>
      </c>
      <c r="M41" s="84"/>
      <c r="O41" s="79" t="str">
        <f t="shared" si="71"/>
        <v>01</v>
      </c>
      <c r="P41" s="86" t="s">
        <v>678</v>
      </c>
      <c r="Q41" s="79">
        <v>1</v>
      </c>
      <c r="R41" s="79">
        <f t="shared" si="41"/>
        <v>0</v>
      </c>
      <c r="S41" s="79">
        <f t="shared" si="42"/>
        <v>0</v>
      </c>
      <c r="T41" s="79">
        <f t="shared" si="43"/>
        <v>0</v>
      </c>
      <c r="U41" s="79">
        <f t="shared" si="44"/>
        <v>0</v>
      </c>
      <c r="V41" s="79">
        <f t="shared" si="45"/>
        <v>0</v>
      </c>
      <c r="W41" s="79">
        <f t="shared" si="46"/>
        <v>0</v>
      </c>
      <c r="X41" s="79">
        <f t="shared" si="47"/>
        <v>0</v>
      </c>
      <c r="Y41" s="79">
        <f t="shared" si="48"/>
        <v>0</v>
      </c>
      <c r="Z41" s="79">
        <f t="shared" si="49"/>
        <v>0</v>
      </c>
      <c r="AA41" s="79">
        <f t="shared" si="50"/>
        <v>0</v>
      </c>
      <c r="AB41" s="79">
        <f t="shared" si="51"/>
        <v>0</v>
      </c>
      <c r="AC41" s="79">
        <f t="shared" si="52"/>
        <v>0</v>
      </c>
      <c r="AD41" s="79">
        <f t="shared" si="53"/>
        <v>0</v>
      </c>
      <c r="AE41" s="79">
        <f t="shared" si="54"/>
        <v>0</v>
      </c>
      <c r="AF41" s="79">
        <f t="shared" si="55"/>
        <v>0</v>
      </c>
      <c r="AG41" s="79">
        <f t="shared" si="56"/>
        <v>0</v>
      </c>
      <c r="AH41" s="79">
        <f t="shared" si="57"/>
        <v>0</v>
      </c>
      <c r="AI41" s="79">
        <f t="shared" si="58"/>
        <v>0</v>
      </c>
      <c r="AJ41" s="79">
        <f t="shared" si="59"/>
        <v>0</v>
      </c>
      <c r="AK41" s="79">
        <f t="shared" si="60"/>
        <v>0</v>
      </c>
      <c r="AL41" s="79">
        <f t="shared" si="61"/>
        <v>0</v>
      </c>
      <c r="AM41" s="79">
        <f t="shared" si="62"/>
        <v>0</v>
      </c>
      <c r="AN41" s="79">
        <f t="shared" si="63"/>
        <v>0</v>
      </c>
      <c r="AO41" s="79">
        <f t="shared" si="64"/>
        <v>0</v>
      </c>
      <c r="AP41" s="79">
        <f t="shared" si="65"/>
        <v>0</v>
      </c>
      <c r="AQ41" s="79">
        <f t="shared" si="66"/>
        <v>0</v>
      </c>
      <c r="AR41" s="79">
        <f t="shared" si="67"/>
        <v>0</v>
      </c>
      <c r="AS41" s="79">
        <f t="shared" si="68"/>
        <v>0</v>
      </c>
      <c r="AT41" s="79">
        <f t="shared" si="69"/>
        <v>0</v>
      </c>
      <c r="AU41" s="79">
        <f t="shared" si="70"/>
        <v>0</v>
      </c>
    </row>
    <row r="42" spans="1:47" ht="23.1" customHeight="1">
      <c r="A42" s="81" t="s">
        <v>756</v>
      </c>
      <c r="B42" s="81" t="s">
        <v>762</v>
      </c>
      <c r="C42" s="82" t="s">
        <v>343</v>
      </c>
      <c r="D42" s="84">
        <v>12</v>
      </c>
      <c r="E42" s="84">
        <f>단가대비표!L106</f>
        <v>24096.023000000001</v>
      </c>
      <c r="F42" s="84">
        <f t="shared" si="36"/>
        <v>289152</v>
      </c>
      <c r="G42" s="84">
        <v>0</v>
      </c>
      <c r="H42" s="84">
        <f t="shared" si="37"/>
        <v>0</v>
      </c>
      <c r="I42" s="84">
        <v>0</v>
      </c>
      <c r="J42" s="84">
        <f t="shared" si="38"/>
        <v>0</v>
      </c>
      <c r="K42" s="84">
        <f t="shared" si="39"/>
        <v>24096.023000000001</v>
      </c>
      <c r="L42" s="84">
        <f t="shared" si="39"/>
        <v>289152</v>
      </c>
      <c r="M42" s="84"/>
      <c r="O42" s="79" t="str">
        <f t="shared" si="71"/>
        <v>01</v>
      </c>
      <c r="P42" s="86" t="s">
        <v>678</v>
      </c>
      <c r="Q42" s="79">
        <v>1</v>
      </c>
      <c r="R42" s="79">
        <f t="shared" si="41"/>
        <v>0</v>
      </c>
      <c r="S42" s="79">
        <f t="shared" si="42"/>
        <v>0</v>
      </c>
      <c r="T42" s="79">
        <f t="shared" si="43"/>
        <v>0</v>
      </c>
      <c r="U42" s="79">
        <f t="shared" si="44"/>
        <v>0</v>
      </c>
      <c r="V42" s="79">
        <f t="shared" si="45"/>
        <v>0</v>
      </c>
      <c r="W42" s="79">
        <f t="shared" si="46"/>
        <v>0</v>
      </c>
      <c r="X42" s="79">
        <f t="shared" si="47"/>
        <v>0</v>
      </c>
      <c r="Y42" s="79">
        <f t="shared" si="48"/>
        <v>0</v>
      </c>
      <c r="Z42" s="79">
        <f t="shared" si="49"/>
        <v>0</v>
      </c>
      <c r="AA42" s="79">
        <f t="shared" si="50"/>
        <v>0</v>
      </c>
      <c r="AB42" s="79">
        <f t="shared" si="51"/>
        <v>0</v>
      </c>
      <c r="AC42" s="79">
        <f t="shared" si="52"/>
        <v>0</v>
      </c>
      <c r="AD42" s="79">
        <f t="shared" si="53"/>
        <v>0</v>
      </c>
      <c r="AE42" s="79">
        <f t="shared" si="54"/>
        <v>0</v>
      </c>
      <c r="AF42" s="79">
        <f t="shared" si="55"/>
        <v>0</v>
      </c>
      <c r="AG42" s="79">
        <f t="shared" si="56"/>
        <v>0</v>
      </c>
      <c r="AH42" s="79">
        <f t="shared" si="57"/>
        <v>0</v>
      </c>
      <c r="AI42" s="79">
        <f t="shared" si="58"/>
        <v>0</v>
      </c>
      <c r="AJ42" s="79">
        <f t="shared" si="59"/>
        <v>0</v>
      </c>
      <c r="AK42" s="79">
        <f t="shared" si="60"/>
        <v>0</v>
      </c>
      <c r="AL42" s="79">
        <f t="shared" si="61"/>
        <v>0</v>
      </c>
      <c r="AM42" s="79">
        <f t="shared" si="62"/>
        <v>0</v>
      </c>
      <c r="AN42" s="79">
        <f t="shared" si="63"/>
        <v>0</v>
      </c>
      <c r="AO42" s="79">
        <f t="shared" si="64"/>
        <v>0</v>
      </c>
      <c r="AP42" s="79">
        <f t="shared" si="65"/>
        <v>0</v>
      </c>
      <c r="AQ42" s="79">
        <f t="shared" si="66"/>
        <v>0</v>
      </c>
      <c r="AR42" s="79">
        <f t="shared" si="67"/>
        <v>0</v>
      </c>
      <c r="AS42" s="79">
        <f t="shared" si="68"/>
        <v>0</v>
      </c>
      <c r="AT42" s="79">
        <f t="shared" si="69"/>
        <v>0</v>
      </c>
      <c r="AU42" s="79">
        <f t="shared" si="70"/>
        <v>0</v>
      </c>
    </row>
    <row r="43" spans="1:47" ht="23.1" customHeight="1">
      <c r="A43" s="81" t="s">
        <v>756</v>
      </c>
      <c r="B43" s="81" t="s">
        <v>763</v>
      </c>
      <c r="C43" s="82" t="s">
        <v>343</v>
      </c>
      <c r="D43" s="84">
        <v>8</v>
      </c>
      <c r="E43" s="84">
        <f>단가대비표!L107</f>
        <v>28676.332999999999</v>
      </c>
      <c r="F43" s="84">
        <f t="shared" si="36"/>
        <v>229410</v>
      </c>
      <c r="G43" s="84">
        <v>0</v>
      </c>
      <c r="H43" s="84">
        <f t="shared" si="37"/>
        <v>0</v>
      </c>
      <c r="I43" s="84">
        <v>0</v>
      </c>
      <c r="J43" s="84">
        <f t="shared" si="38"/>
        <v>0</v>
      </c>
      <c r="K43" s="84">
        <f t="shared" si="39"/>
        <v>28676.332999999999</v>
      </c>
      <c r="L43" s="84">
        <f t="shared" si="39"/>
        <v>229410</v>
      </c>
      <c r="M43" s="84"/>
      <c r="O43" s="79" t="str">
        <f t="shared" si="71"/>
        <v>01</v>
      </c>
      <c r="P43" s="86" t="s">
        <v>678</v>
      </c>
      <c r="Q43" s="79">
        <v>1</v>
      </c>
      <c r="R43" s="79">
        <f t="shared" si="41"/>
        <v>0</v>
      </c>
      <c r="S43" s="79">
        <f t="shared" si="42"/>
        <v>0</v>
      </c>
      <c r="T43" s="79">
        <f t="shared" si="43"/>
        <v>0</v>
      </c>
      <c r="U43" s="79">
        <f t="shared" si="44"/>
        <v>0</v>
      </c>
      <c r="V43" s="79">
        <f t="shared" si="45"/>
        <v>0</v>
      </c>
      <c r="W43" s="79">
        <f t="shared" si="46"/>
        <v>0</v>
      </c>
      <c r="X43" s="79">
        <f t="shared" si="47"/>
        <v>0</v>
      </c>
      <c r="Y43" s="79">
        <f t="shared" si="48"/>
        <v>0</v>
      </c>
      <c r="Z43" s="79">
        <f t="shared" si="49"/>
        <v>0</v>
      </c>
      <c r="AA43" s="79">
        <f t="shared" si="50"/>
        <v>0</v>
      </c>
      <c r="AB43" s="79">
        <f t="shared" si="51"/>
        <v>0</v>
      </c>
      <c r="AC43" s="79">
        <f t="shared" si="52"/>
        <v>0</v>
      </c>
      <c r="AD43" s="79">
        <f t="shared" si="53"/>
        <v>0</v>
      </c>
      <c r="AE43" s="79">
        <f t="shared" si="54"/>
        <v>0</v>
      </c>
      <c r="AF43" s="79">
        <f t="shared" si="55"/>
        <v>0</v>
      </c>
      <c r="AG43" s="79">
        <f t="shared" si="56"/>
        <v>0</v>
      </c>
      <c r="AH43" s="79">
        <f t="shared" si="57"/>
        <v>0</v>
      </c>
      <c r="AI43" s="79">
        <f t="shared" si="58"/>
        <v>0</v>
      </c>
      <c r="AJ43" s="79">
        <f t="shared" si="59"/>
        <v>0</v>
      </c>
      <c r="AK43" s="79">
        <f t="shared" si="60"/>
        <v>0</v>
      </c>
      <c r="AL43" s="79">
        <f t="shared" si="61"/>
        <v>0</v>
      </c>
      <c r="AM43" s="79">
        <f t="shared" si="62"/>
        <v>0</v>
      </c>
      <c r="AN43" s="79">
        <f t="shared" si="63"/>
        <v>0</v>
      </c>
      <c r="AO43" s="79">
        <f t="shared" si="64"/>
        <v>0</v>
      </c>
      <c r="AP43" s="79">
        <f t="shared" si="65"/>
        <v>0</v>
      </c>
      <c r="AQ43" s="79">
        <f t="shared" si="66"/>
        <v>0</v>
      </c>
      <c r="AR43" s="79">
        <f t="shared" si="67"/>
        <v>0</v>
      </c>
      <c r="AS43" s="79">
        <f t="shared" si="68"/>
        <v>0</v>
      </c>
      <c r="AT43" s="79">
        <f t="shared" si="69"/>
        <v>0</v>
      </c>
      <c r="AU43" s="79">
        <f t="shared" si="70"/>
        <v>0</v>
      </c>
    </row>
    <row r="44" spans="1:47" ht="23.1" customHeight="1">
      <c r="A44" s="81" t="s">
        <v>756</v>
      </c>
      <c r="B44" s="81" t="s">
        <v>764</v>
      </c>
      <c r="C44" s="82" t="s">
        <v>343</v>
      </c>
      <c r="D44" s="84">
        <v>2</v>
      </c>
      <c r="E44" s="84">
        <f>단가대비표!L109</f>
        <v>2272.1930000000002</v>
      </c>
      <c r="F44" s="84">
        <f t="shared" si="36"/>
        <v>4544</v>
      </c>
      <c r="G44" s="84">
        <v>0</v>
      </c>
      <c r="H44" s="84">
        <f t="shared" si="37"/>
        <v>0</v>
      </c>
      <c r="I44" s="84">
        <v>0</v>
      </c>
      <c r="J44" s="84">
        <f t="shared" si="38"/>
        <v>0</v>
      </c>
      <c r="K44" s="84">
        <f t="shared" si="39"/>
        <v>2272.1930000000002</v>
      </c>
      <c r="L44" s="84">
        <f t="shared" si="39"/>
        <v>4544</v>
      </c>
      <c r="M44" s="84"/>
      <c r="O44" s="79" t="str">
        <f t="shared" si="71"/>
        <v>01</v>
      </c>
      <c r="P44" s="86" t="s">
        <v>678</v>
      </c>
      <c r="Q44" s="79">
        <v>1</v>
      </c>
      <c r="R44" s="79">
        <f t="shared" si="41"/>
        <v>0</v>
      </c>
      <c r="S44" s="79">
        <f t="shared" si="42"/>
        <v>0</v>
      </c>
      <c r="T44" s="79">
        <f t="shared" si="43"/>
        <v>0</v>
      </c>
      <c r="U44" s="79">
        <f t="shared" si="44"/>
        <v>0</v>
      </c>
      <c r="V44" s="79">
        <f t="shared" si="45"/>
        <v>0</v>
      </c>
      <c r="W44" s="79">
        <f t="shared" si="46"/>
        <v>0</v>
      </c>
      <c r="X44" s="79">
        <f t="shared" si="47"/>
        <v>0</v>
      </c>
      <c r="Y44" s="79">
        <f t="shared" si="48"/>
        <v>0</v>
      </c>
      <c r="Z44" s="79">
        <f t="shared" si="49"/>
        <v>0</v>
      </c>
      <c r="AA44" s="79">
        <f t="shared" si="50"/>
        <v>0</v>
      </c>
      <c r="AB44" s="79">
        <f t="shared" si="51"/>
        <v>0</v>
      </c>
      <c r="AC44" s="79">
        <f t="shared" si="52"/>
        <v>0</v>
      </c>
      <c r="AD44" s="79">
        <f t="shared" si="53"/>
        <v>0</v>
      </c>
      <c r="AE44" s="79">
        <f t="shared" si="54"/>
        <v>0</v>
      </c>
      <c r="AF44" s="79">
        <f t="shared" si="55"/>
        <v>0</v>
      </c>
      <c r="AG44" s="79">
        <f t="shared" si="56"/>
        <v>0</v>
      </c>
      <c r="AH44" s="79">
        <f t="shared" si="57"/>
        <v>0</v>
      </c>
      <c r="AI44" s="79">
        <f t="shared" si="58"/>
        <v>0</v>
      </c>
      <c r="AJ44" s="79">
        <f t="shared" si="59"/>
        <v>0</v>
      </c>
      <c r="AK44" s="79">
        <f t="shared" si="60"/>
        <v>0</v>
      </c>
      <c r="AL44" s="79">
        <f t="shared" si="61"/>
        <v>0</v>
      </c>
      <c r="AM44" s="79">
        <f t="shared" si="62"/>
        <v>0</v>
      </c>
      <c r="AN44" s="79">
        <f t="shared" si="63"/>
        <v>0</v>
      </c>
      <c r="AO44" s="79">
        <f t="shared" si="64"/>
        <v>0</v>
      </c>
      <c r="AP44" s="79">
        <f t="shared" si="65"/>
        <v>0</v>
      </c>
      <c r="AQ44" s="79">
        <f t="shared" si="66"/>
        <v>0</v>
      </c>
      <c r="AR44" s="79">
        <f t="shared" si="67"/>
        <v>0</v>
      </c>
      <c r="AS44" s="79">
        <f t="shared" si="68"/>
        <v>0</v>
      </c>
      <c r="AT44" s="79">
        <f t="shared" si="69"/>
        <v>0</v>
      </c>
      <c r="AU44" s="79">
        <f t="shared" si="70"/>
        <v>0</v>
      </c>
    </row>
    <row r="45" spans="1:47" ht="23.1" customHeight="1">
      <c r="A45" s="81" t="s">
        <v>756</v>
      </c>
      <c r="B45" s="81" t="s">
        <v>765</v>
      </c>
      <c r="C45" s="82" t="s">
        <v>343</v>
      </c>
      <c r="D45" s="84">
        <v>2</v>
      </c>
      <c r="E45" s="84">
        <f>단가대비표!L105</f>
        <v>17252.501</v>
      </c>
      <c r="F45" s="84">
        <f t="shared" si="36"/>
        <v>34505</v>
      </c>
      <c r="G45" s="84">
        <v>0</v>
      </c>
      <c r="H45" s="84">
        <f t="shared" si="37"/>
        <v>0</v>
      </c>
      <c r="I45" s="84">
        <v>0</v>
      </c>
      <c r="J45" s="84">
        <f t="shared" si="38"/>
        <v>0</v>
      </c>
      <c r="K45" s="84">
        <f t="shared" si="39"/>
        <v>17252.501</v>
      </c>
      <c r="L45" s="84">
        <f t="shared" si="39"/>
        <v>34505</v>
      </c>
      <c r="M45" s="84"/>
      <c r="O45" s="79" t="str">
        <f t="shared" si="71"/>
        <v>01</v>
      </c>
      <c r="P45" s="86" t="s">
        <v>678</v>
      </c>
      <c r="Q45" s="79">
        <v>1</v>
      </c>
      <c r="R45" s="79">
        <f t="shared" si="41"/>
        <v>0</v>
      </c>
      <c r="S45" s="79">
        <f t="shared" si="42"/>
        <v>0</v>
      </c>
      <c r="T45" s="79">
        <f t="shared" si="43"/>
        <v>0</v>
      </c>
      <c r="U45" s="79">
        <f t="shared" si="44"/>
        <v>0</v>
      </c>
      <c r="V45" s="79">
        <f t="shared" si="45"/>
        <v>0</v>
      </c>
      <c r="W45" s="79">
        <f t="shared" si="46"/>
        <v>0</v>
      </c>
      <c r="X45" s="79">
        <f t="shared" si="47"/>
        <v>0</v>
      </c>
      <c r="Y45" s="79">
        <f t="shared" si="48"/>
        <v>0</v>
      </c>
      <c r="Z45" s="79">
        <f t="shared" si="49"/>
        <v>0</v>
      </c>
      <c r="AA45" s="79">
        <f t="shared" si="50"/>
        <v>0</v>
      </c>
      <c r="AB45" s="79">
        <f t="shared" si="51"/>
        <v>0</v>
      </c>
      <c r="AC45" s="79">
        <f t="shared" si="52"/>
        <v>0</v>
      </c>
      <c r="AD45" s="79">
        <f t="shared" si="53"/>
        <v>0</v>
      </c>
      <c r="AE45" s="79">
        <f t="shared" si="54"/>
        <v>0</v>
      </c>
      <c r="AF45" s="79">
        <f t="shared" si="55"/>
        <v>0</v>
      </c>
      <c r="AG45" s="79">
        <f t="shared" si="56"/>
        <v>0</v>
      </c>
      <c r="AH45" s="79">
        <f t="shared" si="57"/>
        <v>0</v>
      </c>
      <c r="AI45" s="79">
        <f t="shared" si="58"/>
        <v>0</v>
      </c>
      <c r="AJ45" s="79">
        <f t="shared" si="59"/>
        <v>0</v>
      </c>
      <c r="AK45" s="79">
        <f t="shared" si="60"/>
        <v>0</v>
      </c>
      <c r="AL45" s="79">
        <f t="shared" si="61"/>
        <v>0</v>
      </c>
      <c r="AM45" s="79">
        <f t="shared" si="62"/>
        <v>0</v>
      </c>
      <c r="AN45" s="79">
        <f t="shared" si="63"/>
        <v>0</v>
      </c>
      <c r="AO45" s="79">
        <f t="shared" si="64"/>
        <v>0</v>
      </c>
      <c r="AP45" s="79">
        <f t="shared" si="65"/>
        <v>0</v>
      </c>
      <c r="AQ45" s="79">
        <f t="shared" si="66"/>
        <v>0</v>
      </c>
      <c r="AR45" s="79">
        <f t="shared" si="67"/>
        <v>0</v>
      </c>
      <c r="AS45" s="79">
        <f t="shared" si="68"/>
        <v>0</v>
      </c>
      <c r="AT45" s="79">
        <f t="shared" si="69"/>
        <v>0</v>
      </c>
      <c r="AU45" s="79">
        <f t="shared" si="70"/>
        <v>0</v>
      </c>
    </row>
    <row r="46" spans="1:47" ht="23.1" customHeight="1">
      <c r="A46" s="81" t="s">
        <v>756</v>
      </c>
      <c r="B46" s="81" t="s">
        <v>766</v>
      </c>
      <c r="C46" s="82" t="s">
        <v>343</v>
      </c>
      <c r="D46" s="84">
        <v>2</v>
      </c>
      <c r="E46" s="84">
        <f>단가대비표!L103</f>
        <v>14001.379000000001</v>
      </c>
      <c r="F46" s="84">
        <f t="shared" si="36"/>
        <v>28002</v>
      </c>
      <c r="G46" s="84">
        <v>0</v>
      </c>
      <c r="H46" s="84">
        <f t="shared" si="37"/>
        <v>0</v>
      </c>
      <c r="I46" s="84">
        <v>0</v>
      </c>
      <c r="J46" s="84">
        <f t="shared" si="38"/>
        <v>0</v>
      </c>
      <c r="K46" s="84">
        <f t="shared" si="39"/>
        <v>14001.379000000001</v>
      </c>
      <c r="L46" s="84">
        <f t="shared" si="39"/>
        <v>28002</v>
      </c>
      <c r="M46" s="84"/>
      <c r="O46" s="79" t="str">
        <f t="shared" si="71"/>
        <v>01</v>
      </c>
      <c r="P46" s="86" t="s">
        <v>678</v>
      </c>
      <c r="Q46" s="79">
        <v>1</v>
      </c>
      <c r="R46" s="79">
        <f t="shared" si="41"/>
        <v>0</v>
      </c>
      <c r="S46" s="79">
        <f t="shared" si="42"/>
        <v>0</v>
      </c>
      <c r="T46" s="79">
        <f t="shared" si="43"/>
        <v>0</v>
      </c>
      <c r="U46" s="79">
        <f t="shared" si="44"/>
        <v>0</v>
      </c>
      <c r="V46" s="79">
        <f t="shared" si="45"/>
        <v>0</v>
      </c>
      <c r="W46" s="79">
        <f t="shared" si="46"/>
        <v>0</v>
      </c>
      <c r="X46" s="79">
        <f t="shared" si="47"/>
        <v>0</v>
      </c>
      <c r="Y46" s="79">
        <f t="shared" si="48"/>
        <v>0</v>
      </c>
      <c r="Z46" s="79">
        <f t="shared" si="49"/>
        <v>0</v>
      </c>
      <c r="AA46" s="79">
        <f t="shared" si="50"/>
        <v>0</v>
      </c>
      <c r="AB46" s="79">
        <f t="shared" si="51"/>
        <v>0</v>
      </c>
      <c r="AC46" s="79">
        <f t="shared" si="52"/>
        <v>0</v>
      </c>
      <c r="AD46" s="79">
        <f t="shared" si="53"/>
        <v>0</v>
      </c>
      <c r="AE46" s="79">
        <f t="shared" si="54"/>
        <v>0</v>
      </c>
      <c r="AF46" s="79">
        <f t="shared" si="55"/>
        <v>0</v>
      </c>
      <c r="AG46" s="79">
        <f t="shared" si="56"/>
        <v>0</v>
      </c>
      <c r="AH46" s="79">
        <f t="shared" si="57"/>
        <v>0</v>
      </c>
      <c r="AI46" s="79">
        <f t="shared" si="58"/>
        <v>0</v>
      </c>
      <c r="AJ46" s="79">
        <f t="shared" si="59"/>
        <v>0</v>
      </c>
      <c r="AK46" s="79">
        <f t="shared" si="60"/>
        <v>0</v>
      </c>
      <c r="AL46" s="79">
        <f t="shared" si="61"/>
        <v>0</v>
      </c>
      <c r="AM46" s="79">
        <f t="shared" si="62"/>
        <v>0</v>
      </c>
      <c r="AN46" s="79">
        <f t="shared" si="63"/>
        <v>0</v>
      </c>
      <c r="AO46" s="79">
        <f t="shared" si="64"/>
        <v>0</v>
      </c>
      <c r="AP46" s="79">
        <f t="shared" si="65"/>
        <v>0</v>
      </c>
      <c r="AQ46" s="79">
        <f t="shared" si="66"/>
        <v>0</v>
      </c>
      <c r="AR46" s="79">
        <f t="shared" si="67"/>
        <v>0</v>
      </c>
      <c r="AS46" s="79">
        <f t="shared" si="68"/>
        <v>0</v>
      </c>
      <c r="AT46" s="79">
        <f t="shared" si="69"/>
        <v>0</v>
      </c>
      <c r="AU46" s="79">
        <f t="shared" si="70"/>
        <v>0</v>
      </c>
    </row>
    <row r="47" spans="1:47" ht="23.1" customHeight="1">
      <c r="A47" s="81" t="s">
        <v>767</v>
      </c>
      <c r="B47" s="81" t="s">
        <v>768</v>
      </c>
      <c r="C47" s="82" t="s">
        <v>769</v>
      </c>
      <c r="D47" s="84">
        <v>4</v>
      </c>
      <c r="E47" s="84">
        <f>일위대가목록!G21</f>
        <v>148</v>
      </c>
      <c r="F47" s="84">
        <f t="shared" si="36"/>
        <v>592</v>
      </c>
      <c r="G47" s="84">
        <f>일위대가목록!I21</f>
        <v>9748</v>
      </c>
      <c r="H47" s="84">
        <f t="shared" si="37"/>
        <v>38992</v>
      </c>
      <c r="I47" s="84">
        <f>일위대가목록!K21</f>
        <v>11</v>
      </c>
      <c r="J47" s="84">
        <f t="shared" si="38"/>
        <v>44</v>
      </c>
      <c r="K47" s="84">
        <f t="shared" si="39"/>
        <v>9907</v>
      </c>
      <c r="L47" s="84">
        <f t="shared" si="39"/>
        <v>39628</v>
      </c>
      <c r="M47" s="84" t="s">
        <v>770</v>
      </c>
      <c r="O47" s="79" t="str">
        <f>""</f>
        <v/>
      </c>
      <c r="P47" s="86" t="s">
        <v>678</v>
      </c>
      <c r="Q47" s="79">
        <v>1</v>
      </c>
      <c r="R47" s="79">
        <f t="shared" si="41"/>
        <v>44</v>
      </c>
      <c r="S47" s="79">
        <f t="shared" si="42"/>
        <v>0</v>
      </c>
      <c r="T47" s="79">
        <f t="shared" si="43"/>
        <v>0</v>
      </c>
      <c r="U47" s="79">
        <f t="shared" si="44"/>
        <v>0</v>
      </c>
      <c r="V47" s="79">
        <f t="shared" si="45"/>
        <v>0</v>
      </c>
      <c r="W47" s="79">
        <f t="shared" si="46"/>
        <v>0</v>
      </c>
      <c r="X47" s="79">
        <f t="shared" si="47"/>
        <v>0</v>
      </c>
      <c r="Y47" s="79">
        <f t="shared" si="48"/>
        <v>0</v>
      </c>
      <c r="Z47" s="79">
        <f t="shared" si="49"/>
        <v>0</v>
      </c>
      <c r="AA47" s="79">
        <f t="shared" si="50"/>
        <v>0</v>
      </c>
      <c r="AB47" s="79">
        <f t="shared" si="51"/>
        <v>0</v>
      </c>
      <c r="AC47" s="79">
        <f t="shared" si="52"/>
        <v>0</v>
      </c>
      <c r="AD47" s="79">
        <f t="shared" si="53"/>
        <v>0</v>
      </c>
      <c r="AE47" s="79">
        <f t="shared" si="54"/>
        <v>0</v>
      </c>
      <c r="AF47" s="79">
        <f t="shared" si="55"/>
        <v>0</v>
      </c>
      <c r="AG47" s="79">
        <f t="shared" si="56"/>
        <v>0</v>
      </c>
      <c r="AH47" s="79">
        <f t="shared" si="57"/>
        <v>0</v>
      </c>
      <c r="AI47" s="79">
        <f t="shared" si="58"/>
        <v>0</v>
      </c>
      <c r="AJ47" s="79">
        <f t="shared" si="59"/>
        <v>0</v>
      </c>
      <c r="AK47" s="79">
        <f t="shared" si="60"/>
        <v>0</v>
      </c>
      <c r="AL47" s="79">
        <f t="shared" si="61"/>
        <v>0</v>
      </c>
      <c r="AM47" s="79">
        <f t="shared" si="62"/>
        <v>0</v>
      </c>
      <c r="AN47" s="79">
        <f t="shared" si="63"/>
        <v>0</v>
      </c>
      <c r="AO47" s="79">
        <f t="shared" si="64"/>
        <v>0</v>
      </c>
      <c r="AP47" s="79">
        <f t="shared" si="65"/>
        <v>0</v>
      </c>
      <c r="AQ47" s="79">
        <f t="shared" si="66"/>
        <v>0</v>
      </c>
      <c r="AR47" s="79">
        <f t="shared" si="67"/>
        <v>0</v>
      </c>
      <c r="AS47" s="79">
        <f t="shared" si="68"/>
        <v>0</v>
      </c>
      <c r="AT47" s="79">
        <f t="shared" si="69"/>
        <v>0</v>
      </c>
      <c r="AU47" s="79">
        <f t="shared" si="70"/>
        <v>0</v>
      </c>
    </row>
    <row r="48" spans="1:47" ht="23.1" customHeight="1">
      <c r="A48" s="81" t="s">
        <v>767</v>
      </c>
      <c r="B48" s="81" t="s">
        <v>771</v>
      </c>
      <c r="C48" s="82" t="s">
        <v>769</v>
      </c>
      <c r="D48" s="84">
        <v>2</v>
      </c>
      <c r="E48" s="84">
        <f>일위대가목록!G22</f>
        <v>234</v>
      </c>
      <c r="F48" s="84">
        <f t="shared" si="36"/>
        <v>468</v>
      </c>
      <c r="G48" s="84">
        <f>일위대가목록!I22</f>
        <v>13123</v>
      </c>
      <c r="H48" s="84">
        <f t="shared" si="37"/>
        <v>26246</v>
      </c>
      <c r="I48" s="84">
        <f>일위대가목록!K22</f>
        <v>16</v>
      </c>
      <c r="J48" s="84">
        <f t="shared" si="38"/>
        <v>32</v>
      </c>
      <c r="K48" s="84">
        <f t="shared" si="39"/>
        <v>13373</v>
      </c>
      <c r="L48" s="84">
        <f t="shared" si="39"/>
        <v>26746</v>
      </c>
      <c r="M48" s="84" t="s">
        <v>772</v>
      </c>
      <c r="O48" s="79" t="str">
        <f>""</f>
        <v/>
      </c>
      <c r="P48" s="86" t="s">
        <v>678</v>
      </c>
      <c r="Q48" s="79">
        <v>1</v>
      </c>
      <c r="R48" s="79">
        <f t="shared" si="41"/>
        <v>32</v>
      </c>
      <c r="S48" s="79">
        <f t="shared" si="42"/>
        <v>0</v>
      </c>
      <c r="T48" s="79">
        <f t="shared" si="43"/>
        <v>0</v>
      </c>
      <c r="U48" s="79">
        <f t="shared" si="44"/>
        <v>0</v>
      </c>
      <c r="V48" s="79">
        <f t="shared" si="45"/>
        <v>0</v>
      </c>
      <c r="W48" s="79">
        <f t="shared" si="46"/>
        <v>0</v>
      </c>
      <c r="X48" s="79">
        <f t="shared" si="47"/>
        <v>0</v>
      </c>
      <c r="Y48" s="79">
        <f t="shared" si="48"/>
        <v>0</v>
      </c>
      <c r="Z48" s="79">
        <f t="shared" si="49"/>
        <v>0</v>
      </c>
      <c r="AA48" s="79">
        <f t="shared" si="50"/>
        <v>0</v>
      </c>
      <c r="AB48" s="79">
        <f t="shared" si="51"/>
        <v>0</v>
      </c>
      <c r="AC48" s="79">
        <f t="shared" si="52"/>
        <v>0</v>
      </c>
      <c r="AD48" s="79">
        <f t="shared" si="53"/>
        <v>0</v>
      </c>
      <c r="AE48" s="79">
        <f t="shared" si="54"/>
        <v>0</v>
      </c>
      <c r="AF48" s="79">
        <f t="shared" si="55"/>
        <v>0</v>
      </c>
      <c r="AG48" s="79">
        <f t="shared" si="56"/>
        <v>0</v>
      </c>
      <c r="AH48" s="79">
        <f t="shared" si="57"/>
        <v>0</v>
      </c>
      <c r="AI48" s="79">
        <f t="shared" si="58"/>
        <v>0</v>
      </c>
      <c r="AJ48" s="79">
        <f t="shared" si="59"/>
        <v>0</v>
      </c>
      <c r="AK48" s="79">
        <f t="shared" si="60"/>
        <v>0</v>
      </c>
      <c r="AL48" s="79">
        <f t="shared" si="61"/>
        <v>0</v>
      </c>
      <c r="AM48" s="79">
        <f t="shared" si="62"/>
        <v>0</v>
      </c>
      <c r="AN48" s="79">
        <f t="shared" si="63"/>
        <v>0</v>
      </c>
      <c r="AO48" s="79">
        <f t="shared" si="64"/>
        <v>0</v>
      </c>
      <c r="AP48" s="79">
        <f t="shared" si="65"/>
        <v>0</v>
      </c>
      <c r="AQ48" s="79">
        <f t="shared" si="66"/>
        <v>0</v>
      </c>
      <c r="AR48" s="79">
        <f t="shared" si="67"/>
        <v>0</v>
      </c>
      <c r="AS48" s="79">
        <f t="shared" si="68"/>
        <v>0</v>
      </c>
      <c r="AT48" s="79">
        <f t="shared" si="69"/>
        <v>0</v>
      </c>
      <c r="AU48" s="79">
        <f t="shared" si="70"/>
        <v>0</v>
      </c>
    </row>
    <row r="49" spans="1:47" ht="23.1" customHeight="1">
      <c r="A49" s="81" t="s">
        <v>767</v>
      </c>
      <c r="B49" s="81" t="s">
        <v>773</v>
      </c>
      <c r="C49" s="82" t="s">
        <v>769</v>
      </c>
      <c r="D49" s="84">
        <v>16</v>
      </c>
      <c r="E49" s="84">
        <f>일위대가목록!G23</f>
        <v>299</v>
      </c>
      <c r="F49" s="84">
        <f t="shared" si="36"/>
        <v>4784</v>
      </c>
      <c r="G49" s="84">
        <f>일위대가목록!I23</f>
        <v>15935</v>
      </c>
      <c r="H49" s="84">
        <f t="shared" si="37"/>
        <v>254960</v>
      </c>
      <c r="I49" s="84">
        <f>일위대가목록!K23</f>
        <v>20</v>
      </c>
      <c r="J49" s="84">
        <f t="shared" si="38"/>
        <v>320</v>
      </c>
      <c r="K49" s="84">
        <f t="shared" si="39"/>
        <v>16254</v>
      </c>
      <c r="L49" s="84">
        <f t="shared" si="39"/>
        <v>260064</v>
      </c>
      <c r="M49" s="84" t="s">
        <v>774</v>
      </c>
      <c r="O49" s="79" t="str">
        <f>""</f>
        <v/>
      </c>
      <c r="P49" s="86" t="s">
        <v>678</v>
      </c>
      <c r="Q49" s="79">
        <v>1</v>
      </c>
      <c r="R49" s="79">
        <f t="shared" si="41"/>
        <v>320</v>
      </c>
      <c r="S49" s="79">
        <f t="shared" si="42"/>
        <v>0</v>
      </c>
      <c r="T49" s="79">
        <f t="shared" si="43"/>
        <v>0</v>
      </c>
      <c r="U49" s="79">
        <f t="shared" si="44"/>
        <v>0</v>
      </c>
      <c r="V49" s="79">
        <f t="shared" si="45"/>
        <v>0</v>
      </c>
      <c r="W49" s="79">
        <f t="shared" si="46"/>
        <v>0</v>
      </c>
      <c r="X49" s="79">
        <f t="shared" si="47"/>
        <v>0</v>
      </c>
      <c r="Y49" s="79">
        <f t="shared" si="48"/>
        <v>0</v>
      </c>
      <c r="Z49" s="79">
        <f t="shared" si="49"/>
        <v>0</v>
      </c>
      <c r="AA49" s="79">
        <f t="shared" si="50"/>
        <v>0</v>
      </c>
      <c r="AB49" s="79">
        <f t="shared" si="51"/>
        <v>0</v>
      </c>
      <c r="AC49" s="79">
        <f t="shared" si="52"/>
        <v>0</v>
      </c>
      <c r="AD49" s="79">
        <f t="shared" si="53"/>
        <v>0</v>
      </c>
      <c r="AE49" s="79">
        <f t="shared" si="54"/>
        <v>0</v>
      </c>
      <c r="AF49" s="79">
        <f t="shared" si="55"/>
        <v>0</v>
      </c>
      <c r="AG49" s="79">
        <f t="shared" si="56"/>
        <v>0</v>
      </c>
      <c r="AH49" s="79">
        <f t="shared" si="57"/>
        <v>0</v>
      </c>
      <c r="AI49" s="79">
        <f t="shared" si="58"/>
        <v>0</v>
      </c>
      <c r="AJ49" s="79">
        <f t="shared" si="59"/>
        <v>0</v>
      </c>
      <c r="AK49" s="79">
        <f t="shared" si="60"/>
        <v>0</v>
      </c>
      <c r="AL49" s="79">
        <f t="shared" si="61"/>
        <v>0</v>
      </c>
      <c r="AM49" s="79">
        <f t="shared" si="62"/>
        <v>0</v>
      </c>
      <c r="AN49" s="79">
        <f t="shared" si="63"/>
        <v>0</v>
      </c>
      <c r="AO49" s="79">
        <f t="shared" si="64"/>
        <v>0</v>
      </c>
      <c r="AP49" s="79">
        <f t="shared" si="65"/>
        <v>0</v>
      </c>
      <c r="AQ49" s="79">
        <f t="shared" si="66"/>
        <v>0</v>
      </c>
      <c r="AR49" s="79">
        <f t="shared" si="67"/>
        <v>0</v>
      </c>
      <c r="AS49" s="79">
        <f t="shared" si="68"/>
        <v>0</v>
      </c>
      <c r="AT49" s="79">
        <f t="shared" si="69"/>
        <v>0</v>
      </c>
      <c r="AU49" s="79">
        <f t="shared" si="70"/>
        <v>0</v>
      </c>
    </row>
    <row r="50" spans="1:47" ht="23.1" customHeight="1">
      <c r="A50" s="81" t="s">
        <v>767</v>
      </c>
      <c r="B50" s="81" t="s">
        <v>775</v>
      </c>
      <c r="C50" s="82" t="s">
        <v>769</v>
      </c>
      <c r="D50" s="84">
        <v>2</v>
      </c>
      <c r="E50" s="84">
        <f>일위대가목록!G24</f>
        <v>720</v>
      </c>
      <c r="F50" s="84">
        <f t="shared" si="36"/>
        <v>1440</v>
      </c>
      <c r="G50" s="84">
        <f>일위대가목록!I24</f>
        <v>19684</v>
      </c>
      <c r="H50" s="84">
        <f t="shared" si="37"/>
        <v>39368</v>
      </c>
      <c r="I50" s="84">
        <f>일위대가목록!K24</f>
        <v>25</v>
      </c>
      <c r="J50" s="84">
        <f t="shared" si="38"/>
        <v>50</v>
      </c>
      <c r="K50" s="84">
        <f t="shared" si="39"/>
        <v>20429</v>
      </c>
      <c r="L50" s="84">
        <f t="shared" si="39"/>
        <v>40858</v>
      </c>
      <c r="M50" s="84" t="s">
        <v>776</v>
      </c>
      <c r="O50" s="79" t="str">
        <f>""</f>
        <v/>
      </c>
      <c r="P50" s="86" t="s">
        <v>678</v>
      </c>
      <c r="Q50" s="79">
        <v>1</v>
      </c>
      <c r="R50" s="79">
        <f t="shared" si="41"/>
        <v>50</v>
      </c>
      <c r="S50" s="79">
        <f t="shared" si="42"/>
        <v>0</v>
      </c>
      <c r="T50" s="79">
        <f t="shared" si="43"/>
        <v>0</v>
      </c>
      <c r="U50" s="79">
        <f t="shared" si="44"/>
        <v>0</v>
      </c>
      <c r="V50" s="79">
        <f t="shared" si="45"/>
        <v>0</v>
      </c>
      <c r="W50" s="79">
        <f t="shared" si="46"/>
        <v>0</v>
      </c>
      <c r="X50" s="79">
        <f t="shared" si="47"/>
        <v>0</v>
      </c>
      <c r="Y50" s="79">
        <f t="shared" si="48"/>
        <v>0</v>
      </c>
      <c r="Z50" s="79">
        <f t="shared" si="49"/>
        <v>0</v>
      </c>
      <c r="AA50" s="79">
        <f t="shared" si="50"/>
        <v>0</v>
      </c>
      <c r="AB50" s="79">
        <f t="shared" si="51"/>
        <v>0</v>
      </c>
      <c r="AC50" s="79">
        <f t="shared" si="52"/>
        <v>0</v>
      </c>
      <c r="AD50" s="79">
        <f t="shared" si="53"/>
        <v>0</v>
      </c>
      <c r="AE50" s="79">
        <f t="shared" si="54"/>
        <v>0</v>
      </c>
      <c r="AF50" s="79">
        <f t="shared" si="55"/>
        <v>0</v>
      </c>
      <c r="AG50" s="79">
        <f t="shared" si="56"/>
        <v>0</v>
      </c>
      <c r="AH50" s="79">
        <f t="shared" si="57"/>
        <v>0</v>
      </c>
      <c r="AI50" s="79">
        <f t="shared" si="58"/>
        <v>0</v>
      </c>
      <c r="AJ50" s="79">
        <f t="shared" si="59"/>
        <v>0</v>
      </c>
      <c r="AK50" s="79">
        <f t="shared" si="60"/>
        <v>0</v>
      </c>
      <c r="AL50" s="79">
        <f t="shared" si="61"/>
        <v>0</v>
      </c>
      <c r="AM50" s="79">
        <f t="shared" si="62"/>
        <v>0</v>
      </c>
      <c r="AN50" s="79">
        <f t="shared" si="63"/>
        <v>0</v>
      </c>
      <c r="AO50" s="79">
        <f t="shared" si="64"/>
        <v>0</v>
      </c>
      <c r="AP50" s="79">
        <f t="shared" si="65"/>
        <v>0</v>
      </c>
      <c r="AQ50" s="79">
        <f t="shared" si="66"/>
        <v>0</v>
      </c>
      <c r="AR50" s="79">
        <f t="shared" si="67"/>
        <v>0</v>
      </c>
      <c r="AS50" s="79">
        <f t="shared" si="68"/>
        <v>0</v>
      </c>
      <c r="AT50" s="79">
        <f t="shared" si="69"/>
        <v>0</v>
      </c>
      <c r="AU50" s="79">
        <f t="shared" si="70"/>
        <v>0</v>
      </c>
    </row>
    <row r="51" spans="1:47" ht="23.1" customHeight="1">
      <c r="A51" s="81" t="s">
        <v>767</v>
      </c>
      <c r="B51" s="81" t="s">
        <v>777</v>
      </c>
      <c r="C51" s="82" t="s">
        <v>769</v>
      </c>
      <c r="D51" s="84">
        <v>8</v>
      </c>
      <c r="E51" s="84">
        <f>일위대가목록!G25</f>
        <v>889</v>
      </c>
      <c r="F51" s="84">
        <f t="shared" si="36"/>
        <v>7112</v>
      </c>
      <c r="G51" s="84">
        <f>일위대가목록!I25</f>
        <v>22684</v>
      </c>
      <c r="H51" s="84">
        <f t="shared" si="37"/>
        <v>181472</v>
      </c>
      <c r="I51" s="84">
        <f>일위대가목록!K25</f>
        <v>50</v>
      </c>
      <c r="J51" s="84">
        <f t="shared" si="38"/>
        <v>400</v>
      </c>
      <c r="K51" s="84">
        <f t="shared" si="39"/>
        <v>23623</v>
      </c>
      <c r="L51" s="84">
        <f t="shared" si="39"/>
        <v>188984</v>
      </c>
      <c r="M51" s="84" t="s">
        <v>778</v>
      </c>
      <c r="O51" s="79" t="str">
        <f>""</f>
        <v/>
      </c>
      <c r="P51" s="86" t="s">
        <v>678</v>
      </c>
      <c r="Q51" s="79">
        <v>1</v>
      </c>
      <c r="R51" s="79">
        <f t="shared" si="41"/>
        <v>400</v>
      </c>
      <c r="S51" s="79">
        <f t="shared" si="42"/>
        <v>0</v>
      </c>
      <c r="T51" s="79">
        <f t="shared" si="43"/>
        <v>0</v>
      </c>
      <c r="U51" s="79">
        <f t="shared" si="44"/>
        <v>0</v>
      </c>
      <c r="V51" s="79">
        <f t="shared" si="45"/>
        <v>0</v>
      </c>
      <c r="W51" s="79">
        <f t="shared" si="46"/>
        <v>0</v>
      </c>
      <c r="X51" s="79">
        <f t="shared" si="47"/>
        <v>0</v>
      </c>
      <c r="Y51" s="79">
        <f t="shared" si="48"/>
        <v>0</v>
      </c>
      <c r="Z51" s="79">
        <f t="shared" si="49"/>
        <v>0</v>
      </c>
      <c r="AA51" s="79">
        <f t="shared" si="50"/>
        <v>0</v>
      </c>
      <c r="AB51" s="79">
        <f t="shared" si="51"/>
        <v>0</v>
      </c>
      <c r="AC51" s="79">
        <f t="shared" si="52"/>
        <v>0</v>
      </c>
      <c r="AD51" s="79">
        <f t="shared" si="53"/>
        <v>0</v>
      </c>
      <c r="AE51" s="79">
        <f t="shared" si="54"/>
        <v>0</v>
      </c>
      <c r="AF51" s="79">
        <f t="shared" si="55"/>
        <v>0</v>
      </c>
      <c r="AG51" s="79">
        <f t="shared" si="56"/>
        <v>0</v>
      </c>
      <c r="AH51" s="79">
        <f t="shared" si="57"/>
        <v>0</v>
      </c>
      <c r="AI51" s="79">
        <f t="shared" si="58"/>
        <v>0</v>
      </c>
      <c r="AJ51" s="79">
        <f t="shared" si="59"/>
        <v>0</v>
      </c>
      <c r="AK51" s="79">
        <f t="shared" si="60"/>
        <v>0</v>
      </c>
      <c r="AL51" s="79">
        <f t="shared" si="61"/>
        <v>0</v>
      </c>
      <c r="AM51" s="79">
        <f t="shared" si="62"/>
        <v>0</v>
      </c>
      <c r="AN51" s="79">
        <f t="shared" si="63"/>
        <v>0</v>
      </c>
      <c r="AO51" s="79">
        <f t="shared" si="64"/>
        <v>0</v>
      </c>
      <c r="AP51" s="79">
        <f t="shared" si="65"/>
        <v>0</v>
      </c>
      <c r="AQ51" s="79">
        <f t="shared" si="66"/>
        <v>0</v>
      </c>
      <c r="AR51" s="79">
        <f t="shared" si="67"/>
        <v>0</v>
      </c>
      <c r="AS51" s="79">
        <f t="shared" si="68"/>
        <v>0</v>
      </c>
      <c r="AT51" s="79">
        <f t="shared" si="69"/>
        <v>0</v>
      </c>
      <c r="AU51" s="79">
        <f t="shared" si="70"/>
        <v>0</v>
      </c>
    </row>
    <row r="52" spans="1:47" ht="23.1" customHeight="1">
      <c r="A52" s="81" t="s">
        <v>767</v>
      </c>
      <c r="B52" s="81" t="s">
        <v>779</v>
      </c>
      <c r="C52" s="82" t="s">
        <v>769</v>
      </c>
      <c r="D52" s="84">
        <v>34</v>
      </c>
      <c r="E52" s="84">
        <f>일위대가목록!G26</f>
        <v>1262</v>
      </c>
      <c r="F52" s="84">
        <f t="shared" si="36"/>
        <v>42908</v>
      </c>
      <c r="G52" s="84">
        <f>일위대가목록!I26</f>
        <v>28495</v>
      </c>
      <c r="H52" s="84">
        <f t="shared" si="37"/>
        <v>968830</v>
      </c>
      <c r="I52" s="84">
        <f>일위대가목록!K26</f>
        <v>65</v>
      </c>
      <c r="J52" s="84">
        <f t="shared" si="38"/>
        <v>2210</v>
      </c>
      <c r="K52" s="84">
        <f t="shared" si="39"/>
        <v>29822</v>
      </c>
      <c r="L52" s="84">
        <f t="shared" si="39"/>
        <v>1013948</v>
      </c>
      <c r="M52" s="84" t="s">
        <v>780</v>
      </c>
      <c r="O52" s="79" t="str">
        <f>""</f>
        <v/>
      </c>
      <c r="P52" s="86" t="s">
        <v>678</v>
      </c>
      <c r="Q52" s="79">
        <v>1</v>
      </c>
      <c r="R52" s="79">
        <f t="shared" si="41"/>
        <v>2210</v>
      </c>
      <c r="S52" s="79">
        <f t="shared" si="42"/>
        <v>0</v>
      </c>
      <c r="T52" s="79">
        <f t="shared" si="43"/>
        <v>0</v>
      </c>
      <c r="U52" s="79">
        <f t="shared" si="44"/>
        <v>0</v>
      </c>
      <c r="V52" s="79">
        <f t="shared" si="45"/>
        <v>0</v>
      </c>
      <c r="W52" s="79">
        <f t="shared" si="46"/>
        <v>0</v>
      </c>
      <c r="X52" s="79">
        <f t="shared" si="47"/>
        <v>0</v>
      </c>
      <c r="Y52" s="79">
        <f t="shared" si="48"/>
        <v>0</v>
      </c>
      <c r="Z52" s="79">
        <f t="shared" si="49"/>
        <v>0</v>
      </c>
      <c r="AA52" s="79">
        <f t="shared" si="50"/>
        <v>0</v>
      </c>
      <c r="AB52" s="79">
        <f t="shared" si="51"/>
        <v>0</v>
      </c>
      <c r="AC52" s="79">
        <f t="shared" si="52"/>
        <v>0</v>
      </c>
      <c r="AD52" s="79">
        <f t="shared" si="53"/>
        <v>0</v>
      </c>
      <c r="AE52" s="79">
        <f t="shared" si="54"/>
        <v>0</v>
      </c>
      <c r="AF52" s="79">
        <f t="shared" si="55"/>
        <v>0</v>
      </c>
      <c r="AG52" s="79">
        <f t="shared" si="56"/>
        <v>0</v>
      </c>
      <c r="AH52" s="79">
        <f t="shared" si="57"/>
        <v>0</v>
      </c>
      <c r="AI52" s="79">
        <f t="shared" si="58"/>
        <v>0</v>
      </c>
      <c r="AJ52" s="79">
        <f t="shared" si="59"/>
        <v>0</v>
      </c>
      <c r="AK52" s="79">
        <f t="shared" si="60"/>
        <v>0</v>
      </c>
      <c r="AL52" s="79">
        <f t="shared" si="61"/>
        <v>0</v>
      </c>
      <c r="AM52" s="79">
        <f t="shared" si="62"/>
        <v>0</v>
      </c>
      <c r="AN52" s="79">
        <f t="shared" si="63"/>
        <v>0</v>
      </c>
      <c r="AO52" s="79">
        <f t="shared" si="64"/>
        <v>0</v>
      </c>
      <c r="AP52" s="79">
        <f t="shared" si="65"/>
        <v>0</v>
      </c>
      <c r="AQ52" s="79">
        <f t="shared" si="66"/>
        <v>0</v>
      </c>
      <c r="AR52" s="79">
        <f t="shared" si="67"/>
        <v>0</v>
      </c>
      <c r="AS52" s="79">
        <f t="shared" si="68"/>
        <v>0</v>
      </c>
      <c r="AT52" s="79">
        <f t="shared" si="69"/>
        <v>0</v>
      </c>
      <c r="AU52" s="79">
        <f t="shared" si="70"/>
        <v>0</v>
      </c>
    </row>
    <row r="53" spans="1:47" ht="23.1" customHeight="1">
      <c r="A53" s="81" t="s">
        <v>767</v>
      </c>
      <c r="B53" s="81" t="s">
        <v>781</v>
      </c>
      <c r="C53" s="82" t="s">
        <v>769</v>
      </c>
      <c r="D53" s="84">
        <v>44</v>
      </c>
      <c r="E53" s="84">
        <f>일위대가목록!G27</f>
        <v>2289</v>
      </c>
      <c r="F53" s="84">
        <f t="shared" si="36"/>
        <v>100716</v>
      </c>
      <c r="G53" s="84">
        <f>일위대가목록!I27</f>
        <v>40494</v>
      </c>
      <c r="H53" s="84">
        <f t="shared" si="37"/>
        <v>1781736</v>
      </c>
      <c r="I53" s="84">
        <f>일위대가목록!K27</f>
        <v>94</v>
      </c>
      <c r="J53" s="84">
        <f t="shared" si="38"/>
        <v>4136</v>
      </c>
      <c r="K53" s="84">
        <f t="shared" si="39"/>
        <v>42877</v>
      </c>
      <c r="L53" s="84">
        <f t="shared" si="39"/>
        <v>1886588</v>
      </c>
      <c r="M53" s="84" t="s">
        <v>782</v>
      </c>
      <c r="O53" s="79" t="str">
        <f>""</f>
        <v/>
      </c>
      <c r="P53" s="86" t="s">
        <v>678</v>
      </c>
      <c r="Q53" s="79">
        <v>1</v>
      </c>
      <c r="R53" s="79">
        <f t="shared" si="41"/>
        <v>4136</v>
      </c>
      <c r="S53" s="79">
        <f t="shared" si="42"/>
        <v>0</v>
      </c>
      <c r="T53" s="79">
        <f t="shared" si="43"/>
        <v>0</v>
      </c>
      <c r="U53" s="79">
        <f t="shared" si="44"/>
        <v>0</v>
      </c>
      <c r="V53" s="79">
        <f t="shared" si="45"/>
        <v>0</v>
      </c>
      <c r="W53" s="79">
        <f t="shared" si="46"/>
        <v>0</v>
      </c>
      <c r="X53" s="79">
        <f t="shared" si="47"/>
        <v>0</v>
      </c>
      <c r="Y53" s="79">
        <f t="shared" si="48"/>
        <v>0</v>
      </c>
      <c r="Z53" s="79">
        <f t="shared" si="49"/>
        <v>0</v>
      </c>
      <c r="AA53" s="79">
        <f t="shared" si="50"/>
        <v>0</v>
      </c>
      <c r="AB53" s="79">
        <f t="shared" si="51"/>
        <v>0</v>
      </c>
      <c r="AC53" s="79">
        <f t="shared" si="52"/>
        <v>0</v>
      </c>
      <c r="AD53" s="79">
        <f t="shared" si="53"/>
        <v>0</v>
      </c>
      <c r="AE53" s="79">
        <f t="shared" si="54"/>
        <v>0</v>
      </c>
      <c r="AF53" s="79">
        <f t="shared" si="55"/>
        <v>0</v>
      </c>
      <c r="AG53" s="79">
        <f t="shared" si="56"/>
        <v>0</v>
      </c>
      <c r="AH53" s="79">
        <f t="shared" si="57"/>
        <v>0</v>
      </c>
      <c r="AI53" s="79">
        <f t="shared" si="58"/>
        <v>0</v>
      </c>
      <c r="AJ53" s="79">
        <f t="shared" si="59"/>
        <v>0</v>
      </c>
      <c r="AK53" s="79">
        <f t="shared" si="60"/>
        <v>0</v>
      </c>
      <c r="AL53" s="79">
        <f t="shared" si="61"/>
        <v>0</v>
      </c>
      <c r="AM53" s="79">
        <f t="shared" si="62"/>
        <v>0</v>
      </c>
      <c r="AN53" s="79">
        <f t="shared" si="63"/>
        <v>0</v>
      </c>
      <c r="AO53" s="79">
        <f t="shared" si="64"/>
        <v>0</v>
      </c>
      <c r="AP53" s="79">
        <f t="shared" si="65"/>
        <v>0</v>
      </c>
      <c r="AQ53" s="79">
        <f t="shared" si="66"/>
        <v>0</v>
      </c>
      <c r="AR53" s="79">
        <f t="shared" si="67"/>
        <v>0</v>
      </c>
      <c r="AS53" s="79">
        <f t="shared" si="68"/>
        <v>0</v>
      </c>
      <c r="AT53" s="79">
        <f t="shared" si="69"/>
        <v>0</v>
      </c>
      <c r="AU53" s="79">
        <f t="shared" si="70"/>
        <v>0</v>
      </c>
    </row>
    <row r="54" spans="1:47" ht="23.1" customHeight="1">
      <c r="A54" s="81" t="s">
        <v>783</v>
      </c>
      <c r="B54" s="81" t="s">
        <v>784</v>
      </c>
      <c r="C54" s="82" t="s">
        <v>343</v>
      </c>
      <c r="D54" s="84">
        <f>공량산출서!F36</f>
        <v>2</v>
      </c>
      <c r="E54" s="84">
        <f>단가대비표!L71</f>
        <v>87115.7</v>
      </c>
      <c r="F54" s="84">
        <f t="shared" si="36"/>
        <v>174231</v>
      </c>
      <c r="G54" s="84">
        <v>0</v>
      </c>
      <c r="H54" s="84">
        <f t="shared" si="37"/>
        <v>0</v>
      </c>
      <c r="I54" s="84">
        <v>0</v>
      </c>
      <c r="J54" s="84">
        <f t="shared" si="38"/>
        <v>0</v>
      </c>
      <c r="K54" s="84">
        <f t="shared" si="39"/>
        <v>87115.7</v>
      </c>
      <c r="L54" s="84">
        <f t="shared" si="39"/>
        <v>174231</v>
      </c>
      <c r="M54" s="84"/>
      <c r="O54" s="79" t="str">
        <f t="shared" ref="O54:O65" si="72">"01"</f>
        <v>01</v>
      </c>
      <c r="P54" s="86" t="s">
        <v>678</v>
      </c>
      <c r="Q54" s="79">
        <v>1</v>
      </c>
      <c r="R54" s="79">
        <f t="shared" si="41"/>
        <v>0</v>
      </c>
      <c r="S54" s="79">
        <f t="shared" si="42"/>
        <v>0</v>
      </c>
      <c r="T54" s="79">
        <f t="shared" si="43"/>
        <v>0</v>
      </c>
      <c r="U54" s="79">
        <f t="shared" si="44"/>
        <v>0</v>
      </c>
      <c r="V54" s="79">
        <f t="shared" si="45"/>
        <v>0</v>
      </c>
      <c r="W54" s="79">
        <f t="shared" si="46"/>
        <v>0</v>
      </c>
      <c r="X54" s="79">
        <f t="shared" si="47"/>
        <v>0</v>
      </c>
      <c r="Y54" s="79">
        <f t="shared" si="48"/>
        <v>0</v>
      </c>
      <c r="Z54" s="79">
        <f t="shared" si="49"/>
        <v>0</v>
      </c>
      <c r="AA54" s="79">
        <f t="shared" si="50"/>
        <v>0</v>
      </c>
      <c r="AB54" s="79">
        <f t="shared" si="51"/>
        <v>0</v>
      </c>
      <c r="AC54" s="79">
        <f t="shared" si="52"/>
        <v>0</v>
      </c>
      <c r="AD54" s="79">
        <f t="shared" si="53"/>
        <v>0</v>
      </c>
      <c r="AE54" s="79">
        <f t="shared" si="54"/>
        <v>0</v>
      </c>
      <c r="AF54" s="79">
        <f t="shared" si="55"/>
        <v>0</v>
      </c>
      <c r="AG54" s="79">
        <f t="shared" si="56"/>
        <v>0</v>
      </c>
      <c r="AH54" s="79">
        <f t="shared" si="57"/>
        <v>0</v>
      </c>
      <c r="AI54" s="79">
        <f t="shared" si="58"/>
        <v>0</v>
      </c>
      <c r="AJ54" s="79">
        <f t="shared" si="59"/>
        <v>0</v>
      </c>
      <c r="AK54" s="79">
        <f t="shared" si="60"/>
        <v>0</v>
      </c>
      <c r="AL54" s="79">
        <f t="shared" si="61"/>
        <v>0</v>
      </c>
      <c r="AM54" s="79">
        <f t="shared" si="62"/>
        <v>0</v>
      </c>
      <c r="AN54" s="79">
        <f t="shared" si="63"/>
        <v>0</v>
      </c>
      <c r="AO54" s="79">
        <f t="shared" si="64"/>
        <v>0</v>
      </c>
      <c r="AP54" s="79">
        <f t="shared" si="65"/>
        <v>0</v>
      </c>
      <c r="AQ54" s="79">
        <f t="shared" si="66"/>
        <v>0</v>
      </c>
      <c r="AR54" s="79">
        <f t="shared" si="67"/>
        <v>0</v>
      </c>
      <c r="AS54" s="79">
        <f t="shared" si="68"/>
        <v>0</v>
      </c>
      <c r="AT54" s="79">
        <f t="shared" si="69"/>
        <v>0</v>
      </c>
      <c r="AU54" s="79">
        <f t="shared" si="70"/>
        <v>0</v>
      </c>
    </row>
    <row r="55" spans="1:47" ht="23.1" customHeight="1">
      <c r="A55" s="81" t="s">
        <v>785</v>
      </c>
      <c r="B55" s="81" t="s">
        <v>786</v>
      </c>
      <c r="C55" s="82" t="s">
        <v>343</v>
      </c>
      <c r="D55" s="84">
        <f>공량산출서!F38</f>
        <v>2</v>
      </c>
      <c r="E55" s="84">
        <f>단가대비표!L20</f>
        <v>186445.56</v>
      </c>
      <c r="F55" s="84">
        <f t="shared" si="36"/>
        <v>372891</v>
      </c>
      <c r="G55" s="84">
        <v>0</v>
      </c>
      <c r="H55" s="84">
        <f t="shared" si="37"/>
        <v>0</v>
      </c>
      <c r="I55" s="84">
        <v>0</v>
      </c>
      <c r="J55" s="84">
        <f t="shared" si="38"/>
        <v>0</v>
      </c>
      <c r="K55" s="84">
        <f t="shared" si="39"/>
        <v>186445.56</v>
      </c>
      <c r="L55" s="84">
        <f t="shared" si="39"/>
        <v>372891</v>
      </c>
      <c r="M55" s="84"/>
      <c r="O55" s="79" t="str">
        <f t="shared" si="72"/>
        <v>01</v>
      </c>
      <c r="P55" s="86" t="s">
        <v>678</v>
      </c>
      <c r="Q55" s="79">
        <v>1</v>
      </c>
      <c r="R55" s="79">
        <f t="shared" si="41"/>
        <v>0</v>
      </c>
      <c r="S55" s="79">
        <f t="shared" si="42"/>
        <v>0</v>
      </c>
      <c r="T55" s="79">
        <f t="shared" si="43"/>
        <v>0</v>
      </c>
      <c r="U55" s="79">
        <f t="shared" si="44"/>
        <v>0</v>
      </c>
      <c r="V55" s="79">
        <f t="shared" si="45"/>
        <v>0</v>
      </c>
      <c r="W55" s="79">
        <f t="shared" si="46"/>
        <v>0</v>
      </c>
      <c r="X55" s="79">
        <f t="shared" si="47"/>
        <v>0</v>
      </c>
      <c r="Y55" s="79">
        <f t="shared" si="48"/>
        <v>0</v>
      </c>
      <c r="Z55" s="79">
        <f t="shared" si="49"/>
        <v>0</v>
      </c>
      <c r="AA55" s="79">
        <f t="shared" si="50"/>
        <v>0</v>
      </c>
      <c r="AB55" s="79">
        <f t="shared" si="51"/>
        <v>0</v>
      </c>
      <c r="AC55" s="79">
        <f t="shared" si="52"/>
        <v>0</v>
      </c>
      <c r="AD55" s="79">
        <f t="shared" si="53"/>
        <v>0</v>
      </c>
      <c r="AE55" s="79">
        <f t="shared" si="54"/>
        <v>0</v>
      </c>
      <c r="AF55" s="79">
        <f t="shared" si="55"/>
        <v>0</v>
      </c>
      <c r="AG55" s="79">
        <f t="shared" si="56"/>
        <v>0</v>
      </c>
      <c r="AH55" s="79">
        <f t="shared" si="57"/>
        <v>0</v>
      </c>
      <c r="AI55" s="79">
        <f t="shared" si="58"/>
        <v>0</v>
      </c>
      <c r="AJ55" s="79">
        <f t="shared" si="59"/>
        <v>0</v>
      </c>
      <c r="AK55" s="79">
        <f t="shared" si="60"/>
        <v>0</v>
      </c>
      <c r="AL55" s="79">
        <f t="shared" si="61"/>
        <v>0</v>
      </c>
      <c r="AM55" s="79">
        <f t="shared" si="62"/>
        <v>0</v>
      </c>
      <c r="AN55" s="79">
        <f t="shared" si="63"/>
        <v>0</v>
      </c>
      <c r="AO55" s="79">
        <f t="shared" si="64"/>
        <v>0</v>
      </c>
      <c r="AP55" s="79">
        <f t="shared" si="65"/>
        <v>0</v>
      </c>
      <c r="AQ55" s="79">
        <f t="shared" si="66"/>
        <v>0</v>
      </c>
      <c r="AR55" s="79">
        <f t="shared" si="67"/>
        <v>0</v>
      </c>
      <c r="AS55" s="79">
        <f t="shared" si="68"/>
        <v>0</v>
      </c>
      <c r="AT55" s="79">
        <f t="shared" si="69"/>
        <v>0</v>
      </c>
      <c r="AU55" s="79">
        <f t="shared" si="70"/>
        <v>0</v>
      </c>
    </row>
    <row r="56" spans="1:47" ht="23.1" customHeight="1">
      <c r="A56" s="81" t="s">
        <v>787</v>
      </c>
      <c r="B56" s="81" t="s">
        <v>788</v>
      </c>
      <c r="C56" s="82" t="s">
        <v>343</v>
      </c>
      <c r="D56" s="84">
        <f>공량산출서!F40</f>
        <v>2</v>
      </c>
      <c r="E56" s="84">
        <f>단가대비표!L8</f>
        <v>85337.462</v>
      </c>
      <c r="F56" s="84">
        <f t="shared" si="36"/>
        <v>170674</v>
      </c>
      <c r="G56" s="84">
        <v>0</v>
      </c>
      <c r="H56" s="84">
        <f t="shared" si="37"/>
        <v>0</v>
      </c>
      <c r="I56" s="84">
        <v>0</v>
      </c>
      <c r="J56" s="84">
        <f t="shared" si="38"/>
        <v>0</v>
      </c>
      <c r="K56" s="84">
        <f t="shared" ref="K56:L90" si="73">E56+G56+I56</f>
        <v>85337.462</v>
      </c>
      <c r="L56" s="84">
        <f t="shared" si="73"/>
        <v>170674</v>
      </c>
      <c r="M56" s="84"/>
      <c r="O56" s="79" t="str">
        <f t="shared" si="72"/>
        <v>01</v>
      </c>
      <c r="P56" s="86" t="s">
        <v>678</v>
      </c>
      <c r="Q56" s="79">
        <v>1</v>
      </c>
      <c r="R56" s="79">
        <f t="shared" si="41"/>
        <v>0</v>
      </c>
      <c r="S56" s="79">
        <f t="shared" si="42"/>
        <v>0</v>
      </c>
      <c r="T56" s="79">
        <f t="shared" si="43"/>
        <v>0</v>
      </c>
      <c r="U56" s="79">
        <f t="shared" si="44"/>
        <v>0</v>
      </c>
      <c r="V56" s="79">
        <f t="shared" si="45"/>
        <v>0</v>
      </c>
      <c r="W56" s="79">
        <f t="shared" si="46"/>
        <v>0</v>
      </c>
      <c r="X56" s="79">
        <f t="shared" si="47"/>
        <v>0</v>
      </c>
      <c r="Y56" s="79">
        <f t="shared" si="48"/>
        <v>0</v>
      </c>
      <c r="Z56" s="79">
        <f t="shared" si="49"/>
        <v>0</v>
      </c>
      <c r="AA56" s="79">
        <f t="shared" si="50"/>
        <v>0</v>
      </c>
      <c r="AB56" s="79">
        <f t="shared" si="51"/>
        <v>0</v>
      </c>
      <c r="AC56" s="79">
        <f t="shared" si="52"/>
        <v>0</v>
      </c>
      <c r="AD56" s="79">
        <f t="shared" si="53"/>
        <v>0</v>
      </c>
      <c r="AE56" s="79">
        <f t="shared" si="54"/>
        <v>0</v>
      </c>
      <c r="AF56" s="79">
        <f t="shared" si="55"/>
        <v>0</v>
      </c>
      <c r="AG56" s="79">
        <f t="shared" si="56"/>
        <v>0</v>
      </c>
      <c r="AH56" s="79">
        <f t="shared" si="57"/>
        <v>0</v>
      </c>
      <c r="AI56" s="79">
        <f t="shared" si="58"/>
        <v>0</v>
      </c>
      <c r="AJ56" s="79">
        <f t="shared" si="59"/>
        <v>0</v>
      </c>
      <c r="AK56" s="79">
        <f t="shared" si="60"/>
        <v>0</v>
      </c>
      <c r="AL56" s="79">
        <f t="shared" si="61"/>
        <v>0</v>
      </c>
      <c r="AM56" s="79">
        <f t="shared" si="62"/>
        <v>0</v>
      </c>
      <c r="AN56" s="79">
        <f t="shared" si="63"/>
        <v>0</v>
      </c>
      <c r="AO56" s="79">
        <f t="shared" si="64"/>
        <v>0</v>
      </c>
      <c r="AP56" s="79">
        <f t="shared" si="65"/>
        <v>0</v>
      </c>
      <c r="AQ56" s="79">
        <f t="shared" si="66"/>
        <v>0</v>
      </c>
      <c r="AR56" s="79">
        <f t="shared" si="67"/>
        <v>0</v>
      </c>
      <c r="AS56" s="79">
        <f t="shared" si="68"/>
        <v>0</v>
      </c>
      <c r="AT56" s="79">
        <f t="shared" si="69"/>
        <v>0</v>
      </c>
      <c r="AU56" s="79">
        <f t="shared" si="70"/>
        <v>0</v>
      </c>
    </row>
    <row r="57" spans="1:47" ht="23.1" customHeight="1">
      <c r="A57" s="81" t="s">
        <v>787</v>
      </c>
      <c r="B57" s="81" t="s">
        <v>789</v>
      </c>
      <c r="C57" s="82" t="s">
        <v>343</v>
      </c>
      <c r="D57" s="84">
        <f>공량산출서!F42</f>
        <v>4</v>
      </c>
      <c r="E57" s="84">
        <f>단가대비표!L7</f>
        <v>294172.65500000003</v>
      </c>
      <c r="F57" s="84">
        <f t="shared" si="36"/>
        <v>1176690</v>
      </c>
      <c r="G57" s="84">
        <v>0</v>
      </c>
      <c r="H57" s="84">
        <f t="shared" si="37"/>
        <v>0</v>
      </c>
      <c r="I57" s="84">
        <v>0</v>
      </c>
      <c r="J57" s="84">
        <f t="shared" si="38"/>
        <v>0</v>
      </c>
      <c r="K57" s="84">
        <f t="shared" si="73"/>
        <v>294172.65500000003</v>
      </c>
      <c r="L57" s="84">
        <f t="shared" si="73"/>
        <v>1176690</v>
      </c>
      <c r="M57" s="84"/>
      <c r="O57" s="79" t="str">
        <f t="shared" si="72"/>
        <v>01</v>
      </c>
      <c r="P57" s="86" t="s">
        <v>678</v>
      </c>
      <c r="Q57" s="79">
        <v>1</v>
      </c>
      <c r="R57" s="79">
        <f t="shared" si="41"/>
        <v>0</v>
      </c>
      <c r="S57" s="79">
        <f t="shared" si="42"/>
        <v>0</v>
      </c>
      <c r="T57" s="79">
        <f t="shared" si="43"/>
        <v>0</v>
      </c>
      <c r="U57" s="79">
        <f t="shared" si="44"/>
        <v>0</v>
      </c>
      <c r="V57" s="79">
        <f t="shared" si="45"/>
        <v>0</v>
      </c>
      <c r="W57" s="79">
        <f t="shared" si="46"/>
        <v>0</v>
      </c>
      <c r="X57" s="79">
        <f t="shared" si="47"/>
        <v>0</v>
      </c>
      <c r="Y57" s="79">
        <f t="shared" si="48"/>
        <v>0</v>
      </c>
      <c r="Z57" s="79">
        <f t="shared" si="49"/>
        <v>0</v>
      </c>
      <c r="AA57" s="79">
        <f t="shared" si="50"/>
        <v>0</v>
      </c>
      <c r="AB57" s="79">
        <f t="shared" si="51"/>
        <v>0</v>
      </c>
      <c r="AC57" s="79">
        <f t="shared" si="52"/>
        <v>0</v>
      </c>
      <c r="AD57" s="79">
        <f t="shared" si="53"/>
        <v>0</v>
      </c>
      <c r="AE57" s="79">
        <f t="shared" si="54"/>
        <v>0</v>
      </c>
      <c r="AF57" s="79">
        <f t="shared" si="55"/>
        <v>0</v>
      </c>
      <c r="AG57" s="79">
        <f t="shared" si="56"/>
        <v>0</v>
      </c>
      <c r="AH57" s="79">
        <f t="shared" si="57"/>
        <v>0</v>
      </c>
      <c r="AI57" s="79">
        <f t="shared" si="58"/>
        <v>0</v>
      </c>
      <c r="AJ57" s="79">
        <f t="shared" si="59"/>
        <v>0</v>
      </c>
      <c r="AK57" s="79">
        <f t="shared" si="60"/>
        <v>0</v>
      </c>
      <c r="AL57" s="79">
        <f t="shared" si="61"/>
        <v>0</v>
      </c>
      <c r="AM57" s="79">
        <f t="shared" si="62"/>
        <v>0</v>
      </c>
      <c r="AN57" s="79">
        <f t="shared" si="63"/>
        <v>0</v>
      </c>
      <c r="AO57" s="79">
        <f t="shared" si="64"/>
        <v>0</v>
      </c>
      <c r="AP57" s="79">
        <f t="shared" si="65"/>
        <v>0</v>
      </c>
      <c r="AQ57" s="79">
        <f t="shared" si="66"/>
        <v>0</v>
      </c>
      <c r="AR57" s="79">
        <f t="shared" si="67"/>
        <v>0</v>
      </c>
      <c r="AS57" s="79">
        <f t="shared" si="68"/>
        <v>0</v>
      </c>
      <c r="AT57" s="79">
        <f t="shared" si="69"/>
        <v>0</v>
      </c>
      <c r="AU57" s="79">
        <f t="shared" si="70"/>
        <v>0</v>
      </c>
    </row>
    <row r="58" spans="1:47" ht="23.1" customHeight="1">
      <c r="A58" s="81" t="s">
        <v>787</v>
      </c>
      <c r="B58" s="81" t="s">
        <v>786</v>
      </c>
      <c r="C58" s="82" t="s">
        <v>343</v>
      </c>
      <c r="D58" s="84">
        <f>공량산출서!F44</f>
        <v>2</v>
      </c>
      <c r="E58" s="84">
        <f>단가대비표!L6</f>
        <v>149443.84</v>
      </c>
      <c r="F58" s="84">
        <f t="shared" si="36"/>
        <v>298887</v>
      </c>
      <c r="G58" s="84">
        <v>0</v>
      </c>
      <c r="H58" s="84">
        <f t="shared" si="37"/>
        <v>0</v>
      </c>
      <c r="I58" s="84">
        <v>0</v>
      </c>
      <c r="J58" s="84">
        <f t="shared" si="38"/>
        <v>0</v>
      </c>
      <c r="K58" s="84">
        <f t="shared" si="73"/>
        <v>149443.84</v>
      </c>
      <c r="L58" s="84">
        <f t="shared" si="73"/>
        <v>298887</v>
      </c>
      <c r="M58" s="84"/>
      <c r="O58" s="79" t="str">
        <f t="shared" si="72"/>
        <v>01</v>
      </c>
      <c r="P58" s="86" t="s">
        <v>678</v>
      </c>
      <c r="Q58" s="79">
        <v>1</v>
      </c>
      <c r="R58" s="79">
        <f t="shared" si="41"/>
        <v>0</v>
      </c>
      <c r="S58" s="79">
        <f t="shared" si="42"/>
        <v>0</v>
      </c>
      <c r="T58" s="79">
        <f t="shared" si="43"/>
        <v>0</v>
      </c>
      <c r="U58" s="79">
        <f t="shared" si="44"/>
        <v>0</v>
      </c>
      <c r="V58" s="79">
        <f t="shared" si="45"/>
        <v>0</v>
      </c>
      <c r="W58" s="79">
        <f t="shared" si="46"/>
        <v>0</v>
      </c>
      <c r="X58" s="79">
        <f t="shared" si="47"/>
        <v>0</v>
      </c>
      <c r="Y58" s="79">
        <f t="shared" si="48"/>
        <v>0</v>
      </c>
      <c r="Z58" s="79">
        <f t="shared" si="49"/>
        <v>0</v>
      </c>
      <c r="AA58" s="79">
        <f t="shared" si="50"/>
        <v>0</v>
      </c>
      <c r="AB58" s="79">
        <f t="shared" si="51"/>
        <v>0</v>
      </c>
      <c r="AC58" s="79">
        <f t="shared" si="52"/>
        <v>0</v>
      </c>
      <c r="AD58" s="79">
        <f t="shared" si="53"/>
        <v>0</v>
      </c>
      <c r="AE58" s="79">
        <f t="shared" si="54"/>
        <v>0</v>
      </c>
      <c r="AF58" s="79">
        <f t="shared" si="55"/>
        <v>0</v>
      </c>
      <c r="AG58" s="79">
        <f t="shared" si="56"/>
        <v>0</v>
      </c>
      <c r="AH58" s="79">
        <f t="shared" si="57"/>
        <v>0</v>
      </c>
      <c r="AI58" s="79">
        <f t="shared" si="58"/>
        <v>0</v>
      </c>
      <c r="AJ58" s="79">
        <f t="shared" si="59"/>
        <v>0</v>
      </c>
      <c r="AK58" s="79">
        <f t="shared" si="60"/>
        <v>0</v>
      </c>
      <c r="AL58" s="79">
        <f t="shared" si="61"/>
        <v>0</v>
      </c>
      <c r="AM58" s="79">
        <f t="shared" si="62"/>
        <v>0</v>
      </c>
      <c r="AN58" s="79">
        <f t="shared" si="63"/>
        <v>0</v>
      </c>
      <c r="AO58" s="79">
        <f t="shared" si="64"/>
        <v>0</v>
      </c>
      <c r="AP58" s="79">
        <f t="shared" si="65"/>
        <v>0</v>
      </c>
      <c r="AQ58" s="79">
        <f t="shared" si="66"/>
        <v>0</v>
      </c>
      <c r="AR58" s="79">
        <f t="shared" si="67"/>
        <v>0</v>
      </c>
      <c r="AS58" s="79">
        <f t="shared" si="68"/>
        <v>0</v>
      </c>
      <c r="AT58" s="79">
        <f t="shared" si="69"/>
        <v>0</v>
      </c>
      <c r="AU58" s="79">
        <f t="shared" si="70"/>
        <v>0</v>
      </c>
    </row>
    <row r="59" spans="1:47" ht="23.1" customHeight="1">
      <c r="A59" s="81" t="s">
        <v>790</v>
      </c>
      <c r="B59" s="81" t="s">
        <v>791</v>
      </c>
      <c r="C59" s="82" t="s">
        <v>343</v>
      </c>
      <c r="D59" s="84">
        <f>공량산출서!F46</f>
        <v>1</v>
      </c>
      <c r="E59" s="84">
        <f>단가대비표!L132</f>
        <v>46386.864999999998</v>
      </c>
      <c r="F59" s="84">
        <f t="shared" si="36"/>
        <v>46386</v>
      </c>
      <c r="G59" s="84">
        <v>0</v>
      </c>
      <c r="H59" s="84">
        <f t="shared" si="37"/>
        <v>0</v>
      </c>
      <c r="I59" s="84">
        <v>0</v>
      </c>
      <c r="J59" s="84">
        <f t="shared" si="38"/>
        <v>0</v>
      </c>
      <c r="K59" s="84">
        <f t="shared" si="73"/>
        <v>46386.864999999998</v>
      </c>
      <c r="L59" s="84">
        <f t="shared" si="73"/>
        <v>46386</v>
      </c>
      <c r="M59" s="84"/>
      <c r="O59" s="79" t="str">
        <f t="shared" si="72"/>
        <v>01</v>
      </c>
      <c r="P59" s="86" t="s">
        <v>678</v>
      </c>
      <c r="Q59" s="79">
        <v>1</v>
      </c>
      <c r="R59" s="79">
        <f t="shared" si="41"/>
        <v>0</v>
      </c>
      <c r="S59" s="79">
        <f t="shared" si="42"/>
        <v>0</v>
      </c>
      <c r="T59" s="79">
        <f t="shared" si="43"/>
        <v>0</v>
      </c>
      <c r="U59" s="79">
        <f t="shared" si="44"/>
        <v>0</v>
      </c>
      <c r="V59" s="79">
        <f t="shared" si="45"/>
        <v>0</v>
      </c>
      <c r="W59" s="79">
        <f t="shared" si="46"/>
        <v>0</v>
      </c>
      <c r="X59" s="79">
        <f t="shared" si="47"/>
        <v>0</v>
      </c>
      <c r="Y59" s="79">
        <f t="shared" si="48"/>
        <v>0</v>
      </c>
      <c r="Z59" s="79">
        <f t="shared" si="49"/>
        <v>0</v>
      </c>
      <c r="AA59" s="79">
        <f t="shared" si="50"/>
        <v>0</v>
      </c>
      <c r="AB59" s="79">
        <f t="shared" si="51"/>
        <v>0</v>
      </c>
      <c r="AC59" s="79">
        <f t="shared" si="52"/>
        <v>0</v>
      </c>
      <c r="AD59" s="79">
        <f t="shared" si="53"/>
        <v>0</v>
      </c>
      <c r="AE59" s="79">
        <f t="shared" si="54"/>
        <v>0</v>
      </c>
      <c r="AF59" s="79">
        <f t="shared" si="55"/>
        <v>0</v>
      </c>
      <c r="AG59" s="79">
        <f t="shared" si="56"/>
        <v>0</v>
      </c>
      <c r="AH59" s="79">
        <f t="shared" si="57"/>
        <v>0</v>
      </c>
      <c r="AI59" s="79">
        <f t="shared" si="58"/>
        <v>0</v>
      </c>
      <c r="AJ59" s="79">
        <f t="shared" si="59"/>
        <v>0</v>
      </c>
      <c r="AK59" s="79">
        <f t="shared" si="60"/>
        <v>0</v>
      </c>
      <c r="AL59" s="79">
        <f t="shared" si="61"/>
        <v>0</v>
      </c>
      <c r="AM59" s="79">
        <f t="shared" si="62"/>
        <v>0</v>
      </c>
      <c r="AN59" s="79">
        <f t="shared" si="63"/>
        <v>0</v>
      </c>
      <c r="AO59" s="79">
        <f t="shared" si="64"/>
        <v>0</v>
      </c>
      <c r="AP59" s="79">
        <f t="shared" si="65"/>
        <v>0</v>
      </c>
      <c r="AQ59" s="79">
        <f t="shared" si="66"/>
        <v>0</v>
      </c>
      <c r="AR59" s="79">
        <f t="shared" si="67"/>
        <v>0</v>
      </c>
      <c r="AS59" s="79">
        <f t="shared" si="68"/>
        <v>0</v>
      </c>
      <c r="AT59" s="79">
        <f t="shared" si="69"/>
        <v>0</v>
      </c>
      <c r="AU59" s="79">
        <f t="shared" si="70"/>
        <v>0</v>
      </c>
    </row>
    <row r="60" spans="1:47" ht="23.1" customHeight="1">
      <c r="A60" s="81" t="s">
        <v>790</v>
      </c>
      <c r="B60" s="81" t="s">
        <v>792</v>
      </c>
      <c r="C60" s="82" t="s">
        <v>343</v>
      </c>
      <c r="D60" s="84">
        <f>공량산출서!F48</f>
        <v>2</v>
      </c>
      <c r="E60" s="84">
        <f>단가대비표!L130</f>
        <v>203204.106</v>
      </c>
      <c r="F60" s="84">
        <f t="shared" si="36"/>
        <v>406408</v>
      </c>
      <c r="G60" s="84">
        <v>0</v>
      </c>
      <c r="H60" s="84">
        <f t="shared" si="37"/>
        <v>0</v>
      </c>
      <c r="I60" s="84">
        <v>0</v>
      </c>
      <c r="J60" s="84">
        <f t="shared" si="38"/>
        <v>0</v>
      </c>
      <c r="K60" s="84">
        <f t="shared" si="73"/>
        <v>203204.106</v>
      </c>
      <c r="L60" s="84">
        <f t="shared" si="73"/>
        <v>406408</v>
      </c>
      <c r="M60" s="84"/>
      <c r="O60" s="79" t="str">
        <f t="shared" si="72"/>
        <v>01</v>
      </c>
      <c r="P60" s="86" t="s">
        <v>678</v>
      </c>
      <c r="Q60" s="79">
        <v>1</v>
      </c>
      <c r="R60" s="79">
        <f t="shared" si="41"/>
        <v>0</v>
      </c>
      <c r="S60" s="79">
        <f t="shared" si="42"/>
        <v>0</v>
      </c>
      <c r="T60" s="79">
        <f t="shared" si="43"/>
        <v>0</v>
      </c>
      <c r="U60" s="79">
        <f t="shared" si="44"/>
        <v>0</v>
      </c>
      <c r="V60" s="79">
        <f t="shared" si="45"/>
        <v>0</v>
      </c>
      <c r="W60" s="79">
        <f t="shared" si="46"/>
        <v>0</v>
      </c>
      <c r="X60" s="79">
        <f t="shared" si="47"/>
        <v>0</v>
      </c>
      <c r="Y60" s="79">
        <f t="shared" si="48"/>
        <v>0</v>
      </c>
      <c r="Z60" s="79">
        <f t="shared" si="49"/>
        <v>0</v>
      </c>
      <c r="AA60" s="79">
        <f t="shared" si="50"/>
        <v>0</v>
      </c>
      <c r="AB60" s="79">
        <f t="shared" si="51"/>
        <v>0</v>
      </c>
      <c r="AC60" s="79">
        <f t="shared" si="52"/>
        <v>0</v>
      </c>
      <c r="AD60" s="79">
        <f t="shared" si="53"/>
        <v>0</v>
      </c>
      <c r="AE60" s="79">
        <f t="shared" si="54"/>
        <v>0</v>
      </c>
      <c r="AF60" s="79">
        <f t="shared" si="55"/>
        <v>0</v>
      </c>
      <c r="AG60" s="79">
        <f t="shared" si="56"/>
        <v>0</v>
      </c>
      <c r="AH60" s="79">
        <f t="shared" si="57"/>
        <v>0</v>
      </c>
      <c r="AI60" s="79">
        <f t="shared" si="58"/>
        <v>0</v>
      </c>
      <c r="AJ60" s="79">
        <f t="shared" si="59"/>
        <v>0</v>
      </c>
      <c r="AK60" s="79">
        <f t="shared" si="60"/>
        <v>0</v>
      </c>
      <c r="AL60" s="79">
        <f t="shared" si="61"/>
        <v>0</v>
      </c>
      <c r="AM60" s="79">
        <f t="shared" si="62"/>
        <v>0</v>
      </c>
      <c r="AN60" s="79">
        <f t="shared" si="63"/>
        <v>0</v>
      </c>
      <c r="AO60" s="79">
        <f t="shared" si="64"/>
        <v>0</v>
      </c>
      <c r="AP60" s="79">
        <f t="shared" si="65"/>
        <v>0</v>
      </c>
      <c r="AQ60" s="79">
        <f t="shared" si="66"/>
        <v>0</v>
      </c>
      <c r="AR60" s="79">
        <f t="shared" si="67"/>
        <v>0</v>
      </c>
      <c r="AS60" s="79">
        <f t="shared" si="68"/>
        <v>0</v>
      </c>
      <c r="AT60" s="79">
        <f t="shared" si="69"/>
        <v>0</v>
      </c>
      <c r="AU60" s="79">
        <f t="shared" si="70"/>
        <v>0</v>
      </c>
    </row>
    <row r="61" spans="1:47" ht="23.1" customHeight="1">
      <c r="A61" s="81" t="s">
        <v>790</v>
      </c>
      <c r="B61" s="81" t="s">
        <v>793</v>
      </c>
      <c r="C61" s="82" t="s">
        <v>343</v>
      </c>
      <c r="D61" s="84">
        <f>공량산출서!F50</f>
        <v>1</v>
      </c>
      <c r="E61" s="84">
        <f>단가대비표!L131</f>
        <v>9986.8719999999994</v>
      </c>
      <c r="F61" s="84">
        <f t="shared" si="36"/>
        <v>9986</v>
      </c>
      <c r="G61" s="84">
        <v>0</v>
      </c>
      <c r="H61" s="84">
        <f t="shared" si="37"/>
        <v>0</v>
      </c>
      <c r="I61" s="84">
        <v>0</v>
      </c>
      <c r="J61" s="84">
        <f t="shared" si="38"/>
        <v>0</v>
      </c>
      <c r="K61" s="84">
        <f t="shared" si="73"/>
        <v>9986.8719999999994</v>
      </c>
      <c r="L61" s="84">
        <f t="shared" si="73"/>
        <v>9986</v>
      </c>
      <c r="M61" s="84"/>
      <c r="O61" s="79" t="str">
        <f t="shared" si="72"/>
        <v>01</v>
      </c>
      <c r="P61" s="86" t="s">
        <v>678</v>
      </c>
      <c r="Q61" s="79">
        <v>1</v>
      </c>
      <c r="R61" s="79">
        <f t="shared" si="41"/>
        <v>0</v>
      </c>
      <c r="S61" s="79">
        <f t="shared" si="42"/>
        <v>0</v>
      </c>
      <c r="T61" s="79">
        <f t="shared" si="43"/>
        <v>0</v>
      </c>
      <c r="U61" s="79">
        <f t="shared" si="44"/>
        <v>0</v>
      </c>
      <c r="V61" s="79">
        <f t="shared" si="45"/>
        <v>0</v>
      </c>
      <c r="W61" s="79">
        <f t="shared" si="46"/>
        <v>0</v>
      </c>
      <c r="X61" s="79">
        <f t="shared" si="47"/>
        <v>0</v>
      </c>
      <c r="Y61" s="79">
        <f t="shared" si="48"/>
        <v>0</v>
      </c>
      <c r="Z61" s="79">
        <f t="shared" si="49"/>
        <v>0</v>
      </c>
      <c r="AA61" s="79">
        <f t="shared" si="50"/>
        <v>0</v>
      </c>
      <c r="AB61" s="79">
        <f t="shared" si="51"/>
        <v>0</v>
      </c>
      <c r="AC61" s="79">
        <f t="shared" si="52"/>
        <v>0</v>
      </c>
      <c r="AD61" s="79">
        <f t="shared" si="53"/>
        <v>0</v>
      </c>
      <c r="AE61" s="79">
        <f t="shared" si="54"/>
        <v>0</v>
      </c>
      <c r="AF61" s="79">
        <f t="shared" si="55"/>
        <v>0</v>
      </c>
      <c r="AG61" s="79">
        <f t="shared" si="56"/>
        <v>0</v>
      </c>
      <c r="AH61" s="79">
        <f t="shared" si="57"/>
        <v>0</v>
      </c>
      <c r="AI61" s="79">
        <f t="shared" si="58"/>
        <v>0</v>
      </c>
      <c r="AJ61" s="79">
        <f t="shared" si="59"/>
        <v>0</v>
      </c>
      <c r="AK61" s="79">
        <f t="shared" si="60"/>
        <v>0</v>
      </c>
      <c r="AL61" s="79">
        <f t="shared" si="61"/>
        <v>0</v>
      </c>
      <c r="AM61" s="79">
        <f t="shared" si="62"/>
        <v>0</v>
      </c>
      <c r="AN61" s="79">
        <f t="shared" si="63"/>
        <v>0</v>
      </c>
      <c r="AO61" s="79">
        <f t="shared" si="64"/>
        <v>0</v>
      </c>
      <c r="AP61" s="79">
        <f t="shared" si="65"/>
        <v>0</v>
      </c>
      <c r="AQ61" s="79">
        <f t="shared" si="66"/>
        <v>0</v>
      </c>
      <c r="AR61" s="79">
        <f t="shared" si="67"/>
        <v>0</v>
      </c>
      <c r="AS61" s="79">
        <f t="shared" si="68"/>
        <v>0</v>
      </c>
      <c r="AT61" s="79">
        <f t="shared" si="69"/>
        <v>0</v>
      </c>
      <c r="AU61" s="79">
        <f t="shared" si="70"/>
        <v>0</v>
      </c>
    </row>
    <row r="62" spans="1:47" ht="23.1" customHeight="1">
      <c r="A62" s="81" t="s">
        <v>794</v>
      </c>
      <c r="B62" s="81" t="s">
        <v>795</v>
      </c>
      <c r="C62" s="82" t="s">
        <v>343</v>
      </c>
      <c r="D62" s="84">
        <f>공량산출서!F52</f>
        <v>2</v>
      </c>
      <c r="E62" s="84">
        <f>단가대비표!L154</f>
        <v>56418.642</v>
      </c>
      <c r="F62" s="84">
        <f t="shared" si="36"/>
        <v>112837</v>
      </c>
      <c r="G62" s="84">
        <v>0</v>
      </c>
      <c r="H62" s="84">
        <f t="shared" si="37"/>
        <v>0</v>
      </c>
      <c r="I62" s="84">
        <v>0</v>
      </c>
      <c r="J62" s="84">
        <f t="shared" si="38"/>
        <v>0</v>
      </c>
      <c r="K62" s="84">
        <f t="shared" si="73"/>
        <v>56418.642</v>
      </c>
      <c r="L62" s="84">
        <f t="shared" si="73"/>
        <v>112837</v>
      </c>
      <c r="M62" s="84"/>
      <c r="O62" s="79" t="str">
        <f t="shared" si="72"/>
        <v>01</v>
      </c>
      <c r="P62" s="86" t="s">
        <v>678</v>
      </c>
      <c r="Q62" s="79">
        <v>1</v>
      </c>
      <c r="R62" s="79">
        <f t="shared" si="41"/>
        <v>0</v>
      </c>
      <c r="S62" s="79">
        <f t="shared" si="42"/>
        <v>0</v>
      </c>
      <c r="T62" s="79">
        <f t="shared" si="43"/>
        <v>0</v>
      </c>
      <c r="U62" s="79">
        <f t="shared" si="44"/>
        <v>0</v>
      </c>
      <c r="V62" s="79">
        <f t="shared" si="45"/>
        <v>0</v>
      </c>
      <c r="W62" s="79">
        <f t="shared" si="46"/>
        <v>0</v>
      </c>
      <c r="X62" s="79">
        <f t="shared" si="47"/>
        <v>0</v>
      </c>
      <c r="Y62" s="79">
        <f t="shared" si="48"/>
        <v>0</v>
      </c>
      <c r="Z62" s="79">
        <f t="shared" si="49"/>
        <v>0</v>
      </c>
      <c r="AA62" s="79">
        <f t="shared" si="50"/>
        <v>0</v>
      </c>
      <c r="AB62" s="79">
        <f t="shared" si="51"/>
        <v>0</v>
      </c>
      <c r="AC62" s="79">
        <f t="shared" si="52"/>
        <v>0</v>
      </c>
      <c r="AD62" s="79">
        <f t="shared" si="53"/>
        <v>0</v>
      </c>
      <c r="AE62" s="79">
        <f t="shared" si="54"/>
        <v>0</v>
      </c>
      <c r="AF62" s="79">
        <f t="shared" si="55"/>
        <v>0</v>
      </c>
      <c r="AG62" s="79">
        <f t="shared" si="56"/>
        <v>0</v>
      </c>
      <c r="AH62" s="79">
        <f t="shared" si="57"/>
        <v>0</v>
      </c>
      <c r="AI62" s="79">
        <f t="shared" si="58"/>
        <v>0</v>
      </c>
      <c r="AJ62" s="79">
        <f t="shared" si="59"/>
        <v>0</v>
      </c>
      <c r="AK62" s="79">
        <f t="shared" si="60"/>
        <v>0</v>
      </c>
      <c r="AL62" s="79">
        <f t="shared" si="61"/>
        <v>0</v>
      </c>
      <c r="AM62" s="79">
        <f t="shared" si="62"/>
        <v>0</v>
      </c>
      <c r="AN62" s="79">
        <f t="shared" si="63"/>
        <v>0</v>
      </c>
      <c r="AO62" s="79">
        <f t="shared" si="64"/>
        <v>0</v>
      </c>
      <c r="AP62" s="79">
        <f t="shared" si="65"/>
        <v>0</v>
      </c>
      <c r="AQ62" s="79">
        <f t="shared" si="66"/>
        <v>0</v>
      </c>
      <c r="AR62" s="79">
        <f t="shared" si="67"/>
        <v>0</v>
      </c>
      <c r="AS62" s="79">
        <f t="shared" si="68"/>
        <v>0</v>
      </c>
      <c r="AT62" s="79">
        <f t="shared" si="69"/>
        <v>0</v>
      </c>
      <c r="AU62" s="79">
        <f t="shared" si="70"/>
        <v>0</v>
      </c>
    </row>
    <row r="63" spans="1:47" ht="23.1" customHeight="1">
      <c r="A63" s="81" t="s">
        <v>794</v>
      </c>
      <c r="B63" s="81" t="s">
        <v>796</v>
      </c>
      <c r="C63" s="82" t="s">
        <v>343</v>
      </c>
      <c r="D63" s="84">
        <f>공량산출서!F54</f>
        <v>4</v>
      </c>
      <c r="E63" s="84">
        <f>단가대비표!L153</f>
        <v>173027.946</v>
      </c>
      <c r="F63" s="84">
        <f t="shared" si="36"/>
        <v>692111</v>
      </c>
      <c r="G63" s="84">
        <v>0</v>
      </c>
      <c r="H63" s="84">
        <f t="shared" si="37"/>
        <v>0</v>
      </c>
      <c r="I63" s="84">
        <v>0</v>
      </c>
      <c r="J63" s="84">
        <f t="shared" si="38"/>
        <v>0</v>
      </c>
      <c r="K63" s="84">
        <f t="shared" si="73"/>
        <v>173027.946</v>
      </c>
      <c r="L63" s="84">
        <f t="shared" si="73"/>
        <v>692111</v>
      </c>
      <c r="M63" s="84"/>
      <c r="O63" s="79" t="str">
        <f t="shared" si="72"/>
        <v>01</v>
      </c>
      <c r="P63" s="86" t="s">
        <v>678</v>
      </c>
      <c r="Q63" s="79">
        <v>1</v>
      </c>
      <c r="R63" s="79">
        <f t="shared" si="41"/>
        <v>0</v>
      </c>
      <c r="S63" s="79">
        <f t="shared" si="42"/>
        <v>0</v>
      </c>
      <c r="T63" s="79">
        <f t="shared" si="43"/>
        <v>0</v>
      </c>
      <c r="U63" s="79">
        <f t="shared" si="44"/>
        <v>0</v>
      </c>
      <c r="V63" s="79">
        <f t="shared" si="45"/>
        <v>0</v>
      </c>
      <c r="W63" s="79">
        <f t="shared" si="46"/>
        <v>0</v>
      </c>
      <c r="X63" s="79">
        <f t="shared" si="47"/>
        <v>0</v>
      </c>
      <c r="Y63" s="79">
        <f t="shared" si="48"/>
        <v>0</v>
      </c>
      <c r="Z63" s="79">
        <f t="shared" si="49"/>
        <v>0</v>
      </c>
      <c r="AA63" s="79">
        <f t="shared" si="50"/>
        <v>0</v>
      </c>
      <c r="AB63" s="79">
        <f t="shared" si="51"/>
        <v>0</v>
      </c>
      <c r="AC63" s="79">
        <f t="shared" si="52"/>
        <v>0</v>
      </c>
      <c r="AD63" s="79">
        <f t="shared" si="53"/>
        <v>0</v>
      </c>
      <c r="AE63" s="79">
        <f t="shared" si="54"/>
        <v>0</v>
      </c>
      <c r="AF63" s="79">
        <f t="shared" si="55"/>
        <v>0</v>
      </c>
      <c r="AG63" s="79">
        <f t="shared" si="56"/>
        <v>0</v>
      </c>
      <c r="AH63" s="79">
        <f t="shared" si="57"/>
        <v>0</v>
      </c>
      <c r="AI63" s="79">
        <f t="shared" si="58"/>
        <v>0</v>
      </c>
      <c r="AJ63" s="79">
        <f t="shared" si="59"/>
        <v>0</v>
      </c>
      <c r="AK63" s="79">
        <f t="shared" si="60"/>
        <v>0</v>
      </c>
      <c r="AL63" s="79">
        <f t="shared" si="61"/>
        <v>0</v>
      </c>
      <c r="AM63" s="79">
        <f t="shared" si="62"/>
        <v>0</v>
      </c>
      <c r="AN63" s="79">
        <f t="shared" si="63"/>
        <v>0</v>
      </c>
      <c r="AO63" s="79">
        <f t="shared" si="64"/>
        <v>0</v>
      </c>
      <c r="AP63" s="79">
        <f t="shared" si="65"/>
        <v>0</v>
      </c>
      <c r="AQ63" s="79">
        <f t="shared" si="66"/>
        <v>0</v>
      </c>
      <c r="AR63" s="79">
        <f t="shared" si="67"/>
        <v>0</v>
      </c>
      <c r="AS63" s="79">
        <f t="shared" si="68"/>
        <v>0</v>
      </c>
      <c r="AT63" s="79">
        <f t="shared" si="69"/>
        <v>0</v>
      </c>
      <c r="AU63" s="79">
        <f t="shared" si="70"/>
        <v>0</v>
      </c>
    </row>
    <row r="64" spans="1:47" ht="23.1" customHeight="1">
      <c r="A64" s="81" t="s">
        <v>797</v>
      </c>
      <c r="B64" s="81" t="s">
        <v>798</v>
      </c>
      <c r="C64" s="82" t="s">
        <v>343</v>
      </c>
      <c r="D64" s="84">
        <f>공량산출서!F56</f>
        <v>1</v>
      </c>
      <c r="E64" s="84">
        <f>단가대비표!L79</f>
        <v>17962</v>
      </c>
      <c r="F64" s="84">
        <f t="shared" si="36"/>
        <v>17962</v>
      </c>
      <c r="G64" s="84">
        <v>0</v>
      </c>
      <c r="H64" s="84">
        <f t="shared" si="37"/>
        <v>0</v>
      </c>
      <c r="I64" s="84">
        <v>0</v>
      </c>
      <c r="J64" s="84">
        <f t="shared" si="38"/>
        <v>0</v>
      </c>
      <c r="K64" s="84">
        <f t="shared" si="73"/>
        <v>17962</v>
      </c>
      <c r="L64" s="84">
        <f t="shared" si="73"/>
        <v>17962</v>
      </c>
      <c r="M64" s="84"/>
      <c r="O64" s="79" t="str">
        <f t="shared" si="72"/>
        <v>01</v>
      </c>
      <c r="P64" s="86" t="s">
        <v>678</v>
      </c>
      <c r="Q64" s="79">
        <v>1</v>
      </c>
      <c r="R64" s="79">
        <f t="shared" si="41"/>
        <v>0</v>
      </c>
      <c r="S64" s="79">
        <f t="shared" si="42"/>
        <v>0</v>
      </c>
      <c r="T64" s="79">
        <f t="shared" si="43"/>
        <v>0</v>
      </c>
      <c r="U64" s="79">
        <f t="shared" si="44"/>
        <v>0</v>
      </c>
      <c r="V64" s="79">
        <f t="shared" si="45"/>
        <v>0</v>
      </c>
      <c r="W64" s="79">
        <f t="shared" si="46"/>
        <v>0</v>
      </c>
      <c r="X64" s="79">
        <f t="shared" si="47"/>
        <v>0</v>
      </c>
      <c r="Y64" s="79">
        <f t="shared" si="48"/>
        <v>0</v>
      </c>
      <c r="Z64" s="79">
        <f t="shared" si="49"/>
        <v>0</v>
      </c>
      <c r="AA64" s="79">
        <f t="shared" si="50"/>
        <v>0</v>
      </c>
      <c r="AB64" s="79">
        <f t="shared" si="51"/>
        <v>0</v>
      </c>
      <c r="AC64" s="79">
        <f t="shared" si="52"/>
        <v>0</v>
      </c>
      <c r="AD64" s="79">
        <f t="shared" si="53"/>
        <v>0</v>
      </c>
      <c r="AE64" s="79">
        <f t="shared" si="54"/>
        <v>0</v>
      </c>
      <c r="AF64" s="79">
        <f t="shared" si="55"/>
        <v>0</v>
      </c>
      <c r="AG64" s="79">
        <f t="shared" si="56"/>
        <v>0</v>
      </c>
      <c r="AH64" s="79">
        <f t="shared" si="57"/>
        <v>0</v>
      </c>
      <c r="AI64" s="79">
        <f t="shared" si="58"/>
        <v>0</v>
      </c>
      <c r="AJ64" s="79">
        <f t="shared" si="59"/>
        <v>0</v>
      </c>
      <c r="AK64" s="79">
        <f t="shared" si="60"/>
        <v>0</v>
      </c>
      <c r="AL64" s="79">
        <f t="shared" si="61"/>
        <v>0</v>
      </c>
      <c r="AM64" s="79">
        <f t="shared" si="62"/>
        <v>0</v>
      </c>
      <c r="AN64" s="79">
        <f t="shared" si="63"/>
        <v>0</v>
      </c>
      <c r="AO64" s="79">
        <f t="shared" si="64"/>
        <v>0</v>
      </c>
      <c r="AP64" s="79">
        <f t="shared" si="65"/>
        <v>0</v>
      </c>
      <c r="AQ64" s="79">
        <f t="shared" si="66"/>
        <v>0</v>
      </c>
      <c r="AR64" s="79">
        <f t="shared" si="67"/>
        <v>0</v>
      </c>
      <c r="AS64" s="79">
        <f t="shared" si="68"/>
        <v>0</v>
      </c>
      <c r="AT64" s="79">
        <f t="shared" si="69"/>
        <v>0</v>
      </c>
      <c r="AU64" s="79">
        <f t="shared" si="70"/>
        <v>0</v>
      </c>
    </row>
    <row r="65" spans="1:47" ht="23.1" customHeight="1">
      <c r="A65" s="81" t="s">
        <v>797</v>
      </c>
      <c r="B65" s="81" t="s">
        <v>799</v>
      </c>
      <c r="C65" s="82" t="s">
        <v>343</v>
      </c>
      <c r="D65" s="84">
        <f>공량산출서!F58</f>
        <v>2</v>
      </c>
      <c r="E65" s="84">
        <f>단가대비표!L78</f>
        <v>44905</v>
      </c>
      <c r="F65" s="84">
        <f t="shared" si="36"/>
        <v>89810</v>
      </c>
      <c r="G65" s="84">
        <v>0</v>
      </c>
      <c r="H65" s="84">
        <f t="shared" si="37"/>
        <v>0</v>
      </c>
      <c r="I65" s="84">
        <v>0</v>
      </c>
      <c r="J65" s="84">
        <f t="shared" si="38"/>
        <v>0</v>
      </c>
      <c r="K65" s="84">
        <f t="shared" si="73"/>
        <v>44905</v>
      </c>
      <c r="L65" s="84">
        <f t="shared" si="73"/>
        <v>89810</v>
      </c>
      <c r="M65" s="84"/>
      <c r="O65" s="79" t="str">
        <f t="shared" si="72"/>
        <v>01</v>
      </c>
      <c r="P65" s="86" t="s">
        <v>678</v>
      </c>
      <c r="Q65" s="79">
        <v>1</v>
      </c>
      <c r="R65" s="79">
        <f t="shared" si="41"/>
        <v>0</v>
      </c>
      <c r="S65" s="79">
        <f t="shared" si="42"/>
        <v>0</v>
      </c>
      <c r="T65" s="79">
        <f t="shared" si="43"/>
        <v>0</v>
      </c>
      <c r="U65" s="79">
        <f t="shared" si="44"/>
        <v>0</v>
      </c>
      <c r="V65" s="79">
        <f t="shared" si="45"/>
        <v>0</v>
      </c>
      <c r="W65" s="79">
        <f t="shared" si="46"/>
        <v>0</v>
      </c>
      <c r="X65" s="79">
        <f t="shared" si="47"/>
        <v>0</v>
      </c>
      <c r="Y65" s="79">
        <f t="shared" si="48"/>
        <v>0</v>
      </c>
      <c r="Z65" s="79">
        <f t="shared" si="49"/>
        <v>0</v>
      </c>
      <c r="AA65" s="79">
        <f t="shared" si="50"/>
        <v>0</v>
      </c>
      <c r="AB65" s="79">
        <f t="shared" si="51"/>
        <v>0</v>
      </c>
      <c r="AC65" s="79">
        <f t="shared" si="52"/>
        <v>0</v>
      </c>
      <c r="AD65" s="79">
        <f t="shared" si="53"/>
        <v>0</v>
      </c>
      <c r="AE65" s="79">
        <f t="shared" si="54"/>
        <v>0</v>
      </c>
      <c r="AF65" s="79">
        <f t="shared" si="55"/>
        <v>0</v>
      </c>
      <c r="AG65" s="79">
        <f t="shared" si="56"/>
        <v>0</v>
      </c>
      <c r="AH65" s="79">
        <f t="shared" si="57"/>
        <v>0</v>
      </c>
      <c r="AI65" s="79">
        <f t="shared" si="58"/>
        <v>0</v>
      </c>
      <c r="AJ65" s="79">
        <f t="shared" si="59"/>
        <v>0</v>
      </c>
      <c r="AK65" s="79">
        <f t="shared" si="60"/>
        <v>0</v>
      </c>
      <c r="AL65" s="79">
        <f t="shared" si="61"/>
        <v>0</v>
      </c>
      <c r="AM65" s="79">
        <f t="shared" si="62"/>
        <v>0</v>
      </c>
      <c r="AN65" s="79">
        <f t="shared" si="63"/>
        <v>0</v>
      </c>
      <c r="AO65" s="79">
        <f t="shared" si="64"/>
        <v>0</v>
      </c>
      <c r="AP65" s="79">
        <f t="shared" si="65"/>
        <v>0</v>
      </c>
      <c r="AQ65" s="79">
        <f t="shared" si="66"/>
        <v>0</v>
      </c>
      <c r="AR65" s="79">
        <f t="shared" si="67"/>
        <v>0</v>
      </c>
      <c r="AS65" s="79">
        <f t="shared" si="68"/>
        <v>0</v>
      </c>
      <c r="AT65" s="79">
        <f t="shared" si="69"/>
        <v>0</v>
      </c>
      <c r="AU65" s="79">
        <f t="shared" si="70"/>
        <v>0</v>
      </c>
    </row>
    <row r="66" spans="1:47" ht="23.1" customHeight="1">
      <c r="A66" s="81" t="s">
        <v>800</v>
      </c>
      <c r="B66" s="81" t="s">
        <v>771</v>
      </c>
      <c r="C66" s="82" t="s">
        <v>769</v>
      </c>
      <c r="D66" s="84">
        <v>2</v>
      </c>
      <c r="E66" s="84">
        <f>일위대가목록!G36</f>
        <v>5461</v>
      </c>
      <c r="F66" s="84">
        <f t="shared" si="36"/>
        <v>10922</v>
      </c>
      <c r="G66" s="84">
        <f>일위대가목록!I36</f>
        <v>13123</v>
      </c>
      <c r="H66" s="84">
        <f t="shared" si="37"/>
        <v>26246</v>
      </c>
      <c r="I66" s="84">
        <f>일위대가목록!K36</f>
        <v>16</v>
      </c>
      <c r="J66" s="84">
        <f t="shared" si="38"/>
        <v>32</v>
      </c>
      <c r="K66" s="84">
        <f t="shared" si="73"/>
        <v>18600</v>
      </c>
      <c r="L66" s="84">
        <f t="shared" si="73"/>
        <v>37200</v>
      </c>
      <c r="M66" s="84" t="s">
        <v>801</v>
      </c>
      <c r="O66" s="79" t="str">
        <f>""</f>
        <v/>
      </c>
      <c r="P66" s="86" t="s">
        <v>678</v>
      </c>
      <c r="Q66" s="79">
        <v>1</v>
      </c>
      <c r="R66" s="79">
        <f t="shared" si="41"/>
        <v>32</v>
      </c>
      <c r="S66" s="79">
        <f t="shared" si="42"/>
        <v>0</v>
      </c>
      <c r="T66" s="79">
        <f t="shared" si="43"/>
        <v>0</v>
      </c>
      <c r="U66" s="79">
        <f t="shared" si="44"/>
        <v>0</v>
      </c>
      <c r="V66" s="79">
        <f t="shared" si="45"/>
        <v>0</v>
      </c>
      <c r="W66" s="79">
        <f t="shared" si="46"/>
        <v>0</v>
      </c>
      <c r="X66" s="79">
        <f t="shared" si="47"/>
        <v>0</v>
      </c>
      <c r="Y66" s="79">
        <f t="shared" si="48"/>
        <v>0</v>
      </c>
      <c r="Z66" s="79">
        <f t="shared" si="49"/>
        <v>0</v>
      </c>
      <c r="AA66" s="79">
        <f t="shared" si="50"/>
        <v>0</v>
      </c>
      <c r="AB66" s="79">
        <f t="shared" si="51"/>
        <v>0</v>
      </c>
      <c r="AC66" s="79">
        <f t="shared" si="52"/>
        <v>0</v>
      </c>
      <c r="AD66" s="79">
        <f t="shared" si="53"/>
        <v>0</v>
      </c>
      <c r="AE66" s="79">
        <f t="shared" si="54"/>
        <v>0</v>
      </c>
      <c r="AF66" s="79">
        <f t="shared" si="55"/>
        <v>0</v>
      </c>
      <c r="AG66" s="79">
        <f t="shared" si="56"/>
        <v>0</v>
      </c>
      <c r="AH66" s="79">
        <f t="shared" si="57"/>
        <v>0</v>
      </c>
      <c r="AI66" s="79">
        <f t="shared" si="58"/>
        <v>0</v>
      </c>
      <c r="AJ66" s="79">
        <f t="shared" si="59"/>
        <v>0</v>
      </c>
      <c r="AK66" s="79">
        <f t="shared" si="60"/>
        <v>0</v>
      </c>
      <c r="AL66" s="79">
        <f t="shared" si="61"/>
        <v>0</v>
      </c>
      <c r="AM66" s="79">
        <f t="shared" si="62"/>
        <v>0</v>
      </c>
      <c r="AN66" s="79">
        <f t="shared" si="63"/>
        <v>0</v>
      </c>
      <c r="AO66" s="79">
        <f t="shared" si="64"/>
        <v>0</v>
      </c>
      <c r="AP66" s="79">
        <f t="shared" si="65"/>
        <v>0</v>
      </c>
      <c r="AQ66" s="79">
        <f t="shared" si="66"/>
        <v>0</v>
      </c>
      <c r="AR66" s="79">
        <f t="shared" si="67"/>
        <v>0</v>
      </c>
      <c r="AS66" s="79">
        <f t="shared" si="68"/>
        <v>0</v>
      </c>
      <c r="AT66" s="79">
        <f t="shared" si="69"/>
        <v>0</v>
      </c>
      <c r="AU66" s="79">
        <f t="shared" si="70"/>
        <v>0</v>
      </c>
    </row>
    <row r="67" spans="1:47" ht="23.1" customHeight="1">
      <c r="A67" s="81" t="s">
        <v>800</v>
      </c>
      <c r="B67" s="81" t="s">
        <v>773</v>
      </c>
      <c r="C67" s="82" t="s">
        <v>769</v>
      </c>
      <c r="D67" s="84">
        <v>14</v>
      </c>
      <c r="E67" s="84">
        <f>일위대가목록!G37</f>
        <v>6277</v>
      </c>
      <c r="F67" s="84">
        <f t="shared" si="36"/>
        <v>87878</v>
      </c>
      <c r="G67" s="84">
        <f>일위대가목록!I37</f>
        <v>15935</v>
      </c>
      <c r="H67" s="84">
        <f t="shared" si="37"/>
        <v>223090</v>
      </c>
      <c r="I67" s="84">
        <f>일위대가목록!K37</f>
        <v>20</v>
      </c>
      <c r="J67" s="84">
        <f t="shared" si="38"/>
        <v>280</v>
      </c>
      <c r="K67" s="84">
        <f t="shared" si="73"/>
        <v>22232</v>
      </c>
      <c r="L67" s="84">
        <f t="shared" si="73"/>
        <v>311248</v>
      </c>
      <c r="M67" s="84" t="s">
        <v>802</v>
      </c>
      <c r="O67" s="79" t="str">
        <f>""</f>
        <v/>
      </c>
      <c r="P67" s="86" t="s">
        <v>678</v>
      </c>
      <c r="Q67" s="79">
        <v>1</v>
      </c>
      <c r="R67" s="79">
        <f t="shared" si="41"/>
        <v>280</v>
      </c>
      <c r="S67" s="79">
        <f t="shared" si="42"/>
        <v>0</v>
      </c>
      <c r="T67" s="79">
        <f t="shared" si="43"/>
        <v>0</v>
      </c>
      <c r="U67" s="79">
        <f t="shared" si="44"/>
        <v>0</v>
      </c>
      <c r="V67" s="79">
        <f t="shared" si="45"/>
        <v>0</v>
      </c>
      <c r="W67" s="79">
        <f t="shared" si="46"/>
        <v>0</v>
      </c>
      <c r="X67" s="79">
        <f t="shared" si="47"/>
        <v>0</v>
      </c>
      <c r="Y67" s="79">
        <f t="shared" si="48"/>
        <v>0</v>
      </c>
      <c r="Z67" s="79">
        <f t="shared" si="49"/>
        <v>0</v>
      </c>
      <c r="AA67" s="79">
        <f t="shared" si="50"/>
        <v>0</v>
      </c>
      <c r="AB67" s="79">
        <f t="shared" si="51"/>
        <v>0</v>
      </c>
      <c r="AC67" s="79">
        <f t="shared" si="52"/>
        <v>0</v>
      </c>
      <c r="AD67" s="79">
        <f t="shared" si="53"/>
        <v>0</v>
      </c>
      <c r="AE67" s="79">
        <f t="shared" si="54"/>
        <v>0</v>
      </c>
      <c r="AF67" s="79">
        <f t="shared" si="55"/>
        <v>0</v>
      </c>
      <c r="AG67" s="79">
        <f t="shared" si="56"/>
        <v>0</v>
      </c>
      <c r="AH67" s="79">
        <f t="shared" si="57"/>
        <v>0</v>
      </c>
      <c r="AI67" s="79">
        <f t="shared" si="58"/>
        <v>0</v>
      </c>
      <c r="AJ67" s="79">
        <f t="shared" si="59"/>
        <v>0</v>
      </c>
      <c r="AK67" s="79">
        <f t="shared" si="60"/>
        <v>0</v>
      </c>
      <c r="AL67" s="79">
        <f t="shared" si="61"/>
        <v>0</v>
      </c>
      <c r="AM67" s="79">
        <f t="shared" si="62"/>
        <v>0</v>
      </c>
      <c r="AN67" s="79">
        <f t="shared" si="63"/>
        <v>0</v>
      </c>
      <c r="AO67" s="79">
        <f t="shared" si="64"/>
        <v>0</v>
      </c>
      <c r="AP67" s="79">
        <f t="shared" si="65"/>
        <v>0</v>
      </c>
      <c r="AQ67" s="79">
        <f t="shared" si="66"/>
        <v>0</v>
      </c>
      <c r="AR67" s="79">
        <f t="shared" si="67"/>
        <v>0</v>
      </c>
      <c r="AS67" s="79">
        <f t="shared" si="68"/>
        <v>0</v>
      </c>
      <c r="AT67" s="79">
        <f t="shared" si="69"/>
        <v>0</v>
      </c>
      <c r="AU67" s="79">
        <f t="shared" si="70"/>
        <v>0</v>
      </c>
    </row>
    <row r="68" spans="1:47" ht="23.1" customHeight="1">
      <c r="A68" s="81" t="s">
        <v>800</v>
      </c>
      <c r="B68" s="81" t="s">
        <v>777</v>
      </c>
      <c r="C68" s="82" t="s">
        <v>769</v>
      </c>
      <c r="D68" s="84">
        <v>2</v>
      </c>
      <c r="E68" s="84">
        <f>일위대가목록!G38</f>
        <v>11832</v>
      </c>
      <c r="F68" s="84">
        <f t="shared" si="36"/>
        <v>23664</v>
      </c>
      <c r="G68" s="84">
        <f>일위대가목록!I38</f>
        <v>45368</v>
      </c>
      <c r="H68" s="84">
        <f t="shared" si="37"/>
        <v>90736</v>
      </c>
      <c r="I68" s="84">
        <f>일위대가목록!K38</f>
        <v>100</v>
      </c>
      <c r="J68" s="84">
        <f t="shared" si="38"/>
        <v>200</v>
      </c>
      <c r="K68" s="84">
        <f t="shared" si="73"/>
        <v>57300</v>
      </c>
      <c r="L68" s="84">
        <f t="shared" si="73"/>
        <v>114600</v>
      </c>
      <c r="M68" s="84" t="s">
        <v>803</v>
      </c>
      <c r="O68" s="79" t="str">
        <f>""</f>
        <v/>
      </c>
      <c r="P68" s="86" t="s">
        <v>678</v>
      </c>
      <c r="Q68" s="79">
        <v>1</v>
      </c>
      <c r="R68" s="79">
        <f t="shared" si="41"/>
        <v>200</v>
      </c>
      <c r="S68" s="79">
        <f t="shared" si="42"/>
        <v>0</v>
      </c>
      <c r="T68" s="79">
        <f t="shared" si="43"/>
        <v>0</v>
      </c>
      <c r="U68" s="79">
        <f t="shared" si="44"/>
        <v>0</v>
      </c>
      <c r="V68" s="79">
        <f t="shared" si="45"/>
        <v>0</v>
      </c>
      <c r="W68" s="79">
        <f t="shared" si="46"/>
        <v>0</v>
      </c>
      <c r="X68" s="79">
        <f t="shared" si="47"/>
        <v>0</v>
      </c>
      <c r="Y68" s="79">
        <f t="shared" si="48"/>
        <v>0</v>
      </c>
      <c r="Z68" s="79">
        <f t="shared" si="49"/>
        <v>0</v>
      </c>
      <c r="AA68" s="79">
        <f t="shared" si="50"/>
        <v>0</v>
      </c>
      <c r="AB68" s="79">
        <f t="shared" si="51"/>
        <v>0</v>
      </c>
      <c r="AC68" s="79">
        <f t="shared" si="52"/>
        <v>0</v>
      </c>
      <c r="AD68" s="79">
        <f t="shared" si="53"/>
        <v>0</v>
      </c>
      <c r="AE68" s="79">
        <f t="shared" si="54"/>
        <v>0</v>
      </c>
      <c r="AF68" s="79">
        <f t="shared" si="55"/>
        <v>0</v>
      </c>
      <c r="AG68" s="79">
        <f t="shared" si="56"/>
        <v>0</v>
      </c>
      <c r="AH68" s="79">
        <f t="shared" si="57"/>
        <v>0</v>
      </c>
      <c r="AI68" s="79">
        <f t="shared" si="58"/>
        <v>0</v>
      </c>
      <c r="AJ68" s="79">
        <f t="shared" si="59"/>
        <v>0</v>
      </c>
      <c r="AK68" s="79">
        <f t="shared" si="60"/>
        <v>0</v>
      </c>
      <c r="AL68" s="79">
        <f t="shared" si="61"/>
        <v>0</v>
      </c>
      <c r="AM68" s="79">
        <f t="shared" si="62"/>
        <v>0</v>
      </c>
      <c r="AN68" s="79">
        <f t="shared" si="63"/>
        <v>0</v>
      </c>
      <c r="AO68" s="79">
        <f t="shared" si="64"/>
        <v>0</v>
      </c>
      <c r="AP68" s="79">
        <f t="shared" si="65"/>
        <v>0</v>
      </c>
      <c r="AQ68" s="79">
        <f t="shared" si="66"/>
        <v>0</v>
      </c>
      <c r="AR68" s="79">
        <f t="shared" si="67"/>
        <v>0</v>
      </c>
      <c r="AS68" s="79">
        <f t="shared" si="68"/>
        <v>0</v>
      </c>
      <c r="AT68" s="79">
        <f t="shared" si="69"/>
        <v>0</v>
      </c>
      <c r="AU68" s="79">
        <f t="shared" si="70"/>
        <v>0</v>
      </c>
    </row>
    <row r="69" spans="1:47" ht="23.1" customHeight="1">
      <c r="A69" s="81" t="s">
        <v>800</v>
      </c>
      <c r="B69" s="81" t="s">
        <v>779</v>
      </c>
      <c r="C69" s="82" t="s">
        <v>769</v>
      </c>
      <c r="D69" s="84">
        <v>14</v>
      </c>
      <c r="E69" s="84">
        <f>일위대가목록!G39</f>
        <v>14339</v>
      </c>
      <c r="F69" s="84">
        <f t="shared" si="36"/>
        <v>200746</v>
      </c>
      <c r="G69" s="84">
        <f>일위대가목록!I39</f>
        <v>56990</v>
      </c>
      <c r="H69" s="84">
        <f t="shared" si="37"/>
        <v>797860</v>
      </c>
      <c r="I69" s="84">
        <f>일위대가목록!K39</f>
        <v>130</v>
      </c>
      <c r="J69" s="84">
        <f t="shared" si="38"/>
        <v>1820</v>
      </c>
      <c r="K69" s="84">
        <f t="shared" si="73"/>
        <v>71459</v>
      </c>
      <c r="L69" s="84">
        <f t="shared" si="73"/>
        <v>1000426</v>
      </c>
      <c r="M69" s="84" t="s">
        <v>804</v>
      </c>
      <c r="O69" s="79" t="str">
        <f>""</f>
        <v/>
      </c>
      <c r="P69" s="86" t="s">
        <v>678</v>
      </c>
      <c r="Q69" s="79">
        <v>1</v>
      </c>
      <c r="R69" s="79">
        <f t="shared" si="41"/>
        <v>1820</v>
      </c>
      <c r="S69" s="79">
        <f t="shared" si="42"/>
        <v>0</v>
      </c>
      <c r="T69" s="79">
        <f t="shared" si="43"/>
        <v>0</v>
      </c>
      <c r="U69" s="79">
        <f t="shared" si="44"/>
        <v>0</v>
      </c>
      <c r="V69" s="79">
        <f t="shared" si="45"/>
        <v>0</v>
      </c>
      <c r="W69" s="79">
        <f t="shared" si="46"/>
        <v>0</v>
      </c>
      <c r="X69" s="79">
        <f t="shared" si="47"/>
        <v>0</v>
      </c>
      <c r="Y69" s="79">
        <f t="shared" si="48"/>
        <v>0</v>
      </c>
      <c r="Z69" s="79">
        <f t="shared" si="49"/>
        <v>0</v>
      </c>
      <c r="AA69" s="79">
        <f t="shared" si="50"/>
        <v>0</v>
      </c>
      <c r="AB69" s="79">
        <f t="shared" si="51"/>
        <v>0</v>
      </c>
      <c r="AC69" s="79">
        <f t="shared" si="52"/>
        <v>0</v>
      </c>
      <c r="AD69" s="79">
        <f t="shared" si="53"/>
        <v>0</v>
      </c>
      <c r="AE69" s="79">
        <f t="shared" si="54"/>
        <v>0</v>
      </c>
      <c r="AF69" s="79">
        <f t="shared" si="55"/>
        <v>0</v>
      </c>
      <c r="AG69" s="79">
        <f t="shared" si="56"/>
        <v>0</v>
      </c>
      <c r="AH69" s="79">
        <f t="shared" si="57"/>
        <v>0</v>
      </c>
      <c r="AI69" s="79">
        <f t="shared" si="58"/>
        <v>0</v>
      </c>
      <c r="AJ69" s="79">
        <f t="shared" si="59"/>
        <v>0</v>
      </c>
      <c r="AK69" s="79">
        <f t="shared" si="60"/>
        <v>0</v>
      </c>
      <c r="AL69" s="79">
        <f t="shared" si="61"/>
        <v>0</v>
      </c>
      <c r="AM69" s="79">
        <f t="shared" si="62"/>
        <v>0</v>
      </c>
      <c r="AN69" s="79">
        <f t="shared" si="63"/>
        <v>0</v>
      </c>
      <c r="AO69" s="79">
        <f t="shared" si="64"/>
        <v>0</v>
      </c>
      <c r="AP69" s="79">
        <f t="shared" si="65"/>
        <v>0</v>
      </c>
      <c r="AQ69" s="79">
        <f t="shared" si="66"/>
        <v>0</v>
      </c>
      <c r="AR69" s="79">
        <f t="shared" si="67"/>
        <v>0</v>
      </c>
      <c r="AS69" s="79">
        <f t="shared" si="68"/>
        <v>0</v>
      </c>
      <c r="AT69" s="79">
        <f t="shared" si="69"/>
        <v>0</v>
      </c>
      <c r="AU69" s="79">
        <f t="shared" si="70"/>
        <v>0</v>
      </c>
    </row>
    <row r="70" spans="1:47" ht="23.1" customHeight="1">
      <c r="A70" s="81" t="s">
        <v>800</v>
      </c>
      <c r="B70" s="81" t="s">
        <v>781</v>
      </c>
      <c r="C70" s="82" t="s">
        <v>769</v>
      </c>
      <c r="D70" s="84">
        <v>28</v>
      </c>
      <c r="E70" s="84">
        <f>일위대가목록!G40</f>
        <v>27027</v>
      </c>
      <c r="F70" s="84">
        <f t="shared" si="36"/>
        <v>756756</v>
      </c>
      <c r="G70" s="84">
        <f>일위대가목록!I40</f>
        <v>80988</v>
      </c>
      <c r="H70" s="84">
        <f t="shared" si="37"/>
        <v>2267664</v>
      </c>
      <c r="I70" s="84">
        <f>일위대가목록!K40</f>
        <v>188</v>
      </c>
      <c r="J70" s="84">
        <f t="shared" si="38"/>
        <v>5264</v>
      </c>
      <c r="K70" s="84">
        <f t="shared" si="73"/>
        <v>108203</v>
      </c>
      <c r="L70" s="84">
        <f t="shared" si="73"/>
        <v>3029684</v>
      </c>
      <c r="M70" s="84" t="s">
        <v>805</v>
      </c>
      <c r="O70" s="79" t="str">
        <f>""</f>
        <v/>
      </c>
      <c r="P70" s="86" t="s">
        <v>678</v>
      </c>
      <c r="Q70" s="79">
        <v>1</v>
      </c>
      <c r="R70" s="79">
        <f t="shared" si="41"/>
        <v>5264</v>
      </c>
      <c r="S70" s="79">
        <f t="shared" si="42"/>
        <v>0</v>
      </c>
      <c r="T70" s="79">
        <f t="shared" si="43"/>
        <v>0</v>
      </c>
      <c r="U70" s="79">
        <f t="shared" si="44"/>
        <v>0</v>
      </c>
      <c r="V70" s="79">
        <f t="shared" si="45"/>
        <v>0</v>
      </c>
      <c r="W70" s="79">
        <f t="shared" si="46"/>
        <v>0</v>
      </c>
      <c r="X70" s="79">
        <f t="shared" si="47"/>
        <v>0</v>
      </c>
      <c r="Y70" s="79">
        <f t="shared" si="48"/>
        <v>0</v>
      </c>
      <c r="Z70" s="79">
        <f t="shared" si="49"/>
        <v>0</v>
      </c>
      <c r="AA70" s="79">
        <f t="shared" si="50"/>
        <v>0</v>
      </c>
      <c r="AB70" s="79">
        <f t="shared" si="51"/>
        <v>0</v>
      </c>
      <c r="AC70" s="79">
        <f t="shared" si="52"/>
        <v>0</v>
      </c>
      <c r="AD70" s="79">
        <f t="shared" si="53"/>
        <v>0</v>
      </c>
      <c r="AE70" s="79">
        <f t="shared" si="54"/>
        <v>0</v>
      </c>
      <c r="AF70" s="79">
        <f t="shared" si="55"/>
        <v>0</v>
      </c>
      <c r="AG70" s="79">
        <f t="shared" si="56"/>
        <v>0</v>
      </c>
      <c r="AH70" s="79">
        <f t="shared" si="57"/>
        <v>0</v>
      </c>
      <c r="AI70" s="79">
        <f t="shared" si="58"/>
        <v>0</v>
      </c>
      <c r="AJ70" s="79">
        <f t="shared" si="59"/>
        <v>0</v>
      </c>
      <c r="AK70" s="79">
        <f t="shared" si="60"/>
        <v>0</v>
      </c>
      <c r="AL70" s="79">
        <f t="shared" si="61"/>
        <v>0</v>
      </c>
      <c r="AM70" s="79">
        <f t="shared" si="62"/>
        <v>0</v>
      </c>
      <c r="AN70" s="79">
        <f t="shared" si="63"/>
        <v>0</v>
      </c>
      <c r="AO70" s="79">
        <f t="shared" si="64"/>
        <v>0</v>
      </c>
      <c r="AP70" s="79">
        <f t="shared" si="65"/>
        <v>0</v>
      </c>
      <c r="AQ70" s="79">
        <f t="shared" si="66"/>
        <v>0</v>
      </c>
      <c r="AR70" s="79">
        <f t="shared" si="67"/>
        <v>0</v>
      </c>
      <c r="AS70" s="79">
        <f t="shared" si="68"/>
        <v>0</v>
      </c>
      <c r="AT70" s="79">
        <f t="shared" si="69"/>
        <v>0</v>
      </c>
      <c r="AU70" s="79">
        <f t="shared" si="70"/>
        <v>0</v>
      </c>
    </row>
    <row r="71" spans="1:47" ht="23.1" customHeight="1">
      <c r="A71" s="81" t="s">
        <v>806</v>
      </c>
      <c r="B71" s="81" t="s">
        <v>807</v>
      </c>
      <c r="C71" s="82" t="s">
        <v>343</v>
      </c>
      <c r="D71" s="84">
        <v>5</v>
      </c>
      <c r="E71" s="84">
        <f>단가대비표!L88</f>
        <v>37342.998</v>
      </c>
      <c r="F71" s="84">
        <f t="shared" si="36"/>
        <v>186714</v>
      </c>
      <c r="G71" s="84">
        <v>0</v>
      </c>
      <c r="H71" s="84">
        <f t="shared" si="37"/>
        <v>0</v>
      </c>
      <c r="I71" s="84">
        <v>0</v>
      </c>
      <c r="J71" s="84">
        <f t="shared" si="38"/>
        <v>0</v>
      </c>
      <c r="K71" s="84">
        <f t="shared" si="73"/>
        <v>37342.998</v>
      </c>
      <c r="L71" s="84">
        <f t="shared" si="73"/>
        <v>186714</v>
      </c>
      <c r="M71" s="84"/>
      <c r="O71" s="79" t="str">
        <f>"01"</f>
        <v>01</v>
      </c>
      <c r="P71" s="86" t="s">
        <v>678</v>
      </c>
      <c r="Q71" s="79">
        <v>1</v>
      </c>
      <c r="R71" s="79">
        <f t="shared" si="41"/>
        <v>0</v>
      </c>
      <c r="S71" s="79">
        <f t="shared" si="42"/>
        <v>0</v>
      </c>
      <c r="T71" s="79">
        <f t="shared" si="43"/>
        <v>0</v>
      </c>
      <c r="U71" s="79">
        <f t="shared" si="44"/>
        <v>0</v>
      </c>
      <c r="V71" s="79">
        <f t="shared" si="45"/>
        <v>0</v>
      </c>
      <c r="W71" s="79">
        <f t="shared" si="46"/>
        <v>0</v>
      </c>
      <c r="X71" s="79">
        <f t="shared" si="47"/>
        <v>0</v>
      </c>
      <c r="Y71" s="79">
        <f t="shared" si="48"/>
        <v>0</v>
      </c>
      <c r="Z71" s="79">
        <f t="shared" si="49"/>
        <v>0</v>
      </c>
      <c r="AA71" s="79">
        <f t="shared" si="50"/>
        <v>0</v>
      </c>
      <c r="AB71" s="79">
        <f t="shared" si="51"/>
        <v>0</v>
      </c>
      <c r="AC71" s="79">
        <f t="shared" si="52"/>
        <v>0</v>
      </c>
      <c r="AD71" s="79">
        <f t="shared" si="53"/>
        <v>0</v>
      </c>
      <c r="AE71" s="79">
        <f t="shared" si="54"/>
        <v>0</v>
      </c>
      <c r="AF71" s="79">
        <f t="shared" si="55"/>
        <v>0</v>
      </c>
      <c r="AG71" s="79">
        <f t="shared" si="56"/>
        <v>0</v>
      </c>
      <c r="AH71" s="79">
        <f t="shared" si="57"/>
        <v>0</v>
      </c>
      <c r="AI71" s="79">
        <f t="shared" si="58"/>
        <v>0</v>
      </c>
      <c r="AJ71" s="79">
        <f t="shared" si="59"/>
        <v>0</v>
      </c>
      <c r="AK71" s="79">
        <f t="shared" si="60"/>
        <v>0</v>
      </c>
      <c r="AL71" s="79">
        <f t="shared" si="61"/>
        <v>0</v>
      </c>
      <c r="AM71" s="79">
        <f t="shared" si="62"/>
        <v>0</v>
      </c>
      <c r="AN71" s="79">
        <f t="shared" si="63"/>
        <v>0</v>
      </c>
      <c r="AO71" s="79">
        <f t="shared" si="64"/>
        <v>0</v>
      </c>
      <c r="AP71" s="79">
        <f t="shared" si="65"/>
        <v>0</v>
      </c>
      <c r="AQ71" s="79">
        <f t="shared" si="66"/>
        <v>0</v>
      </c>
      <c r="AR71" s="79">
        <f t="shared" si="67"/>
        <v>0</v>
      </c>
      <c r="AS71" s="79">
        <f t="shared" si="68"/>
        <v>0</v>
      </c>
      <c r="AT71" s="79">
        <f t="shared" si="69"/>
        <v>0</v>
      </c>
      <c r="AU71" s="79">
        <f t="shared" si="70"/>
        <v>0</v>
      </c>
    </row>
    <row r="72" spans="1:47" ht="23.1" customHeight="1">
      <c r="A72" s="81" t="s">
        <v>808</v>
      </c>
      <c r="B72" s="81" t="s">
        <v>768</v>
      </c>
      <c r="C72" s="82" t="s">
        <v>343</v>
      </c>
      <c r="D72" s="84">
        <f>공량산출서!F60</f>
        <v>2</v>
      </c>
      <c r="E72" s="84">
        <f>단가대비표!L65</f>
        <v>21554.400000000001</v>
      </c>
      <c r="F72" s="84">
        <f t="shared" si="36"/>
        <v>43108</v>
      </c>
      <c r="G72" s="84">
        <v>0</v>
      </c>
      <c r="H72" s="84">
        <f t="shared" si="37"/>
        <v>0</v>
      </c>
      <c r="I72" s="84">
        <v>0</v>
      </c>
      <c r="J72" s="84">
        <f t="shared" si="38"/>
        <v>0</v>
      </c>
      <c r="K72" s="84">
        <f t="shared" si="73"/>
        <v>21554.400000000001</v>
      </c>
      <c r="L72" s="84">
        <f t="shared" si="73"/>
        <v>43108</v>
      </c>
      <c r="M72" s="84"/>
      <c r="O72" s="79" t="str">
        <f>"01"</f>
        <v>01</v>
      </c>
      <c r="P72" s="86" t="s">
        <v>678</v>
      </c>
      <c r="Q72" s="79">
        <v>1</v>
      </c>
      <c r="R72" s="79">
        <f t="shared" si="41"/>
        <v>0</v>
      </c>
      <c r="S72" s="79">
        <f t="shared" si="42"/>
        <v>0</v>
      </c>
      <c r="T72" s="79">
        <f t="shared" si="43"/>
        <v>0</v>
      </c>
      <c r="U72" s="79">
        <f t="shared" si="44"/>
        <v>0</v>
      </c>
      <c r="V72" s="79">
        <f t="shared" si="45"/>
        <v>0</v>
      </c>
      <c r="W72" s="79">
        <f t="shared" si="46"/>
        <v>0</v>
      </c>
      <c r="X72" s="79">
        <f t="shared" si="47"/>
        <v>0</v>
      </c>
      <c r="Y72" s="79">
        <f t="shared" si="48"/>
        <v>0</v>
      </c>
      <c r="Z72" s="79">
        <f t="shared" si="49"/>
        <v>0</v>
      </c>
      <c r="AA72" s="79">
        <f t="shared" si="50"/>
        <v>0</v>
      </c>
      <c r="AB72" s="79">
        <f t="shared" si="51"/>
        <v>0</v>
      </c>
      <c r="AC72" s="79">
        <f t="shared" si="52"/>
        <v>0</v>
      </c>
      <c r="AD72" s="79">
        <f t="shared" si="53"/>
        <v>0</v>
      </c>
      <c r="AE72" s="79">
        <f t="shared" si="54"/>
        <v>0</v>
      </c>
      <c r="AF72" s="79">
        <f t="shared" si="55"/>
        <v>0</v>
      </c>
      <c r="AG72" s="79">
        <f t="shared" si="56"/>
        <v>0</v>
      </c>
      <c r="AH72" s="79">
        <f t="shared" si="57"/>
        <v>0</v>
      </c>
      <c r="AI72" s="79">
        <f t="shared" si="58"/>
        <v>0</v>
      </c>
      <c r="AJ72" s="79">
        <f t="shared" si="59"/>
        <v>0</v>
      </c>
      <c r="AK72" s="79">
        <f t="shared" si="60"/>
        <v>0</v>
      </c>
      <c r="AL72" s="79">
        <f t="shared" si="61"/>
        <v>0</v>
      </c>
      <c r="AM72" s="79">
        <f t="shared" si="62"/>
        <v>0</v>
      </c>
      <c r="AN72" s="79">
        <f t="shared" si="63"/>
        <v>0</v>
      </c>
      <c r="AO72" s="79">
        <f t="shared" si="64"/>
        <v>0</v>
      </c>
      <c r="AP72" s="79">
        <f t="shared" si="65"/>
        <v>0</v>
      </c>
      <c r="AQ72" s="79">
        <f t="shared" si="66"/>
        <v>0</v>
      </c>
      <c r="AR72" s="79">
        <f t="shared" si="67"/>
        <v>0</v>
      </c>
      <c r="AS72" s="79">
        <f t="shared" si="68"/>
        <v>0</v>
      </c>
      <c r="AT72" s="79">
        <f t="shared" si="69"/>
        <v>0</v>
      </c>
      <c r="AU72" s="79">
        <f t="shared" si="70"/>
        <v>0</v>
      </c>
    </row>
    <row r="73" spans="1:47" ht="23.1" customHeight="1">
      <c r="A73" s="81" t="s">
        <v>809</v>
      </c>
      <c r="B73" s="81" t="s">
        <v>810</v>
      </c>
      <c r="C73" s="82" t="s">
        <v>769</v>
      </c>
      <c r="D73" s="84">
        <v>6</v>
      </c>
      <c r="E73" s="84">
        <f>일위대가목록!G54</f>
        <v>4441</v>
      </c>
      <c r="F73" s="84">
        <f t="shared" si="36"/>
        <v>26646</v>
      </c>
      <c r="G73" s="84">
        <f>일위대가목록!I54</f>
        <v>13385</v>
      </c>
      <c r="H73" s="84">
        <f t="shared" si="37"/>
        <v>80310</v>
      </c>
      <c r="I73" s="84">
        <f>일위대가목록!K54</f>
        <v>523</v>
      </c>
      <c r="J73" s="84">
        <f t="shared" si="38"/>
        <v>3138</v>
      </c>
      <c r="K73" s="84">
        <f t="shared" si="73"/>
        <v>18349</v>
      </c>
      <c r="L73" s="84">
        <f t="shared" si="73"/>
        <v>110094</v>
      </c>
      <c r="M73" s="84" t="s">
        <v>811</v>
      </c>
      <c r="O73" s="79" t="str">
        <f>""</f>
        <v/>
      </c>
      <c r="P73" s="86" t="s">
        <v>678</v>
      </c>
      <c r="Q73" s="79">
        <v>1</v>
      </c>
      <c r="R73" s="79">
        <f t="shared" si="41"/>
        <v>3138</v>
      </c>
      <c r="S73" s="79">
        <f t="shared" si="42"/>
        <v>0</v>
      </c>
      <c r="T73" s="79">
        <f t="shared" si="43"/>
        <v>0</v>
      </c>
      <c r="U73" s="79">
        <f t="shared" si="44"/>
        <v>0</v>
      </c>
      <c r="V73" s="79">
        <f t="shared" si="45"/>
        <v>0</v>
      </c>
      <c r="W73" s="79">
        <f t="shared" si="46"/>
        <v>0</v>
      </c>
      <c r="X73" s="79">
        <f t="shared" si="47"/>
        <v>0</v>
      </c>
      <c r="Y73" s="79">
        <f t="shared" si="48"/>
        <v>0</v>
      </c>
      <c r="Z73" s="79">
        <f t="shared" si="49"/>
        <v>0</v>
      </c>
      <c r="AA73" s="79">
        <f t="shared" si="50"/>
        <v>0</v>
      </c>
      <c r="AB73" s="79">
        <f t="shared" si="51"/>
        <v>0</v>
      </c>
      <c r="AC73" s="79">
        <f t="shared" si="52"/>
        <v>0</v>
      </c>
      <c r="AD73" s="79">
        <f t="shared" si="53"/>
        <v>0</v>
      </c>
      <c r="AE73" s="79">
        <f t="shared" si="54"/>
        <v>0</v>
      </c>
      <c r="AF73" s="79">
        <f t="shared" si="55"/>
        <v>0</v>
      </c>
      <c r="AG73" s="79">
        <f t="shared" si="56"/>
        <v>0</v>
      </c>
      <c r="AH73" s="79">
        <f t="shared" si="57"/>
        <v>0</v>
      </c>
      <c r="AI73" s="79">
        <f t="shared" si="58"/>
        <v>0</v>
      </c>
      <c r="AJ73" s="79">
        <f t="shared" si="59"/>
        <v>0</v>
      </c>
      <c r="AK73" s="79">
        <f t="shared" si="60"/>
        <v>0</v>
      </c>
      <c r="AL73" s="79">
        <f t="shared" si="61"/>
        <v>0</v>
      </c>
      <c r="AM73" s="79">
        <f t="shared" si="62"/>
        <v>0</v>
      </c>
      <c r="AN73" s="79">
        <f t="shared" si="63"/>
        <v>0</v>
      </c>
      <c r="AO73" s="79">
        <f t="shared" si="64"/>
        <v>0</v>
      </c>
      <c r="AP73" s="79">
        <f t="shared" si="65"/>
        <v>0</v>
      </c>
      <c r="AQ73" s="79">
        <f t="shared" si="66"/>
        <v>0</v>
      </c>
      <c r="AR73" s="79">
        <f t="shared" si="67"/>
        <v>0</v>
      </c>
      <c r="AS73" s="79">
        <f t="shared" si="68"/>
        <v>0</v>
      </c>
      <c r="AT73" s="79">
        <f t="shared" si="69"/>
        <v>0</v>
      </c>
      <c r="AU73" s="79">
        <f t="shared" si="70"/>
        <v>0</v>
      </c>
    </row>
    <row r="74" spans="1:47" ht="23.1" customHeight="1">
      <c r="A74" s="81" t="s">
        <v>812</v>
      </c>
      <c r="B74" s="81" t="s">
        <v>813</v>
      </c>
      <c r="C74" s="82" t="s">
        <v>343</v>
      </c>
      <c r="D74" s="84">
        <f>공량산출서!F62</f>
        <v>1</v>
      </c>
      <c r="E74" s="84">
        <f>단가대비표!L83</f>
        <v>88633.489000000001</v>
      </c>
      <c r="F74" s="84">
        <f t="shared" si="36"/>
        <v>88633</v>
      </c>
      <c r="G74" s="84">
        <v>0</v>
      </c>
      <c r="H74" s="84">
        <f t="shared" si="37"/>
        <v>0</v>
      </c>
      <c r="I74" s="84">
        <v>0</v>
      </c>
      <c r="J74" s="84">
        <f t="shared" si="38"/>
        <v>0</v>
      </c>
      <c r="K74" s="84">
        <f t="shared" si="73"/>
        <v>88633.489000000001</v>
      </c>
      <c r="L74" s="84">
        <f t="shared" si="73"/>
        <v>88633</v>
      </c>
      <c r="M74" s="84"/>
      <c r="O74" s="79" t="str">
        <f>"01"</f>
        <v>01</v>
      </c>
      <c r="P74" s="86" t="s">
        <v>678</v>
      </c>
      <c r="Q74" s="79">
        <v>1</v>
      </c>
      <c r="R74" s="79">
        <f t="shared" si="41"/>
        <v>0</v>
      </c>
      <c r="S74" s="79">
        <f t="shared" si="42"/>
        <v>0</v>
      </c>
      <c r="T74" s="79">
        <f t="shared" si="43"/>
        <v>0</v>
      </c>
      <c r="U74" s="79">
        <f t="shared" si="44"/>
        <v>0</v>
      </c>
      <c r="V74" s="79">
        <f t="shared" si="45"/>
        <v>0</v>
      </c>
      <c r="W74" s="79">
        <f t="shared" si="46"/>
        <v>0</v>
      </c>
      <c r="X74" s="79">
        <f t="shared" si="47"/>
        <v>0</v>
      </c>
      <c r="Y74" s="79">
        <f t="shared" si="48"/>
        <v>0</v>
      </c>
      <c r="Z74" s="79">
        <f t="shared" si="49"/>
        <v>0</v>
      </c>
      <c r="AA74" s="79">
        <f t="shared" si="50"/>
        <v>0</v>
      </c>
      <c r="AB74" s="79">
        <f t="shared" si="51"/>
        <v>0</v>
      </c>
      <c r="AC74" s="79">
        <f t="shared" si="52"/>
        <v>0</v>
      </c>
      <c r="AD74" s="79">
        <f t="shared" si="53"/>
        <v>0</v>
      </c>
      <c r="AE74" s="79">
        <f t="shared" si="54"/>
        <v>0</v>
      </c>
      <c r="AF74" s="79">
        <f t="shared" si="55"/>
        <v>0</v>
      </c>
      <c r="AG74" s="79">
        <f t="shared" si="56"/>
        <v>0</v>
      </c>
      <c r="AH74" s="79">
        <f t="shared" si="57"/>
        <v>0</v>
      </c>
      <c r="AI74" s="79">
        <f t="shared" si="58"/>
        <v>0</v>
      </c>
      <c r="AJ74" s="79">
        <f t="shared" si="59"/>
        <v>0</v>
      </c>
      <c r="AK74" s="79">
        <f t="shared" si="60"/>
        <v>0</v>
      </c>
      <c r="AL74" s="79">
        <f t="shared" si="61"/>
        <v>0</v>
      </c>
      <c r="AM74" s="79">
        <f t="shared" si="62"/>
        <v>0</v>
      </c>
      <c r="AN74" s="79">
        <f t="shared" si="63"/>
        <v>0</v>
      </c>
      <c r="AO74" s="79">
        <f t="shared" si="64"/>
        <v>0</v>
      </c>
      <c r="AP74" s="79">
        <f t="shared" si="65"/>
        <v>0</v>
      </c>
      <c r="AQ74" s="79">
        <f t="shared" si="66"/>
        <v>0</v>
      </c>
      <c r="AR74" s="79">
        <f t="shared" si="67"/>
        <v>0</v>
      </c>
      <c r="AS74" s="79">
        <f t="shared" si="68"/>
        <v>0</v>
      </c>
      <c r="AT74" s="79">
        <f t="shared" si="69"/>
        <v>0</v>
      </c>
      <c r="AU74" s="79">
        <f t="shared" si="70"/>
        <v>0</v>
      </c>
    </row>
    <row r="75" spans="1:47" ht="23.1" customHeight="1">
      <c r="A75" s="81" t="s">
        <v>812</v>
      </c>
      <c r="B75" s="81" t="s">
        <v>814</v>
      </c>
      <c r="C75" s="82" t="s">
        <v>343</v>
      </c>
      <c r="D75" s="84">
        <f>공량산출서!F64</f>
        <v>2</v>
      </c>
      <c r="E75" s="84">
        <f>단가대비표!L82</f>
        <v>350797.86</v>
      </c>
      <c r="F75" s="84">
        <f t="shared" si="36"/>
        <v>701595</v>
      </c>
      <c r="G75" s="84">
        <v>0</v>
      </c>
      <c r="H75" s="84">
        <f t="shared" si="37"/>
        <v>0</v>
      </c>
      <c r="I75" s="84">
        <v>0</v>
      </c>
      <c r="J75" s="84">
        <f t="shared" si="38"/>
        <v>0</v>
      </c>
      <c r="K75" s="84">
        <f t="shared" si="73"/>
        <v>350797.86</v>
      </c>
      <c r="L75" s="84">
        <f t="shared" si="73"/>
        <v>701595</v>
      </c>
      <c r="M75" s="84"/>
      <c r="O75" s="79" t="str">
        <f>"01"</f>
        <v>01</v>
      </c>
      <c r="P75" s="86" t="s">
        <v>678</v>
      </c>
      <c r="Q75" s="79">
        <v>1</v>
      </c>
      <c r="R75" s="79">
        <f t="shared" si="41"/>
        <v>0</v>
      </c>
      <c r="S75" s="79">
        <f t="shared" si="42"/>
        <v>0</v>
      </c>
      <c r="T75" s="79">
        <f t="shared" si="43"/>
        <v>0</v>
      </c>
      <c r="U75" s="79">
        <f t="shared" si="44"/>
        <v>0</v>
      </c>
      <c r="V75" s="79">
        <f t="shared" si="45"/>
        <v>0</v>
      </c>
      <c r="W75" s="79">
        <f t="shared" si="46"/>
        <v>0</v>
      </c>
      <c r="X75" s="79">
        <f t="shared" si="47"/>
        <v>0</v>
      </c>
      <c r="Y75" s="79">
        <f t="shared" si="48"/>
        <v>0</v>
      </c>
      <c r="Z75" s="79">
        <f t="shared" si="49"/>
        <v>0</v>
      </c>
      <c r="AA75" s="79">
        <f t="shared" si="50"/>
        <v>0</v>
      </c>
      <c r="AB75" s="79">
        <f t="shared" si="51"/>
        <v>0</v>
      </c>
      <c r="AC75" s="79">
        <f t="shared" si="52"/>
        <v>0</v>
      </c>
      <c r="AD75" s="79">
        <f t="shared" si="53"/>
        <v>0</v>
      </c>
      <c r="AE75" s="79">
        <f t="shared" si="54"/>
        <v>0</v>
      </c>
      <c r="AF75" s="79">
        <f t="shared" si="55"/>
        <v>0</v>
      </c>
      <c r="AG75" s="79">
        <f t="shared" si="56"/>
        <v>0</v>
      </c>
      <c r="AH75" s="79">
        <f t="shared" si="57"/>
        <v>0</v>
      </c>
      <c r="AI75" s="79">
        <f t="shared" si="58"/>
        <v>0</v>
      </c>
      <c r="AJ75" s="79">
        <f t="shared" si="59"/>
        <v>0</v>
      </c>
      <c r="AK75" s="79">
        <f t="shared" si="60"/>
        <v>0</v>
      </c>
      <c r="AL75" s="79">
        <f t="shared" si="61"/>
        <v>0</v>
      </c>
      <c r="AM75" s="79">
        <f t="shared" si="62"/>
        <v>0</v>
      </c>
      <c r="AN75" s="79">
        <f t="shared" si="63"/>
        <v>0</v>
      </c>
      <c r="AO75" s="79">
        <f t="shared" si="64"/>
        <v>0</v>
      </c>
      <c r="AP75" s="79">
        <f t="shared" si="65"/>
        <v>0</v>
      </c>
      <c r="AQ75" s="79">
        <f t="shared" si="66"/>
        <v>0</v>
      </c>
      <c r="AR75" s="79">
        <f t="shared" si="67"/>
        <v>0</v>
      </c>
      <c r="AS75" s="79">
        <f t="shared" si="68"/>
        <v>0</v>
      </c>
      <c r="AT75" s="79">
        <f t="shared" si="69"/>
        <v>0</v>
      </c>
      <c r="AU75" s="79">
        <f t="shared" si="70"/>
        <v>0</v>
      </c>
    </row>
    <row r="76" spans="1:47" ht="23.1" customHeight="1">
      <c r="A76" s="81" t="s">
        <v>815</v>
      </c>
      <c r="B76" s="81" t="s">
        <v>816</v>
      </c>
      <c r="C76" s="82" t="s">
        <v>769</v>
      </c>
      <c r="D76" s="84">
        <v>1</v>
      </c>
      <c r="E76" s="84">
        <f>일위대가목록!G43</f>
        <v>1531</v>
      </c>
      <c r="F76" s="84">
        <f t="shared" si="36"/>
        <v>1531</v>
      </c>
      <c r="G76" s="84">
        <f>일위대가목록!I43</f>
        <v>0</v>
      </c>
      <c r="H76" s="84">
        <f t="shared" si="37"/>
        <v>0</v>
      </c>
      <c r="I76" s="84">
        <f>일위대가목록!K43</f>
        <v>0</v>
      </c>
      <c r="J76" s="84">
        <f t="shared" si="38"/>
        <v>0</v>
      </c>
      <c r="K76" s="84">
        <f t="shared" si="73"/>
        <v>1531</v>
      </c>
      <c r="L76" s="84">
        <f t="shared" si="73"/>
        <v>1531</v>
      </c>
      <c r="M76" s="84" t="s">
        <v>817</v>
      </c>
      <c r="O76" s="79" t="str">
        <f>""</f>
        <v/>
      </c>
      <c r="P76" s="86" t="s">
        <v>678</v>
      </c>
      <c r="Q76" s="79">
        <v>1</v>
      </c>
      <c r="R76" s="79">
        <f t="shared" si="41"/>
        <v>0</v>
      </c>
      <c r="S76" s="79">
        <f t="shared" si="42"/>
        <v>0</v>
      </c>
      <c r="T76" s="79">
        <f t="shared" si="43"/>
        <v>0</v>
      </c>
      <c r="U76" s="79">
        <f t="shared" si="44"/>
        <v>0</v>
      </c>
      <c r="V76" s="79">
        <f t="shared" si="45"/>
        <v>0</v>
      </c>
      <c r="W76" s="79">
        <f t="shared" si="46"/>
        <v>0</v>
      </c>
      <c r="X76" s="79">
        <f t="shared" si="47"/>
        <v>0</v>
      </c>
      <c r="Y76" s="79">
        <f t="shared" si="48"/>
        <v>0</v>
      </c>
      <c r="Z76" s="79">
        <f t="shared" si="49"/>
        <v>0</v>
      </c>
      <c r="AA76" s="79">
        <f t="shared" si="50"/>
        <v>0</v>
      </c>
      <c r="AB76" s="79">
        <f t="shared" si="51"/>
        <v>0</v>
      </c>
      <c r="AC76" s="79">
        <f t="shared" si="52"/>
        <v>0</v>
      </c>
      <c r="AD76" s="79">
        <f t="shared" si="53"/>
        <v>0</v>
      </c>
      <c r="AE76" s="79">
        <f t="shared" si="54"/>
        <v>0</v>
      </c>
      <c r="AF76" s="79">
        <f t="shared" si="55"/>
        <v>0</v>
      </c>
      <c r="AG76" s="79">
        <f t="shared" si="56"/>
        <v>0</v>
      </c>
      <c r="AH76" s="79">
        <f t="shared" si="57"/>
        <v>0</v>
      </c>
      <c r="AI76" s="79">
        <f t="shared" si="58"/>
        <v>0</v>
      </c>
      <c r="AJ76" s="79">
        <f t="shared" si="59"/>
        <v>0</v>
      </c>
      <c r="AK76" s="79">
        <f t="shared" si="60"/>
        <v>0</v>
      </c>
      <c r="AL76" s="79">
        <f t="shared" si="61"/>
        <v>0</v>
      </c>
      <c r="AM76" s="79">
        <f t="shared" si="62"/>
        <v>0</v>
      </c>
      <c r="AN76" s="79">
        <f t="shared" si="63"/>
        <v>0</v>
      </c>
      <c r="AO76" s="79">
        <f t="shared" si="64"/>
        <v>0</v>
      </c>
      <c r="AP76" s="79">
        <f t="shared" si="65"/>
        <v>0</v>
      </c>
      <c r="AQ76" s="79">
        <f t="shared" si="66"/>
        <v>0</v>
      </c>
      <c r="AR76" s="79">
        <f t="shared" si="67"/>
        <v>0</v>
      </c>
      <c r="AS76" s="79">
        <f t="shared" si="68"/>
        <v>0</v>
      </c>
      <c r="AT76" s="79">
        <f t="shared" si="69"/>
        <v>0</v>
      </c>
      <c r="AU76" s="79">
        <f t="shared" si="70"/>
        <v>0</v>
      </c>
    </row>
    <row r="77" spans="1:47" ht="23.1" customHeight="1">
      <c r="A77" s="81" t="s">
        <v>815</v>
      </c>
      <c r="B77" s="81" t="s">
        <v>818</v>
      </c>
      <c r="C77" s="82" t="s">
        <v>769</v>
      </c>
      <c r="D77" s="84">
        <v>2</v>
      </c>
      <c r="E77" s="84">
        <f>일위대가목록!G47</f>
        <v>2025</v>
      </c>
      <c r="F77" s="84">
        <f t="shared" si="36"/>
        <v>4050</v>
      </c>
      <c r="G77" s="84">
        <f>일위대가목록!I47</f>
        <v>0</v>
      </c>
      <c r="H77" s="84">
        <f t="shared" si="37"/>
        <v>0</v>
      </c>
      <c r="I77" s="84">
        <f>일위대가목록!K47</f>
        <v>0</v>
      </c>
      <c r="J77" s="84">
        <f t="shared" si="38"/>
        <v>0</v>
      </c>
      <c r="K77" s="84">
        <f t="shared" si="73"/>
        <v>2025</v>
      </c>
      <c r="L77" s="84">
        <f t="shared" si="73"/>
        <v>4050</v>
      </c>
      <c r="M77" s="84" t="s">
        <v>819</v>
      </c>
      <c r="O77" s="79" t="str">
        <f>""</f>
        <v/>
      </c>
      <c r="P77" s="86" t="s">
        <v>678</v>
      </c>
      <c r="Q77" s="79">
        <v>1</v>
      </c>
      <c r="R77" s="79">
        <f t="shared" si="41"/>
        <v>0</v>
      </c>
      <c r="S77" s="79">
        <f t="shared" si="42"/>
        <v>0</v>
      </c>
      <c r="T77" s="79">
        <f t="shared" si="43"/>
        <v>0</v>
      </c>
      <c r="U77" s="79">
        <f t="shared" si="44"/>
        <v>0</v>
      </c>
      <c r="V77" s="79">
        <f t="shared" si="45"/>
        <v>0</v>
      </c>
      <c r="W77" s="79">
        <f t="shared" si="46"/>
        <v>0</v>
      </c>
      <c r="X77" s="79">
        <f t="shared" si="47"/>
        <v>0</v>
      </c>
      <c r="Y77" s="79">
        <f t="shared" si="48"/>
        <v>0</v>
      </c>
      <c r="Z77" s="79">
        <f t="shared" si="49"/>
        <v>0</v>
      </c>
      <c r="AA77" s="79">
        <f t="shared" si="50"/>
        <v>0</v>
      </c>
      <c r="AB77" s="79">
        <f t="shared" si="51"/>
        <v>0</v>
      </c>
      <c r="AC77" s="79">
        <f t="shared" si="52"/>
        <v>0</v>
      </c>
      <c r="AD77" s="79">
        <f t="shared" si="53"/>
        <v>0</v>
      </c>
      <c r="AE77" s="79">
        <f t="shared" si="54"/>
        <v>0</v>
      </c>
      <c r="AF77" s="79">
        <f t="shared" si="55"/>
        <v>0</v>
      </c>
      <c r="AG77" s="79">
        <f t="shared" si="56"/>
        <v>0</v>
      </c>
      <c r="AH77" s="79">
        <f t="shared" si="57"/>
        <v>0</v>
      </c>
      <c r="AI77" s="79">
        <f t="shared" si="58"/>
        <v>0</v>
      </c>
      <c r="AJ77" s="79">
        <f t="shared" si="59"/>
        <v>0</v>
      </c>
      <c r="AK77" s="79">
        <f t="shared" si="60"/>
        <v>0</v>
      </c>
      <c r="AL77" s="79">
        <f t="shared" si="61"/>
        <v>0</v>
      </c>
      <c r="AM77" s="79">
        <f t="shared" si="62"/>
        <v>0</v>
      </c>
      <c r="AN77" s="79">
        <f t="shared" si="63"/>
        <v>0</v>
      </c>
      <c r="AO77" s="79">
        <f t="shared" si="64"/>
        <v>0</v>
      </c>
      <c r="AP77" s="79">
        <f t="shared" si="65"/>
        <v>0</v>
      </c>
      <c r="AQ77" s="79">
        <f t="shared" si="66"/>
        <v>0</v>
      </c>
      <c r="AR77" s="79">
        <f t="shared" si="67"/>
        <v>0</v>
      </c>
      <c r="AS77" s="79">
        <f t="shared" si="68"/>
        <v>0</v>
      </c>
      <c r="AT77" s="79">
        <f t="shared" si="69"/>
        <v>0</v>
      </c>
      <c r="AU77" s="79">
        <f t="shared" si="70"/>
        <v>0</v>
      </c>
    </row>
    <row r="78" spans="1:47" ht="23.1" customHeight="1">
      <c r="A78" s="81" t="s">
        <v>815</v>
      </c>
      <c r="B78" s="81" t="s">
        <v>779</v>
      </c>
      <c r="C78" s="82" t="s">
        <v>769</v>
      </c>
      <c r="D78" s="84">
        <v>3</v>
      </c>
      <c r="E78" s="84">
        <f>일위대가목록!G50</f>
        <v>4626</v>
      </c>
      <c r="F78" s="84">
        <f t="shared" si="36"/>
        <v>13878</v>
      </c>
      <c r="G78" s="84">
        <f>일위대가목록!I50</f>
        <v>0</v>
      </c>
      <c r="H78" s="84">
        <f t="shared" si="37"/>
        <v>0</v>
      </c>
      <c r="I78" s="84">
        <f>일위대가목록!K50</f>
        <v>0</v>
      </c>
      <c r="J78" s="84">
        <f t="shared" si="38"/>
        <v>0</v>
      </c>
      <c r="K78" s="84">
        <f t="shared" si="73"/>
        <v>4626</v>
      </c>
      <c r="L78" s="84">
        <f t="shared" si="73"/>
        <v>13878</v>
      </c>
      <c r="M78" s="84" t="s">
        <v>820</v>
      </c>
      <c r="O78" s="79" t="str">
        <f>""</f>
        <v/>
      </c>
      <c r="P78" s="86" t="s">
        <v>678</v>
      </c>
      <c r="Q78" s="79">
        <v>1</v>
      </c>
      <c r="R78" s="79">
        <f t="shared" si="41"/>
        <v>0</v>
      </c>
      <c r="S78" s="79">
        <f t="shared" si="42"/>
        <v>0</v>
      </c>
      <c r="T78" s="79">
        <f t="shared" si="43"/>
        <v>0</v>
      </c>
      <c r="U78" s="79">
        <f t="shared" si="44"/>
        <v>0</v>
      </c>
      <c r="V78" s="79">
        <f t="shared" si="45"/>
        <v>0</v>
      </c>
      <c r="W78" s="79">
        <f t="shared" si="46"/>
        <v>0</v>
      </c>
      <c r="X78" s="79">
        <f t="shared" si="47"/>
        <v>0</v>
      </c>
      <c r="Y78" s="79">
        <f t="shared" si="48"/>
        <v>0</v>
      </c>
      <c r="Z78" s="79">
        <f t="shared" si="49"/>
        <v>0</v>
      </c>
      <c r="AA78" s="79">
        <f t="shared" si="50"/>
        <v>0</v>
      </c>
      <c r="AB78" s="79">
        <f t="shared" si="51"/>
        <v>0</v>
      </c>
      <c r="AC78" s="79">
        <f t="shared" si="52"/>
        <v>0</v>
      </c>
      <c r="AD78" s="79">
        <f t="shared" si="53"/>
        <v>0</v>
      </c>
      <c r="AE78" s="79">
        <f t="shared" si="54"/>
        <v>0</v>
      </c>
      <c r="AF78" s="79">
        <f t="shared" si="55"/>
        <v>0</v>
      </c>
      <c r="AG78" s="79">
        <f t="shared" si="56"/>
        <v>0</v>
      </c>
      <c r="AH78" s="79">
        <f t="shared" si="57"/>
        <v>0</v>
      </c>
      <c r="AI78" s="79">
        <f t="shared" si="58"/>
        <v>0</v>
      </c>
      <c r="AJ78" s="79">
        <f t="shared" si="59"/>
        <v>0</v>
      </c>
      <c r="AK78" s="79">
        <f t="shared" si="60"/>
        <v>0</v>
      </c>
      <c r="AL78" s="79">
        <f t="shared" si="61"/>
        <v>0</v>
      </c>
      <c r="AM78" s="79">
        <f t="shared" si="62"/>
        <v>0</v>
      </c>
      <c r="AN78" s="79">
        <f t="shared" si="63"/>
        <v>0</v>
      </c>
      <c r="AO78" s="79">
        <f t="shared" si="64"/>
        <v>0</v>
      </c>
      <c r="AP78" s="79">
        <f t="shared" si="65"/>
        <v>0</v>
      </c>
      <c r="AQ78" s="79">
        <f t="shared" si="66"/>
        <v>0</v>
      </c>
      <c r="AR78" s="79">
        <f t="shared" si="67"/>
        <v>0</v>
      </c>
      <c r="AS78" s="79">
        <f t="shared" si="68"/>
        <v>0</v>
      </c>
      <c r="AT78" s="79">
        <f t="shared" si="69"/>
        <v>0</v>
      </c>
      <c r="AU78" s="79">
        <f t="shared" si="70"/>
        <v>0</v>
      </c>
    </row>
    <row r="79" spans="1:47" ht="23.1" customHeight="1">
      <c r="A79" s="81" t="s">
        <v>815</v>
      </c>
      <c r="B79" s="81" t="s">
        <v>781</v>
      </c>
      <c r="C79" s="82" t="s">
        <v>769</v>
      </c>
      <c r="D79" s="84">
        <v>5</v>
      </c>
      <c r="E79" s="84">
        <f>일위대가목록!G52</f>
        <v>6485</v>
      </c>
      <c r="F79" s="84">
        <f t="shared" si="36"/>
        <v>32425</v>
      </c>
      <c r="G79" s="84">
        <f>일위대가목록!I52</f>
        <v>0</v>
      </c>
      <c r="H79" s="84">
        <f t="shared" si="37"/>
        <v>0</v>
      </c>
      <c r="I79" s="84">
        <f>일위대가목록!K52</f>
        <v>0</v>
      </c>
      <c r="J79" s="84">
        <f t="shared" si="38"/>
        <v>0</v>
      </c>
      <c r="K79" s="84">
        <f t="shared" si="73"/>
        <v>6485</v>
      </c>
      <c r="L79" s="84">
        <f t="shared" si="73"/>
        <v>32425</v>
      </c>
      <c r="M79" s="84" t="s">
        <v>821</v>
      </c>
      <c r="O79" s="79" t="str">
        <f>""</f>
        <v/>
      </c>
      <c r="P79" s="86" t="s">
        <v>678</v>
      </c>
      <c r="Q79" s="79">
        <v>1</v>
      </c>
      <c r="R79" s="79">
        <f t="shared" si="41"/>
        <v>0</v>
      </c>
      <c r="S79" s="79">
        <f t="shared" si="42"/>
        <v>0</v>
      </c>
      <c r="T79" s="79">
        <f t="shared" si="43"/>
        <v>0</v>
      </c>
      <c r="U79" s="79">
        <f t="shared" si="44"/>
        <v>0</v>
      </c>
      <c r="V79" s="79">
        <f t="shared" si="45"/>
        <v>0</v>
      </c>
      <c r="W79" s="79">
        <f t="shared" si="46"/>
        <v>0</v>
      </c>
      <c r="X79" s="79">
        <f t="shared" si="47"/>
        <v>0</v>
      </c>
      <c r="Y79" s="79">
        <f t="shared" si="48"/>
        <v>0</v>
      </c>
      <c r="Z79" s="79">
        <f t="shared" si="49"/>
        <v>0</v>
      </c>
      <c r="AA79" s="79">
        <f t="shared" si="50"/>
        <v>0</v>
      </c>
      <c r="AB79" s="79">
        <f t="shared" si="51"/>
        <v>0</v>
      </c>
      <c r="AC79" s="79">
        <f t="shared" si="52"/>
        <v>0</v>
      </c>
      <c r="AD79" s="79">
        <f t="shared" si="53"/>
        <v>0</v>
      </c>
      <c r="AE79" s="79">
        <f t="shared" si="54"/>
        <v>0</v>
      </c>
      <c r="AF79" s="79">
        <f t="shared" si="55"/>
        <v>0</v>
      </c>
      <c r="AG79" s="79">
        <f t="shared" si="56"/>
        <v>0</v>
      </c>
      <c r="AH79" s="79">
        <f t="shared" si="57"/>
        <v>0</v>
      </c>
      <c r="AI79" s="79">
        <f t="shared" si="58"/>
        <v>0</v>
      </c>
      <c r="AJ79" s="79">
        <f t="shared" si="59"/>
        <v>0</v>
      </c>
      <c r="AK79" s="79">
        <f t="shared" si="60"/>
        <v>0</v>
      </c>
      <c r="AL79" s="79">
        <f t="shared" si="61"/>
        <v>0</v>
      </c>
      <c r="AM79" s="79">
        <f t="shared" si="62"/>
        <v>0</v>
      </c>
      <c r="AN79" s="79">
        <f t="shared" si="63"/>
        <v>0</v>
      </c>
      <c r="AO79" s="79">
        <f t="shared" si="64"/>
        <v>0</v>
      </c>
      <c r="AP79" s="79">
        <f t="shared" si="65"/>
        <v>0</v>
      </c>
      <c r="AQ79" s="79">
        <f t="shared" si="66"/>
        <v>0</v>
      </c>
      <c r="AR79" s="79">
        <f t="shared" si="67"/>
        <v>0</v>
      </c>
      <c r="AS79" s="79">
        <f t="shared" si="68"/>
        <v>0</v>
      </c>
      <c r="AT79" s="79">
        <f t="shared" si="69"/>
        <v>0</v>
      </c>
      <c r="AU79" s="79">
        <f t="shared" si="70"/>
        <v>0</v>
      </c>
    </row>
    <row r="80" spans="1:47" ht="23.1" customHeight="1">
      <c r="A80" s="81" t="s">
        <v>822</v>
      </c>
      <c r="B80" s="81" t="s">
        <v>823</v>
      </c>
      <c r="C80" s="82" t="s">
        <v>343</v>
      </c>
      <c r="D80" s="84">
        <v>2</v>
      </c>
      <c r="E80" s="84">
        <f>단가대비표!L34</f>
        <v>4086.355</v>
      </c>
      <c r="F80" s="84">
        <f t="shared" si="36"/>
        <v>8172</v>
      </c>
      <c r="G80" s="84">
        <v>0</v>
      </c>
      <c r="H80" s="84">
        <f t="shared" si="37"/>
        <v>0</v>
      </c>
      <c r="I80" s="84">
        <v>0</v>
      </c>
      <c r="J80" s="84">
        <f t="shared" si="38"/>
        <v>0</v>
      </c>
      <c r="K80" s="84">
        <f t="shared" si="73"/>
        <v>4086.355</v>
      </c>
      <c r="L80" s="84">
        <f t="shared" si="73"/>
        <v>8172</v>
      </c>
      <c r="M80" s="84"/>
      <c r="O80" s="79" t="str">
        <f>"01"</f>
        <v>01</v>
      </c>
      <c r="P80" s="86" t="s">
        <v>678</v>
      </c>
      <c r="Q80" s="79">
        <v>1</v>
      </c>
      <c r="R80" s="79">
        <f t="shared" si="41"/>
        <v>0</v>
      </c>
      <c r="S80" s="79">
        <f t="shared" si="42"/>
        <v>0</v>
      </c>
      <c r="T80" s="79">
        <f t="shared" si="43"/>
        <v>0</v>
      </c>
      <c r="U80" s="79">
        <f t="shared" si="44"/>
        <v>0</v>
      </c>
      <c r="V80" s="79">
        <f t="shared" si="45"/>
        <v>0</v>
      </c>
      <c r="W80" s="79">
        <f t="shared" si="46"/>
        <v>0</v>
      </c>
      <c r="X80" s="79">
        <f t="shared" si="47"/>
        <v>0</v>
      </c>
      <c r="Y80" s="79">
        <f t="shared" si="48"/>
        <v>0</v>
      </c>
      <c r="Z80" s="79">
        <f t="shared" si="49"/>
        <v>0</v>
      </c>
      <c r="AA80" s="79">
        <f t="shared" si="50"/>
        <v>0</v>
      </c>
      <c r="AB80" s="79">
        <f t="shared" si="51"/>
        <v>0</v>
      </c>
      <c r="AC80" s="79">
        <f t="shared" si="52"/>
        <v>0</v>
      </c>
      <c r="AD80" s="79">
        <f t="shared" si="53"/>
        <v>0</v>
      </c>
      <c r="AE80" s="79">
        <f t="shared" si="54"/>
        <v>0</v>
      </c>
      <c r="AF80" s="79">
        <f t="shared" si="55"/>
        <v>0</v>
      </c>
      <c r="AG80" s="79">
        <f t="shared" si="56"/>
        <v>0</v>
      </c>
      <c r="AH80" s="79">
        <f t="shared" si="57"/>
        <v>0</v>
      </c>
      <c r="AI80" s="79">
        <f t="shared" si="58"/>
        <v>0</v>
      </c>
      <c r="AJ80" s="79">
        <f t="shared" si="59"/>
        <v>0</v>
      </c>
      <c r="AK80" s="79">
        <f t="shared" si="60"/>
        <v>0</v>
      </c>
      <c r="AL80" s="79">
        <f t="shared" si="61"/>
        <v>0</v>
      </c>
      <c r="AM80" s="79">
        <f t="shared" si="62"/>
        <v>0</v>
      </c>
      <c r="AN80" s="79">
        <f t="shared" si="63"/>
        <v>0</v>
      </c>
      <c r="AO80" s="79">
        <f t="shared" si="64"/>
        <v>0</v>
      </c>
      <c r="AP80" s="79">
        <f t="shared" si="65"/>
        <v>0</v>
      </c>
      <c r="AQ80" s="79">
        <f t="shared" si="66"/>
        <v>0</v>
      </c>
      <c r="AR80" s="79">
        <f t="shared" si="67"/>
        <v>0</v>
      </c>
      <c r="AS80" s="79">
        <f t="shared" si="68"/>
        <v>0</v>
      </c>
      <c r="AT80" s="79">
        <f t="shared" si="69"/>
        <v>0</v>
      </c>
      <c r="AU80" s="79">
        <f t="shared" si="70"/>
        <v>0</v>
      </c>
    </row>
    <row r="81" spans="1:50" ht="23.1" customHeight="1">
      <c r="A81" s="81" t="s">
        <v>824</v>
      </c>
      <c r="B81" s="81" t="s">
        <v>825</v>
      </c>
      <c r="C81" s="82" t="s">
        <v>343</v>
      </c>
      <c r="D81" s="84">
        <f>공량산출서!F66</f>
        <v>1</v>
      </c>
      <c r="E81" s="84">
        <f>단가대비표!L141</f>
        <v>251468</v>
      </c>
      <c r="F81" s="84">
        <f t="shared" si="36"/>
        <v>251468</v>
      </c>
      <c r="G81" s="84">
        <v>0</v>
      </c>
      <c r="H81" s="84">
        <f t="shared" si="37"/>
        <v>0</v>
      </c>
      <c r="I81" s="84">
        <v>0</v>
      </c>
      <c r="J81" s="84">
        <f t="shared" si="38"/>
        <v>0</v>
      </c>
      <c r="K81" s="84">
        <f t="shared" si="73"/>
        <v>251468</v>
      </c>
      <c r="L81" s="84">
        <f t="shared" si="73"/>
        <v>251468</v>
      </c>
      <c r="M81" s="84"/>
      <c r="O81" s="79" t="str">
        <f>"01"</f>
        <v>01</v>
      </c>
      <c r="P81" s="86" t="s">
        <v>678</v>
      </c>
      <c r="Q81" s="79">
        <v>1</v>
      </c>
      <c r="R81" s="79">
        <f t="shared" si="41"/>
        <v>0</v>
      </c>
      <c r="S81" s="79">
        <f t="shared" si="42"/>
        <v>0</v>
      </c>
      <c r="T81" s="79">
        <f t="shared" si="43"/>
        <v>0</v>
      </c>
      <c r="U81" s="79">
        <f t="shared" si="44"/>
        <v>0</v>
      </c>
      <c r="V81" s="79">
        <f t="shared" si="45"/>
        <v>0</v>
      </c>
      <c r="W81" s="79">
        <f t="shared" si="46"/>
        <v>0</v>
      </c>
      <c r="X81" s="79">
        <f t="shared" si="47"/>
        <v>0</v>
      </c>
      <c r="Y81" s="79">
        <f t="shared" si="48"/>
        <v>0</v>
      </c>
      <c r="Z81" s="79">
        <f t="shared" si="49"/>
        <v>0</v>
      </c>
      <c r="AA81" s="79">
        <f t="shared" si="50"/>
        <v>0</v>
      </c>
      <c r="AB81" s="79">
        <f t="shared" si="51"/>
        <v>0</v>
      </c>
      <c r="AC81" s="79">
        <f t="shared" si="52"/>
        <v>0</v>
      </c>
      <c r="AD81" s="79">
        <f t="shared" si="53"/>
        <v>0</v>
      </c>
      <c r="AE81" s="79">
        <f t="shared" si="54"/>
        <v>0</v>
      </c>
      <c r="AF81" s="79">
        <f t="shared" si="55"/>
        <v>0</v>
      </c>
      <c r="AG81" s="79">
        <f t="shared" si="56"/>
        <v>0</v>
      </c>
      <c r="AH81" s="79">
        <f t="shared" si="57"/>
        <v>0</v>
      </c>
      <c r="AI81" s="79">
        <f t="shared" si="58"/>
        <v>0</v>
      </c>
      <c r="AJ81" s="79">
        <f t="shared" si="59"/>
        <v>0</v>
      </c>
      <c r="AK81" s="79">
        <f t="shared" si="60"/>
        <v>0</v>
      </c>
      <c r="AL81" s="79">
        <f t="shared" si="61"/>
        <v>0</v>
      </c>
      <c r="AM81" s="79">
        <f t="shared" si="62"/>
        <v>0</v>
      </c>
      <c r="AN81" s="79">
        <f t="shared" si="63"/>
        <v>0</v>
      </c>
      <c r="AO81" s="79">
        <f t="shared" si="64"/>
        <v>0</v>
      </c>
      <c r="AP81" s="79">
        <f t="shared" si="65"/>
        <v>0</v>
      </c>
      <c r="AQ81" s="79">
        <f t="shared" si="66"/>
        <v>0</v>
      </c>
      <c r="AR81" s="79">
        <f t="shared" si="67"/>
        <v>0</v>
      </c>
      <c r="AS81" s="79">
        <f t="shared" si="68"/>
        <v>0</v>
      </c>
      <c r="AT81" s="79">
        <f t="shared" si="69"/>
        <v>0</v>
      </c>
      <c r="AU81" s="79">
        <f t="shared" si="70"/>
        <v>0</v>
      </c>
    </row>
    <row r="82" spans="1:50" ht="23.1" customHeight="1">
      <c r="A82" s="81" t="s">
        <v>824</v>
      </c>
      <c r="B82" s="81" t="s">
        <v>826</v>
      </c>
      <c r="C82" s="82" t="s">
        <v>343</v>
      </c>
      <c r="D82" s="84">
        <f>공량산출서!F68</f>
        <v>2</v>
      </c>
      <c r="E82" s="84">
        <f>단가대비표!L140</f>
        <v>1122625</v>
      </c>
      <c r="F82" s="84">
        <f t="shared" si="36"/>
        <v>2245250</v>
      </c>
      <c r="G82" s="84">
        <v>0</v>
      </c>
      <c r="H82" s="84">
        <f t="shared" si="37"/>
        <v>0</v>
      </c>
      <c r="I82" s="84">
        <v>0</v>
      </c>
      <c r="J82" s="84">
        <f t="shared" si="38"/>
        <v>0</v>
      </c>
      <c r="K82" s="84">
        <f t="shared" si="73"/>
        <v>1122625</v>
      </c>
      <c r="L82" s="84">
        <f t="shared" si="73"/>
        <v>2245250</v>
      </c>
      <c r="M82" s="84"/>
      <c r="O82" s="79" t="str">
        <f>"01"</f>
        <v>01</v>
      </c>
      <c r="P82" s="86" t="s">
        <v>678</v>
      </c>
      <c r="Q82" s="79">
        <v>1</v>
      </c>
      <c r="R82" s="79">
        <f t="shared" si="41"/>
        <v>0</v>
      </c>
      <c r="S82" s="79">
        <f t="shared" si="42"/>
        <v>0</v>
      </c>
      <c r="T82" s="79">
        <f t="shared" si="43"/>
        <v>0</v>
      </c>
      <c r="U82" s="79">
        <f t="shared" si="44"/>
        <v>0</v>
      </c>
      <c r="V82" s="79">
        <f t="shared" si="45"/>
        <v>0</v>
      </c>
      <c r="W82" s="79">
        <f t="shared" si="46"/>
        <v>0</v>
      </c>
      <c r="X82" s="79">
        <f t="shared" si="47"/>
        <v>0</v>
      </c>
      <c r="Y82" s="79">
        <f t="shared" si="48"/>
        <v>0</v>
      </c>
      <c r="Z82" s="79">
        <f t="shared" si="49"/>
        <v>0</v>
      </c>
      <c r="AA82" s="79">
        <f t="shared" si="50"/>
        <v>0</v>
      </c>
      <c r="AB82" s="79">
        <f t="shared" si="51"/>
        <v>0</v>
      </c>
      <c r="AC82" s="79">
        <f t="shared" si="52"/>
        <v>0</v>
      </c>
      <c r="AD82" s="79">
        <f t="shared" si="53"/>
        <v>0</v>
      </c>
      <c r="AE82" s="79">
        <f t="shared" si="54"/>
        <v>0</v>
      </c>
      <c r="AF82" s="79">
        <f t="shared" si="55"/>
        <v>0</v>
      </c>
      <c r="AG82" s="79">
        <f t="shared" si="56"/>
        <v>0</v>
      </c>
      <c r="AH82" s="79">
        <f t="shared" si="57"/>
        <v>0</v>
      </c>
      <c r="AI82" s="79">
        <f t="shared" si="58"/>
        <v>0</v>
      </c>
      <c r="AJ82" s="79">
        <f t="shared" si="59"/>
        <v>0</v>
      </c>
      <c r="AK82" s="79">
        <f t="shared" si="60"/>
        <v>0</v>
      </c>
      <c r="AL82" s="79">
        <f t="shared" si="61"/>
        <v>0</v>
      </c>
      <c r="AM82" s="79">
        <f t="shared" si="62"/>
        <v>0</v>
      </c>
      <c r="AN82" s="79">
        <f t="shared" si="63"/>
        <v>0</v>
      </c>
      <c r="AO82" s="79">
        <f t="shared" si="64"/>
        <v>0</v>
      </c>
      <c r="AP82" s="79">
        <f t="shared" si="65"/>
        <v>0</v>
      </c>
      <c r="AQ82" s="79">
        <f t="shared" si="66"/>
        <v>0</v>
      </c>
      <c r="AR82" s="79">
        <f t="shared" si="67"/>
        <v>0</v>
      </c>
      <c r="AS82" s="79">
        <f t="shared" si="68"/>
        <v>0</v>
      </c>
      <c r="AT82" s="79">
        <f t="shared" si="69"/>
        <v>0</v>
      </c>
      <c r="AU82" s="79">
        <f t="shared" si="70"/>
        <v>0</v>
      </c>
    </row>
    <row r="83" spans="1:50" ht="23.1" customHeight="1">
      <c r="A83" s="81" t="s">
        <v>827</v>
      </c>
      <c r="B83" s="81" t="s">
        <v>828</v>
      </c>
      <c r="C83" s="82" t="s">
        <v>769</v>
      </c>
      <c r="D83" s="84">
        <v>1</v>
      </c>
      <c r="E83" s="84">
        <f>일위대가목록!G55</f>
        <v>12127</v>
      </c>
      <c r="F83" s="84">
        <f t="shared" si="36"/>
        <v>12127</v>
      </c>
      <c r="G83" s="84">
        <f>일위대가목록!I55</f>
        <v>0</v>
      </c>
      <c r="H83" s="84">
        <f t="shared" si="37"/>
        <v>0</v>
      </c>
      <c r="I83" s="84">
        <f>일위대가목록!K55</f>
        <v>0</v>
      </c>
      <c r="J83" s="84">
        <f t="shared" si="38"/>
        <v>0</v>
      </c>
      <c r="K83" s="84">
        <f t="shared" si="73"/>
        <v>12127</v>
      </c>
      <c r="L83" s="84">
        <f t="shared" si="73"/>
        <v>12127</v>
      </c>
      <c r="M83" s="84" t="s">
        <v>829</v>
      </c>
      <c r="O83" s="79" t="str">
        <f>""</f>
        <v/>
      </c>
      <c r="P83" s="86" t="s">
        <v>678</v>
      </c>
      <c r="Q83" s="79">
        <v>1</v>
      </c>
      <c r="R83" s="79">
        <f t="shared" si="41"/>
        <v>0</v>
      </c>
      <c r="S83" s="79">
        <f t="shared" si="42"/>
        <v>0</v>
      </c>
      <c r="T83" s="79">
        <f t="shared" si="43"/>
        <v>0</v>
      </c>
      <c r="U83" s="79">
        <f t="shared" si="44"/>
        <v>0</v>
      </c>
      <c r="V83" s="79">
        <f t="shared" si="45"/>
        <v>0</v>
      </c>
      <c r="W83" s="79">
        <f t="shared" si="46"/>
        <v>0</v>
      </c>
      <c r="X83" s="79">
        <f t="shared" si="47"/>
        <v>0</v>
      </c>
      <c r="Y83" s="79">
        <f t="shared" si="48"/>
        <v>0</v>
      </c>
      <c r="Z83" s="79">
        <f t="shared" si="49"/>
        <v>0</v>
      </c>
      <c r="AA83" s="79">
        <f t="shared" si="50"/>
        <v>0</v>
      </c>
      <c r="AB83" s="79">
        <f t="shared" si="51"/>
        <v>0</v>
      </c>
      <c r="AC83" s="79">
        <f t="shared" si="52"/>
        <v>0</v>
      </c>
      <c r="AD83" s="79">
        <f t="shared" si="53"/>
        <v>0</v>
      </c>
      <c r="AE83" s="79">
        <f t="shared" si="54"/>
        <v>0</v>
      </c>
      <c r="AF83" s="79">
        <f t="shared" si="55"/>
        <v>0</v>
      </c>
      <c r="AG83" s="79">
        <f t="shared" si="56"/>
        <v>0</v>
      </c>
      <c r="AH83" s="79">
        <f t="shared" si="57"/>
        <v>0</v>
      </c>
      <c r="AI83" s="79">
        <f t="shared" si="58"/>
        <v>0</v>
      </c>
      <c r="AJ83" s="79">
        <f t="shared" si="59"/>
        <v>0</v>
      </c>
      <c r="AK83" s="79">
        <f t="shared" si="60"/>
        <v>0</v>
      </c>
      <c r="AL83" s="79">
        <f t="shared" si="61"/>
        <v>0</v>
      </c>
      <c r="AM83" s="79">
        <f t="shared" si="62"/>
        <v>0</v>
      </c>
      <c r="AN83" s="79">
        <f t="shared" si="63"/>
        <v>0</v>
      </c>
      <c r="AO83" s="79">
        <f t="shared" si="64"/>
        <v>0</v>
      </c>
      <c r="AP83" s="79">
        <f t="shared" si="65"/>
        <v>0</v>
      </c>
      <c r="AQ83" s="79">
        <f t="shared" si="66"/>
        <v>0</v>
      </c>
      <c r="AR83" s="79">
        <f t="shared" si="67"/>
        <v>0</v>
      </c>
      <c r="AS83" s="79">
        <f t="shared" si="68"/>
        <v>0</v>
      </c>
      <c r="AT83" s="79">
        <f t="shared" si="69"/>
        <v>0</v>
      </c>
      <c r="AU83" s="79">
        <f t="shared" si="70"/>
        <v>0</v>
      </c>
    </row>
    <row r="84" spans="1:50" ht="23.1" customHeight="1">
      <c r="A84" s="81" t="s">
        <v>827</v>
      </c>
      <c r="B84" s="81" t="s">
        <v>830</v>
      </c>
      <c r="C84" s="82" t="s">
        <v>769</v>
      </c>
      <c r="D84" s="84">
        <v>2</v>
      </c>
      <c r="E84" s="84">
        <f>일위대가목록!G57</f>
        <v>43463</v>
      </c>
      <c r="F84" s="84">
        <f t="shared" si="36"/>
        <v>86926</v>
      </c>
      <c r="G84" s="84">
        <f>일위대가목록!I57</f>
        <v>0</v>
      </c>
      <c r="H84" s="84">
        <f t="shared" si="37"/>
        <v>0</v>
      </c>
      <c r="I84" s="84">
        <f>일위대가목록!K57</f>
        <v>0</v>
      </c>
      <c r="J84" s="84">
        <f t="shared" si="38"/>
        <v>0</v>
      </c>
      <c r="K84" s="84">
        <f t="shared" si="73"/>
        <v>43463</v>
      </c>
      <c r="L84" s="84">
        <f t="shared" si="73"/>
        <v>86926</v>
      </c>
      <c r="M84" s="84" t="s">
        <v>831</v>
      </c>
      <c r="O84" s="79" t="str">
        <f>""</f>
        <v/>
      </c>
      <c r="P84" s="86" t="s">
        <v>678</v>
      </c>
      <c r="Q84" s="79">
        <v>1</v>
      </c>
      <c r="R84" s="79">
        <f t="shared" si="41"/>
        <v>0</v>
      </c>
      <c r="S84" s="79">
        <f t="shared" si="42"/>
        <v>0</v>
      </c>
      <c r="T84" s="79">
        <f t="shared" si="43"/>
        <v>0</v>
      </c>
      <c r="U84" s="79">
        <f t="shared" si="44"/>
        <v>0</v>
      </c>
      <c r="V84" s="79">
        <f t="shared" si="45"/>
        <v>0</v>
      </c>
      <c r="W84" s="79">
        <f t="shared" si="46"/>
        <v>0</v>
      </c>
      <c r="X84" s="79">
        <f t="shared" si="47"/>
        <v>0</v>
      </c>
      <c r="Y84" s="79">
        <f t="shared" si="48"/>
        <v>0</v>
      </c>
      <c r="Z84" s="79">
        <f t="shared" si="49"/>
        <v>0</v>
      </c>
      <c r="AA84" s="79">
        <f t="shared" si="50"/>
        <v>0</v>
      </c>
      <c r="AB84" s="79">
        <f t="shared" si="51"/>
        <v>0</v>
      </c>
      <c r="AC84" s="79">
        <f t="shared" si="52"/>
        <v>0</v>
      </c>
      <c r="AD84" s="79">
        <f t="shared" si="53"/>
        <v>0</v>
      </c>
      <c r="AE84" s="79">
        <f t="shared" si="54"/>
        <v>0</v>
      </c>
      <c r="AF84" s="79">
        <f t="shared" si="55"/>
        <v>0</v>
      </c>
      <c r="AG84" s="79">
        <f t="shared" si="56"/>
        <v>0</v>
      </c>
      <c r="AH84" s="79">
        <f t="shared" si="57"/>
        <v>0</v>
      </c>
      <c r="AI84" s="79">
        <f t="shared" si="58"/>
        <v>0</v>
      </c>
      <c r="AJ84" s="79">
        <f t="shared" si="59"/>
        <v>0</v>
      </c>
      <c r="AK84" s="79">
        <f t="shared" si="60"/>
        <v>0</v>
      </c>
      <c r="AL84" s="79">
        <f t="shared" si="61"/>
        <v>0</v>
      </c>
      <c r="AM84" s="79">
        <f t="shared" si="62"/>
        <v>0</v>
      </c>
      <c r="AN84" s="79">
        <f t="shared" si="63"/>
        <v>0</v>
      </c>
      <c r="AO84" s="79">
        <f t="shared" si="64"/>
        <v>0</v>
      </c>
      <c r="AP84" s="79">
        <f t="shared" si="65"/>
        <v>0</v>
      </c>
      <c r="AQ84" s="79">
        <f t="shared" si="66"/>
        <v>0</v>
      </c>
      <c r="AR84" s="79">
        <f t="shared" si="67"/>
        <v>0</v>
      </c>
      <c r="AS84" s="79">
        <f t="shared" si="68"/>
        <v>0</v>
      </c>
      <c r="AT84" s="79">
        <f t="shared" si="69"/>
        <v>0</v>
      </c>
      <c r="AU84" s="79">
        <f t="shared" si="70"/>
        <v>0</v>
      </c>
    </row>
    <row r="85" spans="1:50" ht="23.1" customHeight="1">
      <c r="A85" s="81" t="s">
        <v>832</v>
      </c>
      <c r="B85" s="81" t="s">
        <v>833</v>
      </c>
      <c r="C85" s="82" t="s">
        <v>366</v>
      </c>
      <c r="D85" s="84">
        <v>1</v>
      </c>
      <c r="E85" s="84">
        <f>단가대비표!L42</f>
        <v>224525</v>
      </c>
      <c r="F85" s="84">
        <f t="shared" si="36"/>
        <v>224525</v>
      </c>
      <c r="G85" s="84">
        <v>0</v>
      </c>
      <c r="H85" s="84">
        <f t="shared" si="37"/>
        <v>0</v>
      </c>
      <c r="I85" s="84">
        <v>0</v>
      </c>
      <c r="J85" s="84">
        <f t="shared" si="38"/>
        <v>0</v>
      </c>
      <c r="K85" s="84">
        <f t="shared" si="73"/>
        <v>224525</v>
      </c>
      <c r="L85" s="84">
        <f t="shared" si="73"/>
        <v>224525</v>
      </c>
      <c r="M85" s="84"/>
      <c r="O85" s="79" t="str">
        <f>"01"</f>
        <v>01</v>
      </c>
      <c r="P85" s="86" t="s">
        <v>678</v>
      </c>
      <c r="Q85" s="79">
        <v>1</v>
      </c>
      <c r="R85" s="79">
        <f t="shared" si="41"/>
        <v>0</v>
      </c>
      <c r="S85" s="79">
        <f t="shared" si="42"/>
        <v>0</v>
      </c>
      <c r="T85" s="79">
        <f t="shared" si="43"/>
        <v>0</v>
      </c>
      <c r="U85" s="79">
        <f t="shared" si="44"/>
        <v>0</v>
      </c>
      <c r="V85" s="79">
        <f t="shared" si="45"/>
        <v>0</v>
      </c>
      <c r="W85" s="79">
        <f t="shared" si="46"/>
        <v>0</v>
      </c>
      <c r="X85" s="79">
        <f t="shared" si="47"/>
        <v>0</v>
      </c>
      <c r="Y85" s="79">
        <f t="shared" si="48"/>
        <v>0</v>
      </c>
      <c r="Z85" s="79">
        <f t="shared" si="49"/>
        <v>0</v>
      </c>
      <c r="AA85" s="79">
        <f t="shared" si="50"/>
        <v>0</v>
      </c>
      <c r="AB85" s="79">
        <f t="shared" si="51"/>
        <v>0</v>
      </c>
      <c r="AC85" s="79">
        <f t="shared" si="52"/>
        <v>0</v>
      </c>
      <c r="AD85" s="79">
        <f t="shared" si="53"/>
        <v>0</v>
      </c>
      <c r="AE85" s="79">
        <f t="shared" si="54"/>
        <v>0</v>
      </c>
      <c r="AF85" s="79">
        <f t="shared" si="55"/>
        <v>0</v>
      </c>
      <c r="AG85" s="79">
        <f t="shared" si="56"/>
        <v>0</v>
      </c>
      <c r="AH85" s="79">
        <f t="shared" si="57"/>
        <v>0</v>
      </c>
      <c r="AI85" s="79">
        <f t="shared" si="58"/>
        <v>0</v>
      </c>
      <c r="AJ85" s="79">
        <f t="shared" si="59"/>
        <v>0</v>
      </c>
      <c r="AK85" s="79">
        <f t="shared" si="60"/>
        <v>0</v>
      </c>
      <c r="AL85" s="79">
        <f t="shared" si="61"/>
        <v>0</v>
      </c>
      <c r="AM85" s="79">
        <f t="shared" si="62"/>
        <v>0</v>
      </c>
      <c r="AN85" s="79">
        <f t="shared" si="63"/>
        <v>0</v>
      </c>
      <c r="AO85" s="79">
        <f t="shared" si="64"/>
        <v>0</v>
      </c>
      <c r="AP85" s="79">
        <f t="shared" si="65"/>
        <v>0</v>
      </c>
      <c r="AQ85" s="79">
        <f t="shared" si="66"/>
        <v>0</v>
      </c>
      <c r="AR85" s="79">
        <f t="shared" si="67"/>
        <v>0</v>
      </c>
      <c r="AS85" s="79">
        <f t="shared" si="68"/>
        <v>0</v>
      </c>
      <c r="AT85" s="79">
        <f t="shared" si="69"/>
        <v>0</v>
      </c>
      <c r="AU85" s="79">
        <f t="shared" si="70"/>
        <v>0</v>
      </c>
    </row>
    <row r="86" spans="1:50" ht="23.1" customHeight="1">
      <c r="A86" s="81" t="s">
        <v>834</v>
      </c>
      <c r="B86" s="81" t="s">
        <v>835</v>
      </c>
      <c r="C86" s="82" t="s">
        <v>343</v>
      </c>
      <c r="D86" s="84">
        <f>공량산출서!F70</f>
        <v>1</v>
      </c>
      <c r="E86" s="84">
        <f>단가대비표!L155</f>
        <v>3251.1219999999998</v>
      </c>
      <c r="F86" s="84">
        <f t="shared" si="36"/>
        <v>3251</v>
      </c>
      <c r="G86" s="84">
        <v>0</v>
      </c>
      <c r="H86" s="84">
        <f t="shared" si="37"/>
        <v>0</v>
      </c>
      <c r="I86" s="84">
        <v>0</v>
      </c>
      <c r="J86" s="84">
        <f t="shared" si="38"/>
        <v>0</v>
      </c>
      <c r="K86" s="84">
        <f t="shared" si="73"/>
        <v>3251.1219999999998</v>
      </c>
      <c r="L86" s="84">
        <f t="shared" si="73"/>
        <v>3251</v>
      </c>
      <c r="M86" s="84"/>
      <c r="O86" s="79" t="str">
        <f>"01"</f>
        <v>01</v>
      </c>
      <c r="P86" s="86" t="s">
        <v>678</v>
      </c>
      <c r="Q86" s="79">
        <v>1</v>
      </c>
      <c r="R86" s="79">
        <f t="shared" si="41"/>
        <v>0</v>
      </c>
      <c r="S86" s="79">
        <f t="shared" si="42"/>
        <v>0</v>
      </c>
      <c r="T86" s="79">
        <f t="shared" si="43"/>
        <v>0</v>
      </c>
      <c r="U86" s="79">
        <f t="shared" si="44"/>
        <v>0</v>
      </c>
      <c r="V86" s="79">
        <f t="shared" si="45"/>
        <v>0</v>
      </c>
      <c r="W86" s="79">
        <f t="shared" si="46"/>
        <v>0</v>
      </c>
      <c r="X86" s="79">
        <f t="shared" si="47"/>
        <v>0</v>
      </c>
      <c r="Y86" s="79">
        <f t="shared" si="48"/>
        <v>0</v>
      </c>
      <c r="Z86" s="79">
        <f t="shared" si="49"/>
        <v>0</v>
      </c>
      <c r="AA86" s="79">
        <f t="shared" si="50"/>
        <v>0</v>
      </c>
      <c r="AB86" s="79">
        <f t="shared" si="51"/>
        <v>0</v>
      </c>
      <c r="AC86" s="79">
        <f t="shared" si="52"/>
        <v>0</v>
      </c>
      <c r="AD86" s="79">
        <f t="shared" si="53"/>
        <v>0</v>
      </c>
      <c r="AE86" s="79">
        <f t="shared" si="54"/>
        <v>0</v>
      </c>
      <c r="AF86" s="79">
        <f t="shared" si="55"/>
        <v>0</v>
      </c>
      <c r="AG86" s="79">
        <f t="shared" si="56"/>
        <v>0</v>
      </c>
      <c r="AH86" s="79">
        <f t="shared" si="57"/>
        <v>0</v>
      </c>
      <c r="AI86" s="79">
        <f t="shared" si="58"/>
        <v>0</v>
      </c>
      <c r="AJ86" s="79">
        <f t="shared" si="59"/>
        <v>0</v>
      </c>
      <c r="AK86" s="79">
        <f t="shared" si="60"/>
        <v>0</v>
      </c>
      <c r="AL86" s="79">
        <f t="shared" si="61"/>
        <v>0</v>
      </c>
      <c r="AM86" s="79">
        <f t="shared" si="62"/>
        <v>0</v>
      </c>
      <c r="AN86" s="79">
        <f t="shared" si="63"/>
        <v>0</v>
      </c>
      <c r="AO86" s="79">
        <f t="shared" si="64"/>
        <v>0</v>
      </c>
      <c r="AP86" s="79">
        <f t="shared" si="65"/>
        <v>0</v>
      </c>
      <c r="AQ86" s="79">
        <f t="shared" si="66"/>
        <v>0</v>
      </c>
      <c r="AR86" s="79">
        <f t="shared" si="67"/>
        <v>0</v>
      </c>
      <c r="AS86" s="79">
        <f t="shared" si="68"/>
        <v>0</v>
      </c>
      <c r="AT86" s="79">
        <f t="shared" si="69"/>
        <v>0</v>
      </c>
      <c r="AU86" s="79">
        <f t="shared" si="70"/>
        <v>0</v>
      </c>
    </row>
    <row r="87" spans="1:50" ht="23.1" customHeight="1">
      <c r="A87" s="81" t="s">
        <v>836</v>
      </c>
      <c r="B87" s="81" t="s">
        <v>837</v>
      </c>
      <c r="C87" s="82" t="s">
        <v>343</v>
      </c>
      <c r="D87" s="84">
        <f>공량산출서!F72</f>
        <v>1</v>
      </c>
      <c r="E87" s="84">
        <f>단가대비표!L54</f>
        <v>3915.7159999999999</v>
      </c>
      <c r="F87" s="84">
        <f t="shared" si="36"/>
        <v>3915</v>
      </c>
      <c r="G87" s="84">
        <v>0</v>
      </c>
      <c r="H87" s="84">
        <f t="shared" si="37"/>
        <v>0</v>
      </c>
      <c r="I87" s="84">
        <v>0</v>
      </c>
      <c r="J87" s="84">
        <f t="shared" si="38"/>
        <v>0</v>
      </c>
      <c r="K87" s="84">
        <f t="shared" si="73"/>
        <v>3915.7159999999999</v>
      </c>
      <c r="L87" s="84">
        <f t="shared" si="73"/>
        <v>3915</v>
      </c>
      <c r="M87" s="84"/>
      <c r="O87" s="79" t="str">
        <f>"01"</f>
        <v>01</v>
      </c>
      <c r="P87" s="86" t="s">
        <v>678</v>
      </c>
      <c r="Q87" s="79">
        <v>1</v>
      </c>
      <c r="R87" s="79">
        <f t="shared" si="41"/>
        <v>0</v>
      </c>
      <c r="S87" s="79">
        <f t="shared" si="42"/>
        <v>0</v>
      </c>
      <c r="T87" s="79">
        <f t="shared" si="43"/>
        <v>0</v>
      </c>
      <c r="U87" s="79">
        <f t="shared" si="44"/>
        <v>0</v>
      </c>
      <c r="V87" s="79">
        <f t="shared" si="45"/>
        <v>0</v>
      </c>
      <c r="W87" s="79">
        <f t="shared" si="46"/>
        <v>0</v>
      </c>
      <c r="X87" s="79">
        <f t="shared" si="47"/>
        <v>0</v>
      </c>
      <c r="Y87" s="79">
        <f t="shared" si="48"/>
        <v>0</v>
      </c>
      <c r="Z87" s="79">
        <f t="shared" si="49"/>
        <v>0</v>
      </c>
      <c r="AA87" s="79">
        <f t="shared" si="50"/>
        <v>0</v>
      </c>
      <c r="AB87" s="79">
        <f t="shared" si="51"/>
        <v>0</v>
      </c>
      <c r="AC87" s="79">
        <f t="shared" si="52"/>
        <v>0</v>
      </c>
      <c r="AD87" s="79">
        <f t="shared" si="53"/>
        <v>0</v>
      </c>
      <c r="AE87" s="79">
        <f t="shared" si="54"/>
        <v>0</v>
      </c>
      <c r="AF87" s="79">
        <f t="shared" si="55"/>
        <v>0</v>
      </c>
      <c r="AG87" s="79">
        <f t="shared" si="56"/>
        <v>0</v>
      </c>
      <c r="AH87" s="79">
        <f t="shared" si="57"/>
        <v>0</v>
      </c>
      <c r="AI87" s="79">
        <f t="shared" si="58"/>
        <v>0</v>
      </c>
      <c r="AJ87" s="79">
        <f t="shared" si="59"/>
        <v>0</v>
      </c>
      <c r="AK87" s="79">
        <f t="shared" si="60"/>
        <v>0</v>
      </c>
      <c r="AL87" s="79">
        <f t="shared" si="61"/>
        <v>0</v>
      </c>
      <c r="AM87" s="79">
        <f t="shared" si="62"/>
        <v>0</v>
      </c>
      <c r="AN87" s="79">
        <f t="shared" si="63"/>
        <v>0</v>
      </c>
      <c r="AO87" s="79">
        <f t="shared" si="64"/>
        <v>0</v>
      </c>
      <c r="AP87" s="79">
        <f t="shared" si="65"/>
        <v>0</v>
      </c>
      <c r="AQ87" s="79">
        <f t="shared" si="66"/>
        <v>0</v>
      </c>
      <c r="AR87" s="79">
        <f t="shared" si="67"/>
        <v>0</v>
      </c>
      <c r="AS87" s="79">
        <f t="shared" si="68"/>
        <v>0</v>
      </c>
      <c r="AT87" s="79">
        <f t="shared" si="69"/>
        <v>0</v>
      </c>
      <c r="AU87" s="79">
        <f t="shared" si="70"/>
        <v>0</v>
      </c>
    </row>
    <row r="88" spans="1:50" ht="23.1" customHeight="1">
      <c r="A88" s="81" t="s">
        <v>729</v>
      </c>
      <c r="B88" s="85" t="str">
        <f>"노무비의 " &amp; N88*100 &amp; "%"</f>
        <v>노무비의 2%</v>
      </c>
      <c r="C88" s="82" t="s">
        <v>177</v>
      </c>
      <c r="D88" s="84">
        <v>1</v>
      </c>
      <c r="E88" s="84">
        <f>SUMIF(O24:O90, "02", H24:H90)</f>
        <v>5911877</v>
      </c>
      <c r="F88" s="84">
        <f>ROUNDDOWN((E88)*N88, 0)</f>
        <v>118237</v>
      </c>
      <c r="G88" s="84"/>
      <c r="H88" s="84"/>
      <c r="I88" s="84"/>
      <c r="J88" s="84"/>
      <c r="K88" s="84">
        <f t="shared" si="73"/>
        <v>5911877</v>
      </c>
      <c r="L88" s="84">
        <f t="shared" si="73"/>
        <v>118237</v>
      </c>
      <c r="M88" s="84"/>
      <c r="N88" s="79">
        <v>0.02</v>
      </c>
      <c r="O88" s="79" t="str">
        <f>""</f>
        <v/>
      </c>
      <c r="P88" s="86" t="s">
        <v>678</v>
      </c>
      <c r="Q88" s="79">
        <v>1</v>
      </c>
      <c r="R88" s="79">
        <f t="shared" ref="R88:R90" si="74">IF(P88="기계경비", J88, 0)</f>
        <v>0</v>
      </c>
      <c r="S88" s="79">
        <f t="shared" ref="S88:S90" si="75">IF(P88="운반비", J88, 0)</f>
        <v>0</v>
      </c>
      <c r="T88" s="79">
        <f t="shared" ref="T88:T90" si="76">IF(P88="작업부산물", F88, 0)</f>
        <v>0</v>
      </c>
      <c r="U88" s="79">
        <f t="shared" ref="U88:U90" si="77">IF(P88="관급", F88, 0)</f>
        <v>0</v>
      </c>
      <c r="V88" s="79">
        <f t="shared" ref="V88:V90" si="78">IF(P88="외주비", J88, 0)</f>
        <v>0</v>
      </c>
      <c r="W88" s="79">
        <f t="shared" ref="W88:W90" si="79">IF(P88="장비비", J88, 0)</f>
        <v>0</v>
      </c>
      <c r="X88" s="79">
        <f t="shared" ref="X88:X90" si="80">IF(P88="폐기물처리비", L88, 0)</f>
        <v>0</v>
      </c>
      <c r="Y88" s="79">
        <f t="shared" ref="Y88:Y90" si="81">IF(P88="가설비", J88, 0)</f>
        <v>0</v>
      </c>
      <c r="Z88" s="79">
        <f t="shared" ref="Z88:Z90" si="82">IF(P88="잡비제외분", F88, 0)</f>
        <v>0</v>
      </c>
      <c r="AA88" s="79">
        <f t="shared" ref="AA88:AA90" si="83">IF(P88="사급자재대", L88, 0)</f>
        <v>0</v>
      </c>
      <c r="AB88" s="79">
        <f t="shared" ref="AB88:AB90" si="84">IF(P88="관급자재대", L88, 0)</f>
        <v>0</v>
      </c>
      <c r="AC88" s="79">
        <f t="shared" ref="AC88:AC90" si="85">IF(P88="부산물", L88, 0)</f>
        <v>0</v>
      </c>
      <c r="AD88" s="79">
        <f t="shared" ref="AD88:AD90" si="86">IF(P88="품질검사비", L88, 0)</f>
        <v>0</v>
      </c>
      <c r="AE88" s="79">
        <f t="shared" ref="AE88:AE90" si="87">IF(P88="사용자항목3", L88, 0)</f>
        <v>0</v>
      </c>
      <c r="AF88" s="79">
        <f t="shared" ref="AF88:AF90" si="88">IF(P88="급식소 환기설비시험 조정평가", L88, 0)</f>
        <v>0</v>
      </c>
      <c r="AG88" s="79">
        <f t="shared" ref="AG88:AG90" si="89">IF(P88="사용자항목5", L88, 0)</f>
        <v>0</v>
      </c>
      <c r="AH88" s="79">
        <f t="shared" ref="AH88:AH90" si="90">IF(P88="사용자항목6", L88, 0)</f>
        <v>0</v>
      </c>
      <c r="AI88" s="79">
        <f t="shared" ref="AI88:AI90" si="91">IF(P88="사용자항목7", L88, 0)</f>
        <v>0</v>
      </c>
      <c r="AJ88" s="79">
        <f t="shared" ref="AJ88:AJ90" si="92">IF(P88="사용자항목8", L88, 0)</f>
        <v>0</v>
      </c>
      <c r="AK88" s="79">
        <f t="shared" ref="AK88:AK90" si="93">IF(P88="사용자항목9", L88, 0)</f>
        <v>0</v>
      </c>
      <c r="AL88" s="79">
        <f t="shared" ref="AL88:AL90" si="94">IF(P88="사용자항목10", L88, 0)</f>
        <v>0</v>
      </c>
      <c r="AM88" s="79">
        <f t="shared" ref="AM88:AM90" si="95">IF(P88="사용자항목11", L88, 0)</f>
        <v>0</v>
      </c>
      <c r="AN88" s="79">
        <f t="shared" ref="AN88:AN90" si="96">IF(P88="사용자항목12", L88, 0)</f>
        <v>0</v>
      </c>
      <c r="AO88" s="79">
        <f t="shared" ref="AO88:AO90" si="97">IF(P88="사용자항목13", L88, 0)</f>
        <v>0</v>
      </c>
      <c r="AP88" s="79">
        <f t="shared" ref="AP88:AP90" si="98">IF(P88="사용자항목14", L88, 0)</f>
        <v>0</v>
      </c>
      <c r="AQ88" s="79">
        <f t="shared" ref="AQ88:AQ90" si="99">IF(P88="사용자항목15", L88, 0)</f>
        <v>0</v>
      </c>
      <c r="AR88" s="79">
        <f t="shared" ref="AR88:AR90" si="100">IF(P88="사용자항목16", L88, 0)</f>
        <v>0</v>
      </c>
      <c r="AS88" s="79">
        <f t="shared" ref="AS88:AS90" si="101">IF(P88="사용자항목17", L88, 0)</f>
        <v>0</v>
      </c>
      <c r="AT88" s="79">
        <f t="shared" ref="AT88:AT90" si="102">IF(P88="사용자항목18", L88, 0)</f>
        <v>0</v>
      </c>
      <c r="AU88" s="79">
        <f t="shared" ref="AU88:AU90" si="103">IF(P88="사용자항목19", L88, 0)</f>
        <v>0</v>
      </c>
      <c r="AW88" s="86" t="s">
        <v>730</v>
      </c>
      <c r="AX88" s="86" t="s">
        <v>731</v>
      </c>
    </row>
    <row r="89" spans="1:50" ht="23.1" customHeight="1">
      <c r="A89" s="81" t="s">
        <v>838</v>
      </c>
      <c r="B89" s="81" t="s">
        <v>733</v>
      </c>
      <c r="C89" s="82" t="s">
        <v>446</v>
      </c>
      <c r="D89" s="84">
        <f>공량산출서!G85</f>
        <v>21.93</v>
      </c>
      <c r="E89" s="84">
        <v>0</v>
      </c>
      <c r="F89" s="84">
        <f>ROUNDDOWN(D89*E89, 0)</f>
        <v>0</v>
      </c>
      <c r="G89" s="84">
        <f>단가대비표!L162</f>
        <v>213878.0245</v>
      </c>
      <c r="H89" s="84">
        <f>ROUNDDOWN(D89*G89, 0)</f>
        <v>4690345</v>
      </c>
      <c r="I89" s="84">
        <v>0</v>
      </c>
      <c r="J89" s="84">
        <f>ROUNDDOWN(D89*I89, 0)</f>
        <v>0</v>
      </c>
      <c r="K89" s="84">
        <f t="shared" si="73"/>
        <v>213878.0245</v>
      </c>
      <c r="L89" s="84">
        <f t="shared" si="73"/>
        <v>4690345</v>
      </c>
      <c r="M89" s="84"/>
      <c r="O89" s="79" t="str">
        <f>"02"</f>
        <v>02</v>
      </c>
      <c r="P89" s="86" t="s">
        <v>678</v>
      </c>
      <c r="Q89" s="79">
        <v>1</v>
      </c>
      <c r="R89" s="79">
        <f t="shared" si="74"/>
        <v>0</v>
      </c>
      <c r="S89" s="79">
        <f t="shared" si="75"/>
        <v>0</v>
      </c>
      <c r="T89" s="79">
        <f t="shared" si="76"/>
        <v>0</v>
      </c>
      <c r="U89" s="79">
        <f t="shared" si="77"/>
        <v>0</v>
      </c>
      <c r="V89" s="79">
        <f t="shared" si="78"/>
        <v>0</v>
      </c>
      <c r="W89" s="79">
        <f t="shared" si="79"/>
        <v>0</v>
      </c>
      <c r="X89" s="79">
        <f t="shared" si="80"/>
        <v>0</v>
      </c>
      <c r="Y89" s="79">
        <f t="shared" si="81"/>
        <v>0</v>
      </c>
      <c r="Z89" s="79">
        <f t="shared" si="82"/>
        <v>0</v>
      </c>
      <c r="AA89" s="79">
        <f t="shared" si="83"/>
        <v>0</v>
      </c>
      <c r="AB89" s="79">
        <f t="shared" si="84"/>
        <v>0</v>
      </c>
      <c r="AC89" s="79">
        <f t="shared" si="85"/>
        <v>0</v>
      </c>
      <c r="AD89" s="79">
        <f t="shared" si="86"/>
        <v>0</v>
      </c>
      <c r="AE89" s="79">
        <f t="shared" si="87"/>
        <v>0</v>
      </c>
      <c r="AF89" s="79">
        <f t="shared" si="88"/>
        <v>0</v>
      </c>
      <c r="AG89" s="79">
        <f t="shared" si="89"/>
        <v>0</v>
      </c>
      <c r="AH89" s="79">
        <f t="shared" si="90"/>
        <v>0</v>
      </c>
      <c r="AI89" s="79">
        <f t="shared" si="91"/>
        <v>0</v>
      </c>
      <c r="AJ89" s="79">
        <f t="shared" si="92"/>
        <v>0</v>
      </c>
      <c r="AK89" s="79">
        <f t="shared" si="93"/>
        <v>0</v>
      </c>
      <c r="AL89" s="79">
        <f t="shared" si="94"/>
        <v>0</v>
      </c>
      <c r="AM89" s="79">
        <f t="shared" si="95"/>
        <v>0</v>
      </c>
      <c r="AN89" s="79">
        <f t="shared" si="96"/>
        <v>0</v>
      </c>
      <c r="AO89" s="79">
        <f t="shared" si="97"/>
        <v>0</v>
      </c>
      <c r="AP89" s="79">
        <f t="shared" si="98"/>
        <v>0</v>
      </c>
      <c r="AQ89" s="79">
        <f t="shared" si="99"/>
        <v>0</v>
      </c>
      <c r="AR89" s="79">
        <f t="shared" si="100"/>
        <v>0</v>
      </c>
      <c r="AS89" s="79">
        <f t="shared" si="101"/>
        <v>0</v>
      </c>
      <c r="AT89" s="79">
        <f t="shared" si="102"/>
        <v>0</v>
      </c>
      <c r="AU89" s="79">
        <f t="shared" si="103"/>
        <v>0</v>
      </c>
    </row>
    <row r="90" spans="1:50" ht="23.1" customHeight="1">
      <c r="A90" s="81" t="s">
        <v>452</v>
      </c>
      <c r="B90" s="81" t="s">
        <v>733</v>
      </c>
      <c r="C90" s="82" t="s">
        <v>446</v>
      </c>
      <c r="D90" s="84">
        <f>공량산출서!H85</f>
        <v>8.01</v>
      </c>
      <c r="E90" s="84">
        <v>0</v>
      </c>
      <c r="F90" s="84">
        <f>ROUNDDOWN(D90*E90, 0)</f>
        <v>0</v>
      </c>
      <c r="G90" s="84">
        <f>단가대비표!L164</f>
        <v>152500.9724</v>
      </c>
      <c r="H90" s="84">
        <f>ROUNDDOWN(D90*G90, 0)</f>
        <v>1221532</v>
      </c>
      <c r="I90" s="84">
        <v>0</v>
      </c>
      <c r="J90" s="84">
        <f>ROUNDDOWN(D90*I90, 0)</f>
        <v>0</v>
      </c>
      <c r="K90" s="84">
        <f t="shared" si="73"/>
        <v>152500.9724</v>
      </c>
      <c r="L90" s="84">
        <f t="shared" si="73"/>
        <v>1221532</v>
      </c>
      <c r="M90" s="84"/>
      <c r="O90" s="79" t="str">
        <f>"02"</f>
        <v>02</v>
      </c>
      <c r="P90" s="86" t="s">
        <v>678</v>
      </c>
      <c r="Q90" s="79">
        <v>1</v>
      </c>
      <c r="R90" s="79">
        <f t="shared" si="74"/>
        <v>0</v>
      </c>
      <c r="S90" s="79">
        <f t="shared" si="75"/>
        <v>0</v>
      </c>
      <c r="T90" s="79">
        <f t="shared" si="76"/>
        <v>0</v>
      </c>
      <c r="U90" s="79">
        <f t="shared" si="77"/>
        <v>0</v>
      </c>
      <c r="V90" s="79">
        <f t="shared" si="78"/>
        <v>0</v>
      </c>
      <c r="W90" s="79">
        <f t="shared" si="79"/>
        <v>0</v>
      </c>
      <c r="X90" s="79">
        <f t="shared" si="80"/>
        <v>0</v>
      </c>
      <c r="Y90" s="79">
        <f t="shared" si="81"/>
        <v>0</v>
      </c>
      <c r="Z90" s="79">
        <f t="shared" si="82"/>
        <v>0</v>
      </c>
      <c r="AA90" s="79">
        <f t="shared" si="83"/>
        <v>0</v>
      </c>
      <c r="AB90" s="79">
        <f t="shared" si="84"/>
        <v>0</v>
      </c>
      <c r="AC90" s="79">
        <f t="shared" si="85"/>
        <v>0</v>
      </c>
      <c r="AD90" s="79">
        <f t="shared" si="86"/>
        <v>0</v>
      </c>
      <c r="AE90" s="79">
        <f t="shared" si="87"/>
        <v>0</v>
      </c>
      <c r="AF90" s="79">
        <f t="shared" si="88"/>
        <v>0</v>
      </c>
      <c r="AG90" s="79">
        <f t="shared" si="89"/>
        <v>0</v>
      </c>
      <c r="AH90" s="79">
        <f t="shared" si="90"/>
        <v>0</v>
      </c>
      <c r="AI90" s="79">
        <f t="shared" si="91"/>
        <v>0</v>
      </c>
      <c r="AJ90" s="79">
        <f t="shared" si="92"/>
        <v>0</v>
      </c>
      <c r="AK90" s="79">
        <f t="shared" si="93"/>
        <v>0</v>
      </c>
      <c r="AL90" s="79">
        <f t="shared" si="94"/>
        <v>0</v>
      </c>
      <c r="AM90" s="79">
        <f t="shared" si="95"/>
        <v>0</v>
      </c>
      <c r="AN90" s="79">
        <f t="shared" si="96"/>
        <v>0</v>
      </c>
      <c r="AO90" s="79">
        <f t="shared" si="97"/>
        <v>0</v>
      </c>
      <c r="AP90" s="79">
        <f t="shared" si="98"/>
        <v>0</v>
      </c>
      <c r="AQ90" s="79">
        <f t="shared" si="99"/>
        <v>0</v>
      </c>
      <c r="AR90" s="79">
        <f t="shared" si="100"/>
        <v>0</v>
      </c>
      <c r="AS90" s="79">
        <f t="shared" si="101"/>
        <v>0</v>
      </c>
      <c r="AT90" s="79">
        <f t="shared" si="102"/>
        <v>0</v>
      </c>
      <c r="AU90" s="79">
        <f t="shared" si="103"/>
        <v>0</v>
      </c>
    </row>
    <row r="91" spans="1:50" ht="23.1" customHeight="1">
      <c r="A91" s="85"/>
      <c r="B91" s="85"/>
      <c r="C91" s="83"/>
      <c r="D91" s="84"/>
      <c r="E91" s="84"/>
      <c r="F91" s="84"/>
      <c r="G91" s="84"/>
      <c r="H91" s="84"/>
      <c r="I91" s="84"/>
      <c r="J91" s="84"/>
      <c r="K91" s="84"/>
      <c r="L91" s="84"/>
      <c r="M91" s="84"/>
    </row>
    <row r="92" spans="1:50" ht="23.1" customHeight="1">
      <c r="A92" s="85"/>
      <c r="B92" s="85"/>
      <c r="C92" s="83"/>
      <c r="D92" s="84"/>
      <c r="E92" s="84"/>
      <c r="F92" s="84"/>
      <c r="G92" s="84"/>
      <c r="H92" s="84"/>
      <c r="I92" s="84"/>
      <c r="J92" s="84"/>
      <c r="K92" s="84"/>
      <c r="L92" s="84"/>
      <c r="M92" s="84"/>
    </row>
    <row r="93" spans="1:50" ht="23.1" customHeight="1">
      <c r="A93" s="85"/>
      <c r="B93" s="85"/>
      <c r="C93" s="83"/>
      <c r="D93" s="84"/>
      <c r="E93" s="84"/>
      <c r="F93" s="84"/>
      <c r="G93" s="84"/>
      <c r="H93" s="84"/>
      <c r="I93" s="84"/>
      <c r="J93" s="84"/>
      <c r="K93" s="84"/>
      <c r="L93" s="84"/>
      <c r="M93" s="84"/>
    </row>
    <row r="94" spans="1:50" ht="23.1" customHeight="1">
      <c r="A94" s="90" t="s">
        <v>734</v>
      </c>
      <c r="B94" s="91"/>
      <c r="C94" s="92"/>
      <c r="D94" s="93"/>
      <c r="E94" s="93"/>
      <c r="F94" s="93">
        <f>ROUNDDOWN(SUMIF(Q24:Q93, "1", F24:F93), 0)</f>
        <v>11571250</v>
      </c>
      <c r="G94" s="93"/>
      <c r="H94" s="93">
        <f>ROUNDDOWN(SUMIF(Q24:Q93, "1", H24:H93), 0)</f>
        <v>13663893</v>
      </c>
      <c r="I94" s="93"/>
      <c r="J94" s="93">
        <f>ROUNDDOWN(SUMIF(Q24:Q93, "1", J24:J93), 0)</f>
        <v>17926</v>
      </c>
      <c r="K94" s="93"/>
      <c r="L94" s="93">
        <f>F94+H94+J94</f>
        <v>25253069</v>
      </c>
      <c r="M94" s="93"/>
      <c r="R94" s="79">
        <f t="shared" ref="R94:AX94" si="104">ROUNDDOWN(SUM(R24:R90), 0)</f>
        <v>17926</v>
      </c>
      <c r="S94" s="79">
        <f t="shared" si="104"/>
        <v>0</v>
      </c>
      <c r="T94" s="79">
        <f t="shared" si="104"/>
        <v>0</v>
      </c>
      <c r="U94" s="79">
        <f t="shared" si="104"/>
        <v>0</v>
      </c>
      <c r="V94" s="79">
        <f t="shared" si="104"/>
        <v>0</v>
      </c>
      <c r="W94" s="79">
        <f t="shared" si="104"/>
        <v>0</v>
      </c>
      <c r="X94" s="79">
        <f t="shared" si="104"/>
        <v>0</v>
      </c>
      <c r="Y94" s="79">
        <f t="shared" si="104"/>
        <v>0</v>
      </c>
      <c r="Z94" s="79">
        <f t="shared" si="104"/>
        <v>0</v>
      </c>
      <c r="AA94" s="79">
        <f t="shared" si="104"/>
        <v>0</v>
      </c>
      <c r="AB94" s="79">
        <f t="shared" si="104"/>
        <v>0</v>
      </c>
      <c r="AC94" s="79">
        <f t="shared" si="104"/>
        <v>0</v>
      </c>
      <c r="AD94" s="79">
        <f t="shared" si="104"/>
        <v>0</v>
      </c>
      <c r="AE94" s="79">
        <f t="shared" si="104"/>
        <v>0</v>
      </c>
      <c r="AF94" s="79">
        <f t="shared" si="104"/>
        <v>0</v>
      </c>
      <c r="AG94" s="79">
        <f t="shared" si="104"/>
        <v>0</v>
      </c>
      <c r="AH94" s="79">
        <f t="shared" si="104"/>
        <v>0</v>
      </c>
      <c r="AI94" s="79">
        <f t="shared" si="104"/>
        <v>0</v>
      </c>
      <c r="AJ94" s="79">
        <f t="shared" si="104"/>
        <v>0</v>
      </c>
      <c r="AK94" s="79">
        <f t="shared" si="104"/>
        <v>0</v>
      </c>
      <c r="AL94" s="79">
        <f t="shared" si="104"/>
        <v>0</v>
      </c>
      <c r="AM94" s="79">
        <f t="shared" si="104"/>
        <v>0</v>
      </c>
      <c r="AN94" s="79">
        <f t="shared" si="104"/>
        <v>0</v>
      </c>
      <c r="AO94" s="79">
        <f t="shared" si="104"/>
        <v>0</v>
      </c>
      <c r="AP94" s="79">
        <f t="shared" si="104"/>
        <v>0</v>
      </c>
      <c r="AQ94" s="79">
        <f t="shared" si="104"/>
        <v>0</v>
      </c>
      <c r="AR94" s="79">
        <f t="shared" si="104"/>
        <v>0</v>
      </c>
      <c r="AS94" s="79">
        <f t="shared" si="104"/>
        <v>0</v>
      </c>
      <c r="AT94" s="79">
        <f t="shared" si="104"/>
        <v>0</v>
      </c>
      <c r="AU94" s="79">
        <f t="shared" si="104"/>
        <v>0</v>
      </c>
      <c r="AV94" s="79">
        <f t="shared" si="104"/>
        <v>0</v>
      </c>
      <c r="AW94" s="79">
        <f t="shared" si="104"/>
        <v>0</v>
      </c>
      <c r="AX94" s="79">
        <f t="shared" si="104"/>
        <v>0</v>
      </c>
    </row>
    <row r="95" spans="1:50" ht="23.1" customHeight="1">
      <c r="A95" s="228" t="s">
        <v>839</v>
      </c>
      <c r="B95" s="229"/>
      <c r="C95" s="229"/>
      <c r="D95" s="229"/>
      <c r="E95" s="229"/>
      <c r="F95" s="229"/>
      <c r="G95" s="229"/>
      <c r="H95" s="229"/>
      <c r="I95" s="229"/>
      <c r="J95" s="229"/>
      <c r="K95" s="229"/>
      <c r="L95" s="229"/>
      <c r="M95" s="229"/>
    </row>
    <row r="96" spans="1:50" ht="23.1" customHeight="1">
      <c r="A96" s="81" t="s">
        <v>736</v>
      </c>
      <c r="B96" s="81" t="s">
        <v>737</v>
      </c>
      <c r="C96" s="82" t="s">
        <v>343</v>
      </c>
      <c r="D96" s="84">
        <v>17</v>
      </c>
      <c r="E96" s="84">
        <f>단가대비표!L81</f>
        <v>17063.900000000001</v>
      </c>
      <c r="F96" s="84">
        <f t="shared" ref="F96:F132" si="105">ROUNDDOWN(D96*E96, 0)</f>
        <v>290086</v>
      </c>
      <c r="G96" s="84">
        <v>0</v>
      </c>
      <c r="H96" s="84">
        <f t="shared" ref="H96:H132" si="106">ROUNDDOWN(D96*G96, 0)</f>
        <v>0</v>
      </c>
      <c r="I96" s="84">
        <v>0</v>
      </c>
      <c r="J96" s="84">
        <f t="shared" ref="J96:J132" si="107">ROUNDDOWN(D96*I96, 0)</f>
        <v>0</v>
      </c>
      <c r="K96" s="84">
        <f t="shared" ref="K96:L135" si="108">E96+G96+I96</f>
        <v>17063.900000000001</v>
      </c>
      <c r="L96" s="84">
        <f t="shared" si="108"/>
        <v>290086</v>
      </c>
      <c r="M96" s="84"/>
      <c r="O96" s="79" t="str">
        <f>"01"</f>
        <v>01</v>
      </c>
      <c r="P96" s="86" t="s">
        <v>678</v>
      </c>
      <c r="Q96" s="79">
        <v>1</v>
      </c>
      <c r="R96" s="79">
        <f t="shared" ref="R96:R135" si="109">IF(P96="기계경비", J96, 0)</f>
        <v>0</v>
      </c>
      <c r="S96" s="79">
        <f t="shared" ref="S96:S135" si="110">IF(P96="운반비", J96, 0)</f>
        <v>0</v>
      </c>
      <c r="T96" s="79">
        <f t="shared" ref="T96:T135" si="111">IF(P96="작업부산물", F96, 0)</f>
        <v>0</v>
      </c>
      <c r="U96" s="79">
        <f t="shared" ref="U96:U135" si="112">IF(P96="관급", F96, 0)</f>
        <v>0</v>
      </c>
      <c r="V96" s="79">
        <f t="shared" ref="V96:V135" si="113">IF(P96="외주비", J96, 0)</f>
        <v>0</v>
      </c>
      <c r="W96" s="79">
        <f t="shared" ref="W96:W135" si="114">IF(P96="장비비", J96, 0)</f>
        <v>0</v>
      </c>
      <c r="X96" s="79">
        <f t="shared" ref="X96:X135" si="115">IF(P96="폐기물처리비", L96, 0)</f>
        <v>0</v>
      </c>
      <c r="Y96" s="79">
        <f t="shared" ref="Y96:Y135" si="116">IF(P96="가설비", J96, 0)</f>
        <v>0</v>
      </c>
      <c r="Z96" s="79">
        <f t="shared" ref="Z96:Z135" si="117">IF(P96="잡비제외분", F96, 0)</f>
        <v>0</v>
      </c>
      <c r="AA96" s="79">
        <f t="shared" ref="AA96:AA135" si="118">IF(P96="사급자재대", L96, 0)</f>
        <v>0</v>
      </c>
      <c r="AB96" s="79">
        <f t="shared" ref="AB96:AB135" si="119">IF(P96="관급자재대", L96, 0)</f>
        <v>0</v>
      </c>
      <c r="AC96" s="79">
        <f t="shared" ref="AC96:AC135" si="120">IF(P96="부산물", L96, 0)</f>
        <v>0</v>
      </c>
      <c r="AD96" s="79">
        <f t="shared" ref="AD96:AD135" si="121">IF(P96="품질검사비", L96, 0)</f>
        <v>0</v>
      </c>
      <c r="AE96" s="79">
        <f t="shared" ref="AE96:AE135" si="122">IF(P96="사용자항목3", L96, 0)</f>
        <v>0</v>
      </c>
      <c r="AF96" s="79">
        <f t="shared" ref="AF96:AF135" si="123">IF(P96="급식소 환기설비시험 조정평가", L96, 0)</f>
        <v>0</v>
      </c>
      <c r="AG96" s="79">
        <f t="shared" ref="AG96:AG135" si="124">IF(P96="사용자항목5", L96, 0)</f>
        <v>0</v>
      </c>
      <c r="AH96" s="79">
        <f t="shared" ref="AH96:AH135" si="125">IF(P96="사용자항목6", L96, 0)</f>
        <v>0</v>
      </c>
      <c r="AI96" s="79">
        <f t="shared" ref="AI96:AI135" si="126">IF(P96="사용자항목7", L96, 0)</f>
        <v>0</v>
      </c>
      <c r="AJ96" s="79">
        <f t="shared" ref="AJ96:AJ135" si="127">IF(P96="사용자항목8", L96, 0)</f>
        <v>0</v>
      </c>
      <c r="AK96" s="79">
        <f t="shared" ref="AK96:AK135" si="128">IF(P96="사용자항목9", L96, 0)</f>
        <v>0</v>
      </c>
      <c r="AL96" s="79">
        <f t="shared" ref="AL96:AL135" si="129">IF(P96="사용자항목10", L96, 0)</f>
        <v>0</v>
      </c>
      <c r="AM96" s="79">
        <f t="shared" ref="AM96:AM135" si="130">IF(P96="사용자항목11", L96, 0)</f>
        <v>0</v>
      </c>
      <c r="AN96" s="79">
        <f t="shared" ref="AN96:AN135" si="131">IF(P96="사용자항목12", L96, 0)</f>
        <v>0</v>
      </c>
      <c r="AO96" s="79">
        <f t="shared" ref="AO96:AO135" si="132">IF(P96="사용자항목13", L96, 0)</f>
        <v>0</v>
      </c>
      <c r="AP96" s="79">
        <f t="shared" ref="AP96:AP135" si="133">IF(P96="사용자항목14", L96, 0)</f>
        <v>0</v>
      </c>
      <c r="AQ96" s="79">
        <f t="shared" ref="AQ96:AQ135" si="134">IF(P96="사용자항목15", L96, 0)</f>
        <v>0</v>
      </c>
      <c r="AR96" s="79">
        <f t="shared" ref="AR96:AR135" si="135">IF(P96="사용자항목16", L96, 0)</f>
        <v>0</v>
      </c>
      <c r="AS96" s="79">
        <f t="shared" ref="AS96:AS135" si="136">IF(P96="사용자항목17", L96, 0)</f>
        <v>0</v>
      </c>
      <c r="AT96" s="79">
        <f t="shared" ref="AT96:AT135" si="137">IF(P96="사용자항목18", L96, 0)</f>
        <v>0</v>
      </c>
      <c r="AU96" s="79">
        <f t="shared" ref="AU96:AU135" si="138">IF(P96="사용자항목19", L96, 0)</f>
        <v>0</v>
      </c>
    </row>
    <row r="97" spans="1:47" ht="23.1" customHeight="1">
      <c r="A97" s="81" t="s">
        <v>738</v>
      </c>
      <c r="B97" s="85"/>
      <c r="C97" s="82" t="s">
        <v>343</v>
      </c>
      <c r="D97" s="84">
        <v>17</v>
      </c>
      <c r="E97" s="84">
        <f>단가대비표!L75</f>
        <v>1436.96</v>
      </c>
      <c r="F97" s="84">
        <f t="shared" si="105"/>
        <v>24428</v>
      </c>
      <c r="G97" s="84">
        <v>0</v>
      </c>
      <c r="H97" s="84">
        <f t="shared" si="106"/>
        <v>0</v>
      </c>
      <c r="I97" s="84">
        <v>0</v>
      </c>
      <c r="J97" s="84">
        <f t="shared" si="107"/>
        <v>0</v>
      </c>
      <c r="K97" s="84">
        <f t="shared" si="108"/>
        <v>1436.96</v>
      </c>
      <c r="L97" s="84">
        <f t="shared" si="108"/>
        <v>24428</v>
      </c>
      <c r="M97" s="84"/>
      <c r="O97" s="79" t="str">
        <f>"01"</f>
        <v>01</v>
      </c>
      <c r="P97" s="86" t="s">
        <v>678</v>
      </c>
      <c r="Q97" s="79">
        <v>1</v>
      </c>
      <c r="R97" s="79">
        <f t="shared" si="109"/>
        <v>0</v>
      </c>
      <c r="S97" s="79">
        <f t="shared" si="110"/>
        <v>0</v>
      </c>
      <c r="T97" s="79">
        <f t="shared" si="111"/>
        <v>0</v>
      </c>
      <c r="U97" s="79">
        <f t="shared" si="112"/>
        <v>0</v>
      </c>
      <c r="V97" s="79">
        <f t="shared" si="113"/>
        <v>0</v>
      </c>
      <c r="W97" s="79">
        <f t="shared" si="114"/>
        <v>0</v>
      </c>
      <c r="X97" s="79">
        <f t="shared" si="115"/>
        <v>0</v>
      </c>
      <c r="Y97" s="79">
        <f t="shared" si="116"/>
        <v>0</v>
      </c>
      <c r="Z97" s="79">
        <f t="shared" si="117"/>
        <v>0</v>
      </c>
      <c r="AA97" s="79">
        <f t="shared" si="118"/>
        <v>0</v>
      </c>
      <c r="AB97" s="79">
        <f t="shared" si="119"/>
        <v>0</v>
      </c>
      <c r="AC97" s="79">
        <f t="shared" si="120"/>
        <v>0</v>
      </c>
      <c r="AD97" s="79">
        <f t="shared" si="121"/>
        <v>0</v>
      </c>
      <c r="AE97" s="79">
        <f t="shared" si="122"/>
        <v>0</v>
      </c>
      <c r="AF97" s="79">
        <f t="shared" si="123"/>
        <v>0</v>
      </c>
      <c r="AG97" s="79">
        <f t="shared" si="124"/>
        <v>0</v>
      </c>
      <c r="AH97" s="79">
        <f t="shared" si="125"/>
        <v>0</v>
      </c>
      <c r="AI97" s="79">
        <f t="shared" si="126"/>
        <v>0</v>
      </c>
      <c r="AJ97" s="79">
        <f t="shared" si="127"/>
        <v>0</v>
      </c>
      <c r="AK97" s="79">
        <f t="shared" si="128"/>
        <v>0</v>
      </c>
      <c r="AL97" s="79">
        <f t="shared" si="129"/>
        <v>0</v>
      </c>
      <c r="AM97" s="79">
        <f t="shared" si="130"/>
        <v>0</v>
      </c>
      <c r="AN97" s="79">
        <f t="shared" si="131"/>
        <v>0</v>
      </c>
      <c r="AO97" s="79">
        <f t="shared" si="132"/>
        <v>0</v>
      </c>
      <c r="AP97" s="79">
        <f t="shared" si="133"/>
        <v>0</v>
      </c>
      <c r="AQ97" s="79">
        <f t="shared" si="134"/>
        <v>0</v>
      </c>
      <c r="AR97" s="79">
        <f t="shared" si="135"/>
        <v>0</v>
      </c>
      <c r="AS97" s="79">
        <f t="shared" si="136"/>
        <v>0</v>
      </c>
      <c r="AT97" s="79">
        <f t="shared" si="137"/>
        <v>0</v>
      </c>
      <c r="AU97" s="79">
        <f t="shared" si="138"/>
        <v>0</v>
      </c>
    </row>
    <row r="98" spans="1:47" ht="23.1" customHeight="1">
      <c r="A98" s="81" t="s">
        <v>739</v>
      </c>
      <c r="B98" s="85"/>
      <c r="C98" s="82" t="s">
        <v>343</v>
      </c>
      <c r="D98" s="84">
        <v>17</v>
      </c>
      <c r="E98" s="84">
        <f>단가대비표!L74</f>
        <v>898.1</v>
      </c>
      <c r="F98" s="84">
        <f t="shared" si="105"/>
        <v>15267</v>
      </c>
      <c r="G98" s="84">
        <v>0</v>
      </c>
      <c r="H98" s="84">
        <f t="shared" si="106"/>
        <v>0</v>
      </c>
      <c r="I98" s="84">
        <v>0</v>
      </c>
      <c r="J98" s="84">
        <f t="shared" si="107"/>
        <v>0</v>
      </c>
      <c r="K98" s="84">
        <f t="shared" si="108"/>
        <v>898.1</v>
      </c>
      <c r="L98" s="84">
        <f t="shared" si="108"/>
        <v>15267</v>
      </c>
      <c r="M98" s="84"/>
      <c r="O98" s="79" t="str">
        <f>"01"</f>
        <v>01</v>
      </c>
      <c r="P98" s="86" t="s">
        <v>678</v>
      </c>
      <c r="Q98" s="79">
        <v>1</v>
      </c>
      <c r="R98" s="79">
        <f t="shared" si="109"/>
        <v>0</v>
      </c>
      <c r="S98" s="79">
        <f t="shared" si="110"/>
        <v>0</v>
      </c>
      <c r="T98" s="79">
        <f t="shared" si="111"/>
        <v>0</v>
      </c>
      <c r="U98" s="79">
        <f t="shared" si="112"/>
        <v>0</v>
      </c>
      <c r="V98" s="79">
        <f t="shared" si="113"/>
        <v>0</v>
      </c>
      <c r="W98" s="79">
        <f t="shared" si="114"/>
        <v>0</v>
      </c>
      <c r="X98" s="79">
        <f t="shared" si="115"/>
        <v>0</v>
      </c>
      <c r="Y98" s="79">
        <f t="shared" si="116"/>
        <v>0</v>
      </c>
      <c r="Z98" s="79">
        <f t="shared" si="117"/>
        <v>0</v>
      </c>
      <c r="AA98" s="79">
        <f t="shared" si="118"/>
        <v>0</v>
      </c>
      <c r="AB98" s="79">
        <f t="shared" si="119"/>
        <v>0</v>
      </c>
      <c r="AC98" s="79">
        <f t="shared" si="120"/>
        <v>0</v>
      </c>
      <c r="AD98" s="79">
        <f t="shared" si="121"/>
        <v>0</v>
      </c>
      <c r="AE98" s="79">
        <f t="shared" si="122"/>
        <v>0</v>
      </c>
      <c r="AF98" s="79">
        <f t="shared" si="123"/>
        <v>0</v>
      </c>
      <c r="AG98" s="79">
        <f t="shared" si="124"/>
        <v>0</v>
      </c>
      <c r="AH98" s="79">
        <f t="shared" si="125"/>
        <v>0</v>
      </c>
      <c r="AI98" s="79">
        <f t="shared" si="126"/>
        <v>0</v>
      </c>
      <c r="AJ98" s="79">
        <f t="shared" si="127"/>
        <v>0</v>
      </c>
      <c r="AK98" s="79">
        <f t="shared" si="128"/>
        <v>0</v>
      </c>
      <c r="AL98" s="79">
        <f t="shared" si="129"/>
        <v>0</v>
      </c>
      <c r="AM98" s="79">
        <f t="shared" si="130"/>
        <v>0</v>
      </c>
      <c r="AN98" s="79">
        <f t="shared" si="131"/>
        <v>0</v>
      </c>
      <c r="AO98" s="79">
        <f t="shared" si="132"/>
        <v>0</v>
      </c>
      <c r="AP98" s="79">
        <f t="shared" si="133"/>
        <v>0</v>
      </c>
      <c r="AQ98" s="79">
        <f t="shared" si="134"/>
        <v>0</v>
      </c>
      <c r="AR98" s="79">
        <f t="shared" si="135"/>
        <v>0</v>
      </c>
      <c r="AS98" s="79">
        <f t="shared" si="136"/>
        <v>0</v>
      </c>
      <c r="AT98" s="79">
        <f t="shared" si="137"/>
        <v>0</v>
      </c>
      <c r="AU98" s="79">
        <f t="shared" si="138"/>
        <v>0</v>
      </c>
    </row>
    <row r="99" spans="1:47" ht="23.1" customHeight="1">
      <c r="A99" s="81" t="s">
        <v>840</v>
      </c>
      <c r="B99" s="85"/>
      <c r="C99" s="82" t="s">
        <v>769</v>
      </c>
      <c r="D99" s="84">
        <v>6</v>
      </c>
      <c r="E99" s="84">
        <f>일위대가목록!G35</f>
        <v>226767</v>
      </c>
      <c r="F99" s="84">
        <f t="shared" si="105"/>
        <v>1360602</v>
      </c>
      <c r="G99" s="84">
        <f>일위대가목록!I35</f>
        <v>169552</v>
      </c>
      <c r="H99" s="84">
        <f t="shared" si="106"/>
        <v>1017312</v>
      </c>
      <c r="I99" s="84">
        <f>일위대가목록!K35</f>
        <v>0</v>
      </c>
      <c r="J99" s="84">
        <f t="shared" si="107"/>
        <v>0</v>
      </c>
      <c r="K99" s="84">
        <f t="shared" si="108"/>
        <v>396319</v>
      </c>
      <c r="L99" s="84">
        <f t="shared" si="108"/>
        <v>2377914</v>
      </c>
      <c r="M99" s="84" t="s">
        <v>841</v>
      </c>
      <c r="O99" s="79" t="str">
        <f>""</f>
        <v/>
      </c>
      <c r="P99" s="86" t="s">
        <v>678</v>
      </c>
      <c r="Q99" s="79">
        <v>1</v>
      </c>
      <c r="R99" s="79">
        <f t="shared" si="109"/>
        <v>0</v>
      </c>
      <c r="S99" s="79">
        <f t="shared" si="110"/>
        <v>0</v>
      </c>
      <c r="T99" s="79">
        <f t="shared" si="111"/>
        <v>0</v>
      </c>
      <c r="U99" s="79">
        <f t="shared" si="112"/>
        <v>0</v>
      </c>
      <c r="V99" s="79">
        <f t="shared" si="113"/>
        <v>0</v>
      </c>
      <c r="W99" s="79">
        <f t="shared" si="114"/>
        <v>0</v>
      </c>
      <c r="X99" s="79">
        <f t="shared" si="115"/>
        <v>0</v>
      </c>
      <c r="Y99" s="79">
        <f t="shared" si="116"/>
        <v>0</v>
      </c>
      <c r="Z99" s="79">
        <f t="shared" si="117"/>
        <v>0</v>
      </c>
      <c r="AA99" s="79">
        <f t="shared" si="118"/>
        <v>0</v>
      </c>
      <c r="AB99" s="79">
        <f t="shared" si="119"/>
        <v>0</v>
      </c>
      <c r="AC99" s="79">
        <f t="shared" si="120"/>
        <v>0</v>
      </c>
      <c r="AD99" s="79">
        <f t="shared" si="121"/>
        <v>0</v>
      </c>
      <c r="AE99" s="79">
        <f t="shared" si="122"/>
        <v>0</v>
      </c>
      <c r="AF99" s="79">
        <f t="shared" si="123"/>
        <v>0</v>
      </c>
      <c r="AG99" s="79">
        <f t="shared" si="124"/>
        <v>0</v>
      </c>
      <c r="AH99" s="79">
        <f t="shared" si="125"/>
        <v>0</v>
      </c>
      <c r="AI99" s="79">
        <f t="shared" si="126"/>
        <v>0</v>
      </c>
      <c r="AJ99" s="79">
        <f t="shared" si="127"/>
        <v>0</v>
      </c>
      <c r="AK99" s="79">
        <f t="shared" si="128"/>
        <v>0</v>
      </c>
      <c r="AL99" s="79">
        <f t="shared" si="129"/>
        <v>0</v>
      </c>
      <c r="AM99" s="79">
        <f t="shared" si="130"/>
        <v>0</v>
      </c>
      <c r="AN99" s="79">
        <f t="shared" si="131"/>
        <v>0</v>
      </c>
      <c r="AO99" s="79">
        <f t="shared" si="132"/>
        <v>0</v>
      </c>
      <c r="AP99" s="79">
        <f t="shared" si="133"/>
        <v>0</v>
      </c>
      <c r="AQ99" s="79">
        <f t="shared" si="134"/>
        <v>0</v>
      </c>
      <c r="AR99" s="79">
        <f t="shared" si="135"/>
        <v>0</v>
      </c>
      <c r="AS99" s="79">
        <f t="shared" si="136"/>
        <v>0</v>
      </c>
      <c r="AT99" s="79">
        <f t="shared" si="137"/>
        <v>0</v>
      </c>
      <c r="AU99" s="79">
        <f t="shared" si="138"/>
        <v>0</v>
      </c>
    </row>
    <row r="100" spans="1:47" ht="23.1" customHeight="1">
      <c r="A100" s="81" t="s">
        <v>842</v>
      </c>
      <c r="B100" s="81" t="s">
        <v>843</v>
      </c>
      <c r="C100" s="82" t="s">
        <v>333</v>
      </c>
      <c r="D100" s="84">
        <v>121</v>
      </c>
      <c r="E100" s="84">
        <f>일위대가목록!G8</f>
        <v>8461</v>
      </c>
      <c r="F100" s="84">
        <f t="shared" si="105"/>
        <v>1023781</v>
      </c>
      <c r="G100" s="84">
        <f>일위대가목록!I8</f>
        <v>12667</v>
      </c>
      <c r="H100" s="84">
        <f t="shared" si="106"/>
        <v>1532707</v>
      </c>
      <c r="I100" s="84">
        <f>일위대가목록!K8</f>
        <v>0</v>
      </c>
      <c r="J100" s="84">
        <f t="shared" si="107"/>
        <v>0</v>
      </c>
      <c r="K100" s="84">
        <f t="shared" si="108"/>
        <v>21128</v>
      </c>
      <c r="L100" s="84">
        <f t="shared" si="108"/>
        <v>2556488</v>
      </c>
      <c r="M100" s="84" t="s">
        <v>844</v>
      </c>
      <c r="O100" s="79" t="str">
        <f>""</f>
        <v/>
      </c>
      <c r="P100" s="86" t="s">
        <v>678</v>
      </c>
      <c r="Q100" s="79">
        <v>1</v>
      </c>
      <c r="R100" s="79">
        <f t="shared" si="109"/>
        <v>0</v>
      </c>
      <c r="S100" s="79">
        <f t="shared" si="110"/>
        <v>0</v>
      </c>
      <c r="T100" s="79">
        <f t="shared" si="111"/>
        <v>0</v>
      </c>
      <c r="U100" s="79">
        <f t="shared" si="112"/>
        <v>0</v>
      </c>
      <c r="V100" s="79">
        <f t="shared" si="113"/>
        <v>0</v>
      </c>
      <c r="W100" s="79">
        <f t="shared" si="114"/>
        <v>0</v>
      </c>
      <c r="X100" s="79">
        <f t="shared" si="115"/>
        <v>0</v>
      </c>
      <c r="Y100" s="79">
        <f t="shared" si="116"/>
        <v>0</v>
      </c>
      <c r="Z100" s="79">
        <f t="shared" si="117"/>
        <v>0</v>
      </c>
      <c r="AA100" s="79">
        <f t="shared" si="118"/>
        <v>0</v>
      </c>
      <c r="AB100" s="79">
        <f t="shared" si="119"/>
        <v>0</v>
      </c>
      <c r="AC100" s="79">
        <f t="shared" si="120"/>
        <v>0</v>
      </c>
      <c r="AD100" s="79">
        <f t="shared" si="121"/>
        <v>0</v>
      </c>
      <c r="AE100" s="79">
        <f t="shared" si="122"/>
        <v>0</v>
      </c>
      <c r="AF100" s="79">
        <f t="shared" si="123"/>
        <v>0</v>
      </c>
      <c r="AG100" s="79">
        <f t="shared" si="124"/>
        <v>0</v>
      </c>
      <c r="AH100" s="79">
        <f t="shared" si="125"/>
        <v>0</v>
      </c>
      <c r="AI100" s="79">
        <f t="shared" si="126"/>
        <v>0</v>
      </c>
      <c r="AJ100" s="79">
        <f t="shared" si="127"/>
        <v>0</v>
      </c>
      <c r="AK100" s="79">
        <f t="shared" si="128"/>
        <v>0</v>
      </c>
      <c r="AL100" s="79">
        <f t="shared" si="129"/>
        <v>0</v>
      </c>
      <c r="AM100" s="79">
        <f t="shared" si="130"/>
        <v>0</v>
      </c>
      <c r="AN100" s="79">
        <f t="shared" si="131"/>
        <v>0</v>
      </c>
      <c r="AO100" s="79">
        <f t="shared" si="132"/>
        <v>0</v>
      </c>
      <c r="AP100" s="79">
        <f t="shared" si="133"/>
        <v>0</v>
      </c>
      <c r="AQ100" s="79">
        <f t="shared" si="134"/>
        <v>0</v>
      </c>
      <c r="AR100" s="79">
        <f t="shared" si="135"/>
        <v>0</v>
      </c>
      <c r="AS100" s="79">
        <f t="shared" si="136"/>
        <v>0</v>
      </c>
      <c r="AT100" s="79">
        <f t="shared" si="137"/>
        <v>0</v>
      </c>
      <c r="AU100" s="79">
        <f t="shared" si="138"/>
        <v>0</v>
      </c>
    </row>
    <row r="101" spans="1:47" ht="23.1" customHeight="1">
      <c r="A101" s="81" t="s">
        <v>842</v>
      </c>
      <c r="B101" s="81" t="s">
        <v>845</v>
      </c>
      <c r="C101" s="82" t="s">
        <v>333</v>
      </c>
      <c r="D101" s="84">
        <v>58</v>
      </c>
      <c r="E101" s="84">
        <f>일위대가목록!G9</f>
        <v>10720</v>
      </c>
      <c r="F101" s="84">
        <f t="shared" si="105"/>
        <v>621760</v>
      </c>
      <c r="G101" s="84">
        <f>일위대가목록!I9</f>
        <v>15645</v>
      </c>
      <c r="H101" s="84">
        <f t="shared" si="106"/>
        <v>907410</v>
      </c>
      <c r="I101" s="84">
        <f>일위대가목록!K9</f>
        <v>0</v>
      </c>
      <c r="J101" s="84">
        <f t="shared" si="107"/>
        <v>0</v>
      </c>
      <c r="K101" s="84">
        <f t="shared" si="108"/>
        <v>26365</v>
      </c>
      <c r="L101" s="84">
        <f t="shared" si="108"/>
        <v>1529170</v>
      </c>
      <c r="M101" s="84" t="s">
        <v>846</v>
      </c>
      <c r="O101" s="79" t="str">
        <f>""</f>
        <v/>
      </c>
      <c r="P101" s="86" t="s">
        <v>678</v>
      </c>
      <c r="Q101" s="79">
        <v>1</v>
      </c>
      <c r="R101" s="79">
        <f t="shared" si="109"/>
        <v>0</v>
      </c>
      <c r="S101" s="79">
        <f t="shared" si="110"/>
        <v>0</v>
      </c>
      <c r="T101" s="79">
        <f t="shared" si="111"/>
        <v>0</v>
      </c>
      <c r="U101" s="79">
        <f t="shared" si="112"/>
        <v>0</v>
      </c>
      <c r="V101" s="79">
        <f t="shared" si="113"/>
        <v>0</v>
      </c>
      <c r="W101" s="79">
        <f t="shared" si="114"/>
        <v>0</v>
      </c>
      <c r="X101" s="79">
        <f t="shared" si="115"/>
        <v>0</v>
      </c>
      <c r="Y101" s="79">
        <f t="shared" si="116"/>
        <v>0</v>
      </c>
      <c r="Z101" s="79">
        <f t="shared" si="117"/>
        <v>0</v>
      </c>
      <c r="AA101" s="79">
        <f t="shared" si="118"/>
        <v>0</v>
      </c>
      <c r="AB101" s="79">
        <f t="shared" si="119"/>
        <v>0</v>
      </c>
      <c r="AC101" s="79">
        <f t="shared" si="120"/>
        <v>0</v>
      </c>
      <c r="AD101" s="79">
        <f t="shared" si="121"/>
        <v>0</v>
      </c>
      <c r="AE101" s="79">
        <f t="shared" si="122"/>
        <v>0</v>
      </c>
      <c r="AF101" s="79">
        <f t="shared" si="123"/>
        <v>0</v>
      </c>
      <c r="AG101" s="79">
        <f t="shared" si="124"/>
        <v>0</v>
      </c>
      <c r="AH101" s="79">
        <f t="shared" si="125"/>
        <v>0</v>
      </c>
      <c r="AI101" s="79">
        <f t="shared" si="126"/>
        <v>0</v>
      </c>
      <c r="AJ101" s="79">
        <f t="shared" si="127"/>
        <v>0</v>
      </c>
      <c r="AK101" s="79">
        <f t="shared" si="128"/>
        <v>0</v>
      </c>
      <c r="AL101" s="79">
        <f t="shared" si="129"/>
        <v>0</v>
      </c>
      <c r="AM101" s="79">
        <f t="shared" si="130"/>
        <v>0</v>
      </c>
      <c r="AN101" s="79">
        <f t="shared" si="131"/>
        <v>0</v>
      </c>
      <c r="AO101" s="79">
        <f t="shared" si="132"/>
        <v>0</v>
      </c>
      <c r="AP101" s="79">
        <f t="shared" si="133"/>
        <v>0</v>
      </c>
      <c r="AQ101" s="79">
        <f t="shared" si="134"/>
        <v>0</v>
      </c>
      <c r="AR101" s="79">
        <f t="shared" si="135"/>
        <v>0</v>
      </c>
      <c r="AS101" s="79">
        <f t="shared" si="136"/>
        <v>0</v>
      </c>
      <c r="AT101" s="79">
        <f t="shared" si="137"/>
        <v>0</v>
      </c>
      <c r="AU101" s="79">
        <f t="shared" si="138"/>
        <v>0</v>
      </c>
    </row>
    <row r="102" spans="1:47" ht="23.1" customHeight="1">
      <c r="A102" s="81" t="s">
        <v>842</v>
      </c>
      <c r="B102" s="81" t="s">
        <v>847</v>
      </c>
      <c r="C102" s="82" t="s">
        <v>333</v>
      </c>
      <c r="D102" s="84">
        <v>11</v>
      </c>
      <c r="E102" s="84">
        <f>일위대가목록!G10</f>
        <v>13808</v>
      </c>
      <c r="F102" s="84">
        <f t="shared" si="105"/>
        <v>151888</v>
      </c>
      <c r="G102" s="84">
        <f>일위대가목록!I10</f>
        <v>18898</v>
      </c>
      <c r="H102" s="84">
        <f t="shared" si="106"/>
        <v>207878</v>
      </c>
      <c r="I102" s="84">
        <f>일위대가목록!K10</f>
        <v>0</v>
      </c>
      <c r="J102" s="84">
        <f t="shared" si="107"/>
        <v>0</v>
      </c>
      <c r="K102" s="84">
        <f t="shared" si="108"/>
        <v>32706</v>
      </c>
      <c r="L102" s="84">
        <f t="shared" si="108"/>
        <v>359766</v>
      </c>
      <c r="M102" s="84" t="s">
        <v>848</v>
      </c>
      <c r="O102" s="79" t="str">
        <f>""</f>
        <v/>
      </c>
      <c r="P102" s="86" t="s">
        <v>678</v>
      </c>
      <c r="Q102" s="79">
        <v>1</v>
      </c>
      <c r="R102" s="79">
        <f t="shared" si="109"/>
        <v>0</v>
      </c>
      <c r="S102" s="79">
        <f t="shared" si="110"/>
        <v>0</v>
      </c>
      <c r="T102" s="79">
        <f t="shared" si="111"/>
        <v>0</v>
      </c>
      <c r="U102" s="79">
        <f t="shared" si="112"/>
        <v>0</v>
      </c>
      <c r="V102" s="79">
        <f t="shared" si="113"/>
        <v>0</v>
      </c>
      <c r="W102" s="79">
        <f t="shared" si="114"/>
        <v>0</v>
      </c>
      <c r="X102" s="79">
        <f t="shared" si="115"/>
        <v>0</v>
      </c>
      <c r="Y102" s="79">
        <f t="shared" si="116"/>
        <v>0</v>
      </c>
      <c r="Z102" s="79">
        <f t="shared" si="117"/>
        <v>0</v>
      </c>
      <c r="AA102" s="79">
        <f t="shared" si="118"/>
        <v>0</v>
      </c>
      <c r="AB102" s="79">
        <f t="shared" si="119"/>
        <v>0</v>
      </c>
      <c r="AC102" s="79">
        <f t="shared" si="120"/>
        <v>0</v>
      </c>
      <c r="AD102" s="79">
        <f t="shared" si="121"/>
        <v>0</v>
      </c>
      <c r="AE102" s="79">
        <f t="shared" si="122"/>
        <v>0</v>
      </c>
      <c r="AF102" s="79">
        <f t="shared" si="123"/>
        <v>0</v>
      </c>
      <c r="AG102" s="79">
        <f t="shared" si="124"/>
        <v>0</v>
      </c>
      <c r="AH102" s="79">
        <f t="shared" si="125"/>
        <v>0</v>
      </c>
      <c r="AI102" s="79">
        <f t="shared" si="126"/>
        <v>0</v>
      </c>
      <c r="AJ102" s="79">
        <f t="shared" si="127"/>
        <v>0</v>
      </c>
      <c r="AK102" s="79">
        <f t="shared" si="128"/>
        <v>0</v>
      </c>
      <c r="AL102" s="79">
        <f t="shared" si="129"/>
        <v>0</v>
      </c>
      <c r="AM102" s="79">
        <f t="shared" si="130"/>
        <v>0</v>
      </c>
      <c r="AN102" s="79">
        <f t="shared" si="131"/>
        <v>0</v>
      </c>
      <c r="AO102" s="79">
        <f t="shared" si="132"/>
        <v>0</v>
      </c>
      <c r="AP102" s="79">
        <f t="shared" si="133"/>
        <v>0</v>
      </c>
      <c r="AQ102" s="79">
        <f t="shared" si="134"/>
        <v>0</v>
      </c>
      <c r="AR102" s="79">
        <f t="shared" si="135"/>
        <v>0</v>
      </c>
      <c r="AS102" s="79">
        <f t="shared" si="136"/>
        <v>0</v>
      </c>
      <c r="AT102" s="79">
        <f t="shared" si="137"/>
        <v>0</v>
      </c>
      <c r="AU102" s="79">
        <f t="shared" si="138"/>
        <v>0</v>
      </c>
    </row>
    <row r="103" spans="1:47" ht="23.1" customHeight="1">
      <c r="A103" s="81" t="s">
        <v>842</v>
      </c>
      <c r="B103" s="81" t="s">
        <v>849</v>
      </c>
      <c r="C103" s="82" t="s">
        <v>333</v>
      </c>
      <c r="D103" s="84">
        <v>62</v>
      </c>
      <c r="E103" s="84">
        <f>일위대가목록!G13</f>
        <v>30890</v>
      </c>
      <c r="F103" s="84">
        <f t="shared" si="105"/>
        <v>1915180</v>
      </c>
      <c r="G103" s="84">
        <f>일위대가목록!I13</f>
        <v>39309</v>
      </c>
      <c r="H103" s="84">
        <f t="shared" si="106"/>
        <v>2437158</v>
      </c>
      <c r="I103" s="84">
        <f>일위대가목록!K13</f>
        <v>0</v>
      </c>
      <c r="J103" s="84">
        <f t="shared" si="107"/>
        <v>0</v>
      </c>
      <c r="K103" s="84">
        <f t="shared" si="108"/>
        <v>70199</v>
      </c>
      <c r="L103" s="84">
        <f t="shared" si="108"/>
        <v>4352338</v>
      </c>
      <c r="M103" s="84" t="s">
        <v>850</v>
      </c>
      <c r="O103" s="79" t="str">
        <f>""</f>
        <v/>
      </c>
      <c r="P103" s="86" t="s">
        <v>678</v>
      </c>
      <c r="Q103" s="79">
        <v>1</v>
      </c>
      <c r="R103" s="79">
        <f t="shared" si="109"/>
        <v>0</v>
      </c>
      <c r="S103" s="79">
        <f t="shared" si="110"/>
        <v>0</v>
      </c>
      <c r="T103" s="79">
        <f t="shared" si="111"/>
        <v>0</v>
      </c>
      <c r="U103" s="79">
        <f t="shared" si="112"/>
        <v>0</v>
      </c>
      <c r="V103" s="79">
        <f t="shared" si="113"/>
        <v>0</v>
      </c>
      <c r="W103" s="79">
        <f t="shared" si="114"/>
        <v>0</v>
      </c>
      <c r="X103" s="79">
        <f t="shared" si="115"/>
        <v>0</v>
      </c>
      <c r="Y103" s="79">
        <f t="shared" si="116"/>
        <v>0</v>
      </c>
      <c r="Z103" s="79">
        <f t="shared" si="117"/>
        <v>0</v>
      </c>
      <c r="AA103" s="79">
        <f t="shared" si="118"/>
        <v>0</v>
      </c>
      <c r="AB103" s="79">
        <f t="shared" si="119"/>
        <v>0</v>
      </c>
      <c r="AC103" s="79">
        <f t="shared" si="120"/>
        <v>0</v>
      </c>
      <c r="AD103" s="79">
        <f t="shared" si="121"/>
        <v>0</v>
      </c>
      <c r="AE103" s="79">
        <f t="shared" si="122"/>
        <v>0</v>
      </c>
      <c r="AF103" s="79">
        <f t="shared" si="123"/>
        <v>0</v>
      </c>
      <c r="AG103" s="79">
        <f t="shared" si="124"/>
        <v>0</v>
      </c>
      <c r="AH103" s="79">
        <f t="shared" si="125"/>
        <v>0</v>
      </c>
      <c r="AI103" s="79">
        <f t="shared" si="126"/>
        <v>0</v>
      </c>
      <c r="AJ103" s="79">
        <f t="shared" si="127"/>
        <v>0</v>
      </c>
      <c r="AK103" s="79">
        <f t="shared" si="128"/>
        <v>0</v>
      </c>
      <c r="AL103" s="79">
        <f t="shared" si="129"/>
        <v>0</v>
      </c>
      <c r="AM103" s="79">
        <f t="shared" si="130"/>
        <v>0</v>
      </c>
      <c r="AN103" s="79">
        <f t="shared" si="131"/>
        <v>0</v>
      </c>
      <c r="AO103" s="79">
        <f t="shared" si="132"/>
        <v>0</v>
      </c>
      <c r="AP103" s="79">
        <f t="shared" si="133"/>
        <v>0</v>
      </c>
      <c r="AQ103" s="79">
        <f t="shared" si="134"/>
        <v>0</v>
      </c>
      <c r="AR103" s="79">
        <f t="shared" si="135"/>
        <v>0</v>
      </c>
      <c r="AS103" s="79">
        <f t="shared" si="136"/>
        <v>0</v>
      </c>
      <c r="AT103" s="79">
        <f t="shared" si="137"/>
        <v>0</v>
      </c>
      <c r="AU103" s="79">
        <f t="shared" si="138"/>
        <v>0</v>
      </c>
    </row>
    <row r="104" spans="1:47" ht="23.1" customHeight="1">
      <c r="A104" s="81" t="s">
        <v>747</v>
      </c>
      <c r="B104" s="81" t="s">
        <v>750</v>
      </c>
      <c r="C104" s="82" t="s">
        <v>333</v>
      </c>
      <c r="D104" s="84">
        <v>121</v>
      </c>
      <c r="E104" s="84">
        <f>일위대가목록!G29</f>
        <v>3589</v>
      </c>
      <c r="F104" s="84">
        <f t="shared" si="105"/>
        <v>434269</v>
      </c>
      <c r="G104" s="84">
        <f>일위대가목록!I29</f>
        <v>7499</v>
      </c>
      <c r="H104" s="84">
        <f t="shared" si="106"/>
        <v>907379</v>
      </c>
      <c r="I104" s="84">
        <f>일위대가목록!K29</f>
        <v>0</v>
      </c>
      <c r="J104" s="84">
        <f t="shared" si="107"/>
        <v>0</v>
      </c>
      <c r="K104" s="84">
        <f t="shared" si="108"/>
        <v>11088</v>
      </c>
      <c r="L104" s="84">
        <f t="shared" si="108"/>
        <v>1341648</v>
      </c>
      <c r="M104" s="84" t="s">
        <v>751</v>
      </c>
      <c r="O104" s="79" t="str">
        <f>""</f>
        <v/>
      </c>
      <c r="P104" s="86" t="s">
        <v>678</v>
      </c>
      <c r="Q104" s="79">
        <v>1</v>
      </c>
      <c r="R104" s="79">
        <f t="shared" si="109"/>
        <v>0</v>
      </c>
      <c r="S104" s="79">
        <f t="shared" si="110"/>
        <v>0</v>
      </c>
      <c r="T104" s="79">
        <f t="shared" si="111"/>
        <v>0</v>
      </c>
      <c r="U104" s="79">
        <f t="shared" si="112"/>
        <v>0</v>
      </c>
      <c r="V104" s="79">
        <f t="shared" si="113"/>
        <v>0</v>
      </c>
      <c r="W104" s="79">
        <f t="shared" si="114"/>
        <v>0</v>
      </c>
      <c r="X104" s="79">
        <f t="shared" si="115"/>
        <v>0</v>
      </c>
      <c r="Y104" s="79">
        <f t="shared" si="116"/>
        <v>0</v>
      </c>
      <c r="Z104" s="79">
        <f t="shared" si="117"/>
        <v>0</v>
      </c>
      <c r="AA104" s="79">
        <f t="shared" si="118"/>
        <v>0</v>
      </c>
      <c r="AB104" s="79">
        <f t="shared" si="119"/>
        <v>0</v>
      </c>
      <c r="AC104" s="79">
        <f t="shared" si="120"/>
        <v>0</v>
      </c>
      <c r="AD104" s="79">
        <f t="shared" si="121"/>
        <v>0</v>
      </c>
      <c r="AE104" s="79">
        <f t="shared" si="122"/>
        <v>0</v>
      </c>
      <c r="AF104" s="79">
        <f t="shared" si="123"/>
        <v>0</v>
      </c>
      <c r="AG104" s="79">
        <f t="shared" si="124"/>
        <v>0</v>
      </c>
      <c r="AH104" s="79">
        <f t="shared" si="125"/>
        <v>0</v>
      </c>
      <c r="AI104" s="79">
        <f t="shared" si="126"/>
        <v>0</v>
      </c>
      <c r="AJ104" s="79">
        <f t="shared" si="127"/>
        <v>0</v>
      </c>
      <c r="AK104" s="79">
        <f t="shared" si="128"/>
        <v>0</v>
      </c>
      <c r="AL104" s="79">
        <f t="shared" si="129"/>
        <v>0</v>
      </c>
      <c r="AM104" s="79">
        <f t="shared" si="130"/>
        <v>0</v>
      </c>
      <c r="AN104" s="79">
        <f t="shared" si="131"/>
        <v>0</v>
      </c>
      <c r="AO104" s="79">
        <f t="shared" si="132"/>
        <v>0</v>
      </c>
      <c r="AP104" s="79">
        <f t="shared" si="133"/>
        <v>0</v>
      </c>
      <c r="AQ104" s="79">
        <f t="shared" si="134"/>
        <v>0</v>
      </c>
      <c r="AR104" s="79">
        <f t="shared" si="135"/>
        <v>0</v>
      </c>
      <c r="AS104" s="79">
        <f t="shared" si="136"/>
        <v>0</v>
      </c>
      <c r="AT104" s="79">
        <f t="shared" si="137"/>
        <v>0</v>
      </c>
      <c r="AU104" s="79">
        <f t="shared" si="138"/>
        <v>0</v>
      </c>
    </row>
    <row r="105" spans="1:47" ht="23.1" customHeight="1">
      <c r="A105" s="81" t="s">
        <v>747</v>
      </c>
      <c r="B105" s="81" t="s">
        <v>851</v>
      </c>
      <c r="C105" s="82" t="s">
        <v>333</v>
      </c>
      <c r="D105" s="84">
        <v>58</v>
      </c>
      <c r="E105" s="84">
        <f>일위대가목록!G30</f>
        <v>4291</v>
      </c>
      <c r="F105" s="84">
        <f t="shared" si="105"/>
        <v>248878</v>
      </c>
      <c r="G105" s="84">
        <f>일위대가목록!I30</f>
        <v>8850</v>
      </c>
      <c r="H105" s="84">
        <f t="shared" si="106"/>
        <v>513300</v>
      </c>
      <c r="I105" s="84">
        <f>일위대가목록!K30</f>
        <v>0</v>
      </c>
      <c r="J105" s="84">
        <f t="shared" si="107"/>
        <v>0</v>
      </c>
      <c r="K105" s="84">
        <f t="shared" si="108"/>
        <v>13141</v>
      </c>
      <c r="L105" s="84">
        <f t="shared" si="108"/>
        <v>762178</v>
      </c>
      <c r="M105" s="84" t="s">
        <v>852</v>
      </c>
      <c r="O105" s="79" t="str">
        <f>""</f>
        <v/>
      </c>
      <c r="P105" s="86" t="s">
        <v>678</v>
      </c>
      <c r="Q105" s="79">
        <v>1</v>
      </c>
      <c r="R105" s="79">
        <f t="shared" si="109"/>
        <v>0</v>
      </c>
      <c r="S105" s="79">
        <f t="shared" si="110"/>
        <v>0</v>
      </c>
      <c r="T105" s="79">
        <f t="shared" si="111"/>
        <v>0</v>
      </c>
      <c r="U105" s="79">
        <f t="shared" si="112"/>
        <v>0</v>
      </c>
      <c r="V105" s="79">
        <f t="shared" si="113"/>
        <v>0</v>
      </c>
      <c r="W105" s="79">
        <f t="shared" si="114"/>
        <v>0</v>
      </c>
      <c r="X105" s="79">
        <f t="shared" si="115"/>
        <v>0</v>
      </c>
      <c r="Y105" s="79">
        <f t="shared" si="116"/>
        <v>0</v>
      </c>
      <c r="Z105" s="79">
        <f t="shared" si="117"/>
        <v>0</v>
      </c>
      <c r="AA105" s="79">
        <f t="shared" si="118"/>
        <v>0</v>
      </c>
      <c r="AB105" s="79">
        <f t="shared" si="119"/>
        <v>0</v>
      </c>
      <c r="AC105" s="79">
        <f t="shared" si="120"/>
        <v>0</v>
      </c>
      <c r="AD105" s="79">
        <f t="shared" si="121"/>
        <v>0</v>
      </c>
      <c r="AE105" s="79">
        <f t="shared" si="122"/>
        <v>0</v>
      </c>
      <c r="AF105" s="79">
        <f t="shared" si="123"/>
        <v>0</v>
      </c>
      <c r="AG105" s="79">
        <f t="shared" si="124"/>
        <v>0</v>
      </c>
      <c r="AH105" s="79">
        <f t="shared" si="125"/>
        <v>0</v>
      </c>
      <c r="AI105" s="79">
        <f t="shared" si="126"/>
        <v>0</v>
      </c>
      <c r="AJ105" s="79">
        <f t="shared" si="127"/>
        <v>0</v>
      </c>
      <c r="AK105" s="79">
        <f t="shared" si="128"/>
        <v>0</v>
      </c>
      <c r="AL105" s="79">
        <f t="shared" si="129"/>
        <v>0</v>
      </c>
      <c r="AM105" s="79">
        <f t="shared" si="130"/>
        <v>0</v>
      </c>
      <c r="AN105" s="79">
        <f t="shared" si="131"/>
        <v>0</v>
      </c>
      <c r="AO105" s="79">
        <f t="shared" si="132"/>
        <v>0</v>
      </c>
      <c r="AP105" s="79">
        <f t="shared" si="133"/>
        <v>0</v>
      </c>
      <c r="AQ105" s="79">
        <f t="shared" si="134"/>
        <v>0</v>
      </c>
      <c r="AR105" s="79">
        <f t="shared" si="135"/>
        <v>0</v>
      </c>
      <c r="AS105" s="79">
        <f t="shared" si="136"/>
        <v>0</v>
      </c>
      <c r="AT105" s="79">
        <f t="shared" si="137"/>
        <v>0</v>
      </c>
      <c r="AU105" s="79">
        <f t="shared" si="138"/>
        <v>0</v>
      </c>
    </row>
    <row r="106" spans="1:47" ht="23.1" customHeight="1">
      <c r="A106" s="81" t="s">
        <v>747</v>
      </c>
      <c r="B106" s="81" t="s">
        <v>853</v>
      </c>
      <c r="C106" s="82" t="s">
        <v>333</v>
      </c>
      <c r="D106" s="84">
        <v>11</v>
      </c>
      <c r="E106" s="84">
        <f>일위대가목록!G31</f>
        <v>4714</v>
      </c>
      <c r="F106" s="84">
        <f t="shared" si="105"/>
        <v>51854</v>
      </c>
      <c r="G106" s="84">
        <f>일위대가목록!I31</f>
        <v>10603</v>
      </c>
      <c r="H106" s="84">
        <f t="shared" si="106"/>
        <v>116633</v>
      </c>
      <c r="I106" s="84">
        <f>일위대가목록!K31</f>
        <v>0</v>
      </c>
      <c r="J106" s="84">
        <f t="shared" si="107"/>
        <v>0</v>
      </c>
      <c r="K106" s="84">
        <f t="shared" si="108"/>
        <v>15317</v>
      </c>
      <c r="L106" s="84">
        <f t="shared" si="108"/>
        <v>168487</v>
      </c>
      <c r="M106" s="84" t="s">
        <v>854</v>
      </c>
      <c r="O106" s="79" t="str">
        <f>""</f>
        <v/>
      </c>
      <c r="P106" s="86" t="s">
        <v>678</v>
      </c>
      <c r="Q106" s="79">
        <v>1</v>
      </c>
      <c r="R106" s="79">
        <f t="shared" si="109"/>
        <v>0</v>
      </c>
      <c r="S106" s="79">
        <f t="shared" si="110"/>
        <v>0</v>
      </c>
      <c r="T106" s="79">
        <f t="shared" si="111"/>
        <v>0</v>
      </c>
      <c r="U106" s="79">
        <f t="shared" si="112"/>
        <v>0</v>
      </c>
      <c r="V106" s="79">
        <f t="shared" si="113"/>
        <v>0</v>
      </c>
      <c r="W106" s="79">
        <f t="shared" si="114"/>
        <v>0</v>
      </c>
      <c r="X106" s="79">
        <f t="shared" si="115"/>
        <v>0</v>
      </c>
      <c r="Y106" s="79">
        <f t="shared" si="116"/>
        <v>0</v>
      </c>
      <c r="Z106" s="79">
        <f t="shared" si="117"/>
        <v>0</v>
      </c>
      <c r="AA106" s="79">
        <f t="shared" si="118"/>
        <v>0</v>
      </c>
      <c r="AB106" s="79">
        <f t="shared" si="119"/>
        <v>0</v>
      </c>
      <c r="AC106" s="79">
        <f t="shared" si="120"/>
        <v>0</v>
      </c>
      <c r="AD106" s="79">
        <f t="shared" si="121"/>
        <v>0</v>
      </c>
      <c r="AE106" s="79">
        <f t="shared" si="122"/>
        <v>0</v>
      </c>
      <c r="AF106" s="79">
        <f t="shared" si="123"/>
        <v>0</v>
      </c>
      <c r="AG106" s="79">
        <f t="shared" si="124"/>
        <v>0</v>
      </c>
      <c r="AH106" s="79">
        <f t="shared" si="125"/>
        <v>0</v>
      </c>
      <c r="AI106" s="79">
        <f t="shared" si="126"/>
        <v>0</v>
      </c>
      <c r="AJ106" s="79">
        <f t="shared" si="127"/>
        <v>0</v>
      </c>
      <c r="AK106" s="79">
        <f t="shared" si="128"/>
        <v>0</v>
      </c>
      <c r="AL106" s="79">
        <f t="shared" si="129"/>
        <v>0</v>
      </c>
      <c r="AM106" s="79">
        <f t="shared" si="130"/>
        <v>0</v>
      </c>
      <c r="AN106" s="79">
        <f t="shared" si="131"/>
        <v>0</v>
      </c>
      <c r="AO106" s="79">
        <f t="shared" si="132"/>
        <v>0</v>
      </c>
      <c r="AP106" s="79">
        <f t="shared" si="133"/>
        <v>0</v>
      </c>
      <c r="AQ106" s="79">
        <f t="shared" si="134"/>
        <v>0</v>
      </c>
      <c r="AR106" s="79">
        <f t="shared" si="135"/>
        <v>0</v>
      </c>
      <c r="AS106" s="79">
        <f t="shared" si="136"/>
        <v>0</v>
      </c>
      <c r="AT106" s="79">
        <f t="shared" si="137"/>
        <v>0</v>
      </c>
      <c r="AU106" s="79">
        <f t="shared" si="138"/>
        <v>0</v>
      </c>
    </row>
    <row r="107" spans="1:47" ht="23.1" customHeight="1">
      <c r="A107" s="81" t="s">
        <v>747</v>
      </c>
      <c r="B107" s="81" t="s">
        <v>754</v>
      </c>
      <c r="C107" s="82" t="s">
        <v>333</v>
      </c>
      <c r="D107" s="84">
        <v>49</v>
      </c>
      <c r="E107" s="84">
        <f>일위대가목록!G33</f>
        <v>14895</v>
      </c>
      <c r="F107" s="84">
        <f t="shared" si="105"/>
        <v>729855</v>
      </c>
      <c r="G107" s="84">
        <f>일위대가목록!I33</f>
        <v>22384</v>
      </c>
      <c r="H107" s="84">
        <f t="shared" si="106"/>
        <v>1096816</v>
      </c>
      <c r="I107" s="84">
        <f>일위대가목록!K33</f>
        <v>0</v>
      </c>
      <c r="J107" s="84">
        <f t="shared" si="107"/>
        <v>0</v>
      </c>
      <c r="K107" s="84">
        <f t="shared" si="108"/>
        <v>37279</v>
      </c>
      <c r="L107" s="84">
        <f t="shared" si="108"/>
        <v>1826671</v>
      </c>
      <c r="M107" s="84" t="s">
        <v>755</v>
      </c>
      <c r="O107" s="79" t="str">
        <f>""</f>
        <v/>
      </c>
      <c r="P107" s="86" t="s">
        <v>678</v>
      </c>
      <c r="Q107" s="79">
        <v>1</v>
      </c>
      <c r="R107" s="79">
        <f t="shared" si="109"/>
        <v>0</v>
      </c>
      <c r="S107" s="79">
        <f t="shared" si="110"/>
        <v>0</v>
      </c>
      <c r="T107" s="79">
        <f t="shared" si="111"/>
        <v>0</v>
      </c>
      <c r="U107" s="79">
        <f t="shared" si="112"/>
        <v>0</v>
      </c>
      <c r="V107" s="79">
        <f t="shared" si="113"/>
        <v>0</v>
      </c>
      <c r="W107" s="79">
        <f t="shared" si="114"/>
        <v>0</v>
      </c>
      <c r="X107" s="79">
        <f t="shared" si="115"/>
        <v>0</v>
      </c>
      <c r="Y107" s="79">
        <f t="shared" si="116"/>
        <v>0</v>
      </c>
      <c r="Z107" s="79">
        <f t="shared" si="117"/>
        <v>0</v>
      </c>
      <c r="AA107" s="79">
        <f t="shared" si="118"/>
        <v>0</v>
      </c>
      <c r="AB107" s="79">
        <f t="shared" si="119"/>
        <v>0</v>
      </c>
      <c r="AC107" s="79">
        <f t="shared" si="120"/>
        <v>0</v>
      </c>
      <c r="AD107" s="79">
        <f t="shared" si="121"/>
        <v>0</v>
      </c>
      <c r="AE107" s="79">
        <f t="shared" si="122"/>
        <v>0</v>
      </c>
      <c r="AF107" s="79">
        <f t="shared" si="123"/>
        <v>0</v>
      </c>
      <c r="AG107" s="79">
        <f t="shared" si="124"/>
        <v>0</v>
      </c>
      <c r="AH107" s="79">
        <f t="shared" si="125"/>
        <v>0</v>
      </c>
      <c r="AI107" s="79">
        <f t="shared" si="126"/>
        <v>0</v>
      </c>
      <c r="AJ107" s="79">
        <f t="shared" si="127"/>
        <v>0</v>
      </c>
      <c r="AK107" s="79">
        <f t="shared" si="128"/>
        <v>0</v>
      </c>
      <c r="AL107" s="79">
        <f t="shared" si="129"/>
        <v>0</v>
      </c>
      <c r="AM107" s="79">
        <f t="shared" si="130"/>
        <v>0</v>
      </c>
      <c r="AN107" s="79">
        <f t="shared" si="131"/>
        <v>0</v>
      </c>
      <c r="AO107" s="79">
        <f t="shared" si="132"/>
        <v>0</v>
      </c>
      <c r="AP107" s="79">
        <f t="shared" si="133"/>
        <v>0</v>
      </c>
      <c r="AQ107" s="79">
        <f t="shared" si="134"/>
        <v>0</v>
      </c>
      <c r="AR107" s="79">
        <f t="shared" si="135"/>
        <v>0</v>
      </c>
      <c r="AS107" s="79">
        <f t="shared" si="136"/>
        <v>0</v>
      </c>
      <c r="AT107" s="79">
        <f t="shared" si="137"/>
        <v>0</v>
      </c>
      <c r="AU107" s="79">
        <f t="shared" si="138"/>
        <v>0</v>
      </c>
    </row>
    <row r="108" spans="1:47" ht="23.1" customHeight="1">
      <c r="A108" s="81" t="s">
        <v>822</v>
      </c>
      <c r="B108" s="81" t="s">
        <v>855</v>
      </c>
      <c r="C108" s="82" t="s">
        <v>343</v>
      </c>
      <c r="D108" s="84">
        <v>6</v>
      </c>
      <c r="E108" s="84">
        <f>단가대비표!L28</f>
        <v>2433.8510000000001</v>
      </c>
      <c r="F108" s="84">
        <f t="shared" si="105"/>
        <v>14603</v>
      </c>
      <c r="G108" s="84">
        <v>0</v>
      </c>
      <c r="H108" s="84">
        <f t="shared" si="106"/>
        <v>0</v>
      </c>
      <c r="I108" s="84">
        <v>0</v>
      </c>
      <c r="J108" s="84">
        <f t="shared" si="107"/>
        <v>0</v>
      </c>
      <c r="K108" s="84">
        <f t="shared" si="108"/>
        <v>2433.8510000000001</v>
      </c>
      <c r="L108" s="84">
        <f t="shared" si="108"/>
        <v>14603</v>
      </c>
      <c r="M108" s="84"/>
      <c r="O108" s="79" t="str">
        <f t="shared" ref="O108:O114" si="139">"01"</f>
        <v>01</v>
      </c>
      <c r="P108" s="86" t="s">
        <v>678</v>
      </c>
      <c r="Q108" s="79">
        <v>1</v>
      </c>
      <c r="R108" s="79">
        <f t="shared" si="109"/>
        <v>0</v>
      </c>
      <c r="S108" s="79">
        <f t="shared" si="110"/>
        <v>0</v>
      </c>
      <c r="T108" s="79">
        <f t="shared" si="111"/>
        <v>0</v>
      </c>
      <c r="U108" s="79">
        <f t="shared" si="112"/>
        <v>0</v>
      </c>
      <c r="V108" s="79">
        <f t="shared" si="113"/>
        <v>0</v>
      </c>
      <c r="W108" s="79">
        <f t="shared" si="114"/>
        <v>0</v>
      </c>
      <c r="X108" s="79">
        <f t="shared" si="115"/>
        <v>0</v>
      </c>
      <c r="Y108" s="79">
        <f t="shared" si="116"/>
        <v>0</v>
      </c>
      <c r="Z108" s="79">
        <f t="shared" si="117"/>
        <v>0</v>
      </c>
      <c r="AA108" s="79">
        <f t="shared" si="118"/>
        <v>0</v>
      </c>
      <c r="AB108" s="79">
        <f t="shared" si="119"/>
        <v>0</v>
      </c>
      <c r="AC108" s="79">
        <f t="shared" si="120"/>
        <v>0</v>
      </c>
      <c r="AD108" s="79">
        <f t="shared" si="121"/>
        <v>0</v>
      </c>
      <c r="AE108" s="79">
        <f t="shared" si="122"/>
        <v>0</v>
      </c>
      <c r="AF108" s="79">
        <f t="shared" si="123"/>
        <v>0</v>
      </c>
      <c r="AG108" s="79">
        <f t="shared" si="124"/>
        <v>0</v>
      </c>
      <c r="AH108" s="79">
        <f t="shared" si="125"/>
        <v>0</v>
      </c>
      <c r="AI108" s="79">
        <f t="shared" si="126"/>
        <v>0</v>
      </c>
      <c r="AJ108" s="79">
        <f t="shared" si="127"/>
        <v>0</v>
      </c>
      <c r="AK108" s="79">
        <f t="shared" si="128"/>
        <v>0</v>
      </c>
      <c r="AL108" s="79">
        <f t="shared" si="129"/>
        <v>0</v>
      </c>
      <c r="AM108" s="79">
        <f t="shared" si="130"/>
        <v>0</v>
      </c>
      <c r="AN108" s="79">
        <f t="shared" si="131"/>
        <v>0</v>
      </c>
      <c r="AO108" s="79">
        <f t="shared" si="132"/>
        <v>0</v>
      </c>
      <c r="AP108" s="79">
        <f t="shared" si="133"/>
        <v>0</v>
      </c>
      <c r="AQ108" s="79">
        <f t="shared" si="134"/>
        <v>0</v>
      </c>
      <c r="AR108" s="79">
        <f t="shared" si="135"/>
        <v>0</v>
      </c>
      <c r="AS108" s="79">
        <f t="shared" si="136"/>
        <v>0</v>
      </c>
      <c r="AT108" s="79">
        <f t="shared" si="137"/>
        <v>0</v>
      </c>
      <c r="AU108" s="79">
        <f t="shared" si="138"/>
        <v>0</v>
      </c>
    </row>
    <row r="109" spans="1:47" ht="23.1" customHeight="1">
      <c r="A109" s="81" t="s">
        <v>822</v>
      </c>
      <c r="B109" s="81" t="s">
        <v>856</v>
      </c>
      <c r="C109" s="82" t="s">
        <v>343</v>
      </c>
      <c r="D109" s="84">
        <v>6</v>
      </c>
      <c r="E109" s="84">
        <f>단가대비표!L33</f>
        <v>3763.0390000000002</v>
      </c>
      <c r="F109" s="84">
        <f t="shared" si="105"/>
        <v>22578</v>
      </c>
      <c r="G109" s="84">
        <v>0</v>
      </c>
      <c r="H109" s="84">
        <f t="shared" si="106"/>
        <v>0</v>
      </c>
      <c r="I109" s="84">
        <v>0</v>
      </c>
      <c r="J109" s="84">
        <f t="shared" si="107"/>
        <v>0</v>
      </c>
      <c r="K109" s="84">
        <f t="shared" si="108"/>
        <v>3763.0390000000002</v>
      </c>
      <c r="L109" s="84">
        <f t="shared" si="108"/>
        <v>22578</v>
      </c>
      <c r="M109" s="84"/>
      <c r="O109" s="79" t="str">
        <f t="shared" si="139"/>
        <v>01</v>
      </c>
      <c r="P109" s="86" t="s">
        <v>678</v>
      </c>
      <c r="Q109" s="79">
        <v>1</v>
      </c>
      <c r="R109" s="79">
        <f t="shared" si="109"/>
        <v>0</v>
      </c>
      <c r="S109" s="79">
        <f t="shared" si="110"/>
        <v>0</v>
      </c>
      <c r="T109" s="79">
        <f t="shared" si="111"/>
        <v>0</v>
      </c>
      <c r="U109" s="79">
        <f t="shared" si="112"/>
        <v>0</v>
      </c>
      <c r="V109" s="79">
        <f t="shared" si="113"/>
        <v>0</v>
      </c>
      <c r="W109" s="79">
        <f t="shared" si="114"/>
        <v>0</v>
      </c>
      <c r="X109" s="79">
        <f t="shared" si="115"/>
        <v>0</v>
      </c>
      <c r="Y109" s="79">
        <f t="shared" si="116"/>
        <v>0</v>
      </c>
      <c r="Z109" s="79">
        <f t="shared" si="117"/>
        <v>0</v>
      </c>
      <c r="AA109" s="79">
        <f t="shared" si="118"/>
        <v>0</v>
      </c>
      <c r="AB109" s="79">
        <f t="shared" si="119"/>
        <v>0</v>
      </c>
      <c r="AC109" s="79">
        <f t="shared" si="120"/>
        <v>0</v>
      </c>
      <c r="AD109" s="79">
        <f t="shared" si="121"/>
        <v>0</v>
      </c>
      <c r="AE109" s="79">
        <f t="shared" si="122"/>
        <v>0</v>
      </c>
      <c r="AF109" s="79">
        <f t="shared" si="123"/>
        <v>0</v>
      </c>
      <c r="AG109" s="79">
        <f t="shared" si="124"/>
        <v>0</v>
      </c>
      <c r="AH109" s="79">
        <f t="shared" si="125"/>
        <v>0</v>
      </c>
      <c r="AI109" s="79">
        <f t="shared" si="126"/>
        <v>0</v>
      </c>
      <c r="AJ109" s="79">
        <f t="shared" si="127"/>
        <v>0</v>
      </c>
      <c r="AK109" s="79">
        <f t="shared" si="128"/>
        <v>0</v>
      </c>
      <c r="AL109" s="79">
        <f t="shared" si="129"/>
        <v>0</v>
      </c>
      <c r="AM109" s="79">
        <f t="shared" si="130"/>
        <v>0</v>
      </c>
      <c r="AN109" s="79">
        <f t="shared" si="131"/>
        <v>0</v>
      </c>
      <c r="AO109" s="79">
        <f t="shared" si="132"/>
        <v>0</v>
      </c>
      <c r="AP109" s="79">
        <f t="shared" si="133"/>
        <v>0</v>
      </c>
      <c r="AQ109" s="79">
        <f t="shared" si="134"/>
        <v>0</v>
      </c>
      <c r="AR109" s="79">
        <f t="shared" si="135"/>
        <v>0</v>
      </c>
      <c r="AS109" s="79">
        <f t="shared" si="136"/>
        <v>0</v>
      </c>
      <c r="AT109" s="79">
        <f t="shared" si="137"/>
        <v>0</v>
      </c>
      <c r="AU109" s="79">
        <f t="shared" si="138"/>
        <v>0</v>
      </c>
    </row>
    <row r="110" spans="1:47" ht="23.1" customHeight="1">
      <c r="A110" s="81" t="s">
        <v>822</v>
      </c>
      <c r="B110" s="81" t="s">
        <v>823</v>
      </c>
      <c r="C110" s="82" t="s">
        <v>343</v>
      </c>
      <c r="D110" s="84">
        <v>18</v>
      </c>
      <c r="E110" s="84">
        <f>단가대비표!L34</f>
        <v>4086.355</v>
      </c>
      <c r="F110" s="84">
        <f t="shared" si="105"/>
        <v>73554</v>
      </c>
      <c r="G110" s="84">
        <v>0</v>
      </c>
      <c r="H110" s="84">
        <f t="shared" si="106"/>
        <v>0</v>
      </c>
      <c r="I110" s="84">
        <v>0</v>
      </c>
      <c r="J110" s="84">
        <f t="shared" si="107"/>
        <v>0</v>
      </c>
      <c r="K110" s="84">
        <f t="shared" si="108"/>
        <v>4086.355</v>
      </c>
      <c r="L110" s="84">
        <f t="shared" si="108"/>
        <v>73554</v>
      </c>
      <c r="M110" s="84"/>
      <c r="O110" s="79" t="str">
        <f t="shared" si="139"/>
        <v>01</v>
      </c>
      <c r="P110" s="86" t="s">
        <v>678</v>
      </c>
      <c r="Q110" s="79">
        <v>1</v>
      </c>
      <c r="R110" s="79">
        <f t="shared" si="109"/>
        <v>0</v>
      </c>
      <c r="S110" s="79">
        <f t="shared" si="110"/>
        <v>0</v>
      </c>
      <c r="T110" s="79">
        <f t="shared" si="111"/>
        <v>0</v>
      </c>
      <c r="U110" s="79">
        <f t="shared" si="112"/>
        <v>0</v>
      </c>
      <c r="V110" s="79">
        <f t="shared" si="113"/>
        <v>0</v>
      </c>
      <c r="W110" s="79">
        <f t="shared" si="114"/>
        <v>0</v>
      </c>
      <c r="X110" s="79">
        <f t="shared" si="115"/>
        <v>0</v>
      </c>
      <c r="Y110" s="79">
        <f t="shared" si="116"/>
        <v>0</v>
      </c>
      <c r="Z110" s="79">
        <f t="shared" si="117"/>
        <v>0</v>
      </c>
      <c r="AA110" s="79">
        <f t="shared" si="118"/>
        <v>0</v>
      </c>
      <c r="AB110" s="79">
        <f t="shared" si="119"/>
        <v>0</v>
      </c>
      <c r="AC110" s="79">
        <f t="shared" si="120"/>
        <v>0</v>
      </c>
      <c r="AD110" s="79">
        <f t="shared" si="121"/>
        <v>0</v>
      </c>
      <c r="AE110" s="79">
        <f t="shared" si="122"/>
        <v>0</v>
      </c>
      <c r="AF110" s="79">
        <f t="shared" si="123"/>
        <v>0</v>
      </c>
      <c r="AG110" s="79">
        <f t="shared" si="124"/>
        <v>0</v>
      </c>
      <c r="AH110" s="79">
        <f t="shared" si="125"/>
        <v>0</v>
      </c>
      <c r="AI110" s="79">
        <f t="shared" si="126"/>
        <v>0</v>
      </c>
      <c r="AJ110" s="79">
        <f t="shared" si="127"/>
        <v>0</v>
      </c>
      <c r="AK110" s="79">
        <f t="shared" si="128"/>
        <v>0</v>
      </c>
      <c r="AL110" s="79">
        <f t="shared" si="129"/>
        <v>0</v>
      </c>
      <c r="AM110" s="79">
        <f t="shared" si="130"/>
        <v>0</v>
      </c>
      <c r="AN110" s="79">
        <f t="shared" si="131"/>
        <v>0</v>
      </c>
      <c r="AO110" s="79">
        <f t="shared" si="132"/>
        <v>0</v>
      </c>
      <c r="AP110" s="79">
        <f t="shared" si="133"/>
        <v>0</v>
      </c>
      <c r="AQ110" s="79">
        <f t="shared" si="134"/>
        <v>0</v>
      </c>
      <c r="AR110" s="79">
        <f t="shared" si="135"/>
        <v>0</v>
      </c>
      <c r="AS110" s="79">
        <f t="shared" si="136"/>
        <v>0</v>
      </c>
      <c r="AT110" s="79">
        <f t="shared" si="137"/>
        <v>0</v>
      </c>
      <c r="AU110" s="79">
        <f t="shared" si="138"/>
        <v>0</v>
      </c>
    </row>
    <row r="111" spans="1:47" ht="23.1" customHeight="1">
      <c r="A111" s="81" t="s">
        <v>822</v>
      </c>
      <c r="B111" s="81" t="s">
        <v>857</v>
      </c>
      <c r="C111" s="82" t="s">
        <v>343</v>
      </c>
      <c r="D111" s="84">
        <v>2</v>
      </c>
      <c r="E111" s="84">
        <f>단가대비표!L36</f>
        <v>3035.578</v>
      </c>
      <c r="F111" s="84">
        <f t="shared" si="105"/>
        <v>6071</v>
      </c>
      <c r="G111" s="84">
        <v>0</v>
      </c>
      <c r="H111" s="84">
        <f t="shared" si="106"/>
        <v>0</v>
      </c>
      <c r="I111" s="84">
        <v>0</v>
      </c>
      <c r="J111" s="84">
        <f t="shared" si="107"/>
        <v>0</v>
      </c>
      <c r="K111" s="84">
        <f t="shared" si="108"/>
        <v>3035.578</v>
      </c>
      <c r="L111" s="84">
        <f t="shared" si="108"/>
        <v>6071</v>
      </c>
      <c r="M111" s="84"/>
      <c r="O111" s="79" t="str">
        <f t="shared" si="139"/>
        <v>01</v>
      </c>
      <c r="P111" s="86" t="s">
        <v>678</v>
      </c>
      <c r="Q111" s="79">
        <v>1</v>
      </c>
      <c r="R111" s="79">
        <f t="shared" si="109"/>
        <v>0</v>
      </c>
      <c r="S111" s="79">
        <f t="shared" si="110"/>
        <v>0</v>
      </c>
      <c r="T111" s="79">
        <f t="shared" si="111"/>
        <v>0</v>
      </c>
      <c r="U111" s="79">
        <f t="shared" si="112"/>
        <v>0</v>
      </c>
      <c r="V111" s="79">
        <f t="shared" si="113"/>
        <v>0</v>
      </c>
      <c r="W111" s="79">
        <f t="shared" si="114"/>
        <v>0</v>
      </c>
      <c r="X111" s="79">
        <f t="shared" si="115"/>
        <v>0</v>
      </c>
      <c r="Y111" s="79">
        <f t="shared" si="116"/>
        <v>0</v>
      </c>
      <c r="Z111" s="79">
        <f t="shared" si="117"/>
        <v>0</v>
      </c>
      <c r="AA111" s="79">
        <f t="shared" si="118"/>
        <v>0</v>
      </c>
      <c r="AB111" s="79">
        <f t="shared" si="119"/>
        <v>0</v>
      </c>
      <c r="AC111" s="79">
        <f t="shared" si="120"/>
        <v>0</v>
      </c>
      <c r="AD111" s="79">
        <f t="shared" si="121"/>
        <v>0</v>
      </c>
      <c r="AE111" s="79">
        <f t="shared" si="122"/>
        <v>0</v>
      </c>
      <c r="AF111" s="79">
        <f t="shared" si="123"/>
        <v>0</v>
      </c>
      <c r="AG111" s="79">
        <f t="shared" si="124"/>
        <v>0</v>
      </c>
      <c r="AH111" s="79">
        <f t="shared" si="125"/>
        <v>0</v>
      </c>
      <c r="AI111" s="79">
        <f t="shared" si="126"/>
        <v>0</v>
      </c>
      <c r="AJ111" s="79">
        <f t="shared" si="127"/>
        <v>0</v>
      </c>
      <c r="AK111" s="79">
        <f t="shared" si="128"/>
        <v>0</v>
      </c>
      <c r="AL111" s="79">
        <f t="shared" si="129"/>
        <v>0</v>
      </c>
      <c r="AM111" s="79">
        <f t="shared" si="130"/>
        <v>0</v>
      </c>
      <c r="AN111" s="79">
        <f t="shared" si="131"/>
        <v>0</v>
      </c>
      <c r="AO111" s="79">
        <f t="shared" si="132"/>
        <v>0</v>
      </c>
      <c r="AP111" s="79">
        <f t="shared" si="133"/>
        <v>0</v>
      </c>
      <c r="AQ111" s="79">
        <f t="shared" si="134"/>
        <v>0</v>
      </c>
      <c r="AR111" s="79">
        <f t="shared" si="135"/>
        <v>0</v>
      </c>
      <c r="AS111" s="79">
        <f t="shared" si="136"/>
        <v>0</v>
      </c>
      <c r="AT111" s="79">
        <f t="shared" si="137"/>
        <v>0</v>
      </c>
      <c r="AU111" s="79">
        <f t="shared" si="138"/>
        <v>0</v>
      </c>
    </row>
    <row r="112" spans="1:47" ht="23.1" customHeight="1">
      <c r="A112" s="81" t="s">
        <v>822</v>
      </c>
      <c r="B112" s="81" t="s">
        <v>858</v>
      </c>
      <c r="C112" s="82" t="s">
        <v>343</v>
      </c>
      <c r="D112" s="84">
        <v>4</v>
      </c>
      <c r="E112" s="84">
        <f>단가대비표!L37</f>
        <v>5316.7520000000004</v>
      </c>
      <c r="F112" s="84">
        <f t="shared" si="105"/>
        <v>21267</v>
      </c>
      <c r="G112" s="84">
        <v>0</v>
      </c>
      <c r="H112" s="84">
        <f t="shared" si="106"/>
        <v>0</v>
      </c>
      <c r="I112" s="84">
        <v>0</v>
      </c>
      <c r="J112" s="84">
        <f t="shared" si="107"/>
        <v>0</v>
      </c>
      <c r="K112" s="84">
        <f t="shared" si="108"/>
        <v>5316.7520000000004</v>
      </c>
      <c r="L112" s="84">
        <f t="shared" si="108"/>
        <v>21267</v>
      </c>
      <c r="M112" s="84"/>
      <c r="O112" s="79" t="str">
        <f t="shared" si="139"/>
        <v>01</v>
      </c>
      <c r="P112" s="86" t="s">
        <v>678</v>
      </c>
      <c r="Q112" s="79">
        <v>1</v>
      </c>
      <c r="R112" s="79">
        <f t="shared" si="109"/>
        <v>0</v>
      </c>
      <c r="S112" s="79">
        <f t="shared" si="110"/>
        <v>0</v>
      </c>
      <c r="T112" s="79">
        <f t="shared" si="111"/>
        <v>0</v>
      </c>
      <c r="U112" s="79">
        <f t="shared" si="112"/>
        <v>0</v>
      </c>
      <c r="V112" s="79">
        <f t="shared" si="113"/>
        <v>0</v>
      </c>
      <c r="W112" s="79">
        <f t="shared" si="114"/>
        <v>0</v>
      </c>
      <c r="X112" s="79">
        <f t="shared" si="115"/>
        <v>0</v>
      </c>
      <c r="Y112" s="79">
        <f t="shared" si="116"/>
        <v>0</v>
      </c>
      <c r="Z112" s="79">
        <f t="shared" si="117"/>
        <v>0</v>
      </c>
      <c r="AA112" s="79">
        <f t="shared" si="118"/>
        <v>0</v>
      </c>
      <c r="AB112" s="79">
        <f t="shared" si="119"/>
        <v>0</v>
      </c>
      <c r="AC112" s="79">
        <f t="shared" si="120"/>
        <v>0</v>
      </c>
      <c r="AD112" s="79">
        <f t="shared" si="121"/>
        <v>0</v>
      </c>
      <c r="AE112" s="79">
        <f t="shared" si="122"/>
        <v>0</v>
      </c>
      <c r="AF112" s="79">
        <f t="shared" si="123"/>
        <v>0</v>
      </c>
      <c r="AG112" s="79">
        <f t="shared" si="124"/>
        <v>0</v>
      </c>
      <c r="AH112" s="79">
        <f t="shared" si="125"/>
        <v>0</v>
      </c>
      <c r="AI112" s="79">
        <f t="shared" si="126"/>
        <v>0</v>
      </c>
      <c r="AJ112" s="79">
        <f t="shared" si="127"/>
        <v>0</v>
      </c>
      <c r="AK112" s="79">
        <f t="shared" si="128"/>
        <v>0</v>
      </c>
      <c r="AL112" s="79">
        <f t="shared" si="129"/>
        <v>0</v>
      </c>
      <c r="AM112" s="79">
        <f t="shared" si="130"/>
        <v>0</v>
      </c>
      <c r="AN112" s="79">
        <f t="shared" si="131"/>
        <v>0</v>
      </c>
      <c r="AO112" s="79">
        <f t="shared" si="132"/>
        <v>0</v>
      </c>
      <c r="AP112" s="79">
        <f t="shared" si="133"/>
        <v>0</v>
      </c>
      <c r="AQ112" s="79">
        <f t="shared" si="134"/>
        <v>0</v>
      </c>
      <c r="AR112" s="79">
        <f t="shared" si="135"/>
        <v>0</v>
      </c>
      <c r="AS112" s="79">
        <f t="shared" si="136"/>
        <v>0</v>
      </c>
      <c r="AT112" s="79">
        <f t="shared" si="137"/>
        <v>0</v>
      </c>
      <c r="AU112" s="79">
        <f t="shared" si="138"/>
        <v>0</v>
      </c>
    </row>
    <row r="113" spans="1:47" ht="23.1" customHeight="1">
      <c r="A113" s="81" t="s">
        <v>859</v>
      </c>
      <c r="B113" s="81" t="s">
        <v>860</v>
      </c>
      <c r="C113" s="82" t="s">
        <v>343</v>
      </c>
      <c r="D113" s="84">
        <f>공량산출서!F88</f>
        <v>1</v>
      </c>
      <c r="E113" s="84">
        <f>단가대비표!L64</f>
        <v>143696</v>
      </c>
      <c r="F113" s="84">
        <f t="shared" si="105"/>
        <v>143696</v>
      </c>
      <c r="G113" s="84">
        <v>0</v>
      </c>
      <c r="H113" s="84">
        <f t="shared" si="106"/>
        <v>0</v>
      </c>
      <c r="I113" s="84">
        <v>0</v>
      </c>
      <c r="J113" s="84">
        <f t="shared" si="107"/>
        <v>0</v>
      </c>
      <c r="K113" s="84">
        <f t="shared" si="108"/>
        <v>143696</v>
      </c>
      <c r="L113" s="84">
        <f t="shared" si="108"/>
        <v>143696</v>
      </c>
      <c r="M113" s="84"/>
      <c r="O113" s="79" t="str">
        <f t="shared" si="139"/>
        <v>01</v>
      </c>
      <c r="P113" s="86" t="s">
        <v>678</v>
      </c>
      <c r="Q113" s="79">
        <v>1</v>
      </c>
      <c r="R113" s="79">
        <f t="shared" si="109"/>
        <v>0</v>
      </c>
      <c r="S113" s="79">
        <f t="shared" si="110"/>
        <v>0</v>
      </c>
      <c r="T113" s="79">
        <f t="shared" si="111"/>
        <v>0</v>
      </c>
      <c r="U113" s="79">
        <f t="shared" si="112"/>
        <v>0</v>
      </c>
      <c r="V113" s="79">
        <f t="shared" si="113"/>
        <v>0</v>
      </c>
      <c r="W113" s="79">
        <f t="shared" si="114"/>
        <v>0</v>
      </c>
      <c r="X113" s="79">
        <f t="shared" si="115"/>
        <v>0</v>
      </c>
      <c r="Y113" s="79">
        <f t="shared" si="116"/>
        <v>0</v>
      </c>
      <c r="Z113" s="79">
        <f t="shared" si="117"/>
        <v>0</v>
      </c>
      <c r="AA113" s="79">
        <f t="shared" si="118"/>
        <v>0</v>
      </c>
      <c r="AB113" s="79">
        <f t="shared" si="119"/>
        <v>0</v>
      </c>
      <c r="AC113" s="79">
        <f t="shared" si="120"/>
        <v>0</v>
      </c>
      <c r="AD113" s="79">
        <f t="shared" si="121"/>
        <v>0</v>
      </c>
      <c r="AE113" s="79">
        <f t="shared" si="122"/>
        <v>0</v>
      </c>
      <c r="AF113" s="79">
        <f t="shared" si="123"/>
        <v>0</v>
      </c>
      <c r="AG113" s="79">
        <f t="shared" si="124"/>
        <v>0</v>
      </c>
      <c r="AH113" s="79">
        <f t="shared" si="125"/>
        <v>0</v>
      </c>
      <c r="AI113" s="79">
        <f t="shared" si="126"/>
        <v>0</v>
      </c>
      <c r="AJ113" s="79">
        <f t="shared" si="127"/>
        <v>0</v>
      </c>
      <c r="AK113" s="79">
        <f t="shared" si="128"/>
        <v>0</v>
      </c>
      <c r="AL113" s="79">
        <f t="shared" si="129"/>
        <v>0</v>
      </c>
      <c r="AM113" s="79">
        <f t="shared" si="130"/>
        <v>0</v>
      </c>
      <c r="AN113" s="79">
        <f t="shared" si="131"/>
        <v>0</v>
      </c>
      <c r="AO113" s="79">
        <f t="shared" si="132"/>
        <v>0</v>
      </c>
      <c r="AP113" s="79">
        <f t="shared" si="133"/>
        <v>0</v>
      </c>
      <c r="AQ113" s="79">
        <f t="shared" si="134"/>
        <v>0</v>
      </c>
      <c r="AR113" s="79">
        <f t="shared" si="135"/>
        <v>0</v>
      </c>
      <c r="AS113" s="79">
        <f t="shared" si="136"/>
        <v>0</v>
      </c>
      <c r="AT113" s="79">
        <f t="shared" si="137"/>
        <v>0</v>
      </c>
      <c r="AU113" s="79">
        <f t="shared" si="138"/>
        <v>0</v>
      </c>
    </row>
    <row r="114" spans="1:47" ht="23.1" customHeight="1">
      <c r="A114" s="81" t="s">
        <v>861</v>
      </c>
      <c r="B114" s="81" t="s">
        <v>862</v>
      </c>
      <c r="C114" s="82" t="s">
        <v>343</v>
      </c>
      <c r="D114" s="84">
        <f>공량산출서!F90</f>
        <v>1</v>
      </c>
      <c r="E114" s="84">
        <f>단가대비표!L67</f>
        <v>17962</v>
      </c>
      <c r="F114" s="84">
        <f t="shared" si="105"/>
        <v>17962</v>
      </c>
      <c r="G114" s="84">
        <v>0</v>
      </c>
      <c r="H114" s="84">
        <f t="shared" si="106"/>
        <v>0</v>
      </c>
      <c r="I114" s="84">
        <v>0</v>
      </c>
      <c r="J114" s="84">
        <f t="shared" si="107"/>
        <v>0</v>
      </c>
      <c r="K114" s="84">
        <f t="shared" si="108"/>
        <v>17962</v>
      </c>
      <c r="L114" s="84">
        <f t="shared" si="108"/>
        <v>17962</v>
      </c>
      <c r="M114" s="84"/>
      <c r="O114" s="79" t="str">
        <f t="shared" si="139"/>
        <v>01</v>
      </c>
      <c r="P114" s="86" t="s">
        <v>678</v>
      </c>
      <c r="Q114" s="79">
        <v>1</v>
      </c>
      <c r="R114" s="79">
        <f t="shared" si="109"/>
        <v>0</v>
      </c>
      <c r="S114" s="79">
        <f t="shared" si="110"/>
        <v>0</v>
      </c>
      <c r="T114" s="79">
        <f t="shared" si="111"/>
        <v>0</v>
      </c>
      <c r="U114" s="79">
        <f t="shared" si="112"/>
        <v>0</v>
      </c>
      <c r="V114" s="79">
        <f t="shared" si="113"/>
        <v>0</v>
      </c>
      <c r="W114" s="79">
        <f t="shared" si="114"/>
        <v>0</v>
      </c>
      <c r="X114" s="79">
        <f t="shared" si="115"/>
        <v>0</v>
      </c>
      <c r="Y114" s="79">
        <f t="shared" si="116"/>
        <v>0</v>
      </c>
      <c r="Z114" s="79">
        <f t="shared" si="117"/>
        <v>0</v>
      </c>
      <c r="AA114" s="79">
        <f t="shared" si="118"/>
        <v>0</v>
      </c>
      <c r="AB114" s="79">
        <f t="shared" si="119"/>
        <v>0</v>
      </c>
      <c r="AC114" s="79">
        <f t="shared" si="120"/>
        <v>0</v>
      </c>
      <c r="AD114" s="79">
        <f t="shared" si="121"/>
        <v>0</v>
      </c>
      <c r="AE114" s="79">
        <f t="shared" si="122"/>
        <v>0</v>
      </c>
      <c r="AF114" s="79">
        <f t="shared" si="123"/>
        <v>0</v>
      </c>
      <c r="AG114" s="79">
        <f t="shared" si="124"/>
        <v>0</v>
      </c>
      <c r="AH114" s="79">
        <f t="shared" si="125"/>
        <v>0</v>
      </c>
      <c r="AI114" s="79">
        <f t="shared" si="126"/>
        <v>0</v>
      </c>
      <c r="AJ114" s="79">
        <f t="shared" si="127"/>
        <v>0</v>
      </c>
      <c r="AK114" s="79">
        <f t="shared" si="128"/>
        <v>0</v>
      </c>
      <c r="AL114" s="79">
        <f t="shared" si="129"/>
        <v>0</v>
      </c>
      <c r="AM114" s="79">
        <f t="shared" si="130"/>
        <v>0</v>
      </c>
      <c r="AN114" s="79">
        <f t="shared" si="131"/>
        <v>0</v>
      </c>
      <c r="AO114" s="79">
        <f t="shared" si="132"/>
        <v>0</v>
      </c>
      <c r="AP114" s="79">
        <f t="shared" si="133"/>
        <v>0</v>
      </c>
      <c r="AQ114" s="79">
        <f t="shared" si="134"/>
        <v>0</v>
      </c>
      <c r="AR114" s="79">
        <f t="shared" si="135"/>
        <v>0</v>
      </c>
      <c r="AS114" s="79">
        <f t="shared" si="136"/>
        <v>0</v>
      </c>
      <c r="AT114" s="79">
        <f t="shared" si="137"/>
        <v>0</v>
      </c>
      <c r="AU114" s="79">
        <f t="shared" si="138"/>
        <v>0</v>
      </c>
    </row>
    <row r="115" spans="1:47" ht="23.1" customHeight="1">
      <c r="A115" s="81" t="s">
        <v>815</v>
      </c>
      <c r="B115" s="81" t="s">
        <v>818</v>
      </c>
      <c r="C115" s="82" t="s">
        <v>769</v>
      </c>
      <c r="D115" s="84">
        <v>18</v>
      </c>
      <c r="E115" s="84">
        <f>일위대가목록!G47</f>
        <v>2025</v>
      </c>
      <c r="F115" s="84">
        <f t="shared" si="105"/>
        <v>36450</v>
      </c>
      <c r="G115" s="84">
        <f>일위대가목록!I47</f>
        <v>0</v>
      </c>
      <c r="H115" s="84">
        <f t="shared" si="106"/>
        <v>0</v>
      </c>
      <c r="I115" s="84">
        <f>일위대가목록!K47</f>
        <v>0</v>
      </c>
      <c r="J115" s="84">
        <f t="shared" si="107"/>
        <v>0</v>
      </c>
      <c r="K115" s="84">
        <f t="shared" si="108"/>
        <v>2025</v>
      </c>
      <c r="L115" s="84">
        <f t="shared" si="108"/>
        <v>36450</v>
      </c>
      <c r="M115" s="84" t="s">
        <v>819</v>
      </c>
      <c r="O115" s="79" t="str">
        <f>""</f>
        <v/>
      </c>
      <c r="P115" s="86" t="s">
        <v>678</v>
      </c>
      <c r="Q115" s="79">
        <v>1</v>
      </c>
      <c r="R115" s="79">
        <f t="shared" si="109"/>
        <v>0</v>
      </c>
      <c r="S115" s="79">
        <f t="shared" si="110"/>
        <v>0</v>
      </c>
      <c r="T115" s="79">
        <f t="shared" si="111"/>
        <v>0</v>
      </c>
      <c r="U115" s="79">
        <f t="shared" si="112"/>
        <v>0</v>
      </c>
      <c r="V115" s="79">
        <f t="shared" si="113"/>
        <v>0</v>
      </c>
      <c r="W115" s="79">
        <f t="shared" si="114"/>
        <v>0</v>
      </c>
      <c r="X115" s="79">
        <f t="shared" si="115"/>
        <v>0</v>
      </c>
      <c r="Y115" s="79">
        <f t="shared" si="116"/>
        <v>0</v>
      </c>
      <c r="Z115" s="79">
        <f t="shared" si="117"/>
        <v>0</v>
      </c>
      <c r="AA115" s="79">
        <f t="shared" si="118"/>
        <v>0</v>
      </c>
      <c r="AB115" s="79">
        <f t="shared" si="119"/>
        <v>0</v>
      </c>
      <c r="AC115" s="79">
        <f t="shared" si="120"/>
        <v>0</v>
      </c>
      <c r="AD115" s="79">
        <f t="shared" si="121"/>
        <v>0</v>
      </c>
      <c r="AE115" s="79">
        <f t="shared" si="122"/>
        <v>0</v>
      </c>
      <c r="AF115" s="79">
        <f t="shared" si="123"/>
        <v>0</v>
      </c>
      <c r="AG115" s="79">
        <f t="shared" si="124"/>
        <v>0</v>
      </c>
      <c r="AH115" s="79">
        <f t="shared" si="125"/>
        <v>0</v>
      </c>
      <c r="AI115" s="79">
        <f t="shared" si="126"/>
        <v>0</v>
      </c>
      <c r="AJ115" s="79">
        <f t="shared" si="127"/>
        <v>0</v>
      </c>
      <c r="AK115" s="79">
        <f t="shared" si="128"/>
        <v>0</v>
      </c>
      <c r="AL115" s="79">
        <f t="shared" si="129"/>
        <v>0</v>
      </c>
      <c r="AM115" s="79">
        <f t="shared" si="130"/>
        <v>0</v>
      </c>
      <c r="AN115" s="79">
        <f t="shared" si="131"/>
        <v>0</v>
      </c>
      <c r="AO115" s="79">
        <f t="shared" si="132"/>
        <v>0</v>
      </c>
      <c r="AP115" s="79">
        <f t="shared" si="133"/>
        <v>0</v>
      </c>
      <c r="AQ115" s="79">
        <f t="shared" si="134"/>
        <v>0</v>
      </c>
      <c r="AR115" s="79">
        <f t="shared" si="135"/>
        <v>0</v>
      </c>
      <c r="AS115" s="79">
        <f t="shared" si="136"/>
        <v>0</v>
      </c>
      <c r="AT115" s="79">
        <f t="shared" si="137"/>
        <v>0</v>
      </c>
      <c r="AU115" s="79">
        <f t="shared" si="138"/>
        <v>0</v>
      </c>
    </row>
    <row r="116" spans="1:47" ht="23.1" customHeight="1">
      <c r="A116" s="81" t="s">
        <v>815</v>
      </c>
      <c r="B116" s="81" t="s">
        <v>863</v>
      </c>
      <c r="C116" s="82" t="s">
        <v>769</v>
      </c>
      <c r="D116" s="84">
        <v>17</v>
      </c>
      <c r="E116" s="84">
        <f>일위대가목록!G48</f>
        <v>2223</v>
      </c>
      <c r="F116" s="84">
        <f t="shared" si="105"/>
        <v>37791</v>
      </c>
      <c r="G116" s="84">
        <f>일위대가목록!I48</f>
        <v>0</v>
      </c>
      <c r="H116" s="84">
        <f t="shared" si="106"/>
        <v>0</v>
      </c>
      <c r="I116" s="84">
        <f>일위대가목록!K48</f>
        <v>0</v>
      </c>
      <c r="J116" s="84">
        <f t="shared" si="107"/>
        <v>0</v>
      </c>
      <c r="K116" s="84">
        <f t="shared" si="108"/>
        <v>2223</v>
      </c>
      <c r="L116" s="84">
        <f t="shared" si="108"/>
        <v>37791</v>
      </c>
      <c r="M116" s="84" t="s">
        <v>864</v>
      </c>
      <c r="O116" s="79" t="str">
        <f>""</f>
        <v/>
      </c>
      <c r="P116" s="86" t="s">
        <v>678</v>
      </c>
      <c r="Q116" s="79">
        <v>1</v>
      </c>
      <c r="R116" s="79">
        <f t="shared" si="109"/>
        <v>0</v>
      </c>
      <c r="S116" s="79">
        <f t="shared" si="110"/>
        <v>0</v>
      </c>
      <c r="T116" s="79">
        <f t="shared" si="111"/>
        <v>0</v>
      </c>
      <c r="U116" s="79">
        <f t="shared" si="112"/>
        <v>0</v>
      </c>
      <c r="V116" s="79">
        <f t="shared" si="113"/>
        <v>0</v>
      </c>
      <c r="W116" s="79">
        <f t="shared" si="114"/>
        <v>0</v>
      </c>
      <c r="X116" s="79">
        <f t="shared" si="115"/>
        <v>0</v>
      </c>
      <c r="Y116" s="79">
        <f t="shared" si="116"/>
        <v>0</v>
      </c>
      <c r="Z116" s="79">
        <f t="shared" si="117"/>
        <v>0</v>
      </c>
      <c r="AA116" s="79">
        <f t="shared" si="118"/>
        <v>0</v>
      </c>
      <c r="AB116" s="79">
        <f t="shared" si="119"/>
        <v>0</v>
      </c>
      <c r="AC116" s="79">
        <f t="shared" si="120"/>
        <v>0</v>
      </c>
      <c r="AD116" s="79">
        <f t="shared" si="121"/>
        <v>0</v>
      </c>
      <c r="AE116" s="79">
        <f t="shared" si="122"/>
        <v>0</v>
      </c>
      <c r="AF116" s="79">
        <f t="shared" si="123"/>
        <v>0</v>
      </c>
      <c r="AG116" s="79">
        <f t="shared" si="124"/>
        <v>0</v>
      </c>
      <c r="AH116" s="79">
        <f t="shared" si="125"/>
        <v>0</v>
      </c>
      <c r="AI116" s="79">
        <f t="shared" si="126"/>
        <v>0</v>
      </c>
      <c r="AJ116" s="79">
        <f t="shared" si="127"/>
        <v>0</v>
      </c>
      <c r="AK116" s="79">
        <f t="shared" si="128"/>
        <v>0</v>
      </c>
      <c r="AL116" s="79">
        <f t="shared" si="129"/>
        <v>0</v>
      </c>
      <c r="AM116" s="79">
        <f t="shared" si="130"/>
        <v>0</v>
      </c>
      <c r="AN116" s="79">
        <f t="shared" si="131"/>
        <v>0</v>
      </c>
      <c r="AO116" s="79">
        <f t="shared" si="132"/>
        <v>0</v>
      </c>
      <c r="AP116" s="79">
        <f t="shared" si="133"/>
        <v>0</v>
      </c>
      <c r="AQ116" s="79">
        <f t="shared" si="134"/>
        <v>0</v>
      </c>
      <c r="AR116" s="79">
        <f t="shared" si="135"/>
        <v>0</v>
      </c>
      <c r="AS116" s="79">
        <f t="shared" si="136"/>
        <v>0</v>
      </c>
      <c r="AT116" s="79">
        <f t="shared" si="137"/>
        <v>0</v>
      </c>
      <c r="AU116" s="79">
        <f t="shared" si="138"/>
        <v>0</v>
      </c>
    </row>
    <row r="117" spans="1:47" ht="23.1" customHeight="1">
      <c r="A117" s="81" t="s">
        <v>815</v>
      </c>
      <c r="B117" s="81" t="s">
        <v>865</v>
      </c>
      <c r="C117" s="82" t="s">
        <v>769</v>
      </c>
      <c r="D117" s="84">
        <v>3</v>
      </c>
      <c r="E117" s="84">
        <f>일위대가목록!G49</f>
        <v>2852</v>
      </c>
      <c r="F117" s="84">
        <f t="shared" si="105"/>
        <v>8556</v>
      </c>
      <c r="G117" s="84">
        <f>일위대가목록!I49</f>
        <v>0</v>
      </c>
      <c r="H117" s="84">
        <f t="shared" si="106"/>
        <v>0</v>
      </c>
      <c r="I117" s="84">
        <f>일위대가목록!K49</f>
        <v>0</v>
      </c>
      <c r="J117" s="84">
        <f t="shared" si="107"/>
        <v>0</v>
      </c>
      <c r="K117" s="84">
        <f t="shared" si="108"/>
        <v>2852</v>
      </c>
      <c r="L117" s="84">
        <f t="shared" si="108"/>
        <v>8556</v>
      </c>
      <c r="M117" s="84" t="s">
        <v>866</v>
      </c>
      <c r="O117" s="79" t="str">
        <f>""</f>
        <v/>
      </c>
      <c r="P117" s="86" t="s">
        <v>678</v>
      </c>
      <c r="Q117" s="79">
        <v>1</v>
      </c>
      <c r="R117" s="79">
        <f t="shared" si="109"/>
        <v>0</v>
      </c>
      <c r="S117" s="79">
        <f t="shared" si="110"/>
        <v>0</v>
      </c>
      <c r="T117" s="79">
        <f t="shared" si="111"/>
        <v>0</v>
      </c>
      <c r="U117" s="79">
        <f t="shared" si="112"/>
        <v>0</v>
      </c>
      <c r="V117" s="79">
        <f t="shared" si="113"/>
        <v>0</v>
      </c>
      <c r="W117" s="79">
        <f t="shared" si="114"/>
        <v>0</v>
      </c>
      <c r="X117" s="79">
        <f t="shared" si="115"/>
        <v>0</v>
      </c>
      <c r="Y117" s="79">
        <f t="shared" si="116"/>
        <v>0</v>
      </c>
      <c r="Z117" s="79">
        <f t="shared" si="117"/>
        <v>0</v>
      </c>
      <c r="AA117" s="79">
        <f t="shared" si="118"/>
        <v>0</v>
      </c>
      <c r="AB117" s="79">
        <f t="shared" si="119"/>
        <v>0</v>
      </c>
      <c r="AC117" s="79">
        <f t="shared" si="120"/>
        <v>0</v>
      </c>
      <c r="AD117" s="79">
        <f t="shared" si="121"/>
        <v>0</v>
      </c>
      <c r="AE117" s="79">
        <f t="shared" si="122"/>
        <v>0</v>
      </c>
      <c r="AF117" s="79">
        <f t="shared" si="123"/>
        <v>0</v>
      </c>
      <c r="AG117" s="79">
        <f t="shared" si="124"/>
        <v>0</v>
      </c>
      <c r="AH117" s="79">
        <f t="shared" si="125"/>
        <v>0</v>
      </c>
      <c r="AI117" s="79">
        <f t="shared" si="126"/>
        <v>0</v>
      </c>
      <c r="AJ117" s="79">
        <f t="shared" si="127"/>
        <v>0</v>
      </c>
      <c r="AK117" s="79">
        <f t="shared" si="128"/>
        <v>0</v>
      </c>
      <c r="AL117" s="79">
        <f t="shared" si="129"/>
        <v>0</v>
      </c>
      <c r="AM117" s="79">
        <f t="shared" si="130"/>
        <v>0</v>
      </c>
      <c r="AN117" s="79">
        <f t="shared" si="131"/>
        <v>0</v>
      </c>
      <c r="AO117" s="79">
        <f t="shared" si="132"/>
        <v>0</v>
      </c>
      <c r="AP117" s="79">
        <f t="shared" si="133"/>
        <v>0</v>
      </c>
      <c r="AQ117" s="79">
        <f t="shared" si="134"/>
        <v>0</v>
      </c>
      <c r="AR117" s="79">
        <f t="shared" si="135"/>
        <v>0</v>
      </c>
      <c r="AS117" s="79">
        <f t="shared" si="136"/>
        <v>0</v>
      </c>
      <c r="AT117" s="79">
        <f t="shared" si="137"/>
        <v>0</v>
      </c>
      <c r="AU117" s="79">
        <f t="shared" si="138"/>
        <v>0</v>
      </c>
    </row>
    <row r="118" spans="1:47" ht="23.1" customHeight="1">
      <c r="A118" s="81" t="s">
        <v>815</v>
      </c>
      <c r="B118" s="81" t="s">
        <v>781</v>
      </c>
      <c r="C118" s="82" t="s">
        <v>769</v>
      </c>
      <c r="D118" s="84">
        <v>13</v>
      </c>
      <c r="E118" s="84">
        <f>일위대가목록!G52</f>
        <v>6485</v>
      </c>
      <c r="F118" s="84">
        <f t="shared" si="105"/>
        <v>84305</v>
      </c>
      <c r="G118" s="84">
        <f>일위대가목록!I52</f>
        <v>0</v>
      </c>
      <c r="H118" s="84">
        <f t="shared" si="106"/>
        <v>0</v>
      </c>
      <c r="I118" s="84">
        <f>일위대가목록!K52</f>
        <v>0</v>
      </c>
      <c r="J118" s="84">
        <f t="shared" si="107"/>
        <v>0</v>
      </c>
      <c r="K118" s="84">
        <f t="shared" si="108"/>
        <v>6485</v>
      </c>
      <c r="L118" s="84">
        <f t="shared" si="108"/>
        <v>84305</v>
      </c>
      <c r="M118" s="84" t="s">
        <v>821</v>
      </c>
      <c r="O118" s="79" t="str">
        <f>""</f>
        <v/>
      </c>
      <c r="P118" s="86" t="s">
        <v>678</v>
      </c>
      <c r="Q118" s="79">
        <v>1</v>
      </c>
      <c r="R118" s="79">
        <f t="shared" si="109"/>
        <v>0</v>
      </c>
      <c r="S118" s="79">
        <f t="shared" si="110"/>
        <v>0</v>
      </c>
      <c r="T118" s="79">
        <f t="shared" si="111"/>
        <v>0</v>
      </c>
      <c r="U118" s="79">
        <f t="shared" si="112"/>
        <v>0</v>
      </c>
      <c r="V118" s="79">
        <f t="shared" si="113"/>
        <v>0</v>
      </c>
      <c r="W118" s="79">
        <f t="shared" si="114"/>
        <v>0</v>
      </c>
      <c r="X118" s="79">
        <f t="shared" si="115"/>
        <v>0</v>
      </c>
      <c r="Y118" s="79">
        <f t="shared" si="116"/>
        <v>0</v>
      </c>
      <c r="Z118" s="79">
        <f t="shared" si="117"/>
        <v>0</v>
      </c>
      <c r="AA118" s="79">
        <f t="shared" si="118"/>
        <v>0</v>
      </c>
      <c r="AB118" s="79">
        <f t="shared" si="119"/>
        <v>0</v>
      </c>
      <c r="AC118" s="79">
        <f t="shared" si="120"/>
        <v>0</v>
      </c>
      <c r="AD118" s="79">
        <f t="shared" si="121"/>
        <v>0</v>
      </c>
      <c r="AE118" s="79">
        <f t="shared" si="122"/>
        <v>0</v>
      </c>
      <c r="AF118" s="79">
        <f t="shared" si="123"/>
        <v>0</v>
      </c>
      <c r="AG118" s="79">
        <f t="shared" si="124"/>
        <v>0</v>
      </c>
      <c r="AH118" s="79">
        <f t="shared" si="125"/>
        <v>0</v>
      </c>
      <c r="AI118" s="79">
        <f t="shared" si="126"/>
        <v>0</v>
      </c>
      <c r="AJ118" s="79">
        <f t="shared" si="127"/>
        <v>0</v>
      </c>
      <c r="AK118" s="79">
        <f t="shared" si="128"/>
        <v>0</v>
      </c>
      <c r="AL118" s="79">
        <f t="shared" si="129"/>
        <v>0</v>
      </c>
      <c r="AM118" s="79">
        <f t="shared" si="130"/>
        <v>0</v>
      </c>
      <c r="AN118" s="79">
        <f t="shared" si="131"/>
        <v>0</v>
      </c>
      <c r="AO118" s="79">
        <f t="shared" si="132"/>
        <v>0</v>
      </c>
      <c r="AP118" s="79">
        <f t="shared" si="133"/>
        <v>0</v>
      </c>
      <c r="AQ118" s="79">
        <f t="shared" si="134"/>
        <v>0</v>
      </c>
      <c r="AR118" s="79">
        <f t="shared" si="135"/>
        <v>0</v>
      </c>
      <c r="AS118" s="79">
        <f t="shared" si="136"/>
        <v>0</v>
      </c>
      <c r="AT118" s="79">
        <f t="shared" si="137"/>
        <v>0</v>
      </c>
      <c r="AU118" s="79">
        <f t="shared" si="138"/>
        <v>0</v>
      </c>
    </row>
    <row r="119" spans="1:47" ht="23.1" customHeight="1">
      <c r="A119" s="81" t="s">
        <v>756</v>
      </c>
      <c r="B119" s="81" t="s">
        <v>762</v>
      </c>
      <c r="C119" s="82" t="s">
        <v>343</v>
      </c>
      <c r="D119" s="84">
        <v>8</v>
      </c>
      <c r="E119" s="84">
        <f>단가대비표!L106</f>
        <v>24096.023000000001</v>
      </c>
      <c r="F119" s="84">
        <f t="shared" si="105"/>
        <v>192768</v>
      </c>
      <c r="G119" s="84">
        <v>0</v>
      </c>
      <c r="H119" s="84">
        <f t="shared" si="106"/>
        <v>0</v>
      </c>
      <c r="I119" s="84">
        <v>0</v>
      </c>
      <c r="J119" s="84">
        <f t="shared" si="107"/>
        <v>0</v>
      </c>
      <c r="K119" s="84">
        <f t="shared" si="108"/>
        <v>24096.023000000001</v>
      </c>
      <c r="L119" s="84">
        <f t="shared" si="108"/>
        <v>192768</v>
      </c>
      <c r="M119" s="84"/>
      <c r="O119" s="79" t="str">
        <f t="shared" ref="O119:O124" si="140">"01"</f>
        <v>01</v>
      </c>
      <c r="P119" s="86" t="s">
        <v>678</v>
      </c>
      <c r="Q119" s="79">
        <v>1</v>
      </c>
      <c r="R119" s="79">
        <f t="shared" si="109"/>
        <v>0</v>
      </c>
      <c r="S119" s="79">
        <f t="shared" si="110"/>
        <v>0</v>
      </c>
      <c r="T119" s="79">
        <f t="shared" si="111"/>
        <v>0</v>
      </c>
      <c r="U119" s="79">
        <f t="shared" si="112"/>
        <v>0</v>
      </c>
      <c r="V119" s="79">
        <f t="shared" si="113"/>
        <v>0</v>
      </c>
      <c r="W119" s="79">
        <f t="shared" si="114"/>
        <v>0</v>
      </c>
      <c r="X119" s="79">
        <f t="shared" si="115"/>
        <v>0</v>
      </c>
      <c r="Y119" s="79">
        <f t="shared" si="116"/>
        <v>0</v>
      </c>
      <c r="Z119" s="79">
        <f t="shared" si="117"/>
        <v>0</v>
      </c>
      <c r="AA119" s="79">
        <f t="shared" si="118"/>
        <v>0</v>
      </c>
      <c r="AB119" s="79">
        <f t="shared" si="119"/>
        <v>0</v>
      </c>
      <c r="AC119" s="79">
        <f t="shared" si="120"/>
        <v>0</v>
      </c>
      <c r="AD119" s="79">
        <f t="shared" si="121"/>
        <v>0</v>
      </c>
      <c r="AE119" s="79">
        <f t="shared" si="122"/>
        <v>0</v>
      </c>
      <c r="AF119" s="79">
        <f t="shared" si="123"/>
        <v>0</v>
      </c>
      <c r="AG119" s="79">
        <f t="shared" si="124"/>
        <v>0</v>
      </c>
      <c r="AH119" s="79">
        <f t="shared" si="125"/>
        <v>0</v>
      </c>
      <c r="AI119" s="79">
        <f t="shared" si="126"/>
        <v>0</v>
      </c>
      <c r="AJ119" s="79">
        <f t="shared" si="127"/>
        <v>0</v>
      </c>
      <c r="AK119" s="79">
        <f t="shared" si="128"/>
        <v>0</v>
      </c>
      <c r="AL119" s="79">
        <f t="shared" si="129"/>
        <v>0</v>
      </c>
      <c r="AM119" s="79">
        <f t="shared" si="130"/>
        <v>0</v>
      </c>
      <c r="AN119" s="79">
        <f t="shared" si="131"/>
        <v>0</v>
      </c>
      <c r="AO119" s="79">
        <f t="shared" si="132"/>
        <v>0</v>
      </c>
      <c r="AP119" s="79">
        <f t="shared" si="133"/>
        <v>0</v>
      </c>
      <c r="AQ119" s="79">
        <f t="shared" si="134"/>
        <v>0</v>
      </c>
      <c r="AR119" s="79">
        <f t="shared" si="135"/>
        <v>0</v>
      </c>
      <c r="AS119" s="79">
        <f t="shared" si="136"/>
        <v>0</v>
      </c>
      <c r="AT119" s="79">
        <f t="shared" si="137"/>
        <v>0</v>
      </c>
      <c r="AU119" s="79">
        <f t="shared" si="138"/>
        <v>0</v>
      </c>
    </row>
    <row r="120" spans="1:47" ht="23.1" customHeight="1">
      <c r="A120" s="81" t="s">
        <v>756</v>
      </c>
      <c r="B120" s="81" t="s">
        <v>763</v>
      </c>
      <c r="C120" s="82" t="s">
        <v>343</v>
      </c>
      <c r="D120" s="84">
        <v>4</v>
      </c>
      <c r="E120" s="84">
        <f>단가대비표!L107</f>
        <v>28676.332999999999</v>
      </c>
      <c r="F120" s="84">
        <f t="shared" si="105"/>
        <v>114705</v>
      </c>
      <c r="G120" s="84">
        <v>0</v>
      </c>
      <c r="H120" s="84">
        <f t="shared" si="106"/>
        <v>0</v>
      </c>
      <c r="I120" s="84">
        <v>0</v>
      </c>
      <c r="J120" s="84">
        <f t="shared" si="107"/>
        <v>0</v>
      </c>
      <c r="K120" s="84">
        <f t="shared" si="108"/>
        <v>28676.332999999999</v>
      </c>
      <c r="L120" s="84">
        <f t="shared" si="108"/>
        <v>114705</v>
      </c>
      <c r="M120" s="84"/>
      <c r="O120" s="79" t="str">
        <f t="shared" si="140"/>
        <v>01</v>
      </c>
      <c r="P120" s="86" t="s">
        <v>678</v>
      </c>
      <c r="Q120" s="79">
        <v>1</v>
      </c>
      <c r="R120" s="79">
        <f t="shared" si="109"/>
        <v>0</v>
      </c>
      <c r="S120" s="79">
        <f t="shared" si="110"/>
        <v>0</v>
      </c>
      <c r="T120" s="79">
        <f t="shared" si="111"/>
        <v>0</v>
      </c>
      <c r="U120" s="79">
        <f t="shared" si="112"/>
        <v>0</v>
      </c>
      <c r="V120" s="79">
        <f t="shared" si="113"/>
        <v>0</v>
      </c>
      <c r="W120" s="79">
        <f t="shared" si="114"/>
        <v>0</v>
      </c>
      <c r="X120" s="79">
        <f t="shared" si="115"/>
        <v>0</v>
      </c>
      <c r="Y120" s="79">
        <f t="shared" si="116"/>
        <v>0</v>
      </c>
      <c r="Z120" s="79">
        <f t="shared" si="117"/>
        <v>0</v>
      </c>
      <c r="AA120" s="79">
        <f t="shared" si="118"/>
        <v>0</v>
      </c>
      <c r="AB120" s="79">
        <f t="shared" si="119"/>
        <v>0</v>
      </c>
      <c r="AC120" s="79">
        <f t="shared" si="120"/>
        <v>0</v>
      </c>
      <c r="AD120" s="79">
        <f t="shared" si="121"/>
        <v>0</v>
      </c>
      <c r="AE120" s="79">
        <f t="shared" si="122"/>
        <v>0</v>
      </c>
      <c r="AF120" s="79">
        <f t="shared" si="123"/>
        <v>0</v>
      </c>
      <c r="AG120" s="79">
        <f t="shared" si="124"/>
        <v>0</v>
      </c>
      <c r="AH120" s="79">
        <f t="shared" si="125"/>
        <v>0</v>
      </c>
      <c r="AI120" s="79">
        <f t="shared" si="126"/>
        <v>0</v>
      </c>
      <c r="AJ120" s="79">
        <f t="shared" si="127"/>
        <v>0</v>
      </c>
      <c r="AK120" s="79">
        <f t="shared" si="128"/>
        <v>0</v>
      </c>
      <c r="AL120" s="79">
        <f t="shared" si="129"/>
        <v>0</v>
      </c>
      <c r="AM120" s="79">
        <f t="shared" si="130"/>
        <v>0</v>
      </c>
      <c r="AN120" s="79">
        <f t="shared" si="131"/>
        <v>0</v>
      </c>
      <c r="AO120" s="79">
        <f t="shared" si="132"/>
        <v>0</v>
      </c>
      <c r="AP120" s="79">
        <f t="shared" si="133"/>
        <v>0</v>
      </c>
      <c r="AQ120" s="79">
        <f t="shared" si="134"/>
        <v>0</v>
      </c>
      <c r="AR120" s="79">
        <f t="shared" si="135"/>
        <v>0</v>
      </c>
      <c r="AS120" s="79">
        <f t="shared" si="136"/>
        <v>0</v>
      </c>
      <c r="AT120" s="79">
        <f t="shared" si="137"/>
        <v>0</v>
      </c>
      <c r="AU120" s="79">
        <f t="shared" si="138"/>
        <v>0</v>
      </c>
    </row>
    <row r="121" spans="1:47" ht="23.1" customHeight="1">
      <c r="A121" s="81" t="s">
        <v>756</v>
      </c>
      <c r="B121" s="81" t="s">
        <v>867</v>
      </c>
      <c r="C121" s="82" t="s">
        <v>343</v>
      </c>
      <c r="D121" s="84">
        <v>2</v>
      </c>
      <c r="E121" s="84">
        <f>단가대비표!L112</f>
        <v>7121.933</v>
      </c>
      <c r="F121" s="84">
        <f t="shared" si="105"/>
        <v>14243</v>
      </c>
      <c r="G121" s="84">
        <v>0</v>
      </c>
      <c r="H121" s="84">
        <f t="shared" si="106"/>
        <v>0</v>
      </c>
      <c r="I121" s="84">
        <v>0</v>
      </c>
      <c r="J121" s="84">
        <f t="shared" si="107"/>
        <v>0</v>
      </c>
      <c r="K121" s="84">
        <f t="shared" si="108"/>
        <v>7121.933</v>
      </c>
      <c r="L121" s="84">
        <f t="shared" si="108"/>
        <v>14243</v>
      </c>
      <c r="M121" s="84"/>
      <c r="O121" s="79" t="str">
        <f t="shared" si="140"/>
        <v>01</v>
      </c>
      <c r="P121" s="86" t="s">
        <v>678</v>
      </c>
      <c r="Q121" s="79">
        <v>1</v>
      </c>
      <c r="R121" s="79">
        <f t="shared" si="109"/>
        <v>0</v>
      </c>
      <c r="S121" s="79">
        <f t="shared" si="110"/>
        <v>0</v>
      </c>
      <c r="T121" s="79">
        <f t="shared" si="111"/>
        <v>0</v>
      </c>
      <c r="U121" s="79">
        <f t="shared" si="112"/>
        <v>0</v>
      </c>
      <c r="V121" s="79">
        <f t="shared" si="113"/>
        <v>0</v>
      </c>
      <c r="W121" s="79">
        <f t="shared" si="114"/>
        <v>0</v>
      </c>
      <c r="X121" s="79">
        <f t="shared" si="115"/>
        <v>0</v>
      </c>
      <c r="Y121" s="79">
        <f t="shared" si="116"/>
        <v>0</v>
      </c>
      <c r="Z121" s="79">
        <f t="shared" si="117"/>
        <v>0</v>
      </c>
      <c r="AA121" s="79">
        <f t="shared" si="118"/>
        <v>0</v>
      </c>
      <c r="AB121" s="79">
        <f t="shared" si="119"/>
        <v>0</v>
      </c>
      <c r="AC121" s="79">
        <f t="shared" si="120"/>
        <v>0</v>
      </c>
      <c r="AD121" s="79">
        <f t="shared" si="121"/>
        <v>0</v>
      </c>
      <c r="AE121" s="79">
        <f t="shared" si="122"/>
        <v>0</v>
      </c>
      <c r="AF121" s="79">
        <f t="shared" si="123"/>
        <v>0</v>
      </c>
      <c r="AG121" s="79">
        <f t="shared" si="124"/>
        <v>0</v>
      </c>
      <c r="AH121" s="79">
        <f t="shared" si="125"/>
        <v>0</v>
      </c>
      <c r="AI121" s="79">
        <f t="shared" si="126"/>
        <v>0</v>
      </c>
      <c r="AJ121" s="79">
        <f t="shared" si="127"/>
        <v>0</v>
      </c>
      <c r="AK121" s="79">
        <f t="shared" si="128"/>
        <v>0</v>
      </c>
      <c r="AL121" s="79">
        <f t="shared" si="129"/>
        <v>0</v>
      </c>
      <c r="AM121" s="79">
        <f t="shared" si="130"/>
        <v>0</v>
      </c>
      <c r="AN121" s="79">
        <f t="shared" si="131"/>
        <v>0</v>
      </c>
      <c r="AO121" s="79">
        <f t="shared" si="132"/>
        <v>0</v>
      </c>
      <c r="AP121" s="79">
        <f t="shared" si="133"/>
        <v>0</v>
      </c>
      <c r="AQ121" s="79">
        <f t="shared" si="134"/>
        <v>0</v>
      </c>
      <c r="AR121" s="79">
        <f t="shared" si="135"/>
        <v>0</v>
      </c>
      <c r="AS121" s="79">
        <f t="shared" si="136"/>
        <v>0</v>
      </c>
      <c r="AT121" s="79">
        <f t="shared" si="137"/>
        <v>0</v>
      </c>
      <c r="AU121" s="79">
        <f t="shared" si="138"/>
        <v>0</v>
      </c>
    </row>
    <row r="122" spans="1:47" ht="23.1" customHeight="1">
      <c r="A122" s="81" t="s">
        <v>756</v>
      </c>
      <c r="B122" s="81" t="s">
        <v>868</v>
      </c>
      <c r="C122" s="82" t="s">
        <v>343</v>
      </c>
      <c r="D122" s="84">
        <v>1</v>
      </c>
      <c r="E122" s="84">
        <f>단가대비표!L102</f>
        <v>28676.332999999999</v>
      </c>
      <c r="F122" s="84">
        <f t="shared" si="105"/>
        <v>28676</v>
      </c>
      <c r="G122" s="84">
        <v>0</v>
      </c>
      <c r="H122" s="84">
        <f t="shared" si="106"/>
        <v>0</v>
      </c>
      <c r="I122" s="84">
        <v>0</v>
      </c>
      <c r="J122" s="84">
        <f t="shared" si="107"/>
        <v>0</v>
      </c>
      <c r="K122" s="84">
        <f t="shared" si="108"/>
        <v>28676.332999999999</v>
      </c>
      <c r="L122" s="84">
        <f t="shared" si="108"/>
        <v>28676</v>
      </c>
      <c r="M122" s="84"/>
      <c r="O122" s="79" t="str">
        <f t="shared" si="140"/>
        <v>01</v>
      </c>
      <c r="P122" s="86" t="s">
        <v>678</v>
      </c>
      <c r="Q122" s="79">
        <v>1</v>
      </c>
      <c r="R122" s="79">
        <f t="shared" si="109"/>
        <v>0</v>
      </c>
      <c r="S122" s="79">
        <f t="shared" si="110"/>
        <v>0</v>
      </c>
      <c r="T122" s="79">
        <f t="shared" si="111"/>
        <v>0</v>
      </c>
      <c r="U122" s="79">
        <f t="shared" si="112"/>
        <v>0</v>
      </c>
      <c r="V122" s="79">
        <f t="shared" si="113"/>
        <v>0</v>
      </c>
      <c r="W122" s="79">
        <f t="shared" si="114"/>
        <v>0</v>
      </c>
      <c r="X122" s="79">
        <f t="shared" si="115"/>
        <v>0</v>
      </c>
      <c r="Y122" s="79">
        <f t="shared" si="116"/>
        <v>0</v>
      </c>
      <c r="Z122" s="79">
        <f t="shared" si="117"/>
        <v>0</v>
      </c>
      <c r="AA122" s="79">
        <f t="shared" si="118"/>
        <v>0</v>
      </c>
      <c r="AB122" s="79">
        <f t="shared" si="119"/>
        <v>0</v>
      </c>
      <c r="AC122" s="79">
        <f t="shared" si="120"/>
        <v>0</v>
      </c>
      <c r="AD122" s="79">
        <f t="shared" si="121"/>
        <v>0</v>
      </c>
      <c r="AE122" s="79">
        <f t="shared" si="122"/>
        <v>0</v>
      </c>
      <c r="AF122" s="79">
        <f t="shared" si="123"/>
        <v>0</v>
      </c>
      <c r="AG122" s="79">
        <f t="shared" si="124"/>
        <v>0</v>
      </c>
      <c r="AH122" s="79">
        <f t="shared" si="125"/>
        <v>0</v>
      </c>
      <c r="AI122" s="79">
        <f t="shared" si="126"/>
        <v>0</v>
      </c>
      <c r="AJ122" s="79">
        <f t="shared" si="127"/>
        <v>0</v>
      </c>
      <c r="AK122" s="79">
        <f t="shared" si="128"/>
        <v>0</v>
      </c>
      <c r="AL122" s="79">
        <f t="shared" si="129"/>
        <v>0</v>
      </c>
      <c r="AM122" s="79">
        <f t="shared" si="130"/>
        <v>0</v>
      </c>
      <c r="AN122" s="79">
        <f t="shared" si="131"/>
        <v>0</v>
      </c>
      <c r="AO122" s="79">
        <f t="shared" si="132"/>
        <v>0</v>
      </c>
      <c r="AP122" s="79">
        <f t="shared" si="133"/>
        <v>0</v>
      </c>
      <c r="AQ122" s="79">
        <f t="shared" si="134"/>
        <v>0</v>
      </c>
      <c r="AR122" s="79">
        <f t="shared" si="135"/>
        <v>0</v>
      </c>
      <c r="AS122" s="79">
        <f t="shared" si="136"/>
        <v>0</v>
      </c>
      <c r="AT122" s="79">
        <f t="shared" si="137"/>
        <v>0</v>
      </c>
      <c r="AU122" s="79">
        <f t="shared" si="138"/>
        <v>0</v>
      </c>
    </row>
    <row r="123" spans="1:47" ht="23.1" customHeight="1">
      <c r="A123" s="81" t="s">
        <v>756</v>
      </c>
      <c r="B123" s="81" t="s">
        <v>869</v>
      </c>
      <c r="C123" s="82" t="s">
        <v>343</v>
      </c>
      <c r="D123" s="84">
        <v>2</v>
      </c>
      <c r="E123" s="84">
        <f>단가대비표!L113</f>
        <v>3089.4639999999999</v>
      </c>
      <c r="F123" s="84">
        <f t="shared" si="105"/>
        <v>6178</v>
      </c>
      <c r="G123" s="84">
        <v>0</v>
      </c>
      <c r="H123" s="84">
        <f t="shared" si="106"/>
        <v>0</v>
      </c>
      <c r="I123" s="84">
        <v>0</v>
      </c>
      <c r="J123" s="84">
        <f t="shared" si="107"/>
        <v>0</v>
      </c>
      <c r="K123" s="84">
        <f t="shared" si="108"/>
        <v>3089.4639999999999</v>
      </c>
      <c r="L123" s="84">
        <f t="shared" si="108"/>
        <v>6178</v>
      </c>
      <c r="M123" s="84"/>
      <c r="O123" s="79" t="str">
        <f t="shared" si="140"/>
        <v>01</v>
      </c>
      <c r="P123" s="86" t="s">
        <v>678</v>
      </c>
      <c r="Q123" s="79">
        <v>1</v>
      </c>
      <c r="R123" s="79">
        <f t="shared" si="109"/>
        <v>0</v>
      </c>
      <c r="S123" s="79">
        <f t="shared" si="110"/>
        <v>0</v>
      </c>
      <c r="T123" s="79">
        <f t="shared" si="111"/>
        <v>0</v>
      </c>
      <c r="U123" s="79">
        <f t="shared" si="112"/>
        <v>0</v>
      </c>
      <c r="V123" s="79">
        <f t="shared" si="113"/>
        <v>0</v>
      </c>
      <c r="W123" s="79">
        <f t="shared" si="114"/>
        <v>0</v>
      </c>
      <c r="X123" s="79">
        <f t="shared" si="115"/>
        <v>0</v>
      </c>
      <c r="Y123" s="79">
        <f t="shared" si="116"/>
        <v>0</v>
      </c>
      <c r="Z123" s="79">
        <f t="shared" si="117"/>
        <v>0</v>
      </c>
      <c r="AA123" s="79">
        <f t="shared" si="118"/>
        <v>0</v>
      </c>
      <c r="AB123" s="79">
        <f t="shared" si="119"/>
        <v>0</v>
      </c>
      <c r="AC123" s="79">
        <f t="shared" si="120"/>
        <v>0</v>
      </c>
      <c r="AD123" s="79">
        <f t="shared" si="121"/>
        <v>0</v>
      </c>
      <c r="AE123" s="79">
        <f t="shared" si="122"/>
        <v>0</v>
      </c>
      <c r="AF123" s="79">
        <f t="shared" si="123"/>
        <v>0</v>
      </c>
      <c r="AG123" s="79">
        <f t="shared" si="124"/>
        <v>0</v>
      </c>
      <c r="AH123" s="79">
        <f t="shared" si="125"/>
        <v>0</v>
      </c>
      <c r="AI123" s="79">
        <f t="shared" si="126"/>
        <v>0</v>
      </c>
      <c r="AJ123" s="79">
        <f t="shared" si="127"/>
        <v>0</v>
      </c>
      <c r="AK123" s="79">
        <f t="shared" si="128"/>
        <v>0</v>
      </c>
      <c r="AL123" s="79">
        <f t="shared" si="129"/>
        <v>0</v>
      </c>
      <c r="AM123" s="79">
        <f t="shared" si="130"/>
        <v>0</v>
      </c>
      <c r="AN123" s="79">
        <f t="shared" si="131"/>
        <v>0</v>
      </c>
      <c r="AO123" s="79">
        <f t="shared" si="132"/>
        <v>0</v>
      </c>
      <c r="AP123" s="79">
        <f t="shared" si="133"/>
        <v>0</v>
      </c>
      <c r="AQ123" s="79">
        <f t="shared" si="134"/>
        <v>0</v>
      </c>
      <c r="AR123" s="79">
        <f t="shared" si="135"/>
        <v>0</v>
      </c>
      <c r="AS123" s="79">
        <f t="shared" si="136"/>
        <v>0</v>
      </c>
      <c r="AT123" s="79">
        <f t="shared" si="137"/>
        <v>0</v>
      </c>
      <c r="AU123" s="79">
        <f t="shared" si="138"/>
        <v>0</v>
      </c>
    </row>
    <row r="124" spans="1:47" ht="23.1" customHeight="1">
      <c r="A124" s="81" t="s">
        <v>756</v>
      </c>
      <c r="B124" s="81" t="s">
        <v>870</v>
      </c>
      <c r="C124" s="82" t="s">
        <v>343</v>
      </c>
      <c r="D124" s="84">
        <v>1</v>
      </c>
      <c r="E124" s="84">
        <f>단가대비표!L115</f>
        <v>3430.7420000000002</v>
      </c>
      <c r="F124" s="84">
        <f t="shared" si="105"/>
        <v>3430</v>
      </c>
      <c r="G124" s="84">
        <v>0</v>
      </c>
      <c r="H124" s="84">
        <f t="shared" si="106"/>
        <v>0</v>
      </c>
      <c r="I124" s="84">
        <v>0</v>
      </c>
      <c r="J124" s="84">
        <f t="shared" si="107"/>
        <v>0</v>
      </c>
      <c r="K124" s="84">
        <f t="shared" si="108"/>
        <v>3430.7420000000002</v>
      </c>
      <c r="L124" s="84">
        <f t="shared" si="108"/>
        <v>3430</v>
      </c>
      <c r="M124" s="84"/>
      <c r="O124" s="79" t="str">
        <f t="shared" si="140"/>
        <v>01</v>
      </c>
      <c r="P124" s="86" t="s">
        <v>678</v>
      </c>
      <c r="Q124" s="79">
        <v>1</v>
      </c>
      <c r="R124" s="79">
        <f t="shared" si="109"/>
        <v>0</v>
      </c>
      <c r="S124" s="79">
        <f t="shared" si="110"/>
        <v>0</v>
      </c>
      <c r="T124" s="79">
        <f t="shared" si="111"/>
        <v>0</v>
      </c>
      <c r="U124" s="79">
        <f t="shared" si="112"/>
        <v>0</v>
      </c>
      <c r="V124" s="79">
        <f t="shared" si="113"/>
        <v>0</v>
      </c>
      <c r="W124" s="79">
        <f t="shared" si="114"/>
        <v>0</v>
      </c>
      <c r="X124" s="79">
        <f t="shared" si="115"/>
        <v>0</v>
      </c>
      <c r="Y124" s="79">
        <f t="shared" si="116"/>
        <v>0</v>
      </c>
      <c r="Z124" s="79">
        <f t="shared" si="117"/>
        <v>0</v>
      </c>
      <c r="AA124" s="79">
        <f t="shared" si="118"/>
        <v>0</v>
      </c>
      <c r="AB124" s="79">
        <f t="shared" si="119"/>
        <v>0</v>
      </c>
      <c r="AC124" s="79">
        <f t="shared" si="120"/>
        <v>0</v>
      </c>
      <c r="AD124" s="79">
        <f t="shared" si="121"/>
        <v>0</v>
      </c>
      <c r="AE124" s="79">
        <f t="shared" si="122"/>
        <v>0</v>
      </c>
      <c r="AF124" s="79">
        <f t="shared" si="123"/>
        <v>0</v>
      </c>
      <c r="AG124" s="79">
        <f t="shared" si="124"/>
        <v>0</v>
      </c>
      <c r="AH124" s="79">
        <f t="shared" si="125"/>
        <v>0</v>
      </c>
      <c r="AI124" s="79">
        <f t="shared" si="126"/>
        <v>0</v>
      </c>
      <c r="AJ124" s="79">
        <f t="shared" si="127"/>
        <v>0</v>
      </c>
      <c r="AK124" s="79">
        <f t="shared" si="128"/>
        <v>0</v>
      </c>
      <c r="AL124" s="79">
        <f t="shared" si="129"/>
        <v>0</v>
      </c>
      <c r="AM124" s="79">
        <f t="shared" si="130"/>
        <v>0</v>
      </c>
      <c r="AN124" s="79">
        <f t="shared" si="131"/>
        <v>0</v>
      </c>
      <c r="AO124" s="79">
        <f t="shared" si="132"/>
        <v>0</v>
      </c>
      <c r="AP124" s="79">
        <f t="shared" si="133"/>
        <v>0</v>
      </c>
      <c r="AQ124" s="79">
        <f t="shared" si="134"/>
        <v>0</v>
      </c>
      <c r="AR124" s="79">
        <f t="shared" si="135"/>
        <v>0</v>
      </c>
      <c r="AS124" s="79">
        <f t="shared" si="136"/>
        <v>0</v>
      </c>
      <c r="AT124" s="79">
        <f t="shared" si="137"/>
        <v>0</v>
      </c>
      <c r="AU124" s="79">
        <f t="shared" si="138"/>
        <v>0</v>
      </c>
    </row>
    <row r="125" spans="1:47" ht="23.1" customHeight="1">
      <c r="A125" s="81" t="s">
        <v>871</v>
      </c>
      <c r="B125" s="81" t="s">
        <v>872</v>
      </c>
      <c r="C125" s="82" t="s">
        <v>769</v>
      </c>
      <c r="D125" s="84">
        <v>4</v>
      </c>
      <c r="E125" s="84">
        <f>일위대가목록!G15</f>
        <v>1657</v>
      </c>
      <c r="F125" s="84">
        <f t="shared" si="105"/>
        <v>6628</v>
      </c>
      <c r="G125" s="84">
        <f>일위대가목록!I15</f>
        <v>12748</v>
      </c>
      <c r="H125" s="84">
        <f t="shared" si="106"/>
        <v>50992</v>
      </c>
      <c r="I125" s="84">
        <f>일위대가목록!K15</f>
        <v>0</v>
      </c>
      <c r="J125" s="84">
        <f t="shared" si="107"/>
        <v>0</v>
      </c>
      <c r="K125" s="84">
        <f t="shared" si="108"/>
        <v>14405</v>
      </c>
      <c r="L125" s="84">
        <f t="shared" si="108"/>
        <v>57620</v>
      </c>
      <c r="M125" s="84" t="s">
        <v>873</v>
      </c>
      <c r="O125" s="79" t="str">
        <f>""</f>
        <v/>
      </c>
      <c r="P125" s="86" t="s">
        <v>678</v>
      </c>
      <c r="Q125" s="79">
        <v>1</v>
      </c>
      <c r="R125" s="79">
        <f t="shared" si="109"/>
        <v>0</v>
      </c>
      <c r="S125" s="79">
        <f t="shared" si="110"/>
        <v>0</v>
      </c>
      <c r="T125" s="79">
        <f t="shared" si="111"/>
        <v>0</v>
      </c>
      <c r="U125" s="79">
        <f t="shared" si="112"/>
        <v>0</v>
      </c>
      <c r="V125" s="79">
        <f t="shared" si="113"/>
        <v>0</v>
      </c>
      <c r="W125" s="79">
        <f t="shared" si="114"/>
        <v>0</v>
      </c>
      <c r="X125" s="79">
        <f t="shared" si="115"/>
        <v>0</v>
      </c>
      <c r="Y125" s="79">
        <f t="shared" si="116"/>
        <v>0</v>
      </c>
      <c r="Z125" s="79">
        <f t="shared" si="117"/>
        <v>0</v>
      </c>
      <c r="AA125" s="79">
        <f t="shared" si="118"/>
        <v>0</v>
      </c>
      <c r="AB125" s="79">
        <f t="shared" si="119"/>
        <v>0</v>
      </c>
      <c r="AC125" s="79">
        <f t="shared" si="120"/>
        <v>0</v>
      </c>
      <c r="AD125" s="79">
        <f t="shared" si="121"/>
        <v>0</v>
      </c>
      <c r="AE125" s="79">
        <f t="shared" si="122"/>
        <v>0</v>
      </c>
      <c r="AF125" s="79">
        <f t="shared" si="123"/>
        <v>0</v>
      </c>
      <c r="AG125" s="79">
        <f t="shared" si="124"/>
        <v>0</v>
      </c>
      <c r="AH125" s="79">
        <f t="shared" si="125"/>
        <v>0</v>
      </c>
      <c r="AI125" s="79">
        <f t="shared" si="126"/>
        <v>0</v>
      </c>
      <c r="AJ125" s="79">
        <f t="shared" si="127"/>
        <v>0</v>
      </c>
      <c r="AK125" s="79">
        <f t="shared" si="128"/>
        <v>0</v>
      </c>
      <c r="AL125" s="79">
        <f t="shared" si="129"/>
        <v>0</v>
      </c>
      <c r="AM125" s="79">
        <f t="shared" si="130"/>
        <v>0</v>
      </c>
      <c r="AN125" s="79">
        <f t="shared" si="131"/>
        <v>0</v>
      </c>
      <c r="AO125" s="79">
        <f t="shared" si="132"/>
        <v>0</v>
      </c>
      <c r="AP125" s="79">
        <f t="shared" si="133"/>
        <v>0</v>
      </c>
      <c r="AQ125" s="79">
        <f t="shared" si="134"/>
        <v>0</v>
      </c>
      <c r="AR125" s="79">
        <f t="shared" si="135"/>
        <v>0</v>
      </c>
      <c r="AS125" s="79">
        <f t="shared" si="136"/>
        <v>0</v>
      </c>
      <c r="AT125" s="79">
        <f t="shared" si="137"/>
        <v>0</v>
      </c>
      <c r="AU125" s="79">
        <f t="shared" si="138"/>
        <v>0</v>
      </c>
    </row>
    <row r="126" spans="1:47" ht="23.1" customHeight="1">
      <c r="A126" s="81" t="s">
        <v>871</v>
      </c>
      <c r="B126" s="81" t="s">
        <v>874</v>
      </c>
      <c r="C126" s="82" t="s">
        <v>769</v>
      </c>
      <c r="D126" s="84">
        <v>18</v>
      </c>
      <c r="E126" s="84">
        <f>일위대가목록!G16</f>
        <v>2047</v>
      </c>
      <c r="F126" s="84">
        <f t="shared" si="105"/>
        <v>36846</v>
      </c>
      <c r="G126" s="84">
        <f>일위대가목록!I16</f>
        <v>15747</v>
      </c>
      <c r="H126" s="84">
        <f t="shared" si="106"/>
        <v>283446</v>
      </c>
      <c r="I126" s="84">
        <f>일위대가목록!K16</f>
        <v>0</v>
      </c>
      <c r="J126" s="84">
        <f t="shared" si="107"/>
        <v>0</v>
      </c>
      <c r="K126" s="84">
        <f t="shared" si="108"/>
        <v>17794</v>
      </c>
      <c r="L126" s="84">
        <f t="shared" si="108"/>
        <v>320292</v>
      </c>
      <c r="M126" s="84" t="s">
        <v>875</v>
      </c>
      <c r="O126" s="79" t="str">
        <f>""</f>
        <v/>
      </c>
      <c r="P126" s="86" t="s">
        <v>678</v>
      </c>
      <c r="Q126" s="79">
        <v>1</v>
      </c>
      <c r="R126" s="79">
        <f t="shared" si="109"/>
        <v>0</v>
      </c>
      <c r="S126" s="79">
        <f t="shared" si="110"/>
        <v>0</v>
      </c>
      <c r="T126" s="79">
        <f t="shared" si="111"/>
        <v>0</v>
      </c>
      <c r="U126" s="79">
        <f t="shared" si="112"/>
        <v>0</v>
      </c>
      <c r="V126" s="79">
        <f t="shared" si="113"/>
        <v>0</v>
      </c>
      <c r="W126" s="79">
        <f t="shared" si="114"/>
        <v>0</v>
      </c>
      <c r="X126" s="79">
        <f t="shared" si="115"/>
        <v>0</v>
      </c>
      <c r="Y126" s="79">
        <f t="shared" si="116"/>
        <v>0</v>
      </c>
      <c r="Z126" s="79">
        <f t="shared" si="117"/>
        <v>0</v>
      </c>
      <c r="AA126" s="79">
        <f t="shared" si="118"/>
        <v>0</v>
      </c>
      <c r="AB126" s="79">
        <f t="shared" si="119"/>
        <v>0</v>
      </c>
      <c r="AC126" s="79">
        <f t="shared" si="120"/>
        <v>0</v>
      </c>
      <c r="AD126" s="79">
        <f t="shared" si="121"/>
        <v>0</v>
      </c>
      <c r="AE126" s="79">
        <f t="shared" si="122"/>
        <v>0</v>
      </c>
      <c r="AF126" s="79">
        <f t="shared" si="123"/>
        <v>0</v>
      </c>
      <c r="AG126" s="79">
        <f t="shared" si="124"/>
        <v>0</v>
      </c>
      <c r="AH126" s="79">
        <f t="shared" si="125"/>
        <v>0</v>
      </c>
      <c r="AI126" s="79">
        <f t="shared" si="126"/>
        <v>0</v>
      </c>
      <c r="AJ126" s="79">
        <f t="shared" si="127"/>
        <v>0</v>
      </c>
      <c r="AK126" s="79">
        <f t="shared" si="128"/>
        <v>0</v>
      </c>
      <c r="AL126" s="79">
        <f t="shared" si="129"/>
        <v>0</v>
      </c>
      <c r="AM126" s="79">
        <f t="shared" si="130"/>
        <v>0</v>
      </c>
      <c r="AN126" s="79">
        <f t="shared" si="131"/>
        <v>0</v>
      </c>
      <c r="AO126" s="79">
        <f t="shared" si="132"/>
        <v>0</v>
      </c>
      <c r="AP126" s="79">
        <f t="shared" si="133"/>
        <v>0</v>
      </c>
      <c r="AQ126" s="79">
        <f t="shared" si="134"/>
        <v>0</v>
      </c>
      <c r="AR126" s="79">
        <f t="shared" si="135"/>
        <v>0</v>
      </c>
      <c r="AS126" s="79">
        <f t="shared" si="136"/>
        <v>0</v>
      </c>
      <c r="AT126" s="79">
        <f t="shared" si="137"/>
        <v>0</v>
      </c>
      <c r="AU126" s="79">
        <f t="shared" si="138"/>
        <v>0</v>
      </c>
    </row>
    <row r="127" spans="1:47" ht="23.1" customHeight="1">
      <c r="A127" s="81" t="s">
        <v>871</v>
      </c>
      <c r="B127" s="81" t="s">
        <v>876</v>
      </c>
      <c r="C127" s="82" t="s">
        <v>769</v>
      </c>
      <c r="D127" s="84">
        <v>3</v>
      </c>
      <c r="E127" s="84">
        <f>일위대가목록!G17</f>
        <v>2359</v>
      </c>
      <c r="F127" s="84">
        <f t="shared" si="105"/>
        <v>7077</v>
      </c>
      <c r="G127" s="84">
        <f>일위대가목록!I17</f>
        <v>18147</v>
      </c>
      <c r="H127" s="84">
        <f t="shared" si="106"/>
        <v>54441</v>
      </c>
      <c r="I127" s="84">
        <f>일위대가목록!K17</f>
        <v>0</v>
      </c>
      <c r="J127" s="84">
        <f t="shared" si="107"/>
        <v>0</v>
      </c>
      <c r="K127" s="84">
        <f t="shared" si="108"/>
        <v>20506</v>
      </c>
      <c r="L127" s="84">
        <f t="shared" si="108"/>
        <v>61518</v>
      </c>
      <c r="M127" s="84" t="s">
        <v>877</v>
      </c>
      <c r="O127" s="79" t="str">
        <f>""</f>
        <v/>
      </c>
      <c r="P127" s="86" t="s">
        <v>678</v>
      </c>
      <c r="Q127" s="79">
        <v>1</v>
      </c>
      <c r="R127" s="79">
        <f t="shared" si="109"/>
        <v>0</v>
      </c>
      <c r="S127" s="79">
        <f t="shared" si="110"/>
        <v>0</v>
      </c>
      <c r="T127" s="79">
        <f t="shared" si="111"/>
        <v>0</v>
      </c>
      <c r="U127" s="79">
        <f t="shared" si="112"/>
        <v>0</v>
      </c>
      <c r="V127" s="79">
        <f t="shared" si="113"/>
        <v>0</v>
      </c>
      <c r="W127" s="79">
        <f t="shared" si="114"/>
        <v>0</v>
      </c>
      <c r="X127" s="79">
        <f t="shared" si="115"/>
        <v>0</v>
      </c>
      <c r="Y127" s="79">
        <f t="shared" si="116"/>
        <v>0</v>
      </c>
      <c r="Z127" s="79">
        <f t="shared" si="117"/>
        <v>0</v>
      </c>
      <c r="AA127" s="79">
        <f t="shared" si="118"/>
        <v>0</v>
      </c>
      <c r="AB127" s="79">
        <f t="shared" si="119"/>
        <v>0</v>
      </c>
      <c r="AC127" s="79">
        <f t="shared" si="120"/>
        <v>0</v>
      </c>
      <c r="AD127" s="79">
        <f t="shared" si="121"/>
        <v>0</v>
      </c>
      <c r="AE127" s="79">
        <f t="shared" si="122"/>
        <v>0</v>
      </c>
      <c r="AF127" s="79">
        <f t="shared" si="123"/>
        <v>0</v>
      </c>
      <c r="AG127" s="79">
        <f t="shared" si="124"/>
        <v>0</v>
      </c>
      <c r="AH127" s="79">
        <f t="shared" si="125"/>
        <v>0</v>
      </c>
      <c r="AI127" s="79">
        <f t="shared" si="126"/>
        <v>0</v>
      </c>
      <c r="AJ127" s="79">
        <f t="shared" si="127"/>
        <v>0</v>
      </c>
      <c r="AK127" s="79">
        <f t="shared" si="128"/>
        <v>0</v>
      </c>
      <c r="AL127" s="79">
        <f t="shared" si="129"/>
        <v>0</v>
      </c>
      <c r="AM127" s="79">
        <f t="shared" si="130"/>
        <v>0</v>
      </c>
      <c r="AN127" s="79">
        <f t="shared" si="131"/>
        <v>0</v>
      </c>
      <c r="AO127" s="79">
        <f t="shared" si="132"/>
        <v>0</v>
      </c>
      <c r="AP127" s="79">
        <f t="shared" si="133"/>
        <v>0</v>
      </c>
      <c r="AQ127" s="79">
        <f t="shared" si="134"/>
        <v>0</v>
      </c>
      <c r="AR127" s="79">
        <f t="shared" si="135"/>
        <v>0</v>
      </c>
      <c r="AS127" s="79">
        <f t="shared" si="136"/>
        <v>0</v>
      </c>
      <c r="AT127" s="79">
        <f t="shared" si="137"/>
        <v>0</v>
      </c>
      <c r="AU127" s="79">
        <f t="shared" si="138"/>
        <v>0</v>
      </c>
    </row>
    <row r="128" spans="1:47" ht="23.1" customHeight="1">
      <c r="A128" s="81" t="s">
        <v>871</v>
      </c>
      <c r="B128" s="81" t="s">
        <v>878</v>
      </c>
      <c r="C128" s="82" t="s">
        <v>769</v>
      </c>
      <c r="D128" s="84">
        <v>41</v>
      </c>
      <c r="E128" s="84">
        <f>일위대가목록!G20</f>
        <v>4211</v>
      </c>
      <c r="F128" s="84">
        <f t="shared" si="105"/>
        <v>172651</v>
      </c>
      <c r="G128" s="84">
        <f>일위대가목록!I20</f>
        <v>32395</v>
      </c>
      <c r="H128" s="84">
        <f t="shared" si="106"/>
        <v>1328195</v>
      </c>
      <c r="I128" s="84">
        <f>일위대가목록!K20</f>
        <v>0</v>
      </c>
      <c r="J128" s="84">
        <f t="shared" si="107"/>
        <v>0</v>
      </c>
      <c r="K128" s="84">
        <f t="shared" si="108"/>
        <v>36606</v>
      </c>
      <c r="L128" s="84">
        <f t="shared" si="108"/>
        <v>1500846</v>
      </c>
      <c r="M128" s="84" t="s">
        <v>879</v>
      </c>
      <c r="O128" s="79" t="str">
        <f>""</f>
        <v/>
      </c>
      <c r="P128" s="86" t="s">
        <v>678</v>
      </c>
      <c r="Q128" s="79">
        <v>1</v>
      </c>
      <c r="R128" s="79">
        <f t="shared" si="109"/>
        <v>0</v>
      </c>
      <c r="S128" s="79">
        <f t="shared" si="110"/>
        <v>0</v>
      </c>
      <c r="T128" s="79">
        <f t="shared" si="111"/>
        <v>0</v>
      </c>
      <c r="U128" s="79">
        <f t="shared" si="112"/>
        <v>0</v>
      </c>
      <c r="V128" s="79">
        <f t="shared" si="113"/>
        <v>0</v>
      </c>
      <c r="W128" s="79">
        <f t="shared" si="114"/>
        <v>0</v>
      </c>
      <c r="X128" s="79">
        <f t="shared" si="115"/>
        <v>0</v>
      </c>
      <c r="Y128" s="79">
        <f t="shared" si="116"/>
        <v>0</v>
      </c>
      <c r="Z128" s="79">
        <f t="shared" si="117"/>
        <v>0</v>
      </c>
      <c r="AA128" s="79">
        <f t="shared" si="118"/>
        <v>0</v>
      </c>
      <c r="AB128" s="79">
        <f t="shared" si="119"/>
        <v>0</v>
      </c>
      <c r="AC128" s="79">
        <f t="shared" si="120"/>
        <v>0</v>
      </c>
      <c r="AD128" s="79">
        <f t="shared" si="121"/>
        <v>0</v>
      </c>
      <c r="AE128" s="79">
        <f t="shared" si="122"/>
        <v>0</v>
      </c>
      <c r="AF128" s="79">
        <f t="shared" si="123"/>
        <v>0</v>
      </c>
      <c r="AG128" s="79">
        <f t="shared" si="124"/>
        <v>0</v>
      </c>
      <c r="AH128" s="79">
        <f t="shared" si="125"/>
        <v>0</v>
      </c>
      <c r="AI128" s="79">
        <f t="shared" si="126"/>
        <v>0</v>
      </c>
      <c r="AJ128" s="79">
        <f t="shared" si="127"/>
        <v>0</v>
      </c>
      <c r="AK128" s="79">
        <f t="shared" si="128"/>
        <v>0</v>
      </c>
      <c r="AL128" s="79">
        <f t="shared" si="129"/>
        <v>0</v>
      </c>
      <c r="AM128" s="79">
        <f t="shared" si="130"/>
        <v>0</v>
      </c>
      <c r="AN128" s="79">
        <f t="shared" si="131"/>
        <v>0</v>
      </c>
      <c r="AO128" s="79">
        <f t="shared" si="132"/>
        <v>0</v>
      </c>
      <c r="AP128" s="79">
        <f t="shared" si="133"/>
        <v>0</v>
      </c>
      <c r="AQ128" s="79">
        <f t="shared" si="134"/>
        <v>0</v>
      </c>
      <c r="AR128" s="79">
        <f t="shared" si="135"/>
        <v>0</v>
      </c>
      <c r="AS128" s="79">
        <f t="shared" si="136"/>
        <v>0</v>
      </c>
      <c r="AT128" s="79">
        <f t="shared" si="137"/>
        <v>0</v>
      </c>
      <c r="AU128" s="79">
        <f t="shared" si="138"/>
        <v>0</v>
      </c>
    </row>
    <row r="129" spans="1:50" ht="23.1" customHeight="1">
      <c r="A129" s="81" t="s">
        <v>790</v>
      </c>
      <c r="B129" s="81" t="s">
        <v>792</v>
      </c>
      <c r="C129" s="82" t="s">
        <v>343</v>
      </c>
      <c r="D129" s="84">
        <f>공량산출서!F92</f>
        <v>1</v>
      </c>
      <c r="E129" s="84">
        <f>단가대비표!L130</f>
        <v>203204.106</v>
      </c>
      <c r="F129" s="84">
        <f t="shared" si="105"/>
        <v>203204</v>
      </c>
      <c r="G129" s="84">
        <v>0</v>
      </c>
      <c r="H129" s="84">
        <f t="shared" si="106"/>
        <v>0</v>
      </c>
      <c r="I129" s="84">
        <v>0</v>
      </c>
      <c r="J129" s="84">
        <f t="shared" si="107"/>
        <v>0</v>
      </c>
      <c r="K129" s="84">
        <f t="shared" si="108"/>
        <v>203204.106</v>
      </c>
      <c r="L129" s="84">
        <f t="shared" si="108"/>
        <v>203204</v>
      </c>
      <c r="M129" s="84"/>
      <c r="O129" s="79" t="str">
        <f>"01"</f>
        <v>01</v>
      </c>
      <c r="P129" s="86" t="s">
        <v>678</v>
      </c>
      <c r="Q129" s="79">
        <v>1</v>
      </c>
      <c r="R129" s="79">
        <f t="shared" si="109"/>
        <v>0</v>
      </c>
      <c r="S129" s="79">
        <f t="shared" si="110"/>
        <v>0</v>
      </c>
      <c r="T129" s="79">
        <f t="shared" si="111"/>
        <v>0</v>
      </c>
      <c r="U129" s="79">
        <f t="shared" si="112"/>
        <v>0</v>
      </c>
      <c r="V129" s="79">
        <f t="shared" si="113"/>
        <v>0</v>
      </c>
      <c r="W129" s="79">
        <f t="shared" si="114"/>
        <v>0</v>
      </c>
      <c r="X129" s="79">
        <f t="shared" si="115"/>
        <v>0</v>
      </c>
      <c r="Y129" s="79">
        <f t="shared" si="116"/>
        <v>0</v>
      </c>
      <c r="Z129" s="79">
        <f t="shared" si="117"/>
        <v>0</v>
      </c>
      <c r="AA129" s="79">
        <f t="shared" si="118"/>
        <v>0</v>
      </c>
      <c r="AB129" s="79">
        <f t="shared" si="119"/>
        <v>0</v>
      </c>
      <c r="AC129" s="79">
        <f t="shared" si="120"/>
        <v>0</v>
      </c>
      <c r="AD129" s="79">
        <f t="shared" si="121"/>
        <v>0</v>
      </c>
      <c r="AE129" s="79">
        <f t="shared" si="122"/>
        <v>0</v>
      </c>
      <c r="AF129" s="79">
        <f t="shared" si="123"/>
        <v>0</v>
      </c>
      <c r="AG129" s="79">
        <f t="shared" si="124"/>
        <v>0</v>
      </c>
      <c r="AH129" s="79">
        <f t="shared" si="125"/>
        <v>0</v>
      </c>
      <c r="AI129" s="79">
        <f t="shared" si="126"/>
        <v>0</v>
      </c>
      <c r="AJ129" s="79">
        <f t="shared" si="127"/>
        <v>0</v>
      </c>
      <c r="AK129" s="79">
        <f t="shared" si="128"/>
        <v>0</v>
      </c>
      <c r="AL129" s="79">
        <f t="shared" si="129"/>
        <v>0</v>
      </c>
      <c r="AM129" s="79">
        <f t="shared" si="130"/>
        <v>0</v>
      </c>
      <c r="AN129" s="79">
        <f t="shared" si="131"/>
        <v>0</v>
      </c>
      <c r="AO129" s="79">
        <f t="shared" si="132"/>
        <v>0</v>
      </c>
      <c r="AP129" s="79">
        <f t="shared" si="133"/>
        <v>0</v>
      </c>
      <c r="AQ129" s="79">
        <f t="shared" si="134"/>
        <v>0</v>
      </c>
      <c r="AR129" s="79">
        <f t="shared" si="135"/>
        <v>0</v>
      </c>
      <c r="AS129" s="79">
        <f t="shared" si="136"/>
        <v>0</v>
      </c>
      <c r="AT129" s="79">
        <f t="shared" si="137"/>
        <v>0</v>
      </c>
      <c r="AU129" s="79">
        <f t="shared" si="138"/>
        <v>0</v>
      </c>
    </row>
    <row r="130" spans="1:50" ht="23.1" customHeight="1">
      <c r="A130" s="81" t="s">
        <v>827</v>
      </c>
      <c r="B130" s="81" t="s">
        <v>830</v>
      </c>
      <c r="C130" s="82" t="s">
        <v>769</v>
      </c>
      <c r="D130" s="84">
        <v>2</v>
      </c>
      <c r="E130" s="84">
        <f>일위대가목록!G57</f>
        <v>43463</v>
      </c>
      <c r="F130" s="84">
        <f t="shared" si="105"/>
        <v>86926</v>
      </c>
      <c r="G130" s="84">
        <f>일위대가목록!I57</f>
        <v>0</v>
      </c>
      <c r="H130" s="84">
        <f t="shared" si="106"/>
        <v>0</v>
      </c>
      <c r="I130" s="84">
        <f>일위대가목록!K57</f>
        <v>0</v>
      </c>
      <c r="J130" s="84">
        <f t="shared" si="107"/>
        <v>0</v>
      </c>
      <c r="K130" s="84">
        <f t="shared" si="108"/>
        <v>43463</v>
      </c>
      <c r="L130" s="84">
        <f t="shared" si="108"/>
        <v>86926</v>
      </c>
      <c r="M130" s="84" t="s">
        <v>831</v>
      </c>
      <c r="O130" s="79" t="str">
        <f>""</f>
        <v/>
      </c>
      <c r="P130" s="86" t="s">
        <v>678</v>
      </c>
      <c r="Q130" s="79">
        <v>1</v>
      </c>
      <c r="R130" s="79">
        <f t="shared" si="109"/>
        <v>0</v>
      </c>
      <c r="S130" s="79">
        <f t="shared" si="110"/>
        <v>0</v>
      </c>
      <c r="T130" s="79">
        <f t="shared" si="111"/>
        <v>0</v>
      </c>
      <c r="U130" s="79">
        <f t="shared" si="112"/>
        <v>0</v>
      </c>
      <c r="V130" s="79">
        <f t="shared" si="113"/>
        <v>0</v>
      </c>
      <c r="W130" s="79">
        <f t="shared" si="114"/>
        <v>0</v>
      </c>
      <c r="X130" s="79">
        <f t="shared" si="115"/>
        <v>0</v>
      </c>
      <c r="Y130" s="79">
        <f t="shared" si="116"/>
        <v>0</v>
      </c>
      <c r="Z130" s="79">
        <f t="shared" si="117"/>
        <v>0</v>
      </c>
      <c r="AA130" s="79">
        <f t="shared" si="118"/>
        <v>0</v>
      </c>
      <c r="AB130" s="79">
        <f t="shared" si="119"/>
        <v>0</v>
      </c>
      <c r="AC130" s="79">
        <f t="shared" si="120"/>
        <v>0</v>
      </c>
      <c r="AD130" s="79">
        <f t="shared" si="121"/>
        <v>0</v>
      </c>
      <c r="AE130" s="79">
        <f t="shared" si="122"/>
        <v>0</v>
      </c>
      <c r="AF130" s="79">
        <f t="shared" si="123"/>
        <v>0</v>
      </c>
      <c r="AG130" s="79">
        <f t="shared" si="124"/>
        <v>0</v>
      </c>
      <c r="AH130" s="79">
        <f t="shared" si="125"/>
        <v>0</v>
      </c>
      <c r="AI130" s="79">
        <f t="shared" si="126"/>
        <v>0</v>
      </c>
      <c r="AJ130" s="79">
        <f t="shared" si="127"/>
        <v>0</v>
      </c>
      <c r="AK130" s="79">
        <f t="shared" si="128"/>
        <v>0</v>
      </c>
      <c r="AL130" s="79">
        <f t="shared" si="129"/>
        <v>0</v>
      </c>
      <c r="AM130" s="79">
        <f t="shared" si="130"/>
        <v>0</v>
      </c>
      <c r="AN130" s="79">
        <f t="shared" si="131"/>
        <v>0</v>
      </c>
      <c r="AO130" s="79">
        <f t="shared" si="132"/>
        <v>0</v>
      </c>
      <c r="AP130" s="79">
        <f t="shared" si="133"/>
        <v>0</v>
      </c>
      <c r="AQ130" s="79">
        <f t="shared" si="134"/>
        <v>0</v>
      </c>
      <c r="AR130" s="79">
        <f t="shared" si="135"/>
        <v>0</v>
      </c>
      <c r="AS130" s="79">
        <f t="shared" si="136"/>
        <v>0</v>
      </c>
      <c r="AT130" s="79">
        <f t="shared" si="137"/>
        <v>0</v>
      </c>
      <c r="AU130" s="79">
        <f t="shared" si="138"/>
        <v>0</v>
      </c>
    </row>
    <row r="131" spans="1:50" ht="23.1" customHeight="1">
      <c r="A131" s="81" t="s">
        <v>880</v>
      </c>
      <c r="B131" s="81" t="s">
        <v>881</v>
      </c>
      <c r="C131" s="82" t="s">
        <v>882</v>
      </c>
      <c r="D131" s="84">
        <v>6</v>
      </c>
      <c r="E131" s="84">
        <v>529</v>
      </c>
      <c r="F131" s="84">
        <f t="shared" si="105"/>
        <v>3174</v>
      </c>
      <c r="G131" s="84">
        <v>12426</v>
      </c>
      <c r="H131" s="84">
        <f t="shared" si="106"/>
        <v>74556</v>
      </c>
      <c r="I131" s="84">
        <v>492</v>
      </c>
      <c r="J131" s="84">
        <f t="shared" si="107"/>
        <v>2952</v>
      </c>
      <c r="K131" s="84">
        <f t="shared" si="108"/>
        <v>13447</v>
      </c>
      <c r="L131" s="84">
        <f t="shared" si="108"/>
        <v>80682</v>
      </c>
      <c r="M131" s="84" t="s">
        <v>883</v>
      </c>
      <c r="O131" s="79" t="str">
        <f>""</f>
        <v/>
      </c>
      <c r="P131" s="86" t="s">
        <v>678</v>
      </c>
      <c r="Q131" s="79">
        <v>1</v>
      </c>
      <c r="R131" s="79">
        <f t="shared" si="109"/>
        <v>2952</v>
      </c>
      <c r="S131" s="79">
        <f t="shared" si="110"/>
        <v>0</v>
      </c>
      <c r="T131" s="79">
        <f t="shared" si="111"/>
        <v>0</v>
      </c>
      <c r="U131" s="79">
        <f t="shared" si="112"/>
        <v>0</v>
      </c>
      <c r="V131" s="79">
        <f t="shared" si="113"/>
        <v>0</v>
      </c>
      <c r="W131" s="79">
        <f t="shared" si="114"/>
        <v>0</v>
      </c>
      <c r="X131" s="79">
        <f t="shared" si="115"/>
        <v>0</v>
      </c>
      <c r="Y131" s="79">
        <f t="shared" si="116"/>
        <v>0</v>
      </c>
      <c r="Z131" s="79">
        <f t="shared" si="117"/>
        <v>0</v>
      </c>
      <c r="AA131" s="79">
        <f t="shared" si="118"/>
        <v>0</v>
      </c>
      <c r="AB131" s="79">
        <f t="shared" si="119"/>
        <v>0</v>
      </c>
      <c r="AC131" s="79">
        <f t="shared" si="120"/>
        <v>0</v>
      </c>
      <c r="AD131" s="79">
        <f t="shared" si="121"/>
        <v>0</v>
      </c>
      <c r="AE131" s="79">
        <f t="shared" si="122"/>
        <v>0</v>
      </c>
      <c r="AF131" s="79">
        <f t="shared" si="123"/>
        <v>0</v>
      </c>
      <c r="AG131" s="79">
        <f t="shared" si="124"/>
        <v>0</v>
      </c>
      <c r="AH131" s="79">
        <f t="shared" si="125"/>
        <v>0</v>
      </c>
      <c r="AI131" s="79">
        <f t="shared" si="126"/>
        <v>0</v>
      </c>
      <c r="AJ131" s="79">
        <f t="shared" si="127"/>
        <v>0</v>
      </c>
      <c r="AK131" s="79">
        <f t="shared" si="128"/>
        <v>0</v>
      </c>
      <c r="AL131" s="79">
        <f t="shared" si="129"/>
        <v>0</v>
      </c>
      <c r="AM131" s="79">
        <f t="shared" si="130"/>
        <v>0</v>
      </c>
      <c r="AN131" s="79">
        <f t="shared" si="131"/>
        <v>0</v>
      </c>
      <c r="AO131" s="79">
        <f t="shared" si="132"/>
        <v>0</v>
      </c>
      <c r="AP131" s="79">
        <f t="shared" si="133"/>
        <v>0</v>
      </c>
      <c r="AQ131" s="79">
        <f t="shared" si="134"/>
        <v>0</v>
      </c>
      <c r="AR131" s="79">
        <f t="shared" si="135"/>
        <v>0</v>
      </c>
      <c r="AS131" s="79">
        <f t="shared" si="136"/>
        <v>0</v>
      </c>
      <c r="AT131" s="79">
        <f t="shared" si="137"/>
        <v>0</v>
      </c>
      <c r="AU131" s="79">
        <f t="shared" si="138"/>
        <v>0</v>
      </c>
    </row>
    <row r="132" spans="1:50" ht="23.1" customHeight="1">
      <c r="A132" s="81" t="s">
        <v>884</v>
      </c>
      <c r="B132" s="81" t="s">
        <v>885</v>
      </c>
      <c r="C132" s="82" t="s">
        <v>882</v>
      </c>
      <c r="D132" s="84">
        <v>6</v>
      </c>
      <c r="E132" s="84">
        <v>242</v>
      </c>
      <c r="F132" s="84">
        <f t="shared" si="105"/>
        <v>1452</v>
      </c>
      <c r="G132" s="84">
        <v>7566</v>
      </c>
      <c r="H132" s="84">
        <f t="shared" si="106"/>
        <v>45396</v>
      </c>
      <c r="I132" s="84">
        <v>325</v>
      </c>
      <c r="J132" s="84">
        <f t="shared" si="107"/>
        <v>1950</v>
      </c>
      <c r="K132" s="84">
        <f t="shared" si="108"/>
        <v>8133</v>
      </c>
      <c r="L132" s="84">
        <f t="shared" si="108"/>
        <v>48798</v>
      </c>
      <c r="M132" s="84" t="s">
        <v>886</v>
      </c>
      <c r="O132" s="79" t="str">
        <f>""</f>
        <v/>
      </c>
      <c r="P132" s="86" t="s">
        <v>678</v>
      </c>
      <c r="Q132" s="79">
        <v>1</v>
      </c>
      <c r="R132" s="79">
        <f t="shared" si="109"/>
        <v>1950</v>
      </c>
      <c r="S132" s="79">
        <f t="shared" si="110"/>
        <v>0</v>
      </c>
      <c r="T132" s="79">
        <f t="shared" si="111"/>
        <v>0</v>
      </c>
      <c r="U132" s="79">
        <f t="shared" si="112"/>
        <v>0</v>
      </c>
      <c r="V132" s="79">
        <f t="shared" si="113"/>
        <v>0</v>
      </c>
      <c r="W132" s="79">
        <f t="shared" si="114"/>
        <v>0</v>
      </c>
      <c r="X132" s="79">
        <f t="shared" si="115"/>
        <v>0</v>
      </c>
      <c r="Y132" s="79">
        <f t="shared" si="116"/>
        <v>0</v>
      </c>
      <c r="Z132" s="79">
        <f t="shared" si="117"/>
        <v>0</v>
      </c>
      <c r="AA132" s="79">
        <f t="shared" si="118"/>
        <v>0</v>
      </c>
      <c r="AB132" s="79">
        <f t="shared" si="119"/>
        <v>0</v>
      </c>
      <c r="AC132" s="79">
        <f t="shared" si="120"/>
        <v>0</v>
      </c>
      <c r="AD132" s="79">
        <f t="shared" si="121"/>
        <v>0</v>
      </c>
      <c r="AE132" s="79">
        <f t="shared" si="122"/>
        <v>0</v>
      </c>
      <c r="AF132" s="79">
        <f t="shared" si="123"/>
        <v>0</v>
      </c>
      <c r="AG132" s="79">
        <f t="shared" si="124"/>
        <v>0</v>
      </c>
      <c r="AH132" s="79">
        <f t="shared" si="125"/>
        <v>0</v>
      </c>
      <c r="AI132" s="79">
        <f t="shared" si="126"/>
        <v>0</v>
      </c>
      <c r="AJ132" s="79">
        <f t="shared" si="127"/>
        <v>0</v>
      </c>
      <c r="AK132" s="79">
        <f t="shared" si="128"/>
        <v>0</v>
      </c>
      <c r="AL132" s="79">
        <f t="shared" si="129"/>
        <v>0</v>
      </c>
      <c r="AM132" s="79">
        <f t="shared" si="130"/>
        <v>0</v>
      </c>
      <c r="AN132" s="79">
        <f t="shared" si="131"/>
        <v>0</v>
      </c>
      <c r="AO132" s="79">
        <f t="shared" si="132"/>
        <v>0</v>
      </c>
      <c r="AP132" s="79">
        <f t="shared" si="133"/>
        <v>0</v>
      </c>
      <c r="AQ132" s="79">
        <f t="shared" si="134"/>
        <v>0</v>
      </c>
      <c r="AR132" s="79">
        <f t="shared" si="135"/>
        <v>0</v>
      </c>
      <c r="AS132" s="79">
        <f t="shared" si="136"/>
        <v>0</v>
      </c>
      <c r="AT132" s="79">
        <f t="shared" si="137"/>
        <v>0</v>
      </c>
      <c r="AU132" s="79">
        <f t="shared" si="138"/>
        <v>0</v>
      </c>
    </row>
    <row r="133" spans="1:50" ht="23.1" customHeight="1">
      <c r="A133" s="81" t="s">
        <v>729</v>
      </c>
      <c r="B133" s="85" t="str">
        <f>"노무비의 " &amp; N133*100 &amp; "%"</f>
        <v>노무비의 2%</v>
      </c>
      <c r="C133" s="82" t="s">
        <v>177</v>
      </c>
      <c r="D133" s="84">
        <v>1</v>
      </c>
      <c r="E133" s="84">
        <f>SUMIF(O96:O135, "02", H96:H135)</f>
        <v>98048</v>
      </c>
      <c r="F133" s="84">
        <f>ROUNDDOWN((E133)*N133, 0)</f>
        <v>1960</v>
      </c>
      <c r="G133" s="84"/>
      <c r="H133" s="84"/>
      <c r="I133" s="84"/>
      <c r="J133" s="84"/>
      <c r="K133" s="84">
        <f t="shared" si="108"/>
        <v>98048</v>
      </c>
      <c r="L133" s="84">
        <f t="shared" si="108"/>
        <v>1960</v>
      </c>
      <c r="M133" s="84"/>
      <c r="N133" s="79">
        <v>0.02</v>
      </c>
      <c r="O133" s="79" t="str">
        <f>""</f>
        <v/>
      </c>
      <c r="P133" s="86" t="s">
        <v>678</v>
      </c>
      <c r="Q133" s="79">
        <v>1</v>
      </c>
      <c r="R133" s="79">
        <f t="shared" si="109"/>
        <v>0</v>
      </c>
      <c r="S133" s="79">
        <f t="shared" si="110"/>
        <v>0</v>
      </c>
      <c r="T133" s="79">
        <f t="shared" si="111"/>
        <v>0</v>
      </c>
      <c r="U133" s="79">
        <f t="shared" si="112"/>
        <v>0</v>
      </c>
      <c r="V133" s="79">
        <f t="shared" si="113"/>
        <v>0</v>
      </c>
      <c r="W133" s="79">
        <f t="shared" si="114"/>
        <v>0</v>
      </c>
      <c r="X133" s="79">
        <f t="shared" si="115"/>
        <v>0</v>
      </c>
      <c r="Y133" s="79">
        <f t="shared" si="116"/>
        <v>0</v>
      </c>
      <c r="Z133" s="79">
        <f t="shared" si="117"/>
        <v>0</v>
      </c>
      <c r="AA133" s="79">
        <f t="shared" si="118"/>
        <v>0</v>
      </c>
      <c r="AB133" s="79">
        <f t="shared" si="119"/>
        <v>0</v>
      </c>
      <c r="AC133" s="79">
        <f t="shared" si="120"/>
        <v>0</v>
      </c>
      <c r="AD133" s="79">
        <f t="shared" si="121"/>
        <v>0</v>
      </c>
      <c r="AE133" s="79">
        <f t="shared" si="122"/>
        <v>0</v>
      </c>
      <c r="AF133" s="79">
        <f t="shared" si="123"/>
        <v>0</v>
      </c>
      <c r="AG133" s="79">
        <f t="shared" si="124"/>
        <v>0</v>
      </c>
      <c r="AH133" s="79">
        <f t="shared" si="125"/>
        <v>0</v>
      </c>
      <c r="AI133" s="79">
        <f t="shared" si="126"/>
        <v>0</v>
      </c>
      <c r="AJ133" s="79">
        <f t="shared" si="127"/>
        <v>0</v>
      </c>
      <c r="AK133" s="79">
        <f t="shared" si="128"/>
        <v>0</v>
      </c>
      <c r="AL133" s="79">
        <f t="shared" si="129"/>
        <v>0</v>
      </c>
      <c r="AM133" s="79">
        <f t="shared" si="130"/>
        <v>0</v>
      </c>
      <c r="AN133" s="79">
        <f t="shared" si="131"/>
        <v>0</v>
      </c>
      <c r="AO133" s="79">
        <f t="shared" si="132"/>
        <v>0</v>
      </c>
      <c r="AP133" s="79">
        <f t="shared" si="133"/>
        <v>0</v>
      </c>
      <c r="AQ133" s="79">
        <f t="shared" si="134"/>
        <v>0</v>
      </c>
      <c r="AR133" s="79">
        <f t="shared" si="135"/>
        <v>0</v>
      </c>
      <c r="AS133" s="79">
        <f t="shared" si="136"/>
        <v>0</v>
      </c>
      <c r="AT133" s="79">
        <f t="shared" si="137"/>
        <v>0</v>
      </c>
      <c r="AU133" s="79">
        <f t="shared" si="138"/>
        <v>0</v>
      </c>
      <c r="AW133" s="86" t="s">
        <v>730</v>
      </c>
      <c r="AX133" s="86" t="s">
        <v>731</v>
      </c>
    </row>
    <row r="134" spans="1:50" ht="23.1" customHeight="1">
      <c r="A134" s="81" t="s">
        <v>838</v>
      </c>
      <c r="B134" s="81" t="s">
        <v>733</v>
      </c>
      <c r="C134" s="82" t="s">
        <v>446</v>
      </c>
      <c r="D134" s="84">
        <f>공량산출서!G101</f>
        <v>0.38</v>
      </c>
      <c r="E134" s="84">
        <v>0</v>
      </c>
      <c r="F134" s="84">
        <f>ROUNDDOWN(D134*E134, 0)</f>
        <v>0</v>
      </c>
      <c r="G134" s="84">
        <f>단가대비표!L162</f>
        <v>213878.0245</v>
      </c>
      <c r="H134" s="84">
        <f>ROUNDDOWN(D134*G134, 0)</f>
        <v>81273</v>
      </c>
      <c r="I134" s="84">
        <v>0</v>
      </c>
      <c r="J134" s="84">
        <f>ROUNDDOWN(D134*I134, 0)</f>
        <v>0</v>
      </c>
      <c r="K134" s="84">
        <f t="shared" si="108"/>
        <v>213878.0245</v>
      </c>
      <c r="L134" s="84">
        <f t="shared" si="108"/>
        <v>81273</v>
      </c>
      <c r="M134" s="84"/>
      <c r="O134" s="79" t="str">
        <f>"02"</f>
        <v>02</v>
      </c>
      <c r="P134" s="86" t="s">
        <v>678</v>
      </c>
      <c r="Q134" s="79">
        <v>1</v>
      </c>
      <c r="R134" s="79">
        <f t="shared" si="109"/>
        <v>0</v>
      </c>
      <c r="S134" s="79">
        <f t="shared" si="110"/>
        <v>0</v>
      </c>
      <c r="T134" s="79">
        <f t="shared" si="111"/>
        <v>0</v>
      </c>
      <c r="U134" s="79">
        <f t="shared" si="112"/>
        <v>0</v>
      </c>
      <c r="V134" s="79">
        <f t="shared" si="113"/>
        <v>0</v>
      </c>
      <c r="W134" s="79">
        <f t="shared" si="114"/>
        <v>0</v>
      </c>
      <c r="X134" s="79">
        <f t="shared" si="115"/>
        <v>0</v>
      </c>
      <c r="Y134" s="79">
        <f t="shared" si="116"/>
        <v>0</v>
      </c>
      <c r="Z134" s="79">
        <f t="shared" si="117"/>
        <v>0</v>
      </c>
      <c r="AA134" s="79">
        <f t="shared" si="118"/>
        <v>0</v>
      </c>
      <c r="AB134" s="79">
        <f t="shared" si="119"/>
        <v>0</v>
      </c>
      <c r="AC134" s="79">
        <f t="shared" si="120"/>
        <v>0</v>
      </c>
      <c r="AD134" s="79">
        <f t="shared" si="121"/>
        <v>0</v>
      </c>
      <c r="AE134" s="79">
        <f t="shared" si="122"/>
        <v>0</v>
      </c>
      <c r="AF134" s="79">
        <f t="shared" si="123"/>
        <v>0</v>
      </c>
      <c r="AG134" s="79">
        <f t="shared" si="124"/>
        <v>0</v>
      </c>
      <c r="AH134" s="79">
        <f t="shared" si="125"/>
        <v>0</v>
      </c>
      <c r="AI134" s="79">
        <f t="shared" si="126"/>
        <v>0</v>
      </c>
      <c r="AJ134" s="79">
        <f t="shared" si="127"/>
        <v>0</v>
      </c>
      <c r="AK134" s="79">
        <f t="shared" si="128"/>
        <v>0</v>
      </c>
      <c r="AL134" s="79">
        <f t="shared" si="129"/>
        <v>0</v>
      </c>
      <c r="AM134" s="79">
        <f t="shared" si="130"/>
        <v>0</v>
      </c>
      <c r="AN134" s="79">
        <f t="shared" si="131"/>
        <v>0</v>
      </c>
      <c r="AO134" s="79">
        <f t="shared" si="132"/>
        <v>0</v>
      </c>
      <c r="AP134" s="79">
        <f t="shared" si="133"/>
        <v>0</v>
      </c>
      <c r="AQ134" s="79">
        <f t="shared" si="134"/>
        <v>0</v>
      </c>
      <c r="AR134" s="79">
        <f t="shared" si="135"/>
        <v>0</v>
      </c>
      <c r="AS134" s="79">
        <f t="shared" si="136"/>
        <v>0</v>
      </c>
      <c r="AT134" s="79">
        <f t="shared" si="137"/>
        <v>0</v>
      </c>
      <c r="AU134" s="79">
        <f t="shared" si="138"/>
        <v>0</v>
      </c>
    </row>
    <row r="135" spans="1:50" ht="23.1" customHeight="1">
      <c r="A135" s="81" t="s">
        <v>452</v>
      </c>
      <c r="B135" s="81" t="s">
        <v>733</v>
      </c>
      <c r="C135" s="82" t="s">
        <v>446</v>
      </c>
      <c r="D135" s="84">
        <f>공량산출서!H101</f>
        <v>0.11</v>
      </c>
      <c r="E135" s="84">
        <v>0</v>
      </c>
      <c r="F135" s="84">
        <f>ROUNDDOWN(D135*E135, 0)</f>
        <v>0</v>
      </c>
      <c r="G135" s="84">
        <f>단가대비표!L164</f>
        <v>152500.9724</v>
      </c>
      <c r="H135" s="84">
        <f>ROUNDDOWN(D135*G135, 0)</f>
        <v>16775</v>
      </c>
      <c r="I135" s="84">
        <v>0</v>
      </c>
      <c r="J135" s="84">
        <f>ROUNDDOWN(D135*I135, 0)</f>
        <v>0</v>
      </c>
      <c r="K135" s="84">
        <f t="shared" si="108"/>
        <v>152500.9724</v>
      </c>
      <c r="L135" s="84">
        <f t="shared" si="108"/>
        <v>16775</v>
      </c>
      <c r="M135" s="84"/>
      <c r="O135" s="79" t="str">
        <f>"02"</f>
        <v>02</v>
      </c>
      <c r="P135" s="86" t="s">
        <v>678</v>
      </c>
      <c r="Q135" s="79">
        <v>1</v>
      </c>
      <c r="R135" s="79">
        <f t="shared" si="109"/>
        <v>0</v>
      </c>
      <c r="S135" s="79">
        <f t="shared" si="110"/>
        <v>0</v>
      </c>
      <c r="T135" s="79">
        <f t="shared" si="111"/>
        <v>0</v>
      </c>
      <c r="U135" s="79">
        <f t="shared" si="112"/>
        <v>0</v>
      </c>
      <c r="V135" s="79">
        <f t="shared" si="113"/>
        <v>0</v>
      </c>
      <c r="W135" s="79">
        <f t="shared" si="114"/>
        <v>0</v>
      </c>
      <c r="X135" s="79">
        <f t="shared" si="115"/>
        <v>0</v>
      </c>
      <c r="Y135" s="79">
        <f t="shared" si="116"/>
        <v>0</v>
      </c>
      <c r="Z135" s="79">
        <f t="shared" si="117"/>
        <v>0</v>
      </c>
      <c r="AA135" s="79">
        <f t="shared" si="118"/>
        <v>0</v>
      </c>
      <c r="AB135" s="79">
        <f t="shared" si="119"/>
        <v>0</v>
      </c>
      <c r="AC135" s="79">
        <f t="shared" si="120"/>
        <v>0</v>
      </c>
      <c r="AD135" s="79">
        <f t="shared" si="121"/>
        <v>0</v>
      </c>
      <c r="AE135" s="79">
        <f t="shared" si="122"/>
        <v>0</v>
      </c>
      <c r="AF135" s="79">
        <f t="shared" si="123"/>
        <v>0</v>
      </c>
      <c r="AG135" s="79">
        <f t="shared" si="124"/>
        <v>0</v>
      </c>
      <c r="AH135" s="79">
        <f t="shared" si="125"/>
        <v>0</v>
      </c>
      <c r="AI135" s="79">
        <f t="shared" si="126"/>
        <v>0</v>
      </c>
      <c r="AJ135" s="79">
        <f t="shared" si="127"/>
        <v>0</v>
      </c>
      <c r="AK135" s="79">
        <f t="shared" si="128"/>
        <v>0</v>
      </c>
      <c r="AL135" s="79">
        <f t="shared" si="129"/>
        <v>0</v>
      </c>
      <c r="AM135" s="79">
        <f t="shared" si="130"/>
        <v>0</v>
      </c>
      <c r="AN135" s="79">
        <f t="shared" si="131"/>
        <v>0</v>
      </c>
      <c r="AO135" s="79">
        <f t="shared" si="132"/>
        <v>0</v>
      </c>
      <c r="AP135" s="79">
        <f t="shared" si="133"/>
        <v>0</v>
      </c>
      <c r="AQ135" s="79">
        <f t="shared" si="134"/>
        <v>0</v>
      </c>
      <c r="AR135" s="79">
        <f t="shared" si="135"/>
        <v>0</v>
      </c>
      <c r="AS135" s="79">
        <f t="shared" si="136"/>
        <v>0</v>
      </c>
      <c r="AT135" s="79">
        <f t="shared" si="137"/>
        <v>0</v>
      </c>
      <c r="AU135" s="79">
        <f t="shared" si="138"/>
        <v>0</v>
      </c>
    </row>
    <row r="136" spans="1:50" ht="23.1" customHeight="1">
      <c r="A136" s="85"/>
      <c r="B136" s="85"/>
      <c r="C136" s="83"/>
      <c r="D136" s="84"/>
      <c r="E136" s="84"/>
      <c r="F136" s="84"/>
      <c r="G136" s="84"/>
      <c r="H136" s="84"/>
      <c r="I136" s="84"/>
      <c r="J136" s="84"/>
      <c r="K136" s="84"/>
      <c r="L136" s="84"/>
      <c r="M136" s="84"/>
    </row>
    <row r="137" spans="1:50" ht="23.1" customHeight="1">
      <c r="A137" s="85"/>
      <c r="B137" s="85"/>
      <c r="C137" s="83"/>
      <c r="D137" s="84"/>
      <c r="E137" s="84"/>
      <c r="F137" s="84"/>
      <c r="G137" s="84"/>
      <c r="H137" s="84"/>
      <c r="I137" s="84"/>
      <c r="J137" s="84"/>
      <c r="K137" s="84"/>
      <c r="L137" s="84"/>
      <c r="M137" s="84"/>
    </row>
    <row r="138" spans="1:50" ht="23.1" customHeight="1">
      <c r="A138" s="85"/>
      <c r="B138" s="85"/>
      <c r="C138" s="83"/>
      <c r="D138" s="84"/>
      <c r="E138" s="84"/>
      <c r="F138" s="84"/>
      <c r="G138" s="84"/>
      <c r="H138" s="84"/>
      <c r="I138" s="84"/>
      <c r="J138" s="84"/>
      <c r="K138" s="84"/>
      <c r="L138" s="84"/>
      <c r="M138" s="84"/>
    </row>
    <row r="139" spans="1:50" ht="23.1" customHeight="1">
      <c r="A139" s="85"/>
      <c r="B139" s="85"/>
      <c r="C139" s="83"/>
      <c r="D139" s="84"/>
      <c r="E139" s="84"/>
      <c r="F139" s="84"/>
      <c r="G139" s="84"/>
      <c r="H139" s="84"/>
      <c r="I139" s="84"/>
      <c r="J139" s="84"/>
      <c r="K139" s="84"/>
      <c r="L139" s="84"/>
      <c r="M139" s="84"/>
    </row>
    <row r="140" spans="1:50" ht="23.1" customHeight="1">
      <c r="A140" s="85"/>
      <c r="B140" s="85"/>
      <c r="C140" s="83"/>
      <c r="D140" s="84"/>
      <c r="E140" s="84"/>
      <c r="F140" s="84"/>
      <c r="G140" s="84"/>
      <c r="H140" s="84"/>
      <c r="I140" s="84"/>
      <c r="J140" s="84"/>
      <c r="K140" s="84"/>
      <c r="L140" s="84"/>
      <c r="M140" s="84"/>
    </row>
    <row r="141" spans="1:50" ht="23.1" customHeight="1">
      <c r="A141" s="85"/>
      <c r="B141" s="85"/>
      <c r="C141" s="83"/>
      <c r="D141" s="84"/>
      <c r="E141" s="84"/>
      <c r="F141" s="84"/>
      <c r="G141" s="84"/>
      <c r="H141" s="84"/>
      <c r="I141" s="84"/>
      <c r="J141" s="84"/>
      <c r="K141" s="84"/>
      <c r="L141" s="84"/>
      <c r="M141" s="84"/>
    </row>
    <row r="142" spans="1:50" ht="23.1" customHeight="1">
      <c r="A142" s="85"/>
      <c r="B142" s="85"/>
      <c r="C142" s="83"/>
      <c r="D142" s="84"/>
      <c r="E142" s="84"/>
      <c r="F142" s="84"/>
      <c r="G142" s="84"/>
      <c r="H142" s="84"/>
      <c r="I142" s="84"/>
      <c r="J142" s="84"/>
      <c r="K142" s="84"/>
      <c r="L142" s="84"/>
      <c r="M142" s="84"/>
    </row>
    <row r="143" spans="1:50" ht="23.1" customHeight="1">
      <c r="A143" s="85"/>
      <c r="B143" s="85"/>
      <c r="C143" s="83"/>
      <c r="D143" s="84"/>
      <c r="E143" s="84"/>
      <c r="F143" s="84"/>
      <c r="G143" s="84"/>
      <c r="H143" s="84"/>
      <c r="I143" s="84"/>
      <c r="J143" s="84"/>
      <c r="K143" s="84"/>
      <c r="L143" s="84"/>
      <c r="M143" s="84"/>
    </row>
    <row r="144" spans="1:50" ht="23.1" customHeight="1">
      <c r="A144" s="85"/>
      <c r="B144" s="85"/>
      <c r="C144" s="83"/>
      <c r="D144" s="84"/>
      <c r="E144" s="84"/>
      <c r="F144" s="84"/>
      <c r="G144" s="84"/>
      <c r="H144" s="84"/>
      <c r="I144" s="84"/>
      <c r="J144" s="84"/>
      <c r="K144" s="84"/>
      <c r="L144" s="84"/>
      <c r="M144" s="84"/>
    </row>
    <row r="145" spans="1:50" ht="23.1" customHeight="1">
      <c r="A145" s="85"/>
      <c r="B145" s="85"/>
      <c r="C145" s="83"/>
      <c r="D145" s="84"/>
      <c r="E145" s="84"/>
      <c r="F145" s="84"/>
      <c r="G145" s="84"/>
      <c r="H145" s="84"/>
      <c r="I145" s="84"/>
      <c r="J145" s="84"/>
      <c r="K145" s="84"/>
      <c r="L145" s="84"/>
      <c r="M145" s="84"/>
    </row>
    <row r="146" spans="1:50" ht="23.1" customHeight="1">
      <c r="A146" s="85"/>
      <c r="B146" s="85"/>
      <c r="C146" s="83"/>
      <c r="D146" s="84"/>
      <c r="E146" s="84"/>
      <c r="F146" s="84"/>
      <c r="G146" s="84"/>
      <c r="H146" s="84"/>
      <c r="I146" s="84"/>
      <c r="J146" s="84"/>
      <c r="K146" s="84"/>
      <c r="L146" s="84"/>
      <c r="M146" s="84"/>
    </row>
    <row r="147" spans="1:50" ht="23.1" customHeight="1">
      <c r="A147" s="85"/>
      <c r="B147" s="85"/>
      <c r="C147" s="83"/>
      <c r="D147" s="84"/>
      <c r="E147" s="84"/>
      <c r="F147" s="84"/>
      <c r="G147" s="84"/>
      <c r="H147" s="84"/>
      <c r="I147" s="84"/>
      <c r="J147" s="84"/>
      <c r="K147" s="84"/>
      <c r="L147" s="84"/>
      <c r="M147" s="84"/>
    </row>
    <row r="148" spans="1:50" ht="23.1" customHeight="1">
      <c r="A148" s="90" t="s">
        <v>734</v>
      </c>
      <c r="B148" s="91"/>
      <c r="C148" s="92"/>
      <c r="D148" s="93"/>
      <c r="E148" s="93"/>
      <c r="F148" s="93">
        <f>ROUNDDOWN(SUMIF(Q96:Q147, "1", F96:F147), 0)</f>
        <v>8214599</v>
      </c>
      <c r="G148" s="93"/>
      <c r="H148" s="93">
        <f>ROUNDDOWN(SUMIF(Q96:Q147, "1", H96:H147), 0)</f>
        <v>10671667</v>
      </c>
      <c r="I148" s="93"/>
      <c r="J148" s="93">
        <f>ROUNDDOWN(SUMIF(Q96:Q147, "1", J96:J147), 0)</f>
        <v>4902</v>
      </c>
      <c r="K148" s="93"/>
      <c r="L148" s="93">
        <f>F148+H148+J148</f>
        <v>18891168</v>
      </c>
      <c r="M148" s="93"/>
      <c r="R148" s="79">
        <f t="shared" ref="R148:AX148" si="141">ROUNDDOWN(SUM(R96:R135), 0)</f>
        <v>4902</v>
      </c>
      <c r="S148" s="79">
        <f t="shared" si="141"/>
        <v>0</v>
      </c>
      <c r="T148" s="79">
        <f t="shared" si="141"/>
        <v>0</v>
      </c>
      <c r="U148" s="79">
        <f t="shared" si="141"/>
        <v>0</v>
      </c>
      <c r="V148" s="79">
        <f t="shared" si="141"/>
        <v>0</v>
      </c>
      <c r="W148" s="79">
        <f t="shared" si="141"/>
        <v>0</v>
      </c>
      <c r="X148" s="79">
        <f t="shared" si="141"/>
        <v>0</v>
      </c>
      <c r="Y148" s="79">
        <f t="shared" si="141"/>
        <v>0</v>
      </c>
      <c r="Z148" s="79">
        <f t="shared" si="141"/>
        <v>0</v>
      </c>
      <c r="AA148" s="79">
        <f t="shared" si="141"/>
        <v>0</v>
      </c>
      <c r="AB148" s="79">
        <f t="shared" si="141"/>
        <v>0</v>
      </c>
      <c r="AC148" s="79">
        <f t="shared" si="141"/>
        <v>0</v>
      </c>
      <c r="AD148" s="79">
        <f t="shared" si="141"/>
        <v>0</v>
      </c>
      <c r="AE148" s="79">
        <f t="shared" si="141"/>
        <v>0</v>
      </c>
      <c r="AF148" s="79">
        <f t="shared" si="141"/>
        <v>0</v>
      </c>
      <c r="AG148" s="79">
        <f t="shared" si="141"/>
        <v>0</v>
      </c>
      <c r="AH148" s="79">
        <f t="shared" si="141"/>
        <v>0</v>
      </c>
      <c r="AI148" s="79">
        <f t="shared" si="141"/>
        <v>0</v>
      </c>
      <c r="AJ148" s="79">
        <f t="shared" si="141"/>
        <v>0</v>
      </c>
      <c r="AK148" s="79">
        <f t="shared" si="141"/>
        <v>0</v>
      </c>
      <c r="AL148" s="79">
        <f t="shared" si="141"/>
        <v>0</v>
      </c>
      <c r="AM148" s="79">
        <f t="shared" si="141"/>
        <v>0</v>
      </c>
      <c r="AN148" s="79">
        <f t="shared" si="141"/>
        <v>0</v>
      </c>
      <c r="AO148" s="79">
        <f t="shared" si="141"/>
        <v>0</v>
      </c>
      <c r="AP148" s="79">
        <f t="shared" si="141"/>
        <v>0</v>
      </c>
      <c r="AQ148" s="79">
        <f t="shared" si="141"/>
        <v>0</v>
      </c>
      <c r="AR148" s="79">
        <f t="shared" si="141"/>
        <v>0</v>
      </c>
      <c r="AS148" s="79">
        <f t="shared" si="141"/>
        <v>0</v>
      </c>
      <c r="AT148" s="79">
        <f t="shared" si="141"/>
        <v>0</v>
      </c>
      <c r="AU148" s="79">
        <f t="shared" si="141"/>
        <v>0</v>
      </c>
      <c r="AV148" s="79">
        <f t="shared" si="141"/>
        <v>0</v>
      </c>
      <c r="AW148" s="79">
        <f t="shared" si="141"/>
        <v>0</v>
      </c>
      <c r="AX148" s="79">
        <f t="shared" si="141"/>
        <v>0</v>
      </c>
    </row>
    <row r="149" spans="1:50" ht="23.1" customHeight="1">
      <c r="A149" s="228" t="s">
        <v>887</v>
      </c>
      <c r="B149" s="229"/>
      <c r="C149" s="229"/>
      <c r="D149" s="229"/>
      <c r="E149" s="229"/>
      <c r="F149" s="229"/>
      <c r="G149" s="229"/>
      <c r="H149" s="229"/>
      <c r="I149" s="229"/>
      <c r="J149" s="229"/>
      <c r="K149" s="229"/>
      <c r="L149" s="229"/>
      <c r="M149" s="229"/>
    </row>
    <row r="150" spans="1:50" ht="23.1" customHeight="1">
      <c r="A150" s="81" t="s">
        <v>888</v>
      </c>
      <c r="B150" s="81" t="s">
        <v>781</v>
      </c>
      <c r="C150" s="82" t="s">
        <v>343</v>
      </c>
      <c r="D150" s="84">
        <f>공량산출서!F104</f>
        <v>2</v>
      </c>
      <c r="E150" s="84">
        <f>단가대비표!L68</f>
        <v>405357.435</v>
      </c>
      <c r="F150" s="84">
        <f t="shared" ref="F150:F207" si="142">ROUNDDOWN(D150*E150, 0)</f>
        <v>810714</v>
      </c>
      <c r="G150" s="84">
        <v>0</v>
      </c>
      <c r="H150" s="84">
        <f t="shared" ref="H150:H207" si="143">ROUNDDOWN(D150*G150, 0)</f>
        <v>0</v>
      </c>
      <c r="I150" s="84">
        <v>0</v>
      </c>
      <c r="J150" s="84">
        <f t="shared" ref="J150:J207" si="144">ROUNDDOWN(D150*I150, 0)</f>
        <v>0</v>
      </c>
      <c r="K150" s="84">
        <f t="shared" ref="K150:L181" si="145">E150+G150+I150</f>
        <v>405357.435</v>
      </c>
      <c r="L150" s="84">
        <f t="shared" si="145"/>
        <v>810714</v>
      </c>
      <c r="M150" s="84"/>
      <c r="O150" s="79" t="str">
        <f>"01"</f>
        <v>01</v>
      </c>
      <c r="P150" s="86" t="s">
        <v>678</v>
      </c>
      <c r="Q150" s="79">
        <v>1</v>
      </c>
      <c r="R150" s="79">
        <f t="shared" ref="R150:R210" si="146">IF(P150="기계경비", J150, 0)</f>
        <v>0</v>
      </c>
      <c r="S150" s="79">
        <f t="shared" ref="S150:S210" si="147">IF(P150="운반비", J150, 0)</f>
        <v>0</v>
      </c>
      <c r="T150" s="79">
        <f t="shared" ref="T150:T210" si="148">IF(P150="작업부산물", F150, 0)</f>
        <v>0</v>
      </c>
      <c r="U150" s="79">
        <f t="shared" ref="U150:U210" si="149">IF(P150="관급", F150, 0)</f>
        <v>0</v>
      </c>
      <c r="V150" s="79">
        <f t="shared" ref="V150:V210" si="150">IF(P150="외주비", J150, 0)</f>
        <v>0</v>
      </c>
      <c r="W150" s="79">
        <f t="shared" ref="W150:W210" si="151">IF(P150="장비비", J150, 0)</f>
        <v>0</v>
      </c>
      <c r="X150" s="79">
        <f t="shared" ref="X150:X210" si="152">IF(P150="폐기물처리비", L150, 0)</f>
        <v>0</v>
      </c>
      <c r="Y150" s="79">
        <f t="shared" ref="Y150:Y210" si="153">IF(P150="가설비", J150, 0)</f>
        <v>0</v>
      </c>
      <c r="Z150" s="79">
        <f t="shared" ref="Z150:Z210" si="154">IF(P150="잡비제외분", F150, 0)</f>
        <v>0</v>
      </c>
      <c r="AA150" s="79">
        <f t="shared" ref="AA150:AA210" si="155">IF(P150="사급자재대", L150, 0)</f>
        <v>0</v>
      </c>
      <c r="AB150" s="79">
        <f t="shared" ref="AB150:AB210" si="156">IF(P150="관급자재대", L150, 0)</f>
        <v>0</v>
      </c>
      <c r="AC150" s="79">
        <f t="shared" ref="AC150:AC210" si="157">IF(P150="부산물", L150, 0)</f>
        <v>0</v>
      </c>
      <c r="AD150" s="79">
        <f t="shared" ref="AD150:AD210" si="158">IF(P150="품질검사비", L150, 0)</f>
        <v>0</v>
      </c>
      <c r="AE150" s="79">
        <f t="shared" ref="AE150:AE210" si="159">IF(P150="사용자항목3", L150, 0)</f>
        <v>0</v>
      </c>
      <c r="AF150" s="79">
        <f t="shared" ref="AF150:AF210" si="160">IF(P150="급식소 환기설비시험 조정평가", L150, 0)</f>
        <v>0</v>
      </c>
      <c r="AG150" s="79">
        <f t="shared" ref="AG150:AG210" si="161">IF(P150="사용자항목5", L150, 0)</f>
        <v>0</v>
      </c>
      <c r="AH150" s="79">
        <f t="shared" ref="AH150:AH210" si="162">IF(P150="사용자항목6", L150, 0)</f>
        <v>0</v>
      </c>
      <c r="AI150" s="79">
        <f t="shared" ref="AI150:AI210" si="163">IF(P150="사용자항목7", L150, 0)</f>
        <v>0</v>
      </c>
      <c r="AJ150" s="79">
        <f t="shared" ref="AJ150:AJ210" si="164">IF(P150="사용자항목8", L150, 0)</f>
        <v>0</v>
      </c>
      <c r="AK150" s="79">
        <f t="shared" ref="AK150:AK210" si="165">IF(P150="사용자항목9", L150, 0)</f>
        <v>0</v>
      </c>
      <c r="AL150" s="79">
        <f t="shared" ref="AL150:AL210" si="166">IF(P150="사용자항목10", L150, 0)</f>
        <v>0</v>
      </c>
      <c r="AM150" s="79">
        <f t="shared" ref="AM150:AM210" si="167">IF(P150="사용자항목11", L150, 0)</f>
        <v>0</v>
      </c>
      <c r="AN150" s="79">
        <f t="shared" ref="AN150:AN210" si="168">IF(P150="사용자항목12", L150, 0)</f>
        <v>0</v>
      </c>
      <c r="AO150" s="79">
        <f t="shared" ref="AO150:AO210" si="169">IF(P150="사용자항목13", L150, 0)</f>
        <v>0</v>
      </c>
      <c r="AP150" s="79">
        <f t="shared" ref="AP150:AP210" si="170">IF(P150="사용자항목14", L150, 0)</f>
        <v>0</v>
      </c>
      <c r="AQ150" s="79">
        <f t="shared" ref="AQ150:AQ210" si="171">IF(P150="사용자항목15", L150, 0)</f>
        <v>0</v>
      </c>
      <c r="AR150" s="79">
        <f t="shared" ref="AR150:AR210" si="172">IF(P150="사용자항목16", L150, 0)</f>
        <v>0</v>
      </c>
      <c r="AS150" s="79">
        <f t="shared" ref="AS150:AS210" si="173">IF(P150="사용자항목17", L150, 0)</f>
        <v>0</v>
      </c>
      <c r="AT150" s="79">
        <f t="shared" ref="AT150:AT210" si="174">IF(P150="사용자항목18", L150, 0)</f>
        <v>0</v>
      </c>
      <c r="AU150" s="79">
        <f t="shared" ref="AU150:AU210" si="175">IF(P150="사용자항목19", L150, 0)</f>
        <v>0</v>
      </c>
    </row>
    <row r="151" spans="1:50" ht="23.1" customHeight="1">
      <c r="A151" s="81" t="s">
        <v>842</v>
      </c>
      <c r="B151" s="81" t="s">
        <v>889</v>
      </c>
      <c r="C151" s="82" t="s">
        <v>333</v>
      </c>
      <c r="D151" s="84">
        <v>745</v>
      </c>
      <c r="E151" s="84">
        <f>일위대가목록!G5</f>
        <v>4251</v>
      </c>
      <c r="F151" s="84">
        <f t="shared" si="142"/>
        <v>3166995</v>
      </c>
      <c r="G151" s="84">
        <f>일위대가목록!I5</f>
        <v>7903</v>
      </c>
      <c r="H151" s="84">
        <f t="shared" si="143"/>
        <v>5887735</v>
      </c>
      <c r="I151" s="84">
        <f>일위대가목록!K5</f>
        <v>0</v>
      </c>
      <c r="J151" s="84">
        <f t="shared" si="144"/>
        <v>0</v>
      </c>
      <c r="K151" s="84">
        <f t="shared" si="145"/>
        <v>12154</v>
      </c>
      <c r="L151" s="84">
        <f t="shared" si="145"/>
        <v>9054730</v>
      </c>
      <c r="M151" s="84" t="s">
        <v>890</v>
      </c>
      <c r="O151" s="79" t="str">
        <f>""</f>
        <v/>
      </c>
      <c r="P151" s="86" t="s">
        <v>678</v>
      </c>
      <c r="Q151" s="79">
        <v>1</v>
      </c>
      <c r="R151" s="79">
        <f t="shared" si="146"/>
        <v>0</v>
      </c>
      <c r="S151" s="79">
        <f t="shared" si="147"/>
        <v>0</v>
      </c>
      <c r="T151" s="79">
        <f t="shared" si="148"/>
        <v>0</v>
      </c>
      <c r="U151" s="79">
        <f t="shared" si="149"/>
        <v>0</v>
      </c>
      <c r="V151" s="79">
        <f t="shared" si="150"/>
        <v>0</v>
      </c>
      <c r="W151" s="79">
        <f t="shared" si="151"/>
        <v>0</v>
      </c>
      <c r="X151" s="79">
        <f t="shared" si="152"/>
        <v>0</v>
      </c>
      <c r="Y151" s="79">
        <f t="shared" si="153"/>
        <v>0</v>
      </c>
      <c r="Z151" s="79">
        <f t="shared" si="154"/>
        <v>0</v>
      </c>
      <c r="AA151" s="79">
        <f t="shared" si="155"/>
        <v>0</v>
      </c>
      <c r="AB151" s="79">
        <f t="shared" si="156"/>
        <v>0</v>
      </c>
      <c r="AC151" s="79">
        <f t="shared" si="157"/>
        <v>0</v>
      </c>
      <c r="AD151" s="79">
        <f t="shared" si="158"/>
        <v>0</v>
      </c>
      <c r="AE151" s="79">
        <f t="shared" si="159"/>
        <v>0</v>
      </c>
      <c r="AF151" s="79">
        <f t="shared" si="160"/>
        <v>0</v>
      </c>
      <c r="AG151" s="79">
        <f t="shared" si="161"/>
        <v>0</v>
      </c>
      <c r="AH151" s="79">
        <f t="shared" si="162"/>
        <v>0</v>
      </c>
      <c r="AI151" s="79">
        <f t="shared" si="163"/>
        <v>0</v>
      </c>
      <c r="AJ151" s="79">
        <f t="shared" si="164"/>
        <v>0</v>
      </c>
      <c r="AK151" s="79">
        <f t="shared" si="165"/>
        <v>0</v>
      </c>
      <c r="AL151" s="79">
        <f t="shared" si="166"/>
        <v>0</v>
      </c>
      <c r="AM151" s="79">
        <f t="shared" si="167"/>
        <v>0</v>
      </c>
      <c r="AN151" s="79">
        <f t="shared" si="168"/>
        <v>0</v>
      </c>
      <c r="AO151" s="79">
        <f t="shared" si="169"/>
        <v>0</v>
      </c>
      <c r="AP151" s="79">
        <f t="shared" si="170"/>
        <v>0</v>
      </c>
      <c r="AQ151" s="79">
        <f t="shared" si="171"/>
        <v>0</v>
      </c>
      <c r="AR151" s="79">
        <f t="shared" si="172"/>
        <v>0</v>
      </c>
      <c r="AS151" s="79">
        <f t="shared" si="173"/>
        <v>0</v>
      </c>
      <c r="AT151" s="79">
        <f t="shared" si="174"/>
        <v>0</v>
      </c>
      <c r="AU151" s="79">
        <f t="shared" si="175"/>
        <v>0</v>
      </c>
    </row>
    <row r="152" spans="1:50" ht="23.1" customHeight="1">
      <c r="A152" s="81" t="s">
        <v>842</v>
      </c>
      <c r="B152" s="81" t="s">
        <v>891</v>
      </c>
      <c r="C152" s="82" t="s">
        <v>333</v>
      </c>
      <c r="D152" s="84">
        <v>211</v>
      </c>
      <c r="E152" s="84">
        <f>일위대가목록!G6</f>
        <v>5384</v>
      </c>
      <c r="F152" s="84">
        <f t="shared" si="142"/>
        <v>1136024</v>
      </c>
      <c r="G152" s="84">
        <f>일위대가목록!I6</f>
        <v>9529</v>
      </c>
      <c r="H152" s="84">
        <f t="shared" si="143"/>
        <v>2010619</v>
      </c>
      <c r="I152" s="84">
        <f>일위대가목록!K6</f>
        <v>0</v>
      </c>
      <c r="J152" s="84">
        <f t="shared" si="144"/>
        <v>0</v>
      </c>
      <c r="K152" s="84">
        <f t="shared" si="145"/>
        <v>14913</v>
      </c>
      <c r="L152" s="84">
        <f t="shared" si="145"/>
        <v>3146643</v>
      </c>
      <c r="M152" s="84" t="s">
        <v>892</v>
      </c>
      <c r="O152" s="79" t="str">
        <f>""</f>
        <v/>
      </c>
      <c r="P152" s="86" t="s">
        <v>678</v>
      </c>
      <c r="Q152" s="79">
        <v>1</v>
      </c>
      <c r="R152" s="79">
        <f t="shared" si="146"/>
        <v>0</v>
      </c>
      <c r="S152" s="79">
        <f t="shared" si="147"/>
        <v>0</v>
      </c>
      <c r="T152" s="79">
        <f t="shared" si="148"/>
        <v>0</v>
      </c>
      <c r="U152" s="79">
        <f t="shared" si="149"/>
        <v>0</v>
      </c>
      <c r="V152" s="79">
        <f t="shared" si="150"/>
        <v>0</v>
      </c>
      <c r="W152" s="79">
        <f t="shared" si="151"/>
        <v>0</v>
      </c>
      <c r="X152" s="79">
        <f t="shared" si="152"/>
        <v>0</v>
      </c>
      <c r="Y152" s="79">
        <f t="shared" si="153"/>
        <v>0</v>
      </c>
      <c r="Z152" s="79">
        <f t="shared" si="154"/>
        <v>0</v>
      </c>
      <c r="AA152" s="79">
        <f t="shared" si="155"/>
        <v>0</v>
      </c>
      <c r="AB152" s="79">
        <f t="shared" si="156"/>
        <v>0</v>
      </c>
      <c r="AC152" s="79">
        <f t="shared" si="157"/>
        <v>0</v>
      </c>
      <c r="AD152" s="79">
        <f t="shared" si="158"/>
        <v>0</v>
      </c>
      <c r="AE152" s="79">
        <f t="shared" si="159"/>
        <v>0</v>
      </c>
      <c r="AF152" s="79">
        <f t="shared" si="160"/>
        <v>0</v>
      </c>
      <c r="AG152" s="79">
        <f t="shared" si="161"/>
        <v>0</v>
      </c>
      <c r="AH152" s="79">
        <f t="shared" si="162"/>
        <v>0</v>
      </c>
      <c r="AI152" s="79">
        <f t="shared" si="163"/>
        <v>0</v>
      </c>
      <c r="AJ152" s="79">
        <f t="shared" si="164"/>
        <v>0</v>
      </c>
      <c r="AK152" s="79">
        <f t="shared" si="165"/>
        <v>0</v>
      </c>
      <c r="AL152" s="79">
        <f t="shared" si="166"/>
        <v>0</v>
      </c>
      <c r="AM152" s="79">
        <f t="shared" si="167"/>
        <v>0</v>
      </c>
      <c r="AN152" s="79">
        <f t="shared" si="168"/>
        <v>0</v>
      </c>
      <c r="AO152" s="79">
        <f t="shared" si="169"/>
        <v>0</v>
      </c>
      <c r="AP152" s="79">
        <f t="shared" si="170"/>
        <v>0</v>
      </c>
      <c r="AQ152" s="79">
        <f t="shared" si="171"/>
        <v>0</v>
      </c>
      <c r="AR152" s="79">
        <f t="shared" si="172"/>
        <v>0</v>
      </c>
      <c r="AS152" s="79">
        <f t="shared" si="173"/>
        <v>0</v>
      </c>
      <c r="AT152" s="79">
        <f t="shared" si="174"/>
        <v>0</v>
      </c>
      <c r="AU152" s="79">
        <f t="shared" si="175"/>
        <v>0</v>
      </c>
    </row>
    <row r="153" spans="1:50" ht="23.1" customHeight="1">
      <c r="A153" s="81" t="s">
        <v>842</v>
      </c>
      <c r="B153" s="81" t="s">
        <v>893</v>
      </c>
      <c r="C153" s="82" t="s">
        <v>333</v>
      </c>
      <c r="D153" s="84">
        <v>439</v>
      </c>
      <c r="E153" s="84">
        <f>일위대가목록!G7</f>
        <v>6138</v>
      </c>
      <c r="F153" s="84">
        <f t="shared" si="142"/>
        <v>2694582</v>
      </c>
      <c r="G153" s="84">
        <f>일위대가목록!I7</f>
        <v>10560</v>
      </c>
      <c r="H153" s="84">
        <f t="shared" si="143"/>
        <v>4635840</v>
      </c>
      <c r="I153" s="84">
        <f>일위대가목록!K7</f>
        <v>0</v>
      </c>
      <c r="J153" s="84">
        <f t="shared" si="144"/>
        <v>0</v>
      </c>
      <c r="K153" s="84">
        <f t="shared" si="145"/>
        <v>16698</v>
      </c>
      <c r="L153" s="84">
        <f t="shared" si="145"/>
        <v>7330422</v>
      </c>
      <c r="M153" s="84" t="s">
        <v>894</v>
      </c>
      <c r="O153" s="79" t="str">
        <f>""</f>
        <v/>
      </c>
      <c r="P153" s="86" t="s">
        <v>678</v>
      </c>
      <c r="Q153" s="79">
        <v>1</v>
      </c>
      <c r="R153" s="79">
        <f t="shared" si="146"/>
        <v>0</v>
      </c>
      <c r="S153" s="79">
        <f t="shared" si="147"/>
        <v>0</v>
      </c>
      <c r="T153" s="79">
        <f t="shared" si="148"/>
        <v>0</v>
      </c>
      <c r="U153" s="79">
        <f t="shared" si="149"/>
        <v>0</v>
      </c>
      <c r="V153" s="79">
        <f t="shared" si="150"/>
        <v>0</v>
      </c>
      <c r="W153" s="79">
        <f t="shared" si="151"/>
        <v>0</v>
      </c>
      <c r="X153" s="79">
        <f t="shared" si="152"/>
        <v>0</v>
      </c>
      <c r="Y153" s="79">
        <f t="shared" si="153"/>
        <v>0</v>
      </c>
      <c r="Z153" s="79">
        <f t="shared" si="154"/>
        <v>0</v>
      </c>
      <c r="AA153" s="79">
        <f t="shared" si="155"/>
        <v>0</v>
      </c>
      <c r="AB153" s="79">
        <f t="shared" si="156"/>
        <v>0</v>
      </c>
      <c r="AC153" s="79">
        <f t="shared" si="157"/>
        <v>0</v>
      </c>
      <c r="AD153" s="79">
        <f t="shared" si="158"/>
        <v>0</v>
      </c>
      <c r="AE153" s="79">
        <f t="shared" si="159"/>
        <v>0</v>
      </c>
      <c r="AF153" s="79">
        <f t="shared" si="160"/>
        <v>0</v>
      </c>
      <c r="AG153" s="79">
        <f t="shared" si="161"/>
        <v>0</v>
      </c>
      <c r="AH153" s="79">
        <f t="shared" si="162"/>
        <v>0</v>
      </c>
      <c r="AI153" s="79">
        <f t="shared" si="163"/>
        <v>0</v>
      </c>
      <c r="AJ153" s="79">
        <f t="shared" si="164"/>
        <v>0</v>
      </c>
      <c r="AK153" s="79">
        <f t="shared" si="165"/>
        <v>0</v>
      </c>
      <c r="AL153" s="79">
        <f t="shared" si="166"/>
        <v>0</v>
      </c>
      <c r="AM153" s="79">
        <f t="shared" si="167"/>
        <v>0</v>
      </c>
      <c r="AN153" s="79">
        <f t="shared" si="168"/>
        <v>0</v>
      </c>
      <c r="AO153" s="79">
        <f t="shared" si="169"/>
        <v>0</v>
      </c>
      <c r="AP153" s="79">
        <f t="shared" si="170"/>
        <v>0</v>
      </c>
      <c r="AQ153" s="79">
        <f t="shared" si="171"/>
        <v>0</v>
      </c>
      <c r="AR153" s="79">
        <f t="shared" si="172"/>
        <v>0</v>
      </c>
      <c r="AS153" s="79">
        <f t="shared" si="173"/>
        <v>0</v>
      </c>
      <c r="AT153" s="79">
        <f t="shared" si="174"/>
        <v>0</v>
      </c>
      <c r="AU153" s="79">
        <f t="shared" si="175"/>
        <v>0</v>
      </c>
    </row>
    <row r="154" spans="1:50" ht="23.1" customHeight="1">
      <c r="A154" s="81" t="s">
        <v>842</v>
      </c>
      <c r="B154" s="81" t="s">
        <v>843</v>
      </c>
      <c r="C154" s="82" t="s">
        <v>333</v>
      </c>
      <c r="D154" s="84">
        <v>330</v>
      </c>
      <c r="E154" s="84">
        <f>일위대가목록!G8</f>
        <v>8461</v>
      </c>
      <c r="F154" s="84">
        <f t="shared" si="142"/>
        <v>2792130</v>
      </c>
      <c r="G154" s="84">
        <f>일위대가목록!I8</f>
        <v>12667</v>
      </c>
      <c r="H154" s="84">
        <f t="shared" si="143"/>
        <v>4180110</v>
      </c>
      <c r="I154" s="84">
        <f>일위대가목록!K8</f>
        <v>0</v>
      </c>
      <c r="J154" s="84">
        <f t="shared" si="144"/>
        <v>0</v>
      </c>
      <c r="K154" s="84">
        <f t="shared" si="145"/>
        <v>21128</v>
      </c>
      <c r="L154" s="84">
        <f t="shared" si="145"/>
        <v>6972240</v>
      </c>
      <c r="M154" s="84" t="s">
        <v>844</v>
      </c>
      <c r="O154" s="79" t="str">
        <f>""</f>
        <v/>
      </c>
      <c r="P154" s="86" t="s">
        <v>678</v>
      </c>
      <c r="Q154" s="79">
        <v>1</v>
      </c>
      <c r="R154" s="79">
        <f t="shared" si="146"/>
        <v>0</v>
      </c>
      <c r="S154" s="79">
        <f t="shared" si="147"/>
        <v>0</v>
      </c>
      <c r="T154" s="79">
        <f t="shared" si="148"/>
        <v>0</v>
      </c>
      <c r="U154" s="79">
        <f t="shared" si="149"/>
        <v>0</v>
      </c>
      <c r="V154" s="79">
        <f t="shared" si="150"/>
        <v>0</v>
      </c>
      <c r="W154" s="79">
        <f t="shared" si="151"/>
        <v>0</v>
      </c>
      <c r="X154" s="79">
        <f t="shared" si="152"/>
        <v>0</v>
      </c>
      <c r="Y154" s="79">
        <f t="shared" si="153"/>
        <v>0</v>
      </c>
      <c r="Z154" s="79">
        <f t="shared" si="154"/>
        <v>0</v>
      </c>
      <c r="AA154" s="79">
        <f t="shared" si="155"/>
        <v>0</v>
      </c>
      <c r="AB154" s="79">
        <f t="shared" si="156"/>
        <v>0</v>
      </c>
      <c r="AC154" s="79">
        <f t="shared" si="157"/>
        <v>0</v>
      </c>
      <c r="AD154" s="79">
        <f t="shared" si="158"/>
        <v>0</v>
      </c>
      <c r="AE154" s="79">
        <f t="shared" si="159"/>
        <v>0</v>
      </c>
      <c r="AF154" s="79">
        <f t="shared" si="160"/>
        <v>0</v>
      </c>
      <c r="AG154" s="79">
        <f t="shared" si="161"/>
        <v>0</v>
      </c>
      <c r="AH154" s="79">
        <f t="shared" si="162"/>
        <v>0</v>
      </c>
      <c r="AI154" s="79">
        <f t="shared" si="163"/>
        <v>0</v>
      </c>
      <c r="AJ154" s="79">
        <f t="shared" si="164"/>
        <v>0</v>
      </c>
      <c r="AK154" s="79">
        <f t="shared" si="165"/>
        <v>0</v>
      </c>
      <c r="AL154" s="79">
        <f t="shared" si="166"/>
        <v>0</v>
      </c>
      <c r="AM154" s="79">
        <f t="shared" si="167"/>
        <v>0</v>
      </c>
      <c r="AN154" s="79">
        <f t="shared" si="168"/>
        <v>0</v>
      </c>
      <c r="AO154" s="79">
        <f t="shared" si="169"/>
        <v>0</v>
      </c>
      <c r="AP154" s="79">
        <f t="shared" si="170"/>
        <v>0</v>
      </c>
      <c r="AQ154" s="79">
        <f t="shared" si="171"/>
        <v>0</v>
      </c>
      <c r="AR154" s="79">
        <f t="shared" si="172"/>
        <v>0</v>
      </c>
      <c r="AS154" s="79">
        <f t="shared" si="173"/>
        <v>0</v>
      </c>
      <c r="AT154" s="79">
        <f t="shared" si="174"/>
        <v>0</v>
      </c>
      <c r="AU154" s="79">
        <f t="shared" si="175"/>
        <v>0</v>
      </c>
    </row>
    <row r="155" spans="1:50" ht="23.1" customHeight="1">
      <c r="A155" s="81" t="s">
        <v>842</v>
      </c>
      <c r="B155" s="81" t="s">
        <v>847</v>
      </c>
      <c r="C155" s="82" t="s">
        <v>333</v>
      </c>
      <c r="D155" s="84">
        <v>49</v>
      </c>
      <c r="E155" s="84">
        <f>일위대가목록!G10</f>
        <v>13808</v>
      </c>
      <c r="F155" s="84">
        <f t="shared" si="142"/>
        <v>676592</v>
      </c>
      <c r="G155" s="84">
        <f>일위대가목록!I10</f>
        <v>18898</v>
      </c>
      <c r="H155" s="84">
        <f t="shared" si="143"/>
        <v>926002</v>
      </c>
      <c r="I155" s="84">
        <f>일위대가목록!K10</f>
        <v>0</v>
      </c>
      <c r="J155" s="84">
        <f t="shared" si="144"/>
        <v>0</v>
      </c>
      <c r="K155" s="84">
        <f t="shared" si="145"/>
        <v>32706</v>
      </c>
      <c r="L155" s="84">
        <f t="shared" si="145"/>
        <v>1602594</v>
      </c>
      <c r="M155" s="84" t="s">
        <v>848</v>
      </c>
      <c r="O155" s="79" t="str">
        <f>""</f>
        <v/>
      </c>
      <c r="P155" s="86" t="s">
        <v>678</v>
      </c>
      <c r="Q155" s="79">
        <v>1</v>
      </c>
      <c r="R155" s="79">
        <f t="shared" si="146"/>
        <v>0</v>
      </c>
      <c r="S155" s="79">
        <f t="shared" si="147"/>
        <v>0</v>
      </c>
      <c r="T155" s="79">
        <f t="shared" si="148"/>
        <v>0</v>
      </c>
      <c r="U155" s="79">
        <f t="shared" si="149"/>
        <v>0</v>
      </c>
      <c r="V155" s="79">
        <f t="shared" si="150"/>
        <v>0</v>
      </c>
      <c r="W155" s="79">
        <f t="shared" si="151"/>
        <v>0</v>
      </c>
      <c r="X155" s="79">
        <f t="shared" si="152"/>
        <v>0</v>
      </c>
      <c r="Y155" s="79">
        <f t="shared" si="153"/>
        <v>0</v>
      </c>
      <c r="Z155" s="79">
        <f t="shared" si="154"/>
        <v>0</v>
      </c>
      <c r="AA155" s="79">
        <f t="shared" si="155"/>
        <v>0</v>
      </c>
      <c r="AB155" s="79">
        <f t="shared" si="156"/>
        <v>0</v>
      </c>
      <c r="AC155" s="79">
        <f t="shared" si="157"/>
        <v>0</v>
      </c>
      <c r="AD155" s="79">
        <f t="shared" si="158"/>
        <v>0</v>
      </c>
      <c r="AE155" s="79">
        <f t="shared" si="159"/>
        <v>0</v>
      </c>
      <c r="AF155" s="79">
        <f t="shared" si="160"/>
        <v>0</v>
      </c>
      <c r="AG155" s="79">
        <f t="shared" si="161"/>
        <v>0</v>
      </c>
      <c r="AH155" s="79">
        <f t="shared" si="162"/>
        <v>0</v>
      </c>
      <c r="AI155" s="79">
        <f t="shared" si="163"/>
        <v>0</v>
      </c>
      <c r="AJ155" s="79">
        <f t="shared" si="164"/>
        <v>0</v>
      </c>
      <c r="AK155" s="79">
        <f t="shared" si="165"/>
        <v>0</v>
      </c>
      <c r="AL155" s="79">
        <f t="shared" si="166"/>
        <v>0</v>
      </c>
      <c r="AM155" s="79">
        <f t="shared" si="167"/>
        <v>0</v>
      </c>
      <c r="AN155" s="79">
        <f t="shared" si="168"/>
        <v>0</v>
      </c>
      <c r="AO155" s="79">
        <f t="shared" si="169"/>
        <v>0</v>
      </c>
      <c r="AP155" s="79">
        <f t="shared" si="170"/>
        <v>0</v>
      </c>
      <c r="AQ155" s="79">
        <f t="shared" si="171"/>
        <v>0</v>
      </c>
      <c r="AR155" s="79">
        <f t="shared" si="172"/>
        <v>0</v>
      </c>
      <c r="AS155" s="79">
        <f t="shared" si="173"/>
        <v>0</v>
      </c>
      <c r="AT155" s="79">
        <f t="shared" si="174"/>
        <v>0</v>
      </c>
      <c r="AU155" s="79">
        <f t="shared" si="175"/>
        <v>0</v>
      </c>
    </row>
    <row r="156" spans="1:50" ht="23.1" customHeight="1">
      <c r="A156" s="81" t="s">
        <v>842</v>
      </c>
      <c r="B156" s="81" t="s">
        <v>895</v>
      </c>
      <c r="C156" s="82" t="s">
        <v>333</v>
      </c>
      <c r="D156" s="84">
        <v>34</v>
      </c>
      <c r="E156" s="84">
        <f>일위대가목록!G11</f>
        <v>19745</v>
      </c>
      <c r="F156" s="84">
        <f t="shared" si="142"/>
        <v>671330</v>
      </c>
      <c r="G156" s="84">
        <f>일위대가목록!I11</f>
        <v>26206</v>
      </c>
      <c r="H156" s="84">
        <f t="shared" si="143"/>
        <v>891004</v>
      </c>
      <c r="I156" s="84">
        <f>일위대가목록!K11</f>
        <v>0</v>
      </c>
      <c r="J156" s="84">
        <f t="shared" si="144"/>
        <v>0</v>
      </c>
      <c r="K156" s="84">
        <f t="shared" si="145"/>
        <v>45951</v>
      </c>
      <c r="L156" s="84">
        <f t="shared" si="145"/>
        <v>1562334</v>
      </c>
      <c r="M156" s="84" t="s">
        <v>896</v>
      </c>
      <c r="O156" s="79" t="str">
        <f>""</f>
        <v/>
      </c>
      <c r="P156" s="86" t="s">
        <v>678</v>
      </c>
      <c r="Q156" s="79">
        <v>1</v>
      </c>
      <c r="R156" s="79">
        <f t="shared" si="146"/>
        <v>0</v>
      </c>
      <c r="S156" s="79">
        <f t="shared" si="147"/>
        <v>0</v>
      </c>
      <c r="T156" s="79">
        <f t="shared" si="148"/>
        <v>0</v>
      </c>
      <c r="U156" s="79">
        <f t="shared" si="149"/>
        <v>0</v>
      </c>
      <c r="V156" s="79">
        <f t="shared" si="150"/>
        <v>0</v>
      </c>
      <c r="W156" s="79">
        <f t="shared" si="151"/>
        <v>0</v>
      </c>
      <c r="X156" s="79">
        <f t="shared" si="152"/>
        <v>0</v>
      </c>
      <c r="Y156" s="79">
        <f t="shared" si="153"/>
        <v>0</v>
      </c>
      <c r="Z156" s="79">
        <f t="shared" si="154"/>
        <v>0</v>
      </c>
      <c r="AA156" s="79">
        <f t="shared" si="155"/>
        <v>0</v>
      </c>
      <c r="AB156" s="79">
        <f t="shared" si="156"/>
        <v>0</v>
      </c>
      <c r="AC156" s="79">
        <f t="shared" si="157"/>
        <v>0</v>
      </c>
      <c r="AD156" s="79">
        <f t="shared" si="158"/>
        <v>0</v>
      </c>
      <c r="AE156" s="79">
        <f t="shared" si="159"/>
        <v>0</v>
      </c>
      <c r="AF156" s="79">
        <f t="shared" si="160"/>
        <v>0</v>
      </c>
      <c r="AG156" s="79">
        <f t="shared" si="161"/>
        <v>0</v>
      </c>
      <c r="AH156" s="79">
        <f t="shared" si="162"/>
        <v>0</v>
      </c>
      <c r="AI156" s="79">
        <f t="shared" si="163"/>
        <v>0</v>
      </c>
      <c r="AJ156" s="79">
        <f t="shared" si="164"/>
        <v>0</v>
      </c>
      <c r="AK156" s="79">
        <f t="shared" si="165"/>
        <v>0</v>
      </c>
      <c r="AL156" s="79">
        <f t="shared" si="166"/>
        <v>0</v>
      </c>
      <c r="AM156" s="79">
        <f t="shared" si="167"/>
        <v>0</v>
      </c>
      <c r="AN156" s="79">
        <f t="shared" si="168"/>
        <v>0</v>
      </c>
      <c r="AO156" s="79">
        <f t="shared" si="169"/>
        <v>0</v>
      </c>
      <c r="AP156" s="79">
        <f t="shared" si="170"/>
        <v>0</v>
      </c>
      <c r="AQ156" s="79">
        <f t="shared" si="171"/>
        <v>0</v>
      </c>
      <c r="AR156" s="79">
        <f t="shared" si="172"/>
        <v>0</v>
      </c>
      <c r="AS156" s="79">
        <f t="shared" si="173"/>
        <v>0</v>
      </c>
      <c r="AT156" s="79">
        <f t="shared" si="174"/>
        <v>0</v>
      </c>
      <c r="AU156" s="79">
        <f t="shared" si="175"/>
        <v>0</v>
      </c>
    </row>
    <row r="157" spans="1:50" ht="23.1" customHeight="1">
      <c r="A157" s="81" t="s">
        <v>842</v>
      </c>
      <c r="B157" s="81" t="s">
        <v>897</v>
      </c>
      <c r="C157" s="82" t="s">
        <v>333</v>
      </c>
      <c r="D157" s="84">
        <v>44</v>
      </c>
      <c r="E157" s="84">
        <f>일위대가목록!G12</f>
        <v>26057</v>
      </c>
      <c r="F157" s="84">
        <f t="shared" si="142"/>
        <v>1146508</v>
      </c>
      <c r="G157" s="84">
        <f>일위대가목록!I12</f>
        <v>33788</v>
      </c>
      <c r="H157" s="84">
        <f t="shared" si="143"/>
        <v>1486672</v>
      </c>
      <c r="I157" s="84">
        <f>일위대가목록!K12</f>
        <v>0</v>
      </c>
      <c r="J157" s="84">
        <f t="shared" si="144"/>
        <v>0</v>
      </c>
      <c r="K157" s="84">
        <f t="shared" si="145"/>
        <v>59845</v>
      </c>
      <c r="L157" s="84">
        <f t="shared" si="145"/>
        <v>2633180</v>
      </c>
      <c r="M157" s="84" t="s">
        <v>898</v>
      </c>
      <c r="O157" s="79" t="str">
        <f>""</f>
        <v/>
      </c>
      <c r="P157" s="86" t="s">
        <v>678</v>
      </c>
      <c r="Q157" s="79">
        <v>1</v>
      </c>
      <c r="R157" s="79">
        <f t="shared" si="146"/>
        <v>0</v>
      </c>
      <c r="S157" s="79">
        <f t="shared" si="147"/>
        <v>0</v>
      </c>
      <c r="T157" s="79">
        <f t="shared" si="148"/>
        <v>0</v>
      </c>
      <c r="U157" s="79">
        <f t="shared" si="149"/>
        <v>0</v>
      </c>
      <c r="V157" s="79">
        <f t="shared" si="150"/>
        <v>0</v>
      </c>
      <c r="W157" s="79">
        <f t="shared" si="151"/>
        <v>0</v>
      </c>
      <c r="X157" s="79">
        <f t="shared" si="152"/>
        <v>0</v>
      </c>
      <c r="Y157" s="79">
        <f t="shared" si="153"/>
        <v>0</v>
      </c>
      <c r="Z157" s="79">
        <f t="shared" si="154"/>
        <v>0</v>
      </c>
      <c r="AA157" s="79">
        <f t="shared" si="155"/>
        <v>0</v>
      </c>
      <c r="AB157" s="79">
        <f t="shared" si="156"/>
        <v>0</v>
      </c>
      <c r="AC157" s="79">
        <f t="shared" si="157"/>
        <v>0</v>
      </c>
      <c r="AD157" s="79">
        <f t="shared" si="158"/>
        <v>0</v>
      </c>
      <c r="AE157" s="79">
        <f t="shared" si="159"/>
        <v>0</v>
      </c>
      <c r="AF157" s="79">
        <f t="shared" si="160"/>
        <v>0</v>
      </c>
      <c r="AG157" s="79">
        <f t="shared" si="161"/>
        <v>0</v>
      </c>
      <c r="AH157" s="79">
        <f t="shared" si="162"/>
        <v>0</v>
      </c>
      <c r="AI157" s="79">
        <f t="shared" si="163"/>
        <v>0</v>
      </c>
      <c r="AJ157" s="79">
        <f t="shared" si="164"/>
        <v>0</v>
      </c>
      <c r="AK157" s="79">
        <f t="shared" si="165"/>
        <v>0</v>
      </c>
      <c r="AL157" s="79">
        <f t="shared" si="166"/>
        <v>0</v>
      </c>
      <c r="AM157" s="79">
        <f t="shared" si="167"/>
        <v>0</v>
      </c>
      <c r="AN157" s="79">
        <f t="shared" si="168"/>
        <v>0</v>
      </c>
      <c r="AO157" s="79">
        <f t="shared" si="169"/>
        <v>0</v>
      </c>
      <c r="AP157" s="79">
        <f t="shared" si="170"/>
        <v>0</v>
      </c>
      <c r="AQ157" s="79">
        <f t="shared" si="171"/>
        <v>0</v>
      </c>
      <c r="AR157" s="79">
        <f t="shared" si="172"/>
        <v>0</v>
      </c>
      <c r="AS157" s="79">
        <f t="shared" si="173"/>
        <v>0</v>
      </c>
      <c r="AT157" s="79">
        <f t="shared" si="174"/>
        <v>0</v>
      </c>
      <c r="AU157" s="79">
        <f t="shared" si="175"/>
        <v>0</v>
      </c>
    </row>
    <row r="158" spans="1:50" ht="23.1" customHeight="1">
      <c r="A158" s="81" t="s">
        <v>842</v>
      </c>
      <c r="B158" s="81" t="s">
        <v>849</v>
      </c>
      <c r="C158" s="82" t="s">
        <v>333</v>
      </c>
      <c r="D158" s="84">
        <v>70</v>
      </c>
      <c r="E158" s="84">
        <f>일위대가목록!G13</f>
        <v>30890</v>
      </c>
      <c r="F158" s="84">
        <f t="shared" si="142"/>
        <v>2162300</v>
      </c>
      <c r="G158" s="84">
        <f>일위대가목록!I13</f>
        <v>39309</v>
      </c>
      <c r="H158" s="84">
        <f t="shared" si="143"/>
        <v>2751630</v>
      </c>
      <c r="I158" s="84">
        <f>일위대가목록!K13</f>
        <v>0</v>
      </c>
      <c r="J158" s="84">
        <f t="shared" si="144"/>
        <v>0</v>
      </c>
      <c r="K158" s="84">
        <f t="shared" si="145"/>
        <v>70199</v>
      </c>
      <c r="L158" s="84">
        <f t="shared" si="145"/>
        <v>4913930</v>
      </c>
      <c r="M158" s="84" t="s">
        <v>850</v>
      </c>
      <c r="O158" s="79" t="str">
        <f>""</f>
        <v/>
      </c>
      <c r="P158" s="86" t="s">
        <v>678</v>
      </c>
      <c r="Q158" s="79">
        <v>1</v>
      </c>
      <c r="R158" s="79">
        <f t="shared" si="146"/>
        <v>0</v>
      </c>
      <c r="S158" s="79">
        <f t="shared" si="147"/>
        <v>0</v>
      </c>
      <c r="T158" s="79">
        <f t="shared" si="148"/>
        <v>0</v>
      </c>
      <c r="U158" s="79">
        <f t="shared" si="149"/>
        <v>0</v>
      </c>
      <c r="V158" s="79">
        <f t="shared" si="150"/>
        <v>0</v>
      </c>
      <c r="W158" s="79">
        <f t="shared" si="151"/>
        <v>0</v>
      </c>
      <c r="X158" s="79">
        <f t="shared" si="152"/>
        <v>0</v>
      </c>
      <c r="Y158" s="79">
        <f t="shared" si="153"/>
        <v>0</v>
      </c>
      <c r="Z158" s="79">
        <f t="shared" si="154"/>
        <v>0</v>
      </c>
      <c r="AA158" s="79">
        <f t="shared" si="155"/>
        <v>0</v>
      </c>
      <c r="AB158" s="79">
        <f t="shared" si="156"/>
        <v>0</v>
      </c>
      <c r="AC158" s="79">
        <f t="shared" si="157"/>
        <v>0</v>
      </c>
      <c r="AD158" s="79">
        <f t="shared" si="158"/>
        <v>0</v>
      </c>
      <c r="AE158" s="79">
        <f t="shared" si="159"/>
        <v>0</v>
      </c>
      <c r="AF158" s="79">
        <f t="shared" si="160"/>
        <v>0</v>
      </c>
      <c r="AG158" s="79">
        <f t="shared" si="161"/>
        <v>0</v>
      </c>
      <c r="AH158" s="79">
        <f t="shared" si="162"/>
        <v>0</v>
      </c>
      <c r="AI158" s="79">
        <f t="shared" si="163"/>
        <v>0</v>
      </c>
      <c r="AJ158" s="79">
        <f t="shared" si="164"/>
        <v>0</v>
      </c>
      <c r="AK158" s="79">
        <f t="shared" si="165"/>
        <v>0</v>
      </c>
      <c r="AL158" s="79">
        <f t="shared" si="166"/>
        <v>0</v>
      </c>
      <c r="AM158" s="79">
        <f t="shared" si="167"/>
        <v>0</v>
      </c>
      <c r="AN158" s="79">
        <f t="shared" si="168"/>
        <v>0</v>
      </c>
      <c r="AO158" s="79">
        <f t="shared" si="169"/>
        <v>0</v>
      </c>
      <c r="AP158" s="79">
        <f t="shared" si="170"/>
        <v>0</v>
      </c>
      <c r="AQ158" s="79">
        <f t="shared" si="171"/>
        <v>0</v>
      </c>
      <c r="AR158" s="79">
        <f t="shared" si="172"/>
        <v>0</v>
      </c>
      <c r="AS158" s="79">
        <f t="shared" si="173"/>
        <v>0</v>
      </c>
      <c r="AT158" s="79">
        <f t="shared" si="174"/>
        <v>0</v>
      </c>
      <c r="AU158" s="79">
        <f t="shared" si="175"/>
        <v>0</v>
      </c>
    </row>
    <row r="159" spans="1:50" ht="23.1" customHeight="1">
      <c r="A159" s="81" t="s">
        <v>756</v>
      </c>
      <c r="B159" s="81" t="s">
        <v>762</v>
      </c>
      <c r="C159" s="82" t="s">
        <v>343</v>
      </c>
      <c r="D159" s="84">
        <v>2</v>
      </c>
      <c r="E159" s="84">
        <f>단가대비표!L106</f>
        <v>24096.023000000001</v>
      </c>
      <c r="F159" s="84">
        <f t="shared" si="142"/>
        <v>48192</v>
      </c>
      <c r="G159" s="84">
        <v>0</v>
      </c>
      <c r="H159" s="84">
        <f t="shared" si="143"/>
        <v>0</v>
      </c>
      <c r="I159" s="84">
        <v>0</v>
      </c>
      <c r="J159" s="84">
        <f t="shared" si="144"/>
        <v>0</v>
      </c>
      <c r="K159" s="84">
        <f t="shared" si="145"/>
        <v>24096.023000000001</v>
      </c>
      <c r="L159" s="84">
        <f t="shared" si="145"/>
        <v>48192</v>
      </c>
      <c r="M159" s="84"/>
      <c r="O159" s="79" t="str">
        <f t="shared" ref="O159:O168" si="176">"01"</f>
        <v>01</v>
      </c>
      <c r="P159" s="86" t="s">
        <v>678</v>
      </c>
      <c r="Q159" s="79">
        <v>1</v>
      </c>
      <c r="R159" s="79">
        <f t="shared" si="146"/>
        <v>0</v>
      </c>
      <c r="S159" s="79">
        <f t="shared" si="147"/>
        <v>0</v>
      </c>
      <c r="T159" s="79">
        <f t="shared" si="148"/>
        <v>0</v>
      </c>
      <c r="U159" s="79">
        <f t="shared" si="149"/>
        <v>0</v>
      </c>
      <c r="V159" s="79">
        <f t="shared" si="150"/>
        <v>0</v>
      </c>
      <c r="W159" s="79">
        <f t="shared" si="151"/>
        <v>0</v>
      </c>
      <c r="X159" s="79">
        <f t="shared" si="152"/>
        <v>0</v>
      </c>
      <c r="Y159" s="79">
        <f t="shared" si="153"/>
        <v>0</v>
      </c>
      <c r="Z159" s="79">
        <f t="shared" si="154"/>
        <v>0</v>
      </c>
      <c r="AA159" s="79">
        <f t="shared" si="155"/>
        <v>0</v>
      </c>
      <c r="AB159" s="79">
        <f t="shared" si="156"/>
        <v>0</v>
      </c>
      <c r="AC159" s="79">
        <f t="shared" si="157"/>
        <v>0</v>
      </c>
      <c r="AD159" s="79">
        <f t="shared" si="158"/>
        <v>0</v>
      </c>
      <c r="AE159" s="79">
        <f t="shared" si="159"/>
        <v>0</v>
      </c>
      <c r="AF159" s="79">
        <f t="shared" si="160"/>
        <v>0</v>
      </c>
      <c r="AG159" s="79">
        <f t="shared" si="161"/>
        <v>0</v>
      </c>
      <c r="AH159" s="79">
        <f t="shared" si="162"/>
        <v>0</v>
      </c>
      <c r="AI159" s="79">
        <f t="shared" si="163"/>
        <v>0</v>
      </c>
      <c r="AJ159" s="79">
        <f t="shared" si="164"/>
        <v>0</v>
      </c>
      <c r="AK159" s="79">
        <f t="shared" si="165"/>
        <v>0</v>
      </c>
      <c r="AL159" s="79">
        <f t="shared" si="166"/>
        <v>0</v>
      </c>
      <c r="AM159" s="79">
        <f t="shared" si="167"/>
        <v>0</v>
      </c>
      <c r="AN159" s="79">
        <f t="shared" si="168"/>
        <v>0</v>
      </c>
      <c r="AO159" s="79">
        <f t="shared" si="169"/>
        <v>0</v>
      </c>
      <c r="AP159" s="79">
        <f t="shared" si="170"/>
        <v>0</v>
      </c>
      <c r="AQ159" s="79">
        <f t="shared" si="171"/>
        <v>0</v>
      </c>
      <c r="AR159" s="79">
        <f t="shared" si="172"/>
        <v>0</v>
      </c>
      <c r="AS159" s="79">
        <f t="shared" si="173"/>
        <v>0</v>
      </c>
      <c r="AT159" s="79">
        <f t="shared" si="174"/>
        <v>0</v>
      </c>
      <c r="AU159" s="79">
        <f t="shared" si="175"/>
        <v>0</v>
      </c>
    </row>
    <row r="160" spans="1:50" ht="23.1" customHeight="1">
      <c r="A160" s="81" t="s">
        <v>756</v>
      </c>
      <c r="B160" s="81" t="s">
        <v>763</v>
      </c>
      <c r="C160" s="82" t="s">
        <v>343</v>
      </c>
      <c r="D160" s="84">
        <v>4</v>
      </c>
      <c r="E160" s="84">
        <f>단가대비표!L107</f>
        <v>28676.332999999999</v>
      </c>
      <c r="F160" s="84">
        <f t="shared" si="142"/>
        <v>114705</v>
      </c>
      <c r="G160" s="84">
        <v>0</v>
      </c>
      <c r="H160" s="84">
        <f t="shared" si="143"/>
        <v>0</v>
      </c>
      <c r="I160" s="84">
        <v>0</v>
      </c>
      <c r="J160" s="84">
        <f t="shared" si="144"/>
        <v>0</v>
      </c>
      <c r="K160" s="84">
        <f t="shared" si="145"/>
        <v>28676.332999999999</v>
      </c>
      <c r="L160" s="84">
        <f t="shared" si="145"/>
        <v>114705</v>
      </c>
      <c r="M160" s="84"/>
      <c r="O160" s="79" t="str">
        <f t="shared" si="176"/>
        <v>01</v>
      </c>
      <c r="P160" s="86" t="s">
        <v>678</v>
      </c>
      <c r="Q160" s="79">
        <v>1</v>
      </c>
      <c r="R160" s="79">
        <f t="shared" si="146"/>
        <v>0</v>
      </c>
      <c r="S160" s="79">
        <f t="shared" si="147"/>
        <v>0</v>
      </c>
      <c r="T160" s="79">
        <f t="shared" si="148"/>
        <v>0</v>
      </c>
      <c r="U160" s="79">
        <f t="shared" si="149"/>
        <v>0</v>
      </c>
      <c r="V160" s="79">
        <f t="shared" si="150"/>
        <v>0</v>
      </c>
      <c r="W160" s="79">
        <f t="shared" si="151"/>
        <v>0</v>
      </c>
      <c r="X160" s="79">
        <f t="shared" si="152"/>
        <v>0</v>
      </c>
      <c r="Y160" s="79">
        <f t="shared" si="153"/>
        <v>0</v>
      </c>
      <c r="Z160" s="79">
        <f t="shared" si="154"/>
        <v>0</v>
      </c>
      <c r="AA160" s="79">
        <f t="shared" si="155"/>
        <v>0</v>
      </c>
      <c r="AB160" s="79">
        <f t="shared" si="156"/>
        <v>0</v>
      </c>
      <c r="AC160" s="79">
        <f t="shared" si="157"/>
        <v>0</v>
      </c>
      <c r="AD160" s="79">
        <f t="shared" si="158"/>
        <v>0</v>
      </c>
      <c r="AE160" s="79">
        <f t="shared" si="159"/>
        <v>0</v>
      </c>
      <c r="AF160" s="79">
        <f t="shared" si="160"/>
        <v>0</v>
      </c>
      <c r="AG160" s="79">
        <f t="shared" si="161"/>
        <v>0</v>
      </c>
      <c r="AH160" s="79">
        <f t="shared" si="162"/>
        <v>0</v>
      </c>
      <c r="AI160" s="79">
        <f t="shared" si="163"/>
        <v>0</v>
      </c>
      <c r="AJ160" s="79">
        <f t="shared" si="164"/>
        <v>0</v>
      </c>
      <c r="AK160" s="79">
        <f t="shared" si="165"/>
        <v>0</v>
      </c>
      <c r="AL160" s="79">
        <f t="shared" si="166"/>
        <v>0</v>
      </c>
      <c r="AM160" s="79">
        <f t="shared" si="167"/>
        <v>0</v>
      </c>
      <c r="AN160" s="79">
        <f t="shared" si="168"/>
        <v>0</v>
      </c>
      <c r="AO160" s="79">
        <f t="shared" si="169"/>
        <v>0</v>
      </c>
      <c r="AP160" s="79">
        <f t="shared" si="170"/>
        <v>0</v>
      </c>
      <c r="AQ160" s="79">
        <f t="shared" si="171"/>
        <v>0</v>
      </c>
      <c r="AR160" s="79">
        <f t="shared" si="172"/>
        <v>0</v>
      </c>
      <c r="AS160" s="79">
        <f t="shared" si="173"/>
        <v>0</v>
      </c>
      <c r="AT160" s="79">
        <f t="shared" si="174"/>
        <v>0</v>
      </c>
      <c r="AU160" s="79">
        <f t="shared" si="175"/>
        <v>0</v>
      </c>
    </row>
    <row r="161" spans="1:47" ht="23.1" customHeight="1">
      <c r="A161" s="81" t="s">
        <v>756</v>
      </c>
      <c r="B161" s="81" t="s">
        <v>899</v>
      </c>
      <c r="C161" s="82" t="s">
        <v>343</v>
      </c>
      <c r="D161" s="84">
        <v>16</v>
      </c>
      <c r="E161" s="84">
        <f>단가대비표!L114</f>
        <v>8567.8739999999998</v>
      </c>
      <c r="F161" s="84">
        <f t="shared" si="142"/>
        <v>137085</v>
      </c>
      <c r="G161" s="84">
        <v>0</v>
      </c>
      <c r="H161" s="84">
        <f t="shared" si="143"/>
        <v>0</v>
      </c>
      <c r="I161" s="84">
        <v>0</v>
      </c>
      <c r="J161" s="84">
        <f t="shared" si="144"/>
        <v>0</v>
      </c>
      <c r="K161" s="84">
        <f t="shared" si="145"/>
        <v>8567.8739999999998</v>
      </c>
      <c r="L161" s="84">
        <f t="shared" si="145"/>
        <v>137085</v>
      </c>
      <c r="M161" s="84"/>
      <c r="O161" s="79" t="str">
        <f t="shared" si="176"/>
        <v>01</v>
      </c>
      <c r="P161" s="86" t="s">
        <v>678</v>
      </c>
      <c r="Q161" s="79">
        <v>1</v>
      </c>
      <c r="R161" s="79">
        <f t="shared" si="146"/>
        <v>0</v>
      </c>
      <c r="S161" s="79">
        <f t="shared" si="147"/>
        <v>0</v>
      </c>
      <c r="T161" s="79">
        <f t="shared" si="148"/>
        <v>0</v>
      </c>
      <c r="U161" s="79">
        <f t="shared" si="149"/>
        <v>0</v>
      </c>
      <c r="V161" s="79">
        <f t="shared" si="150"/>
        <v>0</v>
      </c>
      <c r="W161" s="79">
        <f t="shared" si="151"/>
        <v>0</v>
      </c>
      <c r="X161" s="79">
        <f t="shared" si="152"/>
        <v>0</v>
      </c>
      <c r="Y161" s="79">
        <f t="shared" si="153"/>
        <v>0</v>
      </c>
      <c r="Z161" s="79">
        <f t="shared" si="154"/>
        <v>0</v>
      </c>
      <c r="AA161" s="79">
        <f t="shared" si="155"/>
        <v>0</v>
      </c>
      <c r="AB161" s="79">
        <f t="shared" si="156"/>
        <v>0</v>
      </c>
      <c r="AC161" s="79">
        <f t="shared" si="157"/>
        <v>0</v>
      </c>
      <c r="AD161" s="79">
        <f t="shared" si="158"/>
        <v>0</v>
      </c>
      <c r="AE161" s="79">
        <f t="shared" si="159"/>
        <v>0</v>
      </c>
      <c r="AF161" s="79">
        <f t="shared" si="160"/>
        <v>0</v>
      </c>
      <c r="AG161" s="79">
        <f t="shared" si="161"/>
        <v>0</v>
      </c>
      <c r="AH161" s="79">
        <f t="shared" si="162"/>
        <v>0</v>
      </c>
      <c r="AI161" s="79">
        <f t="shared" si="163"/>
        <v>0</v>
      </c>
      <c r="AJ161" s="79">
        <f t="shared" si="164"/>
        <v>0</v>
      </c>
      <c r="AK161" s="79">
        <f t="shared" si="165"/>
        <v>0</v>
      </c>
      <c r="AL161" s="79">
        <f t="shared" si="166"/>
        <v>0</v>
      </c>
      <c r="AM161" s="79">
        <f t="shared" si="167"/>
        <v>0</v>
      </c>
      <c r="AN161" s="79">
        <f t="shared" si="168"/>
        <v>0</v>
      </c>
      <c r="AO161" s="79">
        <f t="shared" si="169"/>
        <v>0</v>
      </c>
      <c r="AP161" s="79">
        <f t="shared" si="170"/>
        <v>0</v>
      </c>
      <c r="AQ161" s="79">
        <f t="shared" si="171"/>
        <v>0</v>
      </c>
      <c r="AR161" s="79">
        <f t="shared" si="172"/>
        <v>0</v>
      </c>
      <c r="AS161" s="79">
        <f t="shared" si="173"/>
        <v>0</v>
      </c>
      <c r="AT161" s="79">
        <f t="shared" si="174"/>
        <v>0</v>
      </c>
      <c r="AU161" s="79">
        <f t="shared" si="175"/>
        <v>0</v>
      </c>
    </row>
    <row r="162" spans="1:47" ht="23.1" customHeight="1">
      <c r="A162" s="81" t="s">
        <v>756</v>
      </c>
      <c r="B162" s="81" t="s">
        <v>900</v>
      </c>
      <c r="C162" s="82" t="s">
        <v>343</v>
      </c>
      <c r="D162" s="84">
        <v>12</v>
      </c>
      <c r="E162" s="84">
        <f>단가대비표!L94</f>
        <v>14540.239</v>
      </c>
      <c r="F162" s="84">
        <f t="shared" si="142"/>
        <v>174482</v>
      </c>
      <c r="G162" s="84">
        <v>0</v>
      </c>
      <c r="H162" s="84">
        <f t="shared" si="143"/>
        <v>0</v>
      </c>
      <c r="I162" s="84">
        <v>0</v>
      </c>
      <c r="J162" s="84">
        <f t="shared" si="144"/>
        <v>0</v>
      </c>
      <c r="K162" s="84">
        <f t="shared" si="145"/>
        <v>14540.239</v>
      </c>
      <c r="L162" s="84">
        <f t="shared" si="145"/>
        <v>174482</v>
      </c>
      <c r="M162" s="84"/>
      <c r="O162" s="79" t="str">
        <f t="shared" si="176"/>
        <v>01</v>
      </c>
      <c r="P162" s="86" t="s">
        <v>678</v>
      </c>
      <c r="Q162" s="79">
        <v>1</v>
      </c>
      <c r="R162" s="79">
        <f t="shared" si="146"/>
        <v>0</v>
      </c>
      <c r="S162" s="79">
        <f t="shared" si="147"/>
        <v>0</v>
      </c>
      <c r="T162" s="79">
        <f t="shared" si="148"/>
        <v>0</v>
      </c>
      <c r="U162" s="79">
        <f t="shared" si="149"/>
        <v>0</v>
      </c>
      <c r="V162" s="79">
        <f t="shared" si="150"/>
        <v>0</v>
      </c>
      <c r="W162" s="79">
        <f t="shared" si="151"/>
        <v>0</v>
      </c>
      <c r="X162" s="79">
        <f t="shared" si="152"/>
        <v>0</v>
      </c>
      <c r="Y162" s="79">
        <f t="shared" si="153"/>
        <v>0</v>
      </c>
      <c r="Z162" s="79">
        <f t="shared" si="154"/>
        <v>0</v>
      </c>
      <c r="AA162" s="79">
        <f t="shared" si="155"/>
        <v>0</v>
      </c>
      <c r="AB162" s="79">
        <f t="shared" si="156"/>
        <v>0</v>
      </c>
      <c r="AC162" s="79">
        <f t="shared" si="157"/>
        <v>0</v>
      </c>
      <c r="AD162" s="79">
        <f t="shared" si="158"/>
        <v>0</v>
      </c>
      <c r="AE162" s="79">
        <f t="shared" si="159"/>
        <v>0</v>
      </c>
      <c r="AF162" s="79">
        <f t="shared" si="160"/>
        <v>0</v>
      </c>
      <c r="AG162" s="79">
        <f t="shared" si="161"/>
        <v>0</v>
      </c>
      <c r="AH162" s="79">
        <f t="shared" si="162"/>
        <v>0</v>
      </c>
      <c r="AI162" s="79">
        <f t="shared" si="163"/>
        <v>0</v>
      </c>
      <c r="AJ162" s="79">
        <f t="shared" si="164"/>
        <v>0</v>
      </c>
      <c r="AK162" s="79">
        <f t="shared" si="165"/>
        <v>0</v>
      </c>
      <c r="AL162" s="79">
        <f t="shared" si="166"/>
        <v>0</v>
      </c>
      <c r="AM162" s="79">
        <f t="shared" si="167"/>
        <v>0</v>
      </c>
      <c r="AN162" s="79">
        <f t="shared" si="168"/>
        <v>0</v>
      </c>
      <c r="AO162" s="79">
        <f t="shared" si="169"/>
        <v>0</v>
      </c>
      <c r="AP162" s="79">
        <f t="shared" si="170"/>
        <v>0</v>
      </c>
      <c r="AQ162" s="79">
        <f t="shared" si="171"/>
        <v>0</v>
      </c>
      <c r="AR162" s="79">
        <f t="shared" si="172"/>
        <v>0</v>
      </c>
      <c r="AS162" s="79">
        <f t="shared" si="173"/>
        <v>0</v>
      </c>
      <c r="AT162" s="79">
        <f t="shared" si="174"/>
        <v>0</v>
      </c>
      <c r="AU162" s="79">
        <f t="shared" si="175"/>
        <v>0</v>
      </c>
    </row>
    <row r="163" spans="1:47" ht="23.1" customHeight="1">
      <c r="A163" s="81" t="s">
        <v>756</v>
      </c>
      <c r="B163" s="81" t="s">
        <v>901</v>
      </c>
      <c r="C163" s="82" t="s">
        <v>343</v>
      </c>
      <c r="D163" s="84">
        <v>1</v>
      </c>
      <c r="E163" s="84">
        <f>단가대비표!L98</f>
        <v>21805.867999999999</v>
      </c>
      <c r="F163" s="84">
        <f t="shared" si="142"/>
        <v>21805</v>
      </c>
      <c r="G163" s="84">
        <v>0</v>
      </c>
      <c r="H163" s="84">
        <f t="shared" si="143"/>
        <v>0</v>
      </c>
      <c r="I163" s="84">
        <v>0</v>
      </c>
      <c r="J163" s="84">
        <f t="shared" si="144"/>
        <v>0</v>
      </c>
      <c r="K163" s="84">
        <f t="shared" si="145"/>
        <v>21805.867999999999</v>
      </c>
      <c r="L163" s="84">
        <f t="shared" si="145"/>
        <v>21805</v>
      </c>
      <c r="M163" s="84"/>
      <c r="O163" s="79" t="str">
        <f t="shared" si="176"/>
        <v>01</v>
      </c>
      <c r="P163" s="86" t="s">
        <v>678</v>
      </c>
      <c r="Q163" s="79">
        <v>1</v>
      </c>
      <c r="R163" s="79">
        <f t="shared" si="146"/>
        <v>0</v>
      </c>
      <c r="S163" s="79">
        <f t="shared" si="147"/>
        <v>0</v>
      </c>
      <c r="T163" s="79">
        <f t="shared" si="148"/>
        <v>0</v>
      </c>
      <c r="U163" s="79">
        <f t="shared" si="149"/>
        <v>0</v>
      </c>
      <c r="V163" s="79">
        <f t="shared" si="150"/>
        <v>0</v>
      </c>
      <c r="W163" s="79">
        <f t="shared" si="151"/>
        <v>0</v>
      </c>
      <c r="X163" s="79">
        <f t="shared" si="152"/>
        <v>0</v>
      </c>
      <c r="Y163" s="79">
        <f t="shared" si="153"/>
        <v>0</v>
      </c>
      <c r="Z163" s="79">
        <f t="shared" si="154"/>
        <v>0</v>
      </c>
      <c r="AA163" s="79">
        <f t="shared" si="155"/>
        <v>0</v>
      </c>
      <c r="AB163" s="79">
        <f t="shared" si="156"/>
        <v>0</v>
      </c>
      <c r="AC163" s="79">
        <f t="shared" si="157"/>
        <v>0</v>
      </c>
      <c r="AD163" s="79">
        <f t="shared" si="158"/>
        <v>0</v>
      </c>
      <c r="AE163" s="79">
        <f t="shared" si="159"/>
        <v>0</v>
      </c>
      <c r="AF163" s="79">
        <f t="shared" si="160"/>
        <v>0</v>
      </c>
      <c r="AG163" s="79">
        <f t="shared" si="161"/>
        <v>0</v>
      </c>
      <c r="AH163" s="79">
        <f t="shared" si="162"/>
        <v>0</v>
      </c>
      <c r="AI163" s="79">
        <f t="shared" si="163"/>
        <v>0</v>
      </c>
      <c r="AJ163" s="79">
        <f t="shared" si="164"/>
        <v>0</v>
      </c>
      <c r="AK163" s="79">
        <f t="shared" si="165"/>
        <v>0</v>
      </c>
      <c r="AL163" s="79">
        <f t="shared" si="166"/>
        <v>0</v>
      </c>
      <c r="AM163" s="79">
        <f t="shared" si="167"/>
        <v>0</v>
      </c>
      <c r="AN163" s="79">
        <f t="shared" si="168"/>
        <v>0</v>
      </c>
      <c r="AO163" s="79">
        <f t="shared" si="169"/>
        <v>0</v>
      </c>
      <c r="AP163" s="79">
        <f t="shared" si="170"/>
        <v>0</v>
      </c>
      <c r="AQ163" s="79">
        <f t="shared" si="171"/>
        <v>0</v>
      </c>
      <c r="AR163" s="79">
        <f t="shared" si="172"/>
        <v>0</v>
      </c>
      <c r="AS163" s="79">
        <f t="shared" si="173"/>
        <v>0</v>
      </c>
      <c r="AT163" s="79">
        <f t="shared" si="174"/>
        <v>0</v>
      </c>
      <c r="AU163" s="79">
        <f t="shared" si="175"/>
        <v>0</v>
      </c>
    </row>
    <row r="164" spans="1:47" ht="23.1" customHeight="1">
      <c r="A164" s="81" t="s">
        <v>756</v>
      </c>
      <c r="B164" s="81" t="s">
        <v>902</v>
      </c>
      <c r="C164" s="82" t="s">
        <v>343</v>
      </c>
      <c r="D164" s="84">
        <v>16</v>
      </c>
      <c r="E164" s="84">
        <f>단가대비표!L99</f>
        <v>21805.867999999999</v>
      </c>
      <c r="F164" s="84">
        <f t="shared" si="142"/>
        <v>348893</v>
      </c>
      <c r="G164" s="84">
        <v>0</v>
      </c>
      <c r="H164" s="84">
        <f t="shared" si="143"/>
        <v>0</v>
      </c>
      <c r="I164" s="84">
        <v>0</v>
      </c>
      <c r="J164" s="84">
        <f t="shared" si="144"/>
        <v>0</v>
      </c>
      <c r="K164" s="84">
        <f t="shared" si="145"/>
        <v>21805.867999999999</v>
      </c>
      <c r="L164" s="84">
        <f t="shared" si="145"/>
        <v>348893</v>
      </c>
      <c r="M164" s="84"/>
      <c r="O164" s="79" t="str">
        <f t="shared" si="176"/>
        <v>01</v>
      </c>
      <c r="P164" s="86" t="s">
        <v>678</v>
      </c>
      <c r="Q164" s="79">
        <v>1</v>
      </c>
      <c r="R164" s="79">
        <f t="shared" si="146"/>
        <v>0</v>
      </c>
      <c r="S164" s="79">
        <f t="shared" si="147"/>
        <v>0</v>
      </c>
      <c r="T164" s="79">
        <f t="shared" si="148"/>
        <v>0</v>
      </c>
      <c r="U164" s="79">
        <f t="shared" si="149"/>
        <v>0</v>
      </c>
      <c r="V164" s="79">
        <f t="shared" si="150"/>
        <v>0</v>
      </c>
      <c r="W164" s="79">
        <f t="shared" si="151"/>
        <v>0</v>
      </c>
      <c r="X164" s="79">
        <f t="shared" si="152"/>
        <v>0</v>
      </c>
      <c r="Y164" s="79">
        <f t="shared" si="153"/>
        <v>0</v>
      </c>
      <c r="Z164" s="79">
        <f t="shared" si="154"/>
        <v>0</v>
      </c>
      <c r="AA164" s="79">
        <f t="shared" si="155"/>
        <v>0</v>
      </c>
      <c r="AB164" s="79">
        <f t="shared" si="156"/>
        <v>0</v>
      </c>
      <c r="AC164" s="79">
        <f t="shared" si="157"/>
        <v>0</v>
      </c>
      <c r="AD164" s="79">
        <f t="shared" si="158"/>
        <v>0</v>
      </c>
      <c r="AE164" s="79">
        <f t="shared" si="159"/>
        <v>0</v>
      </c>
      <c r="AF164" s="79">
        <f t="shared" si="160"/>
        <v>0</v>
      </c>
      <c r="AG164" s="79">
        <f t="shared" si="161"/>
        <v>0</v>
      </c>
      <c r="AH164" s="79">
        <f t="shared" si="162"/>
        <v>0</v>
      </c>
      <c r="AI164" s="79">
        <f t="shared" si="163"/>
        <v>0</v>
      </c>
      <c r="AJ164" s="79">
        <f t="shared" si="164"/>
        <v>0</v>
      </c>
      <c r="AK164" s="79">
        <f t="shared" si="165"/>
        <v>0</v>
      </c>
      <c r="AL164" s="79">
        <f t="shared" si="166"/>
        <v>0</v>
      </c>
      <c r="AM164" s="79">
        <f t="shared" si="167"/>
        <v>0</v>
      </c>
      <c r="AN164" s="79">
        <f t="shared" si="168"/>
        <v>0</v>
      </c>
      <c r="AO164" s="79">
        <f t="shared" si="169"/>
        <v>0</v>
      </c>
      <c r="AP164" s="79">
        <f t="shared" si="170"/>
        <v>0</v>
      </c>
      <c r="AQ164" s="79">
        <f t="shared" si="171"/>
        <v>0</v>
      </c>
      <c r="AR164" s="79">
        <f t="shared" si="172"/>
        <v>0</v>
      </c>
      <c r="AS164" s="79">
        <f t="shared" si="173"/>
        <v>0</v>
      </c>
      <c r="AT164" s="79">
        <f t="shared" si="174"/>
        <v>0</v>
      </c>
      <c r="AU164" s="79">
        <f t="shared" si="175"/>
        <v>0</v>
      </c>
    </row>
    <row r="165" spans="1:47" ht="23.1" customHeight="1">
      <c r="A165" s="81" t="s">
        <v>756</v>
      </c>
      <c r="B165" s="81" t="s">
        <v>903</v>
      </c>
      <c r="C165" s="82" t="s">
        <v>343</v>
      </c>
      <c r="D165" s="84">
        <v>10</v>
      </c>
      <c r="E165" s="84">
        <f>단가대비표!L101</f>
        <v>28676.332999999999</v>
      </c>
      <c r="F165" s="84">
        <f t="shared" si="142"/>
        <v>286763</v>
      </c>
      <c r="G165" s="84">
        <v>0</v>
      </c>
      <c r="H165" s="84">
        <f t="shared" si="143"/>
        <v>0</v>
      </c>
      <c r="I165" s="84">
        <v>0</v>
      </c>
      <c r="J165" s="84">
        <f t="shared" si="144"/>
        <v>0</v>
      </c>
      <c r="K165" s="84">
        <f t="shared" si="145"/>
        <v>28676.332999999999</v>
      </c>
      <c r="L165" s="84">
        <f t="shared" si="145"/>
        <v>286763</v>
      </c>
      <c r="M165" s="84"/>
      <c r="O165" s="79" t="str">
        <f t="shared" si="176"/>
        <v>01</v>
      </c>
      <c r="P165" s="86" t="s">
        <v>678</v>
      </c>
      <c r="Q165" s="79">
        <v>1</v>
      </c>
      <c r="R165" s="79">
        <f t="shared" si="146"/>
        <v>0</v>
      </c>
      <c r="S165" s="79">
        <f t="shared" si="147"/>
        <v>0</v>
      </c>
      <c r="T165" s="79">
        <f t="shared" si="148"/>
        <v>0</v>
      </c>
      <c r="U165" s="79">
        <f t="shared" si="149"/>
        <v>0</v>
      </c>
      <c r="V165" s="79">
        <f t="shared" si="150"/>
        <v>0</v>
      </c>
      <c r="W165" s="79">
        <f t="shared" si="151"/>
        <v>0</v>
      </c>
      <c r="X165" s="79">
        <f t="shared" si="152"/>
        <v>0</v>
      </c>
      <c r="Y165" s="79">
        <f t="shared" si="153"/>
        <v>0</v>
      </c>
      <c r="Z165" s="79">
        <f t="shared" si="154"/>
        <v>0</v>
      </c>
      <c r="AA165" s="79">
        <f t="shared" si="155"/>
        <v>0</v>
      </c>
      <c r="AB165" s="79">
        <f t="shared" si="156"/>
        <v>0</v>
      </c>
      <c r="AC165" s="79">
        <f t="shared" si="157"/>
        <v>0</v>
      </c>
      <c r="AD165" s="79">
        <f t="shared" si="158"/>
        <v>0</v>
      </c>
      <c r="AE165" s="79">
        <f t="shared" si="159"/>
        <v>0</v>
      </c>
      <c r="AF165" s="79">
        <f t="shared" si="160"/>
        <v>0</v>
      </c>
      <c r="AG165" s="79">
        <f t="shared" si="161"/>
        <v>0</v>
      </c>
      <c r="AH165" s="79">
        <f t="shared" si="162"/>
        <v>0</v>
      </c>
      <c r="AI165" s="79">
        <f t="shared" si="163"/>
        <v>0</v>
      </c>
      <c r="AJ165" s="79">
        <f t="shared" si="164"/>
        <v>0</v>
      </c>
      <c r="AK165" s="79">
        <f t="shared" si="165"/>
        <v>0</v>
      </c>
      <c r="AL165" s="79">
        <f t="shared" si="166"/>
        <v>0</v>
      </c>
      <c r="AM165" s="79">
        <f t="shared" si="167"/>
        <v>0</v>
      </c>
      <c r="AN165" s="79">
        <f t="shared" si="168"/>
        <v>0</v>
      </c>
      <c r="AO165" s="79">
        <f t="shared" si="169"/>
        <v>0</v>
      </c>
      <c r="AP165" s="79">
        <f t="shared" si="170"/>
        <v>0</v>
      </c>
      <c r="AQ165" s="79">
        <f t="shared" si="171"/>
        <v>0</v>
      </c>
      <c r="AR165" s="79">
        <f t="shared" si="172"/>
        <v>0</v>
      </c>
      <c r="AS165" s="79">
        <f t="shared" si="173"/>
        <v>0</v>
      </c>
      <c r="AT165" s="79">
        <f t="shared" si="174"/>
        <v>0</v>
      </c>
      <c r="AU165" s="79">
        <f t="shared" si="175"/>
        <v>0</v>
      </c>
    </row>
    <row r="166" spans="1:47" ht="23.1" customHeight="1">
      <c r="A166" s="81" t="s">
        <v>756</v>
      </c>
      <c r="B166" s="81" t="s">
        <v>904</v>
      </c>
      <c r="C166" s="82" t="s">
        <v>343</v>
      </c>
      <c r="D166" s="84">
        <v>2</v>
      </c>
      <c r="E166" s="84">
        <f>단가대비표!L95</f>
        <v>5361.6570000000002</v>
      </c>
      <c r="F166" s="84">
        <f t="shared" si="142"/>
        <v>10723</v>
      </c>
      <c r="G166" s="84">
        <v>0</v>
      </c>
      <c r="H166" s="84">
        <f t="shared" si="143"/>
        <v>0</v>
      </c>
      <c r="I166" s="84">
        <v>0</v>
      </c>
      <c r="J166" s="84">
        <f t="shared" si="144"/>
        <v>0</v>
      </c>
      <c r="K166" s="84">
        <f t="shared" si="145"/>
        <v>5361.6570000000002</v>
      </c>
      <c r="L166" s="84">
        <f t="shared" si="145"/>
        <v>10723</v>
      </c>
      <c r="M166" s="84"/>
      <c r="O166" s="79" t="str">
        <f t="shared" si="176"/>
        <v>01</v>
      </c>
      <c r="P166" s="86" t="s">
        <v>678</v>
      </c>
      <c r="Q166" s="79">
        <v>1</v>
      </c>
      <c r="R166" s="79">
        <f t="shared" si="146"/>
        <v>0</v>
      </c>
      <c r="S166" s="79">
        <f t="shared" si="147"/>
        <v>0</v>
      </c>
      <c r="T166" s="79">
        <f t="shared" si="148"/>
        <v>0</v>
      </c>
      <c r="U166" s="79">
        <f t="shared" si="149"/>
        <v>0</v>
      </c>
      <c r="V166" s="79">
        <f t="shared" si="150"/>
        <v>0</v>
      </c>
      <c r="W166" s="79">
        <f t="shared" si="151"/>
        <v>0</v>
      </c>
      <c r="X166" s="79">
        <f t="shared" si="152"/>
        <v>0</v>
      </c>
      <c r="Y166" s="79">
        <f t="shared" si="153"/>
        <v>0</v>
      </c>
      <c r="Z166" s="79">
        <f t="shared" si="154"/>
        <v>0</v>
      </c>
      <c r="AA166" s="79">
        <f t="shared" si="155"/>
        <v>0</v>
      </c>
      <c r="AB166" s="79">
        <f t="shared" si="156"/>
        <v>0</v>
      </c>
      <c r="AC166" s="79">
        <f t="shared" si="157"/>
        <v>0</v>
      </c>
      <c r="AD166" s="79">
        <f t="shared" si="158"/>
        <v>0</v>
      </c>
      <c r="AE166" s="79">
        <f t="shared" si="159"/>
        <v>0</v>
      </c>
      <c r="AF166" s="79">
        <f t="shared" si="160"/>
        <v>0</v>
      </c>
      <c r="AG166" s="79">
        <f t="shared" si="161"/>
        <v>0</v>
      </c>
      <c r="AH166" s="79">
        <f t="shared" si="162"/>
        <v>0</v>
      </c>
      <c r="AI166" s="79">
        <f t="shared" si="163"/>
        <v>0</v>
      </c>
      <c r="AJ166" s="79">
        <f t="shared" si="164"/>
        <v>0</v>
      </c>
      <c r="AK166" s="79">
        <f t="shared" si="165"/>
        <v>0</v>
      </c>
      <c r="AL166" s="79">
        <f t="shared" si="166"/>
        <v>0</v>
      </c>
      <c r="AM166" s="79">
        <f t="shared" si="167"/>
        <v>0</v>
      </c>
      <c r="AN166" s="79">
        <f t="shared" si="168"/>
        <v>0</v>
      </c>
      <c r="AO166" s="79">
        <f t="shared" si="169"/>
        <v>0</v>
      </c>
      <c r="AP166" s="79">
        <f t="shared" si="170"/>
        <v>0</v>
      </c>
      <c r="AQ166" s="79">
        <f t="shared" si="171"/>
        <v>0</v>
      </c>
      <c r="AR166" s="79">
        <f t="shared" si="172"/>
        <v>0</v>
      </c>
      <c r="AS166" s="79">
        <f t="shared" si="173"/>
        <v>0</v>
      </c>
      <c r="AT166" s="79">
        <f t="shared" si="174"/>
        <v>0</v>
      </c>
      <c r="AU166" s="79">
        <f t="shared" si="175"/>
        <v>0</v>
      </c>
    </row>
    <row r="167" spans="1:47" ht="23.1" customHeight="1">
      <c r="A167" s="81" t="s">
        <v>756</v>
      </c>
      <c r="B167" s="81" t="s">
        <v>905</v>
      </c>
      <c r="C167" s="82" t="s">
        <v>343</v>
      </c>
      <c r="D167" s="84">
        <v>2</v>
      </c>
      <c r="E167" s="84">
        <f>단가대비표!L100</f>
        <v>8190.6720000000005</v>
      </c>
      <c r="F167" s="84">
        <f t="shared" si="142"/>
        <v>16381</v>
      </c>
      <c r="G167" s="84">
        <v>0</v>
      </c>
      <c r="H167" s="84">
        <f t="shared" si="143"/>
        <v>0</v>
      </c>
      <c r="I167" s="84">
        <v>0</v>
      </c>
      <c r="J167" s="84">
        <f t="shared" si="144"/>
        <v>0</v>
      </c>
      <c r="K167" s="84">
        <f t="shared" si="145"/>
        <v>8190.6720000000005</v>
      </c>
      <c r="L167" s="84">
        <f t="shared" si="145"/>
        <v>16381</v>
      </c>
      <c r="M167" s="84"/>
      <c r="O167" s="79" t="str">
        <f t="shared" si="176"/>
        <v>01</v>
      </c>
      <c r="P167" s="86" t="s">
        <v>678</v>
      </c>
      <c r="Q167" s="79">
        <v>1</v>
      </c>
      <c r="R167" s="79">
        <f t="shared" si="146"/>
        <v>0</v>
      </c>
      <c r="S167" s="79">
        <f t="shared" si="147"/>
        <v>0</v>
      </c>
      <c r="T167" s="79">
        <f t="shared" si="148"/>
        <v>0</v>
      </c>
      <c r="U167" s="79">
        <f t="shared" si="149"/>
        <v>0</v>
      </c>
      <c r="V167" s="79">
        <f t="shared" si="150"/>
        <v>0</v>
      </c>
      <c r="W167" s="79">
        <f t="shared" si="151"/>
        <v>0</v>
      </c>
      <c r="X167" s="79">
        <f t="shared" si="152"/>
        <v>0</v>
      </c>
      <c r="Y167" s="79">
        <f t="shared" si="153"/>
        <v>0</v>
      </c>
      <c r="Z167" s="79">
        <f t="shared" si="154"/>
        <v>0</v>
      </c>
      <c r="AA167" s="79">
        <f t="shared" si="155"/>
        <v>0</v>
      </c>
      <c r="AB167" s="79">
        <f t="shared" si="156"/>
        <v>0</v>
      </c>
      <c r="AC167" s="79">
        <f t="shared" si="157"/>
        <v>0</v>
      </c>
      <c r="AD167" s="79">
        <f t="shared" si="158"/>
        <v>0</v>
      </c>
      <c r="AE167" s="79">
        <f t="shared" si="159"/>
        <v>0</v>
      </c>
      <c r="AF167" s="79">
        <f t="shared" si="160"/>
        <v>0</v>
      </c>
      <c r="AG167" s="79">
        <f t="shared" si="161"/>
        <v>0</v>
      </c>
      <c r="AH167" s="79">
        <f t="shared" si="162"/>
        <v>0</v>
      </c>
      <c r="AI167" s="79">
        <f t="shared" si="163"/>
        <v>0</v>
      </c>
      <c r="AJ167" s="79">
        <f t="shared" si="164"/>
        <v>0</v>
      </c>
      <c r="AK167" s="79">
        <f t="shared" si="165"/>
        <v>0</v>
      </c>
      <c r="AL167" s="79">
        <f t="shared" si="166"/>
        <v>0</v>
      </c>
      <c r="AM167" s="79">
        <f t="shared" si="167"/>
        <v>0</v>
      </c>
      <c r="AN167" s="79">
        <f t="shared" si="168"/>
        <v>0</v>
      </c>
      <c r="AO167" s="79">
        <f t="shared" si="169"/>
        <v>0</v>
      </c>
      <c r="AP167" s="79">
        <f t="shared" si="170"/>
        <v>0</v>
      </c>
      <c r="AQ167" s="79">
        <f t="shared" si="171"/>
        <v>0</v>
      </c>
      <c r="AR167" s="79">
        <f t="shared" si="172"/>
        <v>0</v>
      </c>
      <c r="AS167" s="79">
        <f t="shared" si="173"/>
        <v>0</v>
      </c>
      <c r="AT167" s="79">
        <f t="shared" si="174"/>
        <v>0</v>
      </c>
      <c r="AU167" s="79">
        <f t="shared" si="175"/>
        <v>0</v>
      </c>
    </row>
    <row r="168" spans="1:47" ht="23.1" customHeight="1">
      <c r="A168" s="81" t="s">
        <v>756</v>
      </c>
      <c r="B168" s="81" t="s">
        <v>906</v>
      </c>
      <c r="C168" s="82" t="s">
        <v>343</v>
      </c>
      <c r="D168" s="84">
        <v>2</v>
      </c>
      <c r="E168" s="84">
        <f>단가대비표!L104</f>
        <v>11046.630000000001</v>
      </c>
      <c r="F168" s="84">
        <f t="shared" si="142"/>
        <v>22093</v>
      </c>
      <c r="G168" s="84">
        <v>0</v>
      </c>
      <c r="H168" s="84">
        <f t="shared" si="143"/>
        <v>0</v>
      </c>
      <c r="I168" s="84">
        <v>0</v>
      </c>
      <c r="J168" s="84">
        <f t="shared" si="144"/>
        <v>0</v>
      </c>
      <c r="K168" s="84">
        <f t="shared" si="145"/>
        <v>11046.630000000001</v>
      </c>
      <c r="L168" s="84">
        <f t="shared" si="145"/>
        <v>22093</v>
      </c>
      <c r="M168" s="84"/>
      <c r="O168" s="79" t="str">
        <f t="shared" si="176"/>
        <v>01</v>
      </c>
      <c r="P168" s="86" t="s">
        <v>678</v>
      </c>
      <c r="Q168" s="79">
        <v>1</v>
      </c>
      <c r="R168" s="79">
        <f t="shared" si="146"/>
        <v>0</v>
      </c>
      <c r="S168" s="79">
        <f t="shared" si="147"/>
        <v>0</v>
      </c>
      <c r="T168" s="79">
        <f t="shared" si="148"/>
        <v>0</v>
      </c>
      <c r="U168" s="79">
        <f t="shared" si="149"/>
        <v>0</v>
      </c>
      <c r="V168" s="79">
        <f t="shared" si="150"/>
        <v>0</v>
      </c>
      <c r="W168" s="79">
        <f t="shared" si="151"/>
        <v>0</v>
      </c>
      <c r="X168" s="79">
        <f t="shared" si="152"/>
        <v>0</v>
      </c>
      <c r="Y168" s="79">
        <f t="shared" si="153"/>
        <v>0</v>
      </c>
      <c r="Z168" s="79">
        <f t="shared" si="154"/>
        <v>0</v>
      </c>
      <c r="AA168" s="79">
        <f t="shared" si="155"/>
        <v>0</v>
      </c>
      <c r="AB168" s="79">
        <f t="shared" si="156"/>
        <v>0</v>
      </c>
      <c r="AC168" s="79">
        <f t="shared" si="157"/>
        <v>0</v>
      </c>
      <c r="AD168" s="79">
        <f t="shared" si="158"/>
        <v>0</v>
      </c>
      <c r="AE168" s="79">
        <f t="shared" si="159"/>
        <v>0</v>
      </c>
      <c r="AF168" s="79">
        <f t="shared" si="160"/>
        <v>0</v>
      </c>
      <c r="AG168" s="79">
        <f t="shared" si="161"/>
        <v>0</v>
      </c>
      <c r="AH168" s="79">
        <f t="shared" si="162"/>
        <v>0</v>
      </c>
      <c r="AI168" s="79">
        <f t="shared" si="163"/>
        <v>0</v>
      </c>
      <c r="AJ168" s="79">
        <f t="shared" si="164"/>
        <v>0</v>
      </c>
      <c r="AK168" s="79">
        <f t="shared" si="165"/>
        <v>0</v>
      </c>
      <c r="AL168" s="79">
        <f t="shared" si="166"/>
        <v>0</v>
      </c>
      <c r="AM168" s="79">
        <f t="shared" si="167"/>
        <v>0</v>
      </c>
      <c r="AN168" s="79">
        <f t="shared" si="168"/>
        <v>0</v>
      </c>
      <c r="AO168" s="79">
        <f t="shared" si="169"/>
        <v>0</v>
      </c>
      <c r="AP168" s="79">
        <f t="shared" si="170"/>
        <v>0</v>
      </c>
      <c r="AQ168" s="79">
        <f t="shared" si="171"/>
        <v>0</v>
      </c>
      <c r="AR168" s="79">
        <f t="shared" si="172"/>
        <v>0</v>
      </c>
      <c r="AS168" s="79">
        <f t="shared" si="173"/>
        <v>0</v>
      </c>
      <c r="AT168" s="79">
        <f t="shared" si="174"/>
        <v>0</v>
      </c>
      <c r="AU168" s="79">
        <f t="shared" si="175"/>
        <v>0</v>
      </c>
    </row>
    <row r="169" spans="1:47" ht="23.1" customHeight="1">
      <c r="A169" s="81" t="s">
        <v>871</v>
      </c>
      <c r="B169" s="81" t="s">
        <v>907</v>
      </c>
      <c r="C169" s="82" t="s">
        <v>769</v>
      </c>
      <c r="D169" s="84">
        <v>1</v>
      </c>
      <c r="E169" s="84">
        <f>일위대가목록!G14</f>
        <v>1364</v>
      </c>
      <c r="F169" s="84">
        <f t="shared" si="142"/>
        <v>1364</v>
      </c>
      <c r="G169" s="84">
        <f>일위대가목록!I14</f>
        <v>10498</v>
      </c>
      <c r="H169" s="84">
        <f t="shared" si="143"/>
        <v>10498</v>
      </c>
      <c r="I169" s="84">
        <f>일위대가목록!K14</f>
        <v>0</v>
      </c>
      <c r="J169" s="84">
        <f t="shared" si="144"/>
        <v>0</v>
      </c>
      <c r="K169" s="84">
        <f t="shared" si="145"/>
        <v>11862</v>
      </c>
      <c r="L169" s="84">
        <f t="shared" si="145"/>
        <v>11862</v>
      </c>
      <c r="M169" s="84" t="s">
        <v>908</v>
      </c>
      <c r="O169" s="79" t="str">
        <f>""</f>
        <v/>
      </c>
      <c r="P169" s="86" t="s">
        <v>678</v>
      </c>
      <c r="Q169" s="79">
        <v>1</v>
      </c>
      <c r="R169" s="79">
        <f t="shared" si="146"/>
        <v>0</v>
      </c>
      <c r="S169" s="79">
        <f t="shared" si="147"/>
        <v>0</v>
      </c>
      <c r="T169" s="79">
        <f t="shared" si="148"/>
        <v>0</v>
      </c>
      <c r="U169" s="79">
        <f t="shared" si="149"/>
        <v>0</v>
      </c>
      <c r="V169" s="79">
        <f t="shared" si="150"/>
        <v>0</v>
      </c>
      <c r="W169" s="79">
        <f t="shared" si="151"/>
        <v>0</v>
      </c>
      <c r="X169" s="79">
        <f t="shared" si="152"/>
        <v>0</v>
      </c>
      <c r="Y169" s="79">
        <f t="shared" si="153"/>
        <v>0</v>
      </c>
      <c r="Z169" s="79">
        <f t="shared" si="154"/>
        <v>0</v>
      </c>
      <c r="AA169" s="79">
        <f t="shared" si="155"/>
        <v>0</v>
      </c>
      <c r="AB169" s="79">
        <f t="shared" si="156"/>
        <v>0</v>
      </c>
      <c r="AC169" s="79">
        <f t="shared" si="157"/>
        <v>0</v>
      </c>
      <c r="AD169" s="79">
        <f t="shared" si="158"/>
        <v>0</v>
      </c>
      <c r="AE169" s="79">
        <f t="shared" si="159"/>
        <v>0</v>
      </c>
      <c r="AF169" s="79">
        <f t="shared" si="160"/>
        <v>0</v>
      </c>
      <c r="AG169" s="79">
        <f t="shared" si="161"/>
        <v>0</v>
      </c>
      <c r="AH169" s="79">
        <f t="shared" si="162"/>
        <v>0</v>
      </c>
      <c r="AI169" s="79">
        <f t="shared" si="163"/>
        <v>0</v>
      </c>
      <c r="AJ169" s="79">
        <f t="shared" si="164"/>
        <v>0</v>
      </c>
      <c r="AK169" s="79">
        <f t="shared" si="165"/>
        <v>0</v>
      </c>
      <c r="AL169" s="79">
        <f t="shared" si="166"/>
        <v>0</v>
      </c>
      <c r="AM169" s="79">
        <f t="shared" si="167"/>
        <v>0</v>
      </c>
      <c r="AN169" s="79">
        <f t="shared" si="168"/>
        <v>0</v>
      </c>
      <c r="AO169" s="79">
        <f t="shared" si="169"/>
        <v>0</v>
      </c>
      <c r="AP169" s="79">
        <f t="shared" si="170"/>
        <v>0</v>
      </c>
      <c r="AQ169" s="79">
        <f t="shared" si="171"/>
        <v>0</v>
      </c>
      <c r="AR169" s="79">
        <f t="shared" si="172"/>
        <v>0</v>
      </c>
      <c r="AS169" s="79">
        <f t="shared" si="173"/>
        <v>0</v>
      </c>
      <c r="AT169" s="79">
        <f t="shared" si="174"/>
        <v>0</v>
      </c>
      <c r="AU169" s="79">
        <f t="shared" si="175"/>
        <v>0</v>
      </c>
    </row>
    <row r="170" spans="1:47" ht="23.1" customHeight="1">
      <c r="A170" s="81" t="s">
        <v>871</v>
      </c>
      <c r="B170" s="81" t="s">
        <v>872</v>
      </c>
      <c r="C170" s="82" t="s">
        <v>769</v>
      </c>
      <c r="D170" s="84">
        <v>54</v>
      </c>
      <c r="E170" s="84">
        <f>일위대가목록!G15</f>
        <v>1657</v>
      </c>
      <c r="F170" s="84">
        <f t="shared" si="142"/>
        <v>89478</v>
      </c>
      <c r="G170" s="84">
        <f>일위대가목록!I15</f>
        <v>12748</v>
      </c>
      <c r="H170" s="84">
        <f t="shared" si="143"/>
        <v>688392</v>
      </c>
      <c r="I170" s="84">
        <f>일위대가목록!K15</f>
        <v>0</v>
      </c>
      <c r="J170" s="84">
        <f t="shared" si="144"/>
        <v>0</v>
      </c>
      <c r="K170" s="84">
        <f t="shared" si="145"/>
        <v>14405</v>
      </c>
      <c r="L170" s="84">
        <f t="shared" si="145"/>
        <v>777870</v>
      </c>
      <c r="M170" s="84" t="s">
        <v>873</v>
      </c>
      <c r="O170" s="79" t="str">
        <f>""</f>
        <v/>
      </c>
      <c r="P170" s="86" t="s">
        <v>678</v>
      </c>
      <c r="Q170" s="79">
        <v>1</v>
      </c>
      <c r="R170" s="79">
        <f t="shared" si="146"/>
        <v>0</v>
      </c>
      <c r="S170" s="79">
        <f t="shared" si="147"/>
        <v>0</v>
      </c>
      <c r="T170" s="79">
        <f t="shared" si="148"/>
        <v>0</v>
      </c>
      <c r="U170" s="79">
        <f t="shared" si="149"/>
        <v>0</v>
      </c>
      <c r="V170" s="79">
        <f t="shared" si="150"/>
        <v>0</v>
      </c>
      <c r="W170" s="79">
        <f t="shared" si="151"/>
        <v>0</v>
      </c>
      <c r="X170" s="79">
        <f t="shared" si="152"/>
        <v>0</v>
      </c>
      <c r="Y170" s="79">
        <f t="shared" si="153"/>
        <v>0</v>
      </c>
      <c r="Z170" s="79">
        <f t="shared" si="154"/>
        <v>0</v>
      </c>
      <c r="AA170" s="79">
        <f t="shared" si="155"/>
        <v>0</v>
      </c>
      <c r="AB170" s="79">
        <f t="shared" si="156"/>
        <v>0</v>
      </c>
      <c r="AC170" s="79">
        <f t="shared" si="157"/>
        <v>0</v>
      </c>
      <c r="AD170" s="79">
        <f t="shared" si="158"/>
        <v>0</v>
      </c>
      <c r="AE170" s="79">
        <f t="shared" si="159"/>
        <v>0</v>
      </c>
      <c r="AF170" s="79">
        <f t="shared" si="160"/>
        <v>0</v>
      </c>
      <c r="AG170" s="79">
        <f t="shared" si="161"/>
        <v>0</v>
      </c>
      <c r="AH170" s="79">
        <f t="shared" si="162"/>
        <v>0</v>
      </c>
      <c r="AI170" s="79">
        <f t="shared" si="163"/>
        <v>0</v>
      </c>
      <c r="AJ170" s="79">
        <f t="shared" si="164"/>
        <v>0</v>
      </c>
      <c r="AK170" s="79">
        <f t="shared" si="165"/>
        <v>0</v>
      </c>
      <c r="AL170" s="79">
        <f t="shared" si="166"/>
        <v>0</v>
      </c>
      <c r="AM170" s="79">
        <f t="shared" si="167"/>
        <v>0</v>
      </c>
      <c r="AN170" s="79">
        <f t="shared" si="168"/>
        <v>0</v>
      </c>
      <c r="AO170" s="79">
        <f t="shared" si="169"/>
        <v>0</v>
      </c>
      <c r="AP170" s="79">
        <f t="shared" si="170"/>
        <v>0</v>
      </c>
      <c r="AQ170" s="79">
        <f t="shared" si="171"/>
        <v>0</v>
      </c>
      <c r="AR170" s="79">
        <f t="shared" si="172"/>
        <v>0</v>
      </c>
      <c r="AS170" s="79">
        <f t="shared" si="173"/>
        <v>0</v>
      </c>
      <c r="AT170" s="79">
        <f t="shared" si="174"/>
        <v>0</v>
      </c>
      <c r="AU170" s="79">
        <f t="shared" si="175"/>
        <v>0</v>
      </c>
    </row>
    <row r="171" spans="1:47" ht="23.1" customHeight="1">
      <c r="A171" s="81" t="s">
        <v>871</v>
      </c>
      <c r="B171" s="81" t="s">
        <v>876</v>
      </c>
      <c r="C171" s="82" t="s">
        <v>769</v>
      </c>
      <c r="D171" s="84">
        <v>36</v>
      </c>
      <c r="E171" s="84">
        <f>일위대가목록!G17</f>
        <v>2359</v>
      </c>
      <c r="F171" s="84">
        <f t="shared" si="142"/>
        <v>84924</v>
      </c>
      <c r="G171" s="84">
        <f>일위대가목록!I17</f>
        <v>18147</v>
      </c>
      <c r="H171" s="84">
        <f t="shared" si="143"/>
        <v>653292</v>
      </c>
      <c r="I171" s="84">
        <f>일위대가목록!K17</f>
        <v>0</v>
      </c>
      <c r="J171" s="84">
        <f t="shared" si="144"/>
        <v>0</v>
      </c>
      <c r="K171" s="84">
        <f t="shared" si="145"/>
        <v>20506</v>
      </c>
      <c r="L171" s="84">
        <f t="shared" si="145"/>
        <v>738216</v>
      </c>
      <c r="M171" s="84" t="s">
        <v>877</v>
      </c>
      <c r="O171" s="79" t="str">
        <f>""</f>
        <v/>
      </c>
      <c r="P171" s="86" t="s">
        <v>678</v>
      </c>
      <c r="Q171" s="79">
        <v>1</v>
      </c>
      <c r="R171" s="79">
        <f t="shared" si="146"/>
        <v>0</v>
      </c>
      <c r="S171" s="79">
        <f t="shared" si="147"/>
        <v>0</v>
      </c>
      <c r="T171" s="79">
        <f t="shared" si="148"/>
        <v>0</v>
      </c>
      <c r="U171" s="79">
        <f t="shared" si="149"/>
        <v>0</v>
      </c>
      <c r="V171" s="79">
        <f t="shared" si="150"/>
        <v>0</v>
      </c>
      <c r="W171" s="79">
        <f t="shared" si="151"/>
        <v>0</v>
      </c>
      <c r="X171" s="79">
        <f t="shared" si="152"/>
        <v>0</v>
      </c>
      <c r="Y171" s="79">
        <f t="shared" si="153"/>
        <v>0</v>
      </c>
      <c r="Z171" s="79">
        <f t="shared" si="154"/>
        <v>0</v>
      </c>
      <c r="AA171" s="79">
        <f t="shared" si="155"/>
        <v>0</v>
      </c>
      <c r="AB171" s="79">
        <f t="shared" si="156"/>
        <v>0</v>
      </c>
      <c r="AC171" s="79">
        <f t="shared" si="157"/>
        <v>0</v>
      </c>
      <c r="AD171" s="79">
        <f t="shared" si="158"/>
        <v>0</v>
      </c>
      <c r="AE171" s="79">
        <f t="shared" si="159"/>
        <v>0</v>
      </c>
      <c r="AF171" s="79">
        <f t="shared" si="160"/>
        <v>0</v>
      </c>
      <c r="AG171" s="79">
        <f t="shared" si="161"/>
        <v>0</v>
      </c>
      <c r="AH171" s="79">
        <f t="shared" si="162"/>
        <v>0</v>
      </c>
      <c r="AI171" s="79">
        <f t="shared" si="163"/>
        <v>0</v>
      </c>
      <c r="AJ171" s="79">
        <f t="shared" si="164"/>
        <v>0</v>
      </c>
      <c r="AK171" s="79">
        <f t="shared" si="165"/>
        <v>0</v>
      </c>
      <c r="AL171" s="79">
        <f t="shared" si="166"/>
        <v>0</v>
      </c>
      <c r="AM171" s="79">
        <f t="shared" si="167"/>
        <v>0</v>
      </c>
      <c r="AN171" s="79">
        <f t="shared" si="168"/>
        <v>0</v>
      </c>
      <c r="AO171" s="79">
        <f t="shared" si="169"/>
        <v>0</v>
      </c>
      <c r="AP171" s="79">
        <f t="shared" si="170"/>
        <v>0</v>
      </c>
      <c r="AQ171" s="79">
        <f t="shared" si="171"/>
        <v>0</v>
      </c>
      <c r="AR171" s="79">
        <f t="shared" si="172"/>
        <v>0</v>
      </c>
      <c r="AS171" s="79">
        <f t="shared" si="173"/>
        <v>0</v>
      </c>
      <c r="AT171" s="79">
        <f t="shared" si="174"/>
        <v>0</v>
      </c>
      <c r="AU171" s="79">
        <f t="shared" si="175"/>
        <v>0</v>
      </c>
    </row>
    <row r="172" spans="1:47" ht="23.1" customHeight="1">
      <c r="A172" s="81" t="s">
        <v>871</v>
      </c>
      <c r="B172" s="81" t="s">
        <v>909</v>
      </c>
      <c r="C172" s="82" t="s">
        <v>769</v>
      </c>
      <c r="D172" s="84">
        <v>28</v>
      </c>
      <c r="E172" s="84">
        <f>일위대가목록!G18</f>
        <v>2963</v>
      </c>
      <c r="F172" s="84">
        <f t="shared" si="142"/>
        <v>82964</v>
      </c>
      <c r="G172" s="84">
        <f>일위대가목록!I18</f>
        <v>22796</v>
      </c>
      <c r="H172" s="84">
        <f t="shared" si="143"/>
        <v>638288</v>
      </c>
      <c r="I172" s="84">
        <f>일위대가목록!K18</f>
        <v>0</v>
      </c>
      <c r="J172" s="84">
        <f t="shared" si="144"/>
        <v>0</v>
      </c>
      <c r="K172" s="84">
        <f t="shared" si="145"/>
        <v>25759</v>
      </c>
      <c r="L172" s="84">
        <f t="shared" si="145"/>
        <v>721252</v>
      </c>
      <c r="M172" s="84" t="s">
        <v>910</v>
      </c>
      <c r="O172" s="79" t="str">
        <f>""</f>
        <v/>
      </c>
      <c r="P172" s="86" t="s">
        <v>678</v>
      </c>
      <c r="Q172" s="79">
        <v>1</v>
      </c>
      <c r="R172" s="79">
        <f t="shared" si="146"/>
        <v>0</v>
      </c>
      <c r="S172" s="79">
        <f t="shared" si="147"/>
        <v>0</v>
      </c>
      <c r="T172" s="79">
        <f t="shared" si="148"/>
        <v>0</v>
      </c>
      <c r="U172" s="79">
        <f t="shared" si="149"/>
        <v>0</v>
      </c>
      <c r="V172" s="79">
        <f t="shared" si="150"/>
        <v>0</v>
      </c>
      <c r="W172" s="79">
        <f t="shared" si="151"/>
        <v>0</v>
      </c>
      <c r="X172" s="79">
        <f t="shared" si="152"/>
        <v>0</v>
      </c>
      <c r="Y172" s="79">
        <f t="shared" si="153"/>
        <v>0</v>
      </c>
      <c r="Z172" s="79">
        <f t="shared" si="154"/>
        <v>0</v>
      </c>
      <c r="AA172" s="79">
        <f t="shared" si="155"/>
        <v>0</v>
      </c>
      <c r="AB172" s="79">
        <f t="shared" si="156"/>
        <v>0</v>
      </c>
      <c r="AC172" s="79">
        <f t="shared" si="157"/>
        <v>0</v>
      </c>
      <c r="AD172" s="79">
        <f t="shared" si="158"/>
        <v>0</v>
      </c>
      <c r="AE172" s="79">
        <f t="shared" si="159"/>
        <v>0</v>
      </c>
      <c r="AF172" s="79">
        <f t="shared" si="160"/>
        <v>0</v>
      </c>
      <c r="AG172" s="79">
        <f t="shared" si="161"/>
        <v>0</v>
      </c>
      <c r="AH172" s="79">
        <f t="shared" si="162"/>
        <v>0</v>
      </c>
      <c r="AI172" s="79">
        <f t="shared" si="163"/>
        <v>0</v>
      </c>
      <c r="AJ172" s="79">
        <f t="shared" si="164"/>
        <v>0</v>
      </c>
      <c r="AK172" s="79">
        <f t="shared" si="165"/>
        <v>0</v>
      </c>
      <c r="AL172" s="79">
        <f t="shared" si="166"/>
        <v>0</v>
      </c>
      <c r="AM172" s="79">
        <f t="shared" si="167"/>
        <v>0</v>
      </c>
      <c r="AN172" s="79">
        <f t="shared" si="168"/>
        <v>0</v>
      </c>
      <c r="AO172" s="79">
        <f t="shared" si="169"/>
        <v>0</v>
      </c>
      <c r="AP172" s="79">
        <f t="shared" si="170"/>
        <v>0</v>
      </c>
      <c r="AQ172" s="79">
        <f t="shared" si="171"/>
        <v>0</v>
      </c>
      <c r="AR172" s="79">
        <f t="shared" si="172"/>
        <v>0</v>
      </c>
      <c r="AS172" s="79">
        <f t="shared" si="173"/>
        <v>0</v>
      </c>
      <c r="AT172" s="79">
        <f t="shared" si="174"/>
        <v>0</v>
      </c>
      <c r="AU172" s="79">
        <f t="shared" si="175"/>
        <v>0</v>
      </c>
    </row>
    <row r="173" spans="1:47" ht="23.1" customHeight="1">
      <c r="A173" s="81" t="s">
        <v>871</v>
      </c>
      <c r="B173" s="81" t="s">
        <v>911</v>
      </c>
      <c r="C173" s="82" t="s">
        <v>769</v>
      </c>
      <c r="D173" s="84">
        <v>38</v>
      </c>
      <c r="E173" s="84">
        <f>일위대가목록!G19</f>
        <v>3587</v>
      </c>
      <c r="F173" s="84">
        <f t="shared" si="142"/>
        <v>136306</v>
      </c>
      <c r="G173" s="84">
        <f>일위대가목록!I19</f>
        <v>27596</v>
      </c>
      <c r="H173" s="84">
        <f t="shared" si="143"/>
        <v>1048648</v>
      </c>
      <c r="I173" s="84">
        <f>일위대가목록!K19</f>
        <v>0</v>
      </c>
      <c r="J173" s="84">
        <f t="shared" si="144"/>
        <v>0</v>
      </c>
      <c r="K173" s="84">
        <f t="shared" si="145"/>
        <v>31183</v>
      </c>
      <c r="L173" s="84">
        <f t="shared" si="145"/>
        <v>1184954</v>
      </c>
      <c r="M173" s="84" t="s">
        <v>912</v>
      </c>
      <c r="O173" s="79" t="str">
        <f>""</f>
        <v/>
      </c>
      <c r="P173" s="86" t="s">
        <v>678</v>
      </c>
      <c r="Q173" s="79">
        <v>1</v>
      </c>
      <c r="R173" s="79">
        <f t="shared" si="146"/>
        <v>0</v>
      </c>
      <c r="S173" s="79">
        <f t="shared" si="147"/>
        <v>0</v>
      </c>
      <c r="T173" s="79">
        <f t="shared" si="148"/>
        <v>0</v>
      </c>
      <c r="U173" s="79">
        <f t="shared" si="149"/>
        <v>0</v>
      </c>
      <c r="V173" s="79">
        <f t="shared" si="150"/>
        <v>0</v>
      </c>
      <c r="W173" s="79">
        <f t="shared" si="151"/>
        <v>0</v>
      </c>
      <c r="X173" s="79">
        <f t="shared" si="152"/>
        <v>0</v>
      </c>
      <c r="Y173" s="79">
        <f t="shared" si="153"/>
        <v>0</v>
      </c>
      <c r="Z173" s="79">
        <f t="shared" si="154"/>
        <v>0</v>
      </c>
      <c r="AA173" s="79">
        <f t="shared" si="155"/>
        <v>0</v>
      </c>
      <c r="AB173" s="79">
        <f t="shared" si="156"/>
        <v>0</v>
      </c>
      <c r="AC173" s="79">
        <f t="shared" si="157"/>
        <v>0</v>
      </c>
      <c r="AD173" s="79">
        <f t="shared" si="158"/>
        <v>0</v>
      </c>
      <c r="AE173" s="79">
        <f t="shared" si="159"/>
        <v>0</v>
      </c>
      <c r="AF173" s="79">
        <f t="shared" si="160"/>
        <v>0</v>
      </c>
      <c r="AG173" s="79">
        <f t="shared" si="161"/>
        <v>0</v>
      </c>
      <c r="AH173" s="79">
        <f t="shared" si="162"/>
        <v>0</v>
      </c>
      <c r="AI173" s="79">
        <f t="shared" si="163"/>
        <v>0</v>
      </c>
      <c r="AJ173" s="79">
        <f t="shared" si="164"/>
        <v>0</v>
      </c>
      <c r="AK173" s="79">
        <f t="shared" si="165"/>
        <v>0</v>
      </c>
      <c r="AL173" s="79">
        <f t="shared" si="166"/>
        <v>0</v>
      </c>
      <c r="AM173" s="79">
        <f t="shared" si="167"/>
        <v>0</v>
      </c>
      <c r="AN173" s="79">
        <f t="shared" si="168"/>
        <v>0</v>
      </c>
      <c r="AO173" s="79">
        <f t="shared" si="169"/>
        <v>0</v>
      </c>
      <c r="AP173" s="79">
        <f t="shared" si="170"/>
        <v>0</v>
      </c>
      <c r="AQ173" s="79">
        <f t="shared" si="171"/>
        <v>0</v>
      </c>
      <c r="AR173" s="79">
        <f t="shared" si="172"/>
        <v>0</v>
      </c>
      <c r="AS173" s="79">
        <f t="shared" si="173"/>
        <v>0</v>
      </c>
      <c r="AT173" s="79">
        <f t="shared" si="174"/>
        <v>0</v>
      </c>
      <c r="AU173" s="79">
        <f t="shared" si="175"/>
        <v>0</v>
      </c>
    </row>
    <row r="174" spans="1:47" ht="23.1" customHeight="1">
      <c r="A174" s="81" t="s">
        <v>871</v>
      </c>
      <c r="B174" s="81" t="s">
        <v>878</v>
      </c>
      <c r="C174" s="82" t="s">
        <v>769</v>
      </c>
      <c r="D174" s="84">
        <v>52</v>
      </c>
      <c r="E174" s="84">
        <f>일위대가목록!G20</f>
        <v>4211</v>
      </c>
      <c r="F174" s="84">
        <f t="shared" si="142"/>
        <v>218972</v>
      </c>
      <c r="G174" s="84">
        <f>일위대가목록!I20</f>
        <v>32395</v>
      </c>
      <c r="H174" s="84">
        <f t="shared" si="143"/>
        <v>1684540</v>
      </c>
      <c r="I174" s="84">
        <f>일위대가목록!K20</f>
        <v>0</v>
      </c>
      <c r="J174" s="84">
        <f t="shared" si="144"/>
        <v>0</v>
      </c>
      <c r="K174" s="84">
        <f t="shared" si="145"/>
        <v>36606</v>
      </c>
      <c r="L174" s="84">
        <f t="shared" si="145"/>
        <v>1903512</v>
      </c>
      <c r="M174" s="84" t="s">
        <v>879</v>
      </c>
      <c r="O174" s="79" t="str">
        <f>""</f>
        <v/>
      </c>
      <c r="P174" s="86" t="s">
        <v>678</v>
      </c>
      <c r="Q174" s="79">
        <v>1</v>
      </c>
      <c r="R174" s="79">
        <f t="shared" si="146"/>
        <v>0</v>
      </c>
      <c r="S174" s="79">
        <f t="shared" si="147"/>
        <v>0</v>
      </c>
      <c r="T174" s="79">
        <f t="shared" si="148"/>
        <v>0</v>
      </c>
      <c r="U174" s="79">
        <f t="shared" si="149"/>
        <v>0</v>
      </c>
      <c r="V174" s="79">
        <f t="shared" si="150"/>
        <v>0</v>
      </c>
      <c r="W174" s="79">
        <f t="shared" si="151"/>
        <v>0</v>
      </c>
      <c r="X174" s="79">
        <f t="shared" si="152"/>
        <v>0</v>
      </c>
      <c r="Y174" s="79">
        <f t="shared" si="153"/>
        <v>0</v>
      </c>
      <c r="Z174" s="79">
        <f t="shared" si="154"/>
        <v>0</v>
      </c>
      <c r="AA174" s="79">
        <f t="shared" si="155"/>
        <v>0</v>
      </c>
      <c r="AB174" s="79">
        <f t="shared" si="156"/>
        <v>0</v>
      </c>
      <c r="AC174" s="79">
        <f t="shared" si="157"/>
        <v>0</v>
      </c>
      <c r="AD174" s="79">
        <f t="shared" si="158"/>
        <v>0</v>
      </c>
      <c r="AE174" s="79">
        <f t="shared" si="159"/>
        <v>0</v>
      </c>
      <c r="AF174" s="79">
        <f t="shared" si="160"/>
        <v>0</v>
      </c>
      <c r="AG174" s="79">
        <f t="shared" si="161"/>
        <v>0</v>
      </c>
      <c r="AH174" s="79">
        <f t="shared" si="162"/>
        <v>0</v>
      </c>
      <c r="AI174" s="79">
        <f t="shared" si="163"/>
        <v>0</v>
      </c>
      <c r="AJ174" s="79">
        <f t="shared" si="164"/>
        <v>0</v>
      </c>
      <c r="AK174" s="79">
        <f t="shared" si="165"/>
        <v>0</v>
      </c>
      <c r="AL174" s="79">
        <f t="shared" si="166"/>
        <v>0</v>
      </c>
      <c r="AM174" s="79">
        <f t="shared" si="167"/>
        <v>0</v>
      </c>
      <c r="AN174" s="79">
        <f t="shared" si="168"/>
        <v>0</v>
      </c>
      <c r="AO174" s="79">
        <f t="shared" si="169"/>
        <v>0</v>
      </c>
      <c r="AP174" s="79">
        <f t="shared" si="170"/>
        <v>0</v>
      </c>
      <c r="AQ174" s="79">
        <f t="shared" si="171"/>
        <v>0</v>
      </c>
      <c r="AR174" s="79">
        <f t="shared" si="172"/>
        <v>0</v>
      </c>
      <c r="AS174" s="79">
        <f t="shared" si="173"/>
        <v>0</v>
      </c>
      <c r="AT174" s="79">
        <f t="shared" si="174"/>
        <v>0</v>
      </c>
      <c r="AU174" s="79">
        <f t="shared" si="175"/>
        <v>0</v>
      </c>
    </row>
    <row r="175" spans="1:47" ht="23.1" customHeight="1">
      <c r="A175" s="81" t="s">
        <v>797</v>
      </c>
      <c r="B175" s="81" t="s">
        <v>913</v>
      </c>
      <c r="C175" s="82" t="s">
        <v>343</v>
      </c>
      <c r="D175" s="84">
        <f>공량산출서!F106</f>
        <v>2</v>
      </c>
      <c r="E175" s="84">
        <f>단가대비표!L80</f>
        <v>21554.400000000001</v>
      </c>
      <c r="F175" s="84">
        <f t="shared" si="142"/>
        <v>43108</v>
      </c>
      <c r="G175" s="84">
        <v>0</v>
      </c>
      <c r="H175" s="84">
        <f t="shared" si="143"/>
        <v>0</v>
      </c>
      <c r="I175" s="84">
        <v>0</v>
      </c>
      <c r="J175" s="84">
        <f t="shared" si="144"/>
        <v>0</v>
      </c>
      <c r="K175" s="84">
        <f t="shared" si="145"/>
        <v>21554.400000000001</v>
      </c>
      <c r="L175" s="84">
        <f t="shared" si="145"/>
        <v>43108</v>
      </c>
      <c r="M175" s="84"/>
      <c r="O175" s="79" t="str">
        <f t="shared" ref="O175:O193" si="177">"01"</f>
        <v>01</v>
      </c>
      <c r="P175" s="86" t="s">
        <v>678</v>
      </c>
      <c r="Q175" s="79">
        <v>1</v>
      </c>
      <c r="R175" s="79">
        <f t="shared" si="146"/>
        <v>0</v>
      </c>
      <c r="S175" s="79">
        <f t="shared" si="147"/>
        <v>0</v>
      </c>
      <c r="T175" s="79">
        <f t="shared" si="148"/>
        <v>0</v>
      </c>
      <c r="U175" s="79">
        <f t="shared" si="149"/>
        <v>0</v>
      </c>
      <c r="V175" s="79">
        <f t="shared" si="150"/>
        <v>0</v>
      </c>
      <c r="W175" s="79">
        <f t="shared" si="151"/>
        <v>0</v>
      </c>
      <c r="X175" s="79">
        <f t="shared" si="152"/>
        <v>0</v>
      </c>
      <c r="Y175" s="79">
        <f t="shared" si="153"/>
        <v>0</v>
      </c>
      <c r="Z175" s="79">
        <f t="shared" si="154"/>
        <v>0</v>
      </c>
      <c r="AA175" s="79">
        <f t="shared" si="155"/>
        <v>0</v>
      </c>
      <c r="AB175" s="79">
        <f t="shared" si="156"/>
        <v>0</v>
      </c>
      <c r="AC175" s="79">
        <f t="shared" si="157"/>
        <v>0</v>
      </c>
      <c r="AD175" s="79">
        <f t="shared" si="158"/>
        <v>0</v>
      </c>
      <c r="AE175" s="79">
        <f t="shared" si="159"/>
        <v>0</v>
      </c>
      <c r="AF175" s="79">
        <f t="shared" si="160"/>
        <v>0</v>
      </c>
      <c r="AG175" s="79">
        <f t="shared" si="161"/>
        <v>0</v>
      </c>
      <c r="AH175" s="79">
        <f t="shared" si="162"/>
        <v>0</v>
      </c>
      <c r="AI175" s="79">
        <f t="shared" si="163"/>
        <v>0</v>
      </c>
      <c r="AJ175" s="79">
        <f t="shared" si="164"/>
        <v>0</v>
      </c>
      <c r="AK175" s="79">
        <f t="shared" si="165"/>
        <v>0</v>
      </c>
      <c r="AL175" s="79">
        <f t="shared" si="166"/>
        <v>0</v>
      </c>
      <c r="AM175" s="79">
        <f t="shared" si="167"/>
        <v>0</v>
      </c>
      <c r="AN175" s="79">
        <f t="shared" si="168"/>
        <v>0</v>
      </c>
      <c r="AO175" s="79">
        <f t="shared" si="169"/>
        <v>0</v>
      </c>
      <c r="AP175" s="79">
        <f t="shared" si="170"/>
        <v>0</v>
      </c>
      <c r="AQ175" s="79">
        <f t="shared" si="171"/>
        <v>0</v>
      </c>
      <c r="AR175" s="79">
        <f t="shared" si="172"/>
        <v>0</v>
      </c>
      <c r="AS175" s="79">
        <f t="shared" si="173"/>
        <v>0</v>
      </c>
      <c r="AT175" s="79">
        <f t="shared" si="174"/>
        <v>0</v>
      </c>
      <c r="AU175" s="79">
        <f t="shared" si="175"/>
        <v>0</v>
      </c>
    </row>
    <row r="176" spans="1:47" ht="23.1" customHeight="1">
      <c r="A176" s="81" t="s">
        <v>797</v>
      </c>
      <c r="B176" s="81" t="s">
        <v>799</v>
      </c>
      <c r="C176" s="82" t="s">
        <v>343</v>
      </c>
      <c r="D176" s="84">
        <f>공량산출서!F108</f>
        <v>2</v>
      </c>
      <c r="E176" s="84">
        <f>단가대비표!L78</f>
        <v>44905</v>
      </c>
      <c r="F176" s="84">
        <f t="shared" si="142"/>
        <v>89810</v>
      </c>
      <c r="G176" s="84">
        <v>0</v>
      </c>
      <c r="H176" s="84">
        <f t="shared" si="143"/>
        <v>0</v>
      </c>
      <c r="I176" s="84">
        <v>0</v>
      </c>
      <c r="J176" s="84">
        <f t="shared" si="144"/>
        <v>0</v>
      </c>
      <c r="K176" s="84">
        <f t="shared" si="145"/>
        <v>44905</v>
      </c>
      <c r="L176" s="84">
        <f t="shared" si="145"/>
        <v>89810</v>
      </c>
      <c r="M176" s="84"/>
      <c r="O176" s="79" t="str">
        <f t="shared" si="177"/>
        <v>01</v>
      </c>
      <c r="P176" s="86" t="s">
        <v>678</v>
      </c>
      <c r="Q176" s="79">
        <v>1</v>
      </c>
      <c r="R176" s="79">
        <f t="shared" si="146"/>
        <v>0</v>
      </c>
      <c r="S176" s="79">
        <f t="shared" si="147"/>
        <v>0</v>
      </c>
      <c r="T176" s="79">
        <f t="shared" si="148"/>
        <v>0</v>
      </c>
      <c r="U176" s="79">
        <f t="shared" si="149"/>
        <v>0</v>
      </c>
      <c r="V176" s="79">
        <f t="shared" si="150"/>
        <v>0</v>
      </c>
      <c r="W176" s="79">
        <f t="shared" si="151"/>
        <v>0</v>
      </c>
      <c r="X176" s="79">
        <f t="shared" si="152"/>
        <v>0</v>
      </c>
      <c r="Y176" s="79">
        <f t="shared" si="153"/>
        <v>0</v>
      </c>
      <c r="Z176" s="79">
        <f t="shared" si="154"/>
        <v>0</v>
      </c>
      <c r="AA176" s="79">
        <f t="shared" si="155"/>
        <v>0</v>
      </c>
      <c r="AB176" s="79">
        <f t="shared" si="156"/>
        <v>0</v>
      </c>
      <c r="AC176" s="79">
        <f t="shared" si="157"/>
        <v>0</v>
      </c>
      <c r="AD176" s="79">
        <f t="shared" si="158"/>
        <v>0</v>
      </c>
      <c r="AE176" s="79">
        <f t="shared" si="159"/>
        <v>0</v>
      </c>
      <c r="AF176" s="79">
        <f t="shared" si="160"/>
        <v>0</v>
      </c>
      <c r="AG176" s="79">
        <f t="shared" si="161"/>
        <v>0</v>
      </c>
      <c r="AH176" s="79">
        <f t="shared" si="162"/>
        <v>0</v>
      </c>
      <c r="AI176" s="79">
        <f t="shared" si="163"/>
        <v>0</v>
      </c>
      <c r="AJ176" s="79">
        <f t="shared" si="164"/>
        <v>0</v>
      </c>
      <c r="AK176" s="79">
        <f t="shared" si="165"/>
        <v>0</v>
      </c>
      <c r="AL176" s="79">
        <f t="shared" si="166"/>
        <v>0</v>
      </c>
      <c r="AM176" s="79">
        <f t="shared" si="167"/>
        <v>0</v>
      </c>
      <c r="AN176" s="79">
        <f t="shared" si="168"/>
        <v>0</v>
      </c>
      <c r="AO176" s="79">
        <f t="shared" si="169"/>
        <v>0</v>
      </c>
      <c r="AP176" s="79">
        <f t="shared" si="170"/>
        <v>0</v>
      </c>
      <c r="AQ176" s="79">
        <f t="shared" si="171"/>
        <v>0</v>
      </c>
      <c r="AR176" s="79">
        <f t="shared" si="172"/>
        <v>0</v>
      </c>
      <c r="AS176" s="79">
        <f t="shared" si="173"/>
        <v>0</v>
      </c>
      <c r="AT176" s="79">
        <f t="shared" si="174"/>
        <v>0</v>
      </c>
      <c r="AU176" s="79">
        <f t="shared" si="175"/>
        <v>0</v>
      </c>
    </row>
    <row r="177" spans="1:47" ht="23.1" customHeight="1">
      <c r="A177" s="81" t="s">
        <v>787</v>
      </c>
      <c r="B177" s="81" t="s">
        <v>789</v>
      </c>
      <c r="C177" s="82" t="s">
        <v>343</v>
      </c>
      <c r="D177" s="84">
        <f>공량산출서!F110</f>
        <v>4</v>
      </c>
      <c r="E177" s="84">
        <f>단가대비표!L7</f>
        <v>294172.65500000003</v>
      </c>
      <c r="F177" s="84">
        <f t="shared" si="142"/>
        <v>1176690</v>
      </c>
      <c r="G177" s="84">
        <v>0</v>
      </c>
      <c r="H177" s="84">
        <f t="shared" si="143"/>
        <v>0</v>
      </c>
      <c r="I177" s="84">
        <v>0</v>
      </c>
      <c r="J177" s="84">
        <f t="shared" si="144"/>
        <v>0</v>
      </c>
      <c r="K177" s="84">
        <f t="shared" si="145"/>
        <v>294172.65500000003</v>
      </c>
      <c r="L177" s="84">
        <f t="shared" si="145"/>
        <v>1176690</v>
      </c>
      <c r="M177" s="84"/>
      <c r="O177" s="79" t="str">
        <f t="shared" si="177"/>
        <v>01</v>
      </c>
      <c r="P177" s="86" t="s">
        <v>678</v>
      </c>
      <c r="Q177" s="79">
        <v>1</v>
      </c>
      <c r="R177" s="79">
        <f t="shared" si="146"/>
        <v>0</v>
      </c>
      <c r="S177" s="79">
        <f t="shared" si="147"/>
        <v>0</v>
      </c>
      <c r="T177" s="79">
        <f t="shared" si="148"/>
        <v>0</v>
      </c>
      <c r="U177" s="79">
        <f t="shared" si="149"/>
        <v>0</v>
      </c>
      <c r="V177" s="79">
        <f t="shared" si="150"/>
        <v>0</v>
      </c>
      <c r="W177" s="79">
        <f t="shared" si="151"/>
        <v>0</v>
      </c>
      <c r="X177" s="79">
        <f t="shared" si="152"/>
        <v>0</v>
      </c>
      <c r="Y177" s="79">
        <f t="shared" si="153"/>
        <v>0</v>
      </c>
      <c r="Z177" s="79">
        <f t="shared" si="154"/>
        <v>0</v>
      </c>
      <c r="AA177" s="79">
        <f t="shared" si="155"/>
        <v>0</v>
      </c>
      <c r="AB177" s="79">
        <f t="shared" si="156"/>
        <v>0</v>
      </c>
      <c r="AC177" s="79">
        <f t="shared" si="157"/>
        <v>0</v>
      </c>
      <c r="AD177" s="79">
        <f t="shared" si="158"/>
        <v>0</v>
      </c>
      <c r="AE177" s="79">
        <f t="shared" si="159"/>
        <v>0</v>
      </c>
      <c r="AF177" s="79">
        <f t="shared" si="160"/>
        <v>0</v>
      </c>
      <c r="AG177" s="79">
        <f t="shared" si="161"/>
        <v>0</v>
      </c>
      <c r="AH177" s="79">
        <f t="shared" si="162"/>
        <v>0</v>
      </c>
      <c r="AI177" s="79">
        <f t="shared" si="163"/>
        <v>0</v>
      </c>
      <c r="AJ177" s="79">
        <f t="shared" si="164"/>
        <v>0</v>
      </c>
      <c r="AK177" s="79">
        <f t="shared" si="165"/>
        <v>0</v>
      </c>
      <c r="AL177" s="79">
        <f t="shared" si="166"/>
        <v>0</v>
      </c>
      <c r="AM177" s="79">
        <f t="shared" si="167"/>
        <v>0</v>
      </c>
      <c r="AN177" s="79">
        <f t="shared" si="168"/>
        <v>0</v>
      </c>
      <c r="AO177" s="79">
        <f t="shared" si="169"/>
        <v>0</v>
      </c>
      <c r="AP177" s="79">
        <f t="shared" si="170"/>
        <v>0</v>
      </c>
      <c r="AQ177" s="79">
        <f t="shared" si="171"/>
        <v>0</v>
      </c>
      <c r="AR177" s="79">
        <f t="shared" si="172"/>
        <v>0</v>
      </c>
      <c r="AS177" s="79">
        <f t="shared" si="173"/>
        <v>0</v>
      </c>
      <c r="AT177" s="79">
        <f t="shared" si="174"/>
        <v>0</v>
      </c>
      <c r="AU177" s="79">
        <f t="shared" si="175"/>
        <v>0</v>
      </c>
    </row>
    <row r="178" spans="1:47" ht="23.1" customHeight="1">
      <c r="A178" s="81" t="s">
        <v>787</v>
      </c>
      <c r="B178" s="81" t="s">
        <v>914</v>
      </c>
      <c r="C178" s="82" t="s">
        <v>343</v>
      </c>
      <c r="D178" s="84">
        <f>공량산출서!F112</f>
        <v>2</v>
      </c>
      <c r="E178" s="84">
        <f>단가대비표!L9</f>
        <v>67052.146000000008</v>
      </c>
      <c r="F178" s="84">
        <f t="shared" si="142"/>
        <v>134104</v>
      </c>
      <c r="G178" s="84">
        <v>0</v>
      </c>
      <c r="H178" s="84">
        <f t="shared" si="143"/>
        <v>0</v>
      </c>
      <c r="I178" s="84">
        <v>0</v>
      </c>
      <c r="J178" s="84">
        <f t="shared" si="144"/>
        <v>0</v>
      </c>
      <c r="K178" s="84">
        <f t="shared" si="145"/>
        <v>67052.146000000008</v>
      </c>
      <c r="L178" s="84">
        <f t="shared" si="145"/>
        <v>134104</v>
      </c>
      <c r="M178" s="84"/>
      <c r="O178" s="79" t="str">
        <f t="shared" si="177"/>
        <v>01</v>
      </c>
      <c r="P178" s="86" t="s">
        <v>678</v>
      </c>
      <c r="Q178" s="79">
        <v>1</v>
      </c>
      <c r="R178" s="79">
        <f t="shared" si="146"/>
        <v>0</v>
      </c>
      <c r="S178" s="79">
        <f t="shared" si="147"/>
        <v>0</v>
      </c>
      <c r="T178" s="79">
        <f t="shared" si="148"/>
        <v>0</v>
      </c>
      <c r="U178" s="79">
        <f t="shared" si="149"/>
        <v>0</v>
      </c>
      <c r="V178" s="79">
        <f t="shared" si="150"/>
        <v>0</v>
      </c>
      <c r="W178" s="79">
        <f t="shared" si="151"/>
        <v>0</v>
      </c>
      <c r="X178" s="79">
        <f t="shared" si="152"/>
        <v>0</v>
      </c>
      <c r="Y178" s="79">
        <f t="shared" si="153"/>
        <v>0</v>
      </c>
      <c r="Z178" s="79">
        <f t="shared" si="154"/>
        <v>0</v>
      </c>
      <c r="AA178" s="79">
        <f t="shared" si="155"/>
        <v>0</v>
      </c>
      <c r="AB178" s="79">
        <f t="shared" si="156"/>
        <v>0</v>
      </c>
      <c r="AC178" s="79">
        <f t="shared" si="157"/>
        <v>0</v>
      </c>
      <c r="AD178" s="79">
        <f t="shared" si="158"/>
        <v>0</v>
      </c>
      <c r="AE178" s="79">
        <f t="shared" si="159"/>
        <v>0</v>
      </c>
      <c r="AF178" s="79">
        <f t="shared" si="160"/>
        <v>0</v>
      </c>
      <c r="AG178" s="79">
        <f t="shared" si="161"/>
        <v>0</v>
      </c>
      <c r="AH178" s="79">
        <f t="shared" si="162"/>
        <v>0</v>
      </c>
      <c r="AI178" s="79">
        <f t="shared" si="163"/>
        <v>0</v>
      </c>
      <c r="AJ178" s="79">
        <f t="shared" si="164"/>
        <v>0</v>
      </c>
      <c r="AK178" s="79">
        <f t="shared" si="165"/>
        <v>0</v>
      </c>
      <c r="AL178" s="79">
        <f t="shared" si="166"/>
        <v>0</v>
      </c>
      <c r="AM178" s="79">
        <f t="shared" si="167"/>
        <v>0</v>
      </c>
      <c r="AN178" s="79">
        <f t="shared" si="168"/>
        <v>0</v>
      </c>
      <c r="AO178" s="79">
        <f t="shared" si="169"/>
        <v>0</v>
      </c>
      <c r="AP178" s="79">
        <f t="shared" si="170"/>
        <v>0</v>
      </c>
      <c r="AQ178" s="79">
        <f t="shared" si="171"/>
        <v>0</v>
      </c>
      <c r="AR178" s="79">
        <f t="shared" si="172"/>
        <v>0</v>
      </c>
      <c r="AS178" s="79">
        <f t="shared" si="173"/>
        <v>0</v>
      </c>
      <c r="AT178" s="79">
        <f t="shared" si="174"/>
        <v>0</v>
      </c>
      <c r="AU178" s="79">
        <f t="shared" si="175"/>
        <v>0</v>
      </c>
    </row>
    <row r="179" spans="1:47" ht="23.1" customHeight="1">
      <c r="A179" s="81" t="s">
        <v>822</v>
      </c>
      <c r="B179" s="81" t="s">
        <v>915</v>
      </c>
      <c r="C179" s="82" t="s">
        <v>343</v>
      </c>
      <c r="D179" s="84">
        <v>380</v>
      </c>
      <c r="E179" s="84">
        <f>단가대비표!L21</f>
        <v>1535.751</v>
      </c>
      <c r="F179" s="84">
        <f t="shared" si="142"/>
        <v>583585</v>
      </c>
      <c r="G179" s="84">
        <v>0</v>
      </c>
      <c r="H179" s="84">
        <f t="shared" si="143"/>
        <v>0</v>
      </c>
      <c r="I179" s="84">
        <v>0</v>
      </c>
      <c r="J179" s="84">
        <f t="shared" si="144"/>
        <v>0</v>
      </c>
      <c r="K179" s="84">
        <f t="shared" si="145"/>
        <v>1535.751</v>
      </c>
      <c r="L179" s="84">
        <f t="shared" si="145"/>
        <v>583585</v>
      </c>
      <c r="M179" s="84"/>
      <c r="O179" s="79" t="str">
        <f t="shared" si="177"/>
        <v>01</v>
      </c>
      <c r="P179" s="86" t="s">
        <v>678</v>
      </c>
      <c r="Q179" s="79">
        <v>1</v>
      </c>
      <c r="R179" s="79">
        <f t="shared" si="146"/>
        <v>0</v>
      </c>
      <c r="S179" s="79">
        <f t="shared" si="147"/>
        <v>0</v>
      </c>
      <c r="T179" s="79">
        <f t="shared" si="148"/>
        <v>0</v>
      </c>
      <c r="U179" s="79">
        <f t="shared" si="149"/>
        <v>0</v>
      </c>
      <c r="V179" s="79">
        <f t="shared" si="150"/>
        <v>0</v>
      </c>
      <c r="W179" s="79">
        <f t="shared" si="151"/>
        <v>0</v>
      </c>
      <c r="X179" s="79">
        <f t="shared" si="152"/>
        <v>0</v>
      </c>
      <c r="Y179" s="79">
        <f t="shared" si="153"/>
        <v>0</v>
      </c>
      <c r="Z179" s="79">
        <f t="shared" si="154"/>
        <v>0</v>
      </c>
      <c r="AA179" s="79">
        <f t="shared" si="155"/>
        <v>0</v>
      </c>
      <c r="AB179" s="79">
        <f t="shared" si="156"/>
        <v>0</v>
      </c>
      <c r="AC179" s="79">
        <f t="shared" si="157"/>
        <v>0</v>
      </c>
      <c r="AD179" s="79">
        <f t="shared" si="158"/>
        <v>0</v>
      </c>
      <c r="AE179" s="79">
        <f t="shared" si="159"/>
        <v>0</v>
      </c>
      <c r="AF179" s="79">
        <f t="shared" si="160"/>
        <v>0</v>
      </c>
      <c r="AG179" s="79">
        <f t="shared" si="161"/>
        <v>0</v>
      </c>
      <c r="AH179" s="79">
        <f t="shared" si="162"/>
        <v>0</v>
      </c>
      <c r="AI179" s="79">
        <f t="shared" si="163"/>
        <v>0</v>
      </c>
      <c r="AJ179" s="79">
        <f t="shared" si="164"/>
        <v>0</v>
      </c>
      <c r="AK179" s="79">
        <f t="shared" si="165"/>
        <v>0</v>
      </c>
      <c r="AL179" s="79">
        <f t="shared" si="166"/>
        <v>0</v>
      </c>
      <c r="AM179" s="79">
        <f t="shared" si="167"/>
        <v>0</v>
      </c>
      <c r="AN179" s="79">
        <f t="shared" si="168"/>
        <v>0</v>
      </c>
      <c r="AO179" s="79">
        <f t="shared" si="169"/>
        <v>0</v>
      </c>
      <c r="AP179" s="79">
        <f t="shared" si="170"/>
        <v>0</v>
      </c>
      <c r="AQ179" s="79">
        <f t="shared" si="171"/>
        <v>0</v>
      </c>
      <c r="AR179" s="79">
        <f t="shared" si="172"/>
        <v>0</v>
      </c>
      <c r="AS179" s="79">
        <f t="shared" si="173"/>
        <v>0</v>
      </c>
      <c r="AT179" s="79">
        <f t="shared" si="174"/>
        <v>0</v>
      </c>
      <c r="AU179" s="79">
        <f t="shared" si="175"/>
        <v>0</v>
      </c>
    </row>
    <row r="180" spans="1:47" ht="23.1" customHeight="1">
      <c r="A180" s="81" t="s">
        <v>822</v>
      </c>
      <c r="B180" s="81" t="s">
        <v>916</v>
      </c>
      <c r="C180" s="82" t="s">
        <v>343</v>
      </c>
      <c r="D180" s="84">
        <v>6</v>
      </c>
      <c r="E180" s="84">
        <f>단가대비표!L22</f>
        <v>1463.903</v>
      </c>
      <c r="F180" s="84">
        <f t="shared" si="142"/>
        <v>8783</v>
      </c>
      <c r="G180" s="84">
        <v>0</v>
      </c>
      <c r="H180" s="84">
        <f t="shared" si="143"/>
        <v>0</v>
      </c>
      <c r="I180" s="84">
        <v>0</v>
      </c>
      <c r="J180" s="84">
        <f t="shared" si="144"/>
        <v>0</v>
      </c>
      <c r="K180" s="84">
        <f t="shared" si="145"/>
        <v>1463.903</v>
      </c>
      <c r="L180" s="84">
        <f t="shared" si="145"/>
        <v>8783</v>
      </c>
      <c r="M180" s="84"/>
      <c r="O180" s="79" t="str">
        <f t="shared" si="177"/>
        <v>01</v>
      </c>
      <c r="P180" s="86" t="s">
        <v>678</v>
      </c>
      <c r="Q180" s="79">
        <v>1</v>
      </c>
      <c r="R180" s="79">
        <f t="shared" si="146"/>
        <v>0</v>
      </c>
      <c r="S180" s="79">
        <f t="shared" si="147"/>
        <v>0</v>
      </c>
      <c r="T180" s="79">
        <f t="shared" si="148"/>
        <v>0</v>
      </c>
      <c r="U180" s="79">
        <f t="shared" si="149"/>
        <v>0</v>
      </c>
      <c r="V180" s="79">
        <f t="shared" si="150"/>
        <v>0</v>
      </c>
      <c r="W180" s="79">
        <f t="shared" si="151"/>
        <v>0</v>
      </c>
      <c r="X180" s="79">
        <f t="shared" si="152"/>
        <v>0</v>
      </c>
      <c r="Y180" s="79">
        <f t="shared" si="153"/>
        <v>0</v>
      </c>
      <c r="Z180" s="79">
        <f t="shared" si="154"/>
        <v>0</v>
      </c>
      <c r="AA180" s="79">
        <f t="shared" si="155"/>
        <v>0</v>
      </c>
      <c r="AB180" s="79">
        <f t="shared" si="156"/>
        <v>0</v>
      </c>
      <c r="AC180" s="79">
        <f t="shared" si="157"/>
        <v>0</v>
      </c>
      <c r="AD180" s="79">
        <f t="shared" si="158"/>
        <v>0</v>
      </c>
      <c r="AE180" s="79">
        <f t="shared" si="159"/>
        <v>0</v>
      </c>
      <c r="AF180" s="79">
        <f t="shared" si="160"/>
        <v>0</v>
      </c>
      <c r="AG180" s="79">
        <f t="shared" si="161"/>
        <v>0</v>
      </c>
      <c r="AH180" s="79">
        <f t="shared" si="162"/>
        <v>0</v>
      </c>
      <c r="AI180" s="79">
        <f t="shared" si="163"/>
        <v>0</v>
      </c>
      <c r="AJ180" s="79">
        <f t="shared" si="164"/>
        <v>0</v>
      </c>
      <c r="AK180" s="79">
        <f t="shared" si="165"/>
        <v>0</v>
      </c>
      <c r="AL180" s="79">
        <f t="shared" si="166"/>
        <v>0</v>
      </c>
      <c r="AM180" s="79">
        <f t="shared" si="167"/>
        <v>0</v>
      </c>
      <c r="AN180" s="79">
        <f t="shared" si="168"/>
        <v>0</v>
      </c>
      <c r="AO180" s="79">
        <f t="shared" si="169"/>
        <v>0</v>
      </c>
      <c r="AP180" s="79">
        <f t="shared" si="170"/>
        <v>0</v>
      </c>
      <c r="AQ180" s="79">
        <f t="shared" si="171"/>
        <v>0</v>
      </c>
      <c r="AR180" s="79">
        <f t="shared" si="172"/>
        <v>0</v>
      </c>
      <c r="AS180" s="79">
        <f t="shared" si="173"/>
        <v>0</v>
      </c>
      <c r="AT180" s="79">
        <f t="shared" si="174"/>
        <v>0</v>
      </c>
      <c r="AU180" s="79">
        <f t="shared" si="175"/>
        <v>0</v>
      </c>
    </row>
    <row r="181" spans="1:47" ht="23.1" customHeight="1">
      <c r="A181" s="81" t="s">
        <v>822</v>
      </c>
      <c r="B181" s="81" t="s">
        <v>917</v>
      </c>
      <c r="C181" s="82" t="s">
        <v>343</v>
      </c>
      <c r="D181" s="84">
        <v>55</v>
      </c>
      <c r="E181" s="84">
        <f>단가대비표!L23</f>
        <v>969.94799999999998</v>
      </c>
      <c r="F181" s="84">
        <f t="shared" si="142"/>
        <v>53347</v>
      </c>
      <c r="G181" s="84">
        <v>0</v>
      </c>
      <c r="H181" s="84">
        <f t="shared" si="143"/>
        <v>0</v>
      </c>
      <c r="I181" s="84">
        <v>0</v>
      </c>
      <c r="J181" s="84">
        <f t="shared" si="144"/>
        <v>0</v>
      </c>
      <c r="K181" s="84">
        <f t="shared" si="145"/>
        <v>969.94799999999998</v>
      </c>
      <c r="L181" s="84">
        <f t="shared" si="145"/>
        <v>53347</v>
      </c>
      <c r="M181" s="84"/>
      <c r="O181" s="79" t="str">
        <f t="shared" si="177"/>
        <v>01</v>
      </c>
      <c r="P181" s="86" t="s">
        <v>678</v>
      </c>
      <c r="Q181" s="79">
        <v>1</v>
      </c>
      <c r="R181" s="79">
        <f t="shared" si="146"/>
        <v>0</v>
      </c>
      <c r="S181" s="79">
        <f t="shared" si="147"/>
        <v>0</v>
      </c>
      <c r="T181" s="79">
        <f t="shared" si="148"/>
        <v>0</v>
      </c>
      <c r="U181" s="79">
        <f t="shared" si="149"/>
        <v>0</v>
      </c>
      <c r="V181" s="79">
        <f t="shared" si="150"/>
        <v>0</v>
      </c>
      <c r="W181" s="79">
        <f t="shared" si="151"/>
        <v>0</v>
      </c>
      <c r="X181" s="79">
        <f t="shared" si="152"/>
        <v>0</v>
      </c>
      <c r="Y181" s="79">
        <f t="shared" si="153"/>
        <v>0</v>
      </c>
      <c r="Z181" s="79">
        <f t="shared" si="154"/>
        <v>0</v>
      </c>
      <c r="AA181" s="79">
        <f t="shared" si="155"/>
        <v>0</v>
      </c>
      <c r="AB181" s="79">
        <f t="shared" si="156"/>
        <v>0</v>
      </c>
      <c r="AC181" s="79">
        <f t="shared" si="157"/>
        <v>0</v>
      </c>
      <c r="AD181" s="79">
        <f t="shared" si="158"/>
        <v>0</v>
      </c>
      <c r="AE181" s="79">
        <f t="shared" si="159"/>
        <v>0</v>
      </c>
      <c r="AF181" s="79">
        <f t="shared" si="160"/>
        <v>0</v>
      </c>
      <c r="AG181" s="79">
        <f t="shared" si="161"/>
        <v>0</v>
      </c>
      <c r="AH181" s="79">
        <f t="shared" si="162"/>
        <v>0</v>
      </c>
      <c r="AI181" s="79">
        <f t="shared" si="163"/>
        <v>0</v>
      </c>
      <c r="AJ181" s="79">
        <f t="shared" si="164"/>
        <v>0</v>
      </c>
      <c r="AK181" s="79">
        <f t="shared" si="165"/>
        <v>0</v>
      </c>
      <c r="AL181" s="79">
        <f t="shared" si="166"/>
        <v>0</v>
      </c>
      <c r="AM181" s="79">
        <f t="shared" si="167"/>
        <v>0</v>
      </c>
      <c r="AN181" s="79">
        <f t="shared" si="168"/>
        <v>0</v>
      </c>
      <c r="AO181" s="79">
        <f t="shared" si="169"/>
        <v>0</v>
      </c>
      <c r="AP181" s="79">
        <f t="shared" si="170"/>
        <v>0</v>
      </c>
      <c r="AQ181" s="79">
        <f t="shared" si="171"/>
        <v>0</v>
      </c>
      <c r="AR181" s="79">
        <f t="shared" si="172"/>
        <v>0</v>
      </c>
      <c r="AS181" s="79">
        <f t="shared" si="173"/>
        <v>0</v>
      </c>
      <c r="AT181" s="79">
        <f t="shared" si="174"/>
        <v>0</v>
      </c>
      <c r="AU181" s="79">
        <f t="shared" si="175"/>
        <v>0</v>
      </c>
    </row>
    <row r="182" spans="1:47" ht="23.1" customHeight="1">
      <c r="A182" s="81" t="s">
        <v>822</v>
      </c>
      <c r="B182" s="81" t="s">
        <v>918</v>
      </c>
      <c r="C182" s="82" t="s">
        <v>343</v>
      </c>
      <c r="D182" s="84">
        <v>110</v>
      </c>
      <c r="E182" s="84">
        <f>단가대비표!L24</f>
        <v>2020.7249999999999</v>
      </c>
      <c r="F182" s="84">
        <f t="shared" si="142"/>
        <v>222279</v>
      </c>
      <c r="G182" s="84">
        <v>0</v>
      </c>
      <c r="H182" s="84">
        <f t="shared" si="143"/>
        <v>0</v>
      </c>
      <c r="I182" s="84">
        <v>0</v>
      </c>
      <c r="J182" s="84">
        <f t="shared" si="144"/>
        <v>0</v>
      </c>
      <c r="K182" s="84">
        <f t="shared" ref="K182:L210" si="178">E182+G182+I182</f>
        <v>2020.7249999999999</v>
      </c>
      <c r="L182" s="84">
        <f t="shared" si="178"/>
        <v>222279</v>
      </c>
      <c r="M182" s="84"/>
      <c r="O182" s="79" t="str">
        <f t="shared" si="177"/>
        <v>01</v>
      </c>
      <c r="P182" s="86" t="s">
        <v>678</v>
      </c>
      <c r="Q182" s="79">
        <v>1</v>
      </c>
      <c r="R182" s="79">
        <f t="shared" si="146"/>
        <v>0</v>
      </c>
      <c r="S182" s="79">
        <f t="shared" si="147"/>
        <v>0</v>
      </c>
      <c r="T182" s="79">
        <f t="shared" si="148"/>
        <v>0</v>
      </c>
      <c r="U182" s="79">
        <f t="shared" si="149"/>
        <v>0</v>
      </c>
      <c r="V182" s="79">
        <f t="shared" si="150"/>
        <v>0</v>
      </c>
      <c r="W182" s="79">
        <f t="shared" si="151"/>
        <v>0</v>
      </c>
      <c r="X182" s="79">
        <f t="shared" si="152"/>
        <v>0</v>
      </c>
      <c r="Y182" s="79">
        <f t="shared" si="153"/>
        <v>0</v>
      </c>
      <c r="Z182" s="79">
        <f t="shared" si="154"/>
        <v>0</v>
      </c>
      <c r="AA182" s="79">
        <f t="shared" si="155"/>
        <v>0</v>
      </c>
      <c r="AB182" s="79">
        <f t="shared" si="156"/>
        <v>0</v>
      </c>
      <c r="AC182" s="79">
        <f t="shared" si="157"/>
        <v>0</v>
      </c>
      <c r="AD182" s="79">
        <f t="shared" si="158"/>
        <v>0</v>
      </c>
      <c r="AE182" s="79">
        <f t="shared" si="159"/>
        <v>0</v>
      </c>
      <c r="AF182" s="79">
        <f t="shared" si="160"/>
        <v>0</v>
      </c>
      <c r="AG182" s="79">
        <f t="shared" si="161"/>
        <v>0</v>
      </c>
      <c r="AH182" s="79">
        <f t="shared" si="162"/>
        <v>0</v>
      </c>
      <c r="AI182" s="79">
        <f t="shared" si="163"/>
        <v>0</v>
      </c>
      <c r="AJ182" s="79">
        <f t="shared" si="164"/>
        <v>0</v>
      </c>
      <c r="AK182" s="79">
        <f t="shared" si="165"/>
        <v>0</v>
      </c>
      <c r="AL182" s="79">
        <f t="shared" si="166"/>
        <v>0</v>
      </c>
      <c r="AM182" s="79">
        <f t="shared" si="167"/>
        <v>0</v>
      </c>
      <c r="AN182" s="79">
        <f t="shared" si="168"/>
        <v>0</v>
      </c>
      <c r="AO182" s="79">
        <f t="shared" si="169"/>
        <v>0</v>
      </c>
      <c r="AP182" s="79">
        <f t="shared" si="170"/>
        <v>0</v>
      </c>
      <c r="AQ182" s="79">
        <f t="shared" si="171"/>
        <v>0</v>
      </c>
      <c r="AR182" s="79">
        <f t="shared" si="172"/>
        <v>0</v>
      </c>
      <c r="AS182" s="79">
        <f t="shared" si="173"/>
        <v>0</v>
      </c>
      <c r="AT182" s="79">
        <f t="shared" si="174"/>
        <v>0</v>
      </c>
      <c r="AU182" s="79">
        <f t="shared" si="175"/>
        <v>0</v>
      </c>
    </row>
    <row r="183" spans="1:47" ht="23.1" customHeight="1">
      <c r="A183" s="81" t="s">
        <v>822</v>
      </c>
      <c r="B183" s="81" t="s">
        <v>919</v>
      </c>
      <c r="C183" s="82" t="s">
        <v>343</v>
      </c>
      <c r="D183" s="84">
        <v>55</v>
      </c>
      <c r="E183" s="84">
        <f>단가대비표!L25</f>
        <v>1984.8009999999999</v>
      </c>
      <c r="F183" s="84">
        <f t="shared" si="142"/>
        <v>109164</v>
      </c>
      <c r="G183" s="84">
        <v>0</v>
      </c>
      <c r="H183" s="84">
        <f t="shared" si="143"/>
        <v>0</v>
      </c>
      <c r="I183" s="84">
        <v>0</v>
      </c>
      <c r="J183" s="84">
        <f t="shared" si="144"/>
        <v>0</v>
      </c>
      <c r="K183" s="84">
        <f t="shared" si="178"/>
        <v>1984.8009999999999</v>
      </c>
      <c r="L183" s="84">
        <f t="shared" si="178"/>
        <v>109164</v>
      </c>
      <c r="M183" s="84"/>
      <c r="O183" s="79" t="str">
        <f t="shared" si="177"/>
        <v>01</v>
      </c>
      <c r="P183" s="86" t="s">
        <v>678</v>
      </c>
      <c r="Q183" s="79">
        <v>1</v>
      </c>
      <c r="R183" s="79">
        <f t="shared" si="146"/>
        <v>0</v>
      </c>
      <c r="S183" s="79">
        <f t="shared" si="147"/>
        <v>0</v>
      </c>
      <c r="T183" s="79">
        <f t="shared" si="148"/>
        <v>0</v>
      </c>
      <c r="U183" s="79">
        <f t="shared" si="149"/>
        <v>0</v>
      </c>
      <c r="V183" s="79">
        <f t="shared" si="150"/>
        <v>0</v>
      </c>
      <c r="W183" s="79">
        <f t="shared" si="151"/>
        <v>0</v>
      </c>
      <c r="X183" s="79">
        <f t="shared" si="152"/>
        <v>0</v>
      </c>
      <c r="Y183" s="79">
        <f t="shared" si="153"/>
        <v>0</v>
      </c>
      <c r="Z183" s="79">
        <f t="shared" si="154"/>
        <v>0</v>
      </c>
      <c r="AA183" s="79">
        <f t="shared" si="155"/>
        <v>0</v>
      </c>
      <c r="AB183" s="79">
        <f t="shared" si="156"/>
        <v>0</v>
      </c>
      <c r="AC183" s="79">
        <f t="shared" si="157"/>
        <v>0</v>
      </c>
      <c r="AD183" s="79">
        <f t="shared" si="158"/>
        <v>0</v>
      </c>
      <c r="AE183" s="79">
        <f t="shared" si="159"/>
        <v>0</v>
      </c>
      <c r="AF183" s="79">
        <f t="shared" si="160"/>
        <v>0</v>
      </c>
      <c r="AG183" s="79">
        <f t="shared" si="161"/>
        <v>0</v>
      </c>
      <c r="AH183" s="79">
        <f t="shared" si="162"/>
        <v>0</v>
      </c>
      <c r="AI183" s="79">
        <f t="shared" si="163"/>
        <v>0</v>
      </c>
      <c r="AJ183" s="79">
        <f t="shared" si="164"/>
        <v>0</v>
      </c>
      <c r="AK183" s="79">
        <f t="shared" si="165"/>
        <v>0</v>
      </c>
      <c r="AL183" s="79">
        <f t="shared" si="166"/>
        <v>0</v>
      </c>
      <c r="AM183" s="79">
        <f t="shared" si="167"/>
        <v>0</v>
      </c>
      <c r="AN183" s="79">
        <f t="shared" si="168"/>
        <v>0</v>
      </c>
      <c r="AO183" s="79">
        <f t="shared" si="169"/>
        <v>0</v>
      </c>
      <c r="AP183" s="79">
        <f t="shared" si="170"/>
        <v>0</v>
      </c>
      <c r="AQ183" s="79">
        <f t="shared" si="171"/>
        <v>0</v>
      </c>
      <c r="AR183" s="79">
        <f t="shared" si="172"/>
        <v>0</v>
      </c>
      <c r="AS183" s="79">
        <f t="shared" si="173"/>
        <v>0</v>
      </c>
      <c r="AT183" s="79">
        <f t="shared" si="174"/>
        <v>0</v>
      </c>
      <c r="AU183" s="79">
        <f t="shared" si="175"/>
        <v>0</v>
      </c>
    </row>
    <row r="184" spans="1:47" ht="23.1" customHeight="1">
      <c r="A184" s="81" t="s">
        <v>822</v>
      </c>
      <c r="B184" s="81" t="s">
        <v>920</v>
      </c>
      <c r="C184" s="82" t="s">
        <v>343</v>
      </c>
      <c r="D184" s="84">
        <v>1</v>
      </c>
      <c r="E184" s="84">
        <f>단가대비표!L26</f>
        <v>2200.3449999999998</v>
      </c>
      <c r="F184" s="84">
        <f t="shared" si="142"/>
        <v>2200</v>
      </c>
      <c r="G184" s="84">
        <v>0</v>
      </c>
      <c r="H184" s="84">
        <f t="shared" si="143"/>
        <v>0</v>
      </c>
      <c r="I184" s="84">
        <v>0</v>
      </c>
      <c r="J184" s="84">
        <f t="shared" si="144"/>
        <v>0</v>
      </c>
      <c r="K184" s="84">
        <f t="shared" si="178"/>
        <v>2200.3449999999998</v>
      </c>
      <c r="L184" s="84">
        <f t="shared" si="178"/>
        <v>2200</v>
      </c>
      <c r="M184" s="84"/>
      <c r="O184" s="79" t="str">
        <f t="shared" si="177"/>
        <v>01</v>
      </c>
      <c r="P184" s="86" t="s">
        <v>678</v>
      </c>
      <c r="Q184" s="79">
        <v>1</v>
      </c>
      <c r="R184" s="79">
        <f t="shared" si="146"/>
        <v>0</v>
      </c>
      <c r="S184" s="79">
        <f t="shared" si="147"/>
        <v>0</v>
      </c>
      <c r="T184" s="79">
        <f t="shared" si="148"/>
        <v>0</v>
      </c>
      <c r="U184" s="79">
        <f t="shared" si="149"/>
        <v>0</v>
      </c>
      <c r="V184" s="79">
        <f t="shared" si="150"/>
        <v>0</v>
      </c>
      <c r="W184" s="79">
        <f t="shared" si="151"/>
        <v>0</v>
      </c>
      <c r="X184" s="79">
        <f t="shared" si="152"/>
        <v>0</v>
      </c>
      <c r="Y184" s="79">
        <f t="shared" si="153"/>
        <v>0</v>
      </c>
      <c r="Z184" s="79">
        <f t="shared" si="154"/>
        <v>0</v>
      </c>
      <c r="AA184" s="79">
        <f t="shared" si="155"/>
        <v>0</v>
      </c>
      <c r="AB184" s="79">
        <f t="shared" si="156"/>
        <v>0</v>
      </c>
      <c r="AC184" s="79">
        <f t="shared" si="157"/>
        <v>0</v>
      </c>
      <c r="AD184" s="79">
        <f t="shared" si="158"/>
        <v>0</v>
      </c>
      <c r="AE184" s="79">
        <f t="shared" si="159"/>
        <v>0</v>
      </c>
      <c r="AF184" s="79">
        <f t="shared" si="160"/>
        <v>0</v>
      </c>
      <c r="AG184" s="79">
        <f t="shared" si="161"/>
        <v>0</v>
      </c>
      <c r="AH184" s="79">
        <f t="shared" si="162"/>
        <v>0</v>
      </c>
      <c r="AI184" s="79">
        <f t="shared" si="163"/>
        <v>0</v>
      </c>
      <c r="AJ184" s="79">
        <f t="shared" si="164"/>
        <v>0</v>
      </c>
      <c r="AK184" s="79">
        <f t="shared" si="165"/>
        <v>0</v>
      </c>
      <c r="AL184" s="79">
        <f t="shared" si="166"/>
        <v>0</v>
      </c>
      <c r="AM184" s="79">
        <f t="shared" si="167"/>
        <v>0</v>
      </c>
      <c r="AN184" s="79">
        <f t="shared" si="168"/>
        <v>0</v>
      </c>
      <c r="AO184" s="79">
        <f t="shared" si="169"/>
        <v>0</v>
      </c>
      <c r="AP184" s="79">
        <f t="shared" si="170"/>
        <v>0</v>
      </c>
      <c r="AQ184" s="79">
        <f t="shared" si="171"/>
        <v>0</v>
      </c>
      <c r="AR184" s="79">
        <f t="shared" si="172"/>
        <v>0</v>
      </c>
      <c r="AS184" s="79">
        <f t="shared" si="173"/>
        <v>0</v>
      </c>
      <c r="AT184" s="79">
        <f t="shared" si="174"/>
        <v>0</v>
      </c>
      <c r="AU184" s="79">
        <f t="shared" si="175"/>
        <v>0</v>
      </c>
    </row>
    <row r="185" spans="1:47" ht="23.1" customHeight="1">
      <c r="A185" s="81" t="s">
        <v>822</v>
      </c>
      <c r="B185" s="81" t="s">
        <v>921</v>
      </c>
      <c r="C185" s="82" t="s">
        <v>343</v>
      </c>
      <c r="D185" s="84">
        <v>55</v>
      </c>
      <c r="E185" s="84">
        <f>단가대비표!L27</f>
        <v>2730.2240000000002</v>
      </c>
      <c r="F185" s="84">
        <f t="shared" si="142"/>
        <v>150162</v>
      </c>
      <c r="G185" s="84">
        <v>0</v>
      </c>
      <c r="H185" s="84">
        <f t="shared" si="143"/>
        <v>0</v>
      </c>
      <c r="I185" s="84">
        <v>0</v>
      </c>
      <c r="J185" s="84">
        <f t="shared" si="144"/>
        <v>0</v>
      </c>
      <c r="K185" s="84">
        <f t="shared" si="178"/>
        <v>2730.2240000000002</v>
      </c>
      <c r="L185" s="84">
        <f t="shared" si="178"/>
        <v>150162</v>
      </c>
      <c r="M185" s="84"/>
      <c r="O185" s="79" t="str">
        <f t="shared" si="177"/>
        <v>01</v>
      </c>
      <c r="P185" s="86" t="s">
        <v>678</v>
      </c>
      <c r="Q185" s="79">
        <v>1</v>
      </c>
      <c r="R185" s="79">
        <f t="shared" si="146"/>
        <v>0</v>
      </c>
      <c r="S185" s="79">
        <f t="shared" si="147"/>
        <v>0</v>
      </c>
      <c r="T185" s="79">
        <f t="shared" si="148"/>
        <v>0</v>
      </c>
      <c r="U185" s="79">
        <f t="shared" si="149"/>
        <v>0</v>
      </c>
      <c r="V185" s="79">
        <f t="shared" si="150"/>
        <v>0</v>
      </c>
      <c r="W185" s="79">
        <f t="shared" si="151"/>
        <v>0</v>
      </c>
      <c r="X185" s="79">
        <f t="shared" si="152"/>
        <v>0</v>
      </c>
      <c r="Y185" s="79">
        <f t="shared" si="153"/>
        <v>0</v>
      </c>
      <c r="Z185" s="79">
        <f t="shared" si="154"/>
        <v>0</v>
      </c>
      <c r="AA185" s="79">
        <f t="shared" si="155"/>
        <v>0</v>
      </c>
      <c r="AB185" s="79">
        <f t="shared" si="156"/>
        <v>0</v>
      </c>
      <c r="AC185" s="79">
        <f t="shared" si="157"/>
        <v>0</v>
      </c>
      <c r="AD185" s="79">
        <f t="shared" si="158"/>
        <v>0</v>
      </c>
      <c r="AE185" s="79">
        <f t="shared" si="159"/>
        <v>0</v>
      </c>
      <c r="AF185" s="79">
        <f t="shared" si="160"/>
        <v>0</v>
      </c>
      <c r="AG185" s="79">
        <f t="shared" si="161"/>
        <v>0</v>
      </c>
      <c r="AH185" s="79">
        <f t="shared" si="162"/>
        <v>0</v>
      </c>
      <c r="AI185" s="79">
        <f t="shared" si="163"/>
        <v>0</v>
      </c>
      <c r="AJ185" s="79">
        <f t="shared" si="164"/>
        <v>0</v>
      </c>
      <c r="AK185" s="79">
        <f t="shared" si="165"/>
        <v>0</v>
      </c>
      <c r="AL185" s="79">
        <f t="shared" si="166"/>
        <v>0</v>
      </c>
      <c r="AM185" s="79">
        <f t="shared" si="167"/>
        <v>0</v>
      </c>
      <c r="AN185" s="79">
        <f t="shared" si="168"/>
        <v>0</v>
      </c>
      <c r="AO185" s="79">
        <f t="shared" si="169"/>
        <v>0</v>
      </c>
      <c r="AP185" s="79">
        <f t="shared" si="170"/>
        <v>0</v>
      </c>
      <c r="AQ185" s="79">
        <f t="shared" si="171"/>
        <v>0</v>
      </c>
      <c r="AR185" s="79">
        <f t="shared" si="172"/>
        <v>0</v>
      </c>
      <c r="AS185" s="79">
        <f t="shared" si="173"/>
        <v>0</v>
      </c>
      <c r="AT185" s="79">
        <f t="shared" si="174"/>
        <v>0</v>
      </c>
      <c r="AU185" s="79">
        <f t="shared" si="175"/>
        <v>0</v>
      </c>
    </row>
    <row r="186" spans="1:47" ht="23.1" customHeight="1">
      <c r="A186" s="81" t="s">
        <v>822</v>
      </c>
      <c r="B186" s="81" t="s">
        <v>922</v>
      </c>
      <c r="C186" s="82" t="s">
        <v>343</v>
      </c>
      <c r="D186" s="84">
        <v>55</v>
      </c>
      <c r="E186" s="84">
        <f>단가대비표!L29</f>
        <v>2353.0219999999999</v>
      </c>
      <c r="F186" s="84">
        <f t="shared" si="142"/>
        <v>129416</v>
      </c>
      <c r="G186" s="84">
        <v>0</v>
      </c>
      <c r="H186" s="84">
        <f t="shared" si="143"/>
        <v>0</v>
      </c>
      <c r="I186" s="84">
        <v>0</v>
      </c>
      <c r="J186" s="84">
        <f t="shared" si="144"/>
        <v>0</v>
      </c>
      <c r="K186" s="84">
        <f t="shared" si="178"/>
        <v>2353.0219999999999</v>
      </c>
      <c r="L186" s="84">
        <f t="shared" si="178"/>
        <v>129416</v>
      </c>
      <c r="M186" s="84"/>
      <c r="O186" s="79" t="str">
        <f t="shared" si="177"/>
        <v>01</v>
      </c>
      <c r="P186" s="86" t="s">
        <v>678</v>
      </c>
      <c r="Q186" s="79">
        <v>1</v>
      </c>
      <c r="R186" s="79">
        <f t="shared" si="146"/>
        <v>0</v>
      </c>
      <c r="S186" s="79">
        <f t="shared" si="147"/>
        <v>0</v>
      </c>
      <c r="T186" s="79">
        <f t="shared" si="148"/>
        <v>0</v>
      </c>
      <c r="U186" s="79">
        <f t="shared" si="149"/>
        <v>0</v>
      </c>
      <c r="V186" s="79">
        <f t="shared" si="150"/>
        <v>0</v>
      </c>
      <c r="W186" s="79">
        <f t="shared" si="151"/>
        <v>0</v>
      </c>
      <c r="X186" s="79">
        <f t="shared" si="152"/>
        <v>0</v>
      </c>
      <c r="Y186" s="79">
        <f t="shared" si="153"/>
        <v>0</v>
      </c>
      <c r="Z186" s="79">
        <f t="shared" si="154"/>
        <v>0</v>
      </c>
      <c r="AA186" s="79">
        <f t="shared" si="155"/>
        <v>0</v>
      </c>
      <c r="AB186" s="79">
        <f t="shared" si="156"/>
        <v>0</v>
      </c>
      <c r="AC186" s="79">
        <f t="shared" si="157"/>
        <v>0</v>
      </c>
      <c r="AD186" s="79">
        <f t="shared" si="158"/>
        <v>0</v>
      </c>
      <c r="AE186" s="79">
        <f t="shared" si="159"/>
        <v>0</v>
      </c>
      <c r="AF186" s="79">
        <f t="shared" si="160"/>
        <v>0</v>
      </c>
      <c r="AG186" s="79">
        <f t="shared" si="161"/>
        <v>0</v>
      </c>
      <c r="AH186" s="79">
        <f t="shared" si="162"/>
        <v>0</v>
      </c>
      <c r="AI186" s="79">
        <f t="shared" si="163"/>
        <v>0</v>
      </c>
      <c r="AJ186" s="79">
        <f t="shared" si="164"/>
        <v>0</v>
      </c>
      <c r="AK186" s="79">
        <f t="shared" si="165"/>
        <v>0</v>
      </c>
      <c r="AL186" s="79">
        <f t="shared" si="166"/>
        <v>0</v>
      </c>
      <c r="AM186" s="79">
        <f t="shared" si="167"/>
        <v>0</v>
      </c>
      <c r="AN186" s="79">
        <f t="shared" si="168"/>
        <v>0</v>
      </c>
      <c r="AO186" s="79">
        <f t="shared" si="169"/>
        <v>0</v>
      </c>
      <c r="AP186" s="79">
        <f t="shared" si="170"/>
        <v>0</v>
      </c>
      <c r="AQ186" s="79">
        <f t="shared" si="171"/>
        <v>0</v>
      </c>
      <c r="AR186" s="79">
        <f t="shared" si="172"/>
        <v>0</v>
      </c>
      <c r="AS186" s="79">
        <f t="shared" si="173"/>
        <v>0</v>
      </c>
      <c r="AT186" s="79">
        <f t="shared" si="174"/>
        <v>0</v>
      </c>
      <c r="AU186" s="79">
        <f t="shared" si="175"/>
        <v>0</v>
      </c>
    </row>
    <row r="187" spans="1:47" ht="23.1" customHeight="1">
      <c r="A187" s="81" t="s">
        <v>822</v>
      </c>
      <c r="B187" s="81" t="s">
        <v>923</v>
      </c>
      <c r="C187" s="82" t="s">
        <v>343</v>
      </c>
      <c r="D187" s="84">
        <v>8</v>
      </c>
      <c r="E187" s="84">
        <f>단가대비표!L30</f>
        <v>2622.4520000000002</v>
      </c>
      <c r="F187" s="84">
        <f t="shared" si="142"/>
        <v>20979</v>
      </c>
      <c r="G187" s="84">
        <v>0</v>
      </c>
      <c r="H187" s="84">
        <f t="shared" si="143"/>
        <v>0</v>
      </c>
      <c r="I187" s="84">
        <v>0</v>
      </c>
      <c r="J187" s="84">
        <f t="shared" si="144"/>
        <v>0</v>
      </c>
      <c r="K187" s="84">
        <f t="shared" si="178"/>
        <v>2622.4520000000002</v>
      </c>
      <c r="L187" s="84">
        <f t="shared" si="178"/>
        <v>20979</v>
      </c>
      <c r="M187" s="84"/>
      <c r="O187" s="79" t="str">
        <f t="shared" si="177"/>
        <v>01</v>
      </c>
      <c r="P187" s="86" t="s">
        <v>678</v>
      </c>
      <c r="Q187" s="79">
        <v>1</v>
      </c>
      <c r="R187" s="79">
        <f t="shared" si="146"/>
        <v>0</v>
      </c>
      <c r="S187" s="79">
        <f t="shared" si="147"/>
        <v>0</v>
      </c>
      <c r="T187" s="79">
        <f t="shared" si="148"/>
        <v>0</v>
      </c>
      <c r="U187" s="79">
        <f t="shared" si="149"/>
        <v>0</v>
      </c>
      <c r="V187" s="79">
        <f t="shared" si="150"/>
        <v>0</v>
      </c>
      <c r="W187" s="79">
        <f t="shared" si="151"/>
        <v>0</v>
      </c>
      <c r="X187" s="79">
        <f t="shared" si="152"/>
        <v>0</v>
      </c>
      <c r="Y187" s="79">
        <f t="shared" si="153"/>
        <v>0</v>
      </c>
      <c r="Z187" s="79">
        <f t="shared" si="154"/>
        <v>0</v>
      </c>
      <c r="AA187" s="79">
        <f t="shared" si="155"/>
        <v>0</v>
      </c>
      <c r="AB187" s="79">
        <f t="shared" si="156"/>
        <v>0</v>
      </c>
      <c r="AC187" s="79">
        <f t="shared" si="157"/>
        <v>0</v>
      </c>
      <c r="AD187" s="79">
        <f t="shared" si="158"/>
        <v>0</v>
      </c>
      <c r="AE187" s="79">
        <f t="shared" si="159"/>
        <v>0</v>
      </c>
      <c r="AF187" s="79">
        <f t="shared" si="160"/>
        <v>0</v>
      </c>
      <c r="AG187" s="79">
        <f t="shared" si="161"/>
        <v>0</v>
      </c>
      <c r="AH187" s="79">
        <f t="shared" si="162"/>
        <v>0</v>
      </c>
      <c r="AI187" s="79">
        <f t="shared" si="163"/>
        <v>0</v>
      </c>
      <c r="AJ187" s="79">
        <f t="shared" si="164"/>
        <v>0</v>
      </c>
      <c r="AK187" s="79">
        <f t="shared" si="165"/>
        <v>0</v>
      </c>
      <c r="AL187" s="79">
        <f t="shared" si="166"/>
        <v>0</v>
      </c>
      <c r="AM187" s="79">
        <f t="shared" si="167"/>
        <v>0</v>
      </c>
      <c r="AN187" s="79">
        <f t="shared" si="168"/>
        <v>0</v>
      </c>
      <c r="AO187" s="79">
        <f t="shared" si="169"/>
        <v>0</v>
      </c>
      <c r="AP187" s="79">
        <f t="shared" si="170"/>
        <v>0</v>
      </c>
      <c r="AQ187" s="79">
        <f t="shared" si="171"/>
        <v>0</v>
      </c>
      <c r="AR187" s="79">
        <f t="shared" si="172"/>
        <v>0</v>
      </c>
      <c r="AS187" s="79">
        <f t="shared" si="173"/>
        <v>0</v>
      </c>
      <c r="AT187" s="79">
        <f t="shared" si="174"/>
        <v>0</v>
      </c>
      <c r="AU187" s="79">
        <f t="shared" si="175"/>
        <v>0</v>
      </c>
    </row>
    <row r="188" spans="1:47" ht="23.1" customHeight="1">
      <c r="A188" s="81" t="s">
        <v>822</v>
      </c>
      <c r="B188" s="81" t="s">
        <v>924</v>
      </c>
      <c r="C188" s="82" t="s">
        <v>343</v>
      </c>
      <c r="D188" s="84">
        <v>110</v>
      </c>
      <c r="E188" s="84">
        <f>단가대비표!L31</f>
        <v>3637.3049999999998</v>
      </c>
      <c r="F188" s="84">
        <f t="shared" si="142"/>
        <v>400103</v>
      </c>
      <c r="G188" s="84">
        <v>0</v>
      </c>
      <c r="H188" s="84">
        <f t="shared" si="143"/>
        <v>0</v>
      </c>
      <c r="I188" s="84">
        <v>0</v>
      </c>
      <c r="J188" s="84">
        <f t="shared" si="144"/>
        <v>0</v>
      </c>
      <c r="K188" s="84">
        <f t="shared" si="178"/>
        <v>3637.3049999999998</v>
      </c>
      <c r="L188" s="84">
        <f t="shared" si="178"/>
        <v>400103</v>
      </c>
      <c r="M188" s="84"/>
      <c r="O188" s="79" t="str">
        <f t="shared" si="177"/>
        <v>01</v>
      </c>
      <c r="P188" s="86" t="s">
        <v>678</v>
      </c>
      <c r="Q188" s="79">
        <v>1</v>
      </c>
      <c r="R188" s="79">
        <f t="shared" si="146"/>
        <v>0</v>
      </c>
      <c r="S188" s="79">
        <f t="shared" si="147"/>
        <v>0</v>
      </c>
      <c r="T188" s="79">
        <f t="shared" si="148"/>
        <v>0</v>
      </c>
      <c r="U188" s="79">
        <f t="shared" si="149"/>
        <v>0</v>
      </c>
      <c r="V188" s="79">
        <f t="shared" si="150"/>
        <v>0</v>
      </c>
      <c r="W188" s="79">
        <f t="shared" si="151"/>
        <v>0</v>
      </c>
      <c r="X188" s="79">
        <f t="shared" si="152"/>
        <v>0</v>
      </c>
      <c r="Y188" s="79">
        <f t="shared" si="153"/>
        <v>0</v>
      </c>
      <c r="Z188" s="79">
        <f t="shared" si="154"/>
        <v>0</v>
      </c>
      <c r="AA188" s="79">
        <f t="shared" si="155"/>
        <v>0</v>
      </c>
      <c r="AB188" s="79">
        <f t="shared" si="156"/>
        <v>0</v>
      </c>
      <c r="AC188" s="79">
        <f t="shared" si="157"/>
        <v>0</v>
      </c>
      <c r="AD188" s="79">
        <f t="shared" si="158"/>
        <v>0</v>
      </c>
      <c r="AE188" s="79">
        <f t="shared" si="159"/>
        <v>0</v>
      </c>
      <c r="AF188" s="79">
        <f t="shared" si="160"/>
        <v>0</v>
      </c>
      <c r="AG188" s="79">
        <f t="shared" si="161"/>
        <v>0</v>
      </c>
      <c r="AH188" s="79">
        <f t="shared" si="162"/>
        <v>0</v>
      </c>
      <c r="AI188" s="79">
        <f t="shared" si="163"/>
        <v>0</v>
      </c>
      <c r="AJ188" s="79">
        <f t="shared" si="164"/>
        <v>0</v>
      </c>
      <c r="AK188" s="79">
        <f t="shared" si="165"/>
        <v>0</v>
      </c>
      <c r="AL188" s="79">
        <f t="shared" si="166"/>
        <v>0</v>
      </c>
      <c r="AM188" s="79">
        <f t="shared" si="167"/>
        <v>0</v>
      </c>
      <c r="AN188" s="79">
        <f t="shared" si="168"/>
        <v>0</v>
      </c>
      <c r="AO188" s="79">
        <f t="shared" si="169"/>
        <v>0</v>
      </c>
      <c r="AP188" s="79">
        <f t="shared" si="170"/>
        <v>0</v>
      </c>
      <c r="AQ188" s="79">
        <f t="shared" si="171"/>
        <v>0</v>
      </c>
      <c r="AR188" s="79">
        <f t="shared" si="172"/>
        <v>0</v>
      </c>
      <c r="AS188" s="79">
        <f t="shared" si="173"/>
        <v>0</v>
      </c>
      <c r="AT188" s="79">
        <f t="shared" si="174"/>
        <v>0</v>
      </c>
      <c r="AU188" s="79">
        <f t="shared" si="175"/>
        <v>0</v>
      </c>
    </row>
    <row r="189" spans="1:47" ht="23.1" customHeight="1">
      <c r="A189" s="81" t="s">
        <v>822</v>
      </c>
      <c r="B189" s="81" t="s">
        <v>925</v>
      </c>
      <c r="C189" s="82" t="s">
        <v>343</v>
      </c>
      <c r="D189" s="84">
        <v>4</v>
      </c>
      <c r="E189" s="84">
        <f>단가대비표!L32</f>
        <v>2972.7110000000002</v>
      </c>
      <c r="F189" s="84">
        <f t="shared" si="142"/>
        <v>11890</v>
      </c>
      <c r="G189" s="84">
        <v>0</v>
      </c>
      <c r="H189" s="84">
        <f t="shared" si="143"/>
        <v>0</v>
      </c>
      <c r="I189" s="84">
        <v>0</v>
      </c>
      <c r="J189" s="84">
        <f t="shared" si="144"/>
        <v>0</v>
      </c>
      <c r="K189" s="84">
        <f t="shared" si="178"/>
        <v>2972.7110000000002</v>
      </c>
      <c r="L189" s="84">
        <f t="shared" si="178"/>
        <v>11890</v>
      </c>
      <c r="M189" s="84"/>
      <c r="O189" s="79" t="str">
        <f t="shared" si="177"/>
        <v>01</v>
      </c>
      <c r="P189" s="86" t="s">
        <v>678</v>
      </c>
      <c r="Q189" s="79">
        <v>1</v>
      </c>
      <c r="R189" s="79">
        <f t="shared" si="146"/>
        <v>0</v>
      </c>
      <c r="S189" s="79">
        <f t="shared" si="147"/>
        <v>0</v>
      </c>
      <c r="T189" s="79">
        <f t="shared" si="148"/>
        <v>0</v>
      </c>
      <c r="U189" s="79">
        <f t="shared" si="149"/>
        <v>0</v>
      </c>
      <c r="V189" s="79">
        <f t="shared" si="150"/>
        <v>0</v>
      </c>
      <c r="W189" s="79">
        <f t="shared" si="151"/>
        <v>0</v>
      </c>
      <c r="X189" s="79">
        <f t="shared" si="152"/>
        <v>0</v>
      </c>
      <c r="Y189" s="79">
        <f t="shared" si="153"/>
        <v>0</v>
      </c>
      <c r="Z189" s="79">
        <f t="shared" si="154"/>
        <v>0</v>
      </c>
      <c r="AA189" s="79">
        <f t="shared" si="155"/>
        <v>0</v>
      </c>
      <c r="AB189" s="79">
        <f t="shared" si="156"/>
        <v>0</v>
      </c>
      <c r="AC189" s="79">
        <f t="shared" si="157"/>
        <v>0</v>
      </c>
      <c r="AD189" s="79">
        <f t="shared" si="158"/>
        <v>0</v>
      </c>
      <c r="AE189" s="79">
        <f t="shared" si="159"/>
        <v>0</v>
      </c>
      <c r="AF189" s="79">
        <f t="shared" si="160"/>
        <v>0</v>
      </c>
      <c r="AG189" s="79">
        <f t="shared" si="161"/>
        <v>0</v>
      </c>
      <c r="AH189" s="79">
        <f t="shared" si="162"/>
        <v>0</v>
      </c>
      <c r="AI189" s="79">
        <f t="shared" si="163"/>
        <v>0</v>
      </c>
      <c r="AJ189" s="79">
        <f t="shared" si="164"/>
        <v>0</v>
      </c>
      <c r="AK189" s="79">
        <f t="shared" si="165"/>
        <v>0</v>
      </c>
      <c r="AL189" s="79">
        <f t="shared" si="166"/>
        <v>0</v>
      </c>
      <c r="AM189" s="79">
        <f t="shared" si="167"/>
        <v>0</v>
      </c>
      <c r="AN189" s="79">
        <f t="shared" si="168"/>
        <v>0</v>
      </c>
      <c r="AO189" s="79">
        <f t="shared" si="169"/>
        <v>0</v>
      </c>
      <c r="AP189" s="79">
        <f t="shared" si="170"/>
        <v>0</v>
      </c>
      <c r="AQ189" s="79">
        <f t="shared" si="171"/>
        <v>0</v>
      </c>
      <c r="AR189" s="79">
        <f t="shared" si="172"/>
        <v>0</v>
      </c>
      <c r="AS189" s="79">
        <f t="shared" si="173"/>
        <v>0</v>
      </c>
      <c r="AT189" s="79">
        <f t="shared" si="174"/>
        <v>0</v>
      </c>
      <c r="AU189" s="79">
        <f t="shared" si="175"/>
        <v>0</v>
      </c>
    </row>
    <row r="190" spans="1:47" ht="23.1" customHeight="1">
      <c r="A190" s="81" t="s">
        <v>822</v>
      </c>
      <c r="B190" s="81" t="s">
        <v>856</v>
      </c>
      <c r="C190" s="82" t="s">
        <v>343</v>
      </c>
      <c r="D190" s="84">
        <v>54</v>
      </c>
      <c r="E190" s="84">
        <f>단가대비표!L33</f>
        <v>3763.0390000000002</v>
      </c>
      <c r="F190" s="84">
        <f t="shared" si="142"/>
        <v>203204</v>
      </c>
      <c r="G190" s="84">
        <v>0</v>
      </c>
      <c r="H190" s="84">
        <f t="shared" si="143"/>
        <v>0</v>
      </c>
      <c r="I190" s="84">
        <v>0</v>
      </c>
      <c r="J190" s="84">
        <f t="shared" si="144"/>
        <v>0</v>
      </c>
      <c r="K190" s="84">
        <f t="shared" si="178"/>
        <v>3763.0390000000002</v>
      </c>
      <c r="L190" s="84">
        <f t="shared" si="178"/>
        <v>203204</v>
      </c>
      <c r="M190" s="84"/>
      <c r="O190" s="79" t="str">
        <f t="shared" si="177"/>
        <v>01</v>
      </c>
      <c r="P190" s="86" t="s">
        <v>678</v>
      </c>
      <c r="Q190" s="79">
        <v>1</v>
      </c>
      <c r="R190" s="79">
        <f t="shared" si="146"/>
        <v>0</v>
      </c>
      <c r="S190" s="79">
        <f t="shared" si="147"/>
        <v>0</v>
      </c>
      <c r="T190" s="79">
        <f t="shared" si="148"/>
        <v>0</v>
      </c>
      <c r="U190" s="79">
        <f t="shared" si="149"/>
        <v>0</v>
      </c>
      <c r="V190" s="79">
        <f t="shared" si="150"/>
        <v>0</v>
      </c>
      <c r="W190" s="79">
        <f t="shared" si="151"/>
        <v>0</v>
      </c>
      <c r="X190" s="79">
        <f t="shared" si="152"/>
        <v>0</v>
      </c>
      <c r="Y190" s="79">
        <f t="shared" si="153"/>
        <v>0</v>
      </c>
      <c r="Z190" s="79">
        <f t="shared" si="154"/>
        <v>0</v>
      </c>
      <c r="AA190" s="79">
        <f t="shared" si="155"/>
        <v>0</v>
      </c>
      <c r="AB190" s="79">
        <f t="shared" si="156"/>
        <v>0</v>
      </c>
      <c r="AC190" s="79">
        <f t="shared" si="157"/>
        <v>0</v>
      </c>
      <c r="AD190" s="79">
        <f t="shared" si="158"/>
        <v>0</v>
      </c>
      <c r="AE190" s="79">
        <f t="shared" si="159"/>
        <v>0</v>
      </c>
      <c r="AF190" s="79">
        <f t="shared" si="160"/>
        <v>0</v>
      </c>
      <c r="AG190" s="79">
        <f t="shared" si="161"/>
        <v>0</v>
      </c>
      <c r="AH190" s="79">
        <f t="shared" si="162"/>
        <v>0</v>
      </c>
      <c r="AI190" s="79">
        <f t="shared" si="163"/>
        <v>0</v>
      </c>
      <c r="AJ190" s="79">
        <f t="shared" si="164"/>
        <v>0</v>
      </c>
      <c r="AK190" s="79">
        <f t="shared" si="165"/>
        <v>0</v>
      </c>
      <c r="AL190" s="79">
        <f t="shared" si="166"/>
        <v>0</v>
      </c>
      <c r="AM190" s="79">
        <f t="shared" si="167"/>
        <v>0</v>
      </c>
      <c r="AN190" s="79">
        <f t="shared" si="168"/>
        <v>0</v>
      </c>
      <c r="AO190" s="79">
        <f t="shared" si="169"/>
        <v>0</v>
      </c>
      <c r="AP190" s="79">
        <f t="shared" si="170"/>
        <v>0</v>
      </c>
      <c r="AQ190" s="79">
        <f t="shared" si="171"/>
        <v>0</v>
      </c>
      <c r="AR190" s="79">
        <f t="shared" si="172"/>
        <v>0</v>
      </c>
      <c r="AS190" s="79">
        <f t="shared" si="173"/>
        <v>0</v>
      </c>
      <c r="AT190" s="79">
        <f t="shared" si="174"/>
        <v>0</v>
      </c>
      <c r="AU190" s="79">
        <f t="shared" si="175"/>
        <v>0</v>
      </c>
    </row>
    <row r="191" spans="1:47" ht="23.1" customHeight="1">
      <c r="A191" s="81" t="s">
        <v>822</v>
      </c>
      <c r="B191" s="81" t="s">
        <v>823</v>
      </c>
      <c r="C191" s="82" t="s">
        <v>343</v>
      </c>
      <c r="D191" s="84">
        <v>62</v>
      </c>
      <c r="E191" s="84">
        <f>단가대비표!L34</f>
        <v>4086.355</v>
      </c>
      <c r="F191" s="84">
        <f t="shared" si="142"/>
        <v>253354</v>
      </c>
      <c r="G191" s="84">
        <v>0</v>
      </c>
      <c r="H191" s="84">
        <f t="shared" si="143"/>
        <v>0</v>
      </c>
      <c r="I191" s="84">
        <v>0</v>
      </c>
      <c r="J191" s="84">
        <f t="shared" si="144"/>
        <v>0</v>
      </c>
      <c r="K191" s="84">
        <f t="shared" si="178"/>
        <v>4086.355</v>
      </c>
      <c r="L191" s="84">
        <f t="shared" si="178"/>
        <v>253354</v>
      </c>
      <c r="M191" s="84"/>
      <c r="O191" s="79" t="str">
        <f t="shared" si="177"/>
        <v>01</v>
      </c>
      <c r="P191" s="86" t="s">
        <v>678</v>
      </c>
      <c r="Q191" s="79">
        <v>1</v>
      </c>
      <c r="R191" s="79">
        <f t="shared" si="146"/>
        <v>0</v>
      </c>
      <c r="S191" s="79">
        <f t="shared" si="147"/>
        <v>0</v>
      </c>
      <c r="T191" s="79">
        <f t="shared" si="148"/>
        <v>0</v>
      </c>
      <c r="U191" s="79">
        <f t="shared" si="149"/>
        <v>0</v>
      </c>
      <c r="V191" s="79">
        <f t="shared" si="150"/>
        <v>0</v>
      </c>
      <c r="W191" s="79">
        <f t="shared" si="151"/>
        <v>0</v>
      </c>
      <c r="X191" s="79">
        <f t="shared" si="152"/>
        <v>0</v>
      </c>
      <c r="Y191" s="79">
        <f t="shared" si="153"/>
        <v>0</v>
      </c>
      <c r="Z191" s="79">
        <f t="shared" si="154"/>
        <v>0</v>
      </c>
      <c r="AA191" s="79">
        <f t="shared" si="155"/>
        <v>0</v>
      </c>
      <c r="AB191" s="79">
        <f t="shared" si="156"/>
        <v>0</v>
      </c>
      <c r="AC191" s="79">
        <f t="shared" si="157"/>
        <v>0</v>
      </c>
      <c r="AD191" s="79">
        <f t="shared" si="158"/>
        <v>0</v>
      </c>
      <c r="AE191" s="79">
        <f t="shared" si="159"/>
        <v>0</v>
      </c>
      <c r="AF191" s="79">
        <f t="shared" si="160"/>
        <v>0</v>
      </c>
      <c r="AG191" s="79">
        <f t="shared" si="161"/>
        <v>0</v>
      </c>
      <c r="AH191" s="79">
        <f t="shared" si="162"/>
        <v>0</v>
      </c>
      <c r="AI191" s="79">
        <f t="shared" si="163"/>
        <v>0</v>
      </c>
      <c r="AJ191" s="79">
        <f t="shared" si="164"/>
        <v>0</v>
      </c>
      <c r="AK191" s="79">
        <f t="shared" si="165"/>
        <v>0</v>
      </c>
      <c r="AL191" s="79">
        <f t="shared" si="166"/>
        <v>0</v>
      </c>
      <c r="AM191" s="79">
        <f t="shared" si="167"/>
        <v>0</v>
      </c>
      <c r="AN191" s="79">
        <f t="shared" si="168"/>
        <v>0</v>
      </c>
      <c r="AO191" s="79">
        <f t="shared" si="169"/>
        <v>0</v>
      </c>
      <c r="AP191" s="79">
        <f t="shared" si="170"/>
        <v>0</v>
      </c>
      <c r="AQ191" s="79">
        <f t="shared" si="171"/>
        <v>0</v>
      </c>
      <c r="AR191" s="79">
        <f t="shared" si="172"/>
        <v>0</v>
      </c>
      <c r="AS191" s="79">
        <f t="shared" si="173"/>
        <v>0</v>
      </c>
      <c r="AT191" s="79">
        <f t="shared" si="174"/>
        <v>0</v>
      </c>
      <c r="AU191" s="79">
        <f t="shared" si="175"/>
        <v>0</v>
      </c>
    </row>
    <row r="192" spans="1:47" ht="23.1" customHeight="1">
      <c r="A192" s="81" t="s">
        <v>822</v>
      </c>
      <c r="B192" s="81" t="s">
        <v>926</v>
      </c>
      <c r="C192" s="82" t="s">
        <v>343</v>
      </c>
      <c r="D192" s="84">
        <v>2</v>
      </c>
      <c r="E192" s="84">
        <f>단가대비표!L35</f>
        <v>9861.1380000000008</v>
      </c>
      <c r="F192" s="84">
        <f t="shared" si="142"/>
        <v>19722</v>
      </c>
      <c r="G192" s="84">
        <v>0</v>
      </c>
      <c r="H192" s="84">
        <f t="shared" si="143"/>
        <v>0</v>
      </c>
      <c r="I192" s="84">
        <v>0</v>
      </c>
      <c r="J192" s="84">
        <f t="shared" si="144"/>
        <v>0</v>
      </c>
      <c r="K192" s="84">
        <f t="shared" si="178"/>
        <v>9861.1380000000008</v>
      </c>
      <c r="L192" s="84">
        <f t="shared" si="178"/>
        <v>19722</v>
      </c>
      <c r="M192" s="84"/>
      <c r="O192" s="79" t="str">
        <f t="shared" si="177"/>
        <v>01</v>
      </c>
      <c r="P192" s="86" t="s">
        <v>678</v>
      </c>
      <c r="Q192" s="79">
        <v>1</v>
      </c>
      <c r="R192" s="79">
        <f t="shared" si="146"/>
        <v>0</v>
      </c>
      <c r="S192" s="79">
        <f t="shared" si="147"/>
        <v>0</v>
      </c>
      <c r="T192" s="79">
        <f t="shared" si="148"/>
        <v>0</v>
      </c>
      <c r="U192" s="79">
        <f t="shared" si="149"/>
        <v>0</v>
      </c>
      <c r="V192" s="79">
        <f t="shared" si="150"/>
        <v>0</v>
      </c>
      <c r="W192" s="79">
        <f t="shared" si="151"/>
        <v>0</v>
      </c>
      <c r="X192" s="79">
        <f t="shared" si="152"/>
        <v>0</v>
      </c>
      <c r="Y192" s="79">
        <f t="shared" si="153"/>
        <v>0</v>
      </c>
      <c r="Z192" s="79">
        <f t="shared" si="154"/>
        <v>0</v>
      </c>
      <c r="AA192" s="79">
        <f t="shared" si="155"/>
        <v>0</v>
      </c>
      <c r="AB192" s="79">
        <f t="shared" si="156"/>
        <v>0</v>
      </c>
      <c r="AC192" s="79">
        <f t="shared" si="157"/>
        <v>0</v>
      </c>
      <c r="AD192" s="79">
        <f t="shared" si="158"/>
        <v>0</v>
      </c>
      <c r="AE192" s="79">
        <f t="shared" si="159"/>
        <v>0</v>
      </c>
      <c r="AF192" s="79">
        <f t="shared" si="160"/>
        <v>0</v>
      </c>
      <c r="AG192" s="79">
        <f t="shared" si="161"/>
        <v>0</v>
      </c>
      <c r="AH192" s="79">
        <f t="shared" si="162"/>
        <v>0</v>
      </c>
      <c r="AI192" s="79">
        <f t="shared" si="163"/>
        <v>0</v>
      </c>
      <c r="AJ192" s="79">
        <f t="shared" si="164"/>
        <v>0</v>
      </c>
      <c r="AK192" s="79">
        <f t="shared" si="165"/>
        <v>0</v>
      </c>
      <c r="AL192" s="79">
        <f t="shared" si="166"/>
        <v>0</v>
      </c>
      <c r="AM192" s="79">
        <f t="shared" si="167"/>
        <v>0</v>
      </c>
      <c r="AN192" s="79">
        <f t="shared" si="168"/>
        <v>0</v>
      </c>
      <c r="AO192" s="79">
        <f t="shared" si="169"/>
        <v>0</v>
      </c>
      <c r="AP192" s="79">
        <f t="shared" si="170"/>
        <v>0</v>
      </c>
      <c r="AQ192" s="79">
        <f t="shared" si="171"/>
        <v>0</v>
      </c>
      <c r="AR192" s="79">
        <f t="shared" si="172"/>
        <v>0</v>
      </c>
      <c r="AS192" s="79">
        <f t="shared" si="173"/>
        <v>0</v>
      </c>
      <c r="AT192" s="79">
        <f t="shared" si="174"/>
        <v>0</v>
      </c>
      <c r="AU192" s="79">
        <f t="shared" si="175"/>
        <v>0</v>
      </c>
    </row>
    <row r="193" spans="1:50" ht="23.1" customHeight="1">
      <c r="A193" s="81" t="s">
        <v>822</v>
      </c>
      <c r="B193" s="81" t="s">
        <v>858</v>
      </c>
      <c r="C193" s="82" t="s">
        <v>343</v>
      </c>
      <c r="D193" s="84">
        <v>110</v>
      </c>
      <c r="E193" s="84">
        <f>단가대비표!L37</f>
        <v>5316.7520000000004</v>
      </c>
      <c r="F193" s="84">
        <f t="shared" si="142"/>
        <v>584842</v>
      </c>
      <c r="G193" s="84">
        <v>0</v>
      </c>
      <c r="H193" s="84">
        <f t="shared" si="143"/>
        <v>0</v>
      </c>
      <c r="I193" s="84">
        <v>0</v>
      </c>
      <c r="J193" s="84">
        <f t="shared" si="144"/>
        <v>0</v>
      </c>
      <c r="K193" s="84">
        <f t="shared" si="178"/>
        <v>5316.7520000000004</v>
      </c>
      <c r="L193" s="84">
        <f t="shared" si="178"/>
        <v>584842</v>
      </c>
      <c r="M193" s="84"/>
      <c r="O193" s="79" t="str">
        <f t="shared" si="177"/>
        <v>01</v>
      </c>
      <c r="P193" s="86" t="s">
        <v>678</v>
      </c>
      <c r="Q193" s="79">
        <v>1</v>
      </c>
      <c r="R193" s="79">
        <f t="shared" si="146"/>
        <v>0</v>
      </c>
      <c r="S193" s="79">
        <f t="shared" si="147"/>
        <v>0</v>
      </c>
      <c r="T193" s="79">
        <f t="shared" si="148"/>
        <v>0</v>
      </c>
      <c r="U193" s="79">
        <f t="shared" si="149"/>
        <v>0</v>
      </c>
      <c r="V193" s="79">
        <f t="shared" si="150"/>
        <v>0</v>
      </c>
      <c r="W193" s="79">
        <f t="shared" si="151"/>
        <v>0</v>
      </c>
      <c r="X193" s="79">
        <f t="shared" si="152"/>
        <v>0</v>
      </c>
      <c r="Y193" s="79">
        <f t="shared" si="153"/>
        <v>0</v>
      </c>
      <c r="Z193" s="79">
        <f t="shared" si="154"/>
        <v>0</v>
      </c>
      <c r="AA193" s="79">
        <f t="shared" si="155"/>
        <v>0</v>
      </c>
      <c r="AB193" s="79">
        <f t="shared" si="156"/>
        <v>0</v>
      </c>
      <c r="AC193" s="79">
        <f t="shared" si="157"/>
        <v>0</v>
      </c>
      <c r="AD193" s="79">
        <f t="shared" si="158"/>
        <v>0</v>
      </c>
      <c r="AE193" s="79">
        <f t="shared" si="159"/>
        <v>0</v>
      </c>
      <c r="AF193" s="79">
        <f t="shared" si="160"/>
        <v>0</v>
      </c>
      <c r="AG193" s="79">
        <f t="shared" si="161"/>
        <v>0</v>
      </c>
      <c r="AH193" s="79">
        <f t="shared" si="162"/>
        <v>0</v>
      </c>
      <c r="AI193" s="79">
        <f t="shared" si="163"/>
        <v>0</v>
      </c>
      <c r="AJ193" s="79">
        <f t="shared" si="164"/>
        <v>0</v>
      </c>
      <c r="AK193" s="79">
        <f t="shared" si="165"/>
        <v>0</v>
      </c>
      <c r="AL193" s="79">
        <f t="shared" si="166"/>
        <v>0</v>
      </c>
      <c r="AM193" s="79">
        <f t="shared" si="167"/>
        <v>0</v>
      </c>
      <c r="AN193" s="79">
        <f t="shared" si="168"/>
        <v>0</v>
      </c>
      <c r="AO193" s="79">
        <f t="shared" si="169"/>
        <v>0</v>
      </c>
      <c r="AP193" s="79">
        <f t="shared" si="170"/>
        <v>0</v>
      </c>
      <c r="AQ193" s="79">
        <f t="shared" si="171"/>
        <v>0</v>
      </c>
      <c r="AR193" s="79">
        <f t="shared" si="172"/>
        <v>0</v>
      </c>
      <c r="AS193" s="79">
        <f t="shared" si="173"/>
        <v>0</v>
      </c>
      <c r="AT193" s="79">
        <f t="shared" si="174"/>
        <v>0</v>
      </c>
      <c r="AU193" s="79">
        <f t="shared" si="175"/>
        <v>0</v>
      </c>
    </row>
    <row r="194" spans="1:50" ht="23.1" customHeight="1">
      <c r="A194" s="81" t="s">
        <v>827</v>
      </c>
      <c r="B194" s="81" t="s">
        <v>927</v>
      </c>
      <c r="C194" s="82" t="s">
        <v>769</v>
      </c>
      <c r="D194" s="84">
        <v>2</v>
      </c>
      <c r="E194" s="84">
        <f>일위대가목록!G56</f>
        <v>20101</v>
      </c>
      <c r="F194" s="84">
        <f t="shared" si="142"/>
        <v>40202</v>
      </c>
      <c r="G194" s="84">
        <f>일위대가목록!I56</f>
        <v>0</v>
      </c>
      <c r="H194" s="84">
        <f t="shared" si="143"/>
        <v>0</v>
      </c>
      <c r="I194" s="84">
        <f>일위대가목록!K56</f>
        <v>0</v>
      </c>
      <c r="J194" s="84">
        <f t="shared" si="144"/>
        <v>0</v>
      </c>
      <c r="K194" s="84">
        <f t="shared" si="178"/>
        <v>20101</v>
      </c>
      <c r="L194" s="84">
        <f t="shared" si="178"/>
        <v>40202</v>
      </c>
      <c r="M194" s="84" t="s">
        <v>928</v>
      </c>
      <c r="O194" s="79" t="str">
        <f>""</f>
        <v/>
      </c>
      <c r="P194" s="86" t="s">
        <v>678</v>
      </c>
      <c r="Q194" s="79">
        <v>1</v>
      </c>
      <c r="R194" s="79">
        <f t="shared" si="146"/>
        <v>0</v>
      </c>
      <c r="S194" s="79">
        <f t="shared" si="147"/>
        <v>0</v>
      </c>
      <c r="T194" s="79">
        <f t="shared" si="148"/>
        <v>0</v>
      </c>
      <c r="U194" s="79">
        <f t="shared" si="149"/>
        <v>0</v>
      </c>
      <c r="V194" s="79">
        <f t="shared" si="150"/>
        <v>0</v>
      </c>
      <c r="W194" s="79">
        <f t="shared" si="151"/>
        <v>0</v>
      </c>
      <c r="X194" s="79">
        <f t="shared" si="152"/>
        <v>0</v>
      </c>
      <c r="Y194" s="79">
        <f t="shared" si="153"/>
        <v>0</v>
      </c>
      <c r="Z194" s="79">
        <f t="shared" si="154"/>
        <v>0</v>
      </c>
      <c r="AA194" s="79">
        <f t="shared" si="155"/>
        <v>0</v>
      </c>
      <c r="AB194" s="79">
        <f t="shared" si="156"/>
        <v>0</v>
      </c>
      <c r="AC194" s="79">
        <f t="shared" si="157"/>
        <v>0</v>
      </c>
      <c r="AD194" s="79">
        <f t="shared" si="158"/>
        <v>0</v>
      </c>
      <c r="AE194" s="79">
        <f t="shared" si="159"/>
        <v>0</v>
      </c>
      <c r="AF194" s="79">
        <f t="shared" si="160"/>
        <v>0</v>
      </c>
      <c r="AG194" s="79">
        <f t="shared" si="161"/>
        <v>0</v>
      </c>
      <c r="AH194" s="79">
        <f t="shared" si="162"/>
        <v>0</v>
      </c>
      <c r="AI194" s="79">
        <f t="shared" si="163"/>
        <v>0</v>
      </c>
      <c r="AJ194" s="79">
        <f t="shared" si="164"/>
        <v>0</v>
      </c>
      <c r="AK194" s="79">
        <f t="shared" si="165"/>
        <v>0</v>
      </c>
      <c r="AL194" s="79">
        <f t="shared" si="166"/>
        <v>0</v>
      </c>
      <c r="AM194" s="79">
        <f t="shared" si="167"/>
        <v>0</v>
      </c>
      <c r="AN194" s="79">
        <f t="shared" si="168"/>
        <v>0</v>
      </c>
      <c r="AO194" s="79">
        <f t="shared" si="169"/>
        <v>0</v>
      </c>
      <c r="AP194" s="79">
        <f t="shared" si="170"/>
        <v>0</v>
      </c>
      <c r="AQ194" s="79">
        <f t="shared" si="171"/>
        <v>0</v>
      </c>
      <c r="AR194" s="79">
        <f t="shared" si="172"/>
        <v>0</v>
      </c>
      <c r="AS194" s="79">
        <f t="shared" si="173"/>
        <v>0</v>
      </c>
      <c r="AT194" s="79">
        <f t="shared" si="174"/>
        <v>0</v>
      </c>
      <c r="AU194" s="79">
        <f t="shared" si="175"/>
        <v>0</v>
      </c>
    </row>
    <row r="195" spans="1:50" ht="23.1" customHeight="1">
      <c r="A195" s="81" t="s">
        <v>827</v>
      </c>
      <c r="B195" s="81" t="s">
        <v>830</v>
      </c>
      <c r="C195" s="82" t="s">
        <v>769</v>
      </c>
      <c r="D195" s="84">
        <v>14</v>
      </c>
      <c r="E195" s="84">
        <f>일위대가목록!G57</f>
        <v>43463</v>
      </c>
      <c r="F195" s="84">
        <f t="shared" si="142"/>
        <v>608482</v>
      </c>
      <c r="G195" s="84">
        <f>일위대가목록!I57</f>
        <v>0</v>
      </c>
      <c r="H195" s="84">
        <f t="shared" si="143"/>
        <v>0</v>
      </c>
      <c r="I195" s="84">
        <f>일위대가목록!K57</f>
        <v>0</v>
      </c>
      <c r="J195" s="84">
        <f t="shared" si="144"/>
        <v>0</v>
      </c>
      <c r="K195" s="84">
        <f t="shared" si="178"/>
        <v>43463</v>
      </c>
      <c r="L195" s="84">
        <f t="shared" si="178"/>
        <v>608482</v>
      </c>
      <c r="M195" s="84" t="s">
        <v>831</v>
      </c>
      <c r="O195" s="79" t="str">
        <f>""</f>
        <v/>
      </c>
      <c r="P195" s="86" t="s">
        <v>678</v>
      </c>
      <c r="Q195" s="79">
        <v>1</v>
      </c>
      <c r="R195" s="79">
        <f t="shared" si="146"/>
        <v>0</v>
      </c>
      <c r="S195" s="79">
        <f t="shared" si="147"/>
        <v>0</v>
      </c>
      <c r="T195" s="79">
        <f t="shared" si="148"/>
        <v>0</v>
      </c>
      <c r="U195" s="79">
        <f t="shared" si="149"/>
        <v>0</v>
      </c>
      <c r="V195" s="79">
        <f t="shared" si="150"/>
        <v>0</v>
      </c>
      <c r="W195" s="79">
        <f t="shared" si="151"/>
        <v>0</v>
      </c>
      <c r="X195" s="79">
        <f t="shared" si="152"/>
        <v>0</v>
      </c>
      <c r="Y195" s="79">
        <f t="shared" si="153"/>
        <v>0</v>
      </c>
      <c r="Z195" s="79">
        <f t="shared" si="154"/>
        <v>0</v>
      </c>
      <c r="AA195" s="79">
        <f t="shared" si="155"/>
        <v>0</v>
      </c>
      <c r="AB195" s="79">
        <f t="shared" si="156"/>
        <v>0</v>
      </c>
      <c r="AC195" s="79">
        <f t="shared" si="157"/>
        <v>0</v>
      </c>
      <c r="AD195" s="79">
        <f t="shared" si="158"/>
        <v>0</v>
      </c>
      <c r="AE195" s="79">
        <f t="shared" si="159"/>
        <v>0</v>
      </c>
      <c r="AF195" s="79">
        <f t="shared" si="160"/>
        <v>0</v>
      </c>
      <c r="AG195" s="79">
        <f t="shared" si="161"/>
        <v>0</v>
      </c>
      <c r="AH195" s="79">
        <f t="shared" si="162"/>
        <v>0</v>
      </c>
      <c r="AI195" s="79">
        <f t="shared" si="163"/>
        <v>0</v>
      </c>
      <c r="AJ195" s="79">
        <f t="shared" si="164"/>
        <v>0</v>
      </c>
      <c r="AK195" s="79">
        <f t="shared" si="165"/>
        <v>0</v>
      </c>
      <c r="AL195" s="79">
        <f t="shared" si="166"/>
        <v>0</v>
      </c>
      <c r="AM195" s="79">
        <f t="shared" si="167"/>
        <v>0</v>
      </c>
      <c r="AN195" s="79">
        <f t="shared" si="168"/>
        <v>0</v>
      </c>
      <c r="AO195" s="79">
        <f t="shared" si="169"/>
        <v>0</v>
      </c>
      <c r="AP195" s="79">
        <f t="shared" si="170"/>
        <v>0</v>
      </c>
      <c r="AQ195" s="79">
        <f t="shared" si="171"/>
        <v>0</v>
      </c>
      <c r="AR195" s="79">
        <f t="shared" si="172"/>
        <v>0</v>
      </c>
      <c r="AS195" s="79">
        <f t="shared" si="173"/>
        <v>0</v>
      </c>
      <c r="AT195" s="79">
        <f t="shared" si="174"/>
        <v>0</v>
      </c>
      <c r="AU195" s="79">
        <f t="shared" si="175"/>
        <v>0</v>
      </c>
    </row>
    <row r="196" spans="1:50" ht="23.1" customHeight="1">
      <c r="A196" s="81" t="s">
        <v>929</v>
      </c>
      <c r="B196" s="81" t="s">
        <v>930</v>
      </c>
      <c r="C196" s="82" t="s">
        <v>931</v>
      </c>
      <c r="D196" s="84">
        <f>공량산출서!F114</f>
        <v>5</v>
      </c>
      <c r="E196" s="84">
        <f>단가대비표!L69</f>
        <v>20153.364000000001</v>
      </c>
      <c r="F196" s="84">
        <f t="shared" si="142"/>
        <v>100766</v>
      </c>
      <c r="G196" s="84">
        <v>0</v>
      </c>
      <c r="H196" s="84">
        <f t="shared" si="143"/>
        <v>0</v>
      </c>
      <c r="I196" s="84">
        <v>0</v>
      </c>
      <c r="J196" s="84">
        <f t="shared" si="144"/>
        <v>0</v>
      </c>
      <c r="K196" s="84">
        <f t="shared" si="178"/>
        <v>20153.364000000001</v>
      </c>
      <c r="L196" s="84">
        <f t="shared" si="178"/>
        <v>100766</v>
      </c>
      <c r="M196" s="84"/>
      <c r="O196" s="79" t="str">
        <f>"01"</f>
        <v>01</v>
      </c>
      <c r="P196" s="86" t="s">
        <v>678</v>
      </c>
      <c r="Q196" s="79">
        <v>1</v>
      </c>
      <c r="R196" s="79">
        <f t="shared" si="146"/>
        <v>0</v>
      </c>
      <c r="S196" s="79">
        <f t="shared" si="147"/>
        <v>0</v>
      </c>
      <c r="T196" s="79">
        <f t="shared" si="148"/>
        <v>0</v>
      </c>
      <c r="U196" s="79">
        <f t="shared" si="149"/>
        <v>0</v>
      </c>
      <c r="V196" s="79">
        <f t="shared" si="150"/>
        <v>0</v>
      </c>
      <c r="W196" s="79">
        <f t="shared" si="151"/>
        <v>0</v>
      </c>
      <c r="X196" s="79">
        <f t="shared" si="152"/>
        <v>0</v>
      </c>
      <c r="Y196" s="79">
        <f t="shared" si="153"/>
        <v>0</v>
      </c>
      <c r="Z196" s="79">
        <f t="shared" si="154"/>
        <v>0</v>
      </c>
      <c r="AA196" s="79">
        <f t="shared" si="155"/>
        <v>0</v>
      </c>
      <c r="AB196" s="79">
        <f t="shared" si="156"/>
        <v>0</v>
      </c>
      <c r="AC196" s="79">
        <f t="shared" si="157"/>
        <v>0</v>
      </c>
      <c r="AD196" s="79">
        <f t="shared" si="158"/>
        <v>0</v>
      </c>
      <c r="AE196" s="79">
        <f t="shared" si="159"/>
        <v>0</v>
      </c>
      <c r="AF196" s="79">
        <f t="shared" si="160"/>
        <v>0</v>
      </c>
      <c r="AG196" s="79">
        <f t="shared" si="161"/>
        <v>0</v>
      </c>
      <c r="AH196" s="79">
        <f t="shared" si="162"/>
        <v>0</v>
      </c>
      <c r="AI196" s="79">
        <f t="shared" si="163"/>
        <v>0</v>
      </c>
      <c r="AJ196" s="79">
        <f t="shared" si="164"/>
        <v>0</v>
      </c>
      <c r="AK196" s="79">
        <f t="shared" si="165"/>
        <v>0</v>
      </c>
      <c r="AL196" s="79">
        <f t="shared" si="166"/>
        <v>0</v>
      </c>
      <c r="AM196" s="79">
        <f t="shared" si="167"/>
        <v>0</v>
      </c>
      <c r="AN196" s="79">
        <f t="shared" si="168"/>
        <v>0</v>
      </c>
      <c r="AO196" s="79">
        <f t="shared" si="169"/>
        <v>0</v>
      </c>
      <c r="AP196" s="79">
        <f t="shared" si="170"/>
        <v>0</v>
      </c>
      <c r="AQ196" s="79">
        <f t="shared" si="171"/>
        <v>0</v>
      </c>
      <c r="AR196" s="79">
        <f t="shared" si="172"/>
        <v>0</v>
      </c>
      <c r="AS196" s="79">
        <f t="shared" si="173"/>
        <v>0</v>
      </c>
      <c r="AT196" s="79">
        <f t="shared" si="174"/>
        <v>0</v>
      </c>
      <c r="AU196" s="79">
        <f t="shared" si="175"/>
        <v>0</v>
      </c>
    </row>
    <row r="197" spans="1:50" ht="23.1" customHeight="1">
      <c r="A197" s="81" t="s">
        <v>932</v>
      </c>
      <c r="B197" s="81" t="s">
        <v>933</v>
      </c>
      <c r="C197" s="82" t="s">
        <v>343</v>
      </c>
      <c r="D197" s="84">
        <f>공량산출서!F116</f>
        <v>380</v>
      </c>
      <c r="E197" s="84">
        <f>단가대비표!L70</f>
        <v>3897.7539999999999</v>
      </c>
      <c r="F197" s="84">
        <f t="shared" si="142"/>
        <v>1481146</v>
      </c>
      <c r="G197" s="84">
        <v>0</v>
      </c>
      <c r="H197" s="84">
        <f t="shared" si="143"/>
        <v>0</v>
      </c>
      <c r="I197" s="84">
        <v>0</v>
      </c>
      <c r="J197" s="84">
        <f t="shared" si="144"/>
        <v>0</v>
      </c>
      <c r="K197" s="84">
        <f t="shared" si="178"/>
        <v>3897.7539999999999</v>
      </c>
      <c r="L197" s="84">
        <f t="shared" si="178"/>
        <v>1481146</v>
      </c>
      <c r="M197" s="84"/>
      <c r="O197" s="79" t="str">
        <f>"01"</f>
        <v>01</v>
      </c>
      <c r="P197" s="86" t="s">
        <v>678</v>
      </c>
      <c r="Q197" s="79">
        <v>1</v>
      </c>
      <c r="R197" s="79">
        <f t="shared" si="146"/>
        <v>0</v>
      </c>
      <c r="S197" s="79">
        <f t="shared" si="147"/>
        <v>0</v>
      </c>
      <c r="T197" s="79">
        <f t="shared" si="148"/>
        <v>0</v>
      </c>
      <c r="U197" s="79">
        <f t="shared" si="149"/>
        <v>0</v>
      </c>
      <c r="V197" s="79">
        <f t="shared" si="150"/>
        <v>0</v>
      </c>
      <c r="W197" s="79">
        <f t="shared" si="151"/>
        <v>0</v>
      </c>
      <c r="X197" s="79">
        <f t="shared" si="152"/>
        <v>0</v>
      </c>
      <c r="Y197" s="79">
        <f t="shared" si="153"/>
        <v>0</v>
      </c>
      <c r="Z197" s="79">
        <f t="shared" si="154"/>
        <v>0</v>
      </c>
      <c r="AA197" s="79">
        <f t="shared" si="155"/>
        <v>0</v>
      </c>
      <c r="AB197" s="79">
        <f t="shared" si="156"/>
        <v>0</v>
      </c>
      <c r="AC197" s="79">
        <f t="shared" si="157"/>
        <v>0</v>
      </c>
      <c r="AD197" s="79">
        <f t="shared" si="158"/>
        <v>0</v>
      </c>
      <c r="AE197" s="79">
        <f t="shared" si="159"/>
        <v>0</v>
      </c>
      <c r="AF197" s="79">
        <f t="shared" si="160"/>
        <v>0</v>
      </c>
      <c r="AG197" s="79">
        <f t="shared" si="161"/>
        <v>0</v>
      </c>
      <c r="AH197" s="79">
        <f t="shared" si="162"/>
        <v>0</v>
      </c>
      <c r="AI197" s="79">
        <f t="shared" si="163"/>
        <v>0</v>
      </c>
      <c r="AJ197" s="79">
        <f t="shared" si="164"/>
        <v>0</v>
      </c>
      <c r="AK197" s="79">
        <f t="shared" si="165"/>
        <v>0</v>
      </c>
      <c r="AL197" s="79">
        <f t="shared" si="166"/>
        <v>0</v>
      </c>
      <c r="AM197" s="79">
        <f t="shared" si="167"/>
        <v>0</v>
      </c>
      <c r="AN197" s="79">
        <f t="shared" si="168"/>
        <v>0</v>
      </c>
      <c r="AO197" s="79">
        <f t="shared" si="169"/>
        <v>0</v>
      </c>
      <c r="AP197" s="79">
        <f t="shared" si="170"/>
        <v>0</v>
      </c>
      <c r="AQ197" s="79">
        <f t="shared" si="171"/>
        <v>0</v>
      </c>
      <c r="AR197" s="79">
        <f t="shared" si="172"/>
        <v>0</v>
      </c>
      <c r="AS197" s="79">
        <f t="shared" si="173"/>
        <v>0</v>
      </c>
      <c r="AT197" s="79">
        <f t="shared" si="174"/>
        <v>0</v>
      </c>
      <c r="AU197" s="79">
        <f t="shared" si="175"/>
        <v>0</v>
      </c>
    </row>
    <row r="198" spans="1:50" ht="23.1" customHeight="1">
      <c r="A198" s="81" t="s">
        <v>934</v>
      </c>
      <c r="B198" s="81" t="s">
        <v>935</v>
      </c>
      <c r="C198" s="82" t="s">
        <v>343</v>
      </c>
      <c r="D198" s="84">
        <f>공량산출서!F118</f>
        <v>5</v>
      </c>
      <c r="E198" s="84">
        <f>단가대비표!L86</f>
        <v>7364.42</v>
      </c>
      <c r="F198" s="84">
        <f t="shared" si="142"/>
        <v>36822</v>
      </c>
      <c r="G198" s="84">
        <v>0</v>
      </c>
      <c r="H198" s="84">
        <f t="shared" si="143"/>
        <v>0</v>
      </c>
      <c r="I198" s="84">
        <v>0</v>
      </c>
      <c r="J198" s="84">
        <f t="shared" si="144"/>
        <v>0</v>
      </c>
      <c r="K198" s="84">
        <f t="shared" si="178"/>
        <v>7364.42</v>
      </c>
      <c r="L198" s="84">
        <f t="shared" si="178"/>
        <v>36822</v>
      </c>
      <c r="M198" s="84"/>
      <c r="O198" s="79" t="str">
        <f>"01"</f>
        <v>01</v>
      </c>
      <c r="P198" s="86" t="s">
        <v>678</v>
      </c>
      <c r="Q198" s="79">
        <v>1</v>
      </c>
      <c r="R198" s="79">
        <f t="shared" si="146"/>
        <v>0</v>
      </c>
      <c r="S198" s="79">
        <f t="shared" si="147"/>
        <v>0</v>
      </c>
      <c r="T198" s="79">
        <f t="shared" si="148"/>
        <v>0</v>
      </c>
      <c r="U198" s="79">
        <f t="shared" si="149"/>
        <v>0</v>
      </c>
      <c r="V198" s="79">
        <f t="shared" si="150"/>
        <v>0</v>
      </c>
      <c r="W198" s="79">
        <f t="shared" si="151"/>
        <v>0</v>
      </c>
      <c r="X198" s="79">
        <f t="shared" si="152"/>
        <v>0</v>
      </c>
      <c r="Y198" s="79">
        <f t="shared" si="153"/>
        <v>0</v>
      </c>
      <c r="Z198" s="79">
        <f t="shared" si="154"/>
        <v>0</v>
      </c>
      <c r="AA198" s="79">
        <f t="shared" si="155"/>
        <v>0</v>
      </c>
      <c r="AB198" s="79">
        <f t="shared" si="156"/>
        <v>0</v>
      </c>
      <c r="AC198" s="79">
        <f t="shared" si="157"/>
        <v>0</v>
      </c>
      <c r="AD198" s="79">
        <f t="shared" si="158"/>
        <v>0</v>
      </c>
      <c r="AE198" s="79">
        <f t="shared" si="159"/>
        <v>0</v>
      </c>
      <c r="AF198" s="79">
        <f t="shared" si="160"/>
        <v>0</v>
      </c>
      <c r="AG198" s="79">
        <f t="shared" si="161"/>
        <v>0</v>
      </c>
      <c r="AH198" s="79">
        <f t="shared" si="162"/>
        <v>0</v>
      </c>
      <c r="AI198" s="79">
        <f t="shared" si="163"/>
        <v>0</v>
      </c>
      <c r="AJ198" s="79">
        <f t="shared" si="164"/>
        <v>0</v>
      </c>
      <c r="AK198" s="79">
        <f t="shared" si="165"/>
        <v>0</v>
      </c>
      <c r="AL198" s="79">
        <f t="shared" si="166"/>
        <v>0</v>
      </c>
      <c r="AM198" s="79">
        <f t="shared" si="167"/>
        <v>0</v>
      </c>
      <c r="AN198" s="79">
        <f t="shared" si="168"/>
        <v>0</v>
      </c>
      <c r="AO198" s="79">
        <f t="shared" si="169"/>
        <v>0</v>
      </c>
      <c r="AP198" s="79">
        <f t="shared" si="170"/>
        <v>0</v>
      </c>
      <c r="AQ198" s="79">
        <f t="shared" si="171"/>
        <v>0</v>
      </c>
      <c r="AR198" s="79">
        <f t="shared" si="172"/>
        <v>0</v>
      </c>
      <c r="AS198" s="79">
        <f t="shared" si="173"/>
        <v>0</v>
      </c>
      <c r="AT198" s="79">
        <f t="shared" si="174"/>
        <v>0</v>
      </c>
      <c r="AU198" s="79">
        <f t="shared" si="175"/>
        <v>0</v>
      </c>
    </row>
    <row r="199" spans="1:50" ht="23.1" customHeight="1">
      <c r="A199" s="81" t="s">
        <v>815</v>
      </c>
      <c r="B199" s="81" t="s">
        <v>936</v>
      </c>
      <c r="C199" s="82" t="s">
        <v>769</v>
      </c>
      <c r="D199" s="84">
        <v>120</v>
      </c>
      <c r="E199" s="84">
        <f>일위대가목록!G44</f>
        <v>1621</v>
      </c>
      <c r="F199" s="84">
        <f t="shared" si="142"/>
        <v>194520</v>
      </c>
      <c r="G199" s="84">
        <f>일위대가목록!I44</f>
        <v>0</v>
      </c>
      <c r="H199" s="84">
        <f t="shared" si="143"/>
        <v>0</v>
      </c>
      <c r="I199" s="84">
        <f>일위대가목록!K44</f>
        <v>0</v>
      </c>
      <c r="J199" s="84">
        <f t="shared" si="144"/>
        <v>0</v>
      </c>
      <c r="K199" s="84">
        <f t="shared" si="178"/>
        <v>1621</v>
      </c>
      <c r="L199" s="84">
        <f t="shared" si="178"/>
        <v>194520</v>
      </c>
      <c r="M199" s="84" t="s">
        <v>937</v>
      </c>
      <c r="O199" s="79" t="str">
        <f>""</f>
        <v/>
      </c>
      <c r="P199" s="86" t="s">
        <v>678</v>
      </c>
      <c r="Q199" s="79">
        <v>1</v>
      </c>
      <c r="R199" s="79">
        <f t="shared" si="146"/>
        <v>0</v>
      </c>
      <c r="S199" s="79">
        <f t="shared" si="147"/>
        <v>0</v>
      </c>
      <c r="T199" s="79">
        <f t="shared" si="148"/>
        <v>0</v>
      </c>
      <c r="U199" s="79">
        <f t="shared" si="149"/>
        <v>0</v>
      </c>
      <c r="V199" s="79">
        <f t="shared" si="150"/>
        <v>0</v>
      </c>
      <c r="W199" s="79">
        <f t="shared" si="151"/>
        <v>0</v>
      </c>
      <c r="X199" s="79">
        <f t="shared" si="152"/>
        <v>0</v>
      </c>
      <c r="Y199" s="79">
        <f t="shared" si="153"/>
        <v>0</v>
      </c>
      <c r="Z199" s="79">
        <f t="shared" si="154"/>
        <v>0</v>
      </c>
      <c r="AA199" s="79">
        <f t="shared" si="155"/>
        <v>0</v>
      </c>
      <c r="AB199" s="79">
        <f t="shared" si="156"/>
        <v>0</v>
      </c>
      <c r="AC199" s="79">
        <f t="shared" si="157"/>
        <v>0</v>
      </c>
      <c r="AD199" s="79">
        <f t="shared" si="158"/>
        <v>0</v>
      </c>
      <c r="AE199" s="79">
        <f t="shared" si="159"/>
        <v>0</v>
      </c>
      <c r="AF199" s="79">
        <f t="shared" si="160"/>
        <v>0</v>
      </c>
      <c r="AG199" s="79">
        <f t="shared" si="161"/>
        <v>0</v>
      </c>
      <c r="AH199" s="79">
        <f t="shared" si="162"/>
        <v>0</v>
      </c>
      <c r="AI199" s="79">
        <f t="shared" si="163"/>
        <v>0</v>
      </c>
      <c r="AJ199" s="79">
        <f t="shared" si="164"/>
        <v>0</v>
      </c>
      <c r="AK199" s="79">
        <f t="shared" si="165"/>
        <v>0</v>
      </c>
      <c r="AL199" s="79">
        <f t="shared" si="166"/>
        <v>0</v>
      </c>
      <c r="AM199" s="79">
        <f t="shared" si="167"/>
        <v>0</v>
      </c>
      <c r="AN199" s="79">
        <f t="shared" si="168"/>
        <v>0</v>
      </c>
      <c r="AO199" s="79">
        <f t="shared" si="169"/>
        <v>0</v>
      </c>
      <c r="AP199" s="79">
        <f t="shared" si="170"/>
        <v>0</v>
      </c>
      <c r="AQ199" s="79">
        <f t="shared" si="171"/>
        <v>0</v>
      </c>
      <c r="AR199" s="79">
        <f t="shared" si="172"/>
        <v>0</v>
      </c>
      <c r="AS199" s="79">
        <f t="shared" si="173"/>
        <v>0</v>
      </c>
      <c r="AT199" s="79">
        <f t="shared" si="174"/>
        <v>0</v>
      </c>
      <c r="AU199" s="79">
        <f t="shared" si="175"/>
        <v>0</v>
      </c>
    </row>
    <row r="200" spans="1:50" ht="23.1" customHeight="1">
      <c r="A200" s="81" t="s">
        <v>815</v>
      </c>
      <c r="B200" s="81" t="s">
        <v>938</v>
      </c>
      <c r="C200" s="82" t="s">
        <v>769</v>
      </c>
      <c r="D200" s="84">
        <v>71</v>
      </c>
      <c r="E200" s="84">
        <f>일위대가목록!G45</f>
        <v>1729</v>
      </c>
      <c r="F200" s="84">
        <f t="shared" si="142"/>
        <v>122759</v>
      </c>
      <c r="G200" s="84">
        <f>일위대가목록!I45</f>
        <v>0</v>
      </c>
      <c r="H200" s="84">
        <f t="shared" si="143"/>
        <v>0</v>
      </c>
      <c r="I200" s="84">
        <f>일위대가목록!K45</f>
        <v>0</v>
      </c>
      <c r="J200" s="84">
        <f t="shared" si="144"/>
        <v>0</v>
      </c>
      <c r="K200" s="84">
        <f t="shared" si="178"/>
        <v>1729</v>
      </c>
      <c r="L200" s="84">
        <f t="shared" si="178"/>
        <v>122759</v>
      </c>
      <c r="M200" s="84" t="s">
        <v>939</v>
      </c>
      <c r="O200" s="79" t="str">
        <f>""</f>
        <v/>
      </c>
      <c r="P200" s="86" t="s">
        <v>678</v>
      </c>
      <c r="Q200" s="79">
        <v>1</v>
      </c>
      <c r="R200" s="79">
        <f t="shared" si="146"/>
        <v>0</v>
      </c>
      <c r="S200" s="79">
        <f t="shared" si="147"/>
        <v>0</v>
      </c>
      <c r="T200" s="79">
        <f t="shared" si="148"/>
        <v>0</v>
      </c>
      <c r="U200" s="79">
        <f t="shared" si="149"/>
        <v>0</v>
      </c>
      <c r="V200" s="79">
        <f t="shared" si="150"/>
        <v>0</v>
      </c>
      <c r="W200" s="79">
        <f t="shared" si="151"/>
        <v>0</v>
      </c>
      <c r="X200" s="79">
        <f t="shared" si="152"/>
        <v>0</v>
      </c>
      <c r="Y200" s="79">
        <f t="shared" si="153"/>
        <v>0</v>
      </c>
      <c r="Z200" s="79">
        <f t="shared" si="154"/>
        <v>0</v>
      </c>
      <c r="AA200" s="79">
        <f t="shared" si="155"/>
        <v>0</v>
      </c>
      <c r="AB200" s="79">
        <f t="shared" si="156"/>
        <v>0</v>
      </c>
      <c r="AC200" s="79">
        <f t="shared" si="157"/>
        <v>0</v>
      </c>
      <c r="AD200" s="79">
        <f t="shared" si="158"/>
        <v>0</v>
      </c>
      <c r="AE200" s="79">
        <f t="shared" si="159"/>
        <v>0</v>
      </c>
      <c r="AF200" s="79">
        <f t="shared" si="160"/>
        <v>0</v>
      </c>
      <c r="AG200" s="79">
        <f t="shared" si="161"/>
        <v>0</v>
      </c>
      <c r="AH200" s="79">
        <f t="shared" si="162"/>
        <v>0</v>
      </c>
      <c r="AI200" s="79">
        <f t="shared" si="163"/>
        <v>0</v>
      </c>
      <c r="AJ200" s="79">
        <f t="shared" si="164"/>
        <v>0</v>
      </c>
      <c r="AK200" s="79">
        <f t="shared" si="165"/>
        <v>0</v>
      </c>
      <c r="AL200" s="79">
        <f t="shared" si="166"/>
        <v>0</v>
      </c>
      <c r="AM200" s="79">
        <f t="shared" si="167"/>
        <v>0</v>
      </c>
      <c r="AN200" s="79">
        <f t="shared" si="168"/>
        <v>0</v>
      </c>
      <c r="AO200" s="79">
        <f t="shared" si="169"/>
        <v>0</v>
      </c>
      <c r="AP200" s="79">
        <f t="shared" si="170"/>
        <v>0</v>
      </c>
      <c r="AQ200" s="79">
        <f t="shared" si="171"/>
        <v>0</v>
      </c>
      <c r="AR200" s="79">
        <f t="shared" si="172"/>
        <v>0</v>
      </c>
      <c r="AS200" s="79">
        <f t="shared" si="173"/>
        <v>0</v>
      </c>
      <c r="AT200" s="79">
        <f t="shared" si="174"/>
        <v>0</v>
      </c>
      <c r="AU200" s="79">
        <f t="shared" si="175"/>
        <v>0</v>
      </c>
    </row>
    <row r="201" spans="1:50" ht="23.1" customHeight="1">
      <c r="A201" s="81" t="s">
        <v>815</v>
      </c>
      <c r="B201" s="81" t="s">
        <v>940</v>
      </c>
      <c r="C201" s="82" t="s">
        <v>769</v>
      </c>
      <c r="D201" s="84">
        <v>147</v>
      </c>
      <c r="E201" s="84">
        <f>일위대가목록!G46</f>
        <v>1783</v>
      </c>
      <c r="F201" s="84">
        <f t="shared" si="142"/>
        <v>262101</v>
      </c>
      <c r="G201" s="84">
        <f>일위대가목록!I46</f>
        <v>0</v>
      </c>
      <c r="H201" s="84">
        <f t="shared" si="143"/>
        <v>0</v>
      </c>
      <c r="I201" s="84">
        <f>일위대가목록!K46</f>
        <v>0</v>
      </c>
      <c r="J201" s="84">
        <f t="shared" si="144"/>
        <v>0</v>
      </c>
      <c r="K201" s="84">
        <f t="shared" si="178"/>
        <v>1783</v>
      </c>
      <c r="L201" s="84">
        <f t="shared" si="178"/>
        <v>262101</v>
      </c>
      <c r="M201" s="84" t="s">
        <v>941</v>
      </c>
      <c r="O201" s="79" t="str">
        <f>""</f>
        <v/>
      </c>
      <c r="P201" s="86" t="s">
        <v>678</v>
      </c>
      <c r="Q201" s="79">
        <v>1</v>
      </c>
      <c r="R201" s="79">
        <f t="shared" si="146"/>
        <v>0</v>
      </c>
      <c r="S201" s="79">
        <f t="shared" si="147"/>
        <v>0</v>
      </c>
      <c r="T201" s="79">
        <f t="shared" si="148"/>
        <v>0</v>
      </c>
      <c r="U201" s="79">
        <f t="shared" si="149"/>
        <v>0</v>
      </c>
      <c r="V201" s="79">
        <f t="shared" si="150"/>
        <v>0</v>
      </c>
      <c r="W201" s="79">
        <f t="shared" si="151"/>
        <v>0</v>
      </c>
      <c r="X201" s="79">
        <f t="shared" si="152"/>
        <v>0</v>
      </c>
      <c r="Y201" s="79">
        <f t="shared" si="153"/>
        <v>0</v>
      </c>
      <c r="Z201" s="79">
        <f t="shared" si="154"/>
        <v>0</v>
      </c>
      <c r="AA201" s="79">
        <f t="shared" si="155"/>
        <v>0</v>
      </c>
      <c r="AB201" s="79">
        <f t="shared" si="156"/>
        <v>0</v>
      </c>
      <c r="AC201" s="79">
        <f t="shared" si="157"/>
        <v>0</v>
      </c>
      <c r="AD201" s="79">
        <f t="shared" si="158"/>
        <v>0</v>
      </c>
      <c r="AE201" s="79">
        <f t="shared" si="159"/>
        <v>0</v>
      </c>
      <c r="AF201" s="79">
        <f t="shared" si="160"/>
        <v>0</v>
      </c>
      <c r="AG201" s="79">
        <f t="shared" si="161"/>
        <v>0</v>
      </c>
      <c r="AH201" s="79">
        <f t="shared" si="162"/>
        <v>0</v>
      </c>
      <c r="AI201" s="79">
        <f t="shared" si="163"/>
        <v>0</v>
      </c>
      <c r="AJ201" s="79">
        <f t="shared" si="164"/>
        <v>0</v>
      </c>
      <c r="AK201" s="79">
        <f t="shared" si="165"/>
        <v>0</v>
      </c>
      <c r="AL201" s="79">
        <f t="shared" si="166"/>
        <v>0</v>
      </c>
      <c r="AM201" s="79">
        <f t="shared" si="167"/>
        <v>0</v>
      </c>
      <c r="AN201" s="79">
        <f t="shared" si="168"/>
        <v>0</v>
      </c>
      <c r="AO201" s="79">
        <f t="shared" si="169"/>
        <v>0</v>
      </c>
      <c r="AP201" s="79">
        <f t="shared" si="170"/>
        <v>0</v>
      </c>
      <c r="AQ201" s="79">
        <f t="shared" si="171"/>
        <v>0</v>
      </c>
      <c r="AR201" s="79">
        <f t="shared" si="172"/>
        <v>0</v>
      </c>
      <c r="AS201" s="79">
        <f t="shared" si="173"/>
        <v>0</v>
      </c>
      <c r="AT201" s="79">
        <f t="shared" si="174"/>
        <v>0</v>
      </c>
      <c r="AU201" s="79">
        <f t="shared" si="175"/>
        <v>0</v>
      </c>
    </row>
    <row r="202" spans="1:50" ht="23.1" customHeight="1">
      <c r="A202" s="81" t="s">
        <v>815</v>
      </c>
      <c r="B202" s="81" t="s">
        <v>818</v>
      </c>
      <c r="C202" s="82" t="s">
        <v>769</v>
      </c>
      <c r="D202" s="84">
        <v>79</v>
      </c>
      <c r="E202" s="84">
        <f>일위대가목록!G47</f>
        <v>2025</v>
      </c>
      <c r="F202" s="84">
        <f t="shared" si="142"/>
        <v>159975</v>
      </c>
      <c r="G202" s="84">
        <f>일위대가목록!I47</f>
        <v>0</v>
      </c>
      <c r="H202" s="84">
        <f t="shared" si="143"/>
        <v>0</v>
      </c>
      <c r="I202" s="84">
        <f>일위대가목록!K47</f>
        <v>0</v>
      </c>
      <c r="J202" s="84">
        <f t="shared" si="144"/>
        <v>0</v>
      </c>
      <c r="K202" s="84">
        <f t="shared" si="178"/>
        <v>2025</v>
      </c>
      <c r="L202" s="84">
        <f t="shared" si="178"/>
        <v>159975</v>
      </c>
      <c r="M202" s="84" t="s">
        <v>819</v>
      </c>
      <c r="O202" s="79" t="str">
        <f>""</f>
        <v/>
      </c>
      <c r="P202" s="86" t="s">
        <v>678</v>
      </c>
      <c r="Q202" s="79">
        <v>1</v>
      </c>
      <c r="R202" s="79">
        <f t="shared" si="146"/>
        <v>0</v>
      </c>
      <c r="S202" s="79">
        <f t="shared" si="147"/>
        <v>0</v>
      </c>
      <c r="T202" s="79">
        <f t="shared" si="148"/>
        <v>0</v>
      </c>
      <c r="U202" s="79">
        <f t="shared" si="149"/>
        <v>0</v>
      </c>
      <c r="V202" s="79">
        <f t="shared" si="150"/>
        <v>0</v>
      </c>
      <c r="W202" s="79">
        <f t="shared" si="151"/>
        <v>0</v>
      </c>
      <c r="X202" s="79">
        <f t="shared" si="152"/>
        <v>0</v>
      </c>
      <c r="Y202" s="79">
        <f t="shared" si="153"/>
        <v>0</v>
      </c>
      <c r="Z202" s="79">
        <f t="shared" si="154"/>
        <v>0</v>
      </c>
      <c r="AA202" s="79">
        <f t="shared" si="155"/>
        <v>0</v>
      </c>
      <c r="AB202" s="79">
        <f t="shared" si="156"/>
        <v>0</v>
      </c>
      <c r="AC202" s="79">
        <f t="shared" si="157"/>
        <v>0</v>
      </c>
      <c r="AD202" s="79">
        <f t="shared" si="158"/>
        <v>0</v>
      </c>
      <c r="AE202" s="79">
        <f t="shared" si="159"/>
        <v>0</v>
      </c>
      <c r="AF202" s="79">
        <f t="shared" si="160"/>
        <v>0</v>
      </c>
      <c r="AG202" s="79">
        <f t="shared" si="161"/>
        <v>0</v>
      </c>
      <c r="AH202" s="79">
        <f t="shared" si="162"/>
        <v>0</v>
      </c>
      <c r="AI202" s="79">
        <f t="shared" si="163"/>
        <v>0</v>
      </c>
      <c r="AJ202" s="79">
        <f t="shared" si="164"/>
        <v>0</v>
      </c>
      <c r="AK202" s="79">
        <f t="shared" si="165"/>
        <v>0</v>
      </c>
      <c r="AL202" s="79">
        <f t="shared" si="166"/>
        <v>0</v>
      </c>
      <c r="AM202" s="79">
        <f t="shared" si="167"/>
        <v>0</v>
      </c>
      <c r="AN202" s="79">
        <f t="shared" si="168"/>
        <v>0</v>
      </c>
      <c r="AO202" s="79">
        <f t="shared" si="169"/>
        <v>0</v>
      </c>
      <c r="AP202" s="79">
        <f t="shared" si="170"/>
        <v>0</v>
      </c>
      <c r="AQ202" s="79">
        <f t="shared" si="171"/>
        <v>0</v>
      </c>
      <c r="AR202" s="79">
        <f t="shared" si="172"/>
        <v>0</v>
      </c>
      <c r="AS202" s="79">
        <f t="shared" si="173"/>
        <v>0</v>
      </c>
      <c r="AT202" s="79">
        <f t="shared" si="174"/>
        <v>0</v>
      </c>
      <c r="AU202" s="79">
        <f t="shared" si="175"/>
        <v>0</v>
      </c>
    </row>
    <row r="203" spans="1:50" ht="23.1" customHeight="1">
      <c r="A203" s="81" t="s">
        <v>815</v>
      </c>
      <c r="B203" s="81" t="s">
        <v>865</v>
      </c>
      <c r="C203" s="82" t="s">
        <v>769</v>
      </c>
      <c r="D203" s="84">
        <v>12</v>
      </c>
      <c r="E203" s="84">
        <f>일위대가목록!G49</f>
        <v>2852</v>
      </c>
      <c r="F203" s="84">
        <f t="shared" si="142"/>
        <v>34224</v>
      </c>
      <c r="G203" s="84">
        <f>일위대가목록!I49</f>
        <v>0</v>
      </c>
      <c r="H203" s="84">
        <f t="shared" si="143"/>
        <v>0</v>
      </c>
      <c r="I203" s="84">
        <f>일위대가목록!K49</f>
        <v>0</v>
      </c>
      <c r="J203" s="84">
        <f t="shared" si="144"/>
        <v>0</v>
      </c>
      <c r="K203" s="84">
        <f t="shared" si="178"/>
        <v>2852</v>
      </c>
      <c r="L203" s="84">
        <f t="shared" si="178"/>
        <v>34224</v>
      </c>
      <c r="M203" s="84" t="s">
        <v>866</v>
      </c>
      <c r="O203" s="79" t="str">
        <f>""</f>
        <v/>
      </c>
      <c r="P203" s="86" t="s">
        <v>678</v>
      </c>
      <c r="Q203" s="79">
        <v>1</v>
      </c>
      <c r="R203" s="79">
        <f t="shared" si="146"/>
        <v>0</v>
      </c>
      <c r="S203" s="79">
        <f t="shared" si="147"/>
        <v>0</v>
      </c>
      <c r="T203" s="79">
        <f t="shared" si="148"/>
        <v>0</v>
      </c>
      <c r="U203" s="79">
        <f t="shared" si="149"/>
        <v>0</v>
      </c>
      <c r="V203" s="79">
        <f t="shared" si="150"/>
        <v>0</v>
      </c>
      <c r="W203" s="79">
        <f t="shared" si="151"/>
        <v>0</v>
      </c>
      <c r="X203" s="79">
        <f t="shared" si="152"/>
        <v>0</v>
      </c>
      <c r="Y203" s="79">
        <f t="shared" si="153"/>
        <v>0</v>
      </c>
      <c r="Z203" s="79">
        <f t="shared" si="154"/>
        <v>0</v>
      </c>
      <c r="AA203" s="79">
        <f t="shared" si="155"/>
        <v>0</v>
      </c>
      <c r="AB203" s="79">
        <f t="shared" si="156"/>
        <v>0</v>
      </c>
      <c r="AC203" s="79">
        <f t="shared" si="157"/>
        <v>0</v>
      </c>
      <c r="AD203" s="79">
        <f t="shared" si="158"/>
        <v>0</v>
      </c>
      <c r="AE203" s="79">
        <f t="shared" si="159"/>
        <v>0</v>
      </c>
      <c r="AF203" s="79">
        <f t="shared" si="160"/>
        <v>0</v>
      </c>
      <c r="AG203" s="79">
        <f t="shared" si="161"/>
        <v>0</v>
      </c>
      <c r="AH203" s="79">
        <f t="shared" si="162"/>
        <v>0</v>
      </c>
      <c r="AI203" s="79">
        <f t="shared" si="163"/>
        <v>0</v>
      </c>
      <c r="AJ203" s="79">
        <f t="shared" si="164"/>
        <v>0</v>
      </c>
      <c r="AK203" s="79">
        <f t="shared" si="165"/>
        <v>0</v>
      </c>
      <c r="AL203" s="79">
        <f t="shared" si="166"/>
        <v>0</v>
      </c>
      <c r="AM203" s="79">
        <f t="shared" si="167"/>
        <v>0</v>
      </c>
      <c r="AN203" s="79">
        <f t="shared" si="168"/>
        <v>0</v>
      </c>
      <c r="AO203" s="79">
        <f t="shared" si="169"/>
        <v>0</v>
      </c>
      <c r="AP203" s="79">
        <f t="shared" si="170"/>
        <v>0</v>
      </c>
      <c r="AQ203" s="79">
        <f t="shared" si="171"/>
        <v>0</v>
      </c>
      <c r="AR203" s="79">
        <f t="shared" si="172"/>
        <v>0</v>
      </c>
      <c r="AS203" s="79">
        <f t="shared" si="173"/>
        <v>0</v>
      </c>
      <c r="AT203" s="79">
        <f t="shared" si="174"/>
        <v>0</v>
      </c>
      <c r="AU203" s="79">
        <f t="shared" si="175"/>
        <v>0</v>
      </c>
    </row>
    <row r="204" spans="1:50" ht="23.1" customHeight="1">
      <c r="A204" s="81" t="s">
        <v>815</v>
      </c>
      <c r="B204" s="81" t="s">
        <v>779</v>
      </c>
      <c r="C204" s="82" t="s">
        <v>769</v>
      </c>
      <c r="D204" s="84">
        <v>9</v>
      </c>
      <c r="E204" s="84">
        <f>일위대가목록!G50</f>
        <v>4626</v>
      </c>
      <c r="F204" s="84">
        <f t="shared" si="142"/>
        <v>41634</v>
      </c>
      <c r="G204" s="84">
        <f>일위대가목록!I50</f>
        <v>0</v>
      </c>
      <c r="H204" s="84">
        <f t="shared" si="143"/>
        <v>0</v>
      </c>
      <c r="I204" s="84">
        <f>일위대가목록!K50</f>
        <v>0</v>
      </c>
      <c r="J204" s="84">
        <f t="shared" si="144"/>
        <v>0</v>
      </c>
      <c r="K204" s="84">
        <f t="shared" si="178"/>
        <v>4626</v>
      </c>
      <c r="L204" s="84">
        <f t="shared" si="178"/>
        <v>41634</v>
      </c>
      <c r="M204" s="84" t="s">
        <v>820</v>
      </c>
      <c r="O204" s="79" t="str">
        <f>""</f>
        <v/>
      </c>
      <c r="P204" s="86" t="s">
        <v>678</v>
      </c>
      <c r="Q204" s="79">
        <v>1</v>
      </c>
      <c r="R204" s="79">
        <f t="shared" si="146"/>
        <v>0</v>
      </c>
      <c r="S204" s="79">
        <f t="shared" si="147"/>
        <v>0</v>
      </c>
      <c r="T204" s="79">
        <f t="shared" si="148"/>
        <v>0</v>
      </c>
      <c r="U204" s="79">
        <f t="shared" si="149"/>
        <v>0</v>
      </c>
      <c r="V204" s="79">
        <f t="shared" si="150"/>
        <v>0</v>
      </c>
      <c r="W204" s="79">
        <f t="shared" si="151"/>
        <v>0</v>
      </c>
      <c r="X204" s="79">
        <f t="shared" si="152"/>
        <v>0</v>
      </c>
      <c r="Y204" s="79">
        <f t="shared" si="153"/>
        <v>0</v>
      </c>
      <c r="Z204" s="79">
        <f t="shared" si="154"/>
        <v>0</v>
      </c>
      <c r="AA204" s="79">
        <f t="shared" si="155"/>
        <v>0</v>
      </c>
      <c r="AB204" s="79">
        <f t="shared" si="156"/>
        <v>0</v>
      </c>
      <c r="AC204" s="79">
        <f t="shared" si="157"/>
        <v>0</v>
      </c>
      <c r="AD204" s="79">
        <f t="shared" si="158"/>
        <v>0</v>
      </c>
      <c r="AE204" s="79">
        <f t="shared" si="159"/>
        <v>0</v>
      </c>
      <c r="AF204" s="79">
        <f t="shared" si="160"/>
        <v>0</v>
      </c>
      <c r="AG204" s="79">
        <f t="shared" si="161"/>
        <v>0</v>
      </c>
      <c r="AH204" s="79">
        <f t="shared" si="162"/>
        <v>0</v>
      </c>
      <c r="AI204" s="79">
        <f t="shared" si="163"/>
        <v>0</v>
      </c>
      <c r="AJ204" s="79">
        <f t="shared" si="164"/>
        <v>0</v>
      </c>
      <c r="AK204" s="79">
        <f t="shared" si="165"/>
        <v>0</v>
      </c>
      <c r="AL204" s="79">
        <f t="shared" si="166"/>
        <v>0</v>
      </c>
      <c r="AM204" s="79">
        <f t="shared" si="167"/>
        <v>0</v>
      </c>
      <c r="AN204" s="79">
        <f t="shared" si="168"/>
        <v>0</v>
      </c>
      <c r="AO204" s="79">
        <f t="shared" si="169"/>
        <v>0</v>
      </c>
      <c r="AP204" s="79">
        <f t="shared" si="170"/>
        <v>0</v>
      </c>
      <c r="AQ204" s="79">
        <f t="shared" si="171"/>
        <v>0</v>
      </c>
      <c r="AR204" s="79">
        <f t="shared" si="172"/>
        <v>0</v>
      </c>
      <c r="AS204" s="79">
        <f t="shared" si="173"/>
        <v>0</v>
      </c>
      <c r="AT204" s="79">
        <f t="shared" si="174"/>
        <v>0</v>
      </c>
      <c r="AU204" s="79">
        <f t="shared" si="175"/>
        <v>0</v>
      </c>
    </row>
    <row r="205" spans="1:50" ht="23.1" customHeight="1">
      <c r="A205" s="81" t="s">
        <v>815</v>
      </c>
      <c r="B205" s="81" t="s">
        <v>942</v>
      </c>
      <c r="C205" s="82" t="s">
        <v>769</v>
      </c>
      <c r="D205" s="84">
        <v>11</v>
      </c>
      <c r="E205" s="84">
        <f>일위대가목록!G51</f>
        <v>4958</v>
      </c>
      <c r="F205" s="84">
        <f t="shared" si="142"/>
        <v>54538</v>
      </c>
      <c r="G205" s="84">
        <f>일위대가목록!I51</f>
        <v>0</v>
      </c>
      <c r="H205" s="84">
        <f t="shared" si="143"/>
        <v>0</v>
      </c>
      <c r="I205" s="84">
        <f>일위대가목록!K51</f>
        <v>0</v>
      </c>
      <c r="J205" s="84">
        <f t="shared" si="144"/>
        <v>0</v>
      </c>
      <c r="K205" s="84">
        <f t="shared" si="178"/>
        <v>4958</v>
      </c>
      <c r="L205" s="84">
        <f t="shared" si="178"/>
        <v>54538</v>
      </c>
      <c r="M205" s="84" t="s">
        <v>943</v>
      </c>
      <c r="O205" s="79" t="str">
        <f>""</f>
        <v/>
      </c>
      <c r="P205" s="86" t="s">
        <v>678</v>
      </c>
      <c r="Q205" s="79">
        <v>1</v>
      </c>
      <c r="R205" s="79">
        <f t="shared" si="146"/>
        <v>0</v>
      </c>
      <c r="S205" s="79">
        <f t="shared" si="147"/>
        <v>0</v>
      </c>
      <c r="T205" s="79">
        <f t="shared" si="148"/>
        <v>0</v>
      </c>
      <c r="U205" s="79">
        <f t="shared" si="149"/>
        <v>0</v>
      </c>
      <c r="V205" s="79">
        <f t="shared" si="150"/>
        <v>0</v>
      </c>
      <c r="W205" s="79">
        <f t="shared" si="151"/>
        <v>0</v>
      </c>
      <c r="X205" s="79">
        <f t="shared" si="152"/>
        <v>0</v>
      </c>
      <c r="Y205" s="79">
        <f t="shared" si="153"/>
        <v>0</v>
      </c>
      <c r="Z205" s="79">
        <f t="shared" si="154"/>
        <v>0</v>
      </c>
      <c r="AA205" s="79">
        <f t="shared" si="155"/>
        <v>0</v>
      </c>
      <c r="AB205" s="79">
        <f t="shared" si="156"/>
        <v>0</v>
      </c>
      <c r="AC205" s="79">
        <f t="shared" si="157"/>
        <v>0</v>
      </c>
      <c r="AD205" s="79">
        <f t="shared" si="158"/>
        <v>0</v>
      </c>
      <c r="AE205" s="79">
        <f t="shared" si="159"/>
        <v>0</v>
      </c>
      <c r="AF205" s="79">
        <f t="shared" si="160"/>
        <v>0</v>
      </c>
      <c r="AG205" s="79">
        <f t="shared" si="161"/>
        <v>0</v>
      </c>
      <c r="AH205" s="79">
        <f t="shared" si="162"/>
        <v>0</v>
      </c>
      <c r="AI205" s="79">
        <f t="shared" si="163"/>
        <v>0</v>
      </c>
      <c r="AJ205" s="79">
        <f t="shared" si="164"/>
        <v>0</v>
      </c>
      <c r="AK205" s="79">
        <f t="shared" si="165"/>
        <v>0</v>
      </c>
      <c r="AL205" s="79">
        <f t="shared" si="166"/>
        <v>0</v>
      </c>
      <c r="AM205" s="79">
        <f t="shared" si="167"/>
        <v>0</v>
      </c>
      <c r="AN205" s="79">
        <f t="shared" si="168"/>
        <v>0</v>
      </c>
      <c r="AO205" s="79">
        <f t="shared" si="169"/>
        <v>0</v>
      </c>
      <c r="AP205" s="79">
        <f t="shared" si="170"/>
        <v>0</v>
      </c>
      <c r="AQ205" s="79">
        <f t="shared" si="171"/>
        <v>0</v>
      </c>
      <c r="AR205" s="79">
        <f t="shared" si="172"/>
        <v>0</v>
      </c>
      <c r="AS205" s="79">
        <f t="shared" si="173"/>
        <v>0</v>
      </c>
      <c r="AT205" s="79">
        <f t="shared" si="174"/>
        <v>0</v>
      </c>
      <c r="AU205" s="79">
        <f t="shared" si="175"/>
        <v>0</v>
      </c>
    </row>
    <row r="206" spans="1:50" ht="23.1" customHeight="1">
      <c r="A206" s="81" t="s">
        <v>815</v>
      </c>
      <c r="B206" s="81" t="s">
        <v>781</v>
      </c>
      <c r="C206" s="82" t="s">
        <v>769</v>
      </c>
      <c r="D206" s="84">
        <v>8</v>
      </c>
      <c r="E206" s="84">
        <f>일위대가목록!G52</f>
        <v>6485</v>
      </c>
      <c r="F206" s="84">
        <f t="shared" si="142"/>
        <v>51880</v>
      </c>
      <c r="G206" s="84">
        <f>일위대가목록!I52</f>
        <v>0</v>
      </c>
      <c r="H206" s="84">
        <f t="shared" si="143"/>
        <v>0</v>
      </c>
      <c r="I206" s="84">
        <f>일위대가목록!K52</f>
        <v>0</v>
      </c>
      <c r="J206" s="84">
        <f t="shared" si="144"/>
        <v>0</v>
      </c>
      <c r="K206" s="84">
        <f t="shared" si="178"/>
        <v>6485</v>
      </c>
      <c r="L206" s="84">
        <f t="shared" si="178"/>
        <v>51880</v>
      </c>
      <c r="M206" s="84" t="s">
        <v>821</v>
      </c>
      <c r="O206" s="79" t="str">
        <f>""</f>
        <v/>
      </c>
      <c r="P206" s="86" t="s">
        <v>678</v>
      </c>
      <c r="Q206" s="79">
        <v>1</v>
      </c>
      <c r="R206" s="79">
        <f t="shared" si="146"/>
        <v>0</v>
      </c>
      <c r="S206" s="79">
        <f t="shared" si="147"/>
        <v>0</v>
      </c>
      <c r="T206" s="79">
        <f t="shared" si="148"/>
        <v>0</v>
      </c>
      <c r="U206" s="79">
        <f t="shared" si="149"/>
        <v>0</v>
      </c>
      <c r="V206" s="79">
        <f t="shared" si="150"/>
        <v>0</v>
      </c>
      <c r="W206" s="79">
        <f t="shared" si="151"/>
        <v>0</v>
      </c>
      <c r="X206" s="79">
        <f t="shared" si="152"/>
        <v>0</v>
      </c>
      <c r="Y206" s="79">
        <f t="shared" si="153"/>
        <v>0</v>
      </c>
      <c r="Z206" s="79">
        <f t="shared" si="154"/>
        <v>0</v>
      </c>
      <c r="AA206" s="79">
        <f t="shared" si="155"/>
        <v>0</v>
      </c>
      <c r="AB206" s="79">
        <f t="shared" si="156"/>
        <v>0</v>
      </c>
      <c r="AC206" s="79">
        <f t="shared" si="157"/>
        <v>0</v>
      </c>
      <c r="AD206" s="79">
        <f t="shared" si="158"/>
        <v>0</v>
      </c>
      <c r="AE206" s="79">
        <f t="shared" si="159"/>
        <v>0</v>
      </c>
      <c r="AF206" s="79">
        <f t="shared" si="160"/>
        <v>0</v>
      </c>
      <c r="AG206" s="79">
        <f t="shared" si="161"/>
        <v>0</v>
      </c>
      <c r="AH206" s="79">
        <f t="shared" si="162"/>
        <v>0</v>
      </c>
      <c r="AI206" s="79">
        <f t="shared" si="163"/>
        <v>0</v>
      </c>
      <c r="AJ206" s="79">
        <f t="shared" si="164"/>
        <v>0</v>
      </c>
      <c r="AK206" s="79">
        <f t="shared" si="165"/>
        <v>0</v>
      </c>
      <c r="AL206" s="79">
        <f t="shared" si="166"/>
        <v>0</v>
      </c>
      <c r="AM206" s="79">
        <f t="shared" si="167"/>
        <v>0</v>
      </c>
      <c r="AN206" s="79">
        <f t="shared" si="168"/>
        <v>0</v>
      </c>
      <c r="AO206" s="79">
        <f t="shared" si="169"/>
        <v>0</v>
      </c>
      <c r="AP206" s="79">
        <f t="shared" si="170"/>
        <v>0</v>
      </c>
      <c r="AQ206" s="79">
        <f t="shared" si="171"/>
        <v>0</v>
      </c>
      <c r="AR206" s="79">
        <f t="shared" si="172"/>
        <v>0</v>
      </c>
      <c r="AS206" s="79">
        <f t="shared" si="173"/>
        <v>0</v>
      </c>
      <c r="AT206" s="79">
        <f t="shared" si="174"/>
        <v>0</v>
      </c>
      <c r="AU206" s="79">
        <f t="shared" si="175"/>
        <v>0</v>
      </c>
    </row>
    <row r="207" spans="1:50" ht="23.1" customHeight="1">
      <c r="A207" s="81" t="s">
        <v>944</v>
      </c>
      <c r="B207" s="81" t="s">
        <v>945</v>
      </c>
      <c r="C207" s="82" t="s">
        <v>343</v>
      </c>
      <c r="D207" s="84">
        <f>공량산출서!F120</f>
        <v>2</v>
      </c>
      <c r="E207" s="84">
        <f>단가대비표!L89</f>
        <v>47267.002999999997</v>
      </c>
      <c r="F207" s="84">
        <f t="shared" si="142"/>
        <v>94534</v>
      </c>
      <c r="G207" s="84">
        <v>0</v>
      </c>
      <c r="H207" s="84">
        <f t="shared" si="143"/>
        <v>0</v>
      </c>
      <c r="I207" s="84">
        <v>0</v>
      </c>
      <c r="J207" s="84">
        <f t="shared" si="144"/>
        <v>0</v>
      </c>
      <c r="K207" s="84">
        <f t="shared" si="178"/>
        <v>47267.002999999997</v>
      </c>
      <c r="L207" s="84">
        <f t="shared" si="178"/>
        <v>94534</v>
      </c>
      <c r="M207" s="84"/>
      <c r="O207" s="79" t="str">
        <f>"01"</f>
        <v>01</v>
      </c>
      <c r="P207" s="86" t="s">
        <v>678</v>
      </c>
      <c r="Q207" s="79">
        <v>1</v>
      </c>
      <c r="R207" s="79">
        <f t="shared" si="146"/>
        <v>0</v>
      </c>
      <c r="S207" s="79">
        <f t="shared" si="147"/>
        <v>0</v>
      </c>
      <c r="T207" s="79">
        <f t="shared" si="148"/>
        <v>0</v>
      </c>
      <c r="U207" s="79">
        <f t="shared" si="149"/>
        <v>0</v>
      </c>
      <c r="V207" s="79">
        <f t="shared" si="150"/>
        <v>0</v>
      </c>
      <c r="W207" s="79">
        <f t="shared" si="151"/>
        <v>0</v>
      </c>
      <c r="X207" s="79">
        <f t="shared" si="152"/>
        <v>0</v>
      </c>
      <c r="Y207" s="79">
        <f t="shared" si="153"/>
        <v>0</v>
      </c>
      <c r="Z207" s="79">
        <f t="shared" si="154"/>
        <v>0</v>
      </c>
      <c r="AA207" s="79">
        <f t="shared" si="155"/>
        <v>0</v>
      </c>
      <c r="AB207" s="79">
        <f t="shared" si="156"/>
        <v>0</v>
      </c>
      <c r="AC207" s="79">
        <f t="shared" si="157"/>
        <v>0</v>
      </c>
      <c r="AD207" s="79">
        <f t="shared" si="158"/>
        <v>0</v>
      </c>
      <c r="AE207" s="79">
        <f t="shared" si="159"/>
        <v>0</v>
      </c>
      <c r="AF207" s="79">
        <f t="shared" si="160"/>
        <v>0</v>
      </c>
      <c r="AG207" s="79">
        <f t="shared" si="161"/>
        <v>0</v>
      </c>
      <c r="AH207" s="79">
        <f t="shared" si="162"/>
        <v>0</v>
      </c>
      <c r="AI207" s="79">
        <f t="shared" si="163"/>
        <v>0</v>
      </c>
      <c r="AJ207" s="79">
        <f t="shared" si="164"/>
        <v>0</v>
      </c>
      <c r="AK207" s="79">
        <f t="shared" si="165"/>
        <v>0</v>
      </c>
      <c r="AL207" s="79">
        <f t="shared" si="166"/>
        <v>0</v>
      </c>
      <c r="AM207" s="79">
        <f t="shared" si="167"/>
        <v>0</v>
      </c>
      <c r="AN207" s="79">
        <f t="shared" si="168"/>
        <v>0</v>
      </c>
      <c r="AO207" s="79">
        <f t="shared" si="169"/>
        <v>0</v>
      </c>
      <c r="AP207" s="79">
        <f t="shared" si="170"/>
        <v>0</v>
      </c>
      <c r="AQ207" s="79">
        <f t="shared" si="171"/>
        <v>0</v>
      </c>
      <c r="AR207" s="79">
        <f t="shared" si="172"/>
        <v>0</v>
      </c>
      <c r="AS207" s="79">
        <f t="shared" si="173"/>
        <v>0</v>
      </c>
      <c r="AT207" s="79">
        <f t="shared" si="174"/>
        <v>0</v>
      </c>
      <c r="AU207" s="79">
        <f t="shared" si="175"/>
        <v>0</v>
      </c>
    </row>
    <row r="208" spans="1:50" ht="23.1" customHeight="1">
      <c r="A208" s="81" t="s">
        <v>729</v>
      </c>
      <c r="B208" s="85" t="str">
        <f>"노무비의 " &amp; N208*100 &amp; "%"</f>
        <v>노무비의 2%</v>
      </c>
      <c r="C208" s="82" t="s">
        <v>177</v>
      </c>
      <c r="D208" s="84">
        <v>1</v>
      </c>
      <c r="E208" s="84">
        <f>SUMIF(O150:O210, "02", H150:H210)</f>
        <v>8655250</v>
      </c>
      <c r="F208" s="84">
        <f>ROUNDDOWN((E208)*N208, 0)</f>
        <v>173105</v>
      </c>
      <c r="G208" s="84"/>
      <c r="H208" s="84"/>
      <c r="I208" s="84"/>
      <c r="J208" s="84"/>
      <c r="K208" s="84">
        <f t="shared" si="178"/>
        <v>8655250</v>
      </c>
      <c r="L208" s="84">
        <f t="shared" si="178"/>
        <v>173105</v>
      </c>
      <c r="M208" s="84"/>
      <c r="N208" s="79">
        <v>0.02</v>
      </c>
      <c r="O208" s="79" t="str">
        <f>""</f>
        <v/>
      </c>
      <c r="P208" s="86" t="s">
        <v>678</v>
      </c>
      <c r="Q208" s="79">
        <v>1</v>
      </c>
      <c r="R208" s="79">
        <f t="shared" si="146"/>
        <v>0</v>
      </c>
      <c r="S208" s="79">
        <f t="shared" si="147"/>
        <v>0</v>
      </c>
      <c r="T208" s="79">
        <f t="shared" si="148"/>
        <v>0</v>
      </c>
      <c r="U208" s="79">
        <f t="shared" si="149"/>
        <v>0</v>
      </c>
      <c r="V208" s="79">
        <f t="shared" si="150"/>
        <v>0</v>
      </c>
      <c r="W208" s="79">
        <f t="shared" si="151"/>
        <v>0</v>
      </c>
      <c r="X208" s="79">
        <f t="shared" si="152"/>
        <v>0</v>
      </c>
      <c r="Y208" s="79">
        <f t="shared" si="153"/>
        <v>0</v>
      </c>
      <c r="Z208" s="79">
        <f t="shared" si="154"/>
        <v>0</v>
      </c>
      <c r="AA208" s="79">
        <f t="shared" si="155"/>
        <v>0</v>
      </c>
      <c r="AB208" s="79">
        <f t="shared" si="156"/>
        <v>0</v>
      </c>
      <c r="AC208" s="79">
        <f t="shared" si="157"/>
        <v>0</v>
      </c>
      <c r="AD208" s="79">
        <f t="shared" si="158"/>
        <v>0</v>
      </c>
      <c r="AE208" s="79">
        <f t="shared" si="159"/>
        <v>0</v>
      </c>
      <c r="AF208" s="79">
        <f t="shared" si="160"/>
        <v>0</v>
      </c>
      <c r="AG208" s="79">
        <f t="shared" si="161"/>
        <v>0</v>
      </c>
      <c r="AH208" s="79">
        <f t="shared" si="162"/>
        <v>0</v>
      </c>
      <c r="AI208" s="79">
        <f t="shared" si="163"/>
        <v>0</v>
      </c>
      <c r="AJ208" s="79">
        <f t="shared" si="164"/>
        <v>0</v>
      </c>
      <c r="AK208" s="79">
        <f t="shared" si="165"/>
        <v>0</v>
      </c>
      <c r="AL208" s="79">
        <f t="shared" si="166"/>
        <v>0</v>
      </c>
      <c r="AM208" s="79">
        <f t="shared" si="167"/>
        <v>0</v>
      </c>
      <c r="AN208" s="79">
        <f t="shared" si="168"/>
        <v>0</v>
      </c>
      <c r="AO208" s="79">
        <f t="shared" si="169"/>
        <v>0</v>
      </c>
      <c r="AP208" s="79">
        <f t="shared" si="170"/>
        <v>0</v>
      </c>
      <c r="AQ208" s="79">
        <f t="shared" si="171"/>
        <v>0</v>
      </c>
      <c r="AR208" s="79">
        <f t="shared" si="172"/>
        <v>0</v>
      </c>
      <c r="AS208" s="79">
        <f t="shared" si="173"/>
        <v>0</v>
      </c>
      <c r="AT208" s="79">
        <f t="shared" si="174"/>
        <v>0</v>
      </c>
      <c r="AU208" s="79">
        <f t="shared" si="175"/>
        <v>0</v>
      </c>
      <c r="AW208" s="86" t="s">
        <v>730</v>
      </c>
      <c r="AX208" s="86" t="s">
        <v>731</v>
      </c>
    </row>
    <row r="209" spans="1:50" ht="23.1" customHeight="1">
      <c r="A209" s="81" t="s">
        <v>838</v>
      </c>
      <c r="B209" s="81" t="s">
        <v>733</v>
      </c>
      <c r="C209" s="82" t="s">
        <v>446</v>
      </c>
      <c r="D209" s="84">
        <f>공량산출서!G133</f>
        <v>32.14</v>
      </c>
      <c r="E209" s="84">
        <v>0</v>
      </c>
      <c r="F209" s="84">
        <f>ROUNDDOWN(D209*E209, 0)</f>
        <v>0</v>
      </c>
      <c r="G209" s="84">
        <f>단가대비표!L162</f>
        <v>213878.0245</v>
      </c>
      <c r="H209" s="84">
        <f>ROUNDDOWN(D209*G209, 0)</f>
        <v>6874039</v>
      </c>
      <c r="I209" s="84">
        <v>0</v>
      </c>
      <c r="J209" s="84">
        <f>ROUNDDOWN(D209*I209, 0)</f>
        <v>0</v>
      </c>
      <c r="K209" s="84">
        <f t="shared" si="178"/>
        <v>213878.0245</v>
      </c>
      <c r="L209" s="84">
        <f t="shared" si="178"/>
        <v>6874039</v>
      </c>
      <c r="M209" s="84"/>
      <c r="O209" s="79" t="str">
        <f>"02"</f>
        <v>02</v>
      </c>
      <c r="P209" s="86" t="s">
        <v>678</v>
      </c>
      <c r="Q209" s="79">
        <v>1</v>
      </c>
      <c r="R209" s="79">
        <f t="shared" si="146"/>
        <v>0</v>
      </c>
      <c r="S209" s="79">
        <f t="shared" si="147"/>
        <v>0</v>
      </c>
      <c r="T209" s="79">
        <f t="shared" si="148"/>
        <v>0</v>
      </c>
      <c r="U209" s="79">
        <f t="shared" si="149"/>
        <v>0</v>
      </c>
      <c r="V209" s="79">
        <f t="shared" si="150"/>
        <v>0</v>
      </c>
      <c r="W209" s="79">
        <f t="shared" si="151"/>
        <v>0</v>
      </c>
      <c r="X209" s="79">
        <f t="shared" si="152"/>
        <v>0</v>
      </c>
      <c r="Y209" s="79">
        <f t="shared" si="153"/>
        <v>0</v>
      </c>
      <c r="Z209" s="79">
        <f t="shared" si="154"/>
        <v>0</v>
      </c>
      <c r="AA209" s="79">
        <f t="shared" si="155"/>
        <v>0</v>
      </c>
      <c r="AB209" s="79">
        <f t="shared" si="156"/>
        <v>0</v>
      </c>
      <c r="AC209" s="79">
        <f t="shared" si="157"/>
        <v>0</v>
      </c>
      <c r="AD209" s="79">
        <f t="shared" si="158"/>
        <v>0</v>
      </c>
      <c r="AE209" s="79">
        <f t="shared" si="159"/>
        <v>0</v>
      </c>
      <c r="AF209" s="79">
        <f t="shared" si="160"/>
        <v>0</v>
      </c>
      <c r="AG209" s="79">
        <f t="shared" si="161"/>
        <v>0</v>
      </c>
      <c r="AH209" s="79">
        <f t="shared" si="162"/>
        <v>0</v>
      </c>
      <c r="AI209" s="79">
        <f t="shared" si="163"/>
        <v>0</v>
      </c>
      <c r="AJ209" s="79">
        <f t="shared" si="164"/>
        <v>0</v>
      </c>
      <c r="AK209" s="79">
        <f t="shared" si="165"/>
        <v>0</v>
      </c>
      <c r="AL209" s="79">
        <f t="shared" si="166"/>
        <v>0</v>
      </c>
      <c r="AM209" s="79">
        <f t="shared" si="167"/>
        <v>0</v>
      </c>
      <c r="AN209" s="79">
        <f t="shared" si="168"/>
        <v>0</v>
      </c>
      <c r="AO209" s="79">
        <f t="shared" si="169"/>
        <v>0</v>
      </c>
      <c r="AP209" s="79">
        <f t="shared" si="170"/>
        <v>0</v>
      </c>
      <c r="AQ209" s="79">
        <f t="shared" si="171"/>
        <v>0</v>
      </c>
      <c r="AR209" s="79">
        <f t="shared" si="172"/>
        <v>0</v>
      </c>
      <c r="AS209" s="79">
        <f t="shared" si="173"/>
        <v>0</v>
      </c>
      <c r="AT209" s="79">
        <f t="shared" si="174"/>
        <v>0</v>
      </c>
      <c r="AU209" s="79">
        <f t="shared" si="175"/>
        <v>0</v>
      </c>
    </row>
    <row r="210" spans="1:50" ht="23.1" customHeight="1">
      <c r="A210" s="81" t="s">
        <v>452</v>
      </c>
      <c r="B210" s="81" t="s">
        <v>733</v>
      </c>
      <c r="C210" s="82" t="s">
        <v>446</v>
      </c>
      <c r="D210" s="84">
        <f>공량산출서!H133</f>
        <v>11.68</v>
      </c>
      <c r="E210" s="84">
        <v>0</v>
      </c>
      <c r="F210" s="84">
        <f>ROUNDDOWN(D210*E210, 0)</f>
        <v>0</v>
      </c>
      <c r="G210" s="84">
        <f>단가대비표!L164</f>
        <v>152500.9724</v>
      </c>
      <c r="H210" s="84">
        <f>ROUNDDOWN(D210*G210, 0)</f>
        <v>1781211</v>
      </c>
      <c r="I210" s="84">
        <v>0</v>
      </c>
      <c r="J210" s="84">
        <f>ROUNDDOWN(D210*I210, 0)</f>
        <v>0</v>
      </c>
      <c r="K210" s="84">
        <f t="shared" si="178"/>
        <v>152500.9724</v>
      </c>
      <c r="L210" s="84">
        <f t="shared" si="178"/>
        <v>1781211</v>
      </c>
      <c r="M210" s="84"/>
      <c r="O210" s="79" t="str">
        <f>"02"</f>
        <v>02</v>
      </c>
      <c r="P210" s="86" t="s">
        <v>678</v>
      </c>
      <c r="Q210" s="79">
        <v>1</v>
      </c>
      <c r="R210" s="79">
        <f t="shared" si="146"/>
        <v>0</v>
      </c>
      <c r="S210" s="79">
        <f t="shared" si="147"/>
        <v>0</v>
      </c>
      <c r="T210" s="79">
        <f t="shared" si="148"/>
        <v>0</v>
      </c>
      <c r="U210" s="79">
        <f t="shared" si="149"/>
        <v>0</v>
      </c>
      <c r="V210" s="79">
        <f t="shared" si="150"/>
        <v>0</v>
      </c>
      <c r="W210" s="79">
        <f t="shared" si="151"/>
        <v>0</v>
      </c>
      <c r="X210" s="79">
        <f t="shared" si="152"/>
        <v>0</v>
      </c>
      <c r="Y210" s="79">
        <f t="shared" si="153"/>
        <v>0</v>
      </c>
      <c r="Z210" s="79">
        <f t="shared" si="154"/>
        <v>0</v>
      </c>
      <c r="AA210" s="79">
        <f t="shared" si="155"/>
        <v>0</v>
      </c>
      <c r="AB210" s="79">
        <f t="shared" si="156"/>
        <v>0</v>
      </c>
      <c r="AC210" s="79">
        <f t="shared" si="157"/>
        <v>0</v>
      </c>
      <c r="AD210" s="79">
        <f t="shared" si="158"/>
        <v>0</v>
      </c>
      <c r="AE210" s="79">
        <f t="shared" si="159"/>
        <v>0</v>
      </c>
      <c r="AF210" s="79">
        <f t="shared" si="160"/>
        <v>0</v>
      </c>
      <c r="AG210" s="79">
        <f t="shared" si="161"/>
        <v>0</v>
      </c>
      <c r="AH210" s="79">
        <f t="shared" si="162"/>
        <v>0</v>
      </c>
      <c r="AI210" s="79">
        <f t="shared" si="163"/>
        <v>0</v>
      </c>
      <c r="AJ210" s="79">
        <f t="shared" si="164"/>
        <v>0</v>
      </c>
      <c r="AK210" s="79">
        <f t="shared" si="165"/>
        <v>0</v>
      </c>
      <c r="AL210" s="79">
        <f t="shared" si="166"/>
        <v>0</v>
      </c>
      <c r="AM210" s="79">
        <f t="shared" si="167"/>
        <v>0</v>
      </c>
      <c r="AN210" s="79">
        <f t="shared" si="168"/>
        <v>0</v>
      </c>
      <c r="AO210" s="79">
        <f t="shared" si="169"/>
        <v>0</v>
      </c>
      <c r="AP210" s="79">
        <f t="shared" si="170"/>
        <v>0</v>
      </c>
      <c r="AQ210" s="79">
        <f t="shared" si="171"/>
        <v>0</v>
      </c>
      <c r="AR210" s="79">
        <f t="shared" si="172"/>
        <v>0</v>
      </c>
      <c r="AS210" s="79">
        <f t="shared" si="173"/>
        <v>0</v>
      </c>
      <c r="AT210" s="79">
        <f t="shared" si="174"/>
        <v>0</v>
      </c>
      <c r="AU210" s="79">
        <f t="shared" si="175"/>
        <v>0</v>
      </c>
    </row>
    <row r="211" spans="1:50" ht="23.1" customHeight="1">
      <c r="A211" s="85"/>
      <c r="B211" s="85"/>
      <c r="C211" s="83"/>
      <c r="D211" s="84"/>
      <c r="E211" s="84"/>
      <c r="F211" s="84"/>
      <c r="G211" s="84"/>
      <c r="H211" s="84"/>
      <c r="I211" s="84"/>
      <c r="J211" s="84"/>
      <c r="K211" s="84"/>
      <c r="L211" s="84"/>
      <c r="M211" s="84"/>
    </row>
    <row r="212" spans="1:50" ht="23.1" customHeight="1">
      <c r="A212" s="85"/>
      <c r="B212" s="85"/>
      <c r="C212" s="83"/>
      <c r="D212" s="84"/>
      <c r="E212" s="84"/>
      <c r="F212" s="84"/>
      <c r="G212" s="84"/>
      <c r="H212" s="84"/>
      <c r="I212" s="84"/>
      <c r="J212" s="84"/>
      <c r="K212" s="84"/>
      <c r="L212" s="84"/>
      <c r="M212" s="84"/>
    </row>
    <row r="213" spans="1:50" ht="23.1" customHeight="1">
      <c r="A213" s="85"/>
      <c r="B213" s="85"/>
      <c r="C213" s="83"/>
      <c r="D213" s="84"/>
      <c r="E213" s="84"/>
      <c r="F213" s="84"/>
      <c r="G213" s="84"/>
      <c r="H213" s="84"/>
      <c r="I213" s="84"/>
      <c r="J213" s="84"/>
      <c r="K213" s="84"/>
      <c r="L213" s="84"/>
      <c r="M213" s="84"/>
    </row>
    <row r="214" spans="1:50" ht="23.1" customHeight="1">
      <c r="A214" s="85"/>
      <c r="B214" s="85"/>
      <c r="C214" s="83"/>
      <c r="D214" s="84"/>
      <c r="E214" s="84"/>
      <c r="F214" s="84"/>
      <c r="G214" s="84"/>
      <c r="H214" s="84"/>
      <c r="I214" s="84"/>
      <c r="J214" s="84"/>
      <c r="K214" s="84"/>
      <c r="L214" s="84"/>
      <c r="M214" s="84"/>
    </row>
    <row r="215" spans="1:50" ht="23.1" customHeight="1">
      <c r="A215" s="85"/>
      <c r="B215" s="85"/>
      <c r="C215" s="83"/>
      <c r="D215" s="84"/>
      <c r="E215" s="84"/>
      <c r="F215" s="84"/>
      <c r="G215" s="84"/>
      <c r="H215" s="84"/>
      <c r="I215" s="84"/>
      <c r="J215" s="84"/>
      <c r="K215" s="84"/>
      <c r="L215" s="84"/>
      <c r="M215" s="84"/>
    </row>
    <row r="216" spans="1:50" ht="23.1" customHeight="1">
      <c r="A216" s="85"/>
      <c r="B216" s="85"/>
      <c r="C216" s="83"/>
      <c r="D216" s="84"/>
      <c r="E216" s="84"/>
      <c r="F216" s="84"/>
      <c r="G216" s="84"/>
      <c r="H216" s="84"/>
      <c r="I216" s="84"/>
      <c r="J216" s="84"/>
      <c r="K216" s="84"/>
      <c r="L216" s="84"/>
      <c r="M216" s="84"/>
    </row>
    <row r="217" spans="1:50" ht="23.1" customHeight="1">
      <c r="A217" s="85"/>
      <c r="B217" s="85"/>
      <c r="C217" s="83"/>
      <c r="D217" s="84"/>
      <c r="E217" s="84"/>
      <c r="F217" s="84"/>
      <c r="G217" s="84"/>
      <c r="H217" s="84"/>
      <c r="I217" s="84"/>
      <c r="J217" s="84"/>
      <c r="K217" s="84"/>
      <c r="L217" s="84"/>
      <c r="M217" s="84"/>
    </row>
    <row r="218" spans="1:50" ht="23.1" customHeight="1">
      <c r="A218" s="85"/>
      <c r="B218" s="85"/>
      <c r="C218" s="83"/>
      <c r="D218" s="84"/>
      <c r="E218" s="84"/>
      <c r="F218" s="84"/>
      <c r="G218" s="84"/>
      <c r="H218" s="84"/>
      <c r="I218" s="84"/>
      <c r="J218" s="84"/>
      <c r="K218" s="84"/>
      <c r="L218" s="84"/>
      <c r="M218" s="84"/>
    </row>
    <row r="219" spans="1:50" ht="23.1" customHeight="1">
      <c r="A219" s="85"/>
      <c r="B219" s="85"/>
      <c r="C219" s="83"/>
      <c r="D219" s="84"/>
      <c r="E219" s="84"/>
      <c r="F219" s="84"/>
      <c r="G219" s="84"/>
      <c r="H219" s="84"/>
      <c r="I219" s="84"/>
      <c r="J219" s="84"/>
      <c r="K219" s="84"/>
      <c r="L219" s="84"/>
      <c r="M219" s="84"/>
    </row>
    <row r="220" spans="1:50" ht="23.1" customHeight="1">
      <c r="A220" s="90" t="s">
        <v>734</v>
      </c>
      <c r="B220" s="91"/>
      <c r="C220" s="92"/>
      <c r="D220" s="93"/>
      <c r="E220" s="93"/>
      <c r="F220" s="93">
        <f>ROUNDDOWN(SUMIF(Q150:Q219, "1", F150:F219), 0)</f>
        <v>24705735</v>
      </c>
      <c r="G220" s="93"/>
      <c r="H220" s="93">
        <f>ROUNDDOWN(SUMIF(Q150:Q219, "1", H150:H219), 0)</f>
        <v>36148520</v>
      </c>
      <c r="I220" s="93"/>
      <c r="J220" s="93">
        <f>ROUNDDOWN(SUMIF(Q150:Q219, "1", J150:J219), 0)</f>
        <v>0</v>
      </c>
      <c r="K220" s="93"/>
      <c r="L220" s="93">
        <f>F220+H220+J220</f>
        <v>60854255</v>
      </c>
      <c r="M220" s="93"/>
      <c r="R220" s="79">
        <f t="shared" ref="R220:AX220" si="179">ROUNDDOWN(SUM(R150:R210), 0)</f>
        <v>0</v>
      </c>
      <c r="S220" s="79">
        <f t="shared" si="179"/>
        <v>0</v>
      </c>
      <c r="T220" s="79">
        <f t="shared" si="179"/>
        <v>0</v>
      </c>
      <c r="U220" s="79">
        <f t="shared" si="179"/>
        <v>0</v>
      </c>
      <c r="V220" s="79">
        <f t="shared" si="179"/>
        <v>0</v>
      </c>
      <c r="W220" s="79">
        <f t="shared" si="179"/>
        <v>0</v>
      </c>
      <c r="X220" s="79">
        <f t="shared" si="179"/>
        <v>0</v>
      </c>
      <c r="Y220" s="79">
        <f t="shared" si="179"/>
        <v>0</v>
      </c>
      <c r="Z220" s="79">
        <f t="shared" si="179"/>
        <v>0</v>
      </c>
      <c r="AA220" s="79">
        <f t="shared" si="179"/>
        <v>0</v>
      </c>
      <c r="AB220" s="79">
        <f t="shared" si="179"/>
        <v>0</v>
      </c>
      <c r="AC220" s="79">
        <f t="shared" si="179"/>
        <v>0</v>
      </c>
      <c r="AD220" s="79">
        <f t="shared" si="179"/>
        <v>0</v>
      </c>
      <c r="AE220" s="79">
        <f t="shared" si="179"/>
        <v>0</v>
      </c>
      <c r="AF220" s="79">
        <f t="shared" si="179"/>
        <v>0</v>
      </c>
      <c r="AG220" s="79">
        <f t="shared" si="179"/>
        <v>0</v>
      </c>
      <c r="AH220" s="79">
        <f t="shared" si="179"/>
        <v>0</v>
      </c>
      <c r="AI220" s="79">
        <f t="shared" si="179"/>
        <v>0</v>
      </c>
      <c r="AJ220" s="79">
        <f t="shared" si="179"/>
        <v>0</v>
      </c>
      <c r="AK220" s="79">
        <f t="shared" si="179"/>
        <v>0</v>
      </c>
      <c r="AL220" s="79">
        <f t="shared" si="179"/>
        <v>0</v>
      </c>
      <c r="AM220" s="79">
        <f t="shared" si="179"/>
        <v>0</v>
      </c>
      <c r="AN220" s="79">
        <f t="shared" si="179"/>
        <v>0</v>
      </c>
      <c r="AO220" s="79">
        <f t="shared" si="179"/>
        <v>0</v>
      </c>
      <c r="AP220" s="79">
        <f t="shared" si="179"/>
        <v>0</v>
      </c>
      <c r="AQ220" s="79">
        <f t="shared" si="179"/>
        <v>0</v>
      </c>
      <c r="AR220" s="79">
        <f t="shared" si="179"/>
        <v>0</v>
      </c>
      <c r="AS220" s="79">
        <f t="shared" si="179"/>
        <v>0</v>
      </c>
      <c r="AT220" s="79">
        <f t="shared" si="179"/>
        <v>0</v>
      </c>
      <c r="AU220" s="79">
        <f t="shared" si="179"/>
        <v>0</v>
      </c>
      <c r="AV220" s="79">
        <f t="shared" si="179"/>
        <v>0</v>
      </c>
      <c r="AW220" s="79">
        <f t="shared" si="179"/>
        <v>0</v>
      </c>
      <c r="AX220" s="79">
        <f t="shared" si="179"/>
        <v>0</v>
      </c>
    </row>
    <row r="221" spans="1:50" ht="23.1" customHeight="1">
      <c r="A221" s="228" t="s">
        <v>946</v>
      </c>
      <c r="B221" s="229"/>
      <c r="C221" s="229"/>
      <c r="D221" s="229"/>
      <c r="E221" s="229"/>
      <c r="F221" s="229"/>
      <c r="G221" s="229"/>
      <c r="H221" s="229"/>
      <c r="I221" s="229"/>
      <c r="J221" s="229"/>
      <c r="K221" s="229"/>
      <c r="L221" s="229"/>
      <c r="M221" s="229"/>
    </row>
    <row r="222" spans="1:50" ht="23.1" customHeight="1">
      <c r="A222" s="81" t="s">
        <v>947</v>
      </c>
      <c r="B222" s="85"/>
      <c r="C222" s="82" t="s">
        <v>948</v>
      </c>
      <c r="D222" s="84">
        <v>0</v>
      </c>
      <c r="E222" s="84">
        <v>0</v>
      </c>
      <c r="F222" s="84">
        <f t="shared" ref="F222:F260" si="180">ROUNDDOWN(D222*E222, 0)</f>
        <v>0</v>
      </c>
      <c r="G222" s="84">
        <v>0</v>
      </c>
      <c r="H222" s="84">
        <f t="shared" ref="H222:H260" si="181">ROUNDDOWN(D222*G222, 0)</f>
        <v>0</v>
      </c>
      <c r="I222" s="84">
        <v>0</v>
      </c>
      <c r="J222" s="84">
        <f t="shared" ref="J222:J260" si="182">ROUNDDOWN(D222*I222, 0)</f>
        <v>0</v>
      </c>
      <c r="K222" s="84">
        <f t="shared" ref="K222:L260" si="183">E222+G222+I222</f>
        <v>0</v>
      </c>
      <c r="L222" s="84">
        <f t="shared" si="183"/>
        <v>0</v>
      </c>
      <c r="M222" s="84"/>
      <c r="O222" s="79" t="str">
        <f>""</f>
        <v/>
      </c>
      <c r="Q222" s="79">
        <v>1</v>
      </c>
      <c r="R222" s="79">
        <f t="shared" ref="R222:R260" si="184">IF(P222="기계경비", J222, 0)</f>
        <v>0</v>
      </c>
      <c r="S222" s="79">
        <f t="shared" ref="S222:S260" si="185">IF(P222="운반비", J222, 0)</f>
        <v>0</v>
      </c>
      <c r="T222" s="79">
        <f t="shared" ref="T222:T260" si="186">IF(P222="작업부산물", F222, 0)</f>
        <v>0</v>
      </c>
      <c r="U222" s="79">
        <f t="shared" ref="U222:U260" si="187">IF(P222="관급", F222, 0)</f>
        <v>0</v>
      </c>
      <c r="V222" s="79">
        <f t="shared" ref="V222:V260" si="188">IF(P222="외주비", J222, 0)</f>
        <v>0</v>
      </c>
      <c r="W222" s="79">
        <f t="shared" ref="W222:W260" si="189">IF(P222="장비비", J222, 0)</f>
        <v>0</v>
      </c>
      <c r="X222" s="79">
        <f t="shared" ref="X222:X260" si="190">IF(P222="폐기물처리비", L222, 0)</f>
        <v>0</v>
      </c>
      <c r="Y222" s="79">
        <f t="shared" ref="Y222:Y260" si="191">IF(P222="가설비", J222, 0)</f>
        <v>0</v>
      </c>
      <c r="Z222" s="79">
        <f t="shared" ref="Z222:Z260" si="192">IF(P222="잡비제외분", F222, 0)</f>
        <v>0</v>
      </c>
      <c r="AA222" s="79">
        <f t="shared" ref="AA222:AA260" si="193">IF(P222="사급자재대", L222, 0)</f>
        <v>0</v>
      </c>
      <c r="AB222" s="79">
        <f t="shared" ref="AB222:AB260" si="194">IF(P222="관급자재대", L222, 0)</f>
        <v>0</v>
      </c>
      <c r="AC222" s="79">
        <f t="shared" ref="AC222:AC260" si="195">IF(P222="부산물", L222, 0)</f>
        <v>0</v>
      </c>
      <c r="AD222" s="79">
        <f t="shared" ref="AD222:AD260" si="196">IF(P222="품질검사비", L222, 0)</f>
        <v>0</v>
      </c>
      <c r="AE222" s="79">
        <f t="shared" ref="AE222:AE260" si="197">IF(P222="사용자항목3", L222, 0)</f>
        <v>0</v>
      </c>
      <c r="AF222" s="79">
        <f t="shared" ref="AF222:AF260" si="198">IF(P222="급식소 환기설비시험 조정평가", L222, 0)</f>
        <v>0</v>
      </c>
      <c r="AG222" s="79">
        <f t="shared" ref="AG222:AG260" si="199">IF(P222="사용자항목5", L222, 0)</f>
        <v>0</v>
      </c>
      <c r="AH222" s="79">
        <f t="shared" ref="AH222:AH260" si="200">IF(P222="사용자항목6", L222, 0)</f>
        <v>0</v>
      </c>
      <c r="AI222" s="79">
        <f t="shared" ref="AI222:AI260" si="201">IF(P222="사용자항목7", L222, 0)</f>
        <v>0</v>
      </c>
      <c r="AJ222" s="79">
        <f t="shared" ref="AJ222:AJ260" si="202">IF(P222="사용자항목8", L222, 0)</f>
        <v>0</v>
      </c>
      <c r="AK222" s="79">
        <f t="shared" ref="AK222:AK260" si="203">IF(P222="사용자항목9", L222, 0)</f>
        <v>0</v>
      </c>
      <c r="AL222" s="79">
        <f t="shared" ref="AL222:AL260" si="204">IF(P222="사용자항목10", L222, 0)</f>
        <v>0</v>
      </c>
      <c r="AM222" s="79">
        <f t="shared" ref="AM222:AM260" si="205">IF(P222="사용자항목11", L222, 0)</f>
        <v>0</v>
      </c>
      <c r="AN222" s="79">
        <f t="shared" ref="AN222:AN260" si="206">IF(P222="사용자항목12", L222, 0)</f>
        <v>0</v>
      </c>
      <c r="AO222" s="79">
        <f t="shared" ref="AO222:AO260" si="207">IF(P222="사용자항목13", L222, 0)</f>
        <v>0</v>
      </c>
      <c r="AP222" s="79">
        <f t="shared" ref="AP222:AP260" si="208">IF(P222="사용자항목14", L222, 0)</f>
        <v>0</v>
      </c>
      <c r="AQ222" s="79">
        <f t="shared" ref="AQ222:AQ260" si="209">IF(P222="사용자항목15", L222, 0)</f>
        <v>0</v>
      </c>
      <c r="AR222" s="79">
        <f t="shared" ref="AR222:AR260" si="210">IF(P222="사용자항목16", L222, 0)</f>
        <v>0</v>
      </c>
      <c r="AS222" s="79">
        <f t="shared" ref="AS222:AS260" si="211">IF(P222="사용자항목17", L222, 0)</f>
        <v>0</v>
      </c>
      <c r="AT222" s="79">
        <f t="shared" ref="AT222:AT260" si="212">IF(P222="사용자항목18", L222, 0)</f>
        <v>0</v>
      </c>
      <c r="AU222" s="79">
        <f t="shared" ref="AU222:AU260" si="213">IF(P222="사용자항목19", L222, 0)</f>
        <v>0</v>
      </c>
    </row>
    <row r="223" spans="1:50" ht="23.1" customHeight="1">
      <c r="A223" s="81" t="s">
        <v>949</v>
      </c>
      <c r="B223" s="81" t="s">
        <v>950</v>
      </c>
      <c r="C223" s="82" t="s">
        <v>951</v>
      </c>
      <c r="D223" s="84">
        <v>4</v>
      </c>
      <c r="E223" s="84">
        <v>125000</v>
      </c>
      <c r="F223" s="84">
        <f t="shared" si="180"/>
        <v>500000</v>
      </c>
      <c r="G223" s="84">
        <v>0</v>
      </c>
      <c r="H223" s="84">
        <f t="shared" si="181"/>
        <v>0</v>
      </c>
      <c r="I223" s="84">
        <v>0</v>
      </c>
      <c r="J223" s="84">
        <f t="shared" si="182"/>
        <v>0</v>
      </c>
      <c r="K223" s="84">
        <f t="shared" si="183"/>
        <v>125000</v>
      </c>
      <c r="L223" s="84">
        <f t="shared" si="183"/>
        <v>500000</v>
      </c>
      <c r="M223" s="84"/>
      <c r="O223" s="79" t="str">
        <f>""</f>
        <v/>
      </c>
      <c r="P223" s="86" t="s">
        <v>678</v>
      </c>
      <c r="Q223" s="79">
        <v>1</v>
      </c>
      <c r="R223" s="79">
        <f t="shared" si="184"/>
        <v>0</v>
      </c>
      <c r="S223" s="79">
        <f t="shared" si="185"/>
        <v>0</v>
      </c>
      <c r="T223" s="79">
        <f t="shared" si="186"/>
        <v>0</v>
      </c>
      <c r="U223" s="79">
        <f t="shared" si="187"/>
        <v>0</v>
      </c>
      <c r="V223" s="79">
        <f t="shared" si="188"/>
        <v>0</v>
      </c>
      <c r="W223" s="79">
        <f t="shared" si="189"/>
        <v>0</v>
      </c>
      <c r="X223" s="79">
        <f t="shared" si="190"/>
        <v>0</v>
      </c>
      <c r="Y223" s="79">
        <f t="shared" si="191"/>
        <v>0</v>
      </c>
      <c r="Z223" s="79">
        <f t="shared" si="192"/>
        <v>0</v>
      </c>
      <c r="AA223" s="79">
        <f t="shared" si="193"/>
        <v>0</v>
      </c>
      <c r="AB223" s="79">
        <f t="shared" si="194"/>
        <v>0</v>
      </c>
      <c r="AC223" s="79">
        <f t="shared" si="195"/>
        <v>0</v>
      </c>
      <c r="AD223" s="79">
        <f t="shared" si="196"/>
        <v>0</v>
      </c>
      <c r="AE223" s="79">
        <f t="shared" si="197"/>
        <v>0</v>
      </c>
      <c r="AF223" s="79">
        <f t="shared" si="198"/>
        <v>0</v>
      </c>
      <c r="AG223" s="79">
        <f t="shared" si="199"/>
        <v>0</v>
      </c>
      <c r="AH223" s="79">
        <f t="shared" si="200"/>
        <v>0</v>
      </c>
      <c r="AI223" s="79">
        <f t="shared" si="201"/>
        <v>0</v>
      </c>
      <c r="AJ223" s="79">
        <f t="shared" si="202"/>
        <v>0</v>
      </c>
      <c r="AK223" s="79">
        <f t="shared" si="203"/>
        <v>0</v>
      </c>
      <c r="AL223" s="79">
        <f t="shared" si="204"/>
        <v>0</v>
      </c>
      <c r="AM223" s="79">
        <f t="shared" si="205"/>
        <v>0</v>
      </c>
      <c r="AN223" s="79">
        <f t="shared" si="206"/>
        <v>0</v>
      </c>
      <c r="AO223" s="79">
        <f t="shared" si="207"/>
        <v>0</v>
      </c>
      <c r="AP223" s="79">
        <f t="shared" si="208"/>
        <v>0</v>
      </c>
      <c r="AQ223" s="79">
        <f t="shared" si="209"/>
        <v>0</v>
      </c>
      <c r="AR223" s="79">
        <f t="shared" si="210"/>
        <v>0</v>
      </c>
      <c r="AS223" s="79">
        <f t="shared" si="211"/>
        <v>0</v>
      </c>
      <c r="AT223" s="79">
        <f t="shared" si="212"/>
        <v>0</v>
      </c>
      <c r="AU223" s="79">
        <f t="shared" si="213"/>
        <v>0</v>
      </c>
    </row>
    <row r="224" spans="1:50" ht="23.1" customHeight="1">
      <c r="A224" s="81" t="s">
        <v>952</v>
      </c>
      <c r="B224" s="81" t="s">
        <v>950</v>
      </c>
      <c r="C224" s="82" t="s">
        <v>951</v>
      </c>
      <c r="D224" s="84">
        <v>4</v>
      </c>
      <c r="E224" s="84">
        <v>125000</v>
      </c>
      <c r="F224" s="84">
        <f t="shared" si="180"/>
        <v>500000</v>
      </c>
      <c r="G224" s="84">
        <v>0</v>
      </c>
      <c r="H224" s="84">
        <f t="shared" si="181"/>
        <v>0</v>
      </c>
      <c r="I224" s="84">
        <v>0</v>
      </c>
      <c r="J224" s="84">
        <f t="shared" si="182"/>
        <v>0</v>
      </c>
      <c r="K224" s="84">
        <f t="shared" si="183"/>
        <v>125000</v>
      </c>
      <c r="L224" s="84">
        <f t="shared" si="183"/>
        <v>500000</v>
      </c>
      <c r="M224" s="84"/>
      <c r="O224" s="79" t="str">
        <f>""</f>
        <v/>
      </c>
      <c r="P224" s="86" t="s">
        <v>678</v>
      </c>
      <c r="Q224" s="79">
        <v>1</v>
      </c>
      <c r="R224" s="79">
        <f t="shared" si="184"/>
        <v>0</v>
      </c>
      <c r="S224" s="79">
        <f t="shared" si="185"/>
        <v>0</v>
      </c>
      <c r="T224" s="79">
        <f t="shared" si="186"/>
        <v>0</v>
      </c>
      <c r="U224" s="79">
        <f t="shared" si="187"/>
        <v>0</v>
      </c>
      <c r="V224" s="79">
        <f t="shared" si="188"/>
        <v>0</v>
      </c>
      <c r="W224" s="79">
        <f t="shared" si="189"/>
        <v>0</v>
      </c>
      <c r="X224" s="79">
        <f t="shared" si="190"/>
        <v>0</v>
      </c>
      <c r="Y224" s="79">
        <f t="shared" si="191"/>
        <v>0</v>
      </c>
      <c r="Z224" s="79">
        <f t="shared" si="192"/>
        <v>0</v>
      </c>
      <c r="AA224" s="79">
        <f t="shared" si="193"/>
        <v>0</v>
      </c>
      <c r="AB224" s="79">
        <f t="shared" si="194"/>
        <v>0</v>
      </c>
      <c r="AC224" s="79">
        <f t="shared" si="195"/>
        <v>0</v>
      </c>
      <c r="AD224" s="79">
        <f t="shared" si="196"/>
        <v>0</v>
      </c>
      <c r="AE224" s="79">
        <f t="shared" si="197"/>
        <v>0</v>
      </c>
      <c r="AF224" s="79">
        <f t="shared" si="198"/>
        <v>0</v>
      </c>
      <c r="AG224" s="79">
        <f t="shared" si="199"/>
        <v>0</v>
      </c>
      <c r="AH224" s="79">
        <f t="shared" si="200"/>
        <v>0</v>
      </c>
      <c r="AI224" s="79">
        <f t="shared" si="201"/>
        <v>0</v>
      </c>
      <c r="AJ224" s="79">
        <f t="shared" si="202"/>
        <v>0</v>
      </c>
      <c r="AK224" s="79">
        <f t="shared" si="203"/>
        <v>0</v>
      </c>
      <c r="AL224" s="79">
        <f t="shared" si="204"/>
        <v>0</v>
      </c>
      <c r="AM224" s="79">
        <f t="shared" si="205"/>
        <v>0</v>
      </c>
      <c r="AN224" s="79">
        <f t="shared" si="206"/>
        <v>0</v>
      </c>
      <c r="AO224" s="79">
        <f t="shared" si="207"/>
        <v>0</v>
      </c>
      <c r="AP224" s="79">
        <f t="shared" si="208"/>
        <v>0</v>
      </c>
      <c r="AQ224" s="79">
        <f t="shared" si="209"/>
        <v>0</v>
      </c>
      <c r="AR224" s="79">
        <f t="shared" si="210"/>
        <v>0</v>
      </c>
      <c r="AS224" s="79">
        <f t="shared" si="211"/>
        <v>0</v>
      </c>
      <c r="AT224" s="79">
        <f t="shared" si="212"/>
        <v>0</v>
      </c>
      <c r="AU224" s="79">
        <f t="shared" si="213"/>
        <v>0</v>
      </c>
    </row>
    <row r="225" spans="1:47" ht="23.1" customHeight="1">
      <c r="A225" s="81" t="s">
        <v>953</v>
      </c>
      <c r="B225" s="81" t="s">
        <v>954</v>
      </c>
      <c r="C225" s="82" t="s">
        <v>951</v>
      </c>
      <c r="D225" s="84">
        <v>4</v>
      </c>
      <c r="E225" s="84">
        <v>125000</v>
      </c>
      <c r="F225" s="84">
        <f t="shared" si="180"/>
        <v>500000</v>
      </c>
      <c r="G225" s="84">
        <v>0</v>
      </c>
      <c r="H225" s="84">
        <f t="shared" si="181"/>
        <v>0</v>
      </c>
      <c r="I225" s="84">
        <v>0</v>
      </c>
      <c r="J225" s="84">
        <f t="shared" si="182"/>
        <v>0</v>
      </c>
      <c r="K225" s="84">
        <f t="shared" si="183"/>
        <v>125000</v>
      </c>
      <c r="L225" s="84">
        <f t="shared" si="183"/>
        <v>500000</v>
      </c>
      <c r="M225" s="84"/>
      <c r="O225" s="79" t="str">
        <f>""</f>
        <v/>
      </c>
      <c r="P225" s="86" t="s">
        <v>678</v>
      </c>
      <c r="Q225" s="79">
        <v>1</v>
      </c>
      <c r="R225" s="79">
        <f t="shared" si="184"/>
        <v>0</v>
      </c>
      <c r="S225" s="79">
        <f t="shared" si="185"/>
        <v>0</v>
      </c>
      <c r="T225" s="79">
        <f t="shared" si="186"/>
        <v>0</v>
      </c>
      <c r="U225" s="79">
        <f t="shared" si="187"/>
        <v>0</v>
      </c>
      <c r="V225" s="79">
        <f t="shared" si="188"/>
        <v>0</v>
      </c>
      <c r="W225" s="79">
        <f t="shared" si="189"/>
        <v>0</v>
      </c>
      <c r="X225" s="79">
        <f t="shared" si="190"/>
        <v>0</v>
      </c>
      <c r="Y225" s="79">
        <f t="shared" si="191"/>
        <v>0</v>
      </c>
      <c r="Z225" s="79">
        <f t="shared" si="192"/>
        <v>0</v>
      </c>
      <c r="AA225" s="79">
        <f t="shared" si="193"/>
        <v>0</v>
      </c>
      <c r="AB225" s="79">
        <f t="shared" si="194"/>
        <v>0</v>
      </c>
      <c r="AC225" s="79">
        <f t="shared" si="195"/>
        <v>0</v>
      </c>
      <c r="AD225" s="79">
        <f t="shared" si="196"/>
        <v>0</v>
      </c>
      <c r="AE225" s="79">
        <f t="shared" si="197"/>
        <v>0</v>
      </c>
      <c r="AF225" s="79">
        <f t="shared" si="198"/>
        <v>0</v>
      </c>
      <c r="AG225" s="79">
        <f t="shared" si="199"/>
        <v>0</v>
      </c>
      <c r="AH225" s="79">
        <f t="shared" si="200"/>
        <v>0</v>
      </c>
      <c r="AI225" s="79">
        <f t="shared" si="201"/>
        <v>0</v>
      </c>
      <c r="AJ225" s="79">
        <f t="shared" si="202"/>
        <v>0</v>
      </c>
      <c r="AK225" s="79">
        <f t="shared" si="203"/>
        <v>0</v>
      </c>
      <c r="AL225" s="79">
        <f t="shared" si="204"/>
        <v>0</v>
      </c>
      <c r="AM225" s="79">
        <f t="shared" si="205"/>
        <v>0</v>
      </c>
      <c r="AN225" s="79">
        <f t="shared" si="206"/>
        <v>0</v>
      </c>
      <c r="AO225" s="79">
        <f t="shared" si="207"/>
        <v>0</v>
      </c>
      <c r="AP225" s="79">
        <f t="shared" si="208"/>
        <v>0</v>
      </c>
      <c r="AQ225" s="79">
        <f t="shared" si="209"/>
        <v>0</v>
      </c>
      <c r="AR225" s="79">
        <f t="shared" si="210"/>
        <v>0</v>
      </c>
      <c r="AS225" s="79">
        <f t="shared" si="211"/>
        <v>0</v>
      </c>
      <c r="AT225" s="79">
        <f t="shared" si="212"/>
        <v>0</v>
      </c>
      <c r="AU225" s="79">
        <f t="shared" si="213"/>
        <v>0</v>
      </c>
    </row>
    <row r="226" spans="1:47" ht="23.1" customHeight="1">
      <c r="A226" s="81" t="s">
        <v>955</v>
      </c>
      <c r="B226" s="81" t="s">
        <v>956</v>
      </c>
      <c r="C226" s="82" t="s">
        <v>951</v>
      </c>
      <c r="D226" s="84">
        <v>24</v>
      </c>
      <c r="E226" s="84">
        <v>6800</v>
      </c>
      <c r="F226" s="84">
        <f t="shared" si="180"/>
        <v>163200</v>
      </c>
      <c r="G226" s="84">
        <v>0</v>
      </c>
      <c r="H226" s="84">
        <f t="shared" si="181"/>
        <v>0</v>
      </c>
      <c r="I226" s="84">
        <v>0</v>
      </c>
      <c r="J226" s="84">
        <f t="shared" si="182"/>
        <v>0</v>
      </c>
      <c r="K226" s="84">
        <f t="shared" si="183"/>
        <v>6800</v>
      </c>
      <c r="L226" s="84">
        <f t="shared" si="183"/>
        <v>163200</v>
      </c>
      <c r="M226" s="84"/>
      <c r="O226" s="79" t="str">
        <f>""</f>
        <v/>
      </c>
      <c r="P226" s="86" t="s">
        <v>678</v>
      </c>
      <c r="Q226" s="79">
        <v>1</v>
      </c>
      <c r="R226" s="79">
        <f t="shared" si="184"/>
        <v>0</v>
      </c>
      <c r="S226" s="79">
        <f t="shared" si="185"/>
        <v>0</v>
      </c>
      <c r="T226" s="79">
        <f t="shared" si="186"/>
        <v>0</v>
      </c>
      <c r="U226" s="79">
        <f t="shared" si="187"/>
        <v>0</v>
      </c>
      <c r="V226" s="79">
        <f t="shared" si="188"/>
        <v>0</v>
      </c>
      <c r="W226" s="79">
        <f t="shared" si="189"/>
        <v>0</v>
      </c>
      <c r="X226" s="79">
        <f t="shared" si="190"/>
        <v>0</v>
      </c>
      <c r="Y226" s="79">
        <f t="shared" si="191"/>
        <v>0</v>
      </c>
      <c r="Z226" s="79">
        <f t="shared" si="192"/>
        <v>0</v>
      </c>
      <c r="AA226" s="79">
        <f t="shared" si="193"/>
        <v>0</v>
      </c>
      <c r="AB226" s="79">
        <f t="shared" si="194"/>
        <v>0</v>
      </c>
      <c r="AC226" s="79">
        <f t="shared" si="195"/>
        <v>0</v>
      </c>
      <c r="AD226" s="79">
        <f t="shared" si="196"/>
        <v>0</v>
      </c>
      <c r="AE226" s="79">
        <f t="shared" si="197"/>
        <v>0</v>
      </c>
      <c r="AF226" s="79">
        <f t="shared" si="198"/>
        <v>0</v>
      </c>
      <c r="AG226" s="79">
        <f t="shared" si="199"/>
        <v>0</v>
      </c>
      <c r="AH226" s="79">
        <f t="shared" si="200"/>
        <v>0</v>
      </c>
      <c r="AI226" s="79">
        <f t="shared" si="201"/>
        <v>0</v>
      </c>
      <c r="AJ226" s="79">
        <f t="shared" si="202"/>
        <v>0</v>
      </c>
      <c r="AK226" s="79">
        <f t="shared" si="203"/>
        <v>0</v>
      </c>
      <c r="AL226" s="79">
        <f t="shared" si="204"/>
        <v>0</v>
      </c>
      <c r="AM226" s="79">
        <f t="shared" si="205"/>
        <v>0</v>
      </c>
      <c r="AN226" s="79">
        <f t="shared" si="206"/>
        <v>0</v>
      </c>
      <c r="AO226" s="79">
        <f t="shared" si="207"/>
        <v>0</v>
      </c>
      <c r="AP226" s="79">
        <f t="shared" si="208"/>
        <v>0</v>
      </c>
      <c r="AQ226" s="79">
        <f t="shared" si="209"/>
        <v>0</v>
      </c>
      <c r="AR226" s="79">
        <f t="shared" si="210"/>
        <v>0</v>
      </c>
      <c r="AS226" s="79">
        <f t="shared" si="211"/>
        <v>0</v>
      </c>
      <c r="AT226" s="79">
        <f t="shared" si="212"/>
        <v>0</v>
      </c>
      <c r="AU226" s="79">
        <f t="shared" si="213"/>
        <v>0</v>
      </c>
    </row>
    <row r="227" spans="1:47" ht="23.1" customHeight="1">
      <c r="A227" s="81" t="s">
        <v>957</v>
      </c>
      <c r="B227" s="81" t="s">
        <v>956</v>
      </c>
      <c r="C227" s="82" t="s">
        <v>958</v>
      </c>
      <c r="D227" s="84">
        <v>6</v>
      </c>
      <c r="E227" s="84">
        <v>120000</v>
      </c>
      <c r="F227" s="84">
        <f t="shared" si="180"/>
        <v>720000</v>
      </c>
      <c r="G227" s="84">
        <v>0</v>
      </c>
      <c r="H227" s="84">
        <f t="shared" si="181"/>
        <v>0</v>
      </c>
      <c r="I227" s="84">
        <v>0</v>
      </c>
      <c r="J227" s="84">
        <f t="shared" si="182"/>
        <v>0</v>
      </c>
      <c r="K227" s="84">
        <f t="shared" si="183"/>
        <v>120000</v>
      </c>
      <c r="L227" s="84">
        <f t="shared" si="183"/>
        <v>720000</v>
      </c>
      <c r="M227" s="84"/>
      <c r="O227" s="79" t="str">
        <f>""</f>
        <v/>
      </c>
      <c r="P227" s="86" t="s">
        <v>678</v>
      </c>
      <c r="Q227" s="79">
        <v>1</v>
      </c>
      <c r="R227" s="79">
        <f t="shared" si="184"/>
        <v>0</v>
      </c>
      <c r="S227" s="79">
        <f t="shared" si="185"/>
        <v>0</v>
      </c>
      <c r="T227" s="79">
        <f t="shared" si="186"/>
        <v>0</v>
      </c>
      <c r="U227" s="79">
        <f t="shared" si="187"/>
        <v>0</v>
      </c>
      <c r="V227" s="79">
        <f t="shared" si="188"/>
        <v>0</v>
      </c>
      <c r="W227" s="79">
        <f t="shared" si="189"/>
        <v>0</v>
      </c>
      <c r="X227" s="79">
        <f t="shared" si="190"/>
        <v>0</v>
      </c>
      <c r="Y227" s="79">
        <f t="shared" si="191"/>
        <v>0</v>
      </c>
      <c r="Z227" s="79">
        <f t="shared" si="192"/>
        <v>0</v>
      </c>
      <c r="AA227" s="79">
        <f t="shared" si="193"/>
        <v>0</v>
      </c>
      <c r="AB227" s="79">
        <f t="shared" si="194"/>
        <v>0</v>
      </c>
      <c r="AC227" s="79">
        <f t="shared" si="195"/>
        <v>0</v>
      </c>
      <c r="AD227" s="79">
        <f t="shared" si="196"/>
        <v>0</v>
      </c>
      <c r="AE227" s="79">
        <f t="shared" si="197"/>
        <v>0</v>
      </c>
      <c r="AF227" s="79">
        <f t="shared" si="198"/>
        <v>0</v>
      </c>
      <c r="AG227" s="79">
        <f t="shared" si="199"/>
        <v>0</v>
      </c>
      <c r="AH227" s="79">
        <f t="shared" si="200"/>
        <v>0</v>
      </c>
      <c r="AI227" s="79">
        <f t="shared" si="201"/>
        <v>0</v>
      </c>
      <c r="AJ227" s="79">
        <f t="shared" si="202"/>
        <v>0</v>
      </c>
      <c r="AK227" s="79">
        <f t="shared" si="203"/>
        <v>0</v>
      </c>
      <c r="AL227" s="79">
        <f t="shared" si="204"/>
        <v>0</v>
      </c>
      <c r="AM227" s="79">
        <f t="shared" si="205"/>
        <v>0</v>
      </c>
      <c r="AN227" s="79">
        <f t="shared" si="206"/>
        <v>0</v>
      </c>
      <c r="AO227" s="79">
        <f t="shared" si="207"/>
        <v>0</v>
      </c>
      <c r="AP227" s="79">
        <f t="shared" si="208"/>
        <v>0</v>
      </c>
      <c r="AQ227" s="79">
        <f t="shared" si="209"/>
        <v>0</v>
      </c>
      <c r="AR227" s="79">
        <f t="shared" si="210"/>
        <v>0</v>
      </c>
      <c r="AS227" s="79">
        <f t="shared" si="211"/>
        <v>0</v>
      </c>
      <c r="AT227" s="79">
        <f t="shared" si="212"/>
        <v>0</v>
      </c>
      <c r="AU227" s="79">
        <f t="shared" si="213"/>
        <v>0</v>
      </c>
    </row>
    <row r="228" spans="1:47" ht="23.1" customHeight="1">
      <c r="A228" s="81" t="s">
        <v>959</v>
      </c>
      <c r="B228" s="81" t="s">
        <v>956</v>
      </c>
      <c r="C228" s="82" t="s">
        <v>951</v>
      </c>
      <c r="D228" s="84">
        <v>24</v>
      </c>
      <c r="E228" s="84">
        <v>3600</v>
      </c>
      <c r="F228" s="84">
        <f t="shared" si="180"/>
        <v>86400</v>
      </c>
      <c r="G228" s="84">
        <v>0</v>
      </c>
      <c r="H228" s="84">
        <f t="shared" si="181"/>
        <v>0</v>
      </c>
      <c r="I228" s="84">
        <v>0</v>
      </c>
      <c r="J228" s="84">
        <f t="shared" si="182"/>
        <v>0</v>
      </c>
      <c r="K228" s="84">
        <f t="shared" si="183"/>
        <v>3600</v>
      </c>
      <c r="L228" s="84">
        <f t="shared" si="183"/>
        <v>86400</v>
      </c>
      <c r="M228" s="84"/>
      <c r="O228" s="79" t="str">
        <f>""</f>
        <v/>
      </c>
      <c r="P228" s="86" t="s">
        <v>678</v>
      </c>
      <c r="Q228" s="79">
        <v>1</v>
      </c>
      <c r="R228" s="79">
        <f t="shared" si="184"/>
        <v>0</v>
      </c>
      <c r="S228" s="79">
        <f t="shared" si="185"/>
        <v>0</v>
      </c>
      <c r="T228" s="79">
        <f t="shared" si="186"/>
        <v>0</v>
      </c>
      <c r="U228" s="79">
        <f t="shared" si="187"/>
        <v>0</v>
      </c>
      <c r="V228" s="79">
        <f t="shared" si="188"/>
        <v>0</v>
      </c>
      <c r="W228" s="79">
        <f t="shared" si="189"/>
        <v>0</v>
      </c>
      <c r="X228" s="79">
        <f t="shared" si="190"/>
        <v>0</v>
      </c>
      <c r="Y228" s="79">
        <f t="shared" si="191"/>
        <v>0</v>
      </c>
      <c r="Z228" s="79">
        <f t="shared" si="192"/>
        <v>0</v>
      </c>
      <c r="AA228" s="79">
        <f t="shared" si="193"/>
        <v>0</v>
      </c>
      <c r="AB228" s="79">
        <f t="shared" si="194"/>
        <v>0</v>
      </c>
      <c r="AC228" s="79">
        <f t="shared" si="195"/>
        <v>0</v>
      </c>
      <c r="AD228" s="79">
        <f t="shared" si="196"/>
        <v>0</v>
      </c>
      <c r="AE228" s="79">
        <f t="shared" si="197"/>
        <v>0</v>
      </c>
      <c r="AF228" s="79">
        <f t="shared" si="198"/>
        <v>0</v>
      </c>
      <c r="AG228" s="79">
        <f t="shared" si="199"/>
        <v>0</v>
      </c>
      <c r="AH228" s="79">
        <f t="shared" si="200"/>
        <v>0</v>
      </c>
      <c r="AI228" s="79">
        <f t="shared" si="201"/>
        <v>0</v>
      </c>
      <c r="AJ228" s="79">
        <f t="shared" si="202"/>
        <v>0</v>
      </c>
      <c r="AK228" s="79">
        <f t="shared" si="203"/>
        <v>0</v>
      </c>
      <c r="AL228" s="79">
        <f t="shared" si="204"/>
        <v>0</v>
      </c>
      <c r="AM228" s="79">
        <f t="shared" si="205"/>
        <v>0</v>
      </c>
      <c r="AN228" s="79">
        <f t="shared" si="206"/>
        <v>0</v>
      </c>
      <c r="AO228" s="79">
        <f t="shared" si="207"/>
        <v>0</v>
      </c>
      <c r="AP228" s="79">
        <f t="shared" si="208"/>
        <v>0</v>
      </c>
      <c r="AQ228" s="79">
        <f t="shared" si="209"/>
        <v>0</v>
      </c>
      <c r="AR228" s="79">
        <f t="shared" si="210"/>
        <v>0</v>
      </c>
      <c r="AS228" s="79">
        <f t="shared" si="211"/>
        <v>0</v>
      </c>
      <c r="AT228" s="79">
        <f t="shared" si="212"/>
        <v>0</v>
      </c>
      <c r="AU228" s="79">
        <f t="shared" si="213"/>
        <v>0</v>
      </c>
    </row>
    <row r="229" spans="1:47" ht="23.1" customHeight="1">
      <c r="A229" s="81" t="s">
        <v>960</v>
      </c>
      <c r="B229" s="81" t="s">
        <v>950</v>
      </c>
      <c r="C229" s="82" t="s">
        <v>961</v>
      </c>
      <c r="D229" s="84">
        <v>4</v>
      </c>
      <c r="E229" s="84">
        <v>0</v>
      </c>
      <c r="F229" s="84">
        <f t="shared" si="180"/>
        <v>0</v>
      </c>
      <c r="G229" s="84">
        <v>47000</v>
      </c>
      <c r="H229" s="84">
        <f t="shared" si="181"/>
        <v>188000</v>
      </c>
      <c r="I229" s="84">
        <v>0</v>
      </c>
      <c r="J229" s="84">
        <f t="shared" si="182"/>
        <v>0</v>
      </c>
      <c r="K229" s="84">
        <f t="shared" si="183"/>
        <v>47000</v>
      </c>
      <c r="L229" s="84">
        <f t="shared" si="183"/>
        <v>188000</v>
      </c>
      <c r="M229" s="84"/>
      <c r="O229" s="79" t="str">
        <f>""</f>
        <v/>
      </c>
      <c r="P229" s="86" t="s">
        <v>678</v>
      </c>
      <c r="Q229" s="79">
        <v>1</v>
      </c>
      <c r="R229" s="79">
        <f t="shared" si="184"/>
        <v>0</v>
      </c>
      <c r="S229" s="79">
        <f t="shared" si="185"/>
        <v>0</v>
      </c>
      <c r="T229" s="79">
        <f t="shared" si="186"/>
        <v>0</v>
      </c>
      <c r="U229" s="79">
        <f t="shared" si="187"/>
        <v>0</v>
      </c>
      <c r="V229" s="79">
        <f t="shared" si="188"/>
        <v>0</v>
      </c>
      <c r="W229" s="79">
        <f t="shared" si="189"/>
        <v>0</v>
      </c>
      <c r="X229" s="79">
        <f t="shared" si="190"/>
        <v>0</v>
      </c>
      <c r="Y229" s="79">
        <f t="shared" si="191"/>
        <v>0</v>
      </c>
      <c r="Z229" s="79">
        <f t="shared" si="192"/>
        <v>0</v>
      </c>
      <c r="AA229" s="79">
        <f t="shared" si="193"/>
        <v>0</v>
      </c>
      <c r="AB229" s="79">
        <f t="shared" si="194"/>
        <v>0</v>
      </c>
      <c r="AC229" s="79">
        <f t="shared" si="195"/>
        <v>0</v>
      </c>
      <c r="AD229" s="79">
        <f t="shared" si="196"/>
        <v>0</v>
      </c>
      <c r="AE229" s="79">
        <f t="shared" si="197"/>
        <v>0</v>
      </c>
      <c r="AF229" s="79">
        <f t="shared" si="198"/>
        <v>0</v>
      </c>
      <c r="AG229" s="79">
        <f t="shared" si="199"/>
        <v>0</v>
      </c>
      <c r="AH229" s="79">
        <f t="shared" si="200"/>
        <v>0</v>
      </c>
      <c r="AI229" s="79">
        <f t="shared" si="201"/>
        <v>0</v>
      </c>
      <c r="AJ229" s="79">
        <f t="shared" si="202"/>
        <v>0</v>
      </c>
      <c r="AK229" s="79">
        <f t="shared" si="203"/>
        <v>0</v>
      </c>
      <c r="AL229" s="79">
        <f t="shared" si="204"/>
        <v>0</v>
      </c>
      <c r="AM229" s="79">
        <f t="shared" si="205"/>
        <v>0</v>
      </c>
      <c r="AN229" s="79">
        <f t="shared" si="206"/>
        <v>0</v>
      </c>
      <c r="AO229" s="79">
        <f t="shared" si="207"/>
        <v>0</v>
      </c>
      <c r="AP229" s="79">
        <f t="shared" si="208"/>
        <v>0</v>
      </c>
      <c r="AQ229" s="79">
        <f t="shared" si="209"/>
        <v>0</v>
      </c>
      <c r="AR229" s="79">
        <f t="shared" si="210"/>
        <v>0</v>
      </c>
      <c r="AS229" s="79">
        <f t="shared" si="211"/>
        <v>0</v>
      </c>
      <c r="AT229" s="79">
        <f t="shared" si="212"/>
        <v>0</v>
      </c>
      <c r="AU229" s="79">
        <f t="shared" si="213"/>
        <v>0</v>
      </c>
    </row>
    <row r="230" spans="1:47" ht="23.1" customHeight="1">
      <c r="A230" s="81" t="s">
        <v>962</v>
      </c>
      <c r="B230" s="81" t="s">
        <v>950</v>
      </c>
      <c r="C230" s="82" t="s">
        <v>951</v>
      </c>
      <c r="D230" s="84">
        <v>4</v>
      </c>
      <c r="E230" s="84">
        <v>0</v>
      </c>
      <c r="F230" s="84">
        <f t="shared" si="180"/>
        <v>0</v>
      </c>
      <c r="G230" s="84">
        <v>47000</v>
      </c>
      <c r="H230" s="84">
        <f t="shared" si="181"/>
        <v>188000</v>
      </c>
      <c r="I230" s="84">
        <v>0</v>
      </c>
      <c r="J230" s="84">
        <f t="shared" si="182"/>
        <v>0</v>
      </c>
      <c r="K230" s="84">
        <f t="shared" si="183"/>
        <v>47000</v>
      </c>
      <c r="L230" s="84">
        <f t="shared" si="183"/>
        <v>188000</v>
      </c>
      <c r="M230" s="84"/>
      <c r="O230" s="79" t="str">
        <f>""</f>
        <v/>
      </c>
      <c r="P230" s="86" t="s">
        <v>678</v>
      </c>
      <c r="Q230" s="79">
        <v>1</v>
      </c>
      <c r="R230" s="79">
        <f t="shared" si="184"/>
        <v>0</v>
      </c>
      <c r="S230" s="79">
        <f t="shared" si="185"/>
        <v>0</v>
      </c>
      <c r="T230" s="79">
        <f t="shared" si="186"/>
        <v>0</v>
      </c>
      <c r="U230" s="79">
        <f t="shared" si="187"/>
        <v>0</v>
      </c>
      <c r="V230" s="79">
        <f t="shared" si="188"/>
        <v>0</v>
      </c>
      <c r="W230" s="79">
        <f t="shared" si="189"/>
        <v>0</v>
      </c>
      <c r="X230" s="79">
        <f t="shared" si="190"/>
        <v>0</v>
      </c>
      <c r="Y230" s="79">
        <f t="shared" si="191"/>
        <v>0</v>
      </c>
      <c r="Z230" s="79">
        <f t="shared" si="192"/>
        <v>0</v>
      </c>
      <c r="AA230" s="79">
        <f t="shared" si="193"/>
        <v>0</v>
      </c>
      <c r="AB230" s="79">
        <f t="shared" si="194"/>
        <v>0</v>
      </c>
      <c r="AC230" s="79">
        <f t="shared" si="195"/>
        <v>0</v>
      </c>
      <c r="AD230" s="79">
        <f t="shared" si="196"/>
        <v>0</v>
      </c>
      <c r="AE230" s="79">
        <f t="shared" si="197"/>
        <v>0</v>
      </c>
      <c r="AF230" s="79">
        <f t="shared" si="198"/>
        <v>0</v>
      </c>
      <c r="AG230" s="79">
        <f t="shared" si="199"/>
        <v>0</v>
      </c>
      <c r="AH230" s="79">
        <f t="shared" si="200"/>
        <v>0</v>
      </c>
      <c r="AI230" s="79">
        <f t="shared" si="201"/>
        <v>0</v>
      </c>
      <c r="AJ230" s="79">
        <f t="shared" si="202"/>
        <v>0</v>
      </c>
      <c r="AK230" s="79">
        <f t="shared" si="203"/>
        <v>0</v>
      </c>
      <c r="AL230" s="79">
        <f t="shared" si="204"/>
        <v>0</v>
      </c>
      <c r="AM230" s="79">
        <f t="shared" si="205"/>
        <v>0</v>
      </c>
      <c r="AN230" s="79">
        <f t="shared" si="206"/>
        <v>0</v>
      </c>
      <c r="AO230" s="79">
        <f t="shared" si="207"/>
        <v>0</v>
      </c>
      <c r="AP230" s="79">
        <f t="shared" si="208"/>
        <v>0</v>
      </c>
      <c r="AQ230" s="79">
        <f t="shared" si="209"/>
        <v>0</v>
      </c>
      <c r="AR230" s="79">
        <f t="shared" si="210"/>
        <v>0</v>
      </c>
      <c r="AS230" s="79">
        <f t="shared" si="211"/>
        <v>0</v>
      </c>
      <c r="AT230" s="79">
        <f t="shared" si="212"/>
        <v>0</v>
      </c>
      <c r="AU230" s="79">
        <f t="shared" si="213"/>
        <v>0</v>
      </c>
    </row>
    <row r="231" spans="1:47" ht="23.1" customHeight="1">
      <c r="A231" s="81" t="s">
        <v>963</v>
      </c>
      <c r="B231" s="81" t="s">
        <v>954</v>
      </c>
      <c r="C231" s="82" t="s">
        <v>951</v>
      </c>
      <c r="D231" s="84">
        <v>4</v>
      </c>
      <c r="E231" s="84">
        <v>0</v>
      </c>
      <c r="F231" s="84">
        <f t="shared" si="180"/>
        <v>0</v>
      </c>
      <c r="G231" s="84">
        <v>47000</v>
      </c>
      <c r="H231" s="84">
        <f t="shared" si="181"/>
        <v>188000</v>
      </c>
      <c r="I231" s="84">
        <v>0</v>
      </c>
      <c r="J231" s="84">
        <f t="shared" si="182"/>
        <v>0</v>
      </c>
      <c r="K231" s="84">
        <f t="shared" si="183"/>
        <v>47000</v>
      </c>
      <c r="L231" s="84">
        <f t="shared" si="183"/>
        <v>188000</v>
      </c>
      <c r="M231" s="84"/>
      <c r="O231" s="79" t="str">
        <f>""</f>
        <v/>
      </c>
      <c r="P231" s="86" t="s">
        <v>678</v>
      </c>
      <c r="Q231" s="79">
        <v>1</v>
      </c>
      <c r="R231" s="79">
        <f t="shared" si="184"/>
        <v>0</v>
      </c>
      <c r="S231" s="79">
        <f t="shared" si="185"/>
        <v>0</v>
      </c>
      <c r="T231" s="79">
        <f t="shared" si="186"/>
        <v>0</v>
      </c>
      <c r="U231" s="79">
        <f t="shared" si="187"/>
        <v>0</v>
      </c>
      <c r="V231" s="79">
        <f t="shared" si="188"/>
        <v>0</v>
      </c>
      <c r="W231" s="79">
        <f t="shared" si="189"/>
        <v>0</v>
      </c>
      <c r="X231" s="79">
        <f t="shared" si="190"/>
        <v>0</v>
      </c>
      <c r="Y231" s="79">
        <f t="shared" si="191"/>
        <v>0</v>
      </c>
      <c r="Z231" s="79">
        <f t="shared" si="192"/>
        <v>0</v>
      </c>
      <c r="AA231" s="79">
        <f t="shared" si="193"/>
        <v>0</v>
      </c>
      <c r="AB231" s="79">
        <f t="shared" si="194"/>
        <v>0</v>
      </c>
      <c r="AC231" s="79">
        <f t="shared" si="195"/>
        <v>0</v>
      </c>
      <c r="AD231" s="79">
        <f t="shared" si="196"/>
        <v>0</v>
      </c>
      <c r="AE231" s="79">
        <f t="shared" si="197"/>
        <v>0</v>
      </c>
      <c r="AF231" s="79">
        <f t="shared" si="198"/>
        <v>0</v>
      </c>
      <c r="AG231" s="79">
        <f t="shared" si="199"/>
        <v>0</v>
      </c>
      <c r="AH231" s="79">
        <f t="shared" si="200"/>
        <v>0</v>
      </c>
      <c r="AI231" s="79">
        <f t="shared" si="201"/>
        <v>0</v>
      </c>
      <c r="AJ231" s="79">
        <f t="shared" si="202"/>
        <v>0</v>
      </c>
      <c r="AK231" s="79">
        <f t="shared" si="203"/>
        <v>0</v>
      </c>
      <c r="AL231" s="79">
        <f t="shared" si="204"/>
        <v>0</v>
      </c>
      <c r="AM231" s="79">
        <f t="shared" si="205"/>
        <v>0</v>
      </c>
      <c r="AN231" s="79">
        <f t="shared" si="206"/>
        <v>0</v>
      </c>
      <c r="AO231" s="79">
        <f t="shared" si="207"/>
        <v>0</v>
      </c>
      <c r="AP231" s="79">
        <f t="shared" si="208"/>
        <v>0</v>
      </c>
      <c r="AQ231" s="79">
        <f t="shared" si="209"/>
        <v>0</v>
      </c>
      <c r="AR231" s="79">
        <f t="shared" si="210"/>
        <v>0</v>
      </c>
      <c r="AS231" s="79">
        <f t="shared" si="211"/>
        <v>0</v>
      </c>
      <c r="AT231" s="79">
        <f t="shared" si="212"/>
        <v>0</v>
      </c>
      <c r="AU231" s="79">
        <f t="shared" si="213"/>
        <v>0</v>
      </c>
    </row>
    <row r="232" spans="1:47" ht="23.1" customHeight="1">
      <c r="A232" s="81" t="s">
        <v>964</v>
      </c>
      <c r="B232" s="85"/>
      <c r="C232" s="82" t="s">
        <v>948</v>
      </c>
      <c r="D232" s="84">
        <v>0</v>
      </c>
      <c r="E232" s="84">
        <v>0</v>
      </c>
      <c r="F232" s="84">
        <f t="shared" si="180"/>
        <v>0</v>
      </c>
      <c r="G232" s="84">
        <v>0</v>
      </c>
      <c r="H232" s="84">
        <f t="shared" si="181"/>
        <v>0</v>
      </c>
      <c r="I232" s="84">
        <v>0</v>
      </c>
      <c r="J232" s="84">
        <f t="shared" si="182"/>
        <v>0</v>
      </c>
      <c r="K232" s="84">
        <f t="shared" si="183"/>
        <v>0</v>
      </c>
      <c r="L232" s="84">
        <f t="shared" si="183"/>
        <v>0</v>
      </c>
      <c r="M232" s="84"/>
      <c r="O232" s="79" t="str">
        <f>""</f>
        <v/>
      </c>
      <c r="Q232" s="79">
        <v>1</v>
      </c>
      <c r="R232" s="79">
        <f t="shared" si="184"/>
        <v>0</v>
      </c>
      <c r="S232" s="79">
        <f t="shared" si="185"/>
        <v>0</v>
      </c>
      <c r="T232" s="79">
        <f t="shared" si="186"/>
        <v>0</v>
      </c>
      <c r="U232" s="79">
        <f t="shared" si="187"/>
        <v>0</v>
      </c>
      <c r="V232" s="79">
        <f t="shared" si="188"/>
        <v>0</v>
      </c>
      <c r="W232" s="79">
        <f t="shared" si="189"/>
        <v>0</v>
      </c>
      <c r="X232" s="79">
        <f t="shared" si="190"/>
        <v>0</v>
      </c>
      <c r="Y232" s="79">
        <f t="shared" si="191"/>
        <v>0</v>
      </c>
      <c r="Z232" s="79">
        <f t="shared" si="192"/>
        <v>0</v>
      </c>
      <c r="AA232" s="79">
        <f t="shared" si="193"/>
        <v>0</v>
      </c>
      <c r="AB232" s="79">
        <f t="shared" si="194"/>
        <v>0</v>
      </c>
      <c r="AC232" s="79">
        <f t="shared" si="195"/>
        <v>0</v>
      </c>
      <c r="AD232" s="79">
        <f t="shared" si="196"/>
        <v>0</v>
      </c>
      <c r="AE232" s="79">
        <f t="shared" si="197"/>
        <v>0</v>
      </c>
      <c r="AF232" s="79">
        <f t="shared" si="198"/>
        <v>0</v>
      </c>
      <c r="AG232" s="79">
        <f t="shared" si="199"/>
        <v>0</v>
      </c>
      <c r="AH232" s="79">
        <f t="shared" si="200"/>
        <v>0</v>
      </c>
      <c r="AI232" s="79">
        <f t="shared" si="201"/>
        <v>0</v>
      </c>
      <c r="AJ232" s="79">
        <f t="shared" si="202"/>
        <v>0</v>
      </c>
      <c r="AK232" s="79">
        <f t="shared" si="203"/>
        <v>0</v>
      </c>
      <c r="AL232" s="79">
        <f t="shared" si="204"/>
        <v>0</v>
      </c>
      <c r="AM232" s="79">
        <f t="shared" si="205"/>
        <v>0</v>
      </c>
      <c r="AN232" s="79">
        <f t="shared" si="206"/>
        <v>0</v>
      </c>
      <c r="AO232" s="79">
        <f t="shared" si="207"/>
        <v>0</v>
      </c>
      <c r="AP232" s="79">
        <f t="shared" si="208"/>
        <v>0</v>
      </c>
      <c r="AQ232" s="79">
        <f t="shared" si="209"/>
        <v>0</v>
      </c>
      <c r="AR232" s="79">
        <f t="shared" si="210"/>
        <v>0</v>
      </c>
      <c r="AS232" s="79">
        <f t="shared" si="211"/>
        <v>0</v>
      </c>
      <c r="AT232" s="79">
        <f t="shared" si="212"/>
        <v>0</v>
      </c>
      <c r="AU232" s="79">
        <f t="shared" si="213"/>
        <v>0</v>
      </c>
    </row>
    <row r="233" spans="1:47" ht="23.1" customHeight="1">
      <c r="A233" s="81" t="s">
        <v>965</v>
      </c>
      <c r="B233" s="81" t="s">
        <v>966</v>
      </c>
      <c r="C233" s="82" t="s">
        <v>951</v>
      </c>
      <c r="D233" s="84">
        <v>10</v>
      </c>
      <c r="E233" s="84">
        <v>228000</v>
      </c>
      <c r="F233" s="84">
        <f t="shared" si="180"/>
        <v>2280000</v>
      </c>
      <c r="G233" s="84">
        <v>0</v>
      </c>
      <c r="H233" s="84">
        <f t="shared" si="181"/>
        <v>0</v>
      </c>
      <c r="I233" s="84">
        <v>0</v>
      </c>
      <c r="J233" s="84">
        <f t="shared" si="182"/>
        <v>0</v>
      </c>
      <c r="K233" s="84">
        <f t="shared" si="183"/>
        <v>228000</v>
      </c>
      <c r="L233" s="84">
        <f t="shared" si="183"/>
        <v>2280000</v>
      </c>
      <c r="M233" s="84"/>
      <c r="O233" s="79" t="str">
        <f>""</f>
        <v/>
      </c>
      <c r="P233" s="86" t="s">
        <v>678</v>
      </c>
      <c r="Q233" s="79">
        <v>1</v>
      </c>
      <c r="R233" s="79">
        <f t="shared" si="184"/>
        <v>0</v>
      </c>
      <c r="S233" s="79">
        <f t="shared" si="185"/>
        <v>0</v>
      </c>
      <c r="T233" s="79">
        <f t="shared" si="186"/>
        <v>0</v>
      </c>
      <c r="U233" s="79">
        <f t="shared" si="187"/>
        <v>0</v>
      </c>
      <c r="V233" s="79">
        <f t="shared" si="188"/>
        <v>0</v>
      </c>
      <c r="W233" s="79">
        <f t="shared" si="189"/>
        <v>0</v>
      </c>
      <c r="X233" s="79">
        <f t="shared" si="190"/>
        <v>0</v>
      </c>
      <c r="Y233" s="79">
        <f t="shared" si="191"/>
        <v>0</v>
      </c>
      <c r="Z233" s="79">
        <f t="shared" si="192"/>
        <v>0</v>
      </c>
      <c r="AA233" s="79">
        <f t="shared" si="193"/>
        <v>0</v>
      </c>
      <c r="AB233" s="79">
        <f t="shared" si="194"/>
        <v>0</v>
      </c>
      <c r="AC233" s="79">
        <f t="shared" si="195"/>
        <v>0</v>
      </c>
      <c r="AD233" s="79">
        <f t="shared" si="196"/>
        <v>0</v>
      </c>
      <c r="AE233" s="79">
        <f t="shared" si="197"/>
        <v>0</v>
      </c>
      <c r="AF233" s="79">
        <f t="shared" si="198"/>
        <v>0</v>
      </c>
      <c r="AG233" s="79">
        <f t="shared" si="199"/>
        <v>0</v>
      </c>
      <c r="AH233" s="79">
        <f t="shared" si="200"/>
        <v>0</v>
      </c>
      <c r="AI233" s="79">
        <f t="shared" si="201"/>
        <v>0</v>
      </c>
      <c r="AJ233" s="79">
        <f t="shared" si="202"/>
        <v>0</v>
      </c>
      <c r="AK233" s="79">
        <f t="shared" si="203"/>
        <v>0</v>
      </c>
      <c r="AL233" s="79">
        <f t="shared" si="204"/>
        <v>0</v>
      </c>
      <c r="AM233" s="79">
        <f t="shared" si="205"/>
        <v>0</v>
      </c>
      <c r="AN233" s="79">
        <f t="shared" si="206"/>
        <v>0</v>
      </c>
      <c r="AO233" s="79">
        <f t="shared" si="207"/>
        <v>0</v>
      </c>
      <c r="AP233" s="79">
        <f t="shared" si="208"/>
        <v>0</v>
      </c>
      <c r="AQ233" s="79">
        <f t="shared" si="209"/>
        <v>0</v>
      </c>
      <c r="AR233" s="79">
        <f t="shared" si="210"/>
        <v>0</v>
      </c>
      <c r="AS233" s="79">
        <f t="shared" si="211"/>
        <v>0</v>
      </c>
      <c r="AT233" s="79">
        <f t="shared" si="212"/>
        <v>0</v>
      </c>
      <c r="AU233" s="79">
        <f t="shared" si="213"/>
        <v>0</v>
      </c>
    </row>
    <row r="234" spans="1:47" ht="23.1" customHeight="1">
      <c r="A234" s="81" t="s">
        <v>967</v>
      </c>
      <c r="B234" s="81" t="s">
        <v>968</v>
      </c>
      <c r="C234" s="82" t="s">
        <v>951</v>
      </c>
      <c r="D234" s="84">
        <v>20</v>
      </c>
      <c r="E234" s="84">
        <v>6000</v>
      </c>
      <c r="F234" s="84">
        <f t="shared" si="180"/>
        <v>120000</v>
      </c>
      <c r="G234" s="84">
        <v>0</v>
      </c>
      <c r="H234" s="84">
        <f t="shared" si="181"/>
        <v>0</v>
      </c>
      <c r="I234" s="84">
        <v>0</v>
      </c>
      <c r="J234" s="84">
        <f t="shared" si="182"/>
        <v>0</v>
      </c>
      <c r="K234" s="84">
        <f t="shared" si="183"/>
        <v>6000</v>
      </c>
      <c r="L234" s="84">
        <f t="shared" si="183"/>
        <v>120000</v>
      </c>
      <c r="M234" s="84"/>
      <c r="O234" s="79" t="str">
        <f>""</f>
        <v/>
      </c>
      <c r="P234" s="86" t="s">
        <v>678</v>
      </c>
      <c r="Q234" s="79">
        <v>1</v>
      </c>
      <c r="R234" s="79">
        <f t="shared" si="184"/>
        <v>0</v>
      </c>
      <c r="S234" s="79">
        <f t="shared" si="185"/>
        <v>0</v>
      </c>
      <c r="T234" s="79">
        <f t="shared" si="186"/>
        <v>0</v>
      </c>
      <c r="U234" s="79">
        <f t="shared" si="187"/>
        <v>0</v>
      </c>
      <c r="V234" s="79">
        <f t="shared" si="188"/>
        <v>0</v>
      </c>
      <c r="W234" s="79">
        <f t="shared" si="189"/>
        <v>0</v>
      </c>
      <c r="X234" s="79">
        <f t="shared" si="190"/>
        <v>0</v>
      </c>
      <c r="Y234" s="79">
        <f t="shared" si="191"/>
        <v>0</v>
      </c>
      <c r="Z234" s="79">
        <f t="shared" si="192"/>
        <v>0</v>
      </c>
      <c r="AA234" s="79">
        <f t="shared" si="193"/>
        <v>0</v>
      </c>
      <c r="AB234" s="79">
        <f t="shared" si="194"/>
        <v>0</v>
      </c>
      <c r="AC234" s="79">
        <f t="shared" si="195"/>
        <v>0</v>
      </c>
      <c r="AD234" s="79">
        <f t="shared" si="196"/>
        <v>0</v>
      </c>
      <c r="AE234" s="79">
        <f t="shared" si="197"/>
        <v>0</v>
      </c>
      <c r="AF234" s="79">
        <f t="shared" si="198"/>
        <v>0</v>
      </c>
      <c r="AG234" s="79">
        <f t="shared" si="199"/>
        <v>0</v>
      </c>
      <c r="AH234" s="79">
        <f t="shared" si="200"/>
        <v>0</v>
      </c>
      <c r="AI234" s="79">
        <f t="shared" si="201"/>
        <v>0</v>
      </c>
      <c r="AJ234" s="79">
        <f t="shared" si="202"/>
        <v>0</v>
      </c>
      <c r="AK234" s="79">
        <f t="shared" si="203"/>
        <v>0</v>
      </c>
      <c r="AL234" s="79">
        <f t="shared" si="204"/>
        <v>0</v>
      </c>
      <c r="AM234" s="79">
        <f t="shared" si="205"/>
        <v>0</v>
      </c>
      <c r="AN234" s="79">
        <f t="shared" si="206"/>
        <v>0</v>
      </c>
      <c r="AO234" s="79">
        <f t="shared" si="207"/>
        <v>0</v>
      </c>
      <c r="AP234" s="79">
        <f t="shared" si="208"/>
        <v>0</v>
      </c>
      <c r="AQ234" s="79">
        <f t="shared" si="209"/>
        <v>0</v>
      </c>
      <c r="AR234" s="79">
        <f t="shared" si="210"/>
        <v>0</v>
      </c>
      <c r="AS234" s="79">
        <f t="shared" si="211"/>
        <v>0</v>
      </c>
      <c r="AT234" s="79">
        <f t="shared" si="212"/>
        <v>0</v>
      </c>
      <c r="AU234" s="79">
        <f t="shared" si="213"/>
        <v>0</v>
      </c>
    </row>
    <row r="235" spans="1:47" ht="23.1" customHeight="1">
      <c r="A235" s="81" t="s">
        <v>969</v>
      </c>
      <c r="B235" s="85"/>
      <c r="C235" s="82" t="s">
        <v>961</v>
      </c>
      <c r="D235" s="84">
        <v>10</v>
      </c>
      <c r="E235" s="84">
        <v>0</v>
      </c>
      <c r="F235" s="84">
        <f t="shared" si="180"/>
        <v>0</v>
      </c>
      <c r="G235" s="84">
        <v>62000</v>
      </c>
      <c r="H235" s="84">
        <f t="shared" si="181"/>
        <v>620000</v>
      </c>
      <c r="I235" s="84">
        <v>0</v>
      </c>
      <c r="J235" s="84">
        <f t="shared" si="182"/>
        <v>0</v>
      </c>
      <c r="K235" s="84">
        <f t="shared" si="183"/>
        <v>62000</v>
      </c>
      <c r="L235" s="84">
        <f t="shared" si="183"/>
        <v>620000</v>
      </c>
      <c r="M235" s="84"/>
      <c r="O235" s="79" t="str">
        <f>""</f>
        <v/>
      </c>
      <c r="P235" s="86" t="s">
        <v>678</v>
      </c>
      <c r="Q235" s="79">
        <v>1</v>
      </c>
      <c r="R235" s="79">
        <f t="shared" si="184"/>
        <v>0</v>
      </c>
      <c r="S235" s="79">
        <f t="shared" si="185"/>
        <v>0</v>
      </c>
      <c r="T235" s="79">
        <f t="shared" si="186"/>
        <v>0</v>
      </c>
      <c r="U235" s="79">
        <f t="shared" si="187"/>
        <v>0</v>
      </c>
      <c r="V235" s="79">
        <f t="shared" si="188"/>
        <v>0</v>
      </c>
      <c r="W235" s="79">
        <f t="shared" si="189"/>
        <v>0</v>
      </c>
      <c r="X235" s="79">
        <f t="shared" si="190"/>
        <v>0</v>
      </c>
      <c r="Y235" s="79">
        <f t="shared" si="191"/>
        <v>0</v>
      </c>
      <c r="Z235" s="79">
        <f t="shared" si="192"/>
        <v>0</v>
      </c>
      <c r="AA235" s="79">
        <f t="shared" si="193"/>
        <v>0</v>
      </c>
      <c r="AB235" s="79">
        <f t="shared" si="194"/>
        <v>0</v>
      </c>
      <c r="AC235" s="79">
        <f t="shared" si="195"/>
        <v>0</v>
      </c>
      <c r="AD235" s="79">
        <f t="shared" si="196"/>
        <v>0</v>
      </c>
      <c r="AE235" s="79">
        <f t="shared" si="197"/>
        <v>0</v>
      </c>
      <c r="AF235" s="79">
        <f t="shared" si="198"/>
        <v>0</v>
      </c>
      <c r="AG235" s="79">
        <f t="shared" si="199"/>
        <v>0</v>
      </c>
      <c r="AH235" s="79">
        <f t="shared" si="200"/>
        <v>0</v>
      </c>
      <c r="AI235" s="79">
        <f t="shared" si="201"/>
        <v>0</v>
      </c>
      <c r="AJ235" s="79">
        <f t="shared" si="202"/>
        <v>0</v>
      </c>
      <c r="AK235" s="79">
        <f t="shared" si="203"/>
        <v>0</v>
      </c>
      <c r="AL235" s="79">
        <f t="shared" si="204"/>
        <v>0</v>
      </c>
      <c r="AM235" s="79">
        <f t="shared" si="205"/>
        <v>0</v>
      </c>
      <c r="AN235" s="79">
        <f t="shared" si="206"/>
        <v>0</v>
      </c>
      <c r="AO235" s="79">
        <f t="shared" si="207"/>
        <v>0</v>
      </c>
      <c r="AP235" s="79">
        <f t="shared" si="208"/>
        <v>0</v>
      </c>
      <c r="AQ235" s="79">
        <f t="shared" si="209"/>
        <v>0</v>
      </c>
      <c r="AR235" s="79">
        <f t="shared" si="210"/>
        <v>0</v>
      </c>
      <c r="AS235" s="79">
        <f t="shared" si="211"/>
        <v>0</v>
      </c>
      <c r="AT235" s="79">
        <f t="shared" si="212"/>
        <v>0</v>
      </c>
      <c r="AU235" s="79">
        <f t="shared" si="213"/>
        <v>0</v>
      </c>
    </row>
    <row r="236" spans="1:47" ht="23.1" customHeight="1">
      <c r="A236" s="81" t="s">
        <v>970</v>
      </c>
      <c r="B236" s="85"/>
      <c r="C236" s="82" t="s">
        <v>948</v>
      </c>
      <c r="D236" s="84">
        <v>0</v>
      </c>
      <c r="E236" s="84">
        <v>0</v>
      </c>
      <c r="F236" s="84">
        <f t="shared" si="180"/>
        <v>0</v>
      </c>
      <c r="G236" s="84">
        <v>0</v>
      </c>
      <c r="H236" s="84">
        <f t="shared" si="181"/>
        <v>0</v>
      </c>
      <c r="I236" s="84">
        <v>0</v>
      </c>
      <c r="J236" s="84">
        <f t="shared" si="182"/>
        <v>0</v>
      </c>
      <c r="K236" s="84">
        <f t="shared" si="183"/>
        <v>0</v>
      </c>
      <c r="L236" s="84">
        <f t="shared" si="183"/>
        <v>0</v>
      </c>
      <c r="M236" s="84"/>
      <c r="O236" s="79" t="str">
        <f>""</f>
        <v/>
      </c>
      <c r="Q236" s="79">
        <v>1</v>
      </c>
      <c r="R236" s="79">
        <f t="shared" si="184"/>
        <v>0</v>
      </c>
      <c r="S236" s="79">
        <f t="shared" si="185"/>
        <v>0</v>
      </c>
      <c r="T236" s="79">
        <f t="shared" si="186"/>
        <v>0</v>
      </c>
      <c r="U236" s="79">
        <f t="shared" si="187"/>
        <v>0</v>
      </c>
      <c r="V236" s="79">
        <f t="shared" si="188"/>
        <v>0</v>
      </c>
      <c r="W236" s="79">
        <f t="shared" si="189"/>
        <v>0</v>
      </c>
      <c r="X236" s="79">
        <f t="shared" si="190"/>
        <v>0</v>
      </c>
      <c r="Y236" s="79">
        <f t="shared" si="191"/>
        <v>0</v>
      </c>
      <c r="Z236" s="79">
        <f t="shared" si="192"/>
        <v>0</v>
      </c>
      <c r="AA236" s="79">
        <f t="shared" si="193"/>
        <v>0</v>
      </c>
      <c r="AB236" s="79">
        <f t="shared" si="194"/>
        <v>0</v>
      </c>
      <c r="AC236" s="79">
        <f t="shared" si="195"/>
        <v>0</v>
      </c>
      <c r="AD236" s="79">
        <f t="shared" si="196"/>
        <v>0</v>
      </c>
      <c r="AE236" s="79">
        <f t="shared" si="197"/>
        <v>0</v>
      </c>
      <c r="AF236" s="79">
        <f t="shared" si="198"/>
        <v>0</v>
      </c>
      <c r="AG236" s="79">
        <f t="shared" si="199"/>
        <v>0</v>
      </c>
      <c r="AH236" s="79">
        <f t="shared" si="200"/>
        <v>0</v>
      </c>
      <c r="AI236" s="79">
        <f t="shared" si="201"/>
        <v>0</v>
      </c>
      <c r="AJ236" s="79">
        <f t="shared" si="202"/>
        <v>0</v>
      </c>
      <c r="AK236" s="79">
        <f t="shared" si="203"/>
        <v>0</v>
      </c>
      <c r="AL236" s="79">
        <f t="shared" si="204"/>
        <v>0</v>
      </c>
      <c r="AM236" s="79">
        <f t="shared" si="205"/>
        <v>0</v>
      </c>
      <c r="AN236" s="79">
        <f t="shared" si="206"/>
        <v>0</v>
      </c>
      <c r="AO236" s="79">
        <f t="shared" si="207"/>
        <v>0</v>
      </c>
      <c r="AP236" s="79">
        <f t="shared" si="208"/>
        <v>0</v>
      </c>
      <c r="AQ236" s="79">
        <f t="shared" si="209"/>
        <v>0</v>
      </c>
      <c r="AR236" s="79">
        <f t="shared" si="210"/>
        <v>0</v>
      </c>
      <c r="AS236" s="79">
        <f t="shared" si="211"/>
        <v>0</v>
      </c>
      <c r="AT236" s="79">
        <f t="shared" si="212"/>
        <v>0</v>
      </c>
      <c r="AU236" s="79">
        <f t="shared" si="213"/>
        <v>0</v>
      </c>
    </row>
    <row r="237" spans="1:47" ht="23.1" customHeight="1">
      <c r="A237" s="81" t="s">
        <v>971</v>
      </c>
      <c r="B237" s="81" t="s">
        <v>966</v>
      </c>
      <c r="C237" s="82" t="s">
        <v>951</v>
      </c>
      <c r="D237" s="84">
        <v>2</v>
      </c>
      <c r="E237" s="84">
        <v>90000</v>
      </c>
      <c r="F237" s="84">
        <f t="shared" si="180"/>
        <v>180000</v>
      </c>
      <c r="G237" s="84">
        <v>0</v>
      </c>
      <c r="H237" s="84">
        <f t="shared" si="181"/>
        <v>0</v>
      </c>
      <c r="I237" s="84">
        <v>0</v>
      </c>
      <c r="J237" s="84">
        <f t="shared" si="182"/>
        <v>0</v>
      </c>
      <c r="K237" s="84">
        <f t="shared" si="183"/>
        <v>90000</v>
      </c>
      <c r="L237" s="84">
        <f t="shared" si="183"/>
        <v>180000</v>
      </c>
      <c r="M237" s="84"/>
      <c r="O237" s="79" t="str">
        <f>""</f>
        <v/>
      </c>
      <c r="P237" s="86" t="s">
        <v>678</v>
      </c>
      <c r="Q237" s="79">
        <v>1</v>
      </c>
      <c r="R237" s="79">
        <f t="shared" si="184"/>
        <v>0</v>
      </c>
      <c r="S237" s="79">
        <f t="shared" si="185"/>
        <v>0</v>
      </c>
      <c r="T237" s="79">
        <f t="shared" si="186"/>
        <v>0</v>
      </c>
      <c r="U237" s="79">
        <f t="shared" si="187"/>
        <v>0</v>
      </c>
      <c r="V237" s="79">
        <f t="shared" si="188"/>
        <v>0</v>
      </c>
      <c r="W237" s="79">
        <f t="shared" si="189"/>
        <v>0</v>
      </c>
      <c r="X237" s="79">
        <f t="shared" si="190"/>
        <v>0</v>
      </c>
      <c r="Y237" s="79">
        <f t="shared" si="191"/>
        <v>0</v>
      </c>
      <c r="Z237" s="79">
        <f t="shared" si="192"/>
        <v>0</v>
      </c>
      <c r="AA237" s="79">
        <f t="shared" si="193"/>
        <v>0</v>
      </c>
      <c r="AB237" s="79">
        <f t="shared" si="194"/>
        <v>0</v>
      </c>
      <c r="AC237" s="79">
        <f t="shared" si="195"/>
        <v>0</v>
      </c>
      <c r="AD237" s="79">
        <f t="shared" si="196"/>
        <v>0</v>
      </c>
      <c r="AE237" s="79">
        <f t="shared" si="197"/>
        <v>0</v>
      </c>
      <c r="AF237" s="79">
        <f t="shared" si="198"/>
        <v>0</v>
      </c>
      <c r="AG237" s="79">
        <f t="shared" si="199"/>
        <v>0</v>
      </c>
      <c r="AH237" s="79">
        <f t="shared" si="200"/>
        <v>0</v>
      </c>
      <c r="AI237" s="79">
        <f t="shared" si="201"/>
        <v>0</v>
      </c>
      <c r="AJ237" s="79">
        <f t="shared" si="202"/>
        <v>0</v>
      </c>
      <c r="AK237" s="79">
        <f t="shared" si="203"/>
        <v>0</v>
      </c>
      <c r="AL237" s="79">
        <f t="shared" si="204"/>
        <v>0</v>
      </c>
      <c r="AM237" s="79">
        <f t="shared" si="205"/>
        <v>0</v>
      </c>
      <c r="AN237" s="79">
        <f t="shared" si="206"/>
        <v>0</v>
      </c>
      <c r="AO237" s="79">
        <f t="shared" si="207"/>
        <v>0</v>
      </c>
      <c r="AP237" s="79">
        <f t="shared" si="208"/>
        <v>0</v>
      </c>
      <c r="AQ237" s="79">
        <f t="shared" si="209"/>
        <v>0</v>
      </c>
      <c r="AR237" s="79">
        <f t="shared" si="210"/>
        <v>0</v>
      </c>
      <c r="AS237" s="79">
        <f t="shared" si="211"/>
        <v>0</v>
      </c>
      <c r="AT237" s="79">
        <f t="shared" si="212"/>
        <v>0</v>
      </c>
      <c r="AU237" s="79">
        <f t="shared" si="213"/>
        <v>0</v>
      </c>
    </row>
    <row r="238" spans="1:47" ht="23.1" customHeight="1">
      <c r="A238" s="81" t="s">
        <v>972</v>
      </c>
      <c r="B238" s="81" t="s">
        <v>966</v>
      </c>
      <c r="C238" s="82" t="s">
        <v>951</v>
      </c>
      <c r="D238" s="84">
        <v>2</v>
      </c>
      <c r="E238" s="84">
        <v>81000</v>
      </c>
      <c r="F238" s="84">
        <f t="shared" si="180"/>
        <v>162000</v>
      </c>
      <c r="G238" s="84">
        <v>0</v>
      </c>
      <c r="H238" s="84">
        <f t="shared" si="181"/>
        <v>0</v>
      </c>
      <c r="I238" s="84">
        <v>0</v>
      </c>
      <c r="J238" s="84">
        <f t="shared" si="182"/>
        <v>0</v>
      </c>
      <c r="K238" s="84">
        <f t="shared" si="183"/>
        <v>81000</v>
      </c>
      <c r="L238" s="84">
        <f t="shared" si="183"/>
        <v>162000</v>
      </c>
      <c r="M238" s="84"/>
      <c r="O238" s="79" t="str">
        <f>""</f>
        <v/>
      </c>
      <c r="P238" s="86" t="s">
        <v>678</v>
      </c>
      <c r="Q238" s="79">
        <v>1</v>
      </c>
      <c r="R238" s="79">
        <f t="shared" si="184"/>
        <v>0</v>
      </c>
      <c r="S238" s="79">
        <f t="shared" si="185"/>
        <v>0</v>
      </c>
      <c r="T238" s="79">
        <f t="shared" si="186"/>
        <v>0</v>
      </c>
      <c r="U238" s="79">
        <f t="shared" si="187"/>
        <v>0</v>
      </c>
      <c r="V238" s="79">
        <f t="shared" si="188"/>
        <v>0</v>
      </c>
      <c r="W238" s="79">
        <f t="shared" si="189"/>
        <v>0</v>
      </c>
      <c r="X238" s="79">
        <f t="shared" si="190"/>
        <v>0</v>
      </c>
      <c r="Y238" s="79">
        <f t="shared" si="191"/>
        <v>0</v>
      </c>
      <c r="Z238" s="79">
        <f t="shared" si="192"/>
        <v>0</v>
      </c>
      <c r="AA238" s="79">
        <f t="shared" si="193"/>
        <v>0</v>
      </c>
      <c r="AB238" s="79">
        <f t="shared" si="194"/>
        <v>0</v>
      </c>
      <c r="AC238" s="79">
        <f t="shared" si="195"/>
        <v>0</v>
      </c>
      <c r="AD238" s="79">
        <f t="shared" si="196"/>
        <v>0</v>
      </c>
      <c r="AE238" s="79">
        <f t="shared" si="197"/>
        <v>0</v>
      </c>
      <c r="AF238" s="79">
        <f t="shared" si="198"/>
        <v>0</v>
      </c>
      <c r="AG238" s="79">
        <f t="shared" si="199"/>
        <v>0</v>
      </c>
      <c r="AH238" s="79">
        <f t="shared" si="200"/>
        <v>0</v>
      </c>
      <c r="AI238" s="79">
        <f t="shared" si="201"/>
        <v>0</v>
      </c>
      <c r="AJ238" s="79">
        <f t="shared" si="202"/>
        <v>0</v>
      </c>
      <c r="AK238" s="79">
        <f t="shared" si="203"/>
        <v>0</v>
      </c>
      <c r="AL238" s="79">
        <f t="shared" si="204"/>
        <v>0</v>
      </c>
      <c r="AM238" s="79">
        <f t="shared" si="205"/>
        <v>0</v>
      </c>
      <c r="AN238" s="79">
        <f t="shared" si="206"/>
        <v>0</v>
      </c>
      <c r="AO238" s="79">
        <f t="shared" si="207"/>
        <v>0</v>
      </c>
      <c r="AP238" s="79">
        <f t="shared" si="208"/>
        <v>0</v>
      </c>
      <c r="AQ238" s="79">
        <f t="shared" si="209"/>
        <v>0</v>
      </c>
      <c r="AR238" s="79">
        <f t="shared" si="210"/>
        <v>0</v>
      </c>
      <c r="AS238" s="79">
        <f t="shared" si="211"/>
        <v>0</v>
      </c>
      <c r="AT238" s="79">
        <f t="shared" si="212"/>
        <v>0</v>
      </c>
      <c r="AU238" s="79">
        <f t="shared" si="213"/>
        <v>0</v>
      </c>
    </row>
    <row r="239" spans="1:47" ht="23.1" customHeight="1">
      <c r="A239" s="81" t="s">
        <v>955</v>
      </c>
      <c r="B239" s="81" t="s">
        <v>956</v>
      </c>
      <c r="C239" s="82" t="s">
        <v>951</v>
      </c>
      <c r="D239" s="84">
        <v>4</v>
      </c>
      <c r="E239" s="84">
        <v>3600</v>
      </c>
      <c r="F239" s="84">
        <f t="shared" si="180"/>
        <v>14400</v>
      </c>
      <c r="G239" s="84">
        <v>0</v>
      </c>
      <c r="H239" s="84">
        <f t="shared" si="181"/>
        <v>0</v>
      </c>
      <c r="I239" s="84">
        <v>0</v>
      </c>
      <c r="J239" s="84">
        <f t="shared" si="182"/>
        <v>0</v>
      </c>
      <c r="K239" s="84">
        <f t="shared" si="183"/>
        <v>3600</v>
      </c>
      <c r="L239" s="84">
        <f t="shared" si="183"/>
        <v>14400</v>
      </c>
      <c r="M239" s="84"/>
      <c r="O239" s="79" t="str">
        <f>""</f>
        <v/>
      </c>
      <c r="P239" s="86" t="s">
        <v>678</v>
      </c>
      <c r="Q239" s="79">
        <v>1</v>
      </c>
      <c r="R239" s="79">
        <f t="shared" si="184"/>
        <v>0</v>
      </c>
      <c r="S239" s="79">
        <f t="shared" si="185"/>
        <v>0</v>
      </c>
      <c r="T239" s="79">
        <f t="shared" si="186"/>
        <v>0</v>
      </c>
      <c r="U239" s="79">
        <f t="shared" si="187"/>
        <v>0</v>
      </c>
      <c r="V239" s="79">
        <f t="shared" si="188"/>
        <v>0</v>
      </c>
      <c r="W239" s="79">
        <f t="shared" si="189"/>
        <v>0</v>
      </c>
      <c r="X239" s="79">
        <f t="shared" si="190"/>
        <v>0</v>
      </c>
      <c r="Y239" s="79">
        <f t="shared" si="191"/>
        <v>0</v>
      </c>
      <c r="Z239" s="79">
        <f t="shared" si="192"/>
        <v>0</v>
      </c>
      <c r="AA239" s="79">
        <f t="shared" si="193"/>
        <v>0</v>
      </c>
      <c r="AB239" s="79">
        <f t="shared" si="194"/>
        <v>0</v>
      </c>
      <c r="AC239" s="79">
        <f t="shared" si="195"/>
        <v>0</v>
      </c>
      <c r="AD239" s="79">
        <f t="shared" si="196"/>
        <v>0</v>
      </c>
      <c r="AE239" s="79">
        <f t="shared" si="197"/>
        <v>0</v>
      </c>
      <c r="AF239" s="79">
        <f t="shared" si="198"/>
        <v>0</v>
      </c>
      <c r="AG239" s="79">
        <f t="shared" si="199"/>
        <v>0</v>
      </c>
      <c r="AH239" s="79">
        <f t="shared" si="200"/>
        <v>0</v>
      </c>
      <c r="AI239" s="79">
        <f t="shared" si="201"/>
        <v>0</v>
      </c>
      <c r="AJ239" s="79">
        <f t="shared" si="202"/>
        <v>0</v>
      </c>
      <c r="AK239" s="79">
        <f t="shared" si="203"/>
        <v>0</v>
      </c>
      <c r="AL239" s="79">
        <f t="shared" si="204"/>
        <v>0</v>
      </c>
      <c r="AM239" s="79">
        <f t="shared" si="205"/>
        <v>0</v>
      </c>
      <c r="AN239" s="79">
        <f t="shared" si="206"/>
        <v>0</v>
      </c>
      <c r="AO239" s="79">
        <f t="shared" si="207"/>
        <v>0</v>
      </c>
      <c r="AP239" s="79">
        <f t="shared" si="208"/>
        <v>0</v>
      </c>
      <c r="AQ239" s="79">
        <f t="shared" si="209"/>
        <v>0</v>
      </c>
      <c r="AR239" s="79">
        <f t="shared" si="210"/>
        <v>0</v>
      </c>
      <c r="AS239" s="79">
        <f t="shared" si="211"/>
        <v>0</v>
      </c>
      <c r="AT239" s="79">
        <f t="shared" si="212"/>
        <v>0</v>
      </c>
      <c r="AU239" s="79">
        <f t="shared" si="213"/>
        <v>0</v>
      </c>
    </row>
    <row r="240" spans="1:47" ht="23.1" customHeight="1">
      <c r="A240" s="81" t="s">
        <v>973</v>
      </c>
      <c r="B240" s="81" t="s">
        <v>974</v>
      </c>
      <c r="C240" s="82" t="s">
        <v>951</v>
      </c>
      <c r="D240" s="84">
        <v>8</v>
      </c>
      <c r="E240" s="84">
        <v>119000</v>
      </c>
      <c r="F240" s="84">
        <f t="shared" si="180"/>
        <v>952000</v>
      </c>
      <c r="G240" s="84">
        <v>0</v>
      </c>
      <c r="H240" s="84">
        <f t="shared" si="181"/>
        <v>0</v>
      </c>
      <c r="I240" s="84">
        <v>0</v>
      </c>
      <c r="J240" s="84">
        <f t="shared" si="182"/>
        <v>0</v>
      </c>
      <c r="K240" s="84">
        <f t="shared" si="183"/>
        <v>119000</v>
      </c>
      <c r="L240" s="84">
        <f t="shared" si="183"/>
        <v>952000</v>
      </c>
      <c r="M240" s="84"/>
      <c r="O240" s="79" t="str">
        <f>""</f>
        <v/>
      </c>
      <c r="P240" s="86" t="s">
        <v>678</v>
      </c>
      <c r="Q240" s="79">
        <v>1</v>
      </c>
      <c r="R240" s="79">
        <f t="shared" si="184"/>
        <v>0</v>
      </c>
      <c r="S240" s="79">
        <f t="shared" si="185"/>
        <v>0</v>
      </c>
      <c r="T240" s="79">
        <f t="shared" si="186"/>
        <v>0</v>
      </c>
      <c r="U240" s="79">
        <f t="shared" si="187"/>
        <v>0</v>
      </c>
      <c r="V240" s="79">
        <f t="shared" si="188"/>
        <v>0</v>
      </c>
      <c r="W240" s="79">
        <f t="shared" si="189"/>
        <v>0</v>
      </c>
      <c r="X240" s="79">
        <f t="shared" si="190"/>
        <v>0</v>
      </c>
      <c r="Y240" s="79">
        <f t="shared" si="191"/>
        <v>0</v>
      </c>
      <c r="Z240" s="79">
        <f t="shared" si="192"/>
        <v>0</v>
      </c>
      <c r="AA240" s="79">
        <f t="shared" si="193"/>
        <v>0</v>
      </c>
      <c r="AB240" s="79">
        <f t="shared" si="194"/>
        <v>0</v>
      </c>
      <c r="AC240" s="79">
        <f t="shared" si="195"/>
        <v>0</v>
      </c>
      <c r="AD240" s="79">
        <f t="shared" si="196"/>
        <v>0</v>
      </c>
      <c r="AE240" s="79">
        <f t="shared" si="197"/>
        <v>0</v>
      </c>
      <c r="AF240" s="79">
        <f t="shared" si="198"/>
        <v>0</v>
      </c>
      <c r="AG240" s="79">
        <f t="shared" si="199"/>
        <v>0</v>
      </c>
      <c r="AH240" s="79">
        <f t="shared" si="200"/>
        <v>0</v>
      </c>
      <c r="AI240" s="79">
        <f t="shared" si="201"/>
        <v>0</v>
      </c>
      <c r="AJ240" s="79">
        <f t="shared" si="202"/>
        <v>0</v>
      </c>
      <c r="AK240" s="79">
        <f t="shared" si="203"/>
        <v>0</v>
      </c>
      <c r="AL240" s="79">
        <f t="shared" si="204"/>
        <v>0</v>
      </c>
      <c r="AM240" s="79">
        <f t="shared" si="205"/>
        <v>0</v>
      </c>
      <c r="AN240" s="79">
        <f t="shared" si="206"/>
        <v>0</v>
      </c>
      <c r="AO240" s="79">
        <f t="shared" si="207"/>
        <v>0</v>
      </c>
      <c r="AP240" s="79">
        <f t="shared" si="208"/>
        <v>0</v>
      </c>
      <c r="AQ240" s="79">
        <f t="shared" si="209"/>
        <v>0</v>
      </c>
      <c r="AR240" s="79">
        <f t="shared" si="210"/>
        <v>0</v>
      </c>
      <c r="AS240" s="79">
        <f t="shared" si="211"/>
        <v>0</v>
      </c>
      <c r="AT240" s="79">
        <f t="shared" si="212"/>
        <v>0</v>
      </c>
      <c r="AU240" s="79">
        <f t="shared" si="213"/>
        <v>0</v>
      </c>
    </row>
    <row r="241" spans="1:47" ht="23.1" customHeight="1">
      <c r="A241" s="81" t="s">
        <v>973</v>
      </c>
      <c r="B241" s="81" t="s">
        <v>975</v>
      </c>
      <c r="C241" s="82" t="s">
        <v>951</v>
      </c>
      <c r="D241" s="84">
        <v>6</v>
      </c>
      <c r="E241" s="84">
        <v>120000</v>
      </c>
      <c r="F241" s="84">
        <f t="shared" si="180"/>
        <v>720000</v>
      </c>
      <c r="G241" s="84">
        <v>0</v>
      </c>
      <c r="H241" s="84">
        <f t="shared" si="181"/>
        <v>0</v>
      </c>
      <c r="I241" s="84">
        <v>0</v>
      </c>
      <c r="J241" s="84">
        <f t="shared" si="182"/>
        <v>0</v>
      </c>
      <c r="K241" s="84">
        <f t="shared" si="183"/>
        <v>120000</v>
      </c>
      <c r="L241" s="84">
        <f t="shared" si="183"/>
        <v>720000</v>
      </c>
      <c r="M241" s="84"/>
      <c r="O241" s="79" t="str">
        <f>""</f>
        <v/>
      </c>
      <c r="P241" s="86" t="s">
        <v>678</v>
      </c>
      <c r="Q241" s="79">
        <v>1</v>
      </c>
      <c r="R241" s="79">
        <f t="shared" si="184"/>
        <v>0</v>
      </c>
      <c r="S241" s="79">
        <f t="shared" si="185"/>
        <v>0</v>
      </c>
      <c r="T241" s="79">
        <f t="shared" si="186"/>
        <v>0</v>
      </c>
      <c r="U241" s="79">
        <f t="shared" si="187"/>
        <v>0</v>
      </c>
      <c r="V241" s="79">
        <f t="shared" si="188"/>
        <v>0</v>
      </c>
      <c r="W241" s="79">
        <f t="shared" si="189"/>
        <v>0</v>
      </c>
      <c r="X241" s="79">
        <f t="shared" si="190"/>
        <v>0</v>
      </c>
      <c r="Y241" s="79">
        <f t="shared" si="191"/>
        <v>0</v>
      </c>
      <c r="Z241" s="79">
        <f t="shared" si="192"/>
        <v>0</v>
      </c>
      <c r="AA241" s="79">
        <f t="shared" si="193"/>
        <v>0</v>
      </c>
      <c r="AB241" s="79">
        <f t="shared" si="194"/>
        <v>0</v>
      </c>
      <c r="AC241" s="79">
        <f t="shared" si="195"/>
        <v>0</v>
      </c>
      <c r="AD241" s="79">
        <f t="shared" si="196"/>
        <v>0</v>
      </c>
      <c r="AE241" s="79">
        <f t="shared" si="197"/>
        <v>0</v>
      </c>
      <c r="AF241" s="79">
        <f t="shared" si="198"/>
        <v>0</v>
      </c>
      <c r="AG241" s="79">
        <f t="shared" si="199"/>
        <v>0</v>
      </c>
      <c r="AH241" s="79">
        <f t="shared" si="200"/>
        <v>0</v>
      </c>
      <c r="AI241" s="79">
        <f t="shared" si="201"/>
        <v>0</v>
      </c>
      <c r="AJ241" s="79">
        <f t="shared" si="202"/>
        <v>0</v>
      </c>
      <c r="AK241" s="79">
        <f t="shared" si="203"/>
        <v>0</v>
      </c>
      <c r="AL241" s="79">
        <f t="shared" si="204"/>
        <v>0</v>
      </c>
      <c r="AM241" s="79">
        <f t="shared" si="205"/>
        <v>0</v>
      </c>
      <c r="AN241" s="79">
        <f t="shared" si="206"/>
        <v>0</v>
      </c>
      <c r="AO241" s="79">
        <f t="shared" si="207"/>
        <v>0</v>
      </c>
      <c r="AP241" s="79">
        <f t="shared" si="208"/>
        <v>0</v>
      </c>
      <c r="AQ241" s="79">
        <f t="shared" si="209"/>
        <v>0</v>
      </c>
      <c r="AR241" s="79">
        <f t="shared" si="210"/>
        <v>0</v>
      </c>
      <c r="AS241" s="79">
        <f t="shared" si="211"/>
        <v>0</v>
      </c>
      <c r="AT241" s="79">
        <f t="shared" si="212"/>
        <v>0</v>
      </c>
      <c r="AU241" s="79">
        <f t="shared" si="213"/>
        <v>0</v>
      </c>
    </row>
    <row r="242" spans="1:47" ht="23.1" customHeight="1">
      <c r="A242" s="81" t="s">
        <v>973</v>
      </c>
      <c r="B242" s="81" t="s">
        <v>976</v>
      </c>
      <c r="C242" s="82" t="s">
        <v>951</v>
      </c>
      <c r="D242" s="84">
        <v>9</v>
      </c>
      <c r="E242" s="84">
        <v>123000</v>
      </c>
      <c r="F242" s="84">
        <f t="shared" si="180"/>
        <v>1107000</v>
      </c>
      <c r="G242" s="84">
        <v>0</v>
      </c>
      <c r="H242" s="84">
        <f t="shared" si="181"/>
        <v>0</v>
      </c>
      <c r="I242" s="84">
        <v>0</v>
      </c>
      <c r="J242" s="84">
        <f t="shared" si="182"/>
        <v>0</v>
      </c>
      <c r="K242" s="84">
        <f t="shared" si="183"/>
        <v>123000</v>
      </c>
      <c r="L242" s="84">
        <f t="shared" si="183"/>
        <v>1107000</v>
      </c>
      <c r="M242" s="84"/>
      <c r="O242" s="79" t="str">
        <f>""</f>
        <v/>
      </c>
      <c r="P242" s="86" t="s">
        <v>678</v>
      </c>
      <c r="Q242" s="79">
        <v>1</v>
      </c>
      <c r="R242" s="79">
        <f t="shared" si="184"/>
        <v>0</v>
      </c>
      <c r="S242" s="79">
        <f t="shared" si="185"/>
        <v>0</v>
      </c>
      <c r="T242" s="79">
        <f t="shared" si="186"/>
        <v>0</v>
      </c>
      <c r="U242" s="79">
        <f t="shared" si="187"/>
        <v>0</v>
      </c>
      <c r="V242" s="79">
        <f t="shared" si="188"/>
        <v>0</v>
      </c>
      <c r="W242" s="79">
        <f t="shared" si="189"/>
        <v>0</v>
      </c>
      <c r="X242" s="79">
        <f t="shared" si="190"/>
        <v>0</v>
      </c>
      <c r="Y242" s="79">
        <f t="shared" si="191"/>
        <v>0</v>
      </c>
      <c r="Z242" s="79">
        <f t="shared" si="192"/>
        <v>0</v>
      </c>
      <c r="AA242" s="79">
        <f t="shared" si="193"/>
        <v>0</v>
      </c>
      <c r="AB242" s="79">
        <f t="shared" si="194"/>
        <v>0</v>
      </c>
      <c r="AC242" s="79">
        <f t="shared" si="195"/>
        <v>0</v>
      </c>
      <c r="AD242" s="79">
        <f t="shared" si="196"/>
        <v>0</v>
      </c>
      <c r="AE242" s="79">
        <f t="shared" si="197"/>
        <v>0</v>
      </c>
      <c r="AF242" s="79">
        <f t="shared" si="198"/>
        <v>0</v>
      </c>
      <c r="AG242" s="79">
        <f t="shared" si="199"/>
        <v>0</v>
      </c>
      <c r="AH242" s="79">
        <f t="shared" si="200"/>
        <v>0</v>
      </c>
      <c r="AI242" s="79">
        <f t="shared" si="201"/>
        <v>0</v>
      </c>
      <c r="AJ242" s="79">
        <f t="shared" si="202"/>
        <v>0</v>
      </c>
      <c r="AK242" s="79">
        <f t="shared" si="203"/>
        <v>0</v>
      </c>
      <c r="AL242" s="79">
        <f t="shared" si="204"/>
        <v>0</v>
      </c>
      <c r="AM242" s="79">
        <f t="shared" si="205"/>
        <v>0</v>
      </c>
      <c r="AN242" s="79">
        <f t="shared" si="206"/>
        <v>0</v>
      </c>
      <c r="AO242" s="79">
        <f t="shared" si="207"/>
        <v>0</v>
      </c>
      <c r="AP242" s="79">
        <f t="shared" si="208"/>
        <v>0</v>
      </c>
      <c r="AQ242" s="79">
        <f t="shared" si="209"/>
        <v>0</v>
      </c>
      <c r="AR242" s="79">
        <f t="shared" si="210"/>
        <v>0</v>
      </c>
      <c r="AS242" s="79">
        <f t="shared" si="211"/>
        <v>0</v>
      </c>
      <c r="AT242" s="79">
        <f t="shared" si="212"/>
        <v>0</v>
      </c>
      <c r="AU242" s="79">
        <f t="shared" si="213"/>
        <v>0</v>
      </c>
    </row>
    <row r="243" spans="1:47" ht="23.1" customHeight="1">
      <c r="A243" s="81" t="s">
        <v>973</v>
      </c>
      <c r="B243" s="81" t="s">
        <v>977</v>
      </c>
      <c r="C243" s="82" t="s">
        <v>951</v>
      </c>
      <c r="D243" s="84">
        <v>5</v>
      </c>
      <c r="E243" s="84">
        <v>124000</v>
      </c>
      <c r="F243" s="84">
        <f t="shared" si="180"/>
        <v>620000</v>
      </c>
      <c r="G243" s="84">
        <v>0</v>
      </c>
      <c r="H243" s="84">
        <f t="shared" si="181"/>
        <v>0</v>
      </c>
      <c r="I243" s="84">
        <v>0</v>
      </c>
      <c r="J243" s="84">
        <f t="shared" si="182"/>
        <v>0</v>
      </c>
      <c r="K243" s="84">
        <f t="shared" si="183"/>
        <v>124000</v>
      </c>
      <c r="L243" s="84">
        <f t="shared" si="183"/>
        <v>620000</v>
      </c>
      <c r="M243" s="84"/>
      <c r="O243" s="79" t="str">
        <f>""</f>
        <v/>
      </c>
      <c r="P243" s="86" t="s">
        <v>678</v>
      </c>
      <c r="Q243" s="79">
        <v>1</v>
      </c>
      <c r="R243" s="79">
        <f t="shared" si="184"/>
        <v>0</v>
      </c>
      <c r="S243" s="79">
        <f t="shared" si="185"/>
        <v>0</v>
      </c>
      <c r="T243" s="79">
        <f t="shared" si="186"/>
        <v>0</v>
      </c>
      <c r="U243" s="79">
        <f t="shared" si="187"/>
        <v>0</v>
      </c>
      <c r="V243" s="79">
        <f t="shared" si="188"/>
        <v>0</v>
      </c>
      <c r="W243" s="79">
        <f t="shared" si="189"/>
        <v>0</v>
      </c>
      <c r="X243" s="79">
        <f t="shared" si="190"/>
        <v>0</v>
      </c>
      <c r="Y243" s="79">
        <f t="shared" si="191"/>
        <v>0</v>
      </c>
      <c r="Z243" s="79">
        <f t="shared" si="192"/>
        <v>0</v>
      </c>
      <c r="AA243" s="79">
        <f t="shared" si="193"/>
        <v>0</v>
      </c>
      <c r="AB243" s="79">
        <f t="shared" si="194"/>
        <v>0</v>
      </c>
      <c r="AC243" s="79">
        <f t="shared" si="195"/>
        <v>0</v>
      </c>
      <c r="AD243" s="79">
        <f t="shared" si="196"/>
        <v>0</v>
      </c>
      <c r="AE243" s="79">
        <f t="shared" si="197"/>
        <v>0</v>
      </c>
      <c r="AF243" s="79">
        <f t="shared" si="198"/>
        <v>0</v>
      </c>
      <c r="AG243" s="79">
        <f t="shared" si="199"/>
        <v>0</v>
      </c>
      <c r="AH243" s="79">
        <f t="shared" si="200"/>
        <v>0</v>
      </c>
      <c r="AI243" s="79">
        <f t="shared" si="201"/>
        <v>0</v>
      </c>
      <c r="AJ243" s="79">
        <f t="shared" si="202"/>
        <v>0</v>
      </c>
      <c r="AK243" s="79">
        <f t="shared" si="203"/>
        <v>0</v>
      </c>
      <c r="AL243" s="79">
        <f t="shared" si="204"/>
        <v>0</v>
      </c>
      <c r="AM243" s="79">
        <f t="shared" si="205"/>
        <v>0</v>
      </c>
      <c r="AN243" s="79">
        <f t="shared" si="206"/>
        <v>0</v>
      </c>
      <c r="AO243" s="79">
        <f t="shared" si="207"/>
        <v>0</v>
      </c>
      <c r="AP243" s="79">
        <f t="shared" si="208"/>
        <v>0</v>
      </c>
      <c r="AQ243" s="79">
        <f t="shared" si="209"/>
        <v>0</v>
      </c>
      <c r="AR243" s="79">
        <f t="shared" si="210"/>
        <v>0</v>
      </c>
      <c r="AS243" s="79">
        <f t="shared" si="211"/>
        <v>0</v>
      </c>
      <c r="AT243" s="79">
        <f t="shared" si="212"/>
        <v>0</v>
      </c>
      <c r="AU243" s="79">
        <f t="shared" si="213"/>
        <v>0</v>
      </c>
    </row>
    <row r="244" spans="1:47" ht="23.1" customHeight="1">
      <c r="A244" s="81" t="s">
        <v>973</v>
      </c>
      <c r="B244" s="81" t="s">
        <v>978</v>
      </c>
      <c r="C244" s="82" t="s">
        <v>951</v>
      </c>
      <c r="D244" s="84">
        <v>6</v>
      </c>
      <c r="E244" s="84">
        <v>126000</v>
      </c>
      <c r="F244" s="84">
        <f t="shared" si="180"/>
        <v>756000</v>
      </c>
      <c r="G244" s="84">
        <v>0</v>
      </c>
      <c r="H244" s="84">
        <f t="shared" si="181"/>
        <v>0</v>
      </c>
      <c r="I244" s="84">
        <v>0</v>
      </c>
      <c r="J244" s="84">
        <f t="shared" si="182"/>
        <v>0</v>
      </c>
      <c r="K244" s="84">
        <f t="shared" si="183"/>
        <v>126000</v>
      </c>
      <c r="L244" s="84">
        <f t="shared" si="183"/>
        <v>756000</v>
      </c>
      <c r="M244" s="84"/>
      <c r="O244" s="79" t="str">
        <f>""</f>
        <v/>
      </c>
      <c r="P244" s="86" t="s">
        <v>678</v>
      </c>
      <c r="Q244" s="79">
        <v>1</v>
      </c>
      <c r="R244" s="79">
        <f t="shared" si="184"/>
        <v>0</v>
      </c>
      <c r="S244" s="79">
        <f t="shared" si="185"/>
        <v>0</v>
      </c>
      <c r="T244" s="79">
        <f t="shared" si="186"/>
        <v>0</v>
      </c>
      <c r="U244" s="79">
        <f t="shared" si="187"/>
        <v>0</v>
      </c>
      <c r="V244" s="79">
        <f t="shared" si="188"/>
        <v>0</v>
      </c>
      <c r="W244" s="79">
        <f t="shared" si="189"/>
        <v>0</v>
      </c>
      <c r="X244" s="79">
        <f t="shared" si="190"/>
        <v>0</v>
      </c>
      <c r="Y244" s="79">
        <f t="shared" si="191"/>
        <v>0</v>
      </c>
      <c r="Z244" s="79">
        <f t="shared" si="192"/>
        <v>0</v>
      </c>
      <c r="AA244" s="79">
        <f t="shared" si="193"/>
        <v>0</v>
      </c>
      <c r="AB244" s="79">
        <f t="shared" si="194"/>
        <v>0</v>
      </c>
      <c r="AC244" s="79">
        <f t="shared" si="195"/>
        <v>0</v>
      </c>
      <c r="AD244" s="79">
        <f t="shared" si="196"/>
        <v>0</v>
      </c>
      <c r="AE244" s="79">
        <f t="shared" si="197"/>
        <v>0</v>
      </c>
      <c r="AF244" s="79">
        <f t="shared" si="198"/>
        <v>0</v>
      </c>
      <c r="AG244" s="79">
        <f t="shared" si="199"/>
        <v>0</v>
      </c>
      <c r="AH244" s="79">
        <f t="shared" si="200"/>
        <v>0</v>
      </c>
      <c r="AI244" s="79">
        <f t="shared" si="201"/>
        <v>0</v>
      </c>
      <c r="AJ244" s="79">
        <f t="shared" si="202"/>
        <v>0</v>
      </c>
      <c r="AK244" s="79">
        <f t="shared" si="203"/>
        <v>0</v>
      </c>
      <c r="AL244" s="79">
        <f t="shared" si="204"/>
        <v>0</v>
      </c>
      <c r="AM244" s="79">
        <f t="shared" si="205"/>
        <v>0</v>
      </c>
      <c r="AN244" s="79">
        <f t="shared" si="206"/>
        <v>0</v>
      </c>
      <c r="AO244" s="79">
        <f t="shared" si="207"/>
        <v>0</v>
      </c>
      <c r="AP244" s="79">
        <f t="shared" si="208"/>
        <v>0</v>
      </c>
      <c r="AQ244" s="79">
        <f t="shared" si="209"/>
        <v>0</v>
      </c>
      <c r="AR244" s="79">
        <f t="shared" si="210"/>
        <v>0</v>
      </c>
      <c r="AS244" s="79">
        <f t="shared" si="211"/>
        <v>0</v>
      </c>
      <c r="AT244" s="79">
        <f t="shared" si="212"/>
        <v>0</v>
      </c>
      <c r="AU244" s="79">
        <f t="shared" si="213"/>
        <v>0</v>
      </c>
    </row>
    <row r="245" spans="1:47" ht="23.1" customHeight="1">
      <c r="A245" s="81" t="s">
        <v>973</v>
      </c>
      <c r="B245" s="81" t="s">
        <v>966</v>
      </c>
      <c r="C245" s="82" t="s">
        <v>951</v>
      </c>
      <c r="D245" s="84">
        <v>18</v>
      </c>
      <c r="E245" s="84">
        <v>138000</v>
      </c>
      <c r="F245" s="84">
        <f t="shared" si="180"/>
        <v>2484000</v>
      </c>
      <c r="G245" s="84">
        <v>0</v>
      </c>
      <c r="H245" s="84">
        <f t="shared" si="181"/>
        <v>0</v>
      </c>
      <c r="I245" s="84">
        <v>0</v>
      </c>
      <c r="J245" s="84">
        <f t="shared" si="182"/>
        <v>0</v>
      </c>
      <c r="K245" s="84">
        <f t="shared" si="183"/>
        <v>138000</v>
      </c>
      <c r="L245" s="84">
        <f t="shared" si="183"/>
        <v>2484000</v>
      </c>
      <c r="M245" s="84"/>
      <c r="O245" s="79" t="str">
        <f>""</f>
        <v/>
      </c>
      <c r="P245" s="86" t="s">
        <v>678</v>
      </c>
      <c r="Q245" s="79">
        <v>1</v>
      </c>
      <c r="R245" s="79">
        <f t="shared" si="184"/>
        <v>0</v>
      </c>
      <c r="S245" s="79">
        <f t="shared" si="185"/>
        <v>0</v>
      </c>
      <c r="T245" s="79">
        <f t="shared" si="186"/>
        <v>0</v>
      </c>
      <c r="U245" s="79">
        <f t="shared" si="187"/>
        <v>0</v>
      </c>
      <c r="V245" s="79">
        <f t="shared" si="188"/>
        <v>0</v>
      </c>
      <c r="W245" s="79">
        <f t="shared" si="189"/>
        <v>0</v>
      </c>
      <c r="X245" s="79">
        <f t="shared" si="190"/>
        <v>0</v>
      </c>
      <c r="Y245" s="79">
        <f t="shared" si="191"/>
        <v>0</v>
      </c>
      <c r="Z245" s="79">
        <f t="shared" si="192"/>
        <v>0</v>
      </c>
      <c r="AA245" s="79">
        <f t="shared" si="193"/>
        <v>0</v>
      </c>
      <c r="AB245" s="79">
        <f t="shared" si="194"/>
        <v>0</v>
      </c>
      <c r="AC245" s="79">
        <f t="shared" si="195"/>
        <v>0</v>
      </c>
      <c r="AD245" s="79">
        <f t="shared" si="196"/>
        <v>0</v>
      </c>
      <c r="AE245" s="79">
        <f t="shared" si="197"/>
        <v>0</v>
      </c>
      <c r="AF245" s="79">
        <f t="shared" si="198"/>
        <v>0</v>
      </c>
      <c r="AG245" s="79">
        <f t="shared" si="199"/>
        <v>0</v>
      </c>
      <c r="AH245" s="79">
        <f t="shared" si="200"/>
        <v>0</v>
      </c>
      <c r="AI245" s="79">
        <f t="shared" si="201"/>
        <v>0</v>
      </c>
      <c r="AJ245" s="79">
        <f t="shared" si="202"/>
        <v>0</v>
      </c>
      <c r="AK245" s="79">
        <f t="shared" si="203"/>
        <v>0</v>
      </c>
      <c r="AL245" s="79">
        <f t="shared" si="204"/>
        <v>0</v>
      </c>
      <c r="AM245" s="79">
        <f t="shared" si="205"/>
        <v>0</v>
      </c>
      <c r="AN245" s="79">
        <f t="shared" si="206"/>
        <v>0</v>
      </c>
      <c r="AO245" s="79">
        <f t="shared" si="207"/>
        <v>0</v>
      </c>
      <c r="AP245" s="79">
        <f t="shared" si="208"/>
        <v>0</v>
      </c>
      <c r="AQ245" s="79">
        <f t="shared" si="209"/>
        <v>0</v>
      </c>
      <c r="AR245" s="79">
        <f t="shared" si="210"/>
        <v>0</v>
      </c>
      <c r="AS245" s="79">
        <f t="shared" si="211"/>
        <v>0</v>
      </c>
      <c r="AT245" s="79">
        <f t="shared" si="212"/>
        <v>0</v>
      </c>
      <c r="AU245" s="79">
        <f t="shared" si="213"/>
        <v>0</v>
      </c>
    </row>
    <row r="246" spans="1:47" ht="23.1" customHeight="1">
      <c r="A246" s="81" t="s">
        <v>979</v>
      </c>
      <c r="B246" s="81" t="s">
        <v>974</v>
      </c>
      <c r="C246" s="82" t="s">
        <v>951</v>
      </c>
      <c r="D246" s="84">
        <v>4</v>
      </c>
      <c r="E246" s="84">
        <v>117000</v>
      </c>
      <c r="F246" s="84">
        <f t="shared" si="180"/>
        <v>468000</v>
      </c>
      <c r="G246" s="84">
        <v>0</v>
      </c>
      <c r="H246" s="84">
        <f t="shared" si="181"/>
        <v>0</v>
      </c>
      <c r="I246" s="84">
        <v>0</v>
      </c>
      <c r="J246" s="84">
        <f t="shared" si="182"/>
        <v>0</v>
      </c>
      <c r="K246" s="84">
        <f t="shared" si="183"/>
        <v>117000</v>
      </c>
      <c r="L246" s="84">
        <f t="shared" si="183"/>
        <v>468000</v>
      </c>
      <c r="M246" s="84"/>
      <c r="O246" s="79" t="str">
        <f>""</f>
        <v/>
      </c>
      <c r="P246" s="86" t="s">
        <v>678</v>
      </c>
      <c r="Q246" s="79">
        <v>1</v>
      </c>
      <c r="R246" s="79">
        <f t="shared" si="184"/>
        <v>0</v>
      </c>
      <c r="S246" s="79">
        <f t="shared" si="185"/>
        <v>0</v>
      </c>
      <c r="T246" s="79">
        <f t="shared" si="186"/>
        <v>0</v>
      </c>
      <c r="U246" s="79">
        <f t="shared" si="187"/>
        <v>0</v>
      </c>
      <c r="V246" s="79">
        <f t="shared" si="188"/>
        <v>0</v>
      </c>
      <c r="W246" s="79">
        <f t="shared" si="189"/>
        <v>0</v>
      </c>
      <c r="X246" s="79">
        <f t="shared" si="190"/>
        <v>0</v>
      </c>
      <c r="Y246" s="79">
        <f t="shared" si="191"/>
        <v>0</v>
      </c>
      <c r="Z246" s="79">
        <f t="shared" si="192"/>
        <v>0</v>
      </c>
      <c r="AA246" s="79">
        <f t="shared" si="193"/>
        <v>0</v>
      </c>
      <c r="AB246" s="79">
        <f t="shared" si="194"/>
        <v>0</v>
      </c>
      <c r="AC246" s="79">
        <f t="shared" si="195"/>
        <v>0</v>
      </c>
      <c r="AD246" s="79">
        <f t="shared" si="196"/>
        <v>0</v>
      </c>
      <c r="AE246" s="79">
        <f t="shared" si="197"/>
        <v>0</v>
      </c>
      <c r="AF246" s="79">
        <f t="shared" si="198"/>
        <v>0</v>
      </c>
      <c r="AG246" s="79">
        <f t="shared" si="199"/>
        <v>0</v>
      </c>
      <c r="AH246" s="79">
        <f t="shared" si="200"/>
        <v>0</v>
      </c>
      <c r="AI246" s="79">
        <f t="shared" si="201"/>
        <v>0</v>
      </c>
      <c r="AJ246" s="79">
        <f t="shared" si="202"/>
        <v>0</v>
      </c>
      <c r="AK246" s="79">
        <f t="shared" si="203"/>
        <v>0</v>
      </c>
      <c r="AL246" s="79">
        <f t="shared" si="204"/>
        <v>0</v>
      </c>
      <c r="AM246" s="79">
        <f t="shared" si="205"/>
        <v>0</v>
      </c>
      <c r="AN246" s="79">
        <f t="shared" si="206"/>
        <v>0</v>
      </c>
      <c r="AO246" s="79">
        <f t="shared" si="207"/>
        <v>0</v>
      </c>
      <c r="AP246" s="79">
        <f t="shared" si="208"/>
        <v>0</v>
      </c>
      <c r="AQ246" s="79">
        <f t="shared" si="209"/>
        <v>0</v>
      </c>
      <c r="AR246" s="79">
        <f t="shared" si="210"/>
        <v>0</v>
      </c>
      <c r="AS246" s="79">
        <f t="shared" si="211"/>
        <v>0</v>
      </c>
      <c r="AT246" s="79">
        <f t="shared" si="212"/>
        <v>0</v>
      </c>
      <c r="AU246" s="79">
        <f t="shared" si="213"/>
        <v>0</v>
      </c>
    </row>
    <row r="247" spans="1:47" ht="23.1" customHeight="1">
      <c r="A247" s="81" t="s">
        <v>979</v>
      </c>
      <c r="B247" s="81" t="s">
        <v>975</v>
      </c>
      <c r="C247" s="82" t="s">
        <v>951</v>
      </c>
      <c r="D247" s="84">
        <v>2</v>
      </c>
      <c r="E247" s="84">
        <v>118000</v>
      </c>
      <c r="F247" s="84">
        <f t="shared" si="180"/>
        <v>236000</v>
      </c>
      <c r="G247" s="84">
        <v>0</v>
      </c>
      <c r="H247" s="84">
        <f t="shared" si="181"/>
        <v>0</v>
      </c>
      <c r="I247" s="84">
        <v>0</v>
      </c>
      <c r="J247" s="84">
        <f t="shared" si="182"/>
        <v>0</v>
      </c>
      <c r="K247" s="84">
        <f t="shared" si="183"/>
        <v>118000</v>
      </c>
      <c r="L247" s="84">
        <f t="shared" si="183"/>
        <v>236000</v>
      </c>
      <c r="M247" s="84"/>
      <c r="O247" s="79" t="str">
        <f>""</f>
        <v/>
      </c>
      <c r="P247" s="86" t="s">
        <v>678</v>
      </c>
      <c r="Q247" s="79">
        <v>1</v>
      </c>
      <c r="R247" s="79">
        <f t="shared" si="184"/>
        <v>0</v>
      </c>
      <c r="S247" s="79">
        <f t="shared" si="185"/>
        <v>0</v>
      </c>
      <c r="T247" s="79">
        <f t="shared" si="186"/>
        <v>0</v>
      </c>
      <c r="U247" s="79">
        <f t="shared" si="187"/>
        <v>0</v>
      </c>
      <c r="V247" s="79">
        <f t="shared" si="188"/>
        <v>0</v>
      </c>
      <c r="W247" s="79">
        <f t="shared" si="189"/>
        <v>0</v>
      </c>
      <c r="X247" s="79">
        <f t="shared" si="190"/>
        <v>0</v>
      </c>
      <c r="Y247" s="79">
        <f t="shared" si="191"/>
        <v>0</v>
      </c>
      <c r="Z247" s="79">
        <f t="shared" si="192"/>
        <v>0</v>
      </c>
      <c r="AA247" s="79">
        <f t="shared" si="193"/>
        <v>0</v>
      </c>
      <c r="AB247" s="79">
        <f t="shared" si="194"/>
        <v>0</v>
      </c>
      <c r="AC247" s="79">
        <f t="shared" si="195"/>
        <v>0</v>
      </c>
      <c r="AD247" s="79">
        <f t="shared" si="196"/>
        <v>0</v>
      </c>
      <c r="AE247" s="79">
        <f t="shared" si="197"/>
        <v>0</v>
      </c>
      <c r="AF247" s="79">
        <f t="shared" si="198"/>
        <v>0</v>
      </c>
      <c r="AG247" s="79">
        <f t="shared" si="199"/>
        <v>0</v>
      </c>
      <c r="AH247" s="79">
        <f t="shared" si="200"/>
        <v>0</v>
      </c>
      <c r="AI247" s="79">
        <f t="shared" si="201"/>
        <v>0</v>
      </c>
      <c r="AJ247" s="79">
        <f t="shared" si="202"/>
        <v>0</v>
      </c>
      <c r="AK247" s="79">
        <f t="shared" si="203"/>
        <v>0</v>
      </c>
      <c r="AL247" s="79">
        <f t="shared" si="204"/>
        <v>0</v>
      </c>
      <c r="AM247" s="79">
        <f t="shared" si="205"/>
        <v>0</v>
      </c>
      <c r="AN247" s="79">
        <f t="shared" si="206"/>
        <v>0</v>
      </c>
      <c r="AO247" s="79">
        <f t="shared" si="207"/>
        <v>0</v>
      </c>
      <c r="AP247" s="79">
        <f t="shared" si="208"/>
        <v>0</v>
      </c>
      <c r="AQ247" s="79">
        <f t="shared" si="209"/>
        <v>0</v>
      </c>
      <c r="AR247" s="79">
        <f t="shared" si="210"/>
        <v>0</v>
      </c>
      <c r="AS247" s="79">
        <f t="shared" si="211"/>
        <v>0</v>
      </c>
      <c r="AT247" s="79">
        <f t="shared" si="212"/>
        <v>0</v>
      </c>
      <c r="AU247" s="79">
        <f t="shared" si="213"/>
        <v>0</v>
      </c>
    </row>
    <row r="248" spans="1:47" ht="23.1" customHeight="1">
      <c r="A248" s="81" t="s">
        <v>979</v>
      </c>
      <c r="B248" s="81" t="s">
        <v>976</v>
      </c>
      <c r="C248" s="82" t="s">
        <v>951</v>
      </c>
      <c r="D248" s="84">
        <v>5</v>
      </c>
      <c r="E248" s="84">
        <v>118000</v>
      </c>
      <c r="F248" s="84">
        <f t="shared" si="180"/>
        <v>590000</v>
      </c>
      <c r="G248" s="84">
        <v>0</v>
      </c>
      <c r="H248" s="84">
        <f t="shared" si="181"/>
        <v>0</v>
      </c>
      <c r="I248" s="84">
        <v>0</v>
      </c>
      <c r="J248" s="84">
        <f t="shared" si="182"/>
        <v>0</v>
      </c>
      <c r="K248" s="84">
        <f t="shared" si="183"/>
        <v>118000</v>
      </c>
      <c r="L248" s="84">
        <f t="shared" si="183"/>
        <v>590000</v>
      </c>
      <c r="M248" s="84"/>
      <c r="O248" s="79" t="str">
        <f>""</f>
        <v/>
      </c>
      <c r="P248" s="86" t="s">
        <v>678</v>
      </c>
      <c r="Q248" s="79">
        <v>1</v>
      </c>
      <c r="R248" s="79">
        <f t="shared" si="184"/>
        <v>0</v>
      </c>
      <c r="S248" s="79">
        <f t="shared" si="185"/>
        <v>0</v>
      </c>
      <c r="T248" s="79">
        <f t="shared" si="186"/>
        <v>0</v>
      </c>
      <c r="U248" s="79">
        <f t="shared" si="187"/>
        <v>0</v>
      </c>
      <c r="V248" s="79">
        <f t="shared" si="188"/>
        <v>0</v>
      </c>
      <c r="W248" s="79">
        <f t="shared" si="189"/>
        <v>0</v>
      </c>
      <c r="X248" s="79">
        <f t="shared" si="190"/>
        <v>0</v>
      </c>
      <c r="Y248" s="79">
        <f t="shared" si="191"/>
        <v>0</v>
      </c>
      <c r="Z248" s="79">
        <f t="shared" si="192"/>
        <v>0</v>
      </c>
      <c r="AA248" s="79">
        <f t="shared" si="193"/>
        <v>0</v>
      </c>
      <c r="AB248" s="79">
        <f t="shared" si="194"/>
        <v>0</v>
      </c>
      <c r="AC248" s="79">
        <f t="shared" si="195"/>
        <v>0</v>
      </c>
      <c r="AD248" s="79">
        <f t="shared" si="196"/>
        <v>0</v>
      </c>
      <c r="AE248" s="79">
        <f t="shared" si="197"/>
        <v>0</v>
      </c>
      <c r="AF248" s="79">
        <f t="shared" si="198"/>
        <v>0</v>
      </c>
      <c r="AG248" s="79">
        <f t="shared" si="199"/>
        <v>0</v>
      </c>
      <c r="AH248" s="79">
        <f t="shared" si="200"/>
        <v>0</v>
      </c>
      <c r="AI248" s="79">
        <f t="shared" si="201"/>
        <v>0</v>
      </c>
      <c r="AJ248" s="79">
        <f t="shared" si="202"/>
        <v>0</v>
      </c>
      <c r="AK248" s="79">
        <f t="shared" si="203"/>
        <v>0</v>
      </c>
      <c r="AL248" s="79">
        <f t="shared" si="204"/>
        <v>0</v>
      </c>
      <c r="AM248" s="79">
        <f t="shared" si="205"/>
        <v>0</v>
      </c>
      <c r="AN248" s="79">
        <f t="shared" si="206"/>
        <v>0</v>
      </c>
      <c r="AO248" s="79">
        <f t="shared" si="207"/>
        <v>0</v>
      </c>
      <c r="AP248" s="79">
        <f t="shared" si="208"/>
        <v>0</v>
      </c>
      <c r="AQ248" s="79">
        <f t="shared" si="209"/>
        <v>0</v>
      </c>
      <c r="AR248" s="79">
        <f t="shared" si="210"/>
        <v>0</v>
      </c>
      <c r="AS248" s="79">
        <f t="shared" si="211"/>
        <v>0</v>
      </c>
      <c r="AT248" s="79">
        <f t="shared" si="212"/>
        <v>0</v>
      </c>
      <c r="AU248" s="79">
        <f t="shared" si="213"/>
        <v>0</v>
      </c>
    </row>
    <row r="249" spans="1:47" ht="23.1" customHeight="1">
      <c r="A249" s="81" t="s">
        <v>979</v>
      </c>
      <c r="B249" s="81" t="s">
        <v>977</v>
      </c>
      <c r="C249" s="82" t="s">
        <v>951</v>
      </c>
      <c r="D249" s="84">
        <v>3</v>
      </c>
      <c r="E249" s="84">
        <v>121000</v>
      </c>
      <c r="F249" s="84">
        <f t="shared" si="180"/>
        <v>363000</v>
      </c>
      <c r="G249" s="84">
        <v>0</v>
      </c>
      <c r="H249" s="84">
        <f t="shared" si="181"/>
        <v>0</v>
      </c>
      <c r="I249" s="84">
        <v>0</v>
      </c>
      <c r="J249" s="84">
        <f t="shared" si="182"/>
        <v>0</v>
      </c>
      <c r="K249" s="84">
        <f t="shared" si="183"/>
        <v>121000</v>
      </c>
      <c r="L249" s="84">
        <f t="shared" si="183"/>
        <v>363000</v>
      </c>
      <c r="M249" s="84"/>
      <c r="O249" s="79" t="str">
        <f>""</f>
        <v/>
      </c>
      <c r="P249" s="86" t="s">
        <v>678</v>
      </c>
      <c r="Q249" s="79">
        <v>1</v>
      </c>
      <c r="R249" s="79">
        <f t="shared" si="184"/>
        <v>0</v>
      </c>
      <c r="S249" s="79">
        <f t="shared" si="185"/>
        <v>0</v>
      </c>
      <c r="T249" s="79">
        <f t="shared" si="186"/>
        <v>0</v>
      </c>
      <c r="U249" s="79">
        <f t="shared" si="187"/>
        <v>0</v>
      </c>
      <c r="V249" s="79">
        <f t="shared" si="188"/>
        <v>0</v>
      </c>
      <c r="W249" s="79">
        <f t="shared" si="189"/>
        <v>0</v>
      </c>
      <c r="X249" s="79">
        <f t="shared" si="190"/>
        <v>0</v>
      </c>
      <c r="Y249" s="79">
        <f t="shared" si="191"/>
        <v>0</v>
      </c>
      <c r="Z249" s="79">
        <f t="shared" si="192"/>
        <v>0</v>
      </c>
      <c r="AA249" s="79">
        <f t="shared" si="193"/>
        <v>0</v>
      </c>
      <c r="AB249" s="79">
        <f t="shared" si="194"/>
        <v>0</v>
      </c>
      <c r="AC249" s="79">
        <f t="shared" si="195"/>
        <v>0</v>
      </c>
      <c r="AD249" s="79">
        <f t="shared" si="196"/>
        <v>0</v>
      </c>
      <c r="AE249" s="79">
        <f t="shared" si="197"/>
        <v>0</v>
      </c>
      <c r="AF249" s="79">
        <f t="shared" si="198"/>
        <v>0</v>
      </c>
      <c r="AG249" s="79">
        <f t="shared" si="199"/>
        <v>0</v>
      </c>
      <c r="AH249" s="79">
        <f t="shared" si="200"/>
        <v>0</v>
      </c>
      <c r="AI249" s="79">
        <f t="shared" si="201"/>
        <v>0</v>
      </c>
      <c r="AJ249" s="79">
        <f t="shared" si="202"/>
        <v>0</v>
      </c>
      <c r="AK249" s="79">
        <f t="shared" si="203"/>
        <v>0</v>
      </c>
      <c r="AL249" s="79">
        <f t="shared" si="204"/>
        <v>0</v>
      </c>
      <c r="AM249" s="79">
        <f t="shared" si="205"/>
        <v>0</v>
      </c>
      <c r="AN249" s="79">
        <f t="shared" si="206"/>
        <v>0</v>
      </c>
      <c r="AO249" s="79">
        <f t="shared" si="207"/>
        <v>0</v>
      </c>
      <c r="AP249" s="79">
        <f t="shared" si="208"/>
        <v>0</v>
      </c>
      <c r="AQ249" s="79">
        <f t="shared" si="209"/>
        <v>0</v>
      </c>
      <c r="AR249" s="79">
        <f t="shared" si="210"/>
        <v>0</v>
      </c>
      <c r="AS249" s="79">
        <f t="shared" si="211"/>
        <v>0</v>
      </c>
      <c r="AT249" s="79">
        <f t="shared" si="212"/>
        <v>0</v>
      </c>
      <c r="AU249" s="79">
        <f t="shared" si="213"/>
        <v>0</v>
      </c>
    </row>
    <row r="250" spans="1:47" ht="23.1" customHeight="1">
      <c r="A250" s="81" t="s">
        <v>979</v>
      </c>
      <c r="B250" s="81" t="s">
        <v>978</v>
      </c>
      <c r="C250" s="82" t="s">
        <v>951</v>
      </c>
      <c r="D250" s="84">
        <v>2</v>
      </c>
      <c r="E250" s="84">
        <v>125000</v>
      </c>
      <c r="F250" s="84">
        <f t="shared" si="180"/>
        <v>250000</v>
      </c>
      <c r="G250" s="84">
        <v>0</v>
      </c>
      <c r="H250" s="84">
        <f t="shared" si="181"/>
        <v>0</v>
      </c>
      <c r="I250" s="84">
        <v>0</v>
      </c>
      <c r="J250" s="84">
        <f t="shared" si="182"/>
        <v>0</v>
      </c>
      <c r="K250" s="84">
        <f t="shared" si="183"/>
        <v>125000</v>
      </c>
      <c r="L250" s="84">
        <f t="shared" si="183"/>
        <v>250000</v>
      </c>
      <c r="M250" s="84"/>
      <c r="O250" s="79" t="str">
        <f>""</f>
        <v/>
      </c>
      <c r="P250" s="86" t="s">
        <v>678</v>
      </c>
      <c r="Q250" s="79">
        <v>1</v>
      </c>
      <c r="R250" s="79">
        <f t="shared" si="184"/>
        <v>0</v>
      </c>
      <c r="S250" s="79">
        <f t="shared" si="185"/>
        <v>0</v>
      </c>
      <c r="T250" s="79">
        <f t="shared" si="186"/>
        <v>0</v>
      </c>
      <c r="U250" s="79">
        <f t="shared" si="187"/>
        <v>0</v>
      </c>
      <c r="V250" s="79">
        <f t="shared" si="188"/>
        <v>0</v>
      </c>
      <c r="W250" s="79">
        <f t="shared" si="189"/>
        <v>0</v>
      </c>
      <c r="X250" s="79">
        <f t="shared" si="190"/>
        <v>0</v>
      </c>
      <c r="Y250" s="79">
        <f t="shared" si="191"/>
        <v>0</v>
      </c>
      <c r="Z250" s="79">
        <f t="shared" si="192"/>
        <v>0</v>
      </c>
      <c r="AA250" s="79">
        <f t="shared" si="193"/>
        <v>0</v>
      </c>
      <c r="AB250" s="79">
        <f t="shared" si="194"/>
        <v>0</v>
      </c>
      <c r="AC250" s="79">
        <f t="shared" si="195"/>
        <v>0</v>
      </c>
      <c r="AD250" s="79">
        <f t="shared" si="196"/>
        <v>0</v>
      </c>
      <c r="AE250" s="79">
        <f t="shared" si="197"/>
        <v>0</v>
      </c>
      <c r="AF250" s="79">
        <f t="shared" si="198"/>
        <v>0</v>
      </c>
      <c r="AG250" s="79">
        <f t="shared" si="199"/>
        <v>0</v>
      </c>
      <c r="AH250" s="79">
        <f t="shared" si="200"/>
        <v>0</v>
      </c>
      <c r="AI250" s="79">
        <f t="shared" si="201"/>
        <v>0</v>
      </c>
      <c r="AJ250" s="79">
        <f t="shared" si="202"/>
        <v>0</v>
      </c>
      <c r="AK250" s="79">
        <f t="shared" si="203"/>
        <v>0</v>
      </c>
      <c r="AL250" s="79">
        <f t="shared" si="204"/>
        <v>0</v>
      </c>
      <c r="AM250" s="79">
        <f t="shared" si="205"/>
        <v>0</v>
      </c>
      <c r="AN250" s="79">
        <f t="shared" si="206"/>
        <v>0</v>
      </c>
      <c r="AO250" s="79">
        <f t="shared" si="207"/>
        <v>0</v>
      </c>
      <c r="AP250" s="79">
        <f t="shared" si="208"/>
        <v>0</v>
      </c>
      <c r="AQ250" s="79">
        <f t="shared" si="209"/>
        <v>0</v>
      </c>
      <c r="AR250" s="79">
        <f t="shared" si="210"/>
        <v>0</v>
      </c>
      <c r="AS250" s="79">
        <f t="shared" si="211"/>
        <v>0</v>
      </c>
      <c r="AT250" s="79">
        <f t="shared" si="212"/>
        <v>0</v>
      </c>
      <c r="AU250" s="79">
        <f t="shared" si="213"/>
        <v>0</v>
      </c>
    </row>
    <row r="251" spans="1:47" ht="23.1" customHeight="1">
      <c r="A251" s="81" t="s">
        <v>979</v>
      </c>
      <c r="B251" s="81" t="s">
        <v>966</v>
      </c>
      <c r="C251" s="82" t="s">
        <v>951</v>
      </c>
      <c r="D251" s="84">
        <v>13</v>
      </c>
      <c r="E251" s="84">
        <v>129000</v>
      </c>
      <c r="F251" s="84">
        <f t="shared" si="180"/>
        <v>1677000</v>
      </c>
      <c r="G251" s="84">
        <v>0</v>
      </c>
      <c r="H251" s="84">
        <f t="shared" si="181"/>
        <v>0</v>
      </c>
      <c r="I251" s="84">
        <v>0</v>
      </c>
      <c r="J251" s="84">
        <f t="shared" si="182"/>
        <v>0</v>
      </c>
      <c r="K251" s="84">
        <f t="shared" si="183"/>
        <v>129000</v>
      </c>
      <c r="L251" s="84">
        <f t="shared" si="183"/>
        <v>1677000</v>
      </c>
      <c r="M251" s="84"/>
      <c r="O251" s="79" t="str">
        <f>""</f>
        <v/>
      </c>
      <c r="P251" s="86" t="s">
        <v>678</v>
      </c>
      <c r="Q251" s="79">
        <v>1</v>
      </c>
      <c r="R251" s="79">
        <f t="shared" si="184"/>
        <v>0</v>
      </c>
      <c r="S251" s="79">
        <f t="shared" si="185"/>
        <v>0</v>
      </c>
      <c r="T251" s="79">
        <f t="shared" si="186"/>
        <v>0</v>
      </c>
      <c r="U251" s="79">
        <f t="shared" si="187"/>
        <v>0</v>
      </c>
      <c r="V251" s="79">
        <f t="shared" si="188"/>
        <v>0</v>
      </c>
      <c r="W251" s="79">
        <f t="shared" si="189"/>
        <v>0</v>
      </c>
      <c r="X251" s="79">
        <f t="shared" si="190"/>
        <v>0</v>
      </c>
      <c r="Y251" s="79">
        <f t="shared" si="191"/>
        <v>0</v>
      </c>
      <c r="Z251" s="79">
        <f t="shared" si="192"/>
        <v>0</v>
      </c>
      <c r="AA251" s="79">
        <f t="shared" si="193"/>
        <v>0</v>
      </c>
      <c r="AB251" s="79">
        <f t="shared" si="194"/>
        <v>0</v>
      </c>
      <c r="AC251" s="79">
        <f t="shared" si="195"/>
        <v>0</v>
      </c>
      <c r="AD251" s="79">
        <f t="shared" si="196"/>
        <v>0</v>
      </c>
      <c r="AE251" s="79">
        <f t="shared" si="197"/>
        <v>0</v>
      </c>
      <c r="AF251" s="79">
        <f t="shared" si="198"/>
        <v>0</v>
      </c>
      <c r="AG251" s="79">
        <f t="shared" si="199"/>
        <v>0</v>
      </c>
      <c r="AH251" s="79">
        <f t="shared" si="200"/>
        <v>0</v>
      </c>
      <c r="AI251" s="79">
        <f t="shared" si="201"/>
        <v>0</v>
      </c>
      <c r="AJ251" s="79">
        <f t="shared" si="202"/>
        <v>0</v>
      </c>
      <c r="AK251" s="79">
        <f t="shared" si="203"/>
        <v>0</v>
      </c>
      <c r="AL251" s="79">
        <f t="shared" si="204"/>
        <v>0</v>
      </c>
      <c r="AM251" s="79">
        <f t="shared" si="205"/>
        <v>0</v>
      </c>
      <c r="AN251" s="79">
        <f t="shared" si="206"/>
        <v>0</v>
      </c>
      <c r="AO251" s="79">
        <f t="shared" si="207"/>
        <v>0</v>
      </c>
      <c r="AP251" s="79">
        <f t="shared" si="208"/>
        <v>0</v>
      </c>
      <c r="AQ251" s="79">
        <f t="shared" si="209"/>
        <v>0</v>
      </c>
      <c r="AR251" s="79">
        <f t="shared" si="210"/>
        <v>0</v>
      </c>
      <c r="AS251" s="79">
        <f t="shared" si="211"/>
        <v>0</v>
      </c>
      <c r="AT251" s="79">
        <f t="shared" si="212"/>
        <v>0</v>
      </c>
      <c r="AU251" s="79">
        <f t="shared" si="213"/>
        <v>0</v>
      </c>
    </row>
    <row r="252" spans="1:47" ht="23.1" customHeight="1">
      <c r="A252" s="81" t="s">
        <v>980</v>
      </c>
      <c r="B252" s="81" t="s">
        <v>968</v>
      </c>
      <c r="C252" s="82" t="s">
        <v>951</v>
      </c>
      <c r="D252" s="84">
        <v>85</v>
      </c>
      <c r="E252" s="84">
        <v>10000</v>
      </c>
      <c r="F252" s="84">
        <f t="shared" si="180"/>
        <v>850000</v>
      </c>
      <c r="G252" s="84">
        <v>0</v>
      </c>
      <c r="H252" s="84">
        <f t="shared" si="181"/>
        <v>0</v>
      </c>
      <c r="I252" s="84">
        <v>0</v>
      </c>
      <c r="J252" s="84">
        <f t="shared" si="182"/>
        <v>0</v>
      </c>
      <c r="K252" s="84">
        <f t="shared" si="183"/>
        <v>10000</v>
      </c>
      <c r="L252" s="84">
        <f t="shared" si="183"/>
        <v>850000</v>
      </c>
      <c r="M252" s="84"/>
      <c r="O252" s="79" t="str">
        <f>""</f>
        <v/>
      </c>
      <c r="P252" s="86" t="s">
        <v>678</v>
      </c>
      <c r="Q252" s="79">
        <v>1</v>
      </c>
      <c r="R252" s="79">
        <f t="shared" si="184"/>
        <v>0</v>
      </c>
      <c r="S252" s="79">
        <f t="shared" si="185"/>
        <v>0</v>
      </c>
      <c r="T252" s="79">
        <f t="shared" si="186"/>
        <v>0</v>
      </c>
      <c r="U252" s="79">
        <f t="shared" si="187"/>
        <v>0</v>
      </c>
      <c r="V252" s="79">
        <f t="shared" si="188"/>
        <v>0</v>
      </c>
      <c r="W252" s="79">
        <f t="shared" si="189"/>
        <v>0</v>
      </c>
      <c r="X252" s="79">
        <f t="shared" si="190"/>
        <v>0</v>
      </c>
      <c r="Y252" s="79">
        <f t="shared" si="191"/>
        <v>0</v>
      </c>
      <c r="Z252" s="79">
        <f t="shared" si="192"/>
        <v>0</v>
      </c>
      <c r="AA252" s="79">
        <f t="shared" si="193"/>
        <v>0</v>
      </c>
      <c r="AB252" s="79">
        <f t="shared" si="194"/>
        <v>0</v>
      </c>
      <c r="AC252" s="79">
        <f t="shared" si="195"/>
        <v>0</v>
      </c>
      <c r="AD252" s="79">
        <f t="shared" si="196"/>
        <v>0</v>
      </c>
      <c r="AE252" s="79">
        <f t="shared" si="197"/>
        <v>0</v>
      </c>
      <c r="AF252" s="79">
        <f t="shared" si="198"/>
        <v>0</v>
      </c>
      <c r="AG252" s="79">
        <f t="shared" si="199"/>
        <v>0</v>
      </c>
      <c r="AH252" s="79">
        <f t="shared" si="200"/>
        <v>0</v>
      </c>
      <c r="AI252" s="79">
        <f t="shared" si="201"/>
        <v>0</v>
      </c>
      <c r="AJ252" s="79">
        <f t="shared" si="202"/>
        <v>0</v>
      </c>
      <c r="AK252" s="79">
        <f t="shared" si="203"/>
        <v>0</v>
      </c>
      <c r="AL252" s="79">
        <f t="shared" si="204"/>
        <v>0</v>
      </c>
      <c r="AM252" s="79">
        <f t="shared" si="205"/>
        <v>0</v>
      </c>
      <c r="AN252" s="79">
        <f t="shared" si="206"/>
        <v>0</v>
      </c>
      <c r="AO252" s="79">
        <f t="shared" si="207"/>
        <v>0</v>
      </c>
      <c r="AP252" s="79">
        <f t="shared" si="208"/>
        <v>0</v>
      </c>
      <c r="AQ252" s="79">
        <f t="shared" si="209"/>
        <v>0</v>
      </c>
      <c r="AR252" s="79">
        <f t="shared" si="210"/>
        <v>0</v>
      </c>
      <c r="AS252" s="79">
        <f t="shared" si="211"/>
        <v>0</v>
      </c>
      <c r="AT252" s="79">
        <f t="shared" si="212"/>
        <v>0</v>
      </c>
      <c r="AU252" s="79">
        <f t="shared" si="213"/>
        <v>0</v>
      </c>
    </row>
    <row r="253" spans="1:47" ht="23.1" customHeight="1">
      <c r="A253" s="81" t="s">
        <v>981</v>
      </c>
      <c r="B253" s="85"/>
      <c r="C253" s="82" t="s">
        <v>961</v>
      </c>
      <c r="D253" s="84">
        <v>85</v>
      </c>
      <c r="E253" s="84">
        <v>0</v>
      </c>
      <c r="F253" s="84">
        <f t="shared" si="180"/>
        <v>0</v>
      </c>
      <c r="G253" s="84">
        <v>31000</v>
      </c>
      <c r="H253" s="84">
        <f t="shared" si="181"/>
        <v>2635000</v>
      </c>
      <c r="I253" s="84">
        <v>0</v>
      </c>
      <c r="J253" s="84">
        <f t="shared" si="182"/>
        <v>0</v>
      </c>
      <c r="K253" s="84">
        <f t="shared" si="183"/>
        <v>31000</v>
      </c>
      <c r="L253" s="84">
        <f t="shared" si="183"/>
        <v>2635000</v>
      </c>
      <c r="M253" s="84"/>
      <c r="O253" s="79" t="str">
        <f>""</f>
        <v/>
      </c>
      <c r="P253" s="86" t="s">
        <v>678</v>
      </c>
      <c r="Q253" s="79">
        <v>1</v>
      </c>
      <c r="R253" s="79">
        <f t="shared" si="184"/>
        <v>0</v>
      </c>
      <c r="S253" s="79">
        <f t="shared" si="185"/>
        <v>0</v>
      </c>
      <c r="T253" s="79">
        <f t="shared" si="186"/>
        <v>0</v>
      </c>
      <c r="U253" s="79">
        <f t="shared" si="187"/>
        <v>0</v>
      </c>
      <c r="V253" s="79">
        <f t="shared" si="188"/>
        <v>0</v>
      </c>
      <c r="W253" s="79">
        <f t="shared" si="189"/>
        <v>0</v>
      </c>
      <c r="X253" s="79">
        <f t="shared" si="190"/>
        <v>0</v>
      </c>
      <c r="Y253" s="79">
        <f t="shared" si="191"/>
        <v>0</v>
      </c>
      <c r="Z253" s="79">
        <f t="shared" si="192"/>
        <v>0</v>
      </c>
      <c r="AA253" s="79">
        <f t="shared" si="193"/>
        <v>0</v>
      </c>
      <c r="AB253" s="79">
        <f t="shared" si="194"/>
        <v>0</v>
      </c>
      <c r="AC253" s="79">
        <f t="shared" si="195"/>
        <v>0</v>
      </c>
      <c r="AD253" s="79">
        <f t="shared" si="196"/>
        <v>0</v>
      </c>
      <c r="AE253" s="79">
        <f t="shared" si="197"/>
        <v>0</v>
      </c>
      <c r="AF253" s="79">
        <f t="shared" si="198"/>
        <v>0</v>
      </c>
      <c r="AG253" s="79">
        <f t="shared" si="199"/>
        <v>0</v>
      </c>
      <c r="AH253" s="79">
        <f t="shared" si="200"/>
        <v>0</v>
      </c>
      <c r="AI253" s="79">
        <f t="shared" si="201"/>
        <v>0</v>
      </c>
      <c r="AJ253" s="79">
        <f t="shared" si="202"/>
        <v>0</v>
      </c>
      <c r="AK253" s="79">
        <f t="shared" si="203"/>
        <v>0</v>
      </c>
      <c r="AL253" s="79">
        <f t="shared" si="204"/>
        <v>0</v>
      </c>
      <c r="AM253" s="79">
        <f t="shared" si="205"/>
        <v>0</v>
      </c>
      <c r="AN253" s="79">
        <f t="shared" si="206"/>
        <v>0</v>
      </c>
      <c r="AO253" s="79">
        <f t="shared" si="207"/>
        <v>0</v>
      </c>
      <c r="AP253" s="79">
        <f t="shared" si="208"/>
        <v>0</v>
      </c>
      <c r="AQ253" s="79">
        <f t="shared" si="209"/>
        <v>0</v>
      </c>
      <c r="AR253" s="79">
        <f t="shared" si="210"/>
        <v>0</v>
      </c>
      <c r="AS253" s="79">
        <f t="shared" si="211"/>
        <v>0</v>
      </c>
      <c r="AT253" s="79">
        <f t="shared" si="212"/>
        <v>0</v>
      </c>
      <c r="AU253" s="79">
        <f t="shared" si="213"/>
        <v>0</v>
      </c>
    </row>
    <row r="254" spans="1:47" ht="23.1" customHeight="1">
      <c r="A254" s="81" t="s">
        <v>982</v>
      </c>
      <c r="B254" s="85"/>
      <c r="C254" s="82" t="s">
        <v>948</v>
      </c>
      <c r="D254" s="84">
        <v>0</v>
      </c>
      <c r="E254" s="84">
        <v>0</v>
      </c>
      <c r="F254" s="84">
        <f t="shared" si="180"/>
        <v>0</v>
      </c>
      <c r="G254" s="84">
        <v>0</v>
      </c>
      <c r="H254" s="84">
        <f t="shared" si="181"/>
        <v>0</v>
      </c>
      <c r="I254" s="84">
        <v>0</v>
      </c>
      <c r="J254" s="84">
        <f t="shared" si="182"/>
        <v>0</v>
      </c>
      <c r="K254" s="84">
        <f t="shared" si="183"/>
        <v>0</v>
      </c>
      <c r="L254" s="84">
        <f t="shared" si="183"/>
        <v>0</v>
      </c>
      <c r="M254" s="84"/>
      <c r="O254" s="79" t="str">
        <f>""</f>
        <v/>
      </c>
      <c r="Q254" s="79">
        <v>1</v>
      </c>
      <c r="R254" s="79">
        <f t="shared" si="184"/>
        <v>0</v>
      </c>
      <c r="S254" s="79">
        <f t="shared" si="185"/>
        <v>0</v>
      </c>
      <c r="T254" s="79">
        <f t="shared" si="186"/>
        <v>0</v>
      </c>
      <c r="U254" s="79">
        <f t="shared" si="187"/>
        <v>0</v>
      </c>
      <c r="V254" s="79">
        <f t="shared" si="188"/>
        <v>0</v>
      </c>
      <c r="W254" s="79">
        <f t="shared" si="189"/>
        <v>0</v>
      </c>
      <c r="X254" s="79">
        <f t="shared" si="190"/>
        <v>0</v>
      </c>
      <c r="Y254" s="79">
        <f t="shared" si="191"/>
        <v>0</v>
      </c>
      <c r="Z254" s="79">
        <f t="shared" si="192"/>
        <v>0</v>
      </c>
      <c r="AA254" s="79">
        <f t="shared" si="193"/>
        <v>0</v>
      </c>
      <c r="AB254" s="79">
        <f t="shared" si="194"/>
        <v>0</v>
      </c>
      <c r="AC254" s="79">
        <f t="shared" si="195"/>
        <v>0</v>
      </c>
      <c r="AD254" s="79">
        <f t="shared" si="196"/>
        <v>0</v>
      </c>
      <c r="AE254" s="79">
        <f t="shared" si="197"/>
        <v>0</v>
      </c>
      <c r="AF254" s="79">
        <f t="shared" si="198"/>
        <v>0</v>
      </c>
      <c r="AG254" s="79">
        <f t="shared" si="199"/>
        <v>0</v>
      </c>
      <c r="AH254" s="79">
        <f t="shared" si="200"/>
        <v>0</v>
      </c>
      <c r="AI254" s="79">
        <f t="shared" si="201"/>
        <v>0</v>
      </c>
      <c r="AJ254" s="79">
        <f t="shared" si="202"/>
        <v>0</v>
      </c>
      <c r="AK254" s="79">
        <f t="shared" si="203"/>
        <v>0</v>
      </c>
      <c r="AL254" s="79">
        <f t="shared" si="204"/>
        <v>0</v>
      </c>
      <c r="AM254" s="79">
        <f t="shared" si="205"/>
        <v>0</v>
      </c>
      <c r="AN254" s="79">
        <f t="shared" si="206"/>
        <v>0</v>
      </c>
      <c r="AO254" s="79">
        <f t="shared" si="207"/>
        <v>0</v>
      </c>
      <c r="AP254" s="79">
        <f t="shared" si="208"/>
        <v>0</v>
      </c>
      <c r="AQ254" s="79">
        <f t="shared" si="209"/>
        <v>0</v>
      </c>
      <c r="AR254" s="79">
        <f t="shared" si="210"/>
        <v>0</v>
      </c>
      <c r="AS254" s="79">
        <f t="shared" si="211"/>
        <v>0</v>
      </c>
      <c r="AT254" s="79">
        <f t="shared" si="212"/>
        <v>0</v>
      </c>
      <c r="AU254" s="79">
        <f t="shared" si="213"/>
        <v>0</v>
      </c>
    </row>
    <row r="255" spans="1:47" ht="23.1" customHeight="1">
      <c r="A255" s="81" t="s">
        <v>983</v>
      </c>
      <c r="B255" s="81" t="s">
        <v>968</v>
      </c>
      <c r="C255" s="82" t="s">
        <v>951</v>
      </c>
      <c r="D255" s="84">
        <v>110</v>
      </c>
      <c r="E255" s="84">
        <v>11600</v>
      </c>
      <c r="F255" s="84">
        <f t="shared" si="180"/>
        <v>1276000</v>
      </c>
      <c r="G255" s="84">
        <v>0</v>
      </c>
      <c r="H255" s="84">
        <f t="shared" si="181"/>
        <v>0</v>
      </c>
      <c r="I255" s="84">
        <v>0</v>
      </c>
      <c r="J255" s="84">
        <f t="shared" si="182"/>
        <v>0</v>
      </c>
      <c r="K255" s="84">
        <f t="shared" si="183"/>
        <v>11600</v>
      </c>
      <c r="L255" s="84">
        <f t="shared" si="183"/>
        <v>1276000</v>
      </c>
      <c r="M255" s="84"/>
      <c r="O255" s="79" t="str">
        <f>""</f>
        <v/>
      </c>
      <c r="P255" s="86" t="s">
        <v>678</v>
      </c>
      <c r="Q255" s="79">
        <v>1</v>
      </c>
      <c r="R255" s="79">
        <f t="shared" si="184"/>
        <v>0</v>
      </c>
      <c r="S255" s="79">
        <f t="shared" si="185"/>
        <v>0</v>
      </c>
      <c r="T255" s="79">
        <f t="shared" si="186"/>
        <v>0</v>
      </c>
      <c r="U255" s="79">
        <f t="shared" si="187"/>
        <v>0</v>
      </c>
      <c r="V255" s="79">
        <f t="shared" si="188"/>
        <v>0</v>
      </c>
      <c r="W255" s="79">
        <f t="shared" si="189"/>
        <v>0</v>
      </c>
      <c r="X255" s="79">
        <f t="shared" si="190"/>
        <v>0</v>
      </c>
      <c r="Y255" s="79">
        <f t="shared" si="191"/>
        <v>0</v>
      </c>
      <c r="Z255" s="79">
        <f t="shared" si="192"/>
        <v>0</v>
      </c>
      <c r="AA255" s="79">
        <f t="shared" si="193"/>
        <v>0</v>
      </c>
      <c r="AB255" s="79">
        <f t="shared" si="194"/>
        <v>0</v>
      </c>
      <c r="AC255" s="79">
        <f t="shared" si="195"/>
        <v>0</v>
      </c>
      <c r="AD255" s="79">
        <f t="shared" si="196"/>
        <v>0</v>
      </c>
      <c r="AE255" s="79">
        <f t="shared" si="197"/>
        <v>0</v>
      </c>
      <c r="AF255" s="79">
        <f t="shared" si="198"/>
        <v>0</v>
      </c>
      <c r="AG255" s="79">
        <f t="shared" si="199"/>
        <v>0</v>
      </c>
      <c r="AH255" s="79">
        <f t="shared" si="200"/>
        <v>0</v>
      </c>
      <c r="AI255" s="79">
        <f t="shared" si="201"/>
        <v>0</v>
      </c>
      <c r="AJ255" s="79">
        <f t="shared" si="202"/>
        <v>0</v>
      </c>
      <c r="AK255" s="79">
        <f t="shared" si="203"/>
        <v>0</v>
      </c>
      <c r="AL255" s="79">
        <f t="shared" si="204"/>
        <v>0</v>
      </c>
      <c r="AM255" s="79">
        <f t="shared" si="205"/>
        <v>0</v>
      </c>
      <c r="AN255" s="79">
        <f t="shared" si="206"/>
        <v>0</v>
      </c>
      <c r="AO255" s="79">
        <f t="shared" si="207"/>
        <v>0</v>
      </c>
      <c r="AP255" s="79">
        <f t="shared" si="208"/>
        <v>0</v>
      </c>
      <c r="AQ255" s="79">
        <f t="shared" si="209"/>
        <v>0</v>
      </c>
      <c r="AR255" s="79">
        <f t="shared" si="210"/>
        <v>0</v>
      </c>
      <c r="AS255" s="79">
        <f t="shared" si="211"/>
        <v>0</v>
      </c>
      <c r="AT255" s="79">
        <f t="shared" si="212"/>
        <v>0</v>
      </c>
      <c r="AU255" s="79">
        <f t="shared" si="213"/>
        <v>0</v>
      </c>
    </row>
    <row r="256" spans="1:47" ht="23.1" customHeight="1">
      <c r="A256" s="81" t="s">
        <v>983</v>
      </c>
      <c r="B256" s="81" t="s">
        <v>984</v>
      </c>
      <c r="C256" s="82" t="s">
        <v>951</v>
      </c>
      <c r="D256" s="84">
        <v>108</v>
      </c>
      <c r="E256" s="84">
        <v>12000</v>
      </c>
      <c r="F256" s="84">
        <f t="shared" si="180"/>
        <v>1296000</v>
      </c>
      <c r="G256" s="84">
        <v>0</v>
      </c>
      <c r="H256" s="84">
        <f t="shared" si="181"/>
        <v>0</v>
      </c>
      <c r="I256" s="84">
        <v>0</v>
      </c>
      <c r="J256" s="84">
        <f t="shared" si="182"/>
        <v>0</v>
      </c>
      <c r="K256" s="84">
        <f t="shared" si="183"/>
        <v>12000</v>
      </c>
      <c r="L256" s="84">
        <f t="shared" si="183"/>
        <v>1296000</v>
      </c>
      <c r="M256" s="84"/>
      <c r="O256" s="79" t="str">
        <f>""</f>
        <v/>
      </c>
      <c r="P256" s="86" t="s">
        <v>678</v>
      </c>
      <c r="Q256" s="79">
        <v>1</v>
      </c>
      <c r="R256" s="79">
        <f t="shared" si="184"/>
        <v>0</v>
      </c>
      <c r="S256" s="79">
        <f t="shared" si="185"/>
        <v>0</v>
      </c>
      <c r="T256" s="79">
        <f t="shared" si="186"/>
        <v>0</v>
      </c>
      <c r="U256" s="79">
        <f t="shared" si="187"/>
        <v>0</v>
      </c>
      <c r="V256" s="79">
        <f t="shared" si="188"/>
        <v>0</v>
      </c>
      <c r="W256" s="79">
        <f t="shared" si="189"/>
        <v>0</v>
      </c>
      <c r="X256" s="79">
        <f t="shared" si="190"/>
        <v>0</v>
      </c>
      <c r="Y256" s="79">
        <f t="shared" si="191"/>
        <v>0</v>
      </c>
      <c r="Z256" s="79">
        <f t="shared" si="192"/>
        <v>0</v>
      </c>
      <c r="AA256" s="79">
        <f t="shared" si="193"/>
        <v>0</v>
      </c>
      <c r="AB256" s="79">
        <f t="shared" si="194"/>
        <v>0</v>
      </c>
      <c r="AC256" s="79">
        <f t="shared" si="195"/>
        <v>0</v>
      </c>
      <c r="AD256" s="79">
        <f t="shared" si="196"/>
        <v>0</v>
      </c>
      <c r="AE256" s="79">
        <f t="shared" si="197"/>
        <v>0</v>
      </c>
      <c r="AF256" s="79">
        <f t="shared" si="198"/>
        <v>0</v>
      </c>
      <c r="AG256" s="79">
        <f t="shared" si="199"/>
        <v>0</v>
      </c>
      <c r="AH256" s="79">
        <f t="shared" si="200"/>
        <v>0</v>
      </c>
      <c r="AI256" s="79">
        <f t="shared" si="201"/>
        <v>0</v>
      </c>
      <c r="AJ256" s="79">
        <f t="shared" si="202"/>
        <v>0</v>
      </c>
      <c r="AK256" s="79">
        <f t="shared" si="203"/>
        <v>0</v>
      </c>
      <c r="AL256" s="79">
        <f t="shared" si="204"/>
        <v>0</v>
      </c>
      <c r="AM256" s="79">
        <f t="shared" si="205"/>
        <v>0</v>
      </c>
      <c r="AN256" s="79">
        <f t="shared" si="206"/>
        <v>0</v>
      </c>
      <c r="AO256" s="79">
        <f t="shared" si="207"/>
        <v>0</v>
      </c>
      <c r="AP256" s="79">
        <f t="shared" si="208"/>
        <v>0</v>
      </c>
      <c r="AQ256" s="79">
        <f t="shared" si="209"/>
        <v>0</v>
      </c>
      <c r="AR256" s="79">
        <f t="shared" si="210"/>
        <v>0</v>
      </c>
      <c r="AS256" s="79">
        <f t="shared" si="211"/>
        <v>0</v>
      </c>
      <c r="AT256" s="79">
        <f t="shared" si="212"/>
        <v>0</v>
      </c>
      <c r="AU256" s="79">
        <f t="shared" si="213"/>
        <v>0</v>
      </c>
    </row>
    <row r="257" spans="1:47" ht="23.1" customHeight="1">
      <c r="A257" s="81" t="s">
        <v>985</v>
      </c>
      <c r="B257" s="85"/>
      <c r="C257" s="82" t="s">
        <v>961</v>
      </c>
      <c r="D257" s="84">
        <v>218</v>
      </c>
      <c r="E257" s="84">
        <v>0</v>
      </c>
      <c r="F257" s="84">
        <f t="shared" si="180"/>
        <v>0</v>
      </c>
      <c r="G257" s="84">
        <v>7800</v>
      </c>
      <c r="H257" s="84">
        <f t="shared" si="181"/>
        <v>1700400</v>
      </c>
      <c r="I257" s="84">
        <v>0</v>
      </c>
      <c r="J257" s="84">
        <f t="shared" si="182"/>
        <v>0</v>
      </c>
      <c r="K257" s="84">
        <f t="shared" si="183"/>
        <v>7800</v>
      </c>
      <c r="L257" s="84">
        <f t="shared" si="183"/>
        <v>1700400</v>
      </c>
      <c r="M257" s="84"/>
      <c r="O257" s="79" t="str">
        <f>""</f>
        <v/>
      </c>
      <c r="P257" s="86" t="s">
        <v>678</v>
      </c>
      <c r="Q257" s="79">
        <v>1</v>
      </c>
      <c r="R257" s="79">
        <f t="shared" si="184"/>
        <v>0</v>
      </c>
      <c r="S257" s="79">
        <f t="shared" si="185"/>
        <v>0</v>
      </c>
      <c r="T257" s="79">
        <f t="shared" si="186"/>
        <v>0</v>
      </c>
      <c r="U257" s="79">
        <f t="shared" si="187"/>
        <v>0</v>
      </c>
      <c r="V257" s="79">
        <f t="shared" si="188"/>
        <v>0</v>
      </c>
      <c r="W257" s="79">
        <f t="shared" si="189"/>
        <v>0</v>
      </c>
      <c r="X257" s="79">
        <f t="shared" si="190"/>
        <v>0</v>
      </c>
      <c r="Y257" s="79">
        <f t="shared" si="191"/>
        <v>0</v>
      </c>
      <c r="Z257" s="79">
        <f t="shared" si="192"/>
        <v>0</v>
      </c>
      <c r="AA257" s="79">
        <f t="shared" si="193"/>
        <v>0</v>
      </c>
      <c r="AB257" s="79">
        <f t="shared" si="194"/>
        <v>0</v>
      </c>
      <c r="AC257" s="79">
        <f t="shared" si="195"/>
        <v>0</v>
      </c>
      <c r="AD257" s="79">
        <f t="shared" si="196"/>
        <v>0</v>
      </c>
      <c r="AE257" s="79">
        <f t="shared" si="197"/>
        <v>0</v>
      </c>
      <c r="AF257" s="79">
        <f t="shared" si="198"/>
        <v>0</v>
      </c>
      <c r="AG257" s="79">
        <f t="shared" si="199"/>
        <v>0</v>
      </c>
      <c r="AH257" s="79">
        <f t="shared" si="200"/>
        <v>0</v>
      </c>
      <c r="AI257" s="79">
        <f t="shared" si="201"/>
        <v>0</v>
      </c>
      <c r="AJ257" s="79">
        <f t="shared" si="202"/>
        <v>0</v>
      </c>
      <c r="AK257" s="79">
        <f t="shared" si="203"/>
        <v>0</v>
      </c>
      <c r="AL257" s="79">
        <f t="shared" si="204"/>
        <v>0</v>
      </c>
      <c r="AM257" s="79">
        <f t="shared" si="205"/>
        <v>0</v>
      </c>
      <c r="AN257" s="79">
        <f t="shared" si="206"/>
        <v>0</v>
      </c>
      <c r="AO257" s="79">
        <f t="shared" si="207"/>
        <v>0</v>
      </c>
      <c r="AP257" s="79">
        <f t="shared" si="208"/>
        <v>0</v>
      </c>
      <c r="AQ257" s="79">
        <f t="shared" si="209"/>
        <v>0</v>
      </c>
      <c r="AR257" s="79">
        <f t="shared" si="210"/>
        <v>0</v>
      </c>
      <c r="AS257" s="79">
        <f t="shared" si="211"/>
        <v>0</v>
      </c>
      <c r="AT257" s="79">
        <f t="shared" si="212"/>
        <v>0</v>
      </c>
      <c r="AU257" s="79">
        <f t="shared" si="213"/>
        <v>0</v>
      </c>
    </row>
    <row r="258" spans="1:47" ht="23.1" customHeight="1">
      <c r="A258" s="81" t="s">
        <v>986</v>
      </c>
      <c r="B258" s="85"/>
      <c r="C258" s="82" t="s">
        <v>948</v>
      </c>
      <c r="D258" s="84">
        <v>0</v>
      </c>
      <c r="E258" s="84">
        <v>0</v>
      </c>
      <c r="F258" s="84">
        <f t="shared" si="180"/>
        <v>0</v>
      </c>
      <c r="G258" s="84">
        <v>0</v>
      </c>
      <c r="H258" s="84">
        <f t="shared" si="181"/>
        <v>0</v>
      </c>
      <c r="I258" s="84">
        <v>0</v>
      </c>
      <c r="J258" s="84">
        <f t="shared" si="182"/>
        <v>0</v>
      </c>
      <c r="K258" s="84">
        <f t="shared" si="183"/>
        <v>0</v>
      </c>
      <c r="L258" s="84">
        <f t="shared" si="183"/>
        <v>0</v>
      </c>
      <c r="M258" s="84"/>
      <c r="O258" s="79" t="str">
        <f>""</f>
        <v/>
      </c>
      <c r="Q258" s="79">
        <v>1</v>
      </c>
      <c r="R258" s="79">
        <f t="shared" si="184"/>
        <v>0</v>
      </c>
      <c r="S258" s="79">
        <f t="shared" si="185"/>
        <v>0</v>
      </c>
      <c r="T258" s="79">
        <f t="shared" si="186"/>
        <v>0</v>
      </c>
      <c r="U258" s="79">
        <f t="shared" si="187"/>
        <v>0</v>
      </c>
      <c r="V258" s="79">
        <f t="shared" si="188"/>
        <v>0</v>
      </c>
      <c r="W258" s="79">
        <f t="shared" si="189"/>
        <v>0</v>
      </c>
      <c r="X258" s="79">
        <f t="shared" si="190"/>
        <v>0</v>
      </c>
      <c r="Y258" s="79">
        <f t="shared" si="191"/>
        <v>0</v>
      </c>
      <c r="Z258" s="79">
        <f t="shared" si="192"/>
        <v>0</v>
      </c>
      <c r="AA258" s="79">
        <f t="shared" si="193"/>
        <v>0</v>
      </c>
      <c r="AB258" s="79">
        <f t="shared" si="194"/>
        <v>0</v>
      </c>
      <c r="AC258" s="79">
        <f t="shared" si="195"/>
        <v>0</v>
      </c>
      <c r="AD258" s="79">
        <f t="shared" si="196"/>
        <v>0</v>
      </c>
      <c r="AE258" s="79">
        <f t="shared" si="197"/>
        <v>0</v>
      </c>
      <c r="AF258" s="79">
        <f t="shared" si="198"/>
        <v>0</v>
      </c>
      <c r="AG258" s="79">
        <f t="shared" si="199"/>
        <v>0</v>
      </c>
      <c r="AH258" s="79">
        <f t="shared" si="200"/>
        <v>0</v>
      </c>
      <c r="AI258" s="79">
        <f t="shared" si="201"/>
        <v>0</v>
      </c>
      <c r="AJ258" s="79">
        <f t="shared" si="202"/>
        <v>0</v>
      </c>
      <c r="AK258" s="79">
        <f t="shared" si="203"/>
        <v>0</v>
      </c>
      <c r="AL258" s="79">
        <f t="shared" si="204"/>
        <v>0</v>
      </c>
      <c r="AM258" s="79">
        <f t="shared" si="205"/>
        <v>0</v>
      </c>
      <c r="AN258" s="79">
        <f t="shared" si="206"/>
        <v>0</v>
      </c>
      <c r="AO258" s="79">
        <f t="shared" si="207"/>
        <v>0</v>
      </c>
      <c r="AP258" s="79">
        <f t="shared" si="208"/>
        <v>0</v>
      </c>
      <c r="AQ258" s="79">
        <f t="shared" si="209"/>
        <v>0</v>
      </c>
      <c r="AR258" s="79">
        <f t="shared" si="210"/>
        <v>0</v>
      </c>
      <c r="AS258" s="79">
        <f t="shared" si="211"/>
        <v>0</v>
      </c>
      <c r="AT258" s="79">
        <f t="shared" si="212"/>
        <v>0</v>
      </c>
      <c r="AU258" s="79">
        <f t="shared" si="213"/>
        <v>0</v>
      </c>
    </row>
    <row r="259" spans="1:47" ht="23.1" customHeight="1">
      <c r="A259" s="81" t="s">
        <v>987</v>
      </c>
      <c r="B259" s="81" t="s">
        <v>966</v>
      </c>
      <c r="C259" s="82" t="s">
        <v>951</v>
      </c>
      <c r="D259" s="84">
        <v>17</v>
      </c>
      <c r="E259" s="84">
        <v>25300</v>
      </c>
      <c r="F259" s="84">
        <f t="shared" si="180"/>
        <v>430100</v>
      </c>
      <c r="G259" s="84">
        <v>0</v>
      </c>
      <c r="H259" s="84">
        <f t="shared" si="181"/>
        <v>0</v>
      </c>
      <c r="I259" s="84">
        <v>0</v>
      </c>
      <c r="J259" s="84">
        <f t="shared" si="182"/>
        <v>0</v>
      </c>
      <c r="K259" s="84">
        <f t="shared" si="183"/>
        <v>25300</v>
      </c>
      <c r="L259" s="84">
        <f t="shared" si="183"/>
        <v>430100</v>
      </c>
      <c r="M259" s="84"/>
      <c r="O259" s="79" t="str">
        <f>""</f>
        <v/>
      </c>
      <c r="P259" s="86" t="s">
        <v>678</v>
      </c>
      <c r="Q259" s="79">
        <v>1</v>
      </c>
      <c r="R259" s="79">
        <f t="shared" si="184"/>
        <v>0</v>
      </c>
      <c r="S259" s="79">
        <f t="shared" si="185"/>
        <v>0</v>
      </c>
      <c r="T259" s="79">
        <f t="shared" si="186"/>
        <v>0</v>
      </c>
      <c r="U259" s="79">
        <f t="shared" si="187"/>
        <v>0</v>
      </c>
      <c r="V259" s="79">
        <f t="shared" si="188"/>
        <v>0</v>
      </c>
      <c r="W259" s="79">
        <f t="shared" si="189"/>
        <v>0</v>
      </c>
      <c r="X259" s="79">
        <f t="shared" si="190"/>
        <v>0</v>
      </c>
      <c r="Y259" s="79">
        <f t="shared" si="191"/>
        <v>0</v>
      </c>
      <c r="Z259" s="79">
        <f t="shared" si="192"/>
        <v>0</v>
      </c>
      <c r="AA259" s="79">
        <f t="shared" si="193"/>
        <v>0</v>
      </c>
      <c r="AB259" s="79">
        <f t="shared" si="194"/>
        <v>0</v>
      </c>
      <c r="AC259" s="79">
        <f t="shared" si="195"/>
        <v>0</v>
      </c>
      <c r="AD259" s="79">
        <f t="shared" si="196"/>
        <v>0</v>
      </c>
      <c r="AE259" s="79">
        <f t="shared" si="197"/>
        <v>0</v>
      </c>
      <c r="AF259" s="79">
        <f t="shared" si="198"/>
        <v>0</v>
      </c>
      <c r="AG259" s="79">
        <f t="shared" si="199"/>
        <v>0</v>
      </c>
      <c r="AH259" s="79">
        <f t="shared" si="200"/>
        <v>0</v>
      </c>
      <c r="AI259" s="79">
        <f t="shared" si="201"/>
        <v>0</v>
      </c>
      <c r="AJ259" s="79">
        <f t="shared" si="202"/>
        <v>0</v>
      </c>
      <c r="AK259" s="79">
        <f t="shared" si="203"/>
        <v>0</v>
      </c>
      <c r="AL259" s="79">
        <f t="shared" si="204"/>
        <v>0</v>
      </c>
      <c r="AM259" s="79">
        <f t="shared" si="205"/>
        <v>0</v>
      </c>
      <c r="AN259" s="79">
        <f t="shared" si="206"/>
        <v>0</v>
      </c>
      <c r="AO259" s="79">
        <f t="shared" si="207"/>
        <v>0</v>
      </c>
      <c r="AP259" s="79">
        <f t="shared" si="208"/>
        <v>0</v>
      </c>
      <c r="AQ259" s="79">
        <f t="shared" si="209"/>
        <v>0</v>
      </c>
      <c r="AR259" s="79">
        <f t="shared" si="210"/>
        <v>0</v>
      </c>
      <c r="AS259" s="79">
        <f t="shared" si="211"/>
        <v>0</v>
      </c>
      <c r="AT259" s="79">
        <f t="shared" si="212"/>
        <v>0</v>
      </c>
      <c r="AU259" s="79">
        <f t="shared" si="213"/>
        <v>0</v>
      </c>
    </row>
    <row r="260" spans="1:47" ht="23.1" customHeight="1">
      <c r="A260" s="81" t="s">
        <v>988</v>
      </c>
      <c r="B260" s="85"/>
      <c r="C260" s="82" t="s">
        <v>961</v>
      </c>
      <c r="D260" s="84">
        <v>17</v>
      </c>
      <c r="E260" s="84">
        <v>0</v>
      </c>
      <c r="F260" s="84">
        <f t="shared" si="180"/>
        <v>0</v>
      </c>
      <c r="G260" s="84">
        <v>35000</v>
      </c>
      <c r="H260" s="84">
        <f t="shared" si="181"/>
        <v>595000</v>
      </c>
      <c r="I260" s="84">
        <v>0</v>
      </c>
      <c r="J260" s="84">
        <f t="shared" si="182"/>
        <v>0</v>
      </c>
      <c r="K260" s="84">
        <f t="shared" si="183"/>
        <v>35000</v>
      </c>
      <c r="L260" s="84">
        <f t="shared" si="183"/>
        <v>595000</v>
      </c>
      <c r="M260" s="84"/>
      <c r="O260" s="79" t="str">
        <f>""</f>
        <v/>
      </c>
      <c r="P260" s="86" t="s">
        <v>678</v>
      </c>
      <c r="Q260" s="79">
        <v>1</v>
      </c>
      <c r="R260" s="79">
        <f t="shared" si="184"/>
        <v>0</v>
      </c>
      <c r="S260" s="79">
        <f t="shared" si="185"/>
        <v>0</v>
      </c>
      <c r="T260" s="79">
        <f t="shared" si="186"/>
        <v>0</v>
      </c>
      <c r="U260" s="79">
        <f t="shared" si="187"/>
        <v>0</v>
      </c>
      <c r="V260" s="79">
        <f t="shared" si="188"/>
        <v>0</v>
      </c>
      <c r="W260" s="79">
        <f t="shared" si="189"/>
        <v>0</v>
      </c>
      <c r="X260" s="79">
        <f t="shared" si="190"/>
        <v>0</v>
      </c>
      <c r="Y260" s="79">
        <f t="shared" si="191"/>
        <v>0</v>
      </c>
      <c r="Z260" s="79">
        <f t="shared" si="192"/>
        <v>0</v>
      </c>
      <c r="AA260" s="79">
        <f t="shared" si="193"/>
        <v>0</v>
      </c>
      <c r="AB260" s="79">
        <f t="shared" si="194"/>
        <v>0</v>
      </c>
      <c r="AC260" s="79">
        <f t="shared" si="195"/>
        <v>0</v>
      </c>
      <c r="AD260" s="79">
        <f t="shared" si="196"/>
        <v>0</v>
      </c>
      <c r="AE260" s="79">
        <f t="shared" si="197"/>
        <v>0</v>
      </c>
      <c r="AF260" s="79">
        <f t="shared" si="198"/>
        <v>0</v>
      </c>
      <c r="AG260" s="79">
        <f t="shared" si="199"/>
        <v>0</v>
      </c>
      <c r="AH260" s="79">
        <f t="shared" si="200"/>
        <v>0</v>
      </c>
      <c r="AI260" s="79">
        <f t="shared" si="201"/>
        <v>0</v>
      </c>
      <c r="AJ260" s="79">
        <f t="shared" si="202"/>
        <v>0</v>
      </c>
      <c r="AK260" s="79">
        <f t="shared" si="203"/>
        <v>0</v>
      </c>
      <c r="AL260" s="79">
        <f t="shared" si="204"/>
        <v>0</v>
      </c>
      <c r="AM260" s="79">
        <f t="shared" si="205"/>
        <v>0</v>
      </c>
      <c r="AN260" s="79">
        <f t="shared" si="206"/>
        <v>0</v>
      </c>
      <c r="AO260" s="79">
        <f t="shared" si="207"/>
        <v>0</v>
      </c>
      <c r="AP260" s="79">
        <f t="shared" si="208"/>
        <v>0</v>
      </c>
      <c r="AQ260" s="79">
        <f t="shared" si="209"/>
        <v>0</v>
      </c>
      <c r="AR260" s="79">
        <f t="shared" si="210"/>
        <v>0</v>
      </c>
      <c r="AS260" s="79">
        <f t="shared" si="211"/>
        <v>0</v>
      </c>
      <c r="AT260" s="79">
        <f t="shared" si="212"/>
        <v>0</v>
      </c>
      <c r="AU260" s="79">
        <f t="shared" si="213"/>
        <v>0</v>
      </c>
    </row>
    <row r="261" spans="1:47" ht="23.1" customHeight="1">
      <c r="A261" s="85"/>
      <c r="B261" s="85"/>
      <c r="C261" s="83"/>
      <c r="D261" s="84"/>
      <c r="E261" s="84"/>
      <c r="F261" s="84"/>
      <c r="G261" s="84"/>
      <c r="H261" s="84"/>
      <c r="I261" s="84"/>
      <c r="J261" s="84"/>
      <c r="K261" s="84"/>
      <c r="L261" s="84"/>
      <c r="M261" s="84"/>
    </row>
    <row r="262" spans="1:47" ht="23.1" customHeight="1">
      <c r="A262" s="85"/>
      <c r="B262" s="85"/>
      <c r="C262" s="83"/>
      <c r="D262" s="84"/>
      <c r="E262" s="84"/>
      <c r="F262" s="84"/>
      <c r="G262" s="84"/>
      <c r="H262" s="84"/>
      <c r="I262" s="84"/>
      <c r="J262" s="84"/>
      <c r="K262" s="84"/>
      <c r="L262" s="84"/>
      <c r="M262" s="84"/>
    </row>
    <row r="263" spans="1:47" ht="23.1" customHeight="1">
      <c r="A263" s="85"/>
      <c r="B263" s="85"/>
      <c r="C263" s="83"/>
      <c r="D263" s="84"/>
      <c r="E263" s="84"/>
      <c r="F263" s="84"/>
      <c r="G263" s="84"/>
      <c r="H263" s="84"/>
      <c r="I263" s="84"/>
      <c r="J263" s="84"/>
      <c r="K263" s="84"/>
      <c r="L263" s="84"/>
      <c r="M263" s="84"/>
    </row>
    <row r="264" spans="1:47" ht="23.1" customHeight="1">
      <c r="A264" s="85"/>
      <c r="B264" s="85"/>
      <c r="C264" s="83"/>
      <c r="D264" s="84"/>
      <c r="E264" s="84"/>
      <c r="F264" s="84"/>
      <c r="G264" s="84"/>
      <c r="H264" s="84"/>
      <c r="I264" s="84"/>
      <c r="J264" s="84"/>
      <c r="K264" s="84"/>
      <c r="L264" s="84"/>
      <c r="M264" s="84"/>
    </row>
    <row r="265" spans="1:47" ht="23.1" customHeight="1">
      <c r="A265" s="85"/>
      <c r="B265" s="85"/>
      <c r="C265" s="83"/>
      <c r="D265" s="84"/>
      <c r="E265" s="84"/>
      <c r="F265" s="84"/>
      <c r="G265" s="84"/>
      <c r="H265" s="84"/>
      <c r="I265" s="84"/>
      <c r="J265" s="84"/>
      <c r="K265" s="84"/>
      <c r="L265" s="84"/>
      <c r="M265" s="84"/>
    </row>
    <row r="266" spans="1:47" ht="23.1" customHeight="1">
      <c r="A266" s="85"/>
      <c r="B266" s="85"/>
      <c r="C266" s="83"/>
      <c r="D266" s="84"/>
      <c r="E266" s="84"/>
      <c r="F266" s="84"/>
      <c r="G266" s="84"/>
      <c r="H266" s="84"/>
      <c r="I266" s="84"/>
      <c r="J266" s="84"/>
      <c r="K266" s="84"/>
      <c r="L266" s="84"/>
      <c r="M266" s="84"/>
    </row>
    <row r="267" spans="1:47" ht="23.1" customHeight="1">
      <c r="A267" s="85"/>
      <c r="B267" s="85"/>
      <c r="C267" s="83"/>
      <c r="D267" s="84"/>
      <c r="E267" s="84"/>
      <c r="F267" s="84"/>
      <c r="G267" s="84"/>
      <c r="H267" s="84"/>
      <c r="I267" s="84"/>
      <c r="J267" s="84"/>
      <c r="K267" s="84"/>
      <c r="L267" s="84"/>
      <c r="M267" s="84"/>
    </row>
    <row r="268" spans="1:47" ht="23.1" customHeight="1">
      <c r="A268" s="85"/>
      <c r="B268" s="85"/>
      <c r="C268" s="83"/>
      <c r="D268" s="84"/>
      <c r="E268" s="84"/>
      <c r="F268" s="84"/>
      <c r="G268" s="84"/>
      <c r="H268" s="84"/>
      <c r="I268" s="84"/>
      <c r="J268" s="84"/>
      <c r="K268" s="84"/>
      <c r="L268" s="84"/>
      <c r="M268" s="84"/>
    </row>
    <row r="269" spans="1:47" ht="23.1" customHeight="1">
      <c r="A269" s="85"/>
      <c r="B269" s="85"/>
      <c r="C269" s="83"/>
      <c r="D269" s="84"/>
      <c r="E269" s="84"/>
      <c r="F269" s="84"/>
      <c r="G269" s="84"/>
      <c r="H269" s="84"/>
      <c r="I269" s="84"/>
      <c r="J269" s="84"/>
      <c r="K269" s="84"/>
      <c r="L269" s="84"/>
      <c r="M269" s="84"/>
    </row>
    <row r="270" spans="1:47" ht="23.1" customHeight="1">
      <c r="A270" s="85"/>
      <c r="B270" s="85"/>
      <c r="C270" s="83"/>
      <c r="D270" s="84"/>
      <c r="E270" s="84"/>
      <c r="F270" s="84"/>
      <c r="G270" s="84"/>
      <c r="H270" s="84"/>
      <c r="I270" s="84"/>
      <c r="J270" s="84"/>
      <c r="K270" s="84"/>
      <c r="L270" s="84"/>
      <c r="M270" s="84"/>
    </row>
    <row r="271" spans="1:47" ht="23.1" customHeight="1">
      <c r="A271" s="85"/>
      <c r="B271" s="85"/>
      <c r="C271" s="83"/>
      <c r="D271" s="84"/>
      <c r="E271" s="84"/>
      <c r="F271" s="84"/>
      <c r="G271" s="84"/>
      <c r="H271" s="84"/>
      <c r="I271" s="84"/>
      <c r="J271" s="84"/>
      <c r="K271" s="84"/>
      <c r="L271" s="84"/>
      <c r="M271" s="84"/>
    </row>
    <row r="272" spans="1:47" ht="23.1" customHeight="1">
      <c r="A272" s="85"/>
      <c r="B272" s="85"/>
      <c r="C272" s="83"/>
      <c r="D272" s="84"/>
      <c r="E272" s="84"/>
      <c r="F272" s="84"/>
      <c r="G272" s="84"/>
      <c r="H272" s="84"/>
      <c r="I272" s="84"/>
      <c r="J272" s="84"/>
      <c r="K272" s="84"/>
      <c r="L272" s="84"/>
      <c r="M272" s="84"/>
    </row>
    <row r="273" spans="1:50" ht="23.1" customHeight="1">
      <c r="A273" s="85"/>
      <c r="B273" s="85"/>
      <c r="C273" s="83"/>
      <c r="D273" s="84"/>
      <c r="E273" s="84"/>
      <c r="F273" s="84"/>
      <c r="G273" s="84"/>
      <c r="H273" s="84"/>
      <c r="I273" s="84"/>
      <c r="J273" s="84"/>
      <c r="K273" s="84"/>
      <c r="L273" s="84"/>
      <c r="M273" s="84"/>
    </row>
    <row r="274" spans="1:50" ht="23.1" customHeight="1">
      <c r="A274" s="90" t="s">
        <v>734</v>
      </c>
      <c r="B274" s="91"/>
      <c r="C274" s="92"/>
      <c r="D274" s="93"/>
      <c r="E274" s="93"/>
      <c r="F274" s="93">
        <f>ROUNDDOWN(SUMIF(Q222:Q273, "1", F222:F273), 0)</f>
        <v>19301100</v>
      </c>
      <c r="G274" s="93"/>
      <c r="H274" s="93">
        <f>ROUNDDOWN(SUMIF(Q222:Q273, "1", H222:H273), 0)</f>
        <v>6114400</v>
      </c>
      <c r="I274" s="93"/>
      <c r="J274" s="93">
        <f>ROUNDDOWN(SUMIF(Q222:Q273, "1", J222:J273), 0)</f>
        <v>0</v>
      </c>
      <c r="K274" s="93"/>
      <c r="L274" s="93">
        <f>F274+H274+J274</f>
        <v>25415500</v>
      </c>
      <c r="M274" s="93"/>
      <c r="R274" s="79">
        <f t="shared" ref="R274:AX274" si="214">ROUNDDOWN(SUM(R222:R260), 0)</f>
        <v>0</v>
      </c>
      <c r="S274" s="79">
        <f t="shared" si="214"/>
        <v>0</v>
      </c>
      <c r="T274" s="79">
        <f t="shared" si="214"/>
        <v>0</v>
      </c>
      <c r="U274" s="79">
        <f t="shared" si="214"/>
        <v>0</v>
      </c>
      <c r="V274" s="79">
        <f t="shared" si="214"/>
        <v>0</v>
      </c>
      <c r="W274" s="79">
        <f t="shared" si="214"/>
        <v>0</v>
      </c>
      <c r="X274" s="79">
        <f t="shared" si="214"/>
        <v>0</v>
      </c>
      <c r="Y274" s="79">
        <f t="shared" si="214"/>
        <v>0</v>
      </c>
      <c r="Z274" s="79">
        <f t="shared" si="214"/>
        <v>0</v>
      </c>
      <c r="AA274" s="79">
        <f t="shared" si="214"/>
        <v>0</v>
      </c>
      <c r="AB274" s="79">
        <f t="shared" si="214"/>
        <v>0</v>
      </c>
      <c r="AC274" s="79">
        <f t="shared" si="214"/>
        <v>0</v>
      </c>
      <c r="AD274" s="79">
        <f t="shared" si="214"/>
        <v>0</v>
      </c>
      <c r="AE274" s="79">
        <f t="shared" si="214"/>
        <v>0</v>
      </c>
      <c r="AF274" s="79">
        <f t="shared" si="214"/>
        <v>0</v>
      </c>
      <c r="AG274" s="79">
        <f t="shared" si="214"/>
        <v>0</v>
      </c>
      <c r="AH274" s="79">
        <f t="shared" si="214"/>
        <v>0</v>
      </c>
      <c r="AI274" s="79">
        <f t="shared" si="214"/>
        <v>0</v>
      </c>
      <c r="AJ274" s="79">
        <f t="shared" si="214"/>
        <v>0</v>
      </c>
      <c r="AK274" s="79">
        <f t="shared" si="214"/>
        <v>0</v>
      </c>
      <c r="AL274" s="79">
        <f t="shared" si="214"/>
        <v>0</v>
      </c>
      <c r="AM274" s="79">
        <f t="shared" si="214"/>
        <v>0</v>
      </c>
      <c r="AN274" s="79">
        <f t="shared" si="214"/>
        <v>0</v>
      </c>
      <c r="AO274" s="79">
        <f t="shared" si="214"/>
        <v>0</v>
      </c>
      <c r="AP274" s="79">
        <f t="shared" si="214"/>
        <v>0</v>
      </c>
      <c r="AQ274" s="79">
        <f t="shared" si="214"/>
        <v>0</v>
      </c>
      <c r="AR274" s="79">
        <f t="shared" si="214"/>
        <v>0</v>
      </c>
      <c r="AS274" s="79">
        <f t="shared" si="214"/>
        <v>0</v>
      </c>
      <c r="AT274" s="79">
        <f t="shared" si="214"/>
        <v>0</v>
      </c>
      <c r="AU274" s="79">
        <f t="shared" si="214"/>
        <v>0</v>
      </c>
      <c r="AV274" s="79">
        <f t="shared" si="214"/>
        <v>0</v>
      </c>
      <c r="AW274" s="79">
        <f t="shared" si="214"/>
        <v>0</v>
      </c>
      <c r="AX274" s="79">
        <f t="shared" si="214"/>
        <v>0</v>
      </c>
    </row>
  </sheetData>
  <mergeCells count="16">
    <mergeCell ref="A221:M221"/>
    <mergeCell ref="A1:M1"/>
    <mergeCell ref="A2:M2"/>
    <mergeCell ref="A3:A4"/>
    <mergeCell ref="B3:B4"/>
    <mergeCell ref="C3:C4"/>
    <mergeCell ref="D3:D4"/>
    <mergeCell ref="E3:F3"/>
    <mergeCell ref="G3:H3"/>
    <mergeCell ref="I3:J3"/>
    <mergeCell ref="K3:L3"/>
    <mergeCell ref="M3:M4"/>
    <mergeCell ref="A5:M5"/>
    <mergeCell ref="A23:M23"/>
    <mergeCell ref="A95:M95"/>
    <mergeCell ref="A149:M149"/>
  </mergeCells>
  <phoneticPr fontId="4" type="noConversion"/>
  <conditionalFormatting sqref="A5 A6:M274">
    <cfRule type="containsText" dxfId="9" priority="1" stopIfTrue="1" operator="containsText" text=".">
      <formula>NOT(ISERROR(SEARCH(".",A5)))</formula>
    </cfRule>
    <cfRule type="notContainsText" dxfId="8" priority="2" stopIfTrue="1" operator="notContains" text=".">
      <formula>ISERROR(SEARCH(".",A5))</formula>
    </cfRule>
  </conditionalFormatting>
  <pageMargins left="0.74090148180296356" right="0" top="0.54405108810217628" bottom="0.1388888888888889" header="0.3" footer="0.1388888888888889"/>
  <pageSetup paperSize="9" orientation="landscape" r:id="rId1"/>
  <rowBreaks count="15" manualBreakCount="15">
    <brk id="22" max="16383" man="1"/>
    <brk id="40" max="16383" man="1"/>
    <brk id="58" max="16383" man="1"/>
    <brk id="76" max="16383" man="1"/>
    <brk id="94" max="16383" man="1"/>
    <brk id="112" max="16383" man="1"/>
    <brk id="130" max="16383" man="1"/>
    <brk id="148" max="16383" man="1"/>
    <brk id="166" max="16383" man="1"/>
    <brk id="184" max="16383" man="1"/>
    <brk id="202" max="16383" man="1"/>
    <brk id="220" max="16383" man="1"/>
    <brk id="238" max="16383" man="1"/>
    <brk id="256" max="16383" man="1"/>
    <brk id="27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B7"/>
  </sheetPr>
  <dimension ref="A1:R133"/>
  <sheetViews>
    <sheetView view="pageBreakPreview" zoomScaleNormal="100" zoomScaleSheetLayoutView="100" workbookViewId="0">
      <pane xSplit="6" ySplit="5" topLeftCell="G141" activePane="bottomRight" state="frozen"/>
      <selection activeCell="E5" sqref="E5"/>
      <selection pane="topRight" activeCell="E5" sqref="E5"/>
      <selection pane="bottomLeft" activeCell="E5" sqref="E5"/>
      <selection pane="bottomRight" activeCell="BB16" sqref="BB16"/>
    </sheetView>
  </sheetViews>
  <sheetFormatPr defaultColWidth="8.8984375" defaultRowHeight="17.399999999999999"/>
  <cols>
    <col min="1" max="2" width="15.69921875" style="87" customWidth="1"/>
    <col min="3" max="3" width="4.09765625" style="88" customWidth="1"/>
    <col min="4" max="6" width="5" style="89" customWidth="1"/>
    <col min="7" max="13" width="7.69921875" style="89" customWidth="1"/>
    <col min="14" max="14" width="5" style="87" customWidth="1"/>
    <col min="15" max="51" width="0" style="79" hidden="1" customWidth="1"/>
    <col min="52" max="16384" width="8.8984375" style="79"/>
  </cols>
  <sheetData>
    <row r="1" spans="1:18" ht="30" customHeight="1">
      <c r="A1" s="225" t="s">
        <v>989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</row>
    <row r="2" spans="1:18" ht="23.1" customHeight="1">
      <c r="A2" s="226" t="s">
        <v>647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</row>
    <row r="3" spans="1:18" ht="23.1" customHeight="1">
      <c r="A3" s="224" t="s">
        <v>990</v>
      </c>
      <c r="B3" s="224" t="s">
        <v>991</v>
      </c>
      <c r="C3" s="224" t="s">
        <v>326</v>
      </c>
      <c r="D3" s="80" t="s">
        <v>992</v>
      </c>
      <c r="E3" s="80" t="s">
        <v>993</v>
      </c>
      <c r="F3" s="224" t="s">
        <v>994</v>
      </c>
      <c r="G3" s="224" t="s">
        <v>995</v>
      </c>
      <c r="H3" s="224"/>
      <c r="I3" s="224"/>
      <c r="J3" s="224"/>
      <c r="K3" s="224"/>
      <c r="L3" s="224"/>
      <c r="M3" s="224"/>
      <c r="N3" s="224" t="s">
        <v>654</v>
      </c>
    </row>
    <row r="4" spans="1:18" ht="23.1" customHeight="1">
      <c r="A4" s="233"/>
      <c r="B4" s="233"/>
      <c r="C4" s="233"/>
      <c r="D4" s="94" t="s">
        <v>996</v>
      </c>
      <c r="E4" s="94" t="s">
        <v>997</v>
      </c>
      <c r="F4" s="233"/>
      <c r="G4" s="94"/>
      <c r="H4" s="94"/>
      <c r="I4" s="94"/>
      <c r="J4" s="94"/>
      <c r="K4" s="94"/>
      <c r="L4" s="94"/>
      <c r="M4" s="94"/>
      <c r="N4" s="233"/>
    </row>
    <row r="5" spans="1:18" ht="23.1" customHeight="1">
      <c r="A5" s="234"/>
      <c r="B5" s="234"/>
      <c r="C5" s="234"/>
      <c r="D5" s="95" t="s">
        <v>998</v>
      </c>
      <c r="E5" s="95" t="s">
        <v>999</v>
      </c>
      <c r="F5" s="234"/>
      <c r="G5" s="95"/>
      <c r="H5" s="95"/>
      <c r="I5" s="95"/>
      <c r="J5" s="95"/>
      <c r="K5" s="95"/>
      <c r="L5" s="95"/>
      <c r="M5" s="95"/>
      <c r="N5" s="234"/>
    </row>
    <row r="6" spans="1:18" ht="23.1" customHeight="1">
      <c r="A6" s="96" t="s">
        <v>711</v>
      </c>
      <c r="B6" s="96"/>
      <c r="C6" s="97"/>
      <c r="D6" s="98"/>
      <c r="E6" s="98"/>
      <c r="F6" s="98"/>
      <c r="G6" s="98" t="s">
        <v>732</v>
      </c>
      <c r="H6" s="98" t="s">
        <v>452</v>
      </c>
      <c r="I6" s="98"/>
      <c r="J6" s="98"/>
      <c r="K6" s="98"/>
      <c r="L6" s="98"/>
      <c r="M6" s="98"/>
      <c r="N6" s="96"/>
    </row>
    <row r="7" spans="1:18" ht="23.1" customHeight="1">
      <c r="A7" s="99"/>
      <c r="B7" s="99"/>
      <c r="C7" s="100"/>
      <c r="D7" s="101"/>
      <c r="E7" s="101"/>
      <c r="F7" s="101"/>
      <c r="G7" s="102">
        <v>237652</v>
      </c>
      <c r="H7" s="102">
        <v>169804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99"/>
    </row>
    <row r="8" spans="1:18" ht="23.1" customHeight="1">
      <c r="A8" s="103" t="s">
        <v>712</v>
      </c>
      <c r="B8" s="103" t="s">
        <v>1000</v>
      </c>
      <c r="C8" s="104" t="s">
        <v>366</v>
      </c>
      <c r="D8" s="105">
        <v>1</v>
      </c>
      <c r="E8" s="106">
        <v>1</v>
      </c>
      <c r="F8" s="105">
        <f>ROUND(D8*E8, 4)</f>
        <v>1</v>
      </c>
      <c r="G8" s="105">
        <v>7.6379999999999999</v>
      </c>
      <c r="H8" s="105">
        <v>2.5299999999999998</v>
      </c>
      <c r="I8" s="105"/>
      <c r="J8" s="105"/>
      <c r="K8" s="105"/>
      <c r="L8" s="105"/>
      <c r="M8" s="105"/>
      <c r="N8" s="107"/>
    </row>
    <row r="9" spans="1:18" ht="23.1" customHeight="1">
      <c r="A9" s="108"/>
      <c r="B9" s="108"/>
      <c r="C9" s="109"/>
      <c r="D9" s="110" t="s">
        <v>1001</v>
      </c>
      <c r="E9" s="111">
        <v>0.75</v>
      </c>
      <c r="F9" s="112"/>
      <c r="G9" s="112">
        <f>ROUND(D8*ROUND(E9*G8, 5), 4)</f>
        <v>5.7285000000000004</v>
      </c>
      <c r="H9" s="112">
        <f>ROUND(D8*ROUND(E9*H8, 5), 4)</f>
        <v>1.8975</v>
      </c>
      <c r="I9" s="112"/>
      <c r="J9" s="112"/>
      <c r="K9" s="112"/>
      <c r="L9" s="112"/>
      <c r="M9" s="112"/>
      <c r="N9" s="108"/>
      <c r="R9" s="79">
        <v>1</v>
      </c>
    </row>
    <row r="10" spans="1:18" ht="23.1" customHeight="1">
      <c r="A10" s="103" t="s">
        <v>714</v>
      </c>
      <c r="B10" s="103" t="s">
        <v>1002</v>
      </c>
      <c r="C10" s="104" t="s">
        <v>366</v>
      </c>
      <c r="D10" s="105">
        <v>1</v>
      </c>
      <c r="E10" s="106">
        <v>1</v>
      </c>
      <c r="F10" s="105">
        <f>ROUND(D10*E10, 4)</f>
        <v>1</v>
      </c>
      <c r="G10" s="105">
        <v>1.3520000000000001</v>
      </c>
      <c r="H10" s="105">
        <v>0.44800000000000001</v>
      </c>
      <c r="I10" s="105"/>
      <c r="J10" s="105"/>
      <c r="K10" s="105"/>
      <c r="L10" s="105"/>
      <c r="M10" s="105"/>
      <c r="N10" s="107"/>
    </row>
    <row r="11" spans="1:18" ht="23.1" customHeight="1">
      <c r="A11" s="108"/>
      <c r="B11" s="108"/>
      <c r="C11" s="109"/>
      <c r="D11" s="110" t="s">
        <v>1001</v>
      </c>
      <c r="E11" s="111">
        <v>0.75</v>
      </c>
      <c r="F11" s="112"/>
      <c r="G11" s="112">
        <f>ROUND(D10*ROUND(E11*G10, 5), 4)</f>
        <v>1.014</v>
      </c>
      <c r="H11" s="112">
        <f>ROUND(D10*ROUND(E11*H10, 5), 4)</f>
        <v>0.33600000000000002</v>
      </c>
      <c r="I11" s="112"/>
      <c r="J11" s="112"/>
      <c r="K11" s="112"/>
      <c r="L11" s="112"/>
      <c r="M11" s="112"/>
      <c r="N11" s="108"/>
      <c r="R11" s="79">
        <v>1</v>
      </c>
    </row>
    <row r="12" spans="1:18" ht="23.1" customHeight="1">
      <c r="A12" s="103" t="s">
        <v>716</v>
      </c>
      <c r="B12" s="103" t="s">
        <v>1000</v>
      </c>
      <c r="C12" s="104" t="s">
        <v>948</v>
      </c>
      <c r="D12" s="105">
        <v>1</v>
      </c>
      <c r="E12" s="106">
        <v>1</v>
      </c>
      <c r="F12" s="105">
        <f>ROUND(D12*E12, 4)</f>
        <v>1</v>
      </c>
      <c r="G12" s="105">
        <v>7.6379999999999999</v>
      </c>
      <c r="H12" s="105">
        <v>2.5299999999999998</v>
      </c>
      <c r="I12" s="105"/>
      <c r="J12" s="105"/>
      <c r="K12" s="105"/>
      <c r="L12" s="105"/>
      <c r="M12" s="105"/>
      <c r="N12" s="107"/>
    </row>
    <row r="13" spans="1:18" ht="23.1" customHeight="1">
      <c r="A13" s="108"/>
      <c r="B13" s="108"/>
      <c r="C13" s="109"/>
      <c r="D13" s="110" t="s">
        <v>1001</v>
      </c>
      <c r="E13" s="111">
        <v>0.75</v>
      </c>
      <c r="F13" s="112"/>
      <c r="G13" s="112">
        <f>ROUND(D12*ROUND(E13*G12, 5), 4)</f>
        <v>5.7285000000000004</v>
      </c>
      <c r="H13" s="112">
        <f>ROUND(D12*ROUND(E13*H12, 5), 4)</f>
        <v>1.8975</v>
      </c>
      <c r="I13" s="112"/>
      <c r="J13" s="112"/>
      <c r="K13" s="112"/>
      <c r="L13" s="112"/>
      <c r="M13" s="112"/>
      <c r="N13" s="108"/>
      <c r="R13" s="79">
        <v>1</v>
      </c>
    </row>
    <row r="14" spans="1:18" ht="23.1" customHeight="1">
      <c r="A14" s="103" t="s">
        <v>723</v>
      </c>
      <c r="B14" s="103" t="s">
        <v>724</v>
      </c>
      <c r="C14" s="104" t="s">
        <v>725</v>
      </c>
      <c r="D14" s="105">
        <v>1</v>
      </c>
      <c r="E14" s="106">
        <v>1</v>
      </c>
      <c r="F14" s="105">
        <f>ROUND(D14*E14, 4)</f>
        <v>1</v>
      </c>
      <c r="G14" s="105">
        <v>0.83</v>
      </c>
      <c r="H14" s="105">
        <v>0.26500000000000001</v>
      </c>
      <c r="I14" s="105"/>
      <c r="J14" s="105"/>
      <c r="K14" s="105"/>
      <c r="L14" s="105"/>
      <c r="M14" s="105"/>
      <c r="N14" s="107"/>
    </row>
    <row r="15" spans="1:18" ht="23.1" customHeight="1">
      <c r="A15" s="108"/>
      <c r="B15" s="108"/>
      <c r="C15" s="109"/>
      <c r="D15" s="110" t="s">
        <v>1003</v>
      </c>
      <c r="E15" s="111">
        <v>0.75</v>
      </c>
      <c r="F15" s="112"/>
      <c r="G15" s="112">
        <f>ROUND(D14*ROUND(E15*G14, 5), 4)</f>
        <v>0.62250000000000005</v>
      </c>
      <c r="H15" s="112">
        <f>ROUND(D14*ROUND(E15*H14, 5), 4)</f>
        <v>0.1988</v>
      </c>
      <c r="I15" s="112"/>
      <c r="J15" s="112"/>
      <c r="K15" s="112"/>
      <c r="L15" s="112"/>
      <c r="M15" s="112"/>
      <c r="N15" s="108"/>
      <c r="R15" s="79">
        <v>1</v>
      </c>
    </row>
    <row r="16" spans="1:18" ht="23.1" customHeight="1">
      <c r="A16" s="103" t="s">
        <v>723</v>
      </c>
      <c r="B16" s="103" t="s">
        <v>726</v>
      </c>
      <c r="C16" s="104" t="s">
        <v>725</v>
      </c>
      <c r="D16" s="105">
        <v>2</v>
      </c>
      <c r="E16" s="106">
        <v>1</v>
      </c>
      <c r="F16" s="105">
        <f>ROUND(D16*E16, 4)</f>
        <v>2</v>
      </c>
      <c r="G16" s="105">
        <v>1.988</v>
      </c>
      <c r="H16" s="105">
        <v>0.63400000000000001</v>
      </c>
      <c r="I16" s="105"/>
      <c r="J16" s="105"/>
      <c r="K16" s="105"/>
      <c r="L16" s="105"/>
      <c r="M16" s="105"/>
      <c r="N16" s="107"/>
    </row>
    <row r="17" spans="1:18" ht="23.1" customHeight="1">
      <c r="A17" s="108"/>
      <c r="B17" s="108"/>
      <c r="C17" s="109"/>
      <c r="D17" s="110" t="s">
        <v>1003</v>
      </c>
      <c r="E17" s="111">
        <v>0.75</v>
      </c>
      <c r="F17" s="112"/>
      <c r="G17" s="112">
        <f>ROUND(D16*ROUND(E17*G16, 5), 4)</f>
        <v>2.9820000000000002</v>
      </c>
      <c r="H17" s="112">
        <f>ROUND(D16*ROUND(E17*H16, 5), 4)</f>
        <v>0.95099999999999996</v>
      </c>
      <c r="I17" s="112"/>
      <c r="J17" s="112"/>
      <c r="K17" s="112"/>
      <c r="L17" s="112"/>
      <c r="M17" s="112"/>
      <c r="N17" s="108"/>
      <c r="R17" s="79">
        <v>1</v>
      </c>
    </row>
    <row r="18" spans="1:18" ht="23.1" customHeight="1">
      <c r="A18" s="103" t="s">
        <v>727</v>
      </c>
      <c r="B18" s="103" t="s">
        <v>728</v>
      </c>
      <c r="C18" s="104" t="s">
        <v>366</v>
      </c>
      <c r="D18" s="105">
        <v>2</v>
      </c>
      <c r="E18" s="106">
        <v>1</v>
      </c>
      <c r="F18" s="105">
        <f>ROUND(D18*E18, 4)</f>
        <v>2</v>
      </c>
      <c r="G18" s="105">
        <v>0.4</v>
      </c>
      <c r="H18" s="105"/>
      <c r="I18" s="105"/>
      <c r="J18" s="105"/>
      <c r="K18" s="105"/>
      <c r="L18" s="105"/>
      <c r="M18" s="105"/>
      <c r="N18" s="107"/>
    </row>
    <row r="19" spans="1:18" ht="23.1" customHeight="1">
      <c r="A19" s="108"/>
      <c r="B19" s="108"/>
      <c r="C19" s="109"/>
      <c r="D19" s="110" t="s">
        <v>1004</v>
      </c>
      <c r="E19" s="111">
        <v>0.75</v>
      </c>
      <c r="F19" s="112"/>
      <c r="G19" s="112">
        <f>ROUND(D18*ROUND(E19*G18, 5), 4)</f>
        <v>0.6</v>
      </c>
      <c r="H19" s="112"/>
      <c r="I19" s="112"/>
      <c r="J19" s="112"/>
      <c r="K19" s="112"/>
      <c r="L19" s="112"/>
      <c r="M19" s="112"/>
      <c r="N19" s="108"/>
      <c r="R19" s="79">
        <v>1</v>
      </c>
    </row>
    <row r="20" spans="1:18" ht="23.1" customHeight="1">
      <c r="A20" s="113" t="s">
        <v>734</v>
      </c>
      <c r="B20" s="114"/>
      <c r="C20" s="113"/>
      <c r="D20" s="115"/>
      <c r="E20" s="115"/>
      <c r="F20" s="115"/>
      <c r="G20" s="115">
        <f>SUMIF(R6:R19, "1", G6:G19)</f>
        <v>16.675500000000003</v>
      </c>
      <c r="H20" s="115">
        <f>SUMIF(R6:R19, "1", H6:H19)</f>
        <v>5.2808000000000002</v>
      </c>
      <c r="I20" s="115"/>
      <c r="J20" s="115"/>
      <c r="K20" s="115"/>
      <c r="L20" s="115"/>
      <c r="M20" s="115"/>
      <c r="N20" s="114"/>
    </row>
    <row r="21" spans="1:18" ht="23.1" customHeight="1">
      <c r="A21" s="116"/>
      <c r="B21" s="116"/>
      <c r="C21" s="117"/>
      <c r="D21" s="118"/>
      <c r="E21" s="118"/>
      <c r="F21" s="118"/>
      <c r="G21" s="118">
        <f>ROUND(G20*100/100, 2)</f>
        <v>16.68</v>
      </c>
      <c r="H21" s="118">
        <f>ROUND(H20*100/100, 2)</f>
        <v>5.28</v>
      </c>
      <c r="I21" s="118"/>
      <c r="J21" s="118"/>
      <c r="K21" s="118"/>
      <c r="L21" s="118"/>
      <c r="M21" s="118"/>
      <c r="N21" s="116"/>
    </row>
    <row r="22" spans="1:18" ht="23.1" customHeight="1">
      <c r="A22" s="96" t="s">
        <v>735</v>
      </c>
      <c r="B22" s="96"/>
      <c r="C22" s="97"/>
      <c r="D22" s="98"/>
      <c r="E22" s="98"/>
      <c r="F22" s="98"/>
      <c r="G22" s="98" t="s">
        <v>838</v>
      </c>
      <c r="H22" s="98" t="s">
        <v>452</v>
      </c>
      <c r="I22" s="98"/>
      <c r="J22" s="98"/>
      <c r="K22" s="98"/>
      <c r="L22" s="98"/>
      <c r="M22" s="98"/>
      <c r="N22" s="96"/>
    </row>
    <row r="23" spans="1:18" ht="23.1" customHeight="1">
      <c r="A23" s="99"/>
      <c r="B23" s="99"/>
      <c r="C23" s="100"/>
      <c r="D23" s="101"/>
      <c r="E23" s="101"/>
      <c r="F23" s="101"/>
      <c r="G23" s="102">
        <v>238145</v>
      </c>
      <c r="H23" s="102">
        <v>169804</v>
      </c>
      <c r="I23" s="101">
        <v>0</v>
      </c>
      <c r="J23" s="101">
        <v>0</v>
      </c>
      <c r="K23" s="101">
        <v>0</v>
      </c>
      <c r="L23" s="101">
        <v>0</v>
      </c>
      <c r="M23" s="101">
        <v>0</v>
      </c>
      <c r="N23" s="99"/>
    </row>
    <row r="24" spans="1:18" ht="23.1" customHeight="1">
      <c r="A24" s="103" t="s">
        <v>740</v>
      </c>
      <c r="B24" s="103" t="s">
        <v>741</v>
      </c>
      <c r="C24" s="104" t="s">
        <v>742</v>
      </c>
      <c r="D24" s="105">
        <v>2</v>
      </c>
      <c r="E24" s="106">
        <v>1.1000000000000001</v>
      </c>
      <c r="F24" s="105">
        <f>ROUNDUP(D24*E24, 0)</f>
        <v>3</v>
      </c>
      <c r="G24" s="105">
        <v>5.6000000000000001E-2</v>
      </c>
      <c r="H24" s="105">
        <v>1.9E-2</v>
      </c>
      <c r="I24" s="105"/>
      <c r="J24" s="105"/>
      <c r="K24" s="105"/>
      <c r="L24" s="105"/>
      <c r="M24" s="105"/>
      <c r="N24" s="107"/>
    </row>
    <row r="25" spans="1:18" ht="23.1" customHeight="1">
      <c r="A25" s="108"/>
      <c r="B25" s="108"/>
      <c r="C25" s="109"/>
      <c r="D25" s="110" t="s">
        <v>1005</v>
      </c>
      <c r="E25" s="111">
        <v>0.75</v>
      </c>
      <c r="F25" s="112"/>
      <c r="G25" s="112">
        <f>ROUND(D24*ROUND(E25*G24, 5), 4)</f>
        <v>8.4000000000000005E-2</v>
      </c>
      <c r="H25" s="112">
        <f>ROUND(D24*ROUND(E25*H24, 5), 4)</f>
        <v>2.8500000000000001E-2</v>
      </c>
      <c r="I25" s="112"/>
      <c r="J25" s="112"/>
      <c r="K25" s="112"/>
      <c r="L25" s="112"/>
      <c r="M25" s="112"/>
      <c r="N25" s="108"/>
      <c r="R25" s="79">
        <v>1</v>
      </c>
    </row>
    <row r="26" spans="1:18" ht="23.1" customHeight="1">
      <c r="A26" s="103" t="s">
        <v>740</v>
      </c>
      <c r="B26" s="103" t="s">
        <v>743</v>
      </c>
      <c r="C26" s="104" t="s">
        <v>742</v>
      </c>
      <c r="D26" s="105">
        <v>4</v>
      </c>
      <c r="E26" s="106">
        <v>1.1000000000000001</v>
      </c>
      <c r="F26" s="105">
        <f>ROUNDUP(D26*E26, 0)</f>
        <v>5</v>
      </c>
      <c r="G26" s="105" t="s">
        <v>1006</v>
      </c>
      <c r="H26" s="105" t="s">
        <v>1007</v>
      </c>
      <c r="I26" s="105"/>
      <c r="J26" s="105"/>
      <c r="K26" s="105"/>
      <c r="L26" s="105"/>
      <c r="M26" s="105"/>
      <c r="N26" s="107"/>
    </row>
    <row r="27" spans="1:18" ht="23.1" customHeight="1">
      <c r="A27" s="108"/>
      <c r="B27" s="108"/>
      <c r="C27" s="109"/>
      <c r="D27" s="110" t="s">
        <v>1008</v>
      </c>
      <c r="E27" s="111">
        <v>0.75</v>
      </c>
      <c r="F27" s="112"/>
      <c r="G27" s="112">
        <f>ROUND(D26*0.0559, 4)</f>
        <v>0.22359999999999999</v>
      </c>
      <c r="H27" s="112">
        <f>ROUND(D26*0.0338, 4)</f>
        <v>0.13519999999999999</v>
      </c>
      <c r="I27" s="112"/>
      <c r="J27" s="112"/>
      <c r="K27" s="112"/>
      <c r="L27" s="112"/>
      <c r="M27" s="112"/>
      <c r="N27" s="108"/>
      <c r="R27" s="79">
        <v>1</v>
      </c>
    </row>
    <row r="28" spans="1:18" ht="23.1" customHeight="1">
      <c r="A28" s="103" t="s">
        <v>740</v>
      </c>
      <c r="B28" s="103" t="s">
        <v>744</v>
      </c>
      <c r="C28" s="104" t="s">
        <v>742</v>
      </c>
      <c r="D28" s="105">
        <v>6</v>
      </c>
      <c r="E28" s="106">
        <v>1.1000000000000001</v>
      </c>
      <c r="F28" s="105">
        <f>ROUNDUP(D28*E28, 0)</f>
        <v>7</v>
      </c>
      <c r="G28" s="105" t="s">
        <v>1009</v>
      </c>
      <c r="H28" s="105" t="s">
        <v>1010</v>
      </c>
      <c r="I28" s="105"/>
      <c r="J28" s="105"/>
      <c r="K28" s="105"/>
      <c r="L28" s="105"/>
      <c r="M28" s="105"/>
      <c r="N28" s="107"/>
    </row>
    <row r="29" spans="1:18" ht="23.1" customHeight="1">
      <c r="A29" s="108"/>
      <c r="B29" s="108"/>
      <c r="C29" s="109"/>
      <c r="D29" s="110" t="s">
        <v>1008</v>
      </c>
      <c r="E29" s="111">
        <v>0.75</v>
      </c>
      <c r="F29" s="112"/>
      <c r="G29" s="112">
        <f>ROUND(D28*0.0962, 4)</f>
        <v>0.57720000000000005</v>
      </c>
      <c r="H29" s="112">
        <f>ROUND(D28*0.0481, 4)</f>
        <v>0.28860000000000002</v>
      </c>
      <c r="I29" s="112"/>
      <c r="J29" s="112"/>
      <c r="K29" s="112"/>
      <c r="L29" s="112"/>
      <c r="M29" s="112"/>
      <c r="N29" s="108"/>
      <c r="R29" s="79">
        <v>1</v>
      </c>
    </row>
    <row r="30" spans="1:18" ht="23.1" customHeight="1">
      <c r="A30" s="103" t="s">
        <v>740</v>
      </c>
      <c r="B30" s="103" t="s">
        <v>744</v>
      </c>
      <c r="C30" s="104" t="s">
        <v>742</v>
      </c>
      <c r="D30" s="105">
        <v>6</v>
      </c>
      <c r="E30" s="106">
        <v>1.1000000000000001</v>
      </c>
      <c r="F30" s="105">
        <f>ROUNDUP(D30*E30, 0)</f>
        <v>7</v>
      </c>
      <c r="G30" s="105">
        <v>0.13</v>
      </c>
      <c r="H30" s="105">
        <v>4.2999999999999997E-2</v>
      </c>
      <c r="I30" s="105"/>
      <c r="J30" s="105"/>
      <c r="K30" s="105"/>
      <c r="L30" s="105"/>
      <c r="M30" s="105"/>
      <c r="N30" s="107"/>
    </row>
    <row r="31" spans="1:18" ht="23.1" customHeight="1">
      <c r="A31" s="108"/>
      <c r="B31" s="108"/>
      <c r="C31" s="109"/>
      <c r="D31" s="110" t="s">
        <v>1005</v>
      </c>
      <c r="E31" s="111">
        <v>0.75</v>
      </c>
      <c r="F31" s="112"/>
      <c r="G31" s="112">
        <f>ROUND(D30*ROUND(E31*G30, 5), 4)</f>
        <v>0.58499999999999996</v>
      </c>
      <c r="H31" s="112">
        <f>ROUND(D30*ROUND(E31*H30, 5), 4)</f>
        <v>0.19350000000000001</v>
      </c>
      <c r="I31" s="112"/>
      <c r="J31" s="112"/>
      <c r="K31" s="112"/>
      <c r="L31" s="112"/>
      <c r="M31" s="112"/>
      <c r="N31" s="108"/>
      <c r="R31" s="79">
        <v>1</v>
      </c>
    </row>
    <row r="32" spans="1:18" ht="23.1" customHeight="1">
      <c r="A32" s="103" t="s">
        <v>740</v>
      </c>
      <c r="B32" s="103" t="s">
        <v>745</v>
      </c>
      <c r="C32" s="104" t="s">
        <v>742</v>
      </c>
      <c r="D32" s="105">
        <v>14</v>
      </c>
      <c r="E32" s="106">
        <v>1.1000000000000001</v>
      </c>
      <c r="F32" s="105">
        <f>ROUNDUP(D32*E32, 0)</f>
        <v>16</v>
      </c>
      <c r="G32" s="105" t="s">
        <v>1011</v>
      </c>
      <c r="H32" s="105" t="s">
        <v>1012</v>
      </c>
      <c r="I32" s="105"/>
      <c r="J32" s="105"/>
      <c r="K32" s="105"/>
      <c r="L32" s="105"/>
      <c r="M32" s="105"/>
      <c r="N32" s="107"/>
    </row>
    <row r="33" spans="1:18" ht="23.1" customHeight="1">
      <c r="A33" s="108"/>
      <c r="B33" s="108"/>
      <c r="C33" s="109"/>
      <c r="D33" s="110" t="s">
        <v>1008</v>
      </c>
      <c r="E33" s="111">
        <v>0.75</v>
      </c>
      <c r="F33" s="112"/>
      <c r="G33" s="112">
        <f>ROUND(D32*0.2015, 4)</f>
        <v>2.8210000000000002</v>
      </c>
      <c r="H33" s="112">
        <f>ROUND(D32*0.0845, 4)</f>
        <v>1.1830000000000001</v>
      </c>
      <c r="I33" s="112"/>
      <c r="J33" s="112"/>
      <c r="K33" s="112"/>
      <c r="L33" s="112"/>
      <c r="M33" s="112"/>
      <c r="N33" s="108"/>
      <c r="R33" s="79">
        <v>1</v>
      </c>
    </row>
    <row r="34" spans="1:18" ht="23.1" customHeight="1">
      <c r="A34" s="103" t="s">
        <v>740</v>
      </c>
      <c r="B34" s="103" t="s">
        <v>746</v>
      </c>
      <c r="C34" s="104" t="s">
        <v>742</v>
      </c>
      <c r="D34" s="105">
        <v>32</v>
      </c>
      <c r="E34" s="106">
        <v>1.1000000000000001</v>
      </c>
      <c r="F34" s="105">
        <f>ROUNDUP(D34*E34, 0)</f>
        <v>36</v>
      </c>
      <c r="G34" s="105" t="s">
        <v>1013</v>
      </c>
      <c r="H34" s="105" t="s">
        <v>1014</v>
      </c>
      <c r="I34" s="105"/>
      <c r="J34" s="105"/>
      <c r="K34" s="105"/>
      <c r="L34" s="105"/>
      <c r="M34" s="105"/>
      <c r="N34" s="107"/>
    </row>
    <row r="35" spans="1:18" ht="23.1" customHeight="1">
      <c r="A35" s="108"/>
      <c r="B35" s="108"/>
      <c r="C35" s="109"/>
      <c r="D35" s="110" t="s">
        <v>1008</v>
      </c>
      <c r="E35" s="111">
        <v>0.75</v>
      </c>
      <c r="F35" s="112"/>
      <c r="G35" s="112">
        <f>ROUND(D34*0.3068, 4)</f>
        <v>9.8176000000000005</v>
      </c>
      <c r="H35" s="112">
        <f>ROUND(D34*0.1209, 4)</f>
        <v>3.8687999999999998</v>
      </c>
      <c r="I35" s="112"/>
      <c r="J35" s="112"/>
      <c r="K35" s="112"/>
      <c r="L35" s="112"/>
      <c r="M35" s="112"/>
      <c r="N35" s="108"/>
      <c r="R35" s="79">
        <v>1</v>
      </c>
    </row>
    <row r="36" spans="1:18" ht="23.1" customHeight="1">
      <c r="A36" s="103" t="s">
        <v>783</v>
      </c>
      <c r="B36" s="103" t="s">
        <v>784</v>
      </c>
      <c r="C36" s="104" t="s">
        <v>343</v>
      </c>
      <c r="D36" s="105">
        <v>2</v>
      </c>
      <c r="E36" s="106">
        <v>1</v>
      </c>
      <c r="F36" s="105">
        <f>ROUND(D36*E36, 4)</f>
        <v>2</v>
      </c>
      <c r="G36" s="105">
        <v>1.03</v>
      </c>
      <c r="H36" s="105"/>
      <c r="I36" s="105"/>
      <c r="J36" s="105"/>
      <c r="K36" s="105"/>
      <c r="L36" s="105"/>
      <c r="M36" s="105"/>
      <c r="N36" s="107"/>
    </row>
    <row r="37" spans="1:18" ht="23.1" customHeight="1">
      <c r="A37" s="108"/>
      <c r="B37" s="108"/>
      <c r="C37" s="109"/>
      <c r="D37" s="110" t="s">
        <v>1015</v>
      </c>
      <c r="E37" s="111">
        <v>0.75</v>
      </c>
      <c r="F37" s="112"/>
      <c r="G37" s="112">
        <f>ROUND(D36*ROUND(E37*G36, 5), 4)</f>
        <v>1.5449999999999999</v>
      </c>
      <c r="H37" s="112"/>
      <c r="I37" s="112"/>
      <c r="J37" s="112"/>
      <c r="K37" s="112"/>
      <c r="L37" s="112"/>
      <c r="M37" s="112"/>
      <c r="N37" s="108"/>
      <c r="R37" s="79">
        <v>1</v>
      </c>
    </row>
    <row r="38" spans="1:18" ht="23.1" customHeight="1">
      <c r="A38" s="103" t="s">
        <v>785</v>
      </c>
      <c r="B38" s="103" t="s">
        <v>786</v>
      </c>
      <c r="C38" s="104" t="s">
        <v>343</v>
      </c>
      <c r="D38" s="105">
        <v>2</v>
      </c>
      <c r="E38" s="106">
        <v>1</v>
      </c>
      <c r="F38" s="105">
        <f>ROUND(D38*E38, 4)</f>
        <v>2</v>
      </c>
      <c r="G38" s="105">
        <v>0.214</v>
      </c>
      <c r="H38" s="105">
        <v>0.105</v>
      </c>
      <c r="I38" s="105"/>
      <c r="J38" s="105"/>
      <c r="K38" s="105"/>
      <c r="L38" s="105"/>
      <c r="M38" s="105"/>
      <c r="N38" s="107"/>
    </row>
    <row r="39" spans="1:18" ht="23.1" customHeight="1">
      <c r="A39" s="108"/>
      <c r="B39" s="108"/>
      <c r="C39" s="109"/>
      <c r="D39" s="110" t="s">
        <v>1016</v>
      </c>
      <c r="E39" s="111">
        <v>0.75</v>
      </c>
      <c r="F39" s="112"/>
      <c r="G39" s="112">
        <f>ROUND(D38*ROUND(E39*G38, 5), 4)</f>
        <v>0.32100000000000001</v>
      </c>
      <c r="H39" s="112">
        <f>ROUND(D38*ROUND(E39*H38, 5), 4)</f>
        <v>0.1575</v>
      </c>
      <c r="I39" s="112"/>
      <c r="J39" s="112"/>
      <c r="K39" s="112"/>
      <c r="L39" s="112"/>
      <c r="M39" s="112"/>
      <c r="N39" s="108"/>
      <c r="R39" s="79">
        <v>1</v>
      </c>
    </row>
    <row r="40" spans="1:18" ht="23.1" customHeight="1">
      <c r="A40" s="103" t="s">
        <v>787</v>
      </c>
      <c r="B40" s="103" t="s">
        <v>788</v>
      </c>
      <c r="C40" s="104" t="s">
        <v>343</v>
      </c>
      <c r="D40" s="105">
        <v>2</v>
      </c>
      <c r="E40" s="106">
        <v>1</v>
      </c>
      <c r="F40" s="105">
        <f>ROUND(D40*E40, 4)</f>
        <v>2</v>
      </c>
      <c r="G40" s="105">
        <v>7.3999999999999996E-2</v>
      </c>
      <c r="H40" s="105"/>
      <c r="I40" s="105"/>
      <c r="J40" s="105"/>
      <c r="K40" s="105"/>
      <c r="L40" s="105"/>
      <c r="M40" s="105"/>
      <c r="N40" s="107"/>
    </row>
    <row r="41" spans="1:18" ht="23.1" customHeight="1">
      <c r="A41" s="108"/>
      <c r="B41" s="108"/>
      <c r="C41" s="109"/>
      <c r="D41" s="110" t="s">
        <v>1016</v>
      </c>
      <c r="E41" s="111">
        <v>0.75</v>
      </c>
      <c r="F41" s="112"/>
      <c r="G41" s="112">
        <f>ROUND(D40*ROUND(E41*G40, 5), 4)</f>
        <v>0.111</v>
      </c>
      <c r="H41" s="112"/>
      <c r="I41" s="112"/>
      <c r="J41" s="112"/>
      <c r="K41" s="112"/>
      <c r="L41" s="112"/>
      <c r="M41" s="112"/>
      <c r="N41" s="108"/>
      <c r="R41" s="79">
        <v>1</v>
      </c>
    </row>
    <row r="42" spans="1:18" ht="23.1" customHeight="1">
      <c r="A42" s="103" t="s">
        <v>787</v>
      </c>
      <c r="B42" s="103" t="s">
        <v>789</v>
      </c>
      <c r="C42" s="104" t="s">
        <v>343</v>
      </c>
      <c r="D42" s="105">
        <v>4</v>
      </c>
      <c r="E42" s="106">
        <v>1</v>
      </c>
      <c r="F42" s="105">
        <f>ROUND(D42*E42, 4)</f>
        <v>4</v>
      </c>
      <c r="G42" s="105">
        <v>0.34300000000000003</v>
      </c>
      <c r="H42" s="105">
        <v>0.14699999999999999</v>
      </c>
      <c r="I42" s="105"/>
      <c r="J42" s="105"/>
      <c r="K42" s="105"/>
      <c r="L42" s="105"/>
      <c r="M42" s="105"/>
      <c r="N42" s="107"/>
    </row>
    <row r="43" spans="1:18" ht="23.1" customHeight="1">
      <c r="A43" s="108"/>
      <c r="B43" s="108"/>
      <c r="C43" s="109"/>
      <c r="D43" s="110" t="s">
        <v>1016</v>
      </c>
      <c r="E43" s="111">
        <v>0.75</v>
      </c>
      <c r="F43" s="112"/>
      <c r="G43" s="112">
        <f>ROUND(D42*ROUND(E43*G42, 5), 4)</f>
        <v>1.0289999999999999</v>
      </c>
      <c r="H43" s="112">
        <f>ROUND(D42*ROUND(E43*H42, 5), 4)</f>
        <v>0.441</v>
      </c>
      <c r="I43" s="112"/>
      <c r="J43" s="112"/>
      <c r="K43" s="112"/>
      <c r="L43" s="112"/>
      <c r="M43" s="112"/>
      <c r="N43" s="108"/>
      <c r="R43" s="79">
        <v>1</v>
      </c>
    </row>
    <row r="44" spans="1:18" ht="23.1" customHeight="1">
      <c r="A44" s="103" t="s">
        <v>787</v>
      </c>
      <c r="B44" s="103" t="s">
        <v>786</v>
      </c>
      <c r="C44" s="104" t="s">
        <v>343</v>
      </c>
      <c r="D44" s="105">
        <v>2</v>
      </c>
      <c r="E44" s="106">
        <v>1</v>
      </c>
      <c r="F44" s="105">
        <f>ROUND(D44*E44, 4)</f>
        <v>2</v>
      </c>
      <c r="G44" s="105">
        <v>0.214</v>
      </c>
      <c r="H44" s="105">
        <v>0.105</v>
      </c>
      <c r="I44" s="105"/>
      <c r="J44" s="105"/>
      <c r="K44" s="105"/>
      <c r="L44" s="105"/>
      <c r="M44" s="105"/>
      <c r="N44" s="107"/>
    </row>
    <row r="45" spans="1:18" ht="23.1" customHeight="1">
      <c r="A45" s="108"/>
      <c r="B45" s="108"/>
      <c r="C45" s="109"/>
      <c r="D45" s="110" t="s">
        <v>1016</v>
      </c>
      <c r="E45" s="111">
        <v>0.75</v>
      </c>
      <c r="F45" s="112"/>
      <c r="G45" s="112">
        <f>ROUND(D44*ROUND(E45*G44, 5), 4)</f>
        <v>0.32100000000000001</v>
      </c>
      <c r="H45" s="112">
        <f>ROUND(D44*ROUND(E45*H44, 5), 4)</f>
        <v>0.1575</v>
      </c>
      <c r="I45" s="112"/>
      <c r="J45" s="112"/>
      <c r="K45" s="112"/>
      <c r="L45" s="112"/>
      <c r="M45" s="112"/>
      <c r="N45" s="108"/>
      <c r="R45" s="79">
        <v>1</v>
      </c>
    </row>
    <row r="46" spans="1:18" ht="23.1" customHeight="1">
      <c r="A46" s="103" t="s">
        <v>790</v>
      </c>
      <c r="B46" s="103" t="s">
        <v>791</v>
      </c>
      <c r="C46" s="104" t="s">
        <v>343</v>
      </c>
      <c r="D46" s="105">
        <v>1</v>
      </c>
      <c r="E46" s="106">
        <v>1</v>
      </c>
      <c r="F46" s="105">
        <f>ROUND(D46*E46, 4)</f>
        <v>1</v>
      </c>
      <c r="G46" s="105">
        <v>7.3999999999999996E-2</v>
      </c>
      <c r="H46" s="105"/>
      <c r="I46" s="105"/>
      <c r="J46" s="105"/>
      <c r="K46" s="105"/>
      <c r="L46" s="105"/>
      <c r="M46" s="105"/>
      <c r="N46" s="107"/>
    </row>
    <row r="47" spans="1:18" ht="23.1" customHeight="1">
      <c r="A47" s="108"/>
      <c r="B47" s="108"/>
      <c r="C47" s="109"/>
      <c r="D47" s="110" t="s">
        <v>1016</v>
      </c>
      <c r="E47" s="111">
        <v>0.75</v>
      </c>
      <c r="F47" s="112"/>
      <c r="G47" s="112">
        <f>ROUND(D46*ROUND(E47*G46, 5), 4)</f>
        <v>5.5500000000000001E-2</v>
      </c>
      <c r="H47" s="112"/>
      <c r="I47" s="112"/>
      <c r="J47" s="112"/>
      <c r="K47" s="112"/>
      <c r="L47" s="112"/>
      <c r="M47" s="112"/>
      <c r="N47" s="108"/>
      <c r="R47" s="79">
        <v>1</v>
      </c>
    </row>
    <row r="48" spans="1:18" ht="23.1" customHeight="1">
      <c r="A48" s="103" t="s">
        <v>790</v>
      </c>
      <c r="B48" s="103" t="s">
        <v>792</v>
      </c>
      <c r="C48" s="104" t="s">
        <v>343</v>
      </c>
      <c r="D48" s="105">
        <v>2</v>
      </c>
      <c r="E48" s="106">
        <v>1</v>
      </c>
      <c r="F48" s="105">
        <f>ROUND(D48*E48, 4)</f>
        <v>2</v>
      </c>
      <c r="G48" s="105">
        <v>0.34300000000000003</v>
      </c>
      <c r="H48" s="105">
        <v>0.14699999999999999</v>
      </c>
      <c r="I48" s="105"/>
      <c r="J48" s="105"/>
      <c r="K48" s="105"/>
      <c r="L48" s="105"/>
      <c r="M48" s="105"/>
      <c r="N48" s="107"/>
    </row>
    <row r="49" spans="1:18" ht="23.1" customHeight="1">
      <c r="A49" s="108"/>
      <c r="B49" s="108"/>
      <c r="C49" s="109"/>
      <c r="D49" s="110" t="s">
        <v>1016</v>
      </c>
      <c r="E49" s="111">
        <v>0.75</v>
      </c>
      <c r="F49" s="112"/>
      <c r="G49" s="112">
        <f>ROUND(D48*ROUND(E49*G48, 5), 4)</f>
        <v>0.51449999999999996</v>
      </c>
      <c r="H49" s="112">
        <f>ROUND(D48*ROUND(E49*H48, 5), 4)</f>
        <v>0.2205</v>
      </c>
      <c r="I49" s="112"/>
      <c r="J49" s="112"/>
      <c r="K49" s="112"/>
      <c r="L49" s="112"/>
      <c r="M49" s="112"/>
      <c r="N49" s="108"/>
      <c r="R49" s="79">
        <v>1</v>
      </c>
    </row>
    <row r="50" spans="1:18" ht="23.1" customHeight="1">
      <c r="A50" s="103" t="s">
        <v>790</v>
      </c>
      <c r="B50" s="103" t="s">
        <v>793</v>
      </c>
      <c r="C50" s="104" t="s">
        <v>343</v>
      </c>
      <c r="D50" s="105">
        <v>1</v>
      </c>
      <c r="E50" s="106">
        <v>1</v>
      </c>
      <c r="F50" s="105">
        <f>ROUND(D50*E50, 4)</f>
        <v>1</v>
      </c>
      <c r="G50" s="105">
        <v>0.05</v>
      </c>
      <c r="H50" s="105"/>
      <c r="I50" s="105"/>
      <c r="J50" s="105"/>
      <c r="K50" s="105"/>
      <c r="L50" s="105"/>
      <c r="M50" s="105"/>
      <c r="N50" s="107"/>
    </row>
    <row r="51" spans="1:18" ht="23.1" customHeight="1">
      <c r="A51" s="108"/>
      <c r="B51" s="108"/>
      <c r="C51" s="109"/>
      <c r="D51" s="110" t="s">
        <v>1016</v>
      </c>
      <c r="E51" s="111">
        <v>0.75</v>
      </c>
      <c r="F51" s="112"/>
      <c r="G51" s="112">
        <f>ROUND(D50*ROUND(E51*G50, 5), 4)</f>
        <v>3.7499999999999999E-2</v>
      </c>
      <c r="H51" s="112"/>
      <c r="I51" s="112"/>
      <c r="J51" s="112"/>
      <c r="K51" s="112"/>
      <c r="L51" s="112"/>
      <c r="M51" s="112"/>
      <c r="N51" s="108"/>
      <c r="R51" s="79">
        <v>1</v>
      </c>
    </row>
    <row r="52" spans="1:18" ht="23.1" customHeight="1">
      <c r="A52" s="103" t="s">
        <v>794</v>
      </c>
      <c r="B52" s="103" t="s">
        <v>795</v>
      </c>
      <c r="C52" s="104" t="s">
        <v>343</v>
      </c>
      <c r="D52" s="105">
        <v>2</v>
      </c>
      <c r="E52" s="106">
        <v>1</v>
      </c>
      <c r="F52" s="105">
        <f>ROUND(D52*E52, 4)</f>
        <v>2</v>
      </c>
      <c r="G52" s="105">
        <v>8.3000000000000004E-2</v>
      </c>
      <c r="H52" s="105">
        <v>4.5999999999999999E-2</v>
      </c>
      <c r="I52" s="105"/>
      <c r="J52" s="105"/>
      <c r="K52" s="105"/>
      <c r="L52" s="105"/>
      <c r="M52" s="105"/>
      <c r="N52" s="107"/>
    </row>
    <row r="53" spans="1:18" ht="23.1" customHeight="1">
      <c r="A53" s="108"/>
      <c r="B53" s="108"/>
      <c r="C53" s="109"/>
      <c r="D53" s="110" t="s">
        <v>1017</v>
      </c>
      <c r="E53" s="111">
        <v>0.75</v>
      </c>
      <c r="F53" s="112"/>
      <c r="G53" s="112">
        <f>ROUND(D52*ROUND(E53*G52, 5), 4)</f>
        <v>0.1245</v>
      </c>
      <c r="H53" s="112">
        <f>ROUND(D52*ROUND(E53*H52, 5), 4)</f>
        <v>6.9000000000000006E-2</v>
      </c>
      <c r="I53" s="112"/>
      <c r="J53" s="112"/>
      <c r="K53" s="112"/>
      <c r="L53" s="112"/>
      <c r="M53" s="112"/>
      <c r="N53" s="108"/>
      <c r="R53" s="79">
        <v>1</v>
      </c>
    </row>
    <row r="54" spans="1:18" ht="23.1" customHeight="1">
      <c r="A54" s="103" t="s">
        <v>794</v>
      </c>
      <c r="B54" s="103" t="s">
        <v>796</v>
      </c>
      <c r="C54" s="104" t="s">
        <v>343</v>
      </c>
      <c r="D54" s="105">
        <v>4</v>
      </c>
      <c r="E54" s="106">
        <v>1</v>
      </c>
      <c r="F54" s="105">
        <f>ROUND(D54*E54, 4)</f>
        <v>4</v>
      </c>
      <c r="G54" s="105">
        <v>0.69599999999999995</v>
      </c>
      <c r="H54" s="105">
        <v>0.23699999999999999</v>
      </c>
      <c r="I54" s="105"/>
      <c r="J54" s="105"/>
      <c r="K54" s="105"/>
      <c r="L54" s="105"/>
      <c r="M54" s="105"/>
      <c r="N54" s="107"/>
    </row>
    <row r="55" spans="1:18" ht="23.1" customHeight="1">
      <c r="A55" s="108"/>
      <c r="B55" s="108"/>
      <c r="C55" s="109"/>
      <c r="D55" s="110" t="s">
        <v>1017</v>
      </c>
      <c r="E55" s="111">
        <v>0.75</v>
      </c>
      <c r="F55" s="112"/>
      <c r="G55" s="112">
        <f>ROUND(D54*ROUND(E55*G54, 5), 4)</f>
        <v>2.0880000000000001</v>
      </c>
      <c r="H55" s="112">
        <f>ROUND(D54*ROUND(E55*H54, 5), 4)</f>
        <v>0.71099999999999997</v>
      </c>
      <c r="I55" s="112"/>
      <c r="J55" s="112"/>
      <c r="K55" s="112"/>
      <c r="L55" s="112"/>
      <c r="M55" s="112"/>
      <c r="N55" s="108"/>
      <c r="R55" s="79">
        <v>1</v>
      </c>
    </row>
    <row r="56" spans="1:18" ht="23.1" customHeight="1">
      <c r="A56" s="103" t="s">
        <v>797</v>
      </c>
      <c r="B56" s="103" t="s">
        <v>798</v>
      </c>
      <c r="C56" s="104" t="s">
        <v>343</v>
      </c>
      <c r="D56" s="105">
        <v>1</v>
      </c>
      <c r="E56" s="106">
        <v>1</v>
      </c>
      <c r="F56" s="105">
        <f>ROUND(D56*E56, 4)</f>
        <v>1</v>
      </c>
      <c r="G56" s="105">
        <v>5.6000000000000001E-2</v>
      </c>
      <c r="H56" s="105"/>
      <c r="I56" s="105"/>
      <c r="J56" s="105"/>
      <c r="K56" s="105"/>
      <c r="L56" s="105"/>
      <c r="M56" s="105"/>
      <c r="N56" s="107"/>
    </row>
    <row r="57" spans="1:18" ht="23.1" customHeight="1">
      <c r="A57" s="108"/>
      <c r="B57" s="108"/>
      <c r="C57" s="109"/>
      <c r="D57" s="110" t="s">
        <v>1018</v>
      </c>
      <c r="E57" s="111">
        <v>0.75</v>
      </c>
      <c r="F57" s="112"/>
      <c r="G57" s="112">
        <f>ROUND(D56*ROUND(E57*G56, 5), 4)</f>
        <v>4.2000000000000003E-2</v>
      </c>
      <c r="H57" s="112"/>
      <c r="I57" s="112"/>
      <c r="J57" s="112"/>
      <c r="K57" s="112"/>
      <c r="L57" s="112"/>
      <c r="M57" s="112"/>
      <c r="N57" s="108"/>
      <c r="R57" s="79">
        <v>1</v>
      </c>
    </row>
    <row r="58" spans="1:18" ht="23.1" customHeight="1">
      <c r="A58" s="103" t="s">
        <v>797</v>
      </c>
      <c r="B58" s="103" t="s">
        <v>799</v>
      </c>
      <c r="C58" s="104" t="s">
        <v>343</v>
      </c>
      <c r="D58" s="105">
        <v>2</v>
      </c>
      <c r="E58" s="106">
        <v>1</v>
      </c>
      <c r="F58" s="105">
        <f>ROUND(D58*E58, 4)</f>
        <v>2</v>
      </c>
      <c r="G58" s="105">
        <v>0.22600000000000001</v>
      </c>
      <c r="H58" s="105">
        <v>7.4999999999999997E-2</v>
      </c>
      <c r="I58" s="105"/>
      <c r="J58" s="105"/>
      <c r="K58" s="105"/>
      <c r="L58" s="105"/>
      <c r="M58" s="105"/>
      <c r="N58" s="107"/>
    </row>
    <row r="59" spans="1:18" ht="23.1" customHeight="1">
      <c r="A59" s="108"/>
      <c r="B59" s="108"/>
      <c r="C59" s="109"/>
      <c r="D59" s="110" t="s">
        <v>1018</v>
      </c>
      <c r="E59" s="111">
        <v>0.75</v>
      </c>
      <c r="F59" s="112"/>
      <c r="G59" s="112">
        <f>ROUND(D58*ROUND(E59*G58, 5), 4)</f>
        <v>0.33900000000000002</v>
      </c>
      <c r="H59" s="112">
        <f>ROUND(D58*ROUND(E59*H58, 5), 4)</f>
        <v>0.1125</v>
      </c>
      <c r="I59" s="112"/>
      <c r="J59" s="112"/>
      <c r="K59" s="112"/>
      <c r="L59" s="112"/>
      <c r="M59" s="112"/>
      <c r="N59" s="108"/>
      <c r="R59" s="79">
        <v>1</v>
      </c>
    </row>
    <row r="60" spans="1:18" ht="23.1" customHeight="1">
      <c r="A60" s="103" t="s">
        <v>808</v>
      </c>
      <c r="B60" s="103" t="s">
        <v>768</v>
      </c>
      <c r="C60" s="104" t="s">
        <v>343</v>
      </c>
      <c r="D60" s="105">
        <v>2</v>
      </c>
      <c r="E60" s="106">
        <v>1</v>
      </c>
      <c r="F60" s="105">
        <f>ROUND(D60*E60, 4)</f>
        <v>2</v>
      </c>
      <c r="G60" s="105">
        <v>0.05</v>
      </c>
      <c r="H60" s="105"/>
      <c r="I60" s="105"/>
      <c r="J60" s="105"/>
      <c r="K60" s="105"/>
      <c r="L60" s="105"/>
      <c r="M60" s="105"/>
      <c r="N60" s="107"/>
    </row>
    <row r="61" spans="1:18" ht="23.1" customHeight="1">
      <c r="A61" s="108"/>
      <c r="B61" s="108"/>
      <c r="C61" s="109"/>
      <c r="D61" s="110" t="s">
        <v>1016</v>
      </c>
      <c r="E61" s="111">
        <v>0.75</v>
      </c>
      <c r="F61" s="112"/>
      <c r="G61" s="112">
        <f>ROUND(D60*ROUND(E61*G60, 5), 4)</f>
        <v>7.4999999999999997E-2</v>
      </c>
      <c r="H61" s="112"/>
      <c r="I61" s="112"/>
      <c r="J61" s="112"/>
      <c r="K61" s="112"/>
      <c r="L61" s="112"/>
      <c r="M61" s="112"/>
      <c r="N61" s="108"/>
      <c r="R61" s="79">
        <v>1</v>
      </c>
    </row>
    <row r="62" spans="1:18" ht="23.1" customHeight="1">
      <c r="A62" s="103" t="s">
        <v>812</v>
      </c>
      <c r="B62" s="103" t="s">
        <v>813</v>
      </c>
      <c r="C62" s="104" t="s">
        <v>343</v>
      </c>
      <c r="D62" s="105">
        <v>1</v>
      </c>
      <c r="E62" s="106">
        <v>1</v>
      </c>
      <c r="F62" s="105">
        <f>ROUND(D62*E62, 4)</f>
        <v>1</v>
      </c>
      <c r="G62" s="105">
        <v>7.3999999999999996E-2</v>
      </c>
      <c r="H62" s="105"/>
      <c r="I62" s="105"/>
      <c r="J62" s="105"/>
      <c r="K62" s="105"/>
      <c r="L62" s="105"/>
      <c r="M62" s="105"/>
      <c r="N62" s="107"/>
    </row>
    <row r="63" spans="1:18" ht="23.1" customHeight="1">
      <c r="A63" s="108"/>
      <c r="B63" s="108"/>
      <c r="C63" s="109"/>
      <c r="D63" s="110" t="s">
        <v>1016</v>
      </c>
      <c r="E63" s="111">
        <v>0.75</v>
      </c>
      <c r="F63" s="112"/>
      <c r="G63" s="112">
        <f>ROUND(D62*ROUND(E63*G62, 5), 4)</f>
        <v>5.5500000000000001E-2</v>
      </c>
      <c r="H63" s="112"/>
      <c r="I63" s="112"/>
      <c r="J63" s="112"/>
      <c r="K63" s="112"/>
      <c r="L63" s="112"/>
      <c r="M63" s="112"/>
      <c r="N63" s="108"/>
      <c r="R63" s="79">
        <v>1</v>
      </c>
    </row>
    <row r="64" spans="1:18" ht="23.1" customHeight="1">
      <c r="A64" s="103" t="s">
        <v>812</v>
      </c>
      <c r="B64" s="103" t="s">
        <v>814</v>
      </c>
      <c r="C64" s="104" t="s">
        <v>343</v>
      </c>
      <c r="D64" s="105">
        <v>2</v>
      </c>
      <c r="E64" s="106">
        <v>1</v>
      </c>
      <c r="F64" s="105">
        <f>ROUND(D64*E64, 4)</f>
        <v>2</v>
      </c>
      <c r="G64" s="105">
        <v>0.34300000000000003</v>
      </c>
      <c r="H64" s="105">
        <v>0.14699999999999999</v>
      </c>
      <c r="I64" s="105"/>
      <c r="J64" s="105"/>
      <c r="K64" s="105"/>
      <c r="L64" s="105"/>
      <c r="M64" s="105"/>
      <c r="N64" s="107"/>
    </row>
    <row r="65" spans="1:18" ht="23.1" customHeight="1">
      <c r="A65" s="108"/>
      <c r="B65" s="108"/>
      <c r="C65" s="109"/>
      <c r="D65" s="110" t="s">
        <v>1016</v>
      </c>
      <c r="E65" s="111">
        <v>0.75</v>
      </c>
      <c r="F65" s="112"/>
      <c r="G65" s="112">
        <f>ROUND(D64*ROUND(E65*G64, 5), 4)</f>
        <v>0.51449999999999996</v>
      </c>
      <c r="H65" s="112">
        <f>ROUND(D64*ROUND(E65*H64, 5), 4)</f>
        <v>0.2205</v>
      </c>
      <c r="I65" s="112"/>
      <c r="J65" s="112"/>
      <c r="K65" s="112"/>
      <c r="L65" s="112"/>
      <c r="M65" s="112"/>
      <c r="N65" s="108"/>
      <c r="R65" s="79">
        <v>1</v>
      </c>
    </row>
    <row r="66" spans="1:18" ht="23.1" customHeight="1">
      <c r="A66" s="103" t="s">
        <v>824</v>
      </c>
      <c r="B66" s="103" t="s">
        <v>825</v>
      </c>
      <c r="C66" s="104" t="s">
        <v>343</v>
      </c>
      <c r="D66" s="105">
        <v>1</v>
      </c>
      <c r="E66" s="106">
        <v>1</v>
      </c>
      <c r="F66" s="105">
        <f>ROUND(D66*E66, 4)</f>
        <v>1</v>
      </c>
      <c r="G66" s="105">
        <v>7.3999999999999996E-2</v>
      </c>
      <c r="H66" s="105"/>
      <c r="I66" s="105"/>
      <c r="J66" s="105"/>
      <c r="K66" s="105"/>
      <c r="L66" s="105"/>
      <c r="M66" s="105"/>
      <c r="N66" s="107"/>
    </row>
    <row r="67" spans="1:18" ht="23.1" customHeight="1">
      <c r="A67" s="108"/>
      <c r="B67" s="108"/>
      <c r="C67" s="109"/>
      <c r="D67" s="110" t="s">
        <v>1016</v>
      </c>
      <c r="E67" s="111">
        <v>0.75</v>
      </c>
      <c r="F67" s="112"/>
      <c r="G67" s="112">
        <f>ROUND(D66*ROUND(E67*G66, 5), 4)</f>
        <v>5.5500000000000001E-2</v>
      </c>
      <c r="H67" s="112"/>
      <c r="I67" s="112"/>
      <c r="J67" s="112"/>
      <c r="K67" s="112"/>
      <c r="L67" s="112"/>
      <c r="M67" s="112"/>
      <c r="N67" s="108"/>
      <c r="R67" s="79">
        <v>1</v>
      </c>
    </row>
    <row r="68" spans="1:18" ht="23.1" customHeight="1">
      <c r="A68" s="103" t="s">
        <v>824</v>
      </c>
      <c r="B68" s="103" t="s">
        <v>826</v>
      </c>
      <c r="C68" s="104" t="s">
        <v>343</v>
      </c>
      <c r="D68" s="105">
        <v>2</v>
      </c>
      <c r="E68" s="106">
        <v>1</v>
      </c>
      <c r="F68" s="105">
        <f>ROUND(D68*E68, 4)</f>
        <v>2</v>
      </c>
      <c r="G68" s="105">
        <v>0.34300000000000003</v>
      </c>
      <c r="H68" s="105">
        <v>0.14699999999999999</v>
      </c>
      <c r="I68" s="105"/>
      <c r="J68" s="105"/>
      <c r="K68" s="105"/>
      <c r="L68" s="105"/>
      <c r="M68" s="105"/>
      <c r="N68" s="107"/>
    </row>
    <row r="69" spans="1:18" ht="23.1" customHeight="1">
      <c r="A69" s="108"/>
      <c r="B69" s="108"/>
      <c r="C69" s="109"/>
      <c r="D69" s="110" t="s">
        <v>1016</v>
      </c>
      <c r="E69" s="111">
        <v>0.75</v>
      </c>
      <c r="F69" s="112"/>
      <c r="G69" s="112">
        <f>ROUND(D68*ROUND(E69*G68, 5), 4)</f>
        <v>0.51449999999999996</v>
      </c>
      <c r="H69" s="112">
        <f>ROUND(D68*ROUND(E69*H68, 5), 4)</f>
        <v>0.2205</v>
      </c>
      <c r="I69" s="112"/>
      <c r="J69" s="112"/>
      <c r="K69" s="112"/>
      <c r="L69" s="112"/>
      <c r="M69" s="112"/>
      <c r="N69" s="108"/>
      <c r="R69" s="79">
        <v>1</v>
      </c>
    </row>
    <row r="70" spans="1:18" ht="23.1" customHeight="1">
      <c r="A70" s="103" t="s">
        <v>834</v>
      </c>
      <c r="B70" s="103" t="s">
        <v>835</v>
      </c>
      <c r="C70" s="104" t="s">
        <v>343</v>
      </c>
      <c r="D70" s="105">
        <v>1</v>
      </c>
      <c r="E70" s="106">
        <v>1</v>
      </c>
      <c r="F70" s="105">
        <f>ROUND(D70*E70, 4)</f>
        <v>1</v>
      </c>
      <c r="G70" s="105">
        <v>0.05</v>
      </c>
      <c r="H70" s="105"/>
      <c r="I70" s="105"/>
      <c r="J70" s="105"/>
      <c r="K70" s="105"/>
      <c r="L70" s="105"/>
      <c r="M70" s="105"/>
      <c r="N70" s="107"/>
    </row>
    <row r="71" spans="1:18" ht="23.1" customHeight="1">
      <c r="A71" s="108"/>
      <c r="B71" s="108"/>
      <c r="C71" s="109"/>
      <c r="D71" s="110" t="s">
        <v>1016</v>
      </c>
      <c r="E71" s="111">
        <v>0.75</v>
      </c>
      <c r="F71" s="112"/>
      <c r="G71" s="112">
        <f>ROUND(D70*ROUND(E71*G70, 5), 4)</f>
        <v>3.7499999999999999E-2</v>
      </c>
      <c r="H71" s="112"/>
      <c r="I71" s="112"/>
      <c r="J71" s="112"/>
      <c r="K71" s="112"/>
      <c r="L71" s="112"/>
      <c r="M71" s="112"/>
      <c r="N71" s="108"/>
      <c r="R71" s="79">
        <v>1</v>
      </c>
    </row>
    <row r="72" spans="1:18" ht="23.1" customHeight="1">
      <c r="A72" s="103" t="s">
        <v>836</v>
      </c>
      <c r="B72" s="103" t="s">
        <v>837</v>
      </c>
      <c r="C72" s="104" t="s">
        <v>343</v>
      </c>
      <c r="D72" s="105">
        <v>1</v>
      </c>
      <c r="E72" s="106">
        <v>1</v>
      </c>
      <c r="F72" s="105">
        <f>ROUND(D72*E72, 4)</f>
        <v>1</v>
      </c>
      <c r="G72" s="105">
        <v>0.05</v>
      </c>
      <c r="H72" s="105"/>
      <c r="I72" s="105"/>
      <c r="J72" s="105"/>
      <c r="K72" s="105"/>
      <c r="L72" s="105"/>
      <c r="M72" s="105"/>
      <c r="N72" s="107"/>
    </row>
    <row r="73" spans="1:18" ht="23.1" customHeight="1">
      <c r="A73" s="108"/>
      <c r="B73" s="108"/>
      <c r="C73" s="109"/>
      <c r="D73" s="110" t="s">
        <v>1016</v>
      </c>
      <c r="E73" s="111">
        <v>0.75</v>
      </c>
      <c r="F73" s="112"/>
      <c r="G73" s="112">
        <f>ROUND(D72*ROUND(E73*G72, 5), 4)</f>
        <v>3.7499999999999999E-2</v>
      </c>
      <c r="H73" s="112"/>
      <c r="I73" s="112"/>
      <c r="J73" s="112"/>
      <c r="K73" s="112"/>
      <c r="L73" s="112"/>
      <c r="M73" s="112"/>
      <c r="N73" s="108"/>
      <c r="R73" s="79">
        <v>1</v>
      </c>
    </row>
    <row r="74" spans="1:18" ht="23.1" customHeight="1">
      <c r="A74" s="107"/>
      <c r="B74" s="107"/>
      <c r="C74" s="119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7"/>
    </row>
    <row r="75" spans="1:18" ht="23.1" customHeight="1">
      <c r="A75" s="108"/>
      <c r="B75" s="108"/>
      <c r="C75" s="109"/>
      <c r="D75" s="112"/>
      <c r="E75" s="112"/>
      <c r="F75" s="112"/>
      <c r="G75" s="112"/>
      <c r="H75" s="112"/>
      <c r="I75" s="112"/>
      <c r="J75" s="112"/>
      <c r="K75" s="112"/>
      <c r="L75" s="112"/>
      <c r="M75" s="112"/>
      <c r="N75" s="108"/>
    </row>
    <row r="76" spans="1:18" ht="23.1" customHeight="1">
      <c r="A76" s="107"/>
      <c r="B76" s="107"/>
      <c r="C76" s="119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7"/>
    </row>
    <row r="77" spans="1:18" ht="23.1" customHeight="1">
      <c r="A77" s="108"/>
      <c r="B77" s="108"/>
      <c r="C77" s="109"/>
      <c r="D77" s="112"/>
      <c r="E77" s="112"/>
      <c r="F77" s="112"/>
      <c r="G77" s="112"/>
      <c r="H77" s="112"/>
      <c r="I77" s="112"/>
      <c r="J77" s="112"/>
      <c r="K77" s="112"/>
      <c r="L77" s="112"/>
      <c r="M77" s="112"/>
      <c r="N77" s="108"/>
    </row>
    <row r="78" spans="1:18" ht="23.1" customHeight="1">
      <c r="A78" s="107"/>
      <c r="B78" s="107"/>
      <c r="C78" s="119"/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7"/>
    </row>
    <row r="79" spans="1:18" ht="23.1" customHeight="1">
      <c r="A79" s="108"/>
      <c r="B79" s="108"/>
      <c r="C79" s="109"/>
      <c r="D79" s="112"/>
      <c r="E79" s="112"/>
      <c r="F79" s="112"/>
      <c r="G79" s="112"/>
      <c r="H79" s="112"/>
      <c r="I79" s="112"/>
      <c r="J79" s="112"/>
      <c r="K79" s="112"/>
      <c r="L79" s="112"/>
      <c r="M79" s="112"/>
      <c r="N79" s="108"/>
    </row>
    <row r="80" spans="1:18" ht="23.1" customHeight="1">
      <c r="A80" s="107"/>
      <c r="B80" s="107"/>
      <c r="C80" s="119"/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7"/>
    </row>
    <row r="81" spans="1:18" ht="23.1" customHeight="1">
      <c r="A81" s="108"/>
      <c r="B81" s="108"/>
      <c r="C81" s="109"/>
      <c r="D81" s="112"/>
      <c r="E81" s="112"/>
      <c r="F81" s="112"/>
      <c r="G81" s="112"/>
      <c r="H81" s="112"/>
      <c r="I81" s="112"/>
      <c r="J81" s="112"/>
      <c r="K81" s="112"/>
      <c r="L81" s="112"/>
      <c r="M81" s="112"/>
      <c r="N81" s="108"/>
    </row>
    <row r="82" spans="1:18" ht="23.1" customHeight="1">
      <c r="A82" s="107"/>
      <c r="B82" s="107"/>
      <c r="C82" s="119"/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7"/>
    </row>
    <row r="83" spans="1:18" ht="23.1" customHeight="1">
      <c r="A83" s="108"/>
      <c r="B83" s="108"/>
      <c r="C83" s="109"/>
      <c r="D83" s="112"/>
      <c r="E83" s="112"/>
      <c r="F83" s="112"/>
      <c r="G83" s="112"/>
      <c r="H83" s="112"/>
      <c r="I83" s="112"/>
      <c r="J83" s="112"/>
      <c r="K83" s="112"/>
      <c r="L83" s="112"/>
      <c r="M83" s="112"/>
      <c r="N83" s="108"/>
    </row>
    <row r="84" spans="1:18" ht="23.1" customHeight="1">
      <c r="A84" s="113" t="s">
        <v>734</v>
      </c>
      <c r="B84" s="114"/>
      <c r="C84" s="113"/>
      <c r="D84" s="115"/>
      <c r="E84" s="115"/>
      <c r="F84" s="115"/>
      <c r="G84" s="115">
        <f>SUMIF(R22:R83, "1", G22:G83)</f>
        <v>21.926400000000008</v>
      </c>
      <c r="H84" s="115">
        <f>SUMIF(R22:R83, "1", H22:H83)</f>
        <v>8.0076000000000001</v>
      </c>
      <c r="I84" s="115"/>
      <c r="J84" s="115"/>
      <c r="K84" s="115"/>
      <c r="L84" s="115"/>
      <c r="M84" s="115"/>
      <c r="N84" s="114"/>
    </row>
    <row r="85" spans="1:18" ht="23.1" customHeight="1">
      <c r="A85" s="116"/>
      <c r="B85" s="116"/>
      <c r="C85" s="117"/>
      <c r="D85" s="118"/>
      <c r="E85" s="118"/>
      <c r="F85" s="118"/>
      <c r="G85" s="118">
        <f>ROUND(G84*100/100, 2)</f>
        <v>21.93</v>
      </c>
      <c r="H85" s="118">
        <f>ROUND(H84*100/100, 2)</f>
        <v>8.01</v>
      </c>
      <c r="I85" s="118"/>
      <c r="J85" s="118"/>
      <c r="K85" s="118"/>
      <c r="L85" s="118"/>
      <c r="M85" s="118"/>
      <c r="N85" s="116"/>
    </row>
    <row r="86" spans="1:18" ht="23.1" customHeight="1">
      <c r="A86" s="96" t="s">
        <v>839</v>
      </c>
      <c r="B86" s="96"/>
      <c r="C86" s="97"/>
      <c r="D86" s="98"/>
      <c r="E86" s="98"/>
      <c r="F86" s="98"/>
      <c r="G86" s="98" t="s">
        <v>838</v>
      </c>
      <c r="H86" s="98" t="s">
        <v>452</v>
      </c>
      <c r="I86" s="98"/>
      <c r="J86" s="98"/>
      <c r="K86" s="98"/>
      <c r="L86" s="98"/>
      <c r="M86" s="98"/>
      <c r="N86" s="96"/>
    </row>
    <row r="87" spans="1:18" ht="23.1" customHeight="1">
      <c r="A87" s="99"/>
      <c r="B87" s="99"/>
      <c r="C87" s="100"/>
      <c r="D87" s="101"/>
      <c r="E87" s="101"/>
      <c r="F87" s="101"/>
      <c r="G87" s="102">
        <v>238145</v>
      </c>
      <c r="H87" s="102">
        <v>169804</v>
      </c>
      <c r="I87" s="101">
        <v>0</v>
      </c>
      <c r="J87" s="101">
        <v>0</v>
      </c>
      <c r="K87" s="101">
        <v>0</v>
      </c>
      <c r="L87" s="101">
        <v>0</v>
      </c>
      <c r="M87" s="101">
        <v>0</v>
      </c>
      <c r="N87" s="99"/>
    </row>
    <row r="88" spans="1:18" ht="23.1" customHeight="1">
      <c r="A88" s="103" t="s">
        <v>859</v>
      </c>
      <c r="B88" s="103" t="s">
        <v>860</v>
      </c>
      <c r="C88" s="104" t="s">
        <v>343</v>
      </c>
      <c r="D88" s="105">
        <v>1</v>
      </c>
      <c r="E88" s="106">
        <v>1</v>
      </c>
      <c r="F88" s="105">
        <f>ROUND(D88*E88, 4)</f>
        <v>1</v>
      </c>
      <c r="G88" s="105">
        <v>0.115</v>
      </c>
      <c r="H88" s="105"/>
      <c r="I88" s="105"/>
      <c r="J88" s="105"/>
      <c r="K88" s="105"/>
      <c r="L88" s="105"/>
      <c r="M88" s="105"/>
      <c r="N88" s="107"/>
    </row>
    <row r="89" spans="1:18" ht="23.1" customHeight="1">
      <c r="A89" s="108"/>
      <c r="B89" s="108"/>
      <c r="C89" s="109"/>
      <c r="D89" s="110" t="s">
        <v>1019</v>
      </c>
      <c r="E89" s="111">
        <v>0.75</v>
      </c>
      <c r="F89" s="112"/>
      <c r="G89" s="112">
        <f>ROUND(D88*ROUND(E89*G88, 5), 4)</f>
        <v>8.6300000000000002E-2</v>
      </c>
      <c r="H89" s="112"/>
      <c r="I89" s="112"/>
      <c r="J89" s="112"/>
      <c r="K89" s="112"/>
      <c r="L89" s="112"/>
      <c r="M89" s="112"/>
      <c r="N89" s="108"/>
      <c r="R89" s="79">
        <v>1</v>
      </c>
    </row>
    <row r="90" spans="1:18" ht="23.1" customHeight="1">
      <c r="A90" s="103" t="s">
        <v>861</v>
      </c>
      <c r="B90" s="103" t="s">
        <v>862</v>
      </c>
      <c r="C90" s="104" t="s">
        <v>343</v>
      </c>
      <c r="D90" s="105">
        <v>1</v>
      </c>
      <c r="E90" s="106">
        <v>1</v>
      </c>
      <c r="F90" s="105">
        <f>ROUND(D90*E90, 4)</f>
        <v>1</v>
      </c>
      <c r="G90" s="105">
        <v>0.05</v>
      </c>
      <c r="H90" s="105"/>
      <c r="I90" s="105"/>
      <c r="J90" s="105"/>
      <c r="K90" s="105"/>
      <c r="L90" s="105"/>
      <c r="M90" s="105"/>
      <c r="N90" s="107"/>
    </row>
    <row r="91" spans="1:18" ht="23.1" customHeight="1">
      <c r="A91" s="108"/>
      <c r="B91" s="108"/>
      <c r="C91" s="109"/>
      <c r="D91" s="112"/>
      <c r="E91" s="111">
        <v>0.75</v>
      </c>
      <c r="F91" s="112"/>
      <c r="G91" s="112">
        <f>ROUND(D90*ROUND(E91*G90, 5), 4)</f>
        <v>3.7499999999999999E-2</v>
      </c>
      <c r="H91" s="112"/>
      <c r="I91" s="112"/>
      <c r="J91" s="112"/>
      <c r="K91" s="112"/>
      <c r="L91" s="112"/>
      <c r="M91" s="112"/>
      <c r="N91" s="108"/>
      <c r="R91" s="79">
        <v>1</v>
      </c>
    </row>
    <row r="92" spans="1:18" ht="23.1" customHeight="1">
      <c r="A92" s="103" t="s">
        <v>790</v>
      </c>
      <c r="B92" s="103" t="s">
        <v>792</v>
      </c>
      <c r="C92" s="104" t="s">
        <v>343</v>
      </c>
      <c r="D92" s="105">
        <v>1</v>
      </c>
      <c r="E92" s="106">
        <v>1</v>
      </c>
      <c r="F92" s="105">
        <f>ROUND(D92*E92, 4)</f>
        <v>1</v>
      </c>
      <c r="G92" s="105">
        <v>0.34300000000000003</v>
      </c>
      <c r="H92" s="105">
        <v>0.14699999999999999</v>
      </c>
      <c r="I92" s="105"/>
      <c r="J92" s="105"/>
      <c r="K92" s="105"/>
      <c r="L92" s="105"/>
      <c r="M92" s="105"/>
      <c r="N92" s="107"/>
    </row>
    <row r="93" spans="1:18" ht="23.1" customHeight="1">
      <c r="A93" s="108"/>
      <c r="B93" s="108"/>
      <c r="C93" s="109"/>
      <c r="D93" s="110" t="s">
        <v>1016</v>
      </c>
      <c r="E93" s="111">
        <v>0.75</v>
      </c>
      <c r="F93" s="112"/>
      <c r="G93" s="112">
        <f>ROUND(D92*ROUND(E93*G92, 5), 4)</f>
        <v>0.25729999999999997</v>
      </c>
      <c r="H93" s="112">
        <f>ROUND(D92*ROUND(E93*H92, 5), 4)</f>
        <v>0.1103</v>
      </c>
      <c r="I93" s="112"/>
      <c r="J93" s="112"/>
      <c r="K93" s="112"/>
      <c r="L93" s="112"/>
      <c r="M93" s="112"/>
      <c r="N93" s="108"/>
      <c r="R93" s="79">
        <v>1</v>
      </c>
    </row>
    <row r="94" spans="1:18" ht="23.1" customHeight="1">
      <c r="A94" s="107"/>
      <c r="B94" s="107"/>
      <c r="C94" s="119"/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7"/>
    </row>
    <row r="95" spans="1:18" ht="23.1" customHeight="1">
      <c r="A95" s="108"/>
      <c r="B95" s="108"/>
      <c r="C95" s="109"/>
      <c r="D95" s="112"/>
      <c r="E95" s="112"/>
      <c r="F95" s="112"/>
      <c r="G95" s="112"/>
      <c r="H95" s="112"/>
      <c r="I95" s="112"/>
      <c r="J95" s="112"/>
      <c r="K95" s="112"/>
      <c r="L95" s="112"/>
      <c r="M95" s="112"/>
      <c r="N95" s="108"/>
    </row>
    <row r="96" spans="1:18" ht="23.1" customHeight="1">
      <c r="A96" s="107"/>
      <c r="B96" s="107"/>
      <c r="C96" s="119"/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7"/>
    </row>
    <row r="97" spans="1:18" ht="23.1" customHeight="1">
      <c r="A97" s="108"/>
      <c r="B97" s="108"/>
      <c r="C97" s="109"/>
      <c r="D97" s="112"/>
      <c r="E97" s="112"/>
      <c r="F97" s="112"/>
      <c r="G97" s="112"/>
      <c r="H97" s="112"/>
      <c r="I97" s="112"/>
      <c r="J97" s="112"/>
      <c r="K97" s="112"/>
      <c r="L97" s="112"/>
      <c r="M97" s="112"/>
      <c r="N97" s="108"/>
    </row>
    <row r="98" spans="1:18" ht="23.1" customHeight="1">
      <c r="A98" s="107"/>
      <c r="B98" s="107"/>
      <c r="C98" s="119"/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7"/>
    </row>
    <row r="99" spans="1:18" ht="23.1" customHeight="1">
      <c r="A99" s="108"/>
      <c r="B99" s="108"/>
      <c r="C99" s="109"/>
      <c r="D99" s="112"/>
      <c r="E99" s="112"/>
      <c r="F99" s="112"/>
      <c r="G99" s="112"/>
      <c r="H99" s="112"/>
      <c r="I99" s="112"/>
      <c r="J99" s="112"/>
      <c r="K99" s="112"/>
      <c r="L99" s="112"/>
      <c r="M99" s="112"/>
      <c r="N99" s="108"/>
    </row>
    <row r="100" spans="1:18" ht="23.1" customHeight="1">
      <c r="A100" s="113" t="s">
        <v>734</v>
      </c>
      <c r="B100" s="114"/>
      <c r="C100" s="113"/>
      <c r="D100" s="115"/>
      <c r="E100" s="115"/>
      <c r="F100" s="115"/>
      <c r="G100" s="115">
        <f>SUMIF(R86:R99, "1", G86:G99)</f>
        <v>0.38109999999999999</v>
      </c>
      <c r="H100" s="115">
        <f>SUMIF(R86:R99, "1", H86:H99)</f>
        <v>0.1103</v>
      </c>
      <c r="I100" s="115"/>
      <c r="J100" s="115"/>
      <c r="K100" s="115"/>
      <c r="L100" s="115"/>
      <c r="M100" s="115"/>
      <c r="N100" s="114"/>
    </row>
    <row r="101" spans="1:18" ht="23.1" customHeight="1">
      <c r="A101" s="116"/>
      <c r="B101" s="116"/>
      <c r="C101" s="117"/>
      <c r="D101" s="118"/>
      <c r="E101" s="118"/>
      <c r="F101" s="118"/>
      <c r="G101" s="118">
        <f>ROUND(G100*100/100, 2)</f>
        <v>0.38</v>
      </c>
      <c r="H101" s="118">
        <f>ROUND(H100*100/100, 2)</f>
        <v>0.11</v>
      </c>
      <c r="I101" s="118"/>
      <c r="J101" s="118"/>
      <c r="K101" s="118"/>
      <c r="L101" s="118"/>
      <c r="M101" s="118"/>
      <c r="N101" s="116"/>
    </row>
    <row r="102" spans="1:18" ht="23.1" customHeight="1">
      <c r="A102" s="96" t="s">
        <v>887</v>
      </c>
      <c r="B102" s="96"/>
      <c r="C102" s="97"/>
      <c r="D102" s="98"/>
      <c r="E102" s="98"/>
      <c r="F102" s="98"/>
      <c r="G102" s="98" t="s">
        <v>838</v>
      </c>
      <c r="H102" s="98" t="s">
        <v>452</v>
      </c>
      <c r="I102" s="98"/>
      <c r="J102" s="98"/>
      <c r="K102" s="98"/>
      <c r="L102" s="98"/>
      <c r="M102" s="98"/>
      <c r="N102" s="96"/>
    </row>
    <row r="103" spans="1:18" ht="23.1" customHeight="1">
      <c r="A103" s="99"/>
      <c r="B103" s="99"/>
      <c r="C103" s="100"/>
      <c r="D103" s="101"/>
      <c r="E103" s="101"/>
      <c r="F103" s="101"/>
      <c r="G103" s="102">
        <v>238145</v>
      </c>
      <c r="H103" s="102">
        <v>169804</v>
      </c>
      <c r="I103" s="101">
        <v>0</v>
      </c>
      <c r="J103" s="101">
        <v>0</v>
      </c>
      <c r="K103" s="101">
        <v>0</v>
      </c>
      <c r="L103" s="101">
        <v>0</v>
      </c>
      <c r="M103" s="101">
        <v>0</v>
      </c>
      <c r="N103" s="99"/>
    </row>
    <row r="104" spans="1:18" ht="23.1" customHeight="1">
      <c r="A104" s="103" t="s">
        <v>888</v>
      </c>
      <c r="B104" s="103" t="s">
        <v>781</v>
      </c>
      <c r="C104" s="104" t="s">
        <v>343</v>
      </c>
      <c r="D104" s="105">
        <v>2</v>
      </c>
      <c r="E104" s="106">
        <v>1</v>
      </c>
      <c r="F104" s="105">
        <f>ROUND(D104*E104, 4)</f>
        <v>2</v>
      </c>
      <c r="G104" s="105">
        <v>2.44</v>
      </c>
      <c r="H104" s="105">
        <v>0.19</v>
      </c>
      <c r="I104" s="105"/>
      <c r="J104" s="105"/>
      <c r="K104" s="105"/>
      <c r="L104" s="105"/>
      <c r="M104" s="105"/>
      <c r="N104" s="107"/>
    </row>
    <row r="105" spans="1:18" ht="23.1" customHeight="1">
      <c r="A105" s="108"/>
      <c r="B105" s="108"/>
      <c r="C105" s="109"/>
      <c r="D105" s="110" t="s">
        <v>1020</v>
      </c>
      <c r="E105" s="111">
        <v>0.75</v>
      </c>
      <c r="F105" s="112"/>
      <c r="G105" s="112">
        <f>ROUND(D104*ROUND(E105*G104, 5), 4)</f>
        <v>3.66</v>
      </c>
      <c r="H105" s="112">
        <f>ROUND(D104*ROUND(E105*H104, 5), 4)</f>
        <v>0.28499999999999998</v>
      </c>
      <c r="I105" s="112"/>
      <c r="J105" s="112"/>
      <c r="K105" s="112"/>
      <c r="L105" s="112"/>
      <c r="M105" s="112"/>
      <c r="N105" s="108"/>
      <c r="R105" s="79">
        <v>1</v>
      </c>
    </row>
    <row r="106" spans="1:18" ht="23.1" customHeight="1">
      <c r="A106" s="103" t="s">
        <v>797</v>
      </c>
      <c r="B106" s="103" t="s">
        <v>913</v>
      </c>
      <c r="C106" s="104" t="s">
        <v>343</v>
      </c>
      <c r="D106" s="105">
        <v>2</v>
      </c>
      <c r="E106" s="106">
        <v>1</v>
      </c>
      <c r="F106" s="105">
        <f>ROUND(D106*E106, 4)</f>
        <v>2</v>
      </c>
      <c r="G106" s="105">
        <v>0.1</v>
      </c>
      <c r="H106" s="105">
        <v>3.3000000000000002E-2</v>
      </c>
      <c r="I106" s="105"/>
      <c r="J106" s="105"/>
      <c r="K106" s="105"/>
      <c r="L106" s="105"/>
      <c r="M106" s="105"/>
      <c r="N106" s="107"/>
    </row>
    <row r="107" spans="1:18" ht="23.1" customHeight="1">
      <c r="A107" s="108"/>
      <c r="B107" s="108"/>
      <c r="C107" s="109"/>
      <c r="D107" s="110" t="s">
        <v>1018</v>
      </c>
      <c r="E107" s="111">
        <v>0.75</v>
      </c>
      <c r="F107" s="112"/>
      <c r="G107" s="112">
        <f>ROUND(D106*ROUND(E107*G106, 5), 4)</f>
        <v>0.15</v>
      </c>
      <c r="H107" s="112">
        <f>ROUND(D106*ROUND(E107*H106, 5), 4)</f>
        <v>4.9500000000000002E-2</v>
      </c>
      <c r="I107" s="112"/>
      <c r="J107" s="112"/>
      <c r="K107" s="112"/>
      <c r="L107" s="112"/>
      <c r="M107" s="112"/>
      <c r="N107" s="108"/>
      <c r="R107" s="79">
        <v>1</v>
      </c>
    </row>
    <row r="108" spans="1:18" ht="23.1" customHeight="1">
      <c r="A108" s="103" t="s">
        <v>797</v>
      </c>
      <c r="B108" s="103" t="s">
        <v>799</v>
      </c>
      <c r="C108" s="104" t="s">
        <v>343</v>
      </c>
      <c r="D108" s="105">
        <v>2</v>
      </c>
      <c r="E108" s="106">
        <v>1</v>
      </c>
      <c r="F108" s="105">
        <f>ROUND(D108*E108, 4)</f>
        <v>2</v>
      </c>
      <c r="G108" s="105">
        <v>0.22600000000000001</v>
      </c>
      <c r="H108" s="105">
        <v>7.4999999999999997E-2</v>
      </c>
      <c r="I108" s="105"/>
      <c r="J108" s="105"/>
      <c r="K108" s="105"/>
      <c r="L108" s="105"/>
      <c r="M108" s="105"/>
      <c r="N108" s="107"/>
    </row>
    <row r="109" spans="1:18" ht="23.1" customHeight="1">
      <c r="A109" s="108"/>
      <c r="B109" s="108"/>
      <c r="C109" s="109"/>
      <c r="D109" s="110" t="s">
        <v>1018</v>
      </c>
      <c r="E109" s="111">
        <v>0.75</v>
      </c>
      <c r="F109" s="112"/>
      <c r="G109" s="112">
        <f>ROUND(D108*ROUND(E109*G108, 5), 4)</f>
        <v>0.33900000000000002</v>
      </c>
      <c r="H109" s="112">
        <f>ROUND(D108*ROUND(E109*H108, 5), 4)</f>
        <v>0.1125</v>
      </c>
      <c r="I109" s="112"/>
      <c r="J109" s="112"/>
      <c r="K109" s="112"/>
      <c r="L109" s="112"/>
      <c r="M109" s="112"/>
      <c r="N109" s="108"/>
      <c r="R109" s="79">
        <v>1</v>
      </c>
    </row>
    <row r="110" spans="1:18" ht="23.1" customHeight="1">
      <c r="A110" s="103" t="s">
        <v>787</v>
      </c>
      <c r="B110" s="103" t="s">
        <v>789</v>
      </c>
      <c r="C110" s="104" t="s">
        <v>343</v>
      </c>
      <c r="D110" s="105">
        <v>4</v>
      </c>
      <c r="E110" s="106">
        <v>1</v>
      </c>
      <c r="F110" s="105">
        <f>ROUND(D110*E110, 4)</f>
        <v>4</v>
      </c>
      <c r="G110" s="105">
        <v>0.34300000000000003</v>
      </c>
      <c r="H110" s="105">
        <v>0.14699999999999999</v>
      </c>
      <c r="I110" s="105"/>
      <c r="J110" s="105"/>
      <c r="K110" s="105"/>
      <c r="L110" s="105"/>
      <c r="M110" s="105"/>
      <c r="N110" s="107"/>
    </row>
    <row r="111" spans="1:18" ht="23.1" customHeight="1">
      <c r="A111" s="108"/>
      <c r="B111" s="108"/>
      <c r="C111" s="109"/>
      <c r="D111" s="110" t="s">
        <v>1016</v>
      </c>
      <c r="E111" s="111">
        <v>0.75</v>
      </c>
      <c r="F111" s="112"/>
      <c r="G111" s="112">
        <f>ROUND(D110*ROUND(E111*G110, 5), 4)</f>
        <v>1.0289999999999999</v>
      </c>
      <c r="H111" s="112">
        <f>ROUND(D110*ROUND(E111*H110, 5), 4)</f>
        <v>0.441</v>
      </c>
      <c r="I111" s="112"/>
      <c r="J111" s="112"/>
      <c r="K111" s="112"/>
      <c r="L111" s="112"/>
      <c r="M111" s="112"/>
      <c r="N111" s="108"/>
      <c r="R111" s="79">
        <v>1</v>
      </c>
    </row>
    <row r="112" spans="1:18" ht="23.1" customHeight="1">
      <c r="A112" s="103" t="s">
        <v>787</v>
      </c>
      <c r="B112" s="103" t="s">
        <v>914</v>
      </c>
      <c r="C112" s="104" t="s">
        <v>343</v>
      </c>
      <c r="D112" s="105">
        <v>2</v>
      </c>
      <c r="E112" s="106">
        <v>1</v>
      </c>
      <c r="F112" s="105">
        <f>ROUND(D112*E112, 4)</f>
        <v>2</v>
      </c>
      <c r="G112" s="105">
        <v>7.3999999999999996E-2</v>
      </c>
      <c r="H112" s="105"/>
      <c r="I112" s="105"/>
      <c r="J112" s="105"/>
      <c r="K112" s="105"/>
      <c r="L112" s="105"/>
      <c r="M112" s="105"/>
      <c r="N112" s="107"/>
    </row>
    <row r="113" spans="1:18" ht="23.1" customHeight="1">
      <c r="A113" s="108"/>
      <c r="B113" s="108"/>
      <c r="C113" s="109"/>
      <c r="D113" s="110" t="s">
        <v>1016</v>
      </c>
      <c r="E113" s="111">
        <v>0.75</v>
      </c>
      <c r="F113" s="112"/>
      <c r="G113" s="112">
        <f>ROUND(D112*ROUND(E113*G112, 5), 4)</f>
        <v>0.111</v>
      </c>
      <c r="H113" s="112"/>
      <c r="I113" s="112"/>
      <c r="J113" s="112"/>
      <c r="K113" s="112"/>
      <c r="L113" s="112"/>
      <c r="M113" s="112"/>
      <c r="N113" s="108"/>
      <c r="R113" s="79">
        <v>1</v>
      </c>
    </row>
    <row r="114" spans="1:18" ht="23.1" customHeight="1">
      <c r="A114" s="103" t="s">
        <v>929</v>
      </c>
      <c r="B114" s="103" t="s">
        <v>930</v>
      </c>
      <c r="C114" s="104" t="s">
        <v>931</v>
      </c>
      <c r="D114" s="105">
        <v>5</v>
      </c>
      <c r="E114" s="106">
        <v>1</v>
      </c>
      <c r="F114" s="105">
        <f>ROUND(D114*E114, 4)</f>
        <v>5</v>
      </c>
      <c r="G114" s="105">
        <v>9.1999999999999998E-2</v>
      </c>
      <c r="H114" s="105">
        <v>3.6999999999999998E-2</v>
      </c>
      <c r="I114" s="105"/>
      <c r="J114" s="105"/>
      <c r="K114" s="105"/>
      <c r="L114" s="105"/>
      <c r="M114" s="105"/>
      <c r="N114" s="107"/>
    </row>
    <row r="115" spans="1:18" ht="23.1" customHeight="1">
      <c r="A115" s="108"/>
      <c r="B115" s="108"/>
      <c r="C115" s="109"/>
      <c r="D115" s="110" t="s">
        <v>1021</v>
      </c>
      <c r="E115" s="111">
        <v>0.75</v>
      </c>
      <c r="F115" s="112"/>
      <c r="G115" s="112">
        <f>ROUND(D114*ROUND(E115*G114, 5), 4)</f>
        <v>0.34499999999999997</v>
      </c>
      <c r="H115" s="112">
        <f>ROUND(D114*ROUND(E115*H114, 5), 4)</f>
        <v>0.13880000000000001</v>
      </c>
      <c r="I115" s="112"/>
      <c r="J115" s="112"/>
      <c r="K115" s="112"/>
      <c r="L115" s="112"/>
      <c r="M115" s="112"/>
      <c r="N115" s="108"/>
      <c r="R115" s="79">
        <v>1</v>
      </c>
    </row>
    <row r="116" spans="1:18" ht="23.1" customHeight="1">
      <c r="A116" s="103" t="s">
        <v>932</v>
      </c>
      <c r="B116" s="103" t="s">
        <v>933</v>
      </c>
      <c r="C116" s="104" t="s">
        <v>343</v>
      </c>
      <c r="D116" s="105">
        <v>380</v>
      </c>
      <c r="E116" s="106">
        <v>1</v>
      </c>
      <c r="F116" s="105">
        <f>ROUND(D116*E116, 4)</f>
        <v>380</v>
      </c>
      <c r="G116" s="105">
        <v>9.1999999999999998E-2</v>
      </c>
      <c r="H116" s="105">
        <v>3.6999999999999998E-2</v>
      </c>
      <c r="I116" s="105"/>
      <c r="J116" s="105"/>
      <c r="K116" s="105"/>
      <c r="L116" s="105"/>
      <c r="M116" s="105"/>
      <c r="N116" s="107"/>
    </row>
    <row r="117" spans="1:18" ht="23.1" customHeight="1">
      <c r="A117" s="108"/>
      <c r="B117" s="108"/>
      <c r="C117" s="109"/>
      <c r="D117" s="110" t="s">
        <v>1021</v>
      </c>
      <c r="E117" s="111">
        <v>0.75</v>
      </c>
      <c r="F117" s="112"/>
      <c r="G117" s="112">
        <f>ROUND(D116*ROUND(E117*G116, 5), 4)</f>
        <v>26.22</v>
      </c>
      <c r="H117" s="112">
        <f>ROUND(D116*ROUND(E117*H116, 5), 4)</f>
        <v>10.545</v>
      </c>
      <c r="I117" s="112"/>
      <c r="J117" s="112"/>
      <c r="K117" s="112"/>
      <c r="L117" s="112"/>
      <c r="M117" s="112"/>
      <c r="N117" s="108"/>
      <c r="R117" s="79">
        <v>1</v>
      </c>
    </row>
    <row r="118" spans="1:18" ht="23.1" customHeight="1">
      <c r="A118" s="103" t="s">
        <v>934</v>
      </c>
      <c r="B118" s="103" t="s">
        <v>935</v>
      </c>
      <c r="C118" s="104" t="s">
        <v>343</v>
      </c>
      <c r="D118" s="105">
        <v>5</v>
      </c>
      <c r="E118" s="106">
        <v>1</v>
      </c>
      <c r="F118" s="105">
        <f>ROUND(D118*E118, 4)</f>
        <v>5</v>
      </c>
      <c r="G118" s="105">
        <v>4.5999999999999999E-2</v>
      </c>
      <c r="H118" s="105">
        <v>2.9000000000000001E-2</v>
      </c>
      <c r="I118" s="105"/>
      <c r="J118" s="105"/>
      <c r="K118" s="105"/>
      <c r="L118" s="105"/>
      <c r="M118" s="105"/>
      <c r="N118" s="107"/>
    </row>
    <row r="119" spans="1:18" ht="23.1" customHeight="1">
      <c r="A119" s="108"/>
      <c r="B119" s="108"/>
      <c r="C119" s="109"/>
      <c r="D119" s="110" t="s">
        <v>1022</v>
      </c>
      <c r="E119" s="111">
        <v>0.75</v>
      </c>
      <c r="F119" s="112"/>
      <c r="G119" s="112">
        <f>ROUND(D118*ROUND(E119*G118, 5), 4)</f>
        <v>0.17249999999999999</v>
      </c>
      <c r="H119" s="112">
        <f>ROUND(D118*ROUND(E119*H118, 5), 4)</f>
        <v>0.10879999999999999</v>
      </c>
      <c r="I119" s="112"/>
      <c r="J119" s="112"/>
      <c r="K119" s="112"/>
      <c r="L119" s="112"/>
      <c r="M119" s="112"/>
      <c r="N119" s="108"/>
      <c r="R119" s="79">
        <v>1</v>
      </c>
    </row>
    <row r="120" spans="1:18" ht="23.1" customHeight="1">
      <c r="A120" s="103" t="s">
        <v>944</v>
      </c>
      <c r="B120" s="103" t="s">
        <v>945</v>
      </c>
      <c r="C120" s="104" t="s">
        <v>343</v>
      </c>
      <c r="D120" s="105">
        <v>2</v>
      </c>
      <c r="E120" s="106">
        <v>1</v>
      </c>
      <c r="F120" s="105">
        <f>ROUND(D120*E120, 4)</f>
        <v>2</v>
      </c>
      <c r="G120" s="105">
        <v>7.3999999999999996E-2</v>
      </c>
      <c r="H120" s="105"/>
      <c r="I120" s="105"/>
      <c r="J120" s="105"/>
      <c r="K120" s="105"/>
      <c r="L120" s="105"/>
      <c r="M120" s="105"/>
      <c r="N120" s="107"/>
    </row>
    <row r="121" spans="1:18" ht="23.1" customHeight="1">
      <c r="A121" s="108"/>
      <c r="B121" s="108"/>
      <c r="C121" s="109"/>
      <c r="D121" s="110" t="s">
        <v>1016</v>
      </c>
      <c r="E121" s="111">
        <v>0.75</v>
      </c>
      <c r="F121" s="112"/>
      <c r="G121" s="112">
        <f>ROUND(D120*ROUND(E121*G120, 5), 4)</f>
        <v>0.111</v>
      </c>
      <c r="H121" s="112"/>
      <c r="I121" s="112"/>
      <c r="J121" s="112"/>
      <c r="K121" s="112"/>
      <c r="L121" s="112"/>
      <c r="M121" s="112"/>
      <c r="N121" s="108"/>
      <c r="R121" s="79">
        <v>1</v>
      </c>
    </row>
    <row r="122" spans="1:18" ht="23.1" customHeight="1">
      <c r="A122" s="107"/>
      <c r="B122" s="107"/>
      <c r="C122" s="119"/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7"/>
    </row>
    <row r="123" spans="1:18" ht="23.1" customHeight="1">
      <c r="A123" s="108"/>
      <c r="B123" s="108"/>
      <c r="C123" s="109"/>
      <c r="D123" s="112"/>
      <c r="E123" s="112"/>
      <c r="F123" s="112"/>
      <c r="G123" s="112"/>
      <c r="H123" s="112"/>
      <c r="I123" s="112"/>
      <c r="J123" s="112"/>
      <c r="K123" s="112"/>
      <c r="L123" s="112"/>
      <c r="M123" s="112"/>
      <c r="N123" s="108"/>
    </row>
    <row r="124" spans="1:18" ht="23.1" customHeight="1">
      <c r="A124" s="107"/>
      <c r="B124" s="107"/>
      <c r="C124" s="119"/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7"/>
    </row>
    <row r="125" spans="1:18" ht="23.1" customHeight="1">
      <c r="A125" s="108"/>
      <c r="B125" s="108"/>
      <c r="C125" s="109"/>
      <c r="D125" s="112"/>
      <c r="E125" s="112"/>
      <c r="F125" s="112"/>
      <c r="G125" s="112"/>
      <c r="H125" s="112"/>
      <c r="I125" s="112"/>
      <c r="J125" s="112"/>
      <c r="K125" s="112"/>
      <c r="L125" s="112"/>
      <c r="M125" s="112"/>
      <c r="N125" s="108"/>
    </row>
    <row r="126" spans="1:18" ht="23.1" customHeight="1">
      <c r="A126" s="107"/>
      <c r="B126" s="107"/>
      <c r="C126" s="119"/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7"/>
    </row>
    <row r="127" spans="1:18" ht="23.1" customHeight="1">
      <c r="A127" s="108"/>
      <c r="B127" s="108"/>
      <c r="C127" s="109"/>
      <c r="D127" s="112"/>
      <c r="E127" s="112"/>
      <c r="F127" s="112"/>
      <c r="G127" s="112"/>
      <c r="H127" s="112"/>
      <c r="I127" s="112"/>
      <c r="J127" s="112"/>
      <c r="K127" s="112"/>
      <c r="L127" s="112"/>
      <c r="M127" s="112"/>
      <c r="N127" s="108"/>
    </row>
    <row r="128" spans="1:18" ht="23.1" customHeight="1">
      <c r="A128" s="107"/>
      <c r="B128" s="107"/>
      <c r="C128" s="119"/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7"/>
    </row>
    <row r="129" spans="1:14" ht="23.1" customHeight="1">
      <c r="A129" s="108"/>
      <c r="B129" s="108"/>
      <c r="C129" s="109"/>
      <c r="D129" s="112"/>
      <c r="E129" s="112"/>
      <c r="F129" s="112"/>
      <c r="G129" s="112"/>
      <c r="H129" s="112"/>
      <c r="I129" s="112"/>
      <c r="J129" s="112"/>
      <c r="K129" s="112"/>
      <c r="L129" s="112"/>
      <c r="M129" s="112"/>
      <c r="N129" s="108"/>
    </row>
    <row r="130" spans="1:14" ht="23.1" customHeight="1">
      <c r="A130" s="107"/>
      <c r="B130" s="107"/>
      <c r="C130" s="119"/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7"/>
    </row>
    <row r="131" spans="1:14" ht="23.1" customHeight="1">
      <c r="A131" s="108"/>
      <c r="B131" s="108"/>
      <c r="C131" s="109"/>
      <c r="D131" s="112"/>
      <c r="E131" s="112"/>
      <c r="F131" s="112"/>
      <c r="G131" s="112"/>
      <c r="H131" s="112"/>
      <c r="I131" s="112"/>
      <c r="J131" s="112"/>
      <c r="K131" s="112"/>
      <c r="L131" s="112"/>
      <c r="M131" s="112"/>
      <c r="N131" s="108"/>
    </row>
    <row r="132" spans="1:14" ht="23.1" customHeight="1">
      <c r="A132" s="113" t="s">
        <v>734</v>
      </c>
      <c r="B132" s="114"/>
      <c r="C132" s="113"/>
      <c r="D132" s="115"/>
      <c r="E132" s="115"/>
      <c r="F132" s="115"/>
      <c r="G132" s="115">
        <f>SUMIF(R102:R131, "1", G102:G131)</f>
        <v>32.137499999999996</v>
      </c>
      <c r="H132" s="115">
        <f>SUMIF(R102:R131, "1", H102:H131)</f>
        <v>11.6806</v>
      </c>
      <c r="I132" s="115"/>
      <c r="J132" s="115"/>
      <c r="K132" s="115"/>
      <c r="L132" s="115"/>
      <c r="M132" s="115"/>
      <c r="N132" s="114"/>
    </row>
    <row r="133" spans="1:14" ht="23.1" customHeight="1">
      <c r="A133" s="116"/>
      <c r="B133" s="116"/>
      <c r="C133" s="117"/>
      <c r="D133" s="118"/>
      <c r="E133" s="118"/>
      <c r="F133" s="118"/>
      <c r="G133" s="118">
        <f>ROUND(G132*100/100, 2)</f>
        <v>32.14</v>
      </c>
      <c r="H133" s="118">
        <f>ROUND(H132*100/100, 2)</f>
        <v>11.68</v>
      </c>
      <c r="I133" s="118"/>
      <c r="J133" s="118"/>
      <c r="K133" s="118"/>
      <c r="L133" s="118"/>
      <c r="M133" s="118"/>
      <c r="N133" s="116"/>
    </row>
  </sheetData>
  <mergeCells count="8">
    <mergeCell ref="A1:N1"/>
    <mergeCell ref="A2:N2"/>
    <mergeCell ref="A3:A5"/>
    <mergeCell ref="B3:B5"/>
    <mergeCell ref="C3:C5"/>
    <mergeCell ref="F3:F5"/>
    <mergeCell ref="G3:M3"/>
    <mergeCell ref="N3:N5"/>
  </mergeCells>
  <phoneticPr fontId="4" type="noConversion"/>
  <pageMargins left="0.74090148180296356" right="0" top="0.54405108810217628" bottom="0.1388888888888889" header="0.3" footer="0.1388888888888889"/>
  <pageSetup paperSize="9" orientation="landscape" r:id="rId1"/>
  <rowBreaks count="8" manualBreakCount="8">
    <brk id="21" max="16383" man="1"/>
    <brk id="37" max="16383" man="1"/>
    <brk id="53" max="16383" man="1"/>
    <brk id="69" max="16383" man="1"/>
    <brk id="85" max="16383" man="1"/>
    <brk id="101" max="16383" man="1"/>
    <brk id="117" max="16383" man="1"/>
    <brk id="133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19D86"/>
  </sheetPr>
  <dimension ref="A1:R58"/>
  <sheetViews>
    <sheetView view="pageBreakPreview" zoomScaleNormal="100" zoomScaleSheetLayoutView="100" workbookViewId="0">
      <pane xSplit="4" ySplit="4" topLeftCell="E5" activePane="bottomRight" state="frozen"/>
      <selection activeCell="E5" sqref="E5"/>
      <selection pane="topRight" activeCell="E5" sqref="E5"/>
      <selection pane="bottomLeft" activeCell="E5" sqref="E5"/>
      <selection pane="bottomRight" activeCell="M30" sqref="M30"/>
    </sheetView>
  </sheetViews>
  <sheetFormatPr defaultColWidth="8.8984375" defaultRowHeight="17.399999999999999"/>
  <cols>
    <col min="1" max="1" width="5.8984375" style="88" customWidth="1"/>
    <col min="2" max="3" width="18.296875" style="87" customWidth="1"/>
    <col min="4" max="5" width="4.09765625" style="88" customWidth="1"/>
    <col min="6" max="6" width="5.8984375" style="89" customWidth="1"/>
    <col min="7" max="7" width="6.69921875" style="89" customWidth="1"/>
    <col min="8" max="8" width="5.8984375" style="89" customWidth="1"/>
    <col min="9" max="9" width="6.69921875" style="89" customWidth="1"/>
    <col min="10" max="10" width="5.8984375" style="89" customWidth="1"/>
    <col min="11" max="11" width="6.69921875" style="89" customWidth="1"/>
    <col min="12" max="12" width="5.8984375" style="89" customWidth="1"/>
    <col min="13" max="13" width="6.69921875" style="89" customWidth="1"/>
    <col min="14" max="14" width="6.69921875" style="87" customWidth="1"/>
    <col min="15" max="18" width="0" style="79" hidden="1" customWidth="1"/>
    <col min="19" max="16384" width="8.8984375" style="79"/>
  </cols>
  <sheetData>
    <row r="1" spans="1:18" ht="30" customHeight="1">
      <c r="A1" s="225" t="s">
        <v>1023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</row>
    <row r="2" spans="1:18" ht="23.1" customHeight="1">
      <c r="A2" s="226" t="s">
        <v>647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</row>
    <row r="3" spans="1:18" ht="23.1" customHeight="1">
      <c r="A3" s="224" t="s">
        <v>1024</v>
      </c>
      <c r="B3" s="224" t="s">
        <v>1025</v>
      </c>
      <c r="C3" s="224" t="s">
        <v>1026</v>
      </c>
      <c r="D3" s="224" t="s">
        <v>326</v>
      </c>
      <c r="E3" s="224" t="s">
        <v>649</v>
      </c>
      <c r="F3" s="224" t="s">
        <v>1027</v>
      </c>
      <c r="G3" s="224"/>
      <c r="H3" s="224" t="s">
        <v>444</v>
      </c>
      <c r="I3" s="224"/>
      <c r="J3" s="224" t="s">
        <v>1028</v>
      </c>
      <c r="K3" s="224"/>
      <c r="L3" s="224" t="s">
        <v>1029</v>
      </c>
      <c r="M3" s="224"/>
      <c r="N3" s="224" t="s">
        <v>1030</v>
      </c>
    </row>
    <row r="4" spans="1:18" ht="23.1" customHeight="1">
      <c r="A4" s="224"/>
      <c r="B4" s="224"/>
      <c r="C4" s="224"/>
      <c r="D4" s="224"/>
      <c r="E4" s="224"/>
      <c r="F4" s="80" t="s">
        <v>655</v>
      </c>
      <c r="G4" s="80" t="s">
        <v>656</v>
      </c>
      <c r="H4" s="80" t="s">
        <v>655</v>
      </c>
      <c r="I4" s="80" t="s">
        <v>656</v>
      </c>
      <c r="J4" s="80" t="s">
        <v>655</v>
      </c>
      <c r="K4" s="80" t="s">
        <v>656</v>
      </c>
      <c r="L4" s="80" t="s">
        <v>655</v>
      </c>
      <c r="M4" s="80" t="s">
        <v>656</v>
      </c>
      <c r="N4" s="224"/>
      <c r="O4" s="79" t="s">
        <v>674</v>
      </c>
      <c r="P4" s="79" t="s">
        <v>675</v>
      </c>
      <c r="Q4" s="79" t="s">
        <v>676</v>
      </c>
      <c r="R4" s="79" t="s">
        <v>677</v>
      </c>
    </row>
    <row r="5" spans="1:18" ht="23.1" customHeight="1">
      <c r="A5" s="82" t="s">
        <v>890</v>
      </c>
      <c r="B5" s="81" t="s">
        <v>842</v>
      </c>
      <c r="C5" s="81" t="s">
        <v>889</v>
      </c>
      <c r="D5" s="82" t="s">
        <v>333</v>
      </c>
      <c r="E5" s="83">
        <v>1</v>
      </c>
      <c r="F5" s="84">
        <f>일위대가표!F10</f>
        <v>4251</v>
      </c>
      <c r="G5" s="84">
        <f t="shared" ref="G5:G57" si="0">E5*F5</f>
        <v>4251</v>
      </c>
      <c r="H5" s="84">
        <f>일위대가표!H10</f>
        <v>7903</v>
      </c>
      <c r="I5" s="84">
        <f t="shared" ref="I5:I57" si="1">E5*H5</f>
        <v>7903</v>
      </c>
      <c r="J5" s="84">
        <f>일위대가표!J10</f>
        <v>0</v>
      </c>
      <c r="K5" s="84">
        <f t="shared" ref="K5:K57" si="2">E5*J5</f>
        <v>0</v>
      </c>
      <c r="L5" s="84">
        <f t="shared" ref="L5:M36" si="3">F5+H5+J5</f>
        <v>12154</v>
      </c>
      <c r="M5" s="84">
        <f t="shared" si="3"/>
        <v>12154</v>
      </c>
      <c r="N5" s="85"/>
    </row>
    <row r="6" spans="1:18" ht="23.1" customHeight="1">
      <c r="A6" s="82" t="s">
        <v>892</v>
      </c>
      <c r="B6" s="81" t="s">
        <v>842</v>
      </c>
      <c r="C6" s="81" t="s">
        <v>891</v>
      </c>
      <c r="D6" s="82" t="s">
        <v>333</v>
      </c>
      <c r="E6" s="83">
        <v>1</v>
      </c>
      <c r="F6" s="84">
        <f>일위대가표!F17</f>
        <v>5384</v>
      </c>
      <c r="G6" s="84">
        <f t="shared" si="0"/>
        <v>5384</v>
      </c>
      <c r="H6" s="84">
        <f>일위대가표!H17</f>
        <v>9529</v>
      </c>
      <c r="I6" s="84">
        <f t="shared" si="1"/>
        <v>9529</v>
      </c>
      <c r="J6" s="84">
        <f>일위대가표!J17</f>
        <v>0</v>
      </c>
      <c r="K6" s="84">
        <f t="shared" si="2"/>
        <v>0</v>
      </c>
      <c r="L6" s="84">
        <f t="shared" si="3"/>
        <v>14913</v>
      </c>
      <c r="M6" s="84">
        <f t="shared" si="3"/>
        <v>14913</v>
      </c>
      <c r="N6" s="85"/>
    </row>
    <row r="7" spans="1:18" ht="23.1" customHeight="1">
      <c r="A7" s="82" t="s">
        <v>894</v>
      </c>
      <c r="B7" s="81" t="s">
        <v>842</v>
      </c>
      <c r="C7" s="81" t="s">
        <v>893</v>
      </c>
      <c r="D7" s="82" t="s">
        <v>333</v>
      </c>
      <c r="E7" s="83">
        <v>1</v>
      </c>
      <c r="F7" s="84">
        <f>일위대가표!F24</f>
        <v>6138</v>
      </c>
      <c r="G7" s="84">
        <f t="shared" si="0"/>
        <v>6138</v>
      </c>
      <c r="H7" s="84">
        <f>일위대가표!H24</f>
        <v>10560</v>
      </c>
      <c r="I7" s="84">
        <f t="shared" si="1"/>
        <v>10560</v>
      </c>
      <c r="J7" s="84">
        <f>일위대가표!J24</f>
        <v>0</v>
      </c>
      <c r="K7" s="84">
        <f t="shared" si="2"/>
        <v>0</v>
      </c>
      <c r="L7" s="84">
        <f t="shared" si="3"/>
        <v>16698</v>
      </c>
      <c r="M7" s="84">
        <f t="shared" si="3"/>
        <v>16698</v>
      </c>
      <c r="N7" s="85"/>
    </row>
    <row r="8" spans="1:18" ht="23.1" customHeight="1">
      <c r="A8" s="82" t="s">
        <v>844</v>
      </c>
      <c r="B8" s="81" t="s">
        <v>842</v>
      </c>
      <c r="C8" s="81" t="s">
        <v>843</v>
      </c>
      <c r="D8" s="82" t="s">
        <v>333</v>
      </c>
      <c r="E8" s="83">
        <v>1</v>
      </c>
      <c r="F8" s="84">
        <f>일위대가표!F31</f>
        <v>8461</v>
      </c>
      <c r="G8" s="84">
        <f t="shared" si="0"/>
        <v>8461</v>
      </c>
      <c r="H8" s="84">
        <f>일위대가표!H31</f>
        <v>12667</v>
      </c>
      <c r="I8" s="84">
        <f t="shared" si="1"/>
        <v>12667</v>
      </c>
      <c r="J8" s="84">
        <f>일위대가표!J31</f>
        <v>0</v>
      </c>
      <c r="K8" s="84">
        <f t="shared" si="2"/>
        <v>0</v>
      </c>
      <c r="L8" s="84">
        <f t="shared" si="3"/>
        <v>21128</v>
      </c>
      <c r="M8" s="84">
        <f t="shared" si="3"/>
        <v>21128</v>
      </c>
      <c r="N8" s="85"/>
    </row>
    <row r="9" spans="1:18" ht="23.1" customHeight="1">
      <c r="A9" s="82" t="s">
        <v>846</v>
      </c>
      <c r="B9" s="81" t="s">
        <v>842</v>
      </c>
      <c r="C9" s="81" t="s">
        <v>845</v>
      </c>
      <c r="D9" s="82" t="s">
        <v>333</v>
      </c>
      <c r="E9" s="83">
        <v>1</v>
      </c>
      <c r="F9" s="84">
        <f>일위대가표!F38</f>
        <v>10720</v>
      </c>
      <c r="G9" s="84">
        <f t="shared" si="0"/>
        <v>10720</v>
      </c>
      <c r="H9" s="84">
        <f>일위대가표!H38</f>
        <v>15645</v>
      </c>
      <c r="I9" s="84">
        <f t="shared" si="1"/>
        <v>15645</v>
      </c>
      <c r="J9" s="84">
        <f>일위대가표!J38</f>
        <v>0</v>
      </c>
      <c r="K9" s="84">
        <f t="shared" si="2"/>
        <v>0</v>
      </c>
      <c r="L9" s="84">
        <f t="shared" si="3"/>
        <v>26365</v>
      </c>
      <c r="M9" s="84">
        <f t="shared" si="3"/>
        <v>26365</v>
      </c>
      <c r="N9" s="85"/>
    </row>
    <row r="10" spans="1:18" ht="23.1" customHeight="1">
      <c r="A10" s="82" t="s">
        <v>848</v>
      </c>
      <c r="B10" s="81" t="s">
        <v>842</v>
      </c>
      <c r="C10" s="81" t="s">
        <v>847</v>
      </c>
      <c r="D10" s="82" t="s">
        <v>333</v>
      </c>
      <c r="E10" s="83">
        <v>1</v>
      </c>
      <c r="F10" s="84">
        <f>일위대가표!F45</f>
        <v>13808</v>
      </c>
      <c r="G10" s="84">
        <f t="shared" si="0"/>
        <v>13808</v>
      </c>
      <c r="H10" s="84">
        <f>일위대가표!H45</f>
        <v>18898</v>
      </c>
      <c r="I10" s="84">
        <f t="shared" si="1"/>
        <v>18898</v>
      </c>
      <c r="J10" s="84">
        <f>일위대가표!J45</f>
        <v>0</v>
      </c>
      <c r="K10" s="84">
        <f t="shared" si="2"/>
        <v>0</v>
      </c>
      <c r="L10" s="84">
        <f t="shared" si="3"/>
        <v>32706</v>
      </c>
      <c r="M10" s="84">
        <f t="shared" si="3"/>
        <v>32706</v>
      </c>
      <c r="N10" s="85"/>
    </row>
    <row r="11" spans="1:18" ht="23.1" customHeight="1">
      <c r="A11" s="82" t="s">
        <v>896</v>
      </c>
      <c r="B11" s="81" t="s">
        <v>842</v>
      </c>
      <c r="C11" s="81" t="s">
        <v>895</v>
      </c>
      <c r="D11" s="82" t="s">
        <v>333</v>
      </c>
      <c r="E11" s="83">
        <v>1</v>
      </c>
      <c r="F11" s="84">
        <f>일위대가표!F52</f>
        <v>19745</v>
      </c>
      <c r="G11" s="84">
        <f t="shared" si="0"/>
        <v>19745</v>
      </c>
      <c r="H11" s="84">
        <f>일위대가표!H52</f>
        <v>26206</v>
      </c>
      <c r="I11" s="84">
        <f t="shared" si="1"/>
        <v>26206</v>
      </c>
      <c r="J11" s="84">
        <f>일위대가표!J52</f>
        <v>0</v>
      </c>
      <c r="K11" s="84">
        <f t="shared" si="2"/>
        <v>0</v>
      </c>
      <c r="L11" s="84">
        <f t="shared" si="3"/>
        <v>45951</v>
      </c>
      <c r="M11" s="84">
        <f t="shared" si="3"/>
        <v>45951</v>
      </c>
      <c r="N11" s="85"/>
    </row>
    <row r="12" spans="1:18" ht="23.1" customHeight="1">
      <c r="A12" s="82" t="s">
        <v>898</v>
      </c>
      <c r="B12" s="81" t="s">
        <v>842</v>
      </c>
      <c r="C12" s="81" t="s">
        <v>897</v>
      </c>
      <c r="D12" s="82" t="s">
        <v>333</v>
      </c>
      <c r="E12" s="83">
        <v>1</v>
      </c>
      <c r="F12" s="84">
        <f>일위대가표!F59</f>
        <v>26057</v>
      </c>
      <c r="G12" s="84">
        <f t="shared" si="0"/>
        <v>26057</v>
      </c>
      <c r="H12" s="84">
        <f>일위대가표!H59</f>
        <v>33788</v>
      </c>
      <c r="I12" s="84">
        <f t="shared" si="1"/>
        <v>33788</v>
      </c>
      <c r="J12" s="84">
        <f>일위대가표!J59</f>
        <v>0</v>
      </c>
      <c r="K12" s="84">
        <f t="shared" si="2"/>
        <v>0</v>
      </c>
      <c r="L12" s="84">
        <f t="shared" si="3"/>
        <v>59845</v>
      </c>
      <c r="M12" s="84">
        <f t="shared" si="3"/>
        <v>59845</v>
      </c>
      <c r="N12" s="85"/>
    </row>
    <row r="13" spans="1:18" ht="23.1" customHeight="1">
      <c r="A13" s="82" t="s">
        <v>850</v>
      </c>
      <c r="B13" s="81" t="s">
        <v>842</v>
      </c>
      <c r="C13" s="81" t="s">
        <v>849</v>
      </c>
      <c r="D13" s="82" t="s">
        <v>333</v>
      </c>
      <c r="E13" s="83">
        <v>1</v>
      </c>
      <c r="F13" s="84">
        <f>일위대가표!F66</f>
        <v>30890</v>
      </c>
      <c r="G13" s="84">
        <f t="shared" si="0"/>
        <v>30890</v>
      </c>
      <c r="H13" s="84">
        <f>일위대가표!H66</f>
        <v>39309</v>
      </c>
      <c r="I13" s="84">
        <f t="shared" si="1"/>
        <v>39309</v>
      </c>
      <c r="J13" s="84">
        <f>일위대가표!J66</f>
        <v>0</v>
      </c>
      <c r="K13" s="84">
        <f t="shared" si="2"/>
        <v>0</v>
      </c>
      <c r="L13" s="84">
        <f t="shared" si="3"/>
        <v>70199</v>
      </c>
      <c r="M13" s="84">
        <f t="shared" si="3"/>
        <v>70199</v>
      </c>
      <c r="N13" s="85"/>
    </row>
    <row r="14" spans="1:18" ht="23.1" customHeight="1">
      <c r="A14" s="82" t="s">
        <v>908</v>
      </c>
      <c r="B14" s="81" t="s">
        <v>871</v>
      </c>
      <c r="C14" s="81" t="s">
        <v>907</v>
      </c>
      <c r="D14" s="82" t="s">
        <v>769</v>
      </c>
      <c r="E14" s="83">
        <v>1</v>
      </c>
      <c r="F14" s="84">
        <f>일위대가표!F71</f>
        <v>1364</v>
      </c>
      <c r="G14" s="84">
        <f t="shared" si="0"/>
        <v>1364</v>
      </c>
      <c r="H14" s="84">
        <f>일위대가표!H71</f>
        <v>10498</v>
      </c>
      <c r="I14" s="84">
        <f t="shared" si="1"/>
        <v>10498</v>
      </c>
      <c r="J14" s="84">
        <f>일위대가표!J71</f>
        <v>0</v>
      </c>
      <c r="K14" s="84">
        <f t="shared" si="2"/>
        <v>0</v>
      </c>
      <c r="L14" s="84">
        <f t="shared" si="3"/>
        <v>11862</v>
      </c>
      <c r="M14" s="84">
        <f t="shared" si="3"/>
        <v>11862</v>
      </c>
      <c r="N14" s="85"/>
    </row>
    <row r="15" spans="1:18" ht="23.1" customHeight="1">
      <c r="A15" s="82" t="s">
        <v>873</v>
      </c>
      <c r="B15" s="81" t="s">
        <v>871</v>
      </c>
      <c r="C15" s="81" t="s">
        <v>872</v>
      </c>
      <c r="D15" s="82" t="s">
        <v>769</v>
      </c>
      <c r="E15" s="83">
        <v>1</v>
      </c>
      <c r="F15" s="84">
        <f>일위대가표!F76</f>
        <v>1657</v>
      </c>
      <c r="G15" s="84">
        <f t="shared" si="0"/>
        <v>1657</v>
      </c>
      <c r="H15" s="84">
        <f>일위대가표!H76</f>
        <v>12748</v>
      </c>
      <c r="I15" s="84">
        <f t="shared" si="1"/>
        <v>12748</v>
      </c>
      <c r="J15" s="84">
        <f>일위대가표!J76</f>
        <v>0</v>
      </c>
      <c r="K15" s="84">
        <f t="shared" si="2"/>
        <v>0</v>
      </c>
      <c r="L15" s="84">
        <f t="shared" si="3"/>
        <v>14405</v>
      </c>
      <c r="M15" s="84">
        <f t="shared" si="3"/>
        <v>14405</v>
      </c>
      <c r="N15" s="85"/>
    </row>
    <row r="16" spans="1:18" ht="23.1" customHeight="1">
      <c r="A16" s="82" t="s">
        <v>875</v>
      </c>
      <c r="B16" s="81" t="s">
        <v>871</v>
      </c>
      <c r="C16" s="81" t="s">
        <v>874</v>
      </c>
      <c r="D16" s="82" t="s">
        <v>769</v>
      </c>
      <c r="E16" s="83">
        <v>1</v>
      </c>
      <c r="F16" s="84">
        <f>일위대가표!F81</f>
        <v>2047</v>
      </c>
      <c r="G16" s="84">
        <f t="shared" si="0"/>
        <v>2047</v>
      </c>
      <c r="H16" s="84">
        <f>일위대가표!H81</f>
        <v>15747</v>
      </c>
      <c r="I16" s="84">
        <f t="shared" si="1"/>
        <v>15747</v>
      </c>
      <c r="J16" s="84">
        <f>일위대가표!J81</f>
        <v>0</v>
      </c>
      <c r="K16" s="84">
        <f t="shared" si="2"/>
        <v>0</v>
      </c>
      <c r="L16" s="84">
        <f t="shared" si="3"/>
        <v>17794</v>
      </c>
      <c r="M16" s="84">
        <f t="shared" si="3"/>
        <v>17794</v>
      </c>
      <c r="N16" s="85"/>
    </row>
    <row r="17" spans="1:14" ht="23.1" customHeight="1">
      <c r="A17" s="82" t="s">
        <v>877</v>
      </c>
      <c r="B17" s="81" t="s">
        <v>871</v>
      </c>
      <c r="C17" s="81" t="s">
        <v>876</v>
      </c>
      <c r="D17" s="82" t="s">
        <v>769</v>
      </c>
      <c r="E17" s="83">
        <v>1</v>
      </c>
      <c r="F17" s="84">
        <f>일위대가표!F86</f>
        <v>2359</v>
      </c>
      <c r="G17" s="84">
        <f t="shared" si="0"/>
        <v>2359</v>
      </c>
      <c r="H17" s="84">
        <f>일위대가표!H86</f>
        <v>18147</v>
      </c>
      <c r="I17" s="84">
        <f t="shared" si="1"/>
        <v>18147</v>
      </c>
      <c r="J17" s="84">
        <f>일위대가표!J86</f>
        <v>0</v>
      </c>
      <c r="K17" s="84">
        <f t="shared" si="2"/>
        <v>0</v>
      </c>
      <c r="L17" s="84">
        <f t="shared" si="3"/>
        <v>20506</v>
      </c>
      <c r="M17" s="84">
        <f t="shared" si="3"/>
        <v>20506</v>
      </c>
      <c r="N17" s="85"/>
    </row>
    <row r="18" spans="1:14" ht="23.1" customHeight="1">
      <c r="A18" s="82" t="s">
        <v>910</v>
      </c>
      <c r="B18" s="81" t="s">
        <v>871</v>
      </c>
      <c r="C18" s="81" t="s">
        <v>909</v>
      </c>
      <c r="D18" s="82" t="s">
        <v>769</v>
      </c>
      <c r="E18" s="83">
        <v>1</v>
      </c>
      <c r="F18" s="84">
        <f>일위대가표!F91</f>
        <v>2963</v>
      </c>
      <c r="G18" s="84">
        <f t="shared" si="0"/>
        <v>2963</v>
      </c>
      <c r="H18" s="84">
        <f>일위대가표!H91</f>
        <v>22796</v>
      </c>
      <c r="I18" s="84">
        <f t="shared" si="1"/>
        <v>22796</v>
      </c>
      <c r="J18" s="84">
        <f>일위대가표!J91</f>
        <v>0</v>
      </c>
      <c r="K18" s="84">
        <f t="shared" si="2"/>
        <v>0</v>
      </c>
      <c r="L18" s="84">
        <f t="shared" si="3"/>
        <v>25759</v>
      </c>
      <c r="M18" s="84">
        <f t="shared" si="3"/>
        <v>25759</v>
      </c>
      <c r="N18" s="85"/>
    </row>
    <row r="19" spans="1:14" ht="23.1" customHeight="1">
      <c r="A19" s="82" t="s">
        <v>912</v>
      </c>
      <c r="B19" s="81" t="s">
        <v>871</v>
      </c>
      <c r="C19" s="81" t="s">
        <v>911</v>
      </c>
      <c r="D19" s="82" t="s">
        <v>769</v>
      </c>
      <c r="E19" s="83">
        <v>1</v>
      </c>
      <c r="F19" s="84">
        <f>일위대가표!F99</f>
        <v>3587</v>
      </c>
      <c r="G19" s="84">
        <f t="shared" si="0"/>
        <v>3587</v>
      </c>
      <c r="H19" s="84">
        <f>일위대가표!H99</f>
        <v>27596</v>
      </c>
      <c r="I19" s="84">
        <f t="shared" si="1"/>
        <v>27596</v>
      </c>
      <c r="J19" s="84">
        <f>일위대가표!J99</f>
        <v>0</v>
      </c>
      <c r="K19" s="84">
        <f t="shared" si="2"/>
        <v>0</v>
      </c>
      <c r="L19" s="84">
        <f t="shared" si="3"/>
        <v>31183</v>
      </c>
      <c r="M19" s="84">
        <f t="shared" si="3"/>
        <v>31183</v>
      </c>
      <c r="N19" s="85"/>
    </row>
    <row r="20" spans="1:14" ht="23.1" customHeight="1">
      <c r="A20" s="82" t="s">
        <v>879</v>
      </c>
      <c r="B20" s="81" t="s">
        <v>871</v>
      </c>
      <c r="C20" s="81" t="s">
        <v>878</v>
      </c>
      <c r="D20" s="82" t="s">
        <v>769</v>
      </c>
      <c r="E20" s="83">
        <v>1</v>
      </c>
      <c r="F20" s="84">
        <f>일위대가표!F104</f>
        <v>4211</v>
      </c>
      <c r="G20" s="84">
        <f t="shared" si="0"/>
        <v>4211</v>
      </c>
      <c r="H20" s="84">
        <f>일위대가표!H104</f>
        <v>32395</v>
      </c>
      <c r="I20" s="84">
        <f t="shared" si="1"/>
        <v>32395</v>
      </c>
      <c r="J20" s="84">
        <f>일위대가표!J104</f>
        <v>0</v>
      </c>
      <c r="K20" s="84">
        <f t="shared" si="2"/>
        <v>0</v>
      </c>
      <c r="L20" s="84">
        <f t="shared" si="3"/>
        <v>36606</v>
      </c>
      <c r="M20" s="84">
        <f t="shared" si="3"/>
        <v>36606</v>
      </c>
      <c r="N20" s="85"/>
    </row>
    <row r="21" spans="1:14" ht="23.1" customHeight="1">
      <c r="A21" s="82" t="s">
        <v>770</v>
      </c>
      <c r="B21" s="81" t="s">
        <v>767</v>
      </c>
      <c r="C21" s="81" t="s">
        <v>768</v>
      </c>
      <c r="D21" s="82" t="s">
        <v>769</v>
      </c>
      <c r="E21" s="83">
        <v>1</v>
      </c>
      <c r="F21" s="84">
        <f>일위대가표!F111</f>
        <v>148</v>
      </c>
      <c r="G21" s="84">
        <f t="shared" si="0"/>
        <v>148</v>
      </c>
      <c r="H21" s="84">
        <f>일위대가표!H111</f>
        <v>9748</v>
      </c>
      <c r="I21" s="84">
        <f t="shared" si="1"/>
        <v>9748</v>
      </c>
      <c r="J21" s="84">
        <f>일위대가표!J111</f>
        <v>11</v>
      </c>
      <c r="K21" s="84">
        <f t="shared" si="2"/>
        <v>11</v>
      </c>
      <c r="L21" s="84">
        <f t="shared" si="3"/>
        <v>9907</v>
      </c>
      <c r="M21" s="84">
        <f t="shared" si="3"/>
        <v>9907</v>
      </c>
      <c r="N21" s="85"/>
    </row>
    <row r="22" spans="1:14" ht="23.1" customHeight="1">
      <c r="A22" s="82" t="s">
        <v>772</v>
      </c>
      <c r="B22" s="81" t="s">
        <v>767</v>
      </c>
      <c r="C22" s="81" t="s">
        <v>771</v>
      </c>
      <c r="D22" s="82" t="s">
        <v>769</v>
      </c>
      <c r="E22" s="83">
        <v>1</v>
      </c>
      <c r="F22" s="84">
        <f>일위대가표!F118</f>
        <v>234</v>
      </c>
      <c r="G22" s="84">
        <f t="shared" si="0"/>
        <v>234</v>
      </c>
      <c r="H22" s="84">
        <f>일위대가표!H118</f>
        <v>13123</v>
      </c>
      <c r="I22" s="84">
        <f t="shared" si="1"/>
        <v>13123</v>
      </c>
      <c r="J22" s="84">
        <f>일위대가표!J118</f>
        <v>16</v>
      </c>
      <c r="K22" s="84">
        <f t="shared" si="2"/>
        <v>16</v>
      </c>
      <c r="L22" s="84">
        <f t="shared" si="3"/>
        <v>13373</v>
      </c>
      <c r="M22" s="84">
        <f t="shared" si="3"/>
        <v>13373</v>
      </c>
      <c r="N22" s="85"/>
    </row>
    <row r="23" spans="1:14" ht="23.1" customHeight="1">
      <c r="A23" s="82" t="s">
        <v>774</v>
      </c>
      <c r="B23" s="81" t="s">
        <v>767</v>
      </c>
      <c r="C23" s="81" t="s">
        <v>773</v>
      </c>
      <c r="D23" s="82" t="s">
        <v>769</v>
      </c>
      <c r="E23" s="83">
        <v>1</v>
      </c>
      <c r="F23" s="84">
        <f>일위대가표!F125</f>
        <v>299</v>
      </c>
      <c r="G23" s="84">
        <f t="shared" si="0"/>
        <v>299</v>
      </c>
      <c r="H23" s="84">
        <f>일위대가표!H125</f>
        <v>15935</v>
      </c>
      <c r="I23" s="84">
        <f t="shared" si="1"/>
        <v>15935</v>
      </c>
      <c r="J23" s="84">
        <f>일위대가표!J125</f>
        <v>20</v>
      </c>
      <c r="K23" s="84">
        <f t="shared" si="2"/>
        <v>20</v>
      </c>
      <c r="L23" s="84">
        <f t="shared" si="3"/>
        <v>16254</v>
      </c>
      <c r="M23" s="84">
        <f t="shared" si="3"/>
        <v>16254</v>
      </c>
      <c r="N23" s="85"/>
    </row>
    <row r="24" spans="1:14" ht="23.1" customHeight="1">
      <c r="A24" s="82" t="s">
        <v>776</v>
      </c>
      <c r="B24" s="81" t="s">
        <v>767</v>
      </c>
      <c r="C24" s="81" t="s">
        <v>775</v>
      </c>
      <c r="D24" s="82" t="s">
        <v>769</v>
      </c>
      <c r="E24" s="83">
        <v>1</v>
      </c>
      <c r="F24" s="84">
        <f>일위대가표!F132</f>
        <v>720</v>
      </c>
      <c r="G24" s="84">
        <f t="shared" si="0"/>
        <v>720</v>
      </c>
      <c r="H24" s="84">
        <f>일위대가표!H132</f>
        <v>19684</v>
      </c>
      <c r="I24" s="84">
        <f t="shared" si="1"/>
        <v>19684</v>
      </c>
      <c r="J24" s="84">
        <f>일위대가표!J132</f>
        <v>25</v>
      </c>
      <c r="K24" s="84">
        <f t="shared" si="2"/>
        <v>25</v>
      </c>
      <c r="L24" s="84">
        <f t="shared" si="3"/>
        <v>20429</v>
      </c>
      <c r="M24" s="84">
        <f t="shared" si="3"/>
        <v>20429</v>
      </c>
      <c r="N24" s="85"/>
    </row>
    <row r="25" spans="1:14" ht="23.1" customHeight="1">
      <c r="A25" s="82" t="s">
        <v>778</v>
      </c>
      <c r="B25" s="81" t="s">
        <v>767</v>
      </c>
      <c r="C25" s="81" t="s">
        <v>777</v>
      </c>
      <c r="D25" s="82" t="s">
        <v>769</v>
      </c>
      <c r="E25" s="83">
        <v>1</v>
      </c>
      <c r="F25" s="84">
        <f>일위대가표!F139</f>
        <v>889</v>
      </c>
      <c r="G25" s="84">
        <f t="shared" si="0"/>
        <v>889</v>
      </c>
      <c r="H25" s="84">
        <f>일위대가표!H139</f>
        <v>22684</v>
      </c>
      <c r="I25" s="84">
        <f t="shared" si="1"/>
        <v>22684</v>
      </c>
      <c r="J25" s="84">
        <f>일위대가표!J139</f>
        <v>50</v>
      </c>
      <c r="K25" s="84">
        <f t="shared" si="2"/>
        <v>50</v>
      </c>
      <c r="L25" s="84">
        <f t="shared" si="3"/>
        <v>23623</v>
      </c>
      <c r="M25" s="84">
        <f t="shared" si="3"/>
        <v>23623</v>
      </c>
      <c r="N25" s="85"/>
    </row>
    <row r="26" spans="1:14" ht="23.1" customHeight="1">
      <c r="A26" s="82" t="s">
        <v>780</v>
      </c>
      <c r="B26" s="81" t="s">
        <v>767</v>
      </c>
      <c r="C26" s="81" t="s">
        <v>779</v>
      </c>
      <c r="D26" s="82" t="s">
        <v>769</v>
      </c>
      <c r="E26" s="83">
        <v>1</v>
      </c>
      <c r="F26" s="84">
        <f>일위대가표!F146</f>
        <v>1262</v>
      </c>
      <c r="G26" s="84">
        <f t="shared" si="0"/>
        <v>1262</v>
      </c>
      <c r="H26" s="84">
        <f>일위대가표!H146</f>
        <v>28495</v>
      </c>
      <c r="I26" s="84">
        <f t="shared" si="1"/>
        <v>28495</v>
      </c>
      <c r="J26" s="84">
        <f>일위대가표!J146</f>
        <v>65</v>
      </c>
      <c r="K26" s="84">
        <f t="shared" si="2"/>
        <v>65</v>
      </c>
      <c r="L26" s="84">
        <f t="shared" si="3"/>
        <v>29822</v>
      </c>
      <c r="M26" s="84">
        <f t="shared" si="3"/>
        <v>29822</v>
      </c>
      <c r="N26" s="85"/>
    </row>
    <row r="27" spans="1:14" ht="23.1" customHeight="1">
      <c r="A27" s="82" t="s">
        <v>782</v>
      </c>
      <c r="B27" s="81" t="s">
        <v>767</v>
      </c>
      <c r="C27" s="81" t="s">
        <v>781</v>
      </c>
      <c r="D27" s="82" t="s">
        <v>769</v>
      </c>
      <c r="E27" s="83">
        <v>1</v>
      </c>
      <c r="F27" s="84">
        <f>일위대가표!F153</f>
        <v>2289</v>
      </c>
      <c r="G27" s="84">
        <f t="shared" si="0"/>
        <v>2289</v>
      </c>
      <c r="H27" s="84">
        <f>일위대가표!H153</f>
        <v>40494</v>
      </c>
      <c r="I27" s="84">
        <f t="shared" si="1"/>
        <v>40494</v>
      </c>
      <c r="J27" s="84">
        <f>일위대가표!J153</f>
        <v>94</v>
      </c>
      <c r="K27" s="84">
        <f t="shared" si="2"/>
        <v>94</v>
      </c>
      <c r="L27" s="84">
        <f t="shared" si="3"/>
        <v>42877</v>
      </c>
      <c r="M27" s="84">
        <f t="shared" si="3"/>
        <v>42877</v>
      </c>
      <c r="N27" s="85"/>
    </row>
    <row r="28" spans="1:14" ht="23.1" customHeight="1">
      <c r="A28" s="82" t="s">
        <v>749</v>
      </c>
      <c r="B28" s="81" t="s">
        <v>747</v>
      </c>
      <c r="C28" s="81" t="s">
        <v>748</v>
      </c>
      <c r="D28" s="82" t="s">
        <v>333</v>
      </c>
      <c r="E28" s="83">
        <v>1</v>
      </c>
      <c r="F28" s="84">
        <f>일위대가표!F163</f>
        <v>2371</v>
      </c>
      <c r="G28" s="84">
        <f t="shared" si="0"/>
        <v>2371</v>
      </c>
      <c r="H28" s="84">
        <f>일위대가표!H163</f>
        <v>3660</v>
      </c>
      <c r="I28" s="84">
        <f t="shared" si="1"/>
        <v>3660</v>
      </c>
      <c r="J28" s="84">
        <f>일위대가표!J163</f>
        <v>0</v>
      </c>
      <c r="K28" s="84">
        <f t="shared" si="2"/>
        <v>0</v>
      </c>
      <c r="L28" s="84">
        <f t="shared" si="3"/>
        <v>6031</v>
      </c>
      <c r="M28" s="84">
        <f t="shared" si="3"/>
        <v>6031</v>
      </c>
      <c r="N28" s="85"/>
    </row>
    <row r="29" spans="1:14" ht="23.1" customHeight="1">
      <c r="A29" s="82" t="s">
        <v>751</v>
      </c>
      <c r="B29" s="81" t="s">
        <v>747</v>
      </c>
      <c r="C29" s="81" t="s">
        <v>750</v>
      </c>
      <c r="D29" s="82" t="s">
        <v>333</v>
      </c>
      <c r="E29" s="83">
        <v>1</v>
      </c>
      <c r="F29" s="84">
        <f>일위대가표!F173</f>
        <v>3589</v>
      </c>
      <c r="G29" s="84">
        <f t="shared" si="0"/>
        <v>3589</v>
      </c>
      <c r="H29" s="84">
        <f>일위대가표!H173</f>
        <v>7499</v>
      </c>
      <c r="I29" s="84">
        <f t="shared" si="1"/>
        <v>7499</v>
      </c>
      <c r="J29" s="84">
        <f>일위대가표!J173</f>
        <v>0</v>
      </c>
      <c r="K29" s="84">
        <f t="shared" si="2"/>
        <v>0</v>
      </c>
      <c r="L29" s="84">
        <f t="shared" si="3"/>
        <v>11088</v>
      </c>
      <c r="M29" s="84">
        <f t="shared" si="3"/>
        <v>11088</v>
      </c>
      <c r="N29" s="85"/>
    </row>
    <row r="30" spans="1:14" ht="23.1" customHeight="1">
      <c r="A30" s="82" t="s">
        <v>852</v>
      </c>
      <c r="B30" s="81" t="s">
        <v>747</v>
      </c>
      <c r="C30" s="81" t="s">
        <v>851</v>
      </c>
      <c r="D30" s="82" t="s">
        <v>333</v>
      </c>
      <c r="E30" s="83">
        <v>1</v>
      </c>
      <c r="F30" s="84">
        <f>일위대가표!F183</f>
        <v>4291</v>
      </c>
      <c r="G30" s="84">
        <f t="shared" si="0"/>
        <v>4291</v>
      </c>
      <c r="H30" s="84">
        <f>일위대가표!H183</f>
        <v>8850</v>
      </c>
      <c r="I30" s="84">
        <f t="shared" si="1"/>
        <v>8850</v>
      </c>
      <c r="J30" s="84">
        <f>일위대가표!J183</f>
        <v>0</v>
      </c>
      <c r="K30" s="84">
        <f t="shared" si="2"/>
        <v>0</v>
      </c>
      <c r="L30" s="84">
        <f t="shared" si="3"/>
        <v>13141</v>
      </c>
      <c r="M30" s="84">
        <f t="shared" si="3"/>
        <v>13141</v>
      </c>
      <c r="N30" s="85"/>
    </row>
    <row r="31" spans="1:14" ht="23.1" customHeight="1">
      <c r="A31" s="82" t="s">
        <v>854</v>
      </c>
      <c r="B31" s="81" t="s">
        <v>747</v>
      </c>
      <c r="C31" s="81" t="s">
        <v>853</v>
      </c>
      <c r="D31" s="82" t="s">
        <v>333</v>
      </c>
      <c r="E31" s="83">
        <v>1</v>
      </c>
      <c r="F31" s="84">
        <f>일위대가표!F193</f>
        <v>4714</v>
      </c>
      <c r="G31" s="84">
        <f t="shared" si="0"/>
        <v>4714</v>
      </c>
      <c r="H31" s="84">
        <f>일위대가표!H193</f>
        <v>10603</v>
      </c>
      <c r="I31" s="84">
        <f t="shared" si="1"/>
        <v>10603</v>
      </c>
      <c r="J31" s="84">
        <f>일위대가표!J193</f>
        <v>0</v>
      </c>
      <c r="K31" s="84">
        <f t="shared" si="2"/>
        <v>0</v>
      </c>
      <c r="L31" s="84">
        <f t="shared" si="3"/>
        <v>15317</v>
      </c>
      <c r="M31" s="84">
        <f t="shared" si="3"/>
        <v>15317</v>
      </c>
      <c r="N31" s="85"/>
    </row>
    <row r="32" spans="1:14" ht="23.1" customHeight="1">
      <c r="A32" s="82" t="s">
        <v>753</v>
      </c>
      <c r="B32" s="81" t="s">
        <v>747</v>
      </c>
      <c r="C32" s="81" t="s">
        <v>752</v>
      </c>
      <c r="D32" s="82" t="s">
        <v>333</v>
      </c>
      <c r="E32" s="83">
        <v>1</v>
      </c>
      <c r="F32" s="84">
        <f>일위대가표!F203</f>
        <v>9208</v>
      </c>
      <c r="G32" s="84">
        <f t="shared" si="0"/>
        <v>9208</v>
      </c>
      <c r="H32" s="84">
        <f>일위대가표!H203</f>
        <v>16091</v>
      </c>
      <c r="I32" s="84">
        <f t="shared" si="1"/>
        <v>16091</v>
      </c>
      <c r="J32" s="84">
        <f>일위대가표!J203</f>
        <v>0</v>
      </c>
      <c r="K32" s="84">
        <f t="shared" si="2"/>
        <v>0</v>
      </c>
      <c r="L32" s="84">
        <f t="shared" si="3"/>
        <v>25299</v>
      </c>
      <c r="M32" s="84">
        <f t="shared" si="3"/>
        <v>25299</v>
      </c>
      <c r="N32" s="85"/>
    </row>
    <row r="33" spans="1:14" ht="23.1" customHeight="1">
      <c r="A33" s="82" t="s">
        <v>755</v>
      </c>
      <c r="B33" s="81" t="s">
        <v>747</v>
      </c>
      <c r="C33" s="81" t="s">
        <v>754</v>
      </c>
      <c r="D33" s="82" t="s">
        <v>333</v>
      </c>
      <c r="E33" s="83">
        <v>1</v>
      </c>
      <c r="F33" s="84">
        <f>일위대가표!F213</f>
        <v>14895</v>
      </c>
      <c r="G33" s="84">
        <f t="shared" si="0"/>
        <v>14895</v>
      </c>
      <c r="H33" s="84">
        <f>일위대가표!H213</f>
        <v>22384</v>
      </c>
      <c r="I33" s="84">
        <f t="shared" si="1"/>
        <v>22384</v>
      </c>
      <c r="J33" s="84">
        <f>일위대가표!J213</f>
        <v>0</v>
      </c>
      <c r="K33" s="84">
        <f t="shared" si="2"/>
        <v>0</v>
      </c>
      <c r="L33" s="84">
        <f t="shared" si="3"/>
        <v>37279</v>
      </c>
      <c r="M33" s="84">
        <f t="shared" si="3"/>
        <v>37279</v>
      </c>
      <c r="N33" s="85"/>
    </row>
    <row r="34" spans="1:14" ht="23.1" customHeight="1">
      <c r="A34" s="82" t="s">
        <v>1031</v>
      </c>
      <c r="B34" s="81" t="s">
        <v>1032</v>
      </c>
      <c r="C34" s="81" t="s">
        <v>1033</v>
      </c>
      <c r="D34" s="82" t="s">
        <v>1034</v>
      </c>
      <c r="E34" s="83">
        <v>1</v>
      </c>
      <c r="F34" s="84">
        <f>일위대가표!F221</f>
        <v>1749</v>
      </c>
      <c r="G34" s="84">
        <f t="shared" si="0"/>
        <v>1749</v>
      </c>
      <c r="H34" s="84">
        <f>일위대가표!H221</f>
        <v>7207</v>
      </c>
      <c r="I34" s="84">
        <f t="shared" si="1"/>
        <v>7207</v>
      </c>
      <c r="J34" s="84">
        <f>일위대가표!J221</f>
        <v>0</v>
      </c>
      <c r="K34" s="84">
        <f t="shared" si="2"/>
        <v>0</v>
      </c>
      <c r="L34" s="84">
        <f t="shared" si="3"/>
        <v>8956</v>
      </c>
      <c r="M34" s="84">
        <f t="shared" si="3"/>
        <v>8956</v>
      </c>
      <c r="N34" s="85"/>
    </row>
    <row r="35" spans="1:14" ht="23.1" customHeight="1">
      <c r="A35" s="82" t="s">
        <v>841</v>
      </c>
      <c r="B35" s="81" t="s">
        <v>840</v>
      </c>
      <c r="C35" s="85"/>
      <c r="D35" s="82" t="s">
        <v>769</v>
      </c>
      <c r="E35" s="83">
        <v>1</v>
      </c>
      <c r="F35" s="84">
        <f>일위대가표!F230</f>
        <v>226767</v>
      </c>
      <c r="G35" s="84">
        <f t="shared" si="0"/>
        <v>226767</v>
      </c>
      <c r="H35" s="84">
        <f>일위대가표!H230</f>
        <v>169552</v>
      </c>
      <c r="I35" s="84">
        <f t="shared" si="1"/>
        <v>169552</v>
      </c>
      <c r="J35" s="84">
        <f>일위대가표!J230</f>
        <v>0</v>
      </c>
      <c r="K35" s="84">
        <f t="shared" si="2"/>
        <v>0</v>
      </c>
      <c r="L35" s="84">
        <f t="shared" si="3"/>
        <v>396319</v>
      </c>
      <c r="M35" s="84">
        <f t="shared" si="3"/>
        <v>396319</v>
      </c>
      <c r="N35" s="85"/>
    </row>
    <row r="36" spans="1:14" ht="23.1" customHeight="1">
      <c r="A36" s="82" t="s">
        <v>801</v>
      </c>
      <c r="B36" s="81" t="s">
        <v>800</v>
      </c>
      <c r="C36" s="81" t="s">
        <v>771</v>
      </c>
      <c r="D36" s="82" t="s">
        <v>769</v>
      </c>
      <c r="E36" s="83">
        <v>1</v>
      </c>
      <c r="F36" s="84">
        <f>일위대가표!F238</f>
        <v>5461</v>
      </c>
      <c r="G36" s="84">
        <f t="shared" si="0"/>
        <v>5461</v>
      </c>
      <c r="H36" s="84">
        <f>일위대가표!H238</f>
        <v>13123</v>
      </c>
      <c r="I36" s="84">
        <f t="shared" si="1"/>
        <v>13123</v>
      </c>
      <c r="J36" s="84">
        <f>일위대가표!J238</f>
        <v>16</v>
      </c>
      <c r="K36" s="84">
        <f t="shared" si="2"/>
        <v>16</v>
      </c>
      <c r="L36" s="84">
        <f t="shared" si="3"/>
        <v>18600</v>
      </c>
      <c r="M36" s="84">
        <f t="shared" si="3"/>
        <v>18600</v>
      </c>
      <c r="N36" s="85"/>
    </row>
    <row r="37" spans="1:14" ht="23.1" customHeight="1">
      <c r="A37" s="82" t="s">
        <v>802</v>
      </c>
      <c r="B37" s="81" t="s">
        <v>800</v>
      </c>
      <c r="C37" s="81" t="s">
        <v>773</v>
      </c>
      <c r="D37" s="82" t="s">
        <v>769</v>
      </c>
      <c r="E37" s="83">
        <v>1</v>
      </c>
      <c r="F37" s="84">
        <f>일위대가표!F246</f>
        <v>6277</v>
      </c>
      <c r="G37" s="84">
        <f t="shared" si="0"/>
        <v>6277</v>
      </c>
      <c r="H37" s="84">
        <f>일위대가표!H246</f>
        <v>15935</v>
      </c>
      <c r="I37" s="84">
        <f t="shared" si="1"/>
        <v>15935</v>
      </c>
      <c r="J37" s="84">
        <f>일위대가표!J246</f>
        <v>20</v>
      </c>
      <c r="K37" s="84">
        <f t="shared" si="2"/>
        <v>20</v>
      </c>
      <c r="L37" s="84">
        <f t="shared" ref="L37:M57" si="4">F37+H37+J37</f>
        <v>22232</v>
      </c>
      <c r="M37" s="84">
        <f t="shared" si="4"/>
        <v>22232</v>
      </c>
      <c r="N37" s="85"/>
    </row>
    <row r="38" spans="1:14" ht="23.1" customHeight="1">
      <c r="A38" s="82" t="s">
        <v>803</v>
      </c>
      <c r="B38" s="81" t="s">
        <v>800</v>
      </c>
      <c r="C38" s="81" t="s">
        <v>777</v>
      </c>
      <c r="D38" s="82" t="s">
        <v>769</v>
      </c>
      <c r="E38" s="83">
        <v>1</v>
      </c>
      <c r="F38" s="84">
        <f>일위대가표!F254</f>
        <v>11832</v>
      </c>
      <c r="G38" s="84">
        <f t="shared" si="0"/>
        <v>11832</v>
      </c>
      <c r="H38" s="84">
        <f>일위대가표!H254</f>
        <v>45368</v>
      </c>
      <c r="I38" s="84">
        <f t="shared" si="1"/>
        <v>45368</v>
      </c>
      <c r="J38" s="84">
        <f>일위대가표!J254</f>
        <v>100</v>
      </c>
      <c r="K38" s="84">
        <f t="shared" si="2"/>
        <v>100</v>
      </c>
      <c r="L38" s="84">
        <f t="shared" si="4"/>
        <v>57300</v>
      </c>
      <c r="M38" s="84">
        <f t="shared" si="4"/>
        <v>57300</v>
      </c>
      <c r="N38" s="85"/>
    </row>
    <row r="39" spans="1:14" ht="23.1" customHeight="1">
      <c r="A39" s="82" t="s">
        <v>804</v>
      </c>
      <c r="B39" s="81" t="s">
        <v>800</v>
      </c>
      <c r="C39" s="81" t="s">
        <v>779</v>
      </c>
      <c r="D39" s="82" t="s">
        <v>769</v>
      </c>
      <c r="E39" s="83">
        <v>1</v>
      </c>
      <c r="F39" s="84">
        <f>일위대가표!F262</f>
        <v>14339</v>
      </c>
      <c r="G39" s="84">
        <f t="shared" si="0"/>
        <v>14339</v>
      </c>
      <c r="H39" s="84">
        <f>일위대가표!H262</f>
        <v>56990</v>
      </c>
      <c r="I39" s="84">
        <f t="shared" si="1"/>
        <v>56990</v>
      </c>
      <c r="J39" s="84">
        <f>일위대가표!J262</f>
        <v>130</v>
      </c>
      <c r="K39" s="84">
        <f t="shared" si="2"/>
        <v>130</v>
      </c>
      <c r="L39" s="84">
        <f t="shared" si="4"/>
        <v>71459</v>
      </c>
      <c r="M39" s="84">
        <f t="shared" si="4"/>
        <v>71459</v>
      </c>
      <c r="N39" s="85"/>
    </row>
    <row r="40" spans="1:14" ht="23.1" customHeight="1">
      <c r="A40" s="82" t="s">
        <v>805</v>
      </c>
      <c r="B40" s="81" t="s">
        <v>800</v>
      </c>
      <c r="C40" s="81" t="s">
        <v>781</v>
      </c>
      <c r="D40" s="82" t="s">
        <v>769</v>
      </c>
      <c r="E40" s="83">
        <v>1</v>
      </c>
      <c r="F40" s="84">
        <f>일위대가표!F270</f>
        <v>27027</v>
      </c>
      <c r="G40" s="84">
        <f t="shared" si="0"/>
        <v>27027</v>
      </c>
      <c r="H40" s="84">
        <f>일위대가표!H270</f>
        <v>80988</v>
      </c>
      <c r="I40" s="84">
        <f t="shared" si="1"/>
        <v>80988</v>
      </c>
      <c r="J40" s="84">
        <f>일위대가표!J270</f>
        <v>188</v>
      </c>
      <c r="K40" s="84">
        <f t="shared" si="2"/>
        <v>188</v>
      </c>
      <c r="L40" s="84">
        <f t="shared" si="4"/>
        <v>108203</v>
      </c>
      <c r="M40" s="84">
        <f t="shared" si="4"/>
        <v>108203</v>
      </c>
      <c r="N40" s="85"/>
    </row>
    <row r="41" spans="1:14" ht="23.1" customHeight="1">
      <c r="A41" s="82" t="s">
        <v>1035</v>
      </c>
      <c r="B41" s="81" t="s">
        <v>1036</v>
      </c>
      <c r="C41" s="81" t="s">
        <v>1037</v>
      </c>
      <c r="D41" s="82" t="s">
        <v>1038</v>
      </c>
      <c r="E41" s="83">
        <v>1</v>
      </c>
      <c r="F41" s="84">
        <f>일위대가표!F279</f>
        <v>102689</v>
      </c>
      <c r="G41" s="84">
        <f t="shared" si="0"/>
        <v>102689</v>
      </c>
      <c r="H41" s="84">
        <f>일위대가표!H279</f>
        <v>3422997</v>
      </c>
      <c r="I41" s="84">
        <f t="shared" si="1"/>
        <v>3422997</v>
      </c>
      <c r="J41" s="84">
        <f>일위대가표!J279</f>
        <v>171149</v>
      </c>
      <c r="K41" s="84">
        <f t="shared" si="2"/>
        <v>171149</v>
      </c>
      <c r="L41" s="84">
        <f t="shared" si="4"/>
        <v>3696835</v>
      </c>
      <c r="M41" s="84">
        <f t="shared" si="4"/>
        <v>3696835</v>
      </c>
      <c r="N41" s="85"/>
    </row>
    <row r="42" spans="1:14" ht="23.1" customHeight="1">
      <c r="A42" s="82" t="s">
        <v>1039</v>
      </c>
      <c r="B42" s="81" t="s">
        <v>1036</v>
      </c>
      <c r="C42" s="81" t="s">
        <v>1037</v>
      </c>
      <c r="D42" s="82" t="s">
        <v>1040</v>
      </c>
      <c r="E42" s="83">
        <v>1</v>
      </c>
      <c r="F42" s="84">
        <f>일위대가표!F283</f>
        <v>102</v>
      </c>
      <c r="G42" s="84">
        <f t="shared" si="0"/>
        <v>102</v>
      </c>
      <c r="H42" s="84">
        <f>일위대가표!H283</f>
        <v>3422</v>
      </c>
      <c r="I42" s="84">
        <f t="shared" si="1"/>
        <v>3422</v>
      </c>
      <c r="J42" s="84">
        <f>일위대가표!J283</f>
        <v>171</v>
      </c>
      <c r="K42" s="84">
        <f t="shared" si="2"/>
        <v>171</v>
      </c>
      <c r="L42" s="84">
        <f t="shared" si="4"/>
        <v>3695</v>
      </c>
      <c r="M42" s="84">
        <f t="shared" si="4"/>
        <v>3695</v>
      </c>
      <c r="N42" s="85"/>
    </row>
    <row r="43" spans="1:14" ht="23.1" customHeight="1">
      <c r="A43" s="82" t="s">
        <v>817</v>
      </c>
      <c r="B43" s="81" t="s">
        <v>815</v>
      </c>
      <c r="C43" s="81" t="s">
        <v>816</v>
      </c>
      <c r="D43" s="82" t="s">
        <v>769</v>
      </c>
      <c r="E43" s="83">
        <v>1</v>
      </c>
      <c r="F43" s="84">
        <f>일위대가표!F289</f>
        <v>1531</v>
      </c>
      <c r="G43" s="84">
        <f t="shared" si="0"/>
        <v>1531</v>
      </c>
      <c r="H43" s="84">
        <f>일위대가표!H289</f>
        <v>0</v>
      </c>
      <c r="I43" s="84">
        <f t="shared" si="1"/>
        <v>0</v>
      </c>
      <c r="J43" s="84">
        <f>일위대가표!J289</f>
        <v>0</v>
      </c>
      <c r="K43" s="84">
        <f t="shared" si="2"/>
        <v>0</v>
      </c>
      <c r="L43" s="84">
        <f t="shared" si="4"/>
        <v>1531</v>
      </c>
      <c r="M43" s="84">
        <f t="shared" si="4"/>
        <v>1531</v>
      </c>
      <c r="N43" s="85"/>
    </row>
    <row r="44" spans="1:14" ht="23.1" customHeight="1">
      <c r="A44" s="82" t="s">
        <v>937</v>
      </c>
      <c r="B44" s="81" t="s">
        <v>815</v>
      </c>
      <c r="C44" s="81" t="s">
        <v>936</v>
      </c>
      <c r="D44" s="82" t="s">
        <v>769</v>
      </c>
      <c r="E44" s="83">
        <v>1</v>
      </c>
      <c r="F44" s="84">
        <f>일위대가표!F295</f>
        <v>1621</v>
      </c>
      <c r="G44" s="84">
        <f t="shared" si="0"/>
        <v>1621</v>
      </c>
      <c r="H44" s="84">
        <f>일위대가표!H295</f>
        <v>0</v>
      </c>
      <c r="I44" s="84">
        <f t="shared" si="1"/>
        <v>0</v>
      </c>
      <c r="J44" s="84">
        <f>일위대가표!J295</f>
        <v>0</v>
      </c>
      <c r="K44" s="84">
        <f t="shared" si="2"/>
        <v>0</v>
      </c>
      <c r="L44" s="84">
        <f t="shared" si="4"/>
        <v>1621</v>
      </c>
      <c r="M44" s="84">
        <f t="shared" si="4"/>
        <v>1621</v>
      </c>
      <c r="N44" s="85"/>
    </row>
    <row r="45" spans="1:14" ht="23.1" customHeight="1">
      <c r="A45" s="82" t="s">
        <v>939</v>
      </c>
      <c r="B45" s="81" t="s">
        <v>815</v>
      </c>
      <c r="C45" s="81" t="s">
        <v>938</v>
      </c>
      <c r="D45" s="82" t="s">
        <v>769</v>
      </c>
      <c r="E45" s="83">
        <v>1</v>
      </c>
      <c r="F45" s="84">
        <f>일위대가표!F301</f>
        <v>1729</v>
      </c>
      <c r="G45" s="84">
        <f t="shared" si="0"/>
        <v>1729</v>
      </c>
      <c r="H45" s="84">
        <f>일위대가표!H301</f>
        <v>0</v>
      </c>
      <c r="I45" s="84">
        <f t="shared" si="1"/>
        <v>0</v>
      </c>
      <c r="J45" s="84">
        <f>일위대가표!J301</f>
        <v>0</v>
      </c>
      <c r="K45" s="84">
        <f t="shared" si="2"/>
        <v>0</v>
      </c>
      <c r="L45" s="84">
        <f t="shared" si="4"/>
        <v>1729</v>
      </c>
      <c r="M45" s="84">
        <f t="shared" si="4"/>
        <v>1729</v>
      </c>
      <c r="N45" s="85"/>
    </row>
    <row r="46" spans="1:14" ht="23.1" customHeight="1">
      <c r="A46" s="82" t="s">
        <v>941</v>
      </c>
      <c r="B46" s="81" t="s">
        <v>815</v>
      </c>
      <c r="C46" s="81" t="s">
        <v>940</v>
      </c>
      <c r="D46" s="82" t="s">
        <v>769</v>
      </c>
      <c r="E46" s="83">
        <v>1</v>
      </c>
      <c r="F46" s="84">
        <f>일위대가표!F307</f>
        <v>1783</v>
      </c>
      <c r="G46" s="84">
        <f t="shared" si="0"/>
        <v>1783</v>
      </c>
      <c r="H46" s="84">
        <f>일위대가표!H307</f>
        <v>0</v>
      </c>
      <c r="I46" s="84">
        <f t="shared" si="1"/>
        <v>0</v>
      </c>
      <c r="J46" s="84">
        <f>일위대가표!J307</f>
        <v>0</v>
      </c>
      <c r="K46" s="84">
        <f t="shared" si="2"/>
        <v>0</v>
      </c>
      <c r="L46" s="84">
        <f t="shared" si="4"/>
        <v>1783</v>
      </c>
      <c r="M46" s="84">
        <f t="shared" si="4"/>
        <v>1783</v>
      </c>
      <c r="N46" s="85"/>
    </row>
    <row r="47" spans="1:14" ht="23.1" customHeight="1">
      <c r="A47" s="82" t="s">
        <v>819</v>
      </c>
      <c r="B47" s="81" t="s">
        <v>815</v>
      </c>
      <c r="C47" s="81" t="s">
        <v>818</v>
      </c>
      <c r="D47" s="82" t="s">
        <v>769</v>
      </c>
      <c r="E47" s="83">
        <v>1</v>
      </c>
      <c r="F47" s="84">
        <f>일위대가표!F313</f>
        <v>2025</v>
      </c>
      <c r="G47" s="84">
        <f t="shared" si="0"/>
        <v>2025</v>
      </c>
      <c r="H47" s="84">
        <f>일위대가표!H313</f>
        <v>0</v>
      </c>
      <c r="I47" s="84">
        <f t="shared" si="1"/>
        <v>0</v>
      </c>
      <c r="J47" s="84">
        <f>일위대가표!J313</f>
        <v>0</v>
      </c>
      <c r="K47" s="84">
        <f t="shared" si="2"/>
        <v>0</v>
      </c>
      <c r="L47" s="84">
        <f t="shared" si="4"/>
        <v>2025</v>
      </c>
      <c r="M47" s="84">
        <f t="shared" si="4"/>
        <v>2025</v>
      </c>
      <c r="N47" s="85"/>
    </row>
    <row r="48" spans="1:14" ht="23.1" customHeight="1">
      <c r="A48" s="82" t="s">
        <v>864</v>
      </c>
      <c r="B48" s="81" t="s">
        <v>815</v>
      </c>
      <c r="C48" s="81" t="s">
        <v>863</v>
      </c>
      <c r="D48" s="82" t="s">
        <v>769</v>
      </c>
      <c r="E48" s="83">
        <v>1</v>
      </c>
      <c r="F48" s="84">
        <f>일위대가표!F319</f>
        <v>2223</v>
      </c>
      <c r="G48" s="84">
        <f t="shared" si="0"/>
        <v>2223</v>
      </c>
      <c r="H48" s="84">
        <f>일위대가표!H319</f>
        <v>0</v>
      </c>
      <c r="I48" s="84">
        <f t="shared" si="1"/>
        <v>0</v>
      </c>
      <c r="J48" s="84">
        <f>일위대가표!J319</f>
        <v>0</v>
      </c>
      <c r="K48" s="84">
        <f t="shared" si="2"/>
        <v>0</v>
      </c>
      <c r="L48" s="84">
        <f t="shared" si="4"/>
        <v>2223</v>
      </c>
      <c r="M48" s="84">
        <f t="shared" si="4"/>
        <v>2223</v>
      </c>
      <c r="N48" s="85"/>
    </row>
    <row r="49" spans="1:14" ht="23.1" customHeight="1">
      <c r="A49" s="82" t="s">
        <v>866</v>
      </c>
      <c r="B49" s="81" t="s">
        <v>815</v>
      </c>
      <c r="C49" s="81" t="s">
        <v>865</v>
      </c>
      <c r="D49" s="82" t="s">
        <v>769</v>
      </c>
      <c r="E49" s="83">
        <v>1</v>
      </c>
      <c r="F49" s="84">
        <f>일위대가표!F325</f>
        <v>2852</v>
      </c>
      <c r="G49" s="84">
        <f t="shared" si="0"/>
        <v>2852</v>
      </c>
      <c r="H49" s="84">
        <f>일위대가표!H325</f>
        <v>0</v>
      </c>
      <c r="I49" s="84">
        <f t="shared" si="1"/>
        <v>0</v>
      </c>
      <c r="J49" s="84">
        <f>일위대가표!J325</f>
        <v>0</v>
      </c>
      <c r="K49" s="84">
        <f t="shared" si="2"/>
        <v>0</v>
      </c>
      <c r="L49" s="84">
        <f t="shared" si="4"/>
        <v>2852</v>
      </c>
      <c r="M49" s="84">
        <f t="shared" si="4"/>
        <v>2852</v>
      </c>
      <c r="N49" s="85"/>
    </row>
    <row r="50" spans="1:14" ht="23.1" customHeight="1">
      <c r="A50" s="82" t="s">
        <v>820</v>
      </c>
      <c r="B50" s="81" t="s">
        <v>815</v>
      </c>
      <c r="C50" s="81" t="s">
        <v>779</v>
      </c>
      <c r="D50" s="82" t="s">
        <v>769</v>
      </c>
      <c r="E50" s="83">
        <v>1</v>
      </c>
      <c r="F50" s="84">
        <f>일위대가표!F331</f>
        <v>4626</v>
      </c>
      <c r="G50" s="84">
        <f t="shared" si="0"/>
        <v>4626</v>
      </c>
      <c r="H50" s="84">
        <f>일위대가표!H331</f>
        <v>0</v>
      </c>
      <c r="I50" s="84">
        <f t="shared" si="1"/>
        <v>0</v>
      </c>
      <c r="J50" s="84">
        <f>일위대가표!J331</f>
        <v>0</v>
      </c>
      <c r="K50" s="84">
        <f t="shared" si="2"/>
        <v>0</v>
      </c>
      <c r="L50" s="84">
        <f t="shared" si="4"/>
        <v>4626</v>
      </c>
      <c r="M50" s="84">
        <f t="shared" si="4"/>
        <v>4626</v>
      </c>
      <c r="N50" s="85"/>
    </row>
    <row r="51" spans="1:14" ht="23.1" customHeight="1">
      <c r="A51" s="82" t="s">
        <v>943</v>
      </c>
      <c r="B51" s="81" t="s">
        <v>815</v>
      </c>
      <c r="C51" s="81" t="s">
        <v>942</v>
      </c>
      <c r="D51" s="82" t="s">
        <v>769</v>
      </c>
      <c r="E51" s="83">
        <v>1</v>
      </c>
      <c r="F51" s="84">
        <f>일위대가표!F337</f>
        <v>4958</v>
      </c>
      <c r="G51" s="84">
        <f t="shared" si="0"/>
        <v>4958</v>
      </c>
      <c r="H51" s="84">
        <f>일위대가표!H337</f>
        <v>0</v>
      </c>
      <c r="I51" s="84">
        <f t="shared" si="1"/>
        <v>0</v>
      </c>
      <c r="J51" s="84">
        <f>일위대가표!J337</f>
        <v>0</v>
      </c>
      <c r="K51" s="84">
        <f t="shared" si="2"/>
        <v>0</v>
      </c>
      <c r="L51" s="84">
        <f t="shared" si="4"/>
        <v>4958</v>
      </c>
      <c r="M51" s="84">
        <f t="shared" si="4"/>
        <v>4958</v>
      </c>
      <c r="N51" s="85"/>
    </row>
    <row r="52" spans="1:14" ht="23.1" customHeight="1">
      <c r="A52" s="82" t="s">
        <v>821</v>
      </c>
      <c r="B52" s="81" t="s">
        <v>815</v>
      </c>
      <c r="C52" s="81" t="s">
        <v>781</v>
      </c>
      <c r="D52" s="82" t="s">
        <v>769</v>
      </c>
      <c r="E52" s="83">
        <v>1</v>
      </c>
      <c r="F52" s="84">
        <f>일위대가표!F343</f>
        <v>6485</v>
      </c>
      <c r="G52" s="84">
        <f t="shared" si="0"/>
        <v>6485</v>
      </c>
      <c r="H52" s="84">
        <f>일위대가표!H343</f>
        <v>0</v>
      </c>
      <c r="I52" s="84">
        <f t="shared" si="1"/>
        <v>0</v>
      </c>
      <c r="J52" s="84">
        <f>일위대가표!J343</f>
        <v>0</v>
      </c>
      <c r="K52" s="84">
        <f t="shared" si="2"/>
        <v>0</v>
      </c>
      <c r="L52" s="84">
        <f t="shared" si="4"/>
        <v>6485</v>
      </c>
      <c r="M52" s="84">
        <f t="shared" si="4"/>
        <v>6485</v>
      </c>
      <c r="N52" s="85"/>
    </row>
    <row r="53" spans="1:14" ht="23.1" customHeight="1">
      <c r="A53" s="82" t="s">
        <v>1041</v>
      </c>
      <c r="B53" s="81" t="s">
        <v>1042</v>
      </c>
      <c r="C53" s="81" t="s">
        <v>1043</v>
      </c>
      <c r="D53" s="82" t="s">
        <v>1034</v>
      </c>
      <c r="E53" s="83">
        <v>1</v>
      </c>
      <c r="F53" s="84">
        <f>일위대가표!F351</f>
        <v>984</v>
      </c>
      <c r="G53" s="84">
        <f t="shared" si="0"/>
        <v>984</v>
      </c>
      <c r="H53" s="84">
        <f>일위대가표!H351</f>
        <v>7436</v>
      </c>
      <c r="I53" s="84">
        <f t="shared" si="1"/>
        <v>7436</v>
      </c>
      <c r="J53" s="84">
        <f>일위대가표!J351</f>
        <v>0</v>
      </c>
      <c r="K53" s="84">
        <f t="shared" si="2"/>
        <v>0</v>
      </c>
      <c r="L53" s="84">
        <f t="shared" si="4"/>
        <v>8420</v>
      </c>
      <c r="M53" s="84">
        <f t="shared" si="4"/>
        <v>8420</v>
      </c>
      <c r="N53" s="85"/>
    </row>
    <row r="54" spans="1:14" ht="23.1" customHeight="1">
      <c r="A54" s="82" t="s">
        <v>811</v>
      </c>
      <c r="B54" s="81" t="s">
        <v>809</v>
      </c>
      <c r="C54" s="81" t="s">
        <v>810</v>
      </c>
      <c r="D54" s="82" t="s">
        <v>769</v>
      </c>
      <c r="E54" s="83">
        <v>1</v>
      </c>
      <c r="F54" s="84">
        <f>일위대가표!F359</f>
        <v>4441</v>
      </c>
      <c r="G54" s="84">
        <f t="shared" si="0"/>
        <v>4441</v>
      </c>
      <c r="H54" s="84">
        <f>일위대가표!H359</f>
        <v>13385</v>
      </c>
      <c r="I54" s="84">
        <f t="shared" si="1"/>
        <v>13385</v>
      </c>
      <c r="J54" s="84">
        <f>일위대가표!J359</f>
        <v>523</v>
      </c>
      <c r="K54" s="84">
        <f t="shared" si="2"/>
        <v>523</v>
      </c>
      <c r="L54" s="84">
        <f t="shared" si="4"/>
        <v>18349</v>
      </c>
      <c r="M54" s="84">
        <f t="shared" si="4"/>
        <v>18349</v>
      </c>
      <c r="N54" s="85"/>
    </row>
    <row r="55" spans="1:14" ht="23.1" customHeight="1">
      <c r="A55" s="82" t="s">
        <v>829</v>
      </c>
      <c r="B55" s="81" t="s">
        <v>827</v>
      </c>
      <c r="C55" s="81" t="s">
        <v>828</v>
      </c>
      <c r="D55" s="82" t="s">
        <v>769</v>
      </c>
      <c r="E55" s="83">
        <v>1</v>
      </c>
      <c r="F55" s="84">
        <f>일위대가표!F367</f>
        <v>12127</v>
      </c>
      <c r="G55" s="84">
        <f t="shared" si="0"/>
        <v>12127</v>
      </c>
      <c r="H55" s="84">
        <f>일위대가표!H367</f>
        <v>0</v>
      </c>
      <c r="I55" s="84">
        <f t="shared" si="1"/>
        <v>0</v>
      </c>
      <c r="J55" s="84">
        <f>일위대가표!J367</f>
        <v>0</v>
      </c>
      <c r="K55" s="84">
        <f t="shared" si="2"/>
        <v>0</v>
      </c>
      <c r="L55" s="84">
        <f t="shared" si="4"/>
        <v>12127</v>
      </c>
      <c r="M55" s="84">
        <f t="shared" si="4"/>
        <v>12127</v>
      </c>
      <c r="N55" s="85"/>
    </row>
    <row r="56" spans="1:14" ht="23.1" customHeight="1">
      <c r="A56" s="82" t="s">
        <v>928</v>
      </c>
      <c r="B56" s="81" t="s">
        <v>827</v>
      </c>
      <c r="C56" s="81" t="s">
        <v>927</v>
      </c>
      <c r="D56" s="82" t="s">
        <v>769</v>
      </c>
      <c r="E56" s="83">
        <v>1</v>
      </c>
      <c r="F56" s="84">
        <f>일위대가표!F375</f>
        <v>20101</v>
      </c>
      <c r="G56" s="84">
        <f t="shared" si="0"/>
        <v>20101</v>
      </c>
      <c r="H56" s="84">
        <f>일위대가표!H375</f>
        <v>0</v>
      </c>
      <c r="I56" s="84">
        <f t="shared" si="1"/>
        <v>0</v>
      </c>
      <c r="J56" s="84">
        <f>일위대가표!J375</f>
        <v>0</v>
      </c>
      <c r="K56" s="84">
        <f t="shared" si="2"/>
        <v>0</v>
      </c>
      <c r="L56" s="84">
        <f t="shared" si="4"/>
        <v>20101</v>
      </c>
      <c r="M56" s="84">
        <f t="shared" si="4"/>
        <v>20101</v>
      </c>
      <c r="N56" s="85"/>
    </row>
    <row r="57" spans="1:14" ht="23.1" customHeight="1">
      <c r="A57" s="82" t="s">
        <v>831</v>
      </c>
      <c r="B57" s="81" t="s">
        <v>827</v>
      </c>
      <c r="C57" s="81" t="s">
        <v>830</v>
      </c>
      <c r="D57" s="82" t="s">
        <v>769</v>
      </c>
      <c r="E57" s="83">
        <v>1</v>
      </c>
      <c r="F57" s="84">
        <f>일위대가표!F383</f>
        <v>43463</v>
      </c>
      <c r="G57" s="84">
        <f t="shared" si="0"/>
        <v>43463</v>
      </c>
      <c r="H57" s="84">
        <f>일위대가표!H383</f>
        <v>0</v>
      </c>
      <c r="I57" s="84">
        <f t="shared" si="1"/>
        <v>0</v>
      </c>
      <c r="J57" s="84">
        <f>일위대가표!J383</f>
        <v>0</v>
      </c>
      <c r="K57" s="84">
        <f t="shared" si="2"/>
        <v>0</v>
      </c>
      <c r="L57" s="84">
        <f t="shared" si="4"/>
        <v>43463</v>
      </c>
      <c r="M57" s="84">
        <f t="shared" si="4"/>
        <v>43463</v>
      </c>
      <c r="N57" s="85"/>
    </row>
    <row r="58" spans="1:14" ht="23.1" customHeight="1">
      <c r="A58" s="83"/>
      <c r="B58" s="85"/>
      <c r="C58" s="85"/>
      <c r="D58" s="83"/>
      <c r="E58" s="83"/>
      <c r="F58" s="84"/>
      <c r="G58" s="84"/>
      <c r="H58" s="84"/>
      <c r="I58" s="84"/>
      <c r="J58" s="84"/>
      <c r="K58" s="84"/>
      <c r="L58" s="84"/>
      <c r="M58" s="84"/>
      <c r="N58" s="85"/>
    </row>
  </sheetData>
  <mergeCells count="12">
    <mergeCell ref="L3:M3"/>
    <mergeCell ref="N3:N4"/>
    <mergeCell ref="A1:N1"/>
    <mergeCell ref="A2:N2"/>
    <mergeCell ref="A3:A4"/>
    <mergeCell ref="B3:B4"/>
    <mergeCell ref="C3:C4"/>
    <mergeCell ref="D3:D4"/>
    <mergeCell ref="E3:E4"/>
    <mergeCell ref="F3:G3"/>
    <mergeCell ref="H3:I3"/>
    <mergeCell ref="J3:K3"/>
  </mergeCells>
  <phoneticPr fontId="4" type="noConversion"/>
  <conditionalFormatting sqref="A5:N58">
    <cfRule type="containsText" dxfId="7" priority="1" stopIfTrue="1" operator="containsText" text=".">
      <formula>NOT(ISERROR(SEARCH(".",A5)))</formula>
    </cfRule>
    <cfRule type="notContainsText" dxfId="6" priority="2" stopIfTrue="1" operator="notContains" text=".">
      <formula>ISERROR(SEARCH(".",A5))</formula>
    </cfRule>
  </conditionalFormatting>
  <pageMargins left="0.74090148180296356" right="0" top="0.54405108810217628" bottom="0.1388888888888889" header="0.3" footer="0.1388888888888889"/>
  <pageSetup paperSize="9" orientation="landscape" r:id="rId1"/>
  <rowBreaks count="3" manualBreakCount="3">
    <brk id="22" max="16383" man="1"/>
    <brk id="40" max="16383" man="1"/>
    <brk id="58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FFB7"/>
  </sheetPr>
  <dimension ref="A1:U385"/>
  <sheetViews>
    <sheetView view="pageBreakPreview" zoomScaleNormal="100" zoomScaleSheetLayoutView="100" workbookViewId="0">
      <pane xSplit="4" ySplit="4" topLeftCell="E137" activePane="bottomRight" state="frozen"/>
      <selection activeCell="E5" sqref="E5"/>
      <selection pane="topRight" activeCell="E5" sqref="E5"/>
      <selection pane="bottomLeft" activeCell="E5" sqref="E5"/>
      <selection pane="bottomRight" activeCell="B94" sqref="B94"/>
    </sheetView>
  </sheetViews>
  <sheetFormatPr defaultColWidth="8.8984375" defaultRowHeight="17.399999999999999"/>
  <cols>
    <col min="1" max="2" width="18.296875" style="87" customWidth="1"/>
    <col min="3" max="3" width="4.09765625" style="88" customWidth="1"/>
    <col min="4" max="4" width="4.09765625" style="89" customWidth="1"/>
    <col min="5" max="5" width="5.8984375" style="89" customWidth="1"/>
    <col min="6" max="6" width="8.59765625" style="89" customWidth="1"/>
    <col min="7" max="7" width="5.8984375" style="89" customWidth="1"/>
    <col min="8" max="8" width="8.59765625" style="89" customWidth="1"/>
    <col min="9" max="9" width="5.8984375" style="89" customWidth="1"/>
    <col min="10" max="10" width="8.59765625" style="89" customWidth="1"/>
    <col min="11" max="11" width="5.8984375" style="89" customWidth="1"/>
    <col min="12" max="12" width="8.59765625" style="89" customWidth="1"/>
    <col min="13" max="13" width="6.69921875" style="87" customWidth="1"/>
    <col min="14" max="20" width="6.69921875" style="79" hidden="1" customWidth="1"/>
    <col min="21" max="16384" width="8.8984375" style="79"/>
  </cols>
  <sheetData>
    <row r="1" spans="1:19" ht="30" customHeight="1">
      <c r="A1" s="225" t="s">
        <v>1044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</row>
    <row r="2" spans="1:19" ht="23.1" customHeight="1">
      <c r="A2" s="226" t="s">
        <v>647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</row>
    <row r="3" spans="1:19" ht="23.1" customHeight="1">
      <c r="A3" s="224" t="s">
        <v>1025</v>
      </c>
      <c r="B3" s="224" t="s">
        <v>1026</v>
      </c>
      <c r="C3" s="224" t="s">
        <v>326</v>
      </c>
      <c r="D3" s="224" t="s">
        <v>672</v>
      </c>
      <c r="E3" s="224" t="s">
        <v>650</v>
      </c>
      <c r="F3" s="224"/>
      <c r="G3" s="224" t="s">
        <v>651</v>
      </c>
      <c r="H3" s="224"/>
      <c r="I3" s="224" t="s">
        <v>652</v>
      </c>
      <c r="J3" s="224"/>
      <c r="K3" s="224" t="s">
        <v>653</v>
      </c>
      <c r="L3" s="224"/>
      <c r="M3" s="224" t="s">
        <v>1030</v>
      </c>
    </row>
    <row r="4" spans="1:19" ht="23.1" customHeight="1">
      <c r="A4" s="224"/>
      <c r="B4" s="224"/>
      <c r="C4" s="224"/>
      <c r="D4" s="224"/>
      <c r="E4" s="80" t="s">
        <v>655</v>
      </c>
      <c r="F4" s="80" t="s">
        <v>673</v>
      </c>
      <c r="G4" s="80" t="s">
        <v>655</v>
      </c>
      <c r="H4" s="80" t="s">
        <v>673</v>
      </c>
      <c r="I4" s="80" t="s">
        <v>655</v>
      </c>
      <c r="J4" s="80" t="s">
        <v>673</v>
      </c>
      <c r="K4" s="80" t="s">
        <v>655</v>
      </c>
      <c r="L4" s="80" t="s">
        <v>673</v>
      </c>
      <c r="M4" s="224"/>
      <c r="N4" s="79" t="s">
        <v>674</v>
      </c>
      <c r="O4" s="79" t="s">
        <v>675</v>
      </c>
      <c r="P4" s="79" t="s">
        <v>676</v>
      </c>
      <c r="Q4" s="79" t="s">
        <v>677</v>
      </c>
      <c r="R4" s="79" t="s">
        <v>709</v>
      </c>
      <c r="S4" s="79" t="s">
        <v>710</v>
      </c>
    </row>
    <row r="5" spans="1:19" ht="23.1" customHeight="1">
      <c r="A5" s="237" t="s">
        <v>1045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  <c r="L5" s="239"/>
      <c r="M5" s="120"/>
    </row>
    <row r="6" spans="1:19" ht="23.1" customHeight="1">
      <c r="A6" s="81" t="s">
        <v>740</v>
      </c>
      <c r="B6" s="81" t="s">
        <v>743</v>
      </c>
      <c r="C6" s="82" t="s">
        <v>742</v>
      </c>
      <c r="D6" s="84">
        <v>1.05</v>
      </c>
      <c r="E6" s="84">
        <f>ROUNDDOWN(단가대비표!L48, 0)</f>
        <v>3296</v>
      </c>
      <c r="F6" s="84">
        <f>ROUNDDOWN(D6*E6, 1)</f>
        <v>3460.8</v>
      </c>
      <c r="G6" s="84">
        <v>0</v>
      </c>
      <c r="H6" s="84">
        <f>ROUNDDOWN(D6*G6, 1)</f>
        <v>0</v>
      </c>
      <c r="I6" s="84">
        <v>0</v>
      </c>
      <c r="J6" s="84">
        <f>ROUNDDOWN(D6*I6, 1)</f>
        <v>0</v>
      </c>
      <c r="K6" s="84">
        <f t="shared" ref="K6:L9" si="0">E6+G6+I6</f>
        <v>3296</v>
      </c>
      <c r="L6" s="84">
        <f t="shared" si="0"/>
        <v>3460.8</v>
      </c>
      <c r="M6" s="85"/>
      <c r="O6" s="86" t="s">
        <v>558</v>
      </c>
      <c r="P6" s="86" t="s">
        <v>678</v>
      </c>
      <c r="Q6" s="79">
        <v>1</v>
      </c>
    </row>
    <row r="7" spans="1:19" ht="23.1" customHeight="1">
      <c r="A7" s="81" t="s">
        <v>838</v>
      </c>
      <c r="B7" s="81" t="s">
        <v>733</v>
      </c>
      <c r="C7" s="82" t="s">
        <v>446</v>
      </c>
      <c r="D7" s="84">
        <f>0.04*75%</f>
        <v>0.03</v>
      </c>
      <c r="E7" s="84">
        <v>0</v>
      </c>
      <c r="F7" s="84">
        <f>ROUNDDOWN(D7*E7, 1)</f>
        <v>0</v>
      </c>
      <c r="G7" s="84">
        <f>ROUNDDOWN(단가대비표!L162, 0)</f>
        <v>213878</v>
      </c>
      <c r="H7" s="84">
        <f>ROUNDDOWN(D7*G7, 1)</f>
        <v>6416.3</v>
      </c>
      <c r="I7" s="84">
        <v>0</v>
      </c>
      <c r="J7" s="84">
        <f>ROUNDDOWN(D7*I7, 1)</f>
        <v>0</v>
      </c>
      <c r="K7" s="84">
        <f t="shared" si="0"/>
        <v>213878</v>
      </c>
      <c r="L7" s="84">
        <f t="shared" si="0"/>
        <v>6416.3</v>
      </c>
      <c r="M7" s="85"/>
      <c r="O7" s="86" t="s">
        <v>1046</v>
      </c>
      <c r="P7" s="86" t="s">
        <v>678</v>
      </c>
      <c r="Q7" s="79">
        <v>1</v>
      </c>
    </row>
    <row r="8" spans="1:19" ht="23.1" customHeight="1">
      <c r="A8" s="81" t="s">
        <v>452</v>
      </c>
      <c r="B8" s="81" t="s">
        <v>733</v>
      </c>
      <c r="C8" s="82" t="s">
        <v>446</v>
      </c>
      <c r="D8" s="84">
        <f>0.013*75%</f>
        <v>9.75E-3</v>
      </c>
      <c r="E8" s="84">
        <v>0</v>
      </c>
      <c r="F8" s="84">
        <f>ROUNDDOWN(D8*E8, 1)</f>
        <v>0</v>
      </c>
      <c r="G8" s="84">
        <f>ROUNDDOWN(단가대비표!L164, 0)</f>
        <v>152500</v>
      </c>
      <c r="H8" s="84">
        <f>ROUNDDOWN(D8*G8, 1)</f>
        <v>1486.8</v>
      </c>
      <c r="I8" s="84">
        <v>0</v>
      </c>
      <c r="J8" s="84">
        <f>ROUNDDOWN(D8*I8, 1)</f>
        <v>0</v>
      </c>
      <c r="K8" s="84">
        <f t="shared" si="0"/>
        <v>152500</v>
      </c>
      <c r="L8" s="84">
        <f t="shared" si="0"/>
        <v>1486.8</v>
      </c>
      <c r="M8" s="85"/>
      <c r="O8" s="86" t="s">
        <v>1046</v>
      </c>
      <c r="P8" s="86" t="s">
        <v>678</v>
      </c>
      <c r="Q8" s="79">
        <v>1</v>
      </c>
    </row>
    <row r="9" spans="1:19" ht="23.1" customHeight="1">
      <c r="A9" s="81" t="s">
        <v>1047</v>
      </c>
      <c r="B9" s="85" t="str">
        <f>"인력품의 " &amp; N9*100 &amp; "%"</f>
        <v>인력품의 10%</v>
      </c>
      <c r="C9" s="82" t="s">
        <v>177</v>
      </c>
      <c r="D9" s="84">
        <v>1</v>
      </c>
      <c r="E9" s="84">
        <f>SUMIF(O6:O9, "02", H6:H9)</f>
        <v>7903.1</v>
      </c>
      <c r="F9" s="84">
        <f>ROUNDDOWN((E9)*N9, 1)</f>
        <v>790.3</v>
      </c>
      <c r="G9" s="84">
        <v>0</v>
      </c>
      <c r="H9" s="84">
        <v>0</v>
      </c>
      <c r="I9" s="84">
        <v>0</v>
      </c>
      <c r="J9" s="84">
        <v>0</v>
      </c>
      <c r="K9" s="84">
        <f t="shared" si="0"/>
        <v>7903.1</v>
      </c>
      <c r="L9" s="84">
        <f t="shared" si="0"/>
        <v>790.3</v>
      </c>
      <c r="M9" s="85"/>
      <c r="N9" s="79">
        <v>0.1</v>
      </c>
      <c r="P9" s="86" t="s">
        <v>678</v>
      </c>
      <c r="Q9" s="79">
        <v>1</v>
      </c>
      <c r="R9" s="86" t="s">
        <v>730</v>
      </c>
      <c r="S9" s="86" t="s">
        <v>731</v>
      </c>
    </row>
    <row r="10" spans="1:19" ht="23.1" customHeight="1">
      <c r="A10" s="90" t="s">
        <v>734</v>
      </c>
      <c r="B10" s="91"/>
      <c r="C10" s="92"/>
      <c r="D10" s="93"/>
      <c r="E10" s="93"/>
      <c r="F10" s="93">
        <f>ROUNDDOWN(SUMIF(Q6:Q9, "1", F6:F9), 0)</f>
        <v>4251</v>
      </c>
      <c r="G10" s="93"/>
      <c r="H10" s="93">
        <f>ROUNDDOWN(SUMIF(Q6:Q9, "1", H6:H9), 0)</f>
        <v>7903</v>
      </c>
      <c r="I10" s="93"/>
      <c r="J10" s="93">
        <f>ROUNDDOWN(SUMIF(Q6:Q9, "1", J6:J9), 0)</f>
        <v>0</v>
      </c>
      <c r="K10" s="93"/>
      <c r="L10" s="93">
        <f>F10+H10+J10</f>
        <v>12154</v>
      </c>
      <c r="M10" s="91"/>
    </row>
    <row r="11" spans="1:19" ht="23.1" customHeight="1">
      <c r="A11" s="85"/>
      <c r="B11" s="85"/>
      <c r="C11" s="83"/>
      <c r="D11" s="84"/>
      <c r="E11" s="84"/>
      <c r="F11" s="84"/>
      <c r="G11" s="84"/>
      <c r="H11" s="84"/>
      <c r="I11" s="84"/>
      <c r="J11" s="84"/>
      <c r="K11" s="84"/>
      <c r="L11" s="84"/>
      <c r="M11" s="85"/>
    </row>
    <row r="12" spans="1:19" ht="23.1" customHeight="1">
      <c r="A12" s="235" t="s">
        <v>1048</v>
      </c>
      <c r="B12" s="236"/>
      <c r="C12" s="236"/>
      <c r="D12" s="236"/>
      <c r="E12" s="236"/>
      <c r="F12" s="236"/>
      <c r="G12" s="236"/>
      <c r="H12" s="236"/>
      <c r="I12" s="236"/>
      <c r="J12" s="236"/>
      <c r="K12" s="236"/>
      <c r="L12" s="236"/>
      <c r="M12" s="120"/>
    </row>
    <row r="13" spans="1:19" ht="23.1" customHeight="1">
      <c r="A13" s="81" t="s">
        <v>740</v>
      </c>
      <c r="B13" s="81" t="s">
        <v>1049</v>
      </c>
      <c r="C13" s="82" t="s">
        <v>742</v>
      </c>
      <c r="D13" s="84">
        <v>1.05</v>
      </c>
      <c r="E13" s="84">
        <f>ROUNDDOWN(단가대비표!L49, 0)</f>
        <v>4221</v>
      </c>
      <c r="F13" s="84">
        <f>ROUNDDOWN(D13*E13, 1)</f>
        <v>4432</v>
      </c>
      <c r="G13" s="84">
        <v>0</v>
      </c>
      <c r="H13" s="84">
        <f>ROUNDDOWN(D13*G13, 1)</f>
        <v>0</v>
      </c>
      <c r="I13" s="84">
        <v>0</v>
      </c>
      <c r="J13" s="84">
        <f>ROUNDDOWN(D13*I13, 1)</f>
        <v>0</v>
      </c>
      <c r="K13" s="84">
        <f t="shared" ref="K13:L16" si="1">E13+G13+I13</f>
        <v>4221</v>
      </c>
      <c r="L13" s="84">
        <f t="shared" si="1"/>
        <v>4432</v>
      </c>
      <c r="M13" s="85"/>
      <c r="O13" s="86" t="s">
        <v>558</v>
      </c>
      <c r="P13" s="86" t="s">
        <v>678</v>
      </c>
      <c r="Q13" s="79">
        <v>1</v>
      </c>
    </row>
    <row r="14" spans="1:19" ht="23.1" customHeight="1">
      <c r="A14" s="81" t="s">
        <v>838</v>
      </c>
      <c r="B14" s="81" t="s">
        <v>733</v>
      </c>
      <c r="C14" s="82" t="s">
        <v>446</v>
      </c>
      <c r="D14" s="84">
        <f>0.048*75%</f>
        <v>3.6000000000000004E-2</v>
      </c>
      <c r="E14" s="84">
        <v>0</v>
      </c>
      <c r="F14" s="84">
        <f>ROUNDDOWN(D14*E14, 1)</f>
        <v>0</v>
      </c>
      <c r="G14" s="84">
        <f>ROUNDDOWN(단가대비표!L162, 0)</f>
        <v>213878</v>
      </c>
      <c r="H14" s="84">
        <f>ROUNDDOWN(D14*G14, 1)</f>
        <v>7699.6</v>
      </c>
      <c r="I14" s="84">
        <v>0</v>
      </c>
      <c r="J14" s="84">
        <f>ROUNDDOWN(D14*I14, 1)</f>
        <v>0</v>
      </c>
      <c r="K14" s="84">
        <f t="shared" si="1"/>
        <v>213878</v>
      </c>
      <c r="L14" s="84">
        <f t="shared" si="1"/>
        <v>7699.6</v>
      </c>
      <c r="M14" s="85"/>
      <c r="O14" s="86" t="s">
        <v>1046</v>
      </c>
      <c r="P14" s="86" t="s">
        <v>678</v>
      </c>
      <c r="Q14" s="79">
        <v>1</v>
      </c>
    </row>
    <row r="15" spans="1:19" ht="23.1" customHeight="1">
      <c r="A15" s="81" t="s">
        <v>452</v>
      </c>
      <c r="B15" s="81" t="s">
        <v>733</v>
      </c>
      <c r="C15" s="82" t="s">
        <v>446</v>
      </c>
      <c r="D15" s="84">
        <f>0.016*75%</f>
        <v>1.2E-2</v>
      </c>
      <c r="E15" s="84">
        <v>0</v>
      </c>
      <c r="F15" s="84">
        <f>ROUNDDOWN(D15*E15, 1)</f>
        <v>0</v>
      </c>
      <c r="G15" s="84">
        <f>ROUNDDOWN(단가대비표!L164, 0)</f>
        <v>152500</v>
      </c>
      <c r="H15" s="84">
        <f>ROUNDDOWN(D15*G15, 1)</f>
        <v>1830</v>
      </c>
      <c r="I15" s="84">
        <v>0</v>
      </c>
      <c r="J15" s="84">
        <f>ROUNDDOWN(D15*I15, 1)</f>
        <v>0</v>
      </c>
      <c r="K15" s="84">
        <f t="shared" si="1"/>
        <v>152500</v>
      </c>
      <c r="L15" s="84">
        <f t="shared" si="1"/>
        <v>1830</v>
      </c>
      <c r="M15" s="85"/>
      <c r="O15" s="86" t="s">
        <v>1046</v>
      </c>
      <c r="P15" s="86" t="s">
        <v>678</v>
      </c>
      <c r="Q15" s="79">
        <v>1</v>
      </c>
    </row>
    <row r="16" spans="1:19" ht="23.1" customHeight="1">
      <c r="A16" s="81" t="s">
        <v>1047</v>
      </c>
      <c r="B16" s="85" t="str">
        <f>"인력품의 " &amp; N16*100 &amp; "%"</f>
        <v>인력품의 10%</v>
      </c>
      <c r="C16" s="82" t="s">
        <v>177</v>
      </c>
      <c r="D16" s="84">
        <v>1</v>
      </c>
      <c r="E16" s="84">
        <f>SUMIF(O13:O16, "02", H13:H16)</f>
        <v>9529.6</v>
      </c>
      <c r="F16" s="84">
        <f>ROUNDDOWN((E16)*N16, 1)</f>
        <v>952.9</v>
      </c>
      <c r="G16" s="84">
        <v>0</v>
      </c>
      <c r="H16" s="84">
        <v>0</v>
      </c>
      <c r="I16" s="84">
        <v>0</v>
      </c>
      <c r="J16" s="84">
        <v>0</v>
      </c>
      <c r="K16" s="84">
        <f t="shared" si="1"/>
        <v>9529.6</v>
      </c>
      <c r="L16" s="84">
        <f t="shared" si="1"/>
        <v>952.9</v>
      </c>
      <c r="M16" s="85"/>
      <c r="N16" s="79">
        <v>0.1</v>
      </c>
      <c r="P16" s="86" t="s">
        <v>678</v>
      </c>
      <c r="Q16" s="79">
        <v>1</v>
      </c>
      <c r="R16" s="86" t="s">
        <v>730</v>
      </c>
      <c r="S16" s="86" t="s">
        <v>731</v>
      </c>
    </row>
    <row r="17" spans="1:19" ht="23.1" customHeight="1">
      <c r="A17" s="90" t="s">
        <v>734</v>
      </c>
      <c r="B17" s="91"/>
      <c r="C17" s="92"/>
      <c r="D17" s="93"/>
      <c r="E17" s="93"/>
      <c r="F17" s="93">
        <f>ROUNDDOWN(SUMIF(Q13:Q16, "1", F13:F16), 0)</f>
        <v>5384</v>
      </c>
      <c r="G17" s="93"/>
      <c r="H17" s="93">
        <f>ROUNDDOWN(SUMIF(Q13:Q16, "1", H13:H16), 0)</f>
        <v>9529</v>
      </c>
      <c r="I17" s="93"/>
      <c r="J17" s="93">
        <f>ROUNDDOWN(SUMIF(Q13:Q16, "1", J13:J16), 0)</f>
        <v>0</v>
      </c>
      <c r="K17" s="93"/>
      <c r="L17" s="93">
        <f>F17+H17+J17</f>
        <v>14913</v>
      </c>
      <c r="M17" s="91"/>
    </row>
    <row r="18" spans="1:19" ht="23.1" customHeight="1">
      <c r="A18" s="85"/>
      <c r="B18" s="85"/>
      <c r="C18" s="83"/>
      <c r="D18" s="84"/>
      <c r="E18" s="84"/>
      <c r="F18" s="84"/>
      <c r="G18" s="84"/>
      <c r="H18" s="84"/>
      <c r="I18" s="84"/>
      <c r="J18" s="84"/>
      <c r="K18" s="84"/>
      <c r="L18" s="84"/>
      <c r="M18" s="85"/>
    </row>
    <row r="19" spans="1:19" ht="23.1" customHeight="1">
      <c r="A19" s="235" t="s">
        <v>1050</v>
      </c>
      <c r="B19" s="236"/>
      <c r="C19" s="236"/>
      <c r="D19" s="236"/>
      <c r="E19" s="236"/>
      <c r="F19" s="236"/>
      <c r="G19" s="236"/>
      <c r="H19" s="236"/>
      <c r="I19" s="236"/>
      <c r="J19" s="236"/>
      <c r="K19" s="236"/>
      <c r="L19" s="236"/>
      <c r="M19" s="120"/>
    </row>
    <row r="20" spans="1:19" ht="23.1" customHeight="1">
      <c r="A20" s="81" t="s">
        <v>740</v>
      </c>
      <c r="B20" s="81" t="s">
        <v>1051</v>
      </c>
      <c r="C20" s="82" t="s">
        <v>742</v>
      </c>
      <c r="D20" s="84">
        <v>1.05</v>
      </c>
      <c r="E20" s="84">
        <f>ROUNDDOWN(단가대비표!L50, 0)</f>
        <v>4840</v>
      </c>
      <c r="F20" s="84">
        <f>ROUNDDOWN(D20*E20, 1)</f>
        <v>5082</v>
      </c>
      <c r="G20" s="84">
        <v>0</v>
      </c>
      <c r="H20" s="84">
        <f>ROUNDDOWN(D20*G20, 1)</f>
        <v>0</v>
      </c>
      <c r="I20" s="84">
        <v>0</v>
      </c>
      <c r="J20" s="84">
        <f>ROUNDDOWN(D20*I20, 1)</f>
        <v>0</v>
      </c>
      <c r="K20" s="84">
        <f t="shared" ref="K20:L23" si="2">E20+G20+I20</f>
        <v>4840</v>
      </c>
      <c r="L20" s="84">
        <f t="shared" si="2"/>
        <v>5082</v>
      </c>
      <c r="M20" s="85"/>
      <c r="O20" s="86" t="s">
        <v>558</v>
      </c>
      <c r="P20" s="86" t="s">
        <v>678</v>
      </c>
      <c r="Q20" s="79">
        <v>1</v>
      </c>
    </row>
    <row r="21" spans="1:19" ht="23.1" customHeight="1">
      <c r="A21" s="81" t="s">
        <v>838</v>
      </c>
      <c r="B21" s="81" t="s">
        <v>733</v>
      </c>
      <c r="C21" s="82" t="s">
        <v>446</v>
      </c>
      <c r="D21" s="84">
        <f>0.053*75%</f>
        <v>3.9750000000000001E-2</v>
      </c>
      <c r="E21" s="84">
        <v>0</v>
      </c>
      <c r="F21" s="84">
        <f>ROUNDDOWN(D21*E21, 1)</f>
        <v>0</v>
      </c>
      <c r="G21" s="84">
        <f>ROUNDDOWN(단가대비표!L162, 0)</f>
        <v>213878</v>
      </c>
      <c r="H21" s="84">
        <f>ROUNDDOWN(D21*G21, 1)</f>
        <v>8501.6</v>
      </c>
      <c r="I21" s="84">
        <v>0</v>
      </c>
      <c r="J21" s="84">
        <f>ROUNDDOWN(D21*I21, 1)</f>
        <v>0</v>
      </c>
      <c r="K21" s="84">
        <f t="shared" si="2"/>
        <v>213878</v>
      </c>
      <c r="L21" s="84">
        <f t="shared" si="2"/>
        <v>8501.6</v>
      </c>
      <c r="M21" s="85"/>
      <c r="O21" s="86" t="s">
        <v>1046</v>
      </c>
      <c r="P21" s="86" t="s">
        <v>678</v>
      </c>
      <c r="Q21" s="79">
        <v>1</v>
      </c>
    </row>
    <row r="22" spans="1:19" ht="23.1" customHeight="1">
      <c r="A22" s="81" t="s">
        <v>452</v>
      </c>
      <c r="B22" s="81" t="s">
        <v>733</v>
      </c>
      <c r="C22" s="82" t="s">
        <v>446</v>
      </c>
      <c r="D22" s="84">
        <f>0.018*75%</f>
        <v>1.3499999999999998E-2</v>
      </c>
      <c r="E22" s="84">
        <v>0</v>
      </c>
      <c r="F22" s="84">
        <f>ROUNDDOWN(D22*E22, 1)</f>
        <v>0</v>
      </c>
      <c r="G22" s="84">
        <f>ROUNDDOWN(단가대비표!L164, 0)</f>
        <v>152500</v>
      </c>
      <c r="H22" s="84">
        <f>ROUNDDOWN(D22*G22, 1)</f>
        <v>2058.6999999999998</v>
      </c>
      <c r="I22" s="84">
        <v>0</v>
      </c>
      <c r="J22" s="84">
        <f>ROUNDDOWN(D22*I22, 1)</f>
        <v>0</v>
      </c>
      <c r="K22" s="84">
        <f t="shared" si="2"/>
        <v>152500</v>
      </c>
      <c r="L22" s="84">
        <f t="shared" si="2"/>
        <v>2058.6999999999998</v>
      </c>
      <c r="M22" s="85"/>
      <c r="O22" s="86" t="s">
        <v>1046</v>
      </c>
      <c r="P22" s="86" t="s">
        <v>678</v>
      </c>
      <c r="Q22" s="79">
        <v>1</v>
      </c>
    </row>
    <row r="23" spans="1:19" ht="23.1" customHeight="1">
      <c r="A23" s="81" t="s">
        <v>1047</v>
      </c>
      <c r="B23" s="85" t="str">
        <f>"인력품의 " &amp; N23*100 &amp; "%"</f>
        <v>인력품의 10%</v>
      </c>
      <c r="C23" s="82" t="s">
        <v>177</v>
      </c>
      <c r="D23" s="84">
        <v>1</v>
      </c>
      <c r="E23" s="84">
        <f>SUMIF(O20:O23, "02", H20:H23)</f>
        <v>10560.3</v>
      </c>
      <c r="F23" s="84">
        <f>ROUNDDOWN((E23)*N23, 1)</f>
        <v>1056</v>
      </c>
      <c r="G23" s="84">
        <v>0</v>
      </c>
      <c r="H23" s="84">
        <v>0</v>
      </c>
      <c r="I23" s="84">
        <v>0</v>
      </c>
      <c r="J23" s="84">
        <v>0</v>
      </c>
      <c r="K23" s="84">
        <f t="shared" si="2"/>
        <v>10560.3</v>
      </c>
      <c r="L23" s="84">
        <f t="shared" si="2"/>
        <v>1056</v>
      </c>
      <c r="M23" s="85"/>
      <c r="N23" s="79">
        <v>0.1</v>
      </c>
      <c r="P23" s="86" t="s">
        <v>678</v>
      </c>
      <c r="Q23" s="79">
        <v>1</v>
      </c>
      <c r="R23" s="86" t="s">
        <v>730</v>
      </c>
      <c r="S23" s="86" t="s">
        <v>731</v>
      </c>
    </row>
    <row r="24" spans="1:19" ht="23.1" customHeight="1">
      <c r="A24" s="90" t="s">
        <v>734</v>
      </c>
      <c r="B24" s="91"/>
      <c r="C24" s="92"/>
      <c r="D24" s="93"/>
      <c r="E24" s="93"/>
      <c r="F24" s="93">
        <f>ROUNDDOWN(SUMIF(Q20:Q23, "1", F20:F23), 0)</f>
        <v>6138</v>
      </c>
      <c r="G24" s="93"/>
      <c r="H24" s="93">
        <f>ROUNDDOWN(SUMIF(Q20:Q23, "1", H20:H23), 0)</f>
        <v>10560</v>
      </c>
      <c r="I24" s="93"/>
      <c r="J24" s="93">
        <f>ROUNDDOWN(SUMIF(Q20:Q23, "1", J20:J23), 0)</f>
        <v>0</v>
      </c>
      <c r="K24" s="93"/>
      <c r="L24" s="93">
        <f>F24+H24+J24</f>
        <v>16698</v>
      </c>
      <c r="M24" s="91"/>
    </row>
    <row r="25" spans="1:19" ht="23.1" customHeight="1">
      <c r="A25" s="85"/>
      <c r="B25" s="85"/>
      <c r="C25" s="83"/>
      <c r="D25" s="84"/>
      <c r="E25" s="84"/>
      <c r="F25" s="84"/>
      <c r="G25" s="84"/>
      <c r="H25" s="84"/>
      <c r="I25" s="84"/>
      <c r="J25" s="84"/>
      <c r="K25" s="84"/>
      <c r="L25" s="84"/>
      <c r="M25" s="85"/>
    </row>
    <row r="26" spans="1:19" ht="23.1" customHeight="1">
      <c r="A26" s="235" t="s">
        <v>1052</v>
      </c>
      <c r="B26" s="236"/>
      <c r="C26" s="236"/>
      <c r="D26" s="236"/>
      <c r="E26" s="236"/>
      <c r="F26" s="236"/>
      <c r="G26" s="236"/>
      <c r="H26" s="236"/>
      <c r="I26" s="236"/>
      <c r="J26" s="236"/>
      <c r="K26" s="236"/>
      <c r="L26" s="236"/>
      <c r="M26" s="120"/>
    </row>
    <row r="27" spans="1:19" ht="23.1" customHeight="1">
      <c r="A27" s="81" t="s">
        <v>740</v>
      </c>
      <c r="B27" s="81" t="s">
        <v>744</v>
      </c>
      <c r="C27" s="82" t="s">
        <v>742</v>
      </c>
      <c r="D27" s="84">
        <v>1.05</v>
      </c>
      <c r="E27" s="84">
        <f>ROUNDDOWN(단가대비표!L51, 0)</f>
        <v>6852</v>
      </c>
      <c r="F27" s="84">
        <f>ROUNDDOWN(D27*E27, 1)</f>
        <v>7194.6</v>
      </c>
      <c r="G27" s="84">
        <v>0</v>
      </c>
      <c r="H27" s="84">
        <f>ROUNDDOWN(D27*G27, 1)</f>
        <v>0</v>
      </c>
      <c r="I27" s="84">
        <v>0</v>
      </c>
      <c r="J27" s="84">
        <f>ROUNDDOWN(D27*I27, 1)</f>
        <v>0</v>
      </c>
      <c r="K27" s="84">
        <f t="shared" ref="K27:L30" si="3">E27+G27+I27</f>
        <v>6852</v>
      </c>
      <c r="L27" s="84">
        <f t="shared" si="3"/>
        <v>7194.6</v>
      </c>
      <c r="M27" s="85"/>
      <c r="O27" s="86" t="s">
        <v>558</v>
      </c>
      <c r="P27" s="86" t="s">
        <v>678</v>
      </c>
      <c r="Q27" s="79">
        <v>1</v>
      </c>
    </row>
    <row r="28" spans="1:19" ht="23.1" customHeight="1">
      <c r="A28" s="81" t="s">
        <v>838</v>
      </c>
      <c r="B28" s="81" t="s">
        <v>733</v>
      </c>
      <c r="C28" s="82" t="s">
        <v>446</v>
      </c>
      <c r="D28" s="84">
        <f>0.064*75%</f>
        <v>4.8000000000000001E-2</v>
      </c>
      <c r="E28" s="84">
        <v>0</v>
      </c>
      <c r="F28" s="84">
        <f>ROUNDDOWN(D28*E28, 1)</f>
        <v>0</v>
      </c>
      <c r="G28" s="84">
        <f>ROUNDDOWN(단가대비표!L162, 0)</f>
        <v>213878</v>
      </c>
      <c r="H28" s="84">
        <f>ROUNDDOWN(D28*G28, 1)</f>
        <v>10266.1</v>
      </c>
      <c r="I28" s="84">
        <v>0</v>
      </c>
      <c r="J28" s="84">
        <f>ROUNDDOWN(D28*I28, 1)</f>
        <v>0</v>
      </c>
      <c r="K28" s="84">
        <f t="shared" si="3"/>
        <v>213878</v>
      </c>
      <c r="L28" s="84">
        <f t="shared" si="3"/>
        <v>10266.1</v>
      </c>
      <c r="M28" s="85"/>
      <c r="O28" s="86" t="s">
        <v>1046</v>
      </c>
      <c r="P28" s="86" t="s">
        <v>678</v>
      </c>
      <c r="Q28" s="79">
        <v>1</v>
      </c>
    </row>
    <row r="29" spans="1:19" ht="23.1" customHeight="1">
      <c r="A29" s="81" t="s">
        <v>452</v>
      </c>
      <c r="B29" s="81" t="s">
        <v>733</v>
      </c>
      <c r="C29" s="82" t="s">
        <v>446</v>
      </c>
      <c r="D29" s="84">
        <f>0.021*75%</f>
        <v>1.575E-2</v>
      </c>
      <c r="E29" s="84">
        <v>0</v>
      </c>
      <c r="F29" s="84">
        <f>ROUNDDOWN(D29*E29, 1)</f>
        <v>0</v>
      </c>
      <c r="G29" s="84">
        <f>ROUNDDOWN(단가대비표!L164, 0)</f>
        <v>152500</v>
      </c>
      <c r="H29" s="84">
        <f>ROUNDDOWN(D29*G29, 1)</f>
        <v>2401.8000000000002</v>
      </c>
      <c r="I29" s="84">
        <v>0</v>
      </c>
      <c r="J29" s="84">
        <f>ROUNDDOWN(D29*I29, 1)</f>
        <v>0</v>
      </c>
      <c r="K29" s="84">
        <f t="shared" si="3"/>
        <v>152500</v>
      </c>
      <c r="L29" s="84">
        <f t="shared" si="3"/>
        <v>2401.8000000000002</v>
      </c>
      <c r="M29" s="85"/>
      <c r="O29" s="86" t="s">
        <v>1046</v>
      </c>
      <c r="P29" s="86" t="s">
        <v>678</v>
      </c>
      <c r="Q29" s="79">
        <v>1</v>
      </c>
    </row>
    <row r="30" spans="1:19" ht="23.1" customHeight="1">
      <c r="A30" s="81" t="s">
        <v>1047</v>
      </c>
      <c r="B30" s="85" t="str">
        <f>"인력품의 " &amp; N30*100 &amp; "%"</f>
        <v>인력품의 10%</v>
      </c>
      <c r="C30" s="82" t="s">
        <v>177</v>
      </c>
      <c r="D30" s="84">
        <v>1</v>
      </c>
      <c r="E30" s="84">
        <f>SUMIF(O27:O30, "02", H27:H30)</f>
        <v>12667.900000000001</v>
      </c>
      <c r="F30" s="84">
        <f>ROUNDDOWN((E30)*N30, 1)</f>
        <v>1266.7</v>
      </c>
      <c r="G30" s="84">
        <v>0</v>
      </c>
      <c r="H30" s="84">
        <v>0</v>
      </c>
      <c r="I30" s="84">
        <v>0</v>
      </c>
      <c r="J30" s="84">
        <v>0</v>
      </c>
      <c r="K30" s="84">
        <f t="shared" si="3"/>
        <v>12667.900000000001</v>
      </c>
      <c r="L30" s="84">
        <f t="shared" si="3"/>
        <v>1266.7</v>
      </c>
      <c r="M30" s="85"/>
      <c r="N30" s="79">
        <v>0.1</v>
      </c>
      <c r="P30" s="86" t="s">
        <v>678</v>
      </c>
      <c r="Q30" s="79">
        <v>1</v>
      </c>
      <c r="R30" s="86" t="s">
        <v>730</v>
      </c>
      <c r="S30" s="86" t="s">
        <v>731</v>
      </c>
    </row>
    <row r="31" spans="1:19" ht="23.1" customHeight="1">
      <c r="A31" s="90" t="s">
        <v>734</v>
      </c>
      <c r="B31" s="91"/>
      <c r="C31" s="92"/>
      <c r="D31" s="93"/>
      <c r="E31" s="93"/>
      <c r="F31" s="93">
        <f>ROUNDDOWN(SUMIF(Q27:Q30, "1", F27:F30), 0)</f>
        <v>8461</v>
      </c>
      <c r="G31" s="93"/>
      <c r="H31" s="93">
        <f>ROUNDDOWN(SUMIF(Q27:Q30, "1", H27:H30), 0)</f>
        <v>12667</v>
      </c>
      <c r="I31" s="93"/>
      <c r="J31" s="93">
        <f>ROUNDDOWN(SUMIF(Q27:Q30, "1", J27:J30), 0)</f>
        <v>0</v>
      </c>
      <c r="K31" s="93"/>
      <c r="L31" s="93">
        <f>F31+H31+J31</f>
        <v>21128</v>
      </c>
      <c r="M31" s="91"/>
    </row>
    <row r="32" spans="1:19" ht="23.1" customHeight="1">
      <c r="A32" s="85"/>
      <c r="B32" s="85"/>
      <c r="C32" s="83"/>
      <c r="D32" s="84"/>
      <c r="E32" s="84"/>
      <c r="F32" s="84"/>
      <c r="G32" s="84"/>
      <c r="H32" s="84"/>
      <c r="I32" s="84"/>
      <c r="J32" s="84"/>
      <c r="K32" s="84"/>
      <c r="L32" s="84"/>
      <c r="M32" s="85"/>
    </row>
    <row r="33" spans="1:19" ht="23.1" customHeight="1">
      <c r="A33" s="235" t="s">
        <v>1053</v>
      </c>
      <c r="B33" s="236"/>
      <c r="C33" s="236"/>
      <c r="D33" s="236"/>
      <c r="E33" s="236"/>
      <c r="F33" s="236"/>
      <c r="G33" s="236"/>
      <c r="H33" s="236"/>
      <c r="I33" s="236"/>
      <c r="J33" s="236"/>
      <c r="K33" s="236"/>
      <c r="L33" s="236"/>
      <c r="M33" s="120"/>
    </row>
    <row r="34" spans="1:19" ht="23.1" customHeight="1">
      <c r="A34" s="81" t="s">
        <v>740</v>
      </c>
      <c r="B34" s="81" t="s">
        <v>1054</v>
      </c>
      <c r="C34" s="82" t="s">
        <v>742</v>
      </c>
      <c r="D34" s="84">
        <v>1.05</v>
      </c>
      <c r="E34" s="84">
        <f>ROUNDDOWN(단가대비표!L52, 0)</f>
        <v>8720</v>
      </c>
      <c r="F34" s="84">
        <f>ROUNDDOWN(D34*E34, 1)</f>
        <v>9156</v>
      </c>
      <c r="G34" s="84">
        <v>0</v>
      </c>
      <c r="H34" s="84">
        <f>ROUNDDOWN(D34*G34, 1)</f>
        <v>0</v>
      </c>
      <c r="I34" s="84">
        <v>0</v>
      </c>
      <c r="J34" s="84">
        <f>ROUNDDOWN(D34*I34, 1)</f>
        <v>0</v>
      </c>
      <c r="K34" s="84">
        <f t="shared" ref="K34:L37" si="4">E34+G34+I34</f>
        <v>8720</v>
      </c>
      <c r="L34" s="84">
        <f t="shared" si="4"/>
        <v>9156</v>
      </c>
      <c r="M34" s="85"/>
      <c r="O34" s="86" t="s">
        <v>558</v>
      </c>
      <c r="P34" s="86" t="s">
        <v>678</v>
      </c>
      <c r="Q34" s="79">
        <v>1</v>
      </c>
    </row>
    <row r="35" spans="1:19" ht="23.1" customHeight="1">
      <c r="A35" s="81" t="s">
        <v>838</v>
      </c>
      <c r="B35" s="81" t="s">
        <v>733</v>
      </c>
      <c r="C35" s="82" t="s">
        <v>446</v>
      </c>
      <c r="D35" s="84">
        <f>0.079*75%</f>
        <v>5.9249999999999997E-2</v>
      </c>
      <c r="E35" s="84">
        <v>0</v>
      </c>
      <c r="F35" s="84">
        <f>ROUNDDOWN(D35*E35, 1)</f>
        <v>0</v>
      </c>
      <c r="G35" s="84">
        <f>ROUNDDOWN(단가대비표!L162, 0)</f>
        <v>213878</v>
      </c>
      <c r="H35" s="84">
        <f>ROUNDDOWN(D35*G35, 1)</f>
        <v>12672.2</v>
      </c>
      <c r="I35" s="84">
        <v>0</v>
      </c>
      <c r="J35" s="84">
        <f>ROUNDDOWN(D35*I35, 1)</f>
        <v>0</v>
      </c>
      <c r="K35" s="84">
        <f t="shared" si="4"/>
        <v>213878</v>
      </c>
      <c r="L35" s="84">
        <f t="shared" si="4"/>
        <v>12672.2</v>
      </c>
      <c r="M35" s="85"/>
      <c r="O35" s="86" t="s">
        <v>1046</v>
      </c>
      <c r="P35" s="86" t="s">
        <v>678</v>
      </c>
      <c r="Q35" s="79">
        <v>1</v>
      </c>
    </row>
    <row r="36" spans="1:19" ht="23.1" customHeight="1">
      <c r="A36" s="81" t="s">
        <v>452</v>
      </c>
      <c r="B36" s="81" t="s">
        <v>733</v>
      </c>
      <c r="C36" s="82" t="s">
        <v>446</v>
      </c>
      <c r="D36" s="84">
        <f>0.026*75%</f>
        <v>1.95E-2</v>
      </c>
      <c r="E36" s="84">
        <v>0</v>
      </c>
      <c r="F36" s="84">
        <f>ROUNDDOWN(D36*E36, 1)</f>
        <v>0</v>
      </c>
      <c r="G36" s="84">
        <f>ROUNDDOWN(단가대비표!L164, 0)</f>
        <v>152500</v>
      </c>
      <c r="H36" s="84">
        <f>ROUNDDOWN(D36*G36, 1)</f>
        <v>2973.7</v>
      </c>
      <c r="I36" s="84">
        <v>0</v>
      </c>
      <c r="J36" s="84">
        <f>ROUNDDOWN(D36*I36, 1)</f>
        <v>0</v>
      </c>
      <c r="K36" s="84">
        <f t="shared" si="4"/>
        <v>152500</v>
      </c>
      <c r="L36" s="84">
        <f t="shared" si="4"/>
        <v>2973.7</v>
      </c>
      <c r="M36" s="85"/>
      <c r="O36" s="86" t="s">
        <v>1046</v>
      </c>
      <c r="P36" s="86" t="s">
        <v>678</v>
      </c>
      <c r="Q36" s="79">
        <v>1</v>
      </c>
    </row>
    <row r="37" spans="1:19" ht="23.1" customHeight="1">
      <c r="A37" s="81" t="s">
        <v>1047</v>
      </c>
      <c r="B37" s="85" t="str">
        <f>"인력품의 " &amp; N37*100 &amp; "%"</f>
        <v>인력품의 10%</v>
      </c>
      <c r="C37" s="82" t="s">
        <v>177</v>
      </c>
      <c r="D37" s="84">
        <v>1</v>
      </c>
      <c r="E37" s="84">
        <f>SUMIF(O34:O37, "02", H34:H37)</f>
        <v>15645.900000000001</v>
      </c>
      <c r="F37" s="84">
        <f>ROUNDDOWN((E37)*N37, 1)</f>
        <v>1564.5</v>
      </c>
      <c r="G37" s="84">
        <v>0</v>
      </c>
      <c r="H37" s="84">
        <v>0</v>
      </c>
      <c r="I37" s="84">
        <v>0</v>
      </c>
      <c r="J37" s="84">
        <v>0</v>
      </c>
      <c r="K37" s="84">
        <f t="shared" si="4"/>
        <v>15645.900000000001</v>
      </c>
      <c r="L37" s="84">
        <f t="shared" si="4"/>
        <v>1564.5</v>
      </c>
      <c r="M37" s="85"/>
      <c r="N37" s="79">
        <v>0.1</v>
      </c>
      <c r="P37" s="86" t="s">
        <v>678</v>
      </c>
      <c r="Q37" s="79">
        <v>1</v>
      </c>
      <c r="R37" s="86" t="s">
        <v>730</v>
      </c>
      <c r="S37" s="86" t="s">
        <v>731</v>
      </c>
    </row>
    <row r="38" spans="1:19" ht="23.1" customHeight="1">
      <c r="A38" s="90" t="s">
        <v>734</v>
      </c>
      <c r="B38" s="91"/>
      <c r="C38" s="92"/>
      <c r="D38" s="93"/>
      <c r="E38" s="93"/>
      <c r="F38" s="93">
        <f>ROUNDDOWN(SUMIF(Q34:Q37, "1", F34:F37), 0)</f>
        <v>10720</v>
      </c>
      <c r="G38" s="93"/>
      <c r="H38" s="93">
        <f>ROUNDDOWN(SUMIF(Q34:Q37, "1", H34:H37), 0)</f>
        <v>15645</v>
      </c>
      <c r="I38" s="93"/>
      <c r="J38" s="93">
        <f>ROUNDDOWN(SUMIF(Q34:Q37, "1", J34:J37), 0)</f>
        <v>0</v>
      </c>
      <c r="K38" s="93"/>
      <c r="L38" s="93">
        <f>F38+H38+J38</f>
        <v>26365</v>
      </c>
      <c r="M38" s="91"/>
    </row>
    <row r="39" spans="1:19" ht="23.1" customHeight="1">
      <c r="A39" s="85"/>
      <c r="B39" s="85"/>
      <c r="C39" s="83"/>
      <c r="D39" s="84"/>
      <c r="E39" s="84"/>
      <c r="F39" s="84"/>
      <c r="G39" s="84"/>
      <c r="H39" s="84"/>
      <c r="I39" s="84"/>
      <c r="J39" s="84"/>
      <c r="K39" s="84"/>
      <c r="L39" s="84"/>
      <c r="M39" s="85"/>
    </row>
    <row r="40" spans="1:19" ht="23.1" customHeight="1">
      <c r="A40" s="235" t="s">
        <v>1055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120"/>
    </row>
    <row r="41" spans="1:19" ht="23.1" customHeight="1">
      <c r="A41" s="81" t="s">
        <v>740</v>
      </c>
      <c r="B41" s="81" t="s">
        <v>1056</v>
      </c>
      <c r="C41" s="82" t="s">
        <v>742</v>
      </c>
      <c r="D41" s="84">
        <v>1.05</v>
      </c>
      <c r="E41" s="84">
        <f>ROUNDDOWN(단가대비표!L53, 0)</f>
        <v>11351</v>
      </c>
      <c r="F41" s="84">
        <f>ROUNDDOWN(D41*E41, 1)</f>
        <v>11918.5</v>
      </c>
      <c r="G41" s="84">
        <v>0</v>
      </c>
      <c r="H41" s="84">
        <f>ROUNDDOWN(D41*G41, 1)</f>
        <v>0</v>
      </c>
      <c r="I41" s="84">
        <v>0</v>
      </c>
      <c r="J41" s="84">
        <f>ROUNDDOWN(D41*I41, 1)</f>
        <v>0</v>
      </c>
      <c r="K41" s="84">
        <f t="shared" ref="K41:L44" si="5">E41+G41+I41</f>
        <v>11351</v>
      </c>
      <c r="L41" s="84">
        <f t="shared" si="5"/>
        <v>11918.5</v>
      </c>
      <c r="M41" s="85"/>
      <c r="O41" s="86" t="s">
        <v>558</v>
      </c>
      <c r="P41" s="86" t="s">
        <v>678</v>
      </c>
      <c r="Q41" s="79">
        <v>1</v>
      </c>
    </row>
    <row r="42" spans="1:19" ht="23.1" customHeight="1">
      <c r="A42" s="81" t="s">
        <v>838</v>
      </c>
      <c r="B42" s="81" t="s">
        <v>733</v>
      </c>
      <c r="C42" s="82" t="s">
        <v>446</v>
      </c>
      <c r="D42" s="84">
        <f>0.095*75%</f>
        <v>7.1250000000000008E-2</v>
      </c>
      <c r="E42" s="84">
        <v>0</v>
      </c>
      <c r="F42" s="84">
        <f>ROUNDDOWN(D42*E42, 1)</f>
        <v>0</v>
      </c>
      <c r="G42" s="84">
        <f>ROUNDDOWN(단가대비표!L162, 0)</f>
        <v>213878</v>
      </c>
      <c r="H42" s="84">
        <f>ROUNDDOWN(D42*G42, 1)</f>
        <v>15238.8</v>
      </c>
      <c r="I42" s="84">
        <v>0</v>
      </c>
      <c r="J42" s="84">
        <f>ROUNDDOWN(D42*I42, 1)</f>
        <v>0</v>
      </c>
      <c r="K42" s="84">
        <f t="shared" si="5"/>
        <v>213878</v>
      </c>
      <c r="L42" s="84">
        <f t="shared" si="5"/>
        <v>15238.8</v>
      </c>
      <c r="M42" s="85"/>
      <c r="O42" s="86" t="s">
        <v>1046</v>
      </c>
      <c r="P42" s="86" t="s">
        <v>678</v>
      </c>
      <c r="Q42" s="79">
        <v>1</v>
      </c>
    </row>
    <row r="43" spans="1:19" ht="23.1" customHeight="1">
      <c r="A43" s="81" t="s">
        <v>452</v>
      </c>
      <c r="B43" s="81" t="s">
        <v>733</v>
      </c>
      <c r="C43" s="82" t="s">
        <v>446</v>
      </c>
      <c r="D43" s="84">
        <f>0.032*75%</f>
        <v>2.4E-2</v>
      </c>
      <c r="E43" s="84">
        <v>0</v>
      </c>
      <c r="F43" s="84">
        <f>ROUNDDOWN(D43*E43, 1)</f>
        <v>0</v>
      </c>
      <c r="G43" s="84">
        <f>ROUNDDOWN(단가대비표!L164, 0)</f>
        <v>152500</v>
      </c>
      <c r="H43" s="84">
        <f>ROUNDDOWN(D43*G43, 1)</f>
        <v>3660</v>
      </c>
      <c r="I43" s="84">
        <v>0</v>
      </c>
      <c r="J43" s="84">
        <f>ROUNDDOWN(D43*I43, 1)</f>
        <v>0</v>
      </c>
      <c r="K43" s="84">
        <f t="shared" si="5"/>
        <v>152500</v>
      </c>
      <c r="L43" s="84">
        <f t="shared" si="5"/>
        <v>3660</v>
      </c>
      <c r="M43" s="85"/>
      <c r="O43" s="86" t="s">
        <v>1046</v>
      </c>
      <c r="P43" s="86" t="s">
        <v>678</v>
      </c>
      <c r="Q43" s="79">
        <v>1</v>
      </c>
    </row>
    <row r="44" spans="1:19" ht="23.1" customHeight="1">
      <c r="A44" s="81" t="s">
        <v>1047</v>
      </c>
      <c r="B44" s="85" t="str">
        <f>"인력품의 " &amp; N44*100 &amp; "%"</f>
        <v>인력품의 10%</v>
      </c>
      <c r="C44" s="82" t="s">
        <v>177</v>
      </c>
      <c r="D44" s="84">
        <v>1</v>
      </c>
      <c r="E44" s="84">
        <f>SUMIF(O41:O44, "02", H41:H44)</f>
        <v>18898.8</v>
      </c>
      <c r="F44" s="84">
        <f>ROUNDDOWN((E44)*N44, 1)</f>
        <v>1889.8</v>
      </c>
      <c r="G44" s="84">
        <v>0</v>
      </c>
      <c r="H44" s="84">
        <v>0</v>
      </c>
      <c r="I44" s="84">
        <v>0</v>
      </c>
      <c r="J44" s="84">
        <v>0</v>
      </c>
      <c r="K44" s="84">
        <f t="shared" si="5"/>
        <v>18898.8</v>
      </c>
      <c r="L44" s="84">
        <f t="shared" si="5"/>
        <v>1889.8</v>
      </c>
      <c r="M44" s="85"/>
      <c r="N44" s="79">
        <v>0.1</v>
      </c>
      <c r="P44" s="86" t="s">
        <v>678</v>
      </c>
      <c r="Q44" s="79">
        <v>1</v>
      </c>
      <c r="R44" s="86" t="s">
        <v>730</v>
      </c>
      <c r="S44" s="86" t="s">
        <v>731</v>
      </c>
    </row>
    <row r="45" spans="1:19" ht="23.1" customHeight="1">
      <c r="A45" s="90" t="s">
        <v>734</v>
      </c>
      <c r="B45" s="91"/>
      <c r="C45" s="92"/>
      <c r="D45" s="93"/>
      <c r="E45" s="93"/>
      <c r="F45" s="93">
        <f>ROUNDDOWN(SUMIF(Q41:Q44, "1", F41:F44), 0)</f>
        <v>13808</v>
      </c>
      <c r="G45" s="93"/>
      <c r="H45" s="93">
        <f>ROUNDDOWN(SUMIF(Q41:Q44, "1", H41:H44), 0)</f>
        <v>18898</v>
      </c>
      <c r="I45" s="93"/>
      <c r="J45" s="93">
        <f>ROUNDDOWN(SUMIF(Q41:Q44, "1", J41:J44), 0)</f>
        <v>0</v>
      </c>
      <c r="K45" s="93"/>
      <c r="L45" s="93">
        <f>F45+H45+J45</f>
        <v>32706</v>
      </c>
      <c r="M45" s="91"/>
    </row>
    <row r="46" spans="1:19" ht="23.1" customHeight="1">
      <c r="A46" s="85"/>
      <c r="B46" s="85"/>
      <c r="C46" s="83"/>
      <c r="D46" s="84"/>
      <c r="E46" s="84"/>
      <c r="F46" s="84"/>
      <c r="G46" s="84"/>
      <c r="H46" s="84"/>
      <c r="I46" s="84"/>
      <c r="J46" s="84"/>
      <c r="K46" s="84"/>
      <c r="L46" s="84"/>
      <c r="M46" s="85"/>
    </row>
    <row r="47" spans="1:19" ht="23.1" customHeight="1">
      <c r="A47" s="235" t="s">
        <v>1057</v>
      </c>
      <c r="B47" s="236"/>
      <c r="C47" s="236"/>
      <c r="D47" s="236"/>
      <c r="E47" s="236"/>
      <c r="F47" s="236"/>
      <c r="G47" s="236"/>
      <c r="H47" s="236"/>
      <c r="I47" s="236"/>
      <c r="J47" s="236"/>
      <c r="K47" s="236"/>
      <c r="L47" s="236"/>
      <c r="M47" s="120"/>
    </row>
    <row r="48" spans="1:19" ht="23.1" customHeight="1">
      <c r="A48" s="81" t="s">
        <v>740</v>
      </c>
      <c r="B48" s="81" t="s">
        <v>745</v>
      </c>
      <c r="C48" s="82" t="s">
        <v>742</v>
      </c>
      <c r="D48" s="84">
        <v>1.05</v>
      </c>
      <c r="E48" s="84">
        <f>ROUNDDOWN(단가대비표!L44, 0)</f>
        <v>16309</v>
      </c>
      <c r="F48" s="84">
        <f>ROUNDDOWN(D48*E48, 1)</f>
        <v>17124.400000000001</v>
      </c>
      <c r="G48" s="84">
        <v>0</v>
      </c>
      <c r="H48" s="84">
        <f>ROUNDDOWN(D48*G48, 1)</f>
        <v>0</v>
      </c>
      <c r="I48" s="84">
        <v>0</v>
      </c>
      <c r="J48" s="84">
        <f>ROUNDDOWN(D48*I48, 1)</f>
        <v>0</v>
      </c>
      <c r="K48" s="84">
        <f t="shared" ref="K48:L51" si="6">E48+G48+I48</f>
        <v>16309</v>
      </c>
      <c r="L48" s="84">
        <f t="shared" si="6"/>
        <v>17124.400000000001</v>
      </c>
      <c r="M48" s="85"/>
      <c r="O48" s="86" t="s">
        <v>558</v>
      </c>
      <c r="P48" s="86" t="s">
        <v>678</v>
      </c>
      <c r="Q48" s="79">
        <v>1</v>
      </c>
    </row>
    <row r="49" spans="1:19" ht="23.1" customHeight="1">
      <c r="A49" s="81" t="s">
        <v>838</v>
      </c>
      <c r="B49" s="81" t="s">
        <v>733</v>
      </c>
      <c r="C49" s="82" t="s">
        <v>446</v>
      </c>
      <c r="D49" s="84">
        <f>0.132*75%</f>
        <v>9.9000000000000005E-2</v>
      </c>
      <c r="E49" s="84">
        <v>0</v>
      </c>
      <c r="F49" s="84">
        <f>ROUNDDOWN(D49*E49, 1)</f>
        <v>0</v>
      </c>
      <c r="G49" s="84">
        <f>ROUNDDOWN(단가대비표!L162, 0)</f>
        <v>213878</v>
      </c>
      <c r="H49" s="84">
        <f>ROUNDDOWN(D49*G49, 1)</f>
        <v>21173.9</v>
      </c>
      <c r="I49" s="84">
        <v>0</v>
      </c>
      <c r="J49" s="84">
        <f>ROUNDDOWN(D49*I49, 1)</f>
        <v>0</v>
      </c>
      <c r="K49" s="84">
        <f t="shared" si="6"/>
        <v>213878</v>
      </c>
      <c r="L49" s="84">
        <f t="shared" si="6"/>
        <v>21173.9</v>
      </c>
      <c r="M49" s="85"/>
      <c r="O49" s="86" t="s">
        <v>1046</v>
      </c>
      <c r="P49" s="86" t="s">
        <v>678</v>
      </c>
      <c r="Q49" s="79">
        <v>1</v>
      </c>
    </row>
    <row r="50" spans="1:19" ht="23.1" customHeight="1">
      <c r="A50" s="81" t="s">
        <v>452</v>
      </c>
      <c r="B50" s="81" t="s">
        <v>733</v>
      </c>
      <c r="C50" s="82" t="s">
        <v>446</v>
      </c>
      <c r="D50" s="84">
        <f>0.044*75%</f>
        <v>3.3000000000000002E-2</v>
      </c>
      <c r="E50" s="84">
        <v>0</v>
      </c>
      <c r="F50" s="84">
        <f>ROUNDDOWN(D50*E50, 1)</f>
        <v>0</v>
      </c>
      <c r="G50" s="84">
        <f>ROUNDDOWN(단가대비표!L164, 0)</f>
        <v>152500</v>
      </c>
      <c r="H50" s="84">
        <f>ROUNDDOWN(D50*G50, 1)</f>
        <v>5032.5</v>
      </c>
      <c r="I50" s="84">
        <v>0</v>
      </c>
      <c r="J50" s="84">
        <f>ROUNDDOWN(D50*I50, 1)</f>
        <v>0</v>
      </c>
      <c r="K50" s="84">
        <f t="shared" si="6"/>
        <v>152500</v>
      </c>
      <c r="L50" s="84">
        <f t="shared" si="6"/>
        <v>5032.5</v>
      </c>
      <c r="M50" s="85"/>
      <c r="O50" s="86" t="s">
        <v>1046</v>
      </c>
      <c r="P50" s="86" t="s">
        <v>678</v>
      </c>
      <c r="Q50" s="79">
        <v>1</v>
      </c>
    </row>
    <row r="51" spans="1:19" ht="23.1" customHeight="1">
      <c r="A51" s="81" t="s">
        <v>1047</v>
      </c>
      <c r="B51" s="85" t="str">
        <f>"인력품의 " &amp; N51*100 &amp; "%"</f>
        <v>인력품의 10%</v>
      </c>
      <c r="C51" s="82" t="s">
        <v>177</v>
      </c>
      <c r="D51" s="84">
        <v>1</v>
      </c>
      <c r="E51" s="84">
        <f>SUMIF(O48:O51, "02", H48:H51)</f>
        <v>26206.400000000001</v>
      </c>
      <c r="F51" s="84">
        <f>ROUNDDOWN((E51)*N51, 1)</f>
        <v>2620.6</v>
      </c>
      <c r="G51" s="84">
        <v>0</v>
      </c>
      <c r="H51" s="84">
        <v>0</v>
      </c>
      <c r="I51" s="84">
        <v>0</v>
      </c>
      <c r="J51" s="84">
        <v>0</v>
      </c>
      <c r="K51" s="84">
        <f t="shared" si="6"/>
        <v>26206.400000000001</v>
      </c>
      <c r="L51" s="84">
        <f t="shared" si="6"/>
        <v>2620.6</v>
      </c>
      <c r="M51" s="85"/>
      <c r="N51" s="79">
        <v>0.1</v>
      </c>
      <c r="P51" s="86" t="s">
        <v>678</v>
      </c>
      <c r="Q51" s="79">
        <v>1</v>
      </c>
      <c r="R51" s="86" t="s">
        <v>730</v>
      </c>
      <c r="S51" s="86" t="s">
        <v>731</v>
      </c>
    </row>
    <row r="52" spans="1:19" ht="23.1" customHeight="1">
      <c r="A52" s="90" t="s">
        <v>734</v>
      </c>
      <c r="B52" s="91"/>
      <c r="C52" s="92"/>
      <c r="D52" s="93"/>
      <c r="E52" s="93"/>
      <c r="F52" s="93">
        <f>ROUNDDOWN(SUMIF(Q48:Q51, "1", F48:F51), 0)</f>
        <v>19745</v>
      </c>
      <c r="G52" s="93"/>
      <c r="H52" s="93">
        <f>ROUNDDOWN(SUMIF(Q48:Q51, "1", H48:H51), 0)</f>
        <v>26206</v>
      </c>
      <c r="I52" s="93"/>
      <c r="J52" s="93">
        <f>ROUNDDOWN(SUMIF(Q48:Q51, "1", J48:J51), 0)</f>
        <v>0</v>
      </c>
      <c r="K52" s="93"/>
      <c r="L52" s="93">
        <f>F52+H52+J52</f>
        <v>45951</v>
      </c>
      <c r="M52" s="91"/>
    </row>
    <row r="53" spans="1:19" ht="23.1" customHeight="1">
      <c r="A53" s="85"/>
      <c r="B53" s="85"/>
      <c r="C53" s="83"/>
      <c r="D53" s="84"/>
      <c r="E53" s="84"/>
      <c r="F53" s="84"/>
      <c r="G53" s="84"/>
      <c r="H53" s="84"/>
      <c r="I53" s="84"/>
      <c r="J53" s="84"/>
      <c r="K53" s="84"/>
      <c r="L53" s="84"/>
      <c r="M53" s="85"/>
    </row>
    <row r="54" spans="1:19" ht="23.1" customHeight="1">
      <c r="A54" s="235" t="s">
        <v>1058</v>
      </c>
      <c r="B54" s="236"/>
      <c r="C54" s="236"/>
      <c r="D54" s="236"/>
      <c r="E54" s="236"/>
      <c r="F54" s="236"/>
      <c r="G54" s="236"/>
      <c r="H54" s="236"/>
      <c r="I54" s="236"/>
      <c r="J54" s="236"/>
      <c r="K54" s="236"/>
      <c r="L54" s="236"/>
      <c r="M54" s="120"/>
    </row>
    <row r="55" spans="1:19" ht="23.1" customHeight="1">
      <c r="A55" s="81" t="s">
        <v>740</v>
      </c>
      <c r="B55" s="81" t="s">
        <v>1059</v>
      </c>
      <c r="C55" s="82" t="s">
        <v>742</v>
      </c>
      <c r="D55" s="84">
        <v>1.05</v>
      </c>
      <c r="E55" s="84">
        <f>ROUNDDOWN(단가대비표!L45, 0)</f>
        <v>21599</v>
      </c>
      <c r="F55" s="84">
        <f>ROUNDDOWN(D55*E55, 1)</f>
        <v>22678.9</v>
      </c>
      <c r="G55" s="84">
        <v>0</v>
      </c>
      <c r="H55" s="84">
        <f>ROUNDDOWN(D55*G55, 1)</f>
        <v>0</v>
      </c>
      <c r="I55" s="84">
        <v>0</v>
      </c>
      <c r="J55" s="84">
        <f>ROUNDDOWN(D55*I55, 1)</f>
        <v>0</v>
      </c>
      <c r="K55" s="84">
        <f t="shared" ref="K55:L58" si="7">E55+G55+I55</f>
        <v>21599</v>
      </c>
      <c r="L55" s="84">
        <f t="shared" si="7"/>
        <v>22678.9</v>
      </c>
      <c r="M55" s="85"/>
      <c r="O55" s="86" t="s">
        <v>558</v>
      </c>
      <c r="P55" s="86" t="s">
        <v>678</v>
      </c>
      <c r="Q55" s="79">
        <v>1</v>
      </c>
    </row>
    <row r="56" spans="1:19" ht="23.1" customHeight="1">
      <c r="A56" s="81" t="s">
        <v>838</v>
      </c>
      <c r="B56" s="81" t="s">
        <v>733</v>
      </c>
      <c r="C56" s="82" t="s">
        <v>446</v>
      </c>
      <c r="D56" s="84">
        <f>0.17*75%</f>
        <v>0.1275</v>
      </c>
      <c r="E56" s="84">
        <v>0</v>
      </c>
      <c r="F56" s="84">
        <f>ROUNDDOWN(D56*E56, 1)</f>
        <v>0</v>
      </c>
      <c r="G56" s="84">
        <f>ROUNDDOWN(단가대비표!L162, 0)</f>
        <v>213878</v>
      </c>
      <c r="H56" s="84">
        <f>ROUNDDOWN(D56*G56, 1)</f>
        <v>27269.4</v>
      </c>
      <c r="I56" s="84">
        <v>0</v>
      </c>
      <c r="J56" s="84">
        <f>ROUNDDOWN(D56*I56, 1)</f>
        <v>0</v>
      </c>
      <c r="K56" s="84">
        <f t="shared" si="7"/>
        <v>213878</v>
      </c>
      <c r="L56" s="84">
        <f t="shared" si="7"/>
        <v>27269.4</v>
      </c>
      <c r="M56" s="85"/>
      <c r="O56" s="86" t="s">
        <v>1046</v>
      </c>
      <c r="P56" s="86" t="s">
        <v>678</v>
      </c>
      <c r="Q56" s="79">
        <v>1</v>
      </c>
    </row>
    <row r="57" spans="1:19" ht="23.1" customHeight="1">
      <c r="A57" s="81" t="s">
        <v>452</v>
      </c>
      <c r="B57" s="81" t="s">
        <v>733</v>
      </c>
      <c r="C57" s="82" t="s">
        <v>446</v>
      </c>
      <c r="D57" s="84">
        <f>0.057*75%</f>
        <v>4.2750000000000003E-2</v>
      </c>
      <c r="E57" s="84">
        <v>0</v>
      </c>
      <c r="F57" s="84">
        <f>ROUNDDOWN(D57*E57, 1)</f>
        <v>0</v>
      </c>
      <c r="G57" s="84">
        <f>ROUNDDOWN(단가대비표!L164, 0)</f>
        <v>152500</v>
      </c>
      <c r="H57" s="84">
        <f>ROUNDDOWN(D57*G57, 1)</f>
        <v>6519.3</v>
      </c>
      <c r="I57" s="84">
        <v>0</v>
      </c>
      <c r="J57" s="84">
        <f>ROUNDDOWN(D57*I57, 1)</f>
        <v>0</v>
      </c>
      <c r="K57" s="84">
        <f t="shared" si="7"/>
        <v>152500</v>
      </c>
      <c r="L57" s="84">
        <f t="shared" si="7"/>
        <v>6519.3</v>
      </c>
      <c r="M57" s="85"/>
      <c r="O57" s="86" t="s">
        <v>1046</v>
      </c>
      <c r="P57" s="86" t="s">
        <v>678</v>
      </c>
      <c r="Q57" s="79">
        <v>1</v>
      </c>
    </row>
    <row r="58" spans="1:19" ht="23.1" customHeight="1">
      <c r="A58" s="81" t="s">
        <v>1047</v>
      </c>
      <c r="B58" s="85" t="str">
        <f>"인력품의 " &amp; N58*100 &amp; "%"</f>
        <v>인력품의 10%</v>
      </c>
      <c r="C58" s="82" t="s">
        <v>177</v>
      </c>
      <c r="D58" s="84">
        <v>1</v>
      </c>
      <c r="E58" s="84">
        <f>SUMIF(O55:O58, "02", H55:H58)</f>
        <v>33788.700000000004</v>
      </c>
      <c r="F58" s="84">
        <f>ROUNDDOWN((E58)*N58, 1)</f>
        <v>3378.8</v>
      </c>
      <c r="G58" s="84">
        <v>0</v>
      </c>
      <c r="H58" s="84">
        <v>0</v>
      </c>
      <c r="I58" s="84">
        <v>0</v>
      </c>
      <c r="J58" s="84">
        <v>0</v>
      </c>
      <c r="K58" s="84">
        <f t="shared" si="7"/>
        <v>33788.700000000004</v>
      </c>
      <c r="L58" s="84">
        <f t="shared" si="7"/>
        <v>3378.8</v>
      </c>
      <c r="M58" s="85"/>
      <c r="N58" s="79">
        <v>0.1</v>
      </c>
      <c r="P58" s="86" t="s">
        <v>678</v>
      </c>
      <c r="Q58" s="79">
        <v>1</v>
      </c>
      <c r="R58" s="86" t="s">
        <v>730</v>
      </c>
      <c r="S58" s="86" t="s">
        <v>731</v>
      </c>
    </row>
    <row r="59" spans="1:19" ht="23.1" customHeight="1">
      <c r="A59" s="90" t="s">
        <v>734</v>
      </c>
      <c r="B59" s="91"/>
      <c r="C59" s="92"/>
      <c r="D59" s="93"/>
      <c r="E59" s="93"/>
      <c r="F59" s="93">
        <f>ROUNDDOWN(SUMIF(Q55:Q58, "1", F55:F58), 0)</f>
        <v>26057</v>
      </c>
      <c r="G59" s="93"/>
      <c r="H59" s="93">
        <f>ROUNDDOWN(SUMIF(Q55:Q58, "1", H55:H58), 0)</f>
        <v>33788</v>
      </c>
      <c r="I59" s="93"/>
      <c r="J59" s="93">
        <f>ROUNDDOWN(SUMIF(Q55:Q58, "1", J55:J58), 0)</f>
        <v>0</v>
      </c>
      <c r="K59" s="93"/>
      <c r="L59" s="93">
        <f>F59+H59+J59</f>
        <v>59845</v>
      </c>
      <c r="M59" s="91"/>
    </row>
    <row r="60" spans="1:19" ht="23.1" customHeight="1">
      <c r="A60" s="85"/>
      <c r="B60" s="85"/>
      <c r="C60" s="83"/>
      <c r="D60" s="84"/>
      <c r="E60" s="84"/>
      <c r="F60" s="84"/>
      <c r="G60" s="84"/>
      <c r="H60" s="84"/>
      <c r="I60" s="84"/>
      <c r="J60" s="84"/>
      <c r="K60" s="84"/>
      <c r="L60" s="84"/>
      <c r="M60" s="85"/>
    </row>
    <row r="61" spans="1:19" ht="23.1" customHeight="1">
      <c r="A61" s="235" t="s">
        <v>1060</v>
      </c>
      <c r="B61" s="236"/>
      <c r="C61" s="236"/>
      <c r="D61" s="236"/>
      <c r="E61" s="236"/>
      <c r="F61" s="236"/>
      <c r="G61" s="236"/>
      <c r="H61" s="236"/>
      <c r="I61" s="236"/>
      <c r="J61" s="236"/>
      <c r="K61" s="236"/>
      <c r="L61" s="236"/>
      <c r="M61" s="120"/>
    </row>
    <row r="62" spans="1:19" ht="23.1" customHeight="1">
      <c r="A62" s="81" t="s">
        <v>740</v>
      </c>
      <c r="B62" s="81" t="s">
        <v>746</v>
      </c>
      <c r="C62" s="82" t="s">
        <v>742</v>
      </c>
      <c r="D62" s="84">
        <v>1.05</v>
      </c>
      <c r="E62" s="84">
        <f>ROUNDDOWN(단가대비표!L46, 0)</f>
        <v>25676</v>
      </c>
      <c r="F62" s="84">
        <f>ROUNDDOWN(D62*E62, 1)</f>
        <v>26959.8</v>
      </c>
      <c r="G62" s="84">
        <v>0</v>
      </c>
      <c r="H62" s="84">
        <f>ROUNDDOWN(D62*G62, 1)</f>
        <v>0</v>
      </c>
      <c r="I62" s="84">
        <v>0</v>
      </c>
      <c r="J62" s="84">
        <f>ROUNDDOWN(D62*I62, 1)</f>
        <v>0</v>
      </c>
      <c r="K62" s="84">
        <f t="shared" ref="K62:L65" si="8">E62+G62+I62</f>
        <v>25676</v>
      </c>
      <c r="L62" s="84">
        <f t="shared" si="8"/>
        <v>26959.8</v>
      </c>
      <c r="M62" s="85"/>
      <c r="O62" s="86" t="s">
        <v>558</v>
      </c>
      <c r="P62" s="86" t="s">
        <v>678</v>
      </c>
      <c r="Q62" s="79">
        <v>1</v>
      </c>
    </row>
    <row r="63" spans="1:19" ht="23.1" customHeight="1">
      <c r="A63" s="81" t="s">
        <v>838</v>
      </c>
      <c r="B63" s="81" t="s">
        <v>733</v>
      </c>
      <c r="C63" s="82" t="s">
        <v>446</v>
      </c>
      <c r="D63" s="84">
        <f>0.198*75%</f>
        <v>0.14850000000000002</v>
      </c>
      <c r="E63" s="84">
        <v>0</v>
      </c>
      <c r="F63" s="84">
        <f>ROUNDDOWN(D63*E63, 1)</f>
        <v>0</v>
      </c>
      <c r="G63" s="84">
        <f>ROUNDDOWN(단가대비표!L162, 0)</f>
        <v>213878</v>
      </c>
      <c r="H63" s="84">
        <f>ROUNDDOWN(D63*G63, 1)</f>
        <v>31760.799999999999</v>
      </c>
      <c r="I63" s="84">
        <v>0</v>
      </c>
      <c r="J63" s="84">
        <f>ROUNDDOWN(D63*I63, 1)</f>
        <v>0</v>
      </c>
      <c r="K63" s="84">
        <f t="shared" si="8"/>
        <v>213878</v>
      </c>
      <c r="L63" s="84">
        <f t="shared" si="8"/>
        <v>31760.799999999999</v>
      </c>
      <c r="M63" s="85"/>
      <c r="O63" s="86" t="s">
        <v>1046</v>
      </c>
      <c r="P63" s="86" t="s">
        <v>678</v>
      </c>
      <c r="Q63" s="79">
        <v>1</v>
      </c>
    </row>
    <row r="64" spans="1:19" ht="23.1" customHeight="1">
      <c r="A64" s="81" t="s">
        <v>452</v>
      </c>
      <c r="B64" s="81" t="s">
        <v>733</v>
      </c>
      <c r="C64" s="82" t="s">
        <v>446</v>
      </c>
      <c r="D64" s="84">
        <f>0.066*75%</f>
        <v>4.9500000000000002E-2</v>
      </c>
      <c r="E64" s="84">
        <v>0</v>
      </c>
      <c r="F64" s="84">
        <f>ROUNDDOWN(D64*E64, 1)</f>
        <v>0</v>
      </c>
      <c r="G64" s="84">
        <f>ROUNDDOWN(단가대비표!L164, 0)</f>
        <v>152500</v>
      </c>
      <c r="H64" s="84">
        <f>ROUNDDOWN(D64*G64, 1)</f>
        <v>7548.7</v>
      </c>
      <c r="I64" s="84">
        <v>0</v>
      </c>
      <c r="J64" s="84">
        <f>ROUNDDOWN(D64*I64, 1)</f>
        <v>0</v>
      </c>
      <c r="K64" s="84">
        <f t="shared" si="8"/>
        <v>152500</v>
      </c>
      <c r="L64" s="84">
        <f t="shared" si="8"/>
        <v>7548.7</v>
      </c>
      <c r="M64" s="85"/>
      <c r="O64" s="86" t="s">
        <v>1046</v>
      </c>
      <c r="P64" s="86" t="s">
        <v>678</v>
      </c>
      <c r="Q64" s="79">
        <v>1</v>
      </c>
    </row>
    <row r="65" spans="1:19" ht="23.1" customHeight="1">
      <c r="A65" s="81" t="s">
        <v>1047</v>
      </c>
      <c r="B65" s="85" t="str">
        <f>"인력품의 " &amp; N65*100 &amp; "%"</f>
        <v>인력품의 10%</v>
      </c>
      <c r="C65" s="82" t="s">
        <v>177</v>
      </c>
      <c r="D65" s="84">
        <v>1</v>
      </c>
      <c r="E65" s="84">
        <f>SUMIF(O62:O65, "02", H62:H65)</f>
        <v>39309.5</v>
      </c>
      <c r="F65" s="84">
        <f>ROUNDDOWN((E65)*N65, 1)</f>
        <v>3930.9</v>
      </c>
      <c r="G65" s="84">
        <v>0</v>
      </c>
      <c r="H65" s="84">
        <v>0</v>
      </c>
      <c r="I65" s="84">
        <v>0</v>
      </c>
      <c r="J65" s="84">
        <v>0</v>
      </c>
      <c r="K65" s="84">
        <f t="shared" si="8"/>
        <v>39309.5</v>
      </c>
      <c r="L65" s="84">
        <f t="shared" si="8"/>
        <v>3930.9</v>
      </c>
      <c r="M65" s="85"/>
      <c r="N65" s="79">
        <v>0.1</v>
      </c>
      <c r="P65" s="86" t="s">
        <v>678</v>
      </c>
      <c r="Q65" s="79">
        <v>1</v>
      </c>
      <c r="R65" s="86" t="s">
        <v>730</v>
      </c>
      <c r="S65" s="86" t="s">
        <v>731</v>
      </c>
    </row>
    <row r="66" spans="1:19" ht="23.1" customHeight="1">
      <c r="A66" s="90" t="s">
        <v>734</v>
      </c>
      <c r="B66" s="91"/>
      <c r="C66" s="92"/>
      <c r="D66" s="93"/>
      <c r="E66" s="93"/>
      <c r="F66" s="93">
        <f>ROUNDDOWN(SUMIF(Q62:Q65, "1", F62:F65), 0)</f>
        <v>30890</v>
      </c>
      <c r="G66" s="93"/>
      <c r="H66" s="93">
        <f>ROUNDDOWN(SUMIF(Q62:Q65, "1", H62:H65), 0)</f>
        <v>39309</v>
      </c>
      <c r="I66" s="93"/>
      <c r="J66" s="93">
        <f>ROUNDDOWN(SUMIF(Q62:Q65, "1", J62:J65), 0)</f>
        <v>0</v>
      </c>
      <c r="K66" s="93"/>
      <c r="L66" s="93">
        <f>F66+H66+J66</f>
        <v>70199</v>
      </c>
      <c r="M66" s="91"/>
    </row>
    <row r="67" spans="1:19" ht="23.1" customHeight="1">
      <c r="A67" s="85"/>
      <c r="B67" s="85"/>
      <c r="C67" s="83"/>
      <c r="D67" s="84"/>
      <c r="E67" s="84"/>
      <c r="F67" s="84"/>
      <c r="G67" s="84"/>
      <c r="H67" s="84"/>
      <c r="I67" s="84"/>
      <c r="J67" s="84"/>
      <c r="K67" s="84"/>
      <c r="L67" s="84"/>
      <c r="M67" s="85"/>
    </row>
    <row r="68" spans="1:19" ht="23.1" customHeight="1">
      <c r="A68" s="235" t="s">
        <v>1061</v>
      </c>
      <c r="B68" s="236"/>
      <c r="C68" s="236"/>
      <c r="D68" s="236"/>
      <c r="E68" s="236"/>
      <c r="F68" s="236"/>
      <c r="G68" s="236"/>
      <c r="H68" s="236"/>
      <c r="I68" s="236"/>
      <c r="J68" s="236"/>
      <c r="K68" s="236"/>
      <c r="L68" s="236"/>
      <c r="M68" s="120"/>
    </row>
    <row r="69" spans="1:19" ht="23.1" customHeight="1">
      <c r="A69" s="81" t="s">
        <v>1062</v>
      </c>
      <c r="B69" s="81" t="s">
        <v>733</v>
      </c>
      <c r="C69" s="82" t="s">
        <v>446</v>
      </c>
      <c r="D69" s="84">
        <f>0.056*75%</f>
        <v>4.2000000000000003E-2</v>
      </c>
      <c r="E69" s="84">
        <v>0</v>
      </c>
      <c r="F69" s="84">
        <f>ROUNDDOWN(D69*E69, 1)</f>
        <v>0</v>
      </c>
      <c r="G69" s="84">
        <f>ROUNDDOWN(단가대비표!L165, 0)</f>
        <v>249964</v>
      </c>
      <c r="H69" s="84">
        <f>ROUNDDOWN(D69*G69, 1)</f>
        <v>10498.4</v>
      </c>
      <c r="I69" s="84">
        <v>0</v>
      </c>
      <c r="J69" s="84">
        <f>ROUNDDOWN(D69*I69, 1)</f>
        <v>0</v>
      </c>
      <c r="K69" s="84">
        <f>E69+G69+I69</f>
        <v>249964</v>
      </c>
      <c r="L69" s="84">
        <f>F69+H69+J69</f>
        <v>10498.4</v>
      </c>
      <c r="M69" s="85"/>
      <c r="O69" s="86" t="s">
        <v>1063</v>
      </c>
      <c r="P69" s="86" t="s">
        <v>678</v>
      </c>
      <c r="Q69" s="79">
        <v>1</v>
      </c>
    </row>
    <row r="70" spans="1:19" ht="23.1" customHeight="1">
      <c r="A70" s="81" t="s">
        <v>1047</v>
      </c>
      <c r="B70" s="85" t="str">
        <f>"인력품의 " &amp; N70*100 &amp; "%"</f>
        <v>인력품의 13%</v>
      </c>
      <c r="C70" s="82" t="s">
        <v>177</v>
      </c>
      <c r="D70" s="84">
        <v>1</v>
      </c>
      <c r="E70" s="84">
        <f>SUMIF(O69:O70, "04", H69:H70)</f>
        <v>10498.4</v>
      </c>
      <c r="F70" s="84">
        <f>ROUNDDOWN((E70)*N70, 1)</f>
        <v>1364.7</v>
      </c>
      <c r="G70" s="84">
        <v>0</v>
      </c>
      <c r="H70" s="84">
        <v>0</v>
      </c>
      <c r="I70" s="84">
        <v>0</v>
      </c>
      <c r="J70" s="84">
        <v>0</v>
      </c>
      <c r="K70" s="84">
        <f>E70+G70+I70</f>
        <v>10498.4</v>
      </c>
      <c r="L70" s="84">
        <f>F70+H70+J70</f>
        <v>1364.7</v>
      </c>
      <c r="M70" s="85"/>
      <c r="N70" s="79">
        <v>0.13</v>
      </c>
      <c r="P70" s="86" t="s">
        <v>678</v>
      </c>
      <c r="Q70" s="79">
        <v>1</v>
      </c>
      <c r="R70" s="86" t="s">
        <v>730</v>
      </c>
      <c r="S70" s="86" t="s">
        <v>1064</v>
      </c>
    </row>
    <row r="71" spans="1:19" ht="23.1" customHeight="1">
      <c r="A71" s="90" t="s">
        <v>734</v>
      </c>
      <c r="B71" s="91"/>
      <c r="C71" s="92"/>
      <c r="D71" s="93"/>
      <c r="E71" s="93"/>
      <c r="F71" s="93">
        <f>ROUNDDOWN(SUMIF(Q69:Q70, "1", F69:F70), 0)</f>
        <v>1364</v>
      </c>
      <c r="G71" s="93"/>
      <c r="H71" s="93">
        <f>ROUNDDOWN(SUMIF(Q69:Q70, "1", H69:H70), 0)</f>
        <v>10498</v>
      </c>
      <c r="I71" s="93"/>
      <c r="J71" s="93">
        <f>ROUNDDOWN(SUMIF(Q69:Q70, "1", J69:J70), 0)</f>
        <v>0</v>
      </c>
      <c r="K71" s="93"/>
      <c r="L71" s="93">
        <f>F71+H71+J71</f>
        <v>11862</v>
      </c>
      <c r="M71" s="91"/>
    </row>
    <row r="72" spans="1:19" ht="23.1" customHeight="1">
      <c r="A72" s="85"/>
      <c r="B72" s="85"/>
      <c r="C72" s="83"/>
      <c r="D72" s="84"/>
      <c r="E72" s="84"/>
      <c r="F72" s="84"/>
      <c r="G72" s="84"/>
      <c r="H72" s="84"/>
      <c r="I72" s="84"/>
      <c r="J72" s="84"/>
      <c r="K72" s="84"/>
      <c r="L72" s="84"/>
      <c r="M72" s="85"/>
    </row>
    <row r="73" spans="1:19" ht="23.1" customHeight="1">
      <c r="A73" s="235" t="s">
        <v>1065</v>
      </c>
      <c r="B73" s="236"/>
      <c r="C73" s="236"/>
      <c r="D73" s="236"/>
      <c r="E73" s="236"/>
      <c r="F73" s="236"/>
      <c r="G73" s="236"/>
      <c r="H73" s="236"/>
      <c r="I73" s="236"/>
      <c r="J73" s="236"/>
      <c r="K73" s="236"/>
      <c r="L73" s="236"/>
      <c r="M73" s="120"/>
    </row>
    <row r="74" spans="1:19" ht="23.1" customHeight="1">
      <c r="A74" s="81" t="s">
        <v>1062</v>
      </c>
      <c r="B74" s="81" t="s">
        <v>733</v>
      </c>
      <c r="C74" s="82" t="s">
        <v>446</v>
      </c>
      <c r="D74" s="84">
        <f>0.068*75%</f>
        <v>5.1000000000000004E-2</v>
      </c>
      <c r="E74" s="84">
        <v>0</v>
      </c>
      <c r="F74" s="84">
        <f>ROUNDDOWN(D74*E74, 1)</f>
        <v>0</v>
      </c>
      <c r="G74" s="84">
        <f>ROUNDDOWN(단가대비표!L165, 0)</f>
        <v>249964</v>
      </c>
      <c r="H74" s="84">
        <f>ROUNDDOWN(D74*G74, 1)</f>
        <v>12748.1</v>
      </c>
      <c r="I74" s="84">
        <v>0</v>
      </c>
      <c r="J74" s="84">
        <f>ROUNDDOWN(D74*I74, 1)</f>
        <v>0</v>
      </c>
      <c r="K74" s="84">
        <f>E74+G74+I74</f>
        <v>249964</v>
      </c>
      <c r="L74" s="84">
        <f>F74+H74+J74</f>
        <v>12748.1</v>
      </c>
      <c r="M74" s="85"/>
      <c r="O74" s="86" t="s">
        <v>1063</v>
      </c>
      <c r="P74" s="86" t="s">
        <v>678</v>
      </c>
      <c r="Q74" s="79">
        <v>1</v>
      </c>
    </row>
    <row r="75" spans="1:19" ht="23.1" customHeight="1">
      <c r="A75" s="81" t="s">
        <v>1047</v>
      </c>
      <c r="B75" s="85" t="str">
        <f>"인력품의 " &amp; N75*100 &amp; "%"</f>
        <v>인력품의 13%</v>
      </c>
      <c r="C75" s="82" t="s">
        <v>177</v>
      </c>
      <c r="D75" s="84">
        <v>1</v>
      </c>
      <c r="E75" s="84">
        <f>SUMIF(O74:O75, "04", H74:H75)</f>
        <v>12748.1</v>
      </c>
      <c r="F75" s="84">
        <f>ROUNDDOWN((E75)*N75, 1)</f>
        <v>1657.2</v>
      </c>
      <c r="G75" s="84">
        <v>0</v>
      </c>
      <c r="H75" s="84">
        <v>0</v>
      </c>
      <c r="I75" s="84">
        <v>0</v>
      </c>
      <c r="J75" s="84">
        <v>0</v>
      </c>
      <c r="K75" s="84">
        <f>E75+G75+I75</f>
        <v>12748.1</v>
      </c>
      <c r="L75" s="84">
        <f>F75+H75+J75</f>
        <v>1657.2</v>
      </c>
      <c r="M75" s="85"/>
      <c r="N75" s="79">
        <v>0.13</v>
      </c>
      <c r="P75" s="86" t="s">
        <v>678</v>
      </c>
      <c r="Q75" s="79">
        <v>1</v>
      </c>
      <c r="R75" s="86" t="s">
        <v>730</v>
      </c>
      <c r="S75" s="86" t="s">
        <v>1064</v>
      </c>
    </row>
    <row r="76" spans="1:19" ht="23.1" customHeight="1">
      <c r="A76" s="90" t="s">
        <v>734</v>
      </c>
      <c r="B76" s="91"/>
      <c r="C76" s="92"/>
      <c r="D76" s="93"/>
      <c r="E76" s="93"/>
      <c r="F76" s="93">
        <f>ROUNDDOWN(SUMIF(Q74:Q75, "1", F74:F75), 0)</f>
        <v>1657</v>
      </c>
      <c r="G76" s="93"/>
      <c r="H76" s="93">
        <f>ROUNDDOWN(SUMIF(Q74:Q75, "1", H74:H75), 0)</f>
        <v>12748</v>
      </c>
      <c r="I76" s="93"/>
      <c r="J76" s="93">
        <f>ROUNDDOWN(SUMIF(Q74:Q75, "1", J74:J75), 0)</f>
        <v>0</v>
      </c>
      <c r="K76" s="93"/>
      <c r="L76" s="93">
        <f>F76+H76+J76</f>
        <v>14405</v>
      </c>
      <c r="M76" s="91"/>
    </row>
    <row r="77" spans="1:19" ht="23.1" customHeight="1">
      <c r="A77" s="85"/>
      <c r="B77" s="85"/>
      <c r="C77" s="83"/>
      <c r="D77" s="84"/>
      <c r="E77" s="84"/>
      <c r="F77" s="84"/>
      <c r="G77" s="84"/>
      <c r="H77" s="84"/>
      <c r="I77" s="84"/>
      <c r="J77" s="84"/>
      <c r="K77" s="84"/>
      <c r="L77" s="84"/>
      <c r="M77" s="85"/>
    </row>
    <row r="78" spans="1:19" ht="23.1" customHeight="1">
      <c r="A78" s="235" t="s">
        <v>1066</v>
      </c>
      <c r="B78" s="236"/>
      <c r="C78" s="236"/>
      <c r="D78" s="236"/>
      <c r="E78" s="236"/>
      <c r="F78" s="236"/>
      <c r="G78" s="236"/>
      <c r="H78" s="236"/>
      <c r="I78" s="236"/>
      <c r="J78" s="236"/>
      <c r="K78" s="236"/>
      <c r="L78" s="236"/>
      <c r="M78" s="120"/>
    </row>
    <row r="79" spans="1:19" ht="23.1" customHeight="1">
      <c r="A79" s="81" t="s">
        <v>1062</v>
      </c>
      <c r="B79" s="81" t="s">
        <v>733</v>
      </c>
      <c r="C79" s="82" t="s">
        <v>446</v>
      </c>
      <c r="D79" s="84">
        <f>0.084*75%</f>
        <v>6.3E-2</v>
      </c>
      <c r="E79" s="84">
        <v>0</v>
      </c>
      <c r="F79" s="84">
        <f>ROUNDDOWN(D79*E79, 1)</f>
        <v>0</v>
      </c>
      <c r="G79" s="84">
        <f>ROUNDDOWN(단가대비표!L165, 0)</f>
        <v>249964</v>
      </c>
      <c r="H79" s="84">
        <f>ROUNDDOWN(D79*G79, 1)</f>
        <v>15747.7</v>
      </c>
      <c r="I79" s="84">
        <v>0</v>
      </c>
      <c r="J79" s="84">
        <f>ROUNDDOWN(D79*I79, 1)</f>
        <v>0</v>
      </c>
      <c r="K79" s="84">
        <f>E79+G79+I79</f>
        <v>249964</v>
      </c>
      <c r="L79" s="84">
        <f>F79+H79+J79</f>
        <v>15747.7</v>
      </c>
      <c r="M79" s="85"/>
      <c r="O79" s="86" t="s">
        <v>1063</v>
      </c>
      <c r="P79" s="86" t="s">
        <v>678</v>
      </c>
      <c r="Q79" s="79">
        <v>1</v>
      </c>
    </row>
    <row r="80" spans="1:19" ht="23.1" customHeight="1">
      <c r="A80" s="81" t="s">
        <v>1047</v>
      </c>
      <c r="B80" s="85" t="str">
        <f>"인력품의 " &amp; N80*100 &amp; "%"</f>
        <v>인력품의 13%</v>
      </c>
      <c r="C80" s="82" t="s">
        <v>177</v>
      </c>
      <c r="D80" s="84">
        <v>1</v>
      </c>
      <c r="E80" s="84">
        <f>SUMIF(O79:O80, "04", H79:H80)</f>
        <v>15747.7</v>
      </c>
      <c r="F80" s="84">
        <f>ROUNDDOWN((E80)*N80, 1)</f>
        <v>2047.2</v>
      </c>
      <c r="G80" s="84">
        <v>0</v>
      </c>
      <c r="H80" s="84">
        <v>0</v>
      </c>
      <c r="I80" s="84">
        <v>0</v>
      </c>
      <c r="J80" s="84">
        <v>0</v>
      </c>
      <c r="K80" s="84">
        <f>E80+G80+I80</f>
        <v>15747.7</v>
      </c>
      <c r="L80" s="84">
        <f>F80+H80+J80</f>
        <v>2047.2</v>
      </c>
      <c r="M80" s="85"/>
      <c r="N80" s="79">
        <v>0.13</v>
      </c>
      <c r="P80" s="86" t="s">
        <v>678</v>
      </c>
      <c r="Q80" s="79">
        <v>1</v>
      </c>
      <c r="R80" s="86" t="s">
        <v>730</v>
      </c>
      <c r="S80" s="86" t="s">
        <v>1064</v>
      </c>
    </row>
    <row r="81" spans="1:19" ht="23.1" customHeight="1">
      <c r="A81" s="90" t="s">
        <v>734</v>
      </c>
      <c r="B81" s="91"/>
      <c r="C81" s="92"/>
      <c r="D81" s="93"/>
      <c r="E81" s="93"/>
      <c r="F81" s="93">
        <f>ROUNDDOWN(SUMIF(Q79:Q80, "1", F79:F80), 0)</f>
        <v>2047</v>
      </c>
      <c r="G81" s="93"/>
      <c r="H81" s="93">
        <f>ROUNDDOWN(SUMIF(Q79:Q80, "1", H79:H80), 0)</f>
        <v>15747</v>
      </c>
      <c r="I81" s="93"/>
      <c r="J81" s="93">
        <f>ROUNDDOWN(SUMIF(Q79:Q80, "1", J79:J80), 0)</f>
        <v>0</v>
      </c>
      <c r="K81" s="93"/>
      <c r="L81" s="93">
        <f>F81+H81+J81</f>
        <v>17794</v>
      </c>
      <c r="M81" s="91"/>
    </row>
    <row r="82" spans="1:19" ht="23.1" customHeight="1">
      <c r="A82" s="85"/>
      <c r="B82" s="85"/>
      <c r="C82" s="83"/>
      <c r="D82" s="84"/>
      <c r="E82" s="84"/>
      <c r="F82" s="84"/>
      <c r="G82" s="84"/>
      <c r="H82" s="84"/>
      <c r="I82" s="84"/>
      <c r="J82" s="84"/>
      <c r="K82" s="84"/>
      <c r="L82" s="84"/>
      <c r="M82" s="85"/>
    </row>
    <row r="83" spans="1:19" ht="23.1" customHeight="1">
      <c r="A83" s="235" t="s">
        <v>1067</v>
      </c>
      <c r="B83" s="236"/>
      <c r="C83" s="236"/>
      <c r="D83" s="236"/>
      <c r="E83" s="236"/>
      <c r="F83" s="236"/>
      <c r="G83" s="236"/>
      <c r="H83" s="236"/>
      <c r="I83" s="236"/>
      <c r="J83" s="236"/>
      <c r="K83" s="236"/>
      <c r="L83" s="236"/>
      <c r="M83" s="120"/>
    </row>
    <row r="84" spans="1:19" ht="23.1" customHeight="1">
      <c r="A84" s="81" t="s">
        <v>1062</v>
      </c>
      <c r="B84" s="81" t="s">
        <v>733</v>
      </c>
      <c r="C84" s="82" t="s">
        <v>446</v>
      </c>
      <c r="D84" s="84">
        <f>0.0968*75%</f>
        <v>7.2599999999999998E-2</v>
      </c>
      <c r="E84" s="84">
        <v>0</v>
      </c>
      <c r="F84" s="84">
        <f>ROUNDDOWN(D84*E84, 1)</f>
        <v>0</v>
      </c>
      <c r="G84" s="84">
        <f>ROUNDDOWN(단가대비표!L165, 0)</f>
        <v>249964</v>
      </c>
      <c r="H84" s="84">
        <f>ROUNDDOWN(D84*G84, 1)</f>
        <v>18147.3</v>
      </c>
      <c r="I84" s="84">
        <v>0</v>
      </c>
      <c r="J84" s="84">
        <f>ROUNDDOWN(D84*I84, 1)</f>
        <v>0</v>
      </c>
      <c r="K84" s="84">
        <f>E84+G84+I84</f>
        <v>249964</v>
      </c>
      <c r="L84" s="84">
        <f>F84+H84+J84</f>
        <v>18147.3</v>
      </c>
      <c r="M84" s="85"/>
      <c r="O84" s="86" t="s">
        <v>1063</v>
      </c>
      <c r="P84" s="86" t="s">
        <v>678</v>
      </c>
      <c r="Q84" s="79">
        <v>1</v>
      </c>
    </row>
    <row r="85" spans="1:19" ht="23.1" customHeight="1">
      <c r="A85" s="81" t="s">
        <v>1047</v>
      </c>
      <c r="B85" s="85" t="str">
        <f>"인력품의 " &amp; N85*100 &amp; "%"</f>
        <v>인력품의 13%</v>
      </c>
      <c r="C85" s="82" t="s">
        <v>177</v>
      </c>
      <c r="D85" s="84">
        <v>1</v>
      </c>
      <c r="E85" s="84">
        <f>SUMIF(O84:O85, "04", H84:H85)</f>
        <v>18147.3</v>
      </c>
      <c r="F85" s="84">
        <f>ROUNDDOWN((E85)*N85, 1)</f>
        <v>2359.1</v>
      </c>
      <c r="G85" s="84">
        <v>0</v>
      </c>
      <c r="H85" s="84">
        <v>0</v>
      </c>
      <c r="I85" s="84">
        <v>0</v>
      </c>
      <c r="J85" s="84">
        <v>0</v>
      </c>
      <c r="K85" s="84">
        <f>E85+G85+I85</f>
        <v>18147.3</v>
      </c>
      <c r="L85" s="84">
        <f>F85+H85+J85</f>
        <v>2359.1</v>
      </c>
      <c r="M85" s="85"/>
      <c r="N85" s="79">
        <v>0.13</v>
      </c>
      <c r="P85" s="86" t="s">
        <v>678</v>
      </c>
      <c r="Q85" s="79">
        <v>1</v>
      </c>
      <c r="R85" s="86" t="s">
        <v>730</v>
      </c>
      <c r="S85" s="86" t="s">
        <v>1064</v>
      </c>
    </row>
    <row r="86" spans="1:19" ht="23.1" customHeight="1">
      <c r="A86" s="90" t="s">
        <v>734</v>
      </c>
      <c r="B86" s="91"/>
      <c r="C86" s="92"/>
      <c r="D86" s="93"/>
      <c r="E86" s="93"/>
      <c r="F86" s="93">
        <f>ROUNDDOWN(SUMIF(Q84:Q85, "1", F84:F85), 0)</f>
        <v>2359</v>
      </c>
      <c r="G86" s="93"/>
      <c r="H86" s="93">
        <f>ROUNDDOWN(SUMIF(Q84:Q85, "1", H84:H85), 0)</f>
        <v>18147</v>
      </c>
      <c r="I86" s="93"/>
      <c r="J86" s="93">
        <f>ROUNDDOWN(SUMIF(Q84:Q85, "1", J84:J85), 0)</f>
        <v>0</v>
      </c>
      <c r="K86" s="93"/>
      <c r="L86" s="93">
        <f>F86+H86+J86</f>
        <v>20506</v>
      </c>
      <c r="M86" s="91"/>
    </row>
    <row r="87" spans="1:19" ht="23.1" customHeight="1">
      <c r="A87" s="85"/>
      <c r="B87" s="85"/>
      <c r="C87" s="83"/>
      <c r="D87" s="84"/>
      <c r="E87" s="84"/>
      <c r="F87" s="84"/>
      <c r="G87" s="84"/>
      <c r="H87" s="84"/>
      <c r="I87" s="84"/>
      <c r="J87" s="84"/>
      <c r="K87" s="84"/>
      <c r="L87" s="84"/>
      <c r="M87" s="85"/>
    </row>
    <row r="88" spans="1:19" ht="23.1" customHeight="1">
      <c r="A88" s="235" t="s">
        <v>1068</v>
      </c>
      <c r="B88" s="236"/>
      <c r="C88" s="236"/>
      <c r="D88" s="236"/>
      <c r="E88" s="236"/>
      <c r="F88" s="236"/>
      <c r="G88" s="236"/>
      <c r="H88" s="236"/>
      <c r="I88" s="236"/>
      <c r="J88" s="236"/>
      <c r="K88" s="236"/>
      <c r="L88" s="236"/>
      <c r="M88" s="120"/>
    </row>
    <row r="89" spans="1:19" ht="23.1" customHeight="1">
      <c r="A89" s="81" t="s">
        <v>1062</v>
      </c>
      <c r="B89" s="81" t="s">
        <v>733</v>
      </c>
      <c r="C89" s="82" t="s">
        <v>446</v>
      </c>
      <c r="D89" s="84">
        <f>0.1216*75%</f>
        <v>9.1200000000000003E-2</v>
      </c>
      <c r="E89" s="84">
        <v>0</v>
      </c>
      <c r="F89" s="84">
        <f>ROUNDDOWN(D89*E89, 1)</f>
        <v>0</v>
      </c>
      <c r="G89" s="84">
        <f>ROUNDDOWN(단가대비표!L165, 0)</f>
        <v>249964</v>
      </c>
      <c r="H89" s="84">
        <f>ROUNDDOWN(D89*G89, 1)</f>
        <v>22796.7</v>
      </c>
      <c r="I89" s="84">
        <v>0</v>
      </c>
      <c r="J89" s="84">
        <f>ROUNDDOWN(D89*I89, 1)</f>
        <v>0</v>
      </c>
      <c r="K89" s="84">
        <f>E89+G89+I89</f>
        <v>249964</v>
      </c>
      <c r="L89" s="84">
        <f>F89+H89+J89</f>
        <v>22796.7</v>
      </c>
      <c r="M89" s="85"/>
      <c r="O89" s="86" t="s">
        <v>1063</v>
      </c>
      <c r="P89" s="86" t="s">
        <v>678</v>
      </c>
      <c r="Q89" s="79">
        <v>1</v>
      </c>
    </row>
    <row r="90" spans="1:19" ht="23.1" customHeight="1">
      <c r="A90" s="81" t="s">
        <v>1047</v>
      </c>
      <c r="B90" s="85" t="str">
        <f>"인력품의 " &amp; N90*100 &amp; "%"</f>
        <v>인력품의 13%</v>
      </c>
      <c r="C90" s="82" t="s">
        <v>177</v>
      </c>
      <c r="D90" s="84">
        <v>1</v>
      </c>
      <c r="E90" s="84">
        <f>SUMIF(O89:O90, "04", H89:H90)</f>
        <v>22796.7</v>
      </c>
      <c r="F90" s="84">
        <f>ROUNDDOWN((E90)*N90, 1)</f>
        <v>2963.5</v>
      </c>
      <c r="G90" s="84">
        <v>0</v>
      </c>
      <c r="H90" s="84">
        <v>0</v>
      </c>
      <c r="I90" s="84">
        <v>0</v>
      </c>
      <c r="J90" s="84">
        <v>0</v>
      </c>
      <c r="K90" s="84">
        <f>E90+G90+I90</f>
        <v>22796.7</v>
      </c>
      <c r="L90" s="84">
        <f>F90+H90+J90</f>
        <v>2963.5</v>
      </c>
      <c r="M90" s="85"/>
      <c r="N90" s="79">
        <v>0.13</v>
      </c>
      <c r="P90" s="86" t="s">
        <v>678</v>
      </c>
      <c r="Q90" s="79">
        <v>1</v>
      </c>
      <c r="R90" s="86" t="s">
        <v>730</v>
      </c>
      <c r="S90" s="86" t="s">
        <v>1064</v>
      </c>
    </row>
    <row r="91" spans="1:19" ht="23.1" customHeight="1">
      <c r="A91" s="90" t="s">
        <v>734</v>
      </c>
      <c r="B91" s="91"/>
      <c r="C91" s="92"/>
      <c r="D91" s="93"/>
      <c r="E91" s="93"/>
      <c r="F91" s="93">
        <f>ROUNDDOWN(SUMIF(Q89:Q90, "1", F89:F90), 0)</f>
        <v>2963</v>
      </c>
      <c r="G91" s="93"/>
      <c r="H91" s="93">
        <f>ROUNDDOWN(SUMIF(Q89:Q90, "1", H89:H90), 0)</f>
        <v>22796</v>
      </c>
      <c r="I91" s="93"/>
      <c r="J91" s="93">
        <f>ROUNDDOWN(SUMIF(Q89:Q90, "1", J89:J90), 0)</f>
        <v>0</v>
      </c>
      <c r="K91" s="93"/>
      <c r="L91" s="93">
        <f>F91+H91+J91</f>
        <v>25759</v>
      </c>
      <c r="M91" s="91"/>
    </row>
    <row r="92" spans="1:19" ht="23.1" customHeight="1">
      <c r="A92" s="85"/>
      <c r="B92" s="85"/>
      <c r="C92" s="83"/>
      <c r="D92" s="84"/>
      <c r="E92" s="84"/>
      <c r="F92" s="84"/>
      <c r="G92" s="84"/>
      <c r="H92" s="84"/>
      <c r="I92" s="84"/>
      <c r="J92" s="84"/>
      <c r="K92" s="84"/>
      <c r="L92" s="84"/>
      <c r="M92" s="85"/>
    </row>
    <row r="93" spans="1:19" ht="23.1" customHeight="1">
      <c r="A93" s="85"/>
      <c r="B93" s="85"/>
      <c r="C93" s="83"/>
      <c r="D93" s="84"/>
      <c r="E93" s="84"/>
      <c r="F93" s="84"/>
      <c r="G93" s="84"/>
      <c r="H93" s="84"/>
      <c r="I93" s="84"/>
      <c r="J93" s="84"/>
      <c r="K93" s="84"/>
      <c r="L93" s="84"/>
      <c r="M93" s="85"/>
    </row>
    <row r="94" spans="1:19" ht="23.1" customHeight="1">
      <c r="A94" s="85"/>
      <c r="B94" s="85"/>
      <c r="C94" s="83"/>
      <c r="D94" s="84"/>
      <c r="E94" s="84"/>
      <c r="F94" s="84"/>
      <c r="G94" s="84"/>
      <c r="H94" s="84"/>
      <c r="I94" s="84"/>
      <c r="J94" s="84"/>
      <c r="K94" s="84"/>
      <c r="L94" s="84"/>
      <c r="M94" s="85"/>
    </row>
    <row r="95" spans="1:19" ht="23.1" customHeight="1">
      <c r="A95" s="85"/>
      <c r="B95" s="85"/>
      <c r="C95" s="83"/>
      <c r="D95" s="84"/>
      <c r="E95" s="84"/>
      <c r="F95" s="84"/>
      <c r="G95" s="84"/>
      <c r="H95" s="84"/>
      <c r="I95" s="84"/>
      <c r="J95" s="84"/>
      <c r="K95" s="84"/>
      <c r="L95" s="84"/>
      <c r="M95" s="85"/>
    </row>
    <row r="96" spans="1:19" ht="23.1" customHeight="1">
      <c r="A96" s="235" t="s">
        <v>1069</v>
      </c>
      <c r="B96" s="236"/>
      <c r="C96" s="236"/>
      <c r="D96" s="236"/>
      <c r="E96" s="236"/>
      <c r="F96" s="236"/>
      <c r="G96" s="236"/>
      <c r="H96" s="236"/>
      <c r="I96" s="236"/>
      <c r="J96" s="236"/>
      <c r="K96" s="236"/>
      <c r="L96" s="236"/>
      <c r="M96" s="120"/>
    </row>
    <row r="97" spans="1:21" ht="23.1" customHeight="1">
      <c r="A97" s="81" t="s">
        <v>1062</v>
      </c>
      <c r="B97" s="81" t="s">
        <v>733</v>
      </c>
      <c r="C97" s="82" t="s">
        <v>446</v>
      </c>
      <c r="D97" s="84">
        <f>0.1472*75%</f>
        <v>0.1104</v>
      </c>
      <c r="E97" s="84">
        <v>0</v>
      </c>
      <c r="F97" s="84">
        <f>ROUNDDOWN(D97*E97, 1)</f>
        <v>0</v>
      </c>
      <c r="G97" s="84">
        <f>ROUNDDOWN(단가대비표!L165, 0)</f>
        <v>249964</v>
      </c>
      <c r="H97" s="84">
        <f>ROUNDDOWN(D97*G97, 1)</f>
        <v>27596</v>
      </c>
      <c r="I97" s="84">
        <v>0</v>
      </c>
      <c r="J97" s="84">
        <f>ROUNDDOWN(D97*I97, 1)</f>
        <v>0</v>
      </c>
      <c r="K97" s="84">
        <f>E97+G97+I97</f>
        <v>249964</v>
      </c>
      <c r="L97" s="84">
        <f>F97+H97+J97</f>
        <v>27596</v>
      </c>
      <c r="M97" s="85"/>
      <c r="O97" s="86" t="s">
        <v>1063</v>
      </c>
      <c r="P97" s="86" t="s">
        <v>678</v>
      </c>
      <c r="Q97" s="79">
        <v>1</v>
      </c>
    </row>
    <row r="98" spans="1:21" ht="23.1" customHeight="1">
      <c r="A98" s="81" t="s">
        <v>1047</v>
      </c>
      <c r="B98" s="85" t="str">
        <f>"인력품의 " &amp; N98*100 &amp; "%"</f>
        <v>인력품의 13%</v>
      </c>
      <c r="C98" s="82" t="s">
        <v>177</v>
      </c>
      <c r="D98" s="84">
        <v>1</v>
      </c>
      <c r="E98" s="84">
        <f>SUMIF(O97:O98, "04", H97:H98)</f>
        <v>27596</v>
      </c>
      <c r="F98" s="84">
        <f>ROUNDDOWN((E98)*N98, 1)</f>
        <v>3587.4</v>
      </c>
      <c r="G98" s="84">
        <v>0</v>
      </c>
      <c r="H98" s="84">
        <v>0</v>
      </c>
      <c r="I98" s="84">
        <v>0</v>
      </c>
      <c r="J98" s="84">
        <v>0</v>
      </c>
      <c r="K98" s="84">
        <f>E98+G98+I98</f>
        <v>27596</v>
      </c>
      <c r="L98" s="84">
        <f>F98+H98+J98</f>
        <v>3587.4</v>
      </c>
      <c r="M98" s="85"/>
      <c r="N98" s="79">
        <v>0.13</v>
      </c>
      <c r="P98" s="86" t="s">
        <v>678</v>
      </c>
      <c r="Q98" s="79">
        <v>1</v>
      </c>
      <c r="R98" s="86" t="s">
        <v>730</v>
      </c>
      <c r="S98" s="86" t="s">
        <v>1064</v>
      </c>
    </row>
    <row r="99" spans="1:21" ht="23.1" customHeight="1">
      <c r="A99" s="90" t="s">
        <v>734</v>
      </c>
      <c r="B99" s="91"/>
      <c r="C99" s="92"/>
      <c r="D99" s="93"/>
      <c r="E99" s="93"/>
      <c r="F99" s="93">
        <f>ROUNDDOWN(SUMIF(Q97:Q98, "1", F97:F98), 0)</f>
        <v>3587</v>
      </c>
      <c r="G99" s="93"/>
      <c r="H99" s="93">
        <f>ROUNDDOWN(SUMIF(Q97:Q98, "1", H97:H98), 0)</f>
        <v>27596</v>
      </c>
      <c r="I99" s="93"/>
      <c r="J99" s="93">
        <f>ROUNDDOWN(SUMIF(Q97:Q98, "1", J97:J98), 0)</f>
        <v>0</v>
      </c>
      <c r="K99" s="93"/>
      <c r="L99" s="93">
        <f>F99+H99+J99</f>
        <v>31183</v>
      </c>
      <c r="M99" s="91"/>
    </row>
    <row r="100" spans="1:21" ht="23.1" customHeight="1">
      <c r="A100" s="85"/>
      <c r="B100" s="85"/>
      <c r="C100" s="83"/>
      <c r="D100" s="84"/>
      <c r="E100" s="84"/>
      <c r="F100" s="84"/>
      <c r="G100" s="84"/>
      <c r="H100" s="84"/>
      <c r="I100" s="84"/>
      <c r="J100" s="84"/>
      <c r="K100" s="84"/>
      <c r="L100" s="84"/>
      <c r="M100" s="85"/>
    </row>
    <row r="101" spans="1:21" ht="23.1" customHeight="1">
      <c r="A101" s="235" t="s">
        <v>1070</v>
      </c>
      <c r="B101" s="236"/>
      <c r="C101" s="236"/>
      <c r="D101" s="236"/>
      <c r="E101" s="236"/>
      <c r="F101" s="236"/>
      <c r="G101" s="236"/>
      <c r="H101" s="236"/>
      <c r="I101" s="236"/>
      <c r="J101" s="236"/>
      <c r="K101" s="236"/>
      <c r="L101" s="236"/>
      <c r="M101" s="120"/>
    </row>
    <row r="102" spans="1:21" ht="23.1" customHeight="1">
      <c r="A102" s="81" t="s">
        <v>1062</v>
      </c>
      <c r="B102" s="81" t="s">
        <v>733</v>
      </c>
      <c r="C102" s="82" t="s">
        <v>446</v>
      </c>
      <c r="D102" s="84">
        <f>0.1728*75%</f>
        <v>0.12959999999999999</v>
      </c>
      <c r="E102" s="84">
        <v>0</v>
      </c>
      <c r="F102" s="84">
        <f>ROUNDDOWN(D102*E102, 1)</f>
        <v>0</v>
      </c>
      <c r="G102" s="84">
        <f>ROUNDDOWN(단가대비표!L165, 0)</f>
        <v>249964</v>
      </c>
      <c r="H102" s="84">
        <f>ROUNDDOWN(D102*G102, 1)</f>
        <v>32395.3</v>
      </c>
      <c r="I102" s="84">
        <v>0</v>
      </c>
      <c r="J102" s="84">
        <f>ROUNDDOWN(D102*I102, 1)</f>
        <v>0</v>
      </c>
      <c r="K102" s="84">
        <f>E102+G102+I102</f>
        <v>249964</v>
      </c>
      <c r="L102" s="84">
        <f>F102+H102+J102</f>
        <v>32395.3</v>
      </c>
      <c r="M102" s="85"/>
      <c r="O102" s="86" t="s">
        <v>1063</v>
      </c>
      <c r="P102" s="86" t="s">
        <v>678</v>
      </c>
      <c r="Q102" s="79">
        <v>1</v>
      </c>
    </row>
    <row r="103" spans="1:21" ht="23.1" customHeight="1">
      <c r="A103" s="81" t="s">
        <v>1047</v>
      </c>
      <c r="B103" s="85" t="str">
        <f>"인력품의 " &amp; N103*100 &amp; "%"</f>
        <v>인력품의 13%</v>
      </c>
      <c r="C103" s="82" t="s">
        <v>177</v>
      </c>
      <c r="D103" s="84">
        <v>1</v>
      </c>
      <c r="E103" s="84">
        <f>SUMIF(O102:O103, "04", H102:H103)</f>
        <v>32395.3</v>
      </c>
      <c r="F103" s="84">
        <f>ROUNDDOWN((E103)*N103, 1)</f>
        <v>4211.3</v>
      </c>
      <c r="G103" s="84">
        <v>0</v>
      </c>
      <c r="H103" s="84">
        <v>0</v>
      </c>
      <c r="I103" s="84">
        <v>0</v>
      </c>
      <c r="J103" s="84">
        <v>0</v>
      </c>
      <c r="K103" s="84">
        <f>E103+G103+I103</f>
        <v>32395.3</v>
      </c>
      <c r="L103" s="84">
        <f>F103+H103+J103</f>
        <v>4211.3</v>
      </c>
      <c r="M103" s="85"/>
      <c r="N103" s="79">
        <v>0.13</v>
      </c>
      <c r="P103" s="86" t="s">
        <v>678</v>
      </c>
      <c r="Q103" s="79">
        <v>1</v>
      </c>
      <c r="R103" s="86" t="s">
        <v>730</v>
      </c>
      <c r="S103" s="86" t="s">
        <v>1064</v>
      </c>
    </row>
    <row r="104" spans="1:21" ht="23.1" customHeight="1">
      <c r="A104" s="90" t="s">
        <v>734</v>
      </c>
      <c r="B104" s="91"/>
      <c r="C104" s="92"/>
      <c r="D104" s="93"/>
      <c r="E104" s="93"/>
      <c r="F104" s="93">
        <f>ROUNDDOWN(SUMIF(Q102:Q103, "1", F102:F103), 0)</f>
        <v>4211</v>
      </c>
      <c r="G104" s="93"/>
      <c r="H104" s="93">
        <f>ROUNDDOWN(SUMIF(Q102:Q103, "1", H102:H103), 0)</f>
        <v>32395</v>
      </c>
      <c r="I104" s="93"/>
      <c r="J104" s="93">
        <f>ROUNDDOWN(SUMIF(Q102:Q103, "1", J102:J103), 0)</f>
        <v>0</v>
      </c>
      <c r="K104" s="93"/>
      <c r="L104" s="93">
        <f>F104+H104+J104</f>
        <v>36606</v>
      </c>
      <c r="M104" s="91"/>
    </row>
    <row r="105" spans="1:21" ht="23.1" customHeight="1">
      <c r="A105" s="85"/>
      <c r="B105" s="85"/>
      <c r="C105" s="83"/>
      <c r="D105" s="84"/>
      <c r="E105" s="84"/>
      <c r="F105" s="84"/>
      <c r="G105" s="84"/>
      <c r="H105" s="84"/>
      <c r="I105" s="84"/>
      <c r="J105" s="84"/>
      <c r="K105" s="84"/>
      <c r="L105" s="84"/>
      <c r="M105" s="85"/>
    </row>
    <row r="106" spans="1:21" ht="23.1" customHeight="1">
      <c r="A106" s="235" t="s">
        <v>1071</v>
      </c>
      <c r="B106" s="236"/>
      <c r="C106" s="236"/>
      <c r="D106" s="236"/>
      <c r="E106" s="236"/>
      <c r="F106" s="236"/>
      <c r="G106" s="236"/>
      <c r="H106" s="236"/>
      <c r="I106" s="236"/>
      <c r="J106" s="236"/>
      <c r="K106" s="236"/>
      <c r="L106" s="236"/>
      <c r="M106" s="120"/>
    </row>
    <row r="107" spans="1:21" ht="23.1" customHeight="1">
      <c r="A107" s="81" t="s">
        <v>1072</v>
      </c>
      <c r="B107" s="81" t="s">
        <v>1073</v>
      </c>
      <c r="C107" s="82" t="s">
        <v>1074</v>
      </c>
      <c r="D107" s="84">
        <v>1.7999999999999999E-2</v>
      </c>
      <c r="E107" s="84">
        <f>ROUNDDOWN(단가대비표!L90, 0)</f>
        <v>2864</v>
      </c>
      <c r="F107" s="84">
        <f>ROUNDDOWN(D107*E107, 1)</f>
        <v>51.5</v>
      </c>
      <c r="G107" s="84">
        <v>0</v>
      </c>
      <c r="H107" s="84">
        <f>ROUNDDOWN(D107*G107, 1)</f>
        <v>0</v>
      </c>
      <c r="I107" s="84">
        <v>0</v>
      </c>
      <c r="J107" s="84">
        <f>ROUNDDOWN(D107*I107, 1)</f>
        <v>0</v>
      </c>
      <c r="K107" s="84">
        <f t="shared" ref="K107:L110" si="9">E107+G107+I107</f>
        <v>2864</v>
      </c>
      <c r="L107" s="84">
        <f t="shared" si="9"/>
        <v>51.5</v>
      </c>
      <c r="M107" s="85"/>
      <c r="O107" s="86" t="s">
        <v>558</v>
      </c>
      <c r="P107" s="86" t="s">
        <v>678</v>
      </c>
      <c r="Q107" s="79">
        <v>1</v>
      </c>
    </row>
    <row r="108" spans="1:21" ht="23.1" customHeight="1">
      <c r="A108" s="81" t="s">
        <v>1075</v>
      </c>
      <c r="B108" s="81" t="s">
        <v>1076</v>
      </c>
      <c r="C108" s="82" t="s">
        <v>1077</v>
      </c>
      <c r="D108" s="84">
        <v>7.3999999999999996E-2</v>
      </c>
      <c r="E108" s="84">
        <v>0</v>
      </c>
      <c r="F108" s="84">
        <f>ROUNDDOWN(D108*E108, 1)</f>
        <v>0</v>
      </c>
      <c r="G108" s="84">
        <v>0</v>
      </c>
      <c r="H108" s="84">
        <f>ROUNDDOWN(D108*G108, 1)</f>
        <v>0</v>
      </c>
      <c r="I108" s="84">
        <f>ROUNDDOWN(단가대비표!L171, 0)</f>
        <v>152</v>
      </c>
      <c r="J108" s="84">
        <f>ROUNDDOWN(D108*I108, 1)</f>
        <v>11.2</v>
      </c>
      <c r="K108" s="84">
        <f t="shared" si="9"/>
        <v>152</v>
      </c>
      <c r="L108" s="84">
        <f t="shared" si="9"/>
        <v>11.2</v>
      </c>
      <c r="M108" s="85"/>
      <c r="O108" s="86" t="s">
        <v>558</v>
      </c>
      <c r="P108" s="86" t="s">
        <v>678</v>
      </c>
      <c r="Q108" s="79">
        <v>1</v>
      </c>
    </row>
    <row r="109" spans="1:21" ht="23.1" customHeight="1">
      <c r="A109" s="81" t="s">
        <v>1062</v>
      </c>
      <c r="B109" s="81" t="s">
        <v>733</v>
      </c>
      <c r="C109" s="82" t="s">
        <v>446</v>
      </c>
      <c r="D109" s="84">
        <f>0.052*75%</f>
        <v>3.9E-2</v>
      </c>
      <c r="E109" s="84">
        <v>0</v>
      </c>
      <c r="F109" s="84">
        <f>ROUNDDOWN(D109*E109, 1)</f>
        <v>0</v>
      </c>
      <c r="G109" s="84">
        <f>ROUNDDOWN(단가대비표!L165, 0)</f>
        <v>249964</v>
      </c>
      <c r="H109" s="84">
        <f>ROUNDDOWN(D109*G109, 1)</f>
        <v>9748.5</v>
      </c>
      <c r="I109" s="84">
        <v>0</v>
      </c>
      <c r="J109" s="84">
        <f>ROUNDDOWN(D109*I109, 1)</f>
        <v>0</v>
      </c>
      <c r="K109" s="84">
        <f t="shared" si="9"/>
        <v>249964</v>
      </c>
      <c r="L109" s="84">
        <f t="shared" si="9"/>
        <v>9748.5</v>
      </c>
      <c r="M109" s="85"/>
      <c r="O109" s="86" t="s">
        <v>1063</v>
      </c>
      <c r="P109" s="86" t="s">
        <v>678</v>
      </c>
      <c r="Q109" s="79">
        <v>1</v>
      </c>
    </row>
    <row r="110" spans="1:21" ht="23.1" customHeight="1">
      <c r="A110" s="143" t="s">
        <v>729</v>
      </c>
      <c r="B110" s="144" t="str">
        <f>"인력품의 " &amp; N110*100 &amp; "%"</f>
        <v>인력품의 1%</v>
      </c>
      <c r="C110" s="145" t="s">
        <v>177</v>
      </c>
      <c r="D110" s="146">
        <v>1</v>
      </c>
      <c r="E110" s="146">
        <f>SUMIF(O107:O110, "04", H107:H110)</f>
        <v>9748.5</v>
      </c>
      <c r="F110" s="146">
        <f>ROUNDDOWN((E110)*N110, 1)</f>
        <v>97.4</v>
      </c>
      <c r="G110" s="146">
        <v>0</v>
      </c>
      <c r="H110" s="146">
        <v>0</v>
      </c>
      <c r="I110" s="146">
        <v>0</v>
      </c>
      <c r="J110" s="146">
        <v>0</v>
      </c>
      <c r="K110" s="146">
        <f t="shared" si="9"/>
        <v>9748.5</v>
      </c>
      <c r="L110" s="146">
        <f t="shared" si="9"/>
        <v>97.4</v>
      </c>
      <c r="M110" s="144"/>
      <c r="N110" s="147">
        <v>0.01</v>
      </c>
      <c r="P110" s="86" t="s">
        <v>678</v>
      </c>
      <c r="Q110" s="79">
        <v>1</v>
      </c>
      <c r="R110" s="86" t="s">
        <v>730</v>
      </c>
      <c r="S110" s="86" t="s">
        <v>1064</v>
      </c>
      <c r="U110" s="162" t="s">
        <v>1400</v>
      </c>
    </row>
    <row r="111" spans="1:21" ht="23.1" customHeight="1">
      <c r="A111" s="90" t="s">
        <v>734</v>
      </c>
      <c r="B111" s="91"/>
      <c r="C111" s="92"/>
      <c r="D111" s="93"/>
      <c r="E111" s="93"/>
      <c r="F111" s="93">
        <f>ROUNDDOWN(SUMIF(Q107:Q110, "1", F107:F110), 0)</f>
        <v>148</v>
      </c>
      <c r="G111" s="93"/>
      <c r="H111" s="93">
        <f>ROUNDDOWN(SUMIF(Q107:Q110, "1", H107:H110), 0)</f>
        <v>9748</v>
      </c>
      <c r="I111" s="93"/>
      <c r="J111" s="93">
        <f>ROUNDDOWN(SUMIF(Q107:Q110, "1", J107:J110), 0)</f>
        <v>11</v>
      </c>
      <c r="K111" s="93"/>
      <c r="L111" s="93">
        <f>F111+H111+J111</f>
        <v>9907</v>
      </c>
      <c r="M111" s="91"/>
    </row>
    <row r="112" spans="1:21" ht="23.1" customHeight="1">
      <c r="A112" s="85"/>
      <c r="B112" s="85"/>
      <c r="C112" s="83"/>
      <c r="D112" s="84"/>
      <c r="E112" s="84"/>
      <c r="F112" s="84"/>
      <c r="G112" s="84"/>
      <c r="H112" s="84"/>
      <c r="I112" s="84"/>
      <c r="J112" s="84"/>
      <c r="K112" s="84"/>
      <c r="L112" s="84"/>
      <c r="M112" s="85"/>
    </row>
    <row r="113" spans="1:21" ht="23.1" customHeight="1">
      <c r="A113" s="235" t="s">
        <v>1078</v>
      </c>
      <c r="B113" s="236"/>
      <c r="C113" s="236"/>
      <c r="D113" s="236"/>
      <c r="E113" s="236"/>
      <c r="F113" s="236"/>
      <c r="G113" s="236"/>
      <c r="H113" s="236"/>
      <c r="I113" s="236"/>
      <c r="J113" s="236"/>
      <c r="K113" s="236"/>
      <c r="L113" s="236"/>
      <c r="M113" s="120"/>
    </row>
    <row r="114" spans="1:21" ht="23.1" customHeight="1">
      <c r="A114" s="81" t="s">
        <v>1072</v>
      </c>
      <c r="B114" s="81" t="s">
        <v>1073</v>
      </c>
      <c r="C114" s="82" t="s">
        <v>1074</v>
      </c>
      <c r="D114" s="84">
        <v>3.5999999999999997E-2</v>
      </c>
      <c r="E114" s="84">
        <f>ROUNDDOWN(단가대비표!L90, 0)</f>
        <v>2864</v>
      </c>
      <c r="F114" s="84">
        <f>ROUNDDOWN(D114*E114, 1)</f>
        <v>103.1</v>
      </c>
      <c r="G114" s="84">
        <v>0</v>
      </c>
      <c r="H114" s="84">
        <f>ROUNDDOWN(D114*G114, 1)</f>
        <v>0</v>
      </c>
      <c r="I114" s="84">
        <v>0</v>
      </c>
      <c r="J114" s="84">
        <f>ROUNDDOWN(D114*I114, 1)</f>
        <v>0</v>
      </c>
      <c r="K114" s="84">
        <f t="shared" ref="K114:L117" si="10">E114+G114+I114</f>
        <v>2864</v>
      </c>
      <c r="L114" s="84">
        <f t="shared" si="10"/>
        <v>103.1</v>
      </c>
      <c r="M114" s="85"/>
      <c r="O114" s="86" t="s">
        <v>558</v>
      </c>
      <c r="P114" s="86" t="s">
        <v>678</v>
      </c>
      <c r="Q114" s="79">
        <v>1</v>
      </c>
    </row>
    <row r="115" spans="1:21" ht="23.1" customHeight="1">
      <c r="A115" s="81" t="s">
        <v>1075</v>
      </c>
      <c r="B115" s="81" t="s">
        <v>1076</v>
      </c>
      <c r="C115" s="82" t="s">
        <v>1077</v>
      </c>
      <c r="D115" s="84">
        <v>0.106</v>
      </c>
      <c r="E115" s="84">
        <v>0</v>
      </c>
      <c r="F115" s="84">
        <f>ROUNDDOWN(D115*E115, 1)</f>
        <v>0</v>
      </c>
      <c r="G115" s="84">
        <v>0</v>
      </c>
      <c r="H115" s="84">
        <f>ROUNDDOWN(D115*G115, 1)</f>
        <v>0</v>
      </c>
      <c r="I115" s="84">
        <f>ROUNDDOWN(단가대비표!L171, 0)</f>
        <v>152</v>
      </c>
      <c r="J115" s="84">
        <f>ROUNDDOWN(D115*I115, 1)</f>
        <v>16.100000000000001</v>
      </c>
      <c r="K115" s="84">
        <f t="shared" si="10"/>
        <v>152</v>
      </c>
      <c r="L115" s="84">
        <f t="shared" si="10"/>
        <v>16.100000000000001</v>
      </c>
      <c r="M115" s="85"/>
      <c r="O115" s="86" t="s">
        <v>558</v>
      </c>
      <c r="P115" s="86" t="s">
        <v>678</v>
      </c>
      <c r="Q115" s="79">
        <v>1</v>
      </c>
    </row>
    <row r="116" spans="1:21" ht="23.1" customHeight="1">
      <c r="A116" s="81" t="s">
        <v>1062</v>
      </c>
      <c r="B116" s="81" t="s">
        <v>733</v>
      </c>
      <c r="C116" s="82" t="s">
        <v>446</v>
      </c>
      <c r="D116" s="84">
        <f>0.07*75%</f>
        <v>5.2500000000000005E-2</v>
      </c>
      <c r="E116" s="84">
        <v>0</v>
      </c>
      <c r="F116" s="84">
        <f>ROUNDDOWN(D116*E116, 1)</f>
        <v>0</v>
      </c>
      <c r="G116" s="84">
        <f>ROUNDDOWN(단가대비표!L165, 0)</f>
        <v>249964</v>
      </c>
      <c r="H116" s="84">
        <f>ROUNDDOWN(D116*G116, 1)</f>
        <v>13123.1</v>
      </c>
      <c r="I116" s="84">
        <v>0</v>
      </c>
      <c r="J116" s="84">
        <f>ROUNDDOWN(D116*I116, 1)</f>
        <v>0</v>
      </c>
      <c r="K116" s="84">
        <f t="shared" si="10"/>
        <v>249964</v>
      </c>
      <c r="L116" s="84">
        <f t="shared" si="10"/>
        <v>13123.1</v>
      </c>
      <c r="M116" s="85"/>
      <c r="O116" s="86" t="s">
        <v>1063</v>
      </c>
      <c r="P116" s="86" t="s">
        <v>678</v>
      </c>
      <c r="Q116" s="79">
        <v>1</v>
      </c>
    </row>
    <row r="117" spans="1:21" ht="23.1" customHeight="1">
      <c r="A117" s="143" t="s">
        <v>729</v>
      </c>
      <c r="B117" s="144" t="str">
        <f>"인력품의 " &amp; N117*100 &amp; "%"</f>
        <v>인력품의 1%</v>
      </c>
      <c r="C117" s="145" t="s">
        <v>177</v>
      </c>
      <c r="D117" s="146">
        <v>1</v>
      </c>
      <c r="E117" s="146">
        <f>SUMIF(O114:O117, "04", H114:H117)</f>
        <v>13123.1</v>
      </c>
      <c r="F117" s="146">
        <f>ROUNDDOWN((E117)*N117, 1)</f>
        <v>131.19999999999999</v>
      </c>
      <c r="G117" s="146">
        <v>0</v>
      </c>
      <c r="H117" s="146">
        <v>0</v>
      </c>
      <c r="I117" s="146">
        <v>0</v>
      </c>
      <c r="J117" s="146">
        <v>0</v>
      </c>
      <c r="K117" s="146">
        <f t="shared" si="10"/>
        <v>13123.1</v>
      </c>
      <c r="L117" s="146">
        <f t="shared" si="10"/>
        <v>131.19999999999999</v>
      </c>
      <c r="M117" s="144"/>
      <c r="N117" s="147">
        <v>0.01</v>
      </c>
      <c r="P117" s="86" t="s">
        <v>678</v>
      </c>
      <c r="Q117" s="79">
        <v>1</v>
      </c>
      <c r="R117" s="86" t="s">
        <v>730</v>
      </c>
      <c r="S117" s="86" t="s">
        <v>1064</v>
      </c>
      <c r="U117" s="162" t="s">
        <v>1400</v>
      </c>
    </row>
    <row r="118" spans="1:21" ht="23.1" customHeight="1">
      <c r="A118" s="90" t="s">
        <v>734</v>
      </c>
      <c r="B118" s="91"/>
      <c r="C118" s="92"/>
      <c r="D118" s="93"/>
      <c r="E118" s="93"/>
      <c r="F118" s="93">
        <f>ROUNDDOWN(SUMIF(Q114:Q117, "1", F114:F117), 0)</f>
        <v>234</v>
      </c>
      <c r="G118" s="93"/>
      <c r="H118" s="93">
        <f>ROUNDDOWN(SUMIF(Q114:Q117, "1", H114:H117), 0)</f>
        <v>13123</v>
      </c>
      <c r="I118" s="93"/>
      <c r="J118" s="93">
        <f>ROUNDDOWN(SUMIF(Q114:Q117, "1", J114:J117), 0)</f>
        <v>16</v>
      </c>
      <c r="K118" s="93"/>
      <c r="L118" s="93">
        <f>F118+H118+J118</f>
        <v>13373</v>
      </c>
      <c r="M118" s="91"/>
    </row>
    <row r="119" spans="1:21" ht="23.1" customHeight="1">
      <c r="A119" s="85"/>
      <c r="B119" s="85"/>
      <c r="C119" s="83"/>
      <c r="D119" s="84"/>
      <c r="E119" s="84"/>
      <c r="F119" s="84"/>
      <c r="G119" s="84"/>
      <c r="H119" s="84"/>
      <c r="I119" s="84"/>
      <c r="J119" s="84"/>
      <c r="K119" s="84"/>
      <c r="L119" s="84"/>
      <c r="M119" s="85"/>
    </row>
    <row r="120" spans="1:21" ht="23.1" customHeight="1">
      <c r="A120" s="235" t="s">
        <v>1079</v>
      </c>
      <c r="B120" s="236"/>
      <c r="C120" s="236"/>
      <c r="D120" s="236"/>
      <c r="E120" s="236"/>
      <c r="F120" s="236"/>
      <c r="G120" s="236"/>
      <c r="H120" s="236"/>
      <c r="I120" s="236"/>
      <c r="J120" s="236"/>
      <c r="K120" s="236"/>
      <c r="L120" s="236"/>
      <c r="M120" s="120"/>
    </row>
    <row r="121" spans="1:21" ht="23.1" customHeight="1">
      <c r="A121" s="81" t="s">
        <v>1072</v>
      </c>
      <c r="B121" s="81" t="s">
        <v>1073</v>
      </c>
      <c r="C121" s="82" t="s">
        <v>1074</v>
      </c>
      <c r="D121" s="84">
        <v>4.9000000000000002E-2</v>
      </c>
      <c r="E121" s="84">
        <f>ROUNDDOWN(단가대비표!L90, 0)</f>
        <v>2864</v>
      </c>
      <c r="F121" s="84">
        <f>ROUNDDOWN(D121*E121, 1)</f>
        <v>140.30000000000001</v>
      </c>
      <c r="G121" s="84">
        <v>0</v>
      </c>
      <c r="H121" s="84">
        <f>ROUNDDOWN(D121*G121, 1)</f>
        <v>0</v>
      </c>
      <c r="I121" s="84">
        <v>0</v>
      </c>
      <c r="J121" s="84">
        <f>ROUNDDOWN(D121*I121, 1)</f>
        <v>0</v>
      </c>
      <c r="K121" s="84">
        <f t="shared" ref="K121:L124" si="11">E121+G121+I121</f>
        <v>2864</v>
      </c>
      <c r="L121" s="84">
        <f t="shared" si="11"/>
        <v>140.30000000000001</v>
      </c>
      <c r="M121" s="85"/>
      <c r="O121" s="86" t="s">
        <v>558</v>
      </c>
      <c r="P121" s="86" t="s">
        <v>678</v>
      </c>
      <c r="Q121" s="79">
        <v>1</v>
      </c>
    </row>
    <row r="122" spans="1:21" ht="23.1" customHeight="1">
      <c r="A122" s="81" t="s">
        <v>1075</v>
      </c>
      <c r="B122" s="81" t="s">
        <v>1076</v>
      </c>
      <c r="C122" s="82" t="s">
        <v>1077</v>
      </c>
      <c r="D122" s="84">
        <v>0.13200000000000001</v>
      </c>
      <c r="E122" s="84">
        <v>0</v>
      </c>
      <c r="F122" s="84">
        <f>ROUNDDOWN(D122*E122, 1)</f>
        <v>0</v>
      </c>
      <c r="G122" s="84">
        <v>0</v>
      </c>
      <c r="H122" s="84">
        <f>ROUNDDOWN(D122*G122, 1)</f>
        <v>0</v>
      </c>
      <c r="I122" s="84">
        <f>ROUNDDOWN(단가대비표!L171, 0)</f>
        <v>152</v>
      </c>
      <c r="J122" s="84">
        <f>ROUNDDOWN(D122*I122, 1)</f>
        <v>20</v>
      </c>
      <c r="K122" s="84">
        <f t="shared" si="11"/>
        <v>152</v>
      </c>
      <c r="L122" s="84">
        <f t="shared" si="11"/>
        <v>20</v>
      </c>
      <c r="M122" s="85"/>
      <c r="O122" s="86" t="s">
        <v>558</v>
      </c>
      <c r="P122" s="86" t="s">
        <v>678</v>
      </c>
      <c r="Q122" s="79">
        <v>1</v>
      </c>
    </row>
    <row r="123" spans="1:21" ht="23.1" customHeight="1">
      <c r="A123" s="81" t="s">
        <v>1062</v>
      </c>
      <c r="B123" s="81" t="s">
        <v>733</v>
      </c>
      <c r="C123" s="82" t="s">
        <v>446</v>
      </c>
      <c r="D123" s="84">
        <f>0.085*75%</f>
        <v>6.3750000000000001E-2</v>
      </c>
      <c r="E123" s="84">
        <v>0</v>
      </c>
      <c r="F123" s="84">
        <f>ROUNDDOWN(D123*E123, 1)</f>
        <v>0</v>
      </c>
      <c r="G123" s="84">
        <f>ROUNDDOWN(단가대비표!L165, 0)</f>
        <v>249964</v>
      </c>
      <c r="H123" s="84">
        <f>ROUNDDOWN(D123*G123, 1)</f>
        <v>15935.2</v>
      </c>
      <c r="I123" s="84">
        <v>0</v>
      </c>
      <c r="J123" s="84">
        <f>ROUNDDOWN(D123*I123, 1)</f>
        <v>0</v>
      </c>
      <c r="K123" s="84">
        <f t="shared" si="11"/>
        <v>249964</v>
      </c>
      <c r="L123" s="84">
        <f t="shared" si="11"/>
        <v>15935.2</v>
      </c>
      <c r="M123" s="85"/>
      <c r="O123" s="86" t="s">
        <v>1063</v>
      </c>
      <c r="P123" s="86" t="s">
        <v>678</v>
      </c>
      <c r="Q123" s="79">
        <v>1</v>
      </c>
    </row>
    <row r="124" spans="1:21" ht="23.1" customHeight="1">
      <c r="A124" s="143" t="s">
        <v>729</v>
      </c>
      <c r="B124" s="144" t="str">
        <f>"인력품의 " &amp; N124*100 &amp; "%"</f>
        <v>인력품의 1%</v>
      </c>
      <c r="C124" s="145" t="s">
        <v>177</v>
      </c>
      <c r="D124" s="146">
        <v>1</v>
      </c>
      <c r="E124" s="146">
        <f>SUMIF(O121:O124, "04", H121:H124)</f>
        <v>15935.2</v>
      </c>
      <c r="F124" s="146">
        <f>ROUNDDOWN((E124)*N124, 1)</f>
        <v>159.30000000000001</v>
      </c>
      <c r="G124" s="146">
        <v>0</v>
      </c>
      <c r="H124" s="146">
        <v>0</v>
      </c>
      <c r="I124" s="146">
        <v>0</v>
      </c>
      <c r="J124" s="146">
        <v>0</v>
      </c>
      <c r="K124" s="146">
        <f t="shared" si="11"/>
        <v>15935.2</v>
      </c>
      <c r="L124" s="146">
        <f t="shared" si="11"/>
        <v>159.30000000000001</v>
      </c>
      <c r="M124" s="144"/>
      <c r="N124" s="147">
        <v>0.01</v>
      </c>
      <c r="P124" s="86" t="s">
        <v>678</v>
      </c>
      <c r="Q124" s="79">
        <v>1</v>
      </c>
      <c r="R124" s="86" t="s">
        <v>730</v>
      </c>
      <c r="S124" s="86" t="s">
        <v>1064</v>
      </c>
      <c r="U124" s="162" t="s">
        <v>1400</v>
      </c>
    </row>
    <row r="125" spans="1:21" ht="23.1" customHeight="1">
      <c r="A125" s="90" t="s">
        <v>734</v>
      </c>
      <c r="B125" s="91"/>
      <c r="C125" s="92"/>
      <c r="D125" s="93"/>
      <c r="E125" s="93"/>
      <c r="F125" s="93">
        <f>ROUNDDOWN(SUMIF(Q121:Q124, "1", F121:F124), 0)</f>
        <v>299</v>
      </c>
      <c r="G125" s="93"/>
      <c r="H125" s="93">
        <f>ROUNDDOWN(SUMIF(Q121:Q124, "1", H121:H124), 0)</f>
        <v>15935</v>
      </c>
      <c r="I125" s="93"/>
      <c r="J125" s="93">
        <f>ROUNDDOWN(SUMIF(Q121:Q124, "1", J121:J124), 0)</f>
        <v>20</v>
      </c>
      <c r="K125" s="93"/>
      <c r="L125" s="93">
        <f>F125+H125+J125</f>
        <v>16254</v>
      </c>
      <c r="M125" s="91"/>
    </row>
    <row r="126" spans="1:21" ht="23.1" customHeight="1">
      <c r="A126" s="85"/>
      <c r="B126" s="85"/>
      <c r="C126" s="83"/>
      <c r="D126" s="84"/>
      <c r="E126" s="84"/>
      <c r="F126" s="84"/>
      <c r="G126" s="84"/>
      <c r="H126" s="84"/>
      <c r="I126" s="84"/>
      <c r="J126" s="84"/>
      <c r="K126" s="84"/>
      <c r="L126" s="84"/>
      <c r="M126" s="85"/>
    </row>
    <row r="127" spans="1:21" ht="23.1" customHeight="1">
      <c r="A127" s="235" t="s">
        <v>1080</v>
      </c>
      <c r="B127" s="236"/>
      <c r="C127" s="236"/>
      <c r="D127" s="236"/>
      <c r="E127" s="236"/>
      <c r="F127" s="236"/>
      <c r="G127" s="236"/>
      <c r="H127" s="236"/>
      <c r="I127" s="236"/>
      <c r="J127" s="236"/>
      <c r="K127" s="236"/>
      <c r="L127" s="236"/>
      <c r="M127" s="120"/>
    </row>
    <row r="128" spans="1:21" ht="23.1" customHeight="1">
      <c r="A128" s="81" t="s">
        <v>1072</v>
      </c>
      <c r="B128" s="81" t="s">
        <v>1081</v>
      </c>
      <c r="C128" s="82" t="s">
        <v>1074</v>
      </c>
      <c r="D128" s="84">
        <v>0.15</v>
      </c>
      <c r="E128" s="84">
        <f>ROUNDDOWN(단가대비표!L91, 0)</f>
        <v>3490</v>
      </c>
      <c r="F128" s="84">
        <f>ROUNDDOWN(D128*E128, 1)</f>
        <v>523.5</v>
      </c>
      <c r="G128" s="84">
        <v>0</v>
      </c>
      <c r="H128" s="84">
        <f>ROUNDDOWN(D128*G128, 1)</f>
        <v>0</v>
      </c>
      <c r="I128" s="84">
        <v>0</v>
      </c>
      <c r="J128" s="84">
        <f>ROUNDDOWN(D128*I128, 1)</f>
        <v>0</v>
      </c>
      <c r="K128" s="84">
        <f t="shared" ref="K128:L131" si="12">E128+G128+I128</f>
        <v>3490</v>
      </c>
      <c r="L128" s="84">
        <f t="shared" si="12"/>
        <v>523.5</v>
      </c>
      <c r="M128" s="85"/>
      <c r="O128" s="86" t="s">
        <v>558</v>
      </c>
      <c r="P128" s="86" t="s">
        <v>678</v>
      </c>
      <c r="Q128" s="79">
        <v>1</v>
      </c>
    </row>
    <row r="129" spans="1:21" ht="23.1" customHeight="1">
      <c r="A129" s="81" t="s">
        <v>1075</v>
      </c>
      <c r="B129" s="81" t="s">
        <v>1076</v>
      </c>
      <c r="C129" s="82" t="s">
        <v>1077</v>
      </c>
      <c r="D129" s="84">
        <v>0.16700000000000001</v>
      </c>
      <c r="E129" s="84">
        <v>0</v>
      </c>
      <c r="F129" s="84">
        <f>ROUNDDOWN(D129*E129, 1)</f>
        <v>0</v>
      </c>
      <c r="G129" s="84">
        <v>0</v>
      </c>
      <c r="H129" s="84">
        <f>ROUNDDOWN(D129*G129, 1)</f>
        <v>0</v>
      </c>
      <c r="I129" s="84">
        <f>ROUNDDOWN(단가대비표!L171, 0)</f>
        <v>152</v>
      </c>
      <c r="J129" s="84">
        <f>ROUNDDOWN(D129*I129, 1)</f>
        <v>25.3</v>
      </c>
      <c r="K129" s="84">
        <f t="shared" si="12"/>
        <v>152</v>
      </c>
      <c r="L129" s="84">
        <f t="shared" si="12"/>
        <v>25.3</v>
      </c>
      <c r="M129" s="85"/>
      <c r="O129" s="86" t="s">
        <v>558</v>
      </c>
      <c r="P129" s="86" t="s">
        <v>678</v>
      </c>
      <c r="Q129" s="79">
        <v>1</v>
      </c>
    </row>
    <row r="130" spans="1:21" ht="23.1" customHeight="1">
      <c r="A130" s="81" t="s">
        <v>1062</v>
      </c>
      <c r="B130" s="81" t="s">
        <v>733</v>
      </c>
      <c r="C130" s="82" t="s">
        <v>446</v>
      </c>
      <c r="D130" s="84">
        <f>0.105*75%</f>
        <v>7.8750000000000001E-2</v>
      </c>
      <c r="E130" s="84">
        <v>0</v>
      </c>
      <c r="F130" s="84">
        <f>ROUNDDOWN(D130*E130, 1)</f>
        <v>0</v>
      </c>
      <c r="G130" s="84">
        <f>ROUNDDOWN(단가대비표!L165, 0)</f>
        <v>249964</v>
      </c>
      <c r="H130" s="84">
        <f>ROUNDDOWN(D130*G130, 1)</f>
        <v>19684.599999999999</v>
      </c>
      <c r="I130" s="84">
        <v>0</v>
      </c>
      <c r="J130" s="84">
        <f>ROUNDDOWN(D130*I130, 1)</f>
        <v>0</v>
      </c>
      <c r="K130" s="84">
        <f t="shared" si="12"/>
        <v>249964</v>
      </c>
      <c r="L130" s="84">
        <f t="shared" si="12"/>
        <v>19684.599999999999</v>
      </c>
      <c r="M130" s="85"/>
      <c r="O130" s="86" t="s">
        <v>1063</v>
      </c>
      <c r="P130" s="86" t="s">
        <v>678</v>
      </c>
      <c r="Q130" s="79">
        <v>1</v>
      </c>
    </row>
    <row r="131" spans="1:21" ht="23.1" customHeight="1">
      <c r="A131" s="143" t="s">
        <v>729</v>
      </c>
      <c r="B131" s="144" t="str">
        <f>"인력품의 " &amp; N131*100 &amp; "%"</f>
        <v>인력품의 1%</v>
      </c>
      <c r="C131" s="145" t="s">
        <v>177</v>
      </c>
      <c r="D131" s="146">
        <v>1</v>
      </c>
      <c r="E131" s="146">
        <f>SUMIF(O128:O131, "04", H128:H131)</f>
        <v>19684.599999999999</v>
      </c>
      <c r="F131" s="146">
        <f>ROUNDDOWN((E131)*N131, 1)</f>
        <v>196.8</v>
      </c>
      <c r="G131" s="146">
        <v>0</v>
      </c>
      <c r="H131" s="146">
        <v>0</v>
      </c>
      <c r="I131" s="146">
        <v>0</v>
      </c>
      <c r="J131" s="146">
        <v>0</v>
      </c>
      <c r="K131" s="146">
        <f t="shared" si="12"/>
        <v>19684.599999999999</v>
      </c>
      <c r="L131" s="146">
        <f t="shared" si="12"/>
        <v>196.8</v>
      </c>
      <c r="M131" s="144"/>
      <c r="N131" s="147">
        <v>0.01</v>
      </c>
      <c r="P131" s="86" t="s">
        <v>678</v>
      </c>
      <c r="Q131" s="79">
        <v>1</v>
      </c>
      <c r="R131" s="86" t="s">
        <v>730</v>
      </c>
      <c r="S131" s="86" t="s">
        <v>1064</v>
      </c>
      <c r="U131" s="162" t="s">
        <v>1400</v>
      </c>
    </row>
    <row r="132" spans="1:21" ht="23.1" customHeight="1">
      <c r="A132" s="90" t="s">
        <v>734</v>
      </c>
      <c r="B132" s="91"/>
      <c r="C132" s="92"/>
      <c r="D132" s="93"/>
      <c r="E132" s="93"/>
      <c r="F132" s="93">
        <f>ROUNDDOWN(SUMIF(Q128:Q131, "1", F128:F131), 0)</f>
        <v>720</v>
      </c>
      <c r="G132" s="93"/>
      <c r="H132" s="93">
        <f>ROUNDDOWN(SUMIF(Q128:Q131, "1", H128:H131), 0)</f>
        <v>19684</v>
      </c>
      <c r="I132" s="93"/>
      <c r="J132" s="93">
        <f>ROUNDDOWN(SUMIF(Q128:Q131, "1", J128:J131), 0)</f>
        <v>25</v>
      </c>
      <c r="K132" s="93"/>
      <c r="L132" s="93">
        <f>F132+H132+J132</f>
        <v>20429</v>
      </c>
      <c r="M132" s="91"/>
    </row>
    <row r="133" spans="1:21" ht="23.1" customHeight="1">
      <c r="A133" s="85"/>
      <c r="B133" s="85"/>
      <c r="C133" s="83"/>
      <c r="D133" s="84"/>
      <c r="E133" s="84"/>
      <c r="F133" s="84"/>
      <c r="G133" s="84"/>
      <c r="H133" s="84"/>
      <c r="I133" s="84"/>
      <c r="J133" s="84"/>
      <c r="K133" s="84"/>
      <c r="L133" s="84"/>
      <c r="M133" s="85"/>
    </row>
    <row r="134" spans="1:21" ht="23.1" customHeight="1">
      <c r="A134" s="235" t="s">
        <v>1082</v>
      </c>
      <c r="B134" s="236"/>
      <c r="C134" s="236"/>
      <c r="D134" s="236"/>
      <c r="E134" s="236"/>
      <c r="F134" s="236"/>
      <c r="G134" s="236"/>
      <c r="H134" s="236"/>
      <c r="I134" s="236"/>
      <c r="J134" s="236"/>
      <c r="K134" s="236"/>
      <c r="L134" s="236"/>
      <c r="M134" s="120"/>
    </row>
    <row r="135" spans="1:21" ht="23.1" customHeight="1">
      <c r="A135" s="81" t="s">
        <v>1072</v>
      </c>
      <c r="B135" s="81" t="s">
        <v>1081</v>
      </c>
      <c r="C135" s="82" t="s">
        <v>1074</v>
      </c>
      <c r="D135" s="84">
        <v>0.19</v>
      </c>
      <c r="E135" s="84">
        <f>ROUNDDOWN(단가대비표!L91, 0)</f>
        <v>3490</v>
      </c>
      <c r="F135" s="84">
        <f>ROUNDDOWN(D135*E135, 1)</f>
        <v>663.1</v>
      </c>
      <c r="G135" s="84">
        <v>0</v>
      </c>
      <c r="H135" s="84">
        <f>ROUNDDOWN(D135*G135, 1)</f>
        <v>0</v>
      </c>
      <c r="I135" s="84">
        <v>0</v>
      </c>
      <c r="J135" s="84">
        <f>ROUNDDOWN(D135*I135, 1)</f>
        <v>0</v>
      </c>
      <c r="K135" s="84">
        <f t="shared" ref="K135:L138" si="13">E135+G135+I135</f>
        <v>3490</v>
      </c>
      <c r="L135" s="84">
        <f t="shared" si="13"/>
        <v>663.1</v>
      </c>
      <c r="M135" s="85"/>
      <c r="O135" s="86" t="s">
        <v>558</v>
      </c>
      <c r="P135" s="86" t="s">
        <v>678</v>
      </c>
      <c r="Q135" s="79">
        <v>1</v>
      </c>
    </row>
    <row r="136" spans="1:21" ht="23.1" customHeight="1">
      <c r="A136" s="81" t="s">
        <v>1075</v>
      </c>
      <c r="B136" s="81" t="s">
        <v>1076</v>
      </c>
      <c r="C136" s="82" t="s">
        <v>1077</v>
      </c>
      <c r="D136" s="84">
        <v>0.33500000000000002</v>
      </c>
      <c r="E136" s="84">
        <v>0</v>
      </c>
      <c r="F136" s="84">
        <f>ROUNDDOWN(D136*E136, 1)</f>
        <v>0</v>
      </c>
      <c r="G136" s="84">
        <v>0</v>
      </c>
      <c r="H136" s="84">
        <f>ROUNDDOWN(D136*G136, 1)</f>
        <v>0</v>
      </c>
      <c r="I136" s="84">
        <f>ROUNDDOWN(단가대비표!L171, 0)</f>
        <v>152</v>
      </c>
      <c r="J136" s="84">
        <f>ROUNDDOWN(D136*I136, 1)</f>
        <v>50.9</v>
      </c>
      <c r="K136" s="84">
        <f t="shared" si="13"/>
        <v>152</v>
      </c>
      <c r="L136" s="84">
        <f t="shared" si="13"/>
        <v>50.9</v>
      </c>
      <c r="M136" s="85"/>
      <c r="O136" s="86" t="s">
        <v>558</v>
      </c>
      <c r="P136" s="86" t="s">
        <v>678</v>
      </c>
      <c r="Q136" s="79">
        <v>1</v>
      </c>
    </row>
    <row r="137" spans="1:21" ht="23.1" customHeight="1">
      <c r="A137" s="81" t="s">
        <v>1062</v>
      </c>
      <c r="B137" s="81" t="s">
        <v>733</v>
      </c>
      <c r="C137" s="82" t="s">
        <v>446</v>
      </c>
      <c r="D137" s="84">
        <f>0.121*75%</f>
        <v>9.0749999999999997E-2</v>
      </c>
      <c r="E137" s="84">
        <v>0</v>
      </c>
      <c r="F137" s="84">
        <f>ROUNDDOWN(D137*E137, 1)</f>
        <v>0</v>
      </c>
      <c r="G137" s="84">
        <f>ROUNDDOWN(단가대비표!L165, 0)</f>
        <v>249964</v>
      </c>
      <c r="H137" s="84">
        <f>ROUNDDOWN(D137*G137, 1)</f>
        <v>22684.2</v>
      </c>
      <c r="I137" s="84">
        <v>0</v>
      </c>
      <c r="J137" s="84">
        <f>ROUNDDOWN(D137*I137, 1)</f>
        <v>0</v>
      </c>
      <c r="K137" s="84">
        <f t="shared" si="13"/>
        <v>249964</v>
      </c>
      <c r="L137" s="84">
        <f t="shared" si="13"/>
        <v>22684.2</v>
      </c>
      <c r="M137" s="85"/>
      <c r="O137" s="86" t="s">
        <v>1063</v>
      </c>
      <c r="P137" s="86" t="s">
        <v>678</v>
      </c>
      <c r="Q137" s="79">
        <v>1</v>
      </c>
    </row>
    <row r="138" spans="1:21" ht="23.1" customHeight="1">
      <c r="A138" s="143" t="s">
        <v>729</v>
      </c>
      <c r="B138" s="144" t="str">
        <f>"인력품의 " &amp; N138*100 &amp; "%"</f>
        <v>인력품의 1%</v>
      </c>
      <c r="C138" s="145" t="s">
        <v>177</v>
      </c>
      <c r="D138" s="146">
        <v>1</v>
      </c>
      <c r="E138" s="146">
        <f>SUMIF(O135:O138, "04", H135:H138)</f>
        <v>22684.2</v>
      </c>
      <c r="F138" s="146">
        <f>ROUNDDOWN((E138)*N138, 1)</f>
        <v>226.8</v>
      </c>
      <c r="G138" s="146">
        <v>0</v>
      </c>
      <c r="H138" s="146">
        <v>0</v>
      </c>
      <c r="I138" s="146">
        <v>0</v>
      </c>
      <c r="J138" s="146">
        <v>0</v>
      </c>
      <c r="K138" s="146">
        <f t="shared" si="13"/>
        <v>22684.2</v>
      </c>
      <c r="L138" s="146">
        <f t="shared" si="13"/>
        <v>226.8</v>
      </c>
      <c r="M138" s="144"/>
      <c r="N138" s="147">
        <v>0.01</v>
      </c>
      <c r="P138" s="86" t="s">
        <v>678</v>
      </c>
      <c r="Q138" s="79">
        <v>1</v>
      </c>
      <c r="R138" s="86" t="s">
        <v>730</v>
      </c>
      <c r="S138" s="86" t="s">
        <v>1064</v>
      </c>
      <c r="U138" s="162" t="s">
        <v>1400</v>
      </c>
    </row>
    <row r="139" spans="1:21" ht="23.1" customHeight="1">
      <c r="A139" s="90" t="s">
        <v>734</v>
      </c>
      <c r="B139" s="91"/>
      <c r="C139" s="92"/>
      <c r="D139" s="93"/>
      <c r="E139" s="93"/>
      <c r="F139" s="93">
        <f>ROUNDDOWN(SUMIF(Q135:Q138, "1", F135:F138), 0)</f>
        <v>889</v>
      </c>
      <c r="G139" s="93"/>
      <c r="H139" s="93">
        <f>ROUNDDOWN(SUMIF(Q135:Q138, "1", H135:H138), 0)</f>
        <v>22684</v>
      </c>
      <c r="I139" s="93"/>
      <c r="J139" s="93">
        <f>ROUNDDOWN(SUMIF(Q135:Q138, "1", J135:J138), 0)</f>
        <v>50</v>
      </c>
      <c r="K139" s="93"/>
      <c r="L139" s="93">
        <f>F139+H139+J139</f>
        <v>23623</v>
      </c>
      <c r="M139" s="91"/>
    </row>
    <row r="140" spans="1:21" ht="23.1" customHeight="1">
      <c r="A140" s="85"/>
      <c r="B140" s="85"/>
      <c r="C140" s="83"/>
      <c r="D140" s="84"/>
      <c r="E140" s="84"/>
      <c r="F140" s="84"/>
      <c r="G140" s="84"/>
      <c r="H140" s="84"/>
      <c r="I140" s="84"/>
      <c r="J140" s="84"/>
      <c r="K140" s="84"/>
      <c r="L140" s="84"/>
      <c r="M140" s="85"/>
    </row>
    <row r="141" spans="1:21" ht="23.1" customHeight="1">
      <c r="A141" s="235" t="s">
        <v>1083</v>
      </c>
      <c r="B141" s="236"/>
      <c r="C141" s="236"/>
      <c r="D141" s="236"/>
      <c r="E141" s="236"/>
      <c r="F141" s="236"/>
      <c r="G141" s="236"/>
      <c r="H141" s="236"/>
      <c r="I141" s="236"/>
      <c r="J141" s="236"/>
      <c r="K141" s="236"/>
      <c r="L141" s="236"/>
      <c r="M141" s="120"/>
    </row>
    <row r="142" spans="1:21" ht="23.1" customHeight="1">
      <c r="A142" s="81" t="s">
        <v>1072</v>
      </c>
      <c r="B142" s="81" t="s">
        <v>1081</v>
      </c>
      <c r="C142" s="82" t="s">
        <v>1074</v>
      </c>
      <c r="D142" s="84">
        <v>0.28000000000000003</v>
      </c>
      <c r="E142" s="84">
        <f>ROUNDDOWN(단가대비표!L91, 0)</f>
        <v>3490</v>
      </c>
      <c r="F142" s="84">
        <f>ROUNDDOWN(D142*E142, 1)</f>
        <v>977.2</v>
      </c>
      <c r="G142" s="84">
        <v>0</v>
      </c>
      <c r="H142" s="84">
        <f>ROUNDDOWN(D142*G142, 1)</f>
        <v>0</v>
      </c>
      <c r="I142" s="84">
        <v>0</v>
      </c>
      <c r="J142" s="84">
        <f>ROUNDDOWN(D142*I142, 1)</f>
        <v>0</v>
      </c>
      <c r="K142" s="84">
        <f t="shared" ref="K142:L145" si="14">E142+G142+I142</f>
        <v>3490</v>
      </c>
      <c r="L142" s="84">
        <f t="shared" si="14"/>
        <v>977.2</v>
      </c>
      <c r="M142" s="85"/>
      <c r="O142" s="86" t="s">
        <v>558</v>
      </c>
      <c r="P142" s="86" t="s">
        <v>678</v>
      </c>
      <c r="Q142" s="79">
        <v>1</v>
      </c>
    </row>
    <row r="143" spans="1:21" ht="23.1" customHeight="1">
      <c r="A143" s="81" t="s">
        <v>1075</v>
      </c>
      <c r="B143" s="81" t="s">
        <v>1076</v>
      </c>
      <c r="C143" s="82" t="s">
        <v>1077</v>
      </c>
      <c r="D143" s="84">
        <v>0.43</v>
      </c>
      <c r="E143" s="84">
        <v>0</v>
      </c>
      <c r="F143" s="84">
        <f>ROUNDDOWN(D143*E143, 1)</f>
        <v>0</v>
      </c>
      <c r="G143" s="84">
        <v>0</v>
      </c>
      <c r="H143" s="84">
        <f>ROUNDDOWN(D143*G143, 1)</f>
        <v>0</v>
      </c>
      <c r="I143" s="84">
        <f>ROUNDDOWN(단가대비표!L171, 0)</f>
        <v>152</v>
      </c>
      <c r="J143" s="84">
        <f>ROUNDDOWN(D143*I143, 1)</f>
        <v>65.3</v>
      </c>
      <c r="K143" s="84">
        <f t="shared" si="14"/>
        <v>152</v>
      </c>
      <c r="L143" s="84">
        <f t="shared" si="14"/>
        <v>65.3</v>
      </c>
      <c r="M143" s="85"/>
      <c r="O143" s="86" t="s">
        <v>558</v>
      </c>
      <c r="P143" s="86" t="s">
        <v>678</v>
      </c>
      <c r="Q143" s="79">
        <v>1</v>
      </c>
    </row>
    <row r="144" spans="1:21" ht="23.1" customHeight="1">
      <c r="A144" s="81" t="s">
        <v>1062</v>
      </c>
      <c r="B144" s="81" t="s">
        <v>733</v>
      </c>
      <c r="C144" s="82" t="s">
        <v>446</v>
      </c>
      <c r="D144" s="84">
        <f>0.152*75%</f>
        <v>0.11399999999999999</v>
      </c>
      <c r="E144" s="84">
        <v>0</v>
      </c>
      <c r="F144" s="84">
        <f>ROUNDDOWN(D144*E144, 1)</f>
        <v>0</v>
      </c>
      <c r="G144" s="84">
        <f>ROUNDDOWN(단가대비표!L165, 0)</f>
        <v>249964</v>
      </c>
      <c r="H144" s="84">
        <f>ROUNDDOWN(D144*G144, 1)</f>
        <v>28495.8</v>
      </c>
      <c r="I144" s="84">
        <v>0</v>
      </c>
      <c r="J144" s="84">
        <f>ROUNDDOWN(D144*I144, 1)</f>
        <v>0</v>
      </c>
      <c r="K144" s="84">
        <f t="shared" si="14"/>
        <v>249964</v>
      </c>
      <c r="L144" s="84">
        <f t="shared" si="14"/>
        <v>28495.8</v>
      </c>
      <c r="M144" s="85"/>
      <c r="O144" s="86" t="s">
        <v>1063</v>
      </c>
      <c r="P144" s="86" t="s">
        <v>678</v>
      </c>
      <c r="Q144" s="79">
        <v>1</v>
      </c>
    </row>
    <row r="145" spans="1:21" ht="23.1" customHeight="1">
      <c r="A145" s="143" t="s">
        <v>729</v>
      </c>
      <c r="B145" s="144" t="str">
        <f>"인력품의 " &amp; N145*100 &amp; "%"</f>
        <v>인력품의 1%</v>
      </c>
      <c r="C145" s="145" t="s">
        <v>177</v>
      </c>
      <c r="D145" s="146">
        <v>1</v>
      </c>
      <c r="E145" s="146">
        <f>SUMIF(O142:O145, "04", H142:H145)</f>
        <v>28495.8</v>
      </c>
      <c r="F145" s="146">
        <f>ROUNDDOWN((E145)*N145, 1)</f>
        <v>284.89999999999998</v>
      </c>
      <c r="G145" s="146">
        <v>0</v>
      </c>
      <c r="H145" s="146">
        <v>0</v>
      </c>
      <c r="I145" s="146">
        <v>0</v>
      </c>
      <c r="J145" s="146">
        <v>0</v>
      </c>
      <c r="K145" s="146">
        <f t="shared" si="14"/>
        <v>28495.8</v>
      </c>
      <c r="L145" s="146">
        <f t="shared" si="14"/>
        <v>284.89999999999998</v>
      </c>
      <c r="M145" s="144"/>
      <c r="N145" s="147">
        <v>0.01</v>
      </c>
      <c r="P145" s="86" t="s">
        <v>678</v>
      </c>
      <c r="Q145" s="79">
        <v>1</v>
      </c>
      <c r="R145" s="86" t="s">
        <v>730</v>
      </c>
      <c r="S145" s="86" t="s">
        <v>1064</v>
      </c>
      <c r="U145" s="162" t="s">
        <v>1400</v>
      </c>
    </row>
    <row r="146" spans="1:21" ht="23.1" customHeight="1">
      <c r="A146" s="90" t="s">
        <v>734</v>
      </c>
      <c r="B146" s="91"/>
      <c r="C146" s="92"/>
      <c r="D146" s="93"/>
      <c r="E146" s="93"/>
      <c r="F146" s="93">
        <f>ROUNDDOWN(SUMIF(Q142:Q145, "1", F142:F145), 0)</f>
        <v>1262</v>
      </c>
      <c r="G146" s="93"/>
      <c r="H146" s="93">
        <f>ROUNDDOWN(SUMIF(Q142:Q145, "1", H142:H145), 0)</f>
        <v>28495</v>
      </c>
      <c r="I146" s="93"/>
      <c r="J146" s="93">
        <f>ROUNDDOWN(SUMIF(Q142:Q145, "1", J142:J145), 0)</f>
        <v>65</v>
      </c>
      <c r="K146" s="93"/>
      <c r="L146" s="93">
        <f>F146+H146+J146</f>
        <v>29822</v>
      </c>
      <c r="M146" s="91"/>
    </row>
    <row r="147" spans="1:21" ht="23.1" customHeight="1">
      <c r="A147" s="85"/>
      <c r="B147" s="85"/>
      <c r="C147" s="83"/>
      <c r="D147" s="84"/>
      <c r="E147" s="84"/>
      <c r="F147" s="84"/>
      <c r="G147" s="84"/>
      <c r="H147" s="84"/>
      <c r="I147" s="84"/>
      <c r="J147" s="84"/>
      <c r="K147" s="84"/>
      <c r="L147" s="84"/>
      <c r="M147" s="85"/>
    </row>
    <row r="148" spans="1:21" ht="23.1" customHeight="1">
      <c r="A148" s="235" t="s">
        <v>1084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120"/>
    </row>
    <row r="149" spans="1:21" ht="23.1" customHeight="1">
      <c r="A149" s="81" t="s">
        <v>1072</v>
      </c>
      <c r="B149" s="81" t="s">
        <v>1081</v>
      </c>
      <c r="C149" s="82" t="s">
        <v>1074</v>
      </c>
      <c r="D149" s="84">
        <v>0.54</v>
      </c>
      <c r="E149" s="84">
        <f>ROUNDDOWN(단가대비표!L91, 0)</f>
        <v>3490</v>
      </c>
      <c r="F149" s="84">
        <f>ROUNDDOWN(D149*E149, 1)</f>
        <v>1884.6</v>
      </c>
      <c r="G149" s="84">
        <v>0</v>
      </c>
      <c r="H149" s="84">
        <f>ROUNDDOWN(D149*G149, 1)</f>
        <v>0</v>
      </c>
      <c r="I149" s="84">
        <v>0</v>
      </c>
      <c r="J149" s="84">
        <f>ROUNDDOWN(D149*I149, 1)</f>
        <v>0</v>
      </c>
      <c r="K149" s="84">
        <f t="shared" ref="K149:L152" si="15">E149+G149+I149</f>
        <v>3490</v>
      </c>
      <c r="L149" s="84">
        <f t="shared" si="15"/>
        <v>1884.6</v>
      </c>
      <c r="M149" s="85"/>
      <c r="O149" s="86" t="s">
        <v>558</v>
      </c>
      <c r="P149" s="86" t="s">
        <v>678</v>
      </c>
      <c r="Q149" s="79">
        <v>1</v>
      </c>
    </row>
    <row r="150" spans="1:21" ht="23.1" customHeight="1">
      <c r="A150" s="81" t="s">
        <v>1075</v>
      </c>
      <c r="B150" s="81" t="s">
        <v>1076</v>
      </c>
      <c r="C150" s="82" t="s">
        <v>1077</v>
      </c>
      <c r="D150" s="84">
        <v>0.622</v>
      </c>
      <c r="E150" s="84">
        <v>0</v>
      </c>
      <c r="F150" s="84">
        <f>ROUNDDOWN(D150*E150, 1)</f>
        <v>0</v>
      </c>
      <c r="G150" s="84">
        <v>0</v>
      </c>
      <c r="H150" s="84">
        <f>ROUNDDOWN(D150*G150, 1)</f>
        <v>0</v>
      </c>
      <c r="I150" s="84">
        <f>ROUNDDOWN(단가대비표!L171, 0)</f>
        <v>152</v>
      </c>
      <c r="J150" s="84">
        <f>ROUNDDOWN(D150*I150, 1)</f>
        <v>94.5</v>
      </c>
      <c r="K150" s="84">
        <f t="shared" si="15"/>
        <v>152</v>
      </c>
      <c r="L150" s="84">
        <f t="shared" si="15"/>
        <v>94.5</v>
      </c>
      <c r="M150" s="85"/>
      <c r="O150" s="86" t="s">
        <v>558</v>
      </c>
      <c r="P150" s="86" t="s">
        <v>678</v>
      </c>
      <c r="Q150" s="79">
        <v>1</v>
      </c>
    </row>
    <row r="151" spans="1:21" ht="23.1" customHeight="1">
      <c r="A151" s="81" t="s">
        <v>1062</v>
      </c>
      <c r="B151" s="81" t="s">
        <v>733</v>
      </c>
      <c r="C151" s="82" t="s">
        <v>446</v>
      </c>
      <c r="D151" s="84">
        <f>0.216*75%</f>
        <v>0.16200000000000001</v>
      </c>
      <c r="E151" s="84">
        <v>0</v>
      </c>
      <c r="F151" s="84">
        <f>ROUNDDOWN(D151*E151, 1)</f>
        <v>0</v>
      </c>
      <c r="G151" s="84">
        <f>ROUNDDOWN(단가대비표!L165, 0)</f>
        <v>249964</v>
      </c>
      <c r="H151" s="84">
        <f>ROUNDDOWN(D151*G151, 1)</f>
        <v>40494.1</v>
      </c>
      <c r="I151" s="84">
        <v>0</v>
      </c>
      <c r="J151" s="84">
        <f>ROUNDDOWN(D151*I151, 1)</f>
        <v>0</v>
      </c>
      <c r="K151" s="84">
        <f t="shared" si="15"/>
        <v>249964</v>
      </c>
      <c r="L151" s="84">
        <f t="shared" si="15"/>
        <v>40494.1</v>
      </c>
      <c r="M151" s="85"/>
      <c r="O151" s="86" t="s">
        <v>1063</v>
      </c>
      <c r="P151" s="86" t="s">
        <v>678</v>
      </c>
      <c r="Q151" s="79">
        <v>1</v>
      </c>
    </row>
    <row r="152" spans="1:21" ht="23.1" customHeight="1">
      <c r="A152" s="143" t="s">
        <v>729</v>
      </c>
      <c r="B152" s="144" t="str">
        <f>"인력품의 " &amp; N152*100 &amp; "%"</f>
        <v>인력품의 1%</v>
      </c>
      <c r="C152" s="145" t="s">
        <v>177</v>
      </c>
      <c r="D152" s="146">
        <v>1</v>
      </c>
      <c r="E152" s="146">
        <f>SUMIF(O149:O152, "04", H149:H152)</f>
        <v>40494.1</v>
      </c>
      <c r="F152" s="146">
        <f>ROUNDDOWN((E152)*N152, 1)</f>
        <v>404.9</v>
      </c>
      <c r="G152" s="146">
        <v>0</v>
      </c>
      <c r="H152" s="146">
        <v>0</v>
      </c>
      <c r="I152" s="146">
        <v>0</v>
      </c>
      <c r="J152" s="146">
        <v>0</v>
      </c>
      <c r="K152" s="146">
        <f t="shared" si="15"/>
        <v>40494.1</v>
      </c>
      <c r="L152" s="146">
        <f t="shared" si="15"/>
        <v>404.9</v>
      </c>
      <c r="M152" s="144"/>
      <c r="N152" s="147">
        <v>0.01</v>
      </c>
      <c r="P152" s="86" t="s">
        <v>678</v>
      </c>
      <c r="Q152" s="79">
        <v>1</v>
      </c>
      <c r="R152" s="86" t="s">
        <v>730</v>
      </c>
      <c r="S152" s="86" t="s">
        <v>1064</v>
      </c>
      <c r="U152" s="162" t="s">
        <v>1400</v>
      </c>
    </row>
    <row r="153" spans="1:21" ht="23.1" customHeight="1">
      <c r="A153" s="90" t="s">
        <v>734</v>
      </c>
      <c r="B153" s="91"/>
      <c r="C153" s="92"/>
      <c r="D153" s="93"/>
      <c r="E153" s="93"/>
      <c r="F153" s="93">
        <f>ROUNDDOWN(SUMIF(Q149:Q152, "1", F149:F152), 0)</f>
        <v>2289</v>
      </c>
      <c r="G153" s="93"/>
      <c r="H153" s="93">
        <f>ROUNDDOWN(SUMIF(Q149:Q152, "1", H149:H152), 0)</f>
        <v>40494</v>
      </c>
      <c r="I153" s="93"/>
      <c r="J153" s="93">
        <f>ROUNDDOWN(SUMIF(Q149:Q152, "1", J149:J152), 0)</f>
        <v>94</v>
      </c>
      <c r="K153" s="93"/>
      <c r="L153" s="93">
        <f>F153+H153+J153</f>
        <v>42877</v>
      </c>
      <c r="M153" s="91"/>
    </row>
    <row r="154" spans="1:21" ht="23.1" customHeight="1">
      <c r="A154" s="85"/>
      <c r="B154" s="85"/>
      <c r="C154" s="83"/>
      <c r="D154" s="84"/>
      <c r="E154" s="84"/>
      <c r="F154" s="84"/>
      <c r="G154" s="84"/>
      <c r="H154" s="84"/>
      <c r="I154" s="84"/>
      <c r="J154" s="84"/>
      <c r="K154" s="84"/>
      <c r="L154" s="84"/>
      <c r="M154" s="85"/>
    </row>
    <row r="155" spans="1:21" ht="23.1" customHeight="1">
      <c r="A155" s="235" t="s">
        <v>1085</v>
      </c>
      <c r="B155" s="236"/>
      <c r="C155" s="236"/>
      <c r="D155" s="236"/>
      <c r="E155" s="236"/>
      <c r="F155" s="236"/>
      <c r="G155" s="236"/>
      <c r="H155" s="236"/>
      <c r="I155" s="236"/>
      <c r="J155" s="236"/>
      <c r="K155" s="236"/>
      <c r="L155" s="236"/>
      <c r="M155" s="120"/>
    </row>
    <row r="156" spans="1:21" ht="23.1" customHeight="1">
      <c r="A156" s="81" t="s">
        <v>1086</v>
      </c>
      <c r="B156" s="81" t="s">
        <v>1087</v>
      </c>
      <c r="C156" s="82" t="s">
        <v>742</v>
      </c>
      <c r="D156" s="84">
        <v>1.05</v>
      </c>
      <c r="E156" s="84">
        <f>ROUNDDOWN(단가대비표!L14, 0)</f>
        <v>1679</v>
      </c>
      <c r="F156" s="84">
        <f>ROUNDDOWN(D156*E156, 1)</f>
        <v>1762.9</v>
      </c>
      <c r="G156" s="84">
        <v>0</v>
      </c>
      <c r="H156" s="84">
        <f>ROUNDDOWN(D156*G156, 1)</f>
        <v>0</v>
      </c>
      <c r="I156" s="84">
        <v>0</v>
      </c>
      <c r="J156" s="84">
        <f>ROUNDDOWN(D156*I156, 1)</f>
        <v>0</v>
      </c>
      <c r="K156" s="84">
        <f t="shared" ref="K156:L162" si="16">E156+G156+I156</f>
        <v>1679</v>
      </c>
      <c r="L156" s="84">
        <f t="shared" si="16"/>
        <v>1762.9</v>
      </c>
      <c r="M156" s="85"/>
      <c r="O156" s="86" t="s">
        <v>1063</v>
      </c>
      <c r="P156" s="86" t="s">
        <v>678</v>
      </c>
      <c r="Q156" s="79">
        <v>1</v>
      </c>
    </row>
    <row r="157" spans="1:21" ht="23.1" customHeight="1">
      <c r="A157" s="143" t="s">
        <v>1088</v>
      </c>
      <c r="B157" s="144" t="str">
        <f>"보온재의 " &amp; N157*100 &amp; "%"</f>
        <v>보온재의 2%</v>
      </c>
      <c r="C157" s="145" t="s">
        <v>177</v>
      </c>
      <c r="D157" s="146">
        <v>1</v>
      </c>
      <c r="E157" s="146">
        <f>SUMIF(O156:O162, "04", F156:F162)</f>
        <v>1762.9</v>
      </c>
      <c r="F157" s="146">
        <f>ROUNDDOWN((E157)*N157, 1)</f>
        <v>35.200000000000003</v>
      </c>
      <c r="G157" s="146">
        <v>0</v>
      </c>
      <c r="H157" s="146">
        <v>0</v>
      </c>
      <c r="I157" s="146">
        <v>0</v>
      </c>
      <c r="J157" s="146">
        <v>0</v>
      </c>
      <c r="K157" s="146">
        <f t="shared" si="16"/>
        <v>1762.9</v>
      </c>
      <c r="L157" s="146">
        <f t="shared" si="16"/>
        <v>35.200000000000003</v>
      </c>
      <c r="M157" s="144"/>
      <c r="N157" s="147">
        <v>0.02</v>
      </c>
      <c r="P157" s="86" t="s">
        <v>678</v>
      </c>
      <c r="Q157" s="79">
        <v>1</v>
      </c>
      <c r="R157" s="86" t="s">
        <v>1089</v>
      </c>
      <c r="S157" s="86" t="s">
        <v>1064</v>
      </c>
      <c r="U157" s="162" t="s">
        <v>1412</v>
      </c>
    </row>
    <row r="158" spans="1:21" ht="23.1" customHeight="1">
      <c r="A158" s="81" t="s">
        <v>1086</v>
      </c>
      <c r="B158" s="81" t="s">
        <v>1090</v>
      </c>
      <c r="C158" s="82" t="s">
        <v>1091</v>
      </c>
      <c r="D158" s="84">
        <v>0.31</v>
      </c>
      <c r="E158" s="84">
        <f>ROUNDDOWN(단가대비표!L12, 0)</f>
        <v>1490</v>
      </c>
      <c r="F158" s="84">
        <f>ROUNDDOWN(D158*E158, 1)</f>
        <v>461.9</v>
      </c>
      <c r="G158" s="84">
        <v>0</v>
      </c>
      <c r="H158" s="84">
        <f>ROUNDDOWN(D158*G158, 1)</f>
        <v>0</v>
      </c>
      <c r="I158" s="84">
        <v>0</v>
      </c>
      <c r="J158" s="84">
        <f>ROUNDDOWN(D158*I158, 1)</f>
        <v>0</v>
      </c>
      <c r="K158" s="84">
        <f t="shared" si="16"/>
        <v>1490</v>
      </c>
      <c r="L158" s="84">
        <f t="shared" si="16"/>
        <v>461.9</v>
      </c>
      <c r="M158" s="85"/>
      <c r="O158" s="86" t="s">
        <v>558</v>
      </c>
      <c r="P158" s="86" t="s">
        <v>678</v>
      </c>
      <c r="Q158" s="79">
        <v>1</v>
      </c>
    </row>
    <row r="159" spans="1:21" ht="23.1" customHeight="1">
      <c r="A159" s="81" t="s">
        <v>1086</v>
      </c>
      <c r="B159" s="81" t="s">
        <v>1092</v>
      </c>
      <c r="C159" s="82" t="s">
        <v>742</v>
      </c>
      <c r="D159" s="84">
        <v>0.27</v>
      </c>
      <c r="E159" s="84">
        <f>ROUNDDOWN(단가대비표!L19, 0)</f>
        <v>278</v>
      </c>
      <c r="F159" s="84">
        <f>ROUNDDOWN(D159*E159, 1)</f>
        <v>75</v>
      </c>
      <c r="G159" s="84">
        <v>0</v>
      </c>
      <c r="H159" s="84">
        <f>ROUNDDOWN(D159*G159, 1)</f>
        <v>0</v>
      </c>
      <c r="I159" s="84">
        <v>0</v>
      </c>
      <c r="J159" s="84">
        <f>ROUNDDOWN(D159*I159, 1)</f>
        <v>0</v>
      </c>
      <c r="K159" s="84">
        <f t="shared" si="16"/>
        <v>278</v>
      </c>
      <c r="L159" s="84">
        <f t="shared" si="16"/>
        <v>75</v>
      </c>
      <c r="M159" s="85"/>
      <c r="O159" s="86" t="s">
        <v>558</v>
      </c>
      <c r="P159" s="86" t="s">
        <v>678</v>
      </c>
      <c r="Q159" s="79">
        <v>1</v>
      </c>
    </row>
    <row r="160" spans="1:21" ht="23.1" customHeight="1">
      <c r="A160" s="81" t="s">
        <v>1093</v>
      </c>
      <c r="B160" s="81" t="s">
        <v>733</v>
      </c>
      <c r="C160" s="82" t="s">
        <v>446</v>
      </c>
      <c r="D160" s="84">
        <f>0.0182*75%</f>
        <v>1.3650000000000001E-2</v>
      </c>
      <c r="E160" s="84">
        <v>0</v>
      </c>
      <c r="F160" s="84">
        <f>ROUNDDOWN(D160*E160, 1)</f>
        <v>0</v>
      </c>
      <c r="G160" s="84">
        <f>ROUNDDOWN(단가대비표!L163, 0)</f>
        <v>191943</v>
      </c>
      <c r="H160" s="84">
        <f>ROUNDDOWN(D160*G160, 1)</f>
        <v>2620</v>
      </c>
      <c r="I160" s="84">
        <v>0</v>
      </c>
      <c r="J160" s="84">
        <f>ROUNDDOWN(D160*I160, 1)</f>
        <v>0</v>
      </c>
      <c r="K160" s="84">
        <f t="shared" si="16"/>
        <v>191943</v>
      </c>
      <c r="L160" s="84">
        <f t="shared" si="16"/>
        <v>2620</v>
      </c>
      <c r="M160" s="85"/>
      <c r="O160" s="86" t="s">
        <v>1094</v>
      </c>
      <c r="P160" s="86" t="s">
        <v>678</v>
      </c>
      <c r="Q160" s="79">
        <v>1</v>
      </c>
    </row>
    <row r="161" spans="1:21" ht="23.1" customHeight="1">
      <c r="A161" s="81" t="s">
        <v>452</v>
      </c>
      <c r="B161" s="81" t="s">
        <v>733</v>
      </c>
      <c r="C161" s="82" t="s">
        <v>446</v>
      </c>
      <c r="D161" s="84">
        <f>0.0091*75%</f>
        <v>6.8250000000000003E-3</v>
      </c>
      <c r="E161" s="84">
        <v>0</v>
      </c>
      <c r="F161" s="84">
        <f>ROUNDDOWN(D161*E161, 1)</f>
        <v>0</v>
      </c>
      <c r="G161" s="84">
        <f>ROUNDDOWN(단가대비표!L164, 0)</f>
        <v>152500</v>
      </c>
      <c r="H161" s="84">
        <f>ROUNDDOWN(D161*G161, 1)</f>
        <v>1040.8</v>
      </c>
      <c r="I161" s="84">
        <v>0</v>
      </c>
      <c r="J161" s="84">
        <f>ROUNDDOWN(D161*I161, 1)</f>
        <v>0</v>
      </c>
      <c r="K161" s="84">
        <f t="shared" si="16"/>
        <v>152500</v>
      </c>
      <c r="L161" s="84">
        <f t="shared" si="16"/>
        <v>1040.8</v>
      </c>
      <c r="M161" s="85"/>
      <c r="O161" s="86" t="s">
        <v>1094</v>
      </c>
      <c r="P161" s="86" t="s">
        <v>678</v>
      </c>
      <c r="Q161" s="79">
        <v>1</v>
      </c>
    </row>
    <row r="162" spans="1:21" ht="23.1" customHeight="1">
      <c r="A162" s="143" t="s">
        <v>729</v>
      </c>
      <c r="B162" s="144" t="str">
        <f>"인력품의 " &amp; N162*100 &amp; "%"</f>
        <v>인력품의 1%</v>
      </c>
      <c r="C162" s="145" t="s">
        <v>177</v>
      </c>
      <c r="D162" s="146">
        <v>1</v>
      </c>
      <c r="E162" s="146">
        <f>SUMIF(O156:O162, "05", H156:H162)</f>
        <v>3660.8</v>
      </c>
      <c r="F162" s="146">
        <f>ROUNDDOWN((E162)*N162, 1)</f>
        <v>36.6</v>
      </c>
      <c r="G162" s="146">
        <v>0</v>
      </c>
      <c r="H162" s="146">
        <v>0</v>
      </c>
      <c r="I162" s="146">
        <v>0</v>
      </c>
      <c r="J162" s="146">
        <v>0</v>
      </c>
      <c r="K162" s="146">
        <f t="shared" si="16"/>
        <v>3660.8</v>
      </c>
      <c r="L162" s="146">
        <f t="shared" si="16"/>
        <v>36.6</v>
      </c>
      <c r="M162" s="144"/>
      <c r="N162" s="147">
        <v>0.01</v>
      </c>
      <c r="P162" s="86" t="s">
        <v>678</v>
      </c>
      <c r="Q162" s="79">
        <v>1</v>
      </c>
      <c r="R162" s="86" t="s">
        <v>730</v>
      </c>
      <c r="S162" s="86" t="s">
        <v>554</v>
      </c>
      <c r="U162" s="162" t="s">
        <v>1400</v>
      </c>
    </row>
    <row r="163" spans="1:21" ht="23.1" customHeight="1">
      <c r="A163" s="90" t="s">
        <v>734</v>
      </c>
      <c r="B163" s="91"/>
      <c r="C163" s="92"/>
      <c r="D163" s="93"/>
      <c r="E163" s="93"/>
      <c r="F163" s="93">
        <f>ROUNDDOWN(SUMIF(Q156:Q162, "1", F156:F162), 0)</f>
        <v>2371</v>
      </c>
      <c r="G163" s="93"/>
      <c r="H163" s="93">
        <f>ROUNDDOWN(SUMIF(Q156:Q162, "1", H156:H162), 0)</f>
        <v>3660</v>
      </c>
      <c r="I163" s="93"/>
      <c r="J163" s="93">
        <f>ROUNDDOWN(SUMIF(Q156:Q162, "1", J156:J162), 0)</f>
        <v>0</v>
      </c>
      <c r="K163" s="93"/>
      <c r="L163" s="93">
        <f>F163+H163+J163</f>
        <v>6031</v>
      </c>
      <c r="M163" s="91"/>
    </row>
    <row r="164" spans="1:21" ht="23.1" customHeight="1">
      <c r="A164" s="85"/>
      <c r="B164" s="85"/>
      <c r="C164" s="83"/>
      <c r="D164" s="84"/>
      <c r="E164" s="84"/>
      <c r="F164" s="84"/>
      <c r="G164" s="84"/>
      <c r="H164" s="84"/>
      <c r="I164" s="84"/>
      <c r="J164" s="84"/>
      <c r="K164" s="84"/>
      <c r="L164" s="84"/>
      <c r="M164" s="85"/>
    </row>
    <row r="165" spans="1:21" ht="23.1" customHeight="1">
      <c r="A165" s="235" t="s">
        <v>1095</v>
      </c>
      <c r="B165" s="236"/>
      <c r="C165" s="236"/>
      <c r="D165" s="236"/>
      <c r="E165" s="236"/>
      <c r="F165" s="236"/>
      <c r="G165" s="236"/>
      <c r="H165" s="236"/>
      <c r="I165" s="236"/>
      <c r="J165" s="236"/>
      <c r="K165" s="236"/>
      <c r="L165" s="236"/>
      <c r="M165" s="120"/>
    </row>
    <row r="166" spans="1:21" ht="23.1" customHeight="1">
      <c r="A166" s="81" t="s">
        <v>1086</v>
      </c>
      <c r="B166" s="81" t="s">
        <v>1096</v>
      </c>
      <c r="C166" s="82" t="s">
        <v>742</v>
      </c>
      <c r="D166" s="84">
        <v>1.05</v>
      </c>
      <c r="E166" s="84">
        <f>ROUNDDOWN(단가대비표!L16, 0)</f>
        <v>2505</v>
      </c>
      <c r="F166" s="84">
        <f>ROUNDDOWN(D166*E166, 1)</f>
        <v>2630.2</v>
      </c>
      <c r="G166" s="84">
        <v>0</v>
      </c>
      <c r="H166" s="84">
        <f>ROUNDDOWN(D166*G166, 1)</f>
        <v>0</v>
      </c>
      <c r="I166" s="84">
        <v>0</v>
      </c>
      <c r="J166" s="84">
        <f>ROUNDDOWN(D166*I166, 1)</f>
        <v>0</v>
      </c>
      <c r="K166" s="84">
        <f t="shared" ref="K166:L172" si="17">E166+G166+I166</f>
        <v>2505</v>
      </c>
      <c r="L166" s="84">
        <f t="shared" si="17"/>
        <v>2630.2</v>
      </c>
      <c r="M166" s="85"/>
      <c r="O166" s="86" t="s">
        <v>1063</v>
      </c>
      <c r="P166" s="86" t="s">
        <v>678</v>
      </c>
      <c r="Q166" s="79">
        <v>1</v>
      </c>
    </row>
    <row r="167" spans="1:21" ht="23.1" customHeight="1">
      <c r="A167" s="143" t="s">
        <v>1088</v>
      </c>
      <c r="B167" s="144" t="str">
        <f>"보온재의 " &amp; N167*100 &amp; "%"</f>
        <v>보온재의 2%</v>
      </c>
      <c r="C167" s="145" t="s">
        <v>177</v>
      </c>
      <c r="D167" s="146">
        <v>1</v>
      </c>
      <c r="E167" s="146">
        <f>SUMIF(O166:O172, "04", F166:F172)</f>
        <v>2630.2</v>
      </c>
      <c r="F167" s="146">
        <f>ROUNDDOWN((E167)*N167, 1)</f>
        <v>52.6</v>
      </c>
      <c r="G167" s="146">
        <v>0</v>
      </c>
      <c r="H167" s="146">
        <v>0</v>
      </c>
      <c r="I167" s="146">
        <v>0</v>
      </c>
      <c r="J167" s="146">
        <v>0</v>
      </c>
      <c r="K167" s="146">
        <f t="shared" si="17"/>
        <v>2630.2</v>
      </c>
      <c r="L167" s="146">
        <f t="shared" si="17"/>
        <v>52.6</v>
      </c>
      <c r="M167" s="144"/>
      <c r="N167" s="148">
        <v>0.02</v>
      </c>
      <c r="P167" s="86" t="s">
        <v>678</v>
      </c>
      <c r="Q167" s="79">
        <v>1</v>
      </c>
      <c r="R167" s="86" t="s">
        <v>1089</v>
      </c>
      <c r="S167" s="86" t="s">
        <v>1064</v>
      </c>
      <c r="U167" s="162" t="s">
        <v>1412</v>
      </c>
    </row>
    <row r="168" spans="1:21" ht="23.1" customHeight="1">
      <c r="A168" s="81" t="s">
        <v>1086</v>
      </c>
      <c r="B168" s="81" t="s">
        <v>1090</v>
      </c>
      <c r="C168" s="82" t="s">
        <v>1091</v>
      </c>
      <c r="D168" s="84">
        <v>0.48</v>
      </c>
      <c r="E168" s="84">
        <f>ROUNDDOWN(단가대비표!L12, 0)</f>
        <v>1490</v>
      </c>
      <c r="F168" s="84">
        <f>ROUNDDOWN(D168*E168, 1)</f>
        <v>715.2</v>
      </c>
      <c r="G168" s="84">
        <v>0</v>
      </c>
      <c r="H168" s="84">
        <f>ROUNDDOWN(D168*G168, 1)</f>
        <v>0</v>
      </c>
      <c r="I168" s="84">
        <v>0</v>
      </c>
      <c r="J168" s="84">
        <f>ROUNDDOWN(D168*I168, 1)</f>
        <v>0</v>
      </c>
      <c r="K168" s="84">
        <f t="shared" si="17"/>
        <v>1490</v>
      </c>
      <c r="L168" s="84">
        <f t="shared" si="17"/>
        <v>715.2</v>
      </c>
      <c r="M168" s="85"/>
      <c r="O168" s="86" t="s">
        <v>558</v>
      </c>
      <c r="P168" s="86" t="s">
        <v>678</v>
      </c>
      <c r="Q168" s="79">
        <v>1</v>
      </c>
    </row>
    <row r="169" spans="1:21" ht="23.1" customHeight="1">
      <c r="A169" s="81" t="s">
        <v>1086</v>
      </c>
      <c r="B169" s="81" t="s">
        <v>1092</v>
      </c>
      <c r="C169" s="82" t="s">
        <v>742</v>
      </c>
      <c r="D169" s="84">
        <v>0.42</v>
      </c>
      <c r="E169" s="84">
        <f>ROUNDDOWN(단가대비표!L19, 0)</f>
        <v>278</v>
      </c>
      <c r="F169" s="84">
        <f>ROUNDDOWN(D169*E169, 1)</f>
        <v>116.7</v>
      </c>
      <c r="G169" s="84">
        <v>0</v>
      </c>
      <c r="H169" s="84">
        <f>ROUNDDOWN(D169*G169, 1)</f>
        <v>0</v>
      </c>
      <c r="I169" s="84">
        <v>0</v>
      </c>
      <c r="J169" s="84">
        <f>ROUNDDOWN(D169*I169, 1)</f>
        <v>0</v>
      </c>
      <c r="K169" s="84">
        <f t="shared" si="17"/>
        <v>278</v>
      </c>
      <c r="L169" s="84">
        <f t="shared" si="17"/>
        <v>116.7</v>
      </c>
      <c r="M169" s="85"/>
      <c r="O169" s="86" t="s">
        <v>558</v>
      </c>
      <c r="P169" s="86" t="s">
        <v>678</v>
      </c>
      <c r="Q169" s="79">
        <v>1</v>
      </c>
    </row>
    <row r="170" spans="1:21" ht="23.1" customHeight="1">
      <c r="A170" s="81" t="s">
        <v>1093</v>
      </c>
      <c r="B170" s="81" t="s">
        <v>733</v>
      </c>
      <c r="C170" s="82" t="s">
        <v>446</v>
      </c>
      <c r="D170" s="84">
        <f>0.037*75%</f>
        <v>2.7749999999999997E-2</v>
      </c>
      <c r="E170" s="84">
        <v>0</v>
      </c>
      <c r="F170" s="84">
        <f>ROUNDDOWN(D170*E170, 1)</f>
        <v>0</v>
      </c>
      <c r="G170" s="84">
        <f>ROUNDDOWN(단가대비표!L163, 0)</f>
        <v>191943</v>
      </c>
      <c r="H170" s="84">
        <f>ROUNDDOWN(D170*G170, 1)</f>
        <v>5326.4</v>
      </c>
      <c r="I170" s="84">
        <v>0</v>
      </c>
      <c r="J170" s="84">
        <f>ROUNDDOWN(D170*I170, 1)</f>
        <v>0</v>
      </c>
      <c r="K170" s="84">
        <f t="shared" si="17"/>
        <v>191943</v>
      </c>
      <c r="L170" s="84">
        <f t="shared" si="17"/>
        <v>5326.4</v>
      </c>
      <c r="M170" s="85"/>
      <c r="O170" s="86" t="s">
        <v>1094</v>
      </c>
      <c r="P170" s="86" t="s">
        <v>678</v>
      </c>
      <c r="Q170" s="79">
        <v>1</v>
      </c>
    </row>
    <row r="171" spans="1:21" ht="23.1" customHeight="1">
      <c r="A171" s="81" t="s">
        <v>452</v>
      </c>
      <c r="B171" s="81" t="s">
        <v>733</v>
      </c>
      <c r="C171" s="82" t="s">
        <v>446</v>
      </c>
      <c r="D171" s="84">
        <f>0.019*75%</f>
        <v>1.4249999999999999E-2</v>
      </c>
      <c r="E171" s="84">
        <v>0</v>
      </c>
      <c r="F171" s="84">
        <f>ROUNDDOWN(D171*E171, 1)</f>
        <v>0</v>
      </c>
      <c r="G171" s="84">
        <f>ROUNDDOWN(단가대비표!L164, 0)</f>
        <v>152500</v>
      </c>
      <c r="H171" s="84">
        <f>ROUNDDOWN(D171*G171, 1)</f>
        <v>2173.1</v>
      </c>
      <c r="I171" s="84">
        <v>0</v>
      </c>
      <c r="J171" s="84">
        <f>ROUNDDOWN(D171*I171, 1)</f>
        <v>0</v>
      </c>
      <c r="K171" s="84">
        <f t="shared" si="17"/>
        <v>152500</v>
      </c>
      <c r="L171" s="84">
        <f t="shared" si="17"/>
        <v>2173.1</v>
      </c>
      <c r="M171" s="85"/>
      <c r="O171" s="86" t="s">
        <v>1094</v>
      </c>
      <c r="P171" s="86" t="s">
        <v>678</v>
      </c>
      <c r="Q171" s="79">
        <v>1</v>
      </c>
    </row>
    <row r="172" spans="1:21" ht="23.1" customHeight="1">
      <c r="A172" s="143" t="s">
        <v>729</v>
      </c>
      <c r="B172" s="144" t="str">
        <f>"인력품의 " &amp; N172*100 &amp; "%"</f>
        <v>인력품의 1%</v>
      </c>
      <c r="C172" s="145" t="s">
        <v>177</v>
      </c>
      <c r="D172" s="146">
        <v>1</v>
      </c>
      <c r="E172" s="146">
        <f>SUMIF(O166:O172, "05", H166:H172)</f>
        <v>7499.5</v>
      </c>
      <c r="F172" s="146">
        <f>ROUNDDOWN((E172)*N172, 1)</f>
        <v>74.900000000000006</v>
      </c>
      <c r="G172" s="146">
        <v>0</v>
      </c>
      <c r="H172" s="146">
        <v>0</v>
      </c>
      <c r="I172" s="146">
        <v>0</v>
      </c>
      <c r="J172" s="146">
        <v>0</v>
      </c>
      <c r="K172" s="146">
        <f t="shared" si="17"/>
        <v>7499.5</v>
      </c>
      <c r="L172" s="146">
        <f t="shared" si="17"/>
        <v>74.900000000000006</v>
      </c>
      <c r="M172" s="144"/>
      <c r="N172" s="147">
        <v>0.01</v>
      </c>
      <c r="P172" s="86" t="s">
        <v>678</v>
      </c>
      <c r="Q172" s="79">
        <v>1</v>
      </c>
      <c r="R172" s="86" t="s">
        <v>730</v>
      </c>
      <c r="S172" s="86" t="s">
        <v>554</v>
      </c>
      <c r="U172" s="162" t="s">
        <v>1400</v>
      </c>
    </row>
    <row r="173" spans="1:21" ht="23.1" customHeight="1">
      <c r="A173" s="90" t="s">
        <v>734</v>
      </c>
      <c r="B173" s="91"/>
      <c r="C173" s="92"/>
      <c r="D173" s="93"/>
      <c r="E173" s="93"/>
      <c r="F173" s="93">
        <f>ROUNDDOWN(SUMIF(Q166:Q172, "1", F166:F172), 0)</f>
        <v>3589</v>
      </c>
      <c r="G173" s="93"/>
      <c r="H173" s="93">
        <f>ROUNDDOWN(SUMIF(Q166:Q172, "1", H166:H172), 0)</f>
        <v>7499</v>
      </c>
      <c r="I173" s="93"/>
      <c r="J173" s="93">
        <f>ROUNDDOWN(SUMIF(Q166:Q172, "1", J166:J172), 0)</f>
        <v>0</v>
      </c>
      <c r="K173" s="93"/>
      <c r="L173" s="93">
        <f>F173+H173+J173</f>
        <v>11088</v>
      </c>
      <c r="M173" s="91"/>
    </row>
    <row r="174" spans="1:21" ht="23.1" customHeight="1">
      <c r="A174" s="85"/>
      <c r="B174" s="85"/>
      <c r="C174" s="83"/>
      <c r="D174" s="84"/>
      <c r="E174" s="84"/>
      <c r="F174" s="84"/>
      <c r="G174" s="84"/>
      <c r="H174" s="84"/>
      <c r="I174" s="84"/>
      <c r="J174" s="84"/>
      <c r="K174" s="84"/>
      <c r="L174" s="84"/>
      <c r="M174" s="85"/>
    </row>
    <row r="175" spans="1:21" ht="23.1" customHeight="1">
      <c r="A175" s="235" t="s">
        <v>1097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120"/>
    </row>
    <row r="176" spans="1:21" ht="23.1" customHeight="1">
      <c r="A176" s="81" t="s">
        <v>1086</v>
      </c>
      <c r="B176" s="81" t="s">
        <v>1098</v>
      </c>
      <c r="C176" s="82" t="s">
        <v>742</v>
      </c>
      <c r="D176" s="84">
        <v>1.05</v>
      </c>
      <c r="E176" s="84">
        <f>ROUNDDOWN(단가대비표!L17, 0)</f>
        <v>3035</v>
      </c>
      <c r="F176" s="84">
        <f>ROUNDDOWN(D176*E176, 1)</f>
        <v>3186.7</v>
      </c>
      <c r="G176" s="84">
        <v>0</v>
      </c>
      <c r="H176" s="84">
        <f>ROUNDDOWN(D176*G176, 1)</f>
        <v>0</v>
      </c>
      <c r="I176" s="84">
        <v>0</v>
      </c>
      <c r="J176" s="84">
        <f>ROUNDDOWN(D176*I176, 1)</f>
        <v>0</v>
      </c>
      <c r="K176" s="84">
        <f t="shared" ref="K176:L182" si="18">E176+G176+I176</f>
        <v>3035</v>
      </c>
      <c r="L176" s="84">
        <f t="shared" si="18"/>
        <v>3186.7</v>
      </c>
      <c r="M176" s="85"/>
      <c r="O176" s="86" t="s">
        <v>1063</v>
      </c>
      <c r="P176" s="86" t="s">
        <v>678</v>
      </c>
      <c r="Q176" s="79">
        <v>1</v>
      </c>
    </row>
    <row r="177" spans="1:21" ht="23.1" customHeight="1">
      <c r="A177" s="143" t="s">
        <v>1088</v>
      </c>
      <c r="B177" s="144" t="str">
        <f>"보온재의 " &amp; N177*100 &amp; "%"</f>
        <v>보온재의 2%</v>
      </c>
      <c r="C177" s="145" t="s">
        <v>177</v>
      </c>
      <c r="D177" s="146">
        <v>1</v>
      </c>
      <c r="E177" s="146">
        <f>SUMIF(O176:O182, "04", F176:F182)</f>
        <v>3186.7</v>
      </c>
      <c r="F177" s="146">
        <f>ROUNDDOWN((E177)*N177, 1)</f>
        <v>63.7</v>
      </c>
      <c r="G177" s="146">
        <v>0</v>
      </c>
      <c r="H177" s="146">
        <v>0</v>
      </c>
      <c r="I177" s="146">
        <v>0</v>
      </c>
      <c r="J177" s="146">
        <v>0</v>
      </c>
      <c r="K177" s="146">
        <f t="shared" si="18"/>
        <v>3186.7</v>
      </c>
      <c r="L177" s="146">
        <f t="shared" si="18"/>
        <v>63.7</v>
      </c>
      <c r="M177" s="144"/>
      <c r="N177" s="147">
        <v>0.02</v>
      </c>
      <c r="P177" s="86" t="s">
        <v>678</v>
      </c>
      <c r="Q177" s="79">
        <v>1</v>
      </c>
      <c r="R177" s="86" t="s">
        <v>1089</v>
      </c>
      <c r="S177" s="86" t="s">
        <v>1064</v>
      </c>
      <c r="U177" s="162" t="s">
        <v>1412</v>
      </c>
    </row>
    <row r="178" spans="1:21" ht="23.1" customHeight="1">
      <c r="A178" s="81" t="s">
        <v>1086</v>
      </c>
      <c r="B178" s="81" t="s">
        <v>1090</v>
      </c>
      <c r="C178" s="82" t="s">
        <v>1091</v>
      </c>
      <c r="D178" s="84">
        <v>0.55000000000000004</v>
      </c>
      <c r="E178" s="84">
        <f>ROUNDDOWN(단가대비표!L12, 0)</f>
        <v>1490</v>
      </c>
      <c r="F178" s="84">
        <f>ROUNDDOWN(D178*E178, 1)</f>
        <v>819.5</v>
      </c>
      <c r="G178" s="84">
        <v>0</v>
      </c>
      <c r="H178" s="84">
        <f>ROUNDDOWN(D178*G178, 1)</f>
        <v>0</v>
      </c>
      <c r="I178" s="84">
        <v>0</v>
      </c>
      <c r="J178" s="84">
        <f>ROUNDDOWN(D178*I178, 1)</f>
        <v>0</v>
      </c>
      <c r="K178" s="84">
        <f t="shared" si="18"/>
        <v>1490</v>
      </c>
      <c r="L178" s="84">
        <f t="shared" si="18"/>
        <v>819.5</v>
      </c>
      <c r="M178" s="85"/>
      <c r="O178" s="86" t="s">
        <v>558</v>
      </c>
      <c r="P178" s="86" t="s">
        <v>678</v>
      </c>
      <c r="Q178" s="79">
        <v>1</v>
      </c>
    </row>
    <row r="179" spans="1:21" ht="23.1" customHeight="1">
      <c r="A179" s="81" t="s">
        <v>1086</v>
      </c>
      <c r="B179" s="81" t="s">
        <v>1092</v>
      </c>
      <c r="C179" s="82" t="s">
        <v>742</v>
      </c>
      <c r="D179" s="84">
        <v>0.48</v>
      </c>
      <c r="E179" s="84">
        <f>ROUNDDOWN(단가대비표!L19, 0)</f>
        <v>278</v>
      </c>
      <c r="F179" s="84">
        <f>ROUNDDOWN(D179*E179, 1)</f>
        <v>133.4</v>
      </c>
      <c r="G179" s="84">
        <v>0</v>
      </c>
      <c r="H179" s="84">
        <f>ROUNDDOWN(D179*G179, 1)</f>
        <v>0</v>
      </c>
      <c r="I179" s="84">
        <v>0</v>
      </c>
      <c r="J179" s="84">
        <f>ROUNDDOWN(D179*I179, 1)</f>
        <v>0</v>
      </c>
      <c r="K179" s="84">
        <f t="shared" si="18"/>
        <v>278</v>
      </c>
      <c r="L179" s="84">
        <f t="shared" si="18"/>
        <v>133.4</v>
      </c>
      <c r="M179" s="85"/>
      <c r="O179" s="86" t="s">
        <v>558</v>
      </c>
      <c r="P179" s="86" t="s">
        <v>678</v>
      </c>
      <c r="Q179" s="79">
        <v>1</v>
      </c>
    </row>
    <row r="180" spans="1:21" ht="23.1" customHeight="1">
      <c r="A180" s="81" t="s">
        <v>1093</v>
      </c>
      <c r="B180" s="81" t="s">
        <v>733</v>
      </c>
      <c r="C180" s="82" t="s">
        <v>446</v>
      </c>
      <c r="D180" s="84">
        <f>0.044*75%</f>
        <v>3.3000000000000002E-2</v>
      </c>
      <c r="E180" s="84">
        <v>0</v>
      </c>
      <c r="F180" s="84">
        <f>ROUNDDOWN(D180*E180, 1)</f>
        <v>0</v>
      </c>
      <c r="G180" s="84">
        <f>ROUNDDOWN(단가대비표!L163, 0)</f>
        <v>191943</v>
      </c>
      <c r="H180" s="84">
        <f>ROUNDDOWN(D180*G180, 1)</f>
        <v>6334.1</v>
      </c>
      <c r="I180" s="84">
        <v>0</v>
      </c>
      <c r="J180" s="84">
        <f>ROUNDDOWN(D180*I180, 1)</f>
        <v>0</v>
      </c>
      <c r="K180" s="84">
        <f t="shared" si="18"/>
        <v>191943</v>
      </c>
      <c r="L180" s="84">
        <f t="shared" si="18"/>
        <v>6334.1</v>
      </c>
      <c r="M180" s="85"/>
      <c r="O180" s="86" t="s">
        <v>1094</v>
      </c>
      <c r="P180" s="86" t="s">
        <v>678</v>
      </c>
      <c r="Q180" s="79">
        <v>1</v>
      </c>
    </row>
    <row r="181" spans="1:21" ht="23.1" customHeight="1">
      <c r="A181" s="81" t="s">
        <v>452</v>
      </c>
      <c r="B181" s="81" t="s">
        <v>733</v>
      </c>
      <c r="C181" s="82" t="s">
        <v>446</v>
      </c>
      <c r="D181" s="84">
        <f>0.022*75%</f>
        <v>1.6500000000000001E-2</v>
      </c>
      <c r="E181" s="84">
        <v>0</v>
      </c>
      <c r="F181" s="84">
        <f>ROUNDDOWN(D181*E181, 1)</f>
        <v>0</v>
      </c>
      <c r="G181" s="84">
        <f>ROUNDDOWN(단가대비표!L164, 0)</f>
        <v>152500</v>
      </c>
      <c r="H181" s="84">
        <f>ROUNDDOWN(D181*G181, 1)</f>
        <v>2516.1999999999998</v>
      </c>
      <c r="I181" s="84">
        <v>0</v>
      </c>
      <c r="J181" s="84">
        <f>ROUNDDOWN(D181*I181, 1)</f>
        <v>0</v>
      </c>
      <c r="K181" s="84">
        <f t="shared" si="18"/>
        <v>152500</v>
      </c>
      <c r="L181" s="84">
        <f t="shared" si="18"/>
        <v>2516.1999999999998</v>
      </c>
      <c r="M181" s="85"/>
      <c r="O181" s="86" t="s">
        <v>1094</v>
      </c>
      <c r="P181" s="86" t="s">
        <v>678</v>
      </c>
      <c r="Q181" s="79">
        <v>1</v>
      </c>
    </row>
    <row r="182" spans="1:21" ht="23.1" customHeight="1">
      <c r="A182" s="143" t="s">
        <v>729</v>
      </c>
      <c r="B182" s="144" t="str">
        <f>"인력품의 " &amp; N182*100 &amp; "%"</f>
        <v>인력품의 1%</v>
      </c>
      <c r="C182" s="145" t="s">
        <v>177</v>
      </c>
      <c r="D182" s="146">
        <v>1</v>
      </c>
      <c r="E182" s="146">
        <f>SUMIF(O176:O182, "05", H176:H182)</f>
        <v>8850.2999999999993</v>
      </c>
      <c r="F182" s="146">
        <f>ROUNDDOWN((E182)*N182, 1)</f>
        <v>88.5</v>
      </c>
      <c r="G182" s="146">
        <v>0</v>
      </c>
      <c r="H182" s="146">
        <v>0</v>
      </c>
      <c r="I182" s="146">
        <v>0</v>
      </c>
      <c r="J182" s="146">
        <v>0</v>
      </c>
      <c r="K182" s="146">
        <f t="shared" si="18"/>
        <v>8850.2999999999993</v>
      </c>
      <c r="L182" s="146">
        <f t="shared" si="18"/>
        <v>88.5</v>
      </c>
      <c r="M182" s="144"/>
      <c r="N182" s="147">
        <v>0.01</v>
      </c>
      <c r="P182" s="86" t="s">
        <v>678</v>
      </c>
      <c r="Q182" s="79">
        <v>1</v>
      </c>
      <c r="R182" s="86" t="s">
        <v>730</v>
      </c>
      <c r="S182" s="86" t="s">
        <v>554</v>
      </c>
      <c r="U182" s="162" t="s">
        <v>1400</v>
      </c>
    </row>
    <row r="183" spans="1:21" ht="23.1" customHeight="1">
      <c r="A183" s="90" t="s">
        <v>734</v>
      </c>
      <c r="B183" s="91"/>
      <c r="C183" s="92"/>
      <c r="D183" s="93"/>
      <c r="E183" s="93"/>
      <c r="F183" s="93">
        <f>ROUNDDOWN(SUMIF(Q176:Q182, "1", F176:F182), 0)</f>
        <v>4291</v>
      </c>
      <c r="G183" s="93"/>
      <c r="H183" s="93">
        <f>ROUNDDOWN(SUMIF(Q176:Q182, "1", H176:H182), 0)</f>
        <v>8850</v>
      </c>
      <c r="I183" s="93"/>
      <c r="J183" s="93">
        <f>ROUNDDOWN(SUMIF(Q176:Q182, "1", J176:J182), 0)</f>
        <v>0</v>
      </c>
      <c r="K183" s="93"/>
      <c r="L183" s="93">
        <f>F183+H183+J183</f>
        <v>13141</v>
      </c>
      <c r="M183" s="91"/>
    </row>
    <row r="184" spans="1:21" ht="23.1" customHeight="1">
      <c r="A184" s="85"/>
      <c r="B184" s="85"/>
      <c r="C184" s="83"/>
      <c r="D184" s="84"/>
      <c r="E184" s="84"/>
      <c r="F184" s="84"/>
      <c r="G184" s="84"/>
      <c r="H184" s="84"/>
      <c r="I184" s="84"/>
      <c r="J184" s="84"/>
      <c r="K184" s="84"/>
      <c r="L184" s="84"/>
      <c r="M184" s="85"/>
    </row>
    <row r="185" spans="1:21" ht="23.1" customHeight="1">
      <c r="A185" s="235" t="s">
        <v>1099</v>
      </c>
      <c r="B185" s="236"/>
      <c r="C185" s="236"/>
      <c r="D185" s="236"/>
      <c r="E185" s="236"/>
      <c r="F185" s="236"/>
      <c r="G185" s="236"/>
      <c r="H185" s="236"/>
      <c r="I185" s="236"/>
      <c r="J185" s="236"/>
      <c r="K185" s="236"/>
      <c r="L185" s="236"/>
      <c r="M185" s="120"/>
    </row>
    <row r="186" spans="1:21" ht="23.1" customHeight="1">
      <c r="A186" s="81" t="s">
        <v>1086</v>
      </c>
      <c r="B186" s="81" t="s">
        <v>1100</v>
      </c>
      <c r="C186" s="82" t="s">
        <v>742</v>
      </c>
      <c r="D186" s="84">
        <v>1.05</v>
      </c>
      <c r="E186" s="84">
        <f>ROUNDDOWN(단가대비표!L18, 0)</f>
        <v>3331</v>
      </c>
      <c r="F186" s="84">
        <f>ROUNDDOWN(D186*E186, 1)</f>
        <v>3497.5</v>
      </c>
      <c r="G186" s="84">
        <v>0</v>
      </c>
      <c r="H186" s="84">
        <f>ROUNDDOWN(D186*G186, 1)</f>
        <v>0</v>
      </c>
      <c r="I186" s="84">
        <v>0</v>
      </c>
      <c r="J186" s="84">
        <f>ROUNDDOWN(D186*I186, 1)</f>
        <v>0</v>
      </c>
      <c r="K186" s="84">
        <f t="shared" ref="K186:L192" si="19">E186+G186+I186</f>
        <v>3331</v>
      </c>
      <c r="L186" s="84">
        <f t="shared" si="19"/>
        <v>3497.5</v>
      </c>
      <c r="M186" s="85"/>
      <c r="O186" s="86" t="s">
        <v>1063</v>
      </c>
      <c r="P186" s="86" t="s">
        <v>678</v>
      </c>
      <c r="Q186" s="79">
        <v>1</v>
      </c>
    </row>
    <row r="187" spans="1:21" ht="23.1" customHeight="1">
      <c r="A187" s="143" t="s">
        <v>1088</v>
      </c>
      <c r="B187" s="144" t="str">
        <f>"보온재의 " &amp; N187*100 &amp; "%"</f>
        <v>보온재의 2%</v>
      </c>
      <c r="C187" s="145" t="s">
        <v>177</v>
      </c>
      <c r="D187" s="146">
        <v>1</v>
      </c>
      <c r="E187" s="146">
        <f>SUMIF(O186:O192, "04", F186:F192)</f>
        <v>3497.5</v>
      </c>
      <c r="F187" s="146">
        <f>ROUNDDOWN((E187)*N187, 1)</f>
        <v>69.900000000000006</v>
      </c>
      <c r="G187" s="146">
        <v>0</v>
      </c>
      <c r="H187" s="146">
        <v>0</v>
      </c>
      <c r="I187" s="146">
        <v>0</v>
      </c>
      <c r="J187" s="146">
        <v>0</v>
      </c>
      <c r="K187" s="146">
        <f t="shared" si="19"/>
        <v>3497.5</v>
      </c>
      <c r="L187" s="146">
        <f t="shared" si="19"/>
        <v>69.900000000000006</v>
      </c>
      <c r="M187" s="144"/>
      <c r="N187" s="147">
        <v>0.02</v>
      </c>
      <c r="P187" s="86" t="s">
        <v>678</v>
      </c>
      <c r="Q187" s="79">
        <v>1</v>
      </c>
      <c r="R187" s="86" t="s">
        <v>1089</v>
      </c>
      <c r="S187" s="86" t="s">
        <v>1064</v>
      </c>
      <c r="U187" s="162" t="s">
        <v>1412</v>
      </c>
    </row>
    <row r="188" spans="1:21" ht="23.1" customHeight="1">
      <c r="A188" s="81" t="s">
        <v>1086</v>
      </c>
      <c r="B188" s="81" t="s">
        <v>1090</v>
      </c>
      <c r="C188" s="82" t="s">
        <v>1091</v>
      </c>
      <c r="D188" s="84">
        <v>0.6</v>
      </c>
      <c r="E188" s="84">
        <f>ROUNDDOWN(단가대비표!L12, 0)</f>
        <v>1490</v>
      </c>
      <c r="F188" s="84">
        <f>ROUNDDOWN(D188*E188, 1)</f>
        <v>894</v>
      </c>
      <c r="G188" s="84">
        <v>0</v>
      </c>
      <c r="H188" s="84">
        <f>ROUNDDOWN(D188*G188, 1)</f>
        <v>0</v>
      </c>
      <c r="I188" s="84">
        <v>0</v>
      </c>
      <c r="J188" s="84">
        <f>ROUNDDOWN(D188*I188, 1)</f>
        <v>0</v>
      </c>
      <c r="K188" s="84">
        <f t="shared" si="19"/>
        <v>1490</v>
      </c>
      <c r="L188" s="84">
        <f t="shared" si="19"/>
        <v>894</v>
      </c>
      <c r="M188" s="85"/>
      <c r="O188" s="86" t="s">
        <v>558</v>
      </c>
      <c r="P188" s="86" t="s">
        <v>678</v>
      </c>
      <c r="Q188" s="79">
        <v>1</v>
      </c>
    </row>
    <row r="189" spans="1:21" ht="23.1" customHeight="1">
      <c r="A189" s="81" t="s">
        <v>1086</v>
      </c>
      <c r="B189" s="81" t="s">
        <v>1092</v>
      </c>
      <c r="C189" s="82" t="s">
        <v>742</v>
      </c>
      <c r="D189" s="84">
        <v>0.53</v>
      </c>
      <c r="E189" s="84">
        <f>ROUNDDOWN(단가대비표!L19, 0)</f>
        <v>278</v>
      </c>
      <c r="F189" s="84">
        <f>ROUNDDOWN(D189*E189, 1)</f>
        <v>147.30000000000001</v>
      </c>
      <c r="G189" s="84">
        <v>0</v>
      </c>
      <c r="H189" s="84">
        <f>ROUNDDOWN(D189*G189, 1)</f>
        <v>0</v>
      </c>
      <c r="I189" s="84">
        <v>0</v>
      </c>
      <c r="J189" s="84">
        <f>ROUNDDOWN(D189*I189, 1)</f>
        <v>0</v>
      </c>
      <c r="K189" s="84">
        <f t="shared" si="19"/>
        <v>278</v>
      </c>
      <c r="L189" s="84">
        <f t="shared" si="19"/>
        <v>147.30000000000001</v>
      </c>
      <c r="M189" s="85"/>
      <c r="O189" s="86" t="s">
        <v>558</v>
      </c>
      <c r="P189" s="86" t="s">
        <v>678</v>
      </c>
      <c r="Q189" s="79">
        <v>1</v>
      </c>
    </row>
    <row r="190" spans="1:21" ht="23.1" customHeight="1">
      <c r="A190" s="81" t="s">
        <v>1093</v>
      </c>
      <c r="B190" s="81" t="s">
        <v>733</v>
      </c>
      <c r="C190" s="82" t="s">
        <v>446</v>
      </c>
      <c r="D190" s="84">
        <f>0.053*75%</f>
        <v>3.9750000000000001E-2</v>
      </c>
      <c r="E190" s="84">
        <v>0</v>
      </c>
      <c r="F190" s="84">
        <f>ROUNDDOWN(D190*E190, 1)</f>
        <v>0</v>
      </c>
      <c r="G190" s="84">
        <f>ROUNDDOWN(단가대비표!L163, 0)</f>
        <v>191943</v>
      </c>
      <c r="H190" s="84">
        <f>ROUNDDOWN(D190*G190, 1)</f>
        <v>7629.7</v>
      </c>
      <c r="I190" s="84">
        <v>0</v>
      </c>
      <c r="J190" s="84">
        <f>ROUNDDOWN(D190*I190, 1)</f>
        <v>0</v>
      </c>
      <c r="K190" s="84">
        <f t="shared" si="19"/>
        <v>191943</v>
      </c>
      <c r="L190" s="84">
        <f t="shared" si="19"/>
        <v>7629.7</v>
      </c>
      <c r="M190" s="85"/>
      <c r="O190" s="86" t="s">
        <v>1094</v>
      </c>
      <c r="P190" s="86" t="s">
        <v>678</v>
      </c>
      <c r="Q190" s="79">
        <v>1</v>
      </c>
    </row>
    <row r="191" spans="1:21" ht="23.1" customHeight="1">
      <c r="A191" s="81" t="s">
        <v>452</v>
      </c>
      <c r="B191" s="81" t="s">
        <v>733</v>
      </c>
      <c r="C191" s="82" t="s">
        <v>446</v>
      </c>
      <c r="D191" s="84">
        <f>0.026*75%</f>
        <v>1.95E-2</v>
      </c>
      <c r="E191" s="84">
        <v>0</v>
      </c>
      <c r="F191" s="84">
        <f>ROUNDDOWN(D191*E191, 1)</f>
        <v>0</v>
      </c>
      <c r="G191" s="84">
        <f>ROUNDDOWN(단가대비표!L164, 0)</f>
        <v>152500</v>
      </c>
      <c r="H191" s="84">
        <f>ROUNDDOWN(D191*G191, 1)</f>
        <v>2973.7</v>
      </c>
      <c r="I191" s="84">
        <v>0</v>
      </c>
      <c r="J191" s="84">
        <f>ROUNDDOWN(D191*I191, 1)</f>
        <v>0</v>
      </c>
      <c r="K191" s="84">
        <f t="shared" si="19"/>
        <v>152500</v>
      </c>
      <c r="L191" s="84">
        <f t="shared" si="19"/>
        <v>2973.7</v>
      </c>
      <c r="M191" s="85"/>
      <c r="O191" s="86" t="s">
        <v>1094</v>
      </c>
      <c r="P191" s="86" t="s">
        <v>678</v>
      </c>
      <c r="Q191" s="79">
        <v>1</v>
      </c>
    </row>
    <row r="192" spans="1:21" ht="23.1" customHeight="1">
      <c r="A192" s="143" t="s">
        <v>729</v>
      </c>
      <c r="B192" s="144" t="str">
        <f>"인력품의 " &amp; N192*100 &amp; "%"</f>
        <v>인력품의 1%</v>
      </c>
      <c r="C192" s="145" t="s">
        <v>177</v>
      </c>
      <c r="D192" s="146">
        <v>1</v>
      </c>
      <c r="E192" s="146">
        <f>SUMIF(O186:O192, "05", H186:H192)</f>
        <v>10603.4</v>
      </c>
      <c r="F192" s="146">
        <f>ROUNDDOWN((E192)*N192, 1)</f>
        <v>106</v>
      </c>
      <c r="G192" s="146">
        <v>0</v>
      </c>
      <c r="H192" s="146">
        <v>0</v>
      </c>
      <c r="I192" s="146">
        <v>0</v>
      </c>
      <c r="J192" s="146">
        <v>0</v>
      </c>
      <c r="K192" s="146">
        <f t="shared" si="19"/>
        <v>10603.4</v>
      </c>
      <c r="L192" s="146">
        <f t="shared" si="19"/>
        <v>106</v>
      </c>
      <c r="M192" s="144"/>
      <c r="N192" s="147">
        <v>0.01</v>
      </c>
      <c r="P192" s="86" t="s">
        <v>678</v>
      </c>
      <c r="Q192" s="79">
        <v>1</v>
      </c>
      <c r="R192" s="86" t="s">
        <v>730</v>
      </c>
      <c r="S192" s="86" t="s">
        <v>554</v>
      </c>
      <c r="U192" s="162" t="s">
        <v>1400</v>
      </c>
    </row>
    <row r="193" spans="1:21" ht="23.1" customHeight="1">
      <c r="A193" s="90" t="s">
        <v>734</v>
      </c>
      <c r="B193" s="91"/>
      <c r="C193" s="92"/>
      <c r="D193" s="93"/>
      <c r="E193" s="93"/>
      <c r="F193" s="93">
        <f>ROUNDDOWN(SUMIF(Q186:Q192, "1", F186:F192), 0)</f>
        <v>4714</v>
      </c>
      <c r="G193" s="93"/>
      <c r="H193" s="93">
        <f>ROUNDDOWN(SUMIF(Q186:Q192, "1", H186:H192), 0)</f>
        <v>10603</v>
      </c>
      <c r="I193" s="93"/>
      <c r="J193" s="93">
        <f>ROUNDDOWN(SUMIF(Q186:Q192, "1", J186:J192), 0)</f>
        <v>0</v>
      </c>
      <c r="K193" s="93"/>
      <c r="L193" s="93">
        <f>F193+H193+J193</f>
        <v>15317</v>
      </c>
      <c r="M193" s="91"/>
    </row>
    <row r="194" spans="1:21" ht="23.1" customHeight="1">
      <c r="A194" s="85"/>
      <c r="B194" s="85"/>
      <c r="C194" s="83"/>
      <c r="D194" s="84"/>
      <c r="E194" s="84"/>
      <c r="F194" s="84"/>
      <c r="G194" s="84"/>
      <c r="H194" s="84"/>
      <c r="I194" s="84"/>
      <c r="J194" s="84"/>
      <c r="K194" s="84"/>
      <c r="L194" s="84"/>
      <c r="M194" s="85"/>
    </row>
    <row r="195" spans="1:21" ht="23.1" customHeight="1">
      <c r="A195" s="235" t="s">
        <v>1101</v>
      </c>
      <c r="B195" s="236"/>
      <c r="C195" s="236"/>
      <c r="D195" s="236"/>
      <c r="E195" s="236"/>
      <c r="F195" s="236"/>
      <c r="G195" s="236"/>
      <c r="H195" s="236"/>
      <c r="I195" s="236"/>
      <c r="J195" s="236"/>
      <c r="K195" s="236"/>
      <c r="L195" s="236"/>
      <c r="M195" s="120"/>
    </row>
    <row r="196" spans="1:21" ht="23.1" customHeight="1">
      <c r="A196" s="81" t="s">
        <v>1086</v>
      </c>
      <c r="B196" s="81" t="s">
        <v>1102</v>
      </c>
      <c r="C196" s="82" t="s">
        <v>742</v>
      </c>
      <c r="D196" s="84">
        <v>1.05</v>
      </c>
      <c r="E196" s="84">
        <f>ROUNDDOWN(단가대비표!L13, 0)</f>
        <v>7059</v>
      </c>
      <c r="F196" s="84">
        <f>ROUNDDOWN(D196*E196, 1)</f>
        <v>7411.9</v>
      </c>
      <c r="G196" s="84">
        <v>0</v>
      </c>
      <c r="H196" s="84">
        <f>ROUNDDOWN(D196*G196, 1)</f>
        <v>0</v>
      </c>
      <c r="I196" s="84">
        <v>0</v>
      </c>
      <c r="J196" s="84">
        <f>ROUNDDOWN(D196*I196, 1)</f>
        <v>0</v>
      </c>
      <c r="K196" s="84">
        <f t="shared" ref="K196:L202" si="20">E196+G196+I196</f>
        <v>7059</v>
      </c>
      <c r="L196" s="84">
        <f t="shared" si="20"/>
        <v>7411.9</v>
      </c>
      <c r="M196" s="85"/>
      <c r="O196" s="86" t="s">
        <v>1063</v>
      </c>
      <c r="P196" s="86" t="s">
        <v>678</v>
      </c>
      <c r="Q196" s="79">
        <v>1</v>
      </c>
    </row>
    <row r="197" spans="1:21" ht="23.1" customHeight="1">
      <c r="A197" s="143" t="s">
        <v>1088</v>
      </c>
      <c r="B197" s="144" t="str">
        <f>"보온재의 " &amp; N197*100 &amp; "%"</f>
        <v>보온재의 2%</v>
      </c>
      <c r="C197" s="145" t="s">
        <v>177</v>
      </c>
      <c r="D197" s="146">
        <v>1</v>
      </c>
      <c r="E197" s="146">
        <f>SUMIF(O196:O202, "04", F196:F202)</f>
        <v>7411.9</v>
      </c>
      <c r="F197" s="146">
        <f>ROUNDDOWN((E197)*N197, 1)</f>
        <v>148.19999999999999</v>
      </c>
      <c r="G197" s="146">
        <v>0</v>
      </c>
      <c r="H197" s="146">
        <v>0</v>
      </c>
      <c r="I197" s="146">
        <v>0</v>
      </c>
      <c r="J197" s="146">
        <v>0</v>
      </c>
      <c r="K197" s="146">
        <f t="shared" si="20"/>
        <v>7411.9</v>
      </c>
      <c r="L197" s="146">
        <f t="shared" si="20"/>
        <v>148.19999999999999</v>
      </c>
      <c r="M197" s="144"/>
      <c r="N197" s="147">
        <v>0.02</v>
      </c>
      <c r="P197" s="86" t="s">
        <v>678</v>
      </c>
      <c r="Q197" s="79">
        <v>1</v>
      </c>
      <c r="R197" s="86" t="s">
        <v>1089</v>
      </c>
      <c r="S197" s="86" t="s">
        <v>1064</v>
      </c>
      <c r="U197" s="162" t="s">
        <v>1412</v>
      </c>
    </row>
    <row r="198" spans="1:21" ht="23.1" customHeight="1">
      <c r="A198" s="81" t="s">
        <v>1086</v>
      </c>
      <c r="B198" s="81" t="s">
        <v>1090</v>
      </c>
      <c r="C198" s="82" t="s">
        <v>1091</v>
      </c>
      <c r="D198" s="84">
        <v>0.86</v>
      </c>
      <c r="E198" s="84">
        <f>ROUNDDOWN(단가대비표!L12, 0)</f>
        <v>1490</v>
      </c>
      <c r="F198" s="84">
        <f>ROUNDDOWN(D198*E198, 1)</f>
        <v>1281.4000000000001</v>
      </c>
      <c r="G198" s="84">
        <v>0</v>
      </c>
      <c r="H198" s="84">
        <f>ROUNDDOWN(D198*G198, 1)</f>
        <v>0</v>
      </c>
      <c r="I198" s="84">
        <v>0</v>
      </c>
      <c r="J198" s="84">
        <f>ROUNDDOWN(D198*I198, 1)</f>
        <v>0</v>
      </c>
      <c r="K198" s="84">
        <f t="shared" si="20"/>
        <v>1490</v>
      </c>
      <c r="L198" s="84">
        <f t="shared" si="20"/>
        <v>1281.4000000000001</v>
      </c>
      <c r="M198" s="85"/>
      <c r="O198" s="86" t="s">
        <v>558</v>
      </c>
      <c r="P198" s="86" t="s">
        <v>678</v>
      </c>
      <c r="Q198" s="79">
        <v>1</v>
      </c>
    </row>
    <row r="199" spans="1:21" ht="23.1" customHeight="1">
      <c r="A199" s="81" t="s">
        <v>1086</v>
      </c>
      <c r="B199" s="81" t="s">
        <v>1092</v>
      </c>
      <c r="C199" s="82" t="s">
        <v>742</v>
      </c>
      <c r="D199" s="84">
        <v>0.74</v>
      </c>
      <c r="E199" s="84">
        <f>ROUNDDOWN(단가대비표!L19, 0)</f>
        <v>278</v>
      </c>
      <c r="F199" s="84">
        <f>ROUNDDOWN(D199*E199, 1)</f>
        <v>205.7</v>
      </c>
      <c r="G199" s="84">
        <v>0</v>
      </c>
      <c r="H199" s="84">
        <f>ROUNDDOWN(D199*G199, 1)</f>
        <v>0</v>
      </c>
      <c r="I199" s="84">
        <v>0</v>
      </c>
      <c r="J199" s="84">
        <f>ROUNDDOWN(D199*I199, 1)</f>
        <v>0</v>
      </c>
      <c r="K199" s="84">
        <f t="shared" si="20"/>
        <v>278</v>
      </c>
      <c r="L199" s="84">
        <f t="shared" si="20"/>
        <v>205.7</v>
      </c>
      <c r="M199" s="85"/>
      <c r="O199" s="86" t="s">
        <v>558</v>
      </c>
      <c r="P199" s="86" t="s">
        <v>678</v>
      </c>
      <c r="Q199" s="79">
        <v>1</v>
      </c>
    </row>
    <row r="200" spans="1:21" ht="23.1" customHeight="1">
      <c r="A200" s="81" t="s">
        <v>1093</v>
      </c>
      <c r="B200" s="81" t="s">
        <v>733</v>
      </c>
      <c r="C200" s="82" t="s">
        <v>446</v>
      </c>
      <c r="D200" s="84">
        <f>0.08*75%</f>
        <v>0.06</v>
      </c>
      <c r="E200" s="84">
        <v>0</v>
      </c>
      <c r="F200" s="84">
        <f>ROUNDDOWN(D200*E200, 1)</f>
        <v>0</v>
      </c>
      <c r="G200" s="84">
        <f>ROUNDDOWN(단가대비표!L163, 0)</f>
        <v>191943</v>
      </c>
      <c r="H200" s="84">
        <f>ROUNDDOWN(D200*G200, 1)</f>
        <v>11516.5</v>
      </c>
      <c r="I200" s="84">
        <v>0</v>
      </c>
      <c r="J200" s="84">
        <f>ROUNDDOWN(D200*I200, 1)</f>
        <v>0</v>
      </c>
      <c r="K200" s="84">
        <f t="shared" si="20"/>
        <v>191943</v>
      </c>
      <c r="L200" s="84">
        <f t="shared" si="20"/>
        <v>11516.5</v>
      </c>
      <c r="M200" s="85"/>
      <c r="O200" s="86" t="s">
        <v>1094</v>
      </c>
      <c r="P200" s="86" t="s">
        <v>678</v>
      </c>
      <c r="Q200" s="79">
        <v>1</v>
      </c>
    </row>
    <row r="201" spans="1:21" ht="23.1" customHeight="1">
      <c r="A201" s="81" t="s">
        <v>452</v>
      </c>
      <c r="B201" s="81" t="s">
        <v>733</v>
      </c>
      <c r="C201" s="82" t="s">
        <v>446</v>
      </c>
      <c r="D201" s="84">
        <f>0.04*75%</f>
        <v>0.03</v>
      </c>
      <c r="E201" s="84">
        <v>0</v>
      </c>
      <c r="F201" s="84">
        <f>ROUNDDOWN(D201*E201, 1)</f>
        <v>0</v>
      </c>
      <c r="G201" s="84">
        <f>ROUNDDOWN(단가대비표!L164, 0)</f>
        <v>152500</v>
      </c>
      <c r="H201" s="84">
        <f>ROUNDDOWN(D201*G201, 1)</f>
        <v>4575</v>
      </c>
      <c r="I201" s="84">
        <v>0</v>
      </c>
      <c r="J201" s="84">
        <f>ROUNDDOWN(D201*I201, 1)</f>
        <v>0</v>
      </c>
      <c r="K201" s="84">
        <f t="shared" si="20"/>
        <v>152500</v>
      </c>
      <c r="L201" s="84">
        <f t="shared" si="20"/>
        <v>4575</v>
      </c>
      <c r="M201" s="85"/>
      <c r="O201" s="86" t="s">
        <v>1094</v>
      </c>
      <c r="P201" s="86" t="s">
        <v>678</v>
      </c>
      <c r="Q201" s="79">
        <v>1</v>
      </c>
    </row>
    <row r="202" spans="1:21" ht="23.1" customHeight="1">
      <c r="A202" s="143" t="s">
        <v>729</v>
      </c>
      <c r="B202" s="144" t="str">
        <f>"인력품의 " &amp; N202*100 &amp; "%"</f>
        <v>인력품의 1%</v>
      </c>
      <c r="C202" s="145" t="s">
        <v>177</v>
      </c>
      <c r="D202" s="146">
        <v>1</v>
      </c>
      <c r="E202" s="146">
        <f>SUMIF(O196:O202, "05", H196:H202)</f>
        <v>16091.5</v>
      </c>
      <c r="F202" s="146">
        <f>ROUNDDOWN((E202)*N202, 1)</f>
        <v>160.9</v>
      </c>
      <c r="G202" s="146">
        <v>0</v>
      </c>
      <c r="H202" s="146">
        <v>0</v>
      </c>
      <c r="I202" s="146">
        <v>0</v>
      </c>
      <c r="J202" s="146">
        <v>0</v>
      </c>
      <c r="K202" s="146">
        <f t="shared" si="20"/>
        <v>16091.5</v>
      </c>
      <c r="L202" s="146">
        <f t="shared" si="20"/>
        <v>160.9</v>
      </c>
      <c r="M202" s="144"/>
      <c r="N202" s="147">
        <v>0.01</v>
      </c>
      <c r="P202" s="86" t="s">
        <v>678</v>
      </c>
      <c r="Q202" s="79">
        <v>1</v>
      </c>
      <c r="R202" s="86" t="s">
        <v>730</v>
      </c>
      <c r="S202" s="86" t="s">
        <v>554</v>
      </c>
      <c r="U202" s="162" t="s">
        <v>1400</v>
      </c>
    </row>
    <row r="203" spans="1:21" ht="23.1" customHeight="1">
      <c r="A203" s="90" t="s">
        <v>734</v>
      </c>
      <c r="B203" s="91"/>
      <c r="C203" s="92"/>
      <c r="D203" s="93"/>
      <c r="E203" s="93"/>
      <c r="F203" s="93">
        <f>ROUNDDOWN(SUMIF(Q196:Q202, "1", F196:F202), 0)</f>
        <v>9208</v>
      </c>
      <c r="G203" s="93"/>
      <c r="H203" s="93">
        <f>ROUNDDOWN(SUMIF(Q196:Q202, "1", H196:H202), 0)</f>
        <v>16091</v>
      </c>
      <c r="I203" s="93"/>
      <c r="J203" s="93">
        <f>ROUNDDOWN(SUMIF(Q196:Q202, "1", J196:J202), 0)</f>
        <v>0</v>
      </c>
      <c r="K203" s="93"/>
      <c r="L203" s="93">
        <f>F203+H203+J203</f>
        <v>25299</v>
      </c>
      <c r="M203" s="91"/>
    </row>
    <row r="204" spans="1:21" ht="23.1" customHeight="1">
      <c r="A204" s="85"/>
      <c r="B204" s="85"/>
      <c r="C204" s="83"/>
      <c r="D204" s="84"/>
      <c r="E204" s="84"/>
      <c r="F204" s="84"/>
      <c r="G204" s="84"/>
      <c r="H204" s="84"/>
      <c r="I204" s="84"/>
      <c r="J204" s="84"/>
      <c r="K204" s="84"/>
      <c r="L204" s="84"/>
      <c r="M204" s="85"/>
    </row>
    <row r="205" spans="1:21" ht="23.1" customHeight="1">
      <c r="A205" s="235" t="s">
        <v>1103</v>
      </c>
      <c r="B205" s="236"/>
      <c r="C205" s="236"/>
      <c r="D205" s="236"/>
      <c r="E205" s="236"/>
      <c r="F205" s="236"/>
      <c r="G205" s="236"/>
      <c r="H205" s="236"/>
      <c r="I205" s="236"/>
      <c r="J205" s="236"/>
      <c r="K205" s="236"/>
      <c r="L205" s="236"/>
      <c r="M205" s="120"/>
    </row>
    <row r="206" spans="1:21" ht="23.1" customHeight="1">
      <c r="A206" s="81" t="s">
        <v>1086</v>
      </c>
      <c r="B206" s="81" t="s">
        <v>1104</v>
      </c>
      <c r="C206" s="82" t="s">
        <v>742</v>
      </c>
      <c r="D206" s="84">
        <v>1.05</v>
      </c>
      <c r="E206" s="84">
        <f>ROUNDDOWN(단가대비표!L15, 0)</f>
        <v>11953</v>
      </c>
      <c r="F206" s="84">
        <f>ROUNDDOWN(D206*E206, 1)</f>
        <v>12550.6</v>
      </c>
      <c r="G206" s="84">
        <v>0</v>
      </c>
      <c r="H206" s="84">
        <f>ROUNDDOWN(D206*G206, 1)</f>
        <v>0</v>
      </c>
      <c r="I206" s="84">
        <v>0</v>
      </c>
      <c r="J206" s="84">
        <f>ROUNDDOWN(D206*I206, 1)</f>
        <v>0</v>
      </c>
      <c r="K206" s="84">
        <f t="shared" ref="K206:L212" si="21">E206+G206+I206</f>
        <v>11953</v>
      </c>
      <c r="L206" s="84">
        <f t="shared" si="21"/>
        <v>12550.6</v>
      </c>
      <c r="M206" s="85"/>
      <c r="O206" s="86" t="s">
        <v>1063</v>
      </c>
      <c r="P206" s="86" t="s">
        <v>678</v>
      </c>
      <c r="Q206" s="79">
        <v>1</v>
      </c>
    </row>
    <row r="207" spans="1:21" ht="23.1" customHeight="1">
      <c r="A207" s="143" t="s">
        <v>1088</v>
      </c>
      <c r="B207" s="144" t="str">
        <f>"보온재의 " &amp; N207*100 &amp; "%"</f>
        <v>보온재의 2%</v>
      </c>
      <c r="C207" s="145" t="s">
        <v>177</v>
      </c>
      <c r="D207" s="146">
        <v>1</v>
      </c>
      <c r="E207" s="146">
        <f>SUMIF(O206:O212, "04", F206:F212)</f>
        <v>12550.6</v>
      </c>
      <c r="F207" s="146">
        <f>ROUNDDOWN((E207)*N207, 1)</f>
        <v>251</v>
      </c>
      <c r="G207" s="146">
        <v>0</v>
      </c>
      <c r="H207" s="146">
        <v>0</v>
      </c>
      <c r="I207" s="146">
        <v>0</v>
      </c>
      <c r="J207" s="146">
        <v>0</v>
      </c>
      <c r="K207" s="146">
        <f t="shared" si="21"/>
        <v>12550.6</v>
      </c>
      <c r="L207" s="146">
        <f t="shared" si="21"/>
        <v>251</v>
      </c>
      <c r="M207" s="144"/>
      <c r="N207" s="147">
        <v>0.02</v>
      </c>
      <c r="P207" s="86" t="s">
        <v>678</v>
      </c>
      <c r="Q207" s="79">
        <v>1</v>
      </c>
      <c r="R207" s="86" t="s">
        <v>1089</v>
      </c>
      <c r="S207" s="86" t="s">
        <v>1064</v>
      </c>
      <c r="U207" s="162" t="s">
        <v>1412</v>
      </c>
    </row>
    <row r="208" spans="1:21" ht="23.1" customHeight="1">
      <c r="A208" s="81" t="s">
        <v>1086</v>
      </c>
      <c r="B208" s="81" t="s">
        <v>1090</v>
      </c>
      <c r="C208" s="82" t="s">
        <v>1091</v>
      </c>
      <c r="D208" s="84">
        <v>1.08</v>
      </c>
      <c r="E208" s="84">
        <f>ROUNDDOWN(단가대비표!L12, 0)</f>
        <v>1490</v>
      </c>
      <c r="F208" s="84">
        <f>ROUNDDOWN(D208*E208, 1)</f>
        <v>1609.2</v>
      </c>
      <c r="G208" s="84">
        <v>0</v>
      </c>
      <c r="H208" s="84">
        <f>ROUNDDOWN(D208*G208, 1)</f>
        <v>0</v>
      </c>
      <c r="I208" s="84">
        <v>0</v>
      </c>
      <c r="J208" s="84">
        <f>ROUNDDOWN(D208*I208, 1)</f>
        <v>0</v>
      </c>
      <c r="K208" s="84">
        <f t="shared" si="21"/>
        <v>1490</v>
      </c>
      <c r="L208" s="84">
        <f t="shared" si="21"/>
        <v>1609.2</v>
      </c>
      <c r="M208" s="85"/>
      <c r="O208" s="86" t="s">
        <v>558</v>
      </c>
      <c r="P208" s="86" t="s">
        <v>678</v>
      </c>
      <c r="Q208" s="79">
        <v>1</v>
      </c>
    </row>
    <row r="209" spans="1:21" ht="23.1" customHeight="1">
      <c r="A209" s="81" t="s">
        <v>1086</v>
      </c>
      <c r="B209" s="81" t="s">
        <v>1092</v>
      </c>
      <c r="C209" s="82" t="s">
        <v>742</v>
      </c>
      <c r="D209" s="84">
        <v>0.94</v>
      </c>
      <c r="E209" s="84">
        <f>ROUNDDOWN(단가대비표!L19, 0)</f>
        <v>278</v>
      </c>
      <c r="F209" s="84">
        <f>ROUNDDOWN(D209*E209, 1)</f>
        <v>261.3</v>
      </c>
      <c r="G209" s="84">
        <v>0</v>
      </c>
      <c r="H209" s="84">
        <f>ROUNDDOWN(D209*G209, 1)</f>
        <v>0</v>
      </c>
      <c r="I209" s="84">
        <v>0</v>
      </c>
      <c r="J209" s="84">
        <f>ROUNDDOWN(D209*I209, 1)</f>
        <v>0</v>
      </c>
      <c r="K209" s="84">
        <f t="shared" si="21"/>
        <v>278</v>
      </c>
      <c r="L209" s="84">
        <f t="shared" si="21"/>
        <v>261.3</v>
      </c>
      <c r="M209" s="85"/>
      <c r="O209" s="86" t="s">
        <v>558</v>
      </c>
      <c r="P209" s="86" t="s">
        <v>678</v>
      </c>
      <c r="Q209" s="79">
        <v>1</v>
      </c>
    </row>
    <row r="210" spans="1:21" ht="23.1" customHeight="1">
      <c r="A210" s="81" t="s">
        <v>1093</v>
      </c>
      <c r="B210" s="81" t="s">
        <v>733</v>
      </c>
      <c r="C210" s="82" t="s">
        <v>446</v>
      </c>
      <c r="D210" s="84">
        <f>0.111*75%</f>
        <v>8.3250000000000005E-2</v>
      </c>
      <c r="E210" s="84">
        <v>0</v>
      </c>
      <c r="F210" s="84">
        <f>ROUNDDOWN(D210*E210, 1)</f>
        <v>0</v>
      </c>
      <c r="G210" s="84">
        <f>ROUNDDOWN(단가대비표!L163, 0)</f>
        <v>191943</v>
      </c>
      <c r="H210" s="84">
        <f>ROUNDDOWN(D210*G210, 1)</f>
        <v>15979.2</v>
      </c>
      <c r="I210" s="84">
        <v>0</v>
      </c>
      <c r="J210" s="84">
        <f>ROUNDDOWN(D210*I210, 1)</f>
        <v>0</v>
      </c>
      <c r="K210" s="84">
        <f t="shared" si="21"/>
        <v>191943</v>
      </c>
      <c r="L210" s="84">
        <f t="shared" si="21"/>
        <v>15979.2</v>
      </c>
      <c r="M210" s="85"/>
      <c r="O210" s="86" t="s">
        <v>1094</v>
      </c>
      <c r="P210" s="86" t="s">
        <v>678</v>
      </c>
      <c r="Q210" s="79">
        <v>1</v>
      </c>
    </row>
    <row r="211" spans="1:21" ht="23.1" customHeight="1">
      <c r="A211" s="81" t="s">
        <v>452</v>
      </c>
      <c r="B211" s="81" t="s">
        <v>733</v>
      </c>
      <c r="C211" s="82" t="s">
        <v>446</v>
      </c>
      <c r="D211" s="84">
        <f>0.056*75%</f>
        <v>4.2000000000000003E-2</v>
      </c>
      <c r="E211" s="84">
        <v>0</v>
      </c>
      <c r="F211" s="84">
        <f>ROUNDDOWN(D211*E211, 1)</f>
        <v>0</v>
      </c>
      <c r="G211" s="84">
        <f>ROUNDDOWN(단가대비표!L164, 0)</f>
        <v>152500</v>
      </c>
      <c r="H211" s="84">
        <f>ROUNDDOWN(D211*G211, 1)</f>
        <v>6405</v>
      </c>
      <c r="I211" s="84">
        <v>0</v>
      </c>
      <c r="J211" s="84">
        <f>ROUNDDOWN(D211*I211, 1)</f>
        <v>0</v>
      </c>
      <c r="K211" s="84">
        <f t="shared" si="21"/>
        <v>152500</v>
      </c>
      <c r="L211" s="84">
        <f t="shared" si="21"/>
        <v>6405</v>
      </c>
      <c r="M211" s="85"/>
      <c r="O211" s="86" t="s">
        <v>1094</v>
      </c>
      <c r="P211" s="86" t="s">
        <v>678</v>
      </c>
      <c r="Q211" s="79">
        <v>1</v>
      </c>
    </row>
    <row r="212" spans="1:21" ht="23.1" customHeight="1">
      <c r="A212" s="143" t="s">
        <v>729</v>
      </c>
      <c r="B212" s="144" t="str">
        <f>"인력품의 " &amp; N212*100 &amp; "%"</f>
        <v>인력품의 1%</v>
      </c>
      <c r="C212" s="145" t="s">
        <v>177</v>
      </c>
      <c r="D212" s="146">
        <v>1</v>
      </c>
      <c r="E212" s="146">
        <f>SUMIF(O206:O212, "05", H206:H212)</f>
        <v>22384.2</v>
      </c>
      <c r="F212" s="146">
        <f>ROUNDDOWN((E212)*N212, 1)</f>
        <v>223.8</v>
      </c>
      <c r="G212" s="146">
        <v>0</v>
      </c>
      <c r="H212" s="146">
        <v>0</v>
      </c>
      <c r="I212" s="146">
        <v>0</v>
      </c>
      <c r="J212" s="146">
        <v>0</v>
      </c>
      <c r="K212" s="146">
        <f t="shared" si="21"/>
        <v>22384.2</v>
      </c>
      <c r="L212" s="146">
        <f t="shared" si="21"/>
        <v>223.8</v>
      </c>
      <c r="M212" s="144"/>
      <c r="N212" s="147">
        <v>0.01</v>
      </c>
      <c r="P212" s="86" t="s">
        <v>678</v>
      </c>
      <c r="Q212" s="79">
        <v>1</v>
      </c>
      <c r="R212" s="86" t="s">
        <v>730</v>
      </c>
      <c r="S212" s="86" t="s">
        <v>554</v>
      </c>
      <c r="U212" s="162" t="s">
        <v>1400</v>
      </c>
    </row>
    <row r="213" spans="1:21" ht="23.1" customHeight="1">
      <c r="A213" s="90" t="s">
        <v>734</v>
      </c>
      <c r="B213" s="91"/>
      <c r="C213" s="92"/>
      <c r="D213" s="93"/>
      <c r="E213" s="93"/>
      <c r="F213" s="93">
        <f>ROUNDDOWN(SUMIF(Q206:Q212, "1", F206:F212), 0)</f>
        <v>14895</v>
      </c>
      <c r="G213" s="93"/>
      <c r="H213" s="93">
        <f>ROUNDDOWN(SUMIF(Q206:Q212, "1", H206:H212), 0)</f>
        <v>22384</v>
      </c>
      <c r="I213" s="93"/>
      <c r="J213" s="93">
        <f>ROUNDDOWN(SUMIF(Q206:Q212, "1", J206:J212), 0)</f>
        <v>0</v>
      </c>
      <c r="K213" s="93"/>
      <c r="L213" s="93">
        <f>F213+H213+J213</f>
        <v>37279</v>
      </c>
      <c r="M213" s="91"/>
    </row>
    <row r="214" spans="1:21" ht="23.1" customHeight="1">
      <c r="A214" s="85"/>
      <c r="B214" s="85"/>
      <c r="C214" s="83"/>
      <c r="D214" s="84"/>
      <c r="E214" s="84"/>
      <c r="F214" s="84"/>
      <c r="G214" s="84"/>
      <c r="H214" s="84"/>
      <c r="I214" s="84"/>
      <c r="J214" s="84"/>
      <c r="K214" s="84"/>
      <c r="L214" s="84"/>
      <c r="M214" s="85"/>
    </row>
    <row r="215" spans="1:21" ht="23.1" customHeight="1">
      <c r="A215" s="235" t="s">
        <v>1105</v>
      </c>
      <c r="B215" s="236"/>
      <c r="C215" s="236"/>
      <c r="D215" s="236"/>
      <c r="E215" s="236"/>
      <c r="F215" s="236"/>
      <c r="G215" s="236"/>
      <c r="H215" s="236"/>
      <c r="I215" s="236"/>
      <c r="J215" s="236"/>
      <c r="K215" s="236"/>
      <c r="L215" s="236"/>
      <c r="M215" s="120"/>
    </row>
    <row r="216" spans="1:21" ht="23.1" customHeight="1">
      <c r="A216" s="81" t="s">
        <v>1106</v>
      </c>
      <c r="B216" s="81" t="s">
        <v>1107</v>
      </c>
      <c r="C216" s="82" t="s">
        <v>1108</v>
      </c>
      <c r="D216" s="84">
        <v>0.161</v>
      </c>
      <c r="E216" s="84">
        <f>ROUNDDOWN(단가대비표!L43, 0)</f>
        <v>9870</v>
      </c>
      <c r="F216" s="84">
        <f>ROUNDDOWN(D216*E216, 1)</f>
        <v>1589</v>
      </c>
      <c r="G216" s="84">
        <v>0</v>
      </c>
      <c r="H216" s="84">
        <f>ROUNDDOWN(D216*G216, 1)</f>
        <v>0</v>
      </c>
      <c r="I216" s="84">
        <v>0</v>
      </c>
      <c r="J216" s="84">
        <f>ROUNDDOWN(D216*I216, 1)</f>
        <v>0</v>
      </c>
      <c r="K216" s="84">
        <f t="shared" ref="K216:L220" si="22">E216+G216+I216</f>
        <v>9870</v>
      </c>
      <c r="L216" s="84">
        <f t="shared" si="22"/>
        <v>1589</v>
      </c>
      <c r="M216" s="85"/>
      <c r="O216" s="86" t="s">
        <v>1094</v>
      </c>
      <c r="P216" s="86" t="s">
        <v>678</v>
      </c>
      <c r="Q216" s="79">
        <v>1</v>
      </c>
    </row>
    <row r="217" spans="1:21" ht="23.1" customHeight="1">
      <c r="A217" s="81" t="s">
        <v>1109</v>
      </c>
      <c r="B217" s="81" t="s">
        <v>1110</v>
      </c>
      <c r="C217" s="82" t="s">
        <v>1108</v>
      </c>
      <c r="D217" s="84">
        <v>8.0000000000000002E-3</v>
      </c>
      <c r="E217" s="84">
        <f>ROUNDDOWN(단가대비표!L87, 0)</f>
        <v>2065</v>
      </c>
      <c r="F217" s="84">
        <f>ROUNDDOWN(D217*E217, 1)</f>
        <v>16.5</v>
      </c>
      <c r="G217" s="84">
        <v>0</v>
      </c>
      <c r="H217" s="84">
        <f>ROUNDDOWN(D217*G217, 1)</f>
        <v>0</v>
      </c>
      <c r="I217" s="84">
        <v>0</v>
      </c>
      <c r="J217" s="84">
        <f>ROUNDDOWN(D217*I217, 1)</f>
        <v>0</v>
      </c>
      <c r="K217" s="84">
        <f t="shared" si="22"/>
        <v>2065</v>
      </c>
      <c r="L217" s="84">
        <f t="shared" si="22"/>
        <v>16.5</v>
      </c>
      <c r="M217" s="85"/>
      <c r="O217" s="86" t="s">
        <v>1094</v>
      </c>
      <c r="P217" s="86" t="s">
        <v>678</v>
      </c>
      <c r="Q217" s="79">
        <v>1</v>
      </c>
    </row>
    <row r="218" spans="1:21" ht="23.1" customHeight="1">
      <c r="A218" s="81" t="s">
        <v>1111</v>
      </c>
      <c r="B218" s="81" t="s">
        <v>733</v>
      </c>
      <c r="C218" s="82" t="s">
        <v>446</v>
      </c>
      <c r="D218" s="84">
        <v>0.03</v>
      </c>
      <c r="E218" s="84">
        <v>0</v>
      </c>
      <c r="F218" s="84">
        <f>ROUNDDOWN(D218*E218, 1)</f>
        <v>0</v>
      </c>
      <c r="G218" s="84">
        <f>ROUNDDOWN(단가대비표!L161, 0)</f>
        <v>217371</v>
      </c>
      <c r="H218" s="84">
        <f>ROUNDDOWN(D218*G218, 1)</f>
        <v>6521.1</v>
      </c>
      <c r="I218" s="84">
        <v>0</v>
      </c>
      <c r="J218" s="84">
        <f>ROUNDDOWN(D218*I218, 1)</f>
        <v>0</v>
      </c>
      <c r="K218" s="84">
        <f t="shared" si="22"/>
        <v>217371</v>
      </c>
      <c r="L218" s="84">
        <f t="shared" si="22"/>
        <v>6521.1</v>
      </c>
      <c r="M218" s="85"/>
      <c r="O218" s="86" t="s">
        <v>1046</v>
      </c>
      <c r="P218" s="86" t="s">
        <v>678</v>
      </c>
      <c r="Q218" s="79">
        <v>1</v>
      </c>
    </row>
    <row r="219" spans="1:21" ht="23.1" customHeight="1">
      <c r="A219" s="81" t="s">
        <v>452</v>
      </c>
      <c r="B219" s="81" t="s">
        <v>733</v>
      </c>
      <c r="C219" s="82" t="s">
        <v>446</v>
      </c>
      <c r="D219" s="84">
        <f>0.006*75%</f>
        <v>4.5000000000000005E-3</v>
      </c>
      <c r="E219" s="84">
        <v>0</v>
      </c>
      <c r="F219" s="84">
        <f>ROUNDDOWN(D219*E219, 1)</f>
        <v>0</v>
      </c>
      <c r="G219" s="84">
        <f>ROUNDDOWN(단가대비표!L164, 0)</f>
        <v>152500</v>
      </c>
      <c r="H219" s="84">
        <f>ROUNDDOWN(D219*G219, 1)</f>
        <v>686.2</v>
      </c>
      <c r="I219" s="84">
        <v>0</v>
      </c>
      <c r="J219" s="84">
        <f>ROUNDDOWN(D219*I219, 1)</f>
        <v>0</v>
      </c>
      <c r="K219" s="84">
        <f t="shared" si="22"/>
        <v>152500</v>
      </c>
      <c r="L219" s="84">
        <f t="shared" si="22"/>
        <v>686.2</v>
      </c>
      <c r="M219" s="85"/>
      <c r="O219" s="86" t="s">
        <v>1046</v>
      </c>
      <c r="P219" s="86" t="s">
        <v>678</v>
      </c>
      <c r="Q219" s="79">
        <v>1</v>
      </c>
    </row>
    <row r="220" spans="1:21" ht="23.1" customHeight="1">
      <c r="A220" s="81" t="s">
        <v>1112</v>
      </c>
      <c r="B220" s="85" t="str">
        <f>"인력품의 " &amp; N220*100 &amp; "%"</f>
        <v>인력품의 2%</v>
      </c>
      <c r="C220" s="82" t="s">
        <v>177</v>
      </c>
      <c r="D220" s="84">
        <v>1</v>
      </c>
      <c r="E220" s="84">
        <f>SUMIF(O216:O220, "02", H216:H220)</f>
        <v>7207.3</v>
      </c>
      <c r="F220" s="84">
        <f>ROUNDDOWN((E220)*N220, 1)</f>
        <v>144.1</v>
      </c>
      <c r="G220" s="84">
        <v>0</v>
      </c>
      <c r="H220" s="84">
        <v>0</v>
      </c>
      <c r="I220" s="84">
        <v>0</v>
      </c>
      <c r="J220" s="84">
        <v>0</v>
      </c>
      <c r="K220" s="84">
        <f t="shared" si="22"/>
        <v>7207.3</v>
      </c>
      <c r="L220" s="84">
        <f t="shared" si="22"/>
        <v>144.1</v>
      </c>
      <c r="M220" s="85"/>
      <c r="N220" s="79">
        <v>0.02</v>
      </c>
      <c r="P220" s="86" t="s">
        <v>678</v>
      </c>
      <c r="Q220" s="79">
        <v>1</v>
      </c>
      <c r="R220" s="86" t="s">
        <v>730</v>
      </c>
      <c r="S220" s="86" t="s">
        <v>731</v>
      </c>
    </row>
    <row r="221" spans="1:21" ht="23.1" customHeight="1">
      <c r="A221" s="90" t="s">
        <v>734</v>
      </c>
      <c r="B221" s="91"/>
      <c r="C221" s="92"/>
      <c r="D221" s="93"/>
      <c r="E221" s="93"/>
      <c r="F221" s="93">
        <f>ROUNDDOWN(SUMIF(Q216:Q220, "1", F216:F220), 0)</f>
        <v>1749</v>
      </c>
      <c r="G221" s="93"/>
      <c r="H221" s="93">
        <f>ROUNDDOWN(SUMIF(Q216:Q220, "1", H216:H220), 0)</f>
        <v>7207</v>
      </c>
      <c r="I221" s="93"/>
      <c r="J221" s="93">
        <f>ROUNDDOWN(SUMIF(Q216:Q220, "1", J216:J220), 0)</f>
        <v>0</v>
      </c>
      <c r="K221" s="93"/>
      <c r="L221" s="93">
        <f>F221+H221+J221</f>
        <v>8956</v>
      </c>
      <c r="M221" s="91"/>
    </row>
    <row r="222" spans="1:21" ht="23.1" customHeight="1">
      <c r="A222" s="85"/>
      <c r="B222" s="85"/>
      <c r="C222" s="83"/>
      <c r="D222" s="84"/>
      <c r="E222" s="84"/>
      <c r="F222" s="84"/>
      <c r="G222" s="84"/>
      <c r="H222" s="84"/>
      <c r="I222" s="84"/>
      <c r="J222" s="84"/>
      <c r="K222" s="84"/>
      <c r="L222" s="84"/>
      <c r="M222" s="85"/>
    </row>
    <row r="223" spans="1:21" ht="23.1" customHeight="1">
      <c r="A223" s="235" t="s">
        <v>1113</v>
      </c>
      <c r="B223" s="236"/>
      <c r="C223" s="236"/>
      <c r="D223" s="236"/>
      <c r="E223" s="236"/>
      <c r="F223" s="236"/>
      <c r="G223" s="236"/>
      <c r="H223" s="236"/>
      <c r="I223" s="236"/>
      <c r="J223" s="236"/>
      <c r="K223" s="236"/>
      <c r="L223" s="236"/>
      <c r="M223" s="120"/>
    </row>
    <row r="224" spans="1:21" ht="23.1" customHeight="1">
      <c r="A224" s="81" t="s">
        <v>1114</v>
      </c>
      <c r="B224" s="81" t="s">
        <v>1115</v>
      </c>
      <c r="C224" s="82" t="s">
        <v>343</v>
      </c>
      <c r="D224" s="84">
        <v>1</v>
      </c>
      <c r="E224" s="84">
        <f>ROUNDDOWN(단가대비표!L77, 0)</f>
        <v>111364</v>
      </c>
      <c r="F224" s="84">
        <f t="shared" ref="F224:F229" si="23">ROUNDDOWN(D224*E224, 1)</f>
        <v>111364</v>
      </c>
      <c r="G224" s="84">
        <v>0</v>
      </c>
      <c r="H224" s="84">
        <f t="shared" ref="H224:H229" si="24">ROUNDDOWN(D224*G224, 1)</f>
        <v>0</v>
      </c>
      <c r="I224" s="84">
        <v>0</v>
      </c>
      <c r="J224" s="84">
        <f t="shared" ref="J224:J229" si="25">ROUNDDOWN(D224*I224, 1)</f>
        <v>0</v>
      </c>
      <c r="K224" s="84">
        <f t="shared" ref="K224:L229" si="26">E224+G224+I224</f>
        <v>111364</v>
      </c>
      <c r="L224" s="84">
        <f t="shared" si="26"/>
        <v>111364</v>
      </c>
      <c r="M224" s="85"/>
      <c r="O224" s="86" t="s">
        <v>558</v>
      </c>
      <c r="P224" s="86" t="s">
        <v>678</v>
      </c>
      <c r="Q224" s="79">
        <v>1</v>
      </c>
    </row>
    <row r="225" spans="1:17" ht="23.1" customHeight="1">
      <c r="A225" s="81" t="s">
        <v>1116</v>
      </c>
      <c r="B225" s="81" t="s">
        <v>1117</v>
      </c>
      <c r="C225" s="82" t="s">
        <v>343</v>
      </c>
      <c r="D225" s="84">
        <v>2</v>
      </c>
      <c r="E225" s="84">
        <f>ROUNDDOWN(단가대비표!L72, 0)</f>
        <v>42659</v>
      </c>
      <c r="F225" s="84">
        <f t="shared" si="23"/>
        <v>85318</v>
      </c>
      <c r="G225" s="84">
        <v>0</v>
      </c>
      <c r="H225" s="84">
        <f t="shared" si="24"/>
        <v>0</v>
      </c>
      <c r="I225" s="84">
        <v>0</v>
      </c>
      <c r="J225" s="84">
        <f t="shared" si="25"/>
        <v>0</v>
      </c>
      <c r="K225" s="84">
        <f t="shared" si="26"/>
        <v>42659</v>
      </c>
      <c r="L225" s="84">
        <f t="shared" si="26"/>
        <v>85318</v>
      </c>
      <c r="M225" s="85"/>
      <c r="O225" s="86" t="s">
        <v>558</v>
      </c>
      <c r="P225" s="86" t="s">
        <v>678</v>
      </c>
      <c r="Q225" s="79">
        <v>1</v>
      </c>
    </row>
    <row r="226" spans="1:17" ht="23.1" customHeight="1">
      <c r="A226" s="81" t="s">
        <v>861</v>
      </c>
      <c r="B226" s="81" t="s">
        <v>1118</v>
      </c>
      <c r="C226" s="82" t="s">
        <v>343</v>
      </c>
      <c r="D226" s="84">
        <v>1</v>
      </c>
      <c r="E226" s="84">
        <f>ROUNDDOWN(단가대비표!L66, 0)</f>
        <v>23799</v>
      </c>
      <c r="F226" s="84">
        <f t="shared" si="23"/>
        <v>23799</v>
      </c>
      <c r="G226" s="84">
        <v>0</v>
      </c>
      <c r="H226" s="84">
        <f t="shared" si="24"/>
        <v>0</v>
      </c>
      <c r="I226" s="84">
        <v>0</v>
      </c>
      <c r="J226" s="84">
        <f t="shared" si="25"/>
        <v>0</v>
      </c>
      <c r="K226" s="84">
        <f t="shared" si="26"/>
        <v>23799</v>
      </c>
      <c r="L226" s="84">
        <f t="shared" si="26"/>
        <v>23799</v>
      </c>
      <c r="M226" s="85"/>
      <c r="O226" s="86" t="s">
        <v>558</v>
      </c>
      <c r="P226" s="86" t="s">
        <v>678</v>
      </c>
      <c r="Q226" s="79">
        <v>1</v>
      </c>
    </row>
    <row r="227" spans="1:17" ht="23.1" customHeight="1">
      <c r="A227" s="81" t="s">
        <v>1119</v>
      </c>
      <c r="B227" s="81" t="s">
        <v>1120</v>
      </c>
      <c r="C227" s="82" t="s">
        <v>343</v>
      </c>
      <c r="D227" s="84">
        <v>1</v>
      </c>
      <c r="E227" s="84">
        <f>ROUNDDOWN(단가대비표!L73, 0)</f>
        <v>6286</v>
      </c>
      <c r="F227" s="84">
        <f t="shared" si="23"/>
        <v>6286</v>
      </c>
      <c r="G227" s="84">
        <v>0</v>
      </c>
      <c r="H227" s="84">
        <f t="shared" si="24"/>
        <v>0</v>
      </c>
      <c r="I227" s="84">
        <v>0</v>
      </c>
      <c r="J227" s="84">
        <f t="shared" si="25"/>
        <v>0</v>
      </c>
      <c r="K227" s="84">
        <f t="shared" si="26"/>
        <v>6286</v>
      </c>
      <c r="L227" s="84">
        <f t="shared" si="26"/>
        <v>6286</v>
      </c>
      <c r="M227" s="85"/>
      <c r="O227" s="86" t="s">
        <v>558</v>
      </c>
      <c r="P227" s="86" t="s">
        <v>678</v>
      </c>
      <c r="Q227" s="79">
        <v>1</v>
      </c>
    </row>
    <row r="228" spans="1:17" ht="23.1" customHeight="1">
      <c r="A228" s="81" t="s">
        <v>838</v>
      </c>
      <c r="B228" s="81" t="s">
        <v>733</v>
      </c>
      <c r="C228" s="82" t="s">
        <v>446</v>
      </c>
      <c r="D228" s="84">
        <f>0.816*75%</f>
        <v>0.61199999999999999</v>
      </c>
      <c r="E228" s="84">
        <v>0</v>
      </c>
      <c r="F228" s="84">
        <f t="shared" si="23"/>
        <v>0</v>
      </c>
      <c r="G228" s="84">
        <f>ROUNDDOWN(단가대비표!L162, 0)</f>
        <v>213878</v>
      </c>
      <c r="H228" s="84">
        <f t="shared" si="24"/>
        <v>130893.3</v>
      </c>
      <c r="I228" s="84">
        <v>0</v>
      </c>
      <c r="J228" s="84">
        <f t="shared" si="25"/>
        <v>0</v>
      </c>
      <c r="K228" s="84">
        <f t="shared" si="26"/>
        <v>213878</v>
      </c>
      <c r="L228" s="84">
        <f t="shared" si="26"/>
        <v>130893.3</v>
      </c>
      <c r="M228" s="85"/>
      <c r="O228" s="86" t="s">
        <v>1063</v>
      </c>
      <c r="P228" s="86" t="s">
        <v>678</v>
      </c>
      <c r="Q228" s="79">
        <v>1</v>
      </c>
    </row>
    <row r="229" spans="1:17" ht="23.1" customHeight="1">
      <c r="A229" s="81" t="s">
        <v>452</v>
      </c>
      <c r="B229" s="81" t="s">
        <v>733</v>
      </c>
      <c r="C229" s="82" t="s">
        <v>446</v>
      </c>
      <c r="D229" s="84">
        <f>0.338*75%</f>
        <v>0.2535</v>
      </c>
      <c r="E229" s="84">
        <v>0</v>
      </c>
      <c r="F229" s="84">
        <f t="shared" si="23"/>
        <v>0</v>
      </c>
      <c r="G229" s="84">
        <f>ROUNDDOWN(단가대비표!L164, 0)</f>
        <v>152500</v>
      </c>
      <c r="H229" s="84">
        <f t="shared" si="24"/>
        <v>38658.699999999997</v>
      </c>
      <c r="I229" s="84">
        <v>0</v>
      </c>
      <c r="J229" s="84">
        <f t="shared" si="25"/>
        <v>0</v>
      </c>
      <c r="K229" s="84">
        <f t="shared" si="26"/>
        <v>152500</v>
      </c>
      <c r="L229" s="84">
        <f t="shared" si="26"/>
        <v>38658.699999999997</v>
      </c>
      <c r="M229" s="85"/>
      <c r="O229" s="86" t="s">
        <v>1063</v>
      </c>
      <c r="P229" s="86" t="s">
        <v>678</v>
      </c>
      <c r="Q229" s="79">
        <v>1</v>
      </c>
    </row>
    <row r="230" spans="1:17" ht="23.1" customHeight="1">
      <c r="A230" s="90" t="s">
        <v>734</v>
      </c>
      <c r="B230" s="91"/>
      <c r="C230" s="92"/>
      <c r="D230" s="93"/>
      <c r="E230" s="93"/>
      <c r="F230" s="93">
        <f>ROUNDDOWN(SUMIF(Q224:Q229, "1", F224:F229), 0)</f>
        <v>226767</v>
      </c>
      <c r="G230" s="93"/>
      <c r="H230" s="93">
        <f>ROUNDDOWN(SUMIF(Q224:Q229, "1", H224:H229), 0)</f>
        <v>169552</v>
      </c>
      <c r="I230" s="93"/>
      <c r="J230" s="93">
        <f>ROUNDDOWN(SUMIF(Q224:Q229, "1", J224:J229), 0)</f>
        <v>0</v>
      </c>
      <c r="K230" s="93"/>
      <c r="L230" s="93">
        <f>F230+H230+J230</f>
        <v>396319</v>
      </c>
      <c r="M230" s="91"/>
    </row>
    <row r="231" spans="1:17" ht="23.1" customHeight="1">
      <c r="A231" s="85"/>
      <c r="B231" s="85"/>
      <c r="C231" s="83"/>
      <c r="D231" s="84"/>
      <c r="E231" s="84"/>
      <c r="F231" s="84"/>
      <c r="G231" s="84"/>
      <c r="H231" s="84"/>
      <c r="I231" s="84"/>
      <c r="J231" s="84"/>
      <c r="K231" s="84"/>
      <c r="L231" s="84"/>
      <c r="M231" s="85"/>
    </row>
    <row r="232" spans="1:17" ht="23.1" customHeight="1">
      <c r="A232" s="235" t="s">
        <v>1121</v>
      </c>
      <c r="B232" s="236"/>
      <c r="C232" s="236"/>
      <c r="D232" s="236"/>
      <c r="E232" s="236"/>
      <c r="F232" s="236"/>
      <c r="G232" s="236"/>
      <c r="H232" s="236"/>
      <c r="I232" s="236"/>
      <c r="J232" s="236"/>
      <c r="K232" s="236"/>
      <c r="L232" s="236"/>
      <c r="M232" s="120"/>
    </row>
    <row r="233" spans="1:17" ht="23.1" customHeight="1">
      <c r="A233" s="81" t="s">
        <v>1122</v>
      </c>
      <c r="B233" s="81" t="s">
        <v>1123</v>
      </c>
      <c r="C233" s="82" t="s">
        <v>343</v>
      </c>
      <c r="D233" s="84">
        <v>1</v>
      </c>
      <c r="E233" s="84">
        <f>ROUNDDOWN(단가대비표!L147, 0)</f>
        <v>2990</v>
      </c>
      <c r="F233" s="84">
        <f>ROUNDDOWN(D233*E233, 1)</f>
        <v>2990</v>
      </c>
      <c r="G233" s="84">
        <v>0</v>
      </c>
      <c r="H233" s="84">
        <f>ROUNDDOWN(D233*G233, 1)</f>
        <v>0</v>
      </c>
      <c r="I233" s="84">
        <v>0</v>
      </c>
      <c r="J233" s="84">
        <f>ROUNDDOWN(D233*I233, 1)</f>
        <v>0</v>
      </c>
      <c r="K233" s="84">
        <f t="shared" ref="K233:L237" si="27">E233+G233+I233</f>
        <v>2990</v>
      </c>
      <c r="L233" s="84">
        <f t="shared" si="27"/>
        <v>2990</v>
      </c>
      <c r="M233" s="85"/>
      <c r="O233" s="86" t="s">
        <v>558</v>
      </c>
      <c r="P233" s="86" t="s">
        <v>678</v>
      </c>
      <c r="Q233" s="79">
        <v>1</v>
      </c>
    </row>
    <row r="234" spans="1:17" ht="23.1" customHeight="1">
      <c r="A234" s="81" t="s">
        <v>1124</v>
      </c>
      <c r="B234" s="81" t="s">
        <v>1125</v>
      </c>
      <c r="C234" s="82" t="s">
        <v>343</v>
      </c>
      <c r="D234" s="84">
        <v>4</v>
      </c>
      <c r="E234" s="84">
        <f>ROUNDDOWN(단가대비표!L58, 0)</f>
        <v>402</v>
      </c>
      <c r="F234" s="84">
        <f>ROUNDDOWN(D234*E234, 1)</f>
        <v>1608</v>
      </c>
      <c r="G234" s="84">
        <v>0</v>
      </c>
      <c r="H234" s="84">
        <f>ROUNDDOWN(D234*G234, 1)</f>
        <v>0</v>
      </c>
      <c r="I234" s="84">
        <v>0</v>
      </c>
      <c r="J234" s="84">
        <f>ROUNDDOWN(D234*I234, 1)</f>
        <v>0</v>
      </c>
      <c r="K234" s="84">
        <f t="shared" si="27"/>
        <v>402</v>
      </c>
      <c r="L234" s="84">
        <f t="shared" si="27"/>
        <v>1608</v>
      </c>
      <c r="M234" s="85"/>
      <c r="O234" s="86" t="s">
        <v>558</v>
      </c>
      <c r="P234" s="86" t="s">
        <v>678</v>
      </c>
      <c r="Q234" s="79">
        <v>1</v>
      </c>
    </row>
    <row r="235" spans="1:17" ht="23.1" customHeight="1">
      <c r="A235" s="81" t="s">
        <v>1126</v>
      </c>
      <c r="B235" s="81" t="s">
        <v>1127</v>
      </c>
      <c r="C235" s="82" t="s">
        <v>343</v>
      </c>
      <c r="D235" s="84">
        <v>4</v>
      </c>
      <c r="E235" s="84">
        <f>ROUNDDOWN(단가대비표!L138, 0)</f>
        <v>36</v>
      </c>
      <c r="F235" s="84">
        <f>ROUNDDOWN(D235*E235, 1)</f>
        <v>144</v>
      </c>
      <c r="G235" s="84">
        <v>0</v>
      </c>
      <c r="H235" s="84">
        <f>ROUNDDOWN(D235*G235, 1)</f>
        <v>0</v>
      </c>
      <c r="I235" s="84">
        <v>0</v>
      </c>
      <c r="J235" s="84">
        <f>ROUNDDOWN(D235*I235, 1)</f>
        <v>0</v>
      </c>
      <c r="K235" s="84">
        <f t="shared" si="27"/>
        <v>36</v>
      </c>
      <c r="L235" s="84">
        <f t="shared" si="27"/>
        <v>144</v>
      </c>
      <c r="M235" s="85"/>
      <c r="O235" s="86" t="s">
        <v>558</v>
      </c>
      <c r="P235" s="86" t="s">
        <v>678</v>
      </c>
      <c r="Q235" s="79">
        <v>1</v>
      </c>
    </row>
    <row r="236" spans="1:17" ht="23.1" customHeight="1">
      <c r="A236" s="81" t="s">
        <v>1128</v>
      </c>
      <c r="B236" s="81" t="s">
        <v>1129</v>
      </c>
      <c r="C236" s="82" t="s">
        <v>343</v>
      </c>
      <c r="D236" s="84">
        <v>1</v>
      </c>
      <c r="E236" s="84">
        <f>ROUNDDOWN(단가대비표!L135, 0)</f>
        <v>485</v>
      </c>
      <c r="F236" s="84">
        <f>ROUNDDOWN(D236*E236, 1)</f>
        <v>485</v>
      </c>
      <c r="G236" s="84">
        <v>0</v>
      </c>
      <c r="H236" s="84">
        <f>ROUNDDOWN(D236*G236, 1)</f>
        <v>0</v>
      </c>
      <c r="I236" s="84">
        <v>0</v>
      </c>
      <c r="J236" s="84">
        <f>ROUNDDOWN(D236*I236, 1)</f>
        <v>0</v>
      </c>
      <c r="K236" s="84">
        <f t="shared" si="27"/>
        <v>485</v>
      </c>
      <c r="L236" s="84">
        <f t="shared" si="27"/>
        <v>485</v>
      </c>
      <c r="M236" s="85"/>
      <c r="O236" s="86" t="s">
        <v>558</v>
      </c>
      <c r="P236" s="86" t="s">
        <v>678</v>
      </c>
      <c r="Q236" s="79">
        <v>1</v>
      </c>
    </row>
    <row r="237" spans="1:17" ht="23.1" customHeight="1">
      <c r="A237" s="81" t="s">
        <v>767</v>
      </c>
      <c r="B237" s="81" t="s">
        <v>771</v>
      </c>
      <c r="C237" s="82" t="s">
        <v>769</v>
      </c>
      <c r="D237" s="84">
        <v>1</v>
      </c>
      <c r="E237" s="84">
        <f>ROUNDDOWN(일위대가목록!G22, 0)</f>
        <v>234</v>
      </c>
      <c r="F237" s="84">
        <f>ROUNDDOWN(D237*E237, 1)</f>
        <v>234</v>
      </c>
      <c r="G237" s="84">
        <f>ROUNDDOWN(일위대가목록!I22, 0)</f>
        <v>13123</v>
      </c>
      <c r="H237" s="84">
        <f>ROUNDDOWN(D237*G237, 1)</f>
        <v>13123</v>
      </c>
      <c r="I237" s="84">
        <f>ROUNDDOWN(일위대가목록!K22, 0)</f>
        <v>16</v>
      </c>
      <c r="J237" s="84">
        <f>ROUNDDOWN(D237*I237, 1)</f>
        <v>16</v>
      </c>
      <c r="K237" s="84">
        <f t="shared" si="27"/>
        <v>13373</v>
      </c>
      <c r="L237" s="84">
        <f t="shared" si="27"/>
        <v>13373</v>
      </c>
      <c r="M237" s="85"/>
      <c r="P237" s="86" t="s">
        <v>678</v>
      </c>
      <c r="Q237" s="79">
        <v>1</v>
      </c>
    </row>
    <row r="238" spans="1:17" ht="23.1" customHeight="1">
      <c r="A238" s="90" t="s">
        <v>734</v>
      </c>
      <c r="B238" s="91"/>
      <c r="C238" s="92"/>
      <c r="D238" s="93"/>
      <c r="E238" s="93"/>
      <c r="F238" s="93">
        <f>ROUNDDOWN(SUMIF(Q233:Q237, "1", F233:F237), 0)</f>
        <v>5461</v>
      </c>
      <c r="G238" s="93"/>
      <c r="H238" s="93">
        <f>ROUNDDOWN(SUMIF(Q233:Q237, "1", H233:H237), 0)</f>
        <v>13123</v>
      </c>
      <c r="I238" s="93"/>
      <c r="J238" s="93">
        <f>ROUNDDOWN(SUMIF(Q233:Q237, "1", J233:J237), 0)</f>
        <v>16</v>
      </c>
      <c r="K238" s="93"/>
      <c r="L238" s="93">
        <f>F238+H238+J238</f>
        <v>18600</v>
      </c>
      <c r="M238" s="91"/>
    </row>
    <row r="239" spans="1:17" ht="23.1" customHeight="1">
      <c r="A239" s="85"/>
      <c r="B239" s="85"/>
      <c r="C239" s="83"/>
      <c r="D239" s="84"/>
      <c r="E239" s="84"/>
      <c r="F239" s="84"/>
      <c r="G239" s="84"/>
      <c r="H239" s="84"/>
      <c r="I239" s="84"/>
      <c r="J239" s="84"/>
      <c r="K239" s="84"/>
      <c r="L239" s="84"/>
      <c r="M239" s="85"/>
    </row>
    <row r="240" spans="1:17" ht="23.1" customHeight="1">
      <c r="A240" s="235" t="s">
        <v>1130</v>
      </c>
      <c r="B240" s="236"/>
      <c r="C240" s="236"/>
      <c r="D240" s="236"/>
      <c r="E240" s="236"/>
      <c r="F240" s="236"/>
      <c r="G240" s="236"/>
      <c r="H240" s="236"/>
      <c r="I240" s="236"/>
      <c r="J240" s="236"/>
      <c r="K240" s="236"/>
      <c r="L240" s="236"/>
      <c r="M240" s="120"/>
    </row>
    <row r="241" spans="1:17" ht="23.1" customHeight="1">
      <c r="A241" s="81" t="s">
        <v>1122</v>
      </c>
      <c r="B241" s="81" t="s">
        <v>1131</v>
      </c>
      <c r="C241" s="82" t="s">
        <v>343</v>
      </c>
      <c r="D241" s="84">
        <v>1</v>
      </c>
      <c r="E241" s="84">
        <f>ROUNDDOWN(단가대비표!L148, 0)</f>
        <v>3565</v>
      </c>
      <c r="F241" s="84">
        <f>ROUNDDOWN(D241*E241, 1)</f>
        <v>3565</v>
      </c>
      <c r="G241" s="84">
        <v>0</v>
      </c>
      <c r="H241" s="84">
        <f>ROUNDDOWN(D241*G241, 1)</f>
        <v>0</v>
      </c>
      <c r="I241" s="84">
        <v>0</v>
      </c>
      <c r="J241" s="84">
        <f>ROUNDDOWN(D241*I241, 1)</f>
        <v>0</v>
      </c>
      <c r="K241" s="84">
        <f t="shared" ref="K241:L245" si="28">E241+G241+I241</f>
        <v>3565</v>
      </c>
      <c r="L241" s="84">
        <f t="shared" si="28"/>
        <v>3565</v>
      </c>
      <c r="M241" s="85"/>
      <c r="O241" s="86" t="s">
        <v>558</v>
      </c>
      <c r="P241" s="86" t="s">
        <v>678</v>
      </c>
      <c r="Q241" s="79">
        <v>1</v>
      </c>
    </row>
    <row r="242" spans="1:17" ht="23.1" customHeight="1">
      <c r="A242" s="81" t="s">
        <v>1124</v>
      </c>
      <c r="B242" s="81" t="s">
        <v>1125</v>
      </c>
      <c r="C242" s="82" t="s">
        <v>343</v>
      </c>
      <c r="D242" s="84">
        <v>4</v>
      </c>
      <c r="E242" s="84">
        <f>ROUNDDOWN(단가대비표!L58, 0)</f>
        <v>402</v>
      </c>
      <c r="F242" s="84">
        <f>ROUNDDOWN(D242*E242, 1)</f>
        <v>1608</v>
      </c>
      <c r="G242" s="84">
        <v>0</v>
      </c>
      <c r="H242" s="84">
        <f>ROUNDDOWN(D242*G242, 1)</f>
        <v>0</v>
      </c>
      <c r="I242" s="84">
        <v>0</v>
      </c>
      <c r="J242" s="84">
        <f>ROUNDDOWN(D242*I242, 1)</f>
        <v>0</v>
      </c>
      <c r="K242" s="84">
        <f t="shared" si="28"/>
        <v>402</v>
      </c>
      <c r="L242" s="84">
        <f t="shared" si="28"/>
        <v>1608</v>
      </c>
      <c r="M242" s="85"/>
      <c r="O242" s="86" t="s">
        <v>558</v>
      </c>
      <c r="P242" s="86" t="s">
        <v>678</v>
      </c>
      <c r="Q242" s="79">
        <v>1</v>
      </c>
    </row>
    <row r="243" spans="1:17" ht="23.1" customHeight="1">
      <c r="A243" s="81" t="s">
        <v>1126</v>
      </c>
      <c r="B243" s="81" t="s">
        <v>1127</v>
      </c>
      <c r="C243" s="82" t="s">
        <v>343</v>
      </c>
      <c r="D243" s="84">
        <v>4</v>
      </c>
      <c r="E243" s="84">
        <f>ROUNDDOWN(단가대비표!L138, 0)</f>
        <v>36</v>
      </c>
      <c r="F243" s="84">
        <f>ROUNDDOWN(D243*E243, 1)</f>
        <v>144</v>
      </c>
      <c r="G243" s="84">
        <v>0</v>
      </c>
      <c r="H243" s="84">
        <f>ROUNDDOWN(D243*G243, 1)</f>
        <v>0</v>
      </c>
      <c r="I243" s="84">
        <v>0</v>
      </c>
      <c r="J243" s="84">
        <f>ROUNDDOWN(D243*I243, 1)</f>
        <v>0</v>
      </c>
      <c r="K243" s="84">
        <f t="shared" si="28"/>
        <v>36</v>
      </c>
      <c r="L243" s="84">
        <f t="shared" si="28"/>
        <v>144</v>
      </c>
      <c r="M243" s="85"/>
      <c r="O243" s="86" t="s">
        <v>558</v>
      </c>
      <c r="P243" s="86" t="s">
        <v>678</v>
      </c>
      <c r="Q243" s="79">
        <v>1</v>
      </c>
    </row>
    <row r="244" spans="1:17" ht="23.1" customHeight="1">
      <c r="A244" s="81" t="s">
        <v>1128</v>
      </c>
      <c r="B244" s="81" t="s">
        <v>1132</v>
      </c>
      <c r="C244" s="82" t="s">
        <v>343</v>
      </c>
      <c r="D244" s="84">
        <v>1</v>
      </c>
      <c r="E244" s="84">
        <f>ROUNDDOWN(단가대비표!L136, 0)</f>
        <v>661</v>
      </c>
      <c r="F244" s="84">
        <f>ROUNDDOWN(D244*E244, 1)</f>
        <v>661</v>
      </c>
      <c r="G244" s="84">
        <v>0</v>
      </c>
      <c r="H244" s="84">
        <f>ROUNDDOWN(D244*G244, 1)</f>
        <v>0</v>
      </c>
      <c r="I244" s="84">
        <v>0</v>
      </c>
      <c r="J244" s="84">
        <f>ROUNDDOWN(D244*I244, 1)</f>
        <v>0</v>
      </c>
      <c r="K244" s="84">
        <f t="shared" si="28"/>
        <v>661</v>
      </c>
      <c r="L244" s="84">
        <f t="shared" si="28"/>
        <v>661</v>
      </c>
      <c r="M244" s="85"/>
      <c r="O244" s="86" t="s">
        <v>558</v>
      </c>
      <c r="P244" s="86" t="s">
        <v>678</v>
      </c>
      <c r="Q244" s="79">
        <v>1</v>
      </c>
    </row>
    <row r="245" spans="1:17" ht="23.1" customHeight="1">
      <c r="A245" s="81" t="s">
        <v>767</v>
      </c>
      <c r="B245" s="81" t="s">
        <v>773</v>
      </c>
      <c r="C245" s="82" t="s">
        <v>769</v>
      </c>
      <c r="D245" s="84">
        <v>1</v>
      </c>
      <c r="E245" s="84">
        <f>ROUNDDOWN(일위대가목록!G23, 0)</f>
        <v>299</v>
      </c>
      <c r="F245" s="84">
        <f>ROUNDDOWN(D245*E245, 1)</f>
        <v>299</v>
      </c>
      <c r="G245" s="84">
        <f>ROUNDDOWN(일위대가목록!I23, 0)</f>
        <v>15935</v>
      </c>
      <c r="H245" s="84">
        <f>ROUNDDOWN(D245*G245, 1)</f>
        <v>15935</v>
      </c>
      <c r="I245" s="84">
        <f>ROUNDDOWN(일위대가목록!K23, 0)</f>
        <v>20</v>
      </c>
      <c r="J245" s="84">
        <f>ROUNDDOWN(D245*I245, 1)</f>
        <v>20</v>
      </c>
      <c r="K245" s="84">
        <f t="shared" si="28"/>
        <v>16254</v>
      </c>
      <c r="L245" s="84">
        <f t="shared" si="28"/>
        <v>16254</v>
      </c>
      <c r="M245" s="85"/>
      <c r="P245" s="86" t="s">
        <v>678</v>
      </c>
      <c r="Q245" s="79">
        <v>1</v>
      </c>
    </row>
    <row r="246" spans="1:17" ht="23.1" customHeight="1">
      <c r="A246" s="90" t="s">
        <v>734</v>
      </c>
      <c r="B246" s="91"/>
      <c r="C246" s="92"/>
      <c r="D246" s="93"/>
      <c r="E246" s="93"/>
      <c r="F246" s="93">
        <f>ROUNDDOWN(SUMIF(Q241:Q245, "1", F241:F245), 0)</f>
        <v>6277</v>
      </c>
      <c r="G246" s="93"/>
      <c r="H246" s="93">
        <f>ROUNDDOWN(SUMIF(Q241:Q245, "1", H241:H245), 0)</f>
        <v>15935</v>
      </c>
      <c r="I246" s="93"/>
      <c r="J246" s="93">
        <f>ROUNDDOWN(SUMIF(Q241:Q245, "1", J241:J245), 0)</f>
        <v>20</v>
      </c>
      <c r="K246" s="93"/>
      <c r="L246" s="93">
        <f>F246+H246+J246</f>
        <v>22232</v>
      </c>
      <c r="M246" s="91"/>
    </row>
    <row r="247" spans="1:17" ht="23.1" customHeight="1">
      <c r="A247" s="85"/>
      <c r="B247" s="85"/>
      <c r="C247" s="83"/>
      <c r="D247" s="84"/>
      <c r="E247" s="84"/>
      <c r="F247" s="84"/>
      <c r="G247" s="84"/>
      <c r="H247" s="84"/>
      <c r="I247" s="84"/>
      <c r="J247" s="84"/>
      <c r="K247" s="84"/>
      <c r="L247" s="84"/>
      <c r="M247" s="85"/>
    </row>
    <row r="248" spans="1:17" ht="23.1" customHeight="1">
      <c r="A248" s="235" t="s">
        <v>1133</v>
      </c>
      <c r="B248" s="236"/>
      <c r="C248" s="236"/>
      <c r="D248" s="236"/>
      <c r="E248" s="236"/>
      <c r="F248" s="236"/>
      <c r="G248" s="236"/>
      <c r="H248" s="236"/>
      <c r="I248" s="236"/>
      <c r="J248" s="236"/>
      <c r="K248" s="236"/>
      <c r="L248" s="236"/>
      <c r="M248" s="120"/>
    </row>
    <row r="249" spans="1:17" ht="23.1" customHeight="1">
      <c r="A249" s="81" t="s">
        <v>1122</v>
      </c>
      <c r="B249" s="81" t="s">
        <v>1134</v>
      </c>
      <c r="C249" s="82" t="s">
        <v>343</v>
      </c>
      <c r="D249" s="84">
        <v>1</v>
      </c>
      <c r="E249" s="84">
        <f>ROUNDDOWN(단가대비표!L149, 0)</f>
        <v>5056</v>
      </c>
      <c r="F249" s="84">
        <f>ROUNDDOWN(D249*E249, 1)</f>
        <v>5056</v>
      </c>
      <c r="G249" s="84">
        <v>0</v>
      </c>
      <c r="H249" s="84">
        <f>ROUNDDOWN(D249*G249, 1)</f>
        <v>0</v>
      </c>
      <c r="I249" s="84">
        <v>0</v>
      </c>
      <c r="J249" s="84">
        <f>ROUNDDOWN(D249*I249, 1)</f>
        <v>0</v>
      </c>
      <c r="K249" s="84">
        <f t="shared" ref="K249:L253" si="29">E249+G249+I249</f>
        <v>5056</v>
      </c>
      <c r="L249" s="84">
        <f t="shared" si="29"/>
        <v>5056</v>
      </c>
      <c r="M249" s="85"/>
      <c r="O249" s="86" t="s">
        <v>558</v>
      </c>
      <c r="P249" s="86" t="s">
        <v>678</v>
      </c>
      <c r="Q249" s="79">
        <v>1</v>
      </c>
    </row>
    <row r="250" spans="1:17" ht="23.1" customHeight="1">
      <c r="A250" s="81" t="s">
        <v>1124</v>
      </c>
      <c r="B250" s="81" t="s">
        <v>1135</v>
      </c>
      <c r="C250" s="82" t="s">
        <v>343</v>
      </c>
      <c r="D250" s="84">
        <v>8</v>
      </c>
      <c r="E250" s="84">
        <f>ROUNDDOWN(단가대비표!L59, 0)</f>
        <v>418</v>
      </c>
      <c r="F250" s="84">
        <f>ROUNDDOWN(D250*E250, 1)</f>
        <v>3344</v>
      </c>
      <c r="G250" s="84">
        <v>0</v>
      </c>
      <c r="H250" s="84">
        <f>ROUNDDOWN(D250*G250, 1)</f>
        <v>0</v>
      </c>
      <c r="I250" s="84">
        <v>0</v>
      </c>
      <c r="J250" s="84">
        <f>ROUNDDOWN(D250*I250, 1)</f>
        <v>0</v>
      </c>
      <c r="K250" s="84">
        <f t="shared" si="29"/>
        <v>418</v>
      </c>
      <c r="L250" s="84">
        <f t="shared" si="29"/>
        <v>3344</v>
      </c>
      <c r="M250" s="85"/>
      <c r="O250" s="86" t="s">
        <v>558</v>
      </c>
      <c r="P250" s="86" t="s">
        <v>678</v>
      </c>
      <c r="Q250" s="79">
        <v>1</v>
      </c>
    </row>
    <row r="251" spans="1:17" ht="23.1" customHeight="1">
      <c r="A251" s="81" t="s">
        <v>1126</v>
      </c>
      <c r="B251" s="81" t="s">
        <v>1127</v>
      </c>
      <c r="C251" s="82" t="s">
        <v>343</v>
      </c>
      <c r="D251" s="84">
        <v>8</v>
      </c>
      <c r="E251" s="84">
        <f>ROUNDDOWN(단가대비표!L138, 0)</f>
        <v>36</v>
      </c>
      <c r="F251" s="84">
        <f>ROUNDDOWN(D251*E251, 1)</f>
        <v>288</v>
      </c>
      <c r="G251" s="84">
        <v>0</v>
      </c>
      <c r="H251" s="84">
        <f>ROUNDDOWN(D251*G251, 1)</f>
        <v>0</v>
      </c>
      <c r="I251" s="84">
        <v>0</v>
      </c>
      <c r="J251" s="84">
        <f>ROUNDDOWN(D251*I251, 1)</f>
        <v>0</v>
      </c>
      <c r="K251" s="84">
        <f t="shared" si="29"/>
        <v>36</v>
      </c>
      <c r="L251" s="84">
        <f t="shared" si="29"/>
        <v>288</v>
      </c>
      <c r="M251" s="85"/>
      <c r="O251" s="86" t="s">
        <v>558</v>
      </c>
      <c r="P251" s="86" t="s">
        <v>678</v>
      </c>
      <c r="Q251" s="79">
        <v>1</v>
      </c>
    </row>
    <row r="252" spans="1:17" ht="23.1" customHeight="1">
      <c r="A252" s="81" t="s">
        <v>1128</v>
      </c>
      <c r="B252" s="81" t="s">
        <v>1136</v>
      </c>
      <c r="C252" s="82" t="s">
        <v>343</v>
      </c>
      <c r="D252" s="84">
        <v>1</v>
      </c>
      <c r="E252" s="84">
        <f>ROUNDDOWN(단가대비표!L137, 0)</f>
        <v>1366</v>
      </c>
      <c r="F252" s="84">
        <f>ROUNDDOWN(D252*E252, 1)</f>
        <v>1366</v>
      </c>
      <c r="G252" s="84">
        <v>0</v>
      </c>
      <c r="H252" s="84">
        <f>ROUNDDOWN(D252*G252, 1)</f>
        <v>0</v>
      </c>
      <c r="I252" s="84">
        <v>0</v>
      </c>
      <c r="J252" s="84">
        <f>ROUNDDOWN(D252*I252, 1)</f>
        <v>0</v>
      </c>
      <c r="K252" s="84">
        <f t="shared" si="29"/>
        <v>1366</v>
      </c>
      <c r="L252" s="84">
        <f t="shared" si="29"/>
        <v>1366</v>
      </c>
      <c r="M252" s="85"/>
      <c r="O252" s="86" t="s">
        <v>558</v>
      </c>
      <c r="P252" s="86" t="s">
        <v>678</v>
      </c>
      <c r="Q252" s="79">
        <v>1</v>
      </c>
    </row>
    <row r="253" spans="1:17" ht="23.1" customHeight="1">
      <c r="A253" s="81" t="s">
        <v>767</v>
      </c>
      <c r="B253" s="81" t="s">
        <v>777</v>
      </c>
      <c r="C253" s="82" t="s">
        <v>769</v>
      </c>
      <c r="D253" s="84">
        <v>2</v>
      </c>
      <c r="E253" s="84">
        <f>ROUNDDOWN(일위대가목록!G25, 0)</f>
        <v>889</v>
      </c>
      <c r="F253" s="84">
        <f>ROUNDDOWN(D253*E253, 1)</f>
        <v>1778</v>
      </c>
      <c r="G253" s="84">
        <f>ROUNDDOWN(일위대가목록!I25, 0)</f>
        <v>22684</v>
      </c>
      <c r="H253" s="84">
        <f>ROUNDDOWN(D253*G253, 1)</f>
        <v>45368</v>
      </c>
      <c r="I253" s="84">
        <f>ROUNDDOWN(일위대가목록!K25, 0)</f>
        <v>50</v>
      </c>
      <c r="J253" s="84">
        <f>ROUNDDOWN(D253*I253, 1)</f>
        <v>100</v>
      </c>
      <c r="K253" s="84">
        <f t="shared" si="29"/>
        <v>23623</v>
      </c>
      <c r="L253" s="84">
        <f t="shared" si="29"/>
        <v>47246</v>
      </c>
      <c r="M253" s="85"/>
      <c r="P253" s="86" t="s">
        <v>678</v>
      </c>
      <c r="Q253" s="79">
        <v>1</v>
      </c>
    </row>
    <row r="254" spans="1:17" ht="23.1" customHeight="1">
      <c r="A254" s="90" t="s">
        <v>734</v>
      </c>
      <c r="B254" s="91"/>
      <c r="C254" s="92"/>
      <c r="D254" s="93"/>
      <c r="E254" s="93"/>
      <c r="F254" s="93">
        <f>ROUNDDOWN(SUMIF(Q249:Q253, "1", F249:F253), 0)</f>
        <v>11832</v>
      </c>
      <c r="G254" s="93"/>
      <c r="H254" s="93">
        <f>ROUNDDOWN(SUMIF(Q249:Q253, "1", H249:H253), 0)</f>
        <v>45368</v>
      </c>
      <c r="I254" s="93"/>
      <c r="J254" s="93">
        <f>ROUNDDOWN(SUMIF(Q249:Q253, "1", J249:J253), 0)</f>
        <v>100</v>
      </c>
      <c r="K254" s="93"/>
      <c r="L254" s="93">
        <f>F254+H254+J254</f>
        <v>57300</v>
      </c>
      <c r="M254" s="91"/>
    </row>
    <row r="255" spans="1:17" ht="23.1" customHeight="1">
      <c r="A255" s="85"/>
      <c r="B255" s="85"/>
      <c r="C255" s="83"/>
      <c r="D255" s="84"/>
      <c r="E255" s="84"/>
      <c r="F255" s="84"/>
      <c r="G255" s="84"/>
      <c r="H255" s="84"/>
      <c r="I255" s="84"/>
      <c r="J255" s="84"/>
      <c r="K255" s="84"/>
      <c r="L255" s="84"/>
      <c r="M255" s="85"/>
    </row>
    <row r="256" spans="1:17" ht="23.1" customHeight="1">
      <c r="A256" s="235" t="s">
        <v>1137</v>
      </c>
      <c r="B256" s="236"/>
      <c r="C256" s="236"/>
      <c r="D256" s="236"/>
      <c r="E256" s="236"/>
      <c r="F256" s="236"/>
      <c r="G256" s="236"/>
      <c r="H256" s="236"/>
      <c r="I256" s="236"/>
      <c r="J256" s="236"/>
      <c r="K256" s="236"/>
      <c r="L256" s="236"/>
      <c r="M256" s="120"/>
    </row>
    <row r="257" spans="1:17" ht="23.1" customHeight="1">
      <c r="A257" s="81" t="s">
        <v>1122</v>
      </c>
      <c r="B257" s="81" t="s">
        <v>1138</v>
      </c>
      <c r="C257" s="82" t="s">
        <v>343</v>
      </c>
      <c r="D257" s="84">
        <v>1</v>
      </c>
      <c r="E257" s="84">
        <f>ROUNDDOWN(단가대비표!L145, 0)</f>
        <v>5927</v>
      </c>
      <c r="F257" s="84">
        <f>ROUNDDOWN(D257*E257, 1)</f>
        <v>5927</v>
      </c>
      <c r="G257" s="84">
        <v>0</v>
      </c>
      <c r="H257" s="84">
        <f>ROUNDDOWN(D257*G257, 1)</f>
        <v>0</v>
      </c>
      <c r="I257" s="84">
        <v>0</v>
      </c>
      <c r="J257" s="84">
        <f>ROUNDDOWN(D257*I257, 1)</f>
        <v>0</v>
      </c>
      <c r="K257" s="84">
        <f t="shared" ref="K257:L261" si="30">E257+G257+I257</f>
        <v>5927</v>
      </c>
      <c r="L257" s="84">
        <f t="shared" si="30"/>
        <v>5927</v>
      </c>
      <c r="M257" s="85"/>
      <c r="O257" s="86" t="s">
        <v>558</v>
      </c>
      <c r="P257" s="86" t="s">
        <v>678</v>
      </c>
      <c r="Q257" s="79">
        <v>1</v>
      </c>
    </row>
    <row r="258" spans="1:17" ht="23.1" customHeight="1">
      <c r="A258" s="81" t="s">
        <v>1124</v>
      </c>
      <c r="B258" s="81" t="s">
        <v>1135</v>
      </c>
      <c r="C258" s="82" t="s">
        <v>343</v>
      </c>
      <c r="D258" s="84">
        <v>8</v>
      </c>
      <c r="E258" s="84">
        <f>ROUNDDOWN(단가대비표!L59, 0)</f>
        <v>418</v>
      </c>
      <c r="F258" s="84">
        <f>ROUNDDOWN(D258*E258, 1)</f>
        <v>3344</v>
      </c>
      <c r="G258" s="84">
        <v>0</v>
      </c>
      <c r="H258" s="84">
        <f>ROUNDDOWN(D258*G258, 1)</f>
        <v>0</v>
      </c>
      <c r="I258" s="84">
        <v>0</v>
      </c>
      <c r="J258" s="84">
        <f>ROUNDDOWN(D258*I258, 1)</f>
        <v>0</v>
      </c>
      <c r="K258" s="84">
        <f t="shared" si="30"/>
        <v>418</v>
      </c>
      <c r="L258" s="84">
        <f t="shared" si="30"/>
        <v>3344</v>
      </c>
      <c r="M258" s="85"/>
      <c r="O258" s="86" t="s">
        <v>558</v>
      </c>
      <c r="P258" s="86" t="s">
        <v>678</v>
      </c>
      <c r="Q258" s="79">
        <v>1</v>
      </c>
    </row>
    <row r="259" spans="1:17" ht="23.1" customHeight="1">
      <c r="A259" s="81" t="s">
        <v>1126</v>
      </c>
      <c r="B259" s="81" t="s">
        <v>1127</v>
      </c>
      <c r="C259" s="82" t="s">
        <v>343</v>
      </c>
      <c r="D259" s="84">
        <v>8</v>
      </c>
      <c r="E259" s="84">
        <f>ROUNDDOWN(단가대비표!L138, 0)</f>
        <v>36</v>
      </c>
      <c r="F259" s="84">
        <f>ROUNDDOWN(D259*E259, 1)</f>
        <v>288</v>
      </c>
      <c r="G259" s="84">
        <v>0</v>
      </c>
      <c r="H259" s="84">
        <f>ROUNDDOWN(D259*G259, 1)</f>
        <v>0</v>
      </c>
      <c r="I259" s="84">
        <v>0</v>
      </c>
      <c r="J259" s="84">
        <f>ROUNDDOWN(D259*I259, 1)</f>
        <v>0</v>
      </c>
      <c r="K259" s="84">
        <f t="shared" si="30"/>
        <v>36</v>
      </c>
      <c r="L259" s="84">
        <f t="shared" si="30"/>
        <v>288</v>
      </c>
      <c r="M259" s="85"/>
      <c r="O259" s="86" t="s">
        <v>558</v>
      </c>
      <c r="P259" s="86" t="s">
        <v>678</v>
      </c>
      <c r="Q259" s="79">
        <v>1</v>
      </c>
    </row>
    <row r="260" spans="1:17" ht="23.1" customHeight="1">
      <c r="A260" s="81" t="s">
        <v>1128</v>
      </c>
      <c r="B260" s="81" t="s">
        <v>1139</v>
      </c>
      <c r="C260" s="82" t="s">
        <v>343</v>
      </c>
      <c r="D260" s="84">
        <v>1</v>
      </c>
      <c r="E260" s="84">
        <f>ROUNDDOWN(단가대비표!L133, 0)</f>
        <v>2256</v>
      </c>
      <c r="F260" s="84">
        <f>ROUNDDOWN(D260*E260, 1)</f>
        <v>2256</v>
      </c>
      <c r="G260" s="84">
        <v>0</v>
      </c>
      <c r="H260" s="84">
        <f>ROUNDDOWN(D260*G260, 1)</f>
        <v>0</v>
      </c>
      <c r="I260" s="84">
        <v>0</v>
      </c>
      <c r="J260" s="84">
        <f>ROUNDDOWN(D260*I260, 1)</f>
        <v>0</v>
      </c>
      <c r="K260" s="84">
        <f t="shared" si="30"/>
        <v>2256</v>
      </c>
      <c r="L260" s="84">
        <f t="shared" si="30"/>
        <v>2256</v>
      </c>
      <c r="M260" s="85"/>
      <c r="O260" s="86" t="s">
        <v>558</v>
      </c>
      <c r="P260" s="86" t="s">
        <v>678</v>
      </c>
      <c r="Q260" s="79">
        <v>1</v>
      </c>
    </row>
    <row r="261" spans="1:17" ht="23.1" customHeight="1">
      <c r="A261" s="81" t="s">
        <v>767</v>
      </c>
      <c r="B261" s="81" t="s">
        <v>779</v>
      </c>
      <c r="C261" s="82" t="s">
        <v>769</v>
      </c>
      <c r="D261" s="84">
        <v>2</v>
      </c>
      <c r="E261" s="84">
        <f>ROUNDDOWN(일위대가목록!G26, 0)</f>
        <v>1262</v>
      </c>
      <c r="F261" s="84">
        <f>ROUNDDOWN(D261*E261, 1)</f>
        <v>2524</v>
      </c>
      <c r="G261" s="84">
        <f>ROUNDDOWN(일위대가목록!I26, 0)</f>
        <v>28495</v>
      </c>
      <c r="H261" s="84">
        <f>ROUNDDOWN(D261*G261, 1)</f>
        <v>56990</v>
      </c>
      <c r="I261" s="84">
        <f>ROUNDDOWN(일위대가목록!K26, 0)</f>
        <v>65</v>
      </c>
      <c r="J261" s="84">
        <f>ROUNDDOWN(D261*I261, 1)</f>
        <v>130</v>
      </c>
      <c r="K261" s="84">
        <f t="shared" si="30"/>
        <v>29822</v>
      </c>
      <c r="L261" s="84">
        <f t="shared" si="30"/>
        <v>59644</v>
      </c>
      <c r="M261" s="85"/>
      <c r="P261" s="86" t="s">
        <v>678</v>
      </c>
      <c r="Q261" s="79">
        <v>1</v>
      </c>
    </row>
    <row r="262" spans="1:17" ht="23.1" customHeight="1">
      <c r="A262" s="90" t="s">
        <v>734</v>
      </c>
      <c r="B262" s="91"/>
      <c r="C262" s="92"/>
      <c r="D262" s="93"/>
      <c r="E262" s="93"/>
      <c r="F262" s="93">
        <f>ROUNDDOWN(SUMIF(Q257:Q261, "1", F257:F261), 0)</f>
        <v>14339</v>
      </c>
      <c r="G262" s="93"/>
      <c r="H262" s="93">
        <f>ROUNDDOWN(SUMIF(Q257:Q261, "1", H257:H261), 0)</f>
        <v>56990</v>
      </c>
      <c r="I262" s="93"/>
      <c r="J262" s="93">
        <f>ROUNDDOWN(SUMIF(Q257:Q261, "1", J257:J261), 0)</f>
        <v>130</v>
      </c>
      <c r="K262" s="93"/>
      <c r="L262" s="93">
        <f>F262+H262+J262</f>
        <v>71459</v>
      </c>
      <c r="M262" s="91"/>
    </row>
    <row r="263" spans="1:17" ht="23.1" customHeight="1">
      <c r="A263" s="85"/>
      <c r="B263" s="85"/>
      <c r="C263" s="83"/>
      <c r="D263" s="84"/>
      <c r="E263" s="84"/>
      <c r="F263" s="84"/>
      <c r="G263" s="84"/>
      <c r="H263" s="84"/>
      <c r="I263" s="84"/>
      <c r="J263" s="84"/>
      <c r="K263" s="84"/>
      <c r="L263" s="84"/>
      <c r="M263" s="85"/>
    </row>
    <row r="264" spans="1:17" ht="23.1" customHeight="1">
      <c r="A264" s="235" t="s">
        <v>1140</v>
      </c>
      <c r="B264" s="236"/>
      <c r="C264" s="236"/>
      <c r="D264" s="236"/>
      <c r="E264" s="236"/>
      <c r="F264" s="236"/>
      <c r="G264" s="236"/>
      <c r="H264" s="236"/>
      <c r="I264" s="236"/>
      <c r="J264" s="236"/>
      <c r="K264" s="236"/>
      <c r="L264" s="236"/>
      <c r="M264" s="120"/>
    </row>
    <row r="265" spans="1:17" ht="23.1" customHeight="1">
      <c r="A265" s="81" t="s">
        <v>1122</v>
      </c>
      <c r="B265" s="81" t="s">
        <v>1141</v>
      </c>
      <c r="C265" s="82" t="s">
        <v>343</v>
      </c>
      <c r="D265" s="84">
        <v>1</v>
      </c>
      <c r="E265" s="84">
        <f>ROUNDDOWN(단가대비표!L146, 0)</f>
        <v>12025</v>
      </c>
      <c r="F265" s="84">
        <f>ROUNDDOWN(D265*E265, 1)</f>
        <v>12025</v>
      </c>
      <c r="G265" s="84">
        <v>0</v>
      </c>
      <c r="H265" s="84">
        <f>ROUNDDOWN(D265*G265, 1)</f>
        <v>0</v>
      </c>
      <c r="I265" s="84">
        <v>0</v>
      </c>
      <c r="J265" s="84">
        <f>ROUNDDOWN(D265*I265, 1)</f>
        <v>0</v>
      </c>
      <c r="K265" s="84">
        <f t="shared" ref="K265:L269" si="31">E265+G265+I265</f>
        <v>12025</v>
      </c>
      <c r="L265" s="84">
        <f t="shared" si="31"/>
        <v>12025</v>
      </c>
      <c r="M265" s="85"/>
      <c r="O265" s="86" t="s">
        <v>558</v>
      </c>
      <c r="P265" s="86" t="s">
        <v>678</v>
      </c>
      <c r="Q265" s="79">
        <v>1</v>
      </c>
    </row>
    <row r="266" spans="1:17" ht="23.1" customHeight="1">
      <c r="A266" s="81" t="s">
        <v>1124</v>
      </c>
      <c r="B266" s="81" t="s">
        <v>1142</v>
      </c>
      <c r="C266" s="82" t="s">
        <v>343</v>
      </c>
      <c r="D266" s="84">
        <v>8</v>
      </c>
      <c r="E266" s="84">
        <f>ROUNDDOWN(단가대비표!L60, 0)</f>
        <v>796</v>
      </c>
      <c r="F266" s="84">
        <f>ROUNDDOWN(D266*E266, 1)</f>
        <v>6368</v>
      </c>
      <c r="G266" s="84">
        <v>0</v>
      </c>
      <c r="H266" s="84">
        <f>ROUNDDOWN(D266*G266, 1)</f>
        <v>0</v>
      </c>
      <c r="I266" s="84">
        <v>0</v>
      </c>
      <c r="J266" s="84">
        <f>ROUNDDOWN(D266*I266, 1)</f>
        <v>0</v>
      </c>
      <c r="K266" s="84">
        <f t="shared" si="31"/>
        <v>796</v>
      </c>
      <c r="L266" s="84">
        <f t="shared" si="31"/>
        <v>6368</v>
      </c>
      <c r="M266" s="85"/>
      <c r="O266" s="86" t="s">
        <v>558</v>
      </c>
      <c r="P266" s="86" t="s">
        <v>678</v>
      </c>
      <c r="Q266" s="79">
        <v>1</v>
      </c>
    </row>
    <row r="267" spans="1:17" ht="23.1" customHeight="1">
      <c r="A267" s="81" t="s">
        <v>1126</v>
      </c>
      <c r="B267" s="81" t="s">
        <v>1143</v>
      </c>
      <c r="C267" s="82" t="s">
        <v>343</v>
      </c>
      <c r="D267" s="84">
        <v>8</v>
      </c>
      <c r="E267" s="84">
        <f>ROUNDDOWN(단가대비표!L139, 0)</f>
        <v>50</v>
      </c>
      <c r="F267" s="84">
        <f>ROUNDDOWN(D267*E267, 1)</f>
        <v>400</v>
      </c>
      <c r="G267" s="84">
        <v>0</v>
      </c>
      <c r="H267" s="84">
        <f>ROUNDDOWN(D267*G267, 1)</f>
        <v>0</v>
      </c>
      <c r="I267" s="84">
        <v>0</v>
      </c>
      <c r="J267" s="84">
        <f>ROUNDDOWN(D267*I267, 1)</f>
        <v>0</v>
      </c>
      <c r="K267" s="84">
        <f t="shared" si="31"/>
        <v>50</v>
      </c>
      <c r="L267" s="84">
        <f t="shared" si="31"/>
        <v>400</v>
      </c>
      <c r="M267" s="85"/>
      <c r="O267" s="86" t="s">
        <v>558</v>
      </c>
      <c r="P267" s="86" t="s">
        <v>678</v>
      </c>
      <c r="Q267" s="79">
        <v>1</v>
      </c>
    </row>
    <row r="268" spans="1:17" ht="23.1" customHeight="1">
      <c r="A268" s="81" t="s">
        <v>1128</v>
      </c>
      <c r="B268" s="81" t="s">
        <v>1144</v>
      </c>
      <c r="C268" s="82" t="s">
        <v>343</v>
      </c>
      <c r="D268" s="84">
        <v>1</v>
      </c>
      <c r="E268" s="84">
        <f>ROUNDDOWN(단가대비표!L134, 0)</f>
        <v>3656</v>
      </c>
      <c r="F268" s="84">
        <f>ROUNDDOWN(D268*E268, 1)</f>
        <v>3656</v>
      </c>
      <c r="G268" s="84">
        <v>0</v>
      </c>
      <c r="H268" s="84">
        <f>ROUNDDOWN(D268*G268, 1)</f>
        <v>0</v>
      </c>
      <c r="I268" s="84">
        <v>0</v>
      </c>
      <c r="J268" s="84">
        <f>ROUNDDOWN(D268*I268, 1)</f>
        <v>0</v>
      </c>
      <c r="K268" s="84">
        <f t="shared" si="31"/>
        <v>3656</v>
      </c>
      <c r="L268" s="84">
        <f t="shared" si="31"/>
        <v>3656</v>
      </c>
      <c r="M268" s="85"/>
      <c r="O268" s="86" t="s">
        <v>558</v>
      </c>
      <c r="P268" s="86" t="s">
        <v>678</v>
      </c>
      <c r="Q268" s="79">
        <v>1</v>
      </c>
    </row>
    <row r="269" spans="1:17" ht="23.1" customHeight="1">
      <c r="A269" s="81" t="s">
        <v>767</v>
      </c>
      <c r="B269" s="81" t="s">
        <v>781</v>
      </c>
      <c r="C269" s="82" t="s">
        <v>769</v>
      </c>
      <c r="D269" s="84">
        <v>2</v>
      </c>
      <c r="E269" s="84">
        <f>ROUNDDOWN(일위대가목록!G27, 0)</f>
        <v>2289</v>
      </c>
      <c r="F269" s="84">
        <f>ROUNDDOWN(D269*E269, 1)</f>
        <v>4578</v>
      </c>
      <c r="G269" s="84">
        <f>ROUNDDOWN(일위대가목록!I27, 0)</f>
        <v>40494</v>
      </c>
      <c r="H269" s="84">
        <f>ROUNDDOWN(D269*G269, 1)</f>
        <v>80988</v>
      </c>
      <c r="I269" s="84">
        <f>ROUNDDOWN(일위대가목록!K27, 0)</f>
        <v>94</v>
      </c>
      <c r="J269" s="84">
        <f>ROUNDDOWN(D269*I269, 1)</f>
        <v>188</v>
      </c>
      <c r="K269" s="84">
        <f t="shared" si="31"/>
        <v>42877</v>
      </c>
      <c r="L269" s="84">
        <f t="shared" si="31"/>
        <v>85754</v>
      </c>
      <c r="M269" s="85"/>
      <c r="P269" s="86" t="s">
        <v>678</v>
      </c>
      <c r="Q269" s="79">
        <v>1</v>
      </c>
    </row>
    <row r="270" spans="1:17" ht="23.1" customHeight="1">
      <c r="A270" s="90" t="s">
        <v>734</v>
      </c>
      <c r="B270" s="91"/>
      <c r="C270" s="92"/>
      <c r="D270" s="93"/>
      <c r="E270" s="93"/>
      <c r="F270" s="93">
        <f>ROUNDDOWN(SUMIF(Q265:Q269, "1", F265:F269), 0)</f>
        <v>27027</v>
      </c>
      <c r="G270" s="93"/>
      <c r="H270" s="93">
        <f>ROUNDDOWN(SUMIF(Q265:Q269, "1", H265:H269), 0)</f>
        <v>80988</v>
      </c>
      <c r="I270" s="93"/>
      <c r="J270" s="93">
        <f>ROUNDDOWN(SUMIF(Q265:Q269, "1", J265:J269), 0)</f>
        <v>188</v>
      </c>
      <c r="K270" s="93"/>
      <c r="L270" s="93">
        <f>F270+H270+J270</f>
        <v>108203</v>
      </c>
      <c r="M270" s="91"/>
    </row>
    <row r="271" spans="1:17" ht="23.1" customHeight="1">
      <c r="A271" s="85"/>
      <c r="B271" s="85"/>
      <c r="C271" s="83"/>
      <c r="D271" s="84"/>
      <c r="E271" s="84"/>
      <c r="F271" s="84"/>
      <c r="G271" s="84"/>
      <c r="H271" s="84"/>
      <c r="I271" s="84"/>
      <c r="J271" s="84"/>
      <c r="K271" s="84"/>
      <c r="L271" s="84"/>
      <c r="M271" s="85"/>
    </row>
    <row r="272" spans="1:17" ht="23.1" customHeight="1">
      <c r="A272" s="235" t="s">
        <v>1145</v>
      </c>
      <c r="B272" s="236"/>
      <c r="C272" s="236"/>
      <c r="D272" s="236"/>
      <c r="E272" s="236"/>
      <c r="F272" s="236"/>
      <c r="G272" s="236"/>
      <c r="H272" s="236"/>
      <c r="I272" s="236"/>
      <c r="J272" s="236"/>
      <c r="K272" s="236"/>
      <c r="L272" s="236"/>
      <c r="M272" s="120"/>
    </row>
    <row r="273" spans="1:21" ht="23.1" customHeight="1">
      <c r="A273" s="81" t="s">
        <v>1146</v>
      </c>
      <c r="B273" s="81" t="s">
        <v>733</v>
      </c>
      <c r="C273" s="82" t="s">
        <v>446</v>
      </c>
      <c r="D273" s="84">
        <f>12.38*75%</f>
        <v>9.2850000000000001</v>
      </c>
      <c r="E273" s="84">
        <v>0</v>
      </c>
      <c r="F273" s="84">
        <f>ROUNDDOWN(D273*E273, 1)</f>
        <v>0</v>
      </c>
      <c r="G273" s="84">
        <f>ROUNDDOWN(단가대비표!L167, 0)</f>
        <v>200387</v>
      </c>
      <c r="H273" s="84">
        <f>ROUNDDOWN(D273*G273, 1)</f>
        <v>1860593.2</v>
      </c>
      <c r="I273" s="84">
        <v>0</v>
      </c>
      <c r="J273" s="84">
        <f>ROUNDDOWN(D273*I273, 1)</f>
        <v>0</v>
      </c>
      <c r="K273" s="84">
        <f t="shared" ref="K273:L278" si="32">E273+G273+I273</f>
        <v>200387</v>
      </c>
      <c r="L273" s="84">
        <f t="shared" si="32"/>
        <v>1860593.2</v>
      </c>
      <c r="M273" s="85"/>
      <c r="O273" s="86" t="s">
        <v>1046</v>
      </c>
      <c r="P273" s="86" t="s">
        <v>678</v>
      </c>
      <c r="Q273" s="79">
        <v>1</v>
      </c>
      <c r="U273" s="152"/>
    </row>
    <row r="274" spans="1:21" ht="23.1" customHeight="1">
      <c r="A274" s="81" t="s">
        <v>1062</v>
      </c>
      <c r="B274" s="81" t="s">
        <v>733</v>
      </c>
      <c r="C274" s="82" t="s">
        <v>446</v>
      </c>
      <c r="D274" s="84">
        <f>3.38*75%</f>
        <v>2.5350000000000001</v>
      </c>
      <c r="E274" s="84">
        <v>0</v>
      </c>
      <c r="F274" s="84">
        <f>ROUNDDOWN(D274*E274, 1)</f>
        <v>0</v>
      </c>
      <c r="G274" s="84">
        <f>ROUNDDOWN(단가대비표!L165, 0)</f>
        <v>249964</v>
      </c>
      <c r="H274" s="84">
        <f>ROUNDDOWN(D274*G274, 1)</f>
        <v>633658.69999999995</v>
      </c>
      <c r="I274" s="84">
        <v>0</v>
      </c>
      <c r="J274" s="84">
        <f>ROUNDDOWN(D274*I274, 1)</f>
        <v>0</v>
      </c>
      <c r="K274" s="84">
        <f t="shared" si="32"/>
        <v>249964</v>
      </c>
      <c r="L274" s="84">
        <f t="shared" si="32"/>
        <v>633658.69999999995</v>
      </c>
      <c r="M274" s="85"/>
      <c r="O274" s="86" t="s">
        <v>1046</v>
      </c>
      <c r="P274" s="86" t="s">
        <v>678</v>
      </c>
      <c r="Q274" s="79">
        <v>1</v>
      </c>
    </row>
    <row r="275" spans="1:21" ht="23.1" customHeight="1">
      <c r="A275" s="81" t="s">
        <v>1147</v>
      </c>
      <c r="B275" s="81" t="s">
        <v>733</v>
      </c>
      <c r="C275" s="82" t="s">
        <v>446</v>
      </c>
      <c r="D275" s="84">
        <f>4.5*75%</f>
        <v>3.375</v>
      </c>
      <c r="E275" s="84">
        <v>0</v>
      </c>
      <c r="F275" s="84">
        <f>ROUNDDOWN(D275*E275, 1)</f>
        <v>0</v>
      </c>
      <c r="G275" s="84">
        <f>ROUNDDOWN(단가대비표!L168, 0)</f>
        <v>198934</v>
      </c>
      <c r="H275" s="84">
        <f>ROUNDDOWN(D275*G275, 1)</f>
        <v>671402.2</v>
      </c>
      <c r="I275" s="84">
        <v>0</v>
      </c>
      <c r="J275" s="84">
        <f>ROUNDDOWN(D275*I275, 1)</f>
        <v>0</v>
      </c>
      <c r="K275" s="84">
        <f t="shared" si="32"/>
        <v>198934</v>
      </c>
      <c r="L275" s="84">
        <f t="shared" si="32"/>
        <v>671402.2</v>
      </c>
      <c r="M275" s="85"/>
      <c r="O275" s="86" t="s">
        <v>1046</v>
      </c>
      <c r="P275" s="86" t="s">
        <v>678</v>
      </c>
      <c r="Q275" s="79">
        <v>1</v>
      </c>
    </row>
    <row r="276" spans="1:21" ht="23.1" customHeight="1">
      <c r="A276" s="81" t="s">
        <v>452</v>
      </c>
      <c r="B276" s="81" t="s">
        <v>733</v>
      </c>
      <c r="C276" s="82" t="s">
        <v>446</v>
      </c>
      <c r="D276" s="84">
        <f>2.25*75%</f>
        <v>1.6875</v>
      </c>
      <c r="E276" s="84">
        <v>0</v>
      </c>
      <c r="F276" s="84">
        <f>ROUNDDOWN(D276*E276, 1)</f>
        <v>0</v>
      </c>
      <c r="G276" s="84">
        <f>ROUNDDOWN(단가대비표!L164, 0)</f>
        <v>152500</v>
      </c>
      <c r="H276" s="84">
        <f>ROUNDDOWN(D276*G276, 1)</f>
        <v>257343.7</v>
      </c>
      <c r="I276" s="84">
        <v>0</v>
      </c>
      <c r="J276" s="84">
        <f>ROUNDDOWN(D276*I276, 1)</f>
        <v>0</v>
      </c>
      <c r="K276" s="84">
        <f t="shared" si="32"/>
        <v>152500</v>
      </c>
      <c r="L276" s="84">
        <f t="shared" si="32"/>
        <v>257343.7</v>
      </c>
      <c r="M276" s="85"/>
      <c r="O276" s="86" t="s">
        <v>1046</v>
      </c>
      <c r="P276" s="86" t="s">
        <v>678</v>
      </c>
      <c r="Q276" s="79">
        <v>1</v>
      </c>
    </row>
    <row r="277" spans="1:21" ht="23.1" customHeight="1">
      <c r="A277" s="81" t="s">
        <v>1047</v>
      </c>
      <c r="B277" s="85" t="str">
        <f>"인력품의 " &amp; N277*100 &amp; "%"</f>
        <v>인력품의 5%</v>
      </c>
      <c r="C277" s="82" t="s">
        <v>177</v>
      </c>
      <c r="D277" s="84">
        <v>1</v>
      </c>
      <c r="E277" s="84">
        <v>0</v>
      </c>
      <c r="F277" s="84">
        <v>0</v>
      </c>
      <c r="G277" s="84">
        <v>0</v>
      </c>
      <c r="H277" s="84">
        <v>0</v>
      </c>
      <c r="I277" s="84">
        <f>SUMIF(O273:O278, "02", H273:H278)</f>
        <v>3422997.8</v>
      </c>
      <c r="J277" s="84">
        <f>ROUNDDOWN((I277)*N277, 1)</f>
        <v>171149.8</v>
      </c>
      <c r="K277" s="84">
        <f t="shared" si="32"/>
        <v>3422997.8</v>
      </c>
      <c r="L277" s="84">
        <f t="shared" si="32"/>
        <v>171149.8</v>
      </c>
      <c r="M277" s="85"/>
      <c r="N277" s="79">
        <v>0.05</v>
      </c>
      <c r="P277" s="86" t="s">
        <v>678</v>
      </c>
      <c r="Q277" s="79">
        <v>1</v>
      </c>
      <c r="R277" s="86" t="s">
        <v>1148</v>
      </c>
      <c r="S277" s="86" t="s">
        <v>731</v>
      </c>
    </row>
    <row r="278" spans="1:21" ht="23.1" customHeight="1">
      <c r="A278" s="81" t="s">
        <v>1088</v>
      </c>
      <c r="B278" s="85" t="str">
        <f>"인력품의 " &amp; N278*100 &amp; "%"</f>
        <v>인력품의 3%</v>
      </c>
      <c r="C278" s="82" t="s">
        <v>177</v>
      </c>
      <c r="D278" s="84">
        <v>1</v>
      </c>
      <c r="E278" s="84">
        <f>SUMIF(O273:O278, "02", H273:H278)</f>
        <v>3422997.8</v>
      </c>
      <c r="F278" s="84">
        <f>ROUNDDOWN((E278)*N278, 1)</f>
        <v>102689.9</v>
      </c>
      <c r="G278" s="84">
        <v>0</v>
      </c>
      <c r="H278" s="84">
        <v>0</v>
      </c>
      <c r="I278" s="84">
        <v>0</v>
      </c>
      <c r="J278" s="84">
        <v>0</v>
      </c>
      <c r="K278" s="84">
        <f t="shared" si="32"/>
        <v>3422997.8</v>
      </c>
      <c r="L278" s="84">
        <f t="shared" si="32"/>
        <v>102689.9</v>
      </c>
      <c r="M278" s="85"/>
      <c r="N278" s="79">
        <v>0.03</v>
      </c>
      <c r="P278" s="86" t="s">
        <v>678</v>
      </c>
      <c r="Q278" s="79">
        <v>1</v>
      </c>
      <c r="R278" s="86" t="s">
        <v>730</v>
      </c>
      <c r="S278" s="86" t="s">
        <v>731</v>
      </c>
    </row>
    <row r="279" spans="1:21" ht="23.1" customHeight="1">
      <c r="A279" s="90" t="s">
        <v>734</v>
      </c>
      <c r="B279" s="91"/>
      <c r="C279" s="92"/>
      <c r="D279" s="93"/>
      <c r="E279" s="93"/>
      <c r="F279" s="93">
        <f>ROUNDDOWN(SUMIF(Q273:Q278, "1", F273:F278), 0)</f>
        <v>102689</v>
      </c>
      <c r="G279" s="93"/>
      <c r="H279" s="93">
        <f>ROUNDDOWN(SUMIF(Q273:Q278, "1", H273:H278), 0)</f>
        <v>3422997</v>
      </c>
      <c r="I279" s="93"/>
      <c r="J279" s="93">
        <f>ROUNDDOWN(SUMIF(Q273:Q278, "1", J273:J278), 0)</f>
        <v>171149</v>
      </c>
      <c r="K279" s="93"/>
      <c r="L279" s="93">
        <f>F279+H279+J279</f>
        <v>3696835</v>
      </c>
      <c r="M279" s="91"/>
    </row>
    <row r="280" spans="1:21" ht="23.1" customHeight="1">
      <c r="A280" s="85"/>
      <c r="B280" s="85"/>
      <c r="C280" s="83"/>
      <c r="D280" s="84"/>
      <c r="E280" s="84"/>
      <c r="F280" s="84"/>
      <c r="G280" s="84"/>
      <c r="H280" s="84"/>
      <c r="I280" s="84"/>
      <c r="J280" s="84"/>
      <c r="K280" s="84"/>
      <c r="L280" s="84"/>
      <c r="M280" s="85"/>
    </row>
    <row r="281" spans="1:21" ht="23.1" customHeight="1">
      <c r="A281" s="235" t="s">
        <v>1149</v>
      </c>
      <c r="B281" s="236"/>
      <c r="C281" s="236"/>
      <c r="D281" s="236"/>
      <c r="E281" s="236"/>
      <c r="F281" s="236"/>
      <c r="G281" s="236"/>
      <c r="H281" s="236"/>
      <c r="I281" s="236"/>
      <c r="J281" s="236"/>
      <c r="K281" s="236"/>
      <c r="L281" s="236"/>
      <c r="M281" s="120"/>
    </row>
    <row r="282" spans="1:21" ht="23.1" customHeight="1">
      <c r="A282" s="81" t="s">
        <v>1036</v>
      </c>
      <c r="B282" s="81" t="s">
        <v>1037</v>
      </c>
      <c r="C282" s="82" t="s">
        <v>1038</v>
      </c>
      <c r="D282" s="84">
        <v>1E-3</v>
      </c>
      <c r="E282" s="84">
        <f>ROUNDDOWN(일위대가목록!G41, 0)</f>
        <v>102689</v>
      </c>
      <c r="F282" s="84">
        <f>ROUNDDOWN(D282*E282, 1)</f>
        <v>102.6</v>
      </c>
      <c r="G282" s="84">
        <f>ROUNDDOWN(일위대가목록!I41, 0)</f>
        <v>3422997</v>
      </c>
      <c r="H282" s="84">
        <f>ROUNDDOWN(D282*G282, 1)</f>
        <v>3422.9</v>
      </c>
      <c r="I282" s="84">
        <f>ROUNDDOWN(일위대가목록!K41, 0)</f>
        <v>171149</v>
      </c>
      <c r="J282" s="84">
        <f>ROUNDDOWN(D282*I282, 1)</f>
        <v>171.1</v>
      </c>
      <c r="K282" s="84">
        <f>E282+G282+I282</f>
        <v>3696835</v>
      </c>
      <c r="L282" s="84">
        <f>F282+H282+J282</f>
        <v>3696.6</v>
      </c>
      <c r="M282" s="85"/>
      <c r="P282" s="86" t="s">
        <v>678</v>
      </c>
      <c r="Q282" s="79">
        <v>1</v>
      </c>
    </row>
    <row r="283" spans="1:21" ht="23.1" customHeight="1">
      <c r="A283" s="90" t="s">
        <v>734</v>
      </c>
      <c r="B283" s="91"/>
      <c r="C283" s="92"/>
      <c r="D283" s="93"/>
      <c r="E283" s="93"/>
      <c r="F283" s="93">
        <f>ROUNDDOWN(SUMIF(Q282:Q282, "1", F282:F282), 0)</f>
        <v>102</v>
      </c>
      <c r="G283" s="93"/>
      <c r="H283" s="93">
        <f>ROUNDDOWN(SUMIF(Q282:Q282, "1", H282:H282), 0)</f>
        <v>3422</v>
      </c>
      <c r="I283" s="93"/>
      <c r="J283" s="93">
        <f>ROUNDDOWN(SUMIF(Q282:Q282, "1", J282:J282), 0)</f>
        <v>171</v>
      </c>
      <c r="K283" s="93"/>
      <c r="L283" s="93">
        <f>F283+H283+J283</f>
        <v>3695</v>
      </c>
      <c r="M283" s="91"/>
    </row>
    <row r="284" spans="1:21" ht="23.1" customHeight="1">
      <c r="A284" s="85"/>
      <c r="B284" s="85"/>
      <c r="C284" s="83"/>
      <c r="D284" s="84"/>
      <c r="E284" s="84"/>
      <c r="F284" s="84"/>
      <c r="G284" s="84"/>
      <c r="H284" s="84"/>
      <c r="I284" s="84"/>
      <c r="J284" s="84"/>
      <c r="K284" s="84"/>
      <c r="L284" s="84"/>
      <c r="M284" s="85"/>
    </row>
    <row r="285" spans="1:21" ht="23.1" customHeight="1">
      <c r="A285" s="235" t="s">
        <v>1150</v>
      </c>
      <c r="B285" s="236"/>
      <c r="C285" s="236"/>
      <c r="D285" s="236"/>
      <c r="E285" s="236"/>
      <c r="F285" s="236"/>
      <c r="G285" s="236"/>
      <c r="H285" s="236"/>
      <c r="I285" s="236"/>
      <c r="J285" s="236"/>
      <c r="K285" s="236"/>
      <c r="L285" s="236"/>
      <c r="M285" s="120"/>
    </row>
    <row r="286" spans="1:21" ht="23.1" customHeight="1">
      <c r="A286" s="81" t="s">
        <v>1151</v>
      </c>
      <c r="B286" s="81" t="s">
        <v>1152</v>
      </c>
      <c r="C286" s="82" t="s">
        <v>343</v>
      </c>
      <c r="D286" s="84">
        <v>1</v>
      </c>
      <c r="E286" s="84">
        <f>ROUNDDOWN(단가대비표!L121, 0)</f>
        <v>511</v>
      </c>
      <c r="F286" s="84">
        <f>ROUNDDOWN(D286*E286, 1)</f>
        <v>511</v>
      </c>
      <c r="G286" s="84">
        <v>0</v>
      </c>
      <c r="H286" s="84">
        <f>ROUNDDOWN(D286*G286, 1)</f>
        <v>0</v>
      </c>
      <c r="I286" s="84">
        <v>0</v>
      </c>
      <c r="J286" s="84">
        <f>ROUNDDOWN(D286*I286, 1)</f>
        <v>0</v>
      </c>
      <c r="K286" s="84">
        <f t="shared" ref="K286:L288" si="33">E286+G286+I286</f>
        <v>511</v>
      </c>
      <c r="L286" s="84">
        <f t="shared" si="33"/>
        <v>511</v>
      </c>
      <c r="M286" s="85"/>
      <c r="O286" s="86" t="s">
        <v>558</v>
      </c>
      <c r="P286" s="86" t="s">
        <v>678</v>
      </c>
      <c r="Q286" s="79">
        <v>1</v>
      </c>
    </row>
    <row r="287" spans="1:21" ht="23.1" customHeight="1">
      <c r="A287" s="81" t="s">
        <v>1153</v>
      </c>
      <c r="B287" s="81" t="s">
        <v>1154</v>
      </c>
      <c r="C287" s="82" t="s">
        <v>343</v>
      </c>
      <c r="D287" s="84">
        <v>1</v>
      </c>
      <c r="E287" s="84">
        <f>ROUNDDOWN(단가대비표!L156, 0)</f>
        <v>913</v>
      </c>
      <c r="F287" s="84">
        <f>ROUNDDOWN(D287*E287, 1)</f>
        <v>913</v>
      </c>
      <c r="G287" s="84">
        <v>0</v>
      </c>
      <c r="H287" s="84">
        <f>ROUNDDOWN(D287*G287, 1)</f>
        <v>0</v>
      </c>
      <c r="I287" s="84">
        <v>0</v>
      </c>
      <c r="J287" s="84">
        <f>ROUNDDOWN(D287*I287, 1)</f>
        <v>0</v>
      </c>
      <c r="K287" s="84">
        <f t="shared" si="33"/>
        <v>913</v>
      </c>
      <c r="L287" s="84">
        <f t="shared" si="33"/>
        <v>913</v>
      </c>
      <c r="M287" s="85"/>
      <c r="O287" s="86" t="s">
        <v>558</v>
      </c>
      <c r="P287" s="86" t="s">
        <v>678</v>
      </c>
      <c r="Q287" s="79">
        <v>1</v>
      </c>
    </row>
    <row r="288" spans="1:21" ht="23.1" customHeight="1">
      <c r="A288" s="81" t="s">
        <v>1155</v>
      </c>
      <c r="B288" s="81" t="s">
        <v>1156</v>
      </c>
      <c r="C288" s="82" t="s">
        <v>343</v>
      </c>
      <c r="D288" s="84">
        <v>1</v>
      </c>
      <c r="E288" s="84">
        <f>ROUNDDOWN(단가대비표!L84, 0)</f>
        <v>107</v>
      </c>
      <c r="F288" s="84">
        <f>ROUNDDOWN(D288*E288, 1)</f>
        <v>107</v>
      </c>
      <c r="G288" s="84">
        <v>0</v>
      </c>
      <c r="H288" s="84">
        <f>ROUNDDOWN(D288*G288, 1)</f>
        <v>0</v>
      </c>
      <c r="I288" s="84">
        <v>0</v>
      </c>
      <c r="J288" s="84">
        <f>ROUNDDOWN(D288*I288, 1)</f>
        <v>0</v>
      </c>
      <c r="K288" s="84">
        <f t="shared" si="33"/>
        <v>107</v>
      </c>
      <c r="L288" s="84">
        <f t="shared" si="33"/>
        <v>107</v>
      </c>
      <c r="M288" s="85"/>
      <c r="O288" s="86" t="s">
        <v>558</v>
      </c>
      <c r="P288" s="86" t="s">
        <v>678</v>
      </c>
      <c r="Q288" s="79">
        <v>1</v>
      </c>
    </row>
    <row r="289" spans="1:17" ht="23.1" customHeight="1">
      <c r="A289" s="90" t="s">
        <v>734</v>
      </c>
      <c r="B289" s="91"/>
      <c r="C289" s="92"/>
      <c r="D289" s="93"/>
      <c r="E289" s="93"/>
      <c r="F289" s="93">
        <f>ROUNDDOWN(SUMIF(Q286:Q288, "1", F286:F288), 0)</f>
        <v>1531</v>
      </c>
      <c r="G289" s="93"/>
      <c r="H289" s="93">
        <f>ROUNDDOWN(SUMIF(Q286:Q288, "1", H286:H288), 0)</f>
        <v>0</v>
      </c>
      <c r="I289" s="93"/>
      <c r="J289" s="93">
        <f>ROUNDDOWN(SUMIF(Q286:Q288, "1", J286:J288), 0)</f>
        <v>0</v>
      </c>
      <c r="K289" s="93"/>
      <c r="L289" s="93">
        <f>F289+H289+J289</f>
        <v>1531</v>
      </c>
      <c r="M289" s="91"/>
    </row>
    <row r="290" spans="1:17" ht="23.1" customHeight="1">
      <c r="A290" s="85"/>
      <c r="B290" s="85"/>
      <c r="C290" s="83"/>
      <c r="D290" s="84"/>
      <c r="E290" s="84"/>
      <c r="F290" s="84"/>
      <c r="G290" s="84"/>
      <c r="H290" s="84"/>
      <c r="I290" s="84"/>
      <c r="J290" s="84"/>
      <c r="K290" s="84"/>
      <c r="L290" s="84"/>
      <c r="M290" s="85"/>
    </row>
    <row r="291" spans="1:17" ht="23.1" customHeight="1">
      <c r="A291" s="235" t="s">
        <v>1157</v>
      </c>
      <c r="B291" s="236"/>
      <c r="C291" s="236"/>
      <c r="D291" s="236"/>
      <c r="E291" s="236"/>
      <c r="F291" s="236"/>
      <c r="G291" s="236"/>
      <c r="H291" s="236"/>
      <c r="I291" s="236"/>
      <c r="J291" s="236"/>
      <c r="K291" s="236"/>
      <c r="L291" s="236"/>
      <c r="M291" s="120"/>
    </row>
    <row r="292" spans="1:17" ht="23.1" customHeight="1">
      <c r="A292" s="81" t="s">
        <v>1151</v>
      </c>
      <c r="B292" s="81" t="s">
        <v>1158</v>
      </c>
      <c r="C292" s="82" t="s">
        <v>343</v>
      </c>
      <c r="D292" s="84">
        <v>1</v>
      </c>
      <c r="E292" s="84">
        <f>ROUNDDOWN(단가대비표!L122, 0)</f>
        <v>601</v>
      </c>
      <c r="F292" s="84">
        <f>ROUNDDOWN(D292*E292, 1)</f>
        <v>601</v>
      </c>
      <c r="G292" s="84">
        <v>0</v>
      </c>
      <c r="H292" s="84">
        <f>ROUNDDOWN(D292*G292, 1)</f>
        <v>0</v>
      </c>
      <c r="I292" s="84">
        <v>0</v>
      </c>
      <c r="J292" s="84">
        <f>ROUNDDOWN(D292*I292, 1)</f>
        <v>0</v>
      </c>
      <c r="K292" s="84">
        <f t="shared" ref="K292:L294" si="34">E292+G292+I292</f>
        <v>601</v>
      </c>
      <c r="L292" s="84">
        <f t="shared" si="34"/>
        <v>601</v>
      </c>
      <c r="M292" s="85"/>
      <c r="O292" s="86" t="s">
        <v>558</v>
      </c>
      <c r="P292" s="86" t="s">
        <v>678</v>
      </c>
      <c r="Q292" s="79">
        <v>1</v>
      </c>
    </row>
    <row r="293" spans="1:17" ht="23.1" customHeight="1">
      <c r="A293" s="81" t="s">
        <v>1153</v>
      </c>
      <c r="B293" s="81" t="s">
        <v>1154</v>
      </c>
      <c r="C293" s="82" t="s">
        <v>343</v>
      </c>
      <c r="D293" s="84">
        <v>1</v>
      </c>
      <c r="E293" s="84">
        <f>ROUNDDOWN(단가대비표!L156, 0)</f>
        <v>913</v>
      </c>
      <c r="F293" s="84">
        <f>ROUNDDOWN(D293*E293, 1)</f>
        <v>913</v>
      </c>
      <c r="G293" s="84">
        <v>0</v>
      </c>
      <c r="H293" s="84">
        <f>ROUNDDOWN(D293*G293, 1)</f>
        <v>0</v>
      </c>
      <c r="I293" s="84">
        <v>0</v>
      </c>
      <c r="J293" s="84">
        <f>ROUNDDOWN(D293*I293, 1)</f>
        <v>0</v>
      </c>
      <c r="K293" s="84">
        <f t="shared" si="34"/>
        <v>913</v>
      </c>
      <c r="L293" s="84">
        <f t="shared" si="34"/>
        <v>913</v>
      </c>
      <c r="M293" s="85"/>
      <c r="O293" s="86" t="s">
        <v>558</v>
      </c>
      <c r="P293" s="86" t="s">
        <v>678</v>
      </c>
      <c r="Q293" s="79">
        <v>1</v>
      </c>
    </row>
    <row r="294" spans="1:17" ht="23.1" customHeight="1">
      <c r="A294" s="81" t="s">
        <v>1155</v>
      </c>
      <c r="B294" s="81" t="s">
        <v>1156</v>
      </c>
      <c r="C294" s="82" t="s">
        <v>343</v>
      </c>
      <c r="D294" s="84">
        <v>1</v>
      </c>
      <c r="E294" s="84">
        <f>ROUNDDOWN(단가대비표!L84, 0)</f>
        <v>107</v>
      </c>
      <c r="F294" s="84">
        <f>ROUNDDOWN(D294*E294, 1)</f>
        <v>107</v>
      </c>
      <c r="G294" s="84">
        <v>0</v>
      </c>
      <c r="H294" s="84">
        <f>ROUNDDOWN(D294*G294, 1)</f>
        <v>0</v>
      </c>
      <c r="I294" s="84">
        <v>0</v>
      </c>
      <c r="J294" s="84">
        <f>ROUNDDOWN(D294*I294, 1)</f>
        <v>0</v>
      </c>
      <c r="K294" s="84">
        <f t="shared" si="34"/>
        <v>107</v>
      </c>
      <c r="L294" s="84">
        <f t="shared" si="34"/>
        <v>107</v>
      </c>
      <c r="M294" s="85"/>
      <c r="O294" s="86" t="s">
        <v>558</v>
      </c>
      <c r="P294" s="86" t="s">
        <v>678</v>
      </c>
      <c r="Q294" s="79">
        <v>1</v>
      </c>
    </row>
    <row r="295" spans="1:17" ht="23.1" customHeight="1">
      <c r="A295" s="90" t="s">
        <v>734</v>
      </c>
      <c r="B295" s="91"/>
      <c r="C295" s="92"/>
      <c r="D295" s="93"/>
      <c r="E295" s="93"/>
      <c r="F295" s="93">
        <f>ROUNDDOWN(SUMIF(Q292:Q294, "1", F292:F294), 0)</f>
        <v>1621</v>
      </c>
      <c r="G295" s="93"/>
      <c r="H295" s="93">
        <f>ROUNDDOWN(SUMIF(Q292:Q294, "1", H292:H294), 0)</f>
        <v>0</v>
      </c>
      <c r="I295" s="93"/>
      <c r="J295" s="93">
        <f>ROUNDDOWN(SUMIF(Q292:Q294, "1", J292:J294), 0)</f>
        <v>0</v>
      </c>
      <c r="K295" s="93"/>
      <c r="L295" s="93">
        <f>F295+H295+J295</f>
        <v>1621</v>
      </c>
      <c r="M295" s="91"/>
    </row>
    <row r="296" spans="1:17" ht="23.1" customHeight="1">
      <c r="A296" s="85"/>
      <c r="B296" s="85"/>
      <c r="C296" s="83"/>
      <c r="D296" s="84"/>
      <c r="E296" s="84"/>
      <c r="F296" s="84"/>
      <c r="G296" s="84"/>
      <c r="H296" s="84"/>
      <c r="I296" s="84"/>
      <c r="J296" s="84"/>
      <c r="K296" s="84"/>
      <c r="L296" s="84"/>
      <c r="M296" s="85"/>
    </row>
    <row r="297" spans="1:17" ht="23.1" customHeight="1">
      <c r="A297" s="235" t="s">
        <v>1159</v>
      </c>
      <c r="B297" s="236"/>
      <c r="C297" s="236"/>
      <c r="D297" s="236"/>
      <c r="E297" s="236"/>
      <c r="F297" s="236"/>
      <c r="G297" s="236"/>
      <c r="H297" s="236"/>
      <c r="I297" s="236"/>
      <c r="J297" s="236"/>
      <c r="K297" s="236"/>
      <c r="L297" s="236"/>
      <c r="M297" s="120"/>
    </row>
    <row r="298" spans="1:17" ht="23.1" customHeight="1">
      <c r="A298" s="81" t="s">
        <v>1151</v>
      </c>
      <c r="B298" s="81" t="s">
        <v>1160</v>
      </c>
      <c r="C298" s="82" t="s">
        <v>343</v>
      </c>
      <c r="D298" s="84">
        <v>1</v>
      </c>
      <c r="E298" s="84">
        <f>ROUNDDOWN(단가대비표!L123, 0)</f>
        <v>709</v>
      </c>
      <c r="F298" s="84">
        <f>ROUNDDOWN(D298*E298, 1)</f>
        <v>709</v>
      </c>
      <c r="G298" s="84">
        <v>0</v>
      </c>
      <c r="H298" s="84">
        <f>ROUNDDOWN(D298*G298, 1)</f>
        <v>0</v>
      </c>
      <c r="I298" s="84">
        <v>0</v>
      </c>
      <c r="J298" s="84">
        <f>ROUNDDOWN(D298*I298, 1)</f>
        <v>0</v>
      </c>
      <c r="K298" s="84">
        <f t="shared" ref="K298:L300" si="35">E298+G298+I298</f>
        <v>709</v>
      </c>
      <c r="L298" s="84">
        <f t="shared" si="35"/>
        <v>709</v>
      </c>
      <c r="M298" s="85"/>
      <c r="O298" s="86" t="s">
        <v>558</v>
      </c>
      <c r="P298" s="86" t="s">
        <v>678</v>
      </c>
      <c r="Q298" s="79">
        <v>1</v>
      </c>
    </row>
    <row r="299" spans="1:17" ht="23.1" customHeight="1">
      <c r="A299" s="81" t="s">
        <v>1153</v>
      </c>
      <c r="B299" s="81" t="s">
        <v>1154</v>
      </c>
      <c r="C299" s="82" t="s">
        <v>343</v>
      </c>
      <c r="D299" s="84">
        <v>1</v>
      </c>
      <c r="E299" s="84">
        <f>ROUNDDOWN(단가대비표!L156, 0)</f>
        <v>913</v>
      </c>
      <c r="F299" s="84">
        <f>ROUNDDOWN(D299*E299, 1)</f>
        <v>913</v>
      </c>
      <c r="G299" s="84">
        <v>0</v>
      </c>
      <c r="H299" s="84">
        <f>ROUNDDOWN(D299*G299, 1)</f>
        <v>0</v>
      </c>
      <c r="I299" s="84">
        <v>0</v>
      </c>
      <c r="J299" s="84">
        <f>ROUNDDOWN(D299*I299, 1)</f>
        <v>0</v>
      </c>
      <c r="K299" s="84">
        <f t="shared" si="35"/>
        <v>913</v>
      </c>
      <c r="L299" s="84">
        <f t="shared" si="35"/>
        <v>913</v>
      </c>
      <c r="M299" s="85"/>
      <c r="O299" s="86" t="s">
        <v>558</v>
      </c>
      <c r="P299" s="86" t="s">
        <v>678</v>
      </c>
      <c r="Q299" s="79">
        <v>1</v>
      </c>
    </row>
    <row r="300" spans="1:17" ht="23.1" customHeight="1">
      <c r="A300" s="81" t="s">
        <v>1155</v>
      </c>
      <c r="B300" s="81" t="s">
        <v>1156</v>
      </c>
      <c r="C300" s="82" t="s">
        <v>343</v>
      </c>
      <c r="D300" s="84">
        <v>1</v>
      </c>
      <c r="E300" s="84">
        <f>ROUNDDOWN(단가대비표!L84, 0)</f>
        <v>107</v>
      </c>
      <c r="F300" s="84">
        <f>ROUNDDOWN(D300*E300, 1)</f>
        <v>107</v>
      </c>
      <c r="G300" s="84">
        <v>0</v>
      </c>
      <c r="H300" s="84">
        <f>ROUNDDOWN(D300*G300, 1)</f>
        <v>0</v>
      </c>
      <c r="I300" s="84">
        <v>0</v>
      </c>
      <c r="J300" s="84">
        <f>ROUNDDOWN(D300*I300, 1)</f>
        <v>0</v>
      </c>
      <c r="K300" s="84">
        <f t="shared" si="35"/>
        <v>107</v>
      </c>
      <c r="L300" s="84">
        <f t="shared" si="35"/>
        <v>107</v>
      </c>
      <c r="M300" s="85"/>
      <c r="O300" s="86" t="s">
        <v>558</v>
      </c>
      <c r="P300" s="86" t="s">
        <v>678</v>
      </c>
      <c r="Q300" s="79">
        <v>1</v>
      </c>
    </row>
    <row r="301" spans="1:17" ht="23.1" customHeight="1">
      <c r="A301" s="90" t="s">
        <v>734</v>
      </c>
      <c r="B301" s="91"/>
      <c r="C301" s="92"/>
      <c r="D301" s="93"/>
      <c r="E301" s="93"/>
      <c r="F301" s="93">
        <f>ROUNDDOWN(SUMIF(Q298:Q300, "1", F298:F300), 0)</f>
        <v>1729</v>
      </c>
      <c r="G301" s="93"/>
      <c r="H301" s="93">
        <f>ROUNDDOWN(SUMIF(Q298:Q300, "1", H298:H300), 0)</f>
        <v>0</v>
      </c>
      <c r="I301" s="93"/>
      <c r="J301" s="93">
        <f>ROUNDDOWN(SUMIF(Q298:Q300, "1", J298:J300), 0)</f>
        <v>0</v>
      </c>
      <c r="K301" s="93"/>
      <c r="L301" s="93">
        <f>F301+H301+J301</f>
        <v>1729</v>
      </c>
      <c r="M301" s="91"/>
    </row>
    <row r="302" spans="1:17" ht="23.1" customHeight="1">
      <c r="A302" s="85"/>
      <c r="B302" s="85"/>
      <c r="C302" s="83"/>
      <c r="D302" s="84"/>
      <c r="E302" s="84"/>
      <c r="F302" s="84"/>
      <c r="G302" s="84"/>
      <c r="H302" s="84"/>
      <c r="I302" s="84"/>
      <c r="J302" s="84"/>
      <c r="K302" s="84"/>
      <c r="L302" s="84"/>
      <c r="M302" s="85"/>
    </row>
    <row r="303" spans="1:17" ht="23.1" customHeight="1">
      <c r="A303" s="235" t="s">
        <v>1161</v>
      </c>
      <c r="B303" s="236"/>
      <c r="C303" s="236"/>
      <c r="D303" s="236"/>
      <c r="E303" s="236"/>
      <c r="F303" s="236"/>
      <c r="G303" s="236"/>
      <c r="H303" s="236"/>
      <c r="I303" s="236"/>
      <c r="J303" s="236"/>
      <c r="K303" s="236"/>
      <c r="L303" s="236"/>
      <c r="M303" s="120"/>
    </row>
    <row r="304" spans="1:17" ht="23.1" customHeight="1">
      <c r="A304" s="81" t="s">
        <v>1151</v>
      </c>
      <c r="B304" s="81" t="s">
        <v>1162</v>
      </c>
      <c r="C304" s="82" t="s">
        <v>343</v>
      </c>
      <c r="D304" s="84">
        <v>1</v>
      </c>
      <c r="E304" s="84">
        <f>ROUNDDOWN(단가대비표!L124, 0)</f>
        <v>763</v>
      </c>
      <c r="F304" s="84">
        <f>ROUNDDOWN(D304*E304, 1)</f>
        <v>763</v>
      </c>
      <c r="G304" s="84">
        <v>0</v>
      </c>
      <c r="H304" s="84">
        <f>ROUNDDOWN(D304*G304, 1)</f>
        <v>0</v>
      </c>
      <c r="I304" s="84">
        <v>0</v>
      </c>
      <c r="J304" s="84">
        <f>ROUNDDOWN(D304*I304, 1)</f>
        <v>0</v>
      </c>
      <c r="K304" s="84">
        <f t="shared" ref="K304:L306" si="36">E304+G304+I304</f>
        <v>763</v>
      </c>
      <c r="L304" s="84">
        <f t="shared" si="36"/>
        <v>763</v>
      </c>
      <c r="M304" s="85"/>
      <c r="O304" s="86" t="s">
        <v>558</v>
      </c>
      <c r="P304" s="86" t="s">
        <v>678</v>
      </c>
      <c r="Q304" s="79">
        <v>1</v>
      </c>
    </row>
    <row r="305" spans="1:17" ht="23.1" customHeight="1">
      <c r="A305" s="81" t="s">
        <v>1153</v>
      </c>
      <c r="B305" s="81" t="s">
        <v>1154</v>
      </c>
      <c r="C305" s="82" t="s">
        <v>343</v>
      </c>
      <c r="D305" s="84">
        <v>1</v>
      </c>
      <c r="E305" s="84">
        <f>ROUNDDOWN(단가대비표!L156, 0)</f>
        <v>913</v>
      </c>
      <c r="F305" s="84">
        <f>ROUNDDOWN(D305*E305, 1)</f>
        <v>913</v>
      </c>
      <c r="G305" s="84">
        <v>0</v>
      </c>
      <c r="H305" s="84">
        <f>ROUNDDOWN(D305*G305, 1)</f>
        <v>0</v>
      </c>
      <c r="I305" s="84">
        <v>0</v>
      </c>
      <c r="J305" s="84">
        <f>ROUNDDOWN(D305*I305, 1)</f>
        <v>0</v>
      </c>
      <c r="K305" s="84">
        <f t="shared" si="36"/>
        <v>913</v>
      </c>
      <c r="L305" s="84">
        <f t="shared" si="36"/>
        <v>913</v>
      </c>
      <c r="M305" s="85"/>
      <c r="O305" s="86" t="s">
        <v>558</v>
      </c>
      <c r="P305" s="86" t="s">
        <v>678</v>
      </c>
      <c r="Q305" s="79">
        <v>1</v>
      </c>
    </row>
    <row r="306" spans="1:17" ht="23.1" customHeight="1">
      <c r="A306" s="81" t="s">
        <v>1155</v>
      </c>
      <c r="B306" s="81" t="s">
        <v>1156</v>
      </c>
      <c r="C306" s="82" t="s">
        <v>343</v>
      </c>
      <c r="D306" s="84">
        <v>1</v>
      </c>
      <c r="E306" s="84">
        <f>ROUNDDOWN(단가대비표!L84, 0)</f>
        <v>107</v>
      </c>
      <c r="F306" s="84">
        <f>ROUNDDOWN(D306*E306, 1)</f>
        <v>107</v>
      </c>
      <c r="G306" s="84">
        <v>0</v>
      </c>
      <c r="H306" s="84">
        <f>ROUNDDOWN(D306*G306, 1)</f>
        <v>0</v>
      </c>
      <c r="I306" s="84">
        <v>0</v>
      </c>
      <c r="J306" s="84">
        <f>ROUNDDOWN(D306*I306, 1)</f>
        <v>0</v>
      </c>
      <c r="K306" s="84">
        <f t="shared" si="36"/>
        <v>107</v>
      </c>
      <c r="L306" s="84">
        <f t="shared" si="36"/>
        <v>107</v>
      </c>
      <c r="M306" s="85"/>
      <c r="O306" s="86" t="s">
        <v>558</v>
      </c>
      <c r="P306" s="86" t="s">
        <v>678</v>
      </c>
      <c r="Q306" s="79">
        <v>1</v>
      </c>
    </row>
    <row r="307" spans="1:17" ht="23.1" customHeight="1">
      <c r="A307" s="90" t="s">
        <v>734</v>
      </c>
      <c r="B307" s="91"/>
      <c r="C307" s="92"/>
      <c r="D307" s="93"/>
      <c r="E307" s="93"/>
      <c r="F307" s="93">
        <f>ROUNDDOWN(SUMIF(Q304:Q306, "1", F304:F306), 0)</f>
        <v>1783</v>
      </c>
      <c r="G307" s="93"/>
      <c r="H307" s="93">
        <f>ROUNDDOWN(SUMIF(Q304:Q306, "1", H304:H306), 0)</f>
        <v>0</v>
      </c>
      <c r="I307" s="93"/>
      <c r="J307" s="93">
        <f>ROUNDDOWN(SUMIF(Q304:Q306, "1", J304:J306), 0)</f>
        <v>0</v>
      </c>
      <c r="K307" s="93"/>
      <c r="L307" s="93">
        <f>F307+H307+J307</f>
        <v>1783</v>
      </c>
      <c r="M307" s="91"/>
    </row>
    <row r="308" spans="1:17" ht="23.1" customHeight="1">
      <c r="A308" s="85"/>
      <c r="B308" s="85"/>
      <c r="C308" s="83"/>
      <c r="D308" s="84"/>
      <c r="E308" s="84"/>
      <c r="F308" s="84"/>
      <c r="G308" s="84"/>
      <c r="H308" s="84"/>
      <c r="I308" s="84"/>
      <c r="J308" s="84"/>
      <c r="K308" s="84"/>
      <c r="L308" s="84"/>
      <c r="M308" s="85"/>
    </row>
    <row r="309" spans="1:17" ht="23.1" customHeight="1">
      <c r="A309" s="235" t="s">
        <v>1163</v>
      </c>
      <c r="B309" s="236"/>
      <c r="C309" s="236"/>
      <c r="D309" s="236"/>
      <c r="E309" s="236"/>
      <c r="F309" s="236"/>
      <c r="G309" s="236"/>
      <c r="H309" s="236"/>
      <c r="I309" s="236"/>
      <c r="J309" s="236"/>
      <c r="K309" s="236"/>
      <c r="L309" s="236"/>
      <c r="M309" s="120"/>
    </row>
    <row r="310" spans="1:17" ht="23.1" customHeight="1">
      <c r="A310" s="81" t="s">
        <v>1151</v>
      </c>
      <c r="B310" s="81" t="s">
        <v>1164</v>
      </c>
      <c r="C310" s="82" t="s">
        <v>343</v>
      </c>
      <c r="D310" s="84">
        <v>1</v>
      </c>
      <c r="E310" s="84">
        <f>ROUNDDOWN(단가대비표!L125, 0)</f>
        <v>1005</v>
      </c>
      <c r="F310" s="84">
        <f>ROUNDDOWN(D310*E310, 1)</f>
        <v>1005</v>
      </c>
      <c r="G310" s="84">
        <v>0</v>
      </c>
      <c r="H310" s="84">
        <f>ROUNDDOWN(D310*G310, 1)</f>
        <v>0</v>
      </c>
      <c r="I310" s="84">
        <v>0</v>
      </c>
      <c r="J310" s="84">
        <f>ROUNDDOWN(D310*I310, 1)</f>
        <v>0</v>
      </c>
      <c r="K310" s="84">
        <f t="shared" ref="K310:L312" si="37">E310+G310+I310</f>
        <v>1005</v>
      </c>
      <c r="L310" s="84">
        <f t="shared" si="37"/>
        <v>1005</v>
      </c>
      <c r="M310" s="85"/>
      <c r="O310" s="86" t="s">
        <v>558</v>
      </c>
      <c r="P310" s="86" t="s">
        <v>678</v>
      </c>
      <c r="Q310" s="79">
        <v>1</v>
      </c>
    </row>
    <row r="311" spans="1:17" ht="23.1" customHeight="1">
      <c r="A311" s="81" t="s">
        <v>1153</v>
      </c>
      <c r="B311" s="81" t="s">
        <v>1154</v>
      </c>
      <c r="C311" s="82" t="s">
        <v>343</v>
      </c>
      <c r="D311" s="84">
        <v>1</v>
      </c>
      <c r="E311" s="84">
        <f>ROUNDDOWN(단가대비표!L156, 0)</f>
        <v>913</v>
      </c>
      <c r="F311" s="84">
        <f>ROUNDDOWN(D311*E311, 1)</f>
        <v>913</v>
      </c>
      <c r="G311" s="84">
        <v>0</v>
      </c>
      <c r="H311" s="84">
        <f>ROUNDDOWN(D311*G311, 1)</f>
        <v>0</v>
      </c>
      <c r="I311" s="84">
        <v>0</v>
      </c>
      <c r="J311" s="84">
        <f>ROUNDDOWN(D311*I311, 1)</f>
        <v>0</v>
      </c>
      <c r="K311" s="84">
        <f t="shared" si="37"/>
        <v>913</v>
      </c>
      <c r="L311" s="84">
        <f t="shared" si="37"/>
        <v>913</v>
      </c>
      <c r="M311" s="85"/>
      <c r="O311" s="86" t="s">
        <v>558</v>
      </c>
      <c r="P311" s="86" t="s">
        <v>678</v>
      </c>
      <c r="Q311" s="79">
        <v>1</v>
      </c>
    </row>
    <row r="312" spans="1:17" ht="23.1" customHeight="1">
      <c r="A312" s="81" t="s">
        <v>1155</v>
      </c>
      <c r="B312" s="81" t="s">
        <v>1156</v>
      </c>
      <c r="C312" s="82" t="s">
        <v>343</v>
      </c>
      <c r="D312" s="84">
        <v>1</v>
      </c>
      <c r="E312" s="84">
        <f>ROUNDDOWN(단가대비표!L84, 0)</f>
        <v>107</v>
      </c>
      <c r="F312" s="84">
        <f>ROUNDDOWN(D312*E312, 1)</f>
        <v>107</v>
      </c>
      <c r="G312" s="84">
        <v>0</v>
      </c>
      <c r="H312" s="84">
        <f>ROUNDDOWN(D312*G312, 1)</f>
        <v>0</v>
      </c>
      <c r="I312" s="84">
        <v>0</v>
      </c>
      <c r="J312" s="84">
        <f>ROUNDDOWN(D312*I312, 1)</f>
        <v>0</v>
      </c>
      <c r="K312" s="84">
        <f t="shared" si="37"/>
        <v>107</v>
      </c>
      <c r="L312" s="84">
        <f t="shared" si="37"/>
        <v>107</v>
      </c>
      <c r="M312" s="85"/>
      <c r="O312" s="86" t="s">
        <v>558</v>
      </c>
      <c r="P312" s="86" t="s">
        <v>678</v>
      </c>
      <c r="Q312" s="79">
        <v>1</v>
      </c>
    </row>
    <row r="313" spans="1:17" ht="23.1" customHeight="1">
      <c r="A313" s="90" t="s">
        <v>734</v>
      </c>
      <c r="B313" s="91"/>
      <c r="C313" s="92"/>
      <c r="D313" s="93"/>
      <c r="E313" s="93"/>
      <c r="F313" s="93">
        <f>ROUNDDOWN(SUMIF(Q310:Q312, "1", F310:F312), 0)</f>
        <v>2025</v>
      </c>
      <c r="G313" s="93"/>
      <c r="H313" s="93">
        <f>ROUNDDOWN(SUMIF(Q310:Q312, "1", H310:H312), 0)</f>
        <v>0</v>
      </c>
      <c r="I313" s="93"/>
      <c r="J313" s="93">
        <f>ROUNDDOWN(SUMIF(Q310:Q312, "1", J310:J312), 0)</f>
        <v>0</v>
      </c>
      <c r="K313" s="93"/>
      <c r="L313" s="93">
        <f>F313+H313+J313</f>
        <v>2025</v>
      </c>
      <c r="M313" s="91"/>
    </row>
    <row r="314" spans="1:17" ht="23.1" customHeight="1">
      <c r="A314" s="85"/>
      <c r="B314" s="85"/>
      <c r="C314" s="83"/>
      <c r="D314" s="84"/>
      <c r="E314" s="84"/>
      <c r="F314" s="84"/>
      <c r="G314" s="84"/>
      <c r="H314" s="84"/>
      <c r="I314" s="84"/>
      <c r="J314" s="84"/>
      <c r="K314" s="84"/>
      <c r="L314" s="84"/>
      <c r="M314" s="85"/>
    </row>
    <row r="315" spans="1:17" ht="23.1" customHeight="1">
      <c r="A315" s="235" t="s">
        <v>1165</v>
      </c>
      <c r="B315" s="236"/>
      <c r="C315" s="236"/>
      <c r="D315" s="236"/>
      <c r="E315" s="236"/>
      <c r="F315" s="236"/>
      <c r="G315" s="236"/>
      <c r="H315" s="236"/>
      <c r="I315" s="236"/>
      <c r="J315" s="236"/>
      <c r="K315" s="236"/>
      <c r="L315" s="236"/>
      <c r="M315" s="120"/>
    </row>
    <row r="316" spans="1:17" ht="23.1" customHeight="1">
      <c r="A316" s="81" t="s">
        <v>1151</v>
      </c>
      <c r="B316" s="81" t="s">
        <v>1166</v>
      </c>
      <c r="C316" s="82" t="s">
        <v>343</v>
      </c>
      <c r="D316" s="84">
        <v>1</v>
      </c>
      <c r="E316" s="84">
        <f>ROUNDDOWN(단가대비표!L126, 0)</f>
        <v>1203</v>
      </c>
      <c r="F316" s="84">
        <f>ROUNDDOWN(D316*E316, 1)</f>
        <v>1203</v>
      </c>
      <c r="G316" s="84">
        <v>0</v>
      </c>
      <c r="H316" s="84">
        <f>ROUNDDOWN(D316*G316, 1)</f>
        <v>0</v>
      </c>
      <c r="I316" s="84">
        <v>0</v>
      </c>
      <c r="J316" s="84">
        <f>ROUNDDOWN(D316*I316, 1)</f>
        <v>0</v>
      </c>
      <c r="K316" s="84">
        <f t="shared" ref="K316:L318" si="38">E316+G316+I316</f>
        <v>1203</v>
      </c>
      <c r="L316" s="84">
        <f t="shared" si="38"/>
        <v>1203</v>
      </c>
      <c r="M316" s="85"/>
      <c r="O316" s="86" t="s">
        <v>558</v>
      </c>
      <c r="P316" s="86" t="s">
        <v>678</v>
      </c>
      <c r="Q316" s="79">
        <v>1</v>
      </c>
    </row>
    <row r="317" spans="1:17" ht="23.1" customHeight="1">
      <c r="A317" s="81" t="s">
        <v>1153</v>
      </c>
      <c r="B317" s="81" t="s">
        <v>1154</v>
      </c>
      <c r="C317" s="82" t="s">
        <v>343</v>
      </c>
      <c r="D317" s="84">
        <v>1</v>
      </c>
      <c r="E317" s="84">
        <f>ROUNDDOWN(단가대비표!L156, 0)</f>
        <v>913</v>
      </c>
      <c r="F317" s="84">
        <f>ROUNDDOWN(D317*E317, 1)</f>
        <v>913</v>
      </c>
      <c r="G317" s="84">
        <v>0</v>
      </c>
      <c r="H317" s="84">
        <f>ROUNDDOWN(D317*G317, 1)</f>
        <v>0</v>
      </c>
      <c r="I317" s="84">
        <v>0</v>
      </c>
      <c r="J317" s="84">
        <f>ROUNDDOWN(D317*I317, 1)</f>
        <v>0</v>
      </c>
      <c r="K317" s="84">
        <f t="shared" si="38"/>
        <v>913</v>
      </c>
      <c r="L317" s="84">
        <f t="shared" si="38"/>
        <v>913</v>
      </c>
      <c r="M317" s="85"/>
      <c r="O317" s="86" t="s">
        <v>558</v>
      </c>
      <c r="P317" s="86" t="s">
        <v>678</v>
      </c>
      <c r="Q317" s="79">
        <v>1</v>
      </c>
    </row>
    <row r="318" spans="1:17" ht="23.1" customHeight="1">
      <c r="A318" s="81" t="s">
        <v>1155</v>
      </c>
      <c r="B318" s="81" t="s">
        <v>1156</v>
      </c>
      <c r="C318" s="82" t="s">
        <v>343</v>
      </c>
      <c r="D318" s="84">
        <v>1</v>
      </c>
      <c r="E318" s="84">
        <f>ROUNDDOWN(단가대비표!L84, 0)</f>
        <v>107</v>
      </c>
      <c r="F318" s="84">
        <f>ROUNDDOWN(D318*E318, 1)</f>
        <v>107</v>
      </c>
      <c r="G318" s="84">
        <v>0</v>
      </c>
      <c r="H318" s="84">
        <f>ROUNDDOWN(D318*G318, 1)</f>
        <v>0</v>
      </c>
      <c r="I318" s="84">
        <v>0</v>
      </c>
      <c r="J318" s="84">
        <f>ROUNDDOWN(D318*I318, 1)</f>
        <v>0</v>
      </c>
      <c r="K318" s="84">
        <f t="shared" si="38"/>
        <v>107</v>
      </c>
      <c r="L318" s="84">
        <f t="shared" si="38"/>
        <v>107</v>
      </c>
      <c r="M318" s="85"/>
      <c r="O318" s="86" t="s">
        <v>558</v>
      </c>
      <c r="P318" s="86" t="s">
        <v>678</v>
      </c>
      <c r="Q318" s="79">
        <v>1</v>
      </c>
    </row>
    <row r="319" spans="1:17" ht="23.1" customHeight="1">
      <c r="A319" s="90" t="s">
        <v>734</v>
      </c>
      <c r="B319" s="91"/>
      <c r="C319" s="92"/>
      <c r="D319" s="93"/>
      <c r="E319" s="93"/>
      <c r="F319" s="93">
        <f>ROUNDDOWN(SUMIF(Q316:Q318, "1", F316:F318), 0)</f>
        <v>2223</v>
      </c>
      <c r="G319" s="93"/>
      <c r="H319" s="93">
        <f>ROUNDDOWN(SUMIF(Q316:Q318, "1", H316:H318), 0)</f>
        <v>0</v>
      </c>
      <c r="I319" s="93"/>
      <c r="J319" s="93">
        <f>ROUNDDOWN(SUMIF(Q316:Q318, "1", J316:J318), 0)</f>
        <v>0</v>
      </c>
      <c r="K319" s="93"/>
      <c r="L319" s="93">
        <f>F319+H319+J319</f>
        <v>2223</v>
      </c>
      <c r="M319" s="91"/>
    </row>
    <row r="320" spans="1:17" ht="23.1" customHeight="1">
      <c r="A320" s="85"/>
      <c r="B320" s="85"/>
      <c r="C320" s="83"/>
      <c r="D320" s="84"/>
      <c r="E320" s="84"/>
      <c r="F320" s="84"/>
      <c r="G320" s="84"/>
      <c r="H320" s="84"/>
      <c r="I320" s="84"/>
      <c r="J320" s="84"/>
      <c r="K320" s="84"/>
      <c r="L320" s="84"/>
      <c r="M320" s="85"/>
    </row>
    <row r="321" spans="1:17" ht="23.1" customHeight="1">
      <c r="A321" s="235" t="s">
        <v>1167</v>
      </c>
      <c r="B321" s="236"/>
      <c r="C321" s="236"/>
      <c r="D321" s="236"/>
      <c r="E321" s="236"/>
      <c r="F321" s="236"/>
      <c r="G321" s="236"/>
      <c r="H321" s="236"/>
      <c r="I321" s="236"/>
      <c r="J321" s="236"/>
      <c r="K321" s="236"/>
      <c r="L321" s="236"/>
      <c r="M321" s="120"/>
    </row>
    <row r="322" spans="1:17" ht="23.1" customHeight="1">
      <c r="A322" s="81" t="s">
        <v>1151</v>
      </c>
      <c r="B322" s="81" t="s">
        <v>1168</v>
      </c>
      <c r="C322" s="82" t="s">
        <v>343</v>
      </c>
      <c r="D322" s="84">
        <v>1</v>
      </c>
      <c r="E322" s="84">
        <f>ROUNDDOWN(단가대비표!L127, 0)</f>
        <v>1832</v>
      </c>
      <c r="F322" s="84">
        <f>ROUNDDOWN(D322*E322, 1)</f>
        <v>1832</v>
      </c>
      <c r="G322" s="84">
        <v>0</v>
      </c>
      <c r="H322" s="84">
        <f>ROUNDDOWN(D322*G322, 1)</f>
        <v>0</v>
      </c>
      <c r="I322" s="84">
        <v>0</v>
      </c>
      <c r="J322" s="84">
        <f>ROUNDDOWN(D322*I322, 1)</f>
        <v>0</v>
      </c>
      <c r="K322" s="84">
        <f t="shared" ref="K322:L324" si="39">E322+G322+I322</f>
        <v>1832</v>
      </c>
      <c r="L322" s="84">
        <f t="shared" si="39"/>
        <v>1832</v>
      </c>
      <c r="M322" s="85"/>
      <c r="O322" s="86" t="s">
        <v>558</v>
      </c>
      <c r="P322" s="86" t="s">
        <v>678</v>
      </c>
      <c r="Q322" s="79">
        <v>1</v>
      </c>
    </row>
    <row r="323" spans="1:17" ht="23.1" customHeight="1">
      <c r="A323" s="81" t="s">
        <v>1153</v>
      </c>
      <c r="B323" s="81" t="s">
        <v>1154</v>
      </c>
      <c r="C323" s="82" t="s">
        <v>343</v>
      </c>
      <c r="D323" s="84">
        <v>1</v>
      </c>
      <c r="E323" s="84">
        <f>ROUNDDOWN(단가대비표!L156, 0)</f>
        <v>913</v>
      </c>
      <c r="F323" s="84">
        <f>ROUNDDOWN(D323*E323, 1)</f>
        <v>913</v>
      </c>
      <c r="G323" s="84">
        <v>0</v>
      </c>
      <c r="H323" s="84">
        <f>ROUNDDOWN(D323*G323, 1)</f>
        <v>0</v>
      </c>
      <c r="I323" s="84">
        <v>0</v>
      </c>
      <c r="J323" s="84">
        <f>ROUNDDOWN(D323*I323, 1)</f>
        <v>0</v>
      </c>
      <c r="K323" s="84">
        <f t="shared" si="39"/>
        <v>913</v>
      </c>
      <c r="L323" s="84">
        <f t="shared" si="39"/>
        <v>913</v>
      </c>
      <c r="M323" s="85"/>
      <c r="O323" s="86" t="s">
        <v>558</v>
      </c>
      <c r="P323" s="86" t="s">
        <v>678</v>
      </c>
      <c r="Q323" s="79">
        <v>1</v>
      </c>
    </row>
    <row r="324" spans="1:17" ht="23.1" customHeight="1">
      <c r="A324" s="81" t="s">
        <v>1155</v>
      </c>
      <c r="B324" s="81" t="s">
        <v>1156</v>
      </c>
      <c r="C324" s="82" t="s">
        <v>343</v>
      </c>
      <c r="D324" s="84">
        <v>1</v>
      </c>
      <c r="E324" s="84">
        <f>ROUNDDOWN(단가대비표!L84, 0)</f>
        <v>107</v>
      </c>
      <c r="F324" s="84">
        <f>ROUNDDOWN(D324*E324, 1)</f>
        <v>107</v>
      </c>
      <c r="G324" s="84">
        <v>0</v>
      </c>
      <c r="H324" s="84">
        <f>ROUNDDOWN(D324*G324, 1)</f>
        <v>0</v>
      </c>
      <c r="I324" s="84">
        <v>0</v>
      </c>
      <c r="J324" s="84">
        <f>ROUNDDOWN(D324*I324, 1)</f>
        <v>0</v>
      </c>
      <c r="K324" s="84">
        <f t="shared" si="39"/>
        <v>107</v>
      </c>
      <c r="L324" s="84">
        <f t="shared" si="39"/>
        <v>107</v>
      </c>
      <c r="M324" s="85"/>
      <c r="O324" s="86" t="s">
        <v>558</v>
      </c>
      <c r="P324" s="86" t="s">
        <v>678</v>
      </c>
      <c r="Q324" s="79">
        <v>1</v>
      </c>
    </row>
    <row r="325" spans="1:17" ht="23.1" customHeight="1">
      <c r="A325" s="90" t="s">
        <v>734</v>
      </c>
      <c r="B325" s="91"/>
      <c r="C325" s="92"/>
      <c r="D325" s="93"/>
      <c r="E325" s="93"/>
      <c r="F325" s="93">
        <f>ROUNDDOWN(SUMIF(Q322:Q324, "1", F322:F324), 0)</f>
        <v>2852</v>
      </c>
      <c r="G325" s="93"/>
      <c r="H325" s="93">
        <f>ROUNDDOWN(SUMIF(Q322:Q324, "1", H322:H324), 0)</f>
        <v>0</v>
      </c>
      <c r="I325" s="93"/>
      <c r="J325" s="93">
        <f>ROUNDDOWN(SUMIF(Q322:Q324, "1", J322:J324), 0)</f>
        <v>0</v>
      </c>
      <c r="K325" s="93"/>
      <c r="L325" s="93">
        <f>F325+H325+J325</f>
        <v>2852</v>
      </c>
      <c r="M325" s="91"/>
    </row>
    <row r="326" spans="1:17" ht="23.1" customHeight="1">
      <c r="A326" s="85"/>
      <c r="B326" s="85"/>
      <c r="C326" s="83"/>
      <c r="D326" s="84"/>
      <c r="E326" s="84"/>
      <c r="F326" s="84"/>
      <c r="G326" s="84"/>
      <c r="H326" s="84"/>
      <c r="I326" s="84"/>
      <c r="J326" s="84"/>
      <c r="K326" s="84"/>
      <c r="L326" s="84"/>
      <c r="M326" s="85"/>
    </row>
    <row r="327" spans="1:17" ht="23.1" customHeight="1">
      <c r="A327" s="235" t="s">
        <v>1169</v>
      </c>
      <c r="B327" s="236"/>
      <c r="C327" s="236"/>
      <c r="D327" s="236"/>
      <c r="E327" s="236"/>
      <c r="F327" s="236"/>
      <c r="G327" s="236"/>
      <c r="H327" s="236"/>
      <c r="I327" s="236"/>
      <c r="J327" s="236"/>
      <c r="K327" s="236"/>
      <c r="L327" s="236"/>
      <c r="M327" s="120"/>
    </row>
    <row r="328" spans="1:17" ht="23.1" customHeight="1">
      <c r="A328" s="81" t="s">
        <v>1151</v>
      </c>
      <c r="B328" s="81" t="s">
        <v>1170</v>
      </c>
      <c r="C328" s="82" t="s">
        <v>343</v>
      </c>
      <c r="D328" s="84">
        <v>1</v>
      </c>
      <c r="E328" s="84">
        <f>ROUNDDOWN(단가대비표!L118, 0)</f>
        <v>2173</v>
      </c>
      <c r="F328" s="84">
        <f>ROUNDDOWN(D328*E328, 1)</f>
        <v>2173</v>
      </c>
      <c r="G328" s="84">
        <v>0</v>
      </c>
      <c r="H328" s="84">
        <f>ROUNDDOWN(D328*G328, 1)</f>
        <v>0</v>
      </c>
      <c r="I328" s="84">
        <v>0</v>
      </c>
      <c r="J328" s="84">
        <f>ROUNDDOWN(D328*I328, 1)</f>
        <v>0</v>
      </c>
      <c r="K328" s="84">
        <f t="shared" ref="K328:L330" si="40">E328+G328+I328</f>
        <v>2173</v>
      </c>
      <c r="L328" s="84">
        <f t="shared" si="40"/>
        <v>2173</v>
      </c>
      <c r="M328" s="85"/>
      <c r="O328" s="86" t="s">
        <v>558</v>
      </c>
      <c r="P328" s="86" t="s">
        <v>678</v>
      </c>
      <c r="Q328" s="79">
        <v>1</v>
      </c>
    </row>
    <row r="329" spans="1:17" ht="23.1" customHeight="1">
      <c r="A329" s="81" t="s">
        <v>1153</v>
      </c>
      <c r="B329" s="81" t="s">
        <v>1171</v>
      </c>
      <c r="C329" s="82" t="s">
        <v>343</v>
      </c>
      <c r="D329" s="84">
        <v>1</v>
      </c>
      <c r="E329" s="84">
        <f>ROUNDDOWN(단가대비표!L157, 0)</f>
        <v>2202</v>
      </c>
      <c r="F329" s="84">
        <f>ROUNDDOWN(D329*E329, 1)</f>
        <v>2202</v>
      </c>
      <c r="G329" s="84">
        <v>0</v>
      </c>
      <c r="H329" s="84">
        <f>ROUNDDOWN(D329*G329, 1)</f>
        <v>0</v>
      </c>
      <c r="I329" s="84">
        <v>0</v>
      </c>
      <c r="J329" s="84">
        <f>ROUNDDOWN(D329*I329, 1)</f>
        <v>0</v>
      </c>
      <c r="K329" s="84">
        <f t="shared" si="40"/>
        <v>2202</v>
      </c>
      <c r="L329" s="84">
        <f t="shared" si="40"/>
        <v>2202</v>
      </c>
      <c r="M329" s="85"/>
      <c r="O329" s="86" t="s">
        <v>558</v>
      </c>
      <c r="P329" s="86" t="s">
        <v>678</v>
      </c>
      <c r="Q329" s="79">
        <v>1</v>
      </c>
    </row>
    <row r="330" spans="1:17" ht="23.1" customHeight="1">
      <c r="A330" s="81" t="s">
        <v>1155</v>
      </c>
      <c r="B330" s="81" t="s">
        <v>1172</v>
      </c>
      <c r="C330" s="82" t="s">
        <v>343</v>
      </c>
      <c r="D330" s="84">
        <v>1</v>
      </c>
      <c r="E330" s="84">
        <f>ROUNDDOWN(단가대비표!L85, 0)</f>
        <v>251</v>
      </c>
      <c r="F330" s="84">
        <f>ROUNDDOWN(D330*E330, 1)</f>
        <v>251</v>
      </c>
      <c r="G330" s="84">
        <v>0</v>
      </c>
      <c r="H330" s="84">
        <f>ROUNDDOWN(D330*G330, 1)</f>
        <v>0</v>
      </c>
      <c r="I330" s="84">
        <v>0</v>
      </c>
      <c r="J330" s="84">
        <f>ROUNDDOWN(D330*I330, 1)</f>
        <v>0</v>
      </c>
      <c r="K330" s="84">
        <f t="shared" si="40"/>
        <v>251</v>
      </c>
      <c r="L330" s="84">
        <f t="shared" si="40"/>
        <v>251</v>
      </c>
      <c r="M330" s="85"/>
      <c r="O330" s="86" t="s">
        <v>558</v>
      </c>
      <c r="P330" s="86" t="s">
        <v>678</v>
      </c>
      <c r="Q330" s="79">
        <v>1</v>
      </c>
    </row>
    <row r="331" spans="1:17" ht="23.1" customHeight="1">
      <c r="A331" s="90" t="s">
        <v>734</v>
      </c>
      <c r="B331" s="91"/>
      <c r="C331" s="92"/>
      <c r="D331" s="93"/>
      <c r="E331" s="93"/>
      <c r="F331" s="93">
        <f>ROUNDDOWN(SUMIF(Q328:Q330, "1", F328:F330), 0)</f>
        <v>4626</v>
      </c>
      <c r="G331" s="93"/>
      <c r="H331" s="93">
        <f>ROUNDDOWN(SUMIF(Q328:Q330, "1", H328:H330), 0)</f>
        <v>0</v>
      </c>
      <c r="I331" s="93"/>
      <c r="J331" s="93">
        <f>ROUNDDOWN(SUMIF(Q328:Q330, "1", J328:J330), 0)</f>
        <v>0</v>
      </c>
      <c r="K331" s="93"/>
      <c r="L331" s="93">
        <f>F331+H331+J331</f>
        <v>4626</v>
      </c>
      <c r="M331" s="91"/>
    </row>
    <row r="332" spans="1:17" ht="23.1" customHeight="1">
      <c r="A332" s="85"/>
      <c r="B332" s="85"/>
      <c r="C332" s="83"/>
      <c r="D332" s="84"/>
      <c r="E332" s="84"/>
      <c r="F332" s="84"/>
      <c r="G332" s="84"/>
      <c r="H332" s="84"/>
      <c r="I332" s="84"/>
      <c r="J332" s="84"/>
      <c r="K332" s="84"/>
      <c r="L332" s="84"/>
      <c r="M332" s="85"/>
    </row>
    <row r="333" spans="1:17" ht="23.1" customHeight="1">
      <c r="A333" s="235" t="s">
        <v>1173</v>
      </c>
      <c r="B333" s="236"/>
      <c r="C333" s="236"/>
      <c r="D333" s="236"/>
      <c r="E333" s="236"/>
      <c r="F333" s="236"/>
      <c r="G333" s="236"/>
      <c r="H333" s="236"/>
      <c r="I333" s="236"/>
      <c r="J333" s="236"/>
      <c r="K333" s="236"/>
      <c r="L333" s="236"/>
      <c r="M333" s="120"/>
    </row>
    <row r="334" spans="1:17" ht="23.1" customHeight="1">
      <c r="A334" s="81" t="s">
        <v>1151</v>
      </c>
      <c r="B334" s="81" t="s">
        <v>1174</v>
      </c>
      <c r="C334" s="82" t="s">
        <v>343</v>
      </c>
      <c r="D334" s="84">
        <v>1</v>
      </c>
      <c r="E334" s="84">
        <f>ROUNDDOWN(단가대비표!L119, 0)</f>
        <v>2505</v>
      </c>
      <c r="F334" s="84">
        <f>ROUNDDOWN(D334*E334, 1)</f>
        <v>2505</v>
      </c>
      <c r="G334" s="84">
        <v>0</v>
      </c>
      <c r="H334" s="84">
        <f>ROUNDDOWN(D334*G334, 1)</f>
        <v>0</v>
      </c>
      <c r="I334" s="84">
        <v>0</v>
      </c>
      <c r="J334" s="84">
        <f>ROUNDDOWN(D334*I334, 1)</f>
        <v>0</v>
      </c>
      <c r="K334" s="84">
        <f t="shared" ref="K334:L336" si="41">E334+G334+I334</f>
        <v>2505</v>
      </c>
      <c r="L334" s="84">
        <f t="shared" si="41"/>
        <v>2505</v>
      </c>
      <c r="M334" s="85"/>
      <c r="O334" s="86" t="s">
        <v>558</v>
      </c>
      <c r="P334" s="86" t="s">
        <v>678</v>
      </c>
      <c r="Q334" s="79">
        <v>1</v>
      </c>
    </row>
    <row r="335" spans="1:17" ht="23.1" customHeight="1">
      <c r="A335" s="81" t="s">
        <v>1153</v>
      </c>
      <c r="B335" s="81" t="s">
        <v>1171</v>
      </c>
      <c r="C335" s="82" t="s">
        <v>343</v>
      </c>
      <c r="D335" s="84">
        <v>1</v>
      </c>
      <c r="E335" s="84">
        <f>ROUNDDOWN(단가대비표!L157, 0)</f>
        <v>2202</v>
      </c>
      <c r="F335" s="84">
        <f>ROUNDDOWN(D335*E335, 1)</f>
        <v>2202</v>
      </c>
      <c r="G335" s="84">
        <v>0</v>
      </c>
      <c r="H335" s="84">
        <f>ROUNDDOWN(D335*G335, 1)</f>
        <v>0</v>
      </c>
      <c r="I335" s="84">
        <v>0</v>
      </c>
      <c r="J335" s="84">
        <f>ROUNDDOWN(D335*I335, 1)</f>
        <v>0</v>
      </c>
      <c r="K335" s="84">
        <f t="shared" si="41"/>
        <v>2202</v>
      </c>
      <c r="L335" s="84">
        <f t="shared" si="41"/>
        <v>2202</v>
      </c>
      <c r="M335" s="85"/>
      <c r="O335" s="86" t="s">
        <v>558</v>
      </c>
      <c r="P335" s="86" t="s">
        <v>678</v>
      </c>
      <c r="Q335" s="79">
        <v>1</v>
      </c>
    </row>
    <row r="336" spans="1:17" ht="23.1" customHeight="1">
      <c r="A336" s="81" t="s">
        <v>1155</v>
      </c>
      <c r="B336" s="81" t="s">
        <v>1172</v>
      </c>
      <c r="C336" s="82" t="s">
        <v>343</v>
      </c>
      <c r="D336" s="84">
        <v>1</v>
      </c>
      <c r="E336" s="84">
        <f>ROUNDDOWN(단가대비표!L85, 0)</f>
        <v>251</v>
      </c>
      <c r="F336" s="84">
        <f>ROUNDDOWN(D336*E336, 1)</f>
        <v>251</v>
      </c>
      <c r="G336" s="84">
        <v>0</v>
      </c>
      <c r="H336" s="84">
        <f>ROUNDDOWN(D336*G336, 1)</f>
        <v>0</v>
      </c>
      <c r="I336" s="84">
        <v>0</v>
      </c>
      <c r="J336" s="84">
        <f>ROUNDDOWN(D336*I336, 1)</f>
        <v>0</v>
      </c>
      <c r="K336" s="84">
        <f t="shared" si="41"/>
        <v>251</v>
      </c>
      <c r="L336" s="84">
        <f t="shared" si="41"/>
        <v>251</v>
      </c>
      <c r="M336" s="85"/>
      <c r="O336" s="86" t="s">
        <v>558</v>
      </c>
      <c r="P336" s="86" t="s">
        <v>678</v>
      </c>
      <c r="Q336" s="79">
        <v>1</v>
      </c>
    </row>
    <row r="337" spans="1:19" ht="23.1" customHeight="1">
      <c r="A337" s="90" t="s">
        <v>734</v>
      </c>
      <c r="B337" s="91"/>
      <c r="C337" s="92"/>
      <c r="D337" s="93"/>
      <c r="E337" s="93"/>
      <c r="F337" s="93">
        <f>ROUNDDOWN(SUMIF(Q334:Q336, "1", F334:F336), 0)</f>
        <v>4958</v>
      </c>
      <c r="G337" s="93"/>
      <c r="H337" s="93">
        <f>ROUNDDOWN(SUMIF(Q334:Q336, "1", H334:H336), 0)</f>
        <v>0</v>
      </c>
      <c r="I337" s="93"/>
      <c r="J337" s="93">
        <f>ROUNDDOWN(SUMIF(Q334:Q336, "1", J334:J336), 0)</f>
        <v>0</v>
      </c>
      <c r="K337" s="93"/>
      <c r="L337" s="93">
        <f>F337+H337+J337</f>
        <v>4958</v>
      </c>
      <c r="M337" s="91"/>
    </row>
    <row r="338" spans="1:19" ht="23.1" customHeight="1">
      <c r="A338" s="85"/>
      <c r="B338" s="85"/>
      <c r="C338" s="83"/>
      <c r="D338" s="84"/>
      <c r="E338" s="84"/>
      <c r="F338" s="84"/>
      <c r="G338" s="84"/>
      <c r="H338" s="84"/>
      <c r="I338" s="84"/>
      <c r="J338" s="84"/>
      <c r="K338" s="84"/>
      <c r="L338" s="84"/>
      <c r="M338" s="85"/>
    </row>
    <row r="339" spans="1:19" ht="23.1" customHeight="1">
      <c r="A339" s="235" t="s">
        <v>1175</v>
      </c>
      <c r="B339" s="236"/>
      <c r="C339" s="236"/>
      <c r="D339" s="236"/>
      <c r="E339" s="236"/>
      <c r="F339" s="236"/>
      <c r="G339" s="236"/>
      <c r="H339" s="236"/>
      <c r="I339" s="236"/>
      <c r="J339" s="236"/>
      <c r="K339" s="236"/>
      <c r="L339" s="236"/>
      <c r="M339" s="120"/>
    </row>
    <row r="340" spans="1:19" ht="23.1" customHeight="1">
      <c r="A340" s="81" t="s">
        <v>1151</v>
      </c>
      <c r="B340" s="81" t="s">
        <v>1176</v>
      </c>
      <c r="C340" s="82" t="s">
        <v>343</v>
      </c>
      <c r="D340" s="84">
        <v>1</v>
      </c>
      <c r="E340" s="84">
        <f>ROUNDDOWN(단가대비표!L120, 0)</f>
        <v>4032</v>
      </c>
      <c r="F340" s="84">
        <f>ROUNDDOWN(D340*E340, 1)</f>
        <v>4032</v>
      </c>
      <c r="G340" s="84">
        <v>0</v>
      </c>
      <c r="H340" s="84">
        <f>ROUNDDOWN(D340*G340, 1)</f>
        <v>0</v>
      </c>
      <c r="I340" s="84">
        <v>0</v>
      </c>
      <c r="J340" s="84">
        <f>ROUNDDOWN(D340*I340, 1)</f>
        <v>0</v>
      </c>
      <c r="K340" s="84">
        <f t="shared" ref="K340:L342" si="42">E340+G340+I340</f>
        <v>4032</v>
      </c>
      <c r="L340" s="84">
        <f t="shared" si="42"/>
        <v>4032</v>
      </c>
      <c r="M340" s="85"/>
      <c r="O340" s="86" t="s">
        <v>558</v>
      </c>
      <c r="P340" s="86" t="s">
        <v>678</v>
      </c>
      <c r="Q340" s="79">
        <v>1</v>
      </c>
    </row>
    <row r="341" spans="1:19" ht="23.1" customHeight="1">
      <c r="A341" s="81" t="s">
        <v>1153</v>
      </c>
      <c r="B341" s="81" t="s">
        <v>1171</v>
      </c>
      <c r="C341" s="82" t="s">
        <v>343</v>
      </c>
      <c r="D341" s="84">
        <v>1</v>
      </c>
      <c r="E341" s="84">
        <f>ROUNDDOWN(단가대비표!L157, 0)</f>
        <v>2202</v>
      </c>
      <c r="F341" s="84">
        <f>ROUNDDOWN(D341*E341, 1)</f>
        <v>2202</v>
      </c>
      <c r="G341" s="84">
        <v>0</v>
      </c>
      <c r="H341" s="84">
        <f>ROUNDDOWN(D341*G341, 1)</f>
        <v>0</v>
      </c>
      <c r="I341" s="84">
        <v>0</v>
      </c>
      <c r="J341" s="84">
        <f>ROUNDDOWN(D341*I341, 1)</f>
        <v>0</v>
      </c>
      <c r="K341" s="84">
        <f t="shared" si="42"/>
        <v>2202</v>
      </c>
      <c r="L341" s="84">
        <f t="shared" si="42"/>
        <v>2202</v>
      </c>
      <c r="M341" s="85"/>
      <c r="O341" s="86" t="s">
        <v>558</v>
      </c>
      <c r="P341" s="86" t="s">
        <v>678</v>
      </c>
      <c r="Q341" s="79">
        <v>1</v>
      </c>
    </row>
    <row r="342" spans="1:19" ht="23.1" customHeight="1">
      <c r="A342" s="81" t="s">
        <v>1155</v>
      </c>
      <c r="B342" s="81" t="s">
        <v>1172</v>
      </c>
      <c r="C342" s="82" t="s">
        <v>343</v>
      </c>
      <c r="D342" s="84">
        <v>1</v>
      </c>
      <c r="E342" s="84">
        <f>ROUNDDOWN(단가대비표!L85, 0)</f>
        <v>251</v>
      </c>
      <c r="F342" s="84">
        <f>ROUNDDOWN(D342*E342, 1)</f>
        <v>251</v>
      </c>
      <c r="G342" s="84">
        <v>0</v>
      </c>
      <c r="H342" s="84">
        <f>ROUNDDOWN(D342*G342, 1)</f>
        <v>0</v>
      </c>
      <c r="I342" s="84">
        <v>0</v>
      </c>
      <c r="J342" s="84">
        <f>ROUNDDOWN(D342*I342, 1)</f>
        <v>0</v>
      </c>
      <c r="K342" s="84">
        <f t="shared" si="42"/>
        <v>251</v>
      </c>
      <c r="L342" s="84">
        <f t="shared" si="42"/>
        <v>251</v>
      </c>
      <c r="M342" s="85"/>
      <c r="O342" s="86" t="s">
        <v>558</v>
      </c>
      <c r="P342" s="86" t="s">
        <v>678</v>
      </c>
      <c r="Q342" s="79">
        <v>1</v>
      </c>
    </row>
    <row r="343" spans="1:19" ht="23.1" customHeight="1">
      <c r="A343" s="90" t="s">
        <v>734</v>
      </c>
      <c r="B343" s="91"/>
      <c r="C343" s="92"/>
      <c r="D343" s="93"/>
      <c r="E343" s="93"/>
      <c r="F343" s="93">
        <f>ROUNDDOWN(SUMIF(Q340:Q342, "1", F340:F342), 0)</f>
        <v>6485</v>
      </c>
      <c r="G343" s="93"/>
      <c r="H343" s="93">
        <f>ROUNDDOWN(SUMIF(Q340:Q342, "1", H340:H342), 0)</f>
        <v>0</v>
      </c>
      <c r="I343" s="93"/>
      <c r="J343" s="93">
        <f>ROUNDDOWN(SUMIF(Q340:Q342, "1", J340:J342), 0)</f>
        <v>0</v>
      </c>
      <c r="K343" s="93"/>
      <c r="L343" s="93">
        <f>F343+H343+J343</f>
        <v>6485</v>
      </c>
      <c r="M343" s="91"/>
    </row>
    <row r="344" spans="1:19" ht="23.1" customHeight="1">
      <c r="A344" s="85"/>
      <c r="B344" s="85"/>
      <c r="C344" s="83"/>
      <c r="D344" s="84"/>
      <c r="E344" s="84"/>
      <c r="F344" s="84"/>
      <c r="G344" s="84"/>
      <c r="H344" s="84"/>
      <c r="I344" s="84"/>
      <c r="J344" s="84"/>
      <c r="K344" s="84"/>
      <c r="L344" s="84"/>
      <c r="M344" s="85"/>
    </row>
    <row r="345" spans="1:19" ht="23.1" customHeight="1">
      <c r="A345" s="235" t="s">
        <v>1177</v>
      </c>
      <c r="B345" s="236"/>
      <c r="C345" s="236"/>
      <c r="D345" s="236"/>
      <c r="E345" s="236"/>
      <c r="F345" s="236"/>
      <c r="G345" s="236"/>
      <c r="H345" s="236"/>
      <c r="I345" s="236"/>
      <c r="J345" s="236"/>
      <c r="K345" s="236"/>
      <c r="L345" s="236"/>
      <c r="M345" s="120"/>
    </row>
    <row r="346" spans="1:19" ht="23.1" customHeight="1">
      <c r="A346" s="81" t="s">
        <v>1178</v>
      </c>
      <c r="B346" s="81" t="s">
        <v>1179</v>
      </c>
      <c r="C346" s="82" t="s">
        <v>1108</v>
      </c>
      <c r="D346" s="84">
        <v>0.16600000000000001</v>
      </c>
      <c r="E346" s="84">
        <f>ROUNDDOWN(단가대비표!L117, 0)</f>
        <v>4933</v>
      </c>
      <c r="F346" s="84">
        <f>ROUNDDOWN(D346*E346, 1)</f>
        <v>818.8</v>
      </c>
      <c r="G346" s="84">
        <v>0</v>
      </c>
      <c r="H346" s="84">
        <f>ROUNDDOWN(D346*G346, 1)</f>
        <v>0</v>
      </c>
      <c r="I346" s="84">
        <v>0</v>
      </c>
      <c r="J346" s="84">
        <f>ROUNDDOWN(D346*I346, 1)</f>
        <v>0</v>
      </c>
      <c r="K346" s="84">
        <f t="shared" ref="K346:L350" si="43">E346+G346+I346</f>
        <v>4933</v>
      </c>
      <c r="L346" s="84">
        <f t="shared" si="43"/>
        <v>818.8</v>
      </c>
      <c r="M346" s="85"/>
      <c r="O346" s="86" t="s">
        <v>1094</v>
      </c>
      <c r="P346" s="86" t="s">
        <v>678</v>
      </c>
      <c r="Q346" s="79">
        <v>1</v>
      </c>
    </row>
    <row r="347" spans="1:19" ht="23.1" customHeight="1">
      <c r="A347" s="81" t="s">
        <v>1109</v>
      </c>
      <c r="B347" s="81" t="s">
        <v>1110</v>
      </c>
      <c r="C347" s="82" t="s">
        <v>1108</v>
      </c>
      <c r="D347" s="84">
        <v>8.0000000000000002E-3</v>
      </c>
      <c r="E347" s="84">
        <f>ROUNDDOWN(단가대비표!L87, 0)</f>
        <v>2065</v>
      </c>
      <c r="F347" s="84">
        <f>ROUNDDOWN(D347*E347, 1)</f>
        <v>16.5</v>
      </c>
      <c r="G347" s="84">
        <v>0</v>
      </c>
      <c r="H347" s="84">
        <f>ROUNDDOWN(D347*G347, 1)</f>
        <v>0</v>
      </c>
      <c r="I347" s="84">
        <v>0</v>
      </c>
      <c r="J347" s="84">
        <f>ROUNDDOWN(D347*I347, 1)</f>
        <v>0</v>
      </c>
      <c r="K347" s="84">
        <f t="shared" si="43"/>
        <v>2065</v>
      </c>
      <c r="L347" s="84">
        <f t="shared" si="43"/>
        <v>16.5</v>
      </c>
      <c r="M347" s="85"/>
      <c r="O347" s="86" t="s">
        <v>1094</v>
      </c>
      <c r="P347" s="86" t="s">
        <v>678</v>
      </c>
      <c r="Q347" s="79">
        <v>1</v>
      </c>
    </row>
    <row r="348" spans="1:19" ht="23.1" customHeight="1">
      <c r="A348" s="81" t="s">
        <v>1111</v>
      </c>
      <c r="B348" s="81" t="s">
        <v>733</v>
      </c>
      <c r="C348" s="82" t="s">
        <v>446</v>
      </c>
      <c r="D348" s="84">
        <f>0.04*75%</f>
        <v>0.03</v>
      </c>
      <c r="E348" s="84">
        <v>0</v>
      </c>
      <c r="F348" s="84">
        <f>ROUNDDOWN(D348*E348, 1)</f>
        <v>0</v>
      </c>
      <c r="G348" s="84">
        <f>ROUNDDOWN(단가대비표!L161, 0)</f>
        <v>217371</v>
      </c>
      <c r="H348" s="84">
        <f>ROUNDDOWN(D348*G348, 1)</f>
        <v>6521.1</v>
      </c>
      <c r="I348" s="84">
        <v>0</v>
      </c>
      <c r="J348" s="84">
        <f>ROUNDDOWN(D348*I348, 1)</f>
        <v>0</v>
      </c>
      <c r="K348" s="84">
        <f t="shared" si="43"/>
        <v>217371</v>
      </c>
      <c r="L348" s="84">
        <f t="shared" si="43"/>
        <v>6521.1</v>
      </c>
      <c r="M348" s="85"/>
      <c r="O348" s="86" t="s">
        <v>1046</v>
      </c>
      <c r="P348" s="86" t="s">
        <v>678</v>
      </c>
      <c r="Q348" s="79">
        <v>1</v>
      </c>
    </row>
    <row r="349" spans="1:19" ht="23.1" customHeight="1">
      <c r="A349" s="81" t="s">
        <v>452</v>
      </c>
      <c r="B349" s="81" t="s">
        <v>733</v>
      </c>
      <c r="C349" s="82" t="s">
        <v>446</v>
      </c>
      <c r="D349" s="84">
        <f>0.008*75%</f>
        <v>6.0000000000000001E-3</v>
      </c>
      <c r="E349" s="84">
        <v>0</v>
      </c>
      <c r="F349" s="84">
        <f>ROUNDDOWN(D349*E349, 1)</f>
        <v>0</v>
      </c>
      <c r="G349" s="84">
        <f>ROUNDDOWN(단가대비표!L164, 0)</f>
        <v>152500</v>
      </c>
      <c r="H349" s="84">
        <f>ROUNDDOWN(D349*G349, 1)</f>
        <v>915</v>
      </c>
      <c r="I349" s="84">
        <v>0</v>
      </c>
      <c r="J349" s="84">
        <f>ROUNDDOWN(D349*I349, 1)</f>
        <v>0</v>
      </c>
      <c r="K349" s="84">
        <f t="shared" si="43"/>
        <v>152500</v>
      </c>
      <c r="L349" s="84">
        <f t="shared" si="43"/>
        <v>915</v>
      </c>
      <c r="M349" s="85"/>
      <c r="O349" s="86" t="s">
        <v>1046</v>
      </c>
      <c r="P349" s="86" t="s">
        <v>678</v>
      </c>
      <c r="Q349" s="79">
        <v>1</v>
      </c>
    </row>
    <row r="350" spans="1:19" ht="23.1" customHeight="1">
      <c r="A350" s="81" t="s">
        <v>1112</v>
      </c>
      <c r="B350" s="85" t="str">
        <f>"인력품의 " &amp; N350*100 &amp; "%"</f>
        <v>인력품의 2%</v>
      </c>
      <c r="C350" s="82" t="s">
        <v>177</v>
      </c>
      <c r="D350" s="84">
        <v>1</v>
      </c>
      <c r="E350" s="84">
        <f>SUMIF(O346:O350, "02", H346:H350)</f>
        <v>7436.1</v>
      </c>
      <c r="F350" s="84">
        <f>ROUNDDOWN((E350)*N350, 1)</f>
        <v>148.69999999999999</v>
      </c>
      <c r="G350" s="84">
        <v>0</v>
      </c>
      <c r="H350" s="84">
        <v>0</v>
      </c>
      <c r="I350" s="84">
        <v>0</v>
      </c>
      <c r="J350" s="84">
        <v>0</v>
      </c>
      <c r="K350" s="84">
        <f t="shared" si="43"/>
        <v>7436.1</v>
      </c>
      <c r="L350" s="84">
        <f t="shared" si="43"/>
        <v>148.69999999999999</v>
      </c>
      <c r="M350" s="85"/>
      <c r="N350" s="79">
        <v>0.02</v>
      </c>
      <c r="P350" s="86" t="s">
        <v>678</v>
      </c>
      <c r="Q350" s="79">
        <v>1</v>
      </c>
      <c r="R350" s="86" t="s">
        <v>730</v>
      </c>
      <c r="S350" s="86" t="s">
        <v>731</v>
      </c>
    </row>
    <row r="351" spans="1:19" ht="23.1" customHeight="1">
      <c r="A351" s="90" t="s">
        <v>734</v>
      </c>
      <c r="B351" s="91"/>
      <c r="C351" s="92"/>
      <c r="D351" s="93"/>
      <c r="E351" s="93"/>
      <c r="F351" s="93">
        <f>ROUNDDOWN(SUMIF(Q346:Q350, "1", F346:F350), 0)</f>
        <v>984</v>
      </c>
      <c r="G351" s="93"/>
      <c r="H351" s="93">
        <f>ROUNDDOWN(SUMIF(Q346:Q350, "1", H346:H350), 0)</f>
        <v>7436</v>
      </c>
      <c r="I351" s="93"/>
      <c r="J351" s="93">
        <f>ROUNDDOWN(SUMIF(Q346:Q350, "1", J346:J350), 0)</f>
        <v>0</v>
      </c>
      <c r="K351" s="93"/>
      <c r="L351" s="93">
        <f>F351+H351+J351</f>
        <v>8420</v>
      </c>
      <c r="M351" s="91"/>
    </row>
    <row r="352" spans="1:19" ht="23.1" customHeight="1">
      <c r="A352" s="85"/>
      <c r="B352" s="85"/>
      <c r="C352" s="83"/>
      <c r="D352" s="84"/>
      <c r="E352" s="84"/>
      <c r="F352" s="84"/>
      <c r="G352" s="84"/>
      <c r="H352" s="84"/>
      <c r="I352" s="84"/>
      <c r="J352" s="84"/>
      <c r="K352" s="84"/>
      <c r="L352" s="84"/>
      <c r="M352" s="85"/>
    </row>
    <row r="353" spans="1:17" ht="23.1" customHeight="1">
      <c r="A353" s="235" t="s">
        <v>1180</v>
      </c>
      <c r="B353" s="236"/>
      <c r="C353" s="236"/>
      <c r="D353" s="236"/>
      <c r="E353" s="236"/>
      <c r="F353" s="236"/>
      <c r="G353" s="236"/>
      <c r="H353" s="236"/>
      <c r="I353" s="236"/>
      <c r="J353" s="236"/>
      <c r="K353" s="236"/>
      <c r="L353" s="236"/>
      <c r="M353" s="120"/>
    </row>
    <row r="354" spans="1:17" ht="23.1" customHeight="1">
      <c r="A354" s="81" t="s">
        <v>1181</v>
      </c>
      <c r="B354" s="81" t="s">
        <v>1182</v>
      </c>
      <c r="C354" s="82" t="s">
        <v>1040</v>
      </c>
      <c r="D354" s="84">
        <v>3.06</v>
      </c>
      <c r="E354" s="84">
        <f>ROUNDDOWN(단가대비표!L5, 0)</f>
        <v>1032</v>
      </c>
      <c r="F354" s="84">
        <f>ROUNDDOWN(D354*E354, 1)</f>
        <v>3157.9</v>
      </c>
      <c r="G354" s="84">
        <v>0</v>
      </c>
      <c r="H354" s="84">
        <f>ROUNDDOWN(D354*G354, 1)</f>
        <v>0</v>
      </c>
      <c r="I354" s="84">
        <v>0</v>
      </c>
      <c r="J354" s="84">
        <f>ROUNDDOWN(D354*I354, 1)</f>
        <v>0</v>
      </c>
      <c r="K354" s="84">
        <f t="shared" ref="K354:L358" si="44">E354+G354+I354</f>
        <v>1032</v>
      </c>
      <c r="L354" s="84">
        <f t="shared" si="44"/>
        <v>3157.9</v>
      </c>
      <c r="M354" s="85"/>
      <c r="O354" s="86" t="s">
        <v>558</v>
      </c>
      <c r="P354" s="86" t="s">
        <v>678</v>
      </c>
      <c r="Q354" s="79">
        <v>1</v>
      </c>
    </row>
    <row r="355" spans="1:17" ht="23.1" customHeight="1">
      <c r="A355" s="81" t="s">
        <v>1183</v>
      </c>
      <c r="B355" s="81" t="s">
        <v>1184</v>
      </c>
      <c r="C355" s="82" t="s">
        <v>343</v>
      </c>
      <c r="D355" s="84">
        <v>4</v>
      </c>
      <c r="E355" s="84">
        <f>ROUNDDOWN(단가대비표!L63, 0)</f>
        <v>107</v>
      </c>
      <c r="F355" s="84">
        <f>ROUNDDOWN(D355*E355, 1)</f>
        <v>428</v>
      </c>
      <c r="G355" s="84">
        <v>0</v>
      </c>
      <c r="H355" s="84">
        <f>ROUNDDOWN(D355*G355, 1)</f>
        <v>0</v>
      </c>
      <c r="I355" s="84">
        <v>0</v>
      </c>
      <c r="J355" s="84">
        <f>ROUNDDOWN(D355*I355, 1)</f>
        <v>0</v>
      </c>
      <c r="K355" s="84">
        <f t="shared" si="44"/>
        <v>107</v>
      </c>
      <c r="L355" s="84">
        <f t="shared" si="44"/>
        <v>428</v>
      </c>
      <c r="M355" s="85"/>
      <c r="O355" s="86" t="s">
        <v>558</v>
      </c>
      <c r="P355" s="86" t="s">
        <v>678</v>
      </c>
      <c r="Q355" s="79">
        <v>1</v>
      </c>
    </row>
    <row r="356" spans="1:17" ht="23.1" customHeight="1">
      <c r="A356" s="81" t="s">
        <v>1032</v>
      </c>
      <c r="B356" s="81" t="s">
        <v>1033</v>
      </c>
      <c r="C356" s="82" t="s">
        <v>1034</v>
      </c>
      <c r="D356" s="84">
        <v>0.19900000000000001</v>
      </c>
      <c r="E356" s="84">
        <f>ROUNDDOWN(일위대가목록!G34, 0)</f>
        <v>1749</v>
      </c>
      <c r="F356" s="84">
        <f>ROUNDDOWN(D356*E356, 1)</f>
        <v>348</v>
      </c>
      <c r="G356" s="84">
        <f>ROUNDDOWN(일위대가목록!I34, 0)</f>
        <v>7207</v>
      </c>
      <c r="H356" s="84">
        <f>ROUNDDOWN(D356*G356, 1)</f>
        <v>1434.1</v>
      </c>
      <c r="I356" s="84">
        <f>ROUNDDOWN(일위대가목록!K34, 2)</f>
        <v>0</v>
      </c>
      <c r="J356" s="84">
        <f>ROUNDDOWN(D356*I356, 1)</f>
        <v>0</v>
      </c>
      <c r="K356" s="84">
        <f t="shared" si="44"/>
        <v>8956</v>
      </c>
      <c r="L356" s="84">
        <f t="shared" si="44"/>
        <v>1782.1</v>
      </c>
      <c r="M356" s="85"/>
      <c r="P356" s="86" t="s">
        <v>678</v>
      </c>
      <c r="Q356" s="79">
        <v>1</v>
      </c>
    </row>
    <row r="357" spans="1:17" ht="23.1" customHeight="1">
      <c r="A357" s="81" t="s">
        <v>1042</v>
      </c>
      <c r="B357" s="81" t="s">
        <v>1043</v>
      </c>
      <c r="C357" s="82" t="s">
        <v>1034</v>
      </c>
      <c r="D357" s="84">
        <v>0.19900000000000001</v>
      </c>
      <c r="E357" s="84">
        <f>ROUNDDOWN(일위대가목록!G53, 0)</f>
        <v>984</v>
      </c>
      <c r="F357" s="84">
        <f>ROUNDDOWN(D357*E357, 1)</f>
        <v>195.8</v>
      </c>
      <c r="G357" s="84">
        <f>ROUNDDOWN(일위대가목록!I53, 0)</f>
        <v>7436</v>
      </c>
      <c r="H357" s="84">
        <f>ROUNDDOWN(D357*G357, 1)</f>
        <v>1479.7</v>
      </c>
      <c r="I357" s="84">
        <f>ROUNDDOWN(일위대가목록!K53, 2)</f>
        <v>0</v>
      </c>
      <c r="J357" s="84">
        <f>ROUNDDOWN(D357*I357, 1)</f>
        <v>0</v>
      </c>
      <c r="K357" s="84">
        <f t="shared" si="44"/>
        <v>8420</v>
      </c>
      <c r="L357" s="84">
        <f t="shared" si="44"/>
        <v>1675.5</v>
      </c>
      <c r="M357" s="85"/>
      <c r="P357" s="86" t="s">
        <v>678</v>
      </c>
      <c r="Q357" s="79">
        <v>1</v>
      </c>
    </row>
    <row r="358" spans="1:17" ht="23.1" customHeight="1">
      <c r="A358" s="81" t="s">
        <v>1036</v>
      </c>
      <c r="B358" s="81" t="s">
        <v>1037</v>
      </c>
      <c r="C358" s="82" t="s">
        <v>1040</v>
      </c>
      <c r="D358" s="84">
        <v>3.06</v>
      </c>
      <c r="E358" s="84">
        <f>ROUNDDOWN(일위대가목록!G42, 0)</f>
        <v>102</v>
      </c>
      <c r="F358" s="84">
        <f>ROUNDDOWN(D358*E358, 1)</f>
        <v>312.10000000000002</v>
      </c>
      <c r="G358" s="84">
        <f>ROUNDDOWN(일위대가목록!I42, 0)</f>
        <v>3422</v>
      </c>
      <c r="H358" s="84">
        <f>ROUNDDOWN(D358*G358, 1)</f>
        <v>10471.299999999999</v>
      </c>
      <c r="I358" s="84">
        <f>ROUNDDOWN(일위대가목록!K42, 0)</f>
        <v>171</v>
      </c>
      <c r="J358" s="84">
        <f>ROUNDDOWN(D358*I358, 1)</f>
        <v>523.20000000000005</v>
      </c>
      <c r="K358" s="84">
        <f t="shared" si="44"/>
        <v>3695</v>
      </c>
      <c r="L358" s="84">
        <f t="shared" si="44"/>
        <v>11306.6</v>
      </c>
      <c r="M358" s="85"/>
      <c r="P358" s="86" t="s">
        <v>678</v>
      </c>
      <c r="Q358" s="79">
        <v>1</v>
      </c>
    </row>
    <row r="359" spans="1:17" ht="23.1" customHeight="1">
      <c r="A359" s="90" t="s">
        <v>734</v>
      </c>
      <c r="B359" s="91"/>
      <c r="C359" s="92"/>
      <c r="D359" s="93"/>
      <c r="E359" s="93"/>
      <c r="F359" s="93">
        <f>ROUNDDOWN(SUMIF(Q354:Q358, "1", F354:F358), 0)</f>
        <v>4441</v>
      </c>
      <c r="G359" s="93"/>
      <c r="H359" s="93">
        <f>ROUNDDOWN(SUMIF(Q354:Q358, "1", H354:H358), 0)</f>
        <v>13385</v>
      </c>
      <c r="I359" s="93"/>
      <c r="J359" s="93">
        <f>ROUNDDOWN(SUMIF(Q354:Q358, "1", J354:J358), 0)</f>
        <v>523</v>
      </c>
      <c r="K359" s="93"/>
      <c r="L359" s="93">
        <f>F359+H359+J359</f>
        <v>18349</v>
      </c>
      <c r="M359" s="91"/>
    </row>
    <row r="360" spans="1:17" ht="23.1" customHeight="1">
      <c r="A360" s="85"/>
      <c r="B360" s="85"/>
      <c r="C360" s="83"/>
      <c r="D360" s="84"/>
      <c r="E360" s="84"/>
      <c r="F360" s="84"/>
      <c r="G360" s="84"/>
      <c r="H360" s="84"/>
      <c r="I360" s="84"/>
      <c r="J360" s="84"/>
      <c r="K360" s="84"/>
      <c r="L360" s="84"/>
      <c r="M360" s="85"/>
    </row>
    <row r="361" spans="1:17" ht="23.1" customHeight="1">
      <c r="A361" s="235" t="s">
        <v>1185</v>
      </c>
      <c r="B361" s="236"/>
      <c r="C361" s="236"/>
      <c r="D361" s="236"/>
      <c r="E361" s="236"/>
      <c r="F361" s="236"/>
      <c r="G361" s="236"/>
      <c r="H361" s="236"/>
      <c r="I361" s="236"/>
      <c r="J361" s="236"/>
      <c r="K361" s="236"/>
      <c r="L361" s="236"/>
      <c r="M361" s="120"/>
    </row>
    <row r="362" spans="1:17" ht="23.1" customHeight="1">
      <c r="A362" s="81" t="s">
        <v>1122</v>
      </c>
      <c r="B362" s="81" t="s">
        <v>1186</v>
      </c>
      <c r="C362" s="82" t="s">
        <v>343</v>
      </c>
      <c r="D362" s="84">
        <v>1</v>
      </c>
      <c r="E362" s="84">
        <f>ROUNDDOWN(단가대비표!L143, 0)</f>
        <v>7705</v>
      </c>
      <c r="F362" s="84">
        <f>ROUNDDOWN(D362*E362, 1)</f>
        <v>7705</v>
      </c>
      <c r="G362" s="84">
        <v>0</v>
      </c>
      <c r="H362" s="84">
        <f>ROUNDDOWN(D362*G362, 1)</f>
        <v>0</v>
      </c>
      <c r="I362" s="84">
        <v>0</v>
      </c>
      <c r="J362" s="84">
        <f>ROUNDDOWN(D362*I362, 1)</f>
        <v>0</v>
      </c>
      <c r="K362" s="84">
        <f t="shared" ref="K362:L366" si="45">E362+G362+I362</f>
        <v>7705</v>
      </c>
      <c r="L362" s="84">
        <f t="shared" si="45"/>
        <v>7705</v>
      </c>
      <c r="M362" s="85"/>
      <c r="O362" s="86" t="s">
        <v>558</v>
      </c>
      <c r="P362" s="86" t="s">
        <v>678</v>
      </c>
      <c r="Q362" s="79">
        <v>1</v>
      </c>
    </row>
    <row r="363" spans="1:17" ht="23.1" customHeight="1">
      <c r="A363" s="81" t="s">
        <v>1187</v>
      </c>
      <c r="B363" s="81" t="s">
        <v>1188</v>
      </c>
      <c r="C363" s="82" t="s">
        <v>343</v>
      </c>
      <c r="D363" s="84">
        <v>4</v>
      </c>
      <c r="E363" s="84">
        <f>ROUNDDOWN(단가대비표!L56, 0)</f>
        <v>374</v>
      </c>
      <c r="F363" s="84">
        <f>ROUNDDOWN(D363*E363, 1)</f>
        <v>1496</v>
      </c>
      <c r="G363" s="84">
        <v>0</v>
      </c>
      <c r="H363" s="84">
        <f>ROUNDDOWN(D363*G363, 1)</f>
        <v>0</v>
      </c>
      <c r="I363" s="84">
        <v>0</v>
      </c>
      <c r="J363" s="84">
        <f>ROUNDDOWN(D363*I363, 1)</f>
        <v>0</v>
      </c>
      <c r="K363" s="84">
        <f t="shared" si="45"/>
        <v>374</v>
      </c>
      <c r="L363" s="84">
        <f t="shared" si="45"/>
        <v>1496</v>
      </c>
      <c r="M363" s="85"/>
      <c r="O363" s="86" t="s">
        <v>558</v>
      </c>
      <c r="P363" s="86" t="s">
        <v>678</v>
      </c>
      <c r="Q363" s="79">
        <v>1</v>
      </c>
    </row>
    <row r="364" spans="1:17" ht="23.1" customHeight="1">
      <c r="A364" s="81" t="s">
        <v>1189</v>
      </c>
      <c r="B364" s="81" t="s">
        <v>1190</v>
      </c>
      <c r="C364" s="82" t="s">
        <v>343</v>
      </c>
      <c r="D364" s="84">
        <v>4</v>
      </c>
      <c r="E364" s="84">
        <f>ROUNDDOWN(단가대비표!L38, 0)</f>
        <v>61</v>
      </c>
      <c r="F364" s="84">
        <f>ROUNDDOWN(D364*E364, 1)</f>
        <v>244</v>
      </c>
      <c r="G364" s="84">
        <v>0</v>
      </c>
      <c r="H364" s="84">
        <f>ROUNDDOWN(D364*G364, 1)</f>
        <v>0</v>
      </c>
      <c r="I364" s="84">
        <v>0</v>
      </c>
      <c r="J364" s="84">
        <f>ROUNDDOWN(D364*I364, 1)</f>
        <v>0</v>
      </c>
      <c r="K364" s="84">
        <f t="shared" si="45"/>
        <v>61</v>
      </c>
      <c r="L364" s="84">
        <f t="shared" si="45"/>
        <v>244</v>
      </c>
      <c r="M364" s="85"/>
      <c r="O364" s="86" t="s">
        <v>558</v>
      </c>
      <c r="P364" s="86" t="s">
        <v>678</v>
      </c>
      <c r="Q364" s="79">
        <v>1</v>
      </c>
    </row>
    <row r="365" spans="1:17" ht="23.1" customHeight="1">
      <c r="A365" s="81" t="s">
        <v>1191</v>
      </c>
      <c r="B365" s="81" t="s">
        <v>1190</v>
      </c>
      <c r="C365" s="82" t="s">
        <v>343</v>
      </c>
      <c r="D365" s="84">
        <v>8</v>
      </c>
      <c r="E365" s="84">
        <f>ROUNDDOWN(단가대비표!L92, 0)</f>
        <v>30</v>
      </c>
      <c r="F365" s="84">
        <f>ROUNDDOWN(D365*E365, 1)</f>
        <v>240</v>
      </c>
      <c r="G365" s="84">
        <v>0</v>
      </c>
      <c r="H365" s="84">
        <f>ROUNDDOWN(D365*G365, 1)</f>
        <v>0</v>
      </c>
      <c r="I365" s="84">
        <v>0</v>
      </c>
      <c r="J365" s="84">
        <f>ROUNDDOWN(D365*I365, 1)</f>
        <v>0</v>
      </c>
      <c r="K365" s="84">
        <f t="shared" si="45"/>
        <v>30</v>
      </c>
      <c r="L365" s="84">
        <f t="shared" si="45"/>
        <v>240</v>
      </c>
      <c r="M365" s="85"/>
      <c r="O365" s="86" t="s">
        <v>558</v>
      </c>
      <c r="P365" s="86" t="s">
        <v>678</v>
      </c>
      <c r="Q365" s="79">
        <v>1</v>
      </c>
    </row>
    <row r="366" spans="1:17" ht="23.1" customHeight="1">
      <c r="A366" s="81" t="s">
        <v>1192</v>
      </c>
      <c r="B366" s="81" t="s">
        <v>1193</v>
      </c>
      <c r="C366" s="82" t="s">
        <v>343</v>
      </c>
      <c r="D366" s="84">
        <v>1</v>
      </c>
      <c r="E366" s="84">
        <f>ROUNDDOWN(단가대비표!L151, 0)</f>
        <v>2442</v>
      </c>
      <c r="F366" s="84">
        <f>ROUNDDOWN(D366*E366, 1)</f>
        <v>2442</v>
      </c>
      <c r="G366" s="84">
        <v>0</v>
      </c>
      <c r="H366" s="84">
        <f>ROUNDDOWN(D366*G366, 1)</f>
        <v>0</v>
      </c>
      <c r="I366" s="84">
        <v>0</v>
      </c>
      <c r="J366" s="84">
        <f>ROUNDDOWN(D366*I366, 1)</f>
        <v>0</v>
      </c>
      <c r="K366" s="84">
        <f t="shared" si="45"/>
        <v>2442</v>
      </c>
      <c r="L366" s="84">
        <f t="shared" si="45"/>
        <v>2442</v>
      </c>
      <c r="M366" s="85"/>
      <c r="O366" s="86" t="s">
        <v>558</v>
      </c>
      <c r="P366" s="86" t="s">
        <v>678</v>
      </c>
      <c r="Q366" s="79">
        <v>1</v>
      </c>
    </row>
    <row r="367" spans="1:17" ht="23.1" customHeight="1">
      <c r="A367" s="90" t="s">
        <v>734</v>
      </c>
      <c r="B367" s="91"/>
      <c r="C367" s="92"/>
      <c r="D367" s="93"/>
      <c r="E367" s="93"/>
      <c r="F367" s="93">
        <f>ROUNDDOWN(SUMIF(Q362:Q366, "1", F362:F366), 0)</f>
        <v>12127</v>
      </c>
      <c r="G367" s="93"/>
      <c r="H367" s="93">
        <f>ROUNDDOWN(SUMIF(Q362:Q366, "1", H362:H366), 0)</f>
        <v>0</v>
      </c>
      <c r="I367" s="93"/>
      <c r="J367" s="93">
        <f>ROUNDDOWN(SUMIF(Q362:Q366, "1", J362:J366), 0)</f>
        <v>0</v>
      </c>
      <c r="K367" s="93"/>
      <c r="L367" s="93">
        <f>F367+H367+J367</f>
        <v>12127</v>
      </c>
      <c r="M367" s="91"/>
    </row>
    <row r="368" spans="1:17" ht="23.1" customHeight="1">
      <c r="A368" s="85"/>
      <c r="B368" s="85"/>
      <c r="C368" s="83"/>
      <c r="D368" s="84"/>
      <c r="E368" s="84"/>
      <c r="F368" s="84"/>
      <c r="G368" s="84"/>
      <c r="H368" s="84"/>
      <c r="I368" s="84"/>
      <c r="J368" s="84"/>
      <c r="K368" s="84"/>
      <c r="L368" s="84"/>
      <c r="M368" s="85"/>
    </row>
    <row r="369" spans="1:17" ht="23.1" customHeight="1">
      <c r="A369" s="235" t="s">
        <v>1194</v>
      </c>
      <c r="B369" s="236"/>
      <c r="C369" s="236"/>
      <c r="D369" s="236"/>
      <c r="E369" s="236"/>
      <c r="F369" s="236"/>
      <c r="G369" s="236"/>
      <c r="H369" s="236"/>
      <c r="I369" s="236"/>
      <c r="J369" s="236"/>
      <c r="K369" s="236"/>
      <c r="L369" s="236"/>
      <c r="M369" s="120"/>
    </row>
    <row r="370" spans="1:17" ht="23.1" customHeight="1">
      <c r="A370" s="81" t="s">
        <v>1122</v>
      </c>
      <c r="B370" s="81" t="s">
        <v>1195</v>
      </c>
      <c r="C370" s="82" t="s">
        <v>343</v>
      </c>
      <c r="D370" s="84">
        <v>1</v>
      </c>
      <c r="E370" s="84">
        <f>ROUNDDOWN(단가대비표!L144, 0)</f>
        <v>11280</v>
      </c>
      <c r="F370" s="84">
        <f>ROUNDDOWN(D370*E370, 1)</f>
        <v>11280</v>
      </c>
      <c r="G370" s="84">
        <v>0</v>
      </c>
      <c r="H370" s="84">
        <f>ROUNDDOWN(D370*G370, 1)</f>
        <v>0</v>
      </c>
      <c r="I370" s="84">
        <v>0</v>
      </c>
      <c r="J370" s="84">
        <f>ROUNDDOWN(D370*I370, 1)</f>
        <v>0</v>
      </c>
      <c r="K370" s="84">
        <f t="shared" ref="K370:L374" si="46">E370+G370+I370</f>
        <v>11280</v>
      </c>
      <c r="L370" s="84">
        <f t="shared" si="46"/>
        <v>11280</v>
      </c>
      <c r="M370" s="85"/>
      <c r="O370" s="86" t="s">
        <v>558</v>
      </c>
      <c r="P370" s="86" t="s">
        <v>678</v>
      </c>
      <c r="Q370" s="79">
        <v>1</v>
      </c>
    </row>
    <row r="371" spans="1:17" ht="23.1" customHeight="1">
      <c r="A371" s="81" t="s">
        <v>1187</v>
      </c>
      <c r="B371" s="81" t="s">
        <v>1196</v>
      </c>
      <c r="C371" s="82" t="s">
        <v>343</v>
      </c>
      <c r="D371" s="84">
        <v>8</v>
      </c>
      <c r="E371" s="84">
        <f>ROUNDDOWN(단가대비표!L55, 0)</f>
        <v>545</v>
      </c>
      <c r="F371" s="84">
        <f>ROUNDDOWN(D371*E371, 1)</f>
        <v>4360</v>
      </c>
      <c r="G371" s="84">
        <v>0</v>
      </c>
      <c r="H371" s="84">
        <f>ROUNDDOWN(D371*G371, 1)</f>
        <v>0</v>
      </c>
      <c r="I371" s="84">
        <v>0</v>
      </c>
      <c r="J371" s="84">
        <f>ROUNDDOWN(D371*I371, 1)</f>
        <v>0</v>
      </c>
      <c r="K371" s="84">
        <f t="shared" si="46"/>
        <v>545</v>
      </c>
      <c r="L371" s="84">
        <f t="shared" si="46"/>
        <v>4360</v>
      </c>
      <c r="M371" s="85"/>
      <c r="O371" s="86" t="s">
        <v>558</v>
      </c>
      <c r="P371" s="86" t="s">
        <v>678</v>
      </c>
      <c r="Q371" s="79">
        <v>1</v>
      </c>
    </row>
    <row r="372" spans="1:17" ht="23.1" customHeight="1">
      <c r="A372" s="81" t="s">
        <v>1189</v>
      </c>
      <c r="B372" s="81" t="s">
        <v>1190</v>
      </c>
      <c r="C372" s="82" t="s">
        <v>343</v>
      </c>
      <c r="D372" s="84">
        <v>8</v>
      </c>
      <c r="E372" s="84">
        <f>ROUNDDOWN(단가대비표!L38, 0)</f>
        <v>61</v>
      </c>
      <c r="F372" s="84">
        <f>ROUNDDOWN(D372*E372, 1)</f>
        <v>488</v>
      </c>
      <c r="G372" s="84">
        <v>0</v>
      </c>
      <c r="H372" s="84">
        <f>ROUNDDOWN(D372*G372, 1)</f>
        <v>0</v>
      </c>
      <c r="I372" s="84">
        <v>0</v>
      </c>
      <c r="J372" s="84">
        <f>ROUNDDOWN(D372*I372, 1)</f>
        <v>0</v>
      </c>
      <c r="K372" s="84">
        <f t="shared" si="46"/>
        <v>61</v>
      </c>
      <c r="L372" s="84">
        <f t="shared" si="46"/>
        <v>488</v>
      </c>
      <c r="M372" s="85"/>
      <c r="O372" s="86" t="s">
        <v>558</v>
      </c>
      <c r="P372" s="86" t="s">
        <v>678</v>
      </c>
      <c r="Q372" s="79">
        <v>1</v>
      </c>
    </row>
    <row r="373" spans="1:17" ht="23.1" customHeight="1">
      <c r="A373" s="81" t="s">
        <v>1191</v>
      </c>
      <c r="B373" s="81" t="s">
        <v>1190</v>
      </c>
      <c r="C373" s="82" t="s">
        <v>343</v>
      </c>
      <c r="D373" s="84">
        <v>16</v>
      </c>
      <c r="E373" s="84">
        <f>ROUNDDOWN(단가대비표!L92, 0)</f>
        <v>30</v>
      </c>
      <c r="F373" s="84">
        <f>ROUNDDOWN(D373*E373, 1)</f>
        <v>480</v>
      </c>
      <c r="G373" s="84">
        <v>0</v>
      </c>
      <c r="H373" s="84">
        <f>ROUNDDOWN(D373*G373, 1)</f>
        <v>0</v>
      </c>
      <c r="I373" s="84">
        <v>0</v>
      </c>
      <c r="J373" s="84">
        <f>ROUNDDOWN(D373*I373, 1)</f>
        <v>0</v>
      </c>
      <c r="K373" s="84">
        <f t="shared" si="46"/>
        <v>30</v>
      </c>
      <c r="L373" s="84">
        <f t="shared" si="46"/>
        <v>480</v>
      </c>
      <c r="M373" s="85"/>
      <c r="O373" s="86" t="s">
        <v>558</v>
      </c>
      <c r="P373" s="86" t="s">
        <v>678</v>
      </c>
      <c r="Q373" s="79">
        <v>1</v>
      </c>
    </row>
    <row r="374" spans="1:17" ht="23.1" customHeight="1">
      <c r="A374" s="81" t="s">
        <v>1192</v>
      </c>
      <c r="B374" s="81" t="s">
        <v>1197</v>
      </c>
      <c r="C374" s="82" t="s">
        <v>343</v>
      </c>
      <c r="D374" s="84">
        <v>1</v>
      </c>
      <c r="E374" s="84">
        <f>ROUNDDOWN(단가대비표!L152, 0)</f>
        <v>3493</v>
      </c>
      <c r="F374" s="84">
        <f>ROUNDDOWN(D374*E374, 1)</f>
        <v>3493</v>
      </c>
      <c r="G374" s="84">
        <v>0</v>
      </c>
      <c r="H374" s="84">
        <f>ROUNDDOWN(D374*G374, 1)</f>
        <v>0</v>
      </c>
      <c r="I374" s="84">
        <v>0</v>
      </c>
      <c r="J374" s="84">
        <f>ROUNDDOWN(D374*I374, 1)</f>
        <v>0</v>
      </c>
      <c r="K374" s="84">
        <f t="shared" si="46"/>
        <v>3493</v>
      </c>
      <c r="L374" s="84">
        <f t="shared" si="46"/>
        <v>3493</v>
      </c>
      <c r="M374" s="85"/>
      <c r="O374" s="86" t="s">
        <v>558</v>
      </c>
      <c r="P374" s="86" t="s">
        <v>678</v>
      </c>
      <c r="Q374" s="79">
        <v>1</v>
      </c>
    </row>
    <row r="375" spans="1:17" ht="23.1" customHeight="1">
      <c r="A375" s="90" t="s">
        <v>734</v>
      </c>
      <c r="B375" s="91"/>
      <c r="C375" s="92"/>
      <c r="D375" s="93"/>
      <c r="E375" s="93"/>
      <c r="F375" s="93">
        <f>ROUNDDOWN(SUMIF(Q370:Q374, "1", F370:F374), 0)</f>
        <v>20101</v>
      </c>
      <c r="G375" s="93"/>
      <c r="H375" s="93">
        <f>ROUNDDOWN(SUMIF(Q370:Q374, "1", H370:H374), 0)</f>
        <v>0</v>
      </c>
      <c r="I375" s="93"/>
      <c r="J375" s="93">
        <f>ROUNDDOWN(SUMIF(Q370:Q374, "1", J370:J374), 0)</f>
        <v>0</v>
      </c>
      <c r="K375" s="93"/>
      <c r="L375" s="93">
        <f>F375+H375+J375</f>
        <v>20101</v>
      </c>
      <c r="M375" s="91"/>
    </row>
    <row r="376" spans="1:17" ht="23.1" customHeight="1">
      <c r="A376" s="85"/>
      <c r="B376" s="85"/>
      <c r="C376" s="83"/>
      <c r="D376" s="84"/>
      <c r="E376" s="84"/>
      <c r="F376" s="84"/>
      <c r="G376" s="84"/>
      <c r="H376" s="84"/>
      <c r="I376" s="84"/>
      <c r="J376" s="84"/>
      <c r="K376" s="84"/>
      <c r="L376" s="84"/>
      <c r="M376" s="85"/>
    </row>
    <row r="377" spans="1:17" ht="23.1" customHeight="1">
      <c r="A377" s="235" t="s">
        <v>1198</v>
      </c>
      <c r="B377" s="236"/>
      <c r="C377" s="236"/>
      <c r="D377" s="236"/>
      <c r="E377" s="236"/>
      <c r="F377" s="236"/>
      <c r="G377" s="236"/>
      <c r="H377" s="236"/>
      <c r="I377" s="236"/>
      <c r="J377" s="236"/>
      <c r="K377" s="236"/>
      <c r="L377" s="236"/>
      <c r="M377" s="120"/>
    </row>
    <row r="378" spans="1:17" ht="23.1" customHeight="1">
      <c r="A378" s="81" t="s">
        <v>1122</v>
      </c>
      <c r="B378" s="81" t="s">
        <v>1199</v>
      </c>
      <c r="C378" s="82" t="s">
        <v>343</v>
      </c>
      <c r="D378" s="84">
        <v>1</v>
      </c>
      <c r="E378" s="84">
        <f>ROUNDDOWN(단가대비표!L142, 0)</f>
        <v>25694</v>
      </c>
      <c r="F378" s="84">
        <f>ROUNDDOWN(D378*E378, 1)</f>
        <v>25694</v>
      </c>
      <c r="G378" s="84">
        <v>0</v>
      </c>
      <c r="H378" s="84">
        <f>ROUNDDOWN(D378*G378, 1)</f>
        <v>0</v>
      </c>
      <c r="I378" s="84">
        <v>0</v>
      </c>
      <c r="J378" s="84">
        <f>ROUNDDOWN(D378*I378, 1)</f>
        <v>0</v>
      </c>
      <c r="K378" s="84">
        <f t="shared" ref="K378:L382" si="47">E378+G378+I378</f>
        <v>25694</v>
      </c>
      <c r="L378" s="84">
        <f t="shared" si="47"/>
        <v>25694</v>
      </c>
      <c r="M378" s="85"/>
      <c r="O378" s="86" t="s">
        <v>558</v>
      </c>
      <c r="P378" s="86" t="s">
        <v>678</v>
      </c>
      <c r="Q378" s="79">
        <v>1</v>
      </c>
    </row>
    <row r="379" spans="1:17" ht="23.1" customHeight="1">
      <c r="A379" s="81" t="s">
        <v>1187</v>
      </c>
      <c r="B379" s="81" t="s">
        <v>1200</v>
      </c>
      <c r="C379" s="82" t="s">
        <v>343</v>
      </c>
      <c r="D379" s="84">
        <v>8</v>
      </c>
      <c r="E379" s="84">
        <f>ROUNDDOWN(단가대비표!L57, 0)</f>
        <v>932</v>
      </c>
      <c r="F379" s="84">
        <f>ROUNDDOWN(D379*E379, 1)</f>
        <v>7456</v>
      </c>
      <c r="G379" s="84">
        <v>0</v>
      </c>
      <c r="H379" s="84">
        <f>ROUNDDOWN(D379*G379, 1)</f>
        <v>0</v>
      </c>
      <c r="I379" s="84">
        <v>0</v>
      </c>
      <c r="J379" s="84">
        <f>ROUNDDOWN(D379*I379, 1)</f>
        <v>0</v>
      </c>
      <c r="K379" s="84">
        <f t="shared" si="47"/>
        <v>932</v>
      </c>
      <c r="L379" s="84">
        <f t="shared" si="47"/>
        <v>7456</v>
      </c>
      <c r="M379" s="85"/>
      <c r="O379" s="86" t="s">
        <v>558</v>
      </c>
      <c r="P379" s="86" t="s">
        <v>678</v>
      </c>
      <c r="Q379" s="79">
        <v>1</v>
      </c>
    </row>
    <row r="380" spans="1:17" ht="23.1" customHeight="1">
      <c r="A380" s="81" t="s">
        <v>1189</v>
      </c>
      <c r="B380" s="81" t="s">
        <v>1201</v>
      </c>
      <c r="C380" s="82" t="s">
        <v>343</v>
      </c>
      <c r="D380" s="84">
        <v>8</v>
      </c>
      <c r="E380" s="84">
        <f>ROUNDDOWN(단가대비표!L39, 0)</f>
        <v>116</v>
      </c>
      <c r="F380" s="84">
        <f>ROUNDDOWN(D380*E380, 1)</f>
        <v>928</v>
      </c>
      <c r="G380" s="84">
        <v>0</v>
      </c>
      <c r="H380" s="84">
        <f>ROUNDDOWN(D380*G380, 1)</f>
        <v>0</v>
      </c>
      <c r="I380" s="84">
        <v>0</v>
      </c>
      <c r="J380" s="84">
        <f>ROUNDDOWN(D380*I380, 1)</f>
        <v>0</v>
      </c>
      <c r="K380" s="84">
        <f t="shared" si="47"/>
        <v>116</v>
      </c>
      <c r="L380" s="84">
        <f t="shared" si="47"/>
        <v>928</v>
      </c>
      <c r="M380" s="85"/>
      <c r="O380" s="86" t="s">
        <v>558</v>
      </c>
      <c r="P380" s="86" t="s">
        <v>678</v>
      </c>
      <c r="Q380" s="79">
        <v>1</v>
      </c>
    </row>
    <row r="381" spans="1:17" ht="23.1" customHeight="1">
      <c r="A381" s="81" t="s">
        <v>1191</v>
      </c>
      <c r="B381" s="81" t="s">
        <v>1201</v>
      </c>
      <c r="C381" s="82" t="s">
        <v>343</v>
      </c>
      <c r="D381" s="84">
        <v>16</v>
      </c>
      <c r="E381" s="84">
        <f>ROUNDDOWN(단가대비표!L93, 0)</f>
        <v>41</v>
      </c>
      <c r="F381" s="84">
        <f>ROUNDDOWN(D381*E381, 1)</f>
        <v>656</v>
      </c>
      <c r="G381" s="84">
        <v>0</v>
      </c>
      <c r="H381" s="84">
        <f>ROUNDDOWN(D381*G381, 1)</f>
        <v>0</v>
      </c>
      <c r="I381" s="84">
        <v>0</v>
      </c>
      <c r="J381" s="84">
        <f>ROUNDDOWN(D381*I381, 1)</f>
        <v>0</v>
      </c>
      <c r="K381" s="84">
        <f t="shared" si="47"/>
        <v>41</v>
      </c>
      <c r="L381" s="84">
        <f t="shared" si="47"/>
        <v>656</v>
      </c>
      <c r="M381" s="85"/>
      <c r="O381" s="86" t="s">
        <v>558</v>
      </c>
      <c r="P381" s="86" t="s">
        <v>678</v>
      </c>
      <c r="Q381" s="79">
        <v>1</v>
      </c>
    </row>
    <row r="382" spans="1:17" ht="23.1" customHeight="1">
      <c r="A382" s="81" t="s">
        <v>1192</v>
      </c>
      <c r="B382" s="81" t="s">
        <v>1202</v>
      </c>
      <c r="C382" s="82" t="s">
        <v>343</v>
      </c>
      <c r="D382" s="84">
        <v>1</v>
      </c>
      <c r="E382" s="84">
        <f>ROUNDDOWN(단가대비표!L150, 0)</f>
        <v>8729</v>
      </c>
      <c r="F382" s="84">
        <f>ROUNDDOWN(D382*E382, 1)</f>
        <v>8729</v>
      </c>
      <c r="G382" s="84">
        <v>0</v>
      </c>
      <c r="H382" s="84">
        <f>ROUNDDOWN(D382*G382, 1)</f>
        <v>0</v>
      </c>
      <c r="I382" s="84">
        <v>0</v>
      </c>
      <c r="J382" s="84">
        <f>ROUNDDOWN(D382*I382, 1)</f>
        <v>0</v>
      </c>
      <c r="K382" s="84">
        <f t="shared" si="47"/>
        <v>8729</v>
      </c>
      <c r="L382" s="84">
        <f t="shared" si="47"/>
        <v>8729</v>
      </c>
      <c r="M382" s="85"/>
      <c r="O382" s="86" t="s">
        <v>558</v>
      </c>
      <c r="P382" s="86" t="s">
        <v>678</v>
      </c>
      <c r="Q382" s="79">
        <v>1</v>
      </c>
    </row>
    <row r="383" spans="1:17" ht="23.1" customHeight="1">
      <c r="A383" s="90" t="s">
        <v>734</v>
      </c>
      <c r="B383" s="91"/>
      <c r="C383" s="92"/>
      <c r="D383" s="93"/>
      <c r="E383" s="93"/>
      <c r="F383" s="93">
        <f>ROUNDDOWN(SUMIF(Q378:Q382, "1", F378:F382), 0)</f>
        <v>43463</v>
      </c>
      <c r="G383" s="93"/>
      <c r="H383" s="93">
        <f>ROUNDDOWN(SUMIF(Q378:Q382, "1", H378:H382), 0)</f>
        <v>0</v>
      </c>
      <c r="I383" s="93"/>
      <c r="J383" s="93">
        <f>ROUNDDOWN(SUMIF(Q378:Q382, "1", J378:J382), 0)</f>
        <v>0</v>
      </c>
      <c r="K383" s="93"/>
      <c r="L383" s="93">
        <f>F383+H383+J383</f>
        <v>43463</v>
      </c>
      <c r="M383" s="91"/>
    </row>
    <row r="384" spans="1:17" ht="23.1" customHeight="1">
      <c r="A384" s="85"/>
      <c r="B384" s="85"/>
      <c r="C384" s="83"/>
      <c r="D384" s="84"/>
      <c r="E384" s="84"/>
      <c r="F384" s="84"/>
      <c r="G384" s="84"/>
      <c r="H384" s="84"/>
      <c r="I384" s="84"/>
      <c r="J384" s="84"/>
      <c r="K384" s="84"/>
      <c r="L384" s="84"/>
      <c r="M384" s="85"/>
    </row>
    <row r="385" spans="1:13" ht="23.1" customHeight="1">
      <c r="A385" s="85"/>
      <c r="B385" s="85"/>
      <c r="C385" s="83"/>
      <c r="D385" s="84"/>
      <c r="E385" s="84"/>
      <c r="F385" s="84"/>
      <c r="G385" s="84"/>
      <c r="H385" s="84"/>
      <c r="I385" s="84"/>
      <c r="J385" s="84"/>
      <c r="K385" s="84"/>
      <c r="L385" s="84"/>
      <c r="M385" s="85"/>
    </row>
  </sheetData>
  <mergeCells count="64">
    <mergeCell ref="A33:L33"/>
    <mergeCell ref="A1:M1"/>
    <mergeCell ref="A2:M2"/>
    <mergeCell ref="A3:A4"/>
    <mergeCell ref="B3:B4"/>
    <mergeCell ref="C3:C4"/>
    <mergeCell ref="D3:D4"/>
    <mergeCell ref="E3:F3"/>
    <mergeCell ref="G3:H3"/>
    <mergeCell ref="I3:J3"/>
    <mergeCell ref="K3:L3"/>
    <mergeCell ref="M3:M4"/>
    <mergeCell ref="A5:L5"/>
    <mergeCell ref="A12:L12"/>
    <mergeCell ref="A19:L19"/>
    <mergeCell ref="A26:L26"/>
    <mergeCell ref="A106:L106"/>
    <mergeCell ref="A40:L40"/>
    <mergeCell ref="A47:L47"/>
    <mergeCell ref="A54:L54"/>
    <mergeCell ref="A61:L61"/>
    <mergeCell ref="A68:L68"/>
    <mergeCell ref="A73:L73"/>
    <mergeCell ref="A78:L78"/>
    <mergeCell ref="A83:L83"/>
    <mergeCell ref="A88:L88"/>
    <mergeCell ref="A96:L96"/>
    <mergeCell ref="A101:L101"/>
    <mergeCell ref="A205:L205"/>
    <mergeCell ref="A113:L113"/>
    <mergeCell ref="A120:L120"/>
    <mergeCell ref="A127:L127"/>
    <mergeCell ref="A134:L134"/>
    <mergeCell ref="A141:L141"/>
    <mergeCell ref="A148:L148"/>
    <mergeCell ref="A155:L155"/>
    <mergeCell ref="A165:L165"/>
    <mergeCell ref="A175:L175"/>
    <mergeCell ref="A185:L185"/>
    <mergeCell ref="A195:L195"/>
    <mergeCell ref="A297:L297"/>
    <mergeCell ref="A215:L215"/>
    <mergeCell ref="A223:L223"/>
    <mergeCell ref="A232:L232"/>
    <mergeCell ref="A240:L240"/>
    <mergeCell ref="A248:L248"/>
    <mergeCell ref="A256:L256"/>
    <mergeCell ref="A264:L264"/>
    <mergeCell ref="A272:L272"/>
    <mergeCell ref="A281:L281"/>
    <mergeCell ref="A285:L285"/>
    <mergeCell ref="A291:L291"/>
    <mergeCell ref="A377:L377"/>
    <mergeCell ref="A303:L303"/>
    <mergeCell ref="A309:L309"/>
    <mergeCell ref="A315:L315"/>
    <mergeCell ref="A321:L321"/>
    <mergeCell ref="A327:L327"/>
    <mergeCell ref="A333:L333"/>
    <mergeCell ref="A339:L339"/>
    <mergeCell ref="A345:L345"/>
    <mergeCell ref="A353:L353"/>
    <mergeCell ref="A361:L361"/>
    <mergeCell ref="A369:L369"/>
  </mergeCells>
  <phoneticPr fontId="4" type="noConversion"/>
  <conditionalFormatting sqref="A5 M5 A6:M385">
    <cfRule type="containsText" dxfId="5" priority="1" stopIfTrue="1" operator="containsText" text=".">
      <formula>NOT(ISERROR(SEARCH(".",A5)))</formula>
    </cfRule>
    <cfRule type="notContainsText" dxfId="4" priority="2" stopIfTrue="1" operator="notContains" text=".">
      <formula>ISERROR(SEARCH(".",A5))</formula>
    </cfRule>
  </conditionalFormatting>
  <pageMargins left="0.74090148180296356" right="0" top="0.54405108810217628" bottom="0.1388888888888889" header="0.3" footer="0.1388888888888889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FF0000"/>
  </sheetPr>
  <dimension ref="A1:O184"/>
  <sheetViews>
    <sheetView view="pageBreakPreview" zoomScaleNormal="100" zoomScaleSheetLayoutView="100" workbookViewId="0">
      <pane xSplit="3" ySplit="4" topLeftCell="D160" activePane="bottomRight" state="frozen"/>
      <selection activeCell="E5" sqref="E5"/>
      <selection pane="topRight" activeCell="E5" sqref="E5"/>
      <selection pane="bottomLeft" activeCell="E5" sqref="E5"/>
      <selection pane="bottomRight" activeCell="M14" sqref="M14"/>
    </sheetView>
  </sheetViews>
  <sheetFormatPr defaultColWidth="8.8984375" defaultRowHeight="17.399999999999999"/>
  <cols>
    <col min="1" max="2" width="21.8984375" style="87" customWidth="1"/>
    <col min="3" max="3" width="4.09765625" style="88" customWidth="1"/>
    <col min="4" max="4" width="7.69921875" style="89" customWidth="1"/>
    <col min="5" max="5" width="4.09765625" style="89" customWidth="1"/>
    <col min="6" max="6" width="7.69921875" style="89" customWidth="1"/>
    <col min="7" max="7" width="4.09765625" style="89" customWidth="1"/>
    <col min="8" max="9" width="7.69921875" style="89" customWidth="1"/>
    <col min="10" max="10" width="5.8984375" style="89" customWidth="1"/>
    <col min="11" max="11" width="4.09765625" style="89" customWidth="1"/>
    <col min="12" max="12" width="7.69921875" style="89" customWidth="1"/>
    <col min="13" max="14" width="11.19921875" style="87" customWidth="1"/>
    <col min="15" max="16384" width="8.8984375" style="79"/>
  </cols>
  <sheetData>
    <row r="1" spans="1:14" ht="30" customHeight="1">
      <c r="A1" s="225" t="s">
        <v>1203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182"/>
    </row>
    <row r="2" spans="1:14" ht="23.1" customHeight="1">
      <c r="A2" s="226" t="s">
        <v>647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183"/>
    </row>
    <row r="3" spans="1:14" ht="23.1" customHeight="1">
      <c r="A3" s="224" t="s">
        <v>1204</v>
      </c>
      <c r="B3" s="224" t="s">
        <v>1205</v>
      </c>
      <c r="C3" s="224" t="s">
        <v>326</v>
      </c>
      <c r="D3" s="224" t="s">
        <v>1206</v>
      </c>
      <c r="E3" s="224"/>
      <c r="F3" s="224" t="s">
        <v>1207</v>
      </c>
      <c r="G3" s="224"/>
      <c r="H3" s="80" t="s">
        <v>1208</v>
      </c>
      <c r="I3" s="80" t="s">
        <v>1209</v>
      </c>
      <c r="J3" s="224" t="s">
        <v>1210</v>
      </c>
      <c r="K3" s="224"/>
      <c r="L3" s="224" t="s">
        <v>1211</v>
      </c>
      <c r="M3" s="224" t="s">
        <v>1212</v>
      </c>
      <c r="N3" s="245" t="s">
        <v>1211</v>
      </c>
    </row>
    <row r="4" spans="1:14" ht="23.1" customHeight="1">
      <c r="A4" s="224"/>
      <c r="B4" s="224"/>
      <c r="C4" s="224"/>
      <c r="D4" s="80" t="s">
        <v>1213</v>
      </c>
      <c r="E4" s="80" t="s">
        <v>1214</v>
      </c>
      <c r="F4" s="80" t="s">
        <v>1213</v>
      </c>
      <c r="G4" s="80" t="s">
        <v>1214</v>
      </c>
      <c r="H4" s="80" t="s">
        <v>1213</v>
      </c>
      <c r="I4" s="80" t="s">
        <v>1213</v>
      </c>
      <c r="J4" s="80" t="s">
        <v>1213</v>
      </c>
      <c r="K4" s="80" t="s">
        <v>1214</v>
      </c>
      <c r="L4" s="224"/>
      <c r="M4" s="224"/>
      <c r="N4" s="247">
        <v>0.89810000000000001</v>
      </c>
    </row>
    <row r="5" spans="1:14" ht="23.1" customHeight="1">
      <c r="A5" s="81" t="s">
        <v>1181</v>
      </c>
      <c r="B5" s="81" t="s">
        <v>1182</v>
      </c>
      <c r="C5" s="82" t="s">
        <v>1040</v>
      </c>
      <c r="D5" s="84">
        <v>1159</v>
      </c>
      <c r="E5" s="121" t="s">
        <v>1215</v>
      </c>
      <c r="F5" s="84">
        <v>1150</v>
      </c>
      <c r="G5" s="121" t="s">
        <v>1216</v>
      </c>
      <c r="H5" s="84">
        <v>1350</v>
      </c>
      <c r="I5" s="84"/>
      <c r="J5" s="84"/>
      <c r="K5" s="84"/>
      <c r="L5" s="248">
        <f>N5*$N$4</f>
        <v>1032.8150000000001</v>
      </c>
      <c r="M5" s="85"/>
      <c r="N5" s="246">
        <v>1150</v>
      </c>
    </row>
    <row r="6" spans="1:14" ht="23.1" customHeight="1">
      <c r="A6" s="81" t="s">
        <v>787</v>
      </c>
      <c r="B6" s="81" t="s">
        <v>786</v>
      </c>
      <c r="C6" s="82" t="s">
        <v>343</v>
      </c>
      <c r="D6" s="84">
        <v>166400</v>
      </c>
      <c r="E6" s="121" t="s">
        <v>1217</v>
      </c>
      <c r="F6" s="84">
        <v>193490</v>
      </c>
      <c r="G6" s="121" t="s">
        <v>1218</v>
      </c>
      <c r="H6" s="84">
        <v>194850</v>
      </c>
      <c r="I6" s="84"/>
      <c r="J6" s="84"/>
      <c r="K6" s="84"/>
      <c r="L6" s="249">
        <f t="shared" ref="L6:L69" si="0">N6*$N$4</f>
        <v>149443.84</v>
      </c>
      <c r="M6" s="85"/>
      <c r="N6" s="246">
        <v>166400</v>
      </c>
    </row>
    <row r="7" spans="1:14" ht="23.1" customHeight="1">
      <c r="A7" s="81" t="s">
        <v>787</v>
      </c>
      <c r="B7" s="81" t="s">
        <v>789</v>
      </c>
      <c r="C7" s="82" t="s">
        <v>343</v>
      </c>
      <c r="D7" s="84">
        <v>327550</v>
      </c>
      <c r="E7" s="121" t="s">
        <v>1217</v>
      </c>
      <c r="F7" s="84"/>
      <c r="G7" s="84"/>
      <c r="H7" s="84">
        <v>370390</v>
      </c>
      <c r="I7" s="84"/>
      <c r="J7" s="84"/>
      <c r="K7" s="84"/>
      <c r="L7" s="249">
        <f t="shared" si="0"/>
        <v>294172.65500000003</v>
      </c>
      <c r="M7" s="85"/>
      <c r="N7" s="246">
        <v>327550</v>
      </c>
    </row>
    <row r="8" spans="1:14" ht="23.1" customHeight="1">
      <c r="A8" s="81" t="s">
        <v>787</v>
      </c>
      <c r="B8" s="81" t="s">
        <v>788</v>
      </c>
      <c r="C8" s="82" t="s">
        <v>343</v>
      </c>
      <c r="D8" s="84">
        <v>95020</v>
      </c>
      <c r="E8" s="121" t="s">
        <v>1217</v>
      </c>
      <c r="F8" s="84"/>
      <c r="G8" s="84"/>
      <c r="H8" s="84">
        <v>99360</v>
      </c>
      <c r="I8" s="84"/>
      <c r="J8" s="84"/>
      <c r="K8" s="84"/>
      <c r="L8" s="249">
        <f t="shared" si="0"/>
        <v>85337.462</v>
      </c>
      <c r="M8" s="85"/>
      <c r="N8" s="246">
        <v>95020</v>
      </c>
    </row>
    <row r="9" spans="1:14" ht="23.1" customHeight="1">
      <c r="A9" s="81" t="s">
        <v>787</v>
      </c>
      <c r="B9" s="81" t="s">
        <v>914</v>
      </c>
      <c r="C9" s="82" t="s">
        <v>343</v>
      </c>
      <c r="D9" s="84">
        <v>74660</v>
      </c>
      <c r="E9" s="121" t="s">
        <v>1217</v>
      </c>
      <c r="F9" s="84">
        <v>76850</v>
      </c>
      <c r="G9" s="121" t="s">
        <v>1219</v>
      </c>
      <c r="H9" s="84">
        <v>96390</v>
      </c>
      <c r="I9" s="84"/>
      <c r="J9" s="84"/>
      <c r="K9" s="84"/>
      <c r="L9" s="249">
        <f t="shared" si="0"/>
        <v>67052.146000000008</v>
      </c>
      <c r="M9" s="85"/>
      <c r="N9" s="246">
        <v>74660</v>
      </c>
    </row>
    <row r="10" spans="1:14" ht="23.1" customHeight="1">
      <c r="A10" s="81" t="s">
        <v>1220</v>
      </c>
      <c r="B10" s="81" t="s">
        <v>1221</v>
      </c>
      <c r="C10" s="82" t="s">
        <v>1108</v>
      </c>
      <c r="D10" s="84">
        <v>1261</v>
      </c>
      <c r="E10" s="121" t="s">
        <v>1222</v>
      </c>
      <c r="F10" s="84">
        <v>1363</v>
      </c>
      <c r="G10" s="121" t="s">
        <v>1223</v>
      </c>
      <c r="H10" s="84"/>
      <c r="I10" s="84"/>
      <c r="J10" s="84"/>
      <c r="K10" s="84"/>
      <c r="L10" s="249">
        <f t="shared" si="0"/>
        <v>1132.5041000000001</v>
      </c>
      <c r="M10" s="85"/>
      <c r="N10" s="246">
        <v>1261</v>
      </c>
    </row>
    <row r="11" spans="1:14" ht="23.1" customHeight="1">
      <c r="A11" s="81" t="s">
        <v>1224</v>
      </c>
      <c r="B11" s="81" t="s">
        <v>1225</v>
      </c>
      <c r="C11" s="82" t="s">
        <v>1108</v>
      </c>
      <c r="D11" s="84">
        <v>1421</v>
      </c>
      <c r="E11" s="121" t="s">
        <v>1222</v>
      </c>
      <c r="F11" s="84">
        <v>1509</v>
      </c>
      <c r="G11" s="121" t="s">
        <v>1223</v>
      </c>
      <c r="H11" s="84">
        <v>1643</v>
      </c>
      <c r="I11" s="84"/>
      <c r="J11" s="84"/>
      <c r="K11" s="84"/>
      <c r="L11" s="249">
        <f t="shared" si="0"/>
        <v>1276.2001</v>
      </c>
      <c r="M11" s="85"/>
      <c r="N11" s="246">
        <v>1421</v>
      </c>
    </row>
    <row r="12" spans="1:14" ht="23.1" customHeight="1">
      <c r="A12" s="81" t="s">
        <v>1086</v>
      </c>
      <c r="B12" s="81" t="s">
        <v>1090</v>
      </c>
      <c r="C12" s="82" t="s">
        <v>1091</v>
      </c>
      <c r="D12" s="84">
        <v>1660</v>
      </c>
      <c r="E12" s="121" t="s">
        <v>1217</v>
      </c>
      <c r="F12" s="84"/>
      <c r="G12" s="84"/>
      <c r="H12" s="84"/>
      <c r="I12" s="84"/>
      <c r="J12" s="84"/>
      <c r="K12" s="84"/>
      <c r="L12" s="249">
        <f t="shared" si="0"/>
        <v>1490.846</v>
      </c>
      <c r="M12" s="85"/>
      <c r="N12" s="246">
        <v>1660</v>
      </c>
    </row>
    <row r="13" spans="1:14" ht="23.1" customHeight="1">
      <c r="A13" s="81" t="s">
        <v>1086</v>
      </c>
      <c r="B13" s="81" t="s">
        <v>1102</v>
      </c>
      <c r="C13" s="82" t="s">
        <v>742</v>
      </c>
      <c r="D13" s="84">
        <v>7860</v>
      </c>
      <c r="E13" s="121" t="s">
        <v>1217</v>
      </c>
      <c r="F13" s="84">
        <v>9252</v>
      </c>
      <c r="G13" s="121" t="s">
        <v>1226</v>
      </c>
      <c r="H13" s="84"/>
      <c r="I13" s="84"/>
      <c r="J13" s="84"/>
      <c r="K13" s="84"/>
      <c r="L13" s="249">
        <f t="shared" si="0"/>
        <v>7059.0659999999998</v>
      </c>
      <c r="M13" s="85"/>
      <c r="N13" s="246">
        <v>7860</v>
      </c>
    </row>
    <row r="14" spans="1:14" ht="23.1" customHeight="1">
      <c r="A14" s="81" t="s">
        <v>1086</v>
      </c>
      <c r="B14" s="81" t="s">
        <v>1087</v>
      </c>
      <c r="C14" s="82" t="s">
        <v>742</v>
      </c>
      <c r="D14" s="84">
        <v>1870</v>
      </c>
      <c r="E14" s="121" t="s">
        <v>1217</v>
      </c>
      <c r="F14" s="84">
        <v>2203</v>
      </c>
      <c r="G14" s="121" t="s">
        <v>1226</v>
      </c>
      <c r="H14" s="84"/>
      <c r="I14" s="84"/>
      <c r="J14" s="84"/>
      <c r="K14" s="84"/>
      <c r="L14" s="249">
        <f t="shared" si="0"/>
        <v>1679.4470000000001</v>
      </c>
      <c r="M14" s="85"/>
      <c r="N14" s="246">
        <v>1870</v>
      </c>
    </row>
    <row r="15" spans="1:14" ht="23.1" customHeight="1">
      <c r="A15" s="81" t="s">
        <v>1086</v>
      </c>
      <c r="B15" s="81" t="s">
        <v>1104</v>
      </c>
      <c r="C15" s="82" t="s">
        <v>742</v>
      </c>
      <c r="D15" s="84">
        <v>13310</v>
      </c>
      <c r="E15" s="121" t="s">
        <v>1217</v>
      </c>
      <c r="F15" s="84">
        <v>15132</v>
      </c>
      <c r="G15" s="121" t="s">
        <v>1226</v>
      </c>
      <c r="H15" s="84"/>
      <c r="I15" s="84"/>
      <c r="J15" s="84"/>
      <c r="K15" s="84"/>
      <c r="L15" s="249">
        <f t="shared" si="0"/>
        <v>11953.710999999999</v>
      </c>
      <c r="M15" s="85"/>
      <c r="N15" s="246">
        <v>13310</v>
      </c>
    </row>
    <row r="16" spans="1:14" ht="23.1" customHeight="1">
      <c r="A16" s="81" t="s">
        <v>1086</v>
      </c>
      <c r="B16" s="81" t="s">
        <v>1096</v>
      </c>
      <c r="C16" s="82" t="s">
        <v>742</v>
      </c>
      <c r="D16" s="84">
        <v>2790</v>
      </c>
      <c r="E16" s="121" t="s">
        <v>1217</v>
      </c>
      <c r="F16" s="84">
        <v>3278</v>
      </c>
      <c r="G16" s="121" t="s">
        <v>1226</v>
      </c>
      <c r="H16" s="84"/>
      <c r="I16" s="84"/>
      <c r="J16" s="84"/>
      <c r="K16" s="84"/>
      <c r="L16" s="249">
        <f t="shared" si="0"/>
        <v>2505.6990000000001</v>
      </c>
      <c r="M16" s="85"/>
      <c r="N16" s="246">
        <v>2790</v>
      </c>
    </row>
    <row r="17" spans="1:14" ht="23.1" customHeight="1">
      <c r="A17" s="81" t="s">
        <v>1086</v>
      </c>
      <c r="B17" s="81" t="s">
        <v>1098</v>
      </c>
      <c r="C17" s="82" t="s">
        <v>742</v>
      </c>
      <c r="D17" s="84">
        <v>3380</v>
      </c>
      <c r="E17" s="121" t="s">
        <v>1217</v>
      </c>
      <c r="F17" s="84">
        <v>3972</v>
      </c>
      <c r="G17" s="121" t="s">
        <v>1226</v>
      </c>
      <c r="H17" s="84"/>
      <c r="I17" s="84"/>
      <c r="J17" s="84"/>
      <c r="K17" s="84"/>
      <c r="L17" s="249">
        <f t="shared" si="0"/>
        <v>3035.578</v>
      </c>
      <c r="M17" s="85"/>
      <c r="N17" s="246">
        <v>3380</v>
      </c>
    </row>
    <row r="18" spans="1:14" ht="23.1" customHeight="1">
      <c r="A18" s="81" t="s">
        <v>1086</v>
      </c>
      <c r="B18" s="81" t="s">
        <v>1100</v>
      </c>
      <c r="C18" s="82" t="s">
        <v>742</v>
      </c>
      <c r="D18" s="84">
        <v>3710</v>
      </c>
      <c r="E18" s="121" t="s">
        <v>1217</v>
      </c>
      <c r="F18" s="84">
        <v>4368</v>
      </c>
      <c r="G18" s="121" t="s">
        <v>1226</v>
      </c>
      <c r="H18" s="84"/>
      <c r="I18" s="84"/>
      <c r="J18" s="84"/>
      <c r="K18" s="84"/>
      <c r="L18" s="249">
        <f t="shared" si="0"/>
        <v>3331.951</v>
      </c>
      <c r="M18" s="85"/>
      <c r="N18" s="246">
        <v>3710</v>
      </c>
    </row>
    <row r="19" spans="1:14" ht="23.1" customHeight="1">
      <c r="A19" s="81" t="s">
        <v>1086</v>
      </c>
      <c r="B19" s="81" t="s">
        <v>1092</v>
      </c>
      <c r="C19" s="82" t="s">
        <v>742</v>
      </c>
      <c r="D19" s="84">
        <v>310</v>
      </c>
      <c r="E19" s="121" t="s">
        <v>1217</v>
      </c>
      <c r="F19" s="84"/>
      <c r="G19" s="84"/>
      <c r="H19" s="84">
        <v>360</v>
      </c>
      <c r="I19" s="84"/>
      <c r="J19" s="84"/>
      <c r="K19" s="84"/>
      <c r="L19" s="249">
        <f t="shared" si="0"/>
        <v>278.411</v>
      </c>
      <c r="M19" s="85"/>
      <c r="N19" s="246">
        <v>310</v>
      </c>
    </row>
    <row r="20" spans="1:14" ht="23.1" customHeight="1">
      <c r="A20" s="81" t="s">
        <v>785</v>
      </c>
      <c r="B20" s="81" t="s">
        <v>786</v>
      </c>
      <c r="C20" s="82" t="s">
        <v>343</v>
      </c>
      <c r="D20" s="84">
        <v>207600</v>
      </c>
      <c r="E20" s="121" t="s">
        <v>1217</v>
      </c>
      <c r="F20" s="84">
        <v>228140</v>
      </c>
      <c r="G20" s="121" t="s">
        <v>1218</v>
      </c>
      <c r="H20" s="84">
        <v>211960</v>
      </c>
      <c r="I20" s="84"/>
      <c r="J20" s="84"/>
      <c r="K20" s="84"/>
      <c r="L20" s="249">
        <f t="shared" si="0"/>
        <v>186445.56</v>
      </c>
      <c r="M20" s="85"/>
      <c r="N20" s="246">
        <v>207600</v>
      </c>
    </row>
    <row r="21" spans="1:14" ht="23.1" customHeight="1">
      <c r="A21" s="81" t="s">
        <v>822</v>
      </c>
      <c r="B21" s="81" t="s">
        <v>915</v>
      </c>
      <c r="C21" s="82" t="s">
        <v>343</v>
      </c>
      <c r="D21" s="84"/>
      <c r="E21" s="84"/>
      <c r="F21" s="84">
        <v>1710</v>
      </c>
      <c r="G21" s="121" t="s">
        <v>1227</v>
      </c>
      <c r="H21" s="84"/>
      <c r="I21" s="84"/>
      <c r="J21" s="84"/>
      <c r="K21" s="84"/>
      <c r="L21" s="249">
        <f t="shared" si="0"/>
        <v>1535.751</v>
      </c>
      <c r="M21" s="85"/>
      <c r="N21" s="246">
        <v>1710</v>
      </c>
    </row>
    <row r="22" spans="1:14" ht="23.1" customHeight="1">
      <c r="A22" s="81" t="s">
        <v>822</v>
      </c>
      <c r="B22" s="81" t="s">
        <v>916</v>
      </c>
      <c r="C22" s="82" t="s">
        <v>343</v>
      </c>
      <c r="D22" s="84">
        <v>1630</v>
      </c>
      <c r="E22" s="121" t="s">
        <v>1217</v>
      </c>
      <c r="F22" s="84">
        <v>1920</v>
      </c>
      <c r="G22" s="121" t="s">
        <v>1227</v>
      </c>
      <c r="H22" s="84">
        <v>2300</v>
      </c>
      <c r="I22" s="84"/>
      <c r="J22" s="84"/>
      <c r="K22" s="84"/>
      <c r="L22" s="249">
        <f t="shared" si="0"/>
        <v>1463.903</v>
      </c>
      <c r="M22" s="85"/>
      <c r="N22" s="246">
        <v>1630</v>
      </c>
    </row>
    <row r="23" spans="1:14" ht="23.1" customHeight="1">
      <c r="A23" s="81" t="s">
        <v>822</v>
      </c>
      <c r="B23" s="81" t="s">
        <v>917</v>
      </c>
      <c r="C23" s="82" t="s">
        <v>343</v>
      </c>
      <c r="D23" s="84">
        <v>1080</v>
      </c>
      <c r="E23" s="121" t="s">
        <v>1217</v>
      </c>
      <c r="F23" s="84">
        <v>1270</v>
      </c>
      <c r="G23" s="121" t="s">
        <v>1227</v>
      </c>
      <c r="H23" s="84">
        <v>1520</v>
      </c>
      <c r="I23" s="84"/>
      <c r="J23" s="84"/>
      <c r="K23" s="84"/>
      <c r="L23" s="249">
        <f t="shared" si="0"/>
        <v>969.94799999999998</v>
      </c>
      <c r="M23" s="85"/>
      <c r="N23" s="246">
        <v>1080</v>
      </c>
    </row>
    <row r="24" spans="1:14" ht="23.1" customHeight="1">
      <c r="A24" s="81" t="s">
        <v>822</v>
      </c>
      <c r="B24" s="81" t="s">
        <v>918</v>
      </c>
      <c r="C24" s="82" t="s">
        <v>343</v>
      </c>
      <c r="D24" s="84">
        <v>2250</v>
      </c>
      <c r="E24" s="121" t="s">
        <v>1217</v>
      </c>
      <c r="F24" s="84">
        <v>2650</v>
      </c>
      <c r="G24" s="121" t="s">
        <v>1227</v>
      </c>
      <c r="H24" s="84">
        <v>3180</v>
      </c>
      <c r="I24" s="84"/>
      <c r="J24" s="84"/>
      <c r="K24" s="84"/>
      <c r="L24" s="249">
        <f t="shared" si="0"/>
        <v>2020.7249999999999</v>
      </c>
      <c r="M24" s="85"/>
      <c r="N24" s="246">
        <v>2250</v>
      </c>
    </row>
    <row r="25" spans="1:14" ht="23.1" customHeight="1">
      <c r="A25" s="81" t="s">
        <v>822</v>
      </c>
      <c r="B25" s="81" t="s">
        <v>919</v>
      </c>
      <c r="C25" s="82" t="s">
        <v>343</v>
      </c>
      <c r="D25" s="84"/>
      <c r="E25" s="84"/>
      <c r="F25" s="84">
        <v>2210</v>
      </c>
      <c r="G25" s="121" t="s">
        <v>1227</v>
      </c>
      <c r="H25" s="84"/>
      <c r="I25" s="84"/>
      <c r="J25" s="84"/>
      <c r="K25" s="84"/>
      <c r="L25" s="249">
        <f t="shared" si="0"/>
        <v>1984.8009999999999</v>
      </c>
      <c r="M25" s="85"/>
      <c r="N25" s="246">
        <v>2210</v>
      </c>
    </row>
    <row r="26" spans="1:14" ht="23.1" customHeight="1">
      <c r="A26" s="81" t="s">
        <v>822</v>
      </c>
      <c r="B26" s="81" t="s">
        <v>920</v>
      </c>
      <c r="C26" s="82" t="s">
        <v>343</v>
      </c>
      <c r="D26" s="84">
        <v>2450</v>
      </c>
      <c r="E26" s="121" t="s">
        <v>1217</v>
      </c>
      <c r="F26" s="84">
        <v>2880</v>
      </c>
      <c r="G26" s="121" t="s">
        <v>1227</v>
      </c>
      <c r="H26" s="84">
        <v>3450</v>
      </c>
      <c r="I26" s="84"/>
      <c r="J26" s="84"/>
      <c r="K26" s="84"/>
      <c r="L26" s="249">
        <f t="shared" si="0"/>
        <v>2200.3449999999998</v>
      </c>
      <c r="M26" s="85"/>
      <c r="N26" s="246">
        <v>2450</v>
      </c>
    </row>
    <row r="27" spans="1:14" ht="23.1" customHeight="1">
      <c r="A27" s="81" t="s">
        <v>822</v>
      </c>
      <c r="B27" s="81" t="s">
        <v>921</v>
      </c>
      <c r="C27" s="82" t="s">
        <v>343</v>
      </c>
      <c r="D27" s="84">
        <v>3040</v>
      </c>
      <c r="E27" s="121" t="s">
        <v>1217</v>
      </c>
      <c r="F27" s="84">
        <v>3580</v>
      </c>
      <c r="G27" s="121" t="s">
        <v>1227</v>
      </c>
      <c r="H27" s="84">
        <v>4270</v>
      </c>
      <c r="I27" s="84"/>
      <c r="J27" s="84"/>
      <c r="K27" s="84"/>
      <c r="L27" s="249">
        <f t="shared" si="0"/>
        <v>2730.2240000000002</v>
      </c>
      <c r="M27" s="85"/>
      <c r="N27" s="246">
        <v>3040</v>
      </c>
    </row>
    <row r="28" spans="1:14" ht="23.1" customHeight="1">
      <c r="A28" s="81" t="s">
        <v>822</v>
      </c>
      <c r="B28" s="81" t="s">
        <v>855</v>
      </c>
      <c r="C28" s="82" t="s">
        <v>343</v>
      </c>
      <c r="D28" s="84">
        <v>2710</v>
      </c>
      <c r="E28" s="121" t="s">
        <v>1217</v>
      </c>
      <c r="F28" s="84">
        <v>3200</v>
      </c>
      <c r="G28" s="121" t="s">
        <v>1227</v>
      </c>
      <c r="H28" s="84">
        <v>3830</v>
      </c>
      <c r="I28" s="84"/>
      <c r="J28" s="84"/>
      <c r="K28" s="84"/>
      <c r="L28" s="249">
        <f t="shared" si="0"/>
        <v>2433.8510000000001</v>
      </c>
      <c r="M28" s="85"/>
      <c r="N28" s="246">
        <v>2710</v>
      </c>
    </row>
    <row r="29" spans="1:14" ht="23.1" customHeight="1">
      <c r="A29" s="81" t="s">
        <v>822</v>
      </c>
      <c r="B29" s="81" t="s">
        <v>922</v>
      </c>
      <c r="C29" s="82" t="s">
        <v>343</v>
      </c>
      <c r="D29" s="84"/>
      <c r="E29" s="84"/>
      <c r="F29" s="84">
        <v>2620</v>
      </c>
      <c r="G29" s="121" t="s">
        <v>1227</v>
      </c>
      <c r="H29" s="84"/>
      <c r="I29" s="84"/>
      <c r="J29" s="84"/>
      <c r="K29" s="84"/>
      <c r="L29" s="249">
        <f t="shared" si="0"/>
        <v>2353.0219999999999</v>
      </c>
      <c r="M29" s="85"/>
      <c r="N29" s="246">
        <v>2620</v>
      </c>
    </row>
    <row r="30" spans="1:14" ht="23.1" customHeight="1">
      <c r="A30" s="81" t="s">
        <v>822</v>
      </c>
      <c r="B30" s="81" t="s">
        <v>923</v>
      </c>
      <c r="C30" s="82" t="s">
        <v>343</v>
      </c>
      <c r="D30" s="84">
        <v>2920</v>
      </c>
      <c r="E30" s="121" t="s">
        <v>1217</v>
      </c>
      <c r="F30" s="84">
        <v>3430</v>
      </c>
      <c r="G30" s="121" t="s">
        <v>1227</v>
      </c>
      <c r="H30" s="84">
        <v>4100</v>
      </c>
      <c r="I30" s="84"/>
      <c r="J30" s="84"/>
      <c r="K30" s="84"/>
      <c r="L30" s="249">
        <f t="shared" si="0"/>
        <v>2622.4520000000002</v>
      </c>
      <c r="M30" s="85"/>
      <c r="N30" s="246">
        <v>2920</v>
      </c>
    </row>
    <row r="31" spans="1:14" ht="23.1" customHeight="1">
      <c r="A31" s="81" t="s">
        <v>822</v>
      </c>
      <c r="B31" s="81" t="s">
        <v>924</v>
      </c>
      <c r="C31" s="82" t="s">
        <v>343</v>
      </c>
      <c r="D31" s="84">
        <v>4050</v>
      </c>
      <c r="E31" s="121" t="s">
        <v>1217</v>
      </c>
      <c r="F31" s="84">
        <v>4770</v>
      </c>
      <c r="G31" s="121" t="s">
        <v>1227</v>
      </c>
      <c r="H31" s="84">
        <v>5720</v>
      </c>
      <c r="I31" s="84"/>
      <c r="J31" s="84"/>
      <c r="K31" s="84"/>
      <c r="L31" s="249">
        <f t="shared" si="0"/>
        <v>3637.3049999999998</v>
      </c>
      <c r="M31" s="85"/>
      <c r="N31" s="246">
        <v>4050</v>
      </c>
    </row>
    <row r="32" spans="1:14" ht="23.1" customHeight="1">
      <c r="A32" s="81" t="s">
        <v>822</v>
      </c>
      <c r="B32" s="81" t="s">
        <v>925</v>
      </c>
      <c r="C32" s="82" t="s">
        <v>343</v>
      </c>
      <c r="D32" s="84">
        <v>3310</v>
      </c>
      <c r="E32" s="121" t="s">
        <v>1217</v>
      </c>
      <c r="F32" s="84">
        <v>3880</v>
      </c>
      <c r="G32" s="121" t="s">
        <v>1227</v>
      </c>
      <c r="H32" s="84">
        <v>4640</v>
      </c>
      <c r="I32" s="84"/>
      <c r="J32" s="84"/>
      <c r="K32" s="84"/>
      <c r="L32" s="249">
        <f t="shared" si="0"/>
        <v>2972.7110000000002</v>
      </c>
      <c r="M32" s="85"/>
      <c r="N32" s="246">
        <v>3310</v>
      </c>
    </row>
    <row r="33" spans="1:14" ht="23.1" customHeight="1">
      <c r="A33" s="81" t="s">
        <v>822</v>
      </c>
      <c r="B33" s="81" t="s">
        <v>856</v>
      </c>
      <c r="C33" s="82" t="s">
        <v>343</v>
      </c>
      <c r="D33" s="84"/>
      <c r="E33" s="84"/>
      <c r="F33" s="84">
        <v>4190</v>
      </c>
      <c r="G33" s="121" t="s">
        <v>1227</v>
      </c>
      <c r="H33" s="84"/>
      <c r="I33" s="84"/>
      <c r="J33" s="84"/>
      <c r="K33" s="84"/>
      <c r="L33" s="249">
        <f t="shared" si="0"/>
        <v>3763.0390000000002</v>
      </c>
      <c r="M33" s="85"/>
      <c r="N33" s="246">
        <v>4190</v>
      </c>
    </row>
    <row r="34" spans="1:14" ht="23.1" customHeight="1">
      <c r="A34" s="81" t="s">
        <v>822</v>
      </c>
      <c r="B34" s="81" t="s">
        <v>823</v>
      </c>
      <c r="C34" s="82" t="s">
        <v>343</v>
      </c>
      <c r="D34" s="84">
        <v>4550</v>
      </c>
      <c r="E34" s="121" t="s">
        <v>1217</v>
      </c>
      <c r="F34" s="84">
        <v>5360</v>
      </c>
      <c r="G34" s="121" t="s">
        <v>1227</v>
      </c>
      <c r="H34" s="84">
        <v>6420</v>
      </c>
      <c r="I34" s="84"/>
      <c r="J34" s="84"/>
      <c r="K34" s="84"/>
      <c r="L34" s="249">
        <f t="shared" si="0"/>
        <v>4086.355</v>
      </c>
      <c r="M34" s="85"/>
      <c r="N34" s="246">
        <v>4550</v>
      </c>
    </row>
    <row r="35" spans="1:14" ht="23.1" customHeight="1">
      <c r="A35" s="81" t="s">
        <v>822</v>
      </c>
      <c r="B35" s="81" t="s">
        <v>926</v>
      </c>
      <c r="C35" s="82" t="s">
        <v>343</v>
      </c>
      <c r="D35" s="84">
        <v>10980</v>
      </c>
      <c r="E35" s="121" t="s">
        <v>1217</v>
      </c>
      <c r="F35" s="84">
        <v>12930</v>
      </c>
      <c r="G35" s="121" t="s">
        <v>1227</v>
      </c>
      <c r="H35" s="84">
        <v>15520</v>
      </c>
      <c r="I35" s="84"/>
      <c r="J35" s="84"/>
      <c r="K35" s="84"/>
      <c r="L35" s="249">
        <f t="shared" si="0"/>
        <v>9861.1380000000008</v>
      </c>
      <c r="M35" s="85"/>
      <c r="N35" s="246">
        <v>10980</v>
      </c>
    </row>
    <row r="36" spans="1:14" ht="23.1" customHeight="1">
      <c r="A36" s="81" t="s">
        <v>822</v>
      </c>
      <c r="B36" s="81" t="s">
        <v>857</v>
      </c>
      <c r="C36" s="82" t="s">
        <v>343</v>
      </c>
      <c r="D36" s="84">
        <v>3380</v>
      </c>
      <c r="E36" s="121" t="s">
        <v>1217</v>
      </c>
      <c r="F36" s="84">
        <v>3980</v>
      </c>
      <c r="G36" s="121" t="s">
        <v>1227</v>
      </c>
      <c r="H36" s="84">
        <v>4760</v>
      </c>
      <c r="I36" s="84"/>
      <c r="J36" s="84"/>
      <c r="K36" s="84"/>
      <c r="L36" s="249">
        <f t="shared" si="0"/>
        <v>3035.578</v>
      </c>
      <c r="M36" s="85"/>
      <c r="N36" s="246">
        <v>3380</v>
      </c>
    </row>
    <row r="37" spans="1:14" ht="23.1" customHeight="1">
      <c r="A37" s="81" t="s">
        <v>822</v>
      </c>
      <c r="B37" s="81" t="s">
        <v>858</v>
      </c>
      <c r="C37" s="82" t="s">
        <v>343</v>
      </c>
      <c r="D37" s="84">
        <v>5920</v>
      </c>
      <c r="E37" s="121" t="s">
        <v>1217</v>
      </c>
      <c r="F37" s="84">
        <v>6970</v>
      </c>
      <c r="G37" s="121" t="s">
        <v>1227</v>
      </c>
      <c r="H37" s="84">
        <v>8360</v>
      </c>
      <c r="I37" s="84"/>
      <c r="J37" s="84"/>
      <c r="K37" s="84"/>
      <c r="L37" s="249">
        <f t="shared" si="0"/>
        <v>5316.7520000000004</v>
      </c>
      <c r="M37" s="85"/>
      <c r="N37" s="246">
        <v>5920</v>
      </c>
    </row>
    <row r="38" spans="1:14" ht="23.1" customHeight="1">
      <c r="A38" s="81" t="s">
        <v>1189</v>
      </c>
      <c r="B38" s="81" t="s">
        <v>1190</v>
      </c>
      <c r="C38" s="82" t="s">
        <v>343</v>
      </c>
      <c r="D38" s="84"/>
      <c r="E38" s="84"/>
      <c r="F38" s="84">
        <v>68.84</v>
      </c>
      <c r="G38" s="121" t="s">
        <v>1228</v>
      </c>
      <c r="H38" s="84">
        <v>76.7</v>
      </c>
      <c r="I38" s="84"/>
      <c r="J38" s="84"/>
      <c r="K38" s="84"/>
      <c r="L38" s="249">
        <f t="shared" si="0"/>
        <v>61.825204000000006</v>
      </c>
      <c r="M38" s="85"/>
      <c r="N38" s="246">
        <v>68.84</v>
      </c>
    </row>
    <row r="39" spans="1:14" ht="23.1" customHeight="1">
      <c r="A39" s="81" t="s">
        <v>1189</v>
      </c>
      <c r="B39" s="81" t="s">
        <v>1201</v>
      </c>
      <c r="C39" s="82" t="s">
        <v>343</v>
      </c>
      <c r="D39" s="84"/>
      <c r="E39" s="84"/>
      <c r="F39" s="84">
        <v>129.38</v>
      </c>
      <c r="G39" s="121" t="s">
        <v>1228</v>
      </c>
      <c r="H39" s="84">
        <v>147.4</v>
      </c>
      <c r="I39" s="84"/>
      <c r="J39" s="84"/>
      <c r="K39" s="84"/>
      <c r="L39" s="249">
        <f t="shared" si="0"/>
        <v>116.196178</v>
      </c>
      <c r="M39" s="85"/>
      <c r="N39" s="246">
        <v>129.38</v>
      </c>
    </row>
    <row r="40" spans="1:14" ht="23.1" customHeight="1">
      <c r="A40" s="81" t="s">
        <v>714</v>
      </c>
      <c r="B40" s="81" t="s">
        <v>1002</v>
      </c>
      <c r="C40" s="82" t="s">
        <v>366</v>
      </c>
      <c r="D40" s="84">
        <v>1106300</v>
      </c>
      <c r="E40" s="121" t="s">
        <v>1217</v>
      </c>
      <c r="F40" s="84">
        <v>1388000</v>
      </c>
      <c r="G40" s="121" t="s">
        <v>1229</v>
      </c>
      <c r="H40" s="84">
        <v>1388000</v>
      </c>
      <c r="I40" s="84"/>
      <c r="J40" s="84"/>
      <c r="K40" s="84"/>
      <c r="L40" s="249">
        <f t="shared" si="0"/>
        <v>993568.03</v>
      </c>
      <c r="M40" s="85"/>
      <c r="N40" s="246">
        <v>1106300</v>
      </c>
    </row>
    <row r="41" spans="1:14" ht="23.1" customHeight="1">
      <c r="A41" s="81" t="s">
        <v>712</v>
      </c>
      <c r="B41" s="81" t="s">
        <v>1000</v>
      </c>
      <c r="C41" s="82" t="s">
        <v>366</v>
      </c>
      <c r="D41" s="84">
        <v>2412000</v>
      </c>
      <c r="E41" s="121" t="s">
        <v>1217</v>
      </c>
      <c r="F41" s="84"/>
      <c r="G41" s="84"/>
      <c r="H41" s="84">
        <v>3446000</v>
      </c>
      <c r="I41" s="84"/>
      <c r="J41" s="84"/>
      <c r="K41" s="84"/>
      <c r="L41" s="249">
        <f t="shared" si="0"/>
        <v>2166217.2000000002</v>
      </c>
      <c r="M41" s="85"/>
      <c r="N41" s="246">
        <v>2412000</v>
      </c>
    </row>
    <row r="42" spans="1:14" ht="23.1" customHeight="1">
      <c r="A42" s="81" t="s">
        <v>832</v>
      </c>
      <c r="B42" s="81" t="s">
        <v>833</v>
      </c>
      <c r="C42" s="82" t="s">
        <v>366</v>
      </c>
      <c r="D42" s="84"/>
      <c r="E42" s="84"/>
      <c r="F42" s="84"/>
      <c r="G42" s="84"/>
      <c r="H42" s="84"/>
      <c r="I42" s="84">
        <v>250000</v>
      </c>
      <c r="J42" s="84"/>
      <c r="K42" s="84"/>
      <c r="L42" s="249">
        <f t="shared" si="0"/>
        <v>224525</v>
      </c>
      <c r="M42" s="85"/>
      <c r="N42" s="246">
        <v>250000</v>
      </c>
    </row>
    <row r="43" spans="1:14" ht="23.1" customHeight="1">
      <c r="A43" s="81" t="s">
        <v>1106</v>
      </c>
      <c r="B43" s="81" t="s">
        <v>1107</v>
      </c>
      <c r="C43" s="82" t="s">
        <v>1108</v>
      </c>
      <c r="D43" s="84">
        <v>10990</v>
      </c>
      <c r="E43" s="121" t="s">
        <v>1215</v>
      </c>
      <c r="F43" s="84">
        <v>19761</v>
      </c>
      <c r="G43" s="121" t="s">
        <v>1230</v>
      </c>
      <c r="H43" s="84">
        <v>11211</v>
      </c>
      <c r="I43" s="84"/>
      <c r="J43" s="84"/>
      <c r="K43" s="84"/>
      <c r="L43" s="249">
        <f t="shared" si="0"/>
        <v>9870.1190000000006</v>
      </c>
      <c r="M43" s="85"/>
      <c r="N43" s="246">
        <v>10990</v>
      </c>
    </row>
    <row r="44" spans="1:14" ht="23.1" customHeight="1">
      <c r="A44" s="81" t="s">
        <v>740</v>
      </c>
      <c r="B44" s="81" t="s">
        <v>745</v>
      </c>
      <c r="C44" s="82" t="s">
        <v>742</v>
      </c>
      <c r="D44" s="84">
        <v>18160</v>
      </c>
      <c r="E44" s="121" t="s">
        <v>1217</v>
      </c>
      <c r="F44" s="84">
        <v>19530</v>
      </c>
      <c r="G44" s="121" t="s">
        <v>1231</v>
      </c>
      <c r="H44" s="84">
        <v>19279</v>
      </c>
      <c r="I44" s="84"/>
      <c r="J44" s="84"/>
      <c r="K44" s="84"/>
      <c r="L44" s="249">
        <f t="shared" si="0"/>
        <v>16309.496000000001</v>
      </c>
      <c r="M44" s="85"/>
      <c r="N44" s="246">
        <v>18160</v>
      </c>
    </row>
    <row r="45" spans="1:14" ht="23.1" customHeight="1">
      <c r="A45" s="81" t="s">
        <v>740</v>
      </c>
      <c r="B45" s="81" t="s">
        <v>1059</v>
      </c>
      <c r="C45" s="82" t="s">
        <v>742</v>
      </c>
      <c r="D45" s="84">
        <v>24050</v>
      </c>
      <c r="E45" s="121" t="s">
        <v>1217</v>
      </c>
      <c r="F45" s="84">
        <v>25850</v>
      </c>
      <c r="G45" s="121" t="s">
        <v>1231</v>
      </c>
      <c r="H45" s="84">
        <v>25548</v>
      </c>
      <c r="I45" s="84"/>
      <c r="J45" s="84"/>
      <c r="K45" s="84"/>
      <c r="L45" s="249">
        <f t="shared" si="0"/>
        <v>21599.305</v>
      </c>
      <c r="M45" s="85"/>
      <c r="N45" s="246">
        <v>24050</v>
      </c>
    </row>
    <row r="46" spans="1:14" ht="23.1" customHeight="1">
      <c r="A46" s="81" t="s">
        <v>740</v>
      </c>
      <c r="B46" s="81" t="s">
        <v>746</v>
      </c>
      <c r="C46" s="82" t="s">
        <v>742</v>
      </c>
      <c r="D46" s="84">
        <v>28590</v>
      </c>
      <c r="E46" s="121" t="s">
        <v>1217</v>
      </c>
      <c r="F46" s="84">
        <v>30730</v>
      </c>
      <c r="G46" s="121" t="s">
        <v>1231</v>
      </c>
      <c r="H46" s="84">
        <v>30347</v>
      </c>
      <c r="I46" s="84"/>
      <c r="J46" s="84"/>
      <c r="K46" s="84"/>
      <c r="L46" s="249">
        <f t="shared" si="0"/>
        <v>25676.679</v>
      </c>
      <c r="M46" s="85"/>
      <c r="N46" s="246">
        <v>28590</v>
      </c>
    </row>
    <row r="47" spans="1:14" ht="23.1" customHeight="1">
      <c r="A47" s="81" t="s">
        <v>740</v>
      </c>
      <c r="B47" s="81" t="s">
        <v>741</v>
      </c>
      <c r="C47" s="82" t="s">
        <v>742</v>
      </c>
      <c r="D47" s="84">
        <v>1960</v>
      </c>
      <c r="E47" s="121" t="s">
        <v>1217</v>
      </c>
      <c r="F47" s="84">
        <v>2090</v>
      </c>
      <c r="G47" s="121" t="s">
        <v>1231</v>
      </c>
      <c r="H47" s="84">
        <v>2067</v>
      </c>
      <c r="I47" s="84"/>
      <c r="J47" s="84"/>
      <c r="K47" s="84"/>
      <c r="L47" s="249">
        <f t="shared" si="0"/>
        <v>1760.2760000000001</v>
      </c>
      <c r="M47" s="85"/>
      <c r="N47" s="246">
        <v>1960</v>
      </c>
    </row>
    <row r="48" spans="1:14" ht="23.1" customHeight="1">
      <c r="A48" s="81" t="s">
        <v>740</v>
      </c>
      <c r="B48" s="81" t="s">
        <v>743</v>
      </c>
      <c r="C48" s="82" t="s">
        <v>742</v>
      </c>
      <c r="D48" s="84">
        <v>3670</v>
      </c>
      <c r="E48" s="121" t="s">
        <v>1217</v>
      </c>
      <c r="F48" s="84">
        <v>3940</v>
      </c>
      <c r="G48" s="121" t="s">
        <v>1231</v>
      </c>
      <c r="H48" s="84">
        <v>3898</v>
      </c>
      <c r="I48" s="84"/>
      <c r="J48" s="84"/>
      <c r="K48" s="84"/>
      <c r="L48" s="249">
        <f t="shared" si="0"/>
        <v>3296.027</v>
      </c>
      <c r="M48" s="85"/>
      <c r="N48" s="246">
        <v>3670</v>
      </c>
    </row>
    <row r="49" spans="1:14" ht="23.1" customHeight="1">
      <c r="A49" s="81" t="s">
        <v>740</v>
      </c>
      <c r="B49" s="81" t="s">
        <v>1049</v>
      </c>
      <c r="C49" s="82" t="s">
        <v>742</v>
      </c>
      <c r="D49" s="84">
        <v>4700</v>
      </c>
      <c r="E49" s="121" t="s">
        <v>1217</v>
      </c>
      <c r="F49" s="84">
        <v>5050</v>
      </c>
      <c r="G49" s="121" t="s">
        <v>1231</v>
      </c>
      <c r="H49" s="84">
        <v>5005</v>
      </c>
      <c r="I49" s="84"/>
      <c r="J49" s="84"/>
      <c r="K49" s="84"/>
      <c r="L49" s="249">
        <f t="shared" si="0"/>
        <v>4221.07</v>
      </c>
      <c r="M49" s="85"/>
      <c r="N49" s="246">
        <v>4700</v>
      </c>
    </row>
    <row r="50" spans="1:14" ht="23.1" customHeight="1">
      <c r="A50" s="81" t="s">
        <v>740</v>
      </c>
      <c r="B50" s="81" t="s">
        <v>1051</v>
      </c>
      <c r="C50" s="82" t="s">
        <v>742</v>
      </c>
      <c r="D50" s="84">
        <v>5390</v>
      </c>
      <c r="E50" s="121" t="s">
        <v>1217</v>
      </c>
      <c r="F50" s="84">
        <v>5800</v>
      </c>
      <c r="G50" s="121" t="s">
        <v>1231</v>
      </c>
      <c r="H50" s="84">
        <v>5750</v>
      </c>
      <c r="I50" s="84"/>
      <c r="J50" s="84"/>
      <c r="K50" s="84"/>
      <c r="L50" s="249">
        <f t="shared" si="0"/>
        <v>4840.759</v>
      </c>
      <c r="M50" s="85"/>
      <c r="N50" s="246">
        <v>5390</v>
      </c>
    </row>
    <row r="51" spans="1:14" ht="23.1" customHeight="1">
      <c r="A51" s="81" t="s">
        <v>740</v>
      </c>
      <c r="B51" s="81" t="s">
        <v>744</v>
      </c>
      <c r="C51" s="82" t="s">
        <v>742</v>
      </c>
      <c r="D51" s="84">
        <v>7630</v>
      </c>
      <c r="E51" s="121" t="s">
        <v>1217</v>
      </c>
      <c r="F51" s="84">
        <v>8170</v>
      </c>
      <c r="G51" s="121" t="s">
        <v>1231</v>
      </c>
      <c r="H51" s="84">
        <v>8096</v>
      </c>
      <c r="I51" s="84"/>
      <c r="J51" s="84"/>
      <c r="K51" s="84"/>
      <c r="L51" s="249">
        <f t="shared" si="0"/>
        <v>6852.5029999999997</v>
      </c>
      <c r="M51" s="85"/>
      <c r="N51" s="246">
        <v>7630</v>
      </c>
    </row>
    <row r="52" spans="1:14" ht="23.1" customHeight="1">
      <c r="A52" s="81" t="s">
        <v>740</v>
      </c>
      <c r="B52" s="81" t="s">
        <v>1054</v>
      </c>
      <c r="C52" s="82" t="s">
        <v>742</v>
      </c>
      <c r="D52" s="84">
        <v>9710</v>
      </c>
      <c r="E52" s="121" t="s">
        <v>1217</v>
      </c>
      <c r="F52" s="84">
        <v>10470</v>
      </c>
      <c r="G52" s="121" t="s">
        <v>1231</v>
      </c>
      <c r="H52" s="84">
        <v>10351</v>
      </c>
      <c r="I52" s="84"/>
      <c r="J52" s="84"/>
      <c r="K52" s="84"/>
      <c r="L52" s="249">
        <f t="shared" si="0"/>
        <v>8720.5509999999995</v>
      </c>
      <c r="M52" s="85"/>
      <c r="N52" s="246">
        <v>9710</v>
      </c>
    </row>
    <row r="53" spans="1:14" ht="23.1" customHeight="1">
      <c r="A53" s="81" t="s">
        <v>740</v>
      </c>
      <c r="B53" s="81" t="s">
        <v>1056</v>
      </c>
      <c r="C53" s="82" t="s">
        <v>742</v>
      </c>
      <c r="D53" s="84">
        <v>12640</v>
      </c>
      <c r="E53" s="121" t="s">
        <v>1217</v>
      </c>
      <c r="F53" s="84">
        <v>13580</v>
      </c>
      <c r="G53" s="121" t="s">
        <v>1231</v>
      </c>
      <c r="H53" s="84">
        <v>13443</v>
      </c>
      <c r="I53" s="84"/>
      <c r="J53" s="84"/>
      <c r="K53" s="84"/>
      <c r="L53" s="249">
        <f t="shared" si="0"/>
        <v>11351.984</v>
      </c>
      <c r="M53" s="85"/>
      <c r="N53" s="246">
        <v>12640</v>
      </c>
    </row>
    <row r="54" spans="1:14" ht="23.1" customHeight="1">
      <c r="A54" s="81" t="s">
        <v>836</v>
      </c>
      <c r="B54" s="81" t="s">
        <v>837</v>
      </c>
      <c r="C54" s="82" t="s">
        <v>343</v>
      </c>
      <c r="D54" s="84">
        <v>4360</v>
      </c>
      <c r="E54" s="121" t="s">
        <v>1217</v>
      </c>
      <c r="F54" s="84">
        <v>4860</v>
      </c>
      <c r="G54" s="121" t="s">
        <v>1232</v>
      </c>
      <c r="H54" s="84">
        <v>4830</v>
      </c>
      <c r="I54" s="84"/>
      <c r="J54" s="84"/>
      <c r="K54" s="84"/>
      <c r="L54" s="249">
        <f t="shared" si="0"/>
        <v>3915.7159999999999</v>
      </c>
      <c r="M54" s="85"/>
      <c r="N54" s="246">
        <v>4360</v>
      </c>
    </row>
    <row r="55" spans="1:14" ht="23.1" customHeight="1">
      <c r="A55" s="81" t="s">
        <v>1187</v>
      </c>
      <c r="B55" s="81" t="s">
        <v>1196</v>
      </c>
      <c r="C55" s="82" t="s">
        <v>343</v>
      </c>
      <c r="D55" s="84"/>
      <c r="E55" s="84"/>
      <c r="F55" s="84">
        <v>693</v>
      </c>
      <c r="G55" s="121" t="s">
        <v>1233</v>
      </c>
      <c r="H55" s="84">
        <v>607.20000000000005</v>
      </c>
      <c r="I55" s="84"/>
      <c r="J55" s="84"/>
      <c r="K55" s="84"/>
      <c r="L55" s="249">
        <f t="shared" si="0"/>
        <v>545.32632000000001</v>
      </c>
      <c r="M55" s="85"/>
      <c r="N55" s="246">
        <v>607.20000000000005</v>
      </c>
    </row>
    <row r="56" spans="1:14" ht="23.1" customHeight="1">
      <c r="A56" s="81" t="s">
        <v>1187</v>
      </c>
      <c r="B56" s="81" t="s">
        <v>1188</v>
      </c>
      <c r="C56" s="82" t="s">
        <v>343</v>
      </c>
      <c r="D56" s="84"/>
      <c r="E56" s="84"/>
      <c r="F56" s="84">
        <v>468</v>
      </c>
      <c r="G56" s="121" t="s">
        <v>1233</v>
      </c>
      <c r="H56" s="84">
        <v>416.9</v>
      </c>
      <c r="I56" s="84"/>
      <c r="J56" s="84"/>
      <c r="K56" s="84"/>
      <c r="L56" s="249">
        <f t="shared" si="0"/>
        <v>374.41789</v>
      </c>
      <c r="M56" s="85"/>
      <c r="N56" s="246">
        <v>416.9</v>
      </c>
    </row>
    <row r="57" spans="1:14" ht="23.1" customHeight="1">
      <c r="A57" s="81" t="s">
        <v>1187</v>
      </c>
      <c r="B57" s="81" t="s">
        <v>1200</v>
      </c>
      <c r="C57" s="82" t="s">
        <v>343</v>
      </c>
      <c r="D57" s="84"/>
      <c r="E57" s="84"/>
      <c r="F57" s="84">
        <v>1116</v>
      </c>
      <c r="G57" s="121" t="s">
        <v>1233</v>
      </c>
      <c r="H57" s="84">
        <v>1038.4000000000001</v>
      </c>
      <c r="I57" s="84"/>
      <c r="J57" s="84"/>
      <c r="K57" s="84"/>
      <c r="L57" s="249">
        <f t="shared" si="0"/>
        <v>932.58704000000012</v>
      </c>
      <c r="M57" s="85"/>
      <c r="N57" s="246">
        <v>1038.4000000000001</v>
      </c>
    </row>
    <row r="58" spans="1:14" ht="23.1" customHeight="1">
      <c r="A58" s="81" t="s">
        <v>1124</v>
      </c>
      <c r="B58" s="81" t="s">
        <v>1125</v>
      </c>
      <c r="C58" s="82" t="s">
        <v>343</v>
      </c>
      <c r="D58" s="84"/>
      <c r="E58" s="84"/>
      <c r="F58" s="84">
        <v>550</v>
      </c>
      <c r="G58" s="121" t="s">
        <v>1234</v>
      </c>
      <c r="H58" s="84">
        <v>448</v>
      </c>
      <c r="I58" s="84"/>
      <c r="J58" s="84"/>
      <c r="K58" s="84"/>
      <c r="L58" s="249">
        <f t="shared" si="0"/>
        <v>402.34879999999998</v>
      </c>
      <c r="M58" s="85"/>
      <c r="N58" s="246">
        <v>448</v>
      </c>
    </row>
    <row r="59" spans="1:14" ht="23.1" customHeight="1">
      <c r="A59" s="81" t="s">
        <v>1124</v>
      </c>
      <c r="B59" s="81" t="s">
        <v>1135</v>
      </c>
      <c r="C59" s="82" t="s">
        <v>343</v>
      </c>
      <c r="D59" s="84"/>
      <c r="E59" s="84"/>
      <c r="F59" s="84">
        <v>582</v>
      </c>
      <c r="G59" s="121" t="s">
        <v>1234</v>
      </c>
      <c r="H59" s="84">
        <v>466</v>
      </c>
      <c r="I59" s="84"/>
      <c r="J59" s="84"/>
      <c r="K59" s="84"/>
      <c r="L59" s="249">
        <f t="shared" si="0"/>
        <v>418.51460000000003</v>
      </c>
      <c r="M59" s="85"/>
      <c r="N59" s="246">
        <v>466</v>
      </c>
    </row>
    <row r="60" spans="1:14" ht="23.1" customHeight="1">
      <c r="A60" s="81" t="s">
        <v>1124</v>
      </c>
      <c r="B60" s="81" t="s">
        <v>1142</v>
      </c>
      <c r="C60" s="82" t="s">
        <v>343</v>
      </c>
      <c r="D60" s="84"/>
      <c r="E60" s="84"/>
      <c r="F60" s="84">
        <v>1070</v>
      </c>
      <c r="G60" s="121" t="s">
        <v>1234</v>
      </c>
      <c r="H60" s="84">
        <v>887</v>
      </c>
      <c r="I60" s="84"/>
      <c r="J60" s="84"/>
      <c r="K60" s="84"/>
      <c r="L60" s="249">
        <f t="shared" si="0"/>
        <v>796.61469999999997</v>
      </c>
      <c r="M60" s="85"/>
      <c r="N60" s="246">
        <v>887</v>
      </c>
    </row>
    <row r="61" spans="1:14" ht="23.1" customHeight="1">
      <c r="A61" s="81" t="s">
        <v>717</v>
      </c>
      <c r="B61" s="81" t="s">
        <v>719</v>
      </c>
      <c r="C61" s="82" t="s">
        <v>366</v>
      </c>
      <c r="D61" s="84">
        <v>5817000</v>
      </c>
      <c r="E61" s="121" t="s">
        <v>1217</v>
      </c>
      <c r="F61" s="84">
        <v>10639000</v>
      </c>
      <c r="G61" s="121" t="s">
        <v>1235</v>
      </c>
      <c r="H61" s="84"/>
      <c r="I61" s="84"/>
      <c r="J61" s="84"/>
      <c r="K61" s="84"/>
      <c r="L61" s="249">
        <f t="shared" si="0"/>
        <v>5224247.7</v>
      </c>
      <c r="M61" s="85"/>
      <c r="N61" s="246">
        <v>5817000</v>
      </c>
    </row>
    <row r="62" spans="1:14" ht="23.1" customHeight="1">
      <c r="A62" s="81" t="s">
        <v>717</v>
      </c>
      <c r="B62" s="81" t="s">
        <v>718</v>
      </c>
      <c r="C62" s="82" t="s">
        <v>366</v>
      </c>
      <c r="D62" s="84">
        <v>704400</v>
      </c>
      <c r="E62" s="121" t="s">
        <v>1217</v>
      </c>
      <c r="F62" s="84">
        <v>1347000</v>
      </c>
      <c r="G62" s="121" t="s">
        <v>1235</v>
      </c>
      <c r="H62" s="84"/>
      <c r="I62" s="84"/>
      <c r="J62" s="84"/>
      <c r="K62" s="84"/>
      <c r="L62" s="249">
        <f t="shared" si="0"/>
        <v>632621.64</v>
      </c>
      <c r="M62" s="85"/>
      <c r="N62" s="246">
        <v>704400</v>
      </c>
    </row>
    <row r="63" spans="1:14" ht="23.1" customHeight="1">
      <c r="A63" s="81" t="s">
        <v>1183</v>
      </c>
      <c r="B63" s="81" t="s">
        <v>1184</v>
      </c>
      <c r="C63" s="82" t="s">
        <v>343</v>
      </c>
      <c r="D63" s="84"/>
      <c r="E63" s="84"/>
      <c r="F63" s="84">
        <v>120</v>
      </c>
      <c r="G63" s="121" t="s">
        <v>1236</v>
      </c>
      <c r="H63" s="84">
        <v>166</v>
      </c>
      <c r="I63" s="84"/>
      <c r="J63" s="84"/>
      <c r="K63" s="84"/>
      <c r="L63" s="249">
        <f t="shared" si="0"/>
        <v>107.77200000000001</v>
      </c>
      <c r="M63" s="85"/>
      <c r="N63" s="246">
        <v>120</v>
      </c>
    </row>
    <row r="64" spans="1:14" ht="23.1" customHeight="1">
      <c r="A64" s="81" t="s">
        <v>859</v>
      </c>
      <c r="B64" s="81" t="s">
        <v>860</v>
      </c>
      <c r="C64" s="82" t="s">
        <v>343</v>
      </c>
      <c r="D64" s="84"/>
      <c r="E64" s="84"/>
      <c r="F64" s="84">
        <v>160000</v>
      </c>
      <c r="G64" s="121" t="s">
        <v>1237</v>
      </c>
      <c r="H64" s="84"/>
      <c r="I64" s="84"/>
      <c r="J64" s="84"/>
      <c r="K64" s="84"/>
      <c r="L64" s="249">
        <f t="shared" si="0"/>
        <v>143696</v>
      </c>
      <c r="M64" s="85"/>
      <c r="N64" s="246">
        <v>160000</v>
      </c>
    </row>
    <row r="65" spans="1:15" ht="23.1" customHeight="1">
      <c r="A65" s="81" t="s">
        <v>808</v>
      </c>
      <c r="B65" s="81" t="s">
        <v>768</v>
      </c>
      <c r="C65" s="82" t="s">
        <v>343</v>
      </c>
      <c r="D65" s="84">
        <v>24000</v>
      </c>
      <c r="E65" s="121" t="s">
        <v>1217</v>
      </c>
      <c r="F65" s="84"/>
      <c r="G65" s="84"/>
      <c r="H65" s="84"/>
      <c r="I65" s="84"/>
      <c r="J65" s="84"/>
      <c r="K65" s="84"/>
      <c r="L65" s="249">
        <f t="shared" si="0"/>
        <v>21554.400000000001</v>
      </c>
      <c r="M65" s="85"/>
      <c r="N65" s="246">
        <v>24000</v>
      </c>
    </row>
    <row r="66" spans="1:15" ht="23.1" customHeight="1">
      <c r="A66" s="81" t="s">
        <v>861</v>
      </c>
      <c r="B66" s="81" t="s">
        <v>1118</v>
      </c>
      <c r="C66" s="82" t="s">
        <v>343</v>
      </c>
      <c r="D66" s="84"/>
      <c r="E66" s="84"/>
      <c r="F66" s="84">
        <v>26500</v>
      </c>
      <c r="G66" s="121" t="s">
        <v>1237</v>
      </c>
      <c r="H66" s="84"/>
      <c r="I66" s="84"/>
      <c r="J66" s="84"/>
      <c r="K66" s="84"/>
      <c r="L66" s="249">
        <f t="shared" si="0"/>
        <v>23799.65</v>
      </c>
      <c r="M66" s="85"/>
      <c r="N66" s="246">
        <v>26500</v>
      </c>
    </row>
    <row r="67" spans="1:15" ht="23.1" customHeight="1">
      <c r="A67" s="81" t="s">
        <v>861</v>
      </c>
      <c r="B67" s="81" t="s">
        <v>862</v>
      </c>
      <c r="C67" s="82" t="s">
        <v>343</v>
      </c>
      <c r="D67" s="84"/>
      <c r="E67" s="84"/>
      <c r="F67" s="84"/>
      <c r="G67" s="84"/>
      <c r="H67" s="84"/>
      <c r="I67" s="84">
        <v>20000</v>
      </c>
      <c r="J67" s="84"/>
      <c r="K67" s="84"/>
      <c r="L67" s="249">
        <f t="shared" si="0"/>
        <v>17962</v>
      </c>
      <c r="M67" s="85"/>
      <c r="N67" s="246">
        <v>20000</v>
      </c>
    </row>
    <row r="68" spans="1:15" ht="23.1" customHeight="1">
      <c r="A68" s="81" t="s">
        <v>888</v>
      </c>
      <c r="B68" s="81" t="s">
        <v>781</v>
      </c>
      <c r="C68" s="82" t="s">
        <v>343</v>
      </c>
      <c r="D68" s="84">
        <v>451350</v>
      </c>
      <c r="E68" s="121" t="s">
        <v>1217</v>
      </c>
      <c r="F68" s="84">
        <v>600000</v>
      </c>
      <c r="G68" s="121" t="s">
        <v>1238</v>
      </c>
      <c r="H68" s="84">
        <v>800000</v>
      </c>
      <c r="I68" s="84"/>
      <c r="J68" s="84"/>
      <c r="K68" s="84"/>
      <c r="L68" s="249">
        <f t="shared" si="0"/>
        <v>405357.435</v>
      </c>
      <c r="M68" s="85"/>
      <c r="N68" s="246">
        <v>451350</v>
      </c>
    </row>
    <row r="69" spans="1:15" ht="23.1" customHeight="1">
      <c r="A69" s="81" t="s">
        <v>929</v>
      </c>
      <c r="B69" s="81" t="s">
        <v>930</v>
      </c>
      <c r="C69" s="82" t="s">
        <v>931</v>
      </c>
      <c r="D69" s="84">
        <v>22440</v>
      </c>
      <c r="E69" s="121" t="s">
        <v>1217</v>
      </c>
      <c r="F69" s="84">
        <v>32500</v>
      </c>
      <c r="G69" s="121" t="s">
        <v>1238</v>
      </c>
      <c r="H69" s="84"/>
      <c r="I69" s="84"/>
      <c r="J69" s="84"/>
      <c r="K69" s="84"/>
      <c r="L69" s="249">
        <f t="shared" si="0"/>
        <v>20153.364000000001</v>
      </c>
      <c r="M69" s="85"/>
      <c r="N69" s="246">
        <v>22440</v>
      </c>
    </row>
    <row r="70" spans="1:15" ht="23.1" customHeight="1">
      <c r="A70" s="81" t="s">
        <v>932</v>
      </c>
      <c r="B70" s="81" t="s">
        <v>933</v>
      </c>
      <c r="C70" s="82" t="s">
        <v>343</v>
      </c>
      <c r="D70" s="84"/>
      <c r="E70" s="84"/>
      <c r="F70" s="84"/>
      <c r="G70" s="84"/>
      <c r="H70" s="84"/>
      <c r="I70" s="84">
        <v>0</v>
      </c>
      <c r="J70" s="84"/>
      <c r="K70" s="84"/>
      <c r="L70" s="249">
        <f t="shared" ref="L70:L133" si="1">N70*$N$4</f>
        <v>3897.7539999999999</v>
      </c>
      <c r="M70" s="85"/>
      <c r="N70" s="246">
        <v>4340</v>
      </c>
    </row>
    <row r="71" spans="1:15" ht="23.1" customHeight="1">
      <c r="A71" s="81" t="s">
        <v>783</v>
      </c>
      <c r="B71" s="81" t="s">
        <v>784</v>
      </c>
      <c r="C71" s="82" t="s">
        <v>343</v>
      </c>
      <c r="D71" s="84">
        <v>147250</v>
      </c>
      <c r="E71" s="121" t="s">
        <v>1217</v>
      </c>
      <c r="F71" s="84">
        <v>270000</v>
      </c>
      <c r="G71" s="121" t="s">
        <v>1239</v>
      </c>
      <c r="H71" s="84"/>
      <c r="I71" s="84">
        <v>97000</v>
      </c>
      <c r="J71" s="84"/>
      <c r="K71" s="84"/>
      <c r="L71" s="249">
        <f t="shared" si="1"/>
        <v>87115.7</v>
      </c>
      <c r="M71" s="85"/>
      <c r="N71" s="246">
        <v>97000</v>
      </c>
      <c r="O71" s="152" t="s">
        <v>1402</v>
      </c>
    </row>
    <row r="72" spans="1:15" ht="23.1" customHeight="1">
      <c r="A72" s="81" t="s">
        <v>1116</v>
      </c>
      <c r="B72" s="81" t="s">
        <v>1117</v>
      </c>
      <c r="C72" s="82" t="s">
        <v>343</v>
      </c>
      <c r="D72" s="84">
        <v>48450</v>
      </c>
      <c r="E72" s="121" t="s">
        <v>1217</v>
      </c>
      <c r="F72" s="84">
        <v>57000</v>
      </c>
      <c r="G72" s="121" t="s">
        <v>1237</v>
      </c>
      <c r="H72" s="84">
        <v>70000</v>
      </c>
      <c r="I72" s="177">
        <v>47500</v>
      </c>
      <c r="J72" s="84"/>
      <c r="K72" s="84"/>
      <c r="L72" s="249">
        <f t="shared" si="1"/>
        <v>42659.75</v>
      </c>
      <c r="M72" s="85"/>
      <c r="N72" s="246">
        <v>47500</v>
      </c>
      <c r="O72" s="152" t="s">
        <v>1403</v>
      </c>
    </row>
    <row r="73" spans="1:15" ht="23.1" customHeight="1">
      <c r="A73" s="81" t="s">
        <v>1119</v>
      </c>
      <c r="B73" s="81" t="s">
        <v>1120</v>
      </c>
      <c r="C73" s="82" t="s">
        <v>343</v>
      </c>
      <c r="D73" s="84">
        <v>21460</v>
      </c>
      <c r="E73" s="121" t="s">
        <v>1217</v>
      </c>
      <c r="F73" s="84">
        <v>23000</v>
      </c>
      <c r="G73" s="121" t="s">
        <v>1237</v>
      </c>
      <c r="H73" s="84"/>
      <c r="I73" s="84">
        <v>7000</v>
      </c>
      <c r="J73" s="84"/>
      <c r="K73" s="84"/>
      <c r="L73" s="249">
        <f t="shared" si="1"/>
        <v>6286.7</v>
      </c>
      <c r="M73" s="85"/>
      <c r="N73" s="246">
        <v>7000</v>
      </c>
      <c r="O73" s="152" t="s">
        <v>1404</v>
      </c>
    </row>
    <row r="74" spans="1:15" ht="23.1" customHeight="1">
      <c r="A74" s="81" t="s">
        <v>739</v>
      </c>
      <c r="B74" s="85"/>
      <c r="C74" s="83"/>
      <c r="D74" s="84"/>
      <c r="E74" s="84"/>
      <c r="F74" s="84">
        <v>1500</v>
      </c>
      <c r="G74" s="121" t="s">
        <v>1240</v>
      </c>
      <c r="H74" s="84">
        <v>1500</v>
      </c>
      <c r="I74" s="84">
        <v>1000</v>
      </c>
      <c r="J74" s="84"/>
      <c r="K74" s="84"/>
      <c r="L74" s="249">
        <f t="shared" si="1"/>
        <v>898.1</v>
      </c>
      <c r="M74" s="85"/>
      <c r="N74" s="246">
        <v>1000</v>
      </c>
      <c r="O74" s="152" t="s">
        <v>1405</v>
      </c>
    </row>
    <row r="75" spans="1:15" ht="23.1" customHeight="1">
      <c r="A75" s="81" t="s">
        <v>738</v>
      </c>
      <c r="B75" s="85"/>
      <c r="C75" s="82" t="s">
        <v>343</v>
      </c>
      <c r="D75" s="84"/>
      <c r="E75" s="84"/>
      <c r="F75" s="84">
        <v>8000</v>
      </c>
      <c r="G75" s="121" t="s">
        <v>1241</v>
      </c>
      <c r="H75" s="84"/>
      <c r="I75" s="177">
        <v>1600</v>
      </c>
      <c r="J75" s="84"/>
      <c r="K75" s="84"/>
      <c r="L75" s="249">
        <f t="shared" si="1"/>
        <v>1436.96</v>
      </c>
      <c r="M75" s="85"/>
      <c r="N75" s="246">
        <v>1600</v>
      </c>
      <c r="O75" s="152" t="s">
        <v>1406</v>
      </c>
    </row>
    <row r="76" spans="1:15" ht="23.1" customHeight="1">
      <c r="A76" s="81" t="s">
        <v>716</v>
      </c>
      <c r="B76" s="81" t="s">
        <v>1000</v>
      </c>
      <c r="C76" s="83"/>
      <c r="D76" s="84"/>
      <c r="E76" s="84"/>
      <c r="F76" s="84"/>
      <c r="G76" s="84"/>
      <c r="H76" s="84">
        <v>10800000</v>
      </c>
      <c r="I76" s="84"/>
      <c r="J76" s="84"/>
      <c r="K76" s="84"/>
      <c r="L76" s="249">
        <f t="shared" si="1"/>
        <v>9699480</v>
      </c>
      <c r="M76" s="85"/>
      <c r="N76" s="246">
        <v>10800000</v>
      </c>
    </row>
    <row r="77" spans="1:15" ht="23.1" customHeight="1">
      <c r="A77" s="81" t="s">
        <v>1114</v>
      </c>
      <c r="B77" s="81" t="s">
        <v>1115</v>
      </c>
      <c r="C77" s="82" t="s">
        <v>343</v>
      </c>
      <c r="D77" s="84">
        <v>127500</v>
      </c>
      <c r="E77" s="121" t="s">
        <v>1217</v>
      </c>
      <c r="F77" s="84">
        <v>150000</v>
      </c>
      <c r="G77" s="121" t="s">
        <v>1237</v>
      </c>
      <c r="H77" s="84"/>
      <c r="I77" s="177">
        <v>124000</v>
      </c>
      <c r="J77" s="84"/>
      <c r="K77" s="84"/>
      <c r="L77" s="249">
        <f t="shared" si="1"/>
        <v>111364.4</v>
      </c>
      <c r="M77" s="85"/>
      <c r="N77" s="246">
        <v>124000</v>
      </c>
      <c r="O77" s="152" t="s">
        <v>1411</v>
      </c>
    </row>
    <row r="78" spans="1:15" ht="23.1" customHeight="1">
      <c r="A78" s="81" t="s">
        <v>797</v>
      </c>
      <c r="B78" s="81" t="s">
        <v>799</v>
      </c>
      <c r="C78" s="82" t="s">
        <v>343</v>
      </c>
      <c r="D78" s="84"/>
      <c r="E78" s="84"/>
      <c r="F78" s="84"/>
      <c r="G78" s="84"/>
      <c r="H78" s="84">
        <v>77930</v>
      </c>
      <c r="I78" s="84">
        <v>50000</v>
      </c>
      <c r="J78" s="84"/>
      <c r="K78" s="84"/>
      <c r="L78" s="249">
        <f t="shared" si="1"/>
        <v>44905</v>
      </c>
      <c r="M78" s="85"/>
      <c r="N78" s="246">
        <v>50000</v>
      </c>
      <c r="O78" s="152" t="s">
        <v>1407</v>
      </c>
    </row>
    <row r="79" spans="1:15" ht="23.1" customHeight="1">
      <c r="A79" s="81" t="s">
        <v>797</v>
      </c>
      <c r="B79" s="81" t="s">
        <v>798</v>
      </c>
      <c r="C79" s="82" t="s">
        <v>343</v>
      </c>
      <c r="D79" s="84"/>
      <c r="E79" s="84"/>
      <c r="F79" s="84"/>
      <c r="G79" s="84"/>
      <c r="H79" s="84">
        <v>30710</v>
      </c>
      <c r="I79" s="84">
        <v>20000</v>
      </c>
      <c r="J79" s="84"/>
      <c r="K79" s="84"/>
      <c r="L79" s="249">
        <f t="shared" si="1"/>
        <v>17962</v>
      </c>
      <c r="M79" s="85"/>
      <c r="N79" s="246">
        <v>20000</v>
      </c>
      <c r="O79" s="152" t="s">
        <v>1408</v>
      </c>
    </row>
    <row r="80" spans="1:15" ht="23.1" customHeight="1">
      <c r="A80" s="81" t="s">
        <v>797</v>
      </c>
      <c r="B80" s="81" t="s">
        <v>913</v>
      </c>
      <c r="C80" s="82" t="s">
        <v>343</v>
      </c>
      <c r="D80" s="84"/>
      <c r="E80" s="84"/>
      <c r="F80" s="84"/>
      <c r="G80" s="84"/>
      <c r="H80" s="84">
        <v>44080</v>
      </c>
      <c r="I80" s="84">
        <v>24000</v>
      </c>
      <c r="J80" s="84"/>
      <c r="K80" s="84"/>
      <c r="L80" s="249">
        <f t="shared" si="1"/>
        <v>21554.400000000001</v>
      </c>
      <c r="M80" s="85"/>
      <c r="N80" s="246">
        <v>24000</v>
      </c>
      <c r="O80" s="152" t="s">
        <v>1409</v>
      </c>
    </row>
    <row r="81" spans="1:15" ht="23.1" customHeight="1">
      <c r="A81" s="81" t="s">
        <v>736</v>
      </c>
      <c r="B81" s="81" t="s">
        <v>737</v>
      </c>
      <c r="C81" s="82" t="s">
        <v>343</v>
      </c>
      <c r="D81" s="84">
        <v>21850</v>
      </c>
      <c r="E81" s="121" t="s">
        <v>1217</v>
      </c>
      <c r="F81" s="84">
        <v>27000</v>
      </c>
      <c r="G81" s="121" t="s">
        <v>1242</v>
      </c>
      <c r="H81" s="84">
        <v>26000</v>
      </c>
      <c r="I81" s="177">
        <v>19000</v>
      </c>
      <c r="J81" s="84"/>
      <c r="K81" s="84"/>
      <c r="L81" s="249">
        <f t="shared" si="1"/>
        <v>17063.900000000001</v>
      </c>
      <c r="M81" s="85"/>
      <c r="N81" s="246">
        <v>19000</v>
      </c>
      <c r="O81" s="152" t="s">
        <v>1410</v>
      </c>
    </row>
    <row r="82" spans="1:15" ht="23.1" customHeight="1">
      <c r="A82" s="81" t="s">
        <v>812</v>
      </c>
      <c r="B82" s="81" t="s">
        <v>814</v>
      </c>
      <c r="C82" s="82" t="s">
        <v>343</v>
      </c>
      <c r="D82" s="84">
        <v>390600</v>
      </c>
      <c r="E82" s="121" t="s">
        <v>1217</v>
      </c>
      <c r="F82" s="84"/>
      <c r="G82" s="84"/>
      <c r="H82" s="84"/>
      <c r="I82" s="84"/>
      <c r="J82" s="84"/>
      <c r="K82" s="84"/>
      <c r="L82" s="249">
        <f t="shared" si="1"/>
        <v>350797.86</v>
      </c>
      <c r="M82" s="85"/>
      <c r="N82" s="246">
        <v>390600</v>
      </c>
    </row>
    <row r="83" spans="1:15" ht="23.1" customHeight="1">
      <c r="A83" s="81" t="s">
        <v>812</v>
      </c>
      <c r="B83" s="81" t="s">
        <v>813</v>
      </c>
      <c r="C83" s="82" t="s">
        <v>343</v>
      </c>
      <c r="D83" s="84">
        <v>98690</v>
      </c>
      <c r="E83" s="121" t="s">
        <v>1217</v>
      </c>
      <c r="F83" s="84"/>
      <c r="G83" s="84"/>
      <c r="H83" s="84"/>
      <c r="I83" s="84"/>
      <c r="J83" s="84"/>
      <c r="K83" s="84"/>
      <c r="L83" s="249">
        <f t="shared" si="1"/>
        <v>88633.489000000001</v>
      </c>
      <c r="M83" s="85"/>
      <c r="N83" s="246">
        <v>98690</v>
      </c>
    </row>
    <row r="84" spans="1:15" ht="23.1" customHeight="1">
      <c r="A84" s="81" t="s">
        <v>1155</v>
      </c>
      <c r="B84" s="81" t="s">
        <v>1156</v>
      </c>
      <c r="C84" s="82" t="s">
        <v>343</v>
      </c>
      <c r="D84" s="84"/>
      <c r="E84" s="84"/>
      <c r="F84" s="84">
        <v>120</v>
      </c>
      <c r="G84" s="121" t="s">
        <v>1243</v>
      </c>
      <c r="H84" s="84"/>
      <c r="I84" s="84"/>
      <c r="J84" s="84"/>
      <c r="K84" s="84"/>
      <c r="L84" s="249">
        <f t="shared" si="1"/>
        <v>107.77200000000001</v>
      </c>
      <c r="M84" s="85"/>
      <c r="N84" s="246">
        <v>120</v>
      </c>
    </row>
    <row r="85" spans="1:15" ht="23.1" customHeight="1">
      <c r="A85" s="81" t="s">
        <v>1155</v>
      </c>
      <c r="B85" s="81" t="s">
        <v>1172</v>
      </c>
      <c r="C85" s="82" t="s">
        <v>343</v>
      </c>
      <c r="D85" s="84"/>
      <c r="E85" s="84"/>
      <c r="F85" s="84">
        <v>280</v>
      </c>
      <c r="G85" s="121" t="s">
        <v>1243</v>
      </c>
      <c r="H85" s="84"/>
      <c r="I85" s="84"/>
      <c r="J85" s="84"/>
      <c r="K85" s="84"/>
      <c r="L85" s="249">
        <f t="shared" si="1"/>
        <v>251.46799999999999</v>
      </c>
      <c r="M85" s="85"/>
      <c r="N85" s="246">
        <v>280</v>
      </c>
    </row>
    <row r="86" spans="1:15" ht="23.1" customHeight="1">
      <c r="A86" s="81" t="s">
        <v>934</v>
      </c>
      <c r="B86" s="81" t="s">
        <v>935</v>
      </c>
      <c r="C86" s="82" t="s">
        <v>343</v>
      </c>
      <c r="D86" s="84"/>
      <c r="E86" s="84"/>
      <c r="F86" s="84">
        <v>10300</v>
      </c>
      <c r="G86" s="121" t="s">
        <v>1244</v>
      </c>
      <c r="H86" s="84">
        <v>8200</v>
      </c>
      <c r="I86" s="84"/>
      <c r="J86" s="84"/>
      <c r="K86" s="84"/>
      <c r="L86" s="249">
        <f t="shared" si="1"/>
        <v>7364.42</v>
      </c>
      <c r="M86" s="85"/>
      <c r="N86" s="246">
        <v>8200</v>
      </c>
    </row>
    <row r="87" spans="1:15" ht="23.1" customHeight="1">
      <c r="A87" s="81" t="s">
        <v>1109</v>
      </c>
      <c r="B87" s="81" t="s">
        <v>1110</v>
      </c>
      <c r="C87" s="82" t="s">
        <v>1108</v>
      </c>
      <c r="D87" s="84">
        <v>2300</v>
      </c>
      <c r="E87" s="121" t="s">
        <v>1215</v>
      </c>
      <c r="F87" s="84">
        <v>3446</v>
      </c>
      <c r="G87" s="121" t="s">
        <v>1230</v>
      </c>
      <c r="H87" s="84">
        <v>2708</v>
      </c>
      <c r="I87" s="84"/>
      <c r="J87" s="84"/>
      <c r="K87" s="84"/>
      <c r="L87" s="249">
        <f t="shared" si="1"/>
        <v>2065.63</v>
      </c>
      <c r="M87" s="85"/>
      <c r="N87" s="246">
        <v>2300</v>
      </c>
    </row>
    <row r="88" spans="1:15" ht="23.1" customHeight="1">
      <c r="A88" s="81" t="s">
        <v>806</v>
      </c>
      <c r="B88" s="81" t="s">
        <v>807</v>
      </c>
      <c r="C88" s="82" t="s">
        <v>343</v>
      </c>
      <c r="D88" s="84"/>
      <c r="E88" s="84"/>
      <c r="F88" s="84"/>
      <c r="G88" s="84"/>
      <c r="H88" s="84"/>
      <c r="I88" s="84"/>
      <c r="J88" s="84"/>
      <c r="K88" s="84"/>
      <c r="L88" s="249">
        <f t="shared" si="1"/>
        <v>37342.998</v>
      </c>
      <c r="M88" s="85"/>
      <c r="N88" s="246">
        <v>41580</v>
      </c>
    </row>
    <row r="89" spans="1:15" ht="23.1" customHeight="1">
      <c r="A89" s="81" t="s">
        <v>944</v>
      </c>
      <c r="B89" s="81" t="s">
        <v>945</v>
      </c>
      <c r="C89" s="82" t="s">
        <v>343</v>
      </c>
      <c r="D89" s="84"/>
      <c r="E89" s="84"/>
      <c r="F89" s="84">
        <v>52630</v>
      </c>
      <c r="G89" s="121" t="s">
        <v>1245</v>
      </c>
      <c r="H89" s="84"/>
      <c r="I89" s="84"/>
      <c r="J89" s="84"/>
      <c r="K89" s="84"/>
      <c r="L89" s="249">
        <f t="shared" si="1"/>
        <v>47267.002999999997</v>
      </c>
      <c r="M89" s="85"/>
      <c r="N89" s="246">
        <v>52630</v>
      </c>
    </row>
    <row r="90" spans="1:15" ht="23.1" customHeight="1">
      <c r="A90" s="81" t="s">
        <v>1072</v>
      </c>
      <c r="B90" s="81" t="s">
        <v>1073</v>
      </c>
      <c r="C90" s="82" t="s">
        <v>1074</v>
      </c>
      <c r="D90" s="84">
        <v>3189</v>
      </c>
      <c r="E90" s="121" t="s">
        <v>1217</v>
      </c>
      <c r="F90" s="84">
        <v>3950</v>
      </c>
      <c r="G90" s="121" t="s">
        <v>1246</v>
      </c>
      <c r="H90" s="84">
        <v>4500</v>
      </c>
      <c r="I90" s="84"/>
      <c r="J90" s="84"/>
      <c r="K90" s="84"/>
      <c r="L90" s="249">
        <f t="shared" si="1"/>
        <v>2864.0409</v>
      </c>
      <c r="M90" s="85"/>
      <c r="N90" s="246">
        <v>3189</v>
      </c>
    </row>
    <row r="91" spans="1:15" ht="23.1" customHeight="1">
      <c r="A91" s="81" t="s">
        <v>1072</v>
      </c>
      <c r="B91" s="81" t="s">
        <v>1081</v>
      </c>
      <c r="C91" s="82" t="s">
        <v>1074</v>
      </c>
      <c r="D91" s="84"/>
      <c r="E91" s="84"/>
      <c r="F91" s="84">
        <v>3886</v>
      </c>
      <c r="G91" s="121" t="s">
        <v>1246</v>
      </c>
      <c r="H91" s="84">
        <v>4300</v>
      </c>
      <c r="I91" s="84"/>
      <c r="J91" s="84"/>
      <c r="K91" s="84"/>
      <c r="L91" s="249">
        <f t="shared" si="1"/>
        <v>3490.0165999999999</v>
      </c>
      <c r="M91" s="85"/>
      <c r="N91" s="246">
        <v>3886</v>
      </c>
    </row>
    <row r="92" spans="1:15" ht="23.1" customHeight="1">
      <c r="A92" s="81" t="s">
        <v>1191</v>
      </c>
      <c r="B92" s="81" t="s">
        <v>1190</v>
      </c>
      <c r="C92" s="82" t="s">
        <v>343</v>
      </c>
      <c r="D92" s="84"/>
      <c r="E92" s="84"/>
      <c r="F92" s="84">
        <v>33.83</v>
      </c>
      <c r="G92" s="121" t="s">
        <v>1247</v>
      </c>
      <c r="H92" s="84">
        <v>101.8</v>
      </c>
      <c r="I92" s="84"/>
      <c r="J92" s="84"/>
      <c r="K92" s="84"/>
      <c r="L92" s="249">
        <f t="shared" si="1"/>
        <v>30.382722999999999</v>
      </c>
      <c r="M92" s="85"/>
      <c r="N92" s="246">
        <v>33.83</v>
      </c>
    </row>
    <row r="93" spans="1:15" ht="23.1" customHeight="1">
      <c r="A93" s="81" t="s">
        <v>1191</v>
      </c>
      <c r="B93" s="81" t="s">
        <v>1201</v>
      </c>
      <c r="C93" s="82" t="s">
        <v>343</v>
      </c>
      <c r="D93" s="84"/>
      <c r="E93" s="84"/>
      <c r="F93" s="84">
        <v>46.53</v>
      </c>
      <c r="G93" s="121" t="s">
        <v>1247</v>
      </c>
      <c r="H93" s="84">
        <v>154</v>
      </c>
      <c r="I93" s="84"/>
      <c r="J93" s="84"/>
      <c r="K93" s="84"/>
      <c r="L93" s="249">
        <f t="shared" si="1"/>
        <v>41.788592999999999</v>
      </c>
      <c r="M93" s="85"/>
      <c r="N93" s="246">
        <v>46.53</v>
      </c>
    </row>
    <row r="94" spans="1:15" ht="23.1" customHeight="1">
      <c r="A94" s="81" t="s">
        <v>756</v>
      </c>
      <c r="B94" s="81" t="s">
        <v>900</v>
      </c>
      <c r="C94" s="82" t="s">
        <v>343</v>
      </c>
      <c r="D94" s="84">
        <v>16190</v>
      </c>
      <c r="E94" s="121" t="s">
        <v>1217</v>
      </c>
      <c r="F94" s="84">
        <v>20300</v>
      </c>
      <c r="G94" s="121" t="s">
        <v>1248</v>
      </c>
      <c r="H94" s="84">
        <v>22120</v>
      </c>
      <c r="I94" s="84"/>
      <c r="J94" s="84"/>
      <c r="K94" s="84"/>
      <c r="L94" s="249">
        <f t="shared" si="1"/>
        <v>14540.239</v>
      </c>
      <c r="M94" s="85"/>
      <c r="N94" s="246">
        <v>16190</v>
      </c>
    </row>
    <row r="95" spans="1:15" ht="23.1" customHeight="1">
      <c r="A95" s="81" t="s">
        <v>756</v>
      </c>
      <c r="B95" s="81" t="s">
        <v>904</v>
      </c>
      <c r="C95" s="82" t="s">
        <v>343</v>
      </c>
      <c r="D95" s="84"/>
      <c r="E95" s="84"/>
      <c r="F95" s="84">
        <v>5970</v>
      </c>
      <c r="G95" s="121" t="s">
        <v>1249</v>
      </c>
      <c r="H95" s="84">
        <v>6513</v>
      </c>
      <c r="I95" s="84"/>
      <c r="J95" s="84"/>
      <c r="K95" s="84"/>
      <c r="L95" s="249">
        <f t="shared" si="1"/>
        <v>5361.6570000000002</v>
      </c>
      <c r="M95" s="85"/>
      <c r="N95" s="246">
        <v>5970</v>
      </c>
    </row>
    <row r="96" spans="1:15" ht="23.1" customHeight="1">
      <c r="A96" s="81" t="s">
        <v>756</v>
      </c>
      <c r="B96" s="81" t="s">
        <v>760</v>
      </c>
      <c r="C96" s="82" t="s">
        <v>343</v>
      </c>
      <c r="D96" s="84">
        <v>11240</v>
      </c>
      <c r="E96" s="121" t="s">
        <v>1217</v>
      </c>
      <c r="F96" s="84">
        <v>14090</v>
      </c>
      <c r="G96" s="121" t="s">
        <v>1248</v>
      </c>
      <c r="H96" s="84">
        <v>16010</v>
      </c>
      <c r="I96" s="84"/>
      <c r="J96" s="84"/>
      <c r="K96" s="84"/>
      <c r="L96" s="249">
        <f t="shared" si="1"/>
        <v>10094.644</v>
      </c>
      <c r="M96" s="85"/>
      <c r="N96" s="246">
        <v>11240</v>
      </c>
    </row>
    <row r="97" spans="1:14" ht="23.1" customHeight="1">
      <c r="A97" s="81" t="s">
        <v>756</v>
      </c>
      <c r="B97" s="81" t="s">
        <v>761</v>
      </c>
      <c r="C97" s="82" t="s">
        <v>343</v>
      </c>
      <c r="D97" s="84">
        <v>16190</v>
      </c>
      <c r="E97" s="121" t="s">
        <v>1217</v>
      </c>
      <c r="F97" s="84">
        <v>20300</v>
      </c>
      <c r="G97" s="121" t="s">
        <v>1248</v>
      </c>
      <c r="H97" s="84">
        <v>22120</v>
      </c>
      <c r="I97" s="84"/>
      <c r="J97" s="84"/>
      <c r="K97" s="84"/>
      <c r="L97" s="249">
        <f t="shared" si="1"/>
        <v>14540.239</v>
      </c>
      <c r="M97" s="85"/>
      <c r="N97" s="246">
        <v>16190</v>
      </c>
    </row>
    <row r="98" spans="1:14" ht="23.1" customHeight="1">
      <c r="A98" s="81" t="s">
        <v>756</v>
      </c>
      <c r="B98" s="81" t="s">
        <v>901</v>
      </c>
      <c r="C98" s="82" t="s">
        <v>343</v>
      </c>
      <c r="D98" s="84">
        <v>24280</v>
      </c>
      <c r="E98" s="121" t="s">
        <v>1217</v>
      </c>
      <c r="F98" s="84">
        <v>30430</v>
      </c>
      <c r="G98" s="121" t="s">
        <v>1248</v>
      </c>
      <c r="H98" s="84">
        <v>34450</v>
      </c>
      <c r="I98" s="84"/>
      <c r="J98" s="84"/>
      <c r="K98" s="84"/>
      <c r="L98" s="249">
        <f t="shared" si="1"/>
        <v>21805.867999999999</v>
      </c>
      <c r="M98" s="85"/>
      <c r="N98" s="246">
        <v>24280</v>
      </c>
    </row>
    <row r="99" spans="1:14" ht="23.1" customHeight="1">
      <c r="A99" s="81" t="s">
        <v>756</v>
      </c>
      <c r="B99" s="81" t="s">
        <v>902</v>
      </c>
      <c r="C99" s="82" t="s">
        <v>343</v>
      </c>
      <c r="D99" s="84">
        <v>24280</v>
      </c>
      <c r="E99" s="121" t="s">
        <v>1217</v>
      </c>
      <c r="F99" s="84">
        <v>30430</v>
      </c>
      <c r="G99" s="121" t="s">
        <v>1248</v>
      </c>
      <c r="H99" s="84">
        <v>34450</v>
      </c>
      <c r="I99" s="84"/>
      <c r="J99" s="84"/>
      <c r="K99" s="84"/>
      <c r="L99" s="249">
        <f t="shared" si="1"/>
        <v>21805.867999999999</v>
      </c>
      <c r="M99" s="85"/>
      <c r="N99" s="246">
        <v>24280</v>
      </c>
    </row>
    <row r="100" spans="1:14" ht="23.1" customHeight="1">
      <c r="A100" s="81" t="s">
        <v>756</v>
      </c>
      <c r="B100" s="81" t="s">
        <v>905</v>
      </c>
      <c r="C100" s="82" t="s">
        <v>343</v>
      </c>
      <c r="D100" s="84"/>
      <c r="E100" s="84"/>
      <c r="F100" s="84">
        <v>9120</v>
      </c>
      <c r="G100" s="121" t="s">
        <v>1249</v>
      </c>
      <c r="H100" s="84">
        <v>9945</v>
      </c>
      <c r="I100" s="84"/>
      <c r="J100" s="84"/>
      <c r="K100" s="84"/>
      <c r="L100" s="249">
        <f t="shared" si="1"/>
        <v>8190.6720000000005</v>
      </c>
      <c r="M100" s="85"/>
      <c r="N100" s="246">
        <v>9120</v>
      </c>
    </row>
    <row r="101" spans="1:14" ht="23.1" customHeight="1">
      <c r="A101" s="81" t="s">
        <v>756</v>
      </c>
      <c r="B101" s="81" t="s">
        <v>903</v>
      </c>
      <c r="C101" s="82" t="s">
        <v>343</v>
      </c>
      <c r="D101" s="84">
        <v>31930</v>
      </c>
      <c r="E101" s="121" t="s">
        <v>1217</v>
      </c>
      <c r="F101" s="84">
        <v>40010</v>
      </c>
      <c r="G101" s="121" t="s">
        <v>1248</v>
      </c>
      <c r="H101" s="84">
        <v>51675</v>
      </c>
      <c r="I101" s="84"/>
      <c r="J101" s="84"/>
      <c r="K101" s="84"/>
      <c r="L101" s="249">
        <f t="shared" si="1"/>
        <v>28676.332999999999</v>
      </c>
      <c r="M101" s="85"/>
      <c r="N101" s="246">
        <v>31930</v>
      </c>
    </row>
    <row r="102" spans="1:14" ht="23.1" customHeight="1">
      <c r="A102" s="81" t="s">
        <v>756</v>
      </c>
      <c r="B102" s="81" t="s">
        <v>868</v>
      </c>
      <c r="C102" s="82" t="s">
        <v>343</v>
      </c>
      <c r="D102" s="84">
        <v>31930</v>
      </c>
      <c r="E102" s="121" t="s">
        <v>1217</v>
      </c>
      <c r="F102" s="84">
        <v>40010</v>
      </c>
      <c r="G102" s="121" t="s">
        <v>1248</v>
      </c>
      <c r="H102" s="84">
        <v>51675</v>
      </c>
      <c r="I102" s="84"/>
      <c r="J102" s="84"/>
      <c r="K102" s="84"/>
      <c r="L102" s="249">
        <f t="shared" si="1"/>
        <v>28676.332999999999</v>
      </c>
      <c r="M102" s="85"/>
      <c r="N102" s="246">
        <v>31930</v>
      </c>
    </row>
    <row r="103" spans="1:14" ht="23.1" customHeight="1">
      <c r="A103" s="81" t="s">
        <v>756</v>
      </c>
      <c r="B103" s="81" t="s">
        <v>766</v>
      </c>
      <c r="C103" s="82" t="s">
        <v>343</v>
      </c>
      <c r="D103" s="84"/>
      <c r="E103" s="84"/>
      <c r="F103" s="84">
        <v>15590</v>
      </c>
      <c r="G103" s="121" t="s">
        <v>1249</v>
      </c>
      <c r="H103" s="84">
        <v>16991</v>
      </c>
      <c r="I103" s="84"/>
      <c r="J103" s="84"/>
      <c r="K103" s="84"/>
      <c r="L103" s="249">
        <f t="shared" si="1"/>
        <v>14001.379000000001</v>
      </c>
      <c r="M103" s="85"/>
      <c r="N103" s="246">
        <v>15590</v>
      </c>
    </row>
    <row r="104" spans="1:14" ht="23.1" customHeight="1">
      <c r="A104" s="81" t="s">
        <v>756</v>
      </c>
      <c r="B104" s="81" t="s">
        <v>906</v>
      </c>
      <c r="C104" s="82" t="s">
        <v>343</v>
      </c>
      <c r="D104" s="84"/>
      <c r="E104" s="84"/>
      <c r="F104" s="84">
        <v>12300</v>
      </c>
      <c r="G104" s="121" t="s">
        <v>1249</v>
      </c>
      <c r="H104" s="84">
        <v>13416</v>
      </c>
      <c r="I104" s="84"/>
      <c r="J104" s="84"/>
      <c r="K104" s="84"/>
      <c r="L104" s="249">
        <f t="shared" si="1"/>
        <v>11046.630000000001</v>
      </c>
      <c r="M104" s="85"/>
      <c r="N104" s="246">
        <v>12300</v>
      </c>
    </row>
    <row r="105" spans="1:14" ht="23.1" customHeight="1">
      <c r="A105" s="81" t="s">
        <v>756</v>
      </c>
      <c r="B105" s="81" t="s">
        <v>765</v>
      </c>
      <c r="C105" s="82" t="s">
        <v>343</v>
      </c>
      <c r="D105" s="84"/>
      <c r="E105" s="84"/>
      <c r="F105" s="84">
        <v>19210</v>
      </c>
      <c r="G105" s="121" t="s">
        <v>1249</v>
      </c>
      <c r="H105" s="84">
        <v>20943</v>
      </c>
      <c r="I105" s="84"/>
      <c r="J105" s="84"/>
      <c r="K105" s="84"/>
      <c r="L105" s="249">
        <f t="shared" si="1"/>
        <v>17252.501</v>
      </c>
      <c r="M105" s="85"/>
      <c r="N105" s="246">
        <v>19210</v>
      </c>
    </row>
    <row r="106" spans="1:14" ht="23.1" customHeight="1">
      <c r="A106" s="81" t="s">
        <v>756</v>
      </c>
      <c r="B106" s="81" t="s">
        <v>762</v>
      </c>
      <c r="C106" s="82" t="s">
        <v>343</v>
      </c>
      <c r="D106" s="84">
        <v>26830</v>
      </c>
      <c r="E106" s="121" t="s">
        <v>1217</v>
      </c>
      <c r="F106" s="84">
        <v>33620</v>
      </c>
      <c r="G106" s="121" t="s">
        <v>1248</v>
      </c>
      <c r="H106" s="84">
        <v>39000</v>
      </c>
      <c r="I106" s="84"/>
      <c r="J106" s="84"/>
      <c r="K106" s="84"/>
      <c r="L106" s="249">
        <f t="shared" si="1"/>
        <v>24096.023000000001</v>
      </c>
      <c r="M106" s="85"/>
      <c r="N106" s="246">
        <v>26830</v>
      </c>
    </row>
    <row r="107" spans="1:14" ht="23.1" customHeight="1">
      <c r="A107" s="81" t="s">
        <v>756</v>
      </c>
      <c r="B107" s="81" t="s">
        <v>763</v>
      </c>
      <c r="C107" s="82" t="s">
        <v>343</v>
      </c>
      <c r="D107" s="84">
        <v>31930</v>
      </c>
      <c r="E107" s="121" t="s">
        <v>1217</v>
      </c>
      <c r="F107" s="84">
        <v>40010</v>
      </c>
      <c r="G107" s="121" t="s">
        <v>1248</v>
      </c>
      <c r="H107" s="84">
        <v>51675</v>
      </c>
      <c r="I107" s="84"/>
      <c r="J107" s="84"/>
      <c r="K107" s="84"/>
      <c r="L107" s="249">
        <f t="shared" si="1"/>
        <v>28676.332999999999</v>
      </c>
      <c r="M107" s="85"/>
      <c r="N107" s="246">
        <v>31930</v>
      </c>
    </row>
    <row r="108" spans="1:14" ht="23.1" customHeight="1">
      <c r="A108" s="81" t="s">
        <v>756</v>
      </c>
      <c r="B108" s="81" t="s">
        <v>757</v>
      </c>
      <c r="C108" s="82" t="s">
        <v>343</v>
      </c>
      <c r="D108" s="84">
        <v>1170</v>
      </c>
      <c r="E108" s="121" t="s">
        <v>1217</v>
      </c>
      <c r="F108" s="84">
        <v>1490</v>
      </c>
      <c r="G108" s="121" t="s">
        <v>1248</v>
      </c>
      <c r="H108" s="84">
        <v>1619</v>
      </c>
      <c r="I108" s="84"/>
      <c r="J108" s="84"/>
      <c r="K108" s="84"/>
      <c r="L108" s="249">
        <f t="shared" si="1"/>
        <v>1050.777</v>
      </c>
      <c r="M108" s="85"/>
      <c r="N108" s="246">
        <v>1170</v>
      </c>
    </row>
    <row r="109" spans="1:14" ht="23.1" customHeight="1">
      <c r="A109" s="81" t="s">
        <v>756</v>
      </c>
      <c r="B109" s="81" t="s">
        <v>764</v>
      </c>
      <c r="C109" s="82" t="s">
        <v>343</v>
      </c>
      <c r="D109" s="84"/>
      <c r="E109" s="84"/>
      <c r="F109" s="84">
        <v>2530</v>
      </c>
      <c r="G109" s="121" t="s">
        <v>1249</v>
      </c>
      <c r="H109" s="84">
        <v>2763</v>
      </c>
      <c r="I109" s="84"/>
      <c r="J109" s="84"/>
      <c r="K109" s="84"/>
      <c r="L109" s="249">
        <f t="shared" si="1"/>
        <v>2272.1930000000002</v>
      </c>
      <c r="M109" s="85"/>
      <c r="N109" s="246">
        <v>2530</v>
      </c>
    </row>
    <row r="110" spans="1:14" ht="23.1" customHeight="1">
      <c r="A110" s="81" t="s">
        <v>756</v>
      </c>
      <c r="B110" s="81" t="s">
        <v>758</v>
      </c>
      <c r="C110" s="82" t="s">
        <v>343</v>
      </c>
      <c r="D110" s="84">
        <v>3080</v>
      </c>
      <c r="E110" s="121" t="s">
        <v>1217</v>
      </c>
      <c r="F110" s="84">
        <v>3870</v>
      </c>
      <c r="G110" s="121" t="s">
        <v>1248</v>
      </c>
      <c r="H110" s="84">
        <v>4615</v>
      </c>
      <c r="I110" s="84"/>
      <c r="J110" s="84"/>
      <c r="K110" s="84"/>
      <c r="L110" s="249">
        <f t="shared" si="1"/>
        <v>2766.1480000000001</v>
      </c>
      <c r="M110" s="85"/>
      <c r="N110" s="246">
        <v>3080</v>
      </c>
    </row>
    <row r="111" spans="1:14" ht="23.1" customHeight="1">
      <c r="A111" s="81" t="s">
        <v>756</v>
      </c>
      <c r="B111" s="81" t="s">
        <v>759</v>
      </c>
      <c r="C111" s="82" t="s">
        <v>343</v>
      </c>
      <c r="D111" s="84">
        <v>4660</v>
      </c>
      <c r="E111" s="121" t="s">
        <v>1217</v>
      </c>
      <c r="F111" s="84">
        <v>5830</v>
      </c>
      <c r="G111" s="121" t="s">
        <v>1248</v>
      </c>
      <c r="H111" s="84">
        <v>6825</v>
      </c>
      <c r="I111" s="84"/>
      <c r="J111" s="84"/>
      <c r="K111" s="84"/>
      <c r="L111" s="249">
        <f t="shared" si="1"/>
        <v>4185.1459999999997</v>
      </c>
      <c r="M111" s="85"/>
      <c r="N111" s="246">
        <v>4660</v>
      </c>
    </row>
    <row r="112" spans="1:14" ht="23.1" customHeight="1">
      <c r="A112" s="81" t="s">
        <v>756</v>
      </c>
      <c r="B112" s="81" t="s">
        <v>867</v>
      </c>
      <c r="C112" s="82" t="s">
        <v>343</v>
      </c>
      <c r="D112" s="84">
        <v>7930</v>
      </c>
      <c r="E112" s="121" t="s">
        <v>1217</v>
      </c>
      <c r="F112" s="84">
        <v>9940</v>
      </c>
      <c r="G112" s="121" t="s">
        <v>1248</v>
      </c>
      <c r="H112" s="84">
        <v>11700</v>
      </c>
      <c r="I112" s="84"/>
      <c r="J112" s="84"/>
      <c r="K112" s="84"/>
      <c r="L112" s="249">
        <f t="shared" si="1"/>
        <v>7121.933</v>
      </c>
      <c r="M112" s="85"/>
      <c r="N112" s="246">
        <v>7930</v>
      </c>
    </row>
    <row r="113" spans="1:14" ht="23.1" customHeight="1">
      <c r="A113" s="81" t="s">
        <v>756</v>
      </c>
      <c r="B113" s="81" t="s">
        <v>869</v>
      </c>
      <c r="C113" s="82" t="s">
        <v>343</v>
      </c>
      <c r="D113" s="84"/>
      <c r="E113" s="84"/>
      <c r="F113" s="84">
        <v>3440</v>
      </c>
      <c r="G113" s="121" t="s">
        <v>1249</v>
      </c>
      <c r="H113" s="84">
        <v>3757</v>
      </c>
      <c r="I113" s="84"/>
      <c r="J113" s="84"/>
      <c r="K113" s="84"/>
      <c r="L113" s="249">
        <f t="shared" si="1"/>
        <v>3089.4639999999999</v>
      </c>
      <c r="M113" s="85"/>
      <c r="N113" s="246">
        <v>3440</v>
      </c>
    </row>
    <row r="114" spans="1:14" ht="23.1" customHeight="1">
      <c r="A114" s="81" t="s">
        <v>756</v>
      </c>
      <c r="B114" s="81" t="s">
        <v>899</v>
      </c>
      <c r="C114" s="82" t="s">
        <v>343</v>
      </c>
      <c r="D114" s="84">
        <v>9540</v>
      </c>
      <c r="E114" s="121" t="s">
        <v>1217</v>
      </c>
      <c r="F114" s="84">
        <v>11960</v>
      </c>
      <c r="G114" s="121" t="s">
        <v>1248</v>
      </c>
      <c r="H114" s="84">
        <v>13650</v>
      </c>
      <c r="I114" s="84"/>
      <c r="J114" s="84"/>
      <c r="K114" s="84"/>
      <c r="L114" s="249">
        <f t="shared" si="1"/>
        <v>8567.8739999999998</v>
      </c>
      <c r="M114" s="85"/>
      <c r="N114" s="246">
        <v>9540</v>
      </c>
    </row>
    <row r="115" spans="1:14" ht="23.1" customHeight="1">
      <c r="A115" s="81" t="s">
        <v>756</v>
      </c>
      <c r="B115" s="81" t="s">
        <v>870</v>
      </c>
      <c r="C115" s="82" t="s">
        <v>343</v>
      </c>
      <c r="D115" s="84"/>
      <c r="E115" s="84"/>
      <c r="F115" s="84">
        <v>3820</v>
      </c>
      <c r="G115" s="121" t="s">
        <v>1249</v>
      </c>
      <c r="H115" s="84">
        <v>4173</v>
      </c>
      <c r="I115" s="84"/>
      <c r="J115" s="84"/>
      <c r="K115" s="84"/>
      <c r="L115" s="249">
        <f t="shared" si="1"/>
        <v>3430.7420000000002</v>
      </c>
      <c r="M115" s="85"/>
      <c r="N115" s="246">
        <v>3820</v>
      </c>
    </row>
    <row r="116" spans="1:14" ht="23.1" customHeight="1">
      <c r="A116" s="81" t="s">
        <v>720</v>
      </c>
      <c r="B116" s="81" t="s">
        <v>721</v>
      </c>
      <c r="C116" s="82" t="s">
        <v>722</v>
      </c>
      <c r="D116" s="84"/>
      <c r="E116" s="84"/>
      <c r="F116" s="84"/>
      <c r="G116" s="84"/>
      <c r="H116" s="84"/>
      <c r="I116" s="84">
        <v>421920</v>
      </c>
      <c r="J116" s="84"/>
      <c r="K116" s="84"/>
      <c r="L116" s="249">
        <f t="shared" si="1"/>
        <v>378926.35200000001</v>
      </c>
      <c r="M116" s="85"/>
      <c r="N116" s="246">
        <v>421920</v>
      </c>
    </row>
    <row r="117" spans="1:14" ht="23.1" customHeight="1">
      <c r="A117" s="81" t="s">
        <v>1178</v>
      </c>
      <c r="B117" s="81" t="s">
        <v>1179</v>
      </c>
      <c r="C117" s="82" t="s">
        <v>1108</v>
      </c>
      <c r="D117" s="84">
        <v>5493</v>
      </c>
      <c r="E117" s="121" t="s">
        <v>1250</v>
      </c>
      <c r="F117" s="84">
        <v>7455</v>
      </c>
      <c r="G117" s="121" t="s">
        <v>1230</v>
      </c>
      <c r="H117" s="84">
        <v>6066</v>
      </c>
      <c r="I117" s="84"/>
      <c r="J117" s="84"/>
      <c r="K117" s="84"/>
      <c r="L117" s="249">
        <f t="shared" si="1"/>
        <v>4933.2632999999996</v>
      </c>
      <c r="M117" s="85"/>
      <c r="N117" s="246">
        <v>5493</v>
      </c>
    </row>
    <row r="118" spans="1:14" ht="23.1" customHeight="1">
      <c r="A118" s="81" t="s">
        <v>1151</v>
      </c>
      <c r="B118" s="81" t="s">
        <v>1170</v>
      </c>
      <c r="C118" s="82" t="s">
        <v>343</v>
      </c>
      <c r="D118" s="84">
        <v>2420</v>
      </c>
      <c r="E118" s="121" t="s">
        <v>1217</v>
      </c>
      <c r="F118" s="84">
        <v>2840</v>
      </c>
      <c r="G118" s="121" t="s">
        <v>1227</v>
      </c>
      <c r="H118" s="84">
        <v>2990</v>
      </c>
      <c r="I118" s="84"/>
      <c r="J118" s="84"/>
      <c r="K118" s="84"/>
      <c r="L118" s="249">
        <f t="shared" si="1"/>
        <v>2173.402</v>
      </c>
      <c r="M118" s="85"/>
      <c r="N118" s="246">
        <v>2420</v>
      </c>
    </row>
    <row r="119" spans="1:14" ht="23.1" customHeight="1">
      <c r="A119" s="81" t="s">
        <v>1151</v>
      </c>
      <c r="B119" s="81" t="s">
        <v>1174</v>
      </c>
      <c r="C119" s="82" t="s">
        <v>343</v>
      </c>
      <c r="D119" s="84">
        <v>2790</v>
      </c>
      <c r="E119" s="121" t="s">
        <v>1217</v>
      </c>
      <c r="F119" s="84">
        <v>3300</v>
      </c>
      <c r="G119" s="121" t="s">
        <v>1227</v>
      </c>
      <c r="H119" s="84">
        <v>3470</v>
      </c>
      <c r="I119" s="84"/>
      <c r="J119" s="84"/>
      <c r="K119" s="84"/>
      <c r="L119" s="249">
        <f t="shared" si="1"/>
        <v>2505.6990000000001</v>
      </c>
      <c r="M119" s="85"/>
      <c r="N119" s="246">
        <v>2790</v>
      </c>
    </row>
    <row r="120" spans="1:14" ht="23.1" customHeight="1">
      <c r="A120" s="81" t="s">
        <v>1151</v>
      </c>
      <c r="B120" s="81" t="s">
        <v>1176</v>
      </c>
      <c r="C120" s="82" t="s">
        <v>343</v>
      </c>
      <c r="D120" s="84">
        <v>4490</v>
      </c>
      <c r="E120" s="121" t="s">
        <v>1217</v>
      </c>
      <c r="F120" s="84">
        <v>5280</v>
      </c>
      <c r="G120" s="121" t="s">
        <v>1227</v>
      </c>
      <c r="H120" s="84">
        <v>5540</v>
      </c>
      <c r="I120" s="84"/>
      <c r="J120" s="84"/>
      <c r="K120" s="84"/>
      <c r="L120" s="249">
        <f t="shared" si="1"/>
        <v>4032.4690000000001</v>
      </c>
      <c r="M120" s="85"/>
      <c r="N120" s="246">
        <v>4490</v>
      </c>
    </row>
    <row r="121" spans="1:14" ht="23.1" customHeight="1">
      <c r="A121" s="81" t="s">
        <v>1151</v>
      </c>
      <c r="B121" s="81" t="s">
        <v>1152</v>
      </c>
      <c r="C121" s="82" t="s">
        <v>343</v>
      </c>
      <c r="D121" s="84">
        <v>570</v>
      </c>
      <c r="E121" s="121" t="s">
        <v>1217</v>
      </c>
      <c r="F121" s="84">
        <v>660</v>
      </c>
      <c r="G121" s="121" t="s">
        <v>1227</v>
      </c>
      <c r="H121" s="84">
        <v>710</v>
      </c>
      <c r="I121" s="84"/>
      <c r="J121" s="84"/>
      <c r="K121" s="84"/>
      <c r="L121" s="249">
        <f t="shared" si="1"/>
        <v>511.91700000000003</v>
      </c>
      <c r="M121" s="85"/>
      <c r="N121" s="246">
        <v>570</v>
      </c>
    </row>
    <row r="122" spans="1:14" ht="23.1" customHeight="1">
      <c r="A122" s="81" t="s">
        <v>1151</v>
      </c>
      <c r="B122" s="81" t="s">
        <v>1158</v>
      </c>
      <c r="C122" s="82" t="s">
        <v>343</v>
      </c>
      <c r="D122" s="84">
        <v>670</v>
      </c>
      <c r="E122" s="121" t="s">
        <v>1217</v>
      </c>
      <c r="F122" s="84">
        <v>790</v>
      </c>
      <c r="G122" s="121" t="s">
        <v>1227</v>
      </c>
      <c r="H122" s="84">
        <v>850</v>
      </c>
      <c r="I122" s="84"/>
      <c r="J122" s="84"/>
      <c r="K122" s="84"/>
      <c r="L122" s="249">
        <f t="shared" si="1"/>
        <v>601.72699999999998</v>
      </c>
      <c r="M122" s="85"/>
      <c r="N122" s="246">
        <v>670</v>
      </c>
    </row>
    <row r="123" spans="1:14" ht="23.1" customHeight="1">
      <c r="A123" s="81" t="s">
        <v>1151</v>
      </c>
      <c r="B123" s="81" t="s">
        <v>1160</v>
      </c>
      <c r="C123" s="82" t="s">
        <v>343</v>
      </c>
      <c r="D123" s="84">
        <v>790</v>
      </c>
      <c r="E123" s="121" t="s">
        <v>1217</v>
      </c>
      <c r="F123" s="84">
        <v>920</v>
      </c>
      <c r="G123" s="121" t="s">
        <v>1227</v>
      </c>
      <c r="H123" s="84">
        <v>970</v>
      </c>
      <c r="I123" s="84"/>
      <c r="J123" s="84"/>
      <c r="K123" s="84"/>
      <c r="L123" s="249">
        <f t="shared" si="1"/>
        <v>709.49900000000002</v>
      </c>
      <c r="M123" s="85"/>
      <c r="N123" s="246">
        <v>790</v>
      </c>
    </row>
    <row r="124" spans="1:14" ht="23.1" customHeight="1">
      <c r="A124" s="81" t="s">
        <v>1151</v>
      </c>
      <c r="B124" s="81" t="s">
        <v>1162</v>
      </c>
      <c r="C124" s="82" t="s">
        <v>343</v>
      </c>
      <c r="D124" s="84">
        <v>850</v>
      </c>
      <c r="E124" s="121" t="s">
        <v>1217</v>
      </c>
      <c r="F124" s="84">
        <v>990</v>
      </c>
      <c r="G124" s="121" t="s">
        <v>1227</v>
      </c>
      <c r="H124" s="84">
        <v>1060</v>
      </c>
      <c r="I124" s="84"/>
      <c r="J124" s="84"/>
      <c r="K124" s="84"/>
      <c r="L124" s="249">
        <f t="shared" si="1"/>
        <v>763.38499999999999</v>
      </c>
      <c r="M124" s="85"/>
      <c r="N124" s="246">
        <v>850</v>
      </c>
    </row>
    <row r="125" spans="1:14" ht="23.1" customHeight="1">
      <c r="A125" s="81" t="s">
        <v>1151</v>
      </c>
      <c r="B125" s="81" t="s">
        <v>1164</v>
      </c>
      <c r="C125" s="82" t="s">
        <v>343</v>
      </c>
      <c r="D125" s="84">
        <v>1120</v>
      </c>
      <c r="E125" s="121" t="s">
        <v>1217</v>
      </c>
      <c r="F125" s="84">
        <v>1320</v>
      </c>
      <c r="G125" s="121" t="s">
        <v>1227</v>
      </c>
      <c r="H125" s="84">
        <v>1400</v>
      </c>
      <c r="I125" s="84"/>
      <c r="J125" s="84"/>
      <c r="K125" s="84"/>
      <c r="L125" s="249">
        <f t="shared" si="1"/>
        <v>1005.872</v>
      </c>
      <c r="M125" s="85"/>
      <c r="N125" s="246">
        <v>1120</v>
      </c>
    </row>
    <row r="126" spans="1:14" ht="23.1" customHeight="1">
      <c r="A126" s="81" t="s">
        <v>1151</v>
      </c>
      <c r="B126" s="81" t="s">
        <v>1166</v>
      </c>
      <c r="C126" s="82" t="s">
        <v>343</v>
      </c>
      <c r="D126" s="84">
        <v>1340</v>
      </c>
      <c r="E126" s="121" t="s">
        <v>1217</v>
      </c>
      <c r="F126" s="84">
        <v>1580</v>
      </c>
      <c r="G126" s="121" t="s">
        <v>1227</v>
      </c>
      <c r="H126" s="84">
        <v>1660</v>
      </c>
      <c r="I126" s="84"/>
      <c r="J126" s="84"/>
      <c r="K126" s="84"/>
      <c r="L126" s="249">
        <f t="shared" si="1"/>
        <v>1203.454</v>
      </c>
      <c r="M126" s="85"/>
      <c r="N126" s="246">
        <v>1340</v>
      </c>
    </row>
    <row r="127" spans="1:14" ht="23.1" customHeight="1">
      <c r="A127" s="81" t="s">
        <v>1151</v>
      </c>
      <c r="B127" s="81" t="s">
        <v>1168</v>
      </c>
      <c r="C127" s="82" t="s">
        <v>343</v>
      </c>
      <c r="D127" s="84">
        <v>2040</v>
      </c>
      <c r="E127" s="121" t="s">
        <v>1217</v>
      </c>
      <c r="F127" s="84">
        <v>2380</v>
      </c>
      <c r="G127" s="121" t="s">
        <v>1227</v>
      </c>
      <c r="H127" s="84">
        <v>2510</v>
      </c>
      <c r="I127" s="84"/>
      <c r="J127" s="84"/>
      <c r="K127" s="84"/>
      <c r="L127" s="249">
        <f t="shared" si="1"/>
        <v>1832.124</v>
      </c>
      <c r="M127" s="85"/>
      <c r="N127" s="246">
        <v>2040</v>
      </c>
    </row>
    <row r="128" spans="1:14" ht="23.1" customHeight="1">
      <c r="A128" s="81" t="s">
        <v>723</v>
      </c>
      <c r="B128" s="81" t="s">
        <v>726</v>
      </c>
      <c r="C128" s="82" t="s">
        <v>725</v>
      </c>
      <c r="D128" s="84"/>
      <c r="E128" s="84"/>
      <c r="F128" s="84"/>
      <c r="G128" s="84"/>
      <c r="H128" s="84"/>
      <c r="I128" s="84">
        <v>1900000</v>
      </c>
      <c r="J128" s="84"/>
      <c r="K128" s="84"/>
      <c r="L128" s="249">
        <f t="shared" si="1"/>
        <v>1706390</v>
      </c>
      <c r="M128" s="85"/>
      <c r="N128" s="246">
        <v>1900000</v>
      </c>
    </row>
    <row r="129" spans="1:14" ht="23.1" customHeight="1">
      <c r="A129" s="81" t="s">
        <v>723</v>
      </c>
      <c r="B129" s="81" t="s">
        <v>724</v>
      </c>
      <c r="C129" s="82" t="s">
        <v>725</v>
      </c>
      <c r="D129" s="84"/>
      <c r="E129" s="84"/>
      <c r="F129" s="84">
        <v>806000</v>
      </c>
      <c r="G129" s="121" t="s">
        <v>1251</v>
      </c>
      <c r="H129" s="84">
        <v>806000</v>
      </c>
      <c r="I129" s="84"/>
      <c r="J129" s="84"/>
      <c r="K129" s="84"/>
      <c r="L129" s="249">
        <f t="shared" si="1"/>
        <v>723868.6</v>
      </c>
      <c r="M129" s="85"/>
      <c r="N129" s="246">
        <v>806000</v>
      </c>
    </row>
    <row r="130" spans="1:14" ht="23.1" customHeight="1">
      <c r="A130" s="81" t="s">
        <v>790</v>
      </c>
      <c r="B130" s="81" t="s">
        <v>792</v>
      </c>
      <c r="C130" s="82" t="s">
        <v>343</v>
      </c>
      <c r="D130" s="84">
        <v>226260</v>
      </c>
      <c r="E130" s="121" t="s">
        <v>1217</v>
      </c>
      <c r="F130" s="84">
        <v>244000</v>
      </c>
      <c r="G130" s="121" t="s">
        <v>1218</v>
      </c>
      <c r="H130" s="84">
        <v>229630</v>
      </c>
      <c r="I130" s="84"/>
      <c r="J130" s="84"/>
      <c r="K130" s="84"/>
      <c r="L130" s="249">
        <f t="shared" si="1"/>
        <v>203204.106</v>
      </c>
      <c r="M130" s="85"/>
      <c r="N130" s="246">
        <v>226260</v>
      </c>
    </row>
    <row r="131" spans="1:14" ht="23.1" customHeight="1">
      <c r="A131" s="81" t="s">
        <v>790</v>
      </c>
      <c r="B131" s="81" t="s">
        <v>793</v>
      </c>
      <c r="C131" s="82" t="s">
        <v>343</v>
      </c>
      <c r="D131" s="84">
        <v>11120</v>
      </c>
      <c r="E131" s="121" t="s">
        <v>1217</v>
      </c>
      <c r="F131" s="84">
        <v>11350</v>
      </c>
      <c r="G131" s="121" t="s">
        <v>1219</v>
      </c>
      <c r="H131" s="84">
        <v>14180</v>
      </c>
      <c r="I131" s="84"/>
      <c r="J131" s="84"/>
      <c r="K131" s="84"/>
      <c r="L131" s="249">
        <f t="shared" si="1"/>
        <v>9986.8719999999994</v>
      </c>
      <c r="M131" s="85"/>
      <c r="N131" s="246">
        <v>11120</v>
      </c>
    </row>
    <row r="132" spans="1:14" ht="23.1" customHeight="1">
      <c r="A132" s="81" t="s">
        <v>790</v>
      </c>
      <c r="B132" s="81" t="s">
        <v>791</v>
      </c>
      <c r="C132" s="82" t="s">
        <v>343</v>
      </c>
      <c r="D132" s="84">
        <v>51650</v>
      </c>
      <c r="E132" s="121" t="s">
        <v>1217</v>
      </c>
      <c r="F132" s="84">
        <v>59800</v>
      </c>
      <c r="G132" s="121" t="s">
        <v>1218</v>
      </c>
      <c r="H132" s="84">
        <v>56300</v>
      </c>
      <c r="I132" s="84"/>
      <c r="J132" s="84"/>
      <c r="K132" s="84"/>
      <c r="L132" s="249">
        <f t="shared" si="1"/>
        <v>46386.864999999998</v>
      </c>
      <c r="M132" s="85"/>
      <c r="N132" s="246">
        <v>51650</v>
      </c>
    </row>
    <row r="133" spans="1:14" ht="23.1" customHeight="1">
      <c r="A133" s="81" t="s">
        <v>1128</v>
      </c>
      <c r="B133" s="81" t="s">
        <v>1139</v>
      </c>
      <c r="C133" s="82" t="s">
        <v>343</v>
      </c>
      <c r="D133" s="84"/>
      <c r="E133" s="84"/>
      <c r="F133" s="84"/>
      <c r="G133" s="84"/>
      <c r="H133" s="84"/>
      <c r="I133" s="84">
        <v>2513</v>
      </c>
      <c r="J133" s="84"/>
      <c r="K133" s="84"/>
      <c r="L133" s="249">
        <f t="shared" si="1"/>
        <v>2256.9252999999999</v>
      </c>
      <c r="M133" s="85"/>
      <c r="N133" s="246">
        <v>2513</v>
      </c>
    </row>
    <row r="134" spans="1:14" ht="23.1" customHeight="1">
      <c r="A134" s="81" t="s">
        <v>1128</v>
      </c>
      <c r="B134" s="81" t="s">
        <v>1144</v>
      </c>
      <c r="C134" s="82" t="s">
        <v>343</v>
      </c>
      <c r="D134" s="84"/>
      <c r="E134" s="84"/>
      <c r="F134" s="84"/>
      <c r="G134" s="84"/>
      <c r="H134" s="84"/>
      <c r="I134" s="84">
        <v>4071</v>
      </c>
      <c r="J134" s="84"/>
      <c r="K134" s="84"/>
      <c r="L134" s="249">
        <f t="shared" ref="L134:L171" si="2">N134*$N$4</f>
        <v>3656.1651000000002</v>
      </c>
      <c r="M134" s="85"/>
      <c r="N134" s="246">
        <v>4071</v>
      </c>
    </row>
    <row r="135" spans="1:14" ht="23.1" customHeight="1">
      <c r="A135" s="81" t="s">
        <v>1128</v>
      </c>
      <c r="B135" s="81" t="s">
        <v>1129</v>
      </c>
      <c r="C135" s="82" t="s">
        <v>343</v>
      </c>
      <c r="D135" s="84"/>
      <c r="E135" s="84"/>
      <c r="F135" s="84"/>
      <c r="G135" s="84"/>
      <c r="H135" s="84"/>
      <c r="I135" s="84">
        <v>541</v>
      </c>
      <c r="J135" s="84"/>
      <c r="K135" s="84"/>
      <c r="L135" s="249">
        <f t="shared" si="2"/>
        <v>485.87209999999999</v>
      </c>
      <c r="M135" s="85"/>
      <c r="N135" s="246">
        <v>541</v>
      </c>
    </row>
    <row r="136" spans="1:14" ht="23.1" customHeight="1">
      <c r="A136" s="81" t="s">
        <v>1128</v>
      </c>
      <c r="B136" s="81" t="s">
        <v>1132</v>
      </c>
      <c r="C136" s="82" t="s">
        <v>343</v>
      </c>
      <c r="D136" s="84"/>
      <c r="E136" s="84"/>
      <c r="F136" s="84"/>
      <c r="G136" s="84"/>
      <c r="H136" s="84"/>
      <c r="I136" s="84">
        <v>736</v>
      </c>
      <c r="J136" s="84"/>
      <c r="K136" s="84"/>
      <c r="L136" s="249">
        <f t="shared" si="2"/>
        <v>661.00160000000005</v>
      </c>
      <c r="M136" s="85"/>
      <c r="N136" s="246">
        <v>736</v>
      </c>
    </row>
    <row r="137" spans="1:14" ht="23.1" customHeight="1">
      <c r="A137" s="81" t="s">
        <v>1128</v>
      </c>
      <c r="B137" s="81" t="s">
        <v>1136</v>
      </c>
      <c r="C137" s="82" t="s">
        <v>343</v>
      </c>
      <c r="D137" s="84"/>
      <c r="E137" s="84"/>
      <c r="F137" s="84"/>
      <c r="G137" s="84"/>
      <c r="H137" s="84"/>
      <c r="I137" s="84">
        <v>1522</v>
      </c>
      <c r="J137" s="84"/>
      <c r="K137" s="84"/>
      <c r="L137" s="249">
        <f t="shared" si="2"/>
        <v>1366.9082000000001</v>
      </c>
      <c r="M137" s="85"/>
      <c r="N137" s="246">
        <v>1522</v>
      </c>
    </row>
    <row r="138" spans="1:14" ht="23.1" customHeight="1">
      <c r="A138" s="81" t="s">
        <v>1126</v>
      </c>
      <c r="B138" s="81" t="s">
        <v>1127</v>
      </c>
      <c r="C138" s="82" t="s">
        <v>343</v>
      </c>
      <c r="D138" s="84"/>
      <c r="E138" s="84"/>
      <c r="F138" s="84">
        <v>40.6</v>
      </c>
      <c r="G138" s="121" t="s">
        <v>1252</v>
      </c>
      <c r="H138" s="84">
        <v>41.2</v>
      </c>
      <c r="I138" s="84"/>
      <c r="J138" s="84"/>
      <c r="K138" s="84"/>
      <c r="L138" s="249">
        <f t="shared" si="2"/>
        <v>36.462859999999999</v>
      </c>
      <c r="M138" s="85"/>
      <c r="N138" s="246">
        <v>40.6</v>
      </c>
    </row>
    <row r="139" spans="1:14" ht="23.1" customHeight="1">
      <c r="A139" s="81" t="s">
        <v>1126</v>
      </c>
      <c r="B139" s="81" t="s">
        <v>1143</v>
      </c>
      <c r="C139" s="82" t="s">
        <v>343</v>
      </c>
      <c r="D139" s="84"/>
      <c r="E139" s="84"/>
      <c r="F139" s="84">
        <v>55.84</v>
      </c>
      <c r="G139" s="121" t="s">
        <v>1252</v>
      </c>
      <c r="H139" s="84">
        <v>59.5</v>
      </c>
      <c r="I139" s="84"/>
      <c r="J139" s="84"/>
      <c r="K139" s="84"/>
      <c r="L139" s="249">
        <f t="shared" si="2"/>
        <v>50.149904000000006</v>
      </c>
      <c r="M139" s="85"/>
      <c r="N139" s="246">
        <v>55.84</v>
      </c>
    </row>
    <row r="140" spans="1:14" ht="23.1" customHeight="1">
      <c r="A140" s="81" t="s">
        <v>824</v>
      </c>
      <c r="B140" s="81" t="s">
        <v>826</v>
      </c>
      <c r="C140" s="82" t="s">
        <v>343</v>
      </c>
      <c r="D140" s="84"/>
      <c r="E140" s="84"/>
      <c r="F140" s="84">
        <v>1250000</v>
      </c>
      <c r="G140" s="121" t="s">
        <v>1253</v>
      </c>
      <c r="H140" s="84"/>
      <c r="I140" s="84"/>
      <c r="J140" s="84"/>
      <c r="K140" s="84"/>
      <c r="L140" s="249">
        <f t="shared" si="2"/>
        <v>1122625</v>
      </c>
      <c r="M140" s="85"/>
      <c r="N140" s="246">
        <v>1250000</v>
      </c>
    </row>
    <row r="141" spans="1:14" ht="23.1" customHeight="1">
      <c r="A141" s="81" t="s">
        <v>824</v>
      </c>
      <c r="B141" s="81" t="s">
        <v>825</v>
      </c>
      <c r="C141" s="82" t="s">
        <v>343</v>
      </c>
      <c r="D141" s="84"/>
      <c r="E141" s="84"/>
      <c r="F141" s="84">
        <v>280000</v>
      </c>
      <c r="G141" s="121" t="s">
        <v>1253</v>
      </c>
      <c r="H141" s="84"/>
      <c r="I141" s="84"/>
      <c r="J141" s="84"/>
      <c r="K141" s="84"/>
      <c r="L141" s="249">
        <f t="shared" si="2"/>
        <v>251468</v>
      </c>
      <c r="M141" s="85"/>
      <c r="N141" s="246">
        <v>280000</v>
      </c>
    </row>
    <row r="142" spans="1:14" ht="23.1" customHeight="1">
      <c r="A142" s="81" t="s">
        <v>1122</v>
      </c>
      <c r="B142" s="81" t="s">
        <v>1199</v>
      </c>
      <c r="C142" s="82" t="s">
        <v>343</v>
      </c>
      <c r="D142" s="84"/>
      <c r="E142" s="84"/>
      <c r="F142" s="84">
        <v>28610</v>
      </c>
      <c r="G142" s="121" t="s">
        <v>1254</v>
      </c>
      <c r="H142" s="84">
        <v>41580</v>
      </c>
      <c r="I142" s="84"/>
      <c r="J142" s="84"/>
      <c r="K142" s="84"/>
      <c r="L142" s="249">
        <f t="shared" si="2"/>
        <v>25694.641</v>
      </c>
      <c r="M142" s="85"/>
      <c r="N142" s="246">
        <v>28610</v>
      </c>
    </row>
    <row r="143" spans="1:14" ht="23.1" customHeight="1">
      <c r="A143" s="81" t="s">
        <v>1122</v>
      </c>
      <c r="B143" s="81" t="s">
        <v>1186</v>
      </c>
      <c r="C143" s="82" t="s">
        <v>343</v>
      </c>
      <c r="D143" s="84"/>
      <c r="E143" s="84"/>
      <c r="F143" s="84">
        <v>8580</v>
      </c>
      <c r="G143" s="121" t="s">
        <v>1254</v>
      </c>
      <c r="H143" s="84">
        <v>13290</v>
      </c>
      <c r="I143" s="84"/>
      <c r="J143" s="84"/>
      <c r="K143" s="84"/>
      <c r="L143" s="249">
        <f t="shared" si="2"/>
        <v>7705.6980000000003</v>
      </c>
      <c r="M143" s="85"/>
      <c r="N143" s="246">
        <v>8580</v>
      </c>
    </row>
    <row r="144" spans="1:14" ht="23.1" customHeight="1">
      <c r="A144" s="81" t="s">
        <v>1122</v>
      </c>
      <c r="B144" s="81" t="s">
        <v>1195</v>
      </c>
      <c r="C144" s="82" t="s">
        <v>343</v>
      </c>
      <c r="D144" s="84"/>
      <c r="E144" s="84"/>
      <c r="F144" s="84">
        <v>12560</v>
      </c>
      <c r="G144" s="121" t="s">
        <v>1254</v>
      </c>
      <c r="H144" s="84">
        <v>20880</v>
      </c>
      <c r="I144" s="84"/>
      <c r="J144" s="84"/>
      <c r="K144" s="84"/>
      <c r="L144" s="249">
        <f t="shared" si="2"/>
        <v>11280.136</v>
      </c>
      <c r="M144" s="85"/>
      <c r="N144" s="246">
        <v>12560</v>
      </c>
    </row>
    <row r="145" spans="1:14" ht="23.1" customHeight="1">
      <c r="A145" s="81" t="s">
        <v>1122</v>
      </c>
      <c r="B145" s="81" t="s">
        <v>1138</v>
      </c>
      <c r="C145" s="82" t="s">
        <v>343</v>
      </c>
      <c r="D145" s="84">
        <v>6600</v>
      </c>
      <c r="E145" s="121" t="s">
        <v>1217</v>
      </c>
      <c r="F145" s="84">
        <v>14070</v>
      </c>
      <c r="G145" s="121" t="s">
        <v>1255</v>
      </c>
      <c r="H145" s="84"/>
      <c r="I145" s="84"/>
      <c r="J145" s="84"/>
      <c r="K145" s="84"/>
      <c r="L145" s="249">
        <f t="shared" si="2"/>
        <v>5927.46</v>
      </c>
      <c r="M145" s="85"/>
      <c r="N145" s="246">
        <v>6600</v>
      </c>
    </row>
    <row r="146" spans="1:14" ht="23.1" customHeight="1">
      <c r="A146" s="81" t="s">
        <v>1122</v>
      </c>
      <c r="B146" s="81" t="s">
        <v>1141</v>
      </c>
      <c r="C146" s="82" t="s">
        <v>343</v>
      </c>
      <c r="D146" s="84">
        <v>13390</v>
      </c>
      <c r="E146" s="121" t="s">
        <v>1217</v>
      </c>
      <c r="F146" s="84">
        <v>28610</v>
      </c>
      <c r="G146" s="121" t="s">
        <v>1255</v>
      </c>
      <c r="H146" s="84"/>
      <c r="I146" s="84"/>
      <c r="J146" s="84"/>
      <c r="K146" s="84"/>
      <c r="L146" s="249">
        <f t="shared" si="2"/>
        <v>12025.558999999999</v>
      </c>
      <c r="M146" s="85"/>
      <c r="N146" s="246">
        <v>13390</v>
      </c>
    </row>
    <row r="147" spans="1:14" ht="23.1" customHeight="1">
      <c r="A147" s="81" t="s">
        <v>1122</v>
      </c>
      <c r="B147" s="81" t="s">
        <v>1123</v>
      </c>
      <c r="C147" s="82" t="s">
        <v>343</v>
      </c>
      <c r="D147" s="84">
        <v>3330</v>
      </c>
      <c r="E147" s="121" t="s">
        <v>1217</v>
      </c>
      <c r="F147" s="84">
        <v>7160</v>
      </c>
      <c r="G147" s="121" t="s">
        <v>1255</v>
      </c>
      <c r="H147" s="84"/>
      <c r="I147" s="84"/>
      <c r="J147" s="84"/>
      <c r="K147" s="84"/>
      <c r="L147" s="249">
        <f t="shared" si="2"/>
        <v>2990.6730000000002</v>
      </c>
      <c r="M147" s="85"/>
      <c r="N147" s="246">
        <v>3330</v>
      </c>
    </row>
    <row r="148" spans="1:14" ht="23.1" customHeight="1">
      <c r="A148" s="81" t="s">
        <v>1122</v>
      </c>
      <c r="B148" s="81" t="s">
        <v>1131</v>
      </c>
      <c r="C148" s="82" t="s">
        <v>343</v>
      </c>
      <c r="D148" s="84">
        <v>3970</v>
      </c>
      <c r="E148" s="121" t="s">
        <v>1217</v>
      </c>
      <c r="F148" s="84">
        <v>8580</v>
      </c>
      <c r="G148" s="121" t="s">
        <v>1255</v>
      </c>
      <c r="H148" s="84"/>
      <c r="I148" s="84"/>
      <c r="J148" s="84"/>
      <c r="K148" s="84"/>
      <c r="L148" s="249">
        <f t="shared" si="2"/>
        <v>3565.4569999999999</v>
      </c>
      <c r="M148" s="85"/>
      <c r="N148" s="246">
        <v>3970</v>
      </c>
    </row>
    <row r="149" spans="1:14" ht="23.1" customHeight="1">
      <c r="A149" s="81" t="s">
        <v>1122</v>
      </c>
      <c r="B149" s="81" t="s">
        <v>1134</v>
      </c>
      <c r="C149" s="82" t="s">
        <v>343</v>
      </c>
      <c r="D149" s="84">
        <v>5630</v>
      </c>
      <c r="E149" s="121" t="s">
        <v>1217</v>
      </c>
      <c r="F149" s="84">
        <v>12560</v>
      </c>
      <c r="G149" s="121" t="s">
        <v>1255</v>
      </c>
      <c r="H149" s="84"/>
      <c r="I149" s="84"/>
      <c r="J149" s="84"/>
      <c r="K149" s="84"/>
      <c r="L149" s="249">
        <f t="shared" si="2"/>
        <v>5056.3029999999999</v>
      </c>
      <c r="M149" s="85"/>
      <c r="N149" s="246">
        <v>5630</v>
      </c>
    </row>
    <row r="150" spans="1:14" ht="23.1" customHeight="1">
      <c r="A150" s="81" t="s">
        <v>1192</v>
      </c>
      <c r="B150" s="81" t="s">
        <v>1202</v>
      </c>
      <c r="C150" s="82" t="s">
        <v>343</v>
      </c>
      <c r="D150" s="84"/>
      <c r="E150" s="84"/>
      <c r="F150" s="84"/>
      <c r="G150" s="84"/>
      <c r="H150" s="84">
        <v>9720</v>
      </c>
      <c r="I150" s="84"/>
      <c r="J150" s="84"/>
      <c r="K150" s="84"/>
      <c r="L150" s="249">
        <f t="shared" si="2"/>
        <v>8729.5319999999992</v>
      </c>
      <c r="M150" s="85"/>
      <c r="N150" s="246">
        <v>9720</v>
      </c>
    </row>
    <row r="151" spans="1:14" ht="23.1" customHeight="1">
      <c r="A151" s="81" t="s">
        <v>1192</v>
      </c>
      <c r="B151" s="81" t="s">
        <v>1193</v>
      </c>
      <c r="C151" s="82" t="s">
        <v>343</v>
      </c>
      <c r="D151" s="84"/>
      <c r="E151" s="84"/>
      <c r="F151" s="84"/>
      <c r="G151" s="84"/>
      <c r="H151" s="84">
        <v>2720</v>
      </c>
      <c r="I151" s="84"/>
      <c r="J151" s="84"/>
      <c r="K151" s="84"/>
      <c r="L151" s="249">
        <f t="shared" si="2"/>
        <v>2442.8319999999999</v>
      </c>
      <c r="M151" s="85"/>
      <c r="N151" s="246">
        <v>2720</v>
      </c>
    </row>
    <row r="152" spans="1:14" ht="23.1" customHeight="1">
      <c r="A152" s="81" t="s">
        <v>1192</v>
      </c>
      <c r="B152" s="81" t="s">
        <v>1197</v>
      </c>
      <c r="C152" s="82" t="s">
        <v>343</v>
      </c>
      <c r="D152" s="84"/>
      <c r="E152" s="84"/>
      <c r="F152" s="84"/>
      <c r="G152" s="84"/>
      <c r="H152" s="84">
        <v>3890</v>
      </c>
      <c r="I152" s="84"/>
      <c r="J152" s="84"/>
      <c r="K152" s="84"/>
      <c r="L152" s="249">
        <f t="shared" si="2"/>
        <v>3493.6089999999999</v>
      </c>
      <c r="M152" s="85"/>
      <c r="N152" s="246">
        <v>3890</v>
      </c>
    </row>
    <row r="153" spans="1:14" ht="23.1" customHeight="1">
      <c r="A153" s="81" t="s">
        <v>794</v>
      </c>
      <c r="B153" s="81" t="s">
        <v>796</v>
      </c>
      <c r="C153" s="82" t="s">
        <v>343</v>
      </c>
      <c r="D153" s="84">
        <v>192660</v>
      </c>
      <c r="E153" s="121" t="s">
        <v>1217</v>
      </c>
      <c r="F153" s="84"/>
      <c r="G153" s="84"/>
      <c r="H153" s="84"/>
      <c r="I153" s="84"/>
      <c r="J153" s="84"/>
      <c r="K153" s="84"/>
      <c r="L153" s="249">
        <f t="shared" si="2"/>
        <v>173027.946</v>
      </c>
      <c r="M153" s="85"/>
      <c r="N153" s="246">
        <v>192660</v>
      </c>
    </row>
    <row r="154" spans="1:14" ht="23.1" customHeight="1">
      <c r="A154" s="81" t="s">
        <v>794</v>
      </c>
      <c r="B154" s="81" t="s">
        <v>795</v>
      </c>
      <c r="C154" s="82" t="s">
        <v>343</v>
      </c>
      <c r="D154" s="84">
        <v>62820</v>
      </c>
      <c r="E154" s="121" t="s">
        <v>1217</v>
      </c>
      <c r="F154" s="84"/>
      <c r="G154" s="84"/>
      <c r="H154" s="84"/>
      <c r="I154" s="84"/>
      <c r="J154" s="84"/>
      <c r="K154" s="84"/>
      <c r="L154" s="249">
        <f t="shared" si="2"/>
        <v>56418.642</v>
      </c>
      <c r="M154" s="85"/>
      <c r="N154" s="246">
        <v>62820</v>
      </c>
    </row>
    <row r="155" spans="1:14" ht="23.1" customHeight="1">
      <c r="A155" s="81" t="s">
        <v>834</v>
      </c>
      <c r="B155" s="81" t="s">
        <v>835</v>
      </c>
      <c r="C155" s="82" t="s">
        <v>343</v>
      </c>
      <c r="D155" s="84">
        <v>3620</v>
      </c>
      <c r="E155" s="121" t="s">
        <v>1217</v>
      </c>
      <c r="F155" s="84"/>
      <c r="G155" s="84"/>
      <c r="H155" s="84">
        <v>4990</v>
      </c>
      <c r="I155" s="84"/>
      <c r="J155" s="84"/>
      <c r="K155" s="84"/>
      <c r="L155" s="249">
        <f t="shared" si="2"/>
        <v>3251.1219999999998</v>
      </c>
      <c r="M155" s="85"/>
      <c r="N155" s="246">
        <v>3620</v>
      </c>
    </row>
    <row r="156" spans="1:14" ht="23.1" customHeight="1">
      <c r="A156" s="81" t="s">
        <v>1153</v>
      </c>
      <c r="B156" s="81" t="s">
        <v>1154</v>
      </c>
      <c r="C156" s="82" t="s">
        <v>343</v>
      </c>
      <c r="D156" s="84"/>
      <c r="E156" s="84"/>
      <c r="F156" s="84"/>
      <c r="G156" s="84"/>
      <c r="H156" s="84"/>
      <c r="I156" s="84">
        <v>1017</v>
      </c>
      <c r="J156" s="84"/>
      <c r="K156" s="84"/>
      <c r="L156" s="249">
        <f t="shared" si="2"/>
        <v>913.36770000000001</v>
      </c>
      <c r="M156" s="85"/>
      <c r="N156" s="246">
        <v>1017</v>
      </c>
    </row>
    <row r="157" spans="1:14" ht="23.1" customHeight="1">
      <c r="A157" s="81" t="s">
        <v>1153</v>
      </c>
      <c r="B157" s="81" t="s">
        <v>1171</v>
      </c>
      <c r="C157" s="82" t="s">
        <v>343</v>
      </c>
      <c r="D157" s="84"/>
      <c r="E157" s="84"/>
      <c r="F157" s="84"/>
      <c r="G157" s="84"/>
      <c r="H157" s="84"/>
      <c r="I157" s="84">
        <v>2452</v>
      </c>
      <c r="J157" s="84"/>
      <c r="K157" s="84"/>
      <c r="L157" s="249">
        <f t="shared" si="2"/>
        <v>2202.1412</v>
      </c>
      <c r="M157" s="85"/>
      <c r="N157" s="246">
        <v>2452</v>
      </c>
    </row>
    <row r="158" spans="1:14" ht="23.1" customHeight="1">
      <c r="A158" s="81" t="s">
        <v>727</v>
      </c>
      <c r="B158" s="81" t="s">
        <v>728</v>
      </c>
      <c r="C158" s="82" t="s">
        <v>366</v>
      </c>
      <c r="D158" s="84"/>
      <c r="E158" s="84"/>
      <c r="F158" s="84"/>
      <c r="G158" s="84"/>
      <c r="H158" s="84"/>
      <c r="I158" s="84"/>
      <c r="J158" s="84"/>
      <c r="K158" s="84"/>
      <c r="L158" s="249">
        <f t="shared" si="2"/>
        <v>25146.799999999999</v>
      </c>
      <c r="M158" s="85"/>
      <c r="N158" s="246">
        <v>28000</v>
      </c>
    </row>
    <row r="159" spans="1:14" ht="23.1" customHeight="1">
      <c r="A159" s="81" t="s">
        <v>1256</v>
      </c>
      <c r="B159" s="81" t="s">
        <v>733</v>
      </c>
      <c r="C159" s="82" t="s">
        <v>446</v>
      </c>
      <c r="D159" s="84"/>
      <c r="E159" s="84"/>
      <c r="F159" s="84"/>
      <c r="G159" s="84"/>
      <c r="H159" s="84"/>
      <c r="I159" s="84"/>
      <c r="J159" s="84">
        <v>273971</v>
      </c>
      <c r="K159" s="121" t="s">
        <v>1257</v>
      </c>
      <c r="L159" s="249">
        <f t="shared" si="2"/>
        <v>246053.35510000002</v>
      </c>
      <c r="M159" s="85"/>
      <c r="N159" s="246">
        <v>273971</v>
      </c>
    </row>
    <row r="160" spans="1:14" ht="23.1" customHeight="1">
      <c r="A160" s="81" t="s">
        <v>732</v>
      </c>
      <c r="B160" s="81" t="s">
        <v>733</v>
      </c>
      <c r="C160" s="82" t="s">
        <v>446</v>
      </c>
      <c r="D160" s="84"/>
      <c r="E160" s="84"/>
      <c r="F160" s="84"/>
      <c r="G160" s="84"/>
      <c r="H160" s="84"/>
      <c r="I160" s="84"/>
      <c r="J160" s="84">
        <v>237652</v>
      </c>
      <c r="K160" s="121" t="s">
        <v>1257</v>
      </c>
      <c r="L160" s="249">
        <f t="shared" si="2"/>
        <v>213435.26120000001</v>
      </c>
      <c r="M160" s="85"/>
      <c r="N160" s="246">
        <v>237652</v>
      </c>
    </row>
    <row r="161" spans="1:14" ht="23.1" customHeight="1">
      <c r="A161" s="81" t="s">
        <v>1111</v>
      </c>
      <c r="B161" s="81" t="s">
        <v>733</v>
      </c>
      <c r="C161" s="82" t="s">
        <v>446</v>
      </c>
      <c r="D161" s="84"/>
      <c r="E161" s="84"/>
      <c r="F161" s="84"/>
      <c r="G161" s="84"/>
      <c r="H161" s="84"/>
      <c r="I161" s="84"/>
      <c r="J161" s="84">
        <v>242035</v>
      </c>
      <c r="K161" s="121" t="s">
        <v>1258</v>
      </c>
      <c r="L161" s="249">
        <f t="shared" si="2"/>
        <v>217371.6335</v>
      </c>
      <c r="M161" s="85"/>
      <c r="N161" s="246">
        <v>242035</v>
      </c>
    </row>
    <row r="162" spans="1:14" ht="23.1" customHeight="1">
      <c r="A162" s="81" t="s">
        <v>838</v>
      </c>
      <c r="B162" s="81" t="s">
        <v>733</v>
      </c>
      <c r="C162" s="82" t="s">
        <v>446</v>
      </c>
      <c r="D162" s="84"/>
      <c r="E162" s="84"/>
      <c r="F162" s="84"/>
      <c r="G162" s="84"/>
      <c r="H162" s="84"/>
      <c r="I162" s="84"/>
      <c r="J162" s="84">
        <v>238145</v>
      </c>
      <c r="K162" s="121" t="s">
        <v>1257</v>
      </c>
      <c r="L162" s="249">
        <f t="shared" si="2"/>
        <v>213878.0245</v>
      </c>
      <c r="M162" s="85"/>
      <c r="N162" s="246">
        <v>238145</v>
      </c>
    </row>
    <row r="163" spans="1:14" ht="23.1" customHeight="1">
      <c r="A163" s="81" t="s">
        <v>1093</v>
      </c>
      <c r="B163" s="81" t="s">
        <v>733</v>
      </c>
      <c r="C163" s="82" t="s">
        <v>446</v>
      </c>
      <c r="D163" s="84"/>
      <c r="E163" s="84"/>
      <c r="F163" s="84"/>
      <c r="G163" s="84"/>
      <c r="H163" s="84"/>
      <c r="I163" s="84"/>
      <c r="J163" s="84">
        <v>213722</v>
      </c>
      <c r="K163" s="121" t="s">
        <v>1257</v>
      </c>
      <c r="L163" s="249">
        <f t="shared" si="2"/>
        <v>191943.72820000001</v>
      </c>
      <c r="M163" s="85"/>
      <c r="N163" s="246">
        <v>213722</v>
      </c>
    </row>
    <row r="164" spans="1:14" ht="23.1" customHeight="1">
      <c r="A164" s="81" t="s">
        <v>452</v>
      </c>
      <c r="B164" s="81" t="s">
        <v>733</v>
      </c>
      <c r="C164" s="82" t="s">
        <v>446</v>
      </c>
      <c r="D164" s="84"/>
      <c r="E164" s="84"/>
      <c r="F164" s="84"/>
      <c r="G164" s="84"/>
      <c r="H164" s="84"/>
      <c r="I164" s="84"/>
      <c r="J164" s="84">
        <v>169804</v>
      </c>
      <c r="K164" s="121" t="s">
        <v>1257</v>
      </c>
      <c r="L164" s="249">
        <f t="shared" si="2"/>
        <v>152500.9724</v>
      </c>
      <c r="M164" s="85"/>
      <c r="N164" s="246">
        <v>169804</v>
      </c>
    </row>
    <row r="165" spans="1:14" ht="23.1" customHeight="1">
      <c r="A165" s="81" t="s">
        <v>1062</v>
      </c>
      <c r="B165" s="81" t="s">
        <v>733</v>
      </c>
      <c r="C165" s="82" t="s">
        <v>446</v>
      </c>
      <c r="D165" s="84"/>
      <c r="E165" s="84"/>
      <c r="F165" s="84"/>
      <c r="G165" s="84"/>
      <c r="H165" s="84"/>
      <c r="I165" s="84"/>
      <c r="J165" s="84">
        <v>278326</v>
      </c>
      <c r="K165" s="121" t="s">
        <v>1257</v>
      </c>
      <c r="L165" s="249">
        <f t="shared" si="2"/>
        <v>249964.58060000002</v>
      </c>
      <c r="M165" s="85"/>
      <c r="N165" s="246">
        <v>278326</v>
      </c>
    </row>
    <row r="166" spans="1:14" ht="23.1" customHeight="1">
      <c r="A166" s="81" t="s">
        <v>1259</v>
      </c>
      <c r="B166" s="81" t="s">
        <v>733</v>
      </c>
      <c r="C166" s="82" t="s">
        <v>446</v>
      </c>
      <c r="D166" s="84"/>
      <c r="E166" s="84"/>
      <c r="F166" s="84"/>
      <c r="G166" s="84"/>
      <c r="H166" s="84"/>
      <c r="I166" s="84"/>
      <c r="J166" s="84">
        <v>170920</v>
      </c>
      <c r="K166" s="121" t="s">
        <v>1257</v>
      </c>
      <c r="L166" s="249">
        <f t="shared" si="2"/>
        <v>153503.25200000001</v>
      </c>
      <c r="M166" s="85"/>
      <c r="N166" s="246">
        <v>170920</v>
      </c>
    </row>
    <row r="167" spans="1:14" ht="23.1" customHeight="1">
      <c r="A167" s="81" t="s">
        <v>1146</v>
      </c>
      <c r="B167" s="81" t="s">
        <v>733</v>
      </c>
      <c r="C167" s="82" t="s">
        <v>446</v>
      </c>
      <c r="D167" s="84"/>
      <c r="E167" s="84"/>
      <c r="F167" s="84"/>
      <c r="G167" s="84"/>
      <c r="H167" s="84"/>
      <c r="I167" s="84"/>
      <c r="J167" s="84">
        <v>223124</v>
      </c>
      <c r="K167" s="121" t="s">
        <v>1258</v>
      </c>
      <c r="L167" s="249">
        <f t="shared" si="2"/>
        <v>200387.66440000001</v>
      </c>
      <c r="M167" s="85"/>
      <c r="N167" s="246">
        <v>223124</v>
      </c>
    </row>
    <row r="168" spans="1:14" ht="23.1" customHeight="1">
      <c r="A168" s="81" t="s">
        <v>1147</v>
      </c>
      <c r="B168" s="81" t="s">
        <v>733</v>
      </c>
      <c r="C168" s="82" t="s">
        <v>446</v>
      </c>
      <c r="D168" s="84"/>
      <c r="E168" s="84"/>
      <c r="F168" s="84"/>
      <c r="G168" s="84"/>
      <c r="H168" s="84"/>
      <c r="I168" s="84"/>
      <c r="J168" s="84">
        <v>221506</v>
      </c>
      <c r="K168" s="121" t="s">
        <v>1257</v>
      </c>
      <c r="L168" s="249">
        <f t="shared" si="2"/>
        <v>198934.5386</v>
      </c>
      <c r="M168" s="85"/>
      <c r="N168" s="246">
        <v>221506</v>
      </c>
    </row>
    <row r="169" spans="1:14" ht="23.1" customHeight="1">
      <c r="A169" s="81" t="s">
        <v>1260</v>
      </c>
      <c r="B169" s="81" t="s">
        <v>1261</v>
      </c>
      <c r="C169" s="82" t="s">
        <v>366</v>
      </c>
      <c r="D169" s="84"/>
      <c r="E169" s="84"/>
      <c r="F169" s="84"/>
      <c r="G169" s="84"/>
      <c r="H169" s="84"/>
      <c r="I169" s="84">
        <v>115116000</v>
      </c>
      <c r="J169" s="84"/>
      <c r="K169" s="84"/>
      <c r="L169" s="249">
        <f t="shared" si="2"/>
        <v>103385679.59999999</v>
      </c>
      <c r="M169" s="85"/>
      <c r="N169" s="246">
        <v>115116000</v>
      </c>
    </row>
    <row r="170" spans="1:14" ht="23.1" customHeight="1">
      <c r="A170" s="81" t="s">
        <v>1262</v>
      </c>
      <c r="B170" s="81" t="s">
        <v>1263</v>
      </c>
      <c r="C170" s="82" t="s">
        <v>366</v>
      </c>
      <c r="D170" s="84"/>
      <c r="E170" s="84"/>
      <c r="F170" s="84"/>
      <c r="G170" s="84"/>
      <c r="H170" s="84"/>
      <c r="I170" s="84">
        <v>1370000</v>
      </c>
      <c r="J170" s="84"/>
      <c r="K170" s="84"/>
      <c r="L170" s="249">
        <f t="shared" si="2"/>
        <v>1230397</v>
      </c>
      <c r="M170" s="85"/>
      <c r="N170" s="246">
        <v>1370000</v>
      </c>
    </row>
    <row r="171" spans="1:14" ht="23.1" customHeight="1">
      <c r="A171" s="81" t="s">
        <v>1075</v>
      </c>
      <c r="B171" s="81" t="s">
        <v>1076</v>
      </c>
      <c r="C171" s="82" t="s">
        <v>1077</v>
      </c>
      <c r="D171" s="84"/>
      <c r="E171" s="84"/>
      <c r="F171" s="84">
        <v>169.5</v>
      </c>
      <c r="G171" s="121" t="s">
        <v>1264</v>
      </c>
      <c r="H171" s="84">
        <v>169.5</v>
      </c>
      <c r="I171" s="84"/>
      <c r="J171" s="84"/>
      <c r="K171" s="84"/>
      <c r="L171" s="249">
        <f t="shared" si="2"/>
        <v>152.22794999999999</v>
      </c>
      <c r="M171" s="85"/>
      <c r="N171" s="246">
        <v>169.5</v>
      </c>
    </row>
    <row r="172" spans="1:14" ht="23.1" customHeight="1">
      <c r="A172" s="85"/>
      <c r="B172" s="85"/>
      <c r="C172" s="83"/>
      <c r="D172" s="84"/>
      <c r="E172" s="84"/>
      <c r="F172" s="84"/>
      <c r="G172" s="84"/>
      <c r="H172" s="84"/>
      <c r="I172" s="84"/>
      <c r="J172" s="84"/>
      <c r="K172" s="84"/>
      <c r="L172" s="84"/>
      <c r="M172" s="85"/>
      <c r="N172" s="246"/>
    </row>
    <row r="173" spans="1:14" ht="23.1" customHeight="1">
      <c r="A173" s="85"/>
      <c r="B173" s="85"/>
      <c r="C173" s="83"/>
      <c r="D173" s="84"/>
      <c r="E173" s="84"/>
      <c r="F173" s="84"/>
      <c r="G173" s="84"/>
      <c r="H173" s="84"/>
      <c r="I173" s="84"/>
      <c r="J173" s="84"/>
      <c r="K173" s="84"/>
      <c r="L173" s="84"/>
      <c r="M173" s="85"/>
      <c r="N173" s="246"/>
    </row>
    <row r="174" spans="1:14" ht="23.1" customHeight="1">
      <c r="A174" s="85"/>
      <c r="B174" s="85"/>
      <c r="C174" s="83"/>
      <c r="D174" s="84"/>
      <c r="E174" s="84"/>
      <c r="F174" s="84"/>
      <c r="G174" s="84"/>
      <c r="H174" s="84"/>
      <c r="I174" s="84"/>
      <c r="J174" s="84"/>
      <c r="K174" s="84"/>
      <c r="L174" s="84"/>
      <c r="M174" s="85"/>
      <c r="N174" s="246"/>
    </row>
    <row r="175" spans="1:14" ht="23.1" customHeight="1">
      <c r="A175" s="85"/>
      <c r="B175" s="85"/>
      <c r="C175" s="83"/>
      <c r="D175" s="84"/>
      <c r="E175" s="84"/>
      <c r="F175" s="84"/>
      <c r="G175" s="84"/>
      <c r="H175" s="84"/>
      <c r="I175" s="84"/>
      <c r="J175" s="84"/>
      <c r="K175" s="84"/>
      <c r="L175" s="84"/>
      <c r="M175" s="85"/>
      <c r="N175" s="246"/>
    </row>
    <row r="176" spans="1:14" ht="23.1" customHeight="1">
      <c r="A176" s="85"/>
      <c r="B176" s="85"/>
      <c r="C176" s="83"/>
      <c r="D176" s="84"/>
      <c r="E176" s="84"/>
      <c r="F176" s="84"/>
      <c r="G176" s="84"/>
      <c r="H176" s="84"/>
      <c r="I176" s="84"/>
      <c r="J176" s="84"/>
      <c r="K176" s="84"/>
      <c r="L176" s="84"/>
      <c r="M176" s="85"/>
      <c r="N176" s="246"/>
    </row>
    <row r="177" spans="1:14" ht="23.1" customHeight="1">
      <c r="A177" s="85"/>
      <c r="B177" s="85"/>
      <c r="C177" s="83"/>
      <c r="D177" s="84"/>
      <c r="E177" s="84"/>
      <c r="F177" s="84"/>
      <c r="G177" s="84"/>
      <c r="H177" s="84"/>
      <c r="I177" s="84"/>
      <c r="J177" s="84"/>
      <c r="K177" s="84"/>
      <c r="L177" s="84"/>
      <c r="M177" s="85"/>
      <c r="N177" s="246"/>
    </row>
    <row r="178" spans="1:14" ht="23.1" customHeight="1">
      <c r="A178" s="85"/>
      <c r="B178" s="85"/>
      <c r="C178" s="83"/>
      <c r="D178" s="84"/>
      <c r="E178" s="84"/>
      <c r="F178" s="84"/>
      <c r="G178" s="84"/>
      <c r="H178" s="84"/>
      <c r="I178" s="84"/>
      <c r="J178" s="84"/>
      <c r="K178" s="84"/>
      <c r="L178" s="84"/>
      <c r="M178" s="85"/>
      <c r="N178" s="246"/>
    </row>
    <row r="179" spans="1:14" ht="23.1" customHeight="1">
      <c r="A179" s="85"/>
      <c r="B179" s="85"/>
      <c r="C179" s="83"/>
      <c r="D179" s="84"/>
      <c r="E179" s="84"/>
      <c r="F179" s="84"/>
      <c r="G179" s="84"/>
      <c r="H179" s="84"/>
      <c r="I179" s="84"/>
      <c r="J179" s="84"/>
      <c r="K179" s="84"/>
      <c r="L179" s="84"/>
      <c r="M179" s="85"/>
      <c r="N179" s="246"/>
    </row>
    <row r="180" spans="1:14" ht="23.1" customHeight="1">
      <c r="A180" s="85"/>
      <c r="B180" s="85"/>
      <c r="C180" s="83"/>
      <c r="D180" s="84"/>
      <c r="E180" s="84"/>
      <c r="F180" s="84"/>
      <c r="G180" s="84"/>
      <c r="H180" s="84"/>
      <c r="I180" s="84"/>
      <c r="J180" s="84"/>
      <c r="K180" s="84"/>
      <c r="L180" s="84"/>
      <c r="M180" s="85"/>
      <c r="N180" s="246"/>
    </row>
    <row r="181" spans="1:14" ht="23.1" customHeight="1">
      <c r="A181" s="85"/>
      <c r="B181" s="85"/>
      <c r="C181" s="83"/>
      <c r="D181" s="84"/>
      <c r="E181" s="84"/>
      <c r="F181" s="84"/>
      <c r="G181" s="84"/>
      <c r="H181" s="84"/>
      <c r="I181" s="84"/>
      <c r="J181" s="84"/>
      <c r="K181" s="84"/>
      <c r="L181" s="84"/>
      <c r="M181" s="85"/>
      <c r="N181" s="246"/>
    </row>
    <row r="182" spans="1:14" ht="23.1" customHeight="1">
      <c r="A182" s="85"/>
      <c r="B182" s="85"/>
      <c r="C182" s="83"/>
      <c r="D182" s="84"/>
      <c r="E182" s="84"/>
      <c r="F182" s="84"/>
      <c r="G182" s="84"/>
      <c r="H182" s="84"/>
      <c r="I182" s="84"/>
      <c r="J182" s="84"/>
      <c r="K182" s="84"/>
      <c r="L182" s="84"/>
      <c r="M182" s="85"/>
      <c r="N182" s="246"/>
    </row>
    <row r="183" spans="1:14" ht="23.1" customHeight="1">
      <c r="A183" s="85"/>
      <c r="B183" s="85"/>
      <c r="C183" s="83"/>
      <c r="D183" s="84"/>
      <c r="E183" s="84"/>
      <c r="F183" s="84"/>
      <c r="G183" s="84"/>
      <c r="H183" s="84"/>
      <c r="I183" s="84"/>
      <c r="J183" s="84"/>
      <c r="K183" s="84"/>
      <c r="L183" s="84"/>
      <c r="M183" s="85"/>
      <c r="N183" s="246"/>
    </row>
    <row r="184" spans="1:14" ht="23.1" customHeight="1">
      <c r="A184" s="85"/>
      <c r="B184" s="85"/>
      <c r="C184" s="83"/>
      <c r="D184" s="84"/>
      <c r="E184" s="84"/>
      <c r="F184" s="84"/>
      <c r="G184" s="84"/>
      <c r="H184" s="84"/>
      <c r="I184" s="84"/>
      <c r="J184" s="84"/>
      <c r="K184" s="84"/>
      <c r="L184" s="84"/>
      <c r="M184" s="85"/>
      <c r="N184" s="246"/>
    </row>
  </sheetData>
  <mergeCells count="10">
    <mergeCell ref="A1:M1"/>
    <mergeCell ref="A2:M2"/>
    <mergeCell ref="A3:A4"/>
    <mergeCell ref="B3:B4"/>
    <mergeCell ref="C3:C4"/>
    <mergeCell ref="D3:E3"/>
    <mergeCell ref="F3:G3"/>
    <mergeCell ref="J3:K3"/>
    <mergeCell ref="L3:L4"/>
    <mergeCell ref="M3:M4"/>
  </mergeCells>
  <phoneticPr fontId="4" type="noConversion"/>
  <conditionalFormatting sqref="A5:N184">
    <cfRule type="containsText" dxfId="3" priority="1" stopIfTrue="1" operator="containsText" text=".">
      <formula>NOT(ISERROR(SEARCH(".",A5)))</formula>
    </cfRule>
    <cfRule type="notContainsText" dxfId="2" priority="2" stopIfTrue="1" operator="notContains" text=".">
      <formula>ISERROR(SEARCH(".",A5))</formula>
    </cfRule>
  </conditionalFormatting>
  <pageMargins left="0.74090148180296356" right="0" top="0.54405108810217628" bottom="0.1388888888888889" header="0.3" footer="0.1388888888888889"/>
  <pageSetup paperSize="9" orientation="landscape" r:id="rId1"/>
  <rowBreaks count="10" manualBreakCount="10">
    <brk id="22" max="16383" man="1"/>
    <brk id="40" max="16383" man="1"/>
    <brk id="58" max="16383" man="1"/>
    <brk id="76" max="16383" man="1"/>
    <brk id="94" max="16383" man="1"/>
    <brk id="112" max="16383" man="1"/>
    <brk id="130" max="16383" man="1"/>
    <brk id="148" max="16383" man="1"/>
    <brk id="166" max="16383" man="1"/>
    <brk id="184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K339"/>
  <sheetViews>
    <sheetView view="pageBreakPreview" topLeftCell="A226" zoomScale="120" zoomScaleNormal="130" zoomScaleSheetLayoutView="120" workbookViewId="0">
      <selection activeCell="K356" sqref="K355:K356"/>
    </sheetView>
  </sheetViews>
  <sheetFormatPr defaultColWidth="8.8984375" defaultRowHeight="9"/>
  <cols>
    <col min="1" max="1" width="23.296875" style="123" customWidth="1"/>
    <col min="2" max="2" width="19.69921875" style="123" customWidth="1"/>
    <col min="3" max="3" width="3.59765625" style="122" customWidth="1"/>
    <col min="4" max="4" width="5.69921875" style="122" customWidth="1"/>
    <col min="5" max="5" width="23.8984375" style="132" customWidth="1"/>
    <col min="6" max="9" width="4.59765625" style="122" customWidth="1"/>
    <col min="10" max="10" width="6.69921875" style="122" customWidth="1"/>
    <col min="11" max="11" width="3.59765625" style="122" customWidth="1"/>
    <col min="12" max="16" width="1.3984375" style="122" customWidth="1"/>
    <col min="17" max="16384" width="8.8984375" style="122"/>
  </cols>
  <sheetData>
    <row r="1" spans="1:11" ht="25.8">
      <c r="A1" s="243" t="s">
        <v>1265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</row>
    <row r="2" spans="1:11" ht="15.6" customHeight="1">
      <c r="A2" s="123" t="s">
        <v>1266</v>
      </c>
      <c r="E2" s="122"/>
    </row>
    <row r="3" spans="1:11" ht="15.6" customHeight="1">
      <c r="A3" s="242" t="s">
        <v>1267</v>
      </c>
      <c r="B3" s="242" t="s">
        <v>325</v>
      </c>
      <c r="C3" s="240" t="s">
        <v>326</v>
      </c>
      <c r="D3" s="240" t="s">
        <v>1268</v>
      </c>
      <c r="E3" s="240" t="s">
        <v>1269</v>
      </c>
      <c r="F3" s="240" t="s">
        <v>649</v>
      </c>
      <c r="G3" s="240" t="s">
        <v>769</v>
      </c>
      <c r="H3" s="240" t="s">
        <v>1270</v>
      </c>
      <c r="I3" s="240" t="s">
        <v>1271</v>
      </c>
      <c r="J3" s="240" t="s">
        <v>1272</v>
      </c>
      <c r="K3" s="240" t="s">
        <v>654</v>
      </c>
    </row>
    <row r="4" spans="1:11" ht="15.6" customHeight="1">
      <c r="A4" s="242"/>
      <c r="B4" s="242"/>
      <c r="C4" s="240"/>
      <c r="D4" s="240"/>
      <c r="E4" s="240"/>
      <c r="F4" s="240"/>
      <c r="G4" s="240"/>
      <c r="H4" s="240"/>
      <c r="I4" s="240"/>
      <c r="J4" s="240"/>
      <c r="K4" s="240"/>
    </row>
    <row r="5" spans="1:11" ht="15.6" customHeight="1">
      <c r="A5" s="241" t="s">
        <v>1273</v>
      </c>
      <c r="B5" s="241"/>
      <c r="C5" s="241"/>
      <c r="D5" s="241"/>
      <c r="E5" s="241"/>
      <c r="F5" s="241"/>
      <c r="G5" s="241"/>
      <c r="H5" s="241"/>
      <c r="I5" s="241"/>
      <c r="J5" s="241"/>
      <c r="K5" s="241"/>
    </row>
    <row r="6" spans="1:11" ht="15.6" customHeight="1">
      <c r="A6" s="125" t="s">
        <v>712</v>
      </c>
      <c r="B6" s="125" t="s">
        <v>1274</v>
      </c>
      <c r="C6" s="126" t="s">
        <v>366</v>
      </c>
      <c r="D6" s="127"/>
      <c r="E6" s="128">
        <v>1</v>
      </c>
      <c r="F6" s="127">
        <v>1</v>
      </c>
      <c r="G6" s="127">
        <v>1</v>
      </c>
      <c r="H6" s="127">
        <v>1</v>
      </c>
      <c r="I6" s="127">
        <v>100</v>
      </c>
      <c r="J6" s="127">
        <v>1</v>
      </c>
      <c r="K6" s="127"/>
    </row>
    <row r="7" spans="1:11" ht="15.6" customHeight="1">
      <c r="A7" s="125" t="s">
        <v>712</v>
      </c>
      <c r="B7" s="125" t="s">
        <v>1275</v>
      </c>
      <c r="C7" s="126" t="s">
        <v>366</v>
      </c>
      <c r="D7" s="127"/>
      <c r="E7" s="128">
        <v>1</v>
      </c>
      <c r="F7" s="127">
        <v>1</v>
      </c>
      <c r="G7" s="127">
        <v>1</v>
      </c>
      <c r="H7" s="127">
        <v>1</v>
      </c>
      <c r="I7" s="127">
        <v>100</v>
      </c>
      <c r="J7" s="127">
        <v>1</v>
      </c>
      <c r="K7" s="127"/>
    </row>
    <row r="8" spans="1:11" ht="15.6" customHeight="1">
      <c r="A8" s="125" t="s">
        <v>716</v>
      </c>
      <c r="B8" s="125" t="s">
        <v>1276</v>
      </c>
      <c r="C8" s="126" t="s">
        <v>1277</v>
      </c>
      <c r="D8" s="127"/>
      <c r="E8" s="128">
        <v>1</v>
      </c>
      <c r="F8" s="127">
        <v>1</v>
      </c>
      <c r="G8" s="127">
        <v>1</v>
      </c>
      <c r="H8" s="127">
        <v>1</v>
      </c>
      <c r="I8" s="127">
        <v>100</v>
      </c>
      <c r="J8" s="127">
        <v>1</v>
      </c>
      <c r="K8" s="127"/>
    </row>
    <row r="9" spans="1:11" ht="15.6" customHeight="1">
      <c r="A9" s="125" t="s">
        <v>717</v>
      </c>
      <c r="B9" s="125" t="s">
        <v>1278</v>
      </c>
      <c r="C9" s="126" t="s">
        <v>366</v>
      </c>
      <c r="D9" s="127"/>
      <c r="E9" s="128">
        <v>1</v>
      </c>
      <c r="F9" s="127">
        <v>1</v>
      </c>
      <c r="G9" s="127">
        <v>1</v>
      </c>
      <c r="H9" s="127">
        <v>1</v>
      </c>
      <c r="I9" s="127">
        <v>100</v>
      </c>
      <c r="J9" s="127">
        <v>1</v>
      </c>
      <c r="K9" s="127"/>
    </row>
    <row r="10" spans="1:11" ht="15.6" customHeight="1">
      <c r="A10" s="125" t="s">
        <v>717</v>
      </c>
      <c r="B10" s="125" t="s">
        <v>1279</v>
      </c>
      <c r="C10" s="126" t="s">
        <v>366</v>
      </c>
      <c r="D10" s="127"/>
      <c r="E10" s="128">
        <v>1</v>
      </c>
      <c r="F10" s="127">
        <v>1</v>
      </c>
      <c r="G10" s="127">
        <v>1</v>
      </c>
      <c r="H10" s="127">
        <v>1</v>
      </c>
      <c r="I10" s="127">
        <v>100</v>
      </c>
      <c r="J10" s="127">
        <v>1</v>
      </c>
      <c r="K10" s="127"/>
    </row>
    <row r="11" spans="1:11" ht="15.6" customHeight="1">
      <c r="A11" s="125" t="s">
        <v>720</v>
      </c>
      <c r="B11" s="125" t="s">
        <v>721</v>
      </c>
      <c r="C11" s="126" t="s">
        <v>722</v>
      </c>
      <c r="D11" s="127"/>
      <c r="E11" s="128">
        <v>1</v>
      </c>
      <c r="F11" s="127">
        <v>1</v>
      </c>
      <c r="G11" s="127">
        <v>1</v>
      </c>
      <c r="H11" s="127">
        <v>1</v>
      </c>
      <c r="I11" s="127">
        <v>100</v>
      </c>
      <c r="J11" s="127">
        <v>1</v>
      </c>
      <c r="K11" s="127"/>
    </row>
    <row r="12" spans="1:11" ht="15.6" customHeight="1">
      <c r="A12" s="125" t="s">
        <v>723</v>
      </c>
      <c r="B12" s="125" t="s">
        <v>724</v>
      </c>
      <c r="C12" s="126" t="s">
        <v>725</v>
      </c>
      <c r="D12" s="127"/>
      <c r="E12" s="128">
        <v>1</v>
      </c>
      <c r="F12" s="127">
        <v>1</v>
      </c>
      <c r="G12" s="127">
        <v>1</v>
      </c>
      <c r="H12" s="127">
        <v>1</v>
      </c>
      <c r="I12" s="127">
        <v>100</v>
      </c>
      <c r="J12" s="127">
        <v>1</v>
      </c>
      <c r="K12" s="127"/>
    </row>
    <row r="13" spans="1:11" ht="15.6" customHeight="1">
      <c r="A13" s="125" t="s">
        <v>723</v>
      </c>
      <c r="B13" s="125" t="s">
        <v>726</v>
      </c>
      <c r="C13" s="126" t="s">
        <v>725</v>
      </c>
      <c r="D13" s="127"/>
      <c r="E13" s="128">
        <v>2</v>
      </c>
      <c r="F13" s="127">
        <v>2</v>
      </c>
      <c r="G13" s="127">
        <v>1</v>
      </c>
      <c r="H13" s="127">
        <v>2</v>
      </c>
      <c r="I13" s="127">
        <v>100</v>
      </c>
      <c r="J13" s="127">
        <v>2</v>
      </c>
      <c r="K13" s="127"/>
    </row>
    <row r="14" spans="1:11" ht="15.6" customHeight="1">
      <c r="A14" s="125" t="s">
        <v>727</v>
      </c>
      <c r="B14" s="125" t="s">
        <v>1280</v>
      </c>
      <c r="C14" s="126" t="s">
        <v>366</v>
      </c>
      <c r="D14" s="127"/>
      <c r="E14" s="128" t="s">
        <v>1281</v>
      </c>
      <c r="F14" s="127">
        <v>2</v>
      </c>
      <c r="G14" s="127">
        <v>1</v>
      </c>
      <c r="H14" s="127">
        <v>2</v>
      </c>
      <c r="I14" s="127">
        <v>100</v>
      </c>
      <c r="J14" s="127">
        <v>2</v>
      </c>
      <c r="K14" s="127"/>
    </row>
    <row r="15" spans="1:11" ht="15.6" customHeight="1">
      <c r="A15" s="124"/>
      <c r="B15" s="124"/>
      <c r="C15" s="129"/>
      <c r="D15" s="129"/>
      <c r="E15" s="130"/>
      <c r="F15" s="129"/>
      <c r="G15" s="129"/>
      <c r="H15" s="129"/>
      <c r="I15" s="129"/>
      <c r="J15" s="129"/>
      <c r="K15" s="129"/>
    </row>
    <row r="16" spans="1:11" ht="15.6" customHeight="1">
      <c r="A16" s="124"/>
      <c r="B16" s="124"/>
      <c r="C16" s="129"/>
      <c r="D16" s="129"/>
      <c r="E16" s="130"/>
      <c r="F16" s="129"/>
      <c r="G16" s="129"/>
      <c r="H16" s="129"/>
      <c r="I16" s="129"/>
      <c r="J16" s="129"/>
      <c r="K16" s="129"/>
    </row>
    <row r="17" spans="1:11" ht="15.6" customHeight="1">
      <c r="A17" s="124"/>
      <c r="B17" s="124"/>
      <c r="C17" s="129"/>
      <c r="D17" s="129"/>
      <c r="E17" s="130"/>
      <c r="F17" s="129"/>
      <c r="G17" s="129"/>
      <c r="H17" s="129"/>
      <c r="I17" s="129"/>
      <c r="J17" s="129"/>
      <c r="K17" s="129"/>
    </row>
    <row r="18" spans="1:11" ht="15.6" customHeight="1">
      <c r="A18" s="124"/>
      <c r="B18" s="124"/>
      <c r="C18" s="129"/>
      <c r="D18" s="129"/>
      <c r="E18" s="130"/>
      <c r="F18" s="129"/>
      <c r="G18" s="129"/>
      <c r="H18" s="129"/>
      <c r="I18" s="129"/>
      <c r="J18" s="129"/>
      <c r="K18" s="129"/>
    </row>
    <row r="19" spans="1:11" ht="15.6" customHeight="1">
      <c r="A19" s="124"/>
      <c r="B19" s="124"/>
      <c r="C19" s="129"/>
      <c r="D19" s="129"/>
      <c r="E19" s="130"/>
      <c r="F19" s="129"/>
      <c r="G19" s="129"/>
      <c r="H19" s="129"/>
      <c r="I19" s="129"/>
      <c r="J19" s="129"/>
      <c r="K19" s="129"/>
    </row>
    <row r="20" spans="1:11" ht="15.6" customHeight="1">
      <c r="A20" s="124"/>
      <c r="B20" s="124"/>
      <c r="C20" s="129"/>
      <c r="D20" s="129"/>
      <c r="E20" s="130"/>
      <c r="F20" s="129"/>
      <c r="G20" s="129"/>
      <c r="H20" s="129"/>
      <c r="I20" s="129"/>
      <c r="J20" s="129"/>
      <c r="K20" s="129"/>
    </row>
    <row r="21" spans="1:11" ht="15.6" customHeight="1">
      <c r="A21" s="124"/>
      <c r="B21" s="124"/>
      <c r="C21" s="129"/>
      <c r="D21" s="129"/>
      <c r="E21" s="130"/>
      <c r="F21" s="129"/>
      <c r="G21" s="129"/>
      <c r="H21" s="129"/>
      <c r="I21" s="129"/>
      <c r="J21" s="129"/>
      <c r="K21" s="129"/>
    </row>
    <row r="22" spans="1:11" ht="15.6" customHeight="1">
      <c r="A22" s="124"/>
      <c r="B22" s="124"/>
      <c r="C22" s="129"/>
      <c r="D22" s="129"/>
      <c r="E22" s="130"/>
      <c r="F22" s="129"/>
      <c r="G22" s="129"/>
      <c r="H22" s="129"/>
      <c r="I22" s="129"/>
      <c r="J22" s="129"/>
      <c r="K22" s="129"/>
    </row>
    <row r="23" spans="1:11" ht="15.6" customHeight="1">
      <c r="A23" s="124"/>
      <c r="B23" s="124"/>
      <c r="C23" s="129"/>
      <c r="D23" s="129"/>
      <c r="E23" s="130"/>
      <c r="F23" s="129"/>
      <c r="G23" s="129"/>
      <c r="H23" s="129"/>
      <c r="I23" s="129"/>
      <c r="J23" s="129"/>
      <c r="K23" s="129"/>
    </row>
    <row r="24" spans="1:11" ht="15.6" customHeight="1">
      <c r="A24" s="124"/>
      <c r="B24" s="124"/>
      <c r="C24" s="129"/>
      <c r="D24" s="129"/>
      <c r="E24" s="130"/>
      <c r="F24" s="129"/>
      <c r="G24" s="129"/>
      <c r="H24" s="129"/>
      <c r="I24" s="129"/>
      <c r="J24" s="129"/>
      <c r="K24" s="129"/>
    </row>
    <row r="25" spans="1:11" ht="15.6" customHeight="1">
      <c r="A25" s="124"/>
      <c r="B25" s="124"/>
      <c r="C25" s="129"/>
      <c r="D25" s="129"/>
      <c r="E25" s="130"/>
      <c r="F25" s="129"/>
      <c r="G25" s="129"/>
      <c r="H25" s="129"/>
      <c r="I25" s="129"/>
      <c r="J25" s="129"/>
      <c r="K25" s="129"/>
    </row>
    <row r="26" spans="1:11" ht="15.6" customHeight="1">
      <c r="A26" s="124"/>
      <c r="B26" s="124"/>
      <c r="C26" s="129"/>
      <c r="D26" s="129"/>
      <c r="E26" s="130"/>
      <c r="F26" s="129"/>
      <c r="G26" s="129"/>
      <c r="H26" s="129"/>
      <c r="I26" s="129"/>
      <c r="J26" s="129"/>
      <c r="K26" s="129"/>
    </row>
    <row r="27" spans="1:11" ht="15.6" customHeight="1">
      <c r="A27" s="124"/>
      <c r="B27" s="124"/>
      <c r="C27" s="129"/>
      <c r="D27" s="129"/>
      <c r="E27" s="130"/>
      <c r="F27" s="129"/>
      <c r="G27" s="129"/>
      <c r="H27" s="129"/>
      <c r="I27" s="129"/>
      <c r="J27" s="129"/>
      <c r="K27" s="129"/>
    </row>
    <row r="28" spans="1:11" ht="15.6" customHeight="1">
      <c r="A28" s="124"/>
      <c r="B28" s="124"/>
      <c r="C28" s="129"/>
      <c r="D28" s="129"/>
      <c r="E28" s="130"/>
      <c r="F28" s="129"/>
      <c r="G28" s="129"/>
      <c r="H28" s="129"/>
      <c r="I28" s="129"/>
      <c r="J28" s="129"/>
      <c r="K28" s="129"/>
    </row>
    <row r="29" spans="1:11" ht="15.6" customHeight="1">
      <c r="A29" s="124"/>
      <c r="B29" s="124"/>
      <c r="C29" s="129"/>
      <c r="D29" s="129"/>
      <c r="E29" s="130"/>
      <c r="F29" s="129"/>
      <c r="G29" s="129"/>
      <c r="H29" s="129"/>
      <c r="I29" s="129"/>
      <c r="J29" s="129"/>
      <c r="K29" s="129"/>
    </row>
    <row r="30" spans="1:11" ht="15.6" customHeight="1">
      <c r="A30" s="124"/>
      <c r="B30" s="124"/>
      <c r="C30" s="129"/>
      <c r="D30" s="129"/>
      <c r="E30" s="130"/>
      <c r="F30" s="129"/>
      <c r="G30" s="129"/>
      <c r="H30" s="129"/>
      <c r="I30" s="129"/>
      <c r="J30" s="129"/>
      <c r="K30" s="129"/>
    </row>
    <row r="31" spans="1:11" ht="15.6" customHeight="1">
      <c r="A31" s="124"/>
      <c r="B31" s="124"/>
      <c r="C31" s="129"/>
      <c r="D31" s="129"/>
      <c r="E31" s="130"/>
      <c r="F31" s="129"/>
      <c r="G31" s="129"/>
      <c r="H31" s="129"/>
      <c r="I31" s="129"/>
      <c r="J31" s="129"/>
      <c r="K31" s="129"/>
    </row>
    <row r="32" spans="1:11" ht="15.6" customHeight="1">
      <c r="A32" s="124"/>
      <c r="B32" s="124"/>
      <c r="C32" s="129"/>
      <c r="D32" s="129"/>
      <c r="E32" s="130"/>
      <c r="F32" s="129"/>
      <c r="G32" s="129"/>
      <c r="H32" s="129"/>
      <c r="I32" s="129"/>
      <c r="J32" s="129"/>
      <c r="K32" s="129"/>
    </row>
    <row r="33" spans="1:11" ht="15.6" customHeight="1">
      <c r="A33" s="124"/>
      <c r="B33" s="124"/>
      <c r="C33" s="129"/>
      <c r="D33" s="129"/>
      <c r="E33" s="130"/>
      <c r="F33" s="129"/>
      <c r="G33" s="129"/>
      <c r="H33" s="129"/>
      <c r="I33" s="129"/>
      <c r="J33" s="129"/>
      <c r="K33" s="129"/>
    </row>
    <row r="34" spans="1:11" ht="15.6" customHeight="1">
      <c r="A34" s="124"/>
      <c r="B34" s="124"/>
      <c r="C34" s="129"/>
      <c r="D34" s="129"/>
      <c r="E34" s="130"/>
      <c r="F34" s="129"/>
      <c r="G34" s="129"/>
      <c r="H34" s="129"/>
      <c r="I34" s="129"/>
      <c r="J34" s="129"/>
      <c r="K34" s="129"/>
    </row>
    <row r="35" spans="1:11" ht="15.6" customHeight="1">
      <c r="A35" s="124"/>
      <c r="B35" s="124"/>
      <c r="C35" s="129"/>
      <c r="D35" s="129"/>
      <c r="E35" s="130"/>
      <c r="F35" s="129"/>
      <c r="G35" s="129"/>
      <c r="H35" s="129"/>
      <c r="I35" s="129"/>
      <c r="J35" s="129"/>
      <c r="K35" s="129"/>
    </row>
    <row r="36" spans="1:11" ht="15.6" customHeight="1">
      <c r="A36" s="123" t="s">
        <v>1282</v>
      </c>
      <c r="E36" s="122"/>
    </row>
    <row r="37" spans="1:11" ht="15.6" customHeight="1">
      <c r="A37" s="242" t="s">
        <v>1267</v>
      </c>
      <c r="B37" s="242" t="s">
        <v>325</v>
      </c>
      <c r="C37" s="240" t="s">
        <v>326</v>
      </c>
      <c r="D37" s="240" t="s">
        <v>1268</v>
      </c>
      <c r="E37" s="240" t="s">
        <v>1269</v>
      </c>
      <c r="F37" s="240" t="s">
        <v>649</v>
      </c>
      <c r="G37" s="240" t="s">
        <v>769</v>
      </c>
      <c r="H37" s="240" t="s">
        <v>1270</v>
      </c>
      <c r="I37" s="240" t="s">
        <v>1271</v>
      </c>
      <c r="J37" s="240" t="s">
        <v>1272</v>
      </c>
      <c r="K37" s="240" t="s">
        <v>654</v>
      </c>
    </row>
    <row r="38" spans="1:11" ht="15.6" customHeight="1">
      <c r="A38" s="242"/>
      <c r="B38" s="242"/>
      <c r="C38" s="240"/>
      <c r="D38" s="240"/>
      <c r="E38" s="240"/>
      <c r="F38" s="240"/>
      <c r="G38" s="240"/>
      <c r="H38" s="240"/>
      <c r="I38" s="240"/>
      <c r="J38" s="240"/>
      <c r="K38" s="240"/>
    </row>
    <row r="39" spans="1:11" ht="15.6" customHeight="1">
      <c r="A39" s="241" t="s">
        <v>1283</v>
      </c>
      <c r="B39" s="241"/>
      <c r="C39" s="241"/>
      <c r="D39" s="241"/>
      <c r="E39" s="241"/>
      <c r="F39" s="241"/>
      <c r="G39" s="241"/>
      <c r="H39" s="241"/>
      <c r="I39" s="241"/>
      <c r="J39" s="241"/>
      <c r="K39" s="241"/>
    </row>
    <row r="40" spans="1:11" ht="15.6" customHeight="1">
      <c r="A40" s="125" t="s">
        <v>1284</v>
      </c>
      <c r="B40" s="125" t="s">
        <v>1285</v>
      </c>
      <c r="C40" s="126" t="s">
        <v>343</v>
      </c>
      <c r="D40" s="127"/>
      <c r="E40" s="128">
        <v>2</v>
      </c>
      <c r="F40" s="127">
        <v>2</v>
      </c>
      <c r="G40" s="127">
        <v>1</v>
      </c>
      <c r="H40" s="127">
        <v>2</v>
      </c>
      <c r="I40" s="127">
        <v>100</v>
      </c>
      <c r="J40" s="127">
        <v>2</v>
      </c>
      <c r="K40" s="127"/>
    </row>
    <row r="41" spans="1:11" ht="15.6" customHeight="1">
      <c r="A41" s="125" t="s">
        <v>738</v>
      </c>
      <c r="B41" s="125" t="s">
        <v>948</v>
      </c>
      <c r="C41" s="126" t="s">
        <v>343</v>
      </c>
      <c r="D41" s="127"/>
      <c r="E41" s="128">
        <v>2</v>
      </c>
      <c r="F41" s="127">
        <v>2</v>
      </c>
      <c r="G41" s="127">
        <v>1</v>
      </c>
      <c r="H41" s="127">
        <v>2</v>
      </c>
      <c r="I41" s="127">
        <v>100</v>
      </c>
      <c r="J41" s="127">
        <v>2</v>
      </c>
      <c r="K41" s="127"/>
    </row>
    <row r="42" spans="1:11" ht="15.6" customHeight="1">
      <c r="A42" s="125" t="s">
        <v>739</v>
      </c>
      <c r="B42" s="125" t="s">
        <v>737</v>
      </c>
      <c r="C42" s="126" t="s">
        <v>343</v>
      </c>
      <c r="D42" s="127"/>
      <c r="E42" s="128">
        <v>2</v>
      </c>
      <c r="F42" s="127">
        <v>2</v>
      </c>
      <c r="G42" s="127">
        <v>1</v>
      </c>
      <c r="H42" s="127">
        <v>2</v>
      </c>
      <c r="I42" s="127">
        <v>100</v>
      </c>
      <c r="J42" s="127">
        <v>2</v>
      </c>
      <c r="K42" s="127"/>
    </row>
    <row r="43" spans="1:11" ht="15.6" customHeight="1">
      <c r="A43" s="125" t="s">
        <v>1286</v>
      </c>
      <c r="B43" s="125" t="s">
        <v>741</v>
      </c>
      <c r="C43" s="126" t="s">
        <v>742</v>
      </c>
      <c r="D43" s="127"/>
      <c r="E43" s="128">
        <v>1.7</v>
      </c>
      <c r="F43" s="127">
        <v>2</v>
      </c>
      <c r="G43" s="127">
        <v>1</v>
      </c>
      <c r="H43" s="127">
        <v>2</v>
      </c>
      <c r="I43" s="127">
        <v>110</v>
      </c>
      <c r="J43" s="127">
        <v>3</v>
      </c>
      <c r="K43" s="127"/>
    </row>
    <row r="44" spans="1:11" ht="15.6" customHeight="1">
      <c r="A44" s="125" t="s">
        <v>1287</v>
      </c>
      <c r="B44" s="125" t="s">
        <v>743</v>
      </c>
      <c r="C44" s="126" t="s">
        <v>742</v>
      </c>
      <c r="D44" s="127"/>
      <c r="E44" s="128" t="s">
        <v>1288</v>
      </c>
      <c r="F44" s="127">
        <v>4</v>
      </c>
      <c r="G44" s="127">
        <v>1</v>
      </c>
      <c r="H44" s="127">
        <v>4</v>
      </c>
      <c r="I44" s="127">
        <v>110</v>
      </c>
      <c r="J44" s="127">
        <v>5</v>
      </c>
      <c r="K44" s="127"/>
    </row>
    <row r="45" spans="1:11" ht="15.6" customHeight="1">
      <c r="A45" s="125" t="s">
        <v>1287</v>
      </c>
      <c r="B45" s="125" t="s">
        <v>744</v>
      </c>
      <c r="C45" s="126" t="s">
        <v>742</v>
      </c>
      <c r="D45" s="127"/>
      <c r="E45" s="128">
        <v>3</v>
      </c>
      <c r="F45" s="127">
        <v>3</v>
      </c>
      <c r="G45" s="127">
        <v>1</v>
      </c>
      <c r="H45" s="127">
        <v>3</v>
      </c>
      <c r="I45" s="127">
        <v>110</v>
      </c>
      <c r="J45" s="127">
        <v>4</v>
      </c>
      <c r="K45" s="127"/>
    </row>
    <row r="46" spans="1:11" ht="15.6" customHeight="1">
      <c r="A46" s="125" t="s">
        <v>1287</v>
      </c>
      <c r="B46" s="125" t="s">
        <v>744</v>
      </c>
      <c r="C46" s="126" t="s">
        <v>742</v>
      </c>
      <c r="D46" s="127"/>
      <c r="E46" s="128">
        <v>3</v>
      </c>
      <c r="F46" s="127">
        <v>3</v>
      </c>
      <c r="G46" s="127">
        <v>1</v>
      </c>
      <c r="H46" s="127">
        <v>3</v>
      </c>
      <c r="I46" s="127">
        <v>110</v>
      </c>
      <c r="J46" s="127">
        <v>4</v>
      </c>
      <c r="K46" s="127"/>
    </row>
    <row r="47" spans="1:11" ht="15.6" customHeight="1">
      <c r="A47" s="125" t="s">
        <v>1286</v>
      </c>
      <c r="B47" s="125" t="s">
        <v>744</v>
      </c>
      <c r="C47" s="126" t="s">
        <v>742</v>
      </c>
      <c r="D47" s="127"/>
      <c r="E47" s="128" t="s">
        <v>1289</v>
      </c>
      <c r="F47" s="127">
        <v>6</v>
      </c>
      <c r="G47" s="127">
        <v>1</v>
      </c>
      <c r="H47" s="127">
        <v>6</v>
      </c>
      <c r="I47" s="127">
        <v>110</v>
      </c>
      <c r="J47" s="127">
        <v>7</v>
      </c>
      <c r="K47" s="127"/>
    </row>
    <row r="48" spans="1:11" ht="15.6" customHeight="1">
      <c r="A48" s="125" t="s">
        <v>1287</v>
      </c>
      <c r="B48" s="125" t="s">
        <v>745</v>
      </c>
      <c r="C48" s="126" t="s">
        <v>742</v>
      </c>
      <c r="D48" s="127"/>
      <c r="E48" s="128" t="s">
        <v>1290</v>
      </c>
      <c r="F48" s="127">
        <v>10</v>
      </c>
      <c r="G48" s="127">
        <v>1</v>
      </c>
      <c r="H48" s="127">
        <v>10</v>
      </c>
      <c r="I48" s="127">
        <v>110</v>
      </c>
      <c r="J48" s="127">
        <v>11</v>
      </c>
      <c r="K48" s="127"/>
    </row>
    <row r="49" spans="1:11" ht="15.6" customHeight="1">
      <c r="A49" s="125" t="s">
        <v>1287</v>
      </c>
      <c r="B49" s="125" t="s">
        <v>745</v>
      </c>
      <c r="C49" s="126" t="s">
        <v>742</v>
      </c>
      <c r="D49" s="127"/>
      <c r="E49" s="128" t="s">
        <v>1288</v>
      </c>
      <c r="F49" s="127">
        <v>4</v>
      </c>
      <c r="G49" s="127">
        <v>1</v>
      </c>
      <c r="H49" s="127">
        <v>4</v>
      </c>
      <c r="I49" s="127">
        <v>110</v>
      </c>
      <c r="J49" s="127">
        <v>5</v>
      </c>
      <c r="K49" s="127"/>
    </row>
    <row r="50" spans="1:11" ht="15.6" customHeight="1">
      <c r="A50" s="125" t="s">
        <v>1287</v>
      </c>
      <c r="B50" s="125" t="s">
        <v>746</v>
      </c>
      <c r="C50" s="126" t="s">
        <v>742</v>
      </c>
      <c r="D50" s="127"/>
      <c r="E50" s="128" t="s">
        <v>1291</v>
      </c>
      <c r="F50" s="127">
        <v>6</v>
      </c>
      <c r="G50" s="127">
        <v>1</v>
      </c>
      <c r="H50" s="127">
        <v>6</v>
      </c>
      <c r="I50" s="127">
        <v>110</v>
      </c>
      <c r="J50" s="127">
        <v>7</v>
      </c>
      <c r="K50" s="127"/>
    </row>
    <row r="51" spans="1:11" ht="15.6" customHeight="1">
      <c r="A51" s="125" t="s">
        <v>1287</v>
      </c>
      <c r="B51" s="125" t="s">
        <v>746</v>
      </c>
      <c r="C51" s="126" t="s">
        <v>742</v>
      </c>
      <c r="D51" s="127"/>
      <c r="E51" s="128" t="s">
        <v>1292</v>
      </c>
      <c r="F51" s="127">
        <v>20</v>
      </c>
      <c r="G51" s="127">
        <v>1</v>
      </c>
      <c r="H51" s="127">
        <v>20</v>
      </c>
      <c r="I51" s="127">
        <v>110</v>
      </c>
      <c r="J51" s="127">
        <v>22</v>
      </c>
      <c r="K51" s="127"/>
    </row>
    <row r="52" spans="1:11" ht="15.6" customHeight="1">
      <c r="A52" s="125" t="s">
        <v>1287</v>
      </c>
      <c r="B52" s="125" t="s">
        <v>746</v>
      </c>
      <c r="C52" s="126" t="s">
        <v>742</v>
      </c>
      <c r="D52" s="127"/>
      <c r="E52" s="128" t="s">
        <v>1291</v>
      </c>
      <c r="F52" s="127">
        <v>6</v>
      </c>
      <c r="G52" s="127">
        <v>1</v>
      </c>
      <c r="H52" s="127">
        <v>6</v>
      </c>
      <c r="I52" s="127">
        <v>110</v>
      </c>
      <c r="J52" s="127">
        <v>7</v>
      </c>
      <c r="K52" s="127"/>
    </row>
    <row r="53" spans="1:11" ht="15.6" customHeight="1">
      <c r="A53" s="125" t="s">
        <v>747</v>
      </c>
      <c r="B53" s="125" t="s">
        <v>748</v>
      </c>
      <c r="C53" s="126" t="s">
        <v>333</v>
      </c>
      <c r="D53" s="127"/>
      <c r="E53" s="128">
        <v>1.7</v>
      </c>
      <c r="F53" s="127">
        <v>2</v>
      </c>
      <c r="G53" s="127">
        <v>1</v>
      </c>
      <c r="H53" s="127">
        <v>2</v>
      </c>
      <c r="I53" s="127">
        <v>100</v>
      </c>
      <c r="J53" s="127">
        <v>2</v>
      </c>
      <c r="K53" s="127"/>
    </row>
    <row r="54" spans="1:11" ht="15.6" customHeight="1">
      <c r="A54" s="125" t="s">
        <v>747</v>
      </c>
      <c r="B54" s="125" t="s">
        <v>750</v>
      </c>
      <c r="C54" s="126" t="s">
        <v>333</v>
      </c>
      <c r="D54" s="127"/>
      <c r="E54" s="128" t="s">
        <v>1289</v>
      </c>
      <c r="F54" s="127">
        <v>6</v>
      </c>
      <c r="G54" s="127">
        <v>1</v>
      </c>
      <c r="H54" s="127">
        <v>6</v>
      </c>
      <c r="I54" s="127">
        <v>100</v>
      </c>
      <c r="J54" s="127">
        <v>6</v>
      </c>
      <c r="K54" s="127"/>
    </row>
    <row r="55" spans="1:11" ht="15.6" customHeight="1">
      <c r="A55" s="125" t="s">
        <v>747</v>
      </c>
      <c r="B55" s="125" t="s">
        <v>750</v>
      </c>
      <c r="C55" s="126" t="s">
        <v>333</v>
      </c>
      <c r="D55" s="127"/>
      <c r="E55" s="128">
        <v>3</v>
      </c>
      <c r="F55" s="127">
        <v>3</v>
      </c>
      <c r="G55" s="127">
        <v>1</v>
      </c>
      <c r="H55" s="127">
        <v>3</v>
      </c>
      <c r="I55" s="127">
        <v>100</v>
      </c>
      <c r="J55" s="127">
        <v>3</v>
      </c>
      <c r="K55" s="127"/>
    </row>
    <row r="56" spans="1:11" ht="15.6" customHeight="1">
      <c r="A56" s="125" t="s">
        <v>747</v>
      </c>
      <c r="B56" s="125" t="s">
        <v>750</v>
      </c>
      <c r="C56" s="126" t="s">
        <v>333</v>
      </c>
      <c r="D56" s="127"/>
      <c r="E56" s="128">
        <v>3</v>
      </c>
      <c r="F56" s="127">
        <v>3</v>
      </c>
      <c r="G56" s="127">
        <v>1</v>
      </c>
      <c r="H56" s="127">
        <v>3</v>
      </c>
      <c r="I56" s="127">
        <v>100</v>
      </c>
      <c r="J56" s="127">
        <v>3</v>
      </c>
      <c r="K56" s="127"/>
    </row>
    <row r="57" spans="1:11" ht="15.6" customHeight="1">
      <c r="A57" s="125" t="s">
        <v>747</v>
      </c>
      <c r="B57" s="125" t="s">
        <v>752</v>
      </c>
      <c r="C57" s="126" t="s">
        <v>333</v>
      </c>
      <c r="D57" s="127"/>
      <c r="E57" s="128" t="s">
        <v>1290</v>
      </c>
      <c r="F57" s="127">
        <v>10</v>
      </c>
      <c r="G57" s="127">
        <v>1</v>
      </c>
      <c r="H57" s="127">
        <v>10</v>
      </c>
      <c r="I57" s="127">
        <v>100</v>
      </c>
      <c r="J57" s="127">
        <v>10</v>
      </c>
      <c r="K57" s="127"/>
    </row>
    <row r="58" spans="1:11" ht="15.6" customHeight="1">
      <c r="A58" s="125" t="s">
        <v>747</v>
      </c>
      <c r="B58" s="125" t="s">
        <v>754</v>
      </c>
      <c r="C58" s="126" t="s">
        <v>333</v>
      </c>
      <c r="D58" s="127"/>
      <c r="E58" s="128" t="s">
        <v>1291</v>
      </c>
      <c r="F58" s="127">
        <v>6</v>
      </c>
      <c r="G58" s="127">
        <v>1</v>
      </c>
      <c r="H58" s="127">
        <v>6</v>
      </c>
      <c r="I58" s="127">
        <v>100</v>
      </c>
      <c r="J58" s="127">
        <v>6</v>
      </c>
      <c r="K58" s="127"/>
    </row>
    <row r="59" spans="1:11" ht="15.6" customHeight="1">
      <c r="A59" s="125" t="s">
        <v>747</v>
      </c>
      <c r="B59" s="125" t="s">
        <v>754</v>
      </c>
      <c r="C59" s="126" t="s">
        <v>333</v>
      </c>
      <c r="D59" s="127"/>
      <c r="E59" s="128" t="s">
        <v>1292</v>
      </c>
      <c r="F59" s="127">
        <v>20</v>
      </c>
      <c r="G59" s="127">
        <v>1</v>
      </c>
      <c r="H59" s="127">
        <v>20</v>
      </c>
      <c r="I59" s="127">
        <v>100</v>
      </c>
      <c r="J59" s="127">
        <v>20</v>
      </c>
      <c r="K59" s="127"/>
    </row>
    <row r="60" spans="1:11" ht="15.6" customHeight="1">
      <c r="A60" s="125" t="s">
        <v>747</v>
      </c>
      <c r="B60" s="125" t="s">
        <v>754</v>
      </c>
      <c r="C60" s="126" t="s">
        <v>333</v>
      </c>
      <c r="D60" s="127"/>
      <c r="E60" s="128" t="s">
        <v>1291</v>
      </c>
      <c r="F60" s="127">
        <v>6</v>
      </c>
      <c r="G60" s="127">
        <v>1</v>
      </c>
      <c r="H60" s="127">
        <v>6</v>
      </c>
      <c r="I60" s="127">
        <v>100</v>
      </c>
      <c r="J60" s="127">
        <v>6</v>
      </c>
      <c r="K60" s="127"/>
    </row>
    <row r="61" spans="1:11" ht="15.6" customHeight="1">
      <c r="A61" s="125" t="s">
        <v>756</v>
      </c>
      <c r="B61" s="125" t="s">
        <v>757</v>
      </c>
      <c r="C61" s="126" t="s">
        <v>343</v>
      </c>
      <c r="D61" s="127"/>
      <c r="E61" s="128" t="s">
        <v>1281</v>
      </c>
      <c r="F61" s="127">
        <v>2</v>
      </c>
      <c r="G61" s="127">
        <v>1</v>
      </c>
      <c r="H61" s="127">
        <v>2</v>
      </c>
      <c r="I61" s="127">
        <v>100</v>
      </c>
      <c r="J61" s="127">
        <v>2</v>
      </c>
      <c r="K61" s="127"/>
    </row>
    <row r="62" spans="1:11" ht="15.6" customHeight="1">
      <c r="A62" s="125" t="s">
        <v>756</v>
      </c>
      <c r="B62" s="125" t="s">
        <v>758</v>
      </c>
      <c r="C62" s="126" t="s">
        <v>343</v>
      </c>
      <c r="D62" s="127"/>
      <c r="E62" s="128">
        <v>2</v>
      </c>
      <c r="F62" s="127">
        <v>2</v>
      </c>
      <c r="G62" s="127">
        <v>1</v>
      </c>
      <c r="H62" s="127">
        <v>2</v>
      </c>
      <c r="I62" s="127">
        <v>100</v>
      </c>
      <c r="J62" s="127">
        <v>2</v>
      </c>
      <c r="K62" s="127"/>
    </row>
    <row r="63" spans="1:11" ht="15.6" customHeight="1">
      <c r="A63" s="125" t="s">
        <v>756</v>
      </c>
      <c r="B63" s="125" t="s">
        <v>759</v>
      </c>
      <c r="C63" s="126" t="s">
        <v>343</v>
      </c>
      <c r="D63" s="127"/>
      <c r="E63" s="128">
        <v>3</v>
      </c>
      <c r="F63" s="127">
        <v>3</v>
      </c>
      <c r="G63" s="127">
        <v>1</v>
      </c>
      <c r="H63" s="127">
        <v>3</v>
      </c>
      <c r="I63" s="127">
        <v>100</v>
      </c>
      <c r="J63" s="127">
        <v>3</v>
      </c>
      <c r="K63" s="127"/>
    </row>
    <row r="64" spans="1:11" ht="15.6" customHeight="1">
      <c r="A64" s="125" t="s">
        <v>756</v>
      </c>
      <c r="B64" s="125" t="s">
        <v>760</v>
      </c>
      <c r="C64" s="126" t="s">
        <v>343</v>
      </c>
      <c r="D64" s="127"/>
      <c r="E64" s="128" t="s">
        <v>1293</v>
      </c>
      <c r="F64" s="127">
        <v>4</v>
      </c>
      <c r="G64" s="127">
        <v>1</v>
      </c>
      <c r="H64" s="127">
        <v>4</v>
      </c>
      <c r="I64" s="127">
        <v>100</v>
      </c>
      <c r="J64" s="127">
        <v>4</v>
      </c>
      <c r="K64" s="127"/>
    </row>
    <row r="65" spans="1:11" ht="15.6" customHeight="1">
      <c r="A65" s="125" t="s">
        <v>756</v>
      </c>
      <c r="B65" s="125" t="s">
        <v>760</v>
      </c>
      <c r="C65" s="126" t="s">
        <v>343</v>
      </c>
      <c r="D65" s="127"/>
      <c r="E65" s="128" t="s">
        <v>1281</v>
      </c>
      <c r="F65" s="127">
        <v>2</v>
      </c>
      <c r="G65" s="127">
        <v>1</v>
      </c>
      <c r="H65" s="127">
        <v>2</v>
      </c>
      <c r="I65" s="127">
        <v>100</v>
      </c>
      <c r="J65" s="127">
        <v>2</v>
      </c>
      <c r="K65" s="127"/>
    </row>
    <row r="66" spans="1:11" ht="15.6" customHeight="1">
      <c r="A66" s="125" t="s">
        <v>756</v>
      </c>
      <c r="B66" s="125" t="s">
        <v>761</v>
      </c>
      <c r="C66" s="126" t="s">
        <v>343</v>
      </c>
      <c r="D66" s="127"/>
      <c r="E66" s="128" t="s">
        <v>1281</v>
      </c>
      <c r="F66" s="127">
        <v>2</v>
      </c>
      <c r="G66" s="127">
        <v>1</v>
      </c>
      <c r="H66" s="127">
        <v>2</v>
      </c>
      <c r="I66" s="127">
        <v>100</v>
      </c>
      <c r="J66" s="127">
        <v>2</v>
      </c>
      <c r="K66" s="127"/>
    </row>
    <row r="67" spans="1:11" ht="15.6" customHeight="1">
      <c r="A67" s="125" t="s">
        <v>756</v>
      </c>
      <c r="B67" s="125" t="s">
        <v>761</v>
      </c>
      <c r="C67" s="126" t="s">
        <v>343</v>
      </c>
      <c r="D67" s="127"/>
      <c r="E67" s="128" t="s">
        <v>1288</v>
      </c>
      <c r="F67" s="127">
        <v>4</v>
      </c>
      <c r="G67" s="127">
        <v>1</v>
      </c>
      <c r="H67" s="127">
        <v>4</v>
      </c>
      <c r="I67" s="127">
        <v>100</v>
      </c>
      <c r="J67" s="127">
        <v>4</v>
      </c>
      <c r="K67" s="127"/>
    </row>
    <row r="68" spans="1:11" ht="15.6" customHeight="1">
      <c r="A68" s="125" t="s">
        <v>756</v>
      </c>
      <c r="B68" s="125" t="s">
        <v>762</v>
      </c>
      <c r="C68" s="126" t="s">
        <v>343</v>
      </c>
      <c r="D68" s="127"/>
      <c r="E68" s="128" t="s">
        <v>1294</v>
      </c>
      <c r="F68" s="127">
        <v>8</v>
      </c>
      <c r="G68" s="127">
        <v>1</v>
      </c>
      <c r="H68" s="127">
        <v>8</v>
      </c>
      <c r="I68" s="127">
        <v>100</v>
      </c>
      <c r="J68" s="127">
        <v>8</v>
      </c>
      <c r="K68" s="127"/>
    </row>
    <row r="69" spans="1:11" ht="15.6" customHeight="1">
      <c r="A69" s="178"/>
      <c r="B69" s="178"/>
      <c r="C69" s="179"/>
      <c r="D69" s="180"/>
      <c r="E69" s="181"/>
      <c r="F69" s="180"/>
      <c r="G69" s="180"/>
      <c r="H69" s="180"/>
      <c r="I69" s="180"/>
      <c r="J69" s="180"/>
      <c r="K69" s="180"/>
    </row>
    <row r="70" spans="1:11" ht="15.6" customHeight="1">
      <c r="A70" s="123" t="s">
        <v>1282</v>
      </c>
      <c r="E70" s="122"/>
    </row>
    <row r="71" spans="1:11" ht="15.6" customHeight="1">
      <c r="A71" s="242" t="s">
        <v>1267</v>
      </c>
      <c r="B71" s="242" t="s">
        <v>325</v>
      </c>
      <c r="C71" s="240" t="s">
        <v>326</v>
      </c>
      <c r="D71" s="240" t="s">
        <v>1268</v>
      </c>
      <c r="E71" s="240" t="s">
        <v>1269</v>
      </c>
      <c r="F71" s="240" t="s">
        <v>649</v>
      </c>
      <c r="G71" s="240" t="s">
        <v>769</v>
      </c>
      <c r="H71" s="240" t="s">
        <v>1270</v>
      </c>
      <c r="I71" s="240" t="s">
        <v>1271</v>
      </c>
      <c r="J71" s="240" t="s">
        <v>1272</v>
      </c>
      <c r="K71" s="240" t="s">
        <v>654</v>
      </c>
    </row>
    <row r="72" spans="1:11" ht="15.6" customHeight="1">
      <c r="A72" s="242"/>
      <c r="B72" s="242"/>
      <c r="C72" s="240"/>
      <c r="D72" s="240"/>
      <c r="E72" s="240"/>
      <c r="F72" s="240"/>
      <c r="G72" s="240"/>
      <c r="H72" s="240"/>
      <c r="I72" s="240"/>
      <c r="J72" s="240"/>
      <c r="K72" s="240"/>
    </row>
    <row r="73" spans="1:11" ht="15.6" customHeight="1">
      <c r="A73" s="241" t="s">
        <v>1283</v>
      </c>
      <c r="B73" s="241"/>
      <c r="C73" s="241"/>
      <c r="D73" s="241"/>
      <c r="E73" s="241"/>
      <c r="F73" s="241"/>
      <c r="G73" s="241"/>
      <c r="H73" s="241"/>
      <c r="I73" s="241"/>
      <c r="J73" s="241"/>
      <c r="K73" s="241"/>
    </row>
    <row r="74" spans="1:11" ht="15.6" customHeight="1">
      <c r="A74" s="125" t="s">
        <v>756</v>
      </c>
      <c r="B74" s="125" t="s">
        <v>762</v>
      </c>
      <c r="C74" s="126" t="s">
        <v>343</v>
      </c>
      <c r="D74" s="127"/>
      <c r="E74" s="128" t="s">
        <v>1288</v>
      </c>
      <c r="F74" s="127">
        <v>4</v>
      </c>
      <c r="G74" s="127">
        <v>1</v>
      </c>
      <c r="H74" s="127">
        <v>4</v>
      </c>
      <c r="I74" s="127">
        <v>100</v>
      </c>
      <c r="J74" s="127">
        <v>4</v>
      </c>
      <c r="K74" s="127"/>
    </row>
    <row r="75" spans="1:11" ht="15.6" customHeight="1">
      <c r="A75" s="125" t="s">
        <v>756</v>
      </c>
      <c r="B75" s="125" t="s">
        <v>763</v>
      </c>
      <c r="C75" s="126" t="s">
        <v>343</v>
      </c>
      <c r="D75" s="127"/>
      <c r="E75" s="128">
        <v>2</v>
      </c>
      <c r="F75" s="127">
        <v>2</v>
      </c>
      <c r="G75" s="127">
        <v>1</v>
      </c>
      <c r="H75" s="127">
        <v>2</v>
      </c>
      <c r="I75" s="127">
        <v>100</v>
      </c>
      <c r="J75" s="127">
        <v>2</v>
      </c>
      <c r="K75" s="127"/>
    </row>
    <row r="76" spans="1:11" ht="15.6" customHeight="1">
      <c r="A76" s="125" t="s">
        <v>756</v>
      </c>
      <c r="B76" s="125" t="s">
        <v>763</v>
      </c>
      <c r="C76" s="126" t="s">
        <v>343</v>
      </c>
      <c r="D76" s="127"/>
      <c r="E76" s="128" t="s">
        <v>1291</v>
      </c>
      <c r="F76" s="127">
        <v>6</v>
      </c>
      <c r="G76" s="127">
        <v>1</v>
      </c>
      <c r="H76" s="127">
        <v>6</v>
      </c>
      <c r="I76" s="127">
        <v>100</v>
      </c>
      <c r="J76" s="127">
        <v>6</v>
      </c>
      <c r="K76" s="127"/>
    </row>
    <row r="77" spans="1:11" ht="15.6" customHeight="1">
      <c r="A77" s="125" t="s">
        <v>756</v>
      </c>
      <c r="B77" s="125" t="s">
        <v>1295</v>
      </c>
      <c r="C77" s="126" t="s">
        <v>343</v>
      </c>
      <c r="D77" s="127"/>
      <c r="E77" s="128">
        <v>1</v>
      </c>
      <c r="F77" s="127">
        <v>1</v>
      </c>
      <c r="G77" s="127">
        <v>1</v>
      </c>
      <c r="H77" s="127">
        <v>1</v>
      </c>
      <c r="I77" s="127">
        <v>100</v>
      </c>
      <c r="J77" s="127">
        <v>1</v>
      </c>
      <c r="K77" s="127"/>
    </row>
    <row r="78" spans="1:11" ht="15.6" customHeight="1">
      <c r="A78" s="125" t="s">
        <v>756</v>
      </c>
      <c r="B78" s="125" t="s">
        <v>1295</v>
      </c>
      <c r="C78" s="126" t="s">
        <v>343</v>
      </c>
      <c r="D78" s="127"/>
      <c r="E78" s="128">
        <v>1</v>
      </c>
      <c r="F78" s="127">
        <v>1</v>
      </c>
      <c r="G78" s="127">
        <v>1</v>
      </c>
      <c r="H78" s="127">
        <v>1</v>
      </c>
      <c r="I78" s="127">
        <v>100</v>
      </c>
      <c r="J78" s="127">
        <v>1</v>
      </c>
      <c r="K78" s="127"/>
    </row>
    <row r="79" spans="1:11" ht="15.6" customHeight="1">
      <c r="A79" s="125" t="s">
        <v>756</v>
      </c>
      <c r="B79" s="125" t="s">
        <v>1296</v>
      </c>
      <c r="C79" s="126" t="s">
        <v>343</v>
      </c>
      <c r="D79" s="127"/>
      <c r="E79" s="128" t="s">
        <v>1281</v>
      </c>
      <c r="F79" s="127">
        <v>2</v>
      </c>
      <c r="G79" s="127">
        <v>1</v>
      </c>
      <c r="H79" s="127">
        <v>2</v>
      </c>
      <c r="I79" s="127">
        <v>100</v>
      </c>
      <c r="J79" s="127">
        <v>2</v>
      </c>
      <c r="K79" s="127"/>
    </row>
    <row r="80" spans="1:11" ht="15.6" customHeight="1">
      <c r="A80" s="125" t="s">
        <v>756</v>
      </c>
      <c r="B80" s="125" t="s">
        <v>1297</v>
      </c>
      <c r="C80" s="126" t="s">
        <v>343</v>
      </c>
      <c r="D80" s="127"/>
      <c r="E80" s="128" t="s">
        <v>1281</v>
      </c>
      <c r="F80" s="127">
        <v>2</v>
      </c>
      <c r="G80" s="127">
        <v>1</v>
      </c>
      <c r="H80" s="127">
        <v>2</v>
      </c>
      <c r="I80" s="127">
        <v>100</v>
      </c>
      <c r="J80" s="127">
        <v>2</v>
      </c>
      <c r="K80" s="127"/>
    </row>
    <row r="81" spans="1:11" ht="15.6" customHeight="1">
      <c r="A81" s="125" t="s">
        <v>767</v>
      </c>
      <c r="B81" s="125" t="s">
        <v>768</v>
      </c>
      <c r="C81" s="126" t="s">
        <v>769</v>
      </c>
      <c r="D81" s="127"/>
      <c r="E81" s="128" t="s">
        <v>1288</v>
      </c>
      <c r="F81" s="127">
        <v>4</v>
      </c>
      <c r="G81" s="127">
        <v>1</v>
      </c>
      <c r="H81" s="127">
        <v>4</v>
      </c>
      <c r="I81" s="127">
        <v>100</v>
      </c>
      <c r="J81" s="127">
        <v>4</v>
      </c>
      <c r="K81" s="127"/>
    </row>
    <row r="82" spans="1:11" ht="15.6" customHeight="1">
      <c r="A82" s="125" t="s">
        <v>767</v>
      </c>
      <c r="B82" s="125" t="s">
        <v>771</v>
      </c>
      <c r="C82" s="126" t="s">
        <v>769</v>
      </c>
      <c r="D82" s="127"/>
      <c r="E82" s="128">
        <v>1</v>
      </c>
      <c r="F82" s="127">
        <v>1</v>
      </c>
      <c r="G82" s="127">
        <v>1</v>
      </c>
      <c r="H82" s="127">
        <v>1</v>
      </c>
      <c r="I82" s="127">
        <v>100</v>
      </c>
      <c r="J82" s="127">
        <v>1</v>
      </c>
      <c r="K82" s="127"/>
    </row>
    <row r="83" spans="1:11" ht="15.6" customHeight="1">
      <c r="A83" s="125" t="s">
        <v>767</v>
      </c>
      <c r="B83" s="125" t="s">
        <v>771</v>
      </c>
      <c r="C83" s="126" t="s">
        <v>769</v>
      </c>
      <c r="D83" s="127"/>
      <c r="E83" s="128">
        <v>1</v>
      </c>
      <c r="F83" s="127">
        <v>1</v>
      </c>
      <c r="G83" s="127">
        <v>1</v>
      </c>
      <c r="H83" s="127">
        <v>1</v>
      </c>
      <c r="I83" s="127">
        <v>100</v>
      </c>
      <c r="J83" s="127">
        <v>1</v>
      </c>
      <c r="K83" s="127"/>
    </row>
    <row r="84" spans="1:11" ht="15.6" customHeight="1">
      <c r="A84" s="125" t="s">
        <v>767</v>
      </c>
      <c r="B84" s="125" t="s">
        <v>773</v>
      </c>
      <c r="C84" s="126" t="s">
        <v>769</v>
      </c>
      <c r="D84" s="127"/>
      <c r="E84" s="128">
        <v>9</v>
      </c>
      <c r="F84" s="127">
        <v>9</v>
      </c>
      <c r="G84" s="127">
        <v>1</v>
      </c>
      <c r="H84" s="127">
        <v>9</v>
      </c>
      <c r="I84" s="127">
        <v>100</v>
      </c>
      <c r="J84" s="127">
        <v>9</v>
      </c>
      <c r="K84" s="127"/>
    </row>
    <row r="85" spans="1:11" ht="15.6" customHeight="1">
      <c r="A85" s="125" t="s">
        <v>767</v>
      </c>
      <c r="B85" s="125" t="s">
        <v>773</v>
      </c>
      <c r="C85" s="126" t="s">
        <v>769</v>
      </c>
      <c r="D85" s="127"/>
      <c r="E85" s="128">
        <v>1</v>
      </c>
      <c r="F85" s="127">
        <v>1</v>
      </c>
      <c r="G85" s="127">
        <v>1</v>
      </c>
      <c r="H85" s="127">
        <v>1</v>
      </c>
      <c r="I85" s="127">
        <v>100</v>
      </c>
      <c r="J85" s="127">
        <v>1</v>
      </c>
      <c r="K85" s="127"/>
    </row>
    <row r="86" spans="1:11" ht="15.6" customHeight="1">
      <c r="A86" s="125" t="s">
        <v>767</v>
      </c>
      <c r="B86" s="125" t="s">
        <v>773</v>
      </c>
      <c r="C86" s="126" t="s">
        <v>769</v>
      </c>
      <c r="D86" s="127"/>
      <c r="E86" s="128">
        <v>1</v>
      </c>
      <c r="F86" s="127">
        <v>1</v>
      </c>
      <c r="G86" s="127">
        <v>1</v>
      </c>
      <c r="H86" s="127">
        <v>1</v>
      </c>
      <c r="I86" s="127">
        <v>100</v>
      </c>
      <c r="J86" s="127">
        <v>1</v>
      </c>
      <c r="K86" s="127"/>
    </row>
    <row r="87" spans="1:11" ht="15.6" customHeight="1">
      <c r="A87" s="125" t="s">
        <v>767</v>
      </c>
      <c r="B87" s="125" t="s">
        <v>773</v>
      </c>
      <c r="C87" s="126" t="s">
        <v>769</v>
      </c>
      <c r="D87" s="127"/>
      <c r="E87" s="128">
        <v>1</v>
      </c>
      <c r="F87" s="127">
        <v>1</v>
      </c>
      <c r="G87" s="127">
        <v>1</v>
      </c>
      <c r="H87" s="127">
        <v>1</v>
      </c>
      <c r="I87" s="127">
        <v>100</v>
      </c>
      <c r="J87" s="127">
        <v>1</v>
      </c>
      <c r="K87" s="127"/>
    </row>
    <row r="88" spans="1:11" ht="15.6" customHeight="1">
      <c r="A88" s="125" t="s">
        <v>767</v>
      </c>
      <c r="B88" s="125" t="s">
        <v>773</v>
      </c>
      <c r="C88" s="126" t="s">
        <v>769</v>
      </c>
      <c r="D88" s="127"/>
      <c r="E88" s="128">
        <v>4</v>
      </c>
      <c r="F88" s="127">
        <v>4</v>
      </c>
      <c r="G88" s="127">
        <v>1</v>
      </c>
      <c r="H88" s="127">
        <v>4</v>
      </c>
      <c r="I88" s="127">
        <v>100</v>
      </c>
      <c r="J88" s="127">
        <v>4</v>
      </c>
      <c r="K88" s="127"/>
    </row>
    <row r="89" spans="1:11" ht="15.6" customHeight="1">
      <c r="A89" s="125" t="s">
        <v>767</v>
      </c>
      <c r="B89" s="125" t="s">
        <v>775</v>
      </c>
      <c r="C89" s="126" t="s">
        <v>769</v>
      </c>
      <c r="D89" s="127"/>
      <c r="E89" s="128" t="s">
        <v>1281</v>
      </c>
      <c r="F89" s="127">
        <v>2</v>
      </c>
      <c r="G89" s="127">
        <v>1</v>
      </c>
      <c r="H89" s="127">
        <v>2</v>
      </c>
      <c r="I89" s="127">
        <v>100</v>
      </c>
      <c r="J89" s="127">
        <v>2</v>
      </c>
      <c r="K89" s="127"/>
    </row>
    <row r="90" spans="1:11" ht="15.6" customHeight="1">
      <c r="A90" s="125" t="s">
        <v>767</v>
      </c>
      <c r="B90" s="125" t="s">
        <v>777</v>
      </c>
      <c r="C90" s="126" t="s">
        <v>769</v>
      </c>
      <c r="D90" s="127"/>
      <c r="E90" s="128" t="s">
        <v>1298</v>
      </c>
      <c r="F90" s="127">
        <v>8</v>
      </c>
      <c r="G90" s="127">
        <v>1</v>
      </c>
      <c r="H90" s="127">
        <v>8</v>
      </c>
      <c r="I90" s="127">
        <v>100</v>
      </c>
      <c r="J90" s="127">
        <v>8</v>
      </c>
      <c r="K90" s="127"/>
    </row>
    <row r="91" spans="1:11" ht="15.6" customHeight="1">
      <c r="A91" s="125" t="s">
        <v>767</v>
      </c>
      <c r="B91" s="125" t="s">
        <v>779</v>
      </c>
      <c r="C91" s="126" t="s">
        <v>769</v>
      </c>
      <c r="D91" s="127"/>
      <c r="E91" s="128" t="s">
        <v>1291</v>
      </c>
      <c r="F91" s="127">
        <v>6</v>
      </c>
      <c r="G91" s="127">
        <v>1</v>
      </c>
      <c r="H91" s="127">
        <v>6</v>
      </c>
      <c r="I91" s="127">
        <v>100</v>
      </c>
      <c r="J91" s="127">
        <v>6</v>
      </c>
      <c r="K91" s="127"/>
    </row>
    <row r="92" spans="1:11" ht="15.6" customHeight="1">
      <c r="A92" s="125" t="s">
        <v>767</v>
      </c>
      <c r="B92" s="125" t="s">
        <v>779</v>
      </c>
      <c r="C92" s="126" t="s">
        <v>769</v>
      </c>
      <c r="D92" s="127"/>
      <c r="E92" s="128" t="s">
        <v>1299</v>
      </c>
      <c r="F92" s="127">
        <v>8</v>
      </c>
      <c r="G92" s="127">
        <v>1</v>
      </c>
      <c r="H92" s="127">
        <v>8</v>
      </c>
      <c r="I92" s="127">
        <v>100</v>
      </c>
      <c r="J92" s="127">
        <v>8</v>
      </c>
      <c r="K92" s="127"/>
    </row>
    <row r="93" spans="1:11" ht="15.6" customHeight="1">
      <c r="A93" s="125" t="s">
        <v>767</v>
      </c>
      <c r="B93" s="125" t="s">
        <v>779</v>
      </c>
      <c r="C93" s="126" t="s">
        <v>769</v>
      </c>
      <c r="D93" s="127"/>
      <c r="E93" s="128" t="s">
        <v>1288</v>
      </c>
      <c r="F93" s="127">
        <v>4</v>
      </c>
      <c r="G93" s="127">
        <v>1</v>
      </c>
      <c r="H93" s="127">
        <v>4</v>
      </c>
      <c r="I93" s="127">
        <v>100</v>
      </c>
      <c r="J93" s="127">
        <v>4</v>
      </c>
      <c r="K93" s="127"/>
    </row>
    <row r="94" spans="1:11" ht="15.6" customHeight="1">
      <c r="A94" s="125" t="s">
        <v>767</v>
      </c>
      <c r="B94" s="125" t="s">
        <v>779</v>
      </c>
      <c r="C94" s="126" t="s">
        <v>769</v>
      </c>
      <c r="D94" s="127"/>
      <c r="E94" s="128" t="s">
        <v>1281</v>
      </c>
      <c r="F94" s="127">
        <v>2</v>
      </c>
      <c r="G94" s="127">
        <v>1</v>
      </c>
      <c r="H94" s="127">
        <v>2</v>
      </c>
      <c r="I94" s="127">
        <v>100</v>
      </c>
      <c r="J94" s="127">
        <v>2</v>
      </c>
      <c r="K94" s="127"/>
    </row>
    <row r="95" spans="1:11" ht="15.6" customHeight="1">
      <c r="A95" s="125" t="s">
        <v>767</v>
      </c>
      <c r="B95" s="125" t="s">
        <v>779</v>
      </c>
      <c r="C95" s="126" t="s">
        <v>769</v>
      </c>
      <c r="D95" s="127"/>
      <c r="E95" s="128" t="s">
        <v>1281</v>
      </c>
      <c r="F95" s="127">
        <v>2</v>
      </c>
      <c r="G95" s="127">
        <v>1</v>
      </c>
      <c r="H95" s="127">
        <v>2</v>
      </c>
      <c r="I95" s="127">
        <v>100</v>
      </c>
      <c r="J95" s="127">
        <v>2</v>
      </c>
      <c r="K95" s="127"/>
    </row>
    <row r="96" spans="1:11" ht="15.6" customHeight="1">
      <c r="A96" s="125" t="s">
        <v>767</v>
      </c>
      <c r="B96" s="125" t="s">
        <v>779</v>
      </c>
      <c r="C96" s="126" t="s">
        <v>769</v>
      </c>
      <c r="D96" s="127"/>
      <c r="E96" s="128" t="s">
        <v>1300</v>
      </c>
      <c r="F96" s="127">
        <v>12</v>
      </c>
      <c r="G96" s="127">
        <v>1</v>
      </c>
      <c r="H96" s="127">
        <v>12</v>
      </c>
      <c r="I96" s="127">
        <v>100</v>
      </c>
      <c r="J96" s="127">
        <v>12</v>
      </c>
      <c r="K96" s="127"/>
    </row>
    <row r="97" spans="1:11" ht="15.6" customHeight="1">
      <c r="A97" s="125" t="s">
        <v>767</v>
      </c>
      <c r="B97" s="125" t="s">
        <v>781</v>
      </c>
      <c r="C97" s="126" t="s">
        <v>769</v>
      </c>
      <c r="D97" s="127"/>
      <c r="E97" s="128" t="s">
        <v>1301</v>
      </c>
      <c r="F97" s="127">
        <v>18</v>
      </c>
      <c r="G97" s="127">
        <v>1</v>
      </c>
      <c r="H97" s="127">
        <v>18</v>
      </c>
      <c r="I97" s="127">
        <v>100</v>
      </c>
      <c r="J97" s="127">
        <v>18</v>
      </c>
      <c r="K97" s="127"/>
    </row>
    <row r="98" spans="1:11" ht="15.6" customHeight="1">
      <c r="A98" s="125" t="s">
        <v>767</v>
      </c>
      <c r="B98" s="125" t="s">
        <v>781</v>
      </c>
      <c r="C98" s="126" t="s">
        <v>769</v>
      </c>
      <c r="D98" s="127"/>
      <c r="E98" s="128">
        <v>2</v>
      </c>
      <c r="F98" s="127">
        <v>2</v>
      </c>
      <c r="G98" s="127">
        <v>1</v>
      </c>
      <c r="H98" s="127">
        <v>2</v>
      </c>
      <c r="I98" s="127">
        <v>100</v>
      </c>
      <c r="J98" s="127">
        <v>2</v>
      </c>
      <c r="K98" s="127"/>
    </row>
    <row r="99" spans="1:11" ht="15.6" customHeight="1">
      <c r="A99" s="125" t="s">
        <v>767</v>
      </c>
      <c r="B99" s="125" t="s">
        <v>781</v>
      </c>
      <c r="C99" s="126" t="s">
        <v>769</v>
      </c>
      <c r="D99" s="127"/>
      <c r="E99" s="128" t="s">
        <v>1302</v>
      </c>
      <c r="F99" s="127">
        <v>6</v>
      </c>
      <c r="G99" s="127">
        <v>1</v>
      </c>
      <c r="H99" s="127">
        <v>6</v>
      </c>
      <c r="I99" s="127">
        <v>100</v>
      </c>
      <c r="J99" s="127">
        <v>6</v>
      </c>
      <c r="K99" s="127"/>
    </row>
    <row r="100" spans="1:11" ht="15.6" customHeight="1">
      <c r="A100" s="125" t="s">
        <v>767</v>
      </c>
      <c r="B100" s="125" t="s">
        <v>781</v>
      </c>
      <c r="C100" s="126" t="s">
        <v>769</v>
      </c>
      <c r="D100" s="127"/>
      <c r="E100" s="128" t="s">
        <v>1281</v>
      </c>
      <c r="F100" s="127">
        <v>2</v>
      </c>
      <c r="G100" s="127">
        <v>1</v>
      </c>
      <c r="H100" s="127">
        <v>2</v>
      </c>
      <c r="I100" s="127">
        <v>100</v>
      </c>
      <c r="J100" s="127">
        <v>2</v>
      </c>
      <c r="K100" s="127"/>
    </row>
    <row r="101" spans="1:11" ht="15.6" customHeight="1">
      <c r="A101" s="125" t="s">
        <v>767</v>
      </c>
      <c r="B101" s="125" t="s">
        <v>781</v>
      </c>
      <c r="C101" s="126" t="s">
        <v>769</v>
      </c>
      <c r="D101" s="127"/>
      <c r="E101" s="128" t="s">
        <v>1303</v>
      </c>
      <c r="F101" s="127">
        <v>16</v>
      </c>
      <c r="G101" s="127">
        <v>1</v>
      </c>
      <c r="H101" s="127">
        <v>16</v>
      </c>
      <c r="I101" s="127">
        <v>100</v>
      </c>
      <c r="J101" s="127">
        <v>16</v>
      </c>
      <c r="K101" s="127"/>
    </row>
    <row r="102" spans="1:11" ht="15.6" customHeight="1">
      <c r="A102" s="125" t="s">
        <v>783</v>
      </c>
      <c r="B102" s="125" t="s">
        <v>784</v>
      </c>
      <c r="C102" s="126" t="s">
        <v>343</v>
      </c>
      <c r="D102" s="127"/>
      <c r="E102" s="128" t="s">
        <v>1281</v>
      </c>
      <c r="F102" s="127">
        <v>2</v>
      </c>
      <c r="G102" s="127">
        <v>1</v>
      </c>
      <c r="H102" s="127">
        <v>2</v>
      </c>
      <c r="I102" s="127">
        <v>100</v>
      </c>
      <c r="J102" s="127">
        <v>2</v>
      </c>
      <c r="K102" s="127"/>
    </row>
    <row r="103" spans="1:11" ht="15.6" customHeight="1">
      <c r="A103" s="178"/>
      <c r="B103" s="178"/>
      <c r="C103" s="179"/>
      <c r="D103" s="180"/>
      <c r="E103" s="181"/>
      <c r="F103" s="180"/>
      <c r="G103" s="180"/>
      <c r="H103" s="180"/>
      <c r="I103" s="180"/>
      <c r="J103" s="180"/>
      <c r="K103" s="180"/>
    </row>
    <row r="104" spans="1:11" ht="15.6" customHeight="1">
      <c r="A104" s="123" t="s">
        <v>1282</v>
      </c>
      <c r="E104" s="122"/>
    </row>
    <row r="105" spans="1:11" ht="15.6" customHeight="1">
      <c r="A105" s="242" t="s">
        <v>1267</v>
      </c>
      <c r="B105" s="242" t="s">
        <v>325</v>
      </c>
      <c r="C105" s="240" t="s">
        <v>326</v>
      </c>
      <c r="D105" s="240" t="s">
        <v>1268</v>
      </c>
      <c r="E105" s="240" t="s">
        <v>1269</v>
      </c>
      <c r="F105" s="240" t="s">
        <v>649</v>
      </c>
      <c r="G105" s="240" t="s">
        <v>769</v>
      </c>
      <c r="H105" s="240" t="s">
        <v>1270</v>
      </c>
      <c r="I105" s="240" t="s">
        <v>1271</v>
      </c>
      <c r="J105" s="240" t="s">
        <v>1272</v>
      </c>
      <c r="K105" s="240" t="s">
        <v>654</v>
      </c>
    </row>
    <row r="106" spans="1:11" ht="15.6" customHeight="1">
      <c r="A106" s="242"/>
      <c r="B106" s="242"/>
      <c r="C106" s="240"/>
      <c r="D106" s="240"/>
      <c r="E106" s="240"/>
      <c r="F106" s="240"/>
      <c r="G106" s="240"/>
      <c r="H106" s="240"/>
      <c r="I106" s="240"/>
      <c r="J106" s="240"/>
      <c r="K106" s="240"/>
    </row>
    <row r="107" spans="1:11" ht="15.6" customHeight="1">
      <c r="A107" s="241" t="s">
        <v>1283</v>
      </c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</row>
    <row r="108" spans="1:11" ht="15.6" customHeight="1">
      <c r="A108" s="125" t="s">
        <v>785</v>
      </c>
      <c r="B108" s="125" t="s">
        <v>786</v>
      </c>
      <c r="C108" s="126" t="s">
        <v>343</v>
      </c>
      <c r="D108" s="127"/>
      <c r="E108" s="128" t="s">
        <v>1281</v>
      </c>
      <c r="F108" s="127">
        <v>2</v>
      </c>
      <c r="G108" s="127">
        <v>1</v>
      </c>
      <c r="H108" s="127">
        <v>2</v>
      </c>
      <c r="I108" s="127">
        <v>100</v>
      </c>
      <c r="J108" s="127">
        <v>2</v>
      </c>
      <c r="K108" s="127"/>
    </row>
    <row r="109" spans="1:11" ht="15.6" customHeight="1">
      <c r="A109" s="125" t="s">
        <v>787</v>
      </c>
      <c r="B109" s="125" t="s">
        <v>788</v>
      </c>
      <c r="C109" s="126" t="s">
        <v>343</v>
      </c>
      <c r="D109" s="127"/>
      <c r="E109" s="128">
        <v>1</v>
      </c>
      <c r="F109" s="127">
        <v>1</v>
      </c>
      <c r="G109" s="127">
        <v>1</v>
      </c>
      <c r="H109" s="127">
        <v>1</v>
      </c>
      <c r="I109" s="127">
        <v>100</v>
      </c>
      <c r="J109" s="127">
        <v>1</v>
      </c>
      <c r="K109" s="127"/>
    </row>
    <row r="110" spans="1:11" ht="15.6" customHeight="1">
      <c r="A110" s="125" t="s">
        <v>787</v>
      </c>
      <c r="B110" s="125" t="s">
        <v>788</v>
      </c>
      <c r="C110" s="126" t="s">
        <v>343</v>
      </c>
      <c r="D110" s="127"/>
      <c r="E110" s="128">
        <v>1</v>
      </c>
      <c r="F110" s="127">
        <v>1</v>
      </c>
      <c r="G110" s="127">
        <v>1</v>
      </c>
      <c r="H110" s="127">
        <v>1</v>
      </c>
      <c r="I110" s="127">
        <v>100</v>
      </c>
      <c r="J110" s="127">
        <v>1</v>
      </c>
      <c r="K110" s="127"/>
    </row>
    <row r="111" spans="1:11" ht="15.6" customHeight="1">
      <c r="A111" s="125" t="s">
        <v>787</v>
      </c>
      <c r="B111" s="125" t="s">
        <v>789</v>
      </c>
      <c r="C111" s="126" t="s">
        <v>343</v>
      </c>
      <c r="D111" s="127"/>
      <c r="E111" s="128" t="s">
        <v>1281</v>
      </c>
      <c r="F111" s="127">
        <v>2</v>
      </c>
      <c r="G111" s="127">
        <v>1</v>
      </c>
      <c r="H111" s="127">
        <v>2</v>
      </c>
      <c r="I111" s="127">
        <v>100</v>
      </c>
      <c r="J111" s="127">
        <v>2</v>
      </c>
      <c r="K111" s="127"/>
    </row>
    <row r="112" spans="1:11" ht="15.6" customHeight="1">
      <c r="A112" s="125" t="s">
        <v>787</v>
      </c>
      <c r="B112" s="125" t="s">
        <v>789</v>
      </c>
      <c r="C112" s="126" t="s">
        <v>343</v>
      </c>
      <c r="D112" s="127"/>
      <c r="E112" s="128" t="s">
        <v>1281</v>
      </c>
      <c r="F112" s="127">
        <v>2</v>
      </c>
      <c r="G112" s="127">
        <v>1</v>
      </c>
      <c r="H112" s="127">
        <v>2</v>
      </c>
      <c r="I112" s="127">
        <v>100</v>
      </c>
      <c r="J112" s="127">
        <v>2</v>
      </c>
      <c r="K112" s="127"/>
    </row>
    <row r="113" spans="1:11" ht="15.6" customHeight="1">
      <c r="A113" s="125" t="s">
        <v>787</v>
      </c>
      <c r="B113" s="125" t="s">
        <v>786</v>
      </c>
      <c r="C113" s="126" t="s">
        <v>343</v>
      </c>
      <c r="D113" s="127"/>
      <c r="E113" s="128" t="s">
        <v>1281</v>
      </c>
      <c r="F113" s="127">
        <v>2</v>
      </c>
      <c r="G113" s="127">
        <v>1</v>
      </c>
      <c r="H113" s="127">
        <v>2</v>
      </c>
      <c r="I113" s="127">
        <v>100</v>
      </c>
      <c r="J113" s="127">
        <v>2</v>
      </c>
      <c r="K113" s="127"/>
    </row>
    <row r="114" spans="1:11" ht="15.6" customHeight="1">
      <c r="A114" s="125" t="s">
        <v>790</v>
      </c>
      <c r="B114" s="125" t="s">
        <v>791</v>
      </c>
      <c r="C114" s="126" t="s">
        <v>343</v>
      </c>
      <c r="D114" s="127"/>
      <c r="E114" s="128">
        <v>1</v>
      </c>
      <c r="F114" s="127">
        <v>1</v>
      </c>
      <c r="G114" s="127">
        <v>1</v>
      </c>
      <c r="H114" s="127">
        <v>1</v>
      </c>
      <c r="I114" s="127">
        <v>100</v>
      </c>
      <c r="J114" s="127">
        <v>1</v>
      </c>
      <c r="K114" s="127"/>
    </row>
    <row r="115" spans="1:11" ht="15.6" customHeight="1">
      <c r="A115" s="125" t="s">
        <v>790</v>
      </c>
      <c r="B115" s="125" t="s">
        <v>792</v>
      </c>
      <c r="C115" s="126" t="s">
        <v>343</v>
      </c>
      <c r="D115" s="127"/>
      <c r="E115" s="128" t="s">
        <v>1281</v>
      </c>
      <c r="F115" s="127">
        <v>2</v>
      </c>
      <c r="G115" s="127">
        <v>1</v>
      </c>
      <c r="H115" s="127">
        <v>2</v>
      </c>
      <c r="I115" s="127">
        <v>100</v>
      </c>
      <c r="J115" s="127">
        <v>2</v>
      </c>
      <c r="K115" s="127"/>
    </row>
    <row r="116" spans="1:11" ht="15.6" customHeight="1">
      <c r="A116" s="125" t="s">
        <v>790</v>
      </c>
      <c r="B116" s="125" t="s">
        <v>793</v>
      </c>
      <c r="C116" s="126" t="s">
        <v>343</v>
      </c>
      <c r="D116" s="127"/>
      <c r="E116" s="128">
        <v>1</v>
      </c>
      <c r="F116" s="127">
        <v>1</v>
      </c>
      <c r="G116" s="127">
        <v>1</v>
      </c>
      <c r="H116" s="127">
        <v>1</v>
      </c>
      <c r="I116" s="127">
        <v>100</v>
      </c>
      <c r="J116" s="127">
        <v>1</v>
      </c>
      <c r="K116" s="127"/>
    </row>
    <row r="117" spans="1:11" ht="15.6" customHeight="1">
      <c r="A117" s="125" t="s">
        <v>794</v>
      </c>
      <c r="B117" s="125" t="s">
        <v>1304</v>
      </c>
      <c r="C117" s="126" t="s">
        <v>343</v>
      </c>
      <c r="D117" s="127"/>
      <c r="E117" s="128">
        <v>1</v>
      </c>
      <c r="F117" s="127">
        <v>1</v>
      </c>
      <c r="G117" s="127">
        <v>1</v>
      </c>
      <c r="H117" s="127">
        <v>1</v>
      </c>
      <c r="I117" s="127">
        <v>100</v>
      </c>
      <c r="J117" s="127">
        <v>1</v>
      </c>
      <c r="K117" s="127"/>
    </row>
    <row r="118" spans="1:11" ht="15.6" customHeight="1">
      <c r="A118" s="125" t="s">
        <v>794</v>
      </c>
      <c r="B118" s="125" t="s">
        <v>1304</v>
      </c>
      <c r="C118" s="126" t="s">
        <v>343</v>
      </c>
      <c r="D118" s="127"/>
      <c r="E118" s="128">
        <v>1</v>
      </c>
      <c r="F118" s="127">
        <v>1</v>
      </c>
      <c r="G118" s="127">
        <v>1</v>
      </c>
      <c r="H118" s="127">
        <v>1</v>
      </c>
      <c r="I118" s="127">
        <v>100</v>
      </c>
      <c r="J118" s="127">
        <v>1</v>
      </c>
      <c r="K118" s="127"/>
    </row>
    <row r="119" spans="1:11" ht="15.6" customHeight="1">
      <c r="A119" s="125" t="s">
        <v>794</v>
      </c>
      <c r="B119" s="125" t="s">
        <v>1305</v>
      </c>
      <c r="C119" s="126" t="s">
        <v>343</v>
      </c>
      <c r="D119" s="127"/>
      <c r="E119" s="128" t="s">
        <v>1281</v>
      </c>
      <c r="F119" s="127">
        <v>2</v>
      </c>
      <c r="G119" s="127">
        <v>1</v>
      </c>
      <c r="H119" s="127">
        <v>2</v>
      </c>
      <c r="I119" s="127">
        <v>100</v>
      </c>
      <c r="J119" s="127">
        <v>2</v>
      </c>
      <c r="K119" s="127"/>
    </row>
    <row r="120" spans="1:11" ht="15.6" customHeight="1">
      <c r="A120" s="125" t="s">
        <v>794</v>
      </c>
      <c r="B120" s="125" t="s">
        <v>1305</v>
      </c>
      <c r="C120" s="126" t="s">
        <v>343</v>
      </c>
      <c r="D120" s="127"/>
      <c r="E120" s="128" t="s">
        <v>1281</v>
      </c>
      <c r="F120" s="127">
        <v>2</v>
      </c>
      <c r="G120" s="127">
        <v>1</v>
      </c>
      <c r="H120" s="127">
        <v>2</v>
      </c>
      <c r="I120" s="127">
        <v>100</v>
      </c>
      <c r="J120" s="127">
        <v>2</v>
      </c>
      <c r="K120" s="127"/>
    </row>
    <row r="121" spans="1:11" ht="15.6" customHeight="1">
      <c r="A121" s="125" t="s">
        <v>797</v>
      </c>
      <c r="B121" s="125" t="s">
        <v>798</v>
      </c>
      <c r="C121" s="126" t="s">
        <v>343</v>
      </c>
      <c r="D121" s="127"/>
      <c r="E121" s="128">
        <v>1</v>
      </c>
      <c r="F121" s="127">
        <v>1</v>
      </c>
      <c r="G121" s="127">
        <v>1</v>
      </c>
      <c r="H121" s="127">
        <v>1</v>
      </c>
      <c r="I121" s="127">
        <v>100</v>
      </c>
      <c r="J121" s="127">
        <v>1</v>
      </c>
      <c r="K121" s="127"/>
    </row>
    <row r="122" spans="1:11" ht="15.6" customHeight="1">
      <c r="A122" s="125" t="s">
        <v>797</v>
      </c>
      <c r="B122" s="125" t="s">
        <v>799</v>
      </c>
      <c r="C122" s="126" t="s">
        <v>343</v>
      </c>
      <c r="D122" s="127"/>
      <c r="E122" s="128" t="s">
        <v>1281</v>
      </c>
      <c r="F122" s="127">
        <v>2</v>
      </c>
      <c r="G122" s="127">
        <v>1</v>
      </c>
      <c r="H122" s="127">
        <v>2</v>
      </c>
      <c r="I122" s="127">
        <v>100</v>
      </c>
      <c r="J122" s="127">
        <v>2</v>
      </c>
      <c r="K122" s="127"/>
    </row>
    <row r="123" spans="1:11" ht="15.6" customHeight="1">
      <c r="A123" s="125" t="s">
        <v>800</v>
      </c>
      <c r="B123" s="125" t="s">
        <v>771</v>
      </c>
      <c r="C123" s="126" t="s">
        <v>769</v>
      </c>
      <c r="D123" s="127"/>
      <c r="E123" s="128">
        <v>1</v>
      </c>
      <c r="F123" s="127">
        <v>1</v>
      </c>
      <c r="G123" s="127">
        <v>1</v>
      </c>
      <c r="H123" s="127">
        <v>1</v>
      </c>
      <c r="I123" s="127">
        <v>100</v>
      </c>
      <c r="J123" s="127">
        <v>1</v>
      </c>
      <c r="K123" s="127"/>
    </row>
    <row r="124" spans="1:11" ht="15.6" customHeight="1">
      <c r="A124" s="125" t="s">
        <v>800</v>
      </c>
      <c r="B124" s="125" t="s">
        <v>771</v>
      </c>
      <c r="C124" s="126" t="s">
        <v>769</v>
      </c>
      <c r="D124" s="127"/>
      <c r="E124" s="128">
        <v>1</v>
      </c>
      <c r="F124" s="127">
        <v>1</v>
      </c>
      <c r="G124" s="127">
        <v>1</v>
      </c>
      <c r="H124" s="127">
        <v>1</v>
      </c>
      <c r="I124" s="127">
        <v>100</v>
      </c>
      <c r="J124" s="127">
        <v>1</v>
      </c>
      <c r="K124" s="127"/>
    </row>
    <row r="125" spans="1:11" ht="15.6" customHeight="1">
      <c r="A125" s="125" t="s">
        <v>800</v>
      </c>
      <c r="B125" s="125" t="s">
        <v>773</v>
      </c>
      <c r="C125" s="126" t="s">
        <v>769</v>
      </c>
      <c r="D125" s="127"/>
      <c r="E125" s="128">
        <v>7</v>
      </c>
      <c r="F125" s="127">
        <v>7</v>
      </c>
      <c r="G125" s="127">
        <v>1</v>
      </c>
      <c r="H125" s="127">
        <v>7</v>
      </c>
      <c r="I125" s="127">
        <v>100</v>
      </c>
      <c r="J125" s="127">
        <v>7</v>
      </c>
      <c r="K125" s="127"/>
    </row>
    <row r="126" spans="1:11" ht="15.6" customHeight="1">
      <c r="A126" s="125" t="s">
        <v>800</v>
      </c>
      <c r="B126" s="125" t="s">
        <v>773</v>
      </c>
      <c r="C126" s="126" t="s">
        <v>769</v>
      </c>
      <c r="D126" s="127"/>
      <c r="E126" s="128">
        <v>7</v>
      </c>
      <c r="F126" s="127">
        <v>7</v>
      </c>
      <c r="G126" s="127">
        <v>1</v>
      </c>
      <c r="H126" s="127">
        <v>7</v>
      </c>
      <c r="I126" s="127">
        <v>100</v>
      </c>
      <c r="J126" s="127">
        <v>7</v>
      </c>
      <c r="K126" s="127"/>
    </row>
    <row r="127" spans="1:11" ht="15.6" customHeight="1">
      <c r="A127" s="125" t="s">
        <v>800</v>
      </c>
      <c r="B127" s="125" t="s">
        <v>777</v>
      </c>
      <c r="C127" s="126" t="s">
        <v>769</v>
      </c>
      <c r="D127" s="127"/>
      <c r="E127" s="128" t="s">
        <v>1281</v>
      </c>
      <c r="F127" s="127">
        <v>2</v>
      </c>
      <c r="G127" s="127">
        <v>1</v>
      </c>
      <c r="H127" s="127">
        <v>2</v>
      </c>
      <c r="I127" s="127">
        <v>100</v>
      </c>
      <c r="J127" s="127">
        <v>2</v>
      </c>
      <c r="K127" s="127"/>
    </row>
    <row r="128" spans="1:11" ht="15.6" customHeight="1">
      <c r="A128" s="125" t="s">
        <v>800</v>
      </c>
      <c r="B128" s="125" t="s">
        <v>779</v>
      </c>
      <c r="C128" s="126" t="s">
        <v>769</v>
      </c>
      <c r="D128" s="127"/>
      <c r="E128" s="128" t="s">
        <v>1306</v>
      </c>
      <c r="F128" s="127">
        <v>14</v>
      </c>
      <c r="G128" s="127">
        <v>1</v>
      </c>
      <c r="H128" s="127">
        <v>14</v>
      </c>
      <c r="I128" s="127">
        <v>100</v>
      </c>
      <c r="J128" s="127">
        <v>14</v>
      </c>
      <c r="K128" s="127"/>
    </row>
    <row r="129" spans="1:11" ht="15.6" customHeight="1">
      <c r="A129" s="125" t="s">
        <v>800</v>
      </c>
      <c r="B129" s="125" t="s">
        <v>781</v>
      </c>
      <c r="C129" s="126" t="s">
        <v>769</v>
      </c>
      <c r="D129" s="127"/>
      <c r="E129" s="128" t="s">
        <v>1306</v>
      </c>
      <c r="F129" s="127">
        <v>14</v>
      </c>
      <c r="G129" s="127">
        <v>1</v>
      </c>
      <c r="H129" s="127">
        <v>14</v>
      </c>
      <c r="I129" s="127">
        <v>100</v>
      </c>
      <c r="J129" s="127">
        <v>14</v>
      </c>
      <c r="K129" s="127"/>
    </row>
    <row r="130" spans="1:11" ht="15.6" customHeight="1">
      <c r="A130" s="125" t="s">
        <v>800</v>
      </c>
      <c r="B130" s="125" t="s">
        <v>781</v>
      </c>
      <c r="C130" s="126" t="s">
        <v>769</v>
      </c>
      <c r="D130" s="127"/>
      <c r="E130" s="128" t="s">
        <v>1306</v>
      </c>
      <c r="F130" s="127">
        <v>14</v>
      </c>
      <c r="G130" s="127">
        <v>1</v>
      </c>
      <c r="H130" s="127">
        <v>14</v>
      </c>
      <c r="I130" s="127">
        <v>100</v>
      </c>
      <c r="J130" s="127">
        <v>14</v>
      </c>
      <c r="K130" s="127"/>
    </row>
    <row r="131" spans="1:11" ht="15.6" customHeight="1">
      <c r="A131" s="125" t="s">
        <v>806</v>
      </c>
      <c r="B131" s="125" t="s">
        <v>1307</v>
      </c>
      <c r="C131" s="126" t="s">
        <v>343</v>
      </c>
      <c r="D131" s="127"/>
      <c r="E131" s="128" t="s">
        <v>1288</v>
      </c>
      <c r="F131" s="127">
        <v>4</v>
      </c>
      <c r="G131" s="127">
        <v>1</v>
      </c>
      <c r="H131" s="127">
        <v>4</v>
      </c>
      <c r="I131" s="127">
        <v>100</v>
      </c>
      <c r="J131" s="127">
        <v>4</v>
      </c>
      <c r="K131" s="127"/>
    </row>
    <row r="132" spans="1:11" ht="15.6" customHeight="1">
      <c r="A132" s="125" t="s">
        <v>806</v>
      </c>
      <c r="B132" s="125" t="s">
        <v>1307</v>
      </c>
      <c r="C132" s="126" t="s">
        <v>343</v>
      </c>
      <c r="D132" s="127"/>
      <c r="E132" s="128">
        <v>1</v>
      </c>
      <c r="F132" s="127">
        <v>1</v>
      </c>
      <c r="G132" s="127">
        <v>1</v>
      </c>
      <c r="H132" s="127">
        <v>1</v>
      </c>
      <c r="I132" s="127">
        <v>100</v>
      </c>
      <c r="J132" s="127">
        <v>1</v>
      </c>
      <c r="K132" s="127"/>
    </row>
    <row r="133" spans="1:11" ht="15.6" customHeight="1">
      <c r="A133" s="125" t="s">
        <v>861</v>
      </c>
      <c r="B133" s="125" t="s">
        <v>1308</v>
      </c>
      <c r="C133" s="126" t="s">
        <v>343</v>
      </c>
      <c r="D133" s="127"/>
      <c r="E133" s="128" t="s">
        <v>1281</v>
      </c>
      <c r="F133" s="127">
        <v>2</v>
      </c>
      <c r="G133" s="127">
        <v>1</v>
      </c>
      <c r="H133" s="127">
        <v>2</v>
      </c>
      <c r="I133" s="127">
        <v>100</v>
      </c>
      <c r="J133" s="127">
        <v>2</v>
      </c>
      <c r="K133" s="127"/>
    </row>
    <row r="134" spans="1:11" ht="15.6" customHeight="1">
      <c r="A134" s="125" t="s">
        <v>809</v>
      </c>
      <c r="B134" s="125" t="s">
        <v>810</v>
      </c>
      <c r="C134" s="126" t="s">
        <v>769</v>
      </c>
      <c r="D134" s="127"/>
      <c r="E134" s="128">
        <v>1</v>
      </c>
      <c r="F134" s="127">
        <v>1</v>
      </c>
      <c r="G134" s="127">
        <v>1</v>
      </c>
      <c r="H134" s="127">
        <v>1</v>
      </c>
      <c r="I134" s="127">
        <v>100</v>
      </c>
      <c r="J134" s="127">
        <v>1</v>
      </c>
      <c r="K134" s="127"/>
    </row>
    <row r="135" spans="1:11" ht="15.6" customHeight="1">
      <c r="A135" s="125" t="s">
        <v>809</v>
      </c>
      <c r="B135" s="125" t="s">
        <v>810</v>
      </c>
      <c r="C135" s="126" t="s">
        <v>769</v>
      </c>
      <c r="D135" s="127"/>
      <c r="E135" s="128" t="s">
        <v>1281</v>
      </c>
      <c r="F135" s="127">
        <v>2</v>
      </c>
      <c r="G135" s="127">
        <v>1</v>
      </c>
      <c r="H135" s="127">
        <v>2</v>
      </c>
      <c r="I135" s="127">
        <v>100</v>
      </c>
      <c r="J135" s="127">
        <v>2</v>
      </c>
      <c r="K135" s="127"/>
    </row>
    <row r="136" spans="1:11" ht="15.6" customHeight="1">
      <c r="A136" s="125" t="s">
        <v>809</v>
      </c>
      <c r="B136" s="125" t="s">
        <v>810</v>
      </c>
      <c r="C136" s="126" t="s">
        <v>769</v>
      </c>
      <c r="D136" s="127"/>
      <c r="E136" s="128" t="s">
        <v>1281</v>
      </c>
      <c r="F136" s="127">
        <v>2</v>
      </c>
      <c r="G136" s="127">
        <v>1</v>
      </c>
      <c r="H136" s="127">
        <v>2</v>
      </c>
      <c r="I136" s="127">
        <v>100</v>
      </c>
      <c r="J136" s="127">
        <v>2</v>
      </c>
      <c r="K136" s="127"/>
    </row>
    <row r="137" spans="1:11" ht="15.6" customHeight="1">
      <c r="A137" s="178"/>
      <c r="B137" s="178"/>
      <c r="C137" s="179"/>
      <c r="D137" s="180"/>
      <c r="E137" s="181"/>
      <c r="F137" s="180"/>
      <c r="G137" s="180"/>
      <c r="H137" s="180"/>
      <c r="I137" s="180"/>
      <c r="J137" s="180"/>
      <c r="K137" s="180"/>
    </row>
    <row r="138" spans="1:11" ht="15.6" customHeight="1">
      <c r="A138" s="123" t="s">
        <v>1282</v>
      </c>
      <c r="E138" s="122"/>
    </row>
    <row r="139" spans="1:11" ht="15.6" customHeight="1">
      <c r="A139" s="242" t="s">
        <v>1267</v>
      </c>
      <c r="B139" s="242" t="s">
        <v>325</v>
      </c>
      <c r="C139" s="240" t="s">
        <v>326</v>
      </c>
      <c r="D139" s="240" t="s">
        <v>1268</v>
      </c>
      <c r="E139" s="240" t="s">
        <v>1269</v>
      </c>
      <c r="F139" s="240" t="s">
        <v>649</v>
      </c>
      <c r="G139" s="240" t="s">
        <v>769</v>
      </c>
      <c r="H139" s="240" t="s">
        <v>1270</v>
      </c>
      <c r="I139" s="240" t="s">
        <v>1271</v>
      </c>
      <c r="J139" s="240" t="s">
        <v>1272</v>
      </c>
      <c r="K139" s="240" t="s">
        <v>654</v>
      </c>
    </row>
    <row r="140" spans="1:11" ht="15.6" customHeight="1">
      <c r="A140" s="242"/>
      <c r="B140" s="242"/>
      <c r="C140" s="240"/>
      <c r="D140" s="240"/>
      <c r="E140" s="240"/>
      <c r="F140" s="240"/>
      <c r="G140" s="240"/>
      <c r="H140" s="240"/>
      <c r="I140" s="240"/>
      <c r="J140" s="240"/>
      <c r="K140" s="240"/>
    </row>
    <row r="141" spans="1:11" ht="15.6" customHeight="1">
      <c r="A141" s="241" t="s">
        <v>1283</v>
      </c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</row>
    <row r="142" spans="1:11" ht="15.6" customHeight="1">
      <c r="A142" s="125" t="s">
        <v>809</v>
      </c>
      <c r="B142" s="125" t="s">
        <v>810</v>
      </c>
      <c r="C142" s="126" t="s">
        <v>769</v>
      </c>
      <c r="D142" s="127"/>
      <c r="E142" s="128">
        <v>1</v>
      </c>
      <c r="F142" s="127">
        <v>1</v>
      </c>
      <c r="G142" s="127">
        <v>1</v>
      </c>
      <c r="H142" s="127">
        <v>1</v>
      </c>
      <c r="I142" s="127">
        <v>100</v>
      </c>
      <c r="J142" s="127">
        <v>1</v>
      </c>
      <c r="K142" s="127"/>
    </row>
    <row r="143" spans="1:11" ht="15.6" customHeight="1">
      <c r="A143" s="125" t="s">
        <v>1309</v>
      </c>
      <c r="B143" s="125" t="s">
        <v>813</v>
      </c>
      <c r="C143" s="126" t="s">
        <v>343</v>
      </c>
      <c r="D143" s="127"/>
      <c r="E143" s="128">
        <v>1</v>
      </c>
      <c r="F143" s="127">
        <v>1</v>
      </c>
      <c r="G143" s="127">
        <v>1</v>
      </c>
      <c r="H143" s="127">
        <v>1</v>
      </c>
      <c r="I143" s="127">
        <v>100</v>
      </c>
      <c r="J143" s="127">
        <v>1</v>
      </c>
      <c r="K143" s="127"/>
    </row>
    <row r="144" spans="1:11" ht="15.6" customHeight="1">
      <c r="A144" s="125" t="s">
        <v>1309</v>
      </c>
      <c r="B144" s="125" t="s">
        <v>814</v>
      </c>
      <c r="C144" s="126" t="s">
        <v>343</v>
      </c>
      <c r="D144" s="127"/>
      <c r="E144" s="128" t="s">
        <v>1281</v>
      </c>
      <c r="F144" s="127">
        <v>2</v>
      </c>
      <c r="G144" s="127">
        <v>1</v>
      </c>
      <c r="H144" s="127">
        <v>2</v>
      </c>
      <c r="I144" s="127">
        <v>100</v>
      </c>
      <c r="J144" s="127">
        <v>2</v>
      </c>
      <c r="K144" s="127"/>
    </row>
    <row r="145" spans="1:11" ht="15.6" customHeight="1">
      <c r="A145" s="125" t="s">
        <v>815</v>
      </c>
      <c r="B145" s="125" t="s">
        <v>816</v>
      </c>
      <c r="C145" s="126" t="s">
        <v>769</v>
      </c>
      <c r="D145" s="127"/>
      <c r="E145" s="128" t="s">
        <v>1310</v>
      </c>
      <c r="F145" s="127">
        <v>1</v>
      </c>
      <c r="G145" s="127">
        <v>1</v>
      </c>
      <c r="H145" s="127">
        <v>1</v>
      </c>
      <c r="I145" s="127">
        <v>100</v>
      </c>
      <c r="J145" s="127">
        <v>1</v>
      </c>
      <c r="K145" s="127"/>
    </row>
    <row r="146" spans="1:11" ht="15.6" customHeight="1">
      <c r="A146" s="125" t="s">
        <v>815</v>
      </c>
      <c r="B146" s="125" t="s">
        <v>818</v>
      </c>
      <c r="C146" s="126" t="s">
        <v>769</v>
      </c>
      <c r="D146" s="127"/>
      <c r="E146" s="128" t="s">
        <v>1311</v>
      </c>
      <c r="F146" s="127">
        <v>2</v>
      </c>
      <c r="G146" s="127">
        <v>1</v>
      </c>
      <c r="H146" s="127">
        <v>2</v>
      </c>
      <c r="I146" s="127">
        <v>100</v>
      </c>
      <c r="J146" s="127">
        <v>2</v>
      </c>
      <c r="K146" s="127"/>
    </row>
    <row r="147" spans="1:11" ht="15.6" customHeight="1">
      <c r="A147" s="125" t="s">
        <v>815</v>
      </c>
      <c r="B147" s="125" t="s">
        <v>779</v>
      </c>
      <c r="C147" s="126" t="s">
        <v>769</v>
      </c>
      <c r="D147" s="127"/>
      <c r="E147" s="128" t="s">
        <v>1312</v>
      </c>
      <c r="F147" s="127">
        <v>3</v>
      </c>
      <c r="G147" s="127">
        <v>1</v>
      </c>
      <c r="H147" s="127">
        <v>3</v>
      </c>
      <c r="I147" s="127">
        <v>100</v>
      </c>
      <c r="J147" s="127">
        <v>3</v>
      </c>
      <c r="K147" s="127"/>
    </row>
    <row r="148" spans="1:11" ht="15.6" customHeight="1">
      <c r="A148" s="125" t="s">
        <v>815</v>
      </c>
      <c r="B148" s="125" t="s">
        <v>781</v>
      </c>
      <c r="C148" s="126" t="s">
        <v>769</v>
      </c>
      <c r="D148" s="127"/>
      <c r="E148" s="128" t="s">
        <v>1313</v>
      </c>
      <c r="F148" s="127">
        <v>5</v>
      </c>
      <c r="G148" s="127">
        <v>1</v>
      </c>
      <c r="H148" s="127">
        <v>5</v>
      </c>
      <c r="I148" s="127">
        <v>100</v>
      </c>
      <c r="J148" s="127">
        <v>5</v>
      </c>
      <c r="K148" s="127"/>
    </row>
    <row r="149" spans="1:11" ht="15.6" customHeight="1">
      <c r="A149" s="125" t="s">
        <v>822</v>
      </c>
      <c r="B149" s="125" t="s">
        <v>823</v>
      </c>
      <c r="C149" s="126" t="s">
        <v>343</v>
      </c>
      <c r="D149" s="127"/>
      <c r="E149" s="128" t="s">
        <v>1281</v>
      </c>
      <c r="F149" s="127">
        <v>2</v>
      </c>
      <c r="G149" s="127">
        <v>1</v>
      </c>
      <c r="H149" s="127">
        <v>2</v>
      </c>
      <c r="I149" s="127">
        <v>100</v>
      </c>
      <c r="J149" s="127">
        <v>2</v>
      </c>
      <c r="K149" s="127"/>
    </row>
    <row r="150" spans="1:11" ht="15.6" customHeight="1">
      <c r="A150" s="125" t="s">
        <v>824</v>
      </c>
      <c r="B150" s="125" t="s">
        <v>825</v>
      </c>
      <c r="C150" s="126" t="s">
        <v>343</v>
      </c>
      <c r="D150" s="127"/>
      <c r="E150" s="128">
        <v>1</v>
      </c>
      <c r="F150" s="127">
        <v>1</v>
      </c>
      <c r="G150" s="127">
        <v>1</v>
      </c>
      <c r="H150" s="127">
        <v>1</v>
      </c>
      <c r="I150" s="127">
        <v>100</v>
      </c>
      <c r="J150" s="127">
        <v>1</v>
      </c>
      <c r="K150" s="127"/>
    </row>
    <row r="151" spans="1:11" ht="15.6" customHeight="1">
      <c r="A151" s="125" t="s">
        <v>824</v>
      </c>
      <c r="B151" s="125" t="s">
        <v>826</v>
      </c>
      <c r="C151" s="126" t="s">
        <v>343</v>
      </c>
      <c r="D151" s="127"/>
      <c r="E151" s="128">
        <v>2</v>
      </c>
      <c r="F151" s="127">
        <v>2</v>
      </c>
      <c r="G151" s="127">
        <v>1</v>
      </c>
      <c r="H151" s="127">
        <v>2</v>
      </c>
      <c r="I151" s="127">
        <v>100</v>
      </c>
      <c r="J151" s="127">
        <v>2</v>
      </c>
      <c r="K151" s="127"/>
    </row>
    <row r="152" spans="1:11" ht="15.6" customHeight="1">
      <c r="A152" s="125" t="s">
        <v>827</v>
      </c>
      <c r="B152" s="125" t="s">
        <v>828</v>
      </c>
      <c r="C152" s="126" t="s">
        <v>769</v>
      </c>
      <c r="D152" s="127"/>
      <c r="E152" s="128">
        <v>1</v>
      </c>
      <c r="F152" s="127">
        <v>1</v>
      </c>
      <c r="G152" s="127">
        <v>1</v>
      </c>
      <c r="H152" s="127">
        <v>1</v>
      </c>
      <c r="I152" s="127">
        <v>100</v>
      </c>
      <c r="J152" s="127">
        <v>1</v>
      </c>
      <c r="K152" s="127"/>
    </row>
    <row r="153" spans="1:11" ht="15.6" customHeight="1">
      <c r="A153" s="125" t="s">
        <v>827</v>
      </c>
      <c r="B153" s="125" t="s">
        <v>830</v>
      </c>
      <c r="C153" s="126" t="s">
        <v>769</v>
      </c>
      <c r="D153" s="127"/>
      <c r="E153" s="128">
        <v>2</v>
      </c>
      <c r="F153" s="127">
        <v>2</v>
      </c>
      <c r="G153" s="127">
        <v>1</v>
      </c>
      <c r="H153" s="127">
        <v>2</v>
      </c>
      <c r="I153" s="127">
        <v>100</v>
      </c>
      <c r="J153" s="127">
        <v>2</v>
      </c>
      <c r="K153" s="127"/>
    </row>
    <row r="154" spans="1:11" ht="15.6" customHeight="1">
      <c r="A154" s="125" t="s">
        <v>832</v>
      </c>
      <c r="B154" s="125" t="s">
        <v>833</v>
      </c>
      <c r="C154" s="126" t="s">
        <v>366</v>
      </c>
      <c r="D154" s="127"/>
      <c r="E154" s="128">
        <v>1</v>
      </c>
      <c r="F154" s="127">
        <v>1</v>
      </c>
      <c r="G154" s="127">
        <v>1</v>
      </c>
      <c r="H154" s="127">
        <v>1</v>
      </c>
      <c r="I154" s="127">
        <v>100</v>
      </c>
      <c r="J154" s="127">
        <v>1</v>
      </c>
      <c r="K154" s="127"/>
    </row>
    <row r="155" spans="1:11" ht="15.6" customHeight="1">
      <c r="A155" s="125" t="s">
        <v>834</v>
      </c>
      <c r="B155" s="125" t="s">
        <v>835</v>
      </c>
      <c r="C155" s="126" t="s">
        <v>343</v>
      </c>
      <c r="D155" s="127"/>
      <c r="E155" s="128">
        <v>1</v>
      </c>
      <c r="F155" s="127">
        <v>1</v>
      </c>
      <c r="G155" s="127">
        <v>1</v>
      </c>
      <c r="H155" s="127">
        <v>1</v>
      </c>
      <c r="I155" s="127">
        <v>100</v>
      </c>
      <c r="J155" s="127">
        <v>1</v>
      </c>
      <c r="K155" s="127"/>
    </row>
    <row r="156" spans="1:11" ht="15.6" customHeight="1">
      <c r="A156" s="125" t="s">
        <v>836</v>
      </c>
      <c r="B156" s="125" t="s">
        <v>837</v>
      </c>
      <c r="C156" s="126" t="s">
        <v>343</v>
      </c>
      <c r="D156" s="127"/>
      <c r="E156" s="128">
        <v>1</v>
      </c>
      <c r="F156" s="127">
        <v>1</v>
      </c>
      <c r="G156" s="127">
        <v>1</v>
      </c>
      <c r="H156" s="127">
        <v>1</v>
      </c>
      <c r="I156" s="127">
        <v>100</v>
      </c>
      <c r="J156" s="127">
        <v>1</v>
      </c>
      <c r="K156" s="127"/>
    </row>
    <row r="157" spans="1:11" ht="15.6" customHeight="1">
      <c r="A157" s="124"/>
      <c r="B157" s="124"/>
      <c r="C157" s="129"/>
      <c r="D157" s="129"/>
      <c r="E157" s="130"/>
      <c r="F157" s="129"/>
      <c r="G157" s="129"/>
      <c r="H157" s="129"/>
      <c r="I157" s="129"/>
      <c r="J157" s="129"/>
      <c r="K157" s="129"/>
    </row>
    <row r="158" spans="1:11" ht="15.6" customHeight="1">
      <c r="A158" s="124"/>
      <c r="B158" s="124"/>
      <c r="C158" s="129"/>
      <c r="D158" s="129"/>
      <c r="E158" s="130"/>
      <c r="F158" s="129"/>
      <c r="G158" s="129"/>
      <c r="H158" s="129"/>
      <c r="I158" s="129"/>
      <c r="J158" s="129"/>
      <c r="K158" s="129"/>
    </row>
    <row r="159" spans="1:11" ht="15.6" customHeight="1">
      <c r="A159" s="124"/>
      <c r="B159" s="124"/>
      <c r="C159" s="129"/>
      <c r="D159" s="129"/>
      <c r="E159" s="130"/>
      <c r="F159" s="129"/>
      <c r="G159" s="129"/>
      <c r="H159" s="129"/>
      <c r="I159" s="129"/>
      <c r="J159" s="129"/>
      <c r="K159" s="129"/>
    </row>
    <row r="160" spans="1:11" ht="15.6" customHeight="1">
      <c r="A160" s="124"/>
      <c r="B160" s="124"/>
      <c r="C160" s="129"/>
      <c r="D160" s="129"/>
      <c r="E160" s="130"/>
      <c r="F160" s="129"/>
      <c r="G160" s="129"/>
      <c r="H160" s="129"/>
      <c r="I160" s="129"/>
      <c r="J160" s="129"/>
      <c r="K160" s="129"/>
    </row>
    <row r="161" spans="1:11" ht="15.6" customHeight="1">
      <c r="A161" s="124"/>
      <c r="B161" s="124"/>
      <c r="C161" s="129"/>
      <c r="D161" s="129"/>
      <c r="E161" s="130"/>
      <c r="F161" s="129"/>
      <c r="G161" s="129"/>
      <c r="H161" s="129"/>
      <c r="I161" s="129"/>
      <c r="J161" s="129"/>
      <c r="K161" s="129"/>
    </row>
    <row r="162" spans="1:11" ht="15.6" customHeight="1">
      <c r="A162" s="124"/>
      <c r="B162" s="124"/>
      <c r="C162" s="129"/>
      <c r="D162" s="129"/>
      <c r="E162" s="130"/>
      <c r="F162" s="129"/>
      <c r="G162" s="129"/>
      <c r="H162" s="129"/>
      <c r="I162" s="129"/>
      <c r="J162" s="129"/>
      <c r="K162" s="129"/>
    </row>
    <row r="163" spans="1:11" ht="15.6" customHeight="1">
      <c r="A163" s="124"/>
      <c r="B163" s="124"/>
      <c r="C163" s="129"/>
      <c r="D163" s="129"/>
      <c r="E163" s="130"/>
      <c r="F163" s="129"/>
      <c r="G163" s="129"/>
      <c r="H163" s="129"/>
      <c r="I163" s="129"/>
      <c r="J163" s="129"/>
      <c r="K163" s="129"/>
    </row>
    <row r="164" spans="1:11" ht="15.6" customHeight="1">
      <c r="A164" s="124"/>
      <c r="B164" s="124"/>
      <c r="C164" s="129"/>
      <c r="D164" s="129"/>
      <c r="E164" s="130"/>
      <c r="F164" s="129"/>
      <c r="G164" s="129"/>
      <c r="H164" s="129"/>
      <c r="I164" s="129"/>
      <c r="J164" s="129"/>
      <c r="K164" s="129"/>
    </row>
    <row r="165" spans="1:11" ht="15.6" customHeight="1">
      <c r="A165" s="124"/>
      <c r="B165" s="124"/>
      <c r="C165" s="129"/>
      <c r="D165" s="129"/>
      <c r="E165" s="130"/>
      <c r="F165" s="129"/>
      <c r="G165" s="129"/>
      <c r="H165" s="129"/>
      <c r="I165" s="129"/>
      <c r="J165" s="129"/>
      <c r="K165" s="129"/>
    </row>
    <row r="166" spans="1:11" ht="15.6" customHeight="1">
      <c r="A166" s="124"/>
      <c r="B166" s="124"/>
      <c r="C166" s="129"/>
      <c r="D166" s="129"/>
      <c r="E166" s="130"/>
      <c r="F166" s="129"/>
      <c r="G166" s="129"/>
      <c r="H166" s="129"/>
      <c r="I166" s="129"/>
      <c r="J166" s="129"/>
      <c r="K166" s="129"/>
    </row>
    <row r="167" spans="1:11" ht="15.6" customHeight="1">
      <c r="A167" s="124"/>
      <c r="B167" s="124"/>
      <c r="C167" s="129"/>
      <c r="D167" s="129"/>
      <c r="E167" s="130"/>
      <c r="F167" s="129"/>
      <c r="G167" s="129"/>
      <c r="H167" s="129"/>
      <c r="I167" s="129"/>
      <c r="J167" s="129"/>
      <c r="K167" s="129"/>
    </row>
    <row r="168" spans="1:11" ht="15.6" customHeight="1">
      <c r="A168" s="124"/>
      <c r="B168" s="124"/>
      <c r="C168" s="129"/>
      <c r="D168" s="129"/>
      <c r="E168" s="130"/>
      <c r="F168" s="129"/>
      <c r="G168" s="129"/>
      <c r="H168" s="129"/>
      <c r="I168" s="129"/>
      <c r="J168" s="129"/>
      <c r="K168" s="129"/>
    </row>
    <row r="169" spans="1:11" ht="15.6" customHeight="1">
      <c r="A169" s="124"/>
      <c r="B169" s="124"/>
      <c r="C169" s="129"/>
      <c r="D169" s="129"/>
      <c r="E169" s="130"/>
      <c r="F169" s="129"/>
      <c r="G169" s="129"/>
      <c r="H169" s="129"/>
      <c r="I169" s="129"/>
      <c r="J169" s="129"/>
      <c r="K169" s="129"/>
    </row>
    <row r="170" spans="1:11" ht="15.6" customHeight="1">
      <c r="A170" s="124"/>
      <c r="B170" s="124"/>
      <c r="C170" s="129"/>
      <c r="D170" s="129"/>
      <c r="E170" s="130"/>
      <c r="F170" s="129"/>
      <c r="G170" s="129"/>
      <c r="H170" s="129"/>
      <c r="I170" s="129"/>
      <c r="J170" s="129"/>
      <c r="K170" s="129"/>
    </row>
    <row r="171" spans="1:11" ht="15.6" customHeight="1">
      <c r="A171" s="124"/>
      <c r="B171" s="124"/>
      <c r="C171" s="129"/>
      <c r="D171" s="129"/>
      <c r="E171" s="130"/>
      <c r="F171" s="129"/>
      <c r="G171" s="129"/>
      <c r="H171" s="129"/>
      <c r="I171" s="129"/>
      <c r="J171" s="129"/>
      <c r="K171" s="129"/>
    </row>
    <row r="172" spans="1:11" ht="15.6" customHeight="1">
      <c r="A172" s="123" t="s">
        <v>1314</v>
      </c>
      <c r="E172" s="122"/>
    </row>
    <row r="173" spans="1:11" ht="15.6" customHeight="1">
      <c r="A173" s="242" t="s">
        <v>1267</v>
      </c>
      <c r="B173" s="242" t="s">
        <v>325</v>
      </c>
      <c r="C173" s="240" t="s">
        <v>326</v>
      </c>
      <c r="D173" s="240" t="s">
        <v>1268</v>
      </c>
      <c r="E173" s="240" t="s">
        <v>1269</v>
      </c>
      <c r="F173" s="240" t="s">
        <v>649</v>
      </c>
      <c r="G173" s="240" t="s">
        <v>769</v>
      </c>
      <c r="H173" s="240" t="s">
        <v>1270</v>
      </c>
      <c r="I173" s="240" t="s">
        <v>1271</v>
      </c>
      <c r="J173" s="240" t="s">
        <v>1272</v>
      </c>
      <c r="K173" s="240" t="s">
        <v>654</v>
      </c>
    </row>
    <row r="174" spans="1:11" ht="15.6" customHeight="1">
      <c r="A174" s="242"/>
      <c r="B174" s="242"/>
      <c r="C174" s="240"/>
      <c r="D174" s="240"/>
      <c r="E174" s="240"/>
      <c r="F174" s="240"/>
      <c r="G174" s="240"/>
      <c r="H174" s="240"/>
      <c r="I174" s="240"/>
      <c r="J174" s="240"/>
      <c r="K174" s="240"/>
    </row>
    <row r="175" spans="1:11" ht="15.6" customHeight="1">
      <c r="A175" s="241" t="s">
        <v>1315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</row>
    <row r="176" spans="1:11" ht="15.6" customHeight="1">
      <c r="A176" s="125" t="s">
        <v>1284</v>
      </c>
      <c r="B176" s="125" t="s">
        <v>1285</v>
      </c>
      <c r="C176" s="126" t="s">
        <v>343</v>
      </c>
      <c r="D176" s="127"/>
      <c r="E176" s="128">
        <v>17</v>
      </c>
      <c r="F176" s="127">
        <v>17</v>
      </c>
      <c r="G176" s="127">
        <v>1</v>
      </c>
      <c r="H176" s="127">
        <v>17</v>
      </c>
      <c r="I176" s="127">
        <v>100</v>
      </c>
      <c r="J176" s="127">
        <v>17</v>
      </c>
      <c r="K176" s="127"/>
    </row>
    <row r="177" spans="1:11" ht="15.6" customHeight="1">
      <c r="A177" s="125" t="s">
        <v>738</v>
      </c>
      <c r="B177" s="125" t="s">
        <v>948</v>
      </c>
      <c r="C177" s="126" t="s">
        <v>343</v>
      </c>
      <c r="D177" s="127"/>
      <c r="E177" s="128">
        <v>17</v>
      </c>
      <c r="F177" s="127">
        <v>17</v>
      </c>
      <c r="G177" s="127">
        <v>1</v>
      </c>
      <c r="H177" s="127">
        <v>17</v>
      </c>
      <c r="I177" s="127">
        <v>100</v>
      </c>
      <c r="J177" s="127">
        <v>17</v>
      </c>
      <c r="K177" s="127"/>
    </row>
    <row r="178" spans="1:11" ht="15.6" customHeight="1">
      <c r="A178" s="125" t="s">
        <v>739</v>
      </c>
      <c r="B178" s="125" t="s">
        <v>737</v>
      </c>
      <c r="C178" s="126" t="s">
        <v>343</v>
      </c>
      <c r="D178" s="127"/>
      <c r="E178" s="128">
        <v>17</v>
      </c>
      <c r="F178" s="127">
        <v>17</v>
      </c>
      <c r="G178" s="127">
        <v>1</v>
      </c>
      <c r="H178" s="127">
        <v>17</v>
      </c>
      <c r="I178" s="127">
        <v>100</v>
      </c>
      <c r="J178" s="127">
        <v>17</v>
      </c>
      <c r="K178" s="127"/>
    </row>
    <row r="179" spans="1:11" ht="15.6" customHeight="1">
      <c r="A179" s="125" t="s">
        <v>840</v>
      </c>
      <c r="B179" s="125" t="s">
        <v>948</v>
      </c>
      <c r="C179" s="126" t="s">
        <v>769</v>
      </c>
      <c r="D179" s="127"/>
      <c r="E179" s="128">
        <v>6</v>
      </c>
      <c r="F179" s="127">
        <v>6</v>
      </c>
      <c r="G179" s="127">
        <v>1</v>
      </c>
      <c r="H179" s="127">
        <v>6</v>
      </c>
      <c r="I179" s="127">
        <v>100</v>
      </c>
      <c r="J179" s="127">
        <v>6</v>
      </c>
      <c r="K179" s="127"/>
    </row>
    <row r="180" spans="1:11" ht="15.6" customHeight="1">
      <c r="A180" s="125" t="s">
        <v>842</v>
      </c>
      <c r="B180" s="125" t="s">
        <v>843</v>
      </c>
      <c r="C180" s="126" t="s">
        <v>333</v>
      </c>
      <c r="D180" s="127"/>
      <c r="E180" s="128" t="s">
        <v>1316</v>
      </c>
      <c r="F180" s="127">
        <v>61</v>
      </c>
      <c r="G180" s="127">
        <v>1</v>
      </c>
      <c r="H180" s="127">
        <v>61</v>
      </c>
      <c r="I180" s="127">
        <v>100</v>
      </c>
      <c r="J180" s="127">
        <v>61</v>
      </c>
      <c r="K180" s="127"/>
    </row>
    <row r="181" spans="1:11" ht="15.6" customHeight="1">
      <c r="A181" s="125" t="s">
        <v>842</v>
      </c>
      <c r="B181" s="125" t="s">
        <v>843</v>
      </c>
      <c r="C181" s="126" t="s">
        <v>333</v>
      </c>
      <c r="D181" s="127"/>
      <c r="E181" s="128" t="s">
        <v>1317</v>
      </c>
      <c r="F181" s="127">
        <v>60</v>
      </c>
      <c r="G181" s="127">
        <v>1</v>
      </c>
      <c r="H181" s="127">
        <v>60</v>
      </c>
      <c r="I181" s="127">
        <v>100</v>
      </c>
      <c r="J181" s="127">
        <v>60</v>
      </c>
      <c r="K181" s="127"/>
    </row>
    <row r="182" spans="1:11" ht="15.6" customHeight="1">
      <c r="A182" s="125" t="s">
        <v>842</v>
      </c>
      <c r="B182" s="125" t="s">
        <v>845</v>
      </c>
      <c r="C182" s="126" t="s">
        <v>333</v>
      </c>
      <c r="D182" s="127"/>
      <c r="E182" s="128" t="s">
        <v>1318</v>
      </c>
      <c r="F182" s="127">
        <v>58</v>
      </c>
      <c r="G182" s="127">
        <v>1</v>
      </c>
      <c r="H182" s="127">
        <v>58</v>
      </c>
      <c r="I182" s="127">
        <v>100</v>
      </c>
      <c r="J182" s="127">
        <v>58</v>
      </c>
      <c r="K182" s="127"/>
    </row>
    <row r="183" spans="1:11" ht="15.6" customHeight="1">
      <c r="A183" s="125" t="s">
        <v>842</v>
      </c>
      <c r="B183" s="125" t="s">
        <v>847</v>
      </c>
      <c r="C183" s="126" t="s">
        <v>333</v>
      </c>
      <c r="D183" s="127"/>
      <c r="E183" s="128">
        <v>10.1</v>
      </c>
      <c r="F183" s="127">
        <v>11</v>
      </c>
      <c r="G183" s="127">
        <v>1</v>
      </c>
      <c r="H183" s="127">
        <v>11</v>
      </c>
      <c r="I183" s="127">
        <v>100</v>
      </c>
      <c r="J183" s="127">
        <v>11</v>
      </c>
      <c r="K183" s="127"/>
    </row>
    <row r="184" spans="1:11" ht="15.6" customHeight="1">
      <c r="A184" s="125" t="s">
        <v>842</v>
      </c>
      <c r="B184" s="125" t="s">
        <v>849</v>
      </c>
      <c r="C184" s="126" t="s">
        <v>333</v>
      </c>
      <c r="D184" s="127"/>
      <c r="E184" s="128" t="s">
        <v>1319</v>
      </c>
      <c r="F184" s="127">
        <v>49</v>
      </c>
      <c r="G184" s="127">
        <v>1</v>
      </c>
      <c r="H184" s="127">
        <v>49</v>
      </c>
      <c r="I184" s="127">
        <v>100</v>
      </c>
      <c r="J184" s="127">
        <v>49</v>
      </c>
      <c r="K184" s="127"/>
    </row>
    <row r="185" spans="1:11" ht="15.6" customHeight="1">
      <c r="A185" s="125" t="s">
        <v>747</v>
      </c>
      <c r="B185" s="125" t="s">
        <v>750</v>
      </c>
      <c r="C185" s="126" t="s">
        <v>333</v>
      </c>
      <c r="D185" s="127"/>
      <c r="E185" s="128" t="s">
        <v>1316</v>
      </c>
      <c r="F185" s="127">
        <v>61</v>
      </c>
      <c r="G185" s="127">
        <v>1</v>
      </c>
      <c r="H185" s="127">
        <v>61</v>
      </c>
      <c r="I185" s="127">
        <v>100</v>
      </c>
      <c r="J185" s="127">
        <v>61</v>
      </c>
      <c r="K185" s="127"/>
    </row>
    <row r="186" spans="1:11" ht="15.6" customHeight="1">
      <c r="A186" s="125" t="s">
        <v>747</v>
      </c>
      <c r="B186" s="125" t="s">
        <v>750</v>
      </c>
      <c r="C186" s="126" t="s">
        <v>333</v>
      </c>
      <c r="D186" s="127"/>
      <c r="E186" s="128" t="s">
        <v>1317</v>
      </c>
      <c r="F186" s="127">
        <v>60</v>
      </c>
      <c r="G186" s="127">
        <v>1</v>
      </c>
      <c r="H186" s="127">
        <v>60</v>
      </c>
      <c r="I186" s="127">
        <v>100</v>
      </c>
      <c r="J186" s="127">
        <v>60</v>
      </c>
      <c r="K186" s="127"/>
    </row>
    <row r="187" spans="1:11" ht="15.6" customHeight="1">
      <c r="A187" s="125" t="s">
        <v>747</v>
      </c>
      <c r="B187" s="125" t="s">
        <v>851</v>
      </c>
      <c r="C187" s="126" t="s">
        <v>333</v>
      </c>
      <c r="D187" s="127"/>
      <c r="E187" s="128" t="s">
        <v>1318</v>
      </c>
      <c r="F187" s="127">
        <v>58</v>
      </c>
      <c r="G187" s="127">
        <v>1</v>
      </c>
      <c r="H187" s="127">
        <v>58</v>
      </c>
      <c r="I187" s="127">
        <v>100</v>
      </c>
      <c r="J187" s="127">
        <v>58</v>
      </c>
      <c r="K187" s="127"/>
    </row>
    <row r="188" spans="1:11" ht="15.6" customHeight="1">
      <c r="A188" s="125" t="s">
        <v>747</v>
      </c>
      <c r="B188" s="125" t="s">
        <v>853</v>
      </c>
      <c r="C188" s="126" t="s">
        <v>333</v>
      </c>
      <c r="D188" s="127"/>
      <c r="E188" s="128">
        <v>10.1</v>
      </c>
      <c r="F188" s="127">
        <v>11</v>
      </c>
      <c r="G188" s="127">
        <v>1</v>
      </c>
      <c r="H188" s="127">
        <v>11</v>
      </c>
      <c r="I188" s="127">
        <v>100</v>
      </c>
      <c r="J188" s="127">
        <v>11</v>
      </c>
      <c r="K188" s="127"/>
    </row>
    <row r="189" spans="1:11" ht="15.6" customHeight="1">
      <c r="A189" s="125" t="s">
        <v>747</v>
      </c>
      <c r="B189" s="125" t="s">
        <v>754</v>
      </c>
      <c r="C189" s="126" t="s">
        <v>333</v>
      </c>
      <c r="D189" s="127"/>
      <c r="E189" s="128" t="s">
        <v>1319</v>
      </c>
      <c r="F189" s="127">
        <v>49</v>
      </c>
      <c r="G189" s="127">
        <v>1</v>
      </c>
      <c r="H189" s="127">
        <v>49</v>
      </c>
      <c r="I189" s="127">
        <v>100</v>
      </c>
      <c r="J189" s="127">
        <v>49</v>
      </c>
      <c r="K189" s="127"/>
    </row>
    <row r="190" spans="1:11" ht="15.6" customHeight="1">
      <c r="A190" s="125" t="s">
        <v>822</v>
      </c>
      <c r="B190" s="125" t="s">
        <v>855</v>
      </c>
      <c r="C190" s="126" t="s">
        <v>343</v>
      </c>
      <c r="D190" s="127"/>
      <c r="E190" s="128">
        <v>6</v>
      </c>
      <c r="F190" s="127">
        <v>6</v>
      </c>
      <c r="G190" s="127">
        <v>1</v>
      </c>
      <c r="H190" s="127">
        <v>6</v>
      </c>
      <c r="I190" s="127">
        <v>100</v>
      </c>
      <c r="J190" s="127">
        <v>6</v>
      </c>
      <c r="K190" s="127"/>
    </row>
    <row r="191" spans="1:11" ht="15.6" customHeight="1">
      <c r="A191" s="125" t="s">
        <v>822</v>
      </c>
      <c r="B191" s="125" t="s">
        <v>856</v>
      </c>
      <c r="C191" s="126" t="s">
        <v>343</v>
      </c>
      <c r="D191" s="127"/>
      <c r="E191" s="128">
        <v>6</v>
      </c>
      <c r="F191" s="127">
        <v>6</v>
      </c>
      <c r="G191" s="127">
        <v>1</v>
      </c>
      <c r="H191" s="127">
        <v>6</v>
      </c>
      <c r="I191" s="127">
        <v>100</v>
      </c>
      <c r="J191" s="127">
        <v>6</v>
      </c>
      <c r="K191" s="127"/>
    </row>
    <row r="192" spans="1:11" ht="15.6" customHeight="1">
      <c r="A192" s="125" t="s">
        <v>822</v>
      </c>
      <c r="B192" s="125" t="s">
        <v>823</v>
      </c>
      <c r="C192" s="126" t="s">
        <v>343</v>
      </c>
      <c r="D192" s="127"/>
      <c r="E192" s="128" t="s">
        <v>1320</v>
      </c>
      <c r="F192" s="127">
        <v>12</v>
      </c>
      <c r="G192" s="127">
        <v>1</v>
      </c>
      <c r="H192" s="127">
        <v>12</v>
      </c>
      <c r="I192" s="127">
        <v>100</v>
      </c>
      <c r="J192" s="127">
        <v>12</v>
      </c>
      <c r="K192" s="127"/>
    </row>
    <row r="193" spans="1:11" ht="15.6" customHeight="1">
      <c r="A193" s="125" t="s">
        <v>822</v>
      </c>
      <c r="B193" s="125" t="s">
        <v>823</v>
      </c>
      <c r="C193" s="126" t="s">
        <v>343</v>
      </c>
      <c r="D193" s="127"/>
      <c r="E193" s="128" t="s">
        <v>1321</v>
      </c>
      <c r="F193" s="127">
        <v>6</v>
      </c>
      <c r="G193" s="127">
        <v>1</v>
      </c>
      <c r="H193" s="127">
        <v>6</v>
      </c>
      <c r="I193" s="127">
        <v>100</v>
      </c>
      <c r="J193" s="127">
        <v>6</v>
      </c>
      <c r="K193" s="127"/>
    </row>
    <row r="194" spans="1:11" ht="15.6" customHeight="1">
      <c r="A194" s="125" t="s">
        <v>822</v>
      </c>
      <c r="B194" s="125" t="s">
        <v>857</v>
      </c>
      <c r="C194" s="126" t="s">
        <v>343</v>
      </c>
      <c r="D194" s="127"/>
      <c r="E194" s="128">
        <v>2</v>
      </c>
      <c r="F194" s="127">
        <v>2</v>
      </c>
      <c r="G194" s="127">
        <v>1</v>
      </c>
      <c r="H194" s="127">
        <v>2</v>
      </c>
      <c r="I194" s="127">
        <v>100</v>
      </c>
      <c r="J194" s="127">
        <v>2</v>
      </c>
      <c r="K194" s="127"/>
    </row>
    <row r="195" spans="1:11" ht="15.6" customHeight="1">
      <c r="A195" s="125" t="s">
        <v>822</v>
      </c>
      <c r="B195" s="125" t="s">
        <v>858</v>
      </c>
      <c r="C195" s="126" t="s">
        <v>343</v>
      </c>
      <c r="D195" s="127"/>
      <c r="E195" s="128" t="s">
        <v>1322</v>
      </c>
      <c r="F195" s="127">
        <v>4</v>
      </c>
      <c r="G195" s="127">
        <v>1</v>
      </c>
      <c r="H195" s="127">
        <v>4</v>
      </c>
      <c r="I195" s="127">
        <v>100</v>
      </c>
      <c r="J195" s="127">
        <v>4</v>
      </c>
      <c r="K195" s="127"/>
    </row>
    <row r="196" spans="1:11" ht="15.6" customHeight="1">
      <c r="A196" s="125" t="s">
        <v>1323</v>
      </c>
      <c r="B196" s="125" t="s">
        <v>1324</v>
      </c>
      <c r="C196" s="126" t="s">
        <v>343</v>
      </c>
      <c r="D196" s="127"/>
      <c r="E196" s="128">
        <v>1</v>
      </c>
      <c r="F196" s="127">
        <v>1</v>
      </c>
      <c r="G196" s="127">
        <v>1</v>
      </c>
      <c r="H196" s="127">
        <v>1</v>
      </c>
      <c r="I196" s="127">
        <v>100</v>
      </c>
      <c r="J196" s="127">
        <v>1</v>
      </c>
      <c r="K196" s="127"/>
    </row>
    <row r="197" spans="1:11" ht="15.6" customHeight="1">
      <c r="A197" s="125" t="s">
        <v>861</v>
      </c>
      <c r="B197" s="125" t="s">
        <v>862</v>
      </c>
      <c r="C197" s="126" t="s">
        <v>343</v>
      </c>
      <c r="D197" s="127"/>
      <c r="E197" s="128">
        <v>1</v>
      </c>
      <c r="F197" s="127">
        <v>1</v>
      </c>
      <c r="G197" s="127">
        <v>1</v>
      </c>
      <c r="H197" s="127">
        <v>1</v>
      </c>
      <c r="I197" s="127">
        <v>100</v>
      </c>
      <c r="J197" s="127">
        <v>1</v>
      </c>
      <c r="K197" s="127"/>
    </row>
    <row r="198" spans="1:11" ht="15.6" customHeight="1">
      <c r="A198" s="125" t="s">
        <v>815</v>
      </c>
      <c r="B198" s="125" t="s">
        <v>818</v>
      </c>
      <c r="C198" s="126" t="s">
        <v>769</v>
      </c>
      <c r="D198" s="127"/>
      <c r="E198" s="128" t="s">
        <v>1325</v>
      </c>
      <c r="F198" s="127">
        <v>18</v>
      </c>
      <c r="G198" s="127">
        <v>1</v>
      </c>
      <c r="H198" s="127">
        <v>18</v>
      </c>
      <c r="I198" s="127">
        <v>100</v>
      </c>
      <c r="J198" s="127">
        <v>18</v>
      </c>
      <c r="K198" s="127"/>
    </row>
    <row r="199" spans="1:11" ht="15.6" customHeight="1">
      <c r="A199" s="125" t="s">
        <v>815</v>
      </c>
      <c r="B199" s="125" t="s">
        <v>863</v>
      </c>
      <c r="C199" s="126" t="s">
        <v>769</v>
      </c>
      <c r="D199" s="127"/>
      <c r="E199" s="128" t="s">
        <v>1326</v>
      </c>
      <c r="F199" s="127">
        <v>17</v>
      </c>
      <c r="G199" s="127">
        <v>1</v>
      </c>
      <c r="H199" s="127">
        <v>17</v>
      </c>
      <c r="I199" s="127">
        <v>100</v>
      </c>
      <c r="J199" s="127">
        <v>17</v>
      </c>
      <c r="K199" s="127"/>
    </row>
    <row r="200" spans="1:11" ht="15.6" customHeight="1">
      <c r="A200" s="125" t="s">
        <v>815</v>
      </c>
      <c r="B200" s="125" t="s">
        <v>865</v>
      </c>
      <c r="C200" s="126" t="s">
        <v>769</v>
      </c>
      <c r="D200" s="127"/>
      <c r="E200" s="128" t="s">
        <v>1327</v>
      </c>
      <c r="F200" s="127">
        <v>3</v>
      </c>
      <c r="G200" s="127">
        <v>1</v>
      </c>
      <c r="H200" s="127">
        <v>3</v>
      </c>
      <c r="I200" s="127">
        <v>100</v>
      </c>
      <c r="J200" s="127">
        <v>3</v>
      </c>
      <c r="K200" s="127"/>
    </row>
    <row r="201" spans="1:11" ht="15.6" customHeight="1">
      <c r="A201" s="125" t="s">
        <v>815</v>
      </c>
      <c r="B201" s="125" t="s">
        <v>781</v>
      </c>
      <c r="C201" s="126" t="s">
        <v>769</v>
      </c>
      <c r="D201" s="127"/>
      <c r="E201" s="128" t="s">
        <v>1328</v>
      </c>
      <c r="F201" s="127">
        <v>13</v>
      </c>
      <c r="G201" s="127">
        <v>1</v>
      </c>
      <c r="H201" s="127">
        <v>13</v>
      </c>
      <c r="I201" s="127">
        <v>100</v>
      </c>
      <c r="J201" s="127">
        <v>13</v>
      </c>
      <c r="K201" s="127"/>
    </row>
    <row r="202" spans="1:11" ht="15.6" customHeight="1">
      <c r="A202" s="125" t="s">
        <v>756</v>
      </c>
      <c r="B202" s="125" t="s">
        <v>762</v>
      </c>
      <c r="C202" s="126" t="s">
        <v>343</v>
      </c>
      <c r="D202" s="127"/>
      <c r="E202" s="128" t="s">
        <v>1329</v>
      </c>
      <c r="F202" s="127">
        <v>6</v>
      </c>
      <c r="G202" s="127">
        <v>1</v>
      </c>
      <c r="H202" s="127">
        <v>6</v>
      </c>
      <c r="I202" s="127">
        <v>100</v>
      </c>
      <c r="J202" s="127">
        <v>6</v>
      </c>
      <c r="K202" s="127"/>
    </row>
    <row r="203" spans="1:11" ht="15.6" customHeight="1">
      <c r="A203" s="125" t="s">
        <v>756</v>
      </c>
      <c r="B203" s="125" t="s">
        <v>763</v>
      </c>
      <c r="C203" s="126" t="s">
        <v>343</v>
      </c>
      <c r="D203" s="127"/>
      <c r="E203" s="128" t="s">
        <v>1322</v>
      </c>
      <c r="F203" s="127">
        <v>4</v>
      </c>
      <c r="G203" s="127">
        <v>1</v>
      </c>
      <c r="H203" s="127">
        <v>4</v>
      </c>
      <c r="I203" s="127">
        <v>100</v>
      </c>
      <c r="J203" s="127">
        <v>4</v>
      </c>
      <c r="K203" s="127"/>
    </row>
    <row r="204" spans="1:11" ht="15.6" customHeight="1">
      <c r="A204" s="125" t="s">
        <v>756</v>
      </c>
      <c r="B204" s="125" t="s">
        <v>867</v>
      </c>
      <c r="C204" s="126" t="s">
        <v>343</v>
      </c>
      <c r="D204" s="127"/>
      <c r="E204" s="128">
        <v>2</v>
      </c>
      <c r="F204" s="127">
        <v>2</v>
      </c>
      <c r="G204" s="127">
        <v>1</v>
      </c>
      <c r="H204" s="127">
        <v>2</v>
      </c>
      <c r="I204" s="127">
        <v>100</v>
      </c>
      <c r="J204" s="127">
        <v>2</v>
      </c>
      <c r="K204" s="127"/>
    </row>
    <row r="205" spans="1:11" ht="15.6" customHeight="1">
      <c r="A205" s="178"/>
      <c r="B205" s="178"/>
      <c r="C205" s="179"/>
      <c r="D205" s="180"/>
      <c r="E205" s="181"/>
      <c r="F205" s="180"/>
      <c r="G205" s="180"/>
      <c r="H205" s="180"/>
      <c r="I205" s="180"/>
      <c r="J205" s="180"/>
      <c r="K205" s="180"/>
    </row>
    <row r="206" spans="1:11" ht="15.6" customHeight="1">
      <c r="A206" s="123" t="s">
        <v>1314</v>
      </c>
      <c r="E206" s="122"/>
    </row>
    <row r="207" spans="1:11" ht="15.6" customHeight="1">
      <c r="A207" s="242" t="s">
        <v>1267</v>
      </c>
      <c r="B207" s="242" t="s">
        <v>325</v>
      </c>
      <c r="C207" s="240" t="s">
        <v>326</v>
      </c>
      <c r="D207" s="240" t="s">
        <v>1268</v>
      </c>
      <c r="E207" s="240" t="s">
        <v>1269</v>
      </c>
      <c r="F207" s="240" t="s">
        <v>649</v>
      </c>
      <c r="G207" s="240" t="s">
        <v>769</v>
      </c>
      <c r="H207" s="240" t="s">
        <v>1270</v>
      </c>
      <c r="I207" s="240" t="s">
        <v>1271</v>
      </c>
      <c r="J207" s="240" t="s">
        <v>1272</v>
      </c>
      <c r="K207" s="240" t="s">
        <v>654</v>
      </c>
    </row>
    <row r="208" spans="1:11" ht="15.6" customHeight="1">
      <c r="A208" s="242"/>
      <c r="B208" s="242"/>
      <c r="C208" s="240"/>
      <c r="D208" s="240"/>
      <c r="E208" s="240"/>
      <c r="F208" s="240"/>
      <c r="G208" s="240"/>
      <c r="H208" s="240"/>
      <c r="I208" s="240"/>
      <c r="J208" s="240"/>
      <c r="K208" s="240"/>
    </row>
    <row r="209" spans="1:11" ht="15.6" customHeight="1">
      <c r="A209" s="241" t="s">
        <v>1315</v>
      </c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</row>
    <row r="210" spans="1:11" ht="15.6" customHeight="1">
      <c r="A210" s="125" t="s">
        <v>756</v>
      </c>
      <c r="B210" s="125" t="s">
        <v>868</v>
      </c>
      <c r="C210" s="126" t="s">
        <v>343</v>
      </c>
      <c r="D210" s="127"/>
      <c r="E210" s="128">
        <v>1</v>
      </c>
      <c r="F210" s="127">
        <v>1</v>
      </c>
      <c r="G210" s="127">
        <v>1</v>
      </c>
      <c r="H210" s="127">
        <v>1</v>
      </c>
      <c r="I210" s="127">
        <v>100</v>
      </c>
      <c r="J210" s="127">
        <v>1</v>
      </c>
      <c r="K210" s="127"/>
    </row>
    <row r="211" spans="1:11" ht="15.6" customHeight="1">
      <c r="A211" s="125" t="s">
        <v>756</v>
      </c>
      <c r="B211" s="125" t="s">
        <v>1330</v>
      </c>
      <c r="C211" s="126" t="s">
        <v>343</v>
      </c>
      <c r="D211" s="127"/>
      <c r="E211" s="128">
        <v>2</v>
      </c>
      <c r="F211" s="127">
        <v>2</v>
      </c>
      <c r="G211" s="127">
        <v>1</v>
      </c>
      <c r="H211" s="127">
        <v>2</v>
      </c>
      <c r="I211" s="127">
        <v>100</v>
      </c>
      <c r="J211" s="127">
        <v>2</v>
      </c>
      <c r="K211" s="127"/>
    </row>
    <row r="212" spans="1:11" ht="15.6" customHeight="1">
      <c r="A212" s="125" t="s">
        <v>756</v>
      </c>
      <c r="B212" s="125" t="s">
        <v>1331</v>
      </c>
      <c r="C212" s="126" t="s">
        <v>343</v>
      </c>
      <c r="D212" s="127"/>
      <c r="E212" s="128">
        <v>1</v>
      </c>
      <c r="F212" s="127">
        <v>1</v>
      </c>
      <c r="G212" s="127">
        <v>1</v>
      </c>
      <c r="H212" s="127">
        <v>1</v>
      </c>
      <c r="I212" s="127">
        <v>100</v>
      </c>
      <c r="J212" s="127">
        <v>1</v>
      </c>
      <c r="K212" s="127"/>
    </row>
    <row r="213" spans="1:11" ht="15.6" customHeight="1">
      <c r="A213" s="125" t="s">
        <v>871</v>
      </c>
      <c r="B213" s="125" t="s">
        <v>872</v>
      </c>
      <c r="C213" s="126" t="s">
        <v>769</v>
      </c>
      <c r="D213" s="127"/>
      <c r="E213" s="128">
        <v>2</v>
      </c>
      <c r="F213" s="127">
        <v>2</v>
      </c>
      <c r="G213" s="127">
        <v>1</v>
      </c>
      <c r="H213" s="127">
        <v>2</v>
      </c>
      <c r="I213" s="127">
        <v>100</v>
      </c>
      <c r="J213" s="127">
        <v>2</v>
      </c>
      <c r="K213" s="127"/>
    </row>
    <row r="214" spans="1:11" ht="15.6" customHeight="1">
      <c r="A214" s="125" t="s">
        <v>871</v>
      </c>
      <c r="B214" s="125" t="s">
        <v>872</v>
      </c>
      <c r="C214" s="126" t="s">
        <v>769</v>
      </c>
      <c r="D214" s="127"/>
      <c r="E214" s="128">
        <v>2</v>
      </c>
      <c r="F214" s="127">
        <v>2</v>
      </c>
      <c r="G214" s="127">
        <v>1</v>
      </c>
      <c r="H214" s="127">
        <v>2</v>
      </c>
      <c r="I214" s="127">
        <v>100</v>
      </c>
      <c r="J214" s="127">
        <v>2</v>
      </c>
      <c r="K214" s="127"/>
    </row>
    <row r="215" spans="1:11" ht="15.6" customHeight="1">
      <c r="A215" s="125" t="s">
        <v>871</v>
      </c>
      <c r="B215" s="125" t="s">
        <v>874</v>
      </c>
      <c r="C215" s="126" t="s">
        <v>769</v>
      </c>
      <c r="D215" s="127"/>
      <c r="E215" s="128" t="s">
        <v>1332</v>
      </c>
      <c r="F215" s="127">
        <v>10</v>
      </c>
      <c r="G215" s="127">
        <v>1</v>
      </c>
      <c r="H215" s="127">
        <v>10</v>
      </c>
      <c r="I215" s="127"/>
      <c r="J215" s="127">
        <v>10</v>
      </c>
      <c r="K215" s="127"/>
    </row>
    <row r="216" spans="1:11" ht="15.6" customHeight="1">
      <c r="A216" s="125" t="s">
        <v>871</v>
      </c>
      <c r="B216" s="125" t="s">
        <v>874</v>
      </c>
      <c r="C216" s="126" t="s">
        <v>769</v>
      </c>
      <c r="D216" s="127"/>
      <c r="E216" s="128">
        <v>2</v>
      </c>
      <c r="F216" s="127">
        <v>2</v>
      </c>
      <c r="G216" s="127">
        <v>1</v>
      </c>
      <c r="H216" s="127">
        <v>2</v>
      </c>
      <c r="I216" s="127">
        <v>100</v>
      </c>
      <c r="J216" s="127">
        <v>2</v>
      </c>
      <c r="K216" s="127"/>
    </row>
    <row r="217" spans="1:11" ht="15.6" customHeight="1">
      <c r="A217" s="125" t="s">
        <v>871</v>
      </c>
      <c r="B217" s="125" t="s">
        <v>874</v>
      </c>
      <c r="C217" s="126" t="s">
        <v>769</v>
      </c>
      <c r="D217" s="127"/>
      <c r="E217" s="128">
        <v>1</v>
      </c>
      <c r="F217" s="127">
        <v>1</v>
      </c>
      <c r="G217" s="127">
        <v>1</v>
      </c>
      <c r="H217" s="127">
        <v>1</v>
      </c>
      <c r="I217" s="127">
        <v>100</v>
      </c>
      <c r="J217" s="127">
        <v>1</v>
      </c>
      <c r="K217" s="127"/>
    </row>
    <row r="218" spans="1:11" ht="15.6" customHeight="1">
      <c r="A218" s="125" t="s">
        <v>871</v>
      </c>
      <c r="B218" s="125" t="s">
        <v>874</v>
      </c>
      <c r="C218" s="126" t="s">
        <v>769</v>
      </c>
      <c r="D218" s="127"/>
      <c r="E218" s="128">
        <v>1</v>
      </c>
      <c r="F218" s="127">
        <v>1</v>
      </c>
      <c r="G218" s="127">
        <v>1</v>
      </c>
      <c r="H218" s="127">
        <v>1</v>
      </c>
      <c r="I218" s="127">
        <v>100</v>
      </c>
      <c r="J218" s="127">
        <v>1</v>
      </c>
      <c r="K218" s="127"/>
    </row>
    <row r="219" spans="1:11" ht="15.6" customHeight="1">
      <c r="A219" s="125" t="s">
        <v>871</v>
      </c>
      <c r="B219" s="125" t="s">
        <v>874</v>
      </c>
      <c r="C219" s="126" t="s">
        <v>769</v>
      </c>
      <c r="D219" s="127"/>
      <c r="E219" s="128" t="s">
        <v>1333</v>
      </c>
      <c r="F219" s="127">
        <v>4</v>
      </c>
      <c r="G219" s="127">
        <v>1</v>
      </c>
      <c r="H219" s="127">
        <v>4</v>
      </c>
      <c r="I219" s="127">
        <v>100</v>
      </c>
      <c r="J219" s="127">
        <v>4</v>
      </c>
      <c r="K219" s="127"/>
    </row>
    <row r="220" spans="1:11" ht="15.6" customHeight="1">
      <c r="A220" s="125" t="s">
        <v>871</v>
      </c>
      <c r="B220" s="125" t="s">
        <v>876</v>
      </c>
      <c r="C220" s="126" t="s">
        <v>769</v>
      </c>
      <c r="D220" s="127"/>
      <c r="E220" s="131">
        <v>45967</v>
      </c>
      <c r="F220" s="127">
        <v>2</v>
      </c>
      <c r="G220" s="127">
        <v>1</v>
      </c>
      <c r="H220" s="127">
        <v>2</v>
      </c>
      <c r="I220" s="127"/>
      <c r="J220" s="127">
        <v>2</v>
      </c>
      <c r="K220" s="127"/>
    </row>
    <row r="221" spans="1:11" ht="15.6" customHeight="1">
      <c r="A221" s="125" t="s">
        <v>871</v>
      </c>
      <c r="B221" s="125" t="s">
        <v>876</v>
      </c>
      <c r="C221" s="126" t="s">
        <v>769</v>
      </c>
      <c r="D221" s="127"/>
      <c r="E221" s="128">
        <v>1</v>
      </c>
      <c r="F221" s="127">
        <v>1</v>
      </c>
      <c r="G221" s="127">
        <v>1</v>
      </c>
      <c r="H221" s="127">
        <v>1</v>
      </c>
      <c r="I221" s="127">
        <v>100</v>
      </c>
      <c r="J221" s="127">
        <v>1</v>
      </c>
      <c r="K221" s="127"/>
    </row>
    <row r="222" spans="1:11" ht="15.6" customHeight="1">
      <c r="A222" s="125" t="s">
        <v>871</v>
      </c>
      <c r="B222" s="125" t="s">
        <v>878</v>
      </c>
      <c r="C222" s="126" t="s">
        <v>769</v>
      </c>
      <c r="D222" s="127"/>
      <c r="E222" s="128" t="s">
        <v>1334</v>
      </c>
      <c r="F222" s="127">
        <v>12</v>
      </c>
      <c r="G222" s="127">
        <v>1</v>
      </c>
      <c r="H222" s="127">
        <v>12</v>
      </c>
      <c r="I222" s="127">
        <v>100</v>
      </c>
      <c r="J222" s="127">
        <v>12</v>
      </c>
      <c r="K222" s="127"/>
    </row>
    <row r="223" spans="1:11" ht="15.6" customHeight="1">
      <c r="A223" s="125" t="s">
        <v>871</v>
      </c>
      <c r="B223" s="125" t="s">
        <v>878</v>
      </c>
      <c r="C223" s="126" t="s">
        <v>769</v>
      </c>
      <c r="D223" s="127"/>
      <c r="E223" s="128" t="s">
        <v>1335</v>
      </c>
      <c r="F223" s="127">
        <v>9</v>
      </c>
      <c r="G223" s="127">
        <v>1</v>
      </c>
      <c r="H223" s="127">
        <v>9</v>
      </c>
      <c r="I223" s="127"/>
      <c r="J223" s="127">
        <v>9</v>
      </c>
      <c r="K223" s="127"/>
    </row>
    <row r="224" spans="1:11" ht="15.6" customHeight="1">
      <c r="A224" s="125" t="s">
        <v>871</v>
      </c>
      <c r="B224" s="125" t="s">
        <v>878</v>
      </c>
      <c r="C224" s="126" t="s">
        <v>769</v>
      </c>
      <c r="D224" s="127"/>
      <c r="E224" s="128" t="s">
        <v>1336</v>
      </c>
      <c r="F224" s="127">
        <v>12</v>
      </c>
      <c r="G224" s="127">
        <v>1</v>
      </c>
      <c r="H224" s="127">
        <v>12</v>
      </c>
      <c r="I224" s="127">
        <v>100</v>
      </c>
      <c r="J224" s="127">
        <v>12</v>
      </c>
      <c r="K224" s="127"/>
    </row>
    <row r="225" spans="1:11" ht="15.6" customHeight="1">
      <c r="A225" s="125" t="s">
        <v>871</v>
      </c>
      <c r="B225" s="125" t="s">
        <v>878</v>
      </c>
      <c r="C225" s="126" t="s">
        <v>769</v>
      </c>
      <c r="D225" s="127"/>
      <c r="E225" s="128">
        <v>2</v>
      </c>
      <c r="F225" s="127">
        <v>2</v>
      </c>
      <c r="G225" s="127">
        <v>1</v>
      </c>
      <c r="H225" s="127">
        <v>2</v>
      </c>
      <c r="I225" s="127"/>
      <c r="J225" s="127">
        <v>2</v>
      </c>
      <c r="K225" s="127"/>
    </row>
    <row r="226" spans="1:11" ht="15.6" customHeight="1">
      <c r="A226" s="125" t="s">
        <v>871</v>
      </c>
      <c r="B226" s="125" t="s">
        <v>878</v>
      </c>
      <c r="C226" s="126" t="s">
        <v>769</v>
      </c>
      <c r="D226" s="127"/>
      <c r="E226" s="128">
        <v>2</v>
      </c>
      <c r="F226" s="127">
        <v>2</v>
      </c>
      <c r="G226" s="127">
        <v>1</v>
      </c>
      <c r="H226" s="127">
        <v>2</v>
      </c>
      <c r="I226" s="127">
        <v>100</v>
      </c>
      <c r="J226" s="127">
        <v>2</v>
      </c>
      <c r="K226" s="127"/>
    </row>
    <row r="227" spans="1:11" ht="15.6" customHeight="1">
      <c r="A227" s="125" t="s">
        <v>790</v>
      </c>
      <c r="B227" s="125" t="s">
        <v>792</v>
      </c>
      <c r="C227" s="126" t="s">
        <v>343</v>
      </c>
      <c r="D227" s="127"/>
      <c r="E227" s="128">
        <v>1</v>
      </c>
      <c r="F227" s="127">
        <v>1</v>
      </c>
      <c r="G227" s="127">
        <v>1</v>
      </c>
      <c r="H227" s="127">
        <v>1</v>
      </c>
      <c r="I227" s="127">
        <v>100</v>
      </c>
      <c r="J227" s="127">
        <v>1</v>
      </c>
      <c r="K227" s="127"/>
    </row>
    <row r="228" spans="1:11" ht="15.6" customHeight="1">
      <c r="A228" s="125" t="s">
        <v>827</v>
      </c>
      <c r="B228" s="125" t="s">
        <v>830</v>
      </c>
      <c r="C228" s="126" t="s">
        <v>769</v>
      </c>
      <c r="D228" s="127"/>
      <c r="E228" s="128">
        <v>2</v>
      </c>
      <c r="F228" s="127">
        <v>2</v>
      </c>
      <c r="G228" s="127">
        <v>1</v>
      </c>
      <c r="H228" s="127">
        <v>2</v>
      </c>
      <c r="I228" s="127">
        <v>100</v>
      </c>
      <c r="J228" s="127">
        <v>2</v>
      </c>
      <c r="K228" s="127"/>
    </row>
    <row r="229" spans="1:11" ht="15.6" customHeight="1">
      <c r="A229" s="241" t="s">
        <v>1337</v>
      </c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</row>
    <row r="230" spans="1:11" ht="15.6" customHeight="1">
      <c r="A230" s="125" t="s">
        <v>842</v>
      </c>
      <c r="B230" s="125" t="s">
        <v>849</v>
      </c>
      <c r="C230" s="126" t="s">
        <v>333</v>
      </c>
      <c r="D230" s="127"/>
      <c r="E230" s="128" t="s">
        <v>1338</v>
      </c>
      <c r="F230" s="127">
        <v>13</v>
      </c>
      <c r="G230" s="127">
        <v>1</v>
      </c>
      <c r="H230" s="127">
        <v>13</v>
      </c>
      <c r="I230" s="127"/>
      <c r="J230" s="127">
        <v>13</v>
      </c>
      <c r="K230" s="127"/>
    </row>
    <row r="231" spans="1:11" ht="15.6" customHeight="1">
      <c r="A231" s="125" t="s">
        <v>756</v>
      </c>
      <c r="B231" s="125" t="s">
        <v>762</v>
      </c>
      <c r="C231" s="126" t="s">
        <v>343</v>
      </c>
      <c r="D231" s="127"/>
      <c r="E231" s="128" t="s">
        <v>1281</v>
      </c>
      <c r="F231" s="127">
        <v>2</v>
      </c>
      <c r="G231" s="127">
        <v>1</v>
      </c>
      <c r="H231" s="127">
        <v>2</v>
      </c>
      <c r="I231" s="127">
        <v>100</v>
      </c>
      <c r="J231" s="127">
        <v>2</v>
      </c>
      <c r="K231" s="127"/>
    </row>
    <row r="232" spans="1:11" ht="15.6" customHeight="1">
      <c r="A232" s="125" t="s">
        <v>871</v>
      </c>
      <c r="B232" s="125" t="s">
        <v>878</v>
      </c>
      <c r="C232" s="126" t="s">
        <v>769</v>
      </c>
      <c r="D232" s="127"/>
      <c r="E232" s="128" t="s">
        <v>1288</v>
      </c>
      <c r="F232" s="127">
        <v>4</v>
      </c>
      <c r="G232" s="127">
        <v>1</v>
      </c>
      <c r="H232" s="127">
        <v>4</v>
      </c>
      <c r="I232" s="127">
        <v>100</v>
      </c>
      <c r="J232" s="127">
        <v>4</v>
      </c>
      <c r="K232" s="127"/>
    </row>
    <row r="233" spans="1:11" ht="15.6" customHeight="1">
      <c r="A233" s="125" t="s">
        <v>880</v>
      </c>
      <c r="B233" s="125" t="s">
        <v>881</v>
      </c>
      <c r="C233" s="126" t="s">
        <v>882</v>
      </c>
      <c r="D233" s="127"/>
      <c r="E233" s="128" t="s">
        <v>1339</v>
      </c>
      <c r="F233" s="127">
        <v>6</v>
      </c>
      <c r="G233" s="127">
        <v>1</v>
      </c>
      <c r="H233" s="127">
        <v>6</v>
      </c>
      <c r="I233" s="127">
        <v>100</v>
      </c>
      <c r="J233" s="127">
        <v>6</v>
      </c>
      <c r="K233" s="127"/>
    </row>
    <row r="234" spans="1:11" ht="15.6" customHeight="1">
      <c r="A234" s="125" t="s">
        <v>884</v>
      </c>
      <c r="B234" s="125" t="s">
        <v>885</v>
      </c>
      <c r="C234" s="126" t="s">
        <v>882</v>
      </c>
      <c r="D234" s="127"/>
      <c r="E234" s="128" t="s">
        <v>1339</v>
      </c>
      <c r="F234" s="127">
        <v>6</v>
      </c>
      <c r="G234" s="127">
        <v>1</v>
      </c>
      <c r="H234" s="127">
        <v>6</v>
      </c>
      <c r="I234" s="127">
        <v>100</v>
      </c>
      <c r="J234" s="127">
        <v>6</v>
      </c>
      <c r="K234" s="127"/>
    </row>
    <row r="235" spans="1:11" ht="15.6" customHeight="1">
      <c r="A235" s="124"/>
      <c r="B235" s="124"/>
      <c r="C235" s="129"/>
      <c r="D235" s="129"/>
      <c r="E235" s="130"/>
      <c r="F235" s="129"/>
      <c r="G235" s="129"/>
      <c r="H235" s="129"/>
      <c r="I235" s="129"/>
      <c r="J235" s="129"/>
      <c r="K235" s="129"/>
    </row>
    <row r="236" spans="1:11" ht="15.6" customHeight="1">
      <c r="A236" s="124"/>
      <c r="B236" s="124"/>
      <c r="C236" s="129"/>
      <c r="D236" s="129"/>
      <c r="E236" s="130"/>
      <c r="F236" s="129"/>
      <c r="G236" s="129"/>
      <c r="H236" s="129"/>
      <c r="I236" s="129"/>
      <c r="J236" s="129"/>
      <c r="K236" s="129"/>
    </row>
    <row r="237" spans="1:11" ht="15.6" customHeight="1">
      <c r="A237" s="124"/>
      <c r="B237" s="124"/>
      <c r="C237" s="129"/>
      <c r="D237" s="129"/>
      <c r="E237" s="130"/>
      <c r="F237" s="129"/>
      <c r="G237" s="129"/>
      <c r="H237" s="129"/>
      <c r="I237" s="129"/>
      <c r="J237" s="129"/>
      <c r="K237" s="129"/>
    </row>
    <row r="238" spans="1:11" ht="15.6" customHeight="1">
      <c r="A238" s="124"/>
      <c r="B238" s="124"/>
      <c r="C238" s="129"/>
      <c r="D238" s="129"/>
      <c r="E238" s="130"/>
      <c r="F238" s="129"/>
      <c r="G238" s="129"/>
      <c r="H238" s="129"/>
      <c r="I238" s="129"/>
      <c r="J238" s="129"/>
      <c r="K238" s="129"/>
    </row>
    <row r="239" spans="1:11" ht="15.6" customHeight="1">
      <c r="A239" s="124"/>
      <c r="B239" s="124"/>
      <c r="C239" s="129"/>
      <c r="D239" s="129"/>
      <c r="E239" s="130"/>
      <c r="F239" s="129"/>
      <c r="G239" s="129"/>
      <c r="H239" s="129"/>
      <c r="I239" s="129"/>
      <c r="J239" s="129"/>
      <c r="K239" s="129"/>
    </row>
    <row r="240" spans="1:11" ht="15.6" customHeight="1">
      <c r="A240" s="123" t="s">
        <v>1340</v>
      </c>
      <c r="E240" s="122"/>
    </row>
    <row r="241" spans="1:11" ht="15.6" customHeight="1">
      <c r="A241" s="242" t="s">
        <v>1267</v>
      </c>
      <c r="B241" s="242" t="s">
        <v>325</v>
      </c>
      <c r="C241" s="240" t="s">
        <v>326</v>
      </c>
      <c r="D241" s="240" t="s">
        <v>1268</v>
      </c>
      <c r="E241" s="240" t="s">
        <v>1269</v>
      </c>
      <c r="F241" s="240" t="s">
        <v>649</v>
      </c>
      <c r="G241" s="240" t="s">
        <v>769</v>
      </c>
      <c r="H241" s="240" t="s">
        <v>1270</v>
      </c>
      <c r="I241" s="240" t="s">
        <v>1271</v>
      </c>
      <c r="J241" s="240" t="s">
        <v>1272</v>
      </c>
      <c r="K241" s="240" t="s">
        <v>654</v>
      </c>
    </row>
    <row r="242" spans="1:11" ht="15.6" customHeight="1">
      <c r="A242" s="242"/>
      <c r="B242" s="242"/>
      <c r="C242" s="240"/>
      <c r="D242" s="240"/>
      <c r="E242" s="240"/>
      <c r="F242" s="240"/>
      <c r="G242" s="240"/>
      <c r="H242" s="240"/>
      <c r="I242" s="240"/>
      <c r="J242" s="240"/>
      <c r="K242" s="240"/>
    </row>
    <row r="243" spans="1:11" ht="15.6" customHeight="1">
      <c r="A243" s="241" t="s">
        <v>1341</v>
      </c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</row>
    <row r="244" spans="1:11" ht="15.6" customHeight="1">
      <c r="A244" s="125" t="s">
        <v>861</v>
      </c>
      <c r="B244" s="125" t="s">
        <v>1342</v>
      </c>
      <c r="C244" s="126" t="s">
        <v>343</v>
      </c>
      <c r="D244" s="127"/>
      <c r="E244" s="128">
        <v>2</v>
      </c>
      <c r="F244" s="127">
        <v>2</v>
      </c>
      <c r="G244" s="127">
        <v>1</v>
      </c>
      <c r="H244" s="127">
        <v>2</v>
      </c>
      <c r="I244" s="127">
        <v>100</v>
      </c>
      <c r="J244" s="127">
        <v>2</v>
      </c>
      <c r="K244" s="127"/>
    </row>
    <row r="245" spans="1:11" ht="15.6" customHeight="1">
      <c r="A245" s="125" t="s">
        <v>842</v>
      </c>
      <c r="B245" s="125" t="s">
        <v>889</v>
      </c>
      <c r="C245" s="126" t="s">
        <v>333</v>
      </c>
      <c r="D245" s="127"/>
      <c r="E245" s="128">
        <v>380</v>
      </c>
      <c r="F245" s="127">
        <v>380</v>
      </c>
      <c r="G245" s="127">
        <v>1</v>
      </c>
      <c r="H245" s="127">
        <v>380</v>
      </c>
      <c r="I245" s="127">
        <v>100</v>
      </c>
      <c r="J245" s="127">
        <v>380</v>
      </c>
      <c r="K245" s="127"/>
    </row>
    <row r="246" spans="1:11" ht="15.6" customHeight="1">
      <c r="A246" s="125" t="s">
        <v>842</v>
      </c>
      <c r="B246" s="125" t="s">
        <v>889</v>
      </c>
      <c r="C246" s="126" t="s">
        <v>333</v>
      </c>
      <c r="D246" s="127"/>
      <c r="E246" s="128" t="s">
        <v>1343</v>
      </c>
      <c r="F246" s="127">
        <v>360</v>
      </c>
      <c r="G246" s="127">
        <v>1</v>
      </c>
      <c r="H246" s="127">
        <v>360</v>
      </c>
      <c r="I246" s="127">
        <v>100</v>
      </c>
      <c r="J246" s="127">
        <v>360</v>
      </c>
      <c r="K246" s="127"/>
    </row>
    <row r="247" spans="1:11" ht="15.6" customHeight="1">
      <c r="A247" s="125" t="s">
        <v>842</v>
      </c>
      <c r="B247" s="125" t="s">
        <v>889</v>
      </c>
      <c r="C247" s="126" t="s">
        <v>333</v>
      </c>
      <c r="D247" s="127"/>
      <c r="E247" s="128">
        <v>5</v>
      </c>
      <c r="F247" s="127">
        <v>5</v>
      </c>
      <c r="G247" s="127">
        <v>1</v>
      </c>
      <c r="H247" s="127">
        <v>5</v>
      </c>
      <c r="I247" s="127">
        <v>100</v>
      </c>
      <c r="J247" s="127">
        <v>5</v>
      </c>
      <c r="K247" s="127"/>
    </row>
    <row r="248" spans="1:11" ht="15.6" customHeight="1">
      <c r="A248" s="125" t="s">
        <v>842</v>
      </c>
      <c r="B248" s="125" t="s">
        <v>891</v>
      </c>
      <c r="C248" s="126" t="s">
        <v>333</v>
      </c>
      <c r="D248" s="127"/>
      <c r="E248" s="128" t="s">
        <v>1344</v>
      </c>
      <c r="F248" s="127">
        <v>211</v>
      </c>
      <c r="G248" s="127">
        <v>1</v>
      </c>
      <c r="H248" s="127">
        <v>211</v>
      </c>
      <c r="I248" s="127">
        <v>100</v>
      </c>
      <c r="J248" s="127">
        <v>211</v>
      </c>
      <c r="K248" s="127"/>
    </row>
    <row r="249" spans="1:11" ht="15.6" customHeight="1">
      <c r="A249" s="125" t="s">
        <v>842</v>
      </c>
      <c r="B249" s="125" t="s">
        <v>893</v>
      </c>
      <c r="C249" s="126" t="s">
        <v>333</v>
      </c>
      <c r="D249" s="127"/>
      <c r="E249" s="128" t="s">
        <v>1345</v>
      </c>
      <c r="F249" s="127">
        <v>439</v>
      </c>
      <c r="G249" s="127">
        <v>1</v>
      </c>
      <c r="H249" s="127">
        <v>439</v>
      </c>
      <c r="I249" s="127">
        <v>100</v>
      </c>
      <c r="J249" s="127">
        <v>439</v>
      </c>
      <c r="K249" s="127"/>
    </row>
    <row r="250" spans="1:11" ht="15.6" customHeight="1">
      <c r="A250" s="125" t="s">
        <v>842</v>
      </c>
      <c r="B250" s="125" t="s">
        <v>843</v>
      </c>
      <c r="C250" s="126" t="s">
        <v>333</v>
      </c>
      <c r="D250" s="127"/>
      <c r="E250" s="128" t="s">
        <v>1346</v>
      </c>
      <c r="F250" s="127">
        <v>330</v>
      </c>
      <c r="G250" s="127">
        <v>1</v>
      </c>
      <c r="H250" s="127">
        <v>330</v>
      </c>
      <c r="I250" s="127">
        <v>100</v>
      </c>
      <c r="J250" s="127">
        <v>330</v>
      </c>
      <c r="K250" s="127"/>
    </row>
    <row r="251" spans="1:11" ht="15.6" customHeight="1">
      <c r="A251" s="125" t="s">
        <v>842</v>
      </c>
      <c r="B251" s="125" t="s">
        <v>847</v>
      </c>
      <c r="C251" s="126" t="s">
        <v>333</v>
      </c>
      <c r="D251" s="127"/>
      <c r="E251" s="128" t="s">
        <v>1347</v>
      </c>
      <c r="F251" s="127">
        <v>49</v>
      </c>
      <c r="G251" s="127">
        <v>1</v>
      </c>
      <c r="H251" s="127">
        <v>49</v>
      </c>
      <c r="I251" s="127">
        <v>100</v>
      </c>
      <c r="J251" s="127">
        <v>49</v>
      </c>
      <c r="K251" s="127"/>
    </row>
    <row r="252" spans="1:11" ht="15.6" customHeight="1">
      <c r="A252" s="125" t="s">
        <v>842</v>
      </c>
      <c r="B252" s="125" t="s">
        <v>895</v>
      </c>
      <c r="C252" s="126" t="s">
        <v>333</v>
      </c>
      <c r="D252" s="127"/>
      <c r="E252" s="128" t="s">
        <v>1348</v>
      </c>
      <c r="F252" s="127">
        <v>34</v>
      </c>
      <c r="G252" s="127">
        <v>1</v>
      </c>
      <c r="H252" s="127">
        <v>34</v>
      </c>
      <c r="I252" s="127">
        <v>100</v>
      </c>
      <c r="J252" s="127">
        <v>34</v>
      </c>
      <c r="K252" s="127"/>
    </row>
    <row r="253" spans="1:11" ht="15.6" customHeight="1">
      <c r="A253" s="125" t="s">
        <v>842</v>
      </c>
      <c r="B253" s="125" t="s">
        <v>897</v>
      </c>
      <c r="C253" s="126" t="s">
        <v>333</v>
      </c>
      <c r="D253" s="127"/>
      <c r="E253" s="128" t="s">
        <v>1349</v>
      </c>
      <c r="F253" s="127">
        <v>44</v>
      </c>
      <c r="G253" s="127">
        <v>1</v>
      </c>
      <c r="H253" s="127">
        <v>44</v>
      </c>
      <c r="I253" s="127">
        <v>100</v>
      </c>
      <c r="J253" s="127">
        <v>44</v>
      </c>
      <c r="K253" s="127"/>
    </row>
    <row r="254" spans="1:11" ht="15.6" customHeight="1">
      <c r="A254" s="125" t="s">
        <v>842</v>
      </c>
      <c r="B254" s="125" t="s">
        <v>849</v>
      </c>
      <c r="C254" s="126" t="s">
        <v>333</v>
      </c>
      <c r="D254" s="127"/>
      <c r="E254" s="128" t="s">
        <v>1350</v>
      </c>
      <c r="F254" s="127">
        <v>30</v>
      </c>
      <c r="G254" s="127">
        <v>1</v>
      </c>
      <c r="H254" s="127">
        <v>30</v>
      </c>
      <c r="I254" s="127">
        <v>100</v>
      </c>
      <c r="J254" s="127">
        <v>30</v>
      </c>
      <c r="K254" s="127"/>
    </row>
    <row r="255" spans="1:11" ht="15.6" customHeight="1">
      <c r="A255" s="125" t="s">
        <v>842</v>
      </c>
      <c r="B255" s="125" t="s">
        <v>849</v>
      </c>
      <c r="C255" s="126" t="s">
        <v>333</v>
      </c>
      <c r="D255" s="127"/>
      <c r="E255" s="128" t="s">
        <v>1351</v>
      </c>
      <c r="F255" s="127">
        <v>40</v>
      </c>
      <c r="G255" s="127">
        <v>1</v>
      </c>
      <c r="H255" s="127">
        <v>40</v>
      </c>
      <c r="I255" s="127">
        <v>100</v>
      </c>
      <c r="J255" s="127">
        <v>40</v>
      </c>
      <c r="K255" s="127"/>
    </row>
    <row r="256" spans="1:11" ht="15.6" customHeight="1">
      <c r="A256" s="125" t="s">
        <v>756</v>
      </c>
      <c r="B256" s="125" t="s">
        <v>762</v>
      </c>
      <c r="C256" s="126" t="s">
        <v>343</v>
      </c>
      <c r="D256" s="127"/>
      <c r="E256" s="128">
        <v>2</v>
      </c>
      <c r="F256" s="127">
        <v>2</v>
      </c>
      <c r="G256" s="127">
        <v>1</v>
      </c>
      <c r="H256" s="127">
        <v>2</v>
      </c>
      <c r="I256" s="127">
        <v>100</v>
      </c>
      <c r="J256" s="127">
        <v>2</v>
      </c>
      <c r="K256" s="127"/>
    </row>
    <row r="257" spans="1:11" ht="15.6" customHeight="1">
      <c r="A257" s="125" t="s">
        <v>756</v>
      </c>
      <c r="B257" s="125" t="s">
        <v>763</v>
      </c>
      <c r="C257" s="126" t="s">
        <v>343</v>
      </c>
      <c r="D257" s="127"/>
      <c r="E257" s="128">
        <v>2</v>
      </c>
      <c r="F257" s="127">
        <v>2</v>
      </c>
      <c r="G257" s="127">
        <v>1</v>
      </c>
      <c r="H257" s="127">
        <v>2</v>
      </c>
      <c r="I257" s="127">
        <v>100</v>
      </c>
      <c r="J257" s="127">
        <v>2</v>
      </c>
      <c r="K257" s="127"/>
    </row>
    <row r="258" spans="1:11" ht="15.6" customHeight="1">
      <c r="A258" s="125" t="s">
        <v>756</v>
      </c>
      <c r="B258" s="125" t="s">
        <v>763</v>
      </c>
      <c r="C258" s="126" t="s">
        <v>343</v>
      </c>
      <c r="D258" s="127"/>
      <c r="E258" s="128">
        <v>2</v>
      </c>
      <c r="F258" s="127">
        <v>2</v>
      </c>
      <c r="G258" s="127">
        <v>1</v>
      </c>
      <c r="H258" s="127">
        <v>2</v>
      </c>
      <c r="I258" s="127">
        <v>100</v>
      </c>
      <c r="J258" s="127">
        <v>2</v>
      </c>
      <c r="K258" s="127"/>
    </row>
    <row r="259" spans="1:11" ht="15.6" customHeight="1">
      <c r="A259" s="125" t="s">
        <v>756</v>
      </c>
      <c r="B259" s="125" t="s">
        <v>899</v>
      </c>
      <c r="C259" s="126" t="s">
        <v>343</v>
      </c>
      <c r="D259" s="127"/>
      <c r="E259" s="128">
        <v>16</v>
      </c>
      <c r="F259" s="127">
        <v>16</v>
      </c>
      <c r="G259" s="127">
        <v>1</v>
      </c>
      <c r="H259" s="127">
        <v>16</v>
      </c>
      <c r="I259" s="127">
        <v>100</v>
      </c>
      <c r="J259" s="127">
        <v>16</v>
      </c>
      <c r="K259" s="127"/>
    </row>
    <row r="260" spans="1:11" ht="15.6" customHeight="1">
      <c r="A260" s="125" t="s">
        <v>756</v>
      </c>
      <c r="B260" s="125" t="s">
        <v>900</v>
      </c>
      <c r="C260" s="126" t="s">
        <v>343</v>
      </c>
      <c r="D260" s="127"/>
      <c r="E260" s="128">
        <v>12</v>
      </c>
      <c r="F260" s="127">
        <v>12</v>
      </c>
      <c r="G260" s="127">
        <v>1</v>
      </c>
      <c r="H260" s="127">
        <v>12</v>
      </c>
      <c r="I260" s="127">
        <v>100</v>
      </c>
      <c r="J260" s="127">
        <v>12</v>
      </c>
      <c r="K260" s="127"/>
    </row>
    <row r="261" spans="1:11" ht="15.6" customHeight="1">
      <c r="A261" s="125" t="s">
        <v>756</v>
      </c>
      <c r="B261" s="125" t="s">
        <v>901</v>
      </c>
      <c r="C261" s="126" t="s">
        <v>343</v>
      </c>
      <c r="D261" s="127"/>
      <c r="E261" s="128">
        <v>1</v>
      </c>
      <c r="F261" s="127">
        <v>1</v>
      </c>
      <c r="G261" s="127">
        <v>1</v>
      </c>
      <c r="H261" s="127">
        <v>1</v>
      </c>
      <c r="I261" s="127">
        <v>100</v>
      </c>
      <c r="J261" s="127">
        <v>1</v>
      </c>
      <c r="K261" s="127"/>
    </row>
    <row r="262" spans="1:11" ht="15.6" customHeight="1">
      <c r="A262" s="125" t="s">
        <v>756</v>
      </c>
      <c r="B262" s="125" t="s">
        <v>902</v>
      </c>
      <c r="C262" s="126" t="s">
        <v>343</v>
      </c>
      <c r="D262" s="127"/>
      <c r="E262" s="128">
        <v>16</v>
      </c>
      <c r="F262" s="127">
        <v>16</v>
      </c>
      <c r="G262" s="127">
        <v>1</v>
      </c>
      <c r="H262" s="127">
        <v>16</v>
      </c>
      <c r="I262" s="127">
        <v>100</v>
      </c>
      <c r="J262" s="127">
        <v>16</v>
      </c>
      <c r="K262" s="127"/>
    </row>
    <row r="263" spans="1:11" ht="15.6" customHeight="1">
      <c r="A263" s="125" t="s">
        <v>756</v>
      </c>
      <c r="B263" s="125" t="s">
        <v>903</v>
      </c>
      <c r="C263" s="126" t="s">
        <v>343</v>
      </c>
      <c r="D263" s="127"/>
      <c r="E263" s="128">
        <v>10</v>
      </c>
      <c r="F263" s="127">
        <v>10</v>
      </c>
      <c r="G263" s="127">
        <v>1</v>
      </c>
      <c r="H263" s="127">
        <v>10</v>
      </c>
      <c r="I263" s="127">
        <v>100</v>
      </c>
      <c r="J263" s="127">
        <v>10</v>
      </c>
      <c r="K263" s="127"/>
    </row>
    <row r="264" spans="1:11" ht="15.6" customHeight="1">
      <c r="A264" s="125" t="s">
        <v>756</v>
      </c>
      <c r="B264" s="125" t="s">
        <v>1352</v>
      </c>
      <c r="C264" s="126" t="s">
        <v>343</v>
      </c>
      <c r="D264" s="127"/>
      <c r="E264" s="128">
        <v>2</v>
      </c>
      <c r="F264" s="127">
        <v>2</v>
      </c>
      <c r="G264" s="127">
        <v>1</v>
      </c>
      <c r="H264" s="127">
        <v>2</v>
      </c>
      <c r="I264" s="127">
        <v>100</v>
      </c>
      <c r="J264" s="127">
        <v>2</v>
      </c>
      <c r="K264" s="127"/>
    </row>
    <row r="265" spans="1:11" ht="15.6" customHeight="1">
      <c r="A265" s="125" t="s">
        <v>756</v>
      </c>
      <c r="B265" s="125" t="s">
        <v>1353</v>
      </c>
      <c r="C265" s="126" t="s">
        <v>343</v>
      </c>
      <c r="D265" s="127"/>
      <c r="E265" s="128">
        <v>2</v>
      </c>
      <c r="F265" s="127">
        <v>2</v>
      </c>
      <c r="G265" s="127">
        <v>1</v>
      </c>
      <c r="H265" s="127">
        <v>2</v>
      </c>
      <c r="I265" s="127">
        <v>100</v>
      </c>
      <c r="J265" s="127">
        <v>2</v>
      </c>
      <c r="K265" s="127"/>
    </row>
    <row r="266" spans="1:11" ht="15.6" customHeight="1">
      <c r="A266" s="125" t="s">
        <v>756</v>
      </c>
      <c r="B266" s="125" t="s">
        <v>1354</v>
      </c>
      <c r="C266" s="126" t="s">
        <v>343</v>
      </c>
      <c r="D266" s="127"/>
      <c r="E266" s="128">
        <v>2</v>
      </c>
      <c r="F266" s="127">
        <v>2</v>
      </c>
      <c r="G266" s="127">
        <v>1</v>
      </c>
      <c r="H266" s="127">
        <v>2</v>
      </c>
      <c r="I266" s="127">
        <v>100</v>
      </c>
      <c r="J266" s="127">
        <v>2</v>
      </c>
      <c r="K266" s="127"/>
    </row>
    <row r="267" spans="1:11" ht="15.6" customHeight="1">
      <c r="A267" s="125" t="s">
        <v>871</v>
      </c>
      <c r="B267" s="125" t="s">
        <v>907</v>
      </c>
      <c r="C267" s="126" t="s">
        <v>769</v>
      </c>
      <c r="D267" s="127"/>
      <c r="E267" s="128">
        <v>1</v>
      </c>
      <c r="F267" s="127">
        <v>1</v>
      </c>
      <c r="G267" s="127">
        <v>1</v>
      </c>
      <c r="H267" s="127">
        <v>1</v>
      </c>
      <c r="I267" s="127">
        <v>100</v>
      </c>
      <c r="J267" s="127">
        <v>1</v>
      </c>
      <c r="K267" s="127"/>
    </row>
    <row r="268" spans="1:11" ht="15.6" customHeight="1">
      <c r="A268" s="125" t="s">
        <v>871</v>
      </c>
      <c r="B268" s="125" t="s">
        <v>872</v>
      </c>
      <c r="C268" s="126" t="s">
        <v>769</v>
      </c>
      <c r="D268" s="127"/>
      <c r="E268" s="128">
        <v>12</v>
      </c>
      <c r="F268" s="127">
        <v>12</v>
      </c>
      <c r="G268" s="127">
        <v>1</v>
      </c>
      <c r="H268" s="127">
        <v>12</v>
      </c>
      <c r="I268" s="127">
        <v>100</v>
      </c>
      <c r="J268" s="127">
        <v>12</v>
      </c>
      <c r="K268" s="127"/>
    </row>
    <row r="269" spans="1:11" ht="15.6" customHeight="1">
      <c r="A269" s="125" t="s">
        <v>871</v>
      </c>
      <c r="B269" s="125" t="s">
        <v>872</v>
      </c>
      <c r="C269" s="126" t="s">
        <v>769</v>
      </c>
      <c r="D269" s="127"/>
      <c r="E269" s="128">
        <v>16</v>
      </c>
      <c r="F269" s="127">
        <v>16</v>
      </c>
      <c r="G269" s="127">
        <v>1</v>
      </c>
      <c r="H269" s="127">
        <v>16</v>
      </c>
      <c r="I269" s="127">
        <v>100</v>
      </c>
      <c r="J269" s="127">
        <v>16</v>
      </c>
      <c r="K269" s="127"/>
    </row>
    <row r="270" spans="1:11" ht="15.6" customHeight="1">
      <c r="A270" s="125" t="s">
        <v>871</v>
      </c>
      <c r="B270" s="125" t="s">
        <v>872</v>
      </c>
      <c r="C270" s="126" t="s">
        <v>769</v>
      </c>
      <c r="D270" s="127"/>
      <c r="E270" s="128">
        <v>16</v>
      </c>
      <c r="F270" s="127">
        <v>16</v>
      </c>
      <c r="G270" s="127">
        <v>1</v>
      </c>
      <c r="H270" s="127">
        <v>16</v>
      </c>
      <c r="I270" s="127">
        <v>100</v>
      </c>
      <c r="J270" s="127">
        <v>16</v>
      </c>
      <c r="K270" s="127"/>
    </row>
    <row r="271" spans="1:11" ht="15.6" customHeight="1">
      <c r="A271" s="125" t="s">
        <v>871</v>
      </c>
      <c r="B271" s="125" t="s">
        <v>872</v>
      </c>
      <c r="C271" s="126" t="s">
        <v>769</v>
      </c>
      <c r="D271" s="127"/>
      <c r="E271" s="128">
        <v>10</v>
      </c>
      <c r="F271" s="127">
        <v>10</v>
      </c>
      <c r="G271" s="127">
        <v>1</v>
      </c>
      <c r="H271" s="127">
        <v>10</v>
      </c>
      <c r="I271" s="127">
        <v>100</v>
      </c>
      <c r="J271" s="127">
        <v>10</v>
      </c>
      <c r="K271" s="127"/>
    </row>
    <row r="272" spans="1:11" ht="15.6" customHeight="1">
      <c r="A272" s="125" t="s">
        <v>871</v>
      </c>
      <c r="B272" s="125" t="s">
        <v>876</v>
      </c>
      <c r="C272" s="126" t="s">
        <v>769</v>
      </c>
      <c r="D272" s="127"/>
      <c r="E272" s="128" t="s">
        <v>1355</v>
      </c>
      <c r="F272" s="127">
        <v>32</v>
      </c>
      <c r="G272" s="127">
        <v>1</v>
      </c>
      <c r="H272" s="127">
        <v>32</v>
      </c>
      <c r="I272" s="127">
        <v>100</v>
      </c>
      <c r="J272" s="127">
        <v>32</v>
      </c>
      <c r="K272" s="127"/>
    </row>
    <row r="273" spans="1:11" ht="15.6" customHeight="1">
      <c r="A273" s="178"/>
      <c r="B273" s="178"/>
      <c r="C273" s="179"/>
      <c r="D273" s="180"/>
      <c r="E273" s="181"/>
      <c r="F273" s="180"/>
      <c r="G273" s="180"/>
      <c r="H273" s="180"/>
      <c r="I273" s="180"/>
      <c r="J273" s="180"/>
      <c r="K273" s="180"/>
    </row>
    <row r="274" spans="1:11" ht="15.6" customHeight="1">
      <c r="A274" s="123" t="s">
        <v>1340</v>
      </c>
      <c r="E274" s="122"/>
    </row>
    <row r="275" spans="1:11" ht="15.6" customHeight="1">
      <c r="A275" s="242" t="s">
        <v>1267</v>
      </c>
      <c r="B275" s="242" t="s">
        <v>325</v>
      </c>
      <c r="C275" s="240" t="s">
        <v>326</v>
      </c>
      <c r="D275" s="240" t="s">
        <v>1268</v>
      </c>
      <c r="E275" s="240" t="s">
        <v>1269</v>
      </c>
      <c r="F275" s="240" t="s">
        <v>649</v>
      </c>
      <c r="G275" s="240" t="s">
        <v>769</v>
      </c>
      <c r="H275" s="240" t="s">
        <v>1270</v>
      </c>
      <c r="I275" s="240" t="s">
        <v>1271</v>
      </c>
      <c r="J275" s="240" t="s">
        <v>1272</v>
      </c>
      <c r="K275" s="240" t="s">
        <v>654</v>
      </c>
    </row>
    <row r="276" spans="1:11" ht="15.6" customHeight="1">
      <c r="A276" s="242"/>
      <c r="B276" s="242"/>
      <c r="C276" s="240"/>
      <c r="D276" s="240"/>
      <c r="E276" s="240"/>
      <c r="F276" s="240"/>
      <c r="G276" s="240"/>
      <c r="H276" s="240"/>
      <c r="I276" s="240"/>
      <c r="J276" s="240"/>
      <c r="K276" s="240"/>
    </row>
    <row r="277" spans="1:11" ht="15.6" customHeight="1">
      <c r="A277" s="241" t="s">
        <v>1341</v>
      </c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</row>
    <row r="278" spans="1:11" ht="15.6" customHeight="1">
      <c r="A278" s="125" t="s">
        <v>871</v>
      </c>
      <c r="B278" s="125" t="s">
        <v>876</v>
      </c>
      <c r="C278" s="126" t="s">
        <v>769</v>
      </c>
      <c r="D278" s="127"/>
      <c r="E278" s="128">
        <v>2</v>
      </c>
      <c r="F278" s="127">
        <v>2</v>
      </c>
      <c r="G278" s="127">
        <v>1</v>
      </c>
      <c r="H278" s="127">
        <v>2</v>
      </c>
      <c r="I278" s="127"/>
      <c r="J278" s="127">
        <v>2</v>
      </c>
      <c r="K278" s="127"/>
    </row>
    <row r="279" spans="1:11" ht="15.6" customHeight="1">
      <c r="A279" s="125" t="s">
        <v>871</v>
      </c>
      <c r="B279" s="125" t="s">
        <v>876</v>
      </c>
      <c r="C279" s="126" t="s">
        <v>769</v>
      </c>
      <c r="D279" s="127"/>
      <c r="E279" s="128">
        <v>2</v>
      </c>
      <c r="F279" s="127">
        <v>2</v>
      </c>
      <c r="G279" s="127">
        <v>1</v>
      </c>
      <c r="H279" s="127">
        <v>2</v>
      </c>
      <c r="I279" s="127">
        <v>100</v>
      </c>
      <c r="J279" s="127">
        <v>2</v>
      </c>
      <c r="K279" s="127"/>
    </row>
    <row r="280" spans="1:11" ht="15.6" customHeight="1">
      <c r="A280" s="125" t="s">
        <v>871</v>
      </c>
      <c r="B280" s="125" t="s">
        <v>909</v>
      </c>
      <c r="C280" s="126" t="s">
        <v>769</v>
      </c>
      <c r="D280" s="127"/>
      <c r="E280" s="128">
        <v>2</v>
      </c>
      <c r="F280" s="127">
        <v>2</v>
      </c>
      <c r="G280" s="127">
        <v>1</v>
      </c>
      <c r="H280" s="127">
        <v>2</v>
      </c>
      <c r="I280" s="127">
        <v>100</v>
      </c>
      <c r="J280" s="127">
        <v>2</v>
      </c>
      <c r="K280" s="127"/>
    </row>
    <row r="281" spans="1:11" ht="15.6" customHeight="1">
      <c r="A281" s="125" t="s">
        <v>871</v>
      </c>
      <c r="B281" s="125" t="s">
        <v>909</v>
      </c>
      <c r="C281" s="126" t="s">
        <v>769</v>
      </c>
      <c r="D281" s="127"/>
      <c r="E281" s="128">
        <v>2</v>
      </c>
      <c r="F281" s="127">
        <v>2</v>
      </c>
      <c r="G281" s="127">
        <v>1</v>
      </c>
      <c r="H281" s="127">
        <v>2</v>
      </c>
      <c r="I281" s="127">
        <v>100</v>
      </c>
      <c r="J281" s="127">
        <v>2</v>
      </c>
      <c r="K281" s="127"/>
    </row>
    <row r="282" spans="1:11" ht="15.6" customHeight="1">
      <c r="A282" s="125" t="s">
        <v>871</v>
      </c>
      <c r="B282" s="125" t="s">
        <v>909</v>
      </c>
      <c r="C282" s="126" t="s">
        <v>769</v>
      </c>
      <c r="D282" s="127"/>
      <c r="E282" s="128" t="s">
        <v>1356</v>
      </c>
      <c r="F282" s="127">
        <v>24</v>
      </c>
      <c r="G282" s="127">
        <v>1</v>
      </c>
      <c r="H282" s="127">
        <v>24</v>
      </c>
      <c r="I282" s="127">
        <v>100</v>
      </c>
      <c r="J282" s="127">
        <v>24</v>
      </c>
      <c r="K282" s="127"/>
    </row>
    <row r="283" spans="1:11" ht="15.6" customHeight="1">
      <c r="A283" s="125" t="s">
        <v>871</v>
      </c>
      <c r="B283" s="125" t="s">
        <v>911</v>
      </c>
      <c r="C283" s="126" t="s">
        <v>769</v>
      </c>
      <c r="D283" s="127"/>
      <c r="E283" s="128" t="s">
        <v>1355</v>
      </c>
      <c r="F283" s="127">
        <v>32</v>
      </c>
      <c r="G283" s="127">
        <v>1</v>
      </c>
      <c r="H283" s="127">
        <v>32</v>
      </c>
      <c r="I283" s="127">
        <v>100</v>
      </c>
      <c r="J283" s="127">
        <v>32</v>
      </c>
      <c r="K283" s="127"/>
    </row>
    <row r="284" spans="1:11" ht="15.6" customHeight="1">
      <c r="A284" s="125" t="s">
        <v>871</v>
      </c>
      <c r="B284" s="125" t="s">
        <v>911</v>
      </c>
      <c r="C284" s="126" t="s">
        <v>769</v>
      </c>
      <c r="D284" s="127"/>
      <c r="E284" s="128">
        <v>2</v>
      </c>
      <c r="F284" s="127">
        <v>2</v>
      </c>
      <c r="G284" s="127">
        <v>1</v>
      </c>
      <c r="H284" s="127">
        <v>2</v>
      </c>
      <c r="I284" s="127">
        <v>100</v>
      </c>
      <c r="J284" s="127">
        <v>2</v>
      </c>
      <c r="K284" s="127"/>
    </row>
    <row r="285" spans="1:11" ht="15.6" customHeight="1">
      <c r="A285" s="125" t="s">
        <v>871</v>
      </c>
      <c r="B285" s="125" t="s">
        <v>911</v>
      </c>
      <c r="C285" s="126" t="s">
        <v>769</v>
      </c>
      <c r="D285" s="127"/>
      <c r="E285" s="128">
        <v>2</v>
      </c>
      <c r="F285" s="127">
        <v>2</v>
      </c>
      <c r="G285" s="127">
        <v>1</v>
      </c>
      <c r="H285" s="127">
        <v>2</v>
      </c>
      <c r="I285" s="127">
        <v>100</v>
      </c>
      <c r="J285" s="127">
        <v>2</v>
      </c>
      <c r="K285" s="127"/>
    </row>
    <row r="286" spans="1:11" ht="15.6" customHeight="1">
      <c r="A286" s="125" t="s">
        <v>871</v>
      </c>
      <c r="B286" s="125" t="s">
        <v>911</v>
      </c>
      <c r="C286" s="126" t="s">
        <v>769</v>
      </c>
      <c r="D286" s="127"/>
      <c r="E286" s="128">
        <v>2</v>
      </c>
      <c r="F286" s="127">
        <v>2</v>
      </c>
      <c r="G286" s="127">
        <v>1</v>
      </c>
      <c r="H286" s="127">
        <v>2</v>
      </c>
      <c r="I286" s="127">
        <v>100</v>
      </c>
      <c r="J286" s="127">
        <v>2</v>
      </c>
      <c r="K286" s="127"/>
    </row>
    <row r="287" spans="1:11" ht="15.6" customHeight="1">
      <c r="A287" s="125" t="s">
        <v>871</v>
      </c>
      <c r="B287" s="125" t="s">
        <v>878</v>
      </c>
      <c r="C287" s="126" t="s">
        <v>769</v>
      </c>
      <c r="D287" s="127"/>
      <c r="E287" s="128" t="s">
        <v>1302</v>
      </c>
      <c r="F287" s="127">
        <v>6</v>
      </c>
      <c r="G287" s="127">
        <v>1</v>
      </c>
      <c r="H287" s="127">
        <v>6</v>
      </c>
      <c r="I287" s="127">
        <v>100</v>
      </c>
      <c r="J287" s="127">
        <v>6</v>
      </c>
      <c r="K287" s="127"/>
    </row>
    <row r="288" spans="1:11" ht="15.6" customHeight="1">
      <c r="A288" s="125" t="s">
        <v>871</v>
      </c>
      <c r="B288" s="125" t="s">
        <v>878</v>
      </c>
      <c r="C288" s="126" t="s">
        <v>769</v>
      </c>
      <c r="D288" s="127"/>
      <c r="E288" s="128" t="s">
        <v>1333</v>
      </c>
      <c r="F288" s="127">
        <v>4</v>
      </c>
      <c r="G288" s="127">
        <v>1</v>
      </c>
      <c r="H288" s="127">
        <v>4</v>
      </c>
      <c r="I288" s="127">
        <v>100</v>
      </c>
      <c r="J288" s="127">
        <v>4</v>
      </c>
      <c r="K288" s="127"/>
    </row>
    <row r="289" spans="1:11" ht="15.6" customHeight="1">
      <c r="A289" s="125" t="s">
        <v>871</v>
      </c>
      <c r="B289" s="125" t="s">
        <v>878</v>
      </c>
      <c r="C289" s="126" t="s">
        <v>769</v>
      </c>
      <c r="D289" s="127"/>
      <c r="E289" s="128">
        <v>2</v>
      </c>
      <c r="F289" s="127">
        <v>2</v>
      </c>
      <c r="G289" s="127">
        <v>1</v>
      </c>
      <c r="H289" s="127">
        <v>2</v>
      </c>
      <c r="I289" s="127">
        <v>100</v>
      </c>
      <c r="J289" s="127">
        <v>2</v>
      </c>
      <c r="K289" s="127"/>
    </row>
    <row r="290" spans="1:11" ht="15.6" customHeight="1">
      <c r="A290" s="125" t="s">
        <v>871</v>
      </c>
      <c r="B290" s="125" t="s">
        <v>878</v>
      </c>
      <c r="C290" s="126" t="s">
        <v>769</v>
      </c>
      <c r="D290" s="127"/>
      <c r="E290" s="128" t="s">
        <v>1357</v>
      </c>
      <c r="F290" s="127">
        <v>20</v>
      </c>
      <c r="G290" s="127">
        <v>1</v>
      </c>
      <c r="H290" s="127">
        <v>20</v>
      </c>
      <c r="I290" s="127">
        <v>100</v>
      </c>
      <c r="J290" s="127">
        <v>20</v>
      </c>
      <c r="K290" s="127"/>
    </row>
    <row r="291" spans="1:11" ht="15.6" customHeight="1">
      <c r="A291" s="125" t="s">
        <v>871</v>
      </c>
      <c r="B291" s="125" t="s">
        <v>878</v>
      </c>
      <c r="C291" s="126" t="s">
        <v>769</v>
      </c>
      <c r="D291" s="127"/>
      <c r="E291" s="128" t="s">
        <v>1358</v>
      </c>
      <c r="F291" s="127">
        <v>14</v>
      </c>
      <c r="G291" s="127">
        <v>1</v>
      </c>
      <c r="H291" s="127">
        <v>14</v>
      </c>
      <c r="I291" s="127">
        <v>100</v>
      </c>
      <c r="J291" s="127">
        <v>14</v>
      </c>
      <c r="K291" s="127"/>
    </row>
    <row r="292" spans="1:11" ht="15.6" customHeight="1">
      <c r="A292" s="125" t="s">
        <v>871</v>
      </c>
      <c r="B292" s="125" t="s">
        <v>878</v>
      </c>
      <c r="C292" s="126" t="s">
        <v>769</v>
      </c>
      <c r="D292" s="127"/>
      <c r="E292" s="128" t="s">
        <v>1302</v>
      </c>
      <c r="F292" s="127">
        <v>6</v>
      </c>
      <c r="G292" s="127">
        <v>1</v>
      </c>
      <c r="H292" s="127">
        <v>6</v>
      </c>
      <c r="I292" s="127">
        <v>100</v>
      </c>
      <c r="J292" s="127">
        <v>6</v>
      </c>
      <c r="K292" s="127"/>
    </row>
    <row r="293" spans="1:11" ht="15.6" customHeight="1">
      <c r="A293" s="125" t="s">
        <v>797</v>
      </c>
      <c r="B293" s="125" t="s">
        <v>913</v>
      </c>
      <c r="C293" s="126" t="s">
        <v>343</v>
      </c>
      <c r="D293" s="127"/>
      <c r="E293" s="128">
        <v>2</v>
      </c>
      <c r="F293" s="127">
        <v>2</v>
      </c>
      <c r="G293" s="127">
        <v>1</v>
      </c>
      <c r="H293" s="127">
        <v>2</v>
      </c>
      <c r="I293" s="127">
        <v>100</v>
      </c>
      <c r="J293" s="127">
        <v>2</v>
      </c>
      <c r="K293" s="127"/>
    </row>
    <row r="294" spans="1:11" ht="15.6" customHeight="1">
      <c r="A294" s="125" t="s">
        <v>797</v>
      </c>
      <c r="B294" s="125" t="s">
        <v>799</v>
      </c>
      <c r="C294" s="126" t="s">
        <v>343</v>
      </c>
      <c r="D294" s="127"/>
      <c r="E294" s="128">
        <v>2</v>
      </c>
      <c r="F294" s="127">
        <v>2</v>
      </c>
      <c r="G294" s="127">
        <v>1</v>
      </c>
      <c r="H294" s="127">
        <v>2</v>
      </c>
      <c r="I294" s="127">
        <v>100</v>
      </c>
      <c r="J294" s="127">
        <v>2</v>
      </c>
      <c r="K294" s="127"/>
    </row>
    <row r="295" spans="1:11" ht="15.6" customHeight="1">
      <c r="A295" s="125" t="s">
        <v>787</v>
      </c>
      <c r="B295" s="125" t="s">
        <v>789</v>
      </c>
      <c r="C295" s="126" t="s">
        <v>343</v>
      </c>
      <c r="D295" s="127"/>
      <c r="E295" s="128" t="s">
        <v>1333</v>
      </c>
      <c r="F295" s="127">
        <v>4</v>
      </c>
      <c r="G295" s="127">
        <v>1</v>
      </c>
      <c r="H295" s="127">
        <v>4</v>
      </c>
      <c r="I295" s="127">
        <v>100</v>
      </c>
      <c r="J295" s="127">
        <v>4</v>
      </c>
      <c r="K295" s="127"/>
    </row>
    <row r="296" spans="1:11" ht="15.6" customHeight="1">
      <c r="A296" s="125" t="s">
        <v>787</v>
      </c>
      <c r="B296" s="125" t="s">
        <v>914</v>
      </c>
      <c r="C296" s="126" t="s">
        <v>343</v>
      </c>
      <c r="D296" s="127"/>
      <c r="E296" s="128">
        <v>2</v>
      </c>
      <c r="F296" s="127">
        <v>2</v>
      </c>
      <c r="G296" s="127">
        <v>1</v>
      </c>
      <c r="H296" s="127">
        <v>2</v>
      </c>
      <c r="I296" s="127">
        <v>100</v>
      </c>
      <c r="J296" s="127">
        <v>2</v>
      </c>
      <c r="K296" s="127"/>
    </row>
    <row r="297" spans="1:11" ht="15.6" customHeight="1">
      <c r="A297" s="125" t="s">
        <v>822</v>
      </c>
      <c r="B297" s="125" t="s">
        <v>915</v>
      </c>
      <c r="C297" s="126" t="s">
        <v>343</v>
      </c>
      <c r="D297" s="127"/>
      <c r="E297" s="128">
        <v>380</v>
      </c>
      <c r="F297" s="127">
        <v>380</v>
      </c>
      <c r="G297" s="127">
        <v>1</v>
      </c>
      <c r="H297" s="127">
        <v>380</v>
      </c>
      <c r="I297" s="127">
        <v>100</v>
      </c>
      <c r="J297" s="127">
        <v>380</v>
      </c>
      <c r="K297" s="127"/>
    </row>
    <row r="298" spans="1:11" ht="15.6" customHeight="1">
      <c r="A298" s="125" t="s">
        <v>822</v>
      </c>
      <c r="B298" s="125" t="s">
        <v>916</v>
      </c>
      <c r="C298" s="126" t="s">
        <v>343</v>
      </c>
      <c r="D298" s="127"/>
      <c r="E298" s="128" t="s">
        <v>1359</v>
      </c>
      <c r="F298" s="127">
        <v>6</v>
      </c>
      <c r="G298" s="127">
        <v>1</v>
      </c>
      <c r="H298" s="127">
        <v>6</v>
      </c>
      <c r="I298" s="127">
        <v>100</v>
      </c>
      <c r="J298" s="127">
        <v>6</v>
      </c>
      <c r="K298" s="127"/>
    </row>
    <row r="299" spans="1:11" ht="15.6" customHeight="1">
      <c r="A299" s="125" t="s">
        <v>822</v>
      </c>
      <c r="B299" s="125" t="s">
        <v>917</v>
      </c>
      <c r="C299" s="126" t="s">
        <v>343</v>
      </c>
      <c r="D299" s="127"/>
      <c r="E299" s="128" t="s">
        <v>1360</v>
      </c>
      <c r="F299" s="127">
        <v>55</v>
      </c>
      <c r="G299" s="127">
        <v>1</v>
      </c>
      <c r="H299" s="127">
        <v>55</v>
      </c>
      <c r="I299" s="127">
        <v>100</v>
      </c>
      <c r="J299" s="127">
        <v>55</v>
      </c>
      <c r="K299" s="127"/>
    </row>
    <row r="300" spans="1:11" ht="15.6" customHeight="1">
      <c r="A300" s="125" t="s">
        <v>822</v>
      </c>
      <c r="B300" s="125" t="s">
        <v>918</v>
      </c>
      <c r="C300" s="126" t="s">
        <v>343</v>
      </c>
      <c r="D300" s="127"/>
      <c r="E300" s="128" t="s">
        <v>1361</v>
      </c>
      <c r="F300" s="127">
        <v>110</v>
      </c>
      <c r="G300" s="127">
        <v>1</v>
      </c>
      <c r="H300" s="127">
        <v>110</v>
      </c>
      <c r="I300" s="127">
        <v>100</v>
      </c>
      <c r="J300" s="127">
        <v>110</v>
      </c>
      <c r="K300" s="127"/>
    </row>
    <row r="301" spans="1:11" ht="15.6" customHeight="1">
      <c r="A301" s="125" t="s">
        <v>822</v>
      </c>
      <c r="B301" s="125" t="s">
        <v>919</v>
      </c>
      <c r="C301" s="126" t="s">
        <v>343</v>
      </c>
      <c r="D301" s="127"/>
      <c r="E301" s="128" t="s">
        <v>1360</v>
      </c>
      <c r="F301" s="127">
        <v>55</v>
      </c>
      <c r="G301" s="127">
        <v>1</v>
      </c>
      <c r="H301" s="127">
        <v>55</v>
      </c>
      <c r="I301" s="127">
        <v>100</v>
      </c>
      <c r="J301" s="127">
        <v>55</v>
      </c>
      <c r="K301" s="127"/>
    </row>
    <row r="302" spans="1:11" ht="15.6" customHeight="1">
      <c r="A302" s="125" t="s">
        <v>822</v>
      </c>
      <c r="B302" s="125" t="s">
        <v>920</v>
      </c>
      <c r="C302" s="126" t="s">
        <v>343</v>
      </c>
      <c r="D302" s="127"/>
      <c r="E302" s="128">
        <v>1</v>
      </c>
      <c r="F302" s="127">
        <v>1</v>
      </c>
      <c r="G302" s="127">
        <v>1</v>
      </c>
      <c r="H302" s="127">
        <v>1</v>
      </c>
      <c r="I302" s="127">
        <v>100</v>
      </c>
      <c r="J302" s="127">
        <v>1</v>
      </c>
      <c r="K302" s="127"/>
    </row>
    <row r="303" spans="1:11" ht="15.6" customHeight="1">
      <c r="A303" s="125" t="s">
        <v>822</v>
      </c>
      <c r="B303" s="125" t="s">
        <v>921</v>
      </c>
      <c r="C303" s="126" t="s">
        <v>343</v>
      </c>
      <c r="D303" s="127"/>
      <c r="E303" s="128" t="s">
        <v>1362</v>
      </c>
      <c r="F303" s="127">
        <v>55</v>
      </c>
      <c r="G303" s="127">
        <v>1</v>
      </c>
      <c r="H303" s="127">
        <v>55</v>
      </c>
      <c r="I303" s="127">
        <v>100</v>
      </c>
      <c r="J303" s="127">
        <v>55</v>
      </c>
      <c r="K303" s="127"/>
    </row>
    <row r="304" spans="1:11" ht="15.6" customHeight="1">
      <c r="A304" s="125" t="s">
        <v>822</v>
      </c>
      <c r="B304" s="125" t="s">
        <v>922</v>
      </c>
      <c r="C304" s="126" t="s">
        <v>343</v>
      </c>
      <c r="D304" s="127"/>
      <c r="E304" s="128" t="s">
        <v>1360</v>
      </c>
      <c r="F304" s="127">
        <v>55</v>
      </c>
      <c r="G304" s="127">
        <v>1</v>
      </c>
      <c r="H304" s="127">
        <v>55</v>
      </c>
      <c r="I304" s="127">
        <v>100</v>
      </c>
      <c r="J304" s="127">
        <v>55</v>
      </c>
      <c r="K304" s="127"/>
    </row>
    <row r="305" spans="1:11" ht="15.6" customHeight="1">
      <c r="A305" s="125" t="s">
        <v>822</v>
      </c>
      <c r="B305" s="125" t="s">
        <v>923</v>
      </c>
      <c r="C305" s="126" t="s">
        <v>343</v>
      </c>
      <c r="D305" s="127"/>
      <c r="E305" s="128" t="s">
        <v>1363</v>
      </c>
      <c r="F305" s="127">
        <v>8</v>
      </c>
      <c r="G305" s="127">
        <v>1</v>
      </c>
      <c r="H305" s="127">
        <v>8</v>
      </c>
      <c r="I305" s="127">
        <v>100</v>
      </c>
      <c r="J305" s="127">
        <v>8</v>
      </c>
      <c r="K305" s="127"/>
    </row>
    <row r="306" spans="1:11" ht="15.6" customHeight="1">
      <c r="A306" s="125" t="s">
        <v>822</v>
      </c>
      <c r="B306" s="125" t="s">
        <v>924</v>
      </c>
      <c r="C306" s="126" t="s">
        <v>343</v>
      </c>
      <c r="D306" s="127"/>
      <c r="E306" s="128" t="s">
        <v>1361</v>
      </c>
      <c r="F306" s="127">
        <v>110</v>
      </c>
      <c r="G306" s="127">
        <v>1</v>
      </c>
      <c r="H306" s="127">
        <v>110</v>
      </c>
      <c r="I306" s="127">
        <v>100</v>
      </c>
      <c r="J306" s="127">
        <v>110</v>
      </c>
      <c r="K306" s="127"/>
    </row>
    <row r="307" spans="1:11" ht="15.6" customHeight="1">
      <c r="A307" s="178"/>
      <c r="B307" s="178"/>
      <c r="C307" s="179"/>
      <c r="D307" s="180"/>
      <c r="E307" s="181"/>
      <c r="F307" s="180"/>
      <c r="G307" s="180"/>
      <c r="H307" s="180"/>
      <c r="I307" s="180"/>
      <c r="J307" s="180"/>
      <c r="K307" s="180"/>
    </row>
    <row r="308" spans="1:11" ht="15.6" customHeight="1">
      <c r="A308" s="123" t="s">
        <v>1340</v>
      </c>
      <c r="E308" s="122"/>
    </row>
    <row r="309" spans="1:11" ht="15.6" customHeight="1">
      <c r="A309" s="242" t="s">
        <v>1267</v>
      </c>
      <c r="B309" s="242" t="s">
        <v>325</v>
      </c>
      <c r="C309" s="240" t="s">
        <v>326</v>
      </c>
      <c r="D309" s="240" t="s">
        <v>1268</v>
      </c>
      <c r="E309" s="240" t="s">
        <v>1269</v>
      </c>
      <c r="F309" s="240" t="s">
        <v>649</v>
      </c>
      <c r="G309" s="240" t="s">
        <v>769</v>
      </c>
      <c r="H309" s="240" t="s">
        <v>1270</v>
      </c>
      <c r="I309" s="240" t="s">
        <v>1271</v>
      </c>
      <c r="J309" s="240" t="s">
        <v>1272</v>
      </c>
      <c r="K309" s="240" t="s">
        <v>654</v>
      </c>
    </row>
    <row r="310" spans="1:11" ht="15.6" customHeight="1">
      <c r="A310" s="242"/>
      <c r="B310" s="242"/>
      <c r="C310" s="240"/>
      <c r="D310" s="240"/>
      <c r="E310" s="240"/>
      <c r="F310" s="240"/>
      <c r="G310" s="240"/>
      <c r="H310" s="240"/>
      <c r="I310" s="240"/>
      <c r="J310" s="240"/>
      <c r="K310" s="240"/>
    </row>
    <row r="311" spans="1:11" ht="15.6" customHeight="1">
      <c r="A311" s="241" t="s">
        <v>1341</v>
      </c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</row>
    <row r="312" spans="1:11" ht="15.6" customHeight="1">
      <c r="A312" s="125" t="s">
        <v>822</v>
      </c>
      <c r="B312" s="125" t="s">
        <v>925</v>
      </c>
      <c r="C312" s="126" t="s">
        <v>343</v>
      </c>
      <c r="D312" s="127"/>
      <c r="E312" s="128" t="s">
        <v>1333</v>
      </c>
      <c r="F312" s="127">
        <v>4</v>
      </c>
      <c r="G312" s="127">
        <v>1</v>
      </c>
      <c r="H312" s="127">
        <v>4</v>
      </c>
      <c r="I312" s="127">
        <v>100</v>
      </c>
      <c r="J312" s="127">
        <v>4</v>
      </c>
      <c r="K312" s="127"/>
    </row>
    <row r="313" spans="1:11" ht="15.6" customHeight="1">
      <c r="A313" s="125" t="s">
        <v>822</v>
      </c>
      <c r="B313" s="125" t="s">
        <v>856</v>
      </c>
      <c r="C313" s="126" t="s">
        <v>343</v>
      </c>
      <c r="D313" s="127"/>
      <c r="E313" s="128">
        <v>54</v>
      </c>
      <c r="F313" s="127">
        <v>54</v>
      </c>
      <c r="G313" s="127">
        <v>1</v>
      </c>
      <c r="H313" s="127">
        <v>54</v>
      </c>
      <c r="I313" s="127">
        <v>100</v>
      </c>
      <c r="J313" s="127">
        <v>54</v>
      </c>
      <c r="K313" s="127"/>
    </row>
    <row r="314" spans="1:11" ht="15.6" customHeight="1">
      <c r="A314" s="125" t="s">
        <v>822</v>
      </c>
      <c r="B314" s="125" t="s">
        <v>823</v>
      </c>
      <c r="C314" s="126" t="s">
        <v>343</v>
      </c>
      <c r="D314" s="127"/>
      <c r="E314" s="128">
        <v>2</v>
      </c>
      <c r="F314" s="127">
        <v>2</v>
      </c>
      <c r="G314" s="127">
        <v>1</v>
      </c>
      <c r="H314" s="127">
        <v>2</v>
      </c>
      <c r="I314" s="127">
        <v>100</v>
      </c>
      <c r="J314" s="127">
        <v>2</v>
      </c>
      <c r="K314" s="127"/>
    </row>
    <row r="315" spans="1:11" ht="15.6" customHeight="1">
      <c r="A315" s="125" t="s">
        <v>822</v>
      </c>
      <c r="B315" s="125" t="s">
        <v>823</v>
      </c>
      <c r="C315" s="126" t="s">
        <v>343</v>
      </c>
      <c r="D315" s="127"/>
      <c r="E315" s="128" t="s">
        <v>1364</v>
      </c>
      <c r="F315" s="127">
        <v>60</v>
      </c>
      <c r="G315" s="127">
        <v>1</v>
      </c>
      <c r="H315" s="127">
        <v>60</v>
      </c>
      <c r="I315" s="127">
        <v>100</v>
      </c>
      <c r="J315" s="127">
        <v>60</v>
      </c>
      <c r="K315" s="127"/>
    </row>
    <row r="316" spans="1:11" ht="15.6" customHeight="1">
      <c r="A316" s="125" t="s">
        <v>822</v>
      </c>
      <c r="B316" s="125" t="s">
        <v>926</v>
      </c>
      <c r="C316" s="126" t="s">
        <v>343</v>
      </c>
      <c r="D316" s="127"/>
      <c r="E316" s="128">
        <v>2</v>
      </c>
      <c r="F316" s="127">
        <v>2</v>
      </c>
      <c r="G316" s="127">
        <v>1</v>
      </c>
      <c r="H316" s="127">
        <v>2</v>
      </c>
      <c r="I316" s="127">
        <v>100</v>
      </c>
      <c r="J316" s="127">
        <v>2</v>
      </c>
      <c r="K316" s="127"/>
    </row>
    <row r="317" spans="1:11" ht="15.6" customHeight="1">
      <c r="A317" s="125" t="s">
        <v>822</v>
      </c>
      <c r="B317" s="125" t="s">
        <v>858</v>
      </c>
      <c r="C317" s="126" t="s">
        <v>343</v>
      </c>
      <c r="D317" s="127"/>
      <c r="E317" s="128" t="s">
        <v>1361</v>
      </c>
      <c r="F317" s="127">
        <v>110</v>
      </c>
      <c r="G317" s="127">
        <v>1</v>
      </c>
      <c r="H317" s="127">
        <v>110</v>
      </c>
      <c r="I317" s="127">
        <v>100</v>
      </c>
      <c r="J317" s="127">
        <v>110</v>
      </c>
      <c r="K317" s="127"/>
    </row>
    <row r="318" spans="1:11" ht="15.6" customHeight="1">
      <c r="A318" s="125" t="s">
        <v>827</v>
      </c>
      <c r="B318" s="125" t="s">
        <v>927</v>
      </c>
      <c r="C318" s="126" t="s">
        <v>769</v>
      </c>
      <c r="D318" s="127"/>
      <c r="E318" s="128">
        <v>2</v>
      </c>
      <c r="F318" s="127">
        <v>2</v>
      </c>
      <c r="G318" s="127">
        <v>1</v>
      </c>
      <c r="H318" s="127">
        <v>2</v>
      </c>
      <c r="I318" s="127">
        <v>100</v>
      </c>
      <c r="J318" s="127">
        <v>2</v>
      </c>
      <c r="K318" s="127"/>
    </row>
    <row r="319" spans="1:11" ht="15.6" customHeight="1">
      <c r="A319" s="125" t="s">
        <v>827</v>
      </c>
      <c r="B319" s="125" t="s">
        <v>830</v>
      </c>
      <c r="C319" s="126" t="s">
        <v>769</v>
      </c>
      <c r="D319" s="127"/>
      <c r="E319" s="128" t="s">
        <v>1358</v>
      </c>
      <c r="F319" s="127">
        <v>14</v>
      </c>
      <c r="G319" s="127">
        <v>1</v>
      </c>
      <c r="H319" s="127">
        <v>14</v>
      </c>
      <c r="I319" s="127">
        <v>100</v>
      </c>
      <c r="J319" s="127">
        <v>14</v>
      </c>
      <c r="K319" s="127"/>
    </row>
    <row r="320" spans="1:11" ht="15.6" customHeight="1">
      <c r="A320" s="125" t="s">
        <v>929</v>
      </c>
      <c r="B320" s="125" t="s">
        <v>930</v>
      </c>
      <c r="C320" s="126" t="s">
        <v>931</v>
      </c>
      <c r="D320" s="127"/>
      <c r="E320" s="128">
        <v>5</v>
      </c>
      <c r="F320" s="127">
        <v>5</v>
      </c>
      <c r="G320" s="127">
        <v>1</v>
      </c>
      <c r="H320" s="127">
        <v>5</v>
      </c>
      <c r="I320" s="127">
        <v>100</v>
      </c>
      <c r="J320" s="127">
        <v>5</v>
      </c>
      <c r="K320" s="127"/>
    </row>
    <row r="321" spans="1:11" ht="15.6" customHeight="1">
      <c r="A321" s="125" t="s">
        <v>929</v>
      </c>
      <c r="B321" s="125" t="s">
        <v>1365</v>
      </c>
      <c r="C321" s="126" t="s">
        <v>343</v>
      </c>
      <c r="D321" s="127"/>
      <c r="E321" s="128">
        <v>380</v>
      </c>
      <c r="F321" s="127">
        <v>380</v>
      </c>
      <c r="G321" s="127">
        <v>1</v>
      </c>
      <c r="H321" s="127">
        <v>380</v>
      </c>
      <c r="I321" s="127">
        <v>100</v>
      </c>
      <c r="J321" s="127">
        <v>380</v>
      </c>
      <c r="K321" s="127"/>
    </row>
    <row r="322" spans="1:11" ht="15.6" customHeight="1">
      <c r="A322" s="125" t="s">
        <v>934</v>
      </c>
      <c r="B322" s="125" t="s">
        <v>935</v>
      </c>
      <c r="C322" s="126" t="s">
        <v>343</v>
      </c>
      <c r="D322" s="127"/>
      <c r="E322" s="128">
        <v>5</v>
      </c>
      <c r="F322" s="127">
        <v>5</v>
      </c>
      <c r="G322" s="127">
        <v>1</v>
      </c>
      <c r="H322" s="127">
        <v>5</v>
      </c>
      <c r="I322" s="127">
        <v>100</v>
      </c>
      <c r="J322" s="127">
        <v>5</v>
      </c>
      <c r="K322" s="127"/>
    </row>
    <row r="323" spans="1:11" ht="31.2" customHeight="1">
      <c r="A323" s="125" t="s">
        <v>815</v>
      </c>
      <c r="B323" s="125" t="s">
        <v>936</v>
      </c>
      <c r="C323" s="126" t="s">
        <v>769</v>
      </c>
      <c r="D323" s="127"/>
      <c r="E323" s="128" t="s">
        <v>1366</v>
      </c>
      <c r="F323" s="127">
        <v>120</v>
      </c>
      <c r="G323" s="127">
        <v>1</v>
      </c>
      <c r="H323" s="127">
        <v>120</v>
      </c>
      <c r="I323" s="127">
        <v>100</v>
      </c>
      <c r="J323" s="127">
        <v>120</v>
      </c>
      <c r="K323" s="127"/>
    </row>
    <row r="324" spans="1:11" ht="15.6" customHeight="1">
      <c r="A324" s="125" t="s">
        <v>815</v>
      </c>
      <c r="B324" s="125" t="s">
        <v>938</v>
      </c>
      <c r="C324" s="126" t="s">
        <v>769</v>
      </c>
      <c r="D324" s="127"/>
      <c r="E324" s="128" t="s">
        <v>1367</v>
      </c>
      <c r="F324" s="127">
        <v>71</v>
      </c>
      <c r="G324" s="127">
        <v>1</v>
      </c>
      <c r="H324" s="127">
        <v>71</v>
      </c>
      <c r="I324" s="127">
        <v>100</v>
      </c>
      <c r="J324" s="127">
        <v>71</v>
      </c>
      <c r="K324" s="127"/>
    </row>
    <row r="325" spans="1:11" ht="15.6" customHeight="1">
      <c r="A325" s="125" t="s">
        <v>815</v>
      </c>
      <c r="B325" s="125" t="s">
        <v>940</v>
      </c>
      <c r="C325" s="126" t="s">
        <v>769</v>
      </c>
      <c r="D325" s="127"/>
      <c r="E325" s="128" t="s">
        <v>1368</v>
      </c>
      <c r="F325" s="127">
        <v>147</v>
      </c>
      <c r="G325" s="127">
        <v>1</v>
      </c>
      <c r="H325" s="127">
        <v>147</v>
      </c>
      <c r="I325" s="127">
        <v>100</v>
      </c>
      <c r="J325" s="127">
        <v>147</v>
      </c>
      <c r="K325" s="127"/>
    </row>
    <row r="326" spans="1:11" ht="15.6" customHeight="1">
      <c r="A326" s="125" t="s">
        <v>815</v>
      </c>
      <c r="B326" s="125" t="s">
        <v>818</v>
      </c>
      <c r="C326" s="126" t="s">
        <v>769</v>
      </c>
      <c r="D326" s="127"/>
      <c r="E326" s="128" t="s">
        <v>1369</v>
      </c>
      <c r="F326" s="127">
        <v>79</v>
      </c>
      <c r="G326" s="127">
        <v>1</v>
      </c>
      <c r="H326" s="127">
        <v>79</v>
      </c>
      <c r="I326" s="127">
        <v>100</v>
      </c>
      <c r="J326" s="127">
        <v>79</v>
      </c>
      <c r="K326" s="127"/>
    </row>
    <row r="327" spans="1:11" ht="15.6" customHeight="1">
      <c r="A327" s="125" t="s">
        <v>815</v>
      </c>
      <c r="B327" s="125" t="s">
        <v>865</v>
      </c>
      <c r="C327" s="126" t="s">
        <v>769</v>
      </c>
      <c r="D327" s="127"/>
      <c r="E327" s="128" t="s">
        <v>1370</v>
      </c>
      <c r="F327" s="127">
        <v>12</v>
      </c>
      <c r="G327" s="127">
        <v>1</v>
      </c>
      <c r="H327" s="127">
        <v>12</v>
      </c>
      <c r="I327" s="127">
        <v>100</v>
      </c>
      <c r="J327" s="127">
        <v>12</v>
      </c>
      <c r="K327" s="127"/>
    </row>
    <row r="328" spans="1:11" ht="15.6" customHeight="1">
      <c r="A328" s="125" t="s">
        <v>815</v>
      </c>
      <c r="B328" s="125" t="s">
        <v>779</v>
      </c>
      <c r="C328" s="126" t="s">
        <v>769</v>
      </c>
      <c r="D328" s="127"/>
      <c r="E328" s="128" t="s">
        <v>1371</v>
      </c>
      <c r="F328" s="127">
        <v>9</v>
      </c>
      <c r="G328" s="127">
        <v>1</v>
      </c>
      <c r="H328" s="127">
        <v>9</v>
      </c>
      <c r="I328" s="127">
        <v>100</v>
      </c>
      <c r="J328" s="127">
        <v>9</v>
      </c>
      <c r="K328" s="127"/>
    </row>
    <row r="329" spans="1:11" ht="15.6" customHeight="1">
      <c r="A329" s="125" t="s">
        <v>815</v>
      </c>
      <c r="B329" s="125" t="s">
        <v>942</v>
      </c>
      <c r="C329" s="126" t="s">
        <v>769</v>
      </c>
      <c r="D329" s="127"/>
      <c r="E329" s="128" t="s">
        <v>1372</v>
      </c>
      <c r="F329" s="127">
        <v>11</v>
      </c>
      <c r="G329" s="127">
        <v>1</v>
      </c>
      <c r="H329" s="127">
        <v>11</v>
      </c>
      <c r="I329" s="127">
        <v>100</v>
      </c>
      <c r="J329" s="127">
        <v>11</v>
      </c>
      <c r="K329" s="127"/>
    </row>
    <row r="330" spans="1:11" ht="15.6" customHeight="1">
      <c r="A330" s="125" t="s">
        <v>815</v>
      </c>
      <c r="B330" s="125" t="s">
        <v>781</v>
      </c>
      <c r="C330" s="126" t="s">
        <v>769</v>
      </c>
      <c r="D330" s="127"/>
      <c r="E330" s="128" t="s">
        <v>1373</v>
      </c>
      <c r="F330" s="127">
        <v>8</v>
      </c>
      <c r="G330" s="127">
        <v>1</v>
      </c>
      <c r="H330" s="127">
        <v>8</v>
      </c>
      <c r="I330" s="127">
        <v>100</v>
      </c>
      <c r="J330" s="127">
        <v>8</v>
      </c>
      <c r="K330" s="127"/>
    </row>
    <row r="331" spans="1:11" ht="15.6" customHeight="1">
      <c r="A331" s="125" t="s">
        <v>944</v>
      </c>
      <c r="B331" s="125" t="s">
        <v>945</v>
      </c>
      <c r="C331" s="126" t="s">
        <v>343</v>
      </c>
      <c r="D331" s="127"/>
      <c r="E331" s="128">
        <v>2</v>
      </c>
      <c r="F331" s="127">
        <v>2</v>
      </c>
      <c r="G331" s="127">
        <v>1</v>
      </c>
      <c r="H331" s="127">
        <v>2</v>
      </c>
      <c r="I331" s="127">
        <v>100</v>
      </c>
      <c r="J331" s="127">
        <v>2</v>
      </c>
      <c r="K331" s="127"/>
    </row>
    <row r="332" spans="1:11" ht="15.6" customHeight="1">
      <c r="A332" s="124"/>
      <c r="B332" s="124"/>
      <c r="C332" s="129"/>
      <c r="D332" s="129"/>
      <c r="E332" s="130"/>
      <c r="F332" s="129"/>
      <c r="G332" s="129"/>
      <c r="H332" s="129"/>
      <c r="I332" s="129"/>
      <c r="J332" s="129"/>
      <c r="K332" s="129"/>
    </row>
    <row r="333" spans="1:11" ht="15.6" customHeight="1">
      <c r="A333" s="124"/>
      <c r="B333" s="124"/>
      <c r="C333" s="129"/>
      <c r="D333" s="129"/>
      <c r="E333" s="130"/>
      <c r="F333" s="129"/>
      <c r="G333" s="129"/>
      <c r="H333" s="129"/>
      <c r="I333" s="129"/>
      <c r="J333" s="129"/>
      <c r="K333" s="129"/>
    </row>
    <row r="334" spans="1:11" ht="15.6" customHeight="1">
      <c r="A334" s="124"/>
      <c r="B334" s="124"/>
      <c r="C334" s="129"/>
      <c r="D334" s="129"/>
      <c r="E334" s="130"/>
      <c r="F334" s="129"/>
      <c r="G334" s="129"/>
      <c r="H334" s="129"/>
      <c r="I334" s="129"/>
      <c r="J334" s="129"/>
      <c r="K334" s="129"/>
    </row>
    <row r="335" spans="1:11" ht="15.6" customHeight="1">
      <c r="A335" s="124"/>
      <c r="B335" s="124"/>
      <c r="C335" s="129"/>
      <c r="D335" s="129"/>
      <c r="E335" s="130"/>
      <c r="F335" s="129"/>
      <c r="G335" s="129"/>
      <c r="H335" s="129"/>
      <c r="I335" s="129"/>
      <c r="J335" s="129"/>
      <c r="K335" s="129"/>
    </row>
    <row r="336" spans="1:11" ht="15.6" customHeight="1">
      <c r="A336" s="124"/>
      <c r="B336" s="124"/>
      <c r="C336" s="129"/>
      <c r="D336" s="129"/>
      <c r="E336" s="130"/>
      <c r="F336" s="129"/>
      <c r="G336" s="129"/>
      <c r="H336" s="129"/>
      <c r="I336" s="129"/>
      <c r="J336" s="129"/>
      <c r="K336" s="129"/>
    </row>
    <row r="337" spans="1:11" ht="15.6" customHeight="1">
      <c r="A337" s="124"/>
      <c r="B337" s="124"/>
      <c r="C337" s="129"/>
      <c r="D337" s="129"/>
      <c r="E337" s="130"/>
      <c r="F337" s="129"/>
      <c r="G337" s="129"/>
      <c r="H337" s="129"/>
      <c r="I337" s="129"/>
      <c r="J337" s="129"/>
      <c r="K337" s="129"/>
    </row>
    <row r="338" spans="1:11" ht="15.6" customHeight="1">
      <c r="A338" s="124"/>
      <c r="B338" s="124"/>
      <c r="C338" s="129"/>
      <c r="D338" s="129"/>
      <c r="E338" s="130"/>
      <c r="F338" s="129"/>
      <c r="G338" s="129"/>
      <c r="H338" s="129"/>
      <c r="I338" s="129"/>
      <c r="J338" s="129"/>
      <c r="K338" s="129"/>
    </row>
    <row r="339" spans="1:11" ht="15.6" customHeight="1">
      <c r="A339" s="124"/>
      <c r="B339" s="124"/>
      <c r="C339" s="129"/>
      <c r="D339" s="129"/>
      <c r="E339" s="130"/>
      <c r="F339" s="129"/>
      <c r="G339" s="129"/>
      <c r="H339" s="129"/>
      <c r="I339" s="129"/>
      <c r="J339" s="129"/>
      <c r="K339" s="129"/>
    </row>
  </sheetData>
  <mergeCells count="122">
    <mergeCell ref="A1:K1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A5:K5"/>
    <mergeCell ref="A37:A38"/>
    <mergeCell ref="B37:B38"/>
    <mergeCell ref="C37:C38"/>
    <mergeCell ref="D37:D38"/>
    <mergeCell ref="E37:E38"/>
    <mergeCell ref="F37:F38"/>
    <mergeCell ref="G37:G38"/>
    <mergeCell ref="F71:F72"/>
    <mergeCell ref="G71:G72"/>
    <mergeCell ref="H71:H72"/>
    <mergeCell ref="I71:I72"/>
    <mergeCell ref="J71:J72"/>
    <mergeCell ref="K71:K72"/>
    <mergeCell ref="H37:H38"/>
    <mergeCell ref="I37:I38"/>
    <mergeCell ref="J37:J38"/>
    <mergeCell ref="K37:K38"/>
    <mergeCell ref="A39:K39"/>
    <mergeCell ref="A71:A72"/>
    <mergeCell ref="B71:B72"/>
    <mergeCell ref="C71:C72"/>
    <mergeCell ref="D71:D72"/>
    <mergeCell ref="E71:E72"/>
    <mergeCell ref="A73:K73"/>
    <mergeCell ref="A105:A106"/>
    <mergeCell ref="B105:B106"/>
    <mergeCell ref="C105:C106"/>
    <mergeCell ref="D105:D106"/>
    <mergeCell ref="E105:E106"/>
    <mergeCell ref="F105:F106"/>
    <mergeCell ref="G105:G106"/>
    <mergeCell ref="H105:H106"/>
    <mergeCell ref="I105:I106"/>
    <mergeCell ref="J105:J106"/>
    <mergeCell ref="K105:K106"/>
    <mergeCell ref="A107:K107"/>
    <mergeCell ref="A139:A140"/>
    <mergeCell ref="B139:B140"/>
    <mergeCell ref="C139:C140"/>
    <mergeCell ref="D139:D140"/>
    <mergeCell ref="E139:E140"/>
    <mergeCell ref="F139:F140"/>
    <mergeCell ref="G139:G140"/>
    <mergeCell ref="F173:F174"/>
    <mergeCell ref="G173:G174"/>
    <mergeCell ref="H173:H174"/>
    <mergeCell ref="I173:I174"/>
    <mergeCell ref="J173:J174"/>
    <mergeCell ref="K173:K174"/>
    <mergeCell ref="H139:H140"/>
    <mergeCell ref="I139:I140"/>
    <mergeCell ref="J139:J140"/>
    <mergeCell ref="K139:K140"/>
    <mergeCell ref="A141:K141"/>
    <mergeCell ref="A173:A174"/>
    <mergeCell ref="B173:B174"/>
    <mergeCell ref="C173:C174"/>
    <mergeCell ref="D173:D174"/>
    <mergeCell ref="E173:E174"/>
    <mergeCell ref="A175:K175"/>
    <mergeCell ref="A207:A208"/>
    <mergeCell ref="B207:B208"/>
    <mergeCell ref="C207:C208"/>
    <mergeCell ref="D207:D208"/>
    <mergeCell ref="E207:E208"/>
    <mergeCell ref="F207:F208"/>
    <mergeCell ref="G207:G208"/>
    <mergeCell ref="H207:H208"/>
    <mergeCell ref="I207:I208"/>
    <mergeCell ref="G241:G242"/>
    <mergeCell ref="H241:H242"/>
    <mergeCell ref="I241:I242"/>
    <mergeCell ref="J241:J242"/>
    <mergeCell ref="K241:K242"/>
    <mergeCell ref="A243:K243"/>
    <mergeCell ref="J207:J208"/>
    <mergeCell ref="K207:K208"/>
    <mergeCell ref="A209:K209"/>
    <mergeCell ref="A229:K229"/>
    <mergeCell ref="A241:A242"/>
    <mergeCell ref="B241:B242"/>
    <mergeCell ref="C241:C242"/>
    <mergeCell ref="D241:D242"/>
    <mergeCell ref="E241:E242"/>
    <mergeCell ref="F241:F242"/>
    <mergeCell ref="G275:G276"/>
    <mergeCell ref="H275:H276"/>
    <mergeCell ref="I275:I276"/>
    <mergeCell ref="J275:J276"/>
    <mergeCell ref="K275:K276"/>
    <mergeCell ref="A277:K277"/>
    <mergeCell ref="A275:A276"/>
    <mergeCell ref="B275:B276"/>
    <mergeCell ref="C275:C276"/>
    <mergeCell ref="D275:D276"/>
    <mergeCell ref="E275:E276"/>
    <mergeCell ref="F275:F276"/>
    <mergeCell ref="G309:G310"/>
    <mergeCell ref="H309:H310"/>
    <mergeCell ref="I309:I310"/>
    <mergeCell ref="J309:J310"/>
    <mergeCell ref="K309:K310"/>
    <mergeCell ref="A311:K311"/>
    <mergeCell ref="A309:A310"/>
    <mergeCell ref="B309:B310"/>
    <mergeCell ref="C309:C310"/>
    <mergeCell ref="D309:D310"/>
    <mergeCell ref="E309:E310"/>
    <mergeCell ref="F309:F310"/>
  </mergeCells>
  <phoneticPr fontId="4" type="noConversion"/>
  <pageMargins left="0.9448818897637794" right="0" top="0.27559055118110232" bottom="0.31496062992125989" header="0" footer="0"/>
  <pageSetup paperSize="9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29C0F-41E5-4C14-BB8F-1F0BADE37C56}">
  <dimension ref="A1"/>
  <sheetViews>
    <sheetView workbookViewId="0"/>
  </sheetViews>
  <sheetFormatPr defaultRowHeight="14.4"/>
  <sheetData/>
  <phoneticPr fontId="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A1:B34"/>
  <sheetViews>
    <sheetView topLeftCell="A10" workbookViewId="0"/>
  </sheetViews>
  <sheetFormatPr defaultRowHeight="19.05" customHeight="1"/>
  <cols>
    <col min="1" max="1" width="4.69921875" style="21" customWidth="1"/>
    <col min="2" max="2" width="73" customWidth="1"/>
  </cols>
  <sheetData>
    <row r="1" spans="1:2" ht="20.399999999999999">
      <c r="B1" s="20" t="s">
        <v>50</v>
      </c>
    </row>
    <row r="2" spans="1:2" ht="19.05" customHeight="1">
      <c r="A2" s="21" t="s">
        <v>48</v>
      </c>
      <c r="B2" t="s">
        <v>87</v>
      </c>
    </row>
    <row r="3" spans="1:2" ht="19.05" customHeight="1">
      <c r="B3" t="s">
        <v>88</v>
      </c>
    </row>
    <row r="4" spans="1:2" ht="19.05" customHeight="1">
      <c r="A4" s="21" t="s">
        <v>53</v>
      </c>
      <c r="B4" t="s">
        <v>89</v>
      </c>
    </row>
    <row r="5" spans="1:2" ht="19.05" customHeight="1">
      <c r="B5" t="s">
        <v>90</v>
      </c>
    </row>
    <row r="6" spans="1:2" ht="19.05" customHeight="1">
      <c r="A6" s="21" t="s">
        <v>49</v>
      </c>
      <c r="B6" t="s">
        <v>91</v>
      </c>
    </row>
    <row r="7" spans="1:2" ht="19.05" customHeight="1">
      <c r="A7" s="21" t="s">
        <v>51</v>
      </c>
      <c r="B7" t="s">
        <v>92</v>
      </c>
    </row>
    <row r="8" spans="1:2" ht="19.05" customHeight="1">
      <c r="B8" t="s">
        <v>52</v>
      </c>
    </row>
    <row r="9" spans="1:2" ht="19.05" customHeight="1">
      <c r="B9" t="s">
        <v>93</v>
      </c>
    </row>
    <row r="10" spans="1:2" ht="19.05" customHeight="1">
      <c r="B10" t="s">
        <v>94</v>
      </c>
    </row>
    <row r="11" spans="1:2" ht="19.05" customHeight="1">
      <c r="A11" s="21" t="s">
        <v>2</v>
      </c>
      <c r="B11" t="s">
        <v>95</v>
      </c>
    </row>
    <row r="12" spans="1:2" ht="19.05" customHeight="1">
      <c r="A12" s="21" t="s">
        <v>54</v>
      </c>
      <c r="B12" t="s">
        <v>96</v>
      </c>
    </row>
    <row r="13" spans="1:2" ht="19.05" customHeight="1">
      <c r="B13" t="s">
        <v>97</v>
      </c>
    </row>
    <row r="14" spans="1:2" ht="19.05" customHeight="1">
      <c r="B14" t="s">
        <v>98</v>
      </c>
    </row>
    <row r="15" spans="1:2" ht="19.05" customHeight="1">
      <c r="B15" t="s">
        <v>99</v>
      </c>
    </row>
    <row r="16" spans="1:2" ht="19.05" customHeight="1">
      <c r="B16" t="s">
        <v>56</v>
      </c>
    </row>
    <row r="17" spans="1:2" ht="19.05" customHeight="1">
      <c r="A17" s="21" t="s">
        <v>55</v>
      </c>
      <c r="B17" t="s">
        <v>100</v>
      </c>
    </row>
    <row r="18" spans="1:2" ht="19.05" customHeight="1">
      <c r="A18" s="21" t="s">
        <v>101</v>
      </c>
      <c r="B18" s="40" t="s">
        <v>102</v>
      </c>
    </row>
    <row r="19" spans="1:2" ht="19.05" customHeight="1">
      <c r="A19" s="21" t="s">
        <v>103</v>
      </c>
      <c r="B19" t="s">
        <v>104</v>
      </c>
    </row>
    <row r="20" spans="1:2" ht="19.05" customHeight="1">
      <c r="A20" s="21" t="s">
        <v>109</v>
      </c>
      <c r="B20" t="s">
        <v>110</v>
      </c>
    </row>
    <row r="21" spans="1:2" ht="19.05" customHeight="1">
      <c r="A21" s="21" t="s">
        <v>111</v>
      </c>
      <c r="B21" t="s">
        <v>105</v>
      </c>
    </row>
    <row r="33" spans="2:2" ht="19.05" customHeight="1">
      <c r="B33" t="s">
        <v>106</v>
      </c>
    </row>
    <row r="34" spans="2:2" ht="19.05" customHeight="1">
      <c r="B34" t="s">
        <v>107</v>
      </c>
    </row>
  </sheetData>
  <phoneticPr fontId="4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30</vt:i4>
      </vt:variant>
    </vt:vector>
  </HeadingPairs>
  <TitlesOfParts>
    <vt:vector size="51" baseType="lpstr">
      <vt:lpstr>원가</vt:lpstr>
      <vt:lpstr>총괄표</vt:lpstr>
      <vt:lpstr>내역서</vt:lpstr>
      <vt:lpstr>노임근거</vt:lpstr>
      <vt:lpstr>일대목차</vt:lpstr>
      <vt:lpstr>일위대가</vt:lpstr>
      <vt:lpstr>일위노임</vt:lpstr>
      <vt:lpstr>합산자재</vt:lpstr>
      <vt:lpstr>단가조사</vt:lpstr>
      <vt:lpstr>옵션</vt:lpstr>
      <vt:lpstr>산출집계</vt:lpstr>
      <vt:lpstr>기본산출서</vt:lpstr>
      <vt:lpstr>공종리스트</vt:lpstr>
      <vt:lpstr>내역서 (2)</vt:lpstr>
      <vt:lpstr>공량산출서</vt:lpstr>
      <vt:lpstr>일위대가목록</vt:lpstr>
      <vt:lpstr>일위대가표</vt:lpstr>
      <vt:lpstr>단가대비표</vt:lpstr>
      <vt:lpstr>수량산출서</vt:lpstr>
      <vt:lpstr>Sheet1</vt:lpstr>
      <vt:lpstr>사용설명</vt:lpstr>
      <vt:lpstr>공량산출서!Print_Area</vt:lpstr>
      <vt:lpstr>공종리스트!Print_Area</vt:lpstr>
      <vt:lpstr>기본산출서!Print_Area</vt:lpstr>
      <vt:lpstr>내역서!Print_Area</vt:lpstr>
      <vt:lpstr>'내역서 (2)'!Print_Area</vt:lpstr>
      <vt:lpstr>노임근거!Print_Area</vt:lpstr>
      <vt:lpstr>단가대비표!Print_Area</vt:lpstr>
      <vt:lpstr>단가조사!Print_Area</vt:lpstr>
      <vt:lpstr>산출집계!Print_Area</vt:lpstr>
      <vt:lpstr>원가!Print_Area</vt:lpstr>
      <vt:lpstr>일위노임!Print_Area</vt:lpstr>
      <vt:lpstr>일위대가!Print_Area</vt:lpstr>
      <vt:lpstr>일위대가목록!Print_Area</vt:lpstr>
      <vt:lpstr>일위대가표!Print_Area</vt:lpstr>
      <vt:lpstr>총괄표!Print_Area</vt:lpstr>
      <vt:lpstr>공량산출서!Print_Titles</vt:lpstr>
      <vt:lpstr>공종리스트!Print_Titles</vt:lpstr>
      <vt:lpstr>내역서!Print_Titles</vt:lpstr>
      <vt:lpstr>'내역서 (2)'!Print_Titles</vt:lpstr>
      <vt:lpstr>노임근거!Print_Titles</vt:lpstr>
      <vt:lpstr>단가대비표!Print_Titles</vt:lpstr>
      <vt:lpstr>단가조사!Print_Titles</vt:lpstr>
      <vt:lpstr>수량산출서!Print_Titles</vt:lpstr>
      <vt:lpstr>일대목차!Print_Titles</vt:lpstr>
      <vt:lpstr>일위노임!Print_Titles</vt:lpstr>
      <vt:lpstr>일위대가!Print_Titles</vt:lpstr>
      <vt:lpstr>일위대가목록!Print_Titles</vt:lpstr>
      <vt:lpstr>일위대가표!Print_Titles</vt:lpstr>
      <vt:lpstr>총괄표!Print_Titles</vt:lpstr>
      <vt:lpstr>합산자재!Print_Titles</vt:lpstr>
    </vt:vector>
  </TitlesOfParts>
  <Company>이지테크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이지테크</dc:creator>
  <cp:lastModifiedBy>Admin</cp:lastModifiedBy>
  <cp:lastPrinted>2025-12-16T09:33:03Z</cp:lastPrinted>
  <dcterms:created xsi:type="dcterms:W3CDTF">2002-09-09T02:35:17Z</dcterms:created>
  <dcterms:modified xsi:type="dcterms:W3CDTF">2026-01-05T14:21:53Z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</Properties>
</file>