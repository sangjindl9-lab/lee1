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61.250.133.248\전기\전기-3\[2025]\[2501] 강릉공공임대주택 (아라건축)\3.작업\3.실시도서\260213 실시도서 (최종건축반영)\5.내역서\"/>
    </mc:Choice>
  </mc:AlternateContent>
  <bookViews>
    <workbookView xWindow="0" yWindow="0" windowWidth="28800" windowHeight="11505" tabRatio="724"/>
  </bookViews>
  <sheets>
    <sheet name="원가" sheetId="3" r:id="rId1"/>
    <sheet name="총괄표" sheetId="11" r:id="rId2"/>
    <sheet name="내역서" sheetId="10" r:id="rId3"/>
    <sheet name="일대목차" sheetId="12" r:id="rId4"/>
    <sheet name="일위대가" sheetId="9" r:id="rId5"/>
    <sheet name="일위노임" sheetId="15" r:id="rId6"/>
    <sheet name="합산자재" sheetId="6" r:id="rId7"/>
    <sheet name="단가조사" sheetId="7" r:id="rId8"/>
    <sheet name="한전불입금및사용전검사비" sheetId="16" r:id="rId9"/>
    <sheet name="옵션" sheetId="5" state="hidden" r:id="rId10"/>
  </sheets>
  <definedNames>
    <definedName name="__IntlFixup" hidden="1">TRUE</definedName>
    <definedName name="__JJ132">#REF!</definedName>
    <definedName name="__JK132">#REF!</definedName>
    <definedName name="__JN132">#REF!</definedName>
    <definedName name="__p1">#REF!</definedName>
    <definedName name="_95년_포상금_지급내역">#REF!</definedName>
    <definedName name="_Fill" hidden="1">#REF!</definedName>
    <definedName name="_JJ132">#REF!</definedName>
    <definedName name="_JK132">#REF!</definedName>
    <definedName name="_JN132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1">#REF!</definedName>
    <definedName name="_Parse_In" hidden="1">#REF!</definedName>
    <definedName name="_Regression_Int" hidden="1">1</definedName>
    <definedName name="_Sort" hidden="1">#REF!</definedName>
    <definedName name="a">#REF!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lf">#REF!</definedName>
    <definedName name="b">#REF!</definedName>
    <definedName name="BOX형수로집계">#REF!</definedName>
    <definedName name="CV_1C" localSheetId="8">#REF!</definedName>
    <definedName name="CV_1C">#REF!</definedName>
    <definedName name="d">#REF!</definedName>
    <definedName name="_xlnm.Database">#REF!</definedName>
    <definedName name="ddddd" hidden="1">#REF!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" hidden="1">{#N/A,#N/A,FALSE,"단가표지"}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HFH" hidden="1">#REF!</definedName>
    <definedName name="FHFK" hidden="1">#REF!</definedName>
    <definedName name="GEMCO" hidden="1">#REF!</definedName>
    <definedName name="gfgdfg" hidden="1">#REF!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ardwar" hidden="1">#REF!</definedName>
    <definedName name="HTML_CodePage" hidden="1">949</definedName>
    <definedName name="HTML_Control" hidden="1">{"'단계별시설공사비'!$A$3:$K$51"}</definedName>
    <definedName name="HTML_Description" hidden="1">""</definedName>
    <definedName name="HTML_Email" hidden="1">""</definedName>
    <definedName name="HTML_Header" hidden="1">"사업비총괄"</definedName>
    <definedName name="HTML_LastUpdate" hidden="1">"01-06-17"</definedName>
    <definedName name="HTML_LineAfter" hidden="1">FALSE</definedName>
    <definedName name="HTML_LineBefore" hidden="1">FALSE</definedName>
    <definedName name="HTML_Name" hidden="1">"김정호"</definedName>
    <definedName name="HTML_OBDlg2" hidden="1">TRUE</definedName>
    <definedName name="HTML_OBDlg4" hidden="1">TRUE</definedName>
    <definedName name="HTML_OS" hidden="1">0</definedName>
    <definedName name="HTML_PathFile" hidden="1">"C:\My Documents\6.htm"</definedName>
    <definedName name="HTML_Title" hidden="1">"비용산출"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">#REF!</definedName>
    <definedName name="ooo" hidden="1">#REF!</definedName>
    <definedName name="OPOP" hidden="1">#REF!</definedName>
    <definedName name="OPP" hidden="1">#REF!</definedName>
    <definedName name="OPPP" hidden="1">#REF!</definedName>
    <definedName name="P">#REF!</definedName>
    <definedName name="_xlnm.Print_Area" localSheetId="2">내역서!$A$1:$Q$1173</definedName>
    <definedName name="_xlnm.Print_Area" localSheetId="0">원가!$A$1:$E$37</definedName>
    <definedName name="_xlnm.Print_Area" localSheetId="5">일위노임!$A$1:$T$705</definedName>
    <definedName name="_xlnm.Print_Area" localSheetId="4">일위대가!$A$1:$Q$1511</definedName>
    <definedName name="_xlnm.Print_Area" localSheetId="1">총괄표!$A$1:$Q$237</definedName>
    <definedName name="_xlnm.Print_Area" localSheetId="8">한전불입금및사용전검사비!$B$2:$L$84</definedName>
    <definedName name="_xlnm.Print_Area">#REF!</definedName>
    <definedName name="Print_Area_MI">#REF!</definedName>
    <definedName name="_xlnm.Print_Titles" localSheetId="2">내역서!$1:$3</definedName>
    <definedName name="_xlnm.Print_Titles" localSheetId="7">단가조사!$1:$3</definedName>
    <definedName name="_xlnm.Print_Titles" localSheetId="3">일대목차!$1:$3</definedName>
    <definedName name="_xlnm.Print_Titles" localSheetId="5">일위노임!$1:$3</definedName>
    <definedName name="_xlnm.Print_Titles" localSheetId="4">일위대가!$1:$3</definedName>
    <definedName name="_xlnm.Print_Titles" localSheetId="1">총괄표!$1:$3</definedName>
    <definedName name="_xlnm.Print_Titles" localSheetId="6">합산자재!$1:$3</definedName>
    <definedName name="_xlnm.Print_Titles">#REF!</definedName>
    <definedName name="Q">#REF!</definedName>
    <definedName name="qw" hidden="1">{#N/A,#N/A,FALSE,"단가표지"}</definedName>
    <definedName name="RK" hidden="1">#REF!</definedName>
    <definedName name="SIZE" localSheetId="8">#REF!</definedName>
    <definedName name="SIZE">#REF!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TT" hidden="1">#REF!</definedName>
    <definedName name="wm.조골재1" hidden="1">{#N/A,#N/A,FALSE,"조골재"}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bc." hidden="1">{#N/A,#N/A,TRUE,"천상그린44PY"}</definedName>
    <definedName name="wrn.골재소요량." hidden="1">{#N/A,#N/A,FALSE,"골재소요량";#N/A,#N/A,FALSE,"골재소요량"}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hidden="1">{#N/A,#N/A,FALSE,"속도"}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4F74ED08_7DE6_11D4_BC29_005004C1F3AD_.wvu.PrintTitles" hidden="1">#REF!</definedName>
    <definedName name="zx" hidden="1">#REF!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아" hidden="1">#REF!</definedName>
    <definedName name="강감찬">#REF!</definedName>
    <definedName name="강아지" hidden="1">#REF!</definedName>
    <definedName name="거ㅏ" hidden="1">#REF!</definedName>
    <definedName name="결표지" hidden="1">{#N/A,#N/A,FALSE,"표지"}</definedName>
    <definedName name="경계점말뚝">#REF!</definedName>
    <definedName name="계약단가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급">#REF!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시설">#REF!</definedName>
    <definedName name="공사비">#REF!</definedName>
    <definedName name="공업용뇌관2">#REF!</definedName>
    <definedName name="공통가설" hidden="1">#REF!</definedName>
    <definedName name="교육">#REF!</definedName>
    <definedName name="교통">#REF!</definedName>
    <definedName name="구산갑지" hidden="1">#REF!</definedName>
    <definedName name="기간">#REF!</definedName>
    <definedName name="김김김" hidden="1">{#N/A,#N/A,FALSE,"속도"}</definedName>
    <definedName name="김유신">#REF!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hidden="1">#REF!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 localSheetId="8">#REF!</definedName>
    <definedName name="노임">#REF!</definedName>
    <definedName name="다이너마이트2">#REF!</definedName>
    <definedName name="단가" localSheetId="8">#REF!</definedName>
    <definedName name="단가">#REF!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순공종">#REF!</definedName>
    <definedName name="대경설비" hidden="1">#REF!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기질">#REF!</definedName>
    <definedName name="대기질측정">#REF!</definedName>
    <definedName name="대안설정">#REF!</definedName>
    <definedName name="덕흥흥건축" hidden="1">#REF!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식물상">#REF!</definedName>
    <definedName name="ㄹㄹㄹ" hidden="1">#REF!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ㄹㅇ" hidden="1">#REF!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#REF!</definedName>
    <definedName name="ㅁ1">#REF!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명수">#REF!</definedName>
    <definedName name="문화재">#REF!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" hidden="1">#REF!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박창수" hidden="1">{#N/A,#N/A,FALSE,"표지"}</definedName>
    <definedName name="백색페인트">#REF!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정계수1">#REF!</definedName>
    <definedName name="보정계수2">#REF!</definedName>
    <definedName name="보정계수3">#REF!</definedName>
    <definedName name="보조">#REF!</definedName>
    <definedName name="보통공종">#REF!</definedName>
    <definedName name="보통인부">#REF!</definedName>
    <definedName name="복잡공종">#REF!</definedName>
    <definedName name="부대원본" hidden="1">{#N/A,#N/A,FALSE,"토공2"}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닐전화선">#REF!</definedName>
    <definedName name="뿌로마이드">#REF!</definedName>
    <definedName name="ㅅㅅ" hidden="1">#REF!</definedName>
    <definedName name="ㅅㅅㅆㅆㅆ" hidden="1">{#N/A,#N/A,FALSE,"표지"}</definedName>
    <definedName name="사정">#REF!</definedName>
    <definedName name="사후환경조사">#REF!</definedName>
    <definedName name="산업">#REF!</definedName>
    <definedName name="삼우설비" hidden="1">#REF!</definedName>
    <definedName name="선택">#REF!</definedName>
    <definedName name="설" hidden="1">#REF!</definedName>
    <definedName name="설계규모">#REF!</definedName>
    <definedName name="설변사유" hidden="1">{#N/A,#N/A,TRUE,"1";#N/A,#N/A,TRUE,"2";#N/A,#N/A,TRUE,"3";#N/A,#N/A,TRUE,"4";#N/A,#N/A,TRUE,"5";#N/A,#N/A,TRUE,"6";#N/A,#N/A,TRUE,"7"}</definedName>
    <definedName name="섹션오일페이퍼">#REF!</definedName>
    <definedName name="소음진동">#REF!</definedName>
    <definedName name="수리수문">#REF!</definedName>
    <definedName name="수질">#REF!</definedName>
    <definedName name="수질측정">#REF!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적용임금">#REF!</definedName>
    <definedName name="심도조사기계손료">#REF!</definedName>
    <definedName name="ㅇㄹㄹ" hidden="1">#REF!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악취">#REF!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정공정표4월분" hidden="1">{#N/A,#N/A,TRUE,"1";#N/A,#N/A,TRUE,"2";#N/A,#N/A,TRUE,"3";#N/A,#N/A,TRUE,"4";#N/A,#N/A,TRUE,"5";#N/A,#N/A,TRUE,"6";#N/A,#N/A,TRUE,"7"}</definedName>
    <definedName name="오배수" hidden="1">{#N/A,#N/A,TRUE,"천상그린44PY"}</definedName>
    <definedName name="오배수입상" hidden="1">{#N/A,#N/A,TRUE,"천상그린44PY"}</definedName>
    <definedName name="오수맨홀수량2">#REF!</definedName>
    <definedName name="오수맨홀집계">#REF!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외주의뢰1" hidden="1">#REF!</definedName>
    <definedName name="요약문">#REF!</definedName>
    <definedName name="용역개요">#REF!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위락경관">#REF!</definedName>
    <definedName name="위생공중보건">#REF!</definedName>
    <definedName name="유관순">#REF!</definedName>
    <definedName name="육상동식물">#REF!</definedName>
    <definedName name="육수동식물">#REF!</definedName>
    <definedName name="이순신">#REF!</definedName>
    <definedName name="이율곡">#REF!</definedName>
    <definedName name="인구">#REF!</definedName>
    <definedName name="인월수">#REF!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#REF!</definedName>
    <definedName name="일수">#REF!</definedName>
    <definedName name="일위" localSheetId="8">#REF!</definedName>
    <definedName name="일위">#REF!</definedName>
    <definedName name="일조장해">#REF!</definedName>
    <definedName name="잉크">#REF!</definedName>
    <definedName name="자동차OD">#REF!</definedName>
    <definedName name="자재단가근거" hidden="1">#REF!</definedName>
    <definedName name="작은금액인월수_X2">#REF!</definedName>
    <definedName name="저감방안수립">#REF!</definedName>
    <definedName name="적용임금">#REF!</definedName>
    <definedName name="전기" hidden="1">#REF!</definedName>
    <definedName name="전기공사" hidden="1">#REF!</definedName>
    <definedName name="전파장해">#REF!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평가">#REF!</definedName>
    <definedName name="주거">#REF!</definedName>
    <definedName name="주민의견수렴">#REF!</definedName>
    <definedName name="중급">#REF!</definedName>
    <definedName name="중급기능사">#REF!</definedName>
    <definedName name="중급기술자">#REF!</definedName>
    <definedName name="지구단위">#REF!</definedName>
    <definedName name="초급">#REF!</definedName>
    <definedName name="초급엔지니어링">#REF!</definedName>
    <definedName name="총공" hidden="1">{#N/A,#N/A,FALSE,"운반시간"}</definedName>
    <definedName name="최대값">#REF!</definedName>
    <definedName name="최소값">#REF!</definedName>
    <definedName name="코딩">#REF!</definedName>
    <definedName name="토목설계" hidden="1">{#N/A,#N/A,FALSE,"골재소요량";#N/A,#N/A,FALSE,"골재소요량"}</definedName>
    <definedName name="토양">#REF!</definedName>
    <definedName name="토적표" hidden="1">#REF!</definedName>
    <definedName name="토지이용">#REF!</definedName>
    <definedName name="특급">#REF!</definedName>
    <definedName name="특별인부">#REF!</definedName>
    <definedName name="파카손료">#REF!</definedName>
    <definedName name="평균">#REF!</definedName>
    <definedName name="폐기물">#REF!</definedName>
    <definedName name="표지2" hidden="1">{#N/A,#N/A,FALSE,"단가표지"}</definedName>
    <definedName name="품_______명" localSheetId="8">#REF!</definedName>
    <definedName name="품_______명">#REF!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전" hidden="1">#REF!</definedName>
    <definedName name="합계">#REF!</definedName>
    <definedName name="항목1">#REF!</definedName>
    <definedName name="항목2">#REF!</definedName>
    <definedName name="항목3">#REF!</definedName>
    <definedName name="항목4">#REF!</definedName>
    <definedName name="항목5">#REF!</definedName>
    <definedName name="항목6">#REF!</definedName>
    <definedName name="허균">#REF!</definedName>
    <definedName name="현장정착액">#REF!</definedName>
    <definedName name="환경개요">#REF!</definedName>
    <definedName name="환경규모">#REF!</definedName>
    <definedName name="횟수">#REF!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ㅛ" hidden="1">#REF!</definedName>
    <definedName name="ㅜ" hidden="1">#REF!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3" l="1"/>
  <c r="D32" i="3"/>
  <c r="D34" i="3"/>
  <c r="K34" i="3" s="1"/>
  <c r="J77" i="16"/>
  <c r="J76" i="16"/>
  <c r="J75" i="16"/>
  <c r="J74" i="16"/>
  <c r="J73" i="16"/>
  <c r="J72" i="16"/>
  <c r="J71" i="16"/>
  <c r="J68" i="16"/>
  <c r="J67" i="16"/>
  <c r="J66" i="16"/>
  <c r="J65" i="16"/>
  <c r="J64" i="16"/>
  <c r="J63" i="16"/>
  <c r="J59" i="16"/>
  <c r="J58" i="16"/>
  <c r="J57" i="16"/>
  <c r="J56" i="16"/>
  <c r="J55" i="16"/>
  <c r="J54" i="16"/>
  <c r="J53" i="16"/>
  <c r="J61" i="16" s="1"/>
  <c r="J50" i="16"/>
  <c r="J49" i="16"/>
  <c r="J48" i="16"/>
  <c r="J47" i="16"/>
  <c r="J46" i="16"/>
  <c r="J45" i="16"/>
  <c r="J44" i="16"/>
  <c r="J43" i="16"/>
  <c r="J42" i="16"/>
  <c r="J41" i="16"/>
  <c r="J40" i="16"/>
  <c r="J37" i="16"/>
  <c r="J36" i="16"/>
  <c r="J35" i="16"/>
  <c r="J34" i="16"/>
  <c r="J33" i="16"/>
  <c r="J32" i="16"/>
  <c r="J31" i="16"/>
  <c r="J30" i="16"/>
  <c r="J29" i="16"/>
  <c r="J28" i="16"/>
  <c r="J23" i="16"/>
  <c r="J22" i="16"/>
  <c r="J20" i="16"/>
  <c r="J19" i="16"/>
  <c r="J18" i="16"/>
  <c r="J17" i="16"/>
  <c r="J16" i="16"/>
  <c r="J13" i="16"/>
  <c r="J12" i="16"/>
  <c r="J11" i="16"/>
  <c r="J10" i="16"/>
  <c r="J9" i="16"/>
  <c r="J8" i="16"/>
  <c r="J14" i="16" s="1"/>
  <c r="K35" i="3"/>
  <c r="J79" i="16" l="1"/>
  <c r="J69" i="16"/>
  <c r="J51" i="16"/>
  <c r="J38" i="16"/>
  <c r="J80" i="16" s="1"/>
  <c r="N80" i="16" s="1"/>
  <c r="J24" i="16"/>
  <c r="J25" i="16" s="1"/>
  <c r="N25" i="16"/>
  <c r="F8" i="5"/>
  <c r="F7" i="5"/>
  <c r="F6" i="5"/>
  <c r="F5" i="5"/>
  <c r="O29" i="11"/>
  <c r="O55" i="11"/>
  <c r="O81" i="11"/>
  <c r="O107" i="11"/>
  <c r="O133" i="11"/>
  <c r="O159" i="11"/>
  <c r="O185" i="11"/>
  <c r="O211" i="11"/>
  <c r="O237" i="11"/>
  <c r="AE1172" i="10"/>
  <c r="AE1127" i="10"/>
  <c r="AE1099" i="10"/>
  <c r="AE1079" i="10"/>
  <c r="AE1048" i="10"/>
  <c r="AE1015" i="10"/>
  <c r="K1001" i="10"/>
  <c r="L1001" i="10"/>
  <c r="M1001" i="10"/>
  <c r="N1001" i="10"/>
  <c r="K1002" i="10"/>
  <c r="L1002" i="10" s="1"/>
  <c r="M1002" i="10"/>
  <c r="N1002" i="10"/>
  <c r="I1003" i="10"/>
  <c r="L1003" i="10"/>
  <c r="N1003" i="10"/>
  <c r="O1003" i="10"/>
  <c r="I1004" i="10"/>
  <c r="L1004" i="10"/>
  <c r="N1004" i="10"/>
  <c r="O1004" i="10"/>
  <c r="P1004" i="10"/>
  <c r="I1005" i="10"/>
  <c r="L1005" i="10"/>
  <c r="N1005" i="10"/>
  <c r="O1005" i="10"/>
  <c r="P1005" i="10"/>
  <c r="I1006" i="10"/>
  <c r="L1006" i="10"/>
  <c r="N1006" i="10"/>
  <c r="O1006" i="10"/>
  <c r="I1007" i="10"/>
  <c r="L1007" i="10"/>
  <c r="N1007" i="10"/>
  <c r="O1007" i="10"/>
  <c r="P1007" i="10"/>
  <c r="I1008" i="10"/>
  <c r="L1008" i="10"/>
  <c r="N1008" i="10"/>
  <c r="O1008" i="10"/>
  <c r="I1009" i="10"/>
  <c r="L1009" i="10"/>
  <c r="N1009" i="10"/>
  <c r="O1009" i="10"/>
  <c r="P1009" i="10"/>
  <c r="I1010" i="10"/>
  <c r="L1010" i="10"/>
  <c r="N1010" i="10"/>
  <c r="O1010" i="10"/>
  <c r="I1011" i="10"/>
  <c r="L1011" i="10"/>
  <c r="N1011" i="10"/>
  <c r="O1011" i="10"/>
  <c r="I1012" i="10"/>
  <c r="L1012" i="10"/>
  <c r="N1012" i="10"/>
  <c r="O1012" i="10"/>
  <c r="P1012" i="10"/>
  <c r="K1013" i="10"/>
  <c r="L1013" i="10" s="1"/>
  <c r="M1013" i="10"/>
  <c r="N1013" i="10" s="1"/>
  <c r="K1014" i="10"/>
  <c r="L1014" i="10"/>
  <c r="M1014" i="10"/>
  <c r="N1014" i="10" s="1"/>
  <c r="O1017" i="10"/>
  <c r="I1019" i="10"/>
  <c r="L1019" i="10"/>
  <c r="N1019" i="10"/>
  <c r="O1019" i="10"/>
  <c r="I1020" i="10"/>
  <c r="L1020" i="10"/>
  <c r="N1020" i="10"/>
  <c r="O1020" i="10"/>
  <c r="I1021" i="10"/>
  <c r="L1021" i="10"/>
  <c r="N1021" i="10"/>
  <c r="O1021" i="10"/>
  <c r="P1021" i="10"/>
  <c r="I1022" i="10"/>
  <c r="L1022" i="10"/>
  <c r="N1022" i="10"/>
  <c r="O1022" i="10"/>
  <c r="I1023" i="10"/>
  <c r="L1023" i="10"/>
  <c r="N1023" i="10"/>
  <c r="O1023" i="10"/>
  <c r="P1023" i="10"/>
  <c r="I1024" i="10"/>
  <c r="L1024" i="10"/>
  <c r="N1024" i="10"/>
  <c r="O1024" i="10"/>
  <c r="I1025" i="10"/>
  <c r="L1025" i="10"/>
  <c r="N1025" i="10"/>
  <c r="O1025" i="10"/>
  <c r="P1025" i="10"/>
  <c r="I1026" i="10"/>
  <c r="L1026" i="10"/>
  <c r="N1026" i="10"/>
  <c r="O1026" i="10"/>
  <c r="P1026" i="10"/>
  <c r="I1027" i="10"/>
  <c r="L1027" i="10"/>
  <c r="N1027" i="10"/>
  <c r="O1027" i="10"/>
  <c r="I1028" i="10"/>
  <c r="L1028" i="10"/>
  <c r="N1028" i="10"/>
  <c r="O1028" i="10"/>
  <c r="P1028" i="10"/>
  <c r="I1029" i="10"/>
  <c r="L1029" i="10"/>
  <c r="N1029" i="10"/>
  <c r="O1029" i="10"/>
  <c r="I1030" i="10"/>
  <c r="L1030" i="10"/>
  <c r="N1030" i="10"/>
  <c r="O1030" i="10"/>
  <c r="P1030" i="10"/>
  <c r="I1031" i="10"/>
  <c r="L1031" i="10"/>
  <c r="N1031" i="10"/>
  <c r="O1031" i="10"/>
  <c r="I1032" i="10"/>
  <c r="L1032" i="10"/>
  <c r="N1032" i="10"/>
  <c r="O1032" i="10"/>
  <c r="I1033" i="10"/>
  <c r="L1033" i="10"/>
  <c r="N1033" i="10"/>
  <c r="O1033" i="10"/>
  <c r="P1033" i="10"/>
  <c r="I1034" i="10"/>
  <c r="L1034" i="10"/>
  <c r="N1034" i="10"/>
  <c r="O1034" i="10"/>
  <c r="I1035" i="10"/>
  <c r="L1035" i="10"/>
  <c r="N1035" i="10"/>
  <c r="O1035" i="10"/>
  <c r="P1035" i="10"/>
  <c r="I1036" i="10"/>
  <c r="L1036" i="10"/>
  <c r="N1036" i="10"/>
  <c r="O1036" i="10"/>
  <c r="I1037" i="10"/>
  <c r="L1037" i="10"/>
  <c r="N1037" i="10"/>
  <c r="O1037" i="10"/>
  <c r="P1037" i="10"/>
  <c r="I1038" i="10"/>
  <c r="L1038" i="10"/>
  <c r="N1038" i="10"/>
  <c r="O1038" i="10"/>
  <c r="P1038" i="10"/>
  <c r="I1039" i="10"/>
  <c r="L1039" i="10"/>
  <c r="N1039" i="10"/>
  <c r="O1039" i="10"/>
  <c r="I1040" i="10"/>
  <c r="L1040" i="10"/>
  <c r="N1040" i="10"/>
  <c r="O1040" i="10"/>
  <c r="P1040" i="10"/>
  <c r="I1041" i="10"/>
  <c r="L1041" i="10"/>
  <c r="N1041" i="10"/>
  <c r="O1041" i="10"/>
  <c r="I1042" i="10"/>
  <c r="L1042" i="10"/>
  <c r="N1042" i="10"/>
  <c r="O1042" i="10"/>
  <c r="P1042" i="10"/>
  <c r="I1043" i="10"/>
  <c r="L1043" i="10"/>
  <c r="N1043" i="10"/>
  <c r="O1043" i="10"/>
  <c r="I1044" i="10"/>
  <c r="L1044" i="10"/>
  <c r="N1044" i="10"/>
  <c r="O1044" i="10"/>
  <c r="I1045" i="10"/>
  <c r="L1045" i="10"/>
  <c r="N1045" i="10"/>
  <c r="O1045" i="10"/>
  <c r="P1045" i="10"/>
  <c r="I1046" i="10"/>
  <c r="L1046" i="10"/>
  <c r="N1046" i="10"/>
  <c r="O1046" i="10"/>
  <c r="K1047" i="10"/>
  <c r="L1047" i="10" s="1"/>
  <c r="M1047" i="10"/>
  <c r="N1047" i="10" s="1"/>
  <c r="O1069" i="10"/>
  <c r="K1071" i="10"/>
  <c r="L1071" i="10"/>
  <c r="M1071" i="10"/>
  <c r="N1071" i="10"/>
  <c r="K1072" i="10"/>
  <c r="L1072" i="10" s="1"/>
  <c r="M1072" i="10"/>
  <c r="N1072" i="10"/>
  <c r="K1073" i="10"/>
  <c r="L1073" i="10" s="1"/>
  <c r="M1073" i="10"/>
  <c r="N1073" i="10" s="1"/>
  <c r="K1074" i="10"/>
  <c r="L1074" i="10"/>
  <c r="M1074" i="10"/>
  <c r="N1074" i="10"/>
  <c r="K1075" i="10"/>
  <c r="L1075" i="10" s="1"/>
  <c r="M1075" i="10"/>
  <c r="N1075" i="10"/>
  <c r="K1076" i="10"/>
  <c r="L1076" i="10" s="1"/>
  <c r="M1076" i="10"/>
  <c r="N1076" i="10" s="1"/>
  <c r="K1077" i="10"/>
  <c r="L1077" i="10"/>
  <c r="M1077" i="10"/>
  <c r="N1077" i="10"/>
  <c r="K1078" i="10"/>
  <c r="L1078" i="10" s="1"/>
  <c r="M1078" i="10"/>
  <c r="N1078" i="10"/>
  <c r="O1095" i="10"/>
  <c r="I1097" i="10"/>
  <c r="L1097" i="10"/>
  <c r="N1097" i="10"/>
  <c r="O1097" i="10"/>
  <c r="P1097" i="10"/>
  <c r="K1098" i="10"/>
  <c r="L1098" i="10"/>
  <c r="M1098" i="10"/>
  <c r="N1098" i="10" s="1"/>
  <c r="O1121" i="10"/>
  <c r="K1123" i="10"/>
  <c r="L1123" i="10" s="1"/>
  <c r="M1123" i="10"/>
  <c r="N1123" i="10"/>
  <c r="K1124" i="10"/>
  <c r="L1124" i="10" s="1"/>
  <c r="M1124" i="10"/>
  <c r="N1124" i="10" s="1"/>
  <c r="K1125" i="10"/>
  <c r="L1125" i="10"/>
  <c r="M1125" i="10"/>
  <c r="N1125" i="10" s="1"/>
  <c r="K1126" i="10"/>
  <c r="L1126" i="10"/>
  <c r="M1126" i="10"/>
  <c r="N1126" i="10"/>
  <c r="O1147" i="10"/>
  <c r="I1149" i="10"/>
  <c r="L1149" i="10"/>
  <c r="N1149" i="10"/>
  <c r="O1149" i="10"/>
  <c r="I1150" i="10"/>
  <c r="L1150" i="10"/>
  <c r="N1150" i="10"/>
  <c r="O1150" i="10"/>
  <c r="P1150" i="10"/>
  <c r="K1151" i="10"/>
  <c r="L1151" i="10"/>
  <c r="M1151" i="10"/>
  <c r="N1151" i="10" s="1"/>
  <c r="K1152" i="10"/>
  <c r="L1152" i="10"/>
  <c r="M1152" i="10"/>
  <c r="N1152" i="10"/>
  <c r="K1153" i="10"/>
  <c r="L1153" i="10" s="1"/>
  <c r="M1153" i="10"/>
  <c r="N1153" i="10" s="1"/>
  <c r="K1154" i="10"/>
  <c r="L1154" i="10"/>
  <c r="M1154" i="10"/>
  <c r="N1154" i="10" s="1"/>
  <c r="K1155" i="10"/>
  <c r="L1155" i="10"/>
  <c r="M1155" i="10"/>
  <c r="N1155" i="10"/>
  <c r="K1156" i="10"/>
  <c r="L1156" i="10" s="1"/>
  <c r="M1156" i="10"/>
  <c r="N1156" i="10" s="1"/>
  <c r="K1157" i="10"/>
  <c r="L1157" i="10"/>
  <c r="M1157" i="10"/>
  <c r="N1157" i="10" s="1"/>
  <c r="K1158" i="10"/>
  <c r="L1158" i="10"/>
  <c r="M1158" i="10"/>
  <c r="N1158" i="10"/>
  <c r="K1159" i="10"/>
  <c r="L1159" i="10" s="1"/>
  <c r="M1159" i="10"/>
  <c r="N1159" i="10" s="1"/>
  <c r="K1160" i="10"/>
  <c r="L1160" i="10"/>
  <c r="M1160" i="10"/>
  <c r="N1160" i="10" s="1"/>
  <c r="I1161" i="10"/>
  <c r="L1161" i="10"/>
  <c r="N1161" i="10"/>
  <c r="O1161" i="10"/>
  <c r="K1162" i="10"/>
  <c r="L1162" i="10" s="1"/>
  <c r="M1162" i="10"/>
  <c r="N1162" i="10"/>
  <c r="K1163" i="10"/>
  <c r="L1163" i="10" s="1"/>
  <c r="M1163" i="10"/>
  <c r="N1163" i="10" s="1"/>
  <c r="K1164" i="10"/>
  <c r="L1164" i="10"/>
  <c r="M1164" i="10"/>
  <c r="N1164" i="10"/>
  <c r="I1165" i="10"/>
  <c r="L1165" i="10"/>
  <c r="N1165" i="10"/>
  <c r="O1165" i="10"/>
  <c r="K1166" i="10"/>
  <c r="L1166" i="10" s="1"/>
  <c r="M1166" i="10"/>
  <c r="N1166" i="10"/>
  <c r="K1167" i="10"/>
  <c r="L1167" i="10" s="1"/>
  <c r="M1167" i="10"/>
  <c r="N1167" i="10" s="1"/>
  <c r="K1168" i="10"/>
  <c r="L1168" i="10"/>
  <c r="M1168" i="10"/>
  <c r="N1168" i="10"/>
  <c r="K1170" i="10"/>
  <c r="L1170" i="10" s="1"/>
  <c r="M1170" i="10"/>
  <c r="N1170" i="10" s="1"/>
  <c r="K1171" i="10"/>
  <c r="L1171" i="10"/>
  <c r="M1171" i="10"/>
  <c r="N1171" i="10"/>
  <c r="O1173" i="10"/>
  <c r="K6" i="10"/>
  <c r="L6" i="10" s="1"/>
  <c r="M6" i="10"/>
  <c r="N6" i="10" s="1"/>
  <c r="K12" i="10"/>
  <c r="L12" i="10" s="1"/>
  <c r="M12" i="10"/>
  <c r="N12" i="10"/>
  <c r="K13" i="10"/>
  <c r="L13" i="10" s="1"/>
  <c r="M13" i="10"/>
  <c r="N13" i="10" s="1"/>
  <c r="K33" i="10"/>
  <c r="L33" i="10" s="1"/>
  <c r="M33" i="10"/>
  <c r="N33" i="10" s="1"/>
  <c r="O55" i="10"/>
  <c r="K58" i="10"/>
  <c r="L58" i="10" s="1"/>
  <c r="M58" i="10"/>
  <c r="N58" i="10" s="1"/>
  <c r="K64" i="10"/>
  <c r="L64" i="10" s="1"/>
  <c r="M64" i="10"/>
  <c r="N64" i="10" s="1"/>
  <c r="K65" i="10"/>
  <c r="L65" i="10"/>
  <c r="M65" i="10"/>
  <c r="N65" i="10" s="1"/>
  <c r="K83" i="10"/>
  <c r="L83" i="10" s="1"/>
  <c r="M83" i="10"/>
  <c r="N83" i="10" s="1"/>
  <c r="O107" i="10"/>
  <c r="K110" i="10"/>
  <c r="L110" i="10"/>
  <c r="M110" i="10"/>
  <c r="N110" i="10"/>
  <c r="K116" i="10"/>
  <c r="L116" i="10" s="1"/>
  <c r="M116" i="10"/>
  <c r="N116" i="10"/>
  <c r="K117" i="10"/>
  <c r="L117" i="10" s="1"/>
  <c r="M117" i="10"/>
  <c r="N117" i="10" s="1"/>
  <c r="K135" i="10"/>
  <c r="L135" i="10"/>
  <c r="M135" i="10"/>
  <c r="N135" i="10"/>
  <c r="O159" i="10"/>
  <c r="K162" i="10"/>
  <c r="L162" i="10" s="1"/>
  <c r="M162" i="10"/>
  <c r="N162" i="10"/>
  <c r="K168" i="10"/>
  <c r="L168" i="10"/>
  <c r="M168" i="10"/>
  <c r="N168" i="10"/>
  <c r="K169" i="10"/>
  <c r="L169" i="10" s="1"/>
  <c r="M169" i="10"/>
  <c r="N169" i="10"/>
  <c r="K188" i="10"/>
  <c r="L188" i="10"/>
  <c r="M188" i="10"/>
  <c r="N188" i="10"/>
  <c r="O211" i="10"/>
  <c r="K247" i="10"/>
  <c r="L247" i="10" s="1"/>
  <c r="M247" i="10"/>
  <c r="N247" i="10"/>
  <c r="K248" i="10"/>
  <c r="L248" i="10" s="1"/>
  <c r="M248" i="10"/>
  <c r="N248" i="10" s="1"/>
  <c r="K249" i="10"/>
  <c r="L249" i="10"/>
  <c r="M249" i="10"/>
  <c r="N249" i="10" s="1"/>
  <c r="K250" i="10"/>
  <c r="L250" i="10" s="1"/>
  <c r="M250" i="10"/>
  <c r="N250" i="10"/>
  <c r="K251" i="10"/>
  <c r="L251" i="10" s="1"/>
  <c r="M251" i="10"/>
  <c r="N251" i="10" s="1"/>
  <c r="K252" i="10"/>
  <c r="L252" i="10"/>
  <c r="M252" i="10"/>
  <c r="N252" i="10" s="1"/>
  <c r="K253" i="10"/>
  <c r="L253" i="10" s="1"/>
  <c r="M253" i="10"/>
  <c r="N253" i="10"/>
  <c r="K254" i="10"/>
  <c r="L254" i="10" s="1"/>
  <c r="M254" i="10"/>
  <c r="N254" i="10" s="1"/>
  <c r="K255" i="10"/>
  <c r="L255" i="10"/>
  <c r="M255" i="10"/>
  <c r="N255" i="10" s="1"/>
  <c r="K256" i="10"/>
  <c r="L256" i="10" s="1"/>
  <c r="M256" i="10"/>
  <c r="N256" i="10"/>
  <c r="K257" i="10"/>
  <c r="L257" i="10" s="1"/>
  <c r="M257" i="10"/>
  <c r="N257" i="10" s="1"/>
  <c r="K258" i="10"/>
  <c r="L258" i="10"/>
  <c r="M258" i="10"/>
  <c r="N258" i="10" s="1"/>
  <c r="K259" i="10"/>
  <c r="L259" i="10" s="1"/>
  <c r="M259" i="10"/>
  <c r="N259" i="10"/>
  <c r="K260" i="10"/>
  <c r="L260" i="10" s="1"/>
  <c r="M260" i="10"/>
  <c r="N260" i="10" s="1"/>
  <c r="K261" i="10"/>
  <c r="L261" i="10"/>
  <c r="M261" i="10"/>
  <c r="N261" i="10" s="1"/>
  <c r="K262" i="10"/>
  <c r="L262" i="10" s="1"/>
  <c r="M262" i="10"/>
  <c r="N262" i="10"/>
  <c r="K263" i="10"/>
  <c r="L263" i="10" s="1"/>
  <c r="M263" i="10"/>
  <c r="N263" i="10" s="1"/>
  <c r="O289" i="10"/>
  <c r="K291" i="10"/>
  <c r="L291" i="10"/>
  <c r="M291" i="10"/>
  <c r="N291" i="10"/>
  <c r="K292" i="10"/>
  <c r="L292" i="10" s="1"/>
  <c r="M292" i="10"/>
  <c r="N292" i="10" s="1"/>
  <c r="K304" i="10"/>
  <c r="L304" i="10"/>
  <c r="M304" i="10"/>
  <c r="N304" i="10" s="1"/>
  <c r="K305" i="10"/>
  <c r="L305" i="10"/>
  <c r="M305" i="10"/>
  <c r="N305" i="10"/>
  <c r="K306" i="10"/>
  <c r="L306" i="10" s="1"/>
  <c r="M306" i="10"/>
  <c r="N306" i="10" s="1"/>
  <c r="O315" i="10"/>
  <c r="K319" i="10"/>
  <c r="L319" i="10"/>
  <c r="M319" i="10"/>
  <c r="N319" i="10"/>
  <c r="K325" i="10"/>
  <c r="L325" i="10"/>
  <c r="M325" i="10"/>
  <c r="N325" i="10" s="1"/>
  <c r="K326" i="10"/>
  <c r="L326" i="10"/>
  <c r="M326" i="10"/>
  <c r="N326" i="10"/>
  <c r="O341" i="10"/>
  <c r="K347" i="10"/>
  <c r="L347" i="10" s="1"/>
  <c r="M347" i="10"/>
  <c r="N347" i="10" s="1"/>
  <c r="K348" i="10"/>
  <c r="L348" i="10"/>
  <c r="M348" i="10"/>
  <c r="N348" i="10" s="1"/>
  <c r="O367" i="10"/>
  <c r="K372" i="10"/>
  <c r="L372" i="10"/>
  <c r="M372" i="10"/>
  <c r="N372" i="10" s="1"/>
  <c r="K385" i="10"/>
  <c r="L385" i="10"/>
  <c r="M385" i="10"/>
  <c r="N385" i="10"/>
  <c r="K387" i="10"/>
  <c r="L387" i="10" s="1"/>
  <c r="M387" i="10"/>
  <c r="N387" i="10" s="1"/>
  <c r="K389" i="10"/>
  <c r="L389" i="10"/>
  <c r="M389" i="10"/>
  <c r="N389" i="10"/>
  <c r="O393" i="10"/>
  <c r="K408" i="10"/>
  <c r="L408" i="10"/>
  <c r="M408" i="10"/>
  <c r="N408" i="10" s="1"/>
  <c r="K409" i="10"/>
  <c r="L409" i="10"/>
  <c r="M409" i="10"/>
  <c r="N409" i="10" s="1"/>
  <c r="K410" i="10"/>
  <c r="L410" i="10"/>
  <c r="M410" i="10"/>
  <c r="N410" i="10"/>
  <c r="K411" i="10"/>
  <c r="L411" i="10"/>
  <c r="M411" i="10"/>
  <c r="N411" i="10" s="1"/>
  <c r="K412" i="10"/>
  <c r="L412" i="10"/>
  <c r="M412" i="10"/>
  <c r="N412" i="10" s="1"/>
  <c r="K413" i="10"/>
  <c r="L413" i="10" s="1"/>
  <c r="M413" i="10"/>
  <c r="N413" i="10"/>
  <c r="K414" i="10"/>
  <c r="L414" i="10"/>
  <c r="M414" i="10"/>
  <c r="N414" i="10" s="1"/>
  <c r="K415" i="10"/>
  <c r="L415" i="10"/>
  <c r="M415" i="10"/>
  <c r="N415" i="10" s="1"/>
  <c r="I416" i="10"/>
  <c r="K416" i="10"/>
  <c r="L416" i="10"/>
  <c r="M416" i="10"/>
  <c r="N416" i="10" s="1"/>
  <c r="O416" i="10"/>
  <c r="I417" i="10"/>
  <c r="K417" i="10"/>
  <c r="L417" i="10" s="1"/>
  <c r="M417" i="10"/>
  <c r="N417" i="10"/>
  <c r="O417" i="10"/>
  <c r="I418" i="10"/>
  <c r="K418" i="10"/>
  <c r="M418" i="10"/>
  <c r="N418" i="10" s="1"/>
  <c r="O419" i="10"/>
  <c r="K432" i="10"/>
  <c r="L432" i="10"/>
  <c r="M432" i="10"/>
  <c r="N432" i="10"/>
  <c r="K433" i="10"/>
  <c r="L433" i="10" s="1"/>
  <c r="M433" i="10"/>
  <c r="N433" i="10"/>
  <c r="K434" i="10"/>
  <c r="L434" i="10" s="1"/>
  <c r="M434" i="10"/>
  <c r="N434" i="10" s="1"/>
  <c r="K435" i="10"/>
  <c r="L435" i="10"/>
  <c r="M435" i="10"/>
  <c r="N435" i="10"/>
  <c r="K436" i="10"/>
  <c r="L436" i="10" s="1"/>
  <c r="M436" i="10"/>
  <c r="N436" i="10"/>
  <c r="K437" i="10"/>
  <c r="L437" i="10" s="1"/>
  <c r="M437" i="10"/>
  <c r="N437" i="10" s="1"/>
  <c r="K438" i="10"/>
  <c r="L438" i="10"/>
  <c r="M438" i="10"/>
  <c r="N438" i="10"/>
  <c r="K439" i="10"/>
  <c r="L439" i="10" s="1"/>
  <c r="M439" i="10"/>
  <c r="N439" i="10"/>
  <c r="K440" i="10"/>
  <c r="L440" i="10" s="1"/>
  <c r="M440" i="10"/>
  <c r="N440" i="10" s="1"/>
  <c r="K441" i="10"/>
  <c r="L441" i="10"/>
  <c r="M441" i="10"/>
  <c r="N441" i="10"/>
  <c r="K442" i="10"/>
  <c r="L442" i="10" s="1"/>
  <c r="M442" i="10"/>
  <c r="N442" i="10"/>
  <c r="K443" i="10"/>
  <c r="L443" i="10" s="1"/>
  <c r="M443" i="10"/>
  <c r="N443" i="10" s="1"/>
  <c r="K444" i="10"/>
  <c r="L444" i="10"/>
  <c r="M444" i="10"/>
  <c r="N444" i="10"/>
  <c r="O445" i="10"/>
  <c r="K463" i="10"/>
  <c r="L463" i="10" s="1"/>
  <c r="M463" i="10"/>
  <c r="N463" i="10"/>
  <c r="K464" i="10"/>
  <c r="L464" i="10"/>
  <c r="M464" i="10"/>
  <c r="N464" i="10"/>
  <c r="K465" i="10"/>
  <c r="L465" i="10"/>
  <c r="M465" i="10"/>
  <c r="N465" i="10" s="1"/>
  <c r="K466" i="10"/>
  <c r="L466" i="10" s="1"/>
  <c r="M466" i="10"/>
  <c r="N466" i="10"/>
  <c r="K467" i="10"/>
  <c r="L467" i="10"/>
  <c r="M467" i="10"/>
  <c r="N467" i="10"/>
  <c r="K468" i="10"/>
  <c r="L468" i="10" s="1"/>
  <c r="M468" i="10"/>
  <c r="N468" i="10" s="1"/>
  <c r="K469" i="10"/>
  <c r="L469" i="10" s="1"/>
  <c r="M469" i="10"/>
  <c r="N469" i="10"/>
  <c r="K470" i="10"/>
  <c r="L470" i="10"/>
  <c r="M470" i="10"/>
  <c r="N470" i="10"/>
  <c r="K471" i="10"/>
  <c r="L471" i="10" s="1"/>
  <c r="M471" i="10"/>
  <c r="N471" i="10"/>
  <c r="O497" i="10"/>
  <c r="K500" i="10"/>
  <c r="L500" i="10" s="1"/>
  <c r="M500" i="10"/>
  <c r="N500" i="10" s="1"/>
  <c r="K501" i="10"/>
  <c r="L501" i="10" s="1"/>
  <c r="M501" i="10"/>
  <c r="N501" i="10"/>
  <c r="K502" i="10"/>
  <c r="L502" i="10"/>
  <c r="M502" i="10"/>
  <c r="N502" i="10"/>
  <c r="K508" i="10"/>
  <c r="L508" i="10" s="1"/>
  <c r="M508" i="10"/>
  <c r="N508" i="10" s="1"/>
  <c r="K518" i="10"/>
  <c r="L518" i="10"/>
  <c r="M518" i="10"/>
  <c r="N518" i="10"/>
  <c r="K519" i="10"/>
  <c r="L519" i="10"/>
  <c r="M519" i="10"/>
  <c r="N519" i="10"/>
  <c r="K520" i="10"/>
  <c r="L520" i="10" s="1"/>
  <c r="M520" i="10"/>
  <c r="N520" i="10"/>
  <c r="K521" i="10"/>
  <c r="L521" i="10"/>
  <c r="M521" i="10"/>
  <c r="N521" i="10"/>
  <c r="K522" i="10"/>
  <c r="L522" i="10"/>
  <c r="M522" i="10"/>
  <c r="N522" i="10"/>
  <c r="K523" i="10"/>
  <c r="L523" i="10" s="1"/>
  <c r="M523" i="10"/>
  <c r="N523" i="10" s="1"/>
  <c r="O549" i="10"/>
  <c r="K553" i="10"/>
  <c r="L553" i="10" s="1"/>
  <c r="M553" i="10"/>
  <c r="N553" i="10"/>
  <c r="K558" i="10"/>
  <c r="L558" i="10" s="1"/>
  <c r="M558" i="10"/>
  <c r="N558" i="10" s="1"/>
  <c r="K559" i="10"/>
  <c r="L559" i="10" s="1"/>
  <c r="M559" i="10"/>
  <c r="N559" i="10"/>
  <c r="O575" i="10"/>
  <c r="K579" i="10"/>
  <c r="L579" i="10" s="1"/>
  <c r="M579" i="10"/>
  <c r="N579" i="10" s="1"/>
  <c r="K582" i="10"/>
  <c r="L582" i="10"/>
  <c r="M582" i="10"/>
  <c r="N582" i="10" s="1"/>
  <c r="O601" i="10"/>
  <c r="K607" i="10"/>
  <c r="L607" i="10"/>
  <c r="M607" i="10"/>
  <c r="N607" i="10"/>
  <c r="K608" i="10"/>
  <c r="L608" i="10"/>
  <c r="M608" i="10"/>
  <c r="N608" i="10" s="1"/>
  <c r="K609" i="10"/>
  <c r="L609" i="10"/>
  <c r="M609" i="10"/>
  <c r="N609" i="10"/>
  <c r="K610" i="10"/>
  <c r="L610" i="10"/>
  <c r="M610" i="10"/>
  <c r="N610" i="10"/>
  <c r="O627" i="10"/>
  <c r="K639" i="10"/>
  <c r="L639" i="10" s="1"/>
  <c r="M639" i="10"/>
  <c r="N639" i="10" s="1"/>
  <c r="K640" i="10"/>
  <c r="L640" i="10"/>
  <c r="M640" i="10"/>
  <c r="N640" i="10" s="1"/>
  <c r="K641" i="10"/>
  <c r="L641" i="10" s="1"/>
  <c r="M641" i="10"/>
  <c r="N641" i="10" s="1"/>
  <c r="I643" i="10"/>
  <c r="L643" i="10"/>
  <c r="N643" i="10"/>
  <c r="O643" i="10"/>
  <c r="P643" i="10"/>
  <c r="I644" i="10"/>
  <c r="K644" i="10"/>
  <c r="M644" i="10"/>
  <c r="N644" i="10"/>
  <c r="I645" i="10"/>
  <c r="K645" i="10"/>
  <c r="L645" i="10" s="1"/>
  <c r="M645" i="10"/>
  <c r="N645" i="10" s="1"/>
  <c r="P645" i="10"/>
  <c r="K646" i="10"/>
  <c r="L646" i="10" s="1"/>
  <c r="M646" i="10"/>
  <c r="N646" i="10" s="1"/>
  <c r="O653" i="10"/>
  <c r="K659" i="10"/>
  <c r="L659" i="10" s="1"/>
  <c r="M659" i="10"/>
  <c r="N659" i="10" s="1"/>
  <c r="K692" i="10"/>
  <c r="L692" i="10" s="1"/>
  <c r="M692" i="10"/>
  <c r="N692" i="10" s="1"/>
  <c r="K693" i="10"/>
  <c r="L693" i="10" s="1"/>
  <c r="M693" i="10"/>
  <c r="N693" i="10" s="1"/>
  <c r="K694" i="10"/>
  <c r="L694" i="10" s="1"/>
  <c r="M694" i="10"/>
  <c r="N694" i="10"/>
  <c r="K695" i="10"/>
  <c r="L695" i="10" s="1"/>
  <c r="M695" i="10"/>
  <c r="N695" i="10" s="1"/>
  <c r="K696" i="10"/>
  <c r="L696" i="10" s="1"/>
  <c r="M696" i="10"/>
  <c r="N696" i="10" s="1"/>
  <c r="I697" i="10"/>
  <c r="K697" i="10"/>
  <c r="L697" i="10"/>
  <c r="M697" i="10"/>
  <c r="N697" i="10" s="1"/>
  <c r="P697" i="10" s="1"/>
  <c r="O697" i="10"/>
  <c r="I698" i="10"/>
  <c r="K698" i="10"/>
  <c r="M698" i="10"/>
  <c r="N698" i="10" s="1"/>
  <c r="I699" i="10"/>
  <c r="K699" i="10"/>
  <c r="M699" i="10"/>
  <c r="N699" i="10"/>
  <c r="I700" i="10"/>
  <c r="K700" i="10"/>
  <c r="L700" i="10" s="1"/>
  <c r="M700" i="10"/>
  <c r="N700" i="10" s="1"/>
  <c r="O700" i="10"/>
  <c r="I701" i="10"/>
  <c r="K701" i="10"/>
  <c r="L701" i="10"/>
  <c r="M701" i="10"/>
  <c r="N701" i="10"/>
  <c r="I702" i="10"/>
  <c r="K702" i="10"/>
  <c r="L702" i="10" s="1"/>
  <c r="M702" i="10"/>
  <c r="N702" i="10"/>
  <c r="I703" i="10"/>
  <c r="K703" i="10"/>
  <c r="L703" i="10"/>
  <c r="M703" i="10"/>
  <c r="N703" i="10"/>
  <c r="O703" i="10"/>
  <c r="I704" i="10"/>
  <c r="K704" i="10"/>
  <c r="L704" i="10" s="1"/>
  <c r="M704" i="10"/>
  <c r="N704" i="10"/>
  <c r="O705" i="10"/>
  <c r="K734" i="10"/>
  <c r="L734" i="10" s="1"/>
  <c r="M734" i="10"/>
  <c r="N734" i="10" s="1"/>
  <c r="K735" i="10"/>
  <c r="L735" i="10"/>
  <c r="M735" i="10"/>
  <c r="N735" i="10" s="1"/>
  <c r="K736" i="10"/>
  <c r="L736" i="10"/>
  <c r="M736" i="10"/>
  <c r="N736" i="10" s="1"/>
  <c r="K737" i="10"/>
  <c r="L737" i="10" s="1"/>
  <c r="M737" i="10"/>
  <c r="N737" i="10" s="1"/>
  <c r="K738" i="10"/>
  <c r="L738" i="10" s="1"/>
  <c r="M738" i="10"/>
  <c r="N738" i="10" s="1"/>
  <c r="K739" i="10"/>
  <c r="L739" i="10" s="1"/>
  <c r="M739" i="10"/>
  <c r="N739" i="10" s="1"/>
  <c r="K740" i="10"/>
  <c r="L740" i="10" s="1"/>
  <c r="M740" i="10"/>
  <c r="N740" i="10" s="1"/>
  <c r="K741" i="10"/>
  <c r="L741" i="10" s="1"/>
  <c r="M741" i="10"/>
  <c r="N741" i="10"/>
  <c r="K742" i="10"/>
  <c r="L742" i="10" s="1"/>
  <c r="M742" i="10"/>
  <c r="N742" i="10"/>
  <c r="K743" i="10"/>
  <c r="L743" i="10" s="1"/>
  <c r="M743" i="10"/>
  <c r="N743" i="10" s="1"/>
  <c r="K744" i="10"/>
  <c r="L744" i="10"/>
  <c r="M744" i="10"/>
  <c r="N744" i="10" s="1"/>
  <c r="K745" i="10"/>
  <c r="L745" i="10"/>
  <c r="M745" i="10"/>
  <c r="N745" i="10" s="1"/>
  <c r="K746" i="10"/>
  <c r="L746" i="10" s="1"/>
  <c r="M746" i="10"/>
  <c r="N746" i="10" s="1"/>
  <c r="K747" i="10"/>
  <c r="L747" i="10" s="1"/>
  <c r="M747" i="10"/>
  <c r="N747" i="10" s="1"/>
  <c r="O757" i="10"/>
  <c r="K762" i="10"/>
  <c r="L762" i="10" s="1"/>
  <c r="M762" i="10"/>
  <c r="N762" i="10" s="1"/>
  <c r="K763" i="10"/>
  <c r="L763" i="10" s="1"/>
  <c r="M763" i="10"/>
  <c r="N763" i="10"/>
  <c r="K764" i="10"/>
  <c r="L764" i="10"/>
  <c r="M764" i="10"/>
  <c r="N764" i="10" s="1"/>
  <c r="K765" i="10"/>
  <c r="L765" i="10" s="1"/>
  <c r="M765" i="10"/>
  <c r="N765" i="10" s="1"/>
  <c r="K801" i="10"/>
  <c r="L801" i="10"/>
  <c r="M801" i="10"/>
  <c r="N801" i="10" s="1"/>
  <c r="K802" i="10"/>
  <c r="L802" i="10"/>
  <c r="M802" i="10"/>
  <c r="N802" i="10"/>
  <c r="K803" i="10"/>
  <c r="L803" i="10"/>
  <c r="M803" i="10"/>
  <c r="N803" i="10"/>
  <c r="K804" i="10"/>
  <c r="L804" i="10"/>
  <c r="M804" i="10"/>
  <c r="N804" i="10" s="1"/>
  <c r="K805" i="10"/>
  <c r="L805" i="10"/>
  <c r="M805" i="10"/>
  <c r="N805" i="10"/>
  <c r="K806" i="10"/>
  <c r="L806" i="10"/>
  <c r="M806" i="10"/>
  <c r="N806" i="10"/>
  <c r="K807" i="10"/>
  <c r="L807" i="10"/>
  <c r="M807" i="10"/>
  <c r="N807" i="10" s="1"/>
  <c r="K808" i="10"/>
  <c r="L808" i="10"/>
  <c r="M808" i="10"/>
  <c r="N808" i="10"/>
  <c r="K809" i="10"/>
  <c r="L809" i="10"/>
  <c r="M809" i="10"/>
  <c r="N809" i="10"/>
  <c r="K810" i="10"/>
  <c r="L810" i="10"/>
  <c r="M810" i="10"/>
  <c r="N810" i="10" s="1"/>
  <c r="K811" i="10"/>
  <c r="L811" i="10"/>
  <c r="M811" i="10"/>
  <c r="N811" i="10"/>
  <c r="K812" i="10"/>
  <c r="L812" i="10"/>
  <c r="M812" i="10"/>
  <c r="N812" i="10"/>
  <c r="O835" i="10"/>
  <c r="K839" i="10"/>
  <c r="L839" i="10" s="1"/>
  <c r="M839" i="10"/>
  <c r="N839" i="10" s="1"/>
  <c r="K845" i="10"/>
  <c r="L845" i="10"/>
  <c r="M845" i="10"/>
  <c r="N845" i="10" s="1"/>
  <c r="K846" i="10"/>
  <c r="L846" i="10"/>
  <c r="M846" i="10"/>
  <c r="N846" i="10"/>
  <c r="K848" i="10"/>
  <c r="L848" i="10" s="1"/>
  <c r="M848" i="10"/>
  <c r="N848" i="10" s="1"/>
  <c r="K849" i="10"/>
  <c r="L849" i="10" s="1"/>
  <c r="M849" i="10"/>
  <c r="N849" i="10"/>
  <c r="K850" i="10"/>
  <c r="L850" i="10"/>
  <c r="M850" i="10"/>
  <c r="N850" i="10" s="1"/>
  <c r="K851" i="10"/>
  <c r="L851" i="10" s="1"/>
  <c r="M851" i="10"/>
  <c r="N851" i="10" s="1"/>
  <c r="K853" i="10"/>
  <c r="L853" i="10"/>
  <c r="M853" i="10"/>
  <c r="N853" i="10"/>
  <c r="O887" i="10"/>
  <c r="K893" i="10"/>
  <c r="L893" i="10"/>
  <c r="M893" i="10"/>
  <c r="N893" i="10"/>
  <c r="K894" i="10"/>
  <c r="L894" i="10"/>
  <c r="M894" i="10"/>
  <c r="N894" i="10"/>
  <c r="K902" i="10"/>
  <c r="L902" i="10" s="1"/>
  <c r="M902" i="10"/>
  <c r="N902" i="10"/>
  <c r="K903" i="10"/>
  <c r="L903" i="10"/>
  <c r="M903" i="10"/>
  <c r="N903" i="10" s="1"/>
  <c r="K904" i="10"/>
  <c r="L904" i="10" s="1"/>
  <c r="M904" i="10"/>
  <c r="N904" i="10" s="1"/>
  <c r="O913" i="10"/>
  <c r="K917" i="10"/>
  <c r="L917" i="10"/>
  <c r="M917" i="10"/>
  <c r="N917" i="10"/>
  <c r="O939" i="10"/>
  <c r="K944" i="10"/>
  <c r="L944" i="10" s="1"/>
  <c r="M944" i="10"/>
  <c r="N944" i="10" s="1"/>
  <c r="K945" i="10"/>
  <c r="L945" i="10"/>
  <c r="M945" i="10"/>
  <c r="N945" i="10" s="1"/>
  <c r="K946" i="10"/>
  <c r="L946" i="10"/>
  <c r="M946" i="10"/>
  <c r="N946" i="10"/>
  <c r="K947" i="10"/>
  <c r="L947" i="10"/>
  <c r="M947" i="10"/>
  <c r="N947" i="10" s="1"/>
  <c r="K951" i="10"/>
  <c r="L951" i="10" s="1"/>
  <c r="M951" i="10"/>
  <c r="N951" i="10" s="1"/>
  <c r="O965" i="10"/>
  <c r="K974" i="10"/>
  <c r="L974" i="10"/>
  <c r="M974" i="10"/>
  <c r="N974" i="10" s="1"/>
  <c r="K975" i="10"/>
  <c r="L975" i="10" s="1"/>
  <c r="M975" i="10"/>
  <c r="N975" i="10" s="1"/>
  <c r="K976" i="10"/>
  <c r="L976" i="10" s="1"/>
  <c r="M976" i="10"/>
  <c r="N976" i="10" s="1"/>
  <c r="K977" i="10"/>
  <c r="L977" i="10"/>
  <c r="M977" i="10"/>
  <c r="N977" i="10"/>
  <c r="I979" i="10"/>
  <c r="K979" i="10"/>
  <c r="L979" i="10"/>
  <c r="M979" i="10"/>
  <c r="N979" i="10"/>
  <c r="O991" i="10"/>
  <c r="I993" i="10"/>
  <c r="L993" i="10"/>
  <c r="N993" i="10"/>
  <c r="O993" i="10"/>
  <c r="I994" i="10"/>
  <c r="L994" i="10"/>
  <c r="N994" i="10"/>
  <c r="P994" i="10" s="1"/>
  <c r="O994" i="10"/>
  <c r="I995" i="10"/>
  <c r="L995" i="10"/>
  <c r="N995" i="10"/>
  <c r="O995" i="10"/>
  <c r="P995" i="10"/>
  <c r="K996" i="10"/>
  <c r="L996" i="10" s="1"/>
  <c r="M996" i="10"/>
  <c r="N996" i="10" s="1"/>
  <c r="K997" i="10"/>
  <c r="L997" i="10"/>
  <c r="M997" i="10"/>
  <c r="N997" i="10"/>
  <c r="K998" i="10"/>
  <c r="L998" i="10"/>
  <c r="M998" i="10"/>
  <c r="N998" i="10"/>
  <c r="I999" i="10"/>
  <c r="L999" i="10"/>
  <c r="N999" i="10"/>
  <c r="O999" i="10"/>
  <c r="I1000" i="10"/>
  <c r="L1000" i="10"/>
  <c r="N1000" i="10"/>
  <c r="P1000" i="10" s="1"/>
  <c r="O1000" i="10"/>
  <c r="H1001" i="9"/>
  <c r="M1001" i="9"/>
  <c r="I1002" i="9"/>
  <c r="L1002" i="9"/>
  <c r="N1002" i="9"/>
  <c r="O1002" i="9"/>
  <c r="O1003" i="9"/>
  <c r="K1006" i="9"/>
  <c r="L1006" i="9"/>
  <c r="M1006" i="9"/>
  <c r="N1006" i="9" s="1"/>
  <c r="K1007" i="9"/>
  <c r="L1007" i="9" s="1"/>
  <c r="M1007" i="9"/>
  <c r="N1007" i="9"/>
  <c r="I1008" i="9"/>
  <c r="P1008" i="9" s="1"/>
  <c r="L1008" i="9"/>
  <c r="N1008" i="9"/>
  <c r="O1008" i="9"/>
  <c r="H1009" i="9"/>
  <c r="M1009" i="9"/>
  <c r="I1010" i="9"/>
  <c r="L1010" i="9"/>
  <c r="N1010" i="9"/>
  <c r="O1010" i="9"/>
  <c r="O1011" i="9"/>
  <c r="K1014" i="9"/>
  <c r="L1014" i="9" s="1"/>
  <c r="M1014" i="9"/>
  <c r="N1014" i="9"/>
  <c r="K1015" i="9"/>
  <c r="L1015" i="9" s="1"/>
  <c r="M1015" i="9"/>
  <c r="N1015" i="9"/>
  <c r="I1016" i="9"/>
  <c r="L1016" i="9"/>
  <c r="N1016" i="9"/>
  <c r="O1016" i="9"/>
  <c r="H1017" i="9"/>
  <c r="M1017" i="9"/>
  <c r="I1018" i="9"/>
  <c r="L1018" i="9"/>
  <c r="N1018" i="9"/>
  <c r="O1018" i="9"/>
  <c r="O1019" i="9"/>
  <c r="K1022" i="9"/>
  <c r="L1022" i="9" s="1"/>
  <c r="M1022" i="9"/>
  <c r="N1022" i="9" s="1"/>
  <c r="K1023" i="9"/>
  <c r="L1023" i="9" s="1"/>
  <c r="M1023" i="9"/>
  <c r="N1023" i="9"/>
  <c r="I1024" i="9"/>
  <c r="L1024" i="9"/>
  <c r="N1024" i="9"/>
  <c r="O1024" i="9"/>
  <c r="H1025" i="9"/>
  <c r="M1025" i="9"/>
  <c r="I1026" i="9"/>
  <c r="L1026" i="9"/>
  <c r="N1026" i="9"/>
  <c r="P1026" i="9" s="1"/>
  <c r="O1026" i="9"/>
  <c r="O1027" i="9"/>
  <c r="K1030" i="9"/>
  <c r="L1030" i="9" s="1"/>
  <c r="M1030" i="9"/>
  <c r="N1030" i="9" s="1"/>
  <c r="K1031" i="9"/>
  <c r="L1031" i="9"/>
  <c r="M1031" i="9"/>
  <c r="N1031" i="9"/>
  <c r="I1032" i="9"/>
  <c r="L1032" i="9"/>
  <c r="N1032" i="9"/>
  <c r="O1032" i="9"/>
  <c r="H1033" i="9"/>
  <c r="M1033" i="9"/>
  <c r="I1034" i="9"/>
  <c r="L1034" i="9"/>
  <c r="N1034" i="9"/>
  <c r="O1034" i="9"/>
  <c r="O1035" i="9"/>
  <c r="K1038" i="9"/>
  <c r="L1038" i="9"/>
  <c r="M1038" i="9"/>
  <c r="N1038" i="9" s="1"/>
  <c r="K1039" i="9"/>
  <c r="L1039" i="9" s="1"/>
  <c r="M1039" i="9"/>
  <c r="N1039" i="9"/>
  <c r="I1040" i="9"/>
  <c r="L1040" i="9"/>
  <c r="N1040" i="9"/>
  <c r="O1040" i="9"/>
  <c r="P1040" i="9"/>
  <c r="H1041" i="9"/>
  <c r="M1041" i="9"/>
  <c r="I1042" i="9"/>
  <c r="L1042" i="9"/>
  <c r="N1042" i="9"/>
  <c r="O1042" i="9"/>
  <c r="O1043" i="9"/>
  <c r="K1046" i="9"/>
  <c r="L1046" i="9" s="1"/>
  <c r="M1046" i="9"/>
  <c r="N1046" i="9"/>
  <c r="K1047" i="9"/>
  <c r="L1047" i="9" s="1"/>
  <c r="M1047" i="9"/>
  <c r="N1047" i="9"/>
  <c r="I1048" i="9"/>
  <c r="L1048" i="9"/>
  <c r="N1048" i="9"/>
  <c r="O1048" i="9"/>
  <c r="H1049" i="9"/>
  <c r="M1049" i="9"/>
  <c r="I1050" i="9"/>
  <c r="L1050" i="9"/>
  <c r="N1050" i="9"/>
  <c r="O1050" i="9"/>
  <c r="O1051" i="9"/>
  <c r="K1054" i="9"/>
  <c r="L1054" i="9" s="1"/>
  <c r="M1054" i="9"/>
  <c r="N1054" i="9" s="1"/>
  <c r="K1055" i="9"/>
  <c r="L1055" i="9" s="1"/>
  <c r="M1055" i="9"/>
  <c r="N1055" i="9"/>
  <c r="I1056" i="9"/>
  <c r="L1056" i="9"/>
  <c r="N1056" i="9"/>
  <c r="O1056" i="9"/>
  <c r="H1057" i="9"/>
  <c r="M1057" i="9"/>
  <c r="I1058" i="9"/>
  <c r="L1058" i="9"/>
  <c r="N1058" i="9"/>
  <c r="P1058" i="9" s="1"/>
  <c r="O1058" i="9"/>
  <c r="O1059" i="9"/>
  <c r="K1062" i="9"/>
  <c r="L1062" i="9" s="1"/>
  <c r="M1062" i="9"/>
  <c r="N1062" i="9" s="1"/>
  <c r="H1063" i="9"/>
  <c r="M1063" i="9"/>
  <c r="I1064" i="9"/>
  <c r="L1064" i="9"/>
  <c r="N1064" i="9"/>
  <c r="O1064" i="9"/>
  <c r="O1065" i="9"/>
  <c r="K1068" i="9"/>
  <c r="L1068" i="9" s="1"/>
  <c r="M1068" i="9"/>
  <c r="N1068" i="9"/>
  <c r="H1069" i="9"/>
  <c r="M1069" i="9"/>
  <c r="I1070" i="9"/>
  <c r="L1070" i="9"/>
  <c r="N1070" i="9"/>
  <c r="O1070" i="9"/>
  <c r="O1071" i="9"/>
  <c r="K1074" i="9"/>
  <c r="L1074" i="9"/>
  <c r="M1074" i="9"/>
  <c r="N1074" i="9" s="1"/>
  <c r="H1075" i="9"/>
  <c r="M1075" i="9"/>
  <c r="I1076" i="9"/>
  <c r="L1076" i="9"/>
  <c r="N1076" i="9"/>
  <c r="O1076" i="9"/>
  <c r="O1077" i="9"/>
  <c r="K1080" i="9"/>
  <c r="L1080" i="9" s="1"/>
  <c r="M1080" i="9"/>
  <c r="N1080" i="9"/>
  <c r="H1081" i="9"/>
  <c r="M1081" i="9"/>
  <c r="I1082" i="9"/>
  <c r="L1082" i="9"/>
  <c r="N1082" i="9"/>
  <c r="O1082" i="9"/>
  <c r="O1083" i="9"/>
  <c r="K1086" i="9"/>
  <c r="L1086" i="9"/>
  <c r="M1086" i="9"/>
  <c r="N1086" i="9"/>
  <c r="H1087" i="9"/>
  <c r="M1087" i="9"/>
  <c r="I1088" i="9"/>
  <c r="L1088" i="9"/>
  <c r="N1088" i="9"/>
  <c r="O1088" i="9"/>
  <c r="O1089" i="9"/>
  <c r="K1092" i="9"/>
  <c r="L1092" i="9"/>
  <c r="M1092" i="9"/>
  <c r="N1092" i="9" s="1"/>
  <c r="H1093" i="9"/>
  <c r="M1093" i="9"/>
  <c r="I1094" i="9"/>
  <c r="L1094" i="9"/>
  <c r="N1094" i="9"/>
  <c r="P1094" i="9" s="1"/>
  <c r="O1094" i="9"/>
  <c r="O1095" i="9"/>
  <c r="K1098" i="9"/>
  <c r="L1098" i="9" s="1"/>
  <c r="M1098" i="9"/>
  <c r="N1098" i="9" s="1"/>
  <c r="H1099" i="9"/>
  <c r="M1099" i="9"/>
  <c r="I1100" i="9"/>
  <c r="L1100" i="9"/>
  <c r="N1100" i="9"/>
  <c r="O1100" i="9"/>
  <c r="O1101" i="9"/>
  <c r="K1104" i="9"/>
  <c r="L1104" i="9" s="1"/>
  <c r="M1104" i="9"/>
  <c r="N1104" i="9"/>
  <c r="H1105" i="9"/>
  <c r="M1105" i="9"/>
  <c r="I1106" i="9"/>
  <c r="L1106" i="9"/>
  <c r="N1106" i="9"/>
  <c r="O1106" i="9"/>
  <c r="O1107" i="9"/>
  <c r="K1110" i="9"/>
  <c r="L1110" i="9"/>
  <c r="M1110" i="9"/>
  <c r="N1110" i="9" s="1"/>
  <c r="H1111" i="9"/>
  <c r="M1111" i="9"/>
  <c r="I1112" i="9"/>
  <c r="L1112" i="9"/>
  <c r="N1112" i="9"/>
  <c r="O1112" i="9"/>
  <c r="O1113" i="9"/>
  <c r="K1116" i="9"/>
  <c r="L1116" i="9" s="1"/>
  <c r="M1116" i="9"/>
  <c r="N1116" i="9"/>
  <c r="H1117" i="9"/>
  <c r="M1117" i="9"/>
  <c r="I1118" i="9"/>
  <c r="L1118" i="9"/>
  <c r="N1118" i="9"/>
  <c r="O1118" i="9"/>
  <c r="O1119" i="9"/>
  <c r="K1122" i="9"/>
  <c r="L1122" i="9"/>
  <c r="M1122" i="9"/>
  <c r="N1122" i="9"/>
  <c r="H1123" i="9"/>
  <c r="M1123" i="9"/>
  <c r="I1124" i="9"/>
  <c r="L1124" i="9"/>
  <c r="N1124" i="9"/>
  <c r="O1124" i="9"/>
  <c r="O1125" i="9"/>
  <c r="K1128" i="9"/>
  <c r="L1128" i="9"/>
  <c r="M1128" i="9"/>
  <c r="N1128" i="9" s="1"/>
  <c r="H1129" i="9"/>
  <c r="M1129" i="9"/>
  <c r="I1130" i="9"/>
  <c r="L1130" i="9"/>
  <c r="N1130" i="9"/>
  <c r="P1130" i="9" s="1"/>
  <c r="O1130" i="9"/>
  <c r="O1131" i="9"/>
  <c r="K1134" i="9"/>
  <c r="L1134" i="9" s="1"/>
  <c r="M1134" i="9"/>
  <c r="N1134" i="9" s="1"/>
  <c r="H1135" i="9"/>
  <c r="M1135" i="9"/>
  <c r="I1136" i="9"/>
  <c r="L1136" i="9"/>
  <c r="N1136" i="9"/>
  <c r="O1136" i="9"/>
  <c r="O1137" i="9"/>
  <c r="K1140" i="9"/>
  <c r="L1140" i="9" s="1"/>
  <c r="M1140" i="9"/>
  <c r="N1140" i="9"/>
  <c r="H1141" i="9"/>
  <c r="M1141" i="9"/>
  <c r="I1142" i="9"/>
  <c r="L1142" i="9"/>
  <c r="N1142" i="9"/>
  <c r="O1142" i="9"/>
  <c r="O1143" i="9"/>
  <c r="K1146" i="9"/>
  <c r="L1146" i="9"/>
  <c r="M1146" i="9"/>
  <c r="N1146" i="9" s="1"/>
  <c r="H1147" i="9"/>
  <c r="M1147" i="9"/>
  <c r="I1148" i="9"/>
  <c r="L1148" i="9"/>
  <c r="N1148" i="9"/>
  <c r="O1148" i="9"/>
  <c r="O1149" i="9"/>
  <c r="K1152" i="9"/>
  <c r="L1152" i="9" s="1"/>
  <c r="M1152" i="9"/>
  <c r="N1152" i="9"/>
  <c r="H1153" i="9"/>
  <c r="M1153" i="9"/>
  <c r="H1154" i="9"/>
  <c r="M1154" i="9"/>
  <c r="I1155" i="9"/>
  <c r="L1155" i="9"/>
  <c r="N1155" i="9"/>
  <c r="O1155" i="9"/>
  <c r="O1156" i="9"/>
  <c r="K1159" i="9"/>
  <c r="L1159" i="9"/>
  <c r="M1159" i="9"/>
  <c r="N1159" i="9" s="1"/>
  <c r="H1160" i="9"/>
  <c r="M1160" i="9"/>
  <c r="I1161" i="9"/>
  <c r="L1161" i="9"/>
  <c r="N1161" i="9"/>
  <c r="O1161" i="9"/>
  <c r="O1162" i="9"/>
  <c r="K1165" i="9"/>
  <c r="L1165" i="9" s="1"/>
  <c r="M1165" i="9"/>
  <c r="N1165" i="9"/>
  <c r="H1166" i="9"/>
  <c r="M1166" i="9"/>
  <c r="I1167" i="9"/>
  <c r="L1167" i="9"/>
  <c r="N1167" i="9"/>
  <c r="O1167" i="9"/>
  <c r="O1168" i="9"/>
  <c r="K1171" i="9"/>
  <c r="L1171" i="9"/>
  <c r="M1171" i="9"/>
  <c r="N1171" i="9"/>
  <c r="H1172" i="9"/>
  <c r="M1172" i="9"/>
  <c r="I1173" i="9"/>
  <c r="L1173" i="9"/>
  <c r="N1173" i="9"/>
  <c r="O1173" i="9"/>
  <c r="O1174" i="9"/>
  <c r="K1177" i="9"/>
  <c r="L1177" i="9" s="1"/>
  <c r="M1177" i="9"/>
  <c r="N1177" i="9" s="1"/>
  <c r="H1178" i="9"/>
  <c r="M1178" i="9"/>
  <c r="I1179" i="9"/>
  <c r="L1179" i="9"/>
  <c r="N1179" i="9"/>
  <c r="P1179" i="9" s="1"/>
  <c r="O1179" i="9"/>
  <c r="O1180" i="9"/>
  <c r="K1183" i="9"/>
  <c r="L1183" i="9" s="1"/>
  <c r="M1183" i="9"/>
  <c r="N1183" i="9" s="1"/>
  <c r="H1184" i="9"/>
  <c r="M1184" i="9"/>
  <c r="I1185" i="9"/>
  <c r="P1185" i="9" s="1"/>
  <c r="L1185" i="9"/>
  <c r="N1185" i="9"/>
  <c r="O1185" i="9"/>
  <c r="O1186" i="9"/>
  <c r="K1189" i="9"/>
  <c r="L1189" i="9" s="1"/>
  <c r="M1189" i="9"/>
  <c r="N1189" i="9"/>
  <c r="H1190" i="9"/>
  <c r="M1190" i="9"/>
  <c r="I1191" i="9"/>
  <c r="L1191" i="9"/>
  <c r="N1191" i="9"/>
  <c r="O1191" i="9"/>
  <c r="O1192" i="9"/>
  <c r="K1195" i="9"/>
  <c r="L1195" i="9"/>
  <c r="M1195" i="9"/>
  <c r="N1195" i="9" s="1"/>
  <c r="K1196" i="9"/>
  <c r="L1196" i="9" s="1"/>
  <c r="M1196" i="9"/>
  <c r="N1196" i="9" s="1"/>
  <c r="H1197" i="9"/>
  <c r="M1197" i="9"/>
  <c r="I1198" i="9"/>
  <c r="L1198" i="9"/>
  <c r="N1198" i="9"/>
  <c r="O1198" i="9"/>
  <c r="O1199" i="9"/>
  <c r="I1202" i="9"/>
  <c r="P1202" i="9" s="1"/>
  <c r="K1202" i="9"/>
  <c r="L1202" i="9"/>
  <c r="M1202" i="9"/>
  <c r="N1202" i="9"/>
  <c r="O1202" i="9"/>
  <c r="H1203" i="9"/>
  <c r="M1203" i="9"/>
  <c r="I1204" i="9"/>
  <c r="P1204" i="9" s="1"/>
  <c r="L1204" i="9"/>
  <c r="N1204" i="9"/>
  <c r="O1204" i="9"/>
  <c r="O1205" i="9"/>
  <c r="I1208" i="9"/>
  <c r="K1208" i="9"/>
  <c r="L1208" i="9"/>
  <c r="M1208" i="9"/>
  <c r="N1208" i="9" s="1"/>
  <c r="H1209" i="9"/>
  <c r="M1209" i="9"/>
  <c r="I1210" i="9"/>
  <c r="L1210" i="9"/>
  <c r="N1210" i="9"/>
  <c r="O1210" i="9"/>
  <c r="O1211" i="9"/>
  <c r="I1214" i="9"/>
  <c r="K1214" i="9"/>
  <c r="L1214" i="9" s="1"/>
  <c r="M1214" i="9"/>
  <c r="N1214" i="9" s="1"/>
  <c r="O1214" i="9"/>
  <c r="H1215" i="9"/>
  <c r="M1215" i="9"/>
  <c r="I1216" i="9"/>
  <c r="L1216" i="9"/>
  <c r="N1216" i="9"/>
  <c r="O1216" i="9"/>
  <c r="O1217" i="9"/>
  <c r="I1220" i="9"/>
  <c r="K1220" i="9"/>
  <c r="L1220" i="9" s="1"/>
  <c r="M1220" i="9"/>
  <c r="H1221" i="9"/>
  <c r="M1221" i="9"/>
  <c r="I1222" i="9"/>
  <c r="L1222" i="9"/>
  <c r="N1222" i="9"/>
  <c r="O1222" i="9"/>
  <c r="P1222" i="9"/>
  <c r="O1223" i="9"/>
  <c r="I1226" i="9"/>
  <c r="K1226" i="9"/>
  <c r="M1226" i="9"/>
  <c r="N1226" i="9" s="1"/>
  <c r="H1227" i="9"/>
  <c r="M1227" i="9"/>
  <c r="I1228" i="9"/>
  <c r="L1228" i="9"/>
  <c r="N1228" i="9"/>
  <c r="P1228" i="9" s="1"/>
  <c r="O1228" i="9"/>
  <c r="O1229" i="9"/>
  <c r="I1232" i="9"/>
  <c r="K1232" i="9"/>
  <c r="L1232" i="9" s="1"/>
  <c r="M1232" i="9"/>
  <c r="N1232" i="9" s="1"/>
  <c r="H1233" i="9"/>
  <c r="M1233" i="9"/>
  <c r="I1234" i="9"/>
  <c r="L1234" i="9"/>
  <c r="N1234" i="9"/>
  <c r="O1234" i="9"/>
  <c r="O1235" i="9"/>
  <c r="I1238" i="9"/>
  <c r="K1238" i="9"/>
  <c r="L1238" i="9"/>
  <c r="M1238" i="9"/>
  <c r="N1238" i="9" s="1"/>
  <c r="O1238" i="9"/>
  <c r="H1239" i="9"/>
  <c r="M1239" i="9"/>
  <c r="I1240" i="9"/>
  <c r="P1240" i="9" s="1"/>
  <c r="L1240" i="9"/>
  <c r="N1240" i="9"/>
  <c r="O1240" i="9"/>
  <c r="O1241" i="9"/>
  <c r="I1244" i="9"/>
  <c r="K1244" i="9"/>
  <c r="L1244" i="9"/>
  <c r="M1244" i="9"/>
  <c r="N1244" i="9" s="1"/>
  <c r="H1245" i="9"/>
  <c r="M1245" i="9"/>
  <c r="I1246" i="9"/>
  <c r="L1246" i="9"/>
  <c r="N1246" i="9"/>
  <c r="O1246" i="9"/>
  <c r="O1247" i="9"/>
  <c r="I1250" i="9"/>
  <c r="K1250" i="9"/>
  <c r="L1250" i="9" s="1"/>
  <c r="M1250" i="9"/>
  <c r="N1250" i="9" s="1"/>
  <c r="O1250" i="9"/>
  <c r="H1251" i="9"/>
  <c r="M1251" i="9"/>
  <c r="I1252" i="9"/>
  <c r="L1252" i="9"/>
  <c r="N1252" i="9"/>
  <c r="O1252" i="9"/>
  <c r="O1253" i="9"/>
  <c r="I1256" i="9"/>
  <c r="K1256" i="9"/>
  <c r="L1256" i="9"/>
  <c r="M1256" i="9"/>
  <c r="H1257" i="9"/>
  <c r="M1257" i="9"/>
  <c r="I1258" i="9"/>
  <c r="L1258" i="9"/>
  <c r="N1258" i="9"/>
  <c r="O1258" i="9"/>
  <c r="P1258" i="9"/>
  <c r="O1259" i="9"/>
  <c r="I1262" i="9"/>
  <c r="K1262" i="9"/>
  <c r="M1262" i="9"/>
  <c r="N1262" i="9" s="1"/>
  <c r="H1263" i="9"/>
  <c r="M1263" i="9"/>
  <c r="I1264" i="9"/>
  <c r="L1264" i="9"/>
  <c r="N1264" i="9"/>
  <c r="P1264" i="9" s="1"/>
  <c r="O1264" i="9"/>
  <c r="O1265" i="9"/>
  <c r="I1268" i="9"/>
  <c r="K1268" i="9"/>
  <c r="L1268" i="9" s="1"/>
  <c r="M1268" i="9"/>
  <c r="N1268" i="9"/>
  <c r="H1269" i="9"/>
  <c r="M1269" i="9"/>
  <c r="I1270" i="9"/>
  <c r="P1270" i="9" s="1"/>
  <c r="L1270" i="9"/>
  <c r="N1270" i="9"/>
  <c r="O1270" i="9"/>
  <c r="O1271" i="9"/>
  <c r="I1274" i="9"/>
  <c r="K1274" i="9"/>
  <c r="L1274" i="9"/>
  <c r="M1274" i="9"/>
  <c r="N1274" i="9"/>
  <c r="O1274" i="9"/>
  <c r="H1275" i="9"/>
  <c r="M1275" i="9"/>
  <c r="I1276" i="9"/>
  <c r="P1276" i="9" s="1"/>
  <c r="L1276" i="9"/>
  <c r="N1276" i="9"/>
  <c r="O1276" i="9"/>
  <c r="O1277" i="9"/>
  <c r="I1280" i="9"/>
  <c r="K1280" i="9"/>
  <c r="L1280" i="9"/>
  <c r="M1280" i="9"/>
  <c r="N1280" i="9" s="1"/>
  <c r="H1281" i="9"/>
  <c r="M1281" i="9"/>
  <c r="I1282" i="9"/>
  <c r="P1282" i="9" s="1"/>
  <c r="L1282" i="9"/>
  <c r="N1282" i="9"/>
  <c r="O1282" i="9"/>
  <c r="O1283" i="9"/>
  <c r="I1286" i="9"/>
  <c r="K1286" i="9"/>
  <c r="L1286" i="9" s="1"/>
  <c r="M1286" i="9"/>
  <c r="N1286" i="9"/>
  <c r="O1286" i="9"/>
  <c r="H1287" i="9"/>
  <c r="M1287" i="9"/>
  <c r="I1288" i="9"/>
  <c r="L1288" i="9"/>
  <c r="N1288" i="9"/>
  <c r="O1288" i="9"/>
  <c r="O1289" i="9"/>
  <c r="I1292" i="9"/>
  <c r="K1292" i="9"/>
  <c r="L1292" i="9"/>
  <c r="M1292" i="9"/>
  <c r="H1293" i="9"/>
  <c r="M1293" i="9"/>
  <c r="I1294" i="9"/>
  <c r="L1294" i="9"/>
  <c r="N1294" i="9"/>
  <c r="O1294" i="9"/>
  <c r="P1294" i="9"/>
  <c r="O1295" i="9"/>
  <c r="I1298" i="9"/>
  <c r="K1298" i="9"/>
  <c r="M1298" i="9"/>
  <c r="N1298" i="9" s="1"/>
  <c r="H1299" i="9"/>
  <c r="M1299" i="9"/>
  <c r="I1300" i="9"/>
  <c r="L1300" i="9"/>
  <c r="N1300" i="9"/>
  <c r="P1300" i="9" s="1"/>
  <c r="O1300" i="9"/>
  <c r="O1301" i="9"/>
  <c r="I1304" i="9"/>
  <c r="K1304" i="9"/>
  <c r="L1304" i="9" s="1"/>
  <c r="M1304" i="9"/>
  <c r="N1304" i="9"/>
  <c r="H1305" i="9"/>
  <c r="M1305" i="9"/>
  <c r="I1306" i="9"/>
  <c r="L1306" i="9"/>
  <c r="N1306" i="9"/>
  <c r="O1306" i="9"/>
  <c r="O1307" i="9"/>
  <c r="I1310" i="9"/>
  <c r="K1310" i="9"/>
  <c r="L1310" i="9"/>
  <c r="M1310" i="9"/>
  <c r="N1310" i="9"/>
  <c r="O1310" i="9"/>
  <c r="H1311" i="9"/>
  <c r="M1311" i="9"/>
  <c r="I1312" i="9"/>
  <c r="L1312" i="9"/>
  <c r="N1312" i="9"/>
  <c r="O1312" i="9"/>
  <c r="O1313" i="9"/>
  <c r="I1316" i="9"/>
  <c r="K1316" i="9"/>
  <c r="L1316" i="9"/>
  <c r="M1316" i="9"/>
  <c r="N1316" i="9" s="1"/>
  <c r="H1317" i="9"/>
  <c r="M1317" i="9"/>
  <c r="I1318" i="9"/>
  <c r="L1318" i="9"/>
  <c r="N1318" i="9"/>
  <c r="O1318" i="9"/>
  <c r="O1319" i="9"/>
  <c r="I1322" i="9"/>
  <c r="K1322" i="9"/>
  <c r="L1322" i="9" s="1"/>
  <c r="M1322" i="9"/>
  <c r="N1322" i="9"/>
  <c r="O1322" i="9"/>
  <c r="H1323" i="9"/>
  <c r="M1323" i="9"/>
  <c r="I1324" i="9"/>
  <c r="L1324" i="9"/>
  <c r="N1324" i="9"/>
  <c r="O1324" i="9"/>
  <c r="O1325" i="9"/>
  <c r="I1328" i="9"/>
  <c r="K1328" i="9"/>
  <c r="L1328" i="9"/>
  <c r="M1328" i="9"/>
  <c r="H1329" i="9"/>
  <c r="M1329" i="9"/>
  <c r="I1330" i="9"/>
  <c r="L1330" i="9"/>
  <c r="N1330" i="9"/>
  <c r="O1330" i="9"/>
  <c r="P1330" i="9"/>
  <c r="O1331" i="9"/>
  <c r="I1334" i="9"/>
  <c r="K1334" i="9"/>
  <c r="M1334" i="9"/>
  <c r="N1334" i="9" s="1"/>
  <c r="H1335" i="9"/>
  <c r="M1335" i="9"/>
  <c r="I1336" i="9"/>
  <c r="L1336" i="9"/>
  <c r="N1336" i="9"/>
  <c r="P1336" i="9" s="1"/>
  <c r="O1336" i="9"/>
  <c r="O1337" i="9"/>
  <c r="I1340" i="9"/>
  <c r="K1340" i="9"/>
  <c r="L1340" i="9" s="1"/>
  <c r="M1340" i="9"/>
  <c r="N1340" i="9"/>
  <c r="H1341" i="9"/>
  <c r="M1341" i="9"/>
  <c r="I1342" i="9"/>
  <c r="L1342" i="9"/>
  <c r="N1342" i="9"/>
  <c r="O1342" i="9"/>
  <c r="O1343" i="9"/>
  <c r="I1346" i="9"/>
  <c r="K1346" i="9"/>
  <c r="L1346" i="9"/>
  <c r="M1346" i="9"/>
  <c r="N1346" i="9"/>
  <c r="O1346" i="9"/>
  <c r="H1347" i="9"/>
  <c r="M1347" i="9"/>
  <c r="I1348" i="9"/>
  <c r="L1348" i="9"/>
  <c r="N1348" i="9"/>
  <c r="O1348" i="9"/>
  <c r="O1349" i="9"/>
  <c r="I1352" i="9"/>
  <c r="K1352" i="9"/>
  <c r="L1352" i="9"/>
  <c r="M1352" i="9"/>
  <c r="N1352" i="9" s="1"/>
  <c r="H1353" i="9"/>
  <c r="M1353" i="9"/>
  <c r="I1354" i="9"/>
  <c r="L1354" i="9"/>
  <c r="N1354" i="9"/>
  <c r="O1354" i="9"/>
  <c r="O1355" i="9"/>
  <c r="I1358" i="9"/>
  <c r="K1358" i="9"/>
  <c r="L1358" i="9" s="1"/>
  <c r="M1358" i="9"/>
  <c r="N1358" i="9"/>
  <c r="O1358" i="9"/>
  <c r="H1359" i="9"/>
  <c r="M1359" i="9"/>
  <c r="I1360" i="9"/>
  <c r="L1360" i="9"/>
  <c r="N1360" i="9"/>
  <c r="O1360" i="9"/>
  <c r="O1361" i="9"/>
  <c r="I1364" i="9"/>
  <c r="K1364" i="9"/>
  <c r="L1364" i="9"/>
  <c r="M1364" i="9"/>
  <c r="H1365" i="9"/>
  <c r="M1365" i="9"/>
  <c r="I1366" i="9"/>
  <c r="L1366" i="9"/>
  <c r="N1366" i="9"/>
  <c r="O1366" i="9"/>
  <c r="P1366" i="9"/>
  <c r="O1367" i="9"/>
  <c r="I1370" i="9"/>
  <c r="K1370" i="9"/>
  <c r="M1370" i="9"/>
  <c r="N1370" i="9" s="1"/>
  <c r="H1371" i="9"/>
  <c r="M1371" i="9"/>
  <c r="I1372" i="9"/>
  <c r="L1372" i="9"/>
  <c r="N1372" i="9"/>
  <c r="P1372" i="9" s="1"/>
  <c r="O1372" i="9"/>
  <c r="O1373" i="9"/>
  <c r="I1376" i="9"/>
  <c r="K1376" i="9"/>
  <c r="L1376" i="9" s="1"/>
  <c r="M1376" i="9"/>
  <c r="N1376" i="9"/>
  <c r="H1377" i="9"/>
  <c r="M1377" i="9"/>
  <c r="I1378" i="9"/>
  <c r="L1378" i="9"/>
  <c r="N1378" i="9"/>
  <c r="O1378" i="9"/>
  <c r="O1379" i="9"/>
  <c r="I1382" i="9"/>
  <c r="K1382" i="9"/>
  <c r="L1382" i="9"/>
  <c r="M1382" i="9"/>
  <c r="N1382" i="9"/>
  <c r="O1382" i="9"/>
  <c r="H1383" i="9"/>
  <c r="M1383" i="9"/>
  <c r="I1384" i="9"/>
  <c r="L1384" i="9"/>
  <c r="N1384" i="9"/>
  <c r="O1384" i="9"/>
  <c r="O1385" i="9"/>
  <c r="I1388" i="9"/>
  <c r="K1388" i="9"/>
  <c r="L1388" i="9"/>
  <c r="M1388" i="9"/>
  <c r="N1388" i="9" s="1"/>
  <c r="H1389" i="9"/>
  <c r="M1389" i="9"/>
  <c r="I1390" i="9"/>
  <c r="L1390" i="9"/>
  <c r="N1390" i="9"/>
  <c r="O1390" i="9"/>
  <c r="O1391" i="9"/>
  <c r="I1394" i="9"/>
  <c r="K1394" i="9"/>
  <c r="L1394" i="9" s="1"/>
  <c r="M1394" i="9"/>
  <c r="N1394" i="9"/>
  <c r="O1394" i="9"/>
  <c r="H1395" i="9"/>
  <c r="M1395" i="9"/>
  <c r="I1396" i="9"/>
  <c r="L1396" i="9"/>
  <c r="N1396" i="9"/>
  <c r="O1396" i="9"/>
  <c r="O1397" i="9"/>
  <c r="I1400" i="9"/>
  <c r="K1400" i="9"/>
  <c r="L1400" i="9"/>
  <c r="M1400" i="9"/>
  <c r="H1401" i="9"/>
  <c r="M1401" i="9"/>
  <c r="I1402" i="9"/>
  <c r="L1402" i="9"/>
  <c r="N1402" i="9"/>
  <c r="O1402" i="9"/>
  <c r="P1402" i="9"/>
  <c r="O1403" i="9"/>
  <c r="I1406" i="9"/>
  <c r="K1406" i="9"/>
  <c r="L1406" i="9"/>
  <c r="M1406" i="9"/>
  <c r="N1406" i="9"/>
  <c r="H1407" i="9"/>
  <c r="M1407" i="9"/>
  <c r="I1408" i="9"/>
  <c r="L1408" i="9"/>
  <c r="N1408" i="9"/>
  <c r="O1408" i="9"/>
  <c r="O1409" i="9"/>
  <c r="I1412" i="9"/>
  <c r="K1412" i="9"/>
  <c r="L1412" i="9"/>
  <c r="M1412" i="9"/>
  <c r="N1412" i="9"/>
  <c r="P1412" i="9"/>
  <c r="H1413" i="9"/>
  <c r="M1413" i="9"/>
  <c r="I1414" i="9"/>
  <c r="L1414" i="9"/>
  <c r="N1414" i="9"/>
  <c r="O1414" i="9"/>
  <c r="P1414" i="9"/>
  <c r="O1415" i="9"/>
  <c r="I1418" i="9"/>
  <c r="I1419" i="9" s="1"/>
  <c r="H205" i="12" s="1"/>
  <c r="K1418" i="9"/>
  <c r="L1418" i="9"/>
  <c r="M1418" i="9"/>
  <c r="N1418" i="9"/>
  <c r="O1418" i="9"/>
  <c r="L1419" i="9"/>
  <c r="K205" i="12" s="1"/>
  <c r="N1419" i="9"/>
  <c r="M205" i="12" s="1"/>
  <c r="O1419" i="9"/>
  <c r="I1422" i="9"/>
  <c r="K1422" i="9"/>
  <c r="L1422" i="9"/>
  <c r="M1422" i="9"/>
  <c r="N1422" i="9"/>
  <c r="O1422" i="9"/>
  <c r="H1423" i="9"/>
  <c r="M1423" i="9"/>
  <c r="I1424" i="9"/>
  <c r="L1424" i="9"/>
  <c r="N1424" i="9"/>
  <c r="O1424" i="9"/>
  <c r="O1425" i="9"/>
  <c r="I1428" i="9"/>
  <c r="K1428" i="9"/>
  <c r="L1428" i="9"/>
  <c r="M1428" i="9"/>
  <c r="N1428" i="9" s="1"/>
  <c r="H1429" i="9"/>
  <c r="M1429" i="9"/>
  <c r="I1430" i="9"/>
  <c r="L1430" i="9"/>
  <c r="N1430" i="9"/>
  <c r="O1430" i="9"/>
  <c r="O1431" i="9"/>
  <c r="I1434" i="9"/>
  <c r="K1434" i="9"/>
  <c r="L1434" i="9"/>
  <c r="M1434" i="9"/>
  <c r="N1434" i="9" s="1"/>
  <c r="O1434" i="9"/>
  <c r="H1435" i="9"/>
  <c r="M1435" i="9"/>
  <c r="I1436" i="9"/>
  <c r="L1436" i="9"/>
  <c r="N1436" i="9"/>
  <c r="O1436" i="9"/>
  <c r="O1437" i="9"/>
  <c r="I1440" i="9"/>
  <c r="K1440" i="9"/>
  <c r="L1440" i="9" s="1"/>
  <c r="M1440" i="9"/>
  <c r="N1440" i="9" s="1"/>
  <c r="H1441" i="9"/>
  <c r="M1441" i="9"/>
  <c r="I1442" i="9"/>
  <c r="L1442" i="9"/>
  <c r="N1442" i="9"/>
  <c r="O1442" i="9"/>
  <c r="P1442" i="9"/>
  <c r="O1443" i="9"/>
  <c r="I1446" i="9"/>
  <c r="K1446" i="9"/>
  <c r="L1446" i="9" s="1"/>
  <c r="M1446" i="9"/>
  <c r="N1446" i="9"/>
  <c r="H1447" i="9"/>
  <c r="M1447" i="9"/>
  <c r="I1448" i="9"/>
  <c r="L1448" i="9"/>
  <c r="N1448" i="9"/>
  <c r="O1448" i="9"/>
  <c r="O1449" i="9"/>
  <c r="I1452" i="9"/>
  <c r="K1452" i="9"/>
  <c r="L1452" i="9"/>
  <c r="M1452" i="9"/>
  <c r="N1452" i="9"/>
  <c r="O1452" i="9"/>
  <c r="H1453" i="9"/>
  <c r="M1453" i="9"/>
  <c r="I1454" i="9"/>
  <c r="L1454" i="9"/>
  <c r="N1454" i="9"/>
  <c r="O1454" i="9"/>
  <c r="P1454" i="9"/>
  <c r="O1455" i="9"/>
  <c r="I1458" i="9"/>
  <c r="K1458" i="9"/>
  <c r="L1458" i="9"/>
  <c r="M1458" i="9"/>
  <c r="N1458" i="9" s="1"/>
  <c r="P1458" i="9"/>
  <c r="H1459" i="9"/>
  <c r="M1459" i="9"/>
  <c r="I1460" i="9"/>
  <c r="L1460" i="9"/>
  <c r="N1460" i="9"/>
  <c r="O1460" i="9"/>
  <c r="O1461" i="9"/>
  <c r="I1464" i="9"/>
  <c r="K1464" i="9"/>
  <c r="L1464" i="9" s="1"/>
  <c r="M1464" i="9"/>
  <c r="N1464" i="9"/>
  <c r="H1465" i="9"/>
  <c r="M1465" i="9"/>
  <c r="I1466" i="9"/>
  <c r="L1466" i="9"/>
  <c r="N1466" i="9"/>
  <c r="O1466" i="9"/>
  <c r="O1467" i="9"/>
  <c r="I1470" i="9"/>
  <c r="K1470" i="9"/>
  <c r="L1470" i="9"/>
  <c r="M1470" i="9"/>
  <c r="N1470" i="9" s="1"/>
  <c r="O1470" i="9"/>
  <c r="H1471" i="9"/>
  <c r="M1471" i="9"/>
  <c r="I1472" i="9"/>
  <c r="L1472" i="9"/>
  <c r="N1472" i="9"/>
  <c r="O1472" i="9"/>
  <c r="P1472" i="9"/>
  <c r="O1473" i="9"/>
  <c r="I1476" i="9"/>
  <c r="K1476" i="9"/>
  <c r="L1476" i="9" s="1"/>
  <c r="M1476" i="9"/>
  <c r="N1476" i="9" s="1"/>
  <c r="H1477" i="9"/>
  <c r="M1477" i="9"/>
  <c r="I1478" i="9"/>
  <c r="L1478" i="9"/>
  <c r="N1478" i="9"/>
  <c r="P1478" i="9" s="1"/>
  <c r="O1478" i="9"/>
  <c r="O1479" i="9"/>
  <c r="H1482" i="9"/>
  <c r="M1482" i="9"/>
  <c r="O1483" i="9"/>
  <c r="H1486" i="9"/>
  <c r="M1486" i="9"/>
  <c r="O1487" i="9"/>
  <c r="H1490" i="9"/>
  <c r="M1490" i="9"/>
  <c r="O1491" i="9"/>
  <c r="H1494" i="9"/>
  <c r="M1494" i="9"/>
  <c r="I1495" i="9"/>
  <c r="L1495" i="9"/>
  <c r="N1495" i="9"/>
  <c r="O1495" i="9"/>
  <c r="O1496" i="9"/>
  <c r="I1500" i="9"/>
  <c r="K1500" i="9"/>
  <c r="L1500" i="9" s="1"/>
  <c r="P1500" i="9" s="1"/>
  <c r="M1500" i="9"/>
  <c r="O1500" i="9"/>
  <c r="I1501" i="9"/>
  <c r="K1501" i="9"/>
  <c r="L1501" i="9" s="1"/>
  <c r="M1501" i="9"/>
  <c r="N1501" i="9"/>
  <c r="O1504" i="9"/>
  <c r="O7" i="9"/>
  <c r="O12" i="9"/>
  <c r="K15" i="9"/>
  <c r="L15" i="9" s="1"/>
  <c r="M15" i="9"/>
  <c r="N15" i="9" s="1"/>
  <c r="K16" i="9"/>
  <c r="L16" i="9" s="1"/>
  <c r="M16" i="9"/>
  <c r="N16" i="9" s="1"/>
  <c r="K17" i="9"/>
  <c r="L17" i="9" s="1"/>
  <c r="M17" i="9"/>
  <c r="N17" i="9" s="1"/>
  <c r="K18" i="9"/>
  <c r="L18" i="9"/>
  <c r="M18" i="9"/>
  <c r="N18" i="9" s="1"/>
  <c r="K19" i="9"/>
  <c r="L19" i="9" s="1"/>
  <c r="M19" i="9"/>
  <c r="N19" i="9" s="1"/>
  <c r="H20" i="9"/>
  <c r="M20" i="9"/>
  <c r="I21" i="9"/>
  <c r="P21" i="9" s="1"/>
  <c r="L21" i="9"/>
  <c r="N21" i="9"/>
  <c r="O21" i="9"/>
  <c r="O22" i="9"/>
  <c r="K25" i="9"/>
  <c r="L25" i="9" s="1"/>
  <c r="M25" i="9"/>
  <c r="N25" i="9" s="1"/>
  <c r="K26" i="9"/>
  <c r="L26" i="9" s="1"/>
  <c r="M26" i="9"/>
  <c r="N26" i="9" s="1"/>
  <c r="K27" i="9"/>
  <c r="L27" i="9" s="1"/>
  <c r="M27" i="9"/>
  <c r="N27" i="9" s="1"/>
  <c r="K28" i="9"/>
  <c r="L28" i="9" s="1"/>
  <c r="M28" i="9"/>
  <c r="N28" i="9"/>
  <c r="K29" i="9"/>
  <c r="L29" i="9" s="1"/>
  <c r="M29" i="9"/>
  <c r="N29" i="9" s="1"/>
  <c r="H30" i="9"/>
  <c r="M30" i="9"/>
  <c r="I31" i="9"/>
  <c r="P31" i="9" s="1"/>
  <c r="L31" i="9"/>
  <c r="N31" i="9"/>
  <c r="O31" i="9"/>
  <c r="O32" i="9"/>
  <c r="K35" i="9"/>
  <c r="L35" i="9" s="1"/>
  <c r="M35" i="9"/>
  <c r="N35" i="9" s="1"/>
  <c r="K36" i="9"/>
  <c r="L36" i="9" s="1"/>
  <c r="M36" i="9"/>
  <c r="N36" i="9" s="1"/>
  <c r="K37" i="9"/>
  <c r="L37" i="9"/>
  <c r="M37" i="9"/>
  <c r="N37" i="9" s="1"/>
  <c r="K38" i="9"/>
  <c r="L38" i="9" s="1"/>
  <c r="M38" i="9"/>
  <c r="N38" i="9" s="1"/>
  <c r="K39" i="9"/>
  <c r="L39" i="9" s="1"/>
  <c r="M39" i="9"/>
  <c r="N39" i="9" s="1"/>
  <c r="H40" i="9"/>
  <c r="M40" i="9"/>
  <c r="I41" i="9"/>
  <c r="L41" i="9"/>
  <c r="N41" i="9"/>
  <c r="O41" i="9"/>
  <c r="P41" i="9"/>
  <c r="O42" i="9"/>
  <c r="K45" i="9"/>
  <c r="L45" i="9" s="1"/>
  <c r="M45" i="9"/>
  <c r="N45" i="9" s="1"/>
  <c r="K46" i="9"/>
  <c r="L46" i="9" s="1"/>
  <c r="M46" i="9"/>
  <c r="N46" i="9" s="1"/>
  <c r="K47" i="9"/>
  <c r="L47" i="9" s="1"/>
  <c r="M47" i="9"/>
  <c r="N47" i="9"/>
  <c r="K48" i="9"/>
  <c r="L48" i="9" s="1"/>
  <c r="M48" i="9"/>
  <c r="N48" i="9" s="1"/>
  <c r="K49" i="9"/>
  <c r="L49" i="9" s="1"/>
  <c r="M49" i="9"/>
  <c r="N49" i="9" s="1"/>
  <c r="H50" i="9"/>
  <c r="M50" i="9"/>
  <c r="I51" i="9"/>
  <c r="P51" i="9" s="1"/>
  <c r="L51" i="9"/>
  <c r="N51" i="9"/>
  <c r="O51" i="9"/>
  <c r="O52" i="9"/>
  <c r="K55" i="9"/>
  <c r="L55" i="9" s="1"/>
  <c r="M55" i="9"/>
  <c r="N55" i="9" s="1"/>
  <c r="K56" i="9"/>
  <c r="L56" i="9"/>
  <c r="M56" i="9"/>
  <c r="N56" i="9" s="1"/>
  <c r="K57" i="9"/>
  <c r="L57" i="9" s="1"/>
  <c r="M57" i="9"/>
  <c r="N57" i="9" s="1"/>
  <c r="K58" i="9"/>
  <c r="L58" i="9" s="1"/>
  <c r="M58" i="9"/>
  <c r="N58" i="9" s="1"/>
  <c r="K59" i="9"/>
  <c r="L59" i="9"/>
  <c r="M59" i="9"/>
  <c r="N59" i="9" s="1"/>
  <c r="H60" i="9"/>
  <c r="M60" i="9"/>
  <c r="I61" i="9"/>
  <c r="L61" i="9"/>
  <c r="N61" i="9"/>
  <c r="P61" i="9" s="1"/>
  <c r="O61" i="9"/>
  <c r="O62" i="9"/>
  <c r="K65" i="9"/>
  <c r="L65" i="9"/>
  <c r="M65" i="9"/>
  <c r="N65" i="9" s="1"/>
  <c r="K66" i="9"/>
  <c r="L66" i="9" s="1"/>
  <c r="M66" i="9"/>
  <c r="N66" i="9"/>
  <c r="K67" i="9"/>
  <c r="L67" i="9" s="1"/>
  <c r="M67" i="9"/>
  <c r="N67" i="9" s="1"/>
  <c r="K68" i="9"/>
  <c r="L68" i="9"/>
  <c r="M68" i="9"/>
  <c r="N68" i="9" s="1"/>
  <c r="K69" i="9"/>
  <c r="L69" i="9" s="1"/>
  <c r="M69" i="9"/>
  <c r="N69" i="9"/>
  <c r="H70" i="9"/>
  <c r="M70" i="9"/>
  <c r="I71" i="9"/>
  <c r="L71" i="9"/>
  <c r="N71" i="9"/>
  <c r="O71" i="9"/>
  <c r="P71" i="9"/>
  <c r="O72" i="9"/>
  <c r="K75" i="9"/>
  <c r="L75" i="9"/>
  <c r="M75" i="9"/>
  <c r="N75" i="9"/>
  <c r="K76" i="9"/>
  <c r="L76" i="9" s="1"/>
  <c r="M76" i="9"/>
  <c r="N76" i="9" s="1"/>
  <c r="K77" i="9"/>
  <c r="L77" i="9" s="1"/>
  <c r="M77" i="9"/>
  <c r="N77" i="9" s="1"/>
  <c r="K78" i="9"/>
  <c r="L78" i="9"/>
  <c r="M78" i="9"/>
  <c r="N78" i="9"/>
  <c r="K79" i="9"/>
  <c r="L79" i="9" s="1"/>
  <c r="M79" i="9"/>
  <c r="N79" i="9" s="1"/>
  <c r="H80" i="9"/>
  <c r="M80" i="9"/>
  <c r="I81" i="9"/>
  <c r="L81" i="9"/>
  <c r="N81" i="9"/>
  <c r="O81" i="9"/>
  <c r="O82" i="9"/>
  <c r="K85" i="9"/>
  <c r="L85" i="9" s="1"/>
  <c r="M85" i="9"/>
  <c r="N85" i="9"/>
  <c r="K86" i="9"/>
  <c r="L86" i="9" s="1"/>
  <c r="M86" i="9"/>
  <c r="N86" i="9" s="1"/>
  <c r="K87" i="9"/>
  <c r="L87" i="9"/>
  <c r="M87" i="9"/>
  <c r="N87" i="9" s="1"/>
  <c r="K88" i="9"/>
  <c r="L88" i="9" s="1"/>
  <c r="M88" i="9"/>
  <c r="N88" i="9"/>
  <c r="K89" i="9"/>
  <c r="L89" i="9" s="1"/>
  <c r="M89" i="9"/>
  <c r="N89" i="9"/>
  <c r="K90" i="9"/>
  <c r="L90" i="9"/>
  <c r="M90" i="9"/>
  <c r="N90" i="9" s="1"/>
  <c r="H91" i="9"/>
  <c r="M91" i="9"/>
  <c r="I92" i="9"/>
  <c r="L92" i="9"/>
  <c r="N92" i="9"/>
  <c r="O92" i="9"/>
  <c r="O93" i="9"/>
  <c r="K96" i="9"/>
  <c r="L96" i="9" s="1"/>
  <c r="M96" i="9"/>
  <c r="N96" i="9" s="1"/>
  <c r="K97" i="9"/>
  <c r="L97" i="9"/>
  <c r="M97" i="9"/>
  <c r="N97" i="9"/>
  <c r="K98" i="9"/>
  <c r="L98" i="9"/>
  <c r="M98" i="9"/>
  <c r="N98" i="9" s="1"/>
  <c r="K99" i="9"/>
  <c r="L99" i="9" s="1"/>
  <c r="M99" i="9"/>
  <c r="N99" i="9" s="1"/>
  <c r="K100" i="9"/>
  <c r="L100" i="9"/>
  <c r="M100" i="9"/>
  <c r="N100" i="9"/>
  <c r="K101" i="9"/>
  <c r="L101" i="9"/>
  <c r="M101" i="9"/>
  <c r="N101" i="9" s="1"/>
  <c r="H102" i="9"/>
  <c r="M102" i="9"/>
  <c r="I103" i="9"/>
  <c r="L103" i="9"/>
  <c r="N103" i="9"/>
  <c r="O103" i="9"/>
  <c r="O104" i="9"/>
  <c r="K107" i="9"/>
  <c r="L107" i="9" s="1"/>
  <c r="M107" i="9"/>
  <c r="N107" i="9"/>
  <c r="K108" i="9"/>
  <c r="L108" i="9" s="1"/>
  <c r="M108" i="9"/>
  <c r="N108" i="9"/>
  <c r="K109" i="9"/>
  <c r="L109" i="9"/>
  <c r="M109" i="9"/>
  <c r="N109" i="9" s="1"/>
  <c r="K110" i="9"/>
  <c r="L110" i="9" s="1"/>
  <c r="M110" i="9"/>
  <c r="N110" i="9"/>
  <c r="K111" i="9"/>
  <c r="L111" i="9" s="1"/>
  <c r="M111" i="9"/>
  <c r="N111" i="9"/>
  <c r="K112" i="9"/>
  <c r="L112" i="9"/>
  <c r="M112" i="9"/>
  <c r="N112" i="9" s="1"/>
  <c r="H113" i="9"/>
  <c r="M113" i="9"/>
  <c r="I114" i="9"/>
  <c r="L114" i="9"/>
  <c r="N114" i="9"/>
  <c r="O114" i="9"/>
  <c r="O115" i="9"/>
  <c r="K118" i="9"/>
  <c r="L118" i="9" s="1"/>
  <c r="M118" i="9"/>
  <c r="N118" i="9"/>
  <c r="K119" i="9"/>
  <c r="L119" i="9"/>
  <c r="M119" i="9"/>
  <c r="N119" i="9"/>
  <c r="K120" i="9"/>
  <c r="L120" i="9"/>
  <c r="M120" i="9"/>
  <c r="N120" i="9"/>
  <c r="K121" i="9"/>
  <c r="L121" i="9" s="1"/>
  <c r="M121" i="9"/>
  <c r="N121" i="9"/>
  <c r="K122" i="9"/>
  <c r="L122" i="9" s="1"/>
  <c r="M122" i="9"/>
  <c r="N122" i="9"/>
  <c r="K123" i="9"/>
  <c r="L123" i="9"/>
  <c r="M123" i="9"/>
  <c r="N123" i="9" s="1"/>
  <c r="H124" i="9"/>
  <c r="M124" i="9"/>
  <c r="I125" i="9"/>
  <c r="L125" i="9"/>
  <c r="N125" i="9"/>
  <c r="O125" i="9"/>
  <c r="O126" i="9"/>
  <c r="K129" i="9"/>
  <c r="L129" i="9" s="1"/>
  <c r="M129" i="9"/>
  <c r="N129" i="9" s="1"/>
  <c r="K130" i="9"/>
  <c r="L130" i="9"/>
  <c r="M130" i="9"/>
  <c r="N130" i="9" s="1"/>
  <c r="K131" i="9"/>
  <c r="L131" i="9"/>
  <c r="M131" i="9"/>
  <c r="N131" i="9"/>
  <c r="K132" i="9"/>
  <c r="L132" i="9"/>
  <c r="M132" i="9"/>
  <c r="N132" i="9"/>
  <c r="K133" i="9"/>
  <c r="L133" i="9"/>
  <c r="M133" i="9"/>
  <c r="N133" i="9" s="1"/>
  <c r="K134" i="9"/>
  <c r="L134" i="9"/>
  <c r="M134" i="9"/>
  <c r="N134" i="9"/>
  <c r="K135" i="9"/>
  <c r="L135" i="9"/>
  <c r="M135" i="9"/>
  <c r="N135" i="9"/>
  <c r="H136" i="9"/>
  <c r="M136" i="9"/>
  <c r="I137" i="9"/>
  <c r="L137" i="9"/>
  <c r="N137" i="9"/>
  <c r="O137" i="9"/>
  <c r="O138" i="9"/>
  <c r="K141" i="9"/>
  <c r="L141" i="9"/>
  <c r="M141" i="9"/>
  <c r="N141" i="9"/>
  <c r="K142" i="9"/>
  <c r="L142" i="9" s="1"/>
  <c r="M142" i="9"/>
  <c r="N142" i="9"/>
  <c r="K143" i="9"/>
  <c r="L143" i="9"/>
  <c r="M143" i="9"/>
  <c r="N143" i="9"/>
  <c r="K144" i="9"/>
  <c r="L144" i="9"/>
  <c r="M144" i="9"/>
  <c r="N144" i="9"/>
  <c r="K145" i="9"/>
  <c r="L145" i="9" s="1"/>
  <c r="M145" i="9"/>
  <c r="N145" i="9" s="1"/>
  <c r="K146" i="9"/>
  <c r="L146" i="9"/>
  <c r="M146" i="9"/>
  <c r="N146" i="9"/>
  <c r="K147" i="9"/>
  <c r="L147" i="9"/>
  <c r="M147" i="9"/>
  <c r="N147" i="9"/>
  <c r="H148" i="9"/>
  <c r="M148" i="9"/>
  <c r="I149" i="9"/>
  <c r="L149" i="9"/>
  <c r="N149" i="9"/>
  <c r="O149" i="9"/>
  <c r="O150" i="9"/>
  <c r="K153" i="9"/>
  <c r="L153" i="9"/>
  <c r="M153" i="9"/>
  <c r="N153" i="9"/>
  <c r="K154" i="9"/>
  <c r="L154" i="9"/>
  <c r="M154" i="9"/>
  <c r="N154" i="9"/>
  <c r="K155" i="9"/>
  <c r="L155" i="9"/>
  <c r="M155" i="9"/>
  <c r="N155" i="9" s="1"/>
  <c r="K156" i="9"/>
  <c r="L156" i="9"/>
  <c r="M156" i="9"/>
  <c r="N156" i="9"/>
  <c r="K157" i="9"/>
  <c r="L157" i="9"/>
  <c r="M157" i="9"/>
  <c r="N157" i="9"/>
  <c r="K158" i="9"/>
  <c r="L158" i="9"/>
  <c r="M158" i="9"/>
  <c r="N158" i="9" s="1"/>
  <c r="K159" i="9"/>
  <c r="L159" i="9"/>
  <c r="M159" i="9"/>
  <c r="N159" i="9"/>
  <c r="H160" i="9"/>
  <c r="M160" i="9"/>
  <c r="I161" i="9"/>
  <c r="L161" i="9"/>
  <c r="N161" i="9"/>
  <c r="O161" i="9"/>
  <c r="O162" i="9"/>
  <c r="K165" i="9"/>
  <c r="L165" i="9"/>
  <c r="M165" i="9"/>
  <c r="N165" i="9"/>
  <c r="K166" i="9"/>
  <c r="L166" i="9"/>
  <c r="M166" i="9"/>
  <c r="N166" i="9"/>
  <c r="K167" i="9"/>
  <c r="L167" i="9" s="1"/>
  <c r="M167" i="9"/>
  <c r="N167" i="9"/>
  <c r="K168" i="9"/>
  <c r="L168" i="9"/>
  <c r="M168" i="9"/>
  <c r="N168" i="9"/>
  <c r="K169" i="9"/>
  <c r="L169" i="9"/>
  <c r="M169" i="9"/>
  <c r="N169" i="9"/>
  <c r="K170" i="9"/>
  <c r="L170" i="9" s="1"/>
  <c r="M170" i="9"/>
  <c r="N170" i="9"/>
  <c r="K171" i="9"/>
  <c r="L171" i="9"/>
  <c r="M171" i="9"/>
  <c r="N171" i="9"/>
  <c r="H172" i="9"/>
  <c r="M172" i="9"/>
  <c r="I173" i="9"/>
  <c r="L173" i="9"/>
  <c r="N173" i="9"/>
  <c r="O173" i="9"/>
  <c r="P173" i="9"/>
  <c r="O174" i="9"/>
  <c r="K177" i="9"/>
  <c r="L177" i="9"/>
  <c r="M177" i="9"/>
  <c r="N177" i="9" s="1"/>
  <c r="K178" i="9"/>
  <c r="L178" i="9"/>
  <c r="M178" i="9"/>
  <c r="N178" i="9"/>
  <c r="K179" i="9"/>
  <c r="L179" i="9"/>
  <c r="M179" i="9"/>
  <c r="N179" i="9"/>
  <c r="K180" i="9"/>
  <c r="L180" i="9"/>
  <c r="M180" i="9"/>
  <c r="N180" i="9" s="1"/>
  <c r="K186" i="9"/>
  <c r="L186" i="9"/>
  <c r="M186" i="9"/>
  <c r="N186" i="9" s="1"/>
  <c r="K187" i="9"/>
  <c r="L187" i="9"/>
  <c r="M187" i="9"/>
  <c r="N187" i="9"/>
  <c r="K188" i="9"/>
  <c r="L188" i="9"/>
  <c r="M188" i="9"/>
  <c r="N188" i="9"/>
  <c r="K189" i="9"/>
  <c r="L189" i="9"/>
  <c r="M189" i="9"/>
  <c r="N189" i="9" s="1"/>
  <c r="H190" i="9"/>
  <c r="M190" i="9"/>
  <c r="H191" i="9"/>
  <c r="M191" i="9"/>
  <c r="H192" i="9"/>
  <c r="M192" i="9"/>
  <c r="H193" i="9"/>
  <c r="M193" i="9"/>
  <c r="H194" i="9"/>
  <c r="M194" i="9"/>
  <c r="H195" i="9"/>
  <c r="M195" i="9"/>
  <c r="H196" i="9"/>
  <c r="M196" i="9"/>
  <c r="I197" i="9"/>
  <c r="L197" i="9"/>
  <c r="N197" i="9"/>
  <c r="O197" i="9"/>
  <c r="O198" i="9"/>
  <c r="K201" i="9"/>
  <c r="L201" i="9" s="1"/>
  <c r="M201" i="9"/>
  <c r="N201" i="9" s="1"/>
  <c r="K202" i="9"/>
  <c r="L202" i="9"/>
  <c r="M202" i="9"/>
  <c r="N202" i="9"/>
  <c r="K203" i="9"/>
  <c r="L203" i="9"/>
  <c r="M203" i="9"/>
  <c r="N203" i="9"/>
  <c r="K204" i="9"/>
  <c r="L204" i="9" s="1"/>
  <c r="M204" i="9"/>
  <c r="N204" i="9" s="1"/>
  <c r="H210" i="9"/>
  <c r="M210" i="9"/>
  <c r="H211" i="9"/>
  <c r="M211" i="9"/>
  <c r="H212" i="9"/>
  <c r="M212" i="9"/>
  <c r="H213" i="9"/>
  <c r="M213" i="9"/>
  <c r="H214" i="9"/>
  <c r="M214" i="9"/>
  <c r="H215" i="9"/>
  <c r="M215" i="9"/>
  <c r="I216" i="9"/>
  <c r="L216" i="9"/>
  <c r="N216" i="9"/>
  <c r="O216" i="9"/>
  <c r="P216" i="9"/>
  <c r="O217" i="9"/>
  <c r="K220" i="9"/>
  <c r="L220" i="9"/>
  <c r="M220" i="9"/>
  <c r="N220" i="9" s="1"/>
  <c r="K221" i="9"/>
  <c r="L221" i="9"/>
  <c r="M221" i="9"/>
  <c r="N221" i="9"/>
  <c r="K222" i="9"/>
  <c r="L222" i="9" s="1"/>
  <c r="M222" i="9"/>
  <c r="N222" i="9"/>
  <c r="K225" i="9"/>
  <c r="L225" i="9"/>
  <c r="M225" i="9"/>
  <c r="N225" i="9"/>
  <c r="H226" i="9"/>
  <c r="M226" i="9"/>
  <c r="H227" i="9"/>
  <c r="M227" i="9"/>
  <c r="I228" i="9"/>
  <c r="L228" i="9"/>
  <c r="N228" i="9"/>
  <c r="O228" i="9"/>
  <c r="O229" i="9"/>
  <c r="K232" i="9"/>
  <c r="L232" i="9" s="1"/>
  <c r="M232" i="9"/>
  <c r="N232" i="9" s="1"/>
  <c r="K233" i="9"/>
  <c r="L233" i="9"/>
  <c r="M233" i="9"/>
  <c r="N233" i="9"/>
  <c r="K234" i="9"/>
  <c r="L234" i="9"/>
  <c r="M234" i="9"/>
  <c r="N234" i="9"/>
  <c r="K235" i="9"/>
  <c r="L235" i="9" s="1"/>
  <c r="M235" i="9"/>
  <c r="N235" i="9"/>
  <c r="H236" i="9"/>
  <c r="M236" i="9"/>
  <c r="H237" i="9"/>
  <c r="M237" i="9"/>
  <c r="I238" i="9"/>
  <c r="L238" i="9"/>
  <c r="N238" i="9"/>
  <c r="O238" i="9"/>
  <c r="P238" i="9"/>
  <c r="O239" i="9"/>
  <c r="K242" i="9"/>
  <c r="L242" i="9"/>
  <c r="M242" i="9"/>
  <c r="N242" i="9" s="1"/>
  <c r="K243" i="9"/>
  <c r="L243" i="9"/>
  <c r="M243" i="9"/>
  <c r="N243" i="9"/>
  <c r="K244" i="9"/>
  <c r="L244" i="9" s="1"/>
  <c r="M244" i="9"/>
  <c r="N244" i="9"/>
  <c r="K245" i="9"/>
  <c r="L245" i="9"/>
  <c r="M245" i="9"/>
  <c r="N245" i="9" s="1"/>
  <c r="H246" i="9"/>
  <c r="M246" i="9"/>
  <c r="H247" i="9"/>
  <c r="M247" i="9"/>
  <c r="I248" i="9"/>
  <c r="L248" i="9"/>
  <c r="N248" i="9"/>
  <c r="O248" i="9"/>
  <c r="O249" i="9"/>
  <c r="K252" i="9"/>
  <c r="L252" i="9"/>
  <c r="M252" i="9"/>
  <c r="N252" i="9"/>
  <c r="K253" i="9"/>
  <c r="L253" i="9"/>
  <c r="M253" i="9"/>
  <c r="N253" i="9"/>
  <c r="K254" i="9"/>
  <c r="L254" i="9" s="1"/>
  <c r="M254" i="9"/>
  <c r="N254" i="9" s="1"/>
  <c r="K255" i="9"/>
  <c r="L255" i="9"/>
  <c r="M255" i="9"/>
  <c r="N255" i="9"/>
  <c r="H256" i="9"/>
  <c r="M256" i="9"/>
  <c r="H257" i="9"/>
  <c r="M257" i="9"/>
  <c r="I258" i="9"/>
  <c r="L258" i="9"/>
  <c r="N258" i="9"/>
  <c r="O258" i="9"/>
  <c r="O259" i="9"/>
  <c r="H262" i="9"/>
  <c r="M262" i="9"/>
  <c r="I263" i="9"/>
  <c r="L263" i="9"/>
  <c r="N263" i="9"/>
  <c r="O263" i="9"/>
  <c r="O264" i="9"/>
  <c r="H268" i="9"/>
  <c r="M268" i="9"/>
  <c r="I269" i="9"/>
  <c r="L269" i="9"/>
  <c r="N269" i="9"/>
  <c r="O269" i="9"/>
  <c r="O270" i="9"/>
  <c r="H273" i="9"/>
  <c r="M273" i="9"/>
  <c r="I274" i="9"/>
  <c r="L274" i="9"/>
  <c r="N274" i="9"/>
  <c r="O274" i="9"/>
  <c r="O275" i="9"/>
  <c r="K278" i="9"/>
  <c r="L278" i="9"/>
  <c r="M278" i="9"/>
  <c r="N278" i="9"/>
  <c r="H279" i="9"/>
  <c r="M279" i="9"/>
  <c r="I280" i="9"/>
  <c r="L280" i="9"/>
  <c r="N280" i="9"/>
  <c r="O280" i="9"/>
  <c r="P280" i="9"/>
  <c r="O281" i="9"/>
  <c r="K284" i="9"/>
  <c r="L284" i="9"/>
  <c r="M284" i="9"/>
  <c r="N284" i="9" s="1"/>
  <c r="H285" i="9"/>
  <c r="M285" i="9"/>
  <c r="I286" i="9"/>
  <c r="L286" i="9"/>
  <c r="N286" i="9"/>
  <c r="O286" i="9"/>
  <c r="O287" i="9"/>
  <c r="K290" i="9"/>
  <c r="L290" i="9" s="1"/>
  <c r="M290" i="9"/>
  <c r="N290" i="9" s="1"/>
  <c r="H291" i="9"/>
  <c r="M291" i="9"/>
  <c r="I292" i="9"/>
  <c r="L292" i="9"/>
  <c r="N292" i="9"/>
  <c r="O292" i="9"/>
  <c r="O293" i="9"/>
  <c r="K296" i="9"/>
  <c r="L296" i="9"/>
  <c r="M296" i="9"/>
  <c r="N296" i="9"/>
  <c r="K297" i="9"/>
  <c r="L297" i="9"/>
  <c r="M297" i="9"/>
  <c r="N297" i="9" s="1"/>
  <c r="I298" i="9"/>
  <c r="L298" i="9"/>
  <c r="N298" i="9"/>
  <c r="O298" i="9"/>
  <c r="H299" i="9"/>
  <c r="M299" i="9"/>
  <c r="I300" i="9"/>
  <c r="L300" i="9"/>
  <c r="N300" i="9"/>
  <c r="O300" i="9"/>
  <c r="O301" i="9"/>
  <c r="K304" i="9"/>
  <c r="L304" i="9" s="1"/>
  <c r="M304" i="9"/>
  <c r="N304" i="9" s="1"/>
  <c r="K305" i="9"/>
  <c r="L305" i="9"/>
  <c r="M305" i="9"/>
  <c r="N305" i="9" s="1"/>
  <c r="I306" i="9"/>
  <c r="L306" i="9"/>
  <c r="N306" i="9"/>
  <c r="O306" i="9"/>
  <c r="P306" i="9"/>
  <c r="H307" i="9"/>
  <c r="M307" i="9"/>
  <c r="I308" i="9"/>
  <c r="L308" i="9"/>
  <c r="N308" i="9"/>
  <c r="O308" i="9"/>
  <c r="O309" i="9"/>
  <c r="K312" i="9"/>
  <c r="L312" i="9"/>
  <c r="M312" i="9"/>
  <c r="N312" i="9"/>
  <c r="K313" i="9"/>
  <c r="L313" i="9"/>
  <c r="M313" i="9"/>
  <c r="N313" i="9"/>
  <c r="I314" i="9"/>
  <c r="L314" i="9"/>
  <c r="N314" i="9"/>
  <c r="O314" i="9"/>
  <c r="P314" i="9"/>
  <c r="H315" i="9"/>
  <c r="M315" i="9"/>
  <c r="I316" i="9"/>
  <c r="L316" i="9"/>
  <c r="N316" i="9"/>
  <c r="O316" i="9"/>
  <c r="P316" i="9"/>
  <c r="O317" i="9"/>
  <c r="K320" i="9"/>
  <c r="L320" i="9" s="1"/>
  <c r="M320" i="9"/>
  <c r="N320" i="9"/>
  <c r="K321" i="9"/>
  <c r="L321" i="9" s="1"/>
  <c r="M321" i="9"/>
  <c r="N321" i="9" s="1"/>
  <c r="I322" i="9"/>
  <c r="L322" i="9"/>
  <c r="N322" i="9"/>
  <c r="O322" i="9"/>
  <c r="H323" i="9"/>
  <c r="M323" i="9"/>
  <c r="I324" i="9"/>
  <c r="L324" i="9"/>
  <c r="N324" i="9"/>
  <c r="O324" i="9"/>
  <c r="O325" i="9"/>
  <c r="K328" i="9"/>
  <c r="L328" i="9"/>
  <c r="M328" i="9"/>
  <c r="N328" i="9"/>
  <c r="K329" i="9"/>
  <c r="L329" i="9"/>
  <c r="M329" i="9"/>
  <c r="N329" i="9" s="1"/>
  <c r="I330" i="9"/>
  <c r="L330" i="9"/>
  <c r="N330" i="9"/>
  <c r="O330" i="9"/>
  <c r="H331" i="9"/>
  <c r="M331" i="9"/>
  <c r="I332" i="9"/>
  <c r="L332" i="9"/>
  <c r="N332" i="9"/>
  <c r="O332" i="9"/>
  <c r="O333" i="9"/>
  <c r="K336" i="9"/>
  <c r="L336" i="9" s="1"/>
  <c r="M336" i="9"/>
  <c r="N336" i="9" s="1"/>
  <c r="K337" i="9"/>
  <c r="L337" i="9"/>
  <c r="M337" i="9"/>
  <c r="N337" i="9" s="1"/>
  <c r="I338" i="9"/>
  <c r="L338" i="9"/>
  <c r="N338" i="9"/>
  <c r="O338" i="9"/>
  <c r="P338" i="9"/>
  <c r="H339" i="9"/>
  <c r="M339" i="9"/>
  <c r="I340" i="9"/>
  <c r="L340" i="9"/>
  <c r="N340" i="9"/>
  <c r="O340" i="9"/>
  <c r="O341" i="9"/>
  <c r="K344" i="9"/>
  <c r="L344" i="9"/>
  <c r="M344" i="9"/>
  <c r="N344" i="9"/>
  <c r="K345" i="9"/>
  <c r="L345" i="9"/>
  <c r="M345" i="9"/>
  <c r="N345" i="9"/>
  <c r="I346" i="9"/>
  <c r="L346" i="9"/>
  <c r="N346" i="9"/>
  <c r="O346" i="9"/>
  <c r="P346" i="9"/>
  <c r="H347" i="9"/>
  <c r="M347" i="9"/>
  <c r="H348" i="9"/>
  <c r="M348" i="9"/>
  <c r="I349" i="9"/>
  <c r="L349" i="9"/>
  <c r="N349" i="9"/>
  <c r="O349" i="9"/>
  <c r="P349" i="9"/>
  <c r="O350" i="9"/>
  <c r="K353" i="9"/>
  <c r="L353" i="9" s="1"/>
  <c r="M353" i="9"/>
  <c r="N353" i="9" s="1"/>
  <c r="K354" i="9"/>
  <c r="L354" i="9" s="1"/>
  <c r="M354" i="9"/>
  <c r="N354" i="9" s="1"/>
  <c r="I355" i="9"/>
  <c r="L355" i="9"/>
  <c r="N355" i="9"/>
  <c r="O355" i="9"/>
  <c r="H356" i="9"/>
  <c r="M356" i="9"/>
  <c r="H357" i="9"/>
  <c r="M357" i="9"/>
  <c r="I358" i="9"/>
  <c r="L358" i="9"/>
  <c r="N358" i="9"/>
  <c r="O358" i="9"/>
  <c r="O359" i="9"/>
  <c r="K362" i="9"/>
  <c r="L362" i="9"/>
  <c r="M362" i="9"/>
  <c r="N362" i="9"/>
  <c r="K363" i="9"/>
  <c r="L363" i="9"/>
  <c r="M363" i="9"/>
  <c r="N363" i="9"/>
  <c r="I364" i="9"/>
  <c r="L364" i="9"/>
  <c r="N364" i="9"/>
  <c r="O364" i="9"/>
  <c r="H365" i="9"/>
  <c r="M365" i="9"/>
  <c r="H366" i="9"/>
  <c r="M366" i="9"/>
  <c r="I367" i="9"/>
  <c r="L367" i="9"/>
  <c r="N367" i="9"/>
  <c r="O367" i="9"/>
  <c r="O368" i="9"/>
  <c r="K371" i="9"/>
  <c r="L371" i="9" s="1"/>
  <c r="M371" i="9"/>
  <c r="N371" i="9" s="1"/>
  <c r="K372" i="9"/>
  <c r="L372" i="9"/>
  <c r="M372" i="9"/>
  <c r="N372" i="9" s="1"/>
  <c r="I373" i="9"/>
  <c r="L373" i="9"/>
  <c r="N373" i="9"/>
  <c r="O373" i="9"/>
  <c r="P373" i="9"/>
  <c r="H374" i="9"/>
  <c r="M374" i="9"/>
  <c r="H375" i="9"/>
  <c r="M375" i="9"/>
  <c r="I376" i="9"/>
  <c r="L376" i="9"/>
  <c r="N376" i="9"/>
  <c r="O376" i="9"/>
  <c r="O377" i="9"/>
  <c r="K380" i="9"/>
  <c r="L380" i="9"/>
  <c r="M380" i="9"/>
  <c r="N380" i="9"/>
  <c r="K381" i="9"/>
  <c r="L381" i="9" s="1"/>
  <c r="M381" i="9"/>
  <c r="N381" i="9"/>
  <c r="H382" i="9"/>
  <c r="M382" i="9"/>
  <c r="I383" i="9"/>
  <c r="L383" i="9"/>
  <c r="N383" i="9"/>
  <c r="O383" i="9"/>
  <c r="O384" i="9"/>
  <c r="K387" i="9"/>
  <c r="L387" i="9" s="1"/>
  <c r="M387" i="9"/>
  <c r="N387" i="9"/>
  <c r="K388" i="9"/>
  <c r="L388" i="9"/>
  <c r="M388" i="9"/>
  <c r="N388" i="9" s="1"/>
  <c r="H389" i="9"/>
  <c r="M389" i="9"/>
  <c r="I390" i="9"/>
  <c r="L390" i="9"/>
  <c r="N390" i="9"/>
  <c r="O390" i="9"/>
  <c r="O391" i="9"/>
  <c r="K394" i="9"/>
  <c r="L394" i="9" s="1"/>
  <c r="M394" i="9"/>
  <c r="N394" i="9" s="1"/>
  <c r="K395" i="9"/>
  <c r="L395" i="9"/>
  <c r="M395" i="9"/>
  <c r="N395" i="9"/>
  <c r="H396" i="9"/>
  <c r="M396" i="9"/>
  <c r="I397" i="9"/>
  <c r="L397" i="9"/>
  <c r="N397" i="9"/>
  <c r="O397" i="9"/>
  <c r="P397" i="9"/>
  <c r="O398" i="9"/>
  <c r="K401" i="9"/>
  <c r="L401" i="9"/>
  <c r="M401" i="9"/>
  <c r="N401" i="9" s="1"/>
  <c r="K402" i="9"/>
  <c r="L402" i="9"/>
  <c r="M402" i="9"/>
  <c r="N402" i="9"/>
  <c r="H403" i="9"/>
  <c r="M403" i="9"/>
  <c r="I404" i="9"/>
  <c r="L404" i="9"/>
  <c r="N404" i="9"/>
  <c r="O404" i="9"/>
  <c r="O405" i="9"/>
  <c r="K408" i="9"/>
  <c r="L408" i="9"/>
  <c r="M408" i="9"/>
  <c r="N408" i="9"/>
  <c r="K409" i="9"/>
  <c r="L409" i="9"/>
  <c r="M409" i="9"/>
  <c r="N409" i="9"/>
  <c r="H410" i="9"/>
  <c r="M410" i="9"/>
  <c r="I411" i="9"/>
  <c r="L411" i="9"/>
  <c r="N411" i="9"/>
  <c r="O411" i="9"/>
  <c r="O412" i="9"/>
  <c r="K415" i="9"/>
  <c r="L415" i="9"/>
  <c r="M415" i="9"/>
  <c r="N415" i="9"/>
  <c r="K416" i="9"/>
  <c r="L416" i="9" s="1"/>
  <c r="M416" i="9"/>
  <c r="N416" i="9"/>
  <c r="H417" i="9"/>
  <c r="M417" i="9"/>
  <c r="I418" i="9"/>
  <c r="L418" i="9"/>
  <c r="P418" i="9" s="1"/>
  <c r="N418" i="9"/>
  <c r="O418" i="9"/>
  <c r="O419" i="9"/>
  <c r="K422" i="9"/>
  <c r="L422" i="9"/>
  <c r="M422" i="9"/>
  <c r="N422" i="9"/>
  <c r="H423" i="9"/>
  <c r="M423" i="9"/>
  <c r="I424" i="9"/>
  <c r="L424" i="9"/>
  <c r="P424" i="9" s="1"/>
  <c r="N424" i="9"/>
  <c r="O424" i="9"/>
  <c r="O425" i="9"/>
  <c r="K428" i="9"/>
  <c r="L428" i="9"/>
  <c r="M428" i="9"/>
  <c r="N428" i="9"/>
  <c r="H429" i="9"/>
  <c r="M429" i="9"/>
  <c r="I430" i="9"/>
  <c r="L430" i="9"/>
  <c r="N430" i="9"/>
  <c r="O430" i="9"/>
  <c r="O431" i="9"/>
  <c r="K434" i="9"/>
  <c r="L434" i="9"/>
  <c r="M434" i="9"/>
  <c r="N434" i="9"/>
  <c r="H435" i="9"/>
  <c r="M435" i="9"/>
  <c r="I436" i="9"/>
  <c r="L436" i="9"/>
  <c r="N436" i="9"/>
  <c r="O436" i="9"/>
  <c r="P436" i="9"/>
  <c r="O437" i="9"/>
  <c r="K440" i="9"/>
  <c r="L440" i="9" s="1"/>
  <c r="M440" i="9"/>
  <c r="N440" i="9" s="1"/>
  <c r="H441" i="9"/>
  <c r="M441" i="9"/>
  <c r="I442" i="9"/>
  <c r="L442" i="9"/>
  <c r="N442" i="9"/>
  <c r="O442" i="9"/>
  <c r="O443" i="9"/>
  <c r="K446" i="9"/>
  <c r="L446" i="9" s="1"/>
  <c r="M446" i="9"/>
  <c r="N446" i="9" s="1"/>
  <c r="H447" i="9"/>
  <c r="M447" i="9"/>
  <c r="I448" i="9"/>
  <c r="L448" i="9"/>
  <c r="N448" i="9"/>
  <c r="O448" i="9"/>
  <c r="O449" i="9"/>
  <c r="K452" i="9"/>
  <c r="L452" i="9" s="1"/>
  <c r="M452" i="9"/>
  <c r="N452" i="9"/>
  <c r="H453" i="9"/>
  <c r="M453" i="9"/>
  <c r="I454" i="9"/>
  <c r="L454" i="9"/>
  <c r="P454" i="9" s="1"/>
  <c r="N454" i="9"/>
  <c r="O454" i="9"/>
  <c r="O455" i="9"/>
  <c r="K458" i="9"/>
  <c r="L458" i="9"/>
  <c r="M458" i="9"/>
  <c r="N458" i="9"/>
  <c r="H459" i="9"/>
  <c r="M459" i="9"/>
  <c r="I460" i="9"/>
  <c r="L460" i="9"/>
  <c r="P460" i="9" s="1"/>
  <c r="N460" i="9"/>
  <c r="O460" i="9"/>
  <c r="O461" i="9"/>
  <c r="K464" i="9"/>
  <c r="L464" i="9"/>
  <c r="M464" i="9"/>
  <c r="N464" i="9" s="1"/>
  <c r="H465" i="9"/>
  <c r="M465" i="9"/>
  <c r="I466" i="9"/>
  <c r="P466" i="9" s="1"/>
  <c r="L466" i="9"/>
  <c r="N466" i="9"/>
  <c r="O466" i="9"/>
  <c r="O467" i="9"/>
  <c r="K470" i="9"/>
  <c r="L470" i="9"/>
  <c r="M470" i="9"/>
  <c r="N470" i="9"/>
  <c r="H471" i="9"/>
  <c r="M471" i="9"/>
  <c r="I472" i="9"/>
  <c r="L472" i="9"/>
  <c r="N472" i="9"/>
  <c r="O472" i="9"/>
  <c r="P472" i="9"/>
  <c r="O473" i="9"/>
  <c r="K476" i="9"/>
  <c r="L476" i="9"/>
  <c r="M476" i="9"/>
  <c r="N476" i="9" s="1"/>
  <c r="H477" i="9"/>
  <c r="M477" i="9"/>
  <c r="I478" i="9"/>
  <c r="P478" i="9" s="1"/>
  <c r="L478" i="9"/>
  <c r="N478" i="9"/>
  <c r="O478" i="9"/>
  <c r="O479" i="9"/>
  <c r="K482" i="9"/>
  <c r="L482" i="9" s="1"/>
  <c r="M482" i="9"/>
  <c r="N482" i="9"/>
  <c r="H483" i="9"/>
  <c r="M483" i="9"/>
  <c r="I484" i="9"/>
  <c r="L484" i="9"/>
  <c r="N484" i="9"/>
  <c r="O484" i="9"/>
  <c r="O485" i="9"/>
  <c r="K488" i="9"/>
  <c r="L488" i="9"/>
  <c r="M488" i="9"/>
  <c r="N488" i="9"/>
  <c r="H489" i="9"/>
  <c r="M489" i="9"/>
  <c r="I490" i="9"/>
  <c r="L490" i="9"/>
  <c r="P490" i="9" s="1"/>
  <c r="N490" i="9"/>
  <c r="O490" i="9"/>
  <c r="O491" i="9"/>
  <c r="K494" i="9"/>
  <c r="L494" i="9"/>
  <c r="M494" i="9"/>
  <c r="N494" i="9" s="1"/>
  <c r="H495" i="9"/>
  <c r="M495" i="9"/>
  <c r="I496" i="9"/>
  <c r="L496" i="9"/>
  <c r="P496" i="9" s="1"/>
  <c r="N496" i="9"/>
  <c r="O496" i="9"/>
  <c r="O497" i="9"/>
  <c r="K500" i="9"/>
  <c r="L500" i="9"/>
  <c r="M500" i="9"/>
  <c r="N500" i="9"/>
  <c r="H501" i="9"/>
  <c r="M501" i="9"/>
  <c r="I502" i="9"/>
  <c r="P502" i="9" s="1"/>
  <c r="L502" i="9"/>
  <c r="N502" i="9"/>
  <c r="O502" i="9"/>
  <c r="O503" i="9"/>
  <c r="K506" i="9"/>
  <c r="L506" i="9"/>
  <c r="M506" i="9"/>
  <c r="N506" i="9"/>
  <c r="H507" i="9"/>
  <c r="M507" i="9"/>
  <c r="I508" i="9"/>
  <c r="L508" i="9"/>
  <c r="N508" i="9"/>
  <c r="O508" i="9"/>
  <c r="P508" i="9"/>
  <c r="O509" i="9"/>
  <c r="K512" i="9"/>
  <c r="L512" i="9"/>
  <c r="M512" i="9"/>
  <c r="N512" i="9" s="1"/>
  <c r="H513" i="9"/>
  <c r="M513" i="9"/>
  <c r="I514" i="9"/>
  <c r="L514" i="9"/>
  <c r="N514" i="9"/>
  <c r="O514" i="9"/>
  <c r="O515" i="9"/>
  <c r="K518" i="9"/>
  <c r="L518" i="9" s="1"/>
  <c r="M518" i="9"/>
  <c r="N518" i="9" s="1"/>
  <c r="H519" i="9"/>
  <c r="M519" i="9"/>
  <c r="I520" i="9"/>
  <c r="L520" i="9"/>
  <c r="N520" i="9"/>
  <c r="O520" i="9"/>
  <c r="O521" i="9"/>
  <c r="K524" i="9"/>
  <c r="L524" i="9"/>
  <c r="M524" i="9"/>
  <c r="N524" i="9" s="1"/>
  <c r="H525" i="9"/>
  <c r="M525" i="9"/>
  <c r="I526" i="9"/>
  <c r="L526" i="9"/>
  <c r="P526" i="9" s="1"/>
  <c r="N526" i="9"/>
  <c r="O526" i="9"/>
  <c r="O527" i="9"/>
  <c r="K530" i="9"/>
  <c r="L530" i="9"/>
  <c r="M530" i="9"/>
  <c r="N530" i="9"/>
  <c r="H531" i="9"/>
  <c r="M531" i="9"/>
  <c r="I532" i="9"/>
  <c r="L532" i="9"/>
  <c r="P532" i="9" s="1"/>
  <c r="N532" i="9"/>
  <c r="O532" i="9"/>
  <c r="O533" i="9"/>
  <c r="K536" i="9"/>
  <c r="L536" i="9" s="1"/>
  <c r="M536" i="9"/>
  <c r="N536" i="9"/>
  <c r="H537" i="9"/>
  <c r="M537" i="9"/>
  <c r="I538" i="9"/>
  <c r="L538" i="9"/>
  <c r="N538" i="9"/>
  <c r="O538" i="9"/>
  <c r="O539" i="9"/>
  <c r="K542" i="9"/>
  <c r="L542" i="9" s="1"/>
  <c r="M542" i="9"/>
  <c r="N542" i="9" s="1"/>
  <c r="H543" i="9"/>
  <c r="M543" i="9"/>
  <c r="I544" i="9"/>
  <c r="L544" i="9"/>
  <c r="N544" i="9"/>
  <c r="O544" i="9"/>
  <c r="P544" i="9"/>
  <c r="O545" i="9"/>
  <c r="K548" i="9"/>
  <c r="L548" i="9"/>
  <c r="M548" i="9"/>
  <c r="N548" i="9"/>
  <c r="H549" i="9"/>
  <c r="M549" i="9"/>
  <c r="I550" i="9"/>
  <c r="L550" i="9"/>
  <c r="N550" i="9"/>
  <c r="O550" i="9"/>
  <c r="O551" i="9"/>
  <c r="K554" i="9"/>
  <c r="L554" i="9" s="1"/>
  <c r="M554" i="9"/>
  <c r="N554" i="9"/>
  <c r="H555" i="9"/>
  <c r="M555" i="9"/>
  <c r="I556" i="9"/>
  <c r="P556" i="9" s="1"/>
  <c r="L556" i="9"/>
  <c r="N556" i="9"/>
  <c r="O556" i="9"/>
  <c r="O557" i="9"/>
  <c r="K560" i="9"/>
  <c r="L560" i="9"/>
  <c r="M560" i="9"/>
  <c r="N560" i="9"/>
  <c r="K561" i="9"/>
  <c r="L561" i="9"/>
  <c r="M561" i="9"/>
  <c r="N561" i="9" s="1"/>
  <c r="H562" i="9"/>
  <c r="M562" i="9"/>
  <c r="I563" i="9"/>
  <c r="L563" i="9"/>
  <c r="N563" i="9"/>
  <c r="O563" i="9"/>
  <c r="O564" i="9"/>
  <c r="K567" i="9"/>
  <c r="L567" i="9" s="1"/>
  <c r="M567" i="9"/>
  <c r="N567" i="9" s="1"/>
  <c r="K568" i="9"/>
  <c r="L568" i="9" s="1"/>
  <c r="M568" i="9"/>
  <c r="N568" i="9"/>
  <c r="H569" i="9"/>
  <c r="M569" i="9"/>
  <c r="I570" i="9"/>
  <c r="P570" i="9" s="1"/>
  <c r="L570" i="9"/>
  <c r="N570" i="9"/>
  <c r="O570" i="9"/>
  <c r="O571" i="9"/>
  <c r="K574" i="9"/>
  <c r="L574" i="9" s="1"/>
  <c r="M574" i="9"/>
  <c r="N574" i="9"/>
  <c r="K575" i="9"/>
  <c r="L575" i="9"/>
  <c r="M575" i="9"/>
  <c r="N575" i="9"/>
  <c r="H576" i="9"/>
  <c r="M576" i="9"/>
  <c r="I577" i="9"/>
  <c r="L577" i="9"/>
  <c r="N577" i="9"/>
  <c r="O577" i="9"/>
  <c r="P577" i="9"/>
  <c r="O578" i="9"/>
  <c r="K581" i="9"/>
  <c r="L581" i="9" s="1"/>
  <c r="M581" i="9"/>
  <c r="N581" i="9"/>
  <c r="K582" i="9"/>
  <c r="L582" i="9" s="1"/>
  <c r="M582" i="9"/>
  <c r="N582" i="9"/>
  <c r="H583" i="9"/>
  <c r="M583" i="9"/>
  <c r="I584" i="9"/>
  <c r="L584" i="9"/>
  <c r="N584" i="9"/>
  <c r="O584" i="9"/>
  <c r="O585" i="9"/>
  <c r="K588" i="9"/>
  <c r="L588" i="9"/>
  <c r="M588" i="9"/>
  <c r="N588" i="9" s="1"/>
  <c r="K589" i="9"/>
  <c r="L589" i="9" s="1"/>
  <c r="M589" i="9"/>
  <c r="N589" i="9" s="1"/>
  <c r="H590" i="9"/>
  <c r="M590" i="9"/>
  <c r="I591" i="9"/>
  <c r="L591" i="9"/>
  <c r="N591" i="9"/>
  <c r="O591" i="9"/>
  <c r="P591" i="9"/>
  <c r="O592" i="9"/>
  <c r="K595" i="9"/>
  <c r="L595" i="9" s="1"/>
  <c r="M595" i="9"/>
  <c r="N595" i="9"/>
  <c r="K596" i="9"/>
  <c r="L596" i="9"/>
  <c r="M596" i="9"/>
  <c r="N596" i="9" s="1"/>
  <c r="H597" i="9"/>
  <c r="M597" i="9"/>
  <c r="I598" i="9"/>
  <c r="L598" i="9"/>
  <c r="N598" i="9"/>
  <c r="O598" i="9"/>
  <c r="P598" i="9"/>
  <c r="O599" i="9"/>
  <c r="K602" i="9"/>
  <c r="L602" i="9" s="1"/>
  <c r="M602" i="9"/>
  <c r="N602" i="9" s="1"/>
  <c r="K603" i="9"/>
  <c r="L603" i="9"/>
  <c r="M603" i="9"/>
  <c r="N603" i="9"/>
  <c r="H604" i="9"/>
  <c r="M604" i="9"/>
  <c r="I605" i="9"/>
  <c r="L605" i="9"/>
  <c r="N605" i="9"/>
  <c r="O605" i="9"/>
  <c r="O606" i="9"/>
  <c r="K609" i="9"/>
  <c r="L609" i="9"/>
  <c r="M609" i="9"/>
  <c r="N609" i="9" s="1"/>
  <c r="K610" i="9"/>
  <c r="L610" i="9" s="1"/>
  <c r="M610" i="9"/>
  <c r="N610" i="9"/>
  <c r="H611" i="9"/>
  <c r="M611" i="9"/>
  <c r="I612" i="9"/>
  <c r="L612" i="9"/>
  <c r="N612" i="9"/>
  <c r="O612" i="9"/>
  <c r="O613" i="9"/>
  <c r="K616" i="9"/>
  <c r="L616" i="9"/>
  <c r="M616" i="9"/>
  <c r="N616" i="9"/>
  <c r="K617" i="9"/>
  <c r="L617" i="9"/>
  <c r="M617" i="9"/>
  <c r="N617" i="9" s="1"/>
  <c r="H618" i="9"/>
  <c r="M618" i="9"/>
  <c r="I619" i="9"/>
  <c r="L619" i="9"/>
  <c r="N619" i="9"/>
  <c r="O619" i="9"/>
  <c r="O620" i="9"/>
  <c r="K623" i="9"/>
  <c r="L623" i="9" s="1"/>
  <c r="M623" i="9"/>
  <c r="N623" i="9"/>
  <c r="K624" i="9"/>
  <c r="L624" i="9" s="1"/>
  <c r="M624" i="9"/>
  <c r="N624" i="9"/>
  <c r="H625" i="9"/>
  <c r="M625" i="9"/>
  <c r="I626" i="9"/>
  <c r="L626" i="9"/>
  <c r="N626" i="9"/>
  <c r="O626" i="9"/>
  <c r="O627" i="9"/>
  <c r="K630" i="9"/>
  <c r="L630" i="9"/>
  <c r="M630" i="9"/>
  <c r="N630" i="9" s="1"/>
  <c r="K631" i="9"/>
  <c r="L631" i="9" s="1"/>
  <c r="M631" i="9"/>
  <c r="N631" i="9" s="1"/>
  <c r="H632" i="9"/>
  <c r="M632" i="9"/>
  <c r="I633" i="9"/>
  <c r="L633" i="9"/>
  <c r="N633" i="9"/>
  <c r="O633" i="9"/>
  <c r="P633" i="9"/>
  <c r="O634" i="9"/>
  <c r="K637" i="9"/>
  <c r="L637" i="9" s="1"/>
  <c r="M637" i="9"/>
  <c r="N637" i="9"/>
  <c r="K638" i="9"/>
  <c r="L638" i="9"/>
  <c r="M638" i="9"/>
  <c r="N638" i="9" s="1"/>
  <c r="H639" i="9"/>
  <c r="M639" i="9"/>
  <c r="I640" i="9"/>
  <c r="L640" i="9"/>
  <c r="N640" i="9"/>
  <c r="O640" i="9"/>
  <c r="P640" i="9"/>
  <c r="O641" i="9"/>
  <c r="K644" i="9"/>
  <c r="L644" i="9" s="1"/>
  <c r="M644" i="9"/>
  <c r="N644" i="9" s="1"/>
  <c r="K645" i="9"/>
  <c r="L645" i="9"/>
  <c r="M645" i="9"/>
  <c r="N645" i="9"/>
  <c r="H646" i="9"/>
  <c r="M646" i="9"/>
  <c r="I647" i="9"/>
  <c r="L647" i="9"/>
  <c r="N647" i="9"/>
  <c r="O647" i="9"/>
  <c r="O648" i="9"/>
  <c r="K651" i="9"/>
  <c r="L651" i="9"/>
  <c r="M651" i="9"/>
  <c r="N651" i="9" s="1"/>
  <c r="K652" i="9"/>
  <c r="L652" i="9" s="1"/>
  <c r="M652" i="9"/>
  <c r="N652" i="9"/>
  <c r="H653" i="9"/>
  <c r="M653" i="9"/>
  <c r="I654" i="9"/>
  <c r="L654" i="9"/>
  <c r="N654" i="9"/>
  <c r="O654" i="9"/>
  <c r="O655" i="9"/>
  <c r="K658" i="9"/>
  <c r="L658" i="9"/>
  <c r="M658" i="9"/>
  <c r="N658" i="9"/>
  <c r="K659" i="9"/>
  <c r="L659" i="9"/>
  <c r="M659" i="9"/>
  <c r="N659" i="9" s="1"/>
  <c r="H660" i="9"/>
  <c r="M660" i="9"/>
  <c r="I661" i="9"/>
  <c r="L661" i="9"/>
  <c r="N661" i="9"/>
  <c r="O661" i="9"/>
  <c r="O662" i="9"/>
  <c r="K665" i="9"/>
  <c r="L665" i="9" s="1"/>
  <c r="M665" i="9"/>
  <c r="N665" i="9"/>
  <c r="K666" i="9"/>
  <c r="L666" i="9" s="1"/>
  <c r="M666" i="9"/>
  <c r="N666" i="9"/>
  <c r="H667" i="9"/>
  <c r="M667" i="9"/>
  <c r="I668" i="9"/>
  <c r="L668" i="9"/>
  <c r="N668" i="9"/>
  <c r="O668" i="9"/>
  <c r="O669" i="9"/>
  <c r="K672" i="9"/>
  <c r="L672" i="9"/>
  <c r="M672" i="9"/>
  <c r="N672" i="9" s="1"/>
  <c r="K673" i="9"/>
  <c r="L673" i="9" s="1"/>
  <c r="M673" i="9"/>
  <c r="N673" i="9" s="1"/>
  <c r="H674" i="9"/>
  <c r="M674" i="9"/>
  <c r="I675" i="9"/>
  <c r="L675" i="9"/>
  <c r="N675" i="9"/>
  <c r="O675" i="9"/>
  <c r="P675" i="9"/>
  <c r="O676" i="9"/>
  <c r="K679" i="9"/>
  <c r="L679" i="9" s="1"/>
  <c r="M679" i="9"/>
  <c r="N679" i="9"/>
  <c r="K680" i="9"/>
  <c r="L680" i="9"/>
  <c r="M680" i="9"/>
  <c r="N680" i="9" s="1"/>
  <c r="H681" i="9"/>
  <c r="M681" i="9"/>
  <c r="I682" i="9"/>
  <c r="L682" i="9"/>
  <c r="N682" i="9"/>
  <c r="O682" i="9"/>
  <c r="P682" i="9"/>
  <c r="O683" i="9"/>
  <c r="K686" i="9"/>
  <c r="L686" i="9" s="1"/>
  <c r="M686" i="9"/>
  <c r="N686" i="9" s="1"/>
  <c r="K687" i="9"/>
  <c r="L687" i="9"/>
  <c r="M687" i="9"/>
  <c r="N687" i="9"/>
  <c r="H688" i="9"/>
  <c r="M688" i="9"/>
  <c r="I689" i="9"/>
  <c r="L689" i="9"/>
  <c r="N689" i="9"/>
  <c r="O689" i="9"/>
  <c r="O690" i="9"/>
  <c r="K693" i="9"/>
  <c r="L693" i="9"/>
  <c r="M693" i="9"/>
  <c r="N693" i="9" s="1"/>
  <c r="K694" i="9"/>
  <c r="L694" i="9" s="1"/>
  <c r="M694" i="9"/>
  <c r="N694" i="9"/>
  <c r="H695" i="9"/>
  <c r="M695" i="9"/>
  <c r="I696" i="9"/>
  <c r="L696" i="9"/>
  <c r="N696" i="9"/>
  <c r="O696" i="9"/>
  <c r="O697" i="9"/>
  <c r="K700" i="9"/>
  <c r="L700" i="9"/>
  <c r="M700" i="9"/>
  <c r="N700" i="9"/>
  <c r="K701" i="9"/>
  <c r="L701" i="9"/>
  <c r="M701" i="9"/>
  <c r="N701" i="9" s="1"/>
  <c r="H702" i="9"/>
  <c r="M702" i="9"/>
  <c r="I703" i="9"/>
  <c r="L703" i="9"/>
  <c r="N703" i="9"/>
  <c r="O703" i="9"/>
  <c r="O704" i="9"/>
  <c r="K707" i="9"/>
  <c r="L707" i="9" s="1"/>
  <c r="M707" i="9"/>
  <c r="N707" i="9"/>
  <c r="K708" i="9"/>
  <c r="L708" i="9" s="1"/>
  <c r="M708" i="9"/>
  <c r="N708" i="9"/>
  <c r="H709" i="9"/>
  <c r="M709" i="9"/>
  <c r="I710" i="9"/>
  <c r="L710" i="9"/>
  <c r="N710" i="9"/>
  <c r="O710" i="9"/>
  <c r="O711" i="9"/>
  <c r="K714" i="9"/>
  <c r="L714" i="9"/>
  <c r="M714" i="9"/>
  <c r="N714" i="9" s="1"/>
  <c r="K715" i="9"/>
  <c r="L715" i="9" s="1"/>
  <c r="M715" i="9"/>
  <c r="N715" i="9" s="1"/>
  <c r="H716" i="9"/>
  <c r="M716" i="9"/>
  <c r="I717" i="9"/>
  <c r="L717" i="9"/>
  <c r="N717" i="9"/>
  <c r="O717" i="9"/>
  <c r="P717" i="9"/>
  <c r="O718" i="9"/>
  <c r="K721" i="9"/>
  <c r="L721" i="9" s="1"/>
  <c r="M721" i="9"/>
  <c r="N721" i="9"/>
  <c r="K722" i="9"/>
  <c r="L722" i="9"/>
  <c r="M722" i="9"/>
  <c r="N722" i="9" s="1"/>
  <c r="H723" i="9"/>
  <c r="M723" i="9"/>
  <c r="I724" i="9"/>
  <c r="L724" i="9"/>
  <c r="N724" i="9"/>
  <c r="O724" i="9"/>
  <c r="P724" i="9"/>
  <c r="O725" i="9"/>
  <c r="K728" i="9"/>
  <c r="L728" i="9" s="1"/>
  <c r="M728" i="9"/>
  <c r="N728" i="9" s="1"/>
  <c r="K729" i="9"/>
  <c r="L729" i="9"/>
  <c r="M729" i="9"/>
  <c r="N729" i="9"/>
  <c r="H730" i="9"/>
  <c r="M730" i="9"/>
  <c r="I731" i="9"/>
  <c r="L731" i="9"/>
  <c r="N731" i="9"/>
  <c r="O731" i="9"/>
  <c r="O732" i="9"/>
  <c r="K735" i="9"/>
  <c r="L735" i="9"/>
  <c r="M735" i="9"/>
  <c r="N735" i="9" s="1"/>
  <c r="K736" i="9"/>
  <c r="L736" i="9" s="1"/>
  <c r="M736" i="9"/>
  <c r="N736" i="9"/>
  <c r="H737" i="9"/>
  <c r="M737" i="9"/>
  <c r="I738" i="9"/>
  <c r="L738" i="9"/>
  <c r="N738" i="9"/>
  <c r="O738" i="9"/>
  <c r="O739" i="9"/>
  <c r="K742" i="9"/>
  <c r="L742" i="9"/>
  <c r="M742" i="9"/>
  <c r="N742" i="9"/>
  <c r="K743" i="9"/>
  <c r="L743" i="9"/>
  <c r="M743" i="9"/>
  <c r="N743" i="9" s="1"/>
  <c r="H744" i="9"/>
  <c r="M744" i="9"/>
  <c r="I745" i="9"/>
  <c r="L745" i="9"/>
  <c r="N745" i="9"/>
  <c r="O745" i="9"/>
  <c r="O746" i="9"/>
  <c r="K749" i="9"/>
  <c r="L749" i="9" s="1"/>
  <c r="M749" i="9"/>
  <c r="N749" i="9"/>
  <c r="K750" i="9"/>
  <c r="L750" i="9" s="1"/>
  <c r="M750" i="9"/>
  <c r="N750" i="9"/>
  <c r="H751" i="9"/>
  <c r="M751" i="9"/>
  <c r="I752" i="9"/>
  <c r="L752" i="9"/>
  <c r="N752" i="9"/>
  <c r="O752" i="9"/>
  <c r="O753" i="9"/>
  <c r="K756" i="9"/>
  <c r="L756" i="9"/>
  <c r="M756" i="9"/>
  <c r="N756" i="9" s="1"/>
  <c r="K757" i="9"/>
  <c r="L757" i="9" s="1"/>
  <c r="M757" i="9"/>
  <c r="N757" i="9" s="1"/>
  <c r="H758" i="9"/>
  <c r="M758" i="9"/>
  <c r="I759" i="9"/>
  <c r="L759" i="9"/>
  <c r="N759" i="9"/>
  <c r="O759" i="9"/>
  <c r="P759" i="9"/>
  <c r="O760" i="9"/>
  <c r="K763" i="9"/>
  <c r="L763" i="9" s="1"/>
  <c r="M763" i="9"/>
  <c r="N763" i="9"/>
  <c r="K764" i="9"/>
  <c r="L764" i="9"/>
  <c r="M764" i="9"/>
  <c r="N764" i="9" s="1"/>
  <c r="H765" i="9"/>
  <c r="M765" i="9"/>
  <c r="I766" i="9"/>
  <c r="L766" i="9"/>
  <c r="N766" i="9"/>
  <c r="O766" i="9"/>
  <c r="P766" i="9"/>
  <c r="O767" i="9"/>
  <c r="K770" i="9"/>
  <c r="L770" i="9" s="1"/>
  <c r="M770" i="9"/>
  <c r="N770" i="9" s="1"/>
  <c r="K771" i="9"/>
  <c r="L771" i="9"/>
  <c r="M771" i="9"/>
  <c r="N771" i="9"/>
  <c r="H772" i="9"/>
  <c r="M772" i="9"/>
  <c r="I773" i="9"/>
  <c r="L773" i="9"/>
  <c r="N773" i="9"/>
  <c r="O773" i="9"/>
  <c r="O774" i="9"/>
  <c r="K777" i="9"/>
  <c r="L777" i="9"/>
  <c r="M777" i="9"/>
  <c r="N777" i="9" s="1"/>
  <c r="K778" i="9"/>
  <c r="L778" i="9" s="1"/>
  <c r="M778" i="9"/>
  <c r="N778" i="9"/>
  <c r="H779" i="9"/>
  <c r="M779" i="9"/>
  <c r="I780" i="9"/>
  <c r="L780" i="9"/>
  <c r="N780" i="9"/>
  <c r="O780" i="9"/>
  <c r="O781" i="9"/>
  <c r="K784" i="9"/>
  <c r="L784" i="9"/>
  <c r="M784" i="9"/>
  <c r="N784" i="9"/>
  <c r="K785" i="9"/>
  <c r="L785" i="9"/>
  <c r="M785" i="9"/>
  <c r="N785" i="9" s="1"/>
  <c r="H786" i="9"/>
  <c r="M786" i="9"/>
  <c r="I787" i="9"/>
  <c r="L787" i="9"/>
  <c r="N787" i="9"/>
  <c r="O787" i="9"/>
  <c r="O788" i="9"/>
  <c r="K791" i="9"/>
  <c r="L791" i="9" s="1"/>
  <c r="M791" i="9"/>
  <c r="N791" i="9"/>
  <c r="K792" i="9"/>
  <c r="L792" i="9" s="1"/>
  <c r="M792" i="9"/>
  <c r="N792" i="9" s="1"/>
  <c r="H793" i="9"/>
  <c r="M793" i="9"/>
  <c r="I794" i="9"/>
  <c r="L794" i="9"/>
  <c r="N794" i="9"/>
  <c r="O794" i="9"/>
  <c r="O795" i="9"/>
  <c r="K798" i="9"/>
  <c r="L798" i="9"/>
  <c r="M798" i="9"/>
  <c r="N798" i="9" s="1"/>
  <c r="K799" i="9"/>
  <c r="L799" i="9" s="1"/>
  <c r="M799" i="9"/>
  <c r="N799" i="9" s="1"/>
  <c r="H800" i="9"/>
  <c r="M800" i="9"/>
  <c r="I801" i="9"/>
  <c r="L801" i="9"/>
  <c r="N801" i="9"/>
  <c r="O801" i="9"/>
  <c r="P801" i="9"/>
  <c r="O802" i="9"/>
  <c r="K805" i="9"/>
  <c r="L805" i="9" s="1"/>
  <c r="M805" i="9"/>
  <c r="N805" i="9" s="1"/>
  <c r="K806" i="9"/>
  <c r="L806" i="9"/>
  <c r="M806" i="9"/>
  <c r="N806" i="9" s="1"/>
  <c r="H807" i="9"/>
  <c r="M807" i="9"/>
  <c r="I808" i="9"/>
  <c r="L808" i="9"/>
  <c r="N808" i="9"/>
  <c r="O808" i="9"/>
  <c r="P808" i="9"/>
  <c r="O809" i="9"/>
  <c r="K812" i="9"/>
  <c r="L812" i="9"/>
  <c r="M812" i="9"/>
  <c r="N812" i="9" s="1"/>
  <c r="K813" i="9"/>
  <c r="L813" i="9"/>
  <c r="M813" i="9"/>
  <c r="N813" i="9" s="1"/>
  <c r="H814" i="9"/>
  <c r="M814" i="9"/>
  <c r="H815" i="9"/>
  <c r="M815" i="9"/>
  <c r="I816" i="9"/>
  <c r="P816" i="9" s="1"/>
  <c r="L816" i="9"/>
  <c r="N816" i="9"/>
  <c r="O816" i="9"/>
  <c r="O817" i="9"/>
  <c r="K820" i="9"/>
  <c r="L820" i="9" s="1"/>
  <c r="M820" i="9"/>
  <c r="N820" i="9" s="1"/>
  <c r="K821" i="9"/>
  <c r="L821" i="9" s="1"/>
  <c r="M821" i="9"/>
  <c r="N821" i="9"/>
  <c r="H822" i="9"/>
  <c r="M822" i="9"/>
  <c r="I823" i="9"/>
  <c r="L823" i="9"/>
  <c r="N823" i="9"/>
  <c r="O823" i="9"/>
  <c r="O824" i="9"/>
  <c r="K827" i="9"/>
  <c r="L827" i="9"/>
  <c r="M827" i="9"/>
  <c r="N827" i="9" s="1"/>
  <c r="K828" i="9"/>
  <c r="L828" i="9" s="1"/>
  <c r="M828" i="9"/>
  <c r="N828" i="9" s="1"/>
  <c r="H829" i="9"/>
  <c r="M829" i="9"/>
  <c r="I830" i="9"/>
  <c r="L830" i="9"/>
  <c r="N830" i="9"/>
  <c r="O830" i="9"/>
  <c r="P830" i="9"/>
  <c r="O831" i="9"/>
  <c r="K834" i="9"/>
  <c r="L834" i="9" s="1"/>
  <c r="M834" i="9"/>
  <c r="N834" i="9" s="1"/>
  <c r="H835" i="9"/>
  <c r="M835" i="9"/>
  <c r="I836" i="9"/>
  <c r="P836" i="9" s="1"/>
  <c r="L836" i="9"/>
  <c r="N836" i="9"/>
  <c r="O836" i="9"/>
  <c r="O837" i="9"/>
  <c r="K840" i="9"/>
  <c r="L840" i="9"/>
  <c r="M840" i="9"/>
  <c r="N840" i="9" s="1"/>
  <c r="H841" i="9"/>
  <c r="M841" i="9"/>
  <c r="I842" i="9"/>
  <c r="L842" i="9"/>
  <c r="N842" i="9"/>
  <c r="O842" i="9"/>
  <c r="O843" i="9"/>
  <c r="K846" i="9"/>
  <c r="L846" i="9" s="1"/>
  <c r="M846" i="9"/>
  <c r="N846" i="9"/>
  <c r="H847" i="9"/>
  <c r="M847" i="9"/>
  <c r="I848" i="9"/>
  <c r="L848" i="9"/>
  <c r="N848" i="9"/>
  <c r="O848" i="9"/>
  <c r="O849" i="9"/>
  <c r="K852" i="9"/>
  <c r="L852" i="9"/>
  <c r="M852" i="9"/>
  <c r="N852" i="9"/>
  <c r="H853" i="9"/>
  <c r="M853" i="9"/>
  <c r="I854" i="9"/>
  <c r="L854" i="9"/>
  <c r="N854" i="9"/>
  <c r="O854" i="9"/>
  <c r="O855" i="9"/>
  <c r="K858" i="9"/>
  <c r="L858" i="9"/>
  <c r="M858" i="9"/>
  <c r="N858" i="9"/>
  <c r="H859" i="9"/>
  <c r="M859" i="9"/>
  <c r="I860" i="9"/>
  <c r="L860" i="9"/>
  <c r="N860" i="9"/>
  <c r="O860" i="9"/>
  <c r="P860" i="9"/>
  <c r="O861" i="9"/>
  <c r="K864" i="9"/>
  <c r="L864" i="9"/>
  <c r="M864" i="9"/>
  <c r="N864" i="9" s="1"/>
  <c r="H865" i="9"/>
  <c r="M865" i="9"/>
  <c r="I866" i="9"/>
  <c r="L866" i="9"/>
  <c r="N866" i="9"/>
  <c r="O866" i="9"/>
  <c r="P866" i="9"/>
  <c r="O867" i="9"/>
  <c r="K870" i="9"/>
  <c r="L870" i="9" s="1"/>
  <c r="M870" i="9"/>
  <c r="N870" i="9"/>
  <c r="H871" i="9"/>
  <c r="M871" i="9"/>
  <c r="I872" i="9"/>
  <c r="L872" i="9"/>
  <c r="N872" i="9"/>
  <c r="O872" i="9"/>
  <c r="O873" i="9"/>
  <c r="K876" i="9"/>
  <c r="L876" i="9"/>
  <c r="M876" i="9"/>
  <c r="N876" i="9" s="1"/>
  <c r="H877" i="9"/>
  <c r="M877" i="9"/>
  <c r="I878" i="9"/>
  <c r="L878" i="9"/>
  <c r="N878" i="9"/>
  <c r="O878" i="9"/>
  <c r="O879" i="9"/>
  <c r="K882" i="9"/>
  <c r="L882" i="9" s="1"/>
  <c r="M882" i="9"/>
  <c r="N882" i="9"/>
  <c r="H883" i="9"/>
  <c r="M883" i="9"/>
  <c r="I884" i="9"/>
  <c r="L884" i="9"/>
  <c r="N884" i="9"/>
  <c r="O884" i="9"/>
  <c r="O885" i="9"/>
  <c r="K888" i="9"/>
  <c r="L888" i="9"/>
  <c r="M888" i="9"/>
  <c r="N888" i="9"/>
  <c r="H889" i="9"/>
  <c r="M889" i="9"/>
  <c r="H890" i="9"/>
  <c r="M890" i="9"/>
  <c r="I891" i="9"/>
  <c r="L891" i="9"/>
  <c r="N891" i="9"/>
  <c r="O891" i="9"/>
  <c r="O892" i="9"/>
  <c r="K895" i="9"/>
  <c r="L895" i="9" s="1"/>
  <c r="M895" i="9"/>
  <c r="N895" i="9"/>
  <c r="H896" i="9"/>
  <c r="M896" i="9"/>
  <c r="H897" i="9"/>
  <c r="M897" i="9"/>
  <c r="I898" i="9"/>
  <c r="L898" i="9"/>
  <c r="N898" i="9"/>
  <c r="O898" i="9"/>
  <c r="O899" i="9"/>
  <c r="K902" i="9"/>
  <c r="L902" i="9"/>
  <c r="M902" i="9"/>
  <c r="N902" i="9" s="1"/>
  <c r="H903" i="9"/>
  <c r="M903" i="9"/>
  <c r="I904" i="9"/>
  <c r="L904" i="9"/>
  <c r="N904" i="9"/>
  <c r="O904" i="9"/>
  <c r="O905" i="9"/>
  <c r="K908" i="9"/>
  <c r="L908" i="9" s="1"/>
  <c r="M908" i="9"/>
  <c r="N908" i="9"/>
  <c r="H909" i="9"/>
  <c r="M909" i="9"/>
  <c r="I910" i="9"/>
  <c r="L910" i="9"/>
  <c r="N910" i="9"/>
  <c r="O910" i="9"/>
  <c r="O911" i="9"/>
  <c r="K914" i="9"/>
  <c r="L914" i="9"/>
  <c r="M914" i="9"/>
  <c r="N914" i="9"/>
  <c r="H915" i="9"/>
  <c r="M915" i="9"/>
  <c r="I916" i="9"/>
  <c r="L916" i="9"/>
  <c r="N916" i="9"/>
  <c r="O916" i="9"/>
  <c r="O917" i="9"/>
  <c r="K920" i="9"/>
  <c r="L920" i="9"/>
  <c r="M920" i="9"/>
  <c r="N920" i="9"/>
  <c r="H921" i="9"/>
  <c r="M921" i="9"/>
  <c r="I922" i="9"/>
  <c r="L922" i="9"/>
  <c r="N922" i="9"/>
  <c r="O922" i="9"/>
  <c r="P922" i="9"/>
  <c r="O923" i="9"/>
  <c r="K926" i="9"/>
  <c r="L926" i="9"/>
  <c r="M926" i="9"/>
  <c r="N926" i="9" s="1"/>
  <c r="H927" i="9"/>
  <c r="M927" i="9"/>
  <c r="H928" i="9"/>
  <c r="M928" i="9"/>
  <c r="I929" i="9"/>
  <c r="L929" i="9"/>
  <c r="N929" i="9"/>
  <c r="O929" i="9"/>
  <c r="O930" i="9"/>
  <c r="K933" i="9"/>
  <c r="L933" i="9"/>
  <c r="M933" i="9"/>
  <c r="N933" i="9"/>
  <c r="H934" i="9"/>
  <c r="M934" i="9"/>
  <c r="H935" i="9"/>
  <c r="M935" i="9"/>
  <c r="I936" i="9"/>
  <c r="L936" i="9"/>
  <c r="N936" i="9"/>
  <c r="O936" i="9"/>
  <c r="O937" i="9"/>
  <c r="K940" i="9"/>
  <c r="L940" i="9"/>
  <c r="M940" i="9"/>
  <c r="N940" i="9"/>
  <c r="H941" i="9"/>
  <c r="M941" i="9"/>
  <c r="I942" i="9"/>
  <c r="L942" i="9"/>
  <c r="N942" i="9"/>
  <c r="O942" i="9"/>
  <c r="O943" i="9"/>
  <c r="K946" i="9"/>
  <c r="L946" i="9"/>
  <c r="M946" i="9"/>
  <c r="N946" i="9"/>
  <c r="H947" i="9"/>
  <c r="M947" i="9"/>
  <c r="I948" i="9"/>
  <c r="L948" i="9"/>
  <c r="N948" i="9"/>
  <c r="O948" i="9"/>
  <c r="P948" i="9"/>
  <c r="O949" i="9"/>
  <c r="K952" i="9"/>
  <c r="L952" i="9"/>
  <c r="M952" i="9"/>
  <c r="N952" i="9"/>
  <c r="H953" i="9"/>
  <c r="M953" i="9"/>
  <c r="I954" i="9"/>
  <c r="L954" i="9"/>
  <c r="N954" i="9"/>
  <c r="O954" i="9"/>
  <c r="P954" i="9"/>
  <c r="O955" i="9"/>
  <c r="K958" i="9"/>
  <c r="L958" i="9"/>
  <c r="M958" i="9"/>
  <c r="N958" i="9"/>
  <c r="H959" i="9"/>
  <c r="M959" i="9"/>
  <c r="I960" i="9"/>
  <c r="L960" i="9"/>
  <c r="N960" i="9"/>
  <c r="O960" i="9"/>
  <c r="O961" i="9"/>
  <c r="K964" i="9"/>
  <c r="L964" i="9"/>
  <c r="M964" i="9"/>
  <c r="N964" i="9" s="1"/>
  <c r="H965" i="9"/>
  <c r="M965" i="9"/>
  <c r="I966" i="9"/>
  <c r="L966" i="9"/>
  <c r="N966" i="9"/>
  <c r="O966" i="9"/>
  <c r="O967" i="9"/>
  <c r="K970" i="9"/>
  <c r="L970" i="9" s="1"/>
  <c r="M970" i="9"/>
  <c r="N970" i="9" s="1"/>
  <c r="H971" i="9"/>
  <c r="M971" i="9"/>
  <c r="I972" i="9"/>
  <c r="L972" i="9"/>
  <c r="N972" i="9"/>
  <c r="O972" i="9"/>
  <c r="O973" i="9"/>
  <c r="K976" i="9"/>
  <c r="L976" i="9" s="1"/>
  <c r="M976" i="9"/>
  <c r="N976" i="9"/>
  <c r="H977" i="9"/>
  <c r="M977" i="9"/>
  <c r="I978" i="9"/>
  <c r="L978" i="9"/>
  <c r="N978" i="9"/>
  <c r="O978" i="9"/>
  <c r="O979" i="9"/>
  <c r="K982" i="9"/>
  <c r="L982" i="9"/>
  <c r="M982" i="9"/>
  <c r="N982" i="9"/>
  <c r="H983" i="9"/>
  <c r="M983" i="9"/>
  <c r="I984" i="9"/>
  <c r="L984" i="9"/>
  <c r="N984" i="9"/>
  <c r="O984" i="9"/>
  <c r="P984" i="9"/>
  <c r="O985" i="9"/>
  <c r="K988" i="9"/>
  <c r="L988" i="9"/>
  <c r="M988" i="9"/>
  <c r="N988" i="9"/>
  <c r="H989" i="9"/>
  <c r="M989" i="9"/>
  <c r="I990" i="9"/>
  <c r="L990" i="9"/>
  <c r="N990" i="9"/>
  <c r="O990" i="9"/>
  <c r="P990" i="9"/>
  <c r="O991" i="9"/>
  <c r="K994" i="9"/>
  <c r="L994" i="9"/>
  <c r="M994" i="9"/>
  <c r="N994" i="9"/>
  <c r="H995" i="9"/>
  <c r="M995" i="9"/>
  <c r="I996" i="9"/>
  <c r="L996" i="9"/>
  <c r="N996" i="9"/>
  <c r="O996" i="9"/>
  <c r="O997" i="9"/>
  <c r="K1000" i="9"/>
  <c r="L1000" i="9"/>
  <c r="M1000" i="9"/>
  <c r="N1000" i="9" s="1"/>
  <c r="I205" i="12"/>
  <c r="L205" i="12"/>
  <c r="N205" i="12"/>
  <c r="O205" i="12"/>
  <c r="P205" i="12"/>
  <c r="H5" i="15"/>
  <c r="O5" i="15"/>
  <c r="Q5" i="15"/>
  <c r="AA5" i="15"/>
  <c r="H6" i="15"/>
  <c r="Q6" i="15"/>
  <c r="H8" i="15"/>
  <c r="O8" i="15"/>
  <c r="Q8" i="15"/>
  <c r="AA8" i="15"/>
  <c r="I9" i="15" s="1"/>
  <c r="O9" i="15" s="1"/>
  <c r="H9" i="15"/>
  <c r="Q9" i="15"/>
  <c r="H11" i="15"/>
  <c r="O11" i="15"/>
  <c r="Q11" i="15"/>
  <c r="AA11" i="15"/>
  <c r="AA12" i="15" s="1"/>
  <c r="H12" i="15"/>
  <c r="I12" i="15"/>
  <c r="O12" i="15"/>
  <c r="Q12" i="15"/>
  <c r="H14" i="15"/>
  <c r="O14" i="15"/>
  <c r="AA14" i="15" s="1"/>
  <c r="I15" i="15" s="1"/>
  <c r="Q14" i="15"/>
  <c r="H15" i="15"/>
  <c r="Q15" i="15"/>
  <c r="H17" i="15"/>
  <c r="O17" i="15"/>
  <c r="AA17" i="15" s="1"/>
  <c r="Q17" i="15"/>
  <c r="H18" i="15"/>
  <c r="Q18" i="15"/>
  <c r="H20" i="15"/>
  <c r="O20" i="15"/>
  <c r="AA20" i="15" s="1"/>
  <c r="Q20" i="15"/>
  <c r="H21" i="15"/>
  <c r="Q21" i="15"/>
  <c r="H23" i="15"/>
  <c r="O23" i="15"/>
  <c r="Q23" i="15"/>
  <c r="AA23" i="15"/>
  <c r="H24" i="15"/>
  <c r="Q24" i="15"/>
  <c r="H26" i="15"/>
  <c r="O26" i="15"/>
  <c r="Q26" i="15"/>
  <c r="AA26" i="15"/>
  <c r="I27" i="15" s="1"/>
  <c r="O27" i="15" s="1"/>
  <c r="H27" i="15"/>
  <c r="Q27" i="15"/>
  <c r="H29" i="15"/>
  <c r="O29" i="15"/>
  <c r="Q29" i="15"/>
  <c r="AA29" i="15"/>
  <c r="AA30" i="15" s="1"/>
  <c r="H30" i="15"/>
  <c r="I30" i="15"/>
  <c r="O30" i="15"/>
  <c r="Q30" i="15"/>
  <c r="H32" i="15"/>
  <c r="O32" i="15"/>
  <c r="AA32" i="15" s="1"/>
  <c r="I33" i="15" s="1"/>
  <c r="Q32" i="15"/>
  <c r="H33" i="15"/>
  <c r="Q33" i="15"/>
  <c r="H35" i="15"/>
  <c r="O35" i="15"/>
  <c r="AA35" i="15" s="1"/>
  <c r="Q35" i="15"/>
  <c r="H36" i="15"/>
  <c r="Q36" i="15"/>
  <c r="H38" i="15"/>
  <c r="O38" i="15"/>
  <c r="AA38" i="15" s="1"/>
  <c r="Q38" i="15"/>
  <c r="H39" i="15"/>
  <c r="Q39" i="15"/>
  <c r="H41" i="15"/>
  <c r="O41" i="15"/>
  <c r="Q41" i="15"/>
  <c r="AA41" i="15"/>
  <c r="H42" i="15"/>
  <c r="Q42" i="15"/>
  <c r="H44" i="15"/>
  <c r="O44" i="15"/>
  <c r="Q44" i="15"/>
  <c r="AA44" i="15"/>
  <c r="I45" i="15" s="1"/>
  <c r="O45" i="15" s="1"/>
  <c r="H45" i="15"/>
  <c r="Q45" i="15"/>
  <c r="H47" i="15"/>
  <c r="O47" i="15"/>
  <c r="AA47" i="15" s="1"/>
  <c r="Q47" i="15"/>
  <c r="H48" i="15"/>
  <c r="Q48" i="15"/>
  <c r="H50" i="15"/>
  <c r="O50" i="15"/>
  <c r="AI50" i="15" s="1"/>
  <c r="AI60" i="15" s="1"/>
  <c r="Q50" i="15"/>
  <c r="H51" i="15"/>
  <c r="O51" i="15"/>
  <c r="Q51" i="15"/>
  <c r="AL51" i="15"/>
  <c r="AL60" i="15" s="1"/>
  <c r="H52" i="15"/>
  <c r="O52" i="15"/>
  <c r="AK52" i="15" s="1"/>
  <c r="Q52" i="15"/>
  <c r="H53" i="15"/>
  <c r="O53" i="15"/>
  <c r="AG53" i="15" s="1"/>
  <c r="Q53" i="15"/>
  <c r="H54" i="15"/>
  <c r="O54" i="15"/>
  <c r="Q54" i="15"/>
  <c r="AH54" i="15"/>
  <c r="H55" i="15"/>
  <c r="O55" i="15"/>
  <c r="AA55" i="15" s="1"/>
  <c r="Q55" i="15"/>
  <c r="H56" i="15"/>
  <c r="O56" i="15"/>
  <c r="AH56" i="15" s="1"/>
  <c r="Q56" i="15"/>
  <c r="H57" i="15"/>
  <c r="O57" i="15"/>
  <c r="Q57" i="15"/>
  <c r="AA57" i="15"/>
  <c r="H58" i="15"/>
  <c r="O58" i="15"/>
  <c r="AE58" i="15" s="1"/>
  <c r="Q58" i="15"/>
  <c r="H59" i="15"/>
  <c r="O59" i="15"/>
  <c r="AH59" i="15" s="1"/>
  <c r="Q59" i="15"/>
  <c r="H60" i="15"/>
  <c r="Q60" i="15"/>
  <c r="H61" i="15"/>
  <c r="Q61" i="15"/>
  <c r="H62" i="15"/>
  <c r="Q62" i="15"/>
  <c r="H63" i="15"/>
  <c r="Q63" i="15"/>
  <c r="H64" i="15"/>
  <c r="I64" i="15"/>
  <c r="O64" i="15" s="1"/>
  <c r="Q64" i="15"/>
  <c r="H65" i="15"/>
  <c r="Q65" i="15"/>
  <c r="H66" i="15"/>
  <c r="I66" i="15"/>
  <c r="O66" i="15"/>
  <c r="Q66" i="15"/>
  <c r="H68" i="15"/>
  <c r="O68" i="15"/>
  <c r="Q68" i="15"/>
  <c r="AI68" i="15"/>
  <c r="H69" i="15"/>
  <c r="O69" i="15"/>
  <c r="AL69" i="15" s="1"/>
  <c r="Q69" i="15"/>
  <c r="H70" i="15"/>
  <c r="O70" i="15"/>
  <c r="Q70" i="15"/>
  <c r="AK70" i="15"/>
  <c r="H71" i="15"/>
  <c r="O71" i="15"/>
  <c r="Q71" i="15"/>
  <c r="AG71" i="15"/>
  <c r="H72" i="15"/>
  <c r="O72" i="15"/>
  <c r="AH72" i="15" s="1"/>
  <c r="Q72" i="15"/>
  <c r="H73" i="15"/>
  <c r="O73" i="15"/>
  <c r="Q73" i="15"/>
  <c r="AA73" i="15"/>
  <c r="H74" i="15"/>
  <c r="O74" i="15"/>
  <c r="AH74" i="15" s="1"/>
  <c r="Q74" i="15"/>
  <c r="H75" i="15"/>
  <c r="O75" i="15"/>
  <c r="AA75" i="15" s="1"/>
  <c r="Q75" i="15"/>
  <c r="H76" i="15"/>
  <c r="Q76" i="15"/>
  <c r="AG76" i="15"/>
  <c r="AI76" i="15"/>
  <c r="H77" i="15"/>
  <c r="I77" i="15"/>
  <c r="O77" i="15"/>
  <c r="Q77" i="15"/>
  <c r="H78" i="15"/>
  <c r="Q78" i="15"/>
  <c r="H79" i="15"/>
  <c r="I79" i="15"/>
  <c r="O79" i="15"/>
  <c r="Q79" i="15"/>
  <c r="H80" i="15"/>
  <c r="Q80" i="15"/>
  <c r="H81" i="15"/>
  <c r="Q81" i="15"/>
  <c r="H83" i="15"/>
  <c r="O83" i="15"/>
  <c r="Q83" i="15"/>
  <c r="AA83" i="15"/>
  <c r="H84" i="15"/>
  <c r="O84" i="15"/>
  <c r="AH84" i="15" s="1"/>
  <c r="Q84" i="15"/>
  <c r="H85" i="15"/>
  <c r="O85" i="15"/>
  <c r="AA85" i="15" s="1"/>
  <c r="Q85" i="15"/>
  <c r="H86" i="15"/>
  <c r="Q86" i="15"/>
  <c r="H87" i="15"/>
  <c r="Q87" i="15"/>
  <c r="H89" i="15"/>
  <c r="O89" i="15"/>
  <c r="Q89" i="15"/>
  <c r="AD89" i="15"/>
  <c r="H90" i="15"/>
  <c r="O90" i="15"/>
  <c r="AH90" i="15" s="1"/>
  <c r="Q90" i="15"/>
  <c r="H91" i="15"/>
  <c r="Q91" i="15"/>
  <c r="H92" i="15"/>
  <c r="Q92" i="15"/>
  <c r="H94" i="15"/>
  <c r="O94" i="15"/>
  <c r="AD94" i="15" s="1"/>
  <c r="Q94" i="15"/>
  <c r="H95" i="15"/>
  <c r="O95" i="15"/>
  <c r="Q95" i="15"/>
  <c r="AH95" i="15"/>
  <c r="H96" i="15"/>
  <c r="Q96" i="15"/>
  <c r="H97" i="15"/>
  <c r="Q97" i="15"/>
  <c r="H99" i="15"/>
  <c r="O99" i="15"/>
  <c r="AD99" i="15" s="1"/>
  <c r="Q99" i="15"/>
  <c r="H100" i="15"/>
  <c r="O100" i="15"/>
  <c r="AH100" i="15" s="1"/>
  <c r="Q100" i="15"/>
  <c r="H101" i="15"/>
  <c r="Q101" i="15"/>
  <c r="H102" i="15"/>
  <c r="Q102" i="15"/>
  <c r="H104" i="15"/>
  <c r="O104" i="15"/>
  <c r="Q104" i="15"/>
  <c r="AA104" i="15"/>
  <c r="H105" i="15"/>
  <c r="Q105" i="15"/>
  <c r="H107" i="15"/>
  <c r="O107" i="15"/>
  <c r="Q107" i="15"/>
  <c r="AA107" i="15"/>
  <c r="I108" i="15" s="1"/>
  <c r="O108" i="15" s="1"/>
  <c r="H108" i="15"/>
  <c r="G108" i="15" s="1"/>
  <c r="G268" i="9" s="1"/>
  <c r="Q108" i="15"/>
  <c r="H110" i="15"/>
  <c r="O110" i="15"/>
  <c r="AA110" i="15" s="1"/>
  <c r="Q110" i="15"/>
  <c r="H111" i="15"/>
  <c r="Q111" i="15"/>
  <c r="H113" i="15"/>
  <c r="O113" i="15"/>
  <c r="Q113" i="15"/>
  <c r="AJ113" i="15"/>
  <c r="H114" i="15"/>
  <c r="I114" i="15"/>
  <c r="G114" i="15" s="1"/>
  <c r="G279" i="9" s="1"/>
  <c r="Q114" i="15"/>
  <c r="AJ114" i="15"/>
  <c r="H116" i="15"/>
  <c r="O116" i="15"/>
  <c r="AJ116" i="15" s="1"/>
  <c r="Q116" i="15"/>
  <c r="H117" i="15"/>
  <c r="Q117" i="15"/>
  <c r="H119" i="15"/>
  <c r="O119" i="15"/>
  <c r="AJ119" i="15" s="1"/>
  <c r="Q119" i="15"/>
  <c r="H120" i="15"/>
  <c r="Q120" i="15"/>
  <c r="H122" i="15"/>
  <c r="O122" i="15"/>
  <c r="Q122" i="15"/>
  <c r="AA122" i="15"/>
  <c r="H123" i="15"/>
  <c r="Q123" i="15"/>
  <c r="H125" i="15"/>
  <c r="O125" i="15"/>
  <c r="Q125" i="15"/>
  <c r="AA125" i="15"/>
  <c r="AA126" i="15" s="1"/>
  <c r="H126" i="15"/>
  <c r="I126" i="15"/>
  <c r="O126" i="15" s="1"/>
  <c r="Q126" i="15"/>
  <c r="H128" i="15"/>
  <c r="O128" i="15"/>
  <c r="AA128" i="15" s="1"/>
  <c r="Q128" i="15"/>
  <c r="H129" i="15"/>
  <c r="Q129" i="15"/>
  <c r="H131" i="15"/>
  <c r="O131" i="15"/>
  <c r="Q131" i="15"/>
  <c r="AA131" i="15"/>
  <c r="H132" i="15"/>
  <c r="I132" i="15"/>
  <c r="G132" i="15" s="1"/>
  <c r="G323" i="9" s="1"/>
  <c r="Q132" i="15"/>
  <c r="AA132" i="15"/>
  <c r="H134" i="15"/>
  <c r="O134" i="15"/>
  <c r="AA134" i="15" s="1"/>
  <c r="Q134" i="15"/>
  <c r="H135" i="15"/>
  <c r="Q135" i="15"/>
  <c r="H137" i="15"/>
  <c r="O137" i="15"/>
  <c r="AA137" i="15" s="1"/>
  <c r="Q137" i="15"/>
  <c r="H138" i="15"/>
  <c r="Q138" i="15"/>
  <c r="H140" i="15"/>
  <c r="O140" i="15"/>
  <c r="Q140" i="15"/>
  <c r="AE140" i="15"/>
  <c r="H141" i="15"/>
  <c r="O141" i="15"/>
  <c r="AH141" i="15" s="1"/>
  <c r="Q141" i="15"/>
  <c r="H142" i="15"/>
  <c r="Q142" i="15"/>
  <c r="H143" i="15"/>
  <c r="Q143" i="15"/>
  <c r="H145" i="15"/>
  <c r="O145" i="15"/>
  <c r="Q145" i="15"/>
  <c r="AE145" i="15"/>
  <c r="H146" i="15"/>
  <c r="O146" i="15"/>
  <c r="Q146" i="15"/>
  <c r="AH146" i="15"/>
  <c r="H147" i="15"/>
  <c r="I147" i="15"/>
  <c r="G147" i="15" s="1"/>
  <c r="G356" i="9" s="1"/>
  <c r="Q147" i="15"/>
  <c r="AE147" i="15"/>
  <c r="H148" i="15"/>
  <c r="Q148" i="15"/>
  <c r="H150" i="15"/>
  <c r="O150" i="15"/>
  <c r="AE150" i="15" s="1"/>
  <c r="Q150" i="15"/>
  <c r="H151" i="15"/>
  <c r="O151" i="15"/>
  <c r="AH151" i="15" s="1"/>
  <c r="Q151" i="15"/>
  <c r="H152" i="15"/>
  <c r="Q152" i="15"/>
  <c r="H153" i="15"/>
  <c r="Q153" i="15"/>
  <c r="H155" i="15"/>
  <c r="O155" i="15"/>
  <c r="Q155" i="15"/>
  <c r="AE155" i="15"/>
  <c r="H156" i="15"/>
  <c r="O156" i="15"/>
  <c r="AH156" i="15" s="1"/>
  <c r="I158" i="15" s="1"/>
  <c r="Q156" i="15"/>
  <c r="H157" i="15"/>
  <c r="Q157" i="15"/>
  <c r="AH157" i="15"/>
  <c r="H158" i="15"/>
  <c r="G158" i="15" s="1"/>
  <c r="G375" i="9" s="1"/>
  <c r="O158" i="15"/>
  <c r="Q158" i="15"/>
  <c r="H160" i="15"/>
  <c r="O160" i="15"/>
  <c r="AA160" i="15" s="1"/>
  <c r="AA161" i="15" s="1"/>
  <c r="Q160" i="15"/>
  <c r="H161" i="15"/>
  <c r="Q161" i="15"/>
  <c r="H163" i="15"/>
  <c r="O163" i="15"/>
  <c r="Q163" i="15"/>
  <c r="AA163" i="15"/>
  <c r="H164" i="15"/>
  <c r="G164" i="15" s="1"/>
  <c r="G389" i="9" s="1"/>
  <c r="I164" i="15"/>
  <c r="O164" i="15" s="1"/>
  <c r="Q164" i="15"/>
  <c r="AA164" i="15"/>
  <c r="H166" i="15"/>
  <c r="O166" i="15"/>
  <c r="AA166" i="15" s="1"/>
  <c r="AA167" i="15" s="1"/>
  <c r="Q166" i="15"/>
  <c r="H167" i="15"/>
  <c r="Q167" i="15"/>
  <c r="H169" i="15"/>
  <c r="O169" i="15"/>
  <c r="AA169" i="15" s="1"/>
  <c r="AA170" i="15" s="1"/>
  <c r="Q169" i="15"/>
  <c r="H170" i="15"/>
  <c r="Q170" i="15"/>
  <c r="H172" i="15"/>
  <c r="O172" i="15"/>
  <c r="Q172" i="15"/>
  <c r="AA172" i="15"/>
  <c r="AA173" i="15" s="1"/>
  <c r="H173" i="15"/>
  <c r="I173" i="15"/>
  <c r="Q173" i="15"/>
  <c r="H175" i="15"/>
  <c r="O175" i="15"/>
  <c r="Q175" i="15"/>
  <c r="AA175" i="15"/>
  <c r="AA176" i="15" s="1"/>
  <c r="H176" i="15"/>
  <c r="G176" i="15" s="1"/>
  <c r="G417" i="9" s="1"/>
  <c r="I176" i="15"/>
  <c r="O176" i="15" s="1"/>
  <c r="Q176" i="15"/>
  <c r="H178" i="15"/>
  <c r="O178" i="15"/>
  <c r="AA178" i="15" s="1"/>
  <c r="AA179" i="15" s="1"/>
  <c r="Q178" i="15"/>
  <c r="H179" i="15"/>
  <c r="G179" i="15" s="1"/>
  <c r="G423" i="9" s="1"/>
  <c r="I179" i="15"/>
  <c r="O179" i="15" s="1"/>
  <c r="Q179" i="15"/>
  <c r="H181" i="15"/>
  <c r="O181" i="15"/>
  <c r="Q181" i="15"/>
  <c r="AA181" i="15"/>
  <c r="H182" i="15"/>
  <c r="I182" i="15"/>
  <c r="O182" i="15" s="1"/>
  <c r="Q182" i="15"/>
  <c r="AA182" i="15"/>
  <c r="H184" i="15"/>
  <c r="O184" i="15"/>
  <c r="AA184" i="15" s="1"/>
  <c r="AA185" i="15" s="1"/>
  <c r="Q184" i="15"/>
  <c r="H185" i="15"/>
  <c r="Q185" i="15"/>
  <c r="H187" i="15"/>
  <c r="O187" i="15"/>
  <c r="AA187" i="15" s="1"/>
  <c r="AA188" i="15" s="1"/>
  <c r="Q187" i="15"/>
  <c r="H188" i="15"/>
  <c r="G188" i="15" s="1"/>
  <c r="G441" i="9" s="1"/>
  <c r="I188" i="15"/>
  <c r="O188" i="15" s="1"/>
  <c r="Q188" i="15"/>
  <c r="H190" i="15"/>
  <c r="O190" i="15"/>
  <c r="Q190" i="15"/>
  <c r="AA190" i="15"/>
  <c r="AA191" i="15" s="1"/>
  <c r="H191" i="15"/>
  <c r="I191" i="15"/>
  <c r="O191" i="15" s="1"/>
  <c r="Q191" i="15"/>
  <c r="H193" i="15"/>
  <c r="O193" i="15"/>
  <c r="Q193" i="15"/>
  <c r="AA193" i="15"/>
  <c r="AA194" i="15" s="1"/>
  <c r="H194" i="15"/>
  <c r="I194" i="15"/>
  <c r="O194" i="15" s="1"/>
  <c r="Q194" i="15"/>
  <c r="H196" i="15"/>
  <c r="O196" i="15"/>
  <c r="AA196" i="15" s="1"/>
  <c r="AA197" i="15" s="1"/>
  <c r="Q196" i="15"/>
  <c r="H197" i="15"/>
  <c r="Q197" i="15"/>
  <c r="H199" i="15"/>
  <c r="O199" i="15"/>
  <c r="Q199" i="15"/>
  <c r="AA199" i="15"/>
  <c r="H200" i="15"/>
  <c r="I200" i="15"/>
  <c r="G200" i="15" s="1"/>
  <c r="G465" i="9" s="1"/>
  <c r="Q200" i="15"/>
  <c r="AA200" i="15"/>
  <c r="H202" i="15"/>
  <c r="O202" i="15"/>
  <c r="AA202" i="15" s="1"/>
  <c r="I203" i="15" s="1"/>
  <c r="Q202" i="15"/>
  <c r="H203" i="15"/>
  <c r="Q203" i="15"/>
  <c r="H205" i="15"/>
  <c r="O205" i="15"/>
  <c r="AA205" i="15" s="1"/>
  <c r="Q205" i="15"/>
  <c r="H206" i="15"/>
  <c r="Q206" i="15"/>
  <c r="H208" i="15"/>
  <c r="O208" i="15"/>
  <c r="Q208" i="15"/>
  <c r="AA208" i="15"/>
  <c r="I209" i="15" s="1"/>
  <c r="H209" i="15"/>
  <c r="Q209" i="15"/>
  <c r="AA209" i="15"/>
  <c r="H211" i="15"/>
  <c r="O211" i="15"/>
  <c r="Q211" i="15"/>
  <c r="AA211" i="15"/>
  <c r="H212" i="15"/>
  <c r="I212" i="15"/>
  <c r="O212" i="15"/>
  <c r="Q212" i="15"/>
  <c r="AA212" i="15"/>
  <c r="H214" i="15"/>
  <c r="O214" i="15"/>
  <c r="AA214" i="15" s="1"/>
  <c r="Q214" i="15"/>
  <c r="H215" i="15"/>
  <c r="Q215" i="15"/>
  <c r="H217" i="15"/>
  <c r="O217" i="15"/>
  <c r="Q217" i="15"/>
  <c r="AA217" i="15"/>
  <c r="I218" i="15" s="1"/>
  <c r="H218" i="15"/>
  <c r="Q218" i="15"/>
  <c r="H220" i="15"/>
  <c r="O220" i="15"/>
  <c r="AA220" i="15" s="1"/>
  <c r="Q220" i="15"/>
  <c r="H221" i="15"/>
  <c r="Q221" i="15"/>
  <c r="H223" i="15"/>
  <c r="O223" i="15"/>
  <c r="Q223" i="15"/>
  <c r="AA223" i="15"/>
  <c r="I224" i="15" s="1"/>
  <c r="O224" i="15" s="1"/>
  <c r="H224" i="15"/>
  <c r="Q224" i="15"/>
  <c r="H226" i="15"/>
  <c r="O226" i="15"/>
  <c r="Q226" i="15"/>
  <c r="AA226" i="15"/>
  <c r="I227" i="15" s="1"/>
  <c r="O227" i="15" s="1"/>
  <c r="H227" i="15"/>
  <c r="G227" i="15" s="1"/>
  <c r="G519" i="9" s="1"/>
  <c r="Q227" i="15"/>
  <c r="AA227" i="15"/>
  <c r="H229" i="15"/>
  <c r="O229" i="15"/>
  <c r="Q229" i="15"/>
  <c r="AA229" i="15"/>
  <c r="H230" i="15"/>
  <c r="I230" i="15"/>
  <c r="O230" i="15"/>
  <c r="Q230" i="15"/>
  <c r="AA230" i="15"/>
  <c r="H232" i="15"/>
  <c r="O232" i="15"/>
  <c r="AA232" i="15" s="1"/>
  <c r="Q232" i="15"/>
  <c r="H233" i="15"/>
  <c r="Q233" i="15"/>
  <c r="H235" i="15"/>
  <c r="O235" i="15"/>
  <c r="Q235" i="15"/>
  <c r="AA235" i="15"/>
  <c r="I236" i="15" s="1"/>
  <c r="H236" i="15"/>
  <c r="Q236" i="15"/>
  <c r="H238" i="15"/>
  <c r="O238" i="15"/>
  <c r="AA238" i="15" s="1"/>
  <c r="Q238" i="15"/>
  <c r="H239" i="15"/>
  <c r="Q239" i="15"/>
  <c r="H241" i="15"/>
  <c r="O241" i="15"/>
  <c r="Q241" i="15"/>
  <c r="AA241" i="15"/>
  <c r="I242" i="15" s="1"/>
  <c r="O242" i="15" s="1"/>
  <c r="H242" i="15"/>
  <c r="Q242" i="15"/>
  <c r="H244" i="15"/>
  <c r="O244" i="15"/>
  <c r="Q244" i="15"/>
  <c r="AA244" i="15"/>
  <c r="I245" i="15" s="1"/>
  <c r="O245" i="15" s="1"/>
  <c r="H245" i="15"/>
  <c r="Q245" i="15"/>
  <c r="AA245" i="15"/>
  <c r="H247" i="15"/>
  <c r="O247" i="15"/>
  <c r="Q247" i="15"/>
  <c r="AA247" i="15"/>
  <c r="H248" i="15"/>
  <c r="I248" i="15"/>
  <c r="O248" i="15"/>
  <c r="Q248" i="15"/>
  <c r="AA248" i="15"/>
  <c r="H250" i="15"/>
  <c r="O250" i="15"/>
  <c r="AA250" i="15" s="1"/>
  <c r="Q250" i="15"/>
  <c r="H251" i="15"/>
  <c r="Q251" i="15"/>
  <c r="H253" i="15"/>
  <c r="O253" i="15"/>
  <c r="Q253" i="15"/>
  <c r="AA253" i="15"/>
  <c r="I254" i="15" s="1"/>
  <c r="H254" i="15"/>
  <c r="Q254" i="15"/>
  <c r="H256" i="15"/>
  <c r="O256" i="15"/>
  <c r="AA256" i="15" s="1"/>
  <c r="Q256" i="15"/>
  <c r="H257" i="15"/>
  <c r="Q257" i="15"/>
  <c r="H259" i="15"/>
  <c r="O259" i="15"/>
  <c r="Q259" i="15"/>
  <c r="AA259" i="15"/>
  <c r="I260" i="15" s="1"/>
  <c r="O260" i="15" s="1"/>
  <c r="H260" i="15"/>
  <c r="Q260" i="15"/>
  <c r="H262" i="15"/>
  <c r="O262" i="15"/>
  <c r="Q262" i="15"/>
  <c r="AA262" i="15"/>
  <c r="I263" i="15" s="1"/>
  <c r="O263" i="15" s="1"/>
  <c r="H263" i="15"/>
  <c r="Q263" i="15"/>
  <c r="AA263" i="15"/>
  <c r="H265" i="15"/>
  <c r="O265" i="15"/>
  <c r="Q265" i="15"/>
  <c r="AA265" i="15"/>
  <c r="H266" i="15"/>
  <c r="I266" i="15"/>
  <c r="O266" i="15"/>
  <c r="Q266" i="15"/>
  <c r="AA266" i="15"/>
  <c r="H268" i="15"/>
  <c r="O268" i="15"/>
  <c r="AA268" i="15" s="1"/>
  <c r="Q268" i="15"/>
  <c r="H269" i="15"/>
  <c r="Q269" i="15"/>
  <c r="H271" i="15"/>
  <c r="O271" i="15"/>
  <c r="Q271" i="15"/>
  <c r="AA271" i="15"/>
  <c r="I272" i="15" s="1"/>
  <c r="H272" i="15"/>
  <c r="Q272" i="15"/>
  <c r="H274" i="15"/>
  <c r="O274" i="15"/>
  <c r="AA274" i="15" s="1"/>
  <c r="Q274" i="15"/>
  <c r="H275" i="15"/>
  <c r="Q275" i="15"/>
  <c r="H277" i="15"/>
  <c r="O277" i="15"/>
  <c r="Q277" i="15"/>
  <c r="AA277" i="15"/>
  <c r="I278" i="15" s="1"/>
  <c r="O278" i="15" s="1"/>
  <c r="H278" i="15"/>
  <c r="G278" i="15" s="1"/>
  <c r="G632" i="9" s="1"/>
  <c r="Q278" i="15"/>
  <c r="H280" i="15"/>
  <c r="O280" i="15"/>
  <c r="Q280" i="15"/>
  <c r="AA280" i="15"/>
  <c r="I281" i="15" s="1"/>
  <c r="O281" i="15" s="1"/>
  <c r="H281" i="15"/>
  <c r="Q281" i="15"/>
  <c r="AA281" i="15"/>
  <c r="H283" i="15"/>
  <c r="O283" i="15"/>
  <c r="Q283" i="15"/>
  <c r="AA283" i="15"/>
  <c r="H284" i="15"/>
  <c r="I284" i="15"/>
  <c r="O284" i="15"/>
  <c r="Q284" i="15"/>
  <c r="AA284" i="15"/>
  <c r="H286" i="15"/>
  <c r="O286" i="15"/>
  <c r="AA286" i="15" s="1"/>
  <c r="Q286" i="15"/>
  <c r="H287" i="15"/>
  <c r="Q287" i="15"/>
  <c r="H289" i="15"/>
  <c r="O289" i="15"/>
  <c r="Q289" i="15"/>
  <c r="AB289" i="15"/>
  <c r="I290" i="15" s="1"/>
  <c r="H290" i="15"/>
  <c r="Q290" i="15"/>
  <c r="H292" i="15"/>
  <c r="O292" i="15"/>
  <c r="AB292" i="15" s="1"/>
  <c r="Q292" i="15"/>
  <c r="H293" i="15"/>
  <c r="Q293" i="15"/>
  <c r="H295" i="15"/>
  <c r="O295" i="15"/>
  <c r="Q295" i="15"/>
  <c r="AB295" i="15"/>
  <c r="I296" i="15" s="1"/>
  <c r="O296" i="15" s="1"/>
  <c r="H296" i="15"/>
  <c r="Q296" i="15"/>
  <c r="H298" i="15"/>
  <c r="O298" i="15"/>
  <c r="Q298" i="15"/>
  <c r="AB298" i="15"/>
  <c r="I299" i="15" s="1"/>
  <c r="O299" i="15" s="1"/>
  <c r="H299" i="15"/>
  <c r="Q299" i="15"/>
  <c r="AB299" i="15"/>
  <c r="H301" i="15"/>
  <c r="O301" i="15"/>
  <c r="Q301" i="15"/>
  <c r="AB301" i="15"/>
  <c r="H302" i="15"/>
  <c r="I302" i="15"/>
  <c r="O302" i="15"/>
  <c r="Q302" i="15"/>
  <c r="AB302" i="15"/>
  <c r="H304" i="15"/>
  <c r="O304" i="15"/>
  <c r="AB304" i="15" s="1"/>
  <c r="Q304" i="15"/>
  <c r="H305" i="15"/>
  <c r="Q305" i="15"/>
  <c r="H307" i="15"/>
  <c r="O307" i="15"/>
  <c r="Q307" i="15"/>
  <c r="AB307" i="15"/>
  <c r="I308" i="15" s="1"/>
  <c r="H308" i="15"/>
  <c r="Q308" i="15"/>
  <c r="H310" i="15"/>
  <c r="O310" i="15"/>
  <c r="AB310" i="15" s="1"/>
  <c r="Q310" i="15"/>
  <c r="H311" i="15"/>
  <c r="Q311" i="15"/>
  <c r="H313" i="15"/>
  <c r="O313" i="15"/>
  <c r="Q313" i="15"/>
  <c r="AB313" i="15"/>
  <c r="I314" i="15" s="1"/>
  <c r="O314" i="15" s="1"/>
  <c r="H314" i="15"/>
  <c r="Q314" i="15"/>
  <c r="H316" i="15"/>
  <c r="O316" i="15"/>
  <c r="Q316" i="15"/>
  <c r="AB316" i="15"/>
  <c r="I317" i="15" s="1"/>
  <c r="O317" i="15" s="1"/>
  <c r="H317" i="15"/>
  <c r="Q317" i="15"/>
  <c r="AB317" i="15"/>
  <c r="H319" i="15"/>
  <c r="O319" i="15"/>
  <c r="Q319" i="15"/>
  <c r="AB319" i="15"/>
  <c r="H320" i="15"/>
  <c r="I320" i="15"/>
  <c r="O320" i="15"/>
  <c r="Q320" i="15"/>
  <c r="AB320" i="15"/>
  <c r="H322" i="15"/>
  <c r="O322" i="15"/>
  <c r="AB322" i="15" s="1"/>
  <c r="Q322" i="15"/>
  <c r="H323" i="15"/>
  <c r="Q323" i="15"/>
  <c r="H325" i="15"/>
  <c r="O325" i="15"/>
  <c r="Q325" i="15"/>
  <c r="AB325" i="15"/>
  <c r="I326" i="15" s="1"/>
  <c r="H326" i="15"/>
  <c r="Q326" i="15"/>
  <c r="H328" i="15"/>
  <c r="O328" i="15"/>
  <c r="AB328" i="15" s="1"/>
  <c r="Q328" i="15"/>
  <c r="H329" i="15"/>
  <c r="Q329" i="15"/>
  <c r="H331" i="15"/>
  <c r="O331" i="15"/>
  <c r="Q331" i="15"/>
  <c r="AB331" i="15"/>
  <c r="I332" i="15" s="1"/>
  <c r="O332" i="15" s="1"/>
  <c r="H332" i="15"/>
  <c r="Q332" i="15"/>
  <c r="H334" i="15"/>
  <c r="O334" i="15"/>
  <c r="Q334" i="15"/>
  <c r="AB334" i="15"/>
  <c r="I335" i="15" s="1"/>
  <c r="O335" i="15" s="1"/>
  <c r="H335" i="15"/>
  <c r="G335" i="15" s="1"/>
  <c r="G765" i="9" s="1"/>
  <c r="Q335" i="15"/>
  <c r="AB335" i="15"/>
  <c r="H337" i="15"/>
  <c r="O337" i="15"/>
  <c r="Q337" i="15"/>
  <c r="AB337" i="15"/>
  <c r="AB338" i="15" s="1"/>
  <c r="H338" i="15"/>
  <c r="I338" i="15"/>
  <c r="O338" i="15"/>
  <c r="Q338" i="15"/>
  <c r="H340" i="15"/>
  <c r="O340" i="15"/>
  <c r="AB340" i="15" s="1"/>
  <c r="Q340" i="15"/>
  <c r="H341" i="15"/>
  <c r="Q341" i="15"/>
  <c r="H343" i="15"/>
  <c r="O343" i="15"/>
  <c r="Q343" i="15"/>
  <c r="AB343" i="15"/>
  <c r="I344" i="15" s="1"/>
  <c r="H344" i="15"/>
  <c r="Q344" i="15"/>
  <c r="H346" i="15"/>
  <c r="O346" i="15"/>
  <c r="AB346" i="15" s="1"/>
  <c r="Q346" i="15"/>
  <c r="H347" i="15"/>
  <c r="Q347" i="15"/>
  <c r="H349" i="15"/>
  <c r="O349" i="15"/>
  <c r="Q349" i="15"/>
  <c r="AB349" i="15"/>
  <c r="I350" i="15" s="1"/>
  <c r="O350" i="15" s="1"/>
  <c r="H350" i="15"/>
  <c r="G350" i="15" s="1"/>
  <c r="G800" i="9" s="1"/>
  <c r="Q350" i="15"/>
  <c r="H352" i="15"/>
  <c r="O352" i="15"/>
  <c r="Q352" i="15"/>
  <c r="AB352" i="15"/>
  <c r="I353" i="15" s="1"/>
  <c r="O353" i="15" s="1"/>
  <c r="H353" i="15"/>
  <c r="Q353" i="15"/>
  <c r="H355" i="15"/>
  <c r="O355" i="15"/>
  <c r="Q355" i="15"/>
  <c r="AD355" i="15"/>
  <c r="I357" i="15" s="1"/>
  <c r="O357" i="15" s="1"/>
  <c r="H356" i="15"/>
  <c r="O356" i="15"/>
  <c r="Q356" i="15"/>
  <c r="AH356" i="15"/>
  <c r="AH357" i="15" s="1"/>
  <c r="H357" i="15"/>
  <c r="G357" i="15" s="1"/>
  <c r="G814" i="9" s="1"/>
  <c r="Q357" i="15"/>
  <c r="H358" i="15"/>
  <c r="Q358" i="15"/>
  <c r="H360" i="15"/>
  <c r="O360" i="15"/>
  <c r="Q360" i="15"/>
  <c r="AF360" i="15"/>
  <c r="I361" i="15" s="1"/>
  <c r="H361" i="15"/>
  <c r="Q361" i="15"/>
  <c r="AF361" i="15"/>
  <c r="H363" i="15"/>
  <c r="O363" i="15"/>
  <c r="AF363" i="15" s="1"/>
  <c r="Q363" i="15"/>
  <c r="H364" i="15"/>
  <c r="Q364" i="15"/>
  <c r="H366" i="15"/>
  <c r="O366" i="15"/>
  <c r="Q366" i="15"/>
  <c r="AA366" i="15"/>
  <c r="I367" i="15" s="1"/>
  <c r="O367" i="15" s="1"/>
  <c r="H367" i="15"/>
  <c r="G367" i="15" s="1"/>
  <c r="G835" i="9" s="1"/>
  <c r="Q367" i="15"/>
  <c r="H369" i="15"/>
  <c r="O369" i="15"/>
  <c r="Q369" i="15"/>
  <c r="AA369" i="15"/>
  <c r="I370" i="15" s="1"/>
  <c r="O370" i="15" s="1"/>
  <c r="H370" i="15"/>
  <c r="Q370" i="15"/>
  <c r="H372" i="15"/>
  <c r="O372" i="15"/>
  <c r="Q372" i="15"/>
  <c r="AA372" i="15"/>
  <c r="AA373" i="15" s="1"/>
  <c r="H373" i="15"/>
  <c r="I373" i="15"/>
  <c r="O373" i="15"/>
  <c r="Q373" i="15"/>
  <c r="H375" i="15"/>
  <c r="O375" i="15"/>
  <c r="AA375" i="15" s="1"/>
  <c r="Q375" i="15"/>
  <c r="H376" i="15"/>
  <c r="Q376" i="15"/>
  <c r="H378" i="15"/>
  <c r="O378" i="15"/>
  <c r="Q378" i="15"/>
  <c r="AA378" i="15"/>
  <c r="I379" i="15" s="1"/>
  <c r="H379" i="15"/>
  <c r="Q379" i="15"/>
  <c r="AA379" i="15"/>
  <c r="H381" i="15"/>
  <c r="O381" i="15"/>
  <c r="AA381" i="15" s="1"/>
  <c r="Q381" i="15"/>
  <c r="H382" i="15"/>
  <c r="Q382" i="15"/>
  <c r="H384" i="15"/>
  <c r="O384" i="15"/>
  <c r="Q384" i="15"/>
  <c r="AA384" i="15"/>
  <c r="I385" i="15" s="1"/>
  <c r="O385" i="15" s="1"/>
  <c r="H385" i="15"/>
  <c r="Q385" i="15"/>
  <c r="H387" i="15"/>
  <c r="O387" i="15"/>
  <c r="Q387" i="15"/>
  <c r="AA387" i="15"/>
  <c r="I388" i="15" s="1"/>
  <c r="O388" i="15" s="1"/>
  <c r="H388" i="15"/>
  <c r="Q388" i="15"/>
  <c r="H390" i="15"/>
  <c r="O390" i="15"/>
  <c r="Q390" i="15"/>
  <c r="AA390" i="15"/>
  <c r="AA391" i="15" s="1"/>
  <c r="H391" i="15"/>
  <c r="I391" i="15"/>
  <c r="O391" i="15"/>
  <c r="Q391" i="15"/>
  <c r="H393" i="15"/>
  <c r="O393" i="15"/>
  <c r="AA393" i="15" s="1"/>
  <c r="Q393" i="15"/>
  <c r="H394" i="15"/>
  <c r="O394" i="15"/>
  <c r="Q394" i="15"/>
  <c r="AH394" i="15"/>
  <c r="I396" i="15" s="1"/>
  <c r="H395" i="15"/>
  <c r="Q395" i="15"/>
  <c r="AH395" i="15"/>
  <c r="H396" i="15"/>
  <c r="Q396" i="15"/>
  <c r="H398" i="15"/>
  <c r="O398" i="15"/>
  <c r="AA398" i="15" s="1"/>
  <c r="Q398" i="15"/>
  <c r="H399" i="15"/>
  <c r="O399" i="15"/>
  <c r="AH399" i="15" s="1"/>
  <c r="Q399" i="15"/>
  <c r="H400" i="15"/>
  <c r="Q400" i="15"/>
  <c r="H401" i="15"/>
  <c r="Q401" i="15"/>
  <c r="H403" i="15"/>
  <c r="O403" i="15"/>
  <c r="Q403" i="15"/>
  <c r="AE403" i="15"/>
  <c r="I404" i="15" s="1"/>
  <c r="O404" i="15" s="1"/>
  <c r="H404" i="15"/>
  <c r="Q404" i="15"/>
  <c r="H406" i="15"/>
  <c r="O406" i="15"/>
  <c r="AA406" i="15" s="1"/>
  <c r="Q406" i="15"/>
  <c r="H407" i="15"/>
  <c r="Q407" i="15"/>
  <c r="H409" i="15"/>
  <c r="O409" i="15"/>
  <c r="AA409" i="15" s="1"/>
  <c r="Q409" i="15"/>
  <c r="H410" i="15"/>
  <c r="Q410" i="15"/>
  <c r="H412" i="15"/>
  <c r="O412" i="15"/>
  <c r="Q412" i="15"/>
  <c r="AA412" i="15"/>
  <c r="I413" i="15" s="1"/>
  <c r="H413" i="15"/>
  <c r="Q413" i="15"/>
  <c r="AA413" i="15"/>
  <c r="H415" i="15"/>
  <c r="O415" i="15"/>
  <c r="AC415" i="15" s="1"/>
  <c r="Q415" i="15"/>
  <c r="H416" i="15"/>
  <c r="O416" i="15"/>
  <c r="AH416" i="15" s="1"/>
  <c r="Q416" i="15"/>
  <c r="H417" i="15"/>
  <c r="Q417" i="15"/>
  <c r="H418" i="15"/>
  <c r="Q418" i="15"/>
  <c r="H420" i="15"/>
  <c r="O420" i="15"/>
  <c r="Q420" i="15"/>
  <c r="AC420" i="15"/>
  <c r="AC422" i="15" s="1"/>
  <c r="H421" i="15"/>
  <c r="O421" i="15"/>
  <c r="AH421" i="15" s="1"/>
  <c r="Q421" i="15"/>
  <c r="H422" i="15"/>
  <c r="I422" i="15"/>
  <c r="O422" i="15" s="1"/>
  <c r="Q422" i="15"/>
  <c r="H423" i="15"/>
  <c r="Q423" i="15"/>
  <c r="H425" i="15"/>
  <c r="O425" i="15"/>
  <c r="AD425" i="15" s="1"/>
  <c r="Q425" i="15"/>
  <c r="H426" i="15"/>
  <c r="Q426" i="15"/>
  <c r="H428" i="15"/>
  <c r="O428" i="15"/>
  <c r="Q428" i="15"/>
  <c r="AB428" i="15"/>
  <c r="I429" i="15" s="1"/>
  <c r="H429" i="15"/>
  <c r="Q429" i="15"/>
  <c r="H431" i="15"/>
  <c r="O431" i="15"/>
  <c r="AB431" i="15" s="1"/>
  <c r="Q431" i="15"/>
  <c r="H432" i="15"/>
  <c r="Q432" i="15"/>
  <c r="H434" i="15"/>
  <c r="O434" i="15"/>
  <c r="Q434" i="15"/>
  <c r="AB434" i="15"/>
  <c r="I435" i="15" s="1"/>
  <c r="O435" i="15" s="1"/>
  <c r="H435" i="15"/>
  <c r="G435" i="15" s="1"/>
  <c r="G959" i="9" s="1"/>
  <c r="Q435" i="15"/>
  <c r="H437" i="15"/>
  <c r="O437" i="15"/>
  <c r="AB437" i="15" s="1"/>
  <c r="Q437" i="15"/>
  <c r="H438" i="15"/>
  <c r="Q438" i="15"/>
  <c r="H440" i="15"/>
  <c r="O440" i="15"/>
  <c r="AB440" i="15" s="1"/>
  <c r="Q440" i="15"/>
  <c r="H441" i="15"/>
  <c r="Q441" i="15"/>
  <c r="H443" i="15"/>
  <c r="O443" i="15"/>
  <c r="AB443" i="15" s="1"/>
  <c r="Q443" i="15"/>
  <c r="H444" i="15"/>
  <c r="Q444" i="15"/>
  <c r="H446" i="15"/>
  <c r="O446" i="15"/>
  <c r="Q446" i="15"/>
  <c r="AB446" i="15"/>
  <c r="I447" i="15" s="1"/>
  <c r="H447" i="15"/>
  <c r="Q447" i="15"/>
  <c r="H449" i="15"/>
  <c r="O449" i="15"/>
  <c r="AB449" i="15" s="1"/>
  <c r="Q449" i="15"/>
  <c r="H450" i="15"/>
  <c r="Q450" i="15"/>
  <c r="H452" i="15"/>
  <c r="O452" i="15"/>
  <c r="Q452" i="15"/>
  <c r="AB452" i="15"/>
  <c r="I453" i="15" s="1"/>
  <c r="O453" i="15" s="1"/>
  <c r="H453" i="15"/>
  <c r="G453" i="15" s="1"/>
  <c r="G995" i="9" s="1"/>
  <c r="Q453" i="15"/>
  <c r="H455" i="15"/>
  <c r="O455" i="15"/>
  <c r="AB455" i="15" s="1"/>
  <c r="Q455" i="15"/>
  <c r="H456" i="15"/>
  <c r="Q456" i="15"/>
  <c r="H458" i="15"/>
  <c r="O458" i="15"/>
  <c r="AA458" i="15" s="1"/>
  <c r="Q458" i="15"/>
  <c r="H459" i="15"/>
  <c r="Q459" i="15"/>
  <c r="H461" i="15"/>
  <c r="O461" i="15"/>
  <c r="AA461" i="15" s="1"/>
  <c r="Q461" i="15"/>
  <c r="H462" i="15"/>
  <c r="Q462" i="15"/>
  <c r="H464" i="15"/>
  <c r="O464" i="15"/>
  <c r="Q464" i="15"/>
  <c r="AA464" i="15"/>
  <c r="I465" i="15" s="1"/>
  <c r="H465" i="15"/>
  <c r="Q465" i="15"/>
  <c r="AA465" i="15"/>
  <c r="H467" i="15"/>
  <c r="O467" i="15"/>
  <c r="AA467" i="15" s="1"/>
  <c r="Q467" i="15"/>
  <c r="H468" i="15"/>
  <c r="Q468" i="15"/>
  <c r="H470" i="15"/>
  <c r="O470" i="15"/>
  <c r="Q470" i="15"/>
  <c r="AA470" i="15"/>
  <c r="I471" i="15" s="1"/>
  <c r="O471" i="15" s="1"/>
  <c r="H471" i="15"/>
  <c r="Q471" i="15"/>
  <c r="H473" i="15"/>
  <c r="O473" i="15"/>
  <c r="Q473" i="15"/>
  <c r="AA473" i="15"/>
  <c r="I474" i="15" s="1"/>
  <c r="O474" i="15" s="1"/>
  <c r="H474" i="15"/>
  <c r="Q474" i="15"/>
  <c r="H476" i="15"/>
  <c r="O476" i="15"/>
  <c r="AA476" i="15" s="1"/>
  <c r="Q476" i="15"/>
  <c r="H477" i="15"/>
  <c r="Q477" i="15"/>
  <c r="H479" i="15"/>
  <c r="O479" i="15"/>
  <c r="AA479" i="15" s="1"/>
  <c r="Q479" i="15"/>
  <c r="H480" i="15"/>
  <c r="Q480" i="15"/>
  <c r="H482" i="15"/>
  <c r="O482" i="15"/>
  <c r="Q482" i="15"/>
  <c r="AA482" i="15"/>
  <c r="I483" i="15" s="1"/>
  <c r="H483" i="15"/>
  <c r="Q483" i="15"/>
  <c r="H485" i="15"/>
  <c r="O485" i="15"/>
  <c r="AA485" i="15" s="1"/>
  <c r="Q485" i="15"/>
  <c r="H486" i="15"/>
  <c r="Q486" i="15"/>
  <c r="H488" i="15"/>
  <c r="O488" i="15"/>
  <c r="Q488" i="15"/>
  <c r="AA488" i="15"/>
  <c r="I489" i="15" s="1"/>
  <c r="O489" i="15" s="1"/>
  <c r="H489" i="15"/>
  <c r="G489" i="15" s="1"/>
  <c r="G1081" i="9" s="1"/>
  <c r="Q489" i="15"/>
  <c r="H491" i="15"/>
  <c r="O491" i="15"/>
  <c r="AA491" i="15" s="1"/>
  <c r="Q491" i="15"/>
  <c r="H492" i="15"/>
  <c r="Q492" i="15"/>
  <c r="H494" i="15"/>
  <c r="O494" i="15"/>
  <c r="AA494" i="15" s="1"/>
  <c r="Q494" i="15"/>
  <c r="H495" i="15"/>
  <c r="Q495" i="15"/>
  <c r="H497" i="15"/>
  <c r="O497" i="15"/>
  <c r="AA497" i="15" s="1"/>
  <c r="Q497" i="15"/>
  <c r="H498" i="15"/>
  <c r="Q498" i="15"/>
  <c r="H500" i="15"/>
  <c r="O500" i="15"/>
  <c r="Q500" i="15"/>
  <c r="AA500" i="15"/>
  <c r="I501" i="15" s="1"/>
  <c r="H501" i="15"/>
  <c r="Q501" i="15"/>
  <c r="AA501" i="15"/>
  <c r="H503" i="15"/>
  <c r="O503" i="15"/>
  <c r="AA503" i="15" s="1"/>
  <c r="Q503" i="15"/>
  <c r="H504" i="15"/>
  <c r="Q504" i="15"/>
  <c r="H506" i="15"/>
  <c r="O506" i="15"/>
  <c r="Q506" i="15"/>
  <c r="AA506" i="15"/>
  <c r="I507" i="15" s="1"/>
  <c r="O507" i="15" s="1"/>
  <c r="H507" i="15"/>
  <c r="Q507" i="15"/>
  <c r="H509" i="15"/>
  <c r="O509" i="15"/>
  <c r="Q509" i="15"/>
  <c r="AA509" i="15"/>
  <c r="I510" i="15" s="1"/>
  <c r="O510" i="15" s="1"/>
  <c r="H510" i="15"/>
  <c r="Q510" i="15"/>
  <c r="H512" i="15"/>
  <c r="O512" i="15"/>
  <c r="Q512" i="15"/>
  <c r="AA512" i="15"/>
  <c r="AA513" i="15" s="1"/>
  <c r="H513" i="15"/>
  <c r="I513" i="15"/>
  <c r="G513" i="15" s="1"/>
  <c r="G1129" i="9" s="1"/>
  <c r="O513" i="15"/>
  <c r="Q513" i="15"/>
  <c r="H515" i="15"/>
  <c r="O515" i="15"/>
  <c r="AA515" i="15" s="1"/>
  <c r="Q515" i="15"/>
  <c r="H516" i="15"/>
  <c r="Q516" i="15"/>
  <c r="H518" i="15"/>
  <c r="O518" i="15"/>
  <c r="Q518" i="15"/>
  <c r="AA518" i="15"/>
  <c r="I519" i="15" s="1"/>
  <c r="H519" i="15"/>
  <c r="Q519" i="15"/>
  <c r="AA519" i="15"/>
  <c r="H521" i="15"/>
  <c r="O521" i="15"/>
  <c r="AA521" i="15" s="1"/>
  <c r="Q521" i="15"/>
  <c r="H522" i="15"/>
  <c r="Q522" i="15"/>
  <c r="H524" i="15"/>
  <c r="O524" i="15"/>
  <c r="Q524" i="15"/>
  <c r="AA524" i="15"/>
  <c r="I526" i="15" s="1"/>
  <c r="H525" i="15"/>
  <c r="O525" i="15"/>
  <c r="Q525" i="15"/>
  <c r="AH525" i="15"/>
  <c r="I527" i="15" s="1"/>
  <c r="H526" i="15"/>
  <c r="Q526" i="15"/>
  <c r="AH526" i="15"/>
  <c r="H527" i="15"/>
  <c r="Q527" i="15"/>
  <c r="H529" i="15"/>
  <c r="O529" i="15"/>
  <c r="Q529" i="15"/>
  <c r="AA529" i="15"/>
  <c r="AA530" i="15" s="1"/>
  <c r="H530" i="15"/>
  <c r="I530" i="15"/>
  <c r="Q530" i="15"/>
  <c r="H532" i="15"/>
  <c r="O532" i="15"/>
  <c r="AA532" i="15" s="1"/>
  <c r="Q532" i="15"/>
  <c r="H533" i="15"/>
  <c r="Q533" i="15"/>
  <c r="H535" i="15"/>
  <c r="O535" i="15"/>
  <c r="Q535" i="15"/>
  <c r="AA535" i="15"/>
  <c r="I536" i="15" s="1"/>
  <c r="H536" i="15"/>
  <c r="Q536" i="15"/>
  <c r="AA536" i="15"/>
  <c r="H538" i="15"/>
  <c r="O538" i="15"/>
  <c r="AA538" i="15" s="1"/>
  <c r="Q538" i="15"/>
  <c r="H539" i="15"/>
  <c r="Q539" i="15"/>
  <c r="H541" i="15"/>
  <c r="O541" i="15"/>
  <c r="Q541" i="15"/>
  <c r="AA541" i="15"/>
  <c r="I542" i="15" s="1"/>
  <c r="O542" i="15" s="1"/>
  <c r="H542" i="15"/>
  <c r="G542" i="15" s="1"/>
  <c r="G1184" i="9" s="1"/>
  <c r="Q542" i="15"/>
  <c r="H544" i="15"/>
  <c r="O544" i="15"/>
  <c r="Q544" i="15"/>
  <c r="AA544" i="15"/>
  <c r="I545" i="15" s="1"/>
  <c r="O545" i="15" s="1"/>
  <c r="H545" i="15"/>
  <c r="G545" i="15" s="1"/>
  <c r="G1190" i="9" s="1"/>
  <c r="Q545" i="15"/>
  <c r="H547" i="15"/>
  <c r="O547" i="15"/>
  <c r="Q547" i="15"/>
  <c r="AF547" i="15"/>
  <c r="AF548" i="15" s="1"/>
  <c r="H548" i="15"/>
  <c r="I548" i="15"/>
  <c r="G548" i="15" s="1"/>
  <c r="G1197" i="9" s="1"/>
  <c r="O548" i="15"/>
  <c r="Q548" i="15"/>
  <c r="H550" i="15"/>
  <c r="O550" i="15"/>
  <c r="AA550" i="15" s="1"/>
  <c r="Q550" i="15"/>
  <c r="H551" i="15"/>
  <c r="Q551" i="15"/>
  <c r="H553" i="15"/>
  <c r="O553" i="15"/>
  <c r="Q553" i="15"/>
  <c r="AA553" i="15"/>
  <c r="H554" i="15"/>
  <c r="G554" i="15" s="1"/>
  <c r="G1209" i="9" s="1"/>
  <c r="I554" i="15"/>
  <c r="O554" i="15" s="1"/>
  <c r="Q554" i="15"/>
  <c r="AA554" i="15"/>
  <c r="H556" i="15"/>
  <c r="O556" i="15"/>
  <c r="AA556" i="15" s="1"/>
  <c r="Q556" i="15"/>
  <c r="H557" i="15"/>
  <c r="Q557" i="15"/>
  <c r="H559" i="15"/>
  <c r="O559" i="15"/>
  <c r="Q559" i="15"/>
  <c r="AA559" i="15"/>
  <c r="I560" i="15" s="1"/>
  <c r="O560" i="15" s="1"/>
  <c r="H560" i="15"/>
  <c r="Q560" i="15"/>
  <c r="H562" i="15"/>
  <c r="O562" i="15"/>
  <c r="Q562" i="15"/>
  <c r="AA562" i="15"/>
  <c r="I563" i="15" s="1"/>
  <c r="O563" i="15" s="1"/>
  <c r="H563" i="15"/>
  <c r="Q563" i="15"/>
  <c r="H565" i="15"/>
  <c r="O565" i="15"/>
  <c r="Q565" i="15"/>
  <c r="AA565" i="15"/>
  <c r="AA566" i="15" s="1"/>
  <c r="H566" i="15"/>
  <c r="I566" i="15"/>
  <c r="G566" i="15" s="1"/>
  <c r="G1233" i="9" s="1"/>
  <c r="O566" i="15"/>
  <c r="Q566" i="15"/>
  <c r="H568" i="15"/>
  <c r="O568" i="15"/>
  <c r="AA568" i="15" s="1"/>
  <c r="Q568" i="15"/>
  <c r="H569" i="15"/>
  <c r="Q569" i="15"/>
  <c r="H571" i="15"/>
  <c r="O571" i="15"/>
  <c r="Q571" i="15"/>
  <c r="AA571" i="15"/>
  <c r="H572" i="15"/>
  <c r="G572" i="15" s="1"/>
  <c r="G1245" i="9" s="1"/>
  <c r="I572" i="15"/>
  <c r="O572" i="15" s="1"/>
  <c r="Q572" i="15"/>
  <c r="AA572" i="15"/>
  <c r="H574" i="15"/>
  <c r="O574" i="15"/>
  <c r="AA574" i="15" s="1"/>
  <c r="Q574" i="15"/>
  <c r="H575" i="15"/>
  <c r="Q575" i="15"/>
  <c r="H577" i="15"/>
  <c r="O577" i="15"/>
  <c r="Q577" i="15"/>
  <c r="AA577" i="15"/>
  <c r="I578" i="15" s="1"/>
  <c r="O578" i="15" s="1"/>
  <c r="H578" i="15"/>
  <c r="G578" i="15" s="1"/>
  <c r="G1257" i="9" s="1"/>
  <c r="Q578" i="15"/>
  <c r="H580" i="15"/>
  <c r="O580" i="15"/>
  <c r="Q580" i="15"/>
  <c r="AA580" i="15"/>
  <c r="I581" i="15" s="1"/>
  <c r="O581" i="15" s="1"/>
  <c r="H581" i="15"/>
  <c r="G581" i="15" s="1"/>
  <c r="G1263" i="9" s="1"/>
  <c r="Q581" i="15"/>
  <c r="H583" i="15"/>
  <c r="O583" i="15"/>
  <c r="AA583" i="15" s="1"/>
  <c r="Q583" i="15"/>
  <c r="H584" i="15"/>
  <c r="Q584" i="15"/>
  <c r="H586" i="15"/>
  <c r="O586" i="15"/>
  <c r="AA586" i="15" s="1"/>
  <c r="Q586" i="15"/>
  <c r="H587" i="15"/>
  <c r="Q587" i="15"/>
  <c r="H589" i="15"/>
  <c r="O589" i="15"/>
  <c r="Q589" i="15"/>
  <c r="AA589" i="15"/>
  <c r="H590" i="15"/>
  <c r="G590" i="15" s="1"/>
  <c r="G1281" i="9" s="1"/>
  <c r="I590" i="15"/>
  <c r="O590" i="15" s="1"/>
  <c r="Q590" i="15"/>
  <c r="AA590" i="15"/>
  <c r="H592" i="15"/>
  <c r="O592" i="15"/>
  <c r="AA592" i="15" s="1"/>
  <c r="Q592" i="15"/>
  <c r="H593" i="15"/>
  <c r="Q593" i="15"/>
  <c r="H595" i="15"/>
  <c r="O595" i="15"/>
  <c r="Q595" i="15"/>
  <c r="AA595" i="15"/>
  <c r="I596" i="15" s="1"/>
  <c r="O596" i="15" s="1"/>
  <c r="H596" i="15"/>
  <c r="G596" i="15" s="1"/>
  <c r="G1293" i="9" s="1"/>
  <c r="Q596" i="15"/>
  <c r="H598" i="15"/>
  <c r="O598" i="15"/>
  <c r="Q598" i="15"/>
  <c r="AA598" i="15"/>
  <c r="I599" i="15" s="1"/>
  <c r="O599" i="15" s="1"/>
  <c r="H599" i="15"/>
  <c r="G599" i="15" s="1"/>
  <c r="G1299" i="9" s="1"/>
  <c r="Q599" i="15"/>
  <c r="H601" i="15"/>
  <c r="O601" i="15"/>
  <c r="AA601" i="15" s="1"/>
  <c r="Q601" i="15"/>
  <c r="H602" i="15"/>
  <c r="Q602" i="15"/>
  <c r="H604" i="15"/>
  <c r="O604" i="15"/>
  <c r="Q604" i="15"/>
  <c r="AA604" i="15"/>
  <c r="H605" i="15"/>
  <c r="I605" i="15"/>
  <c r="G605" i="15" s="1"/>
  <c r="G1311" i="9" s="1"/>
  <c r="Q605" i="15"/>
  <c r="AA605" i="15"/>
  <c r="H607" i="15"/>
  <c r="O607" i="15"/>
  <c r="Q607" i="15"/>
  <c r="AA607" i="15"/>
  <c r="H608" i="15"/>
  <c r="G608" i="15" s="1"/>
  <c r="G1317" i="9" s="1"/>
  <c r="I608" i="15"/>
  <c r="O608" i="15" s="1"/>
  <c r="Q608" i="15"/>
  <c r="AA608" i="15"/>
  <c r="H610" i="15"/>
  <c r="O610" i="15"/>
  <c r="AA610" i="15" s="1"/>
  <c r="Q610" i="15"/>
  <c r="H611" i="15"/>
  <c r="Q611" i="15"/>
  <c r="H613" i="15"/>
  <c r="O613" i="15"/>
  <c r="Q613" i="15"/>
  <c r="AA613" i="15"/>
  <c r="I614" i="15" s="1"/>
  <c r="H614" i="15"/>
  <c r="Q614" i="15"/>
  <c r="H616" i="15"/>
  <c r="O616" i="15"/>
  <c r="Q616" i="15"/>
  <c r="AA616" i="15"/>
  <c r="I617" i="15" s="1"/>
  <c r="O617" i="15" s="1"/>
  <c r="H617" i="15"/>
  <c r="Q617" i="15"/>
  <c r="H619" i="15"/>
  <c r="O619" i="15"/>
  <c r="AA619" i="15" s="1"/>
  <c r="Q619" i="15"/>
  <c r="H620" i="15"/>
  <c r="Q620" i="15"/>
  <c r="H622" i="15"/>
  <c r="O622" i="15"/>
  <c r="Q622" i="15"/>
  <c r="AA622" i="15"/>
  <c r="H623" i="15"/>
  <c r="I623" i="15"/>
  <c r="G623" i="15" s="1"/>
  <c r="G1347" i="9" s="1"/>
  <c r="Q623" i="15"/>
  <c r="AA623" i="15"/>
  <c r="H625" i="15"/>
  <c r="O625" i="15"/>
  <c r="Q625" i="15"/>
  <c r="AA625" i="15"/>
  <c r="H626" i="15"/>
  <c r="G626" i="15" s="1"/>
  <c r="G1353" i="9" s="1"/>
  <c r="I626" i="15"/>
  <c r="O626" i="15" s="1"/>
  <c r="Q626" i="15"/>
  <c r="AA626" i="15"/>
  <c r="H628" i="15"/>
  <c r="O628" i="15"/>
  <c r="AA628" i="15" s="1"/>
  <c r="Q628" i="15"/>
  <c r="H629" i="15"/>
  <c r="Q629" i="15"/>
  <c r="H631" i="15"/>
  <c r="O631" i="15"/>
  <c r="Q631" i="15"/>
  <c r="AA631" i="15"/>
  <c r="I632" i="15" s="1"/>
  <c r="H632" i="15"/>
  <c r="Q632" i="15"/>
  <c r="H634" i="15"/>
  <c r="O634" i="15"/>
  <c r="Q634" i="15"/>
  <c r="AA634" i="15"/>
  <c r="I635" i="15" s="1"/>
  <c r="O635" i="15" s="1"/>
  <c r="H635" i="15"/>
  <c r="G635" i="15" s="1"/>
  <c r="G1371" i="9" s="1"/>
  <c r="Q635" i="15"/>
  <c r="H637" i="15"/>
  <c r="O637" i="15"/>
  <c r="AA637" i="15" s="1"/>
  <c r="Q637" i="15"/>
  <c r="H638" i="15"/>
  <c r="Q638" i="15"/>
  <c r="H640" i="15"/>
  <c r="O640" i="15"/>
  <c r="Q640" i="15"/>
  <c r="AA640" i="15"/>
  <c r="H641" i="15"/>
  <c r="I641" i="15"/>
  <c r="G641" i="15" s="1"/>
  <c r="G1383" i="9" s="1"/>
  <c r="Q641" i="15"/>
  <c r="AA641" i="15"/>
  <c r="H643" i="15"/>
  <c r="O643" i="15"/>
  <c r="Q643" i="15"/>
  <c r="AA643" i="15"/>
  <c r="H644" i="15"/>
  <c r="G644" i="15" s="1"/>
  <c r="G1389" i="9" s="1"/>
  <c r="I644" i="15"/>
  <c r="O644" i="15" s="1"/>
  <c r="Q644" i="15"/>
  <c r="AA644" i="15"/>
  <c r="H646" i="15"/>
  <c r="O646" i="15"/>
  <c r="AA646" i="15" s="1"/>
  <c r="Q646" i="15"/>
  <c r="H647" i="15"/>
  <c r="Q647" i="15"/>
  <c r="H649" i="15"/>
  <c r="O649" i="15"/>
  <c r="Q649" i="15"/>
  <c r="AA649" i="15"/>
  <c r="I650" i="15" s="1"/>
  <c r="H650" i="15"/>
  <c r="Q650" i="15"/>
  <c r="H652" i="15"/>
  <c r="O652" i="15"/>
  <c r="Q652" i="15"/>
  <c r="AA652" i="15"/>
  <c r="I653" i="15" s="1"/>
  <c r="O653" i="15" s="1"/>
  <c r="H653" i="15"/>
  <c r="Q653" i="15"/>
  <c r="H655" i="15"/>
  <c r="O655" i="15"/>
  <c r="AA655" i="15" s="1"/>
  <c r="Q655" i="15"/>
  <c r="H656" i="15"/>
  <c r="Q656" i="15"/>
  <c r="H658" i="15"/>
  <c r="O658" i="15"/>
  <c r="Q658" i="15"/>
  <c r="AA658" i="15"/>
  <c r="H659" i="15"/>
  <c r="I659" i="15"/>
  <c r="G659" i="15" s="1"/>
  <c r="G1423" i="9" s="1"/>
  <c r="Q659" i="15"/>
  <c r="AA659" i="15"/>
  <c r="H661" i="15"/>
  <c r="O661" i="15"/>
  <c r="Q661" i="15"/>
  <c r="AA661" i="15"/>
  <c r="H662" i="15"/>
  <c r="G662" i="15" s="1"/>
  <c r="G1429" i="9" s="1"/>
  <c r="I662" i="15"/>
  <c r="O662" i="15" s="1"/>
  <c r="Q662" i="15"/>
  <c r="AA662" i="15"/>
  <c r="H664" i="15"/>
  <c r="O664" i="15"/>
  <c r="AA664" i="15" s="1"/>
  <c r="Q664" i="15"/>
  <c r="H665" i="15"/>
  <c r="Q665" i="15"/>
  <c r="H667" i="15"/>
  <c r="O667" i="15"/>
  <c r="Q667" i="15"/>
  <c r="AA667" i="15"/>
  <c r="I668" i="15" s="1"/>
  <c r="H668" i="15"/>
  <c r="Q668" i="15"/>
  <c r="H670" i="15"/>
  <c r="O670" i="15"/>
  <c r="Q670" i="15"/>
  <c r="AA670" i="15"/>
  <c r="I671" i="15" s="1"/>
  <c r="O671" i="15" s="1"/>
  <c r="H671" i="15"/>
  <c r="G671" i="15" s="1"/>
  <c r="G1447" i="9" s="1"/>
  <c r="Q671" i="15"/>
  <c r="H673" i="15"/>
  <c r="O673" i="15"/>
  <c r="AA673" i="15" s="1"/>
  <c r="Q673" i="15"/>
  <c r="H674" i="15"/>
  <c r="Q674" i="15"/>
  <c r="H676" i="15"/>
  <c r="O676" i="15"/>
  <c r="Q676" i="15"/>
  <c r="AA676" i="15"/>
  <c r="H677" i="15"/>
  <c r="I677" i="15"/>
  <c r="G677" i="15" s="1"/>
  <c r="G1459" i="9" s="1"/>
  <c r="Q677" i="15"/>
  <c r="AA677" i="15"/>
  <c r="H679" i="15"/>
  <c r="O679" i="15"/>
  <c r="Q679" i="15"/>
  <c r="AA679" i="15"/>
  <c r="H680" i="15"/>
  <c r="G680" i="15" s="1"/>
  <c r="G1465" i="9" s="1"/>
  <c r="I680" i="15"/>
  <c r="O680" i="15" s="1"/>
  <c r="Q680" i="15"/>
  <c r="AA680" i="15"/>
  <c r="H682" i="15"/>
  <c r="O682" i="15"/>
  <c r="AA682" i="15" s="1"/>
  <c r="Q682" i="15"/>
  <c r="H683" i="15"/>
  <c r="Q683" i="15"/>
  <c r="H685" i="15"/>
  <c r="O685" i="15"/>
  <c r="Q685" i="15"/>
  <c r="AA685" i="15"/>
  <c r="I686" i="15" s="1"/>
  <c r="H686" i="15"/>
  <c r="Q686" i="15"/>
  <c r="H688" i="15"/>
  <c r="O688" i="15"/>
  <c r="Q688" i="15"/>
  <c r="AH688" i="15"/>
  <c r="I689" i="15" s="1"/>
  <c r="O689" i="15" s="1"/>
  <c r="H689" i="15"/>
  <c r="Q689" i="15"/>
  <c r="H691" i="15"/>
  <c r="O691" i="15"/>
  <c r="AH691" i="15" s="1"/>
  <c r="Q691" i="15"/>
  <c r="H692" i="15"/>
  <c r="Q692" i="15"/>
  <c r="H694" i="15"/>
  <c r="O694" i="15"/>
  <c r="Q694" i="15"/>
  <c r="AH694" i="15"/>
  <c r="H695" i="15"/>
  <c r="I695" i="15"/>
  <c r="G695" i="15" s="1"/>
  <c r="G1490" i="9" s="1"/>
  <c r="Q695" i="15"/>
  <c r="AH695" i="15"/>
  <c r="H697" i="15"/>
  <c r="O697" i="15"/>
  <c r="Q697" i="15"/>
  <c r="AH697" i="15"/>
  <c r="H698" i="15"/>
  <c r="G698" i="15" s="1"/>
  <c r="G1494" i="9" s="1"/>
  <c r="I698" i="15"/>
  <c r="O698" i="15" s="1"/>
  <c r="Q698" i="15"/>
  <c r="AH698" i="15"/>
  <c r="H338" i="6"/>
  <c r="H6" i="9" s="1"/>
  <c r="I338" i="6"/>
  <c r="K6" i="9" s="1"/>
  <c r="L6" i="9" s="1"/>
  <c r="J338" i="6"/>
  <c r="M6" i="9" s="1"/>
  <c r="N6" i="9" s="1"/>
  <c r="H339" i="6"/>
  <c r="H11" i="9" s="1"/>
  <c r="I339" i="6"/>
  <c r="K11" i="9" s="1"/>
  <c r="L11" i="9" s="1"/>
  <c r="J339" i="6"/>
  <c r="M11" i="9" s="1"/>
  <c r="N11" i="9" s="1"/>
  <c r="H340" i="6"/>
  <c r="I340" i="6"/>
  <c r="J340" i="6"/>
  <c r="H341" i="6"/>
  <c r="H1169" i="10" s="1"/>
  <c r="I341" i="6"/>
  <c r="K1169" i="10" s="1"/>
  <c r="L1169" i="10" s="1"/>
  <c r="J341" i="6"/>
  <c r="M1169" i="10" s="1"/>
  <c r="N1169" i="10" s="1"/>
  <c r="H342" i="6"/>
  <c r="H1499" i="9" s="1"/>
  <c r="I342" i="6"/>
  <c r="K1499" i="9" s="1"/>
  <c r="L1499" i="9" s="1"/>
  <c r="J342" i="6"/>
  <c r="M1499" i="9" s="1"/>
  <c r="H343" i="6"/>
  <c r="H1502" i="9" s="1"/>
  <c r="I343" i="6"/>
  <c r="K1502" i="9" s="1"/>
  <c r="J343" i="6"/>
  <c r="M1502" i="9" s="1"/>
  <c r="N1502" i="9" s="1"/>
  <c r="H344" i="6"/>
  <c r="H1503" i="9" s="1"/>
  <c r="I344" i="6"/>
  <c r="K1503" i="9" s="1"/>
  <c r="L1503" i="9" s="1"/>
  <c r="J344" i="6"/>
  <c r="M1503" i="9" s="1"/>
  <c r="N1503" i="9" s="1"/>
  <c r="I345" i="6"/>
  <c r="L345" i="6" s="1"/>
  <c r="I346" i="6"/>
  <c r="L346" i="6" s="1"/>
  <c r="I347" i="6"/>
  <c r="L347" i="6" s="1"/>
  <c r="I348" i="6"/>
  <c r="L348" i="6" s="1"/>
  <c r="I349" i="6"/>
  <c r="L349" i="6" s="1"/>
  <c r="I350" i="6"/>
  <c r="L350" i="6" s="1"/>
  <c r="I351" i="6"/>
  <c r="L351" i="6"/>
  <c r="I352" i="6"/>
  <c r="L352" i="6" s="1"/>
  <c r="I353" i="6"/>
  <c r="L353" i="6" s="1"/>
  <c r="I354" i="6"/>
  <c r="L354" i="6" s="1"/>
  <c r="I355" i="6"/>
  <c r="L355" i="6" s="1"/>
  <c r="I356" i="6"/>
  <c r="L356" i="6" s="1"/>
  <c r="B25" i="5"/>
  <c r="D25" i="5" s="1"/>
  <c r="B24" i="5"/>
  <c r="D24" i="5" s="1"/>
  <c r="B23" i="5"/>
  <c r="B22" i="5"/>
  <c r="B21" i="5"/>
  <c r="D21" i="5" s="1"/>
  <c r="AE3" i="10"/>
  <c r="AD3" i="10"/>
  <c r="D13" i="5"/>
  <c r="D23" i="5"/>
  <c r="D22" i="5"/>
  <c r="D12" i="5"/>
  <c r="D11" i="5"/>
  <c r="K6" i="3"/>
  <c r="K20" i="3"/>
  <c r="K21" i="3"/>
  <c r="K22" i="3"/>
  <c r="K23" i="3"/>
  <c r="K24" i="3"/>
  <c r="P1003" i="10" l="1"/>
  <c r="P1006" i="10"/>
  <c r="P1011" i="10"/>
  <c r="P1019" i="10"/>
  <c r="P1020" i="10"/>
  <c r="P1022" i="10"/>
  <c r="P1027" i="10"/>
  <c r="P1029" i="10"/>
  <c r="P1032" i="10"/>
  <c r="P1034" i="10"/>
  <c r="P1039" i="10"/>
  <c r="P1043" i="10"/>
  <c r="P1044" i="10"/>
  <c r="P1046" i="10"/>
  <c r="L1095" i="10"/>
  <c r="K213" i="11" s="1"/>
  <c r="L213" i="11" s="1"/>
  <c r="N1095" i="10"/>
  <c r="M213" i="11" s="1"/>
  <c r="N213" i="11" s="1"/>
  <c r="L1121" i="10"/>
  <c r="K214" i="11" s="1"/>
  <c r="L214" i="11" s="1"/>
  <c r="N1121" i="10"/>
  <c r="M214" i="11" s="1"/>
  <c r="N214" i="11" s="1"/>
  <c r="L1147" i="10"/>
  <c r="K215" i="11" s="1"/>
  <c r="L215" i="11" s="1"/>
  <c r="P1161" i="10"/>
  <c r="O1280" i="9"/>
  <c r="O644" i="10"/>
  <c r="P700" i="10"/>
  <c r="O701" i="10"/>
  <c r="P701" i="10"/>
  <c r="P702" i="10"/>
  <c r="P979" i="10"/>
  <c r="O979" i="10"/>
  <c r="P999" i="10"/>
  <c r="P1002" i="9"/>
  <c r="P1124" i="9"/>
  <c r="P1136" i="9"/>
  <c r="P1142" i="9"/>
  <c r="P1148" i="9"/>
  <c r="P1155" i="9"/>
  <c r="P1161" i="9"/>
  <c r="P1167" i="9"/>
  <c r="P1173" i="9"/>
  <c r="P1191" i="9"/>
  <c r="P1198" i="9"/>
  <c r="O1208" i="9"/>
  <c r="P1210" i="9"/>
  <c r="P1216" i="9"/>
  <c r="P1234" i="9"/>
  <c r="P1238" i="9"/>
  <c r="P1246" i="9"/>
  <c r="P1010" i="9"/>
  <c r="P1016" i="9"/>
  <c r="P1018" i="9"/>
  <c r="P1024" i="9"/>
  <c r="P1032" i="9"/>
  <c r="P1034" i="9"/>
  <c r="P1042" i="9"/>
  <c r="P1050" i="9"/>
  <c r="P1056" i="9"/>
  <c r="P1064" i="9"/>
  <c r="P1070" i="9"/>
  <c r="P1076" i="9"/>
  <c r="P1088" i="9"/>
  <c r="P1100" i="9"/>
  <c r="P1106" i="9"/>
  <c r="P1112" i="9"/>
  <c r="O1244" i="9"/>
  <c r="P1274" i="9"/>
  <c r="P1286" i="9"/>
  <c r="P1306" i="9"/>
  <c r="P1312" i="9"/>
  <c r="O1316" i="9"/>
  <c r="P1318" i="9"/>
  <c r="P1324" i="9"/>
  <c r="P1342" i="9"/>
  <c r="P1346" i="9"/>
  <c r="P1348" i="9"/>
  <c r="O1352" i="9"/>
  <c r="P1354" i="9"/>
  <c r="P1358" i="9"/>
  <c r="P1378" i="9"/>
  <c r="P1384" i="9"/>
  <c r="O1388" i="9"/>
  <c r="P1406" i="9"/>
  <c r="O1406" i="9"/>
  <c r="P1408" i="9"/>
  <c r="O1412" i="9"/>
  <c r="P1424" i="9"/>
  <c r="P1430" i="9"/>
  <c r="P1436" i="9"/>
  <c r="P1446" i="9"/>
  <c r="P1448" i="9"/>
  <c r="P1464" i="9"/>
  <c r="P1466" i="9"/>
  <c r="P1470" i="9"/>
  <c r="P1495" i="9"/>
  <c r="P1501" i="9"/>
  <c r="P81" i="9"/>
  <c r="P92" i="9"/>
  <c r="P103" i="9"/>
  <c r="P114" i="9"/>
  <c r="P137" i="9"/>
  <c r="P149" i="9"/>
  <c r="P161" i="9"/>
  <c r="P248" i="9"/>
  <c r="P258" i="9"/>
  <c r="P269" i="9"/>
  <c r="P274" i="9"/>
  <c r="P298" i="9"/>
  <c r="P430" i="9"/>
  <c r="P514" i="9"/>
  <c r="P300" i="9"/>
  <c r="P308" i="9"/>
  <c r="P322" i="9"/>
  <c r="P324" i="9"/>
  <c r="P330" i="9"/>
  <c r="P332" i="9"/>
  <c r="P340" i="9"/>
  <c r="P355" i="9"/>
  <c r="P358" i="9"/>
  <c r="P364" i="9"/>
  <c r="P367" i="9"/>
  <c r="P376" i="9"/>
  <c r="P390" i="9"/>
  <c r="P404" i="9"/>
  <c r="P411" i="9"/>
  <c r="P538" i="9"/>
  <c r="P584" i="9"/>
  <c r="P605" i="9"/>
  <c r="P612" i="9"/>
  <c r="P619" i="9"/>
  <c r="P647" i="9"/>
  <c r="P654" i="9"/>
  <c r="P661" i="9"/>
  <c r="P668" i="9"/>
  <c r="P689" i="9"/>
  <c r="P696" i="9"/>
  <c r="P703" i="9"/>
  <c r="P710" i="9"/>
  <c r="P731" i="9"/>
  <c r="P738" i="9"/>
  <c r="P745" i="9"/>
  <c r="P773" i="9"/>
  <c r="P780" i="9"/>
  <c r="P787" i="9"/>
  <c r="P842" i="9"/>
  <c r="P848" i="9"/>
  <c r="P854" i="9"/>
  <c r="P878" i="9"/>
  <c r="P884" i="9"/>
  <c r="P891" i="9"/>
  <c r="P898" i="9"/>
  <c r="P904" i="9"/>
  <c r="P910" i="9"/>
  <c r="P916" i="9"/>
  <c r="P929" i="9"/>
  <c r="P942" i="9"/>
  <c r="P960" i="9"/>
  <c r="P966" i="9"/>
  <c r="P972" i="9"/>
  <c r="P978" i="9"/>
  <c r="G12" i="15"/>
  <c r="G40" i="9" s="1"/>
  <c r="G30" i="15"/>
  <c r="G102" i="9" s="1"/>
  <c r="I60" i="15"/>
  <c r="G66" i="15"/>
  <c r="G196" i="9" s="1"/>
  <c r="G77" i="15"/>
  <c r="G211" i="9" s="1"/>
  <c r="G79" i="15"/>
  <c r="G213" i="9" s="1"/>
  <c r="G126" i="15"/>
  <c r="G307" i="9" s="1"/>
  <c r="G194" i="15"/>
  <c r="G453" i="9" s="1"/>
  <c r="G212" i="15"/>
  <c r="G489" i="9" s="1"/>
  <c r="G230" i="15"/>
  <c r="G525" i="9" s="1"/>
  <c r="G248" i="15"/>
  <c r="G562" i="9" s="1"/>
  <c r="G266" i="15"/>
  <c r="G604" i="9" s="1"/>
  <c r="G284" i="15"/>
  <c r="G646" i="9" s="1"/>
  <c r="G302" i="15"/>
  <c r="G688" i="9" s="1"/>
  <c r="G320" i="15"/>
  <c r="G730" i="9" s="1"/>
  <c r="G338" i="15"/>
  <c r="G772" i="9" s="1"/>
  <c r="G373" i="15"/>
  <c r="G847" i="9" s="1"/>
  <c r="G391" i="15"/>
  <c r="G883" i="9" s="1"/>
  <c r="G422" i="15"/>
  <c r="G934" i="9" s="1"/>
  <c r="L1504" i="9"/>
  <c r="K220" i="12" s="1"/>
  <c r="L340" i="6"/>
  <c r="N1504" i="9"/>
  <c r="M220" i="12" s="1"/>
  <c r="G530" i="15"/>
  <c r="G1160" i="9" s="1"/>
  <c r="O530" i="15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L47" i="6" s="1"/>
  <c r="H48" i="6"/>
  <c r="H458" i="9" s="1"/>
  <c r="H49" i="6"/>
  <c r="H464" i="9" s="1"/>
  <c r="H50" i="6"/>
  <c r="H470" i="9" s="1"/>
  <c r="H51" i="6"/>
  <c r="H476" i="9" s="1"/>
  <c r="H52" i="6"/>
  <c r="H53" i="6"/>
  <c r="H488" i="9" s="1"/>
  <c r="H54" i="6"/>
  <c r="H848" i="10" s="1"/>
  <c r="H55" i="6"/>
  <c r="H849" i="10" s="1"/>
  <c r="H56" i="6"/>
  <c r="H850" i="10" s="1"/>
  <c r="H57" i="6"/>
  <c r="H851" i="10" s="1"/>
  <c r="H58" i="6"/>
  <c r="H59" i="6"/>
  <c r="H853" i="10" s="1"/>
  <c r="H60" i="6"/>
  <c r="H500" i="9" s="1"/>
  <c r="H61" i="6"/>
  <c r="H506" i="9" s="1"/>
  <c r="H62" i="6"/>
  <c r="H512" i="9" s="1"/>
  <c r="H63" i="6"/>
  <c r="H518" i="9" s="1"/>
  <c r="H64" i="6"/>
  <c r="H65" i="6"/>
  <c r="H945" i="10" s="1"/>
  <c r="H66" i="6"/>
  <c r="H946" i="10" s="1"/>
  <c r="H67" i="6"/>
  <c r="H68" i="6"/>
  <c r="H69" i="6"/>
  <c r="H70" i="6"/>
  <c r="L70" i="6" s="1"/>
  <c r="H71" i="6"/>
  <c r="H524" i="9" s="1"/>
  <c r="H72" i="6"/>
  <c r="H530" i="9" s="1"/>
  <c r="H73" i="6"/>
  <c r="H536" i="9" s="1"/>
  <c r="H74" i="6"/>
  <c r="H951" i="10" s="1"/>
  <c r="H75" i="6"/>
  <c r="H76" i="6"/>
  <c r="H77" i="6"/>
  <c r="H78" i="6"/>
  <c r="H135" i="9" s="1"/>
  <c r="H79" i="6"/>
  <c r="H147" i="9" s="1"/>
  <c r="H80" i="6"/>
  <c r="H159" i="9" s="1"/>
  <c r="H81" i="6"/>
  <c r="H82" i="6"/>
  <c r="H83" i="6"/>
  <c r="H84" i="6"/>
  <c r="H35" i="9" s="1"/>
  <c r="H85" i="6"/>
  <c r="H45" i="9" s="1"/>
  <c r="H86" i="6"/>
  <c r="H55" i="9" s="1"/>
  <c r="H87" i="6"/>
  <c r="H88" i="6"/>
  <c r="H89" i="6"/>
  <c r="H90" i="6"/>
  <c r="L90" i="6" s="1"/>
  <c r="H91" i="6"/>
  <c r="H92" i="6"/>
  <c r="H93" i="6"/>
  <c r="L93" i="6" s="1"/>
  <c r="H94" i="6"/>
  <c r="L94" i="6" s="1"/>
  <c r="H95" i="6"/>
  <c r="H96" i="6"/>
  <c r="L96" i="6" s="1"/>
  <c r="H97" i="6"/>
  <c r="H98" i="6"/>
  <c r="H99" i="6"/>
  <c r="L99" i="6" s="1"/>
  <c r="H100" i="6"/>
  <c r="L100" i="6" s="1"/>
  <c r="H101" i="6"/>
  <c r="H102" i="6"/>
  <c r="L102" i="6" s="1"/>
  <c r="H103" i="6"/>
  <c r="H104" i="6"/>
  <c r="H105" i="6"/>
  <c r="L105" i="6" s="1"/>
  <c r="H106" i="6"/>
  <c r="L106" i="6" s="1"/>
  <c r="H107" i="6"/>
  <c r="H108" i="6"/>
  <c r="L108" i="6" s="1"/>
  <c r="H109" i="6"/>
  <c r="H110" i="6"/>
  <c r="H111" i="6"/>
  <c r="L111" i="6" s="1"/>
  <c r="H112" i="6"/>
  <c r="H700" i="9" s="1"/>
  <c r="H113" i="6"/>
  <c r="H114" i="6"/>
  <c r="L114" i="6" s="1"/>
  <c r="H115" i="6"/>
  <c r="H116" i="6"/>
  <c r="H117" i="6"/>
  <c r="H118" i="6"/>
  <c r="L118" i="6" s="1"/>
  <c r="H119" i="6"/>
  <c r="H120" i="6"/>
  <c r="L120" i="6" s="1"/>
  <c r="H121" i="6"/>
  <c r="H122" i="6"/>
  <c r="H123" i="6"/>
  <c r="H124" i="6"/>
  <c r="L124" i="6" s="1"/>
  <c r="H125" i="6"/>
  <c r="H126" i="6"/>
  <c r="L126" i="6" s="1"/>
  <c r="H127" i="6"/>
  <c r="H128" i="6"/>
  <c r="H129" i="6"/>
  <c r="H130" i="6"/>
  <c r="L130" i="6" s="1"/>
  <c r="H131" i="6"/>
  <c r="H132" i="6"/>
  <c r="H840" i="9" s="1"/>
  <c r="H133" i="6"/>
  <c r="H134" i="6"/>
  <c r="H852" i="9" s="1"/>
  <c r="H135" i="6"/>
  <c r="H136" i="6"/>
  <c r="H137" i="6"/>
  <c r="H138" i="6"/>
  <c r="H876" i="9" s="1"/>
  <c r="H139" i="6"/>
  <c r="H140" i="6"/>
  <c r="H141" i="6"/>
  <c r="H142" i="6"/>
  <c r="H143" i="6"/>
  <c r="H144" i="6"/>
  <c r="H145" i="6"/>
  <c r="H146" i="6"/>
  <c r="H914" i="9" s="1"/>
  <c r="H147" i="6"/>
  <c r="H148" i="6"/>
  <c r="H149" i="6"/>
  <c r="H150" i="6"/>
  <c r="H151" i="6"/>
  <c r="H152" i="6"/>
  <c r="H940" i="9" s="1"/>
  <c r="H153" i="6"/>
  <c r="H154" i="6"/>
  <c r="H155" i="6"/>
  <c r="H156" i="6"/>
  <c r="H157" i="6"/>
  <c r="H158" i="6"/>
  <c r="H976" i="9" s="1"/>
  <c r="H159" i="6"/>
  <c r="H160" i="6"/>
  <c r="H161" i="6"/>
  <c r="H162" i="6"/>
  <c r="H163" i="6"/>
  <c r="H164" i="6"/>
  <c r="H189" i="9" s="1"/>
  <c r="H165" i="6"/>
  <c r="H166" i="6"/>
  <c r="H167" i="6"/>
  <c r="H168" i="6"/>
  <c r="L168" i="6" s="1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L199" i="6" s="1"/>
  <c r="H200" i="6"/>
  <c r="L200" i="6" s="1"/>
  <c r="H201" i="6"/>
  <c r="L201" i="6" s="1"/>
  <c r="H202" i="6"/>
  <c r="H203" i="6"/>
  <c r="H1068" i="9" s="1"/>
  <c r="H204" i="6"/>
  <c r="H1074" i="9" s="1"/>
  <c r="H205" i="6"/>
  <c r="H1080" i="9" s="1"/>
  <c r="H206" i="6"/>
  <c r="H1086" i="9" s="1"/>
  <c r="H207" i="6"/>
  <c r="H1092" i="9" s="1"/>
  <c r="H208" i="6"/>
  <c r="H209" i="6"/>
  <c r="H1104" i="9" s="1"/>
  <c r="H210" i="6"/>
  <c r="H1110" i="9" s="1"/>
  <c r="H211" i="6"/>
  <c r="H1116" i="9" s="1"/>
  <c r="H212" i="6"/>
  <c r="H1122" i="9" s="1"/>
  <c r="H213" i="6"/>
  <c r="H1128" i="9" s="1"/>
  <c r="H214" i="6"/>
  <c r="H215" i="6"/>
  <c r="H1140" i="9" s="1"/>
  <c r="H216" i="6"/>
  <c r="H1146" i="9" s="1"/>
  <c r="H217" i="6"/>
  <c r="H1152" i="9" s="1"/>
  <c r="H218" i="6"/>
  <c r="H385" i="10" s="1"/>
  <c r="H219" i="6"/>
  <c r="H220" i="6"/>
  <c r="H221" i="6"/>
  <c r="H222" i="6"/>
  <c r="H1165" i="9" s="1"/>
  <c r="H223" i="6"/>
  <c r="H695" i="10" s="1"/>
  <c r="H224" i="6"/>
  <c r="H696" i="10" s="1"/>
  <c r="H225" i="6"/>
  <c r="H226" i="6"/>
  <c r="H227" i="6"/>
  <c r="H228" i="6"/>
  <c r="H1074" i="10" s="1"/>
  <c r="H229" i="6"/>
  <c r="H1075" i="10" s="1"/>
  <c r="H230" i="6"/>
  <c r="H1076" i="10" s="1"/>
  <c r="H231" i="6"/>
  <c r="H232" i="6"/>
  <c r="L232" i="6" s="1"/>
  <c r="H233" i="6"/>
  <c r="L233" i="6" s="1"/>
  <c r="H234" i="6"/>
  <c r="H235" i="6"/>
  <c r="H1001" i="10" s="1"/>
  <c r="H236" i="6"/>
  <c r="H1002" i="10" s="1"/>
  <c r="H237" i="6"/>
  <c r="H238" i="6"/>
  <c r="H239" i="6"/>
  <c r="H240" i="6"/>
  <c r="H1125" i="10" s="1"/>
  <c r="H241" i="6"/>
  <c r="H1189" i="9" s="1"/>
  <c r="H242" i="6"/>
  <c r="H436" i="10" s="1"/>
  <c r="H243" i="6"/>
  <c r="H244" i="6"/>
  <c r="L244" i="6" s="1"/>
  <c r="H245" i="6"/>
  <c r="L245" i="6" s="1"/>
  <c r="H246" i="6"/>
  <c r="H609" i="10" s="1"/>
  <c r="H247" i="6"/>
  <c r="L247" i="6" s="1"/>
  <c r="H248" i="6"/>
  <c r="H441" i="10" s="1"/>
  <c r="H249" i="6"/>
  <c r="H250" i="6"/>
  <c r="H251" i="6"/>
  <c r="H252" i="6"/>
  <c r="L252" i="6" s="1"/>
  <c r="H253" i="6"/>
  <c r="H1151" i="10" s="1"/>
  <c r="H254" i="6"/>
  <c r="H1152" i="10" s="1"/>
  <c r="H255" i="6"/>
  <c r="H256" i="6"/>
  <c r="H257" i="6"/>
  <c r="H258" i="6"/>
  <c r="H1156" i="10" s="1"/>
  <c r="H259" i="6"/>
  <c r="H1157" i="10" s="1"/>
  <c r="H260" i="6"/>
  <c r="H1158" i="10" s="1"/>
  <c r="H261" i="6"/>
  <c r="H262" i="6"/>
  <c r="H263" i="6"/>
  <c r="H264" i="6"/>
  <c r="H1163" i="10" s="1"/>
  <c r="H265" i="6"/>
  <c r="H1164" i="10" s="1"/>
  <c r="H266" i="6"/>
  <c r="H1166" i="10" s="1"/>
  <c r="H267" i="6"/>
  <c r="H268" i="6"/>
  <c r="H269" i="6"/>
  <c r="H270" i="6"/>
  <c r="H646" i="10" s="1"/>
  <c r="H271" i="6"/>
  <c r="L271" i="6" s="1"/>
  <c r="H272" i="6"/>
  <c r="L272" i="6" s="1"/>
  <c r="H273" i="6"/>
  <c r="L273" i="6" s="1"/>
  <c r="H274" i="6"/>
  <c r="L274" i="6" s="1"/>
  <c r="H275" i="6"/>
  <c r="L275" i="6" s="1"/>
  <c r="H276" i="6"/>
  <c r="L276" i="6" s="1"/>
  <c r="H277" i="6"/>
  <c r="L277" i="6" s="1"/>
  <c r="H278" i="6"/>
  <c r="L278" i="6" s="1"/>
  <c r="H279" i="6"/>
  <c r="L279" i="6" s="1"/>
  <c r="H280" i="6"/>
  <c r="L280" i="6" s="1"/>
  <c r="H281" i="6"/>
  <c r="H282" i="6"/>
  <c r="AB1202" i="9" s="1"/>
  <c r="H283" i="6"/>
  <c r="H284" i="6"/>
  <c r="AB1214" i="9" s="1"/>
  <c r="H285" i="6"/>
  <c r="H286" i="6"/>
  <c r="H287" i="6"/>
  <c r="H288" i="6"/>
  <c r="AB1238" i="9" s="1"/>
  <c r="H289" i="6"/>
  <c r="H290" i="6"/>
  <c r="AB1250" i="9" s="1"/>
  <c r="H291" i="6"/>
  <c r="H292" i="6"/>
  <c r="H293" i="6"/>
  <c r="H294" i="6"/>
  <c r="H295" i="6"/>
  <c r="H296" i="6"/>
  <c r="AB1286" i="9" s="1"/>
  <c r="H297" i="6"/>
  <c r="H298" i="6"/>
  <c r="H299" i="6"/>
  <c r="H300" i="6"/>
  <c r="H301" i="6"/>
  <c r="H302" i="6"/>
  <c r="AB1322" i="9" s="1"/>
  <c r="H303" i="6"/>
  <c r="H304" i="6"/>
  <c r="H305" i="6"/>
  <c r="H306" i="6"/>
  <c r="H307" i="6"/>
  <c r="H308" i="6"/>
  <c r="AB1358" i="9" s="1"/>
  <c r="H309" i="6"/>
  <c r="H310" i="6"/>
  <c r="L310" i="6" s="1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L325" i="6" s="1"/>
  <c r="H326" i="6"/>
  <c r="L326" i="6" s="1"/>
  <c r="H327" i="6"/>
  <c r="L327" i="6" s="1"/>
  <c r="H328" i="6"/>
  <c r="H329" i="6"/>
  <c r="H330" i="6"/>
  <c r="H331" i="6"/>
  <c r="H332" i="6"/>
  <c r="H333" i="6"/>
  <c r="H334" i="6"/>
  <c r="H335" i="6"/>
  <c r="H336" i="6"/>
  <c r="H337" i="6"/>
  <c r="O80" i="16"/>
  <c r="P80" i="16" s="1"/>
  <c r="J82" i="16"/>
  <c r="O25" i="16"/>
  <c r="P25" i="16" s="1"/>
  <c r="I835" i="9"/>
  <c r="N835" i="9"/>
  <c r="N837" i="9" s="1"/>
  <c r="M111" i="12" s="1"/>
  <c r="N111" i="12" s="1"/>
  <c r="I683" i="15"/>
  <c r="AA683" i="15"/>
  <c r="I611" i="15"/>
  <c r="AA611" i="15"/>
  <c r="N1197" i="9"/>
  <c r="N1199" i="9" s="1"/>
  <c r="M168" i="12" s="1"/>
  <c r="N168" i="12" s="1"/>
  <c r="M978" i="10" s="1"/>
  <c r="N978" i="10" s="1"/>
  <c r="I1197" i="9"/>
  <c r="G527" i="15"/>
  <c r="G1154" i="9" s="1"/>
  <c r="O527" i="15"/>
  <c r="I504" i="15"/>
  <c r="AA504" i="15"/>
  <c r="AA498" i="15"/>
  <c r="I498" i="15"/>
  <c r="I438" i="15"/>
  <c r="AB438" i="15"/>
  <c r="G396" i="15"/>
  <c r="G890" i="9" s="1"/>
  <c r="O396" i="15"/>
  <c r="G361" i="15"/>
  <c r="G822" i="9" s="1"/>
  <c r="O361" i="15"/>
  <c r="G332" i="15"/>
  <c r="G758" i="9" s="1"/>
  <c r="G326" i="15"/>
  <c r="G744" i="9" s="1"/>
  <c r="O326" i="15"/>
  <c r="I293" i="15"/>
  <c r="O293" i="15" s="1"/>
  <c r="AB293" i="15"/>
  <c r="G281" i="15"/>
  <c r="G639" i="9" s="1"/>
  <c r="G224" i="15"/>
  <c r="G513" i="9" s="1"/>
  <c r="G218" i="15"/>
  <c r="G501" i="9" s="1"/>
  <c r="O218" i="15"/>
  <c r="N1311" i="9"/>
  <c r="N1313" i="9" s="1"/>
  <c r="M187" i="12" s="1"/>
  <c r="N187" i="12" s="1"/>
  <c r="M272" i="10" s="1"/>
  <c r="N272" i="10" s="1"/>
  <c r="I1311" i="9"/>
  <c r="I1263" i="9"/>
  <c r="N1263" i="9"/>
  <c r="N1184" i="9"/>
  <c r="I1184" i="9"/>
  <c r="I1160" i="9"/>
  <c r="N1160" i="9"/>
  <c r="I1081" i="9"/>
  <c r="L1081" i="9"/>
  <c r="L1083" i="9" s="1"/>
  <c r="K149" i="12" s="1"/>
  <c r="L149" i="12" s="1"/>
  <c r="K383" i="10" s="1"/>
  <c r="L383" i="10" s="1"/>
  <c r="AE383" i="10" s="1"/>
  <c r="N1081" i="9"/>
  <c r="G483" i="15"/>
  <c r="G1069" i="9" s="1"/>
  <c r="O483" i="15"/>
  <c r="AA477" i="15"/>
  <c r="I477" i="15"/>
  <c r="G413" i="15"/>
  <c r="G921" i="9" s="1"/>
  <c r="O413" i="15"/>
  <c r="AA407" i="15"/>
  <c r="I407" i="15"/>
  <c r="O407" i="15" s="1"/>
  <c r="AA269" i="15"/>
  <c r="I269" i="15"/>
  <c r="O269" i="15" s="1"/>
  <c r="N465" i="9"/>
  <c r="N467" i="9" s="1"/>
  <c r="M56" i="12" s="1"/>
  <c r="N56" i="12" s="1"/>
  <c r="M605" i="10" s="1"/>
  <c r="N605" i="10" s="1"/>
  <c r="I465" i="9"/>
  <c r="I1459" i="9"/>
  <c r="N1459" i="9"/>
  <c r="N1461" i="9" s="1"/>
  <c r="M212" i="12" s="1"/>
  <c r="N212" i="12" s="1"/>
  <c r="I1299" i="9"/>
  <c r="N1299" i="9"/>
  <c r="G632" i="15"/>
  <c r="G1365" i="9" s="1"/>
  <c r="O632" i="15"/>
  <c r="G536" i="15"/>
  <c r="G1172" i="9" s="1"/>
  <c r="O536" i="15"/>
  <c r="I444" i="15"/>
  <c r="O444" i="15" s="1"/>
  <c r="AB444" i="15"/>
  <c r="AH400" i="15"/>
  <c r="I401" i="15"/>
  <c r="O401" i="15" s="1"/>
  <c r="G314" i="15"/>
  <c r="G716" i="9" s="1"/>
  <c r="G308" i="15"/>
  <c r="G702" i="9" s="1"/>
  <c r="O308" i="15"/>
  <c r="I275" i="15"/>
  <c r="O275" i="15" s="1"/>
  <c r="AA275" i="15"/>
  <c r="G263" i="15"/>
  <c r="G597" i="9" s="1"/>
  <c r="AA459" i="15"/>
  <c r="I459" i="15"/>
  <c r="G344" i="15"/>
  <c r="G786" i="9" s="1"/>
  <c r="O344" i="15"/>
  <c r="AA656" i="15"/>
  <c r="I656" i="15"/>
  <c r="I665" i="15"/>
  <c r="AA665" i="15"/>
  <c r="I593" i="15"/>
  <c r="AA593" i="15"/>
  <c r="I575" i="15"/>
  <c r="AA575" i="15"/>
  <c r="I1129" i="9"/>
  <c r="N1129" i="9"/>
  <c r="I450" i="15"/>
  <c r="AB450" i="15"/>
  <c r="I959" i="9"/>
  <c r="N959" i="9"/>
  <c r="N961" i="9" s="1"/>
  <c r="M131" i="12" s="1"/>
  <c r="N131" i="12" s="1"/>
  <c r="M678" i="10" s="1"/>
  <c r="N678" i="10" s="1"/>
  <c r="G429" i="15"/>
  <c r="G947" i="9" s="1"/>
  <c r="O429" i="15"/>
  <c r="AA251" i="15"/>
  <c r="I251" i="15"/>
  <c r="O251" i="15" s="1"/>
  <c r="I522" i="15"/>
  <c r="AA522" i="15"/>
  <c r="G407" i="15"/>
  <c r="G909" i="9" s="1"/>
  <c r="N1423" i="9"/>
  <c r="N1425" i="9" s="1"/>
  <c r="M206" i="12" s="1"/>
  <c r="N206" i="12" s="1"/>
  <c r="M333" i="10" s="1"/>
  <c r="N333" i="10" s="1"/>
  <c r="I1423" i="9"/>
  <c r="I1425" i="9" s="1"/>
  <c r="G653" i="15"/>
  <c r="G1407" i="9" s="1"/>
  <c r="AA638" i="15"/>
  <c r="I638" i="15"/>
  <c r="G563" i="15"/>
  <c r="G1227" i="9" s="1"/>
  <c r="G526" i="15"/>
  <c r="G1153" i="9" s="1"/>
  <c r="O526" i="15"/>
  <c r="G519" i="15"/>
  <c r="G1141" i="9" s="1"/>
  <c r="O519" i="15"/>
  <c r="G507" i="15"/>
  <c r="G1117" i="9" s="1"/>
  <c r="G474" i="15"/>
  <c r="G1049" i="9" s="1"/>
  <c r="I456" i="15"/>
  <c r="O456" i="15" s="1"/>
  <c r="AB456" i="15"/>
  <c r="G404" i="15"/>
  <c r="G903" i="9" s="1"/>
  <c r="G388" i="15"/>
  <c r="G877" i="9" s="1"/>
  <c r="G296" i="15"/>
  <c r="G674" i="9" s="1"/>
  <c r="G290" i="15"/>
  <c r="G660" i="9" s="1"/>
  <c r="O290" i="15"/>
  <c r="I257" i="15"/>
  <c r="AA257" i="15"/>
  <c r="G245" i="15"/>
  <c r="G555" i="9" s="1"/>
  <c r="I206" i="15"/>
  <c r="AA206" i="15"/>
  <c r="O940" i="9"/>
  <c r="I940" i="9"/>
  <c r="G686" i="15"/>
  <c r="G1477" i="9" s="1"/>
  <c r="O686" i="15"/>
  <c r="G614" i="15"/>
  <c r="G1329" i="9" s="1"/>
  <c r="O614" i="15"/>
  <c r="AA587" i="15"/>
  <c r="I587" i="15"/>
  <c r="AA569" i="15"/>
  <c r="I569" i="15"/>
  <c r="G501" i="15"/>
  <c r="G1105" i="9" s="1"/>
  <c r="O501" i="15"/>
  <c r="AA495" i="15"/>
  <c r="I495" i="15"/>
  <c r="AH417" i="15"/>
  <c r="I418" i="15"/>
  <c r="O418" i="15" s="1"/>
  <c r="I400" i="15"/>
  <c r="O400" i="15" s="1"/>
  <c r="AA400" i="15"/>
  <c r="I395" i="15"/>
  <c r="AA395" i="15"/>
  <c r="G370" i="15"/>
  <c r="G841" i="9" s="1"/>
  <c r="G364" i="15"/>
  <c r="G829" i="9" s="1"/>
  <c r="G353" i="15"/>
  <c r="G807" i="9" s="1"/>
  <c r="G347" i="15"/>
  <c r="G793" i="9" s="1"/>
  <c r="AA233" i="15"/>
  <c r="I233" i="15"/>
  <c r="N1447" i="9"/>
  <c r="N1449" i="9" s="1"/>
  <c r="M210" i="12" s="1"/>
  <c r="N210" i="12" s="1"/>
  <c r="I1447" i="9"/>
  <c r="I647" i="15"/>
  <c r="AA647" i="15"/>
  <c r="I557" i="15"/>
  <c r="AA557" i="15"/>
  <c r="I468" i="15"/>
  <c r="AA468" i="15"/>
  <c r="AA462" i="15"/>
  <c r="I462" i="15"/>
  <c r="O462" i="15" s="1"/>
  <c r="AH422" i="15"/>
  <c r="I423" i="15"/>
  <c r="O423" i="15" s="1"/>
  <c r="I382" i="15"/>
  <c r="O382" i="15" s="1"/>
  <c r="AA382" i="15"/>
  <c r="AA376" i="15"/>
  <c r="I376" i="15"/>
  <c r="O376" i="15" s="1"/>
  <c r="AB341" i="15"/>
  <c r="I341" i="15"/>
  <c r="N765" i="9"/>
  <c r="N767" i="9" s="1"/>
  <c r="M101" i="12" s="1"/>
  <c r="N101" i="12" s="1"/>
  <c r="I765" i="9"/>
  <c r="G329" i="15"/>
  <c r="G751" i="9" s="1"/>
  <c r="N632" i="9"/>
  <c r="N634" i="9" s="1"/>
  <c r="M82" i="12" s="1"/>
  <c r="N82" i="12" s="1"/>
  <c r="M665" i="10" s="1"/>
  <c r="N665" i="10" s="1"/>
  <c r="I632" i="9"/>
  <c r="G272" i="15"/>
  <c r="G618" i="9" s="1"/>
  <c r="O272" i="15"/>
  <c r="I239" i="15"/>
  <c r="O239" i="15" s="1"/>
  <c r="AA239" i="15"/>
  <c r="I519" i="9"/>
  <c r="N519" i="9"/>
  <c r="N521" i="9" s="1"/>
  <c r="M65" i="12" s="1"/>
  <c r="N65" i="12" s="1"/>
  <c r="M943" i="10" s="1"/>
  <c r="N943" i="10" s="1"/>
  <c r="N800" i="9"/>
  <c r="N802" i="9" s="1"/>
  <c r="M106" i="12" s="1"/>
  <c r="N106" i="12" s="1"/>
  <c r="M719" i="10" s="1"/>
  <c r="N719" i="10" s="1"/>
  <c r="I800" i="9"/>
  <c r="G269" i="15"/>
  <c r="G611" i="9" s="1"/>
  <c r="AH692" i="15"/>
  <c r="I692" i="15"/>
  <c r="N1383" i="9"/>
  <c r="N1385" i="9" s="1"/>
  <c r="M199" i="12" s="1"/>
  <c r="N199" i="12" s="1"/>
  <c r="M865" i="10" s="1"/>
  <c r="N865" i="10" s="1"/>
  <c r="I1383" i="9"/>
  <c r="I1371" i="9"/>
  <c r="I1373" i="9" s="1"/>
  <c r="N1371" i="9"/>
  <c r="N1373" i="9" s="1"/>
  <c r="M197" i="12" s="1"/>
  <c r="N197" i="12" s="1"/>
  <c r="AA620" i="15"/>
  <c r="I620" i="15"/>
  <c r="I1293" i="9"/>
  <c r="I1295" i="9" s="1"/>
  <c r="N1293" i="9"/>
  <c r="I1257" i="9"/>
  <c r="I1259" i="9" s="1"/>
  <c r="N1257" i="9"/>
  <c r="N1190" i="9"/>
  <c r="N1192" i="9" s="1"/>
  <c r="M167" i="12" s="1"/>
  <c r="N167" i="12" s="1"/>
  <c r="M388" i="10" s="1"/>
  <c r="N388" i="10" s="1"/>
  <c r="I1190" i="9"/>
  <c r="I995" i="9"/>
  <c r="N995" i="9"/>
  <c r="N997" i="9" s="1"/>
  <c r="M137" i="12" s="1"/>
  <c r="N137" i="12" s="1"/>
  <c r="M682" i="10" s="1"/>
  <c r="N682" i="10" s="1"/>
  <c r="G447" i="15"/>
  <c r="G983" i="9" s="1"/>
  <c r="O447" i="15"/>
  <c r="AB441" i="15"/>
  <c r="I441" i="15"/>
  <c r="I364" i="15"/>
  <c r="O364" i="15" s="1"/>
  <c r="AF364" i="15"/>
  <c r="I814" i="9"/>
  <c r="N814" i="9"/>
  <c r="I347" i="15"/>
  <c r="O347" i="15" s="1"/>
  <c r="AB347" i="15"/>
  <c r="I323" i="15"/>
  <c r="O323" i="15" s="1"/>
  <c r="AB323" i="15"/>
  <c r="I215" i="15"/>
  <c r="O215" i="15" s="1"/>
  <c r="AA215" i="15"/>
  <c r="I432" i="15"/>
  <c r="AB432" i="15"/>
  <c r="G379" i="15"/>
  <c r="G859" i="9" s="1"/>
  <c r="O379" i="15"/>
  <c r="AA287" i="15"/>
  <c r="I287" i="15"/>
  <c r="O287" i="15" s="1"/>
  <c r="G668" i="15"/>
  <c r="G1441" i="9" s="1"/>
  <c r="O668" i="15"/>
  <c r="AA551" i="15"/>
  <c r="I551" i="15"/>
  <c r="I480" i="15"/>
  <c r="O480" i="15" s="1"/>
  <c r="AA480" i="15"/>
  <c r="AC417" i="15"/>
  <c r="I417" i="15"/>
  <c r="O417" i="15" s="1"/>
  <c r="AA410" i="15"/>
  <c r="I410" i="15"/>
  <c r="O410" i="15" s="1"/>
  <c r="I329" i="15"/>
  <c r="O329" i="15" s="1"/>
  <c r="AB329" i="15"/>
  <c r="G317" i="15"/>
  <c r="G723" i="9" s="1"/>
  <c r="G260" i="15"/>
  <c r="G590" i="9" s="1"/>
  <c r="G254" i="15"/>
  <c r="G576" i="9" s="1"/>
  <c r="O254" i="15"/>
  <c r="I221" i="15"/>
  <c r="O221" i="15" s="1"/>
  <c r="AA221" i="15"/>
  <c r="G650" i="15"/>
  <c r="G1401" i="9" s="1"/>
  <c r="O650" i="15"/>
  <c r="AA516" i="15"/>
  <c r="I516" i="15"/>
  <c r="O516" i="15" s="1"/>
  <c r="I629" i="15"/>
  <c r="AA629" i="15"/>
  <c r="N1233" i="9"/>
  <c r="N1235" i="9" s="1"/>
  <c r="M174" i="12" s="1"/>
  <c r="N174" i="12" s="1"/>
  <c r="M753" i="10" s="1"/>
  <c r="N753" i="10" s="1"/>
  <c r="I1233" i="9"/>
  <c r="I539" i="15"/>
  <c r="AA539" i="15"/>
  <c r="AA533" i="15"/>
  <c r="I533" i="15"/>
  <c r="O533" i="15" s="1"/>
  <c r="I486" i="15"/>
  <c r="AA486" i="15"/>
  <c r="I305" i="15"/>
  <c r="AB305" i="15"/>
  <c r="O209" i="15"/>
  <c r="G209" i="15"/>
  <c r="G483" i="9" s="1"/>
  <c r="O203" i="15"/>
  <c r="G203" i="15"/>
  <c r="G471" i="9" s="1"/>
  <c r="G465" i="15"/>
  <c r="G1025" i="9" s="1"/>
  <c r="O465" i="15"/>
  <c r="I1490" i="9"/>
  <c r="N1490" i="9"/>
  <c r="N1491" i="9" s="1"/>
  <c r="M218" i="12" s="1"/>
  <c r="G689" i="15"/>
  <c r="G1482" i="9" s="1"/>
  <c r="AA674" i="15"/>
  <c r="I674" i="15"/>
  <c r="N1347" i="9"/>
  <c r="I1347" i="9"/>
  <c r="G617" i="15"/>
  <c r="G1335" i="9" s="1"/>
  <c r="AA602" i="15"/>
  <c r="I602" i="15"/>
  <c r="AA584" i="15"/>
  <c r="I584" i="15"/>
  <c r="G560" i="15"/>
  <c r="G1221" i="9" s="1"/>
  <c r="G510" i="15"/>
  <c r="G1123" i="9" s="1"/>
  <c r="I492" i="15"/>
  <c r="O492" i="15" s="1"/>
  <c r="AA492" i="15"/>
  <c r="G471" i="15"/>
  <c r="G1041" i="9" s="1"/>
  <c r="AD426" i="15"/>
  <c r="I426" i="15"/>
  <c r="G401" i="15"/>
  <c r="G897" i="9" s="1"/>
  <c r="G385" i="15"/>
  <c r="G871" i="9" s="1"/>
  <c r="I311" i="15"/>
  <c r="O311" i="15" s="1"/>
  <c r="AB311" i="15"/>
  <c r="G299" i="15"/>
  <c r="G681" i="9" s="1"/>
  <c r="G293" i="15"/>
  <c r="G667" i="9" s="1"/>
  <c r="G242" i="15"/>
  <c r="G549" i="9" s="1"/>
  <c r="G236" i="15"/>
  <c r="G537" i="9" s="1"/>
  <c r="O236" i="15"/>
  <c r="K211" i="9"/>
  <c r="O211" i="9" s="1"/>
  <c r="K192" i="9"/>
  <c r="O192" i="9" s="1"/>
  <c r="O1499" i="9"/>
  <c r="I1499" i="9"/>
  <c r="O11" i="9"/>
  <c r="I11" i="9"/>
  <c r="P11" i="9" s="1"/>
  <c r="H438" i="10"/>
  <c r="H607" i="10"/>
  <c r="H996" i="10"/>
  <c r="H1171" i="9"/>
  <c r="H828" i="9"/>
  <c r="H827" i="9"/>
  <c r="H785" i="9"/>
  <c r="H784" i="9"/>
  <c r="H743" i="9"/>
  <c r="H742" i="9"/>
  <c r="H659" i="9"/>
  <c r="H658" i="9"/>
  <c r="H180" i="9"/>
  <c r="H204" i="9"/>
  <c r="H222" i="9"/>
  <c r="H617" i="9"/>
  <c r="H616" i="9"/>
  <c r="H575" i="9"/>
  <c r="H574" i="9"/>
  <c r="H96" i="9"/>
  <c r="H118" i="9"/>
  <c r="H85" i="9"/>
  <c r="H107" i="9"/>
  <c r="H130" i="9"/>
  <c r="H142" i="9"/>
  <c r="H154" i="9"/>
  <c r="H166" i="9"/>
  <c r="O200" i="15"/>
  <c r="G173" i="15"/>
  <c r="G410" i="9" s="1"/>
  <c r="O173" i="15"/>
  <c r="I389" i="9"/>
  <c r="N389" i="9"/>
  <c r="N391" i="9" s="1"/>
  <c r="M44" i="12" s="1"/>
  <c r="N44" i="12" s="1"/>
  <c r="M504" i="10" s="1"/>
  <c r="N504" i="10" s="1"/>
  <c r="I157" i="15"/>
  <c r="AE157" i="15"/>
  <c r="AH101" i="15"/>
  <c r="I102" i="15"/>
  <c r="I91" i="15"/>
  <c r="AD91" i="15"/>
  <c r="I81" i="15"/>
  <c r="AL76" i="15"/>
  <c r="AH60" i="15"/>
  <c r="I63" i="15"/>
  <c r="I42" i="15"/>
  <c r="AA42" i="15"/>
  <c r="I36" i="15"/>
  <c r="AA36" i="15"/>
  <c r="I24" i="15"/>
  <c r="AA24" i="15"/>
  <c r="I18" i="15"/>
  <c r="AA18" i="15"/>
  <c r="I6" i="15"/>
  <c r="O6" i="15" s="1"/>
  <c r="AA6" i="15"/>
  <c r="K1069" i="9"/>
  <c r="O1069" i="9" s="1"/>
  <c r="K1105" i="9"/>
  <c r="O1105" i="9" s="1"/>
  <c r="K1141" i="9"/>
  <c r="O1141" i="9" s="1"/>
  <c r="K1190" i="9"/>
  <c r="O1190" i="9" s="1"/>
  <c r="K1203" i="9"/>
  <c r="O1203" i="9" s="1"/>
  <c r="K1239" i="9"/>
  <c r="O1239" i="9" s="1"/>
  <c r="K1275" i="9"/>
  <c r="O1275" i="9" s="1"/>
  <c r="K1311" i="9"/>
  <c r="O1311" i="9" s="1"/>
  <c r="K1347" i="9"/>
  <c r="O1347" i="9" s="1"/>
  <c r="K1383" i="9"/>
  <c r="O1383" i="9" s="1"/>
  <c r="K1009" i="9"/>
  <c r="O1009" i="9" s="1"/>
  <c r="K1041" i="9"/>
  <c r="O1041" i="9" s="1"/>
  <c r="K1075" i="9"/>
  <c r="O1075" i="9" s="1"/>
  <c r="K1111" i="9"/>
  <c r="O1111" i="9" s="1"/>
  <c r="K1147" i="9"/>
  <c r="O1147" i="9" s="1"/>
  <c r="K1160" i="9"/>
  <c r="O1160" i="9" s="1"/>
  <c r="K1209" i="9"/>
  <c r="O1209" i="9" s="1"/>
  <c r="K1245" i="9"/>
  <c r="O1245" i="9" s="1"/>
  <c r="K1281" i="9"/>
  <c r="O1281" i="9" s="1"/>
  <c r="K1317" i="9"/>
  <c r="O1317" i="9" s="1"/>
  <c r="K1353" i="9"/>
  <c r="O1353" i="9" s="1"/>
  <c r="K1389" i="9"/>
  <c r="O1389" i="9" s="1"/>
  <c r="K1081" i="9"/>
  <c r="O1081" i="9" s="1"/>
  <c r="K1117" i="9"/>
  <c r="O1117" i="9" s="1"/>
  <c r="K1153" i="9"/>
  <c r="O1153" i="9" s="1"/>
  <c r="K1166" i="9"/>
  <c r="O1166" i="9" s="1"/>
  <c r="K1215" i="9"/>
  <c r="O1215" i="9" s="1"/>
  <c r="K1251" i="9"/>
  <c r="O1251" i="9" s="1"/>
  <c r="K1287" i="9"/>
  <c r="O1287" i="9" s="1"/>
  <c r="K1323" i="9"/>
  <c r="O1323" i="9" s="1"/>
  <c r="K1359" i="9"/>
  <c r="O1359" i="9" s="1"/>
  <c r="K1017" i="9"/>
  <c r="O1017" i="9" s="1"/>
  <c r="K1049" i="9"/>
  <c r="O1049" i="9" s="1"/>
  <c r="K1087" i="9"/>
  <c r="K1123" i="9"/>
  <c r="K1172" i="9"/>
  <c r="K1221" i="9"/>
  <c r="K1257" i="9"/>
  <c r="L1257" i="9" s="1"/>
  <c r="L1259" i="9" s="1"/>
  <c r="K178" i="12" s="1"/>
  <c r="L178" i="12" s="1"/>
  <c r="K273" i="10" s="1"/>
  <c r="L273" i="10" s="1"/>
  <c r="AE273" i="10" s="1"/>
  <c r="K1293" i="9"/>
  <c r="O1293" i="9" s="1"/>
  <c r="K1329" i="9"/>
  <c r="O1329" i="9" s="1"/>
  <c r="K1365" i="9"/>
  <c r="K1025" i="9"/>
  <c r="K1057" i="9"/>
  <c r="K1093" i="9"/>
  <c r="K1129" i="9"/>
  <c r="L1129" i="9" s="1"/>
  <c r="L1131" i="9" s="1"/>
  <c r="K157" i="12" s="1"/>
  <c r="L157" i="12" s="1"/>
  <c r="K29" i="10" s="1"/>
  <c r="L29" i="10" s="1"/>
  <c r="AE29" i="10" s="1"/>
  <c r="K1178" i="9"/>
  <c r="K1227" i="9"/>
  <c r="K1263" i="9"/>
  <c r="L1263" i="9" s="1"/>
  <c r="K1299" i="9"/>
  <c r="L1299" i="9" s="1"/>
  <c r="K1335" i="9"/>
  <c r="O1335" i="9" s="1"/>
  <c r="K1371" i="9"/>
  <c r="L1371" i="9" s="1"/>
  <c r="K1063" i="9"/>
  <c r="O1063" i="9" s="1"/>
  <c r="K1099" i="9"/>
  <c r="O1099" i="9" s="1"/>
  <c r="K1135" i="9"/>
  <c r="O1135" i="9" s="1"/>
  <c r="K1184" i="9"/>
  <c r="O1184" i="9" s="1"/>
  <c r="K1233" i="9"/>
  <c r="O1233" i="9" s="1"/>
  <c r="K1269" i="9"/>
  <c r="O1269" i="9" s="1"/>
  <c r="K1305" i="9"/>
  <c r="O1305" i="9" s="1"/>
  <c r="K1341" i="9"/>
  <c r="O1341" i="9" s="1"/>
  <c r="K1377" i="9"/>
  <c r="K1407" i="9"/>
  <c r="K1453" i="9"/>
  <c r="O1453" i="9" s="1"/>
  <c r="K40" i="9"/>
  <c r="O40" i="9" s="1"/>
  <c r="K1395" i="9"/>
  <c r="O1395" i="9" s="1"/>
  <c r="K1459" i="9"/>
  <c r="O1459" i="9" s="1"/>
  <c r="K30" i="9"/>
  <c r="O30" i="9" s="1"/>
  <c r="K1033" i="9"/>
  <c r="K1401" i="9"/>
  <c r="O1401" i="9" s="1"/>
  <c r="K1465" i="9"/>
  <c r="K20" i="9"/>
  <c r="O20" i="9" s="1"/>
  <c r="K80" i="9"/>
  <c r="O80" i="9" s="1"/>
  <c r="K1429" i="9"/>
  <c r="K1435" i="9"/>
  <c r="O1435" i="9" s="1"/>
  <c r="K1471" i="9"/>
  <c r="O1471" i="9" s="1"/>
  <c r="K70" i="9"/>
  <c r="O70" i="9" s="1"/>
  <c r="K1423" i="9"/>
  <c r="O1423" i="9" s="1"/>
  <c r="K1441" i="9"/>
  <c r="O1441" i="9" s="1"/>
  <c r="K1477" i="9"/>
  <c r="O1477" i="9" s="1"/>
  <c r="K60" i="9"/>
  <c r="O60" i="9" s="1"/>
  <c r="K1413" i="9"/>
  <c r="O1413" i="9" s="1"/>
  <c r="K172" i="9"/>
  <c r="K396" i="9"/>
  <c r="O396" i="9" s="1"/>
  <c r="K435" i="9"/>
  <c r="K471" i="9"/>
  <c r="K507" i="9"/>
  <c r="K543" i="9"/>
  <c r="K569" i="9"/>
  <c r="O569" i="9" s="1"/>
  <c r="K1447" i="9"/>
  <c r="K315" i="9"/>
  <c r="K190" i="9"/>
  <c r="K262" i="9"/>
  <c r="O262" i="9" s="1"/>
  <c r="K389" i="9"/>
  <c r="O389" i="9" s="1"/>
  <c r="K441" i="9"/>
  <c r="K477" i="9"/>
  <c r="O477" i="9" s="1"/>
  <c r="K513" i="9"/>
  <c r="O513" i="9" s="1"/>
  <c r="K549" i="9"/>
  <c r="O549" i="9" s="1"/>
  <c r="K562" i="9"/>
  <c r="O562" i="9" s="1"/>
  <c r="K50" i="9"/>
  <c r="O50" i="9" s="1"/>
  <c r="K268" i="9"/>
  <c r="O268" i="9" s="1"/>
  <c r="K323" i="9"/>
  <c r="O323" i="9" s="1"/>
  <c r="K382" i="9"/>
  <c r="O382" i="9" s="1"/>
  <c r="K447" i="9"/>
  <c r="O447" i="9" s="1"/>
  <c r="K483" i="9"/>
  <c r="O483" i="9" s="1"/>
  <c r="K519" i="9"/>
  <c r="O519" i="9" s="1"/>
  <c r="K555" i="9"/>
  <c r="O555" i="9" s="1"/>
  <c r="K136" i="9"/>
  <c r="O136" i="9" s="1"/>
  <c r="K226" i="9"/>
  <c r="O226" i="9" s="1"/>
  <c r="K417" i="9"/>
  <c r="K453" i="9"/>
  <c r="O453" i="9" s="1"/>
  <c r="K489" i="9"/>
  <c r="O489" i="9" s="1"/>
  <c r="K525" i="9"/>
  <c r="O525" i="9" s="1"/>
  <c r="K124" i="9"/>
  <c r="O124" i="9" s="1"/>
  <c r="K299" i="9"/>
  <c r="O299" i="9" s="1"/>
  <c r="K331" i="9"/>
  <c r="O331" i="9" s="1"/>
  <c r="K91" i="9"/>
  <c r="O91" i="9" s="1"/>
  <c r="K148" i="9"/>
  <c r="O148" i="9" s="1"/>
  <c r="K210" i="9"/>
  <c r="O210" i="9" s="1"/>
  <c r="K410" i="9"/>
  <c r="K423" i="9"/>
  <c r="K459" i="9"/>
  <c r="O459" i="9" s="1"/>
  <c r="K495" i="9"/>
  <c r="K531" i="9"/>
  <c r="O531" i="9" s="1"/>
  <c r="K102" i="9"/>
  <c r="O102" i="9" s="1"/>
  <c r="K429" i="9"/>
  <c r="O429" i="9" s="1"/>
  <c r="K590" i="9"/>
  <c r="O590" i="9" s="1"/>
  <c r="K632" i="9"/>
  <c r="K865" i="9"/>
  <c r="O865" i="9" s="1"/>
  <c r="K501" i="9"/>
  <c r="O501" i="9" s="1"/>
  <c r="K583" i="9"/>
  <c r="O583" i="9" s="1"/>
  <c r="K625" i="9"/>
  <c r="O625" i="9" s="1"/>
  <c r="K835" i="9"/>
  <c r="O835" i="9" s="1"/>
  <c r="K871" i="9"/>
  <c r="O871" i="9" s="1"/>
  <c r="K618" i="9"/>
  <c r="O618" i="9" s="1"/>
  <c r="K841" i="9"/>
  <c r="O841" i="9" s="1"/>
  <c r="K877" i="9"/>
  <c r="O877" i="9" s="1"/>
  <c r="K113" i="9"/>
  <c r="O113" i="9" s="1"/>
  <c r="K307" i="9"/>
  <c r="O307" i="9" s="1"/>
  <c r="K403" i="9"/>
  <c r="O403" i="9" s="1"/>
  <c r="K537" i="9"/>
  <c r="O537" i="9" s="1"/>
  <c r="K576" i="9"/>
  <c r="O576" i="9" s="1"/>
  <c r="K611" i="9"/>
  <c r="O611" i="9" s="1"/>
  <c r="K653" i="9"/>
  <c r="O653" i="9" s="1"/>
  <c r="K847" i="9"/>
  <c r="O847" i="9" s="1"/>
  <c r="K883" i="9"/>
  <c r="O883" i="9" s="1"/>
  <c r="K896" i="9"/>
  <c r="O896" i="9" s="1"/>
  <c r="K909" i="9"/>
  <c r="O909" i="9" s="1"/>
  <c r="K339" i="9"/>
  <c r="O339" i="9" s="1"/>
  <c r="K465" i="9"/>
  <c r="K604" i="9"/>
  <c r="O604" i="9" s="1"/>
  <c r="K646" i="9"/>
  <c r="O646" i="9" s="1"/>
  <c r="K853" i="9"/>
  <c r="K889" i="9"/>
  <c r="K273" i="9"/>
  <c r="K921" i="9"/>
  <c r="K639" i="9"/>
  <c r="K160" i="9"/>
  <c r="K597" i="9"/>
  <c r="K859" i="9"/>
  <c r="K915" i="9"/>
  <c r="O915" i="9" s="1"/>
  <c r="L344" i="6"/>
  <c r="L341" i="6"/>
  <c r="L338" i="6"/>
  <c r="L213" i="6"/>
  <c r="L207" i="6"/>
  <c r="L63" i="6"/>
  <c r="L57" i="6"/>
  <c r="L51" i="6"/>
  <c r="O695" i="15"/>
  <c r="O677" i="15"/>
  <c r="O659" i="15"/>
  <c r="O641" i="15"/>
  <c r="O623" i="15"/>
  <c r="O605" i="15"/>
  <c r="AA526" i="15"/>
  <c r="AA483" i="15"/>
  <c r="AB447" i="15"/>
  <c r="AB429" i="15"/>
  <c r="I358" i="15"/>
  <c r="O358" i="15" s="1"/>
  <c r="AB344" i="15"/>
  <c r="AB326" i="15"/>
  <c r="AB308" i="15"/>
  <c r="AB290" i="15"/>
  <c r="AA272" i="15"/>
  <c r="AA254" i="15"/>
  <c r="AA236" i="15"/>
  <c r="AA218" i="15"/>
  <c r="AE152" i="15"/>
  <c r="I152" i="15"/>
  <c r="I142" i="15"/>
  <c r="AE142" i="15"/>
  <c r="I135" i="15"/>
  <c r="AA135" i="15"/>
  <c r="AH86" i="15"/>
  <c r="I87" i="15"/>
  <c r="O87" i="15" s="1"/>
  <c r="I78" i="15"/>
  <c r="AH76" i="15"/>
  <c r="AK60" i="15"/>
  <c r="I65" i="15"/>
  <c r="O437" i="10"/>
  <c r="I437" i="10"/>
  <c r="P437" i="10" s="1"/>
  <c r="I1077" i="10"/>
  <c r="P1077" i="10" s="1"/>
  <c r="O1077" i="10"/>
  <c r="I1071" i="10"/>
  <c r="O1071" i="10"/>
  <c r="O1128" i="9"/>
  <c r="I1128" i="9"/>
  <c r="O1092" i="9"/>
  <c r="I1092" i="9"/>
  <c r="H263" i="10"/>
  <c r="H415" i="10"/>
  <c r="H694" i="10"/>
  <c r="H747" i="10"/>
  <c r="H693" i="9"/>
  <c r="H694" i="9"/>
  <c r="H651" i="9"/>
  <c r="H652" i="9"/>
  <c r="H609" i="9"/>
  <c r="H610" i="9"/>
  <c r="H568" i="9"/>
  <c r="H567" i="9"/>
  <c r="I65" i="9"/>
  <c r="O65" i="9"/>
  <c r="I171" i="9"/>
  <c r="P171" i="9" s="1"/>
  <c r="O171" i="9"/>
  <c r="O542" i="9"/>
  <c r="I542" i="9"/>
  <c r="O123" i="9"/>
  <c r="I123" i="9"/>
  <c r="P123" i="9" s="1"/>
  <c r="O518" i="9"/>
  <c r="I518" i="9"/>
  <c r="O851" i="10"/>
  <c r="I851" i="10"/>
  <c r="P851" i="10" s="1"/>
  <c r="I476" i="9"/>
  <c r="O476" i="9"/>
  <c r="AA203" i="15"/>
  <c r="G182" i="15"/>
  <c r="G429" i="9" s="1"/>
  <c r="I167" i="15"/>
  <c r="I123" i="15"/>
  <c r="AA123" i="15"/>
  <c r="I117" i="15"/>
  <c r="AJ117" i="15"/>
  <c r="I105" i="15"/>
  <c r="AA105" i="15"/>
  <c r="I96" i="15"/>
  <c r="AD96" i="15"/>
  <c r="G64" i="15"/>
  <c r="G194" i="9" s="1"/>
  <c r="AA48" i="15"/>
  <c r="I48" i="15"/>
  <c r="AA33" i="15"/>
  <c r="AA15" i="15"/>
  <c r="K983" i="9"/>
  <c r="O983" i="9" s="1"/>
  <c r="I1159" i="10"/>
  <c r="P1159" i="10" s="1"/>
  <c r="O1159" i="10"/>
  <c r="I442" i="10"/>
  <c r="P442" i="10" s="1"/>
  <c r="O442" i="10"/>
  <c r="I1013" i="10"/>
  <c r="P1013" i="10" s="1"/>
  <c r="O1013" i="10"/>
  <c r="I1159" i="9"/>
  <c r="O1159" i="9"/>
  <c r="L308" i="6"/>
  <c r="L302" i="6"/>
  <c r="L296" i="6"/>
  <c r="L290" i="6"/>
  <c r="L284" i="6"/>
  <c r="L266" i="6"/>
  <c r="L260" i="6"/>
  <c r="L254" i="6"/>
  <c r="L248" i="6"/>
  <c r="L242" i="6"/>
  <c r="L236" i="6"/>
  <c r="L230" i="6"/>
  <c r="L224" i="6"/>
  <c r="L218" i="6"/>
  <c r="L212" i="6"/>
  <c r="L206" i="6"/>
  <c r="L164" i="6"/>
  <c r="L158" i="6"/>
  <c r="L152" i="6"/>
  <c r="L146" i="6"/>
  <c r="L134" i="6"/>
  <c r="L86" i="6"/>
  <c r="L80" i="6"/>
  <c r="L74" i="6"/>
  <c r="L62" i="6"/>
  <c r="L56" i="6"/>
  <c r="L50" i="6"/>
  <c r="G191" i="15"/>
  <c r="G447" i="9" s="1"/>
  <c r="AA129" i="15"/>
  <c r="I129" i="15"/>
  <c r="AD101" i="15"/>
  <c r="I101" i="15"/>
  <c r="AA86" i="15"/>
  <c r="I86" i="15"/>
  <c r="I441" i="9"/>
  <c r="N441" i="9"/>
  <c r="K215" i="9"/>
  <c r="K196" i="9"/>
  <c r="K356" i="9"/>
  <c r="K347" i="9"/>
  <c r="K903" i="9"/>
  <c r="O903" i="9" s="1"/>
  <c r="K365" i="9"/>
  <c r="O365" i="9" s="1"/>
  <c r="K374" i="9"/>
  <c r="K191" i="9"/>
  <c r="I1169" i="10"/>
  <c r="P1169" i="10" s="1"/>
  <c r="O1169" i="10"/>
  <c r="H262" i="10"/>
  <c r="H471" i="10"/>
  <c r="H746" i="10"/>
  <c r="H812" i="10"/>
  <c r="I512" i="9"/>
  <c r="O512" i="9"/>
  <c r="I850" i="10"/>
  <c r="P850" i="10" s="1"/>
  <c r="O850" i="10"/>
  <c r="I470" i="9"/>
  <c r="O470" i="9"/>
  <c r="I185" i="15"/>
  <c r="I375" i="9"/>
  <c r="N375" i="9"/>
  <c r="AA111" i="15"/>
  <c r="I111" i="15"/>
  <c r="I423" i="9"/>
  <c r="N423" i="9"/>
  <c r="N425" i="9" s="1"/>
  <c r="M49" i="12" s="1"/>
  <c r="N49" i="12" s="1"/>
  <c r="M371" i="10" s="1"/>
  <c r="N371" i="10" s="1"/>
  <c r="K1197" i="9"/>
  <c r="O1197" i="9" s="1"/>
  <c r="K829" i="9"/>
  <c r="K822" i="9"/>
  <c r="O822" i="9" s="1"/>
  <c r="K214" i="9"/>
  <c r="O214" i="9" s="1"/>
  <c r="K195" i="9"/>
  <c r="O195" i="9" s="1"/>
  <c r="I1503" i="9"/>
  <c r="P1503" i="9" s="1"/>
  <c r="O1503" i="9"/>
  <c r="I6" i="9"/>
  <c r="P6" i="9" s="1"/>
  <c r="O6" i="9"/>
  <c r="I436" i="10"/>
  <c r="P436" i="10" s="1"/>
  <c r="O436" i="10"/>
  <c r="O696" i="10"/>
  <c r="I696" i="10"/>
  <c r="P696" i="10" s="1"/>
  <c r="L343" i="6"/>
  <c r="L265" i="6"/>
  <c r="L259" i="6"/>
  <c r="L253" i="6"/>
  <c r="L241" i="6"/>
  <c r="L235" i="6"/>
  <c r="L229" i="6"/>
  <c r="L223" i="6"/>
  <c r="L217" i="6"/>
  <c r="L211" i="6"/>
  <c r="L205" i="6"/>
  <c r="L85" i="6"/>
  <c r="L79" i="6"/>
  <c r="L73" i="6"/>
  <c r="L61" i="6"/>
  <c r="L55" i="6"/>
  <c r="L49" i="6"/>
  <c r="AA686" i="15"/>
  <c r="AA668" i="15"/>
  <c r="AA650" i="15"/>
  <c r="AA632" i="15"/>
  <c r="AA614" i="15"/>
  <c r="AA596" i="15"/>
  <c r="AA578" i="15"/>
  <c r="AA560" i="15"/>
  <c r="AA542" i="15"/>
  <c r="AA507" i="15"/>
  <c r="AA489" i="15"/>
  <c r="AA471" i="15"/>
  <c r="AB453" i="15"/>
  <c r="AB435" i="15"/>
  <c r="AA385" i="15"/>
  <c r="AA367" i="15"/>
  <c r="AD357" i="15"/>
  <c r="AB350" i="15"/>
  <c r="AB332" i="15"/>
  <c r="AB314" i="15"/>
  <c r="AB296" i="15"/>
  <c r="AA278" i="15"/>
  <c r="AA260" i="15"/>
  <c r="AA242" i="15"/>
  <c r="AA224" i="15"/>
  <c r="I323" i="9"/>
  <c r="L323" i="9"/>
  <c r="N323" i="9"/>
  <c r="G87" i="15"/>
  <c r="G227" i="9" s="1"/>
  <c r="AE60" i="15"/>
  <c r="I61" i="15"/>
  <c r="G45" i="15"/>
  <c r="G160" i="9" s="1"/>
  <c r="G27" i="15"/>
  <c r="G91" i="9" s="1"/>
  <c r="G9" i="15"/>
  <c r="G30" i="9" s="1"/>
  <c r="O639" i="9"/>
  <c r="K279" i="9"/>
  <c r="K285" i="9"/>
  <c r="O285" i="9" s="1"/>
  <c r="K291" i="9"/>
  <c r="O291" i="9" s="1"/>
  <c r="O1157" i="10"/>
  <c r="I1157" i="10"/>
  <c r="P1157" i="10" s="1"/>
  <c r="I1189" i="9"/>
  <c r="O1189" i="9"/>
  <c r="I1075" i="10"/>
  <c r="P1075" i="10" s="1"/>
  <c r="O1075" i="10"/>
  <c r="O1152" i="9"/>
  <c r="I1152" i="9"/>
  <c r="O1116" i="9"/>
  <c r="I1116" i="9"/>
  <c r="H261" i="10"/>
  <c r="H414" i="10"/>
  <c r="H306" i="10"/>
  <c r="H470" i="10"/>
  <c r="H745" i="10"/>
  <c r="H811" i="10"/>
  <c r="O970" i="9"/>
  <c r="I464" i="9"/>
  <c r="O464" i="9"/>
  <c r="I1494" i="9"/>
  <c r="N1494" i="9"/>
  <c r="N1496" i="9" s="1"/>
  <c r="M219" i="12" s="1"/>
  <c r="I1465" i="9"/>
  <c r="N1465" i="9"/>
  <c r="N1467" i="9" s="1"/>
  <c r="M213" i="12" s="1"/>
  <c r="N213" i="12" s="1"/>
  <c r="I1429" i="9"/>
  <c r="N1429" i="9"/>
  <c r="N1431" i="9" s="1"/>
  <c r="M207" i="12" s="1"/>
  <c r="N207" i="12" s="1"/>
  <c r="I1389" i="9"/>
  <c r="L1389" i="9"/>
  <c r="N1389" i="9"/>
  <c r="I1353" i="9"/>
  <c r="I1355" i="9" s="1"/>
  <c r="L1353" i="9"/>
  <c r="N1353" i="9"/>
  <c r="I1317" i="9"/>
  <c r="L1317" i="9"/>
  <c r="N1317" i="9"/>
  <c r="I1281" i="9"/>
  <c r="L1281" i="9"/>
  <c r="N1281" i="9"/>
  <c r="I1245" i="9"/>
  <c r="L1245" i="9"/>
  <c r="L1247" i="9" s="1"/>
  <c r="K176" i="12" s="1"/>
  <c r="L176" i="12" s="1"/>
  <c r="K473" i="10" s="1"/>
  <c r="L473" i="10" s="1"/>
  <c r="AE473" i="10" s="1"/>
  <c r="N1245" i="9"/>
  <c r="N1247" i="9" s="1"/>
  <c r="M176" i="12" s="1"/>
  <c r="N176" i="12" s="1"/>
  <c r="M473" i="10" s="1"/>
  <c r="N473" i="10" s="1"/>
  <c r="I1209" i="9"/>
  <c r="L1209" i="9"/>
  <c r="N1209" i="9"/>
  <c r="I417" i="9"/>
  <c r="N417" i="9"/>
  <c r="N419" i="9" s="1"/>
  <c r="M48" i="12" s="1"/>
  <c r="N48" i="12" s="1"/>
  <c r="N279" i="9"/>
  <c r="I279" i="9"/>
  <c r="G33" i="15"/>
  <c r="G113" i="9" s="1"/>
  <c r="O33" i="15"/>
  <c r="G15" i="15"/>
  <c r="G50" i="9" s="1"/>
  <c r="O15" i="15"/>
  <c r="I143" i="15"/>
  <c r="AH142" i="15"/>
  <c r="K256" i="9"/>
  <c r="K246" i="9"/>
  <c r="O246" i="9" s="1"/>
  <c r="K236" i="9"/>
  <c r="O236" i="9" s="1"/>
  <c r="K814" i="9"/>
  <c r="K941" i="9"/>
  <c r="O941" i="9" s="1"/>
  <c r="I1164" i="10"/>
  <c r="P1164" i="10" s="1"/>
  <c r="O1164" i="10"/>
  <c r="O1151" i="10"/>
  <c r="I1151" i="10"/>
  <c r="H440" i="10"/>
  <c r="H610" i="10"/>
  <c r="I1001" i="10"/>
  <c r="P1001" i="10" s="1"/>
  <c r="O1001" i="10"/>
  <c r="I695" i="10"/>
  <c r="P695" i="10" s="1"/>
  <c r="O695" i="10"/>
  <c r="O1080" i="9"/>
  <c r="I1080" i="9"/>
  <c r="K209" i="9"/>
  <c r="L209" i="9" s="1"/>
  <c r="K185" i="9"/>
  <c r="L185" i="9" s="1"/>
  <c r="L288" i="6"/>
  <c r="L282" i="6"/>
  <c r="L270" i="6"/>
  <c r="L264" i="6"/>
  <c r="L258" i="6"/>
  <c r="L246" i="6"/>
  <c r="L240" i="6"/>
  <c r="L228" i="6"/>
  <c r="L222" i="6"/>
  <c r="L216" i="6"/>
  <c r="L210" i="6"/>
  <c r="L204" i="6"/>
  <c r="L138" i="6"/>
  <c r="L132" i="6"/>
  <c r="L84" i="6"/>
  <c r="L78" i="6"/>
  <c r="L72" i="6"/>
  <c r="L66" i="6"/>
  <c r="L60" i="6"/>
  <c r="L54" i="6"/>
  <c r="L48" i="6"/>
  <c r="AH689" i="15"/>
  <c r="AA671" i="15"/>
  <c r="AA653" i="15"/>
  <c r="AA635" i="15"/>
  <c r="AA617" i="15"/>
  <c r="AA599" i="15"/>
  <c r="AA581" i="15"/>
  <c r="AA563" i="15"/>
  <c r="AA545" i="15"/>
  <c r="AA510" i="15"/>
  <c r="AA474" i="15"/>
  <c r="AE404" i="15"/>
  <c r="AA388" i="15"/>
  <c r="AA370" i="15"/>
  <c r="AB353" i="15"/>
  <c r="I170" i="15"/>
  <c r="I161" i="15"/>
  <c r="L356" i="9"/>
  <c r="N356" i="9"/>
  <c r="I356" i="9"/>
  <c r="P356" i="9" s="1"/>
  <c r="I268" i="9"/>
  <c r="N268" i="9"/>
  <c r="I80" i="15"/>
  <c r="AK76" i="15"/>
  <c r="I39" i="15"/>
  <c r="AA39" i="15"/>
  <c r="I21" i="15"/>
  <c r="AA21" i="15"/>
  <c r="I933" i="9"/>
  <c r="K927" i="9"/>
  <c r="O927" i="9" s="1"/>
  <c r="K934" i="9"/>
  <c r="O934" i="9" s="1"/>
  <c r="I1163" i="10"/>
  <c r="P1163" i="10" s="1"/>
  <c r="O1163" i="10"/>
  <c r="H1196" i="9"/>
  <c r="H1195" i="9"/>
  <c r="I1125" i="10"/>
  <c r="P1125" i="10" s="1"/>
  <c r="O1125" i="10"/>
  <c r="I1074" i="10"/>
  <c r="P1074" i="10" s="1"/>
  <c r="O1074" i="10"/>
  <c r="I1146" i="9"/>
  <c r="O1146" i="9"/>
  <c r="I1074" i="9"/>
  <c r="O1074" i="9"/>
  <c r="H178" i="9"/>
  <c r="H202" i="9"/>
  <c r="O1000" i="9"/>
  <c r="I1000" i="9"/>
  <c r="O964" i="9"/>
  <c r="I964" i="9"/>
  <c r="I187" i="9"/>
  <c r="P187" i="9" s="1"/>
  <c r="O187" i="9"/>
  <c r="O902" i="9"/>
  <c r="I902" i="9"/>
  <c r="O876" i="9"/>
  <c r="I876" i="9"/>
  <c r="O840" i="9"/>
  <c r="I840" i="9"/>
  <c r="H799" i="9"/>
  <c r="H798" i="9"/>
  <c r="H757" i="9"/>
  <c r="H756" i="9"/>
  <c r="H715" i="9"/>
  <c r="H714" i="9"/>
  <c r="H673" i="9"/>
  <c r="H672" i="9"/>
  <c r="H631" i="9"/>
  <c r="H630" i="9"/>
  <c r="H589" i="9"/>
  <c r="H588" i="9"/>
  <c r="H27" i="9"/>
  <c r="H87" i="9"/>
  <c r="H109" i="9"/>
  <c r="H17" i="9"/>
  <c r="H77" i="9"/>
  <c r="H67" i="9"/>
  <c r="H57" i="9"/>
  <c r="H47" i="9"/>
  <c r="H98" i="9"/>
  <c r="H119" i="9"/>
  <c r="H37" i="9"/>
  <c r="I138" i="15"/>
  <c r="AA138" i="15"/>
  <c r="AA76" i="15"/>
  <c r="I76" i="15"/>
  <c r="M185" i="9"/>
  <c r="N185" i="9" s="1"/>
  <c r="M209" i="9"/>
  <c r="N209" i="9" s="1"/>
  <c r="K213" i="9"/>
  <c r="O213" i="9" s="1"/>
  <c r="K194" i="9"/>
  <c r="O1502" i="9"/>
  <c r="I1502" i="9"/>
  <c r="P1502" i="9" s="1"/>
  <c r="H185" i="9"/>
  <c r="H209" i="9"/>
  <c r="L342" i="6"/>
  <c r="L339" i="6"/>
  <c r="L215" i="6"/>
  <c r="L209" i="6"/>
  <c r="L203" i="6"/>
  <c r="L71" i="6"/>
  <c r="L65" i="6"/>
  <c r="L59" i="6"/>
  <c r="L53" i="6"/>
  <c r="AH147" i="15"/>
  <c r="I148" i="15"/>
  <c r="O148" i="15" s="1"/>
  <c r="I120" i="15"/>
  <c r="AJ120" i="15"/>
  <c r="AH96" i="15"/>
  <c r="I97" i="15"/>
  <c r="O97" i="15" s="1"/>
  <c r="K1154" i="9"/>
  <c r="O1154" i="9" s="1"/>
  <c r="K1482" i="9"/>
  <c r="O1482" i="9" s="1"/>
  <c r="K1486" i="9"/>
  <c r="O1486" i="9" s="1"/>
  <c r="K1490" i="9"/>
  <c r="O1490" i="9" s="1"/>
  <c r="K1494" i="9"/>
  <c r="O1494" i="9" s="1"/>
  <c r="K212" i="9"/>
  <c r="K237" i="9"/>
  <c r="K193" i="9"/>
  <c r="K227" i="9"/>
  <c r="K375" i="9"/>
  <c r="O375" i="9" s="1"/>
  <c r="K366" i="9"/>
  <c r="O366" i="9" s="1"/>
  <c r="K257" i="9"/>
  <c r="O257" i="9" s="1"/>
  <c r="K357" i="9"/>
  <c r="K348" i="9"/>
  <c r="O348" i="9" s="1"/>
  <c r="K247" i="9"/>
  <c r="K897" i="9"/>
  <c r="O897" i="9" s="1"/>
  <c r="K815" i="9"/>
  <c r="O815" i="9" s="1"/>
  <c r="K890" i="9"/>
  <c r="O890" i="9" s="1"/>
  <c r="K935" i="9"/>
  <c r="O935" i="9" s="1"/>
  <c r="K928" i="9"/>
  <c r="O928" i="9" s="1"/>
  <c r="K1001" i="9"/>
  <c r="K674" i="9"/>
  <c r="O674" i="9" s="1"/>
  <c r="K716" i="9"/>
  <c r="K758" i="9"/>
  <c r="K800" i="9"/>
  <c r="L800" i="9" s="1"/>
  <c r="L802" i="9" s="1"/>
  <c r="K106" i="12" s="1"/>
  <c r="L106" i="12" s="1"/>
  <c r="K719" i="10" s="1"/>
  <c r="L719" i="10" s="1"/>
  <c r="AE719" i="10" s="1"/>
  <c r="K667" i="9"/>
  <c r="O667" i="9" s="1"/>
  <c r="K709" i="9"/>
  <c r="O709" i="9" s="1"/>
  <c r="K751" i="9"/>
  <c r="O751" i="9" s="1"/>
  <c r="K793" i="9"/>
  <c r="O793" i="9" s="1"/>
  <c r="K660" i="9"/>
  <c r="O660" i="9" s="1"/>
  <c r="K702" i="9"/>
  <c r="O702" i="9" s="1"/>
  <c r="K744" i="9"/>
  <c r="O744" i="9" s="1"/>
  <c r="K786" i="9"/>
  <c r="O786" i="9" s="1"/>
  <c r="K695" i="9"/>
  <c r="O695" i="9" s="1"/>
  <c r="K737" i="9"/>
  <c r="O737" i="9" s="1"/>
  <c r="K779" i="9"/>
  <c r="O779" i="9" s="1"/>
  <c r="K688" i="9"/>
  <c r="O688" i="9" s="1"/>
  <c r="K730" i="9"/>
  <c r="K772" i="9"/>
  <c r="O772" i="9" s="1"/>
  <c r="K953" i="9"/>
  <c r="O953" i="9" s="1"/>
  <c r="K989" i="9"/>
  <c r="O989" i="9" s="1"/>
  <c r="K947" i="9"/>
  <c r="O947" i="9" s="1"/>
  <c r="K681" i="9"/>
  <c r="O681" i="9" s="1"/>
  <c r="K959" i="9"/>
  <c r="O959" i="9" s="1"/>
  <c r="K995" i="9"/>
  <c r="O995" i="9" s="1"/>
  <c r="K723" i="9"/>
  <c r="O723" i="9" s="1"/>
  <c r="K965" i="9"/>
  <c r="O965" i="9" s="1"/>
  <c r="K765" i="9"/>
  <c r="K971" i="9"/>
  <c r="O971" i="9" s="1"/>
  <c r="K977" i="9"/>
  <c r="O977" i="9" s="1"/>
  <c r="K807" i="9"/>
  <c r="O807" i="9" s="1"/>
  <c r="O1170" i="10"/>
  <c r="I1170" i="10"/>
  <c r="P1170" i="10" s="1"/>
  <c r="O389" i="10"/>
  <c r="I389" i="10"/>
  <c r="P389" i="10" s="1"/>
  <c r="O1162" i="10"/>
  <c r="I1162" i="10"/>
  <c r="P1162" i="10" s="1"/>
  <c r="I1155" i="10"/>
  <c r="P1155" i="10" s="1"/>
  <c r="O1155" i="10"/>
  <c r="I444" i="10"/>
  <c r="P444" i="10" s="1"/>
  <c r="O444" i="10"/>
  <c r="H439" i="10"/>
  <c r="H608" i="10"/>
  <c r="I1124" i="10"/>
  <c r="P1124" i="10" s="1"/>
  <c r="O1124" i="10"/>
  <c r="H997" i="10"/>
  <c r="H1177" i="9"/>
  <c r="O1073" i="10"/>
  <c r="I1073" i="10"/>
  <c r="P1073" i="10" s="1"/>
  <c r="H188" i="10"/>
  <c r="H33" i="10"/>
  <c r="O945" i="10"/>
  <c r="I945" i="10"/>
  <c r="P945" i="10" s="1"/>
  <c r="O853" i="10"/>
  <c r="I853" i="10"/>
  <c r="P853" i="10" s="1"/>
  <c r="O488" i="9"/>
  <c r="I488" i="9"/>
  <c r="H65" i="10"/>
  <c r="H13" i="10"/>
  <c r="H117" i="10"/>
  <c r="H348" i="10"/>
  <c r="H169" i="10"/>
  <c r="H582" i="10"/>
  <c r="H894" i="10"/>
  <c r="I197" i="15"/>
  <c r="O197" i="15" s="1"/>
  <c r="AH152" i="15"/>
  <c r="I153" i="15"/>
  <c r="O153" i="15" s="1"/>
  <c r="I92" i="15"/>
  <c r="AH91" i="15"/>
  <c r="AA60" i="15"/>
  <c r="AG60" i="15"/>
  <c r="I62" i="15"/>
  <c r="P996" i="9"/>
  <c r="O921" i="9"/>
  <c r="P872" i="9"/>
  <c r="O132" i="15"/>
  <c r="O114" i="15"/>
  <c r="O889" i="9"/>
  <c r="P626" i="9"/>
  <c r="P794" i="9"/>
  <c r="O597" i="9"/>
  <c r="O859" i="9"/>
  <c r="O800" i="9"/>
  <c r="O147" i="15"/>
  <c r="AA108" i="15"/>
  <c r="AA45" i="15"/>
  <c r="AA27" i="15"/>
  <c r="AA9" i="15"/>
  <c r="P936" i="9"/>
  <c r="O853" i="9"/>
  <c r="P752" i="9"/>
  <c r="O829" i="9"/>
  <c r="P823" i="9"/>
  <c r="O758" i="9"/>
  <c r="N281" i="9"/>
  <c r="M30" i="12" s="1"/>
  <c r="N30" i="12" s="1"/>
  <c r="M960" i="10" s="1"/>
  <c r="N960" i="10" s="1"/>
  <c r="O716" i="9"/>
  <c r="O471" i="9"/>
  <c r="O160" i="9"/>
  <c r="I1461" i="9"/>
  <c r="P520" i="9"/>
  <c r="O357" i="9"/>
  <c r="O347" i="9"/>
  <c r="O273" i="9"/>
  <c r="O215" i="9"/>
  <c r="O191" i="9"/>
  <c r="P442" i="9"/>
  <c r="O315" i="9"/>
  <c r="P228" i="9"/>
  <c r="N1186" i="9"/>
  <c r="M166" i="12" s="1"/>
  <c r="N166" i="12" s="1"/>
  <c r="M568" i="10" s="1"/>
  <c r="N568" i="10" s="1"/>
  <c r="P383" i="9"/>
  <c r="O374" i="9"/>
  <c r="P263" i="9"/>
  <c r="O237" i="9"/>
  <c r="O194" i="9"/>
  <c r="O190" i="9"/>
  <c r="P448" i="9"/>
  <c r="O356" i="9"/>
  <c r="N325" i="9"/>
  <c r="M36" i="12" s="1"/>
  <c r="N36" i="12" s="1"/>
  <c r="M656" i="10" s="1"/>
  <c r="N656" i="10" s="1"/>
  <c r="O227" i="9"/>
  <c r="P550" i="9"/>
  <c r="O507" i="9"/>
  <c r="P286" i="9"/>
  <c r="O256" i="9"/>
  <c r="P197" i="9"/>
  <c r="O193" i="9"/>
  <c r="L325" i="9"/>
  <c r="K36" i="12" s="1"/>
  <c r="L36" i="12" s="1"/>
  <c r="K656" i="10" s="1"/>
  <c r="L656" i="10" s="1"/>
  <c r="AE656" i="10" s="1"/>
  <c r="O1407" i="9"/>
  <c r="N443" i="9"/>
  <c r="M52" i="12" s="1"/>
  <c r="N52" i="12" s="1"/>
  <c r="O435" i="9"/>
  <c r="O410" i="9"/>
  <c r="P292" i="9"/>
  <c r="O196" i="9"/>
  <c r="O172" i="9"/>
  <c r="P563" i="9"/>
  <c r="O543" i="9"/>
  <c r="O495" i="9"/>
  <c r="P484" i="9"/>
  <c r="O247" i="9"/>
  <c r="O212" i="9"/>
  <c r="P1428" i="9"/>
  <c r="P1440" i="9"/>
  <c r="P1434" i="9"/>
  <c r="P1422" i="9"/>
  <c r="P1460" i="9"/>
  <c r="L1262" i="9"/>
  <c r="O1262" i="9"/>
  <c r="P1268" i="9"/>
  <c r="P125" i="9"/>
  <c r="P1476" i="9"/>
  <c r="O1464" i="9"/>
  <c r="N1265" i="9"/>
  <c r="M179" i="12" s="1"/>
  <c r="N179" i="12" s="1"/>
  <c r="M472" i="10" s="1"/>
  <c r="N472" i="10" s="1"/>
  <c r="N1256" i="9"/>
  <c r="O1256" i="9"/>
  <c r="O1458" i="9"/>
  <c r="O1428" i="9"/>
  <c r="P1419" i="9"/>
  <c r="N1391" i="9"/>
  <c r="M200" i="12" s="1"/>
  <c r="N200" i="12" s="1"/>
  <c r="M866" i="10" s="1"/>
  <c r="N866" i="10" s="1"/>
  <c r="N1328" i="9"/>
  <c r="P1328" i="9" s="1"/>
  <c r="O1328" i="9"/>
  <c r="N1319" i="9"/>
  <c r="M188" i="12" s="1"/>
  <c r="N188" i="12" s="1"/>
  <c r="M476" i="10" s="1"/>
  <c r="N476" i="10" s="1"/>
  <c r="P1082" i="9"/>
  <c r="O1057" i="9"/>
  <c r="P1452" i="9"/>
  <c r="L1391" i="9"/>
  <c r="K200" i="12" s="1"/>
  <c r="L200" i="12" s="1"/>
  <c r="K866" i="10" s="1"/>
  <c r="L866" i="10" s="1"/>
  <c r="AE866" i="10" s="1"/>
  <c r="P1340" i="9"/>
  <c r="L1334" i="9"/>
  <c r="O1334" i="9"/>
  <c r="L1319" i="9"/>
  <c r="K188" i="12" s="1"/>
  <c r="L188" i="12" s="1"/>
  <c r="K476" i="10" s="1"/>
  <c r="L476" i="10" s="1"/>
  <c r="AE476" i="10" s="1"/>
  <c r="P1288" i="9"/>
  <c r="P1256" i="9"/>
  <c r="P1250" i="9"/>
  <c r="I1247" i="9"/>
  <c r="P1394" i="9"/>
  <c r="O1227" i="9"/>
  <c r="O1221" i="9"/>
  <c r="O1025" i="9"/>
  <c r="I1391" i="9"/>
  <c r="P1388" i="9"/>
  <c r="P1360" i="9"/>
  <c r="P1322" i="9"/>
  <c r="N1220" i="9"/>
  <c r="O1220" i="9"/>
  <c r="N1211" i="9"/>
  <c r="M170" i="12" s="1"/>
  <c r="N170" i="12" s="1"/>
  <c r="M278" i="10" s="1"/>
  <c r="N278" i="10" s="1"/>
  <c r="P1118" i="9"/>
  <c r="O1093" i="9"/>
  <c r="O1087" i="9"/>
  <c r="N1083" i="9"/>
  <c r="M149" i="12" s="1"/>
  <c r="N149" i="12" s="1"/>
  <c r="M383" i="10" s="1"/>
  <c r="N383" i="10" s="1"/>
  <c r="O1501" i="9"/>
  <c r="O1446" i="9"/>
  <c r="P1418" i="9"/>
  <c r="O1377" i="9"/>
  <c r="O1299" i="9"/>
  <c r="P1232" i="9"/>
  <c r="L1226" i="9"/>
  <c r="O1226" i="9"/>
  <c r="L1211" i="9"/>
  <c r="K170" i="12" s="1"/>
  <c r="L170" i="12" s="1"/>
  <c r="K278" i="10" s="1"/>
  <c r="L278" i="10" s="1"/>
  <c r="AE278" i="10" s="1"/>
  <c r="P1382" i="9"/>
  <c r="N1301" i="9"/>
  <c r="M185" i="12" s="1"/>
  <c r="N185" i="12" s="1"/>
  <c r="M270" i="10" s="1"/>
  <c r="N270" i="10" s="1"/>
  <c r="N1292" i="9"/>
  <c r="O1292" i="9"/>
  <c r="N1283" i="9"/>
  <c r="M182" i="12" s="1"/>
  <c r="N182" i="12" s="1"/>
  <c r="M267" i="10" s="1"/>
  <c r="N267" i="10" s="1"/>
  <c r="I1235" i="9"/>
  <c r="O1476" i="9"/>
  <c r="O1440" i="9"/>
  <c r="P1396" i="9"/>
  <c r="O1365" i="9"/>
  <c r="P1304" i="9"/>
  <c r="L1298" i="9"/>
  <c r="O1298" i="9"/>
  <c r="L1283" i="9"/>
  <c r="K182" i="12" s="1"/>
  <c r="L182" i="12" s="1"/>
  <c r="K267" i="10" s="1"/>
  <c r="L267" i="10" s="1"/>
  <c r="AE267" i="10" s="1"/>
  <c r="P1252" i="9"/>
  <c r="P1220" i="9"/>
  <c r="P1214" i="9"/>
  <c r="I1211" i="9"/>
  <c r="O1129" i="9"/>
  <c r="O1123" i="9"/>
  <c r="P1390" i="9"/>
  <c r="P1376" i="9"/>
  <c r="N1364" i="9"/>
  <c r="P1364" i="9" s="1"/>
  <c r="O1364" i="9"/>
  <c r="N1355" i="9"/>
  <c r="M194" i="12" s="1"/>
  <c r="N194" i="12" s="1"/>
  <c r="M750" i="10" s="1"/>
  <c r="N750" i="10" s="1"/>
  <c r="N1162" i="9"/>
  <c r="M162" i="12" s="1"/>
  <c r="N162" i="12" s="1"/>
  <c r="M386" i="10" s="1"/>
  <c r="N386" i="10" s="1"/>
  <c r="N1131" i="9"/>
  <c r="M157" i="12" s="1"/>
  <c r="N157" i="12" s="1"/>
  <c r="M29" i="10" s="1"/>
  <c r="N29" i="10" s="1"/>
  <c r="O1033" i="9"/>
  <c r="N1400" i="9"/>
  <c r="O1400" i="9"/>
  <c r="L1370" i="9"/>
  <c r="O1370" i="9"/>
  <c r="L1355" i="9"/>
  <c r="K194" i="12" s="1"/>
  <c r="L194" i="12" s="1"/>
  <c r="K750" i="10" s="1"/>
  <c r="L750" i="10" s="1"/>
  <c r="AE750" i="10" s="1"/>
  <c r="P1292" i="9"/>
  <c r="I1283" i="9"/>
  <c r="O1178" i="9"/>
  <c r="O1172" i="9"/>
  <c r="N1349" i="9"/>
  <c r="M193" i="12" s="1"/>
  <c r="N193" i="12" s="1"/>
  <c r="M748" i="10" s="1"/>
  <c r="N748" i="10" s="1"/>
  <c r="O1263" i="9"/>
  <c r="O1257" i="9"/>
  <c r="P1048" i="9"/>
  <c r="O1001" i="9"/>
  <c r="P1352" i="9"/>
  <c r="P1316" i="9"/>
  <c r="P1280" i="9"/>
  <c r="P1244" i="9"/>
  <c r="P1208" i="9"/>
  <c r="P1310" i="9"/>
  <c r="N1017" i="10"/>
  <c r="M187" i="11" s="1"/>
  <c r="N187" i="11" s="1"/>
  <c r="P993" i="10"/>
  <c r="O1376" i="9"/>
  <c r="O1340" i="9"/>
  <c r="O1304" i="9"/>
  <c r="O1268" i="9"/>
  <c r="O1232" i="9"/>
  <c r="L1017" i="10"/>
  <c r="K187" i="11" s="1"/>
  <c r="L187" i="11" s="1"/>
  <c r="L698" i="10"/>
  <c r="P698" i="10" s="1"/>
  <c r="O698" i="10"/>
  <c r="P703" i="10"/>
  <c r="O704" i="10"/>
  <c r="L644" i="10"/>
  <c r="P644" i="10" s="1"/>
  <c r="P704" i="10"/>
  <c r="O699" i="10"/>
  <c r="O702" i="10"/>
  <c r="L699" i="10"/>
  <c r="P699" i="10" s="1"/>
  <c r="O645" i="10"/>
  <c r="P416" i="10"/>
  <c r="L418" i="10"/>
  <c r="P418" i="10" s="1"/>
  <c r="O418" i="10"/>
  <c r="P417" i="10"/>
  <c r="P1024" i="10"/>
  <c r="L1069" i="10"/>
  <c r="K188" i="11" s="1"/>
  <c r="L188" i="11" s="1"/>
  <c r="N1173" i="10"/>
  <c r="M216" i="11" s="1"/>
  <c r="N216" i="11" s="1"/>
  <c r="P1165" i="10"/>
  <c r="P1149" i="10"/>
  <c r="L1173" i="10"/>
  <c r="K216" i="11" s="1"/>
  <c r="L216" i="11" s="1"/>
  <c r="L237" i="11" s="1"/>
  <c r="N1147" i="10"/>
  <c r="M215" i="11" s="1"/>
  <c r="N215" i="11" s="1"/>
  <c r="N237" i="11" s="1"/>
  <c r="P1008" i="10"/>
  <c r="P1031" i="10"/>
  <c r="P1036" i="10"/>
  <c r="P1010" i="10"/>
  <c r="P1041" i="10"/>
  <c r="N1069" i="10"/>
  <c r="M188" i="11" s="1"/>
  <c r="N188" i="11" s="1"/>
  <c r="P84" i="16" l="1"/>
  <c r="L16" i="6"/>
  <c r="H502" i="10"/>
  <c r="L28" i="6"/>
  <c r="H255" i="9"/>
  <c r="L34" i="6"/>
  <c r="H243" i="9"/>
  <c r="L40" i="6"/>
  <c r="H428" i="9"/>
  <c r="L52" i="6"/>
  <c r="H482" i="9"/>
  <c r="L58" i="6"/>
  <c r="H494" i="9"/>
  <c r="L64" i="6"/>
  <c r="H944" i="10"/>
  <c r="L76" i="6"/>
  <c r="H548" i="9"/>
  <c r="L82" i="6"/>
  <c r="H15" i="9"/>
  <c r="L88" i="6"/>
  <c r="H75" i="9"/>
  <c r="L112" i="6"/>
  <c r="H701" i="9"/>
  <c r="L136" i="6"/>
  <c r="H864" i="9"/>
  <c r="L142" i="6"/>
  <c r="H895" i="9"/>
  <c r="L148" i="6"/>
  <c r="H926" i="9"/>
  <c r="L154" i="6"/>
  <c r="H952" i="9"/>
  <c r="L160" i="6"/>
  <c r="H988" i="9"/>
  <c r="L166" i="6"/>
  <c r="H177" i="9"/>
  <c r="L172" i="6"/>
  <c r="H120" i="9"/>
  <c r="L202" i="6"/>
  <c r="H1062" i="9"/>
  <c r="L208" i="6"/>
  <c r="H1098" i="9"/>
  <c r="L214" i="6"/>
  <c r="H1134" i="9"/>
  <c r="L220" i="6"/>
  <c r="H387" i="10"/>
  <c r="L226" i="6"/>
  <c r="H1072" i="10"/>
  <c r="L238" i="6"/>
  <c r="H1123" i="10"/>
  <c r="L250" i="6"/>
  <c r="H443" i="10"/>
  <c r="L256" i="6"/>
  <c r="H1154" i="10"/>
  <c r="L262" i="6"/>
  <c r="H1160" i="10"/>
  <c r="L268" i="6"/>
  <c r="H1168" i="10"/>
  <c r="L286" i="6"/>
  <c r="AB1226" i="9"/>
  <c r="L292" i="6"/>
  <c r="AB1262" i="9"/>
  <c r="L298" i="6"/>
  <c r="AB1298" i="9"/>
  <c r="L304" i="6"/>
  <c r="AB1334" i="9"/>
  <c r="L316" i="6"/>
  <c r="H1171" i="10"/>
  <c r="L322" i="6"/>
  <c r="AB1400" i="9"/>
  <c r="L328" i="6"/>
  <c r="AB1422" i="9"/>
  <c r="L334" i="6"/>
  <c r="AB1458" i="9"/>
  <c r="L604" i="9"/>
  <c r="L606" i="9" s="1"/>
  <c r="K78" i="12" s="1"/>
  <c r="L78" i="12" s="1"/>
  <c r="L646" i="9"/>
  <c r="L648" i="9" s="1"/>
  <c r="K84" i="12" s="1"/>
  <c r="L84" i="12" s="1"/>
  <c r="K667" i="10" s="1"/>
  <c r="L667" i="10" s="1"/>
  <c r="AE667" i="10" s="1"/>
  <c r="L934" i="9"/>
  <c r="P1317" i="9"/>
  <c r="L688" i="9"/>
  <c r="L690" i="9" s="1"/>
  <c r="K90" i="12" s="1"/>
  <c r="L90" i="12" s="1"/>
  <c r="K669" i="10" s="1"/>
  <c r="L669" i="10" s="1"/>
  <c r="AE669" i="10" s="1"/>
  <c r="L730" i="9"/>
  <c r="L732" i="9" s="1"/>
  <c r="K96" i="12" s="1"/>
  <c r="L96" i="12" s="1"/>
  <c r="L772" i="9"/>
  <c r="L774" i="9" s="1"/>
  <c r="K102" i="12" s="1"/>
  <c r="L102" i="12" s="1"/>
  <c r="K299" i="10" s="1"/>
  <c r="L299" i="10" s="1"/>
  <c r="AE299" i="10" s="1"/>
  <c r="L211" i="11"/>
  <c r="N1259" i="9"/>
  <c r="I40" i="9"/>
  <c r="N40" i="9"/>
  <c r="N42" i="9" s="1"/>
  <c r="M8" i="12" s="1"/>
  <c r="N8" i="12" s="1"/>
  <c r="I102" i="9"/>
  <c r="N102" i="9"/>
  <c r="N104" i="9" s="1"/>
  <c r="M14" i="12" s="1"/>
  <c r="N14" i="12" s="1"/>
  <c r="M957" i="10" s="1"/>
  <c r="N957" i="10" s="1"/>
  <c r="G60" i="15"/>
  <c r="G190" i="9" s="1"/>
  <c r="O60" i="15"/>
  <c r="L196" i="9"/>
  <c r="N196" i="9"/>
  <c r="I196" i="9"/>
  <c r="P196" i="9" s="1"/>
  <c r="I211" i="9"/>
  <c r="L211" i="9"/>
  <c r="N211" i="9"/>
  <c r="N213" i="9"/>
  <c r="I213" i="9"/>
  <c r="L307" i="9"/>
  <c r="L309" i="9" s="1"/>
  <c r="K34" i="12" s="1"/>
  <c r="L34" i="12" s="1"/>
  <c r="K370" i="10" s="1"/>
  <c r="L370" i="10" s="1"/>
  <c r="AE370" i="10" s="1"/>
  <c r="I307" i="9"/>
  <c r="N307" i="9"/>
  <c r="N309" i="9" s="1"/>
  <c r="M34" i="12" s="1"/>
  <c r="N34" i="12" s="1"/>
  <c r="M370" i="10" s="1"/>
  <c r="N370" i="10" s="1"/>
  <c r="I453" i="9"/>
  <c r="N453" i="9"/>
  <c r="N455" i="9" s="1"/>
  <c r="M54" i="12" s="1"/>
  <c r="N54" i="12" s="1"/>
  <c r="I489" i="9"/>
  <c r="I491" i="9" s="1"/>
  <c r="N489" i="9"/>
  <c r="N491" i="9" s="1"/>
  <c r="M60" i="12" s="1"/>
  <c r="N60" i="12" s="1"/>
  <c r="M847" i="10" s="1"/>
  <c r="N847" i="10" s="1"/>
  <c r="I525" i="9"/>
  <c r="I527" i="9" s="1"/>
  <c r="N525" i="9"/>
  <c r="N527" i="9" s="1"/>
  <c r="M66" i="12" s="1"/>
  <c r="N66" i="12" s="1"/>
  <c r="M948" i="10" s="1"/>
  <c r="N948" i="10" s="1"/>
  <c r="N562" i="9"/>
  <c r="N564" i="9" s="1"/>
  <c r="M72" i="12" s="1"/>
  <c r="N72" i="12" s="1"/>
  <c r="M855" i="10" s="1"/>
  <c r="N855" i="10" s="1"/>
  <c r="I562" i="9"/>
  <c r="I604" i="9"/>
  <c r="N604" i="9"/>
  <c r="N606" i="9" s="1"/>
  <c r="M78" i="12" s="1"/>
  <c r="N78" i="12" s="1"/>
  <c r="I646" i="9"/>
  <c r="P646" i="9" s="1"/>
  <c r="N646" i="9"/>
  <c r="N648" i="9" s="1"/>
  <c r="M84" i="12" s="1"/>
  <c r="N84" i="12" s="1"/>
  <c r="M667" i="10" s="1"/>
  <c r="N667" i="10" s="1"/>
  <c r="I688" i="9"/>
  <c r="N688" i="9"/>
  <c r="N690" i="9" s="1"/>
  <c r="M90" i="12" s="1"/>
  <c r="N90" i="12" s="1"/>
  <c r="M669" i="10" s="1"/>
  <c r="N669" i="10" s="1"/>
  <c r="I730" i="9"/>
  <c r="P730" i="9" s="1"/>
  <c r="N730" i="9"/>
  <c r="N732" i="9" s="1"/>
  <c r="M96" i="12" s="1"/>
  <c r="N96" i="12" s="1"/>
  <c r="I772" i="9"/>
  <c r="P772" i="9" s="1"/>
  <c r="N772" i="9"/>
  <c r="N774" i="9" s="1"/>
  <c r="M102" i="12" s="1"/>
  <c r="N102" i="12" s="1"/>
  <c r="M299" i="10" s="1"/>
  <c r="N299" i="10" s="1"/>
  <c r="I847" i="9"/>
  <c r="N847" i="9"/>
  <c r="N849" i="9" s="1"/>
  <c r="M113" i="12" s="1"/>
  <c r="N113" i="12" s="1"/>
  <c r="N883" i="9"/>
  <c r="N885" i="9" s="1"/>
  <c r="M119" i="12" s="1"/>
  <c r="N119" i="12" s="1"/>
  <c r="I883" i="9"/>
  <c r="P883" i="9" s="1"/>
  <c r="I934" i="9"/>
  <c r="P934" i="9" s="1"/>
  <c r="N934" i="9"/>
  <c r="K267" i="9"/>
  <c r="L267" i="9" s="1"/>
  <c r="L220" i="12"/>
  <c r="N220" i="12"/>
  <c r="M267" i="9"/>
  <c r="N267" i="9" s="1"/>
  <c r="N270" i="9" s="1"/>
  <c r="M28" i="12" s="1"/>
  <c r="N28" i="12" s="1"/>
  <c r="M647" i="10" s="1"/>
  <c r="N647" i="10" s="1"/>
  <c r="L4" i="6"/>
  <c r="H296" i="9"/>
  <c r="H297" i="9"/>
  <c r="L5" i="6"/>
  <c r="H305" i="9"/>
  <c r="H304" i="9"/>
  <c r="L6" i="6"/>
  <c r="H313" i="9"/>
  <c r="H312" i="9"/>
  <c r="L7" i="6"/>
  <c r="H321" i="9"/>
  <c r="H320" i="9"/>
  <c r="L8" i="6"/>
  <c r="H328" i="9"/>
  <c r="H329" i="9"/>
  <c r="L9" i="6"/>
  <c r="H336" i="9"/>
  <c r="H337" i="9"/>
  <c r="L10" i="6"/>
  <c r="H344" i="9"/>
  <c r="H345" i="9"/>
  <c r="L11" i="6"/>
  <c r="H354" i="9"/>
  <c r="H353" i="9"/>
  <c r="L12" i="6"/>
  <c r="H363" i="9"/>
  <c r="H362" i="9"/>
  <c r="L13" i="6"/>
  <c r="H372" i="9"/>
  <c r="H371" i="9"/>
  <c r="L14" i="6"/>
  <c r="H110" i="10"/>
  <c r="H58" i="10"/>
  <c r="H6" i="10"/>
  <c r="H319" i="10"/>
  <c r="H500" i="10"/>
  <c r="H553" i="10"/>
  <c r="H839" i="10"/>
  <c r="H162" i="10"/>
  <c r="H501" i="10"/>
  <c r="L15" i="6"/>
  <c r="H762" i="10"/>
  <c r="L17" i="6"/>
  <c r="L18" i="6"/>
  <c r="H763" i="10"/>
  <c r="H291" i="10"/>
  <c r="L19" i="6"/>
  <c r="H292" i="10"/>
  <c r="H764" i="10"/>
  <c r="H765" i="10"/>
  <c r="L20" i="6"/>
  <c r="L21" i="6"/>
  <c r="H381" i="9"/>
  <c r="H380" i="9"/>
  <c r="L22" i="6"/>
  <c r="H388" i="9"/>
  <c r="H387" i="9"/>
  <c r="L23" i="6"/>
  <c r="H395" i="9"/>
  <c r="H394" i="9"/>
  <c r="L24" i="6"/>
  <c r="H401" i="9"/>
  <c r="H402" i="9"/>
  <c r="L25" i="6"/>
  <c r="H408" i="9"/>
  <c r="H409" i="9"/>
  <c r="L26" i="6"/>
  <c r="H415" i="9"/>
  <c r="H416" i="9"/>
  <c r="L27" i="6"/>
  <c r="H235" i="9"/>
  <c r="H245" i="9"/>
  <c r="L29" i="6"/>
  <c r="H254" i="9"/>
  <c r="H244" i="9"/>
  <c r="H234" i="9"/>
  <c r="H232" i="9"/>
  <c r="L30" i="6"/>
  <c r="H242" i="9"/>
  <c r="L31" i="6"/>
  <c r="H252" i="9"/>
  <c r="L32" i="6"/>
  <c r="H233" i="9"/>
  <c r="L33" i="6"/>
  <c r="H253" i="9"/>
  <c r="L35" i="6"/>
  <c r="H422" i="9"/>
  <c r="L36" i="6"/>
  <c r="H372" i="10"/>
  <c r="L37" i="6"/>
  <c r="H579" i="10"/>
  <c r="L38" i="6"/>
  <c r="H659" i="10"/>
  <c r="L39" i="6"/>
  <c r="H434" i="9"/>
  <c r="L41" i="6"/>
  <c r="H440" i="9"/>
  <c r="L42" i="6"/>
  <c r="H446" i="9"/>
  <c r="L43" i="6"/>
  <c r="H452" i="9"/>
  <c r="L44" i="6"/>
  <c r="L45" i="6"/>
  <c r="H845" i="10"/>
  <c r="H558" i="10"/>
  <c r="H325" i="10"/>
  <c r="H64" i="10"/>
  <c r="H116" i="10"/>
  <c r="H168" i="10"/>
  <c r="H12" i="10"/>
  <c r="L46" i="6"/>
  <c r="H326" i="10"/>
  <c r="H559" i="10"/>
  <c r="H347" i="10"/>
  <c r="H508" i="10"/>
  <c r="H846" i="10"/>
  <c r="H893" i="10"/>
  <c r="I458" i="9"/>
  <c r="O458" i="9"/>
  <c r="I848" i="10"/>
  <c r="P848" i="10" s="1"/>
  <c r="O848" i="10"/>
  <c r="O849" i="10"/>
  <c r="I849" i="10"/>
  <c r="P849" i="10" s="1"/>
  <c r="O500" i="9"/>
  <c r="I500" i="9"/>
  <c r="O506" i="9"/>
  <c r="I506" i="9"/>
  <c r="I946" i="10"/>
  <c r="P946" i="10" s="1"/>
  <c r="O946" i="10"/>
  <c r="L67" i="6"/>
  <c r="H112" i="9"/>
  <c r="H90" i="9"/>
  <c r="H101" i="9"/>
  <c r="L68" i="6"/>
  <c r="H122" i="9"/>
  <c r="H947" i="10"/>
  <c r="H123" i="9"/>
  <c r="L69" i="6"/>
  <c r="I524" i="9"/>
  <c r="O524" i="9"/>
  <c r="I530" i="9"/>
  <c r="O530" i="9"/>
  <c r="I536" i="9"/>
  <c r="O536" i="9"/>
  <c r="O951" i="10"/>
  <c r="I951" i="10"/>
  <c r="P951" i="10" s="1"/>
  <c r="H542" i="9"/>
  <c r="L75" i="6"/>
  <c r="H554" i="9"/>
  <c r="L77" i="6"/>
  <c r="I135" i="9"/>
  <c r="P135" i="9" s="1"/>
  <c r="O135" i="9"/>
  <c r="I147" i="9"/>
  <c r="P147" i="9" s="1"/>
  <c r="O147" i="9"/>
  <c r="I159" i="9"/>
  <c r="P159" i="9" s="1"/>
  <c r="O159" i="9"/>
  <c r="H171" i="9"/>
  <c r="L81" i="6"/>
  <c r="H25" i="9"/>
  <c r="L83" i="6"/>
  <c r="O35" i="9"/>
  <c r="I35" i="9"/>
  <c r="I45" i="9"/>
  <c r="O45" i="9"/>
  <c r="O55" i="9"/>
  <c r="I55" i="9"/>
  <c r="H65" i="9"/>
  <c r="L87" i="6"/>
  <c r="L89" i="6"/>
  <c r="H144" i="9"/>
  <c r="H156" i="9"/>
  <c r="H132" i="9"/>
  <c r="H168" i="9"/>
  <c r="L91" i="6"/>
  <c r="H36" i="9"/>
  <c r="H46" i="9"/>
  <c r="H86" i="9"/>
  <c r="H66" i="9"/>
  <c r="H26" i="9"/>
  <c r="H16" i="9"/>
  <c r="H76" i="9"/>
  <c r="H108" i="9"/>
  <c r="H97" i="9"/>
  <c r="H56" i="9"/>
  <c r="L92" i="6"/>
  <c r="H560" i="9"/>
  <c r="H561" i="9"/>
  <c r="L95" i="6"/>
  <c r="H581" i="9"/>
  <c r="H582" i="9"/>
  <c r="L97" i="6"/>
  <c r="H595" i="9"/>
  <c r="H596" i="9"/>
  <c r="L98" i="6"/>
  <c r="H603" i="9"/>
  <c r="H602" i="9"/>
  <c r="L101" i="6"/>
  <c r="H624" i="9"/>
  <c r="H623" i="9"/>
  <c r="L103" i="6"/>
  <c r="H637" i="9"/>
  <c r="H638" i="9"/>
  <c r="L104" i="6"/>
  <c r="H645" i="9"/>
  <c r="H644" i="9"/>
  <c r="L107" i="6"/>
  <c r="H665" i="9"/>
  <c r="H666" i="9"/>
  <c r="L109" i="6"/>
  <c r="H679" i="9"/>
  <c r="H680" i="9"/>
  <c r="L110" i="6"/>
  <c r="H687" i="9"/>
  <c r="H686" i="9"/>
  <c r="L113" i="6"/>
  <c r="H707" i="9"/>
  <c r="H708" i="9"/>
  <c r="L115" i="6"/>
  <c r="H722" i="9"/>
  <c r="H721" i="9"/>
  <c r="L116" i="6"/>
  <c r="H729" i="9"/>
  <c r="H728" i="9"/>
  <c r="L117" i="6"/>
  <c r="H735" i="9"/>
  <c r="H736" i="9"/>
  <c r="L119" i="6"/>
  <c r="H749" i="9"/>
  <c r="H750" i="9"/>
  <c r="L121" i="6"/>
  <c r="H763" i="9"/>
  <c r="H764" i="9"/>
  <c r="L122" i="6"/>
  <c r="H770" i="9"/>
  <c r="H771" i="9"/>
  <c r="L123" i="6"/>
  <c r="H777" i="9"/>
  <c r="H778" i="9"/>
  <c r="L125" i="6"/>
  <c r="H791" i="9"/>
  <c r="H792" i="9"/>
  <c r="L127" i="6"/>
  <c r="H806" i="9"/>
  <c r="H805" i="9"/>
  <c r="L128" i="6"/>
  <c r="H813" i="9"/>
  <c r="H812" i="9"/>
  <c r="L129" i="6"/>
  <c r="H820" i="9"/>
  <c r="H821" i="9"/>
  <c r="H834" i="9"/>
  <c r="L131" i="6"/>
  <c r="H846" i="9"/>
  <c r="L133" i="6"/>
  <c r="O852" i="9"/>
  <c r="I852" i="9"/>
  <c r="P852" i="9" s="1"/>
  <c r="H858" i="9"/>
  <c r="L135" i="6"/>
  <c r="H870" i="9"/>
  <c r="L137" i="6"/>
  <c r="H882" i="9"/>
  <c r="L139" i="6"/>
  <c r="L140" i="6"/>
  <c r="H203" i="9"/>
  <c r="H220" i="9"/>
  <c r="H179" i="9"/>
  <c r="H888" i="9"/>
  <c r="L141" i="6"/>
  <c r="L143" i="6"/>
  <c r="H917" i="10"/>
  <c r="H225" i="9"/>
  <c r="H902" i="9"/>
  <c r="L144" i="6"/>
  <c r="H908" i="9"/>
  <c r="L145" i="6"/>
  <c r="O914" i="9"/>
  <c r="I914" i="9"/>
  <c r="P914" i="9" s="1"/>
  <c r="H920" i="9"/>
  <c r="L147" i="6"/>
  <c r="H933" i="9"/>
  <c r="O933" i="9" s="1"/>
  <c r="L149" i="6"/>
  <c r="H187" i="9"/>
  <c r="L150" i="6"/>
  <c r="H186" i="9"/>
  <c r="L151" i="6"/>
  <c r="H946" i="9"/>
  <c r="L153" i="6"/>
  <c r="H958" i="9"/>
  <c r="L155" i="6"/>
  <c r="H964" i="9"/>
  <c r="L156" i="6"/>
  <c r="H970" i="9"/>
  <c r="I970" i="9" s="1"/>
  <c r="L157" i="6"/>
  <c r="O976" i="9"/>
  <c r="I976" i="9"/>
  <c r="H982" i="9"/>
  <c r="L159" i="6"/>
  <c r="H994" i="9"/>
  <c r="L161" i="6"/>
  <c r="H1000" i="9"/>
  <c r="L162" i="6"/>
  <c r="H221" i="9"/>
  <c r="L163" i="6"/>
  <c r="O189" i="9"/>
  <c r="I189" i="9"/>
  <c r="P189" i="9" s="1"/>
  <c r="H188" i="9"/>
  <c r="L165" i="6"/>
  <c r="H201" i="9"/>
  <c r="L167" i="6"/>
  <c r="L169" i="6"/>
  <c r="H155" i="9"/>
  <c r="H131" i="9"/>
  <c r="H143" i="9"/>
  <c r="H167" i="9"/>
  <c r="L170" i="6"/>
  <c r="H129" i="9"/>
  <c r="H141" i="9"/>
  <c r="H165" i="9"/>
  <c r="H153" i="9"/>
  <c r="L171" i="6"/>
  <c r="H157" i="9"/>
  <c r="H133" i="9"/>
  <c r="H145" i="9"/>
  <c r="H169" i="9"/>
  <c r="L173" i="6"/>
  <c r="H158" i="9"/>
  <c r="H134" i="9"/>
  <c r="H110" i="9"/>
  <c r="H88" i="9"/>
  <c r="H38" i="9"/>
  <c r="H170" i="9"/>
  <c r="H48" i="9"/>
  <c r="H99" i="9"/>
  <c r="H58" i="9"/>
  <c r="H28" i="9"/>
  <c r="H68" i="9"/>
  <c r="H18" i="9"/>
  <c r="H78" i="9"/>
  <c r="H146" i="9"/>
  <c r="O146" i="9" s="1"/>
  <c r="L174" i="6"/>
  <c r="H49" i="9"/>
  <c r="H100" i="9"/>
  <c r="H111" i="9"/>
  <c r="H19" i="9"/>
  <c r="H39" i="9"/>
  <c r="H89" i="9"/>
  <c r="H59" i="9"/>
  <c r="H69" i="9"/>
  <c r="H79" i="9"/>
  <c r="H29" i="9"/>
  <c r="H121" i="9"/>
  <c r="L175" i="6"/>
  <c r="H278" i="9"/>
  <c r="H290" i="9"/>
  <c r="H284" i="9"/>
  <c r="L176" i="6"/>
  <c r="H1006" i="9"/>
  <c r="H1007" i="9"/>
  <c r="L177" i="6"/>
  <c r="H1015" i="9"/>
  <c r="H1014" i="9"/>
  <c r="L178" i="6"/>
  <c r="H1023" i="9"/>
  <c r="H1022" i="9"/>
  <c r="L179" i="6"/>
  <c r="H1030" i="9"/>
  <c r="H1031" i="9"/>
  <c r="L180" i="6"/>
  <c r="H1039" i="9"/>
  <c r="H1038" i="9"/>
  <c r="L181" i="6"/>
  <c r="H1046" i="9"/>
  <c r="H1047" i="9"/>
  <c r="L182" i="6"/>
  <c r="H1055" i="9"/>
  <c r="H1054" i="9"/>
  <c r="L183" i="6"/>
  <c r="H408" i="10"/>
  <c r="H974" i="10"/>
  <c r="H432" i="10"/>
  <c r="L184" i="6"/>
  <c r="H975" i="10"/>
  <c r="I975" i="10" s="1"/>
  <c r="P975" i="10" s="1"/>
  <c r="H433" i="10"/>
  <c r="H734" i="10"/>
  <c r="H247" i="10"/>
  <c r="L185" i="6"/>
  <c r="H801" i="10"/>
  <c r="H518" i="10"/>
  <c r="H248" i="10"/>
  <c r="H902" i="10"/>
  <c r="L186" i="6"/>
  <c r="H735" i="10"/>
  <c r="H802" i="10"/>
  <c r="H463" i="10"/>
  <c r="H639" i="10"/>
  <c r="H519" i="10"/>
  <c r="H249" i="10"/>
  <c r="L187" i="6"/>
  <c r="H464" i="10"/>
  <c r="H736" i="10"/>
  <c r="H803" i="10"/>
  <c r="H304" i="10"/>
  <c r="H250" i="10"/>
  <c r="H409" i="10"/>
  <c r="L188" i="6"/>
  <c r="H251" i="10"/>
  <c r="H737" i="10"/>
  <c r="H804" i="10"/>
  <c r="H465" i="10"/>
  <c r="L189" i="6"/>
  <c r="H410" i="10"/>
  <c r="H252" i="10"/>
  <c r="H692" i="10"/>
  <c r="H738" i="10"/>
  <c r="L190" i="6"/>
  <c r="H434" i="10"/>
  <c r="H976" i="10"/>
  <c r="H411" i="10"/>
  <c r="L191" i="6"/>
  <c r="H435" i="10"/>
  <c r="H739" i="10"/>
  <c r="H977" i="10"/>
  <c r="H253" i="10"/>
  <c r="L192" i="6"/>
  <c r="H520" i="10"/>
  <c r="H903" i="10"/>
  <c r="H254" i="10"/>
  <c r="H805" i="10"/>
  <c r="L193" i="6"/>
  <c r="H640" i="10"/>
  <c r="H740" i="10"/>
  <c r="H521" i="10"/>
  <c r="H466" i="10"/>
  <c r="H255" i="10"/>
  <c r="H806" i="10"/>
  <c r="L194" i="6"/>
  <c r="H467" i="10"/>
  <c r="H256" i="10"/>
  <c r="H807" i="10"/>
  <c r="H412" i="10"/>
  <c r="H305" i="10"/>
  <c r="H741" i="10"/>
  <c r="L195" i="6"/>
  <c r="H742" i="10"/>
  <c r="H808" i="10"/>
  <c r="H468" i="10"/>
  <c r="H257" i="10"/>
  <c r="L196" i="6"/>
  <c r="H693" i="10"/>
  <c r="H413" i="10"/>
  <c r="H258" i="10"/>
  <c r="H743" i="10"/>
  <c r="L197" i="6"/>
  <c r="H904" i="10"/>
  <c r="H809" i="10"/>
  <c r="H522" i="10"/>
  <c r="H259" i="10"/>
  <c r="L198" i="6"/>
  <c r="H810" i="10"/>
  <c r="H744" i="10"/>
  <c r="H260" i="10"/>
  <c r="H469" i="10"/>
  <c r="H641" i="10"/>
  <c r="H523" i="10"/>
  <c r="O1068" i="9"/>
  <c r="I1068" i="9"/>
  <c r="O1086" i="9"/>
  <c r="I1086" i="9"/>
  <c r="I1104" i="9"/>
  <c r="O1104" i="9"/>
  <c r="O1110" i="9"/>
  <c r="I1110" i="9"/>
  <c r="O1122" i="9"/>
  <c r="I1122" i="9"/>
  <c r="I1140" i="9"/>
  <c r="O1140" i="9"/>
  <c r="O385" i="10"/>
  <c r="I385" i="10"/>
  <c r="P385" i="10" s="1"/>
  <c r="H1159" i="9"/>
  <c r="L219" i="6"/>
  <c r="L221" i="6"/>
  <c r="H83" i="10"/>
  <c r="H135" i="10"/>
  <c r="I1165" i="9"/>
  <c r="O1165" i="9"/>
  <c r="H1071" i="10"/>
  <c r="L225" i="6"/>
  <c r="H1073" i="10"/>
  <c r="L227" i="6"/>
  <c r="I1076" i="10"/>
  <c r="P1076" i="10" s="1"/>
  <c r="O1076" i="10"/>
  <c r="H1077" i="10"/>
  <c r="L231" i="6"/>
  <c r="L234" i="6"/>
  <c r="H1183" i="9"/>
  <c r="H998" i="10"/>
  <c r="I1002" i="10"/>
  <c r="P1002" i="10" s="1"/>
  <c r="O1002" i="10"/>
  <c r="H1013" i="10"/>
  <c r="L237" i="6"/>
  <c r="H1124" i="10"/>
  <c r="L239" i="6"/>
  <c r="H437" i="10"/>
  <c r="L243" i="6"/>
  <c r="O609" i="10"/>
  <c r="I609" i="10"/>
  <c r="P609" i="10" s="1"/>
  <c r="O441" i="10"/>
  <c r="I441" i="10"/>
  <c r="P441" i="10" s="1"/>
  <c r="H442" i="10"/>
  <c r="L249" i="6"/>
  <c r="H444" i="10"/>
  <c r="L251" i="6"/>
  <c r="O1152" i="10"/>
  <c r="I1152" i="10"/>
  <c r="P1152" i="10" s="1"/>
  <c r="H1153" i="10"/>
  <c r="L255" i="6"/>
  <c r="H1155" i="10"/>
  <c r="L257" i="6"/>
  <c r="O1156" i="10"/>
  <c r="I1156" i="10"/>
  <c r="P1156" i="10" s="1"/>
  <c r="O1158" i="10"/>
  <c r="I1158" i="10"/>
  <c r="P1158" i="10" s="1"/>
  <c r="H1159" i="10"/>
  <c r="L261" i="6"/>
  <c r="H1162" i="10"/>
  <c r="L263" i="6"/>
  <c r="I1166" i="10"/>
  <c r="P1166" i="10" s="1"/>
  <c r="O1166" i="10"/>
  <c r="H1167" i="10"/>
  <c r="L267" i="6"/>
  <c r="H389" i="10"/>
  <c r="L269" i="6"/>
  <c r="I646" i="10"/>
  <c r="P646" i="10" s="1"/>
  <c r="O646" i="10"/>
  <c r="H1170" i="10"/>
  <c r="L281" i="6"/>
  <c r="AB1208" i="9"/>
  <c r="L283" i="6"/>
  <c r="AB1220" i="9"/>
  <c r="L285" i="6"/>
  <c r="AB1232" i="9"/>
  <c r="L287" i="6"/>
  <c r="AB1244" i="9"/>
  <c r="L289" i="6"/>
  <c r="AB1256" i="9"/>
  <c r="L291" i="6"/>
  <c r="AB1268" i="9"/>
  <c r="L293" i="6"/>
  <c r="AB1274" i="9"/>
  <c r="L294" i="6"/>
  <c r="AB1280" i="9"/>
  <c r="L295" i="6"/>
  <c r="AB1292" i="9"/>
  <c r="L297" i="6"/>
  <c r="AB1304" i="9"/>
  <c r="L299" i="6"/>
  <c r="AB1310" i="9"/>
  <c r="L300" i="6"/>
  <c r="AB1316" i="9"/>
  <c r="L301" i="6"/>
  <c r="AB1328" i="9"/>
  <c r="L303" i="6"/>
  <c r="AB1340" i="9"/>
  <c r="L305" i="6"/>
  <c r="AB1346" i="9"/>
  <c r="L306" i="6"/>
  <c r="AB1352" i="9"/>
  <c r="L307" i="6"/>
  <c r="AB1364" i="9"/>
  <c r="L309" i="6"/>
  <c r="H1014" i="10"/>
  <c r="L311" i="6"/>
  <c r="H1047" i="10"/>
  <c r="L312" i="6"/>
  <c r="H1078" i="10"/>
  <c r="L313" i="6"/>
  <c r="H1098" i="10"/>
  <c r="L314" i="6"/>
  <c r="H1126" i="10"/>
  <c r="L315" i="6"/>
  <c r="AB1370" i="9"/>
  <c r="L317" i="6"/>
  <c r="AB1376" i="9"/>
  <c r="L318" i="6"/>
  <c r="AB1382" i="9"/>
  <c r="L319" i="6"/>
  <c r="AB1388" i="9"/>
  <c r="L320" i="6"/>
  <c r="AB1394" i="9"/>
  <c r="L321" i="6"/>
  <c r="AB1406" i="9"/>
  <c r="L323" i="6"/>
  <c r="AB1412" i="9"/>
  <c r="L324" i="6"/>
  <c r="AB1428" i="9"/>
  <c r="L329" i="6"/>
  <c r="AB1434" i="9"/>
  <c r="L330" i="6"/>
  <c r="AB1440" i="9"/>
  <c r="L331" i="6"/>
  <c r="AB1446" i="9"/>
  <c r="L332" i="6"/>
  <c r="AB1452" i="9"/>
  <c r="L333" i="6"/>
  <c r="AB1464" i="9"/>
  <c r="L335" i="6"/>
  <c r="AB1470" i="9"/>
  <c r="L336" i="6"/>
  <c r="AB1476" i="9"/>
  <c r="L337" i="6"/>
  <c r="O498" i="15"/>
  <c r="G498" i="15"/>
  <c r="G1099" i="9" s="1"/>
  <c r="O438" i="15"/>
  <c r="G438" i="15"/>
  <c r="G965" i="9" s="1"/>
  <c r="O257" i="15"/>
  <c r="G257" i="15"/>
  <c r="G583" i="9" s="1"/>
  <c r="O395" i="15"/>
  <c r="G395" i="15"/>
  <c r="G889" i="9" s="1"/>
  <c r="O233" i="15"/>
  <c r="G233" i="15"/>
  <c r="G531" i="9" s="1"/>
  <c r="O341" i="15"/>
  <c r="G341" i="15"/>
  <c r="G779" i="9" s="1"/>
  <c r="O305" i="15"/>
  <c r="G305" i="15"/>
  <c r="G695" i="9" s="1"/>
  <c r="O426" i="15"/>
  <c r="G426" i="15"/>
  <c r="G941" i="9" s="1"/>
  <c r="O102" i="15"/>
  <c r="G102" i="15"/>
  <c r="G257" i="9" s="1"/>
  <c r="O81" i="15"/>
  <c r="G81" i="15"/>
  <c r="G215" i="9" s="1"/>
  <c r="O1465" i="9"/>
  <c r="L1465" i="9"/>
  <c r="L1429" i="9"/>
  <c r="O1429" i="9"/>
  <c r="L1447" i="9"/>
  <c r="L1449" i="9" s="1"/>
  <c r="K210" i="12" s="1"/>
  <c r="L210" i="12" s="1"/>
  <c r="O1447" i="9"/>
  <c r="O441" i="9"/>
  <c r="L441" i="9"/>
  <c r="L443" i="9" s="1"/>
  <c r="K52" i="12" s="1"/>
  <c r="L52" i="12" s="1"/>
  <c r="O417" i="9"/>
  <c r="L417" i="9"/>
  <c r="O423" i="9"/>
  <c r="L423" i="9"/>
  <c r="L425" i="9" s="1"/>
  <c r="K49" i="12" s="1"/>
  <c r="L49" i="12" s="1"/>
  <c r="K371" i="10" s="1"/>
  <c r="L371" i="10" s="1"/>
  <c r="AE371" i="10" s="1"/>
  <c r="L632" i="9"/>
  <c r="L634" i="9" s="1"/>
  <c r="K82" i="12" s="1"/>
  <c r="L82" i="12" s="1"/>
  <c r="K665" i="10" s="1"/>
  <c r="L665" i="10" s="1"/>
  <c r="AE665" i="10" s="1"/>
  <c r="O632" i="9"/>
  <c r="L465" i="9"/>
  <c r="L467" i="9" s="1"/>
  <c r="K56" i="12" s="1"/>
  <c r="L56" i="12" s="1"/>
  <c r="K605" i="10" s="1"/>
  <c r="L605" i="10" s="1"/>
  <c r="AE605" i="10" s="1"/>
  <c r="O465" i="9"/>
  <c r="O279" i="9"/>
  <c r="L279" i="9"/>
  <c r="L814" i="9"/>
  <c r="O814" i="9"/>
  <c r="O80" i="15"/>
  <c r="G80" i="15"/>
  <c r="G214" i="9" s="1"/>
  <c r="L765" i="9"/>
  <c r="L767" i="9" s="1"/>
  <c r="K101" i="12" s="1"/>
  <c r="L101" i="12" s="1"/>
  <c r="O765" i="9"/>
  <c r="J83" i="16"/>
  <c r="J84" i="16" s="1"/>
  <c r="K716" i="10"/>
  <c r="L716" i="10" s="1"/>
  <c r="AE716" i="10" s="1"/>
  <c r="K399" i="10"/>
  <c r="L399" i="10" s="1"/>
  <c r="AE399" i="10" s="1"/>
  <c r="K225" i="10"/>
  <c r="L225" i="10" s="1"/>
  <c r="AE225" i="10" s="1"/>
  <c r="K580" i="10"/>
  <c r="L580" i="10" s="1"/>
  <c r="AE580" i="10" s="1"/>
  <c r="K557" i="10"/>
  <c r="L557" i="10" s="1"/>
  <c r="AE557" i="10" s="1"/>
  <c r="K843" i="10"/>
  <c r="L843" i="10" s="1"/>
  <c r="AE843" i="10" s="1"/>
  <c r="K770" i="10"/>
  <c r="L770" i="10" s="1"/>
  <c r="AE770" i="10" s="1"/>
  <c r="K891" i="10"/>
  <c r="L891" i="10" s="1"/>
  <c r="AE891" i="10" s="1"/>
  <c r="K323" i="10"/>
  <c r="L323" i="10" s="1"/>
  <c r="AE323" i="10" s="1"/>
  <c r="K345" i="10"/>
  <c r="L345" i="10" s="1"/>
  <c r="AE345" i="10" s="1"/>
  <c r="K423" i="10"/>
  <c r="L423" i="10" s="1"/>
  <c r="AE423" i="10" s="1"/>
  <c r="K165" i="10"/>
  <c r="L165" i="10" s="1"/>
  <c r="AE165" i="10" s="1"/>
  <c r="K113" i="10"/>
  <c r="L113" i="10" s="1"/>
  <c r="AE113" i="10" s="1"/>
  <c r="K9" i="10"/>
  <c r="L9" i="10" s="1"/>
  <c r="AE9" i="10" s="1"/>
  <c r="K61" i="10"/>
  <c r="L61" i="10" s="1"/>
  <c r="AE61" i="10" s="1"/>
  <c r="K779" i="10"/>
  <c r="L779" i="10" s="1"/>
  <c r="AE779" i="10" s="1"/>
  <c r="K298" i="10"/>
  <c r="L298" i="10" s="1"/>
  <c r="AE298" i="10" s="1"/>
  <c r="C4" i="5"/>
  <c r="K32" i="11"/>
  <c r="L32" i="11" s="1"/>
  <c r="K775" i="10"/>
  <c r="L775" i="10" s="1"/>
  <c r="AE775" i="10" s="1"/>
  <c r="K396" i="10"/>
  <c r="L396" i="10" s="1"/>
  <c r="AE396" i="10" s="1"/>
  <c r="K710" i="10"/>
  <c r="L710" i="10" s="1"/>
  <c r="AE710" i="10" s="1"/>
  <c r="K217" i="10"/>
  <c r="L217" i="10" s="1"/>
  <c r="AE217" i="10" s="1"/>
  <c r="K374" i="10"/>
  <c r="L374" i="10" s="1"/>
  <c r="AE374" i="10" s="1"/>
  <c r="K663" i="10"/>
  <c r="L663" i="10" s="1"/>
  <c r="AE663" i="10" s="1"/>
  <c r="K449" i="10"/>
  <c r="L449" i="10" s="1"/>
  <c r="AE449" i="10" s="1"/>
  <c r="K194" i="10"/>
  <c r="L194" i="10" s="1"/>
  <c r="AE194" i="10" s="1"/>
  <c r="K141" i="10"/>
  <c r="L141" i="10" s="1"/>
  <c r="AE141" i="10" s="1"/>
  <c r="K89" i="10"/>
  <c r="L89" i="10" s="1"/>
  <c r="AE89" i="10" s="1"/>
  <c r="K39" i="10"/>
  <c r="L39" i="10" s="1"/>
  <c r="AE39" i="10" s="1"/>
  <c r="D4" i="5"/>
  <c r="M32" i="11"/>
  <c r="N32" i="11" s="1"/>
  <c r="L1373" i="9"/>
  <c r="K197" i="12" s="1"/>
  <c r="L197" i="12" s="1"/>
  <c r="P1370" i="9"/>
  <c r="I156" i="9"/>
  <c r="P156" i="9" s="1"/>
  <c r="O156" i="9"/>
  <c r="O57" i="9"/>
  <c r="I57" i="9"/>
  <c r="P57" i="9" s="1"/>
  <c r="O101" i="9"/>
  <c r="I101" i="9"/>
  <c r="P101" i="9" s="1"/>
  <c r="N211" i="11"/>
  <c r="P1226" i="9"/>
  <c r="I1319" i="9"/>
  <c r="K870" i="10"/>
  <c r="L870" i="10" s="1"/>
  <c r="AE870" i="10" s="1"/>
  <c r="K332" i="10"/>
  <c r="L332" i="10" s="1"/>
  <c r="AE332" i="10" s="1"/>
  <c r="I582" i="9"/>
  <c r="P582" i="9" s="1"/>
  <c r="O582" i="9"/>
  <c r="O18" i="9"/>
  <c r="I18" i="9"/>
  <c r="P18" i="9" s="1"/>
  <c r="I58" i="9"/>
  <c r="P58" i="9" s="1"/>
  <c r="O58" i="9"/>
  <c r="I904" i="10"/>
  <c r="P904" i="10" s="1"/>
  <c r="O904" i="10"/>
  <c r="I33" i="10"/>
  <c r="P33" i="10" s="1"/>
  <c r="O33" i="10"/>
  <c r="I744" i="10"/>
  <c r="P744" i="10" s="1"/>
  <c r="O744" i="10"/>
  <c r="L215" i="9"/>
  <c r="N215" i="9"/>
  <c r="I215" i="9"/>
  <c r="P215" i="9" s="1"/>
  <c r="I67" i="9"/>
  <c r="P67" i="9" s="1"/>
  <c r="O67" i="9"/>
  <c r="O714" i="9"/>
  <c r="I714" i="9"/>
  <c r="I735" i="10"/>
  <c r="P735" i="10" s="1"/>
  <c r="O735" i="10"/>
  <c r="I521" i="10"/>
  <c r="P521" i="10" s="1"/>
  <c r="O521" i="10"/>
  <c r="M184" i="9"/>
  <c r="N184" i="9" s="1"/>
  <c r="M208" i="9"/>
  <c r="N208" i="9" s="1"/>
  <c r="N219" i="12"/>
  <c r="I112" i="9"/>
  <c r="P112" i="9" s="1"/>
  <c r="O112" i="9"/>
  <c r="O76" i="9"/>
  <c r="I76" i="9"/>
  <c r="P76" i="9" s="1"/>
  <c r="I721" i="9"/>
  <c r="O721" i="9"/>
  <c r="O167" i="9"/>
  <c r="I167" i="9"/>
  <c r="P167" i="9" s="1"/>
  <c r="O409" i="10"/>
  <c r="I409" i="10"/>
  <c r="P409" i="10" s="1"/>
  <c r="L375" i="9"/>
  <c r="P375" i="9" s="1"/>
  <c r="I110" i="10"/>
  <c r="P110" i="10" s="1"/>
  <c r="O110" i="10"/>
  <c r="P470" i="9"/>
  <c r="P55" i="9"/>
  <c r="I770" i="9"/>
  <c r="O770" i="9"/>
  <c r="O141" i="9"/>
  <c r="I141" i="9"/>
  <c r="I741" i="10"/>
  <c r="P741" i="10" s="1"/>
  <c r="O741" i="10"/>
  <c r="P1122" i="9"/>
  <c r="P441" i="9"/>
  <c r="G101" i="15"/>
  <c r="G256" i="9" s="1"/>
  <c r="O101" i="15"/>
  <c r="L102" i="9"/>
  <c r="G117" i="15"/>
  <c r="G285" i="9" s="1"/>
  <c r="O117" i="15"/>
  <c r="O235" i="9"/>
  <c r="I235" i="9"/>
  <c r="P235" i="9" s="1"/>
  <c r="O64" i="10"/>
  <c r="I64" i="10"/>
  <c r="P64" i="10" s="1"/>
  <c r="I735" i="9"/>
  <c r="O735" i="9"/>
  <c r="I692" i="10"/>
  <c r="P692" i="10" s="1"/>
  <c r="O692" i="10"/>
  <c r="P1092" i="9"/>
  <c r="I411" i="10"/>
  <c r="P411" i="10" s="1"/>
  <c r="O411" i="10"/>
  <c r="O508" i="10"/>
  <c r="I508" i="10"/>
  <c r="P508" i="10" s="1"/>
  <c r="O142" i="9"/>
  <c r="I142" i="9"/>
  <c r="P142" i="9" s="1"/>
  <c r="I574" i="9"/>
  <c r="O574" i="9"/>
  <c r="O743" i="9"/>
  <c r="I743" i="9"/>
  <c r="P743" i="9" s="1"/>
  <c r="O247" i="10"/>
  <c r="I247" i="10"/>
  <c r="P247" i="10" s="1"/>
  <c r="I996" i="10"/>
  <c r="O996" i="10"/>
  <c r="I871" i="9"/>
  <c r="L871" i="9"/>
  <c r="L873" i="9" s="1"/>
  <c r="K117" i="12" s="1"/>
  <c r="L117" i="12" s="1"/>
  <c r="N871" i="9"/>
  <c r="N873" i="9" s="1"/>
  <c r="M117" i="12" s="1"/>
  <c r="N117" i="12" s="1"/>
  <c r="I1123" i="9"/>
  <c r="I1125" i="9" s="1"/>
  <c r="L1123" i="9"/>
  <c r="L1125" i="9" s="1"/>
  <c r="K156" i="12" s="1"/>
  <c r="L156" i="12" s="1"/>
  <c r="N1123" i="9"/>
  <c r="N1125" i="9" s="1"/>
  <c r="M156" i="12" s="1"/>
  <c r="N156" i="12" s="1"/>
  <c r="I1482" i="9"/>
  <c r="L1482" i="9"/>
  <c r="L1483" i="9" s="1"/>
  <c r="K216" i="12" s="1"/>
  <c r="N1482" i="9"/>
  <c r="N1483" i="9" s="1"/>
  <c r="M216" i="12" s="1"/>
  <c r="G539" i="15"/>
  <c r="G1178" i="9" s="1"/>
  <c r="O539" i="15"/>
  <c r="I1401" i="9"/>
  <c r="N1401" i="9"/>
  <c r="N1403" i="9" s="1"/>
  <c r="M202" i="12" s="1"/>
  <c r="N202" i="12" s="1"/>
  <c r="M868" i="10" s="1"/>
  <c r="N868" i="10" s="1"/>
  <c r="L1401" i="9"/>
  <c r="L1403" i="9" s="1"/>
  <c r="K202" i="12" s="1"/>
  <c r="L202" i="12" s="1"/>
  <c r="K868" i="10" s="1"/>
  <c r="L868" i="10" s="1"/>
  <c r="AE868" i="10" s="1"/>
  <c r="L983" i="9"/>
  <c r="L985" i="9" s="1"/>
  <c r="K135" i="12" s="1"/>
  <c r="L135" i="12" s="1"/>
  <c r="K380" i="10" s="1"/>
  <c r="L380" i="10" s="1"/>
  <c r="AE380" i="10" s="1"/>
  <c r="N983" i="9"/>
  <c r="N985" i="9" s="1"/>
  <c r="M135" i="12" s="1"/>
  <c r="N135" i="12" s="1"/>
  <c r="M380" i="10" s="1"/>
  <c r="N380" i="10" s="1"/>
  <c r="I983" i="9"/>
  <c r="L1293" i="9"/>
  <c r="L1295" i="9" s="1"/>
  <c r="K184" i="12" s="1"/>
  <c r="L184" i="12" s="1"/>
  <c r="K269" i="10" s="1"/>
  <c r="L269" i="10" s="1"/>
  <c r="AE269" i="10" s="1"/>
  <c r="I611" i="9"/>
  <c r="L611" i="9"/>
  <c r="L613" i="9" s="1"/>
  <c r="K79" i="12" s="1"/>
  <c r="L79" i="12" s="1"/>
  <c r="N611" i="9"/>
  <c r="N613" i="9" s="1"/>
  <c r="M79" i="12" s="1"/>
  <c r="N79" i="12" s="1"/>
  <c r="P632" i="9"/>
  <c r="G647" i="15"/>
  <c r="G1395" i="9" s="1"/>
  <c r="O647" i="15"/>
  <c r="N807" i="9"/>
  <c r="N809" i="9" s="1"/>
  <c r="M107" i="12" s="1"/>
  <c r="N107" i="12" s="1"/>
  <c r="M426" i="10" s="1"/>
  <c r="N426" i="10" s="1"/>
  <c r="L807" i="9"/>
  <c r="L809" i="9" s="1"/>
  <c r="K107" i="12" s="1"/>
  <c r="L107" i="12" s="1"/>
  <c r="K426" i="10" s="1"/>
  <c r="L426" i="10" s="1"/>
  <c r="AE426" i="10" s="1"/>
  <c r="I807" i="9"/>
  <c r="P807" i="9" s="1"/>
  <c r="L525" i="9"/>
  <c r="L527" i="9" s="1"/>
  <c r="K66" i="12" s="1"/>
  <c r="L66" i="12" s="1"/>
  <c r="K948" i="10" s="1"/>
  <c r="L948" i="10" s="1"/>
  <c r="AE948" i="10" s="1"/>
  <c r="I1117" i="9"/>
  <c r="L1117" i="9"/>
  <c r="L1119" i="9" s="1"/>
  <c r="K155" i="12" s="1"/>
  <c r="L155" i="12" s="1"/>
  <c r="N1117" i="9"/>
  <c r="N1119" i="9" s="1"/>
  <c r="M155" i="12" s="1"/>
  <c r="N155" i="12" s="1"/>
  <c r="I909" i="9"/>
  <c r="L909" i="9"/>
  <c r="L911" i="9" s="1"/>
  <c r="K123" i="12" s="1"/>
  <c r="L123" i="12" s="1"/>
  <c r="N909" i="9"/>
  <c r="N911" i="9" s="1"/>
  <c r="M123" i="12" s="1"/>
  <c r="N123" i="12" s="1"/>
  <c r="N597" i="9"/>
  <c r="N599" i="9" s="1"/>
  <c r="M77" i="12" s="1"/>
  <c r="N77" i="12" s="1"/>
  <c r="I597" i="9"/>
  <c r="L597" i="9"/>
  <c r="L599" i="9" s="1"/>
  <c r="K77" i="12" s="1"/>
  <c r="L77" i="12" s="1"/>
  <c r="I1172" i="9"/>
  <c r="L1172" i="9"/>
  <c r="L1174" i="9" s="1"/>
  <c r="K164" i="12" s="1"/>
  <c r="L164" i="12" s="1"/>
  <c r="K566" i="10" s="1"/>
  <c r="L566" i="10" s="1"/>
  <c r="AE566" i="10" s="1"/>
  <c r="N1172" i="9"/>
  <c r="N1174" i="9" s="1"/>
  <c r="M164" i="12" s="1"/>
  <c r="N164" i="12" s="1"/>
  <c r="M566" i="10" s="1"/>
  <c r="N566" i="10" s="1"/>
  <c r="P1081" i="9"/>
  <c r="L1311" i="9"/>
  <c r="L1313" i="9" s="1"/>
  <c r="K187" i="12" s="1"/>
  <c r="L187" i="12" s="1"/>
  <c r="K272" i="10" s="1"/>
  <c r="L272" i="10" s="1"/>
  <c r="AE272" i="10" s="1"/>
  <c r="I822" i="9"/>
  <c r="L822" i="9"/>
  <c r="L824" i="9" s="1"/>
  <c r="K109" i="12" s="1"/>
  <c r="L109" i="12" s="1"/>
  <c r="N822" i="9"/>
  <c r="N824" i="9" s="1"/>
  <c r="M109" i="12" s="1"/>
  <c r="N109" i="12" s="1"/>
  <c r="L1154" i="9"/>
  <c r="N1154" i="9"/>
  <c r="I1154" i="9"/>
  <c r="P1154" i="9" s="1"/>
  <c r="I792" i="9"/>
  <c r="P792" i="9" s="1"/>
  <c r="O792" i="9"/>
  <c r="I227" i="9"/>
  <c r="L227" i="9"/>
  <c r="N227" i="9"/>
  <c r="O12" i="10"/>
  <c r="I12" i="10"/>
  <c r="P12" i="10" s="1"/>
  <c r="G152" i="15"/>
  <c r="G365" i="9" s="1"/>
  <c r="O152" i="15"/>
  <c r="P1334" i="9"/>
  <c r="O62" i="15"/>
  <c r="G62" i="15"/>
  <c r="G192" i="9" s="1"/>
  <c r="I894" i="10"/>
  <c r="P894" i="10" s="1"/>
  <c r="O894" i="10"/>
  <c r="O581" i="9"/>
  <c r="I581" i="9"/>
  <c r="I809" i="10"/>
  <c r="P809" i="10" s="1"/>
  <c r="O809" i="10"/>
  <c r="I188" i="10"/>
  <c r="P188" i="10" s="1"/>
  <c r="O188" i="10"/>
  <c r="I111" i="9"/>
  <c r="P111" i="9" s="1"/>
  <c r="O111" i="9"/>
  <c r="I810" i="10"/>
  <c r="P810" i="10" s="1"/>
  <c r="O810" i="10"/>
  <c r="P530" i="9"/>
  <c r="I77" i="9"/>
  <c r="P77" i="9" s="1"/>
  <c r="O77" i="9"/>
  <c r="I715" i="9"/>
  <c r="P715" i="9" s="1"/>
  <c r="O715" i="9"/>
  <c r="I639" i="10"/>
  <c r="P639" i="10" s="1"/>
  <c r="O639" i="10"/>
  <c r="P933" i="9"/>
  <c r="O466" i="10"/>
  <c r="I466" i="10"/>
  <c r="P466" i="10" s="1"/>
  <c r="L1494" i="9"/>
  <c r="I90" i="9"/>
  <c r="P90" i="9" s="1"/>
  <c r="O90" i="9"/>
  <c r="O16" i="9"/>
  <c r="I16" i="9"/>
  <c r="P16" i="9" s="1"/>
  <c r="I722" i="9"/>
  <c r="P722" i="9" s="1"/>
  <c r="O722" i="9"/>
  <c r="I155" i="9"/>
  <c r="P155" i="9" s="1"/>
  <c r="O155" i="9"/>
  <c r="O811" i="10"/>
  <c r="I811" i="10"/>
  <c r="P811" i="10" s="1"/>
  <c r="L40" i="9"/>
  <c r="L42" i="9" s="1"/>
  <c r="K8" i="12" s="1"/>
  <c r="L8" i="12" s="1"/>
  <c r="P423" i="9"/>
  <c r="O560" i="9"/>
  <c r="I560" i="9"/>
  <c r="O813" i="9"/>
  <c r="I813" i="9"/>
  <c r="P813" i="9" s="1"/>
  <c r="O129" i="9"/>
  <c r="I129" i="9"/>
  <c r="I807" i="10"/>
  <c r="P807" i="10" s="1"/>
  <c r="O807" i="10"/>
  <c r="G48" i="15"/>
  <c r="G172" i="9" s="1"/>
  <c r="O48" i="15"/>
  <c r="I245" i="9"/>
  <c r="P245" i="9" s="1"/>
  <c r="O245" i="9"/>
  <c r="O778" i="9"/>
  <c r="I778" i="9"/>
  <c r="P778" i="9" s="1"/>
  <c r="O738" i="10"/>
  <c r="I738" i="10"/>
  <c r="P738" i="10" s="1"/>
  <c r="G65" i="15"/>
  <c r="G195" i="9" s="1"/>
  <c r="O65" i="15"/>
  <c r="G36" i="15"/>
  <c r="G124" i="9" s="1"/>
  <c r="O36" i="15"/>
  <c r="O157" i="15"/>
  <c r="G157" i="15"/>
  <c r="G374" i="9" s="1"/>
  <c r="I347" i="10"/>
  <c r="P347" i="10" s="1"/>
  <c r="O347" i="10"/>
  <c r="I130" i="9"/>
  <c r="P130" i="9" s="1"/>
  <c r="O130" i="9"/>
  <c r="O575" i="9"/>
  <c r="I575" i="9"/>
  <c r="P575" i="9" s="1"/>
  <c r="O784" i="9"/>
  <c r="I784" i="9"/>
  <c r="I743" i="10"/>
  <c r="P743" i="10" s="1"/>
  <c r="O743" i="10"/>
  <c r="O607" i="10"/>
  <c r="I607" i="10"/>
  <c r="P607" i="10" s="1"/>
  <c r="I1221" i="9"/>
  <c r="L1221" i="9"/>
  <c r="L1223" i="9" s="1"/>
  <c r="K172" i="12" s="1"/>
  <c r="L172" i="12" s="1"/>
  <c r="K275" i="10" s="1"/>
  <c r="L275" i="10" s="1"/>
  <c r="AE275" i="10" s="1"/>
  <c r="N1221" i="9"/>
  <c r="N1223" i="9" s="1"/>
  <c r="M172" i="12" s="1"/>
  <c r="N172" i="12" s="1"/>
  <c r="M275" i="10" s="1"/>
  <c r="N275" i="10" s="1"/>
  <c r="M182" i="9"/>
  <c r="N182" i="9" s="1"/>
  <c r="M206" i="9"/>
  <c r="N206" i="9" s="1"/>
  <c r="N218" i="12"/>
  <c r="L562" i="9"/>
  <c r="L1233" i="9"/>
  <c r="G197" i="15"/>
  <c r="G459" i="9" s="1"/>
  <c r="P1293" i="9"/>
  <c r="P800" i="9"/>
  <c r="G410" i="15"/>
  <c r="G915" i="9" s="1"/>
  <c r="G358" i="15"/>
  <c r="G815" i="9" s="1"/>
  <c r="L1105" i="9"/>
  <c r="L1107" i="9" s="1"/>
  <c r="K153" i="12" s="1"/>
  <c r="L153" i="12" s="1"/>
  <c r="K183" i="10" s="1"/>
  <c r="L183" i="10" s="1"/>
  <c r="AE183" i="10" s="1"/>
  <c r="N1105" i="9"/>
  <c r="N1107" i="9" s="1"/>
  <c r="M153" i="12" s="1"/>
  <c r="N153" i="12" s="1"/>
  <c r="M183" i="10" s="1"/>
  <c r="N183" i="10" s="1"/>
  <c r="I1105" i="9"/>
  <c r="G376" i="15"/>
  <c r="G853" i="9" s="1"/>
  <c r="L959" i="9"/>
  <c r="L961" i="9" s="1"/>
  <c r="K131" i="12" s="1"/>
  <c r="L131" i="12" s="1"/>
  <c r="K678" i="10" s="1"/>
  <c r="L678" i="10" s="1"/>
  <c r="AE678" i="10" s="1"/>
  <c r="G665" i="15"/>
  <c r="G1435" i="9" s="1"/>
  <c r="O665" i="15"/>
  <c r="P465" i="9"/>
  <c r="L1197" i="9"/>
  <c r="L1199" i="9" s="1"/>
  <c r="K168" i="12" s="1"/>
  <c r="L168" i="12" s="1"/>
  <c r="K978" i="10" s="1"/>
  <c r="L978" i="10" s="1"/>
  <c r="AE978" i="10" s="1"/>
  <c r="L674" i="9"/>
  <c r="L676" i="9" s="1"/>
  <c r="K88" i="12" s="1"/>
  <c r="L88" i="12" s="1"/>
  <c r="N674" i="9"/>
  <c r="N676" i="9" s="1"/>
  <c r="M88" i="12" s="1"/>
  <c r="N88" i="12" s="1"/>
  <c r="I674" i="9"/>
  <c r="H178" i="12"/>
  <c r="H170" i="12"/>
  <c r="P1211" i="9"/>
  <c r="I1467" i="9"/>
  <c r="N1295" i="9"/>
  <c r="M184" i="12" s="1"/>
  <c r="N184" i="12" s="1"/>
  <c r="M269" i="10" s="1"/>
  <c r="N269" i="10" s="1"/>
  <c r="M193" i="10"/>
  <c r="N193" i="10" s="1"/>
  <c r="M38" i="10"/>
  <c r="N38" i="10" s="1"/>
  <c r="M140" i="10"/>
  <c r="N140" i="10" s="1"/>
  <c r="M88" i="10"/>
  <c r="N88" i="10" s="1"/>
  <c r="H212" i="12"/>
  <c r="M779" i="10"/>
  <c r="N779" i="10" s="1"/>
  <c r="M298" i="10"/>
  <c r="N298" i="10" s="1"/>
  <c r="O582" i="10"/>
  <c r="I582" i="10"/>
  <c r="P582" i="10" s="1"/>
  <c r="P524" i="9"/>
  <c r="O522" i="10"/>
  <c r="I522" i="10"/>
  <c r="P522" i="10" s="1"/>
  <c r="O523" i="10"/>
  <c r="I523" i="10"/>
  <c r="P523" i="10" s="1"/>
  <c r="G138" i="15"/>
  <c r="G339" i="9" s="1"/>
  <c r="O138" i="15"/>
  <c r="I17" i="9"/>
  <c r="P17" i="9" s="1"/>
  <c r="O17" i="9"/>
  <c r="O756" i="9"/>
  <c r="I756" i="9"/>
  <c r="P964" i="9"/>
  <c r="I463" i="10"/>
  <c r="P463" i="10" s="1"/>
  <c r="O463" i="10"/>
  <c r="I255" i="10"/>
  <c r="P255" i="10" s="1"/>
  <c r="O255" i="10"/>
  <c r="N50" i="9"/>
  <c r="N52" i="9" s="1"/>
  <c r="M9" i="12" s="1"/>
  <c r="N9" i="12" s="1"/>
  <c r="I50" i="9"/>
  <c r="L50" i="9"/>
  <c r="L52" i="9" s="1"/>
  <c r="K9" i="12" s="1"/>
  <c r="L9" i="12" s="1"/>
  <c r="P1209" i="9"/>
  <c r="P1353" i="9"/>
  <c r="I1496" i="9"/>
  <c r="P536" i="9"/>
  <c r="I86" i="9"/>
  <c r="P86" i="9" s="1"/>
  <c r="O86" i="9"/>
  <c r="I763" i="9"/>
  <c r="O763" i="9"/>
  <c r="I143" i="9"/>
  <c r="P143" i="9" s="1"/>
  <c r="O143" i="9"/>
  <c r="I745" i="10"/>
  <c r="P745" i="10" s="1"/>
  <c r="O745" i="10"/>
  <c r="P1189" i="9"/>
  <c r="I1192" i="9"/>
  <c r="P323" i="9"/>
  <c r="O700" i="9"/>
  <c r="I700" i="9"/>
  <c r="O185" i="15"/>
  <c r="G185" i="15"/>
  <c r="G435" i="9" s="1"/>
  <c r="I561" i="9"/>
  <c r="P561" i="9" s="1"/>
  <c r="O561" i="9"/>
  <c r="I812" i="9"/>
  <c r="O812" i="9"/>
  <c r="I165" i="9"/>
  <c r="O165" i="9"/>
  <c r="I467" i="10"/>
  <c r="P467" i="10" s="1"/>
  <c r="O467" i="10"/>
  <c r="G129" i="15"/>
  <c r="G315" i="9" s="1"/>
  <c r="O129" i="15"/>
  <c r="G123" i="15"/>
  <c r="G299" i="9" s="1"/>
  <c r="O123" i="15"/>
  <c r="P476" i="9"/>
  <c r="P65" i="9"/>
  <c r="I777" i="9"/>
  <c r="O777" i="9"/>
  <c r="O410" i="10"/>
  <c r="I410" i="10"/>
  <c r="P410" i="10" s="1"/>
  <c r="P1128" i="9"/>
  <c r="I1131" i="9"/>
  <c r="I559" i="10"/>
  <c r="P559" i="10" s="1"/>
  <c r="O559" i="10"/>
  <c r="O107" i="9"/>
  <c r="I107" i="9"/>
  <c r="O616" i="9"/>
  <c r="I616" i="9"/>
  <c r="O785" i="9"/>
  <c r="I785" i="9"/>
  <c r="P785" i="9" s="1"/>
  <c r="O693" i="10"/>
  <c r="I693" i="10"/>
  <c r="P693" i="10" s="1"/>
  <c r="I438" i="10"/>
  <c r="P438" i="10" s="1"/>
  <c r="O438" i="10"/>
  <c r="L883" i="9"/>
  <c r="L885" i="9" s="1"/>
  <c r="K119" i="12" s="1"/>
  <c r="L119" i="12" s="1"/>
  <c r="G584" i="15"/>
  <c r="G1269" i="9" s="1"/>
  <c r="O584" i="15"/>
  <c r="L1490" i="9"/>
  <c r="N859" i="9"/>
  <c r="N861" i="9" s="1"/>
  <c r="M115" i="12" s="1"/>
  <c r="N115" i="12" s="1"/>
  <c r="L859" i="9"/>
  <c r="L861" i="9" s="1"/>
  <c r="K115" i="12" s="1"/>
  <c r="L115" i="12" s="1"/>
  <c r="I859" i="9"/>
  <c r="L995" i="9"/>
  <c r="L997" i="9" s="1"/>
  <c r="K137" i="12" s="1"/>
  <c r="L137" i="12" s="1"/>
  <c r="K682" i="10" s="1"/>
  <c r="L682" i="10" s="1"/>
  <c r="AE682" i="10" s="1"/>
  <c r="O620" i="15"/>
  <c r="G620" i="15"/>
  <c r="G1341" i="9" s="1"/>
  <c r="P1447" i="9"/>
  <c r="I1449" i="9"/>
  <c r="L829" i="9"/>
  <c r="L831" i="9" s="1"/>
  <c r="K110" i="12" s="1"/>
  <c r="L110" i="12" s="1"/>
  <c r="K400" i="10" s="1"/>
  <c r="L400" i="10" s="1"/>
  <c r="AE400" i="10" s="1"/>
  <c r="N829" i="9"/>
  <c r="N831" i="9" s="1"/>
  <c r="M110" i="12" s="1"/>
  <c r="N110" i="12" s="1"/>
  <c r="M400" i="10" s="1"/>
  <c r="N400" i="10" s="1"/>
  <c r="I829" i="9"/>
  <c r="G569" i="15"/>
  <c r="G1239" i="9" s="1"/>
  <c r="O569" i="15"/>
  <c r="P525" i="9"/>
  <c r="G382" i="15"/>
  <c r="G865" i="9" s="1"/>
  <c r="L1141" i="9"/>
  <c r="L1143" i="9" s="1"/>
  <c r="K159" i="12" s="1"/>
  <c r="L159" i="12" s="1"/>
  <c r="N1141" i="9"/>
  <c r="N1143" i="9" s="1"/>
  <c r="M159" i="12" s="1"/>
  <c r="N159" i="12" s="1"/>
  <c r="I1141" i="9"/>
  <c r="I1143" i="9" s="1"/>
  <c r="G522" i="15"/>
  <c r="G1147" i="9" s="1"/>
  <c r="O522" i="15"/>
  <c r="P959" i="9"/>
  <c r="O656" i="15"/>
  <c r="G656" i="15"/>
  <c r="G1413" i="9" s="1"/>
  <c r="I1365" i="9"/>
  <c r="L1365" i="9"/>
  <c r="L1367" i="9" s="1"/>
  <c r="K196" i="12" s="1"/>
  <c r="L196" i="12" s="1"/>
  <c r="K277" i="10" s="1"/>
  <c r="L277" i="10" s="1"/>
  <c r="AE277" i="10" s="1"/>
  <c r="N1365" i="9"/>
  <c r="L1160" i="9"/>
  <c r="N501" i="9"/>
  <c r="N503" i="9" s="1"/>
  <c r="M62" i="12" s="1"/>
  <c r="N62" i="12" s="1"/>
  <c r="M854" i="10" s="1"/>
  <c r="N854" i="10" s="1"/>
  <c r="I501" i="9"/>
  <c r="I503" i="9" s="1"/>
  <c r="L501" i="9"/>
  <c r="L503" i="9" s="1"/>
  <c r="K62" i="12" s="1"/>
  <c r="L62" i="12" s="1"/>
  <c r="K854" i="10" s="1"/>
  <c r="L854" i="10" s="1"/>
  <c r="AE854" i="10" s="1"/>
  <c r="I890" i="9"/>
  <c r="L890" i="9"/>
  <c r="N890" i="9"/>
  <c r="P1262" i="9"/>
  <c r="L1265" i="9"/>
  <c r="K179" i="12" s="1"/>
  <c r="L179" i="12" s="1"/>
  <c r="K472" i="10" s="1"/>
  <c r="L472" i="10" s="1"/>
  <c r="AE472" i="10" s="1"/>
  <c r="O66" i="9"/>
  <c r="I66" i="9"/>
  <c r="P66" i="9" s="1"/>
  <c r="O154" i="9"/>
  <c r="I154" i="9"/>
  <c r="P154" i="9" s="1"/>
  <c r="N1367" i="9"/>
  <c r="M196" i="12" s="1"/>
  <c r="N196" i="12" s="1"/>
  <c r="M277" i="10" s="1"/>
  <c r="N277" i="10" s="1"/>
  <c r="M870" i="10"/>
  <c r="N870" i="10" s="1"/>
  <c r="M332" i="10"/>
  <c r="N332" i="10" s="1"/>
  <c r="M192" i="10"/>
  <c r="N192" i="10" s="1"/>
  <c r="M37" i="10"/>
  <c r="N37" i="10" s="1"/>
  <c r="M139" i="10"/>
  <c r="N139" i="10" s="1"/>
  <c r="M87" i="10"/>
  <c r="N87" i="10" s="1"/>
  <c r="M590" i="10"/>
  <c r="N590" i="10" s="1"/>
  <c r="M353" i="10"/>
  <c r="N353" i="10" s="1"/>
  <c r="M125" i="10"/>
  <c r="N125" i="10" s="1"/>
  <c r="M73" i="10"/>
  <c r="N73" i="10" s="1"/>
  <c r="I169" i="10"/>
  <c r="P169" i="10" s="1"/>
  <c r="O169" i="10"/>
  <c r="I109" i="9"/>
  <c r="P109" i="9" s="1"/>
  <c r="O109" i="9"/>
  <c r="I757" i="9"/>
  <c r="P757" i="9" s="1"/>
  <c r="O757" i="9"/>
  <c r="I249" i="10"/>
  <c r="P249" i="10" s="1"/>
  <c r="O249" i="10"/>
  <c r="G21" i="15"/>
  <c r="G70" i="9" s="1"/>
  <c r="O21" i="15"/>
  <c r="P1080" i="9"/>
  <c r="I1083" i="9"/>
  <c r="I470" i="10"/>
  <c r="P470" i="10" s="1"/>
  <c r="O470" i="10"/>
  <c r="G153" i="15"/>
  <c r="G366" i="9" s="1"/>
  <c r="O305" i="10"/>
  <c r="I305" i="10"/>
  <c r="P305" i="10" s="1"/>
  <c r="N194" i="9"/>
  <c r="I194" i="9"/>
  <c r="L194" i="9"/>
  <c r="O167" i="15"/>
  <c r="G167" i="15"/>
  <c r="G396" i="9" s="1"/>
  <c r="O567" i="9"/>
  <c r="I567" i="9"/>
  <c r="I252" i="10"/>
  <c r="P252" i="10" s="1"/>
  <c r="O252" i="10"/>
  <c r="G42" i="15"/>
  <c r="G148" i="9" s="1"/>
  <c r="O42" i="15"/>
  <c r="L389" i="9"/>
  <c r="I326" i="10"/>
  <c r="P326" i="10" s="1"/>
  <c r="O326" i="10"/>
  <c r="O85" i="9"/>
  <c r="I85" i="9"/>
  <c r="O617" i="9"/>
  <c r="I617" i="9"/>
  <c r="P617" i="9" s="1"/>
  <c r="O827" i="9"/>
  <c r="I827" i="9"/>
  <c r="O413" i="10"/>
  <c r="I413" i="10"/>
  <c r="P413" i="10" s="1"/>
  <c r="I1491" i="9"/>
  <c r="G287" i="15"/>
  <c r="G653" i="9" s="1"/>
  <c r="L889" i="9"/>
  <c r="I751" i="9"/>
  <c r="L751" i="9"/>
  <c r="L753" i="9" s="1"/>
  <c r="K99" i="12" s="1"/>
  <c r="L99" i="12" s="1"/>
  <c r="K670" i="10" s="1"/>
  <c r="L670" i="10" s="1"/>
  <c r="AE670" i="10" s="1"/>
  <c r="N751" i="9"/>
  <c r="N753" i="9" s="1"/>
  <c r="M99" i="12" s="1"/>
  <c r="N99" i="12" s="1"/>
  <c r="M670" i="10" s="1"/>
  <c r="N670" i="10" s="1"/>
  <c r="I841" i="9"/>
  <c r="L841" i="9"/>
  <c r="L843" i="9" s="1"/>
  <c r="K112" i="12" s="1"/>
  <c r="L112" i="12" s="1"/>
  <c r="N841" i="9"/>
  <c r="N843" i="9" s="1"/>
  <c r="M112" i="12" s="1"/>
  <c r="N112" i="12" s="1"/>
  <c r="I877" i="9"/>
  <c r="I879" i="9" s="1"/>
  <c r="L877" i="9"/>
  <c r="L879" i="9" s="1"/>
  <c r="K118" i="12" s="1"/>
  <c r="L118" i="12" s="1"/>
  <c r="N877" i="9"/>
  <c r="N879" i="9" s="1"/>
  <c r="M118" i="12" s="1"/>
  <c r="N118" i="12" s="1"/>
  <c r="L531" i="9"/>
  <c r="L533" i="9" s="1"/>
  <c r="K67" i="12" s="1"/>
  <c r="L67" i="12" s="1"/>
  <c r="K949" i="10" s="1"/>
  <c r="L949" i="10" s="1"/>
  <c r="AE949" i="10" s="1"/>
  <c r="I531" i="9"/>
  <c r="N531" i="9"/>
  <c r="N533" i="9" s="1"/>
  <c r="M67" i="12" s="1"/>
  <c r="N67" i="12" s="1"/>
  <c r="M949" i="10" s="1"/>
  <c r="N949" i="10" s="1"/>
  <c r="L921" i="9"/>
  <c r="L923" i="9" s="1"/>
  <c r="K125" i="12" s="1"/>
  <c r="L125" i="12" s="1"/>
  <c r="K673" i="10" s="1"/>
  <c r="L673" i="10" s="1"/>
  <c r="AE673" i="10" s="1"/>
  <c r="N921" i="9"/>
  <c r="N923" i="9" s="1"/>
  <c r="M125" i="12" s="1"/>
  <c r="N125" i="12" s="1"/>
  <c r="M673" i="10" s="1"/>
  <c r="N673" i="10" s="1"/>
  <c r="I921" i="9"/>
  <c r="I513" i="9"/>
  <c r="I515" i="9" s="1"/>
  <c r="L513" i="9"/>
  <c r="L515" i="9" s="1"/>
  <c r="K64" i="12" s="1"/>
  <c r="L64" i="12" s="1"/>
  <c r="K942" i="10" s="1"/>
  <c r="L942" i="10" s="1"/>
  <c r="AE942" i="10" s="1"/>
  <c r="N513" i="9"/>
  <c r="N515" i="9" s="1"/>
  <c r="M64" i="12" s="1"/>
  <c r="N64" i="12" s="1"/>
  <c r="M942" i="10" s="1"/>
  <c r="N942" i="10" s="1"/>
  <c r="G400" i="15"/>
  <c r="G896" i="9" s="1"/>
  <c r="P1146" i="9"/>
  <c r="M716" i="10"/>
  <c r="N716" i="10" s="1"/>
  <c r="M399" i="10"/>
  <c r="N399" i="10" s="1"/>
  <c r="M225" i="10"/>
  <c r="N225" i="10" s="1"/>
  <c r="O771" i="9"/>
  <c r="I771" i="9"/>
  <c r="P771" i="9" s="1"/>
  <c r="I734" i="10"/>
  <c r="P734" i="10" s="1"/>
  <c r="O734" i="10"/>
  <c r="I793" i="9"/>
  <c r="L793" i="9"/>
  <c r="L795" i="9" s="1"/>
  <c r="K105" i="12" s="1"/>
  <c r="L105" i="12" s="1"/>
  <c r="K229" i="10" s="1"/>
  <c r="L229" i="10" s="1"/>
  <c r="AE229" i="10" s="1"/>
  <c r="N793" i="9"/>
  <c r="N795" i="9" s="1"/>
  <c r="M105" i="12" s="1"/>
  <c r="N105" i="12" s="1"/>
  <c r="M229" i="10" s="1"/>
  <c r="N229" i="10" s="1"/>
  <c r="H184" i="12"/>
  <c r="M863" i="10"/>
  <c r="N863" i="10" s="1"/>
  <c r="M329" i="10"/>
  <c r="N329" i="10" s="1"/>
  <c r="O1371" i="9"/>
  <c r="M710" i="10"/>
  <c r="N710" i="10" s="1"/>
  <c r="M775" i="10"/>
  <c r="N775" i="10" s="1"/>
  <c r="M217" i="10"/>
  <c r="N217" i="10" s="1"/>
  <c r="M374" i="10"/>
  <c r="N374" i="10" s="1"/>
  <c r="M663" i="10"/>
  <c r="N663" i="10" s="1"/>
  <c r="M449" i="10"/>
  <c r="N449" i="10" s="1"/>
  <c r="M396" i="10"/>
  <c r="N396" i="10" s="1"/>
  <c r="I214" i="9"/>
  <c r="L214" i="9"/>
  <c r="N214" i="9"/>
  <c r="O394" i="9"/>
  <c r="I394" i="9"/>
  <c r="O348" i="10"/>
  <c r="I348" i="10"/>
  <c r="P348" i="10" s="1"/>
  <c r="O665" i="9"/>
  <c r="I665" i="9"/>
  <c r="O225" i="9"/>
  <c r="I225" i="9"/>
  <c r="P225" i="9" s="1"/>
  <c r="I146" i="9"/>
  <c r="P146" i="9" s="1"/>
  <c r="O1177" i="9"/>
  <c r="I1177" i="9"/>
  <c r="I87" i="9"/>
  <c r="P87" i="9" s="1"/>
  <c r="O87" i="9"/>
  <c r="O798" i="9"/>
  <c r="I798" i="9"/>
  <c r="P1000" i="9"/>
  <c r="I1195" i="9"/>
  <c r="O1195" i="9"/>
  <c r="L113" i="9"/>
  <c r="L115" i="9" s="1"/>
  <c r="K15" i="12" s="1"/>
  <c r="L15" i="12" s="1"/>
  <c r="K958" i="10" s="1"/>
  <c r="L958" i="10" s="1"/>
  <c r="AE958" i="10" s="1"/>
  <c r="N113" i="9"/>
  <c r="N115" i="9" s="1"/>
  <c r="M15" i="12" s="1"/>
  <c r="N15" i="12" s="1"/>
  <c r="M958" i="10" s="1"/>
  <c r="N958" i="10" s="1"/>
  <c r="I113" i="9"/>
  <c r="P113" i="9" s="1"/>
  <c r="I306" i="10"/>
  <c r="P306" i="10" s="1"/>
  <c r="O306" i="10"/>
  <c r="P512" i="9"/>
  <c r="O256" i="10"/>
  <c r="I256" i="10"/>
  <c r="P256" i="10" s="1"/>
  <c r="I447" i="9"/>
  <c r="L447" i="9"/>
  <c r="L449" i="9" s="1"/>
  <c r="K53" i="12" s="1"/>
  <c r="L53" i="12" s="1"/>
  <c r="N447" i="9"/>
  <c r="N449" i="9" s="1"/>
  <c r="M53" i="12" s="1"/>
  <c r="N53" i="12" s="1"/>
  <c r="I1162" i="9"/>
  <c r="P1159" i="9"/>
  <c r="N429" i="9"/>
  <c r="N431" i="9" s="1"/>
  <c r="M50" i="12" s="1"/>
  <c r="N50" i="12" s="1"/>
  <c r="I429" i="9"/>
  <c r="L429" i="9"/>
  <c r="L431" i="9" s="1"/>
  <c r="K50" i="12" s="1"/>
  <c r="L50" i="12" s="1"/>
  <c r="I568" i="9"/>
  <c r="P568" i="9" s="1"/>
  <c r="O568" i="9"/>
  <c r="O808" i="10"/>
  <c r="I808" i="10"/>
  <c r="P808" i="10" s="1"/>
  <c r="G78" i="15"/>
  <c r="G212" i="9" s="1"/>
  <c r="O78" i="15"/>
  <c r="G63" i="15"/>
  <c r="G193" i="9" s="1"/>
  <c r="O63" i="15"/>
  <c r="O118" i="9"/>
  <c r="I118" i="9"/>
  <c r="O222" i="9"/>
  <c r="I222" i="9"/>
  <c r="P222" i="9" s="1"/>
  <c r="I828" i="9"/>
  <c r="P828" i="9" s="1"/>
  <c r="O828" i="9"/>
  <c r="I258" i="10"/>
  <c r="P258" i="10" s="1"/>
  <c r="O258" i="10"/>
  <c r="G6" i="15"/>
  <c r="G20" i="9" s="1"/>
  <c r="I897" i="9"/>
  <c r="L897" i="9"/>
  <c r="N897" i="9"/>
  <c r="O602" i="15"/>
  <c r="G602" i="15"/>
  <c r="G1305" i="9" s="1"/>
  <c r="G533" i="15"/>
  <c r="G1166" i="9" s="1"/>
  <c r="G221" i="15"/>
  <c r="G507" i="9" s="1"/>
  <c r="P765" i="9"/>
  <c r="G215" i="15"/>
  <c r="G495" i="9" s="1"/>
  <c r="G587" i="15"/>
  <c r="G1275" i="9" s="1"/>
  <c r="O587" i="15"/>
  <c r="G206" i="15"/>
  <c r="G477" i="9" s="1"/>
  <c r="O206" i="15"/>
  <c r="I903" i="9"/>
  <c r="L903" i="9"/>
  <c r="L905" i="9" s="1"/>
  <c r="K122" i="12" s="1"/>
  <c r="L122" i="12" s="1"/>
  <c r="K376" i="10" s="1"/>
  <c r="L376" i="10" s="1"/>
  <c r="AE376" i="10" s="1"/>
  <c r="N903" i="9"/>
  <c r="N905" i="9" s="1"/>
  <c r="M122" i="12" s="1"/>
  <c r="N122" i="12" s="1"/>
  <c r="M376" i="10" s="1"/>
  <c r="N376" i="10" s="1"/>
  <c r="I1153" i="9"/>
  <c r="L1153" i="9"/>
  <c r="L1156" i="9" s="1"/>
  <c r="K161" i="12" s="1"/>
  <c r="L161" i="12" s="1"/>
  <c r="K384" i="10" s="1"/>
  <c r="L384" i="10" s="1"/>
  <c r="AE384" i="10" s="1"/>
  <c r="N1153" i="9"/>
  <c r="N1156" i="9" s="1"/>
  <c r="M161" i="12" s="1"/>
  <c r="N161" i="12" s="1"/>
  <c r="M384" i="10" s="1"/>
  <c r="N384" i="10" s="1"/>
  <c r="G450" i="15"/>
  <c r="G989" i="9" s="1"/>
  <c r="O450" i="15"/>
  <c r="I702" i="9"/>
  <c r="L702" i="9"/>
  <c r="L704" i="9" s="1"/>
  <c r="K92" i="12" s="1"/>
  <c r="L92" i="12" s="1"/>
  <c r="N702" i="9"/>
  <c r="N704" i="9" s="1"/>
  <c r="M92" i="12" s="1"/>
  <c r="N92" i="12" s="1"/>
  <c r="L489" i="9"/>
  <c r="L491" i="9" s="1"/>
  <c r="K60" i="12" s="1"/>
  <c r="L60" i="12" s="1"/>
  <c r="K847" i="10" s="1"/>
  <c r="L847" i="10" s="1"/>
  <c r="AE847" i="10" s="1"/>
  <c r="G418" i="15"/>
  <c r="G928" i="9" s="1"/>
  <c r="L1184" i="9"/>
  <c r="L1186" i="9" s="1"/>
  <c r="K166" i="12" s="1"/>
  <c r="L166" i="12" s="1"/>
  <c r="K568" i="10" s="1"/>
  <c r="L568" i="10" s="1"/>
  <c r="AE568" i="10" s="1"/>
  <c r="G275" i="15"/>
  <c r="G625" i="9" s="1"/>
  <c r="I998" i="10"/>
  <c r="P998" i="10" s="1"/>
  <c r="O998" i="10"/>
  <c r="O519" i="10"/>
  <c r="I519" i="10"/>
  <c r="P519" i="10" s="1"/>
  <c r="G24" i="15"/>
  <c r="G80" i="9" s="1"/>
  <c r="O24" i="15"/>
  <c r="O742" i="9"/>
  <c r="I742" i="9"/>
  <c r="I695" i="9"/>
  <c r="L695" i="9"/>
  <c r="L697" i="9" s="1"/>
  <c r="K91" i="12" s="1"/>
  <c r="L91" i="12" s="1"/>
  <c r="N695" i="9"/>
  <c r="N697" i="9" s="1"/>
  <c r="M91" i="12" s="1"/>
  <c r="N91" i="12" s="1"/>
  <c r="L947" i="9"/>
  <c r="L949" i="9" s="1"/>
  <c r="K129" i="12" s="1"/>
  <c r="L129" i="12" s="1"/>
  <c r="I947" i="9"/>
  <c r="N947" i="9"/>
  <c r="N949" i="9" s="1"/>
  <c r="M129" i="12" s="1"/>
  <c r="N129" i="12" s="1"/>
  <c r="P1400" i="9"/>
  <c r="M857" i="10"/>
  <c r="N857" i="10" s="1"/>
  <c r="M328" i="10"/>
  <c r="N328" i="10" s="1"/>
  <c r="M172" i="10"/>
  <c r="N172" i="10" s="1"/>
  <c r="M120" i="10"/>
  <c r="N120" i="10" s="1"/>
  <c r="M68" i="10"/>
  <c r="N68" i="10" s="1"/>
  <c r="M561" i="10"/>
  <c r="N561" i="10" s="1"/>
  <c r="M16" i="10"/>
  <c r="N16" i="10" s="1"/>
  <c r="I395" i="9"/>
  <c r="P395" i="9" s="1"/>
  <c r="O395" i="9"/>
  <c r="I117" i="10"/>
  <c r="P117" i="10" s="1"/>
  <c r="O117" i="10"/>
  <c r="I666" i="9"/>
  <c r="P666" i="9" s="1"/>
  <c r="O666" i="9"/>
  <c r="O917" i="10"/>
  <c r="I917" i="10"/>
  <c r="P917" i="10" s="1"/>
  <c r="I134" i="9"/>
  <c r="P134" i="9" s="1"/>
  <c r="O134" i="9"/>
  <c r="I801" i="10"/>
  <c r="P801" i="10" s="1"/>
  <c r="O801" i="10"/>
  <c r="P1068" i="9"/>
  <c r="O997" i="10"/>
  <c r="I997" i="10"/>
  <c r="P997" i="10" s="1"/>
  <c r="O69" i="9"/>
  <c r="I69" i="9"/>
  <c r="P69" i="9" s="1"/>
  <c r="I260" i="10"/>
  <c r="P260" i="10" s="1"/>
  <c r="O260" i="10"/>
  <c r="O363" i="9"/>
  <c r="I363" i="9"/>
  <c r="P363" i="9" s="1"/>
  <c r="P458" i="9"/>
  <c r="P35" i="9"/>
  <c r="I27" i="9"/>
  <c r="P27" i="9" s="1"/>
  <c r="O27" i="9"/>
  <c r="I799" i="9"/>
  <c r="P799" i="9" s="1"/>
  <c r="O799" i="9"/>
  <c r="O805" i="10"/>
  <c r="I805" i="10"/>
  <c r="P805" i="10" s="1"/>
  <c r="I1196" i="9"/>
  <c r="P1196" i="9" s="1"/>
  <c r="O1196" i="9"/>
  <c r="G39" i="15"/>
  <c r="G136" i="9" s="1"/>
  <c r="O39" i="15"/>
  <c r="G97" i="15"/>
  <c r="G247" i="9" s="1"/>
  <c r="P1245" i="9"/>
  <c r="P1389" i="9"/>
  <c r="I371" i="9"/>
  <c r="O371" i="9"/>
  <c r="I46" i="9"/>
  <c r="P46" i="9" s="1"/>
  <c r="O46" i="9"/>
  <c r="I806" i="9"/>
  <c r="P806" i="9" s="1"/>
  <c r="O806" i="9"/>
  <c r="I284" i="9"/>
  <c r="O284" i="9"/>
  <c r="I414" i="10"/>
  <c r="P414" i="10" s="1"/>
  <c r="O414" i="10"/>
  <c r="I839" i="10"/>
  <c r="P839" i="10" s="1"/>
  <c r="O839" i="10"/>
  <c r="I122" i="9"/>
  <c r="P122" i="9" s="1"/>
  <c r="O122" i="9"/>
  <c r="O645" i="9"/>
  <c r="I645" i="9"/>
  <c r="P645" i="9" s="1"/>
  <c r="O203" i="9"/>
  <c r="I203" i="9"/>
  <c r="P203" i="9" s="1"/>
  <c r="I1006" i="9"/>
  <c r="O1006" i="9"/>
  <c r="O412" i="10"/>
  <c r="I412" i="10"/>
  <c r="P412" i="10" s="1"/>
  <c r="L213" i="9"/>
  <c r="P518" i="9"/>
  <c r="I521" i="9"/>
  <c r="O610" i="9"/>
  <c r="I610" i="9"/>
  <c r="P610" i="9" s="1"/>
  <c r="O145" i="9"/>
  <c r="I145" i="9"/>
  <c r="P145" i="9" s="1"/>
  <c r="I742" i="10"/>
  <c r="P742" i="10" s="1"/>
  <c r="O742" i="10"/>
  <c r="P1071" i="10"/>
  <c r="I96" i="9"/>
  <c r="O96" i="9"/>
  <c r="O204" i="9"/>
  <c r="I204" i="9"/>
  <c r="P204" i="9" s="1"/>
  <c r="P976" i="9"/>
  <c r="G629" i="15"/>
  <c r="G1359" i="9" s="1"/>
  <c r="O629" i="15"/>
  <c r="I576" i="9"/>
  <c r="P576" i="9" s="1"/>
  <c r="L576" i="9"/>
  <c r="L578" i="9" s="1"/>
  <c r="K74" i="12" s="1"/>
  <c r="L74" i="12" s="1"/>
  <c r="K510" i="10" s="1"/>
  <c r="L510" i="10" s="1"/>
  <c r="AE510" i="10" s="1"/>
  <c r="N576" i="9"/>
  <c r="N578" i="9" s="1"/>
  <c r="M74" i="12" s="1"/>
  <c r="N74" i="12" s="1"/>
  <c r="M510" i="10" s="1"/>
  <c r="N510" i="10" s="1"/>
  <c r="G432" i="15"/>
  <c r="G953" i="9" s="1"/>
  <c r="O432" i="15"/>
  <c r="G239" i="15"/>
  <c r="G543" i="9" s="1"/>
  <c r="I1227" i="9"/>
  <c r="L1227" i="9"/>
  <c r="L1229" i="9" s="1"/>
  <c r="K173" i="12" s="1"/>
  <c r="L173" i="12" s="1"/>
  <c r="K276" i="10" s="1"/>
  <c r="L276" i="10" s="1"/>
  <c r="AE276" i="10" s="1"/>
  <c r="N1227" i="9"/>
  <c r="N1229" i="9" s="1"/>
  <c r="M173" i="12" s="1"/>
  <c r="N173" i="12" s="1"/>
  <c r="M276" i="10" s="1"/>
  <c r="N276" i="10" s="1"/>
  <c r="I786" i="9"/>
  <c r="L786" i="9"/>
  <c r="L788" i="9" s="1"/>
  <c r="K104" i="12" s="1"/>
  <c r="L104" i="12" s="1"/>
  <c r="K781" i="10" s="1"/>
  <c r="L781" i="10" s="1"/>
  <c r="AE781" i="10" s="1"/>
  <c r="N786" i="9"/>
  <c r="N788" i="9" s="1"/>
  <c r="M104" i="12" s="1"/>
  <c r="N104" i="12" s="1"/>
  <c r="M781" i="10" s="1"/>
  <c r="N781" i="10" s="1"/>
  <c r="L716" i="9"/>
  <c r="L718" i="9" s="1"/>
  <c r="K94" i="12" s="1"/>
  <c r="L94" i="12" s="1"/>
  <c r="N716" i="9"/>
  <c r="N718" i="9" s="1"/>
  <c r="M94" i="12" s="1"/>
  <c r="N94" i="12" s="1"/>
  <c r="I716" i="9"/>
  <c r="P716" i="9" s="1"/>
  <c r="P1299" i="9"/>
  <c r="I1301" i="9"/>
  <c r="P489" i="9"/>
  <c r="G423" i="15"/>
  <c r="G935" i="9" s="1"/>
  <c r="P1184" i="9"/>
  <c r="N639" i="9"/>
  <c r="N641" i="9" s="1"/>
  <c r="M83" i="12" s="1"/>
  <c r="N83" i="12" s="1"/>
  <c r="L639" i="9"/>
  <c r="L641" i="9" s="1"/>
  <c r="K83" i="12" s="1"/>
  <c r="L83" i="12" s="1"/>
  <c r="I639" i="9"/>
  <c r="P639" i="9" s="1"/>
  <c r="G611" i="15"/>
  <c r="G1323" i="9" s="1"/>
  <c r="O611" i="15"/>
  <c r="I135" i="10"/>
  <c r="P135" i="10" s="1"/>
  <c r="O135" i="10"/>
  <c r="I673" i="9"/>
  <c r="P673" i="9" s="1"/>
  <c r="O673" i="9"/>
  <c r="P40" i="9"/>
  <c r="O58" i="10"/>
  <c r="I58" i="10"/>
  <c r="P58" i="10" s="1"/>
  <c r="O736" i="9"/>
  <c r="I736" i="9"/>
  <c r="P736" i="9" s="1"/>
  <c r="O434" i="10"/>
  <c r="I434" i="10"/>
  <c r="P434" i="10" s="1"/>
  <c r="P1499" i="9"/>
  <c r="I1504" i="9"/>
  <c r="I583" i="9"/>
  <c r="P583" i="9" s="1"/>
  <c r="L583" i="9"/>
  <c r="L585" i="9" s="1"/>
  <c r="K75" i="12" s="1"/>
  <c r="L75" i="12" s="1"/>
  <c r="N583" i="9"/>
  <c r="N585" i="9" s="1"/>
  <c r="M75" i="12" s="1"/>
  <c r="N75" i="12" s="1"/>
  <c r="H200" i="12"/>
  <c r="P1391" i="9"/>
  <c r="O92" i="15"/>
  <c r="G92" i="15"/>
  <c r="G237" i="9" s="1"/>
  <c r="O234" i="9"/>
  <c r="I234" i="9"/>
  <c r="P234" i="9" s="1"/>
  <c r="I13" i="10"/>
  <c r="P13" i="10" s="1"/>
  <c r="O13" i="10"/>
  <c r="O707" i="9"/>
  <c r="I707" i="9"/>
  <c r="O110" i="9"/>
  <c r="I110" i="9"/>
  <c r="P110" i="9" s="1"/>
  <c r="I518" i="10"/>
  <c r="P518" i="10" s="1"/>
  <c r="O518" i="10"/>
  <c r="O79" i="9"/>
  <c r="I79" i="9"/>
  <c r="P79" i="9" s="1"/>
  <c r="I362" i="9"/>
  <c r="O362" i="9"/>
  <c r="O588" i="9"/>
  <c r="I588" i="9"/>
  <c r="P840" i="9"/>
  <c r="I843" i="9"/>
  <c r="I202" i="9"/>
  <c r="P202" i="9" s="1"/>
  <c r="O202" i="9"/>
  <c r="O520" i="10"/>
  <c r="I520" i="10"/>
  <c r="P520" i="10" s="1"/>
  <c r="G161" i="15"/>
  <c r="G382" i="9" s="1"/>
  <c r="O161" i="15"/>
  <c r="O372" i="9"/>
  <c r="I372" i="9"/>
  <c r="P372" i="9" s="1"/>
  <c r="P464" i="9"/>
  <c r="I467" i="9"/>
  <c r="I595" i="9"/>
  <c r="O595" i="9"/>
  <c r="I278" i="9"/>
  <c r="O278" i="9"/>
  <c r="I261" i="10"/>
  <c r="P261" i="10" s="1"/>
  <c r="O261" i="10"/>
  <c r="I30" i="9"/>
  <c r="P30" i="9" s="1"/>
  <c r="L30" i="9"/>
  <c r="L32" i="9" s="1"/>
  <c r="K7" i="12" s="1"/>
  <c r="L7" i="12" s="1"/>
  <c r="N30" i="9"/>
  <c r="N32" i="9" s="1"/>
  <c r="M7" i="12" s="1"/>
  <c r="N7" i="12" s="1"/>
  <c r="I553" i="10"/>
  <c r="P553" i="10" s="1"/>
  <c r="O553" i="10"/>
  <c r="O947" i="10"/>
  <c r="I947" i="10"/>
  <c r="P947" i="10" s="1"/>
  <c r="I644" i="9"/>
  <c r="O644" i="9"/>
  <c r="O179" i="9"/>
  <c r="I179" i="9"/>
  <c r="P179" i="9" s="1"/>
  <c r="O1054" i="9"/>
  <c r="I1054" i="9"/>
  <c r="I812" i="10"/>
  <c r="P812" i="10" s="1"/>
  <c r="O812" i="10"/>
  <c r="P213" i="9"/>
  <c r="I336" i="9"/>
  <c r="O336" i="9"/>
  <c r="I845" i="10"/>
  <c r="P845" i="10" s="1"/>
  <c r="O845" i="10"/>
  <c r="I609" i="9"/>
  <c r="O609" i="9"/>
  <c r="I133" i="9"/>
  <c r="P133" i="9" s="1"/>
  <c r="O133" i="9"/>
  <c r="O468" i="10"/>
  <c r="I468" i="10"/>
  <c r="P468" i="10" s="1"/>
  <c r="I410" i="9"/>
  <c r="P410" i="9" s="1"/>
  <c r="L410" i="9"/>
  <c r="L412" i="9" s="1"/>
  <c r="K47" i="12" s="1"/>
  <c r="L47" i="12" s="1"/>
  <c r="N410" i="9"/>
  <c r="N412" i="9" s="1"/>
  <c r="M47" i="12" s="1"/>
  <c r="N47" i="12" s="1"/>
  <c r="I180" i="9"/>
  <c r="P180" i="9" s="1"/>
  <c r="O180" i="9"/>
  <c r="I537" i="9"/>
  <c r="I539" i="9" s="1"/>
  <c r="L537" i="9"/>
  <c r="L539" i="9" s="1"/>
  <c r="K68" i="12" s="1"/>
  <c r="L68" i="12" s="1"/>
  <c r="K950" i="10" s="1"/>
  <c r="L950" i="10" s="1"/>
  <c r="AE950" i="10" s="1"/>
  <c r="N537" i="9"/>
  <c r="N539" i="9" s="1"/>
  <c r="M68" i="12" s="1"/>
  <c r="N68" i="12" s="1"/>
  <c r="M950" i="10" s="1"/>
  <c r="N950" i="10" s="1"/>
  <c r="I1335" i="9"/>
  <c r="L1335" i="9"/>
  <c r="L1337" i="9" s="1"/>
  <c r="K191" i="12" s="1"/>
  <c r="L191" i="12" s="1"/>
  <c r="K752" i="10" s="1"/>
  <c r="L752" i="10" s="1"/>
  <c r="AE752" i="10" s="1"/>
  <c r="N1335" i="9"/>
  <c r="N1337" i="9" s="1"/>
  <c r="M191" i="12" s="1"/>
  <c r="N191" i="12" s="1"/>
  <c r="M752" i="10" s="1"/>
  <c r="N752" i="10" s="1"/>
  <c r="L590" i="9"/>
  <c r="L592" i="9" s="1"/>
  <c r="K76" i="12" s="1"/>
  <c r="L76" i="12" s="1"/>
  <c r="N590" i="9"/>
  <c r="N592" i="9" s="1"/>
  <c r="M76" i="12" s="1"/>
  <c r="N76" i="12" s="1"/>
  <c r="I590" i="9"/>
  <c r="G492" i="15"/>
  <c r="G1087" i="9" s="1"/>
  <c r="P814" i="9"/>
  <c r="P1371" i="9"/>
  <c r="L519" i="9"/>
  <c r="L521" i="9" s="1"/>
  <c r="K65" i="12" s="1"/>
  <c r="L65" i="12" s="1"/>
  <c r="K943" i="10" s="1"/>
  <c r="L943" i="10" s="1"/>
  <c r="AE943" i="10" s="1"/>
  <c r="I555" i="9"/>
  <c r="L555" i="9"/>
  <c r="L557" i="9" s="1"/>
  <c r="K71" i="12" s="1"/>
  <c r="L71" i="12" s="1"/>
  <c r="K954" i="10" s="1"/>
  <c r="L954" i="10" s="1"/>
  <c r="AE954" i="10" s="1"/>
  <c r="N555" i="9"/>
  <c r="N557" i="9" s="1"/>
  <c r="M71" i="12" s="1"/>
  <c r="N71" i="12" s="1"/>
  <c r="M954" i="10" s="1"/>
  <c r="N954" i="10" s="1"/>
  <c r="O638" i="15"/>
  <c r="G638" i="15"/>
  <c r="G1377" i="9" s="1"/>
  <c r="O459" i="15"/>
  <c r="G459" i="15"/>
  <c r="G1009" i="9" s="1"/>
  <c r="G251" i="15"/>
  <c r="G569" i="9" s="1"/>
  <c r="G477" i="15"/>
  <c r="G1057" i="9" s="1"/>
  <c r="O477" i="15"/>
  <c r="G444" i="15"/>
  <c r="G977" i="9" s="1"/>
  <c r="O640" i="10"/>
  <c r="I640" i="10"/>
  <c r="P640" i="10" s="1"/>
  <c r="I618" i="9"/>
  <c r="L618" i="9"/>
  <c r="L620" i="9" s="1"/>
  <c r="K80" i="12" s="1"/>
  <c r="L80" i="12" s="1"/>
  <c r="N618" i="9"/>
  <c r="N620" i="9" s="1"/>
  <c r="M80" i="12" s="1"/>
  <c r="N80" i="12" s="1"/>
  <c r="I1049" i="9"/>
  <c r="L1049" i="9"/>
  <c r="L1051" i="9" s="1"/>
  <c r="K144" i="12" s="1"/>
  <c r="L144" i="12" s="1"/>
  <c r="N1049" i="9"/>
  <c r="N1051" i="9" s="1"/>
  <c r="M144" i="12" s="1"/>
  <c r="N144" i="12" s="1"/>
  <c r="G593" i="15"/>
  <c r="G1287" i="9" s="1"/>
  <c r="O593" i="15"/>
  <c r="H176" i="12"/>
  <c r="P1247" i="9"/>
  <c r="I65" i="10"/>
  <c r="P65" i="10" s="1"/>
  <c r="O65" i="10"/>
  <c r="I248" i="10"/>
  <c r="P248" i="10" s="1"/>
  <c r="O248" i="10"/>
  <c r="P1104" i="9"/>
  <c r="P1110" i="9"/>
  <c r="G76" i="15"/>
  <c r="G210" i="9" s="1"/>
  <c r="O76" i="15"/>
  <c r="O37" i="9"/>
  <c r="I37" i="9"/>
  <c r="P37" i="9" s="1"/>
  <c r="I589" i="9"/>
  <c r="P589" i="9" s="1"/>
  <c r="O589" i="9"/>
  <c r="I178" i="9"/>
  <c r="P178" i="9" s="1"/>
  <c r="O178" i="9"/>
  <c r="I254" i="10"/>
  <c r="P254" i="10" s="1"/>
  <c r="O254" i="10"/>
  <c r="O170" i="15"/>
  <c r="G170" i="15"/>
  <c r="G403" i="9" s="1"/>
  <c r="I1431" i="9"/>
  <c r="P45" i="9"/>
  <c r="I596" i="9"/>
  <c r="P596" i="9" s="1"/>
  <c r="O596" i="9"/>
  <c r="O464" i="10"/>
  <c r="I464" i="10"/>
  <c r="P464" i="10" s="1"/>
  <c r="P1116" i="9"/>
  <c r="I1119" i="9"/>
  <c r="I91" i="9"/>
  <c r="L91" i="9"/>
  <c r="L93" i="9" s="1"/>
  <c r="K13" i="12" s="1"/>
  <c r="L13" i="12" s="1"/>
  <c r="K956" i="10" s="1"/>
  <c r="L956" i="10" s="1"/>
  <c r="AE956" i="10" s="1"/>
  <c r="N91" i="9"/>
  <c r="N93" i="9" s="1"/>
  <c r="M13" i="12" s="1"/>
  <c r="N13" i="12" s="1"/>
  <c r="M956" i="10" s="1"/>
  <c r="N956" i="10" s="1"/>
  <c r="O687" i="9"/>
  <c r="I687" i="9"/>
  <c r="P687" i="9" s="1"/>
  <c r="I220" i="9"/>
  <c r="O220" i="9"/>
  <c r="I1055" i="9"/>
  <c r="P1055" i="9" s="1"/>
  <c r="O1055" i="9"/>
  <c r="I746" i="10"/>
  <c r="P746" i="10" s="1"/>
  <c r="O746" i="10"/>
  <c r="O558" i="10"/>
  <c r="I558" i="10"/>
  <c r="P558" i="10" s="1"/>
  <c r="O652" i="9"/>
  <c r="I652" i="9"/>
  <c r="P652" i="9" s="1"/>
  <c r="O1014" i="9"/>
  <c r="I1014" i="9"/>
  <c r="I257" i="10"/>
  <c r="P257" i="10" s="1"/>
  <c r="O257" i="10"/>
  <c r="O730" i="9"/>
  <c r="O658" i="9"/>
  <c r="I658" i="9"/>
  <c r="O1022" i="9"/>
  <c r="I1022" i="9"/>
  <c r="L549" i="9"/>
  <c r="L551" i="9" s="1"/>
  <c r="K70" i="12" s="1"/>
  <c r="L70" i="12" s="1"/>
  <c r="K953" i="10" s="1"/>
  <c r="L953" i="10" s="1"/>
  <c r="AE953" i="10" s="1"/>
  <c r="N549" i="9"/>
  <c r="N551" i="9" s="1"/>
  <c r="M70" i="12" s="1"/>
  <c r="N70" i="12" s="1"/>
  <c r="M953" i="10" s="1"/>
  <c r="N953" i="10" s="1"/>
  <c r="I549" i="9"/>
  <c r="I965" i="9"/>
  <c r="L965" i="9"/>
  <c r="L967" i="9" s="1"/>
  <c r="K132" i="12" s="1"/>
  <c r="L132" i="12" s="1"/>
  <c r="N965" i="9"/>
  <c r="N967" i="9" s="1"/>
  <c r="M132" i="12" s="1"/>
  <c r="N132" i="12" s="1"/>
  <c r="I1349" i="9"/>
  <c r="I1025" i="9"/>
  <c r="L1025" i="9"/>
  <c r="L1027" i="9" s="1"/>
  <c r="K141" i="12" s="1"/>
  <c r="L141" i="12" s="1"/>
  <c r="N1025" i="9"/>
  <c r="N1027" i="9" s="1"/>
  <c r="M141" i="12" s="1"/>
  <c r="N141" i="12" s="1"/>
  <c r="G486" i="15"/>
  <c r="G1075" i="9" s="1"/>
  <c r="O486" i="15"/>
  <c r="G311" i="15"/>
  <c r="G709" i="9" s="1"/>
  <c r="G551" i="15"/>
  <c r="G1203" i="9" s="1"/>
  <c r="O551" i="15"/>
  <c r="L1190" i="9"/>
  <c r="L1192" i="9" s="1"/>
  <c r="K167" i="12" s="1"/>
  <c r="L167" i="12" s="1"/>
  <c r="K388" i="10" s="1"/>
  <c r="L388" i="10" s="1"/>
  <c r="AE388" i="10" s="1"/>
  <c r="I1385" i="9"/>
  <c r="P519" i="9"/>
  <c r="G468" i="15"/>
  <c r="G1033" i="9" s="1"/>
  <c r="O468" i="15"/>
  <c r="I1329" i="9"/>
  <c r="L1329" i="9"/>
  <c r="L1331" i="9" s="1"/>
  <c r="K190" i="12" s="1"/>
  <c r="L190" i="12" s="1"/>
  <c r="K751" i="10" s="1"/>
  <c r="L751" i="10" s="1"/>
  <c r="AE751" i="10" s="1"/>
  <c r="N1329" i="9"/>
  <c r="N1331" i="9" s="1"/>
  <c r="M190" i="12" s="1"/>
  <c r="N190" i="12" s="1"/>
  <c r="M751" i="10" s="1"/>
  <c r="N751" i="10" s="1"/>
  <c r="P1129" i="9"/>
  <c r="L1459" i="9"/>
  <c r="G683" i="15"/>
  <c r="G1471" i="9" s="1"/>
  <c r="O683" i="15"/>
  <c r="I263" i="10"/>
  <c r="P263" i="10" s="1"/>
  <c r="O263" i="10"/>
  <c r="I344" i="9"/>
  <c r="O344" i="9"/>
  <c r="K31" i="11"/>
  <c r="L31" i="11" s="1"/>
  <c r="L55" i="11" s="1"/>
  <c r="C3" i="5"/>
  <c r="H182" i="12"/>
  <c r="P1283" i="9"/>
  <c r="P1298" i="9"/>
  <c r="L1301" i="9"/>
  <c r="K185" i="12" s="1"/>
  <c r="L185" i="12" s="1"/>
  <c r="K270" i="10" s="1"/>
  <c r="L270" i="10" s="1"/>
  <c r="AE270" i="10" s="1"/>
  <c r="M843" i="10"/>
  <c r="N843" i="10" s="1"/>
  <c r="M770" i="10"/>
  <c r="N770" i="10" s="1"/>
  <c r="M891" i="10"/>
  <c r="N891" i="10" s="1"/>
  <c r="M580" i="10"/>
  <c r="N580" i="10" s="1"/>
  <c r="M557" i="10"/>
  <c r="N557" i="10" s="1"/>
  <c r="M345" i="10"/>
  <c r="N345" i="10" s="1"/>
  <c r="M423" i="10"/>
  <c r="N423" i="10" s="1"/>
  <c r="M165" i="10"/>
  <c r="N165" i="10" s="1"/>
  <c r="M323" i="10"/>
  <c r="N323" i="10" s="1"/>
  <c r="M113" i="10"/>
  <c r="N113" i="10" s="1"/>
  <c r="M9" i="10"/>
  <c r="N9" i="10" s="1"/>
  <c r="M61" i="10"/>
  <c r="N61" i="10" s="1"/>
  <c r="P488" i="9"/>
  <c r="O977" i="10"/>
  <c r="I977" i="10"/>
  <c r="P977" i="10" s="1"/>
  <c r="I608" i="10"/>
  <c r="P608" i="10" s="1"/>
  <c r="O608" i="10"/>
  <c r="P1165" i="9"/>
  <c r="O209" i="9"/>
  <c r="I209" i="9"/>
  <c r="P209" i="9" s="1"/>
  <c r="I119" i="9"/>
  <c r="P119" i="9" s="1"/>
  <c r="O119" i="9"/>
  <c r="O630" i="9"/>
  <c r="I630" i="9"/>
  <c r="P876" i="9"/>
  <c r="P1281" i="9"/>
  <c r="I736" i="10"/>
  <c r="P736" i="10" s="1"/>
  <c r="O736" i="10"/>
  <c r="N160" i="9"/>
  <c r="N162" i="9" s="1"/>
  <c r="M19" i="12" s="1"/>
  <c r="N19" i="12" s="1"/>
  <c r="I160" i="9"/>
  <c r="L160" i="9"/>
  <c r="L162" i="9" s="1"/>
  <c r="K19" i="12" s="1"/>
  <c r="L19" i="12" s="1"/>
  <c r="G111" i="15"/>
  <c r="G273" i="9" s="1"/>
  <c r="O111" i="15"/>
  <c r="I686" i="9"/>
  <c r="O686" i="9"/>
  <c r="I737" i="10"/>
  <c r="P737" i="10" s="1"/>
  <c r="O737" i="10"/>
  <c r="O471" i="10"/>
  <c r="I471" i="10"/>
  <c r="P471" i="10" s="1"/>
  <c r="G96" i="15"/>
  <c r="G246" i="9" s="1"/>
  <c r="O96" i="15"/>
  <c r="O325" i="10"/>
  <c r="I325" i="10"/>
  <c r="P325" i="10" s="1"/>
  <c r="I651" i="9"/>
  <c r="O651" i="9"/>
  <c r="O747" i="10"/>
  <c r="I747" i="10"/>
  <c r="P747" i="10" s="1"/>
  <c r="G135" i="15"/>
  <c r="G331" i="9" s="1"/>
  <c r="O135" i="15"/>
  <c r="O659" i="9"/>
  <c r="I659" i="9"/>
  <c r="P659" i="9" s="1"/>
  <c r="I667" i="9"/>
  <c r="L667" i="9"/>
  <c r="L669" i="9" s="1"/>
  <c r="K87" i="12" s="1"/>
  <c r="L87" i="12" s="1"/>
  <c r="N667" i="9"/>
  <c r="N669" i="9" s="1"/>
  <c r="M87" i="12" s="1"/>
  <c r="N87" i="12" s="1"/>
  <c r="I1041" i="9"/>
  <c r="L1041" i="9"/>
  <c r="L1043" i="9" s="1"/>
  <c r="K143" i="12" s="1"/>
  <c r="L143" i="12" s="1"/>
  <c r="N1041" i="9"/>
  <c r="N1043" i="9" s="1"/>
  <c r="M143" i="12" s="1"/>
  <c r="N143" i="12" s="1"/>
  <c r="L471" i="9"/>
  <c r="L473" i="9" s="1"/>
  <c r="K57" i="12" s="1"/>
  <c r="L57" i="12" s="1"/>
  <c r="N471" i="9"/>
  <c r="N473" i="9" s="1"/>
  <c r="M57" i="12" s="1"/>
  <c r="N57" i="12" s="1"/>
  <c r="I471" i="9"/>
  <c r="P471" i="9" s="1"/>
  <c r="G516" i="15"/>
  <c r="G1135" i="9" s="1"/>
  <c r="N723" i="9"/>
  <c r="N725" i="9" s="1"/>
  <c r="M95" i="12" s="1"/>
  <c r="N95" i="12" s="1"/>
  <c r="L723" i="9"/>
  <c r="L725" i="9" s="1"/>
  <c r="K95" i="12" s="1"/>
  <c r="L95" i="12" s="1"/>
  <c r="I723" i="9"/>
  <c r="G480" i="15"/>
  <c r="G1063" i="9" s="1"/>
  <c r="L1407" i="9"/>
  <c r="L1409" i="9" s="1"/>
  <c r="K203" i="12" s="1"/>
  <c r="L203" i="12" s="1"/>
  <c r="N1407" i="9"/>
  <c r="N1409" i="9" s="1"/>
  <c r="M203" i="12" s="1"/>
  <c r="N203" i="12" s="1"/>
  <c r="I1407" i="9"/>
  <c r="P688" i="9"/>
  <c r="M167" i="10"/>
  <c r="N167" i="10" s="1"/>
  <c r="M115" i="10"/>
  <c r="N115" i="10" s="1"/>
  <c r="M63" i="10"/>
  <c r="N63" i="10" s="1"/>
  <c r="M11" i="10"/>
  <c r="N11" i="10" s="1"/>
  <c r="H194" i="12"/>
  <c r="P1355" i="9"/>
  <c r="P1151" i="10"/>
  <c r="I680" i="9"/>
  <c r="P680" i="9" s="1"/>
  <c r="O680" i="9"/>
  <c r="O846" i="10"/>
  <c r="I846" i="10"/>
  <c r="P846" i="10" s="1"/>
  <c r="O1171" i="9"/>
  <c r="I1171" i="9"/>
  <c r="H197" i="12"/>
  <c r="P1373" i="9"/>
  <c r="M900" i="10"/>
  <c r="N900" i="10" s="1"/>
  <c r="M787" i="10"/>
  <c r="N787" i="10" s="1"/>
  <c r="M236" i="10"/>
  <c r="N236" i="10" s="1"/>
  <c r="M514" i="10"/>
  <c r="N514" i="10" s="1"/>
  <c r="O132" i="9"/>
  <c r="I132" i="9"/>
  <c r="P132" i="9" s="1"/>
  <c r="I750" i="9"/>
  <c r="P750" i="9" s="1"/>
  <c r="O750" i="9"/>
  <c r="O38" i="9"/>
  <c r="I38" i="9"/>
  <c r="P38" i="9" s="1"/>
  <c r="I739" i="10"/>
  <c r="P739" i="10" s="1"/>
  <c r="O739" i="10"/>
  <c r="P1140" i="9"/>
  <c r="I439" i="10"/>
  <c r="P439" i="10" s="1"/>
  <c r="O439" i="10"/>
  <c r="O121" i="9"/>
  <c r="I121" i="9"/>
  <c r="P121" i="9" s="1"/>
  <c r="O185" i="9"/>
  <c r="I185" i="9"/>
  <c r="P185" i="9" s="1"/>
  <c r="I401" i="9"/>
  <c r="O401" i="9"/>
  <c r="O98" i="9"/>
  <c r="I98" i="9"/>
  <c r="P98" i="9" s="1"/>
  <c r="I631" i="9"/>
  <c r="P631" i="9" s="1"/>
  <c r="O631" i="9"/>
  <c r="I1038" i="9"/>
  <c r="O1038" i="9"/>
  <c r="P1074" i="9"/>
  <c r="I740" i="10"/>
  <c r="P740" i="10" s="1"/>
  <c r="O740" i="10"/>
  <c r="O610" i="10"/>
  <c r="I610" i="10"/>
  <c r="P610" i="10" s="1"/>
  <c r="M768" i="10"/>
  <c r="N768" i="10" s="1"/>
  <c r="M294" i="10"/>
  <c r="N294" i="10" s="1"/>
  <c r="O409" i="9"/>
  <c r="I409" i="9"/>
  <c r="P409" i="9" s="1"/>
  <c r="I97" i="9"/>
  <c r="P97" i="9" s="1"/>
  <c r="O97" i="9"/>
  <c r="I638" i="9"/>
  <c r="P638" i="9" s="1"/>
  <c r="O638" i="9"/>
  <c r="I803" i="10"/>
  <c r="P803" i="10" s="1"/>
  <c r="O803" i="10"/>
  <c r="P1152" i="9"/>
  <c r="G61" i="15"/>
  <c r="G191" i="9" s="1"/>
  <c r="O61" i="15"/>
  <c r="I6" i="10"/>
  <c r="P6" i="10" s="1"/>
  <c r="O6" i="10"/>
  <c r="O729" i="9"/>
  <c r="I729" i="9"/>
  <c r="P729" i="9" s="1"/>
  <c r="I804" i="10"/>
  <c r="P804" i="10" s="1"/>
  <c r="O804" i="10"/>
  <c r="O262" i="10"/>
  <c r="I262" i="10"/>
  <c r="P262" i="10" s="1"/>
  <c r="I190" i="9"/>
  <c r="L190" i="9"/>
  <c r="N190" i="9"/>
  <c r="I116" i="10"/>
  <c r="P116" i="10" s="1"/>
  <c r="O116" i="10"/>
  <c r="P542" i="9"/>
  <c r="O694" i="9"/>
  <c r="I694" i="9"/>
  <c r="P694" i="9" s="1"/>
  <c r="O974" i="10"/>
  <c r="I974" i="10"/>
  <c r="P974" i="10" s="1"/>
  <c r="I694" i="10"/>
  <c r="P694" i="10" s="1"/>
  <c r="O694" i="10"/>
  <c r="G18" i="15"/>
  <c r="G60" i="9" s="1"/>
  <c r="O18" i="15"/>
  <c r="G91" i="15"/>
  <c r="G236" i="9" s="1"/>
  <c r="O91" i="15"/>
  <c r="I297" i="9"/>
  <c r="P297" i="9" s="1"/>
  <c r="O297" i="9"/>
  <c r="O975" i="10"/>
  <c r="N681" i="9"/>
  <c r="N683" i="9" s="1"/>
  <c r="M89" i="12" s="1"/>
  <c r="N89" i="12" s="1"/>
  <c r="L681" i="9"/>
  <c r="L683" i="9" s="1"/>
  <c r="K89" i="12" s="1"/>
  <c r="L89" i="12" s="1"/>
  <c r="I681" i="9"/>
  <c r="L1347" i="9"/>
  <c r="L1349" i="9" s="1"/>
  <c r="K193" i="12" s="1"/>
  <c r="L193" i="12" s="1"/>
  <c r="K748" i="10" s="1"/>
  <c r="L748" i="10" s="1"/>
  <c r="AE748" i="10" s="1"/>
  <c r="G441" i="15"/>
  <c r="G971" i="9" s="1"/>
  <c r="O441" i="15"/>
  <c r="L1383" i="9"/>
  <c r="L1385" i="9" s="1"/>
  <c r="K199" i="12" s="1"/>
  <c r="L199" i="12" s="1"/>
  <c r="K865" i="10" s="1"/>
  <c r="L865" i="10" s="1"/>
  <c r="AE865" i="10" s="1"/>
  <c r="I1477" i="9"/>
  <c r="L1477" i="9"/>
  <c r="L1479" i="9" s="1"/>
  <c r="K215" i="12" s="1"/>
  <c r="L215" i="12" s="1"/>
  <c r="N1477" i="9"/>
  <c r="N1479" i="9" s="1"/>
  <c r="M215" i="12" s="1"/>
  <c r="N215" i="12" s="1"/>
  <c r="L1423" i="9"/>
  <c r="L1425" i="9" s="1"/>
  <c r="K206" i="12" s="1"/>
  <c r="L206" i="12" s="1"/>
  <c r="K333" i="10" s="1"/>
  <c r="L333" i="10" s="1"/>
  <c r="AE333" i="10" s="1"/>
  <c r="G417" i="15"/>
  <c r="G927" i="9" s="1"/>
  <c r="G575" i="15"/>
  <c r="G1251" i="9" s="1"/>
  <c r="O575" i="15"/>
  <c r="L453" i="9"/>
  <c r="L455" i="9" s="1"/>
  <c r="K54" i="12" s="1"/>
  <c r="L54" i="12" s="1"/>
  <c r="L1069" i="9"/>
  <c r="L1071" i="9" s="1"/>
  <c r="K147" i="12" s="1"/>
  <c r="L147" i="12" s="1"/>
  <c r="N1069" i="9"/>
  <c r="N1071" i="9" s="1"/>
  <c r="M147" i="12" s="1"/>
  <c r="N147" i="12" s="1"/>
  <c r="I1069" i="9"/>
  <c r="I1071" i="9" s="1"/>
  <c r="P1263" i="9"/>
  <c r="I1265" i="9"/>
  <c r="I744" i="9"/>
  <c r="L744" i="9"/>
  <c r="L746" i="9" s="1"/>
  <c r="K98" i="12" s="1"/>
  <c r="L98" i="12" s="1"/>
  <c r="N744" i="9"/>
  <c r="N746" i="9" s="1"/>
  <c r="M98" i="12" s="1"/>
  <c r="N98" i="12" s="1"/>
  <c r="L835" i="9"/>
  <c r="L837" i="9" s="1"/>
  <c r="K111" i="12" s="1"/>
  <c r="L111" i="12" s="1"/>
  <c r="O253" i="10"/>
  <c r="I253" i="10"/>
  <c r="P253" i="10" s="1"/>
  <c r="O250" i="10"/>
  <c r="I250" i="10"/>
  <c r="P250" i="10" s="1"/>
  <c r="I251" i="10"/>
  <c r="P251" i="10" s="1"/>
  <c r="O251" i="10"/>
  <c r="H174" i="12"/>
  <c r="H206" i="12"/>
  <c r="M141" i="10"/>
  <c r="N141" i="10" s="1"/>
  <c r="M89" i="10"/>
  <c r="N89" i="10" s="1"/>
  <c r="M194" i="10"/>
  <c r="N194" i="10" s="1"/>
  <c r="M39" i="10"/>
  <c r="N39" i="10" s="1"/>
  <c r="I168" i="9"/>
  <c r="P168" i="9" s="1"/>
  <c r="O168" i="9"/>
  <c r="I435" i="10"/>
  <c r="P435" i="10" s="1"/>
  <c r="O435" i="10"/>
  <c r="I83" i="10"/>
  <c r="P83" i="10" s="1"/>
  <c r="O83" i="10"/>
  <c r="G120" i="15"/>
  <c r="G291" i="9" s="1"/>
  <c r="O120" i="15"/>
  <c r="I1183" i="9"/>
  <c r="O1183" i="9"/>
  <c r="P500" i="9"/>
  <c r="O47" i="9"/>
  <c r="I47" i="9"/>
  <c r="P47" i="9" s="1"/>
  <c r="O672" i="9"/>
  <c r="I672" i="9"/>
  <c r="P902" i="9"/>
  <c r="I905" i="9"/>
  <c r="O802" i="10"/>
  <c r="I802" i="10"/>
  <c r="P802" i="10" s="1"/>
  <c r="L268" i="9"/>
  <c r="P268" i="9" s="1"/>
  <c r="I806" i="10"/>
  <c r="P806" i="10" s="1"/>
  <c r="O806" i="10"/>
  <c r="O440" i="10"/>
  <c r="I440" i="10"/>
  <c r="P440" i="10" s="1"/>
  <c r="O143" i="15"/>
  <c r="G143" i="15"/>
  <c r="G348" i="9" s="1"/>
  <c r="P506" i="9"/>
  <c r="O56" i="9"/>
  <c r="I56" i="9"/>
  <c r="P56" i="9" s="1"/>
  <c r="I679" i="9"/>
  <c r="O679" i="9"/>
  <c r="P970" i="9"/>
  <c r="I304" i="10"/>
  <c r="P304" i="10" s="1"/>
  <c r="O304" i="10"/>
  <c r="G148" i="15"/>
  <c r="G357" i="9" s="1"/>
  <c r="I728" i="9"/>
  <c r="O728" i="9"/>
  <c r="O465" i="10"/>
  <c r="I465" i="10"/>
  <c r="P465" i="10" s="1"/>
  <c r="P1086" i="9"/>
  <c r="G86" i="15"/>
  <c r="G226" i="9" s="1"/>
  <c r="O86" i="15"/>
  <c r="G105" i="15"/>
  <c r="G262" i="9" s="1"/>
  <c r="O105" i="15"/>
  <c r="I168" i="10"/>
  <c r="P168" i="10" s="1"/>
  <c r="O168" i="10"/>
  <c r="I693" i="9"/>
  <c r="O693" i="9"/>
  <c r="I432" i="10"/>
  <c r="P432" i="10" s="1"/>
  <c r="O432" i="10"/>
  <c r="O415" i="10"/>
  <c r="I415" i="10"/>
  <c r="P415" i="10" s="1"/>
  <c r="G142" i="15"/>
  <c r="G347" i="9" s="1"/>
  <c r="O142" i="15"/>
  <c r="I976" i="10"/>
  <c r="P976" i="10" s="1"/>
  <c r="O976" i="10"/>
  <c r="O345" i="9"/>
  <c r="I345" i="9"/>
  <c r="P345" i="9" s="1"/>
  <c r="O893" i="10"/>
  <c r="I893" i="10"/>
  <c r="P893" i="10" s="1"/>
  <c r="O166" i="9"/>
  <c r="I166" i="9"/>
  <c r="P166" i="9" s="1"/>
  <c r="I433" i="10"/>
  <c r="P433" i="10" s="1"/>
  <c r="O433" i="10"/>
  <c r="G674" i="15"/>
  <c r="G1453" i="9" s="1"/>
  <c r="O674" i="15"/>
  <c r="I483" i="9"/>
  <c r="L483" i="9"/>
  <c r="L485" i="9" s="1"/>
  <c r="K59" i="12" s="1"/>
  <c r="L59" i="12" s="1"/>
  <c r="K661" i="10" s="1"/>
  <c r="L661" i="10" s="1"/>
  <c r="AE661" i="10" s="1"/>
  <c r="N483" i="9"/>
  <c r="N485" i="9" s="1"/>
  <c r="M59" i="12" s="1"/>
  <c r="N59" i="12" s="1"/>
  <c r="M661" i="10" s="1"/>
  <c r="N661" i="10" s="1"/>
  <c r="I1441" i="9"/>
  <c r="L1441" i="9"/>
  <c r="L1443" i="9" s="1"/>
  <c r="K209" i="12" s="1"/>
  <c r="L209" i="12" s="1"/>
  <c r="N1441" i="9"/>
  <c r="N1443" i="9" s="1"/>
  <c r="M209" i="12" s="1"/>
  <c r="N209" i="12" s="1"/>
  <c r="P604" i="9"/>
  <c r="P1257" i="9"/>
  <c r="O692" i="15"/>
  <c r="G692" i="15"/>
  <c r="G1486" i="9" s="1"/>
  <c r="G557" i="15"/>
  <c r="G1215" i="9" s="1"/>
  <c r="O557" i="15"/>
  <c r="G323" i="15"/>
  <c r="G737" i="9" s="1"/>
  <c r="O495" i="15"/>
  <c r="G495" i="15"/>
  <c r="G1093" i="9" s="1"/>
  <c r="P940" i="9"/>
  <c r="I660" i="9"/>
  <c r="L660" i="9"/>
  <c r="L662" i="9" s="1"/>
  <c r="K86" i="12" s="1"/>
  <c r="L86" i="12" s="1"/>
  <c r="K398" i="10" s="1"/>
  <c r="L398" i="10" s="1"/>
  <c r="AE398" i="10" s="1"/>
  <c r="N660" i="9"/>
  <c r="N662" i="9" s="1"/>
  <c r="M86" i="12" s="1"/>
  <c r="N86" i="12" s="1"/>
  <c r="M398" i="10" s="1"/>
  <c r="N398" i="10" s="1"/>
  <c r="G462" i="15"/>
  <c r="G1017" i="9" s="1"/>
  <c r="P453" i="9"/>
  <c r="G456" i="15"/>
  <c r="G1001" i="9" s="1"/>
  <c r="L847" i="9"/>
  <c r="L849" i="9" s="1"/>
  <c r="K113" i="12" s="1"/>
  <c r="L113" i="12" s="1"/>
  <c r="P1311" i="9"/>
  <c r="I1313" i="9"/>
  <c r="L758" i="9"/>
  <c r="L760" i="9" s="1"/>
  <c r="K100" i="12" s="1"/>
  <c r="L100" i="12" s="1"/>
  <c r="N758" i="9"/>
  <c r="N760" i="9" s="1"/>
  <c r="M100" i="12" s="1"/>
  <c r="N100" i="12" s="1"/>
  <c r="I758" i="9"/>
  <c r="P758" i="9" s="1"/>
  <c r="G504" i="15"/>
  <c r="G1111" i="9" s="1"/>
  <c r="O504" i="15"/>
  <c r="P835" i="9"/>
  <c r="O502" i="10" l="1"/>
  <c r="I502" i="10"/>
  <c r="P502" i="10" s="1"/>
  <c r="O255" i="9"/>
  <c r="I255" i="9"/>
  <c r="P255" i="9" s="1"/>
  <c r="O243" i="9"/>
  <c r="I243" i="9"/>
  <c r="P243" i="9" s="1"/>
  <c r="O428" i="9"/>
  <c r="I428" i="9"/>
  <c r="I482" i="9"/>
  <c r="O482" i="9"/>
  <c r="I494" i="9"/>
  <c r="P494" i="9" s="1"/>
  <c r="O494" i="9"/>
  <c r="O944" i="10"/>
  <c r="I944" i="10"/>
  <c r="P944" i="10" s="1"/>
  <c r="O548" i="9"/>
  <c r="I548" i="9"/>
  <c r="I15" i="9"/>
  <c r="P15" i="9" s="1"/>
  <c r="O15" i="9"/>
  <c r="I75" i="9"/>
  <c r="O75" i="9"/>
  <c r="I701" i="9"/>
  <c r="P701" i="9" s="1"/>
  <c r="O701" i="9"/>
  <c r="O864" i="9"/>
  <c r="I864" i="9"/>
  <c r="P864" i="9" s="1"/>
  <c r="I895" i="9"/>
  <c r="P895" i="9" s="1"/>
  <c r="O895" i="9"/>
  <c r="O926" i="9"/>
  <c r="I926" i="9"/>
  <c r="P926" i="9" s="1"/>
  <c r="O952" i="9"/>
  <c r="I952" i="9"/>
  <c r="P952" i="9" s="1"/>
  <c r="O988" i="9"/>
  <c r="I988" i="9"/>
  <c r="P988" i="9" s="1"/>
  <c r="O177" i="9"/>
  <c r="I177" i="9"/>
  <c r="P177" i="9" s="1"/>
  <c r="I120" i="9"/>
  <c r="P120" i="9" s="1"/>
  <c r="O120" i="9"/>
  <c r="O1062" i="9"/>
  <c r="I1062" i="9"/>
  <c r="P1062" i="9" s="1"/>
  <c r="O1098" i="9"/>
  <c r="I1098" i="9"/>
  <c r="O1134" i="9"/>
  <c r="I1134" i="9"/>
  <c r="P1134" i="9" s="1"/>
  <c r="I387" i="10"/>
  <c r="P387" i="10" s="1"/>
  <c r="O387" i="10"/>
  <c r="O1072" i="10"/>
  <c r="I1072" i="10"/>
  <c r="I1123" i="10"/>
  <c r="O1123" i="10"/>
  <c r="I443" i="10"/>
  <c r="P443" i="10" s="1"/>
  <c r="O443" i="10"/>
  <c r="I1154" i="10"/>
  <c r="P1154" i="10" s="1"/>
  <c r="O1154" i="10"/>
  <c r="I1160" i="10"/>
  <c r="P1160" i="10" s="1"/>
  <c r="O1160" i="10"/>
  <c r="O1168" i="10"/>
  <c r="I1168" i="10"/>
  <c r="P1168" i="10" s="1"/>
  <c r="O1171" i="10"/>
  <c r="I1171" i="10"/>
  <c r="P1171" i="10" s="1"/>
  <c r="O501" i="10"/>
  <c r="I501" i="10"/>
  <c r="P501" i="10" s="1"/>
  <c r="I762" i="10"/>
  <c r="P762" i="10" s="1"/>
  <c r="O762" i="10"/>
  <c r="O765" i="10"/>
  <c r="I765" i="10"/>
  <c r="P765" i="10" s="1"/>
  <c r="I232" i="9"/>
  <c r="O232" i="9"/>
  <c r="I242" i="9"/>
  <c r="P242" i="9" s="1"/>
  <c r="O242" i="9"/>
  <c r="O252" i="9"/>
  <c r="I252" i="9"/>
  <c r="P252" i="9" s="1"/>
  <c r="O233" i="9"/>
  <c r="I233" i="9"/>
  <c r="P233" i="9" s="1"/>
  <c r="I253" i="9"/>
  <c r="P253" i="9" s="1"/>
  <c r="O253" i="9"/>
  <c r="O422" i="9"/>
  <c r="I422" i="9"/>
  <c r="O372" i="10"/>
  <c r="I372" i="10"/>
  <c r="P372" i="10" s="1"/>
  <c r="I579" i="10"/>
  <c r="P579" i="10" s="1"/>
  <c r="O579" i="10"/>
  <c r="I659" i="10"/>
  <c r="P659" i="10" s="1"/>
  <c r="O659" i="10"/>
  <c r="I434" i="9"/>
  <c r="P434" i="9" s="1"/>
  <c r="O434" i="9"/>
  <c r="O440" i="9"/>
  <c r="I440" i="9"/>
  <c r="O446" i="9"/>
  <c r="I446" i="9"/>
  <c r="P446" i="9" s="1"/>
  <c r="I452" i="9"/>
  <c r="O452" i="9"/>
  <c r="I554" i="9"/>
  <c r="O554" i="9"/>
  <c r="O25" i="9"/>
  <c r="I25" i="9"/>
  <c r="I834" i="9"/>
  <c r="O834" i="9"/>
  <c r="O846" i="9"/>
  <c r="I846" i="9"/>
  <c r="O858" i="9"/>
  <c r="I858" i="9"/>
  <c r="I870" i="9"/>
  <c r="O870" i="9"/>
  <c r="I882" i="9"/>
  <c r="O882" i="9"/>
  <c r="I888" i="9"/>
  <c r="P888" i="9" s="1"/>
  <c r="O888" i="9"/>
  <c r="I908" i="9"/>
  <c r="O908" i="9"/>
  <c r="O920" i="9"/>
  <c r="I920" i="9"/>
  <c r="O186" i="9"/>
  <c r="I186" i="9"/>
  <c r="P186" i="9" s="1"/>
  <c r="O946" i="9"/>
  <c r="I946" i="9"/>
  <c r="P946" i="9" s="1"/>
  <c r="O958" i="9"/>
  <c r="I958" i="9"/>
  <c r="O982" i="9"/>
  <c r="I982" i="9"/>
  <c r="P982" i="9" s="1"/>
  <c r="O994" i="9"/>
  <c r="I994" i="9"/>
  <c r="I221" i="9"/>
  <c r="P221" i="9" s="1"/>
  <c r="O221" i="9"/>
  <c r="I188" i="9"/>
  <c r="P188" i="9" s="1"/>
  <c r="O188" i="9"/>
  <c r="O201" i="9"/>
  <c r="I201" i="9"/>
  <c r="P201" i="9" s="1"/>
  <c r="I1153" i="10"/>
  <c r="O1153" i="10"/>
  <c r="I1167" i="10"/>
  <c r="P1167" i="10" s="1"/>
  <c r="O1167" i="10"/>
  <c r="I1014" i="10"/>
  <c r="O1014" i="10"/>
  <c r="I1047" i="10"/>
  <c r="O1047" i="10"/>
  <c r="O1078" i="10"/>
  <c r="I1078" i="10"/>
  <c r="P1078" i="10" s="1"/>
  <c r="O1098" i="10"/>
  <c r="I1098" i="10"/>
  <c r="O1126" i="10"/>
  <c r="I1126" i="10"/>
  <c r="P1126" i="10" s="1"/>
  <c r="P1465" i="9"/>
  <c r="L1467" i="9"/>
  <c r="K213" i="12" s="1"/>
  <c r="L213" i="12" s="1"/>
  <c r="P417" i="9"/>
  <c r="L419" i="9"/>
  <c r="K48" i="12" s="1"/>
  <c r="L48" i="12" s="1"/>
  <c r="L281" i="9"/>
  <c r="K30" i="12" s="1"/>
  <c r="L30" i="12" s="1"/>
  <c r="K960" i="10" s="1"/>
  <c r="L960" i="10" s="1"/>
  <c r="AE960" i="10" s="1"/>
  <c r="P279" i="9"/>
  <c r="P211" i="9"/>
  <c r="P307" i="9"/>
  <c r="P1117" i="9"/>
  <c r="P909" i="9"/>
  <c r="P597" i="9"/>
  <c r="P227" i="9"/>
  <c r="P50" i="9"/>
  <c r="P194" i="9"/>
  <c r="L892" i="9"/>
  <c r="K120" i="12" s="1"/>
  <c r="L120" i="12" s="1"/>
  <c r="K916" i="10" s="1"/>
  <c r="L916" i="10" s="1"/>
  <c r="AE916" i="10" s="1"/>
  <c r="P531" i="9"/>
  <c r="P793" i="9"/>
  <c r="P214" i="9"/>
  <c r="P897" i="9"/>
  <c r="P1153" i="9"/>
  <c r="P555" i="9"/>
  <c r="P190" i="9"/>
  <c r="P660" i="9"/>
  <c r="M178" i="12"/>
  <c r="N178" i="12" s="1"/>
  <c r="M273" i="10" s="1"/>
  <c r="N273" i="10" s="1"/>
  <c r="P1259" i="9"/>
  <c r="M69" i="10"/>
  <c r="N69" i="10" s="1"/>
  <c r="M121" i="10"/>
  <c r="N121" i="10" s="1"/>
  <c r="M859" i="10"/>
  <c r="N859" i="10" s="1"/>
  <c r="M174" i="10"/>
  <c r="N174" i="10" s="1"/>
  <c r="M18" i="10"/>
  <c r="N18" i="10" s="1"/>
  <c r="M178" i="10"/>
  <c r="N178" i="10" s="1"/>
  <c r="M22" i="10"/>
  <c r="N22" i="10" s="1"/>
  <c r="O296" i="9"/>
  <c r="I296" i="9"/>
  <c r="I305" i="9"/>
  <c r="P305" i="9" s="1"/>
  <c r="O305" i="9"/>
  <c r="I304" i="9"/>
  <c r="O304" i="9"/>
  <c r="O313" i="9"/>
  <c r="I313" i="9"/>
  <c r="P313" i="9" s="1"/>
  <c r="I312" i="9"/>
  <c r="O312" i="9"/>
  <c r="I321" i="9"/>
  <c r="P321" i="9" s="1"/>
  <c r="O321" i="9"/>
  <c r="O320" i="9"/>
  <c r="I320" i="9"/>
  <c r="I328" i="9"/>
  <c r="P328" i="9" s="1"/>
  <c r="O328" i="9"/>
  <c r="O329" i="9"/>
  <c r="I329" i="9"/>
  <c r="P329" i="9" s="1"/>
  <c r="I337" i="9"/>
  <c r="P337" i="9" s="1"/>
  <c r="O337" i="9"/>
  <c r="O354" i="9"/>
  <c r="I354" i="9"/>
  <c r="P354" i="9" s="1"/>
  <c r="I353" i="9"/>
  <c r="O353" i="9"/>
  <c r="I319" i="10"/>
  <c r="P319" i="10" s="1"/>
  <c r="O319" i="10"/>
  <c r="I500" i="10"/>
  <c r="P500" i="10" s="1"/>
  <c r="O500" i="10"/>
  <c r="I162" i="10"/>
  <c r="P162" i="10" s="1"/>
  <c r="O162" i="10"/>
  <c r="I763" i="10"/>
  <c r="P763" i="10" s="1"/>
  <c r="O763" i="10"/>
  <c r="O291" i="10"/>
  <c r="I291" i="10"/>
  <c r="P291" i="10" s="1"/>
  <c r="O292" i="10"/>
  <c r="I292" i="10"/>
  <c r="P292" i="10" s="1"/>
  <c r="I764" i="10"/>
  <c r="P764" i="10" s="1"/>
  <c r="O764" i="10"/>
  <c r="O381" i="9"/>
  <c r="I381" i="9"/>
  <c r="P381" i="9" s="1"/>
  <c r="O380" i="9"/>
  <c r="I380" i="9"/>
  <c r="I388" i="9"/>
  <c r="P388" i="9" s="1"/>
  <c r="O388" i="9"/>
  <c r="O387" i="9"/>
  <c r="I387" i="9"/>
  <c r="I402" i="9"/>
  <c r="O402" i="9"/>
  <c r="I408" i="9"/>
  <c r="O408" i="9"/>
  <c r="O415" i="9"/>
  <c r="I415" i="9"/>
  <c r="O416" i="9"/>
  <c r="I416" i="9"/>
  <c r="P416" i="9" s="1"/>
  <c r="O254" i="9"/>
  <c r="I254" i="9"/>
  <c r="P254" i="9" s="1"/>
  <c r="I244" i="9"/>
  <c r="P244" i="9" s="1"/>
  <c r="O244" i="9"/>
  <c r="I144" i="9"/>
  <c r="P144" i="9" s="1"/>
  <c r="O144" i="9"/>
  <c r="O36" i="9"/>
  <c r="I36" i="9"/>
  <c r="P36" i="9" s="1"/>
  <c r="I26" i="9"/>
  <c r="P26" i="9" s="1"/>
  <c r="O26" i="9"/>
  <c r="O108" i="9"/>
  <c r="I108" i="9"/>
  <c r="P108" i="9" s="1"/>
  <c r="O603" i="9"/>
  <c r="I603" i="9"/>
  <c r="P603" i="9" s="1"/>
  <c r="I602" i="9"/>
  <c r="O602" i="9"/>
  <c r="I624" i="9"/>
  <c r="P624" i="9" s="1"/>
  <c r="O624" i="9"/>
  <c r="O623" i="9"/>
  <c r="I623" i="9"/>
  <c r="I637" i="9"/>
  <c r="O637" i="9"/>
  <c r="I708" i="9"/>
  <c r="P708" i="9" s="1"/>
  <c r="O708" i="9"/>
  <c r="O749" i="9"/>
  <c r="I749" i="9"/>
  <c r="O764" i="9"/>
  <c r="I764" i="9"/>
  <c r="P764" i="9" s="1"/>
  <c r="I791" i="9"/>
  <c r="O791" i="9"/>
  <c r="O805" i="9"/>
  <c r="I805" i="9"/>
  <c r="I820" i="9"/>
  <c r="O820" i="9"/>
  <c r="O821" i="9"/>
  <c r="I821" i="9"/>
  <c r="P821" i="9" s="1"/>
  <c r="O131" i="9"/>
  <c r="I131" i="9"/>
  <c r="P131" i="9" s="1"/>
  <c r="O153" i="9"/>
  <c r="I153" i="9"/>
  <c r="I157" i="9"/>
  <c r="P157" i="9" s="1"/>
  <c r="O157" i="9"/>
  <c r="I169" i="9"/>
  <c r="P169" i="9" s="1"/>
  <c r="O169" i="9"/>
  <c r="O158" i="9"/>
  <c r="I158" i="9"/>
  <c r="P158" i="9" s="1"/>
  <c r="O88" i="9"/>
  <c r="I88" i="9"/>
  <c r="I170" i="9"/>
  <c r="P170" i="9" s="1"/>
  <c r="O170" i="9"/>
  <c r="I48" i="9"/>
  <c r="O48" i="9"/>
  <c r="I99" i="9"/>
  <c r="O99" i="9"/>
  <c r="O28" i="9"/>
  <c r="I28" i="9"/>
  <c r="P28" i="9" s="1"/>
  <c r="I68" i="9"/>
  <c r="O68" i="9"/>
  <c r="I78" i="9"/>
  <c r="P78" i="9" s="1"/>
  <c r="O78" i="9"/>
  <c r="I49" i="9"/>
  <c r="P49" i="9" s="1"/>
  <c r="O49" i="9"/>
  <c r="O100" i="9"/>
  <c r="I100" i="9"/>
  <c r="P100" i="9" s="1"/>
  <c r="I19" i="9"/>
  <c r="P19" i="9" s="1"/>
  <c r="O19" i="9"/>
  <c r="I39" i="9"/>
  <c r="O39" i="9"/>
  <c r="O89" i="9"/>
  <c r="I89" i="9"/>
  <c r="P89" i="9" s="1"/>
  <c r="I59" i="9"/>
  <c r="P59" i="9" s="1"/>
  <c r="O59" i="9"/>
  <c r="O29" i="9"/>
  <c r="I29" i="9"/>
  <c r="P29" i="9" s="1"/>
  <c r="I290" i="9"/>
  <c r="P290" i="9" s="1"/>
  <c r="O290" i="9"/>
  <c r="I1007" i="9"/>
  <c r="P1007" i="9" s="1"/>
  <c r="O1007" i="9"/>
  <c r="O1015" i="9"/>
  <c r="I1015" i="9"/>
  <c r="P1015" i="9" s="1"/>
  <c r="O1023" i="9"/>
  <c r="I1023" i="9"/>
  <c r="O1030" i="9"/>
  <c r="I1030" i="9"/>
  <c r="I1031" i="9"/>
  <c r="P1031" i="9" s="1"/>
  <c r="O1031" i="9"/>
  <c r="I1039" i="9"/>
  <c r="O1039" i="9"/>
  <c r="I1046" i="9"/>
  <c r="O1046" i="9"/>
  <c r="I1047" i="9"/>
  <c r="P1047" i="9" s="1"/>
  <c r="O1047" i="9"/>
  <c r="O408" i="10"/>
  <c r="I408" i="10"/>
  <c r="P408" i="10" s="1"/>
  <c r="I902" i="10"/>
  <c r="P902" i="10" s="1"/>
  <c r="O902" i="10"/>
  <c r="O903" i="10"/>
  <c r="I903" i="10"/>
  <c r="P903" i="10" s="1"/>
  <c r="I259" i="10"/>
  <c r="P259" i="10" s="1"/>
  <c r="O259" i="10"/>
  <c r="I469" i="10"/>
  <c r="P469" i="10" s="1"/>
  <c r="O469" i="10"/>
  <c r="I641" i="10"/>
  <c r="P641" i="10" s="1"/>
  <c r="O641" i="10"/>
  <c r="N1099" i="9"/>
  <c r="N1101" i="9" s="1"/>
  <c r="M152" i="12" s="1"/>
  <c r="N152" i="12" s="1"/>
  <c r="I1099" i="9"/>
  <c r="P1099" i="9" s="1"/>
  <c r="L1099" i="9"/>
  <c r="L1101" i="9" s="1"/>
  <c r="K152" i="12" s="1"/>
  <c r="L152" i="12" s="1"/>
  <c r="N889" i="9"/>
  <c r="N892" i="9" s="1"/>
  <c r="M120" i="12" s="1"/>
  <c r="N120" i="12" s="1"/>
  <c r="M916" i="10" s="1"/>
  <c r="N916" i="10" s="1"/>
  <c r="I889" i="9"/>
  <c r="P889" i="9" s="1"/>
  <c r="L779" i="9"/>
  <c r="L781" i="9" s="1"/>
  <c r="K103" i="12" s="1"/>
  <c r="L103" i="12" s="1"/>
  <c r="K780" i="10" s="1"/>
  <c r="L780" i="10" s="1"/>
  <c r="AE780" i="10" s="1"/>
  <c r="I779" i="9"/>
  <c r="N779" i="9"/>
  <c r="N781" i="9" s="1"/>
  <c r="M103" i="12" s="1"/>
  <c r="N103" i="12" s="1"/>
  <c r="M780" i="10" s="1"/>
  <c r="N780" i="10" s="1"/>
  <c r="I941" i="9"/>
  <c r="I943" i="9" s="1"/>
  <c r="N941" i="9"/>
  <c r="N943" i="9" s="1"/>
  <c r="M128" i="12" s="1"/>
  <c r="N128" i="12" s="1"/>
  <c r="M676" i="10" s="1"/>
  <c r="N676" i="10" s="1"/>
  <c r="L941" i="9"/>
  <c r="L943" i="9" s="1"/>
  <c r="K128" i="12" s="1"/>
  <c r="L128" i="12" s="1"/>
  <c r="K676" i="10" s="1"/>
  <c r="L676" i="10" s="1"/>
  <c r="AE676" i="10" s="1"/>
  <c r="N257" i="9"/>
  <c r="L257" i="9"/>
  <c r="I257" i="9"/>
  <c r="L1431" i="9"/>
  <c r="K207" i="12" s="1"/>
  <c r="L207" i="12" s="1"/>
  <c r="P1429" i="9"/>
  <c r="L104" i="9"/>
  <c r="K14" i="12" s="1"/>
  <c r="L14" i="12" s="1"/>
  <c r="K957" i="10" s="1"/>
  <c r="L957" i="10" s="1"/>
  <c r="AE957" i="10" s="1"/>
  <c r="P102" i="9"/>
  <c r="L1496" i="9"/>
  <c r="K219" i="12" s="1"/>
  <c r="P1494" i="9"/>
  <c r="L564" i="9"/>
  <c r="K72" i="12" s="1"/>
  <c r="L72" i="12" s="1"/>
  <c r="K855" i="10" s="1"/>
  <c r="L855" i="10" s="1"/>
  <c r="AE855" i="10" s="1"/>
  <c r="P562" i="9"/>
  <c r="L1235" i="9"/>
  <c r="P1233" i="9"/>
  <c r="P1105" i="9"/>
  <c r="I1107" i="9"/>
  <c r="L1491" i="9"/>
  <c r="K218" i="12" s="1"/>
  <c r="P1490" i="9"/>
  <c r="L1162" i="9"/>
  <c r="K162" i="12" s="1"/>
  <c r="L162" i="12" s="1"/>
  <c r="K386" i="10" s="1"/>
  <c r="L386" i="10" s="1"/>
  <c r="AE386" i="10" s="1"/>
  <c r="P1160" i="9"/>
  <c r="L391" i="9"/>
  <c r="K44" i="12" s="1"/>
  <c r="L44" i="12" s="1"/>
  <c r="K504" i="10" s="1"/>
  <c r="L504" i="10" s="1"/>
  <c r="AE504" i="10" s="1"/>
  <c r="P389" i="9"/>
  <c r="L1461" i="9"/>
  <c r="K212" i="12" s="1"/>
  <c r="L212" i="12" s="1"/>
  <c r="P1459" i="9"/>
  <c r="H147" i="12"/>
  <c r="P1071" i="9"/>
  <c r="H68" i="12"/>
  <c r="P539" i="9"/>
  <c r="P679" i="9"/>
  <c r="I683" i="9"/>
  <c r="M425" i="10"/>
  <c r="N425" i="10" s="1"/>
  <c r="M170" i="10"/>
  <c r="N170" i="10" s="1"/>
  <c r="M14" i="10"/>
  <c r="N14" i="10" s="1"/>
  <c r="M118" i="10"/>
  <c r="N118" i="10" s="1"/>
  <c r="M66" i="10"/>
  <c r="N66" i="10" s="1"/>
  <c r="P257" i="9"/>
  <c r="I1471" i="9"/>
  <c r="L1471" i="9"/>
  <c r="L1473" i="9" s="1"/>
  <c r="K214" i="12" s="1"/>
  <c r="L214" i="12" s="1"/>
  <c r="N1471" i="9"/>
  <c r="N1473" i="9" s="1"/>
  <c r="M214" i="12" s="1"/>
  <c r="N214" i="12" s="1"/>
  <c r="P965" i="9"/>
  <c r="P1335" i="9"/>
  <c r="I1337" i="9"/>
  <c r="M767" i="10"/>
  <c r="N767" i="10" s="1"/>
  <c r="M293" i="10"/>
  <c r="N293" i="10" s="1"/>
  <c r="P278" i="9"/>
  <c r="I281" i="9"/>
  <c r="H220" i="12"/>
  <c r="P1504" i="9"/>
  <c r="M778" i="10"/>
  <c r="N778" i="10" s="1"/>
  <c r="M714" i="10"/>
  <c r="N714" i="10" s="1"/>
  <c r="M450" i="10"/>
  <c r="N450" i="10" s="1"/>
  <c r="M223" i="10"/>
  <c r="N223" i="10" s="1"/>
  <c r="P947" i="9"/>
  <c r="I949" i="9"/>
  <c r="L507" i="9"/>
  <c r="L509" i="9" s="1"/>
  <c r="K63" i="12" s="1"/>
  <c r="L63" i="12" s="1"/>
  <c r="K941" i="10" s="1"/>
  <c r="L941" i="10" s="1"/>
  <c r="N507" i="9"/>
  <c r="N509" i="9" s="1"/>
  <c r="M63" i="12" s="1"/>
  <c r="N63" i="12" s="1"/>
  <c r="M941" i="10" s="1"/>
  <c r="N941" i="10" s="1"/>
  <c r="I507" i="9"/>
  <c r="L212" i="9"/>
  <c r="N212" i="9"/>
  <c r="I212" i="9"/>
  <c r="H64" i="12"/>
  <c r="P515" i="9"/>
  <c r="P798" i="9"/>
  <c r="I802" i="9"/>
  <c r="P1177" i="9"/>
  <c r="P513" i="9"/>
  <c r="K858" i="10"/>
  <c r="L858" i="10" s="1"/>
  <c r="AE858" i="10" s="1"/>
  <c r="K562" i="10"/>
  <c r="L562" i="10" s="1"/>
  <c r="AE562" i="10" s="1"/>
  <c r="K173" i="10"/>
  <c r="L173" i="10" s="1"/>
  <c r="AE173" i="10" s="1"/>
  <c r="K17" i="10"/>
  <c r="L17" i="10" s="1"/>
  <c r="AE17" i="10" s="1"/>
  <c r="I653" i="9"/>
  <c r="I655" i="9" s="1"/>
  <c r="L653" i="9"/>
  <c r="L655" i="9" s="1"/>
  <c r="K85" i="12" s="1"/>
  <c r="L85" i="12" s="1"/>
  <c r="K915" i="10" s="1"/>
  <c r="L915" i="10" s="1"/>
  <c r="N653" i="9"/>
  <c r="N655" i="9" s="1"/>
  <c r="M85" i="12" s="1"/>
  <c r="N85" i="12" s="1"/>
  <c r="M915" i="10" s="1"/>
  <c r="N915" i="10" s="1"/>
  <c r="P1365" i="9"/>
  <c r="I1367" i="9"/>
  <c r="L1239" i="9"/>
  <c r="L1241" i="9" s="1"/>
  <c r="K175" i="12" s="1"/>
  <c r="L175" i="12" s="1"/>
  <c r="K474" i="10" s="1"/>
  <c r="L474" i="10" s="1"/>
  <c r="AE474" i="10" s="1"/>
  <c r="N1239" i="9"/>
  <c r="N1241" i="9" s="1"/>
  <c r="M175" i="12" s="1"/>
  <c r="N175" i="12" s="1"/>
  <c r="M474" i="10" s="1"/>
  <c r="N474" i="10" s="1"/>
  <c r="I1239" i="9"/>
  <c r="H157" i="12"/>
  <c r="P1131" i="9"/>
  <c r="I704" i="9"/>
  <c r="P700" i="9"/>
  <c r="I459" i="9"/>
  <c r="L459" i="9"/>
  <c r="L461" i="9" s="1"/>
  <c r="K55" i="12" s="1"/>
  <c r="L55" i="12" s="1"/>
  <c r="K583" i="10" s="1"/>
  <c r="L583" i="10" s="1"/>
  <c r="AE583" i="10" s="1"/>
  <c r="N459" i="9"/>
  <c r="N461" i="9" s="1"/>
  <c r="M55" i="12" s="1"/>
  <c r="N55" i="12" s="1"/>
  <c r="M583" i="10" s="1"/>
  <c r="N583" i="10" s="1"/>
  <c r="I124" i="9"/>
  <c r="I126" i="9" s="1"/>
  <c r="L124" i="9"/>
  <c r="L126" i="9" s="1"/>
  <c r="K16" i="12" s="1"/>
  <c r="L16" i="12" s="1"/>
  <c r="K959" i="10" s="1"/>
  <c r="L959" i="10" s="1"/>
  <c r="AE959" i="10" s="1"/>
  <c r="N124" i="9"/>
  <c r="N126" i="9" s="1"/>
  <c r="M16" i="12" s="1"/>
  <c r="N16" i="12" s="1"/>
  <c r="M959" i="10" s="1"/>
  <c r="N959" i="10" s="1"/>
  <c r="M709" i="10"/>
  <c r="N709" i="10" s="1"/>
  <c r="M586" i="10"/>
  <c r="N586" i="10" s="1"/>
  <c r="M216" i="10"/>
  <c r="N216" i="10" s="1"/>
  <c r="M448" i="10"/>
  <c r="N448" i="10" s="1"/>
  <c r="M297" i="10"/>
  <c r="N297" i="10" s="1"/>
  <c r="K899" i="10"/>
  <c r="L899" i="10" s="1"/>
  <c r="AE899" i="10" s="1"/>
  <c r="K783" i="10"/>
  <c r="L783" i="10" s="1"/>
  <c r="AE783" i="10" s="1"/>
  <c r="K589" i="10"/>
  <c r="L589" i="10" s="1"/>
  <c r="AE589" i="10" s="1"/>
  <c r="K351" i="10"/>
  <c r="L351" i="10" s="1"/>
  <c r="AE351" i="10" s="1"/>
  <c r="K176" i="10"/>
  <c r="L176" i="10" s="1"/>
  <c r="AE176" i="10" s="1"/>
  <c r="K20" i="10"/>
  <c r="L20" i="10" s="1"/>
  <c r="AE20" i="10" s="1"/>
  <c r="K123" i="10"/>
  <c r="L123" i="10" s="1"/>
  <c r="AE123" i="10" s="1"/>
  <c r="K71" i="10"/>
  <c r="L71" i="10" s="1"/>
  <c r="AE71" i="10" s="1"/>
  <c r="H156" i="12"/>
  <c r="P1125" i="9"/>
  <c r="P714" i="9"/>
  <c r="I718" i="9"/>
  <c r="K863" i="10"/>
  <c r="L863" i="10" s="1"/>
  <c r="AE863" i="10" s="1"/>
  <c r="K329" i="10"/>
  <c r="L329" i="10" s="1"/>
  <c r="AE329" i="10" s="1"/>
  <c r="H193" i="12"/>
  <c r="P1349" i="9"/>
  <c r="K859" i="10"/>
  <c r="L859" i="10" s="1"/>
  <c r="AE859" i="10" s="1"/>
  <c r="K121" i="10"/>
  <c r="L121" i="10" s="1"/>
  <c r="AE121" i="10" s="1"/>
  <c r="K174" i="10"/>
  <c r="L174" i="10" s="1"/>
  <c r="AE174" i="10" s="1"/>
  <c r="K69" i="10"/>
  <c r="L69" i="10" s="1"/>
  <c r="AE69" i="10" s="1"/>
  <c r="K18" i="10"/>
  <c r="L18" i="10" s="1"/>
  <c r="AE18" i="10" s="1"/>
  <c r="I737" i="9"/>
  <c r="I739" i="9" s="1"/>
  <c r="L737" i="9"/>
  <c r="L739" i="9" s="1"/>
  <c r="K97" i="12" s="1"/>
  <c r="L97" i="12" s="1"/>
  <c r="N737" i="9"/>
  <c r="N739" i="9" s="1"/>
  <c r="M97" i="12" s="1"/>
  <c r="N97" i="12" s="1"/>
  <c r="P483" i="9"/>
  <c r="I697" i="9"/>
  <c r="P693" i="9"/>
  <c r="P1069" i="9"/>
  <c r="K425" i="10"/>
  <c r="L425" i="10" s="1"/>
  <c r="AE425" i="10" s="1"/>
  <c r="K66" i="10"/>
  <c r="L66" i="10" s="1"/>
  <c r="AE66" i="10" s="1"/>
  <c r="K170" i="10"/>
  <c r="L170" i="10" s="1"/>
  <c r="AE170" i="10" s="1"/>
  <c r="K14" i="10"/>
  <c r="L14" i="10" s="1"/>
  <c r="AE14" i="10" s="1"/>
  <c r="K118" i="10"/>
  <c r="L118" i="10" s="1"/>
  <c r="AE118" i="10" s="1"/>
  <c r="P651" i="9"/>
  <c r="I690" i="9"/>
  <c r="P686" i="9"/>
  <c r="K193" i="10"/>
  <c r="L193" i="10" s="1"/>
  <c r="AE193" i="10" s="1"/>
  <c r="K38" i="10"/>
  <c r="L38" i="10" s="1"/>
  <c r="AE38" i="10" s="1"/>
  <c r="K140" i="10"/>
  <c r="L140" i="10" s="1"/>
  <c r="AE140" i="10" s="1"/>
  <c r="K88" i="10"/>
  <c r="L88" i="10" s="1"/>
  <c r="AE88" i="10" s="1"/>
  <c r="L1203" i="9"/>
  <c r="L1205" i="9" s="1"/>
  <c r="K169" i="12" s="1"/>
  <c r="L169" i="12" s="1"/>
  <c r="K477" i="10" s="1"/>
  <c r="L477" i="10" s="1"/>
  <c r="AE477" i="10" s="1"/>
  <c r="N1203" i="9"/>
  <c r="N1205" i="9" s="1"/>
  <c r="M169" i="12" s="1"/>
  <c r="N169" i="12" s="1"/>
  <c r="M477" i="10" s="1"/>
  <c r="N477" i="10" s="1"/>
  <c r="I1203" i="9"/>
  <c r="P549" i="9"/>
  <c r="P91" i="9"/>
  <c r="H207" i="12"/>
  <c r="P1431" i="9"/>
  <c r="I1287" i="9"/>
  <c r="L1287" i="9"/>
  <c r="L1289" i="9" s="1"/>
  <c r="K183" i="12" s="1"/>
  <c r="L183" i="12" s="1"/>
  <c r="K268" i="10" s="1"/>
  <c r="L268" i="10" s="1"/>
  <c r="AE268" i="10" s="1"/>
  <c r="N1287" i="9"/>
  <c r="N1289" i="9" s="1"/>
  <c r="M183" i="12" s="1"/>
  <c r="N183" i="12" s="1"/>
  <c r="M268" i="10" s="1"/>
  <c r="N268" i="10" s="1"/>
  <c r="K767" i="10"/>
  <c r="L767" i="10" s="1"/>
  <c r="AE767" i="10" s="1"/>
  <c r="K293" i="10"/>
  <c r="L293" i="10" s="1"/>
  <c r="L237" i="9"/>
  <c r="N237" i="9"/>
  <c r="I237" i="9"/>
  <c r="K778" i="10"/>
  <c r="L778" i="10" s="1"/>
  <c r="AE778" i="10" s="1"/>
  <c r="K714" i="10"/>
  <c r="L714" i="10" s="1"/>
  <c r="AE714" i="10" s="1"/>
  <c r="K450" i="10"/>
  <c r="L450" i="10" s="1"/>
  <c r="AE450" i="10" s="1"/>
  <c r="K223" i="10"/>
  <c r="L223" i="10" s="1"/>
  <c r="AE223" i="10" s="1"/>
  <c r="L270" i="9"/>
  <c r="K28" i="12" s="1"/>
  <c r="L28" i="12" s="1"/>
  <c r="K647" i="10" s="1"/>
  <c r="L647" i="10" s="1"/>
  <c r="AE647" i="10" s="1"/>
  <c r="N247" i="9"/>
  <c r="I247" i="9"/>
  <c r="L247" i="9"/>
  <c r="K720" i="10"/>
  <c r="L720" i="10" s="1"/>
  <c r="AE720" i="10" s="1"/>
  <c r="K230" i="10"/>
  <c r="L230" i="10" s="1"/>
  <c r="AE230" i="10" s="1"/>
  <c r="I1166" i="9"/>
  <c r="L1166" i="9"/>
  <c r="L1168" i="9" s="1"/>
  <c r="K163" i="12" s="1"/>
  <c r="L163" i="12" s="1"/>
  <c r="N1166" i="9"/>
  <c r="N1168" i="9" s="1"/>
  <c r="M163" i="12" s="1"/>
  <c r="N163" i="12" s="1"/>
  <c r="H162" i="12"/>
  <c r="P1162" i="9"/>
  <c r="P841" i="9"/>
  <c r="H218" i="12"/>
  <c r="P1491" i="9"/>
  <c r="P567" i="9"/>
  <c r="P320" i="9"/>
  <c r="I325" i="9"/>
  <c r="I1413" i="9"/>
  <c r="N1413" i="9"/>
  <c r="N1415" i="9" s="1"/>
  <c r="M204" i="12" s="1"/>
  <c r="N204" i="12" s="1"/>
  <c r="M331" i="10" s="1"/>
  <c r="N331" i="10" s="1"/>
  <c r="L1413" i="9"/>
  <c r="L1415" i="9" s="1"/>
  <c r="K204" i="12" s="1"/>
  <c r="L204" i="12" s="1"/>
  <c r="K331" i="10" s="1"/>
  <c r="L331" i="10" s="1"/>
  <c r="AE331" i="10" s="1"/>
  <c r="P829" i="9"/>
  <c r="I315" i="9"/>
  <c r="I317" i="9" s="1"/>
  <c r="L315" i="9"/>
  <c r="L317" i="9" s="1"/>
  <c r="K35" i="12" s="1"/>
  <c r="L35" i="12" s="1"/>
  <c r="K577" i="10" s="1"/>
  <c r="L577" i="10" s="1"/>
  <c r="N315" i="9"/>
  <c r="N317" i="9" s="1"/>
  <c r="M35" i="12" s="1"/>
  <c r="N35" i="12" s="1"/>
  <c r="M577" i="10" s="1"/>
  <c r="N577" i="10" s="1"/>
  <c r="I170" i="12"/>
  <c r="O170" i="12"/>
  <c r="I788" i="9"/>
  <c r="P784" i="9"/>
  <c r="M918" i="10"/>
  <c r="N918" i="10" s="1"/>
  <c r="M377" i="10"/>
  <c r="N377" i="10" s="1"/>
  <c r="P871" i="9"/>
  <c r="P735" i="9"/>
  <c r="H188" i="12"/>
  <c r="P1319" i="9"/>
  <c r="I669" i="9"/>
  <c r="P665" i="9"/>
  <c r="H179" i="12"/>
  <c r="P1265" i="9"/>
  <c r="K721" i="10"/>
  <c r="L721" i="10" s="1"/>
  <c r="AE721" i="10" s="1"/>
  <c r="K785" i="10"/>
  <c r="L785" i="10" s="1"/>
  <c r="AE785" i="10" s="1"/>
  <c r="K679" i="10"/>
  <c r="L679" i="10" s="1"/>
  <c r="AE679" i="10" s="1"/>
  <c r="K379" i="10"/>
  <c r="L379" i="10" s="1"/>
  <c r="AE379" i="10" s="1"/>
  <c r="K454" i="10"/>
  <c r="L454" i="10" s="1"/>
  <c r="AE454" i="10" s="1"/>
  <c r="K402" i="10"/>
  <c r="L402" i="10" s="1"/>
  <c r="AE402" i="10" s="1"/>
  <c r="K232" i="10"/>
  <c r="L232" i="10" s="1"/>
  <c r="AE232" i="10" s="1"/>
  <c r="O176" i="12"/>
  <c r="I176" i="12"/>
  <c r="I953" i="9"/>
  <c r="L953" i="9"/>
  <c r="L955" i="9" s="1"/>
  <c r="K130" i="12" s="1"/>
  <c r="L130" i="12" s="1"/>
  <c r="N953" i="9"/>
  <c r="N955" i="9" s="1"/>
  <c r="M130" i="12" s="1"/>
  <c r="N130" i="12" s="1"/>
  <c r="M720" i="10"/>
  <c r="N720" i="10" s="1"/>
  <c r="M230" i="10"/>
  <c r="N230" i="10" s="1"/>
  <c r="P1425" i="9"/>
  <c r="M862" i="10"/>
  <c r="N862" i="10" s="1"/>
  <c r="M565" i="10"/>
  <c r="N565" i="10" s="1"/>
  <c r="P1407" i="9"/>
  <c r="I1409" i="9"/>
  <c r="M731" i="10"/>
  <c r="N731" i="10" s="1"/>
  <c r="M799" i="10"/>
  <c r="N799" i="10" s="1"/>
  <c r="M406" i="10"/>
  <c r="N406" i="10" s="1"/>
  <c r="M303" i="10"/>
  <c r="N303" i="10" s="1"/>
  <c r="M244" i="10"/>
  <c r="N244" i="10" s="1"/>
  <c r="M461" i="10"/>
  <c r="N461" i="10" s="1"/>
  <c r="I182" i="12"/>
  <c r="O182" i="12"/>
  <c r="I709" i="9"/>
  <c r="L709" i="9"/>
  <c r="L711" i="9" s="1"/>
  <c r="K93" i="12" s="1"/>
  <c r="L93" i="12" s="1"/>
  <c r="K777" i="10" s="1"/>
  <c r="L777" i="10" s="1"/>
  <c r="AE777" i="10" s="1"/>
  <c r="N709" i="9"/>
  <c r="N711" i="9" s="1"/>
  <c r="M93" i="12" s="1"/>
  <c r="N93" i="12" s="1"/>
  <c r="M777" i="10" s="1"/>
  <c r="N777" i="10" s="1"/>
  <c r="H155" i="12"/>
  <c r="P1119" i="9"/>
  <c r="M732" i="10"/>
  <c r="N732" i="10" s="1"/>
  <c r="M800" i="10"/>
  <c r="N800" i="10" s="1"/>
  <c r="M245" i="10"/>
  <c r="N245" i="10" s="1"/>
  <c r="M462" i="10"/>
  <c r="N462" i="10" s="1"/>
  <c r="P336" i="9"/>
  <c r="I1323" i="9"/>
  <c r="L1323" i="9"/>
  <c r="L1325" i="9" s="1"/>
  <c r="K189" i="12" s="1"/>
  <c r="L189" i="12" s="1"/>
  <c r="K475" i="10" s="1"/>
  <c r="L475" i="10" s="1"/>
  <c r="AE475" i="10" s="1"/>
  <c r="N1323" i="9"/>
  <c r="N1325" i="9" s="1"/>
  <c r="M189" i="12" s="1"/>
  <c r="N189" i="12" s="1"/>
  <c r="M475" i="10" s="1"/>
  <c r="N475" i="10" s="1"/>
  <c r="M587" i="10"/>
  <c r="N587" i="10" s="1"/>
  <c r="M222" i="10"/>
  <c r="N222" i="10" s="1"/>
  <c r="N1305" i="9"/>
  <c r="N1307" i="9" s="1"/>
  <c r="M186" i="12" s="1"/>
  <c r="N186" i="12" s="1"/>
  <c r="M271" i="10" s="1"/>
  <c r="N271" i="10" s="1"/>
  <c r="I1305" i="9"/>
  <c r="L1305" i="9"/>
  <c r="L1307" i="9" s="1"/>
  <c r="K186" i="12" s="1"/>
  <c r="L186" i="12" s="1"/>
  <c r="K271" i="10" s="1"/>
  <c r="L271" i="10" s="1"/>
  <c r="AE271" i="10" s="1"/>
  <c r="M892" i="10"/>
  <c r="N892" i="10" s="1"/>
  <c r="M604" i="10"/>
  <c r="N604" i="10" s="1"/>
  <c r="M844" i="10"/>
  <c r="N844" i="10" s="1"/>
  <c r="M424" i="10"/>
  <c r="N424" i="10" s="1"/>
  <c r="M166" i="10"/>
  <c r="N166" i="10" s="1"/>
  <c r="M114" i="10"/>
  <c r="N114" i="10" s="1"/>
  <c r="M62" i="10"/>
  <c r="N62" i="10" s="1"/>
  <c r="M507" i="10"/>
  <c r="N507" i="10" s="1"/>
  <c r="M324" i="10"/>
  <c r="N324" i="10" s="1"/>
  <c r="M346" i="10"/>
  <c r="N346" i="10" s="1"/>
  <c r="M10" i="10"/>
  <c r="N10" i="10" s="1"/>
  <c r="M581" i="10"/>
  <c r="N581" i="10" s="1"/>
  <c r="I419" i="9"/>
  <c r="P415" i="9"/>
  <c r="P394" i="9"/>
  <c r="P921" i="9"/>
  <c r="H149" i="12"/>
  <c r="P1083" i="9"/>
  <c r="P1197" i="9"/>
  <c r="K206" i="9"/>
  <c r="L206" i="9" s="1"/>
  <c r="K182" i="9"/>
  <c r="L182" i="9" s="1"/>
  <c r="L218" i="12"/>
  <c r="I620" i="9"/>
  <c r="P616" i="9"/>
  <c r="I967" i="9"/>
  <c r="I1435" i="9"/>
  <c r="L1435" i="9"/>
  <c r="L1437" i="9" s="1"/>
  <c r="K208" i="12" s="1"/>
  <c r="L208" i="12" s="1"/>
  <c r="N1435" i="9"/>
  <c r="N1437" i="9" s="1"/>
  <c r="M208" i="12" s="1"/>
  <c r="N208" i="12" s="1"/>
  <c r="I195" i="9"/>
  <c r="L195" i="9"/>
  <c r="N195" i="9"/>
  <c r="P129" i="9"/>
  <c r="M969" i="10"/>
  <c r="N969" i="10" s="1"/>
  <c r="M606" i="10"/>
  <c r="N606" i="10" s="1"/>
  <c r="M427" i="10"/>
  <c r="N427" i="10" s="1"/>
  <c r="K918" i="10"/>
  <c r="L918" i="10" s="1"/>
  <c r="AE918" i="10" s="1"/>
  <c r="K377" i="10"/>
  <c r="L377" i="10" s="1"/>
  <c r="AE377" i="10" s="1"/>
  <c r="P1401" i="9"/>
  <c r="I1403" i="9"/>
  <c r="M717" i="10"/>
  <c r="N717" i="10" s="1"/>
  <c r="M453" i="10"/>
  <c r="N453" i="10" s="1"/>
  <c r="M227" i="10"/>
  <c r="N227" i="10" s="1"/>
  <c r="P362" i="9"/>
  <c r="M858" i="10"/>
  <c r="N858" i="10" s="1"/>
  <c r="M562" i="10"/>
  <c r="N562" i="10" s="1"/>
  <c r="M173" i="10"/>
  <c r="N173" i="10" s="1"/>
  <c r="M17" i="10"/>
  <c r="N17" i="10" s="1"/>
  <c r="I299" i="9"/>
  <c r="I301" i="9" s="1"/>
  <c r="L299" i="9"/>
  <c r="L301" i="9" s="1"/>
  <c r="K33" i="12" s="1"/>
  <c r="L33" i="12" s="1"/>
  <c r="N299" i="9"/>
  <c r="N301" i="9" s="1"/>
  <c r="M33" i="12" s="1"/>
  <c r="N33" i="12" s="1"/>
  <c r="H213" i="12"/>
  <c r="P1467" i="9"/>
  <c r="I578" i="9"/>
  <c r="P574" i="9"/>
  <c r="L1001" i="9"/>
  <c r="L1003" i="9" s="1"/>
  <c r="K138" i="12" s="1"/>
  <c r="L138" i="12" s="1"/>
  <c r="K919" i="10" s="1"/>
  <c r="L919" i="10" s="1"/>
  <c r="AE919" i="10" s="1"/>
  <c r="N1001" i="9"/>
  <c r="N1003" i="9" s="1"/>
  <c r="M138" i="12" s="1"/>
  <c r="N138" i="12" s="1"/>
  <c r="M919" i="10" s="1"/>
  <c r="N919" i="10" s="1"/>
  <c r="I1001" i="9"/>
  <c r="K862" i="10"/>
  <c r="L862" i="10" s="1"/>
  <c r="AE862" i="10" s="1"/>
  <c r="K565" i="10"/>
  <c r="L565" i="10" s="1"/>
  <c r="AE565" i="10" s="1"/>
  <c r="I971" i="9"/>
  <c r="L971" i="9"/>
  <c r="L973" i="9" s="1"/>
  <c r="K133" i="12" s="1"/>
  <c r="L133" i="12" s="1"/>
  <c r="N971" i="9"/>
  <c r="N973" i="9" s="1"/>
  <c r="M133" i="12" s="1"/>
  <c r="N133" i="12" s="1"/>
  <c r="I236" i="9"/>
  <c r="L236" i="9"/>
  <c r="N236" i="9"/>
  <c r="M869" i="10"/>
  <c r="N869" i="10" s="1"/>
  <c r="M330" i="10"/>
  <c r="N330" i="10" s="1"/>
  <c r="K799" i="10"/>
  <c r="L799" i="10" s="1"/>
  <c r="AE799" i="10" s="1"/>
  <c r="K731" i="10"/>
  <c r="L731" i="10" s="1"/>
  <c r="AE731" i="10" s="1"/>
  <c r="K406" i="10"/>
  <c r="L406" i="10" s="1"/>
  <c r="AE406" i="10" s="1"/>
  <c r="K303" i="10"/>
  <c r="L303" i="10" s="1"/>
  <c r="AE303" i="10" s="1"/>
  <c r="K244" i="10"/>
  <c r="L244" i="10" s="1"/>
  <c r="AE244" i="10" s="1"/>
  <c r="K461" i="10"/>
  <c r="L461" i="10" s="1"/>
  <c r="AE461" i="10" s="1"/>
  <c r="H118" i="12"/>
  <c r="P879" i="9"/>
  <c r="P1014" i="9"/>
  <c r="K732" i="10"/>
  <c r="L732" i="10" s="1"/>
  <c r="AE732" i="10" s="1"/>
  <c r="K245" i="10"/>
  <c r="L245" i="10" s="1"/>
  <c r="AE245" i="10" s="1"/>
  <c r="K800" i="10"/>
  <c r="L800" i="10" s="1"/>
  <c r="AE800" i="10" s="1"/>
  <c r="K462" i="10"/>
  <c r="L462" i="10" s="1"/>
  <c r="AE462" i="10" s="1"/>
  <c r="N977" i="9"/>
  <c r="N979" i="9" s="1"/>
  <c r="M134" i="12" s="1"/>
  <c r="N134" i="12" s="1"/>
  <c r="I977" i="9"/>
  <c r="L977" i="9"/>
  <c r="L979" i="9" s="1"/>
  <c r="K134" i="12" s="1"/>
  <c r="L134" i="12" s="1"/>
  <c r="P537" i="9"/>
  <c r="H112" i="12"/>
  <c r="P843" i="9"/>
  <c r="I136" i="9"/>
  <c r="L136" i="9"/>
  <c r="L138" i="9" s="1"/>
  <c r="K17" i="12" s="1"/>
  <c r="L17" i="12" s="1"/>
  <c r="K791" i="10" s="1"/>
  <c r="L791" i="10" s="1"/>
  <c r="AE791" i="10" s="1"/>
  <c r="N136" i="9"/>
  <c r="N138" i="9" s="1"/>
  <c r="M17" i="12" s="1"/>
  <c r="N17" i="12" s="1"/>
  <c r="M791" i="10" s="1"/>
  <c r="N791" i="10" s="1"/>
  <c r="K587" i="10"/>
  <c r="L587" i="10" s="1"/>
  <c r="AE587" i="10" s="1"/>
  <c r="K222" i="10"/>
  <c r="L222" i="10" s="1"/>
  <c r="AE222" i="10" s="1"/>
  <c r="I625" i="9"/>
  <c r="L625" i="9"/>
  <c r="L627" i="9" s="1"/>
  <c r="K81" i="12" s="1"/>
  <c r="L81" i="12" s="1"/>
  <c r="K375" i="10" s="1"/>
  <c r="L375" i="10" s="1"/>
  <c r="AE375" i="10" s="1"/>
  <c r="N625" i="9"/>
  <c r="N627" i="9" s="1"/>
  <c r="M81" i="12" s="1"/>
  <c r="N81" i="12" s="1"/>
  <c r="M375" i="10" s="1"/>
  <c r="N375" i="10" s="1"/>
  <c r="K844" i="10"/>
  <c r="L844" i="10" s="1"/>
  <c r="AE844" i="10" s="1"/>
  <c r="K892" i="10"/>
  <c r="L892" i="10" s="1"/>
  <c r="AE892" i="10" s="1"/>
  <c r="K604" i="10"/>
  <c r="L604" i="10" s="1"/>
  <c r="AE604" i="10" s="1"/>
  <c r="K346" i="10"/>
  <c r="L346" i="10" s="1"/>
  <c r="AE346" i="10" s="1"/>
  <c r="K424" i="10"/>
  <c r="L424" i="10" s="1"/>
  <c r="AE424" i="10" s="1"/>
  <c r="K166" i="10"/>
  <c r="L166" i="10" s="1"/>
  <c r="AE166" i="10" s="1"/>
  <c r="K507" i="10"/>
  <c r="L507" i="10" s="1"/>
  <c r="AE507" i="10" s="1"/>
  <c r="K114" i="10"/>
  <c r="L114" i="10" s="1"/>
  <c r="AE114" i="10" s="1"/>
  <c r="K10" i="10"/>
  <c r="L10" i="10" s="1"/>
  <c r="AE10" i="10" s="1"/>
  <c r="K581" i="10"/>
  <c r="L581" i="10" s="1"/>
  <c r="AE581" i="10" s="1"/>
  <c r="K62" i="10"/>
  <c r="L62" i="10" s="1"/>
  <c r="AE62" i="10" s="1"/>
  <c r="K324" i="10"/>
  <c r="L324" i="10" s="1"/>
  <c r="AE324" i="10" s="1"/>
  <c r="L396" i="9"/>
  <c r="L398" i="9" s="1"/>
  <c r="K45" i="12" s="1"/>
  <c r="L45" i="12" s="1"/>
  <c r="K505" i="10" s="1"/>
  <c r="L505" i="10" s="1"/>
  <c r="AE505" i="10" s="1"/>
  <c r="N396" i="9"/>
  <c r="N398" i="9" s="1"/>
  <c r="M45" i="12" s="1"/>
  <c r="N45" i="12" s="1"/>
  <c r="M505" i="10" s="1"/>
  <c r="N505" i="10" s="1"/>
  <c r="I396" i="9"/>
  <c r="H167" i="12"/>
  <c r="P1192" i="9"/>
  <c r="L365" i="9"/>
  <c r="N365" i="9"/>
  <c r="I365" i="9"/>
  <c r="K969" i="10"/>
  <c r="L969" i="10" s="1"/>
  <c r="AE969" i="10" s="1"/>
  <c r="K606" i="10"/>
  <c r="L606" i="10" s="1"/>
  <c r="AE606" i="10" s="1"/>
  <c r="K427" i="10"/>
  <c r="L427" i="10" s="1"/>
  <c r="AE427" i="10" s="1"/>
  <c r="I1395" i="9"/>
  <c r="L1395" i="9"/>
  <c r="L1397" i="9" s="1"/>
  <c r="K201" i="12" s="1"/>
  <c r="L201" i="12" s="1"/>
  <c r="K867" i="10" s="1"/>
  <c r="L867" i="10" s="1"/>
  <c r="AE867" i="10" s="1"/>
  <c r="N1395" i="9"/>
  <c r="N1397" i="9" s="1"/>
  <c r="M201" i="12" s="1"/>
  <c r="N201" i="12" s="1"/>
  <c r="M867" i="10" s="1"/>
  <c r="N867" i="10" s="1"/>
  <c r="P996" i="10"/>
  <c r="P1477" i="9"/>
  <c r="I1479" i="9"/>
  <c r="I824" i="9"/>
  <c r="P820" i="9"/>
  <c r="M899" i="10"/>
  <c r="N899" i="10" s="1"/>
  <c r="M783" i="10"/>
  <c r="N783" i="10" s="1"/>
  <c r="M589" i="10"/>
  <c r="N589" i="10" s="1"/>
  <c r="M351" i="10"/>
  <c r="N351" i="10" s="1"/>
  <c r="M176" i="10"/>
  <c r="N176" i="10" s="1"/>
  <c r="M20" i="10"/>
  <c r="N20" i="10" s="1"/>
  <c r="M123" i="10"/>
  <c r="N123" i="10" s="1"/>
  <c r="M71" i="10"/>
  <c r="N71" i="10" s="1"/>
  <c r="P1183" i="9"/>
  <c r="I1186" i="9"/>
  <c r="I206" i="12"/>
  <c r="O206" i="12"/>
  <c r="I1486" i="9"/>
  <c r="L1486" i="9"/>
  <c r="L1487" i="9" s="1"/>
  <c r="K217" i="12" s="1"/>
  <c r="N1486" i="9"/>
  <c r="N1487" i="9" s="1"/>
  <c r="M217" i="12" s="1"/>
  <c r="H122" i="12"/>
  <c r="P905" i="9"/>
  <c r="K167" i="10"/>
  <c r="L167" i="10" s="1"/>
  <c r="AE167" i="10" s="1"/>
  <c r="K115" i="10"/>
  <c r="L115" i="10" s="1"/>
  <c r="AE115" i="10" s="1"/>
  <c r="K11" i="10"/>
  <c r="L11" i="10" s="1"/>
  <c r="AE11" i="10" s="1"/>
  <c r="K63" i="10"/>
  <c r="L63" i="10" s="1"/>
  <c r="AE63" i="10" s="1"/>
  <c r="P1038" i="9"/>
  <c r="K869" i="10"/>
  <c r="L869" i="10" s="1"/>
  <c r="AE869" i="10" s="1"/>
  <c r="K330" i="10"/>
  <c r="L330" i="10" s="1"/>
  <c r="AE330" i="10" s="1"/>
  <c r="P1041" i="9"/>
  <c r="P296" i="9"/>
  <c r="I1075" i="9"/>
  <c r="L1075" i="9"/>
  <c r="L1077" i="9" s="1"/>
  <c r="K148" i="12" s="1"/>
  <c r="L148" i="12" s="1"/>
  <c r="K382" i="10" s="1"/>
  <c r="L382" i="10" s="1"/>
  <c r="AE382" i="10" s="1"/>
  <c r="N1075" i="9"/>
  <c r="N1077" i="9" s="1"/>
  <c r="M148" i="12" s="1"/>
  <c r="N148" i="12" s="1"/>
  <c r="M382" i="10" s="1"/>
  <c r="N382" i="10" s="1"/>
  <c r="P1022" i="9"/>
  <c r="N403" i="9"/>
  <c r="N405" i="9" s="1"/>
  <c r="M46" i="12" s="1"/>
  <c r="N46" i="12" s="1"/>
  <c r="M766" i="10" s="1"/>
  <c r="N766" i="10" s="1"/>
  <c r="I403" i="9"/>
  <c r="L403" i="9"/>
  <c r="L405" i="9" s="1"/>
  <c r="K46" i="12" s="1"/>
  <c r="L46" i="12" s="1"/>
  <c r="K766" i="10" s="1"/>
  <c r="L766" i="10" s="1"/>
  <c r="AE766" i="10" s="1"/>
  <c r="P1049" i="9"/>
  <c r="I599" i="9"/>
  <c r="P595" i="9"/>
  <c r="K955" i="10"/>
  <c r="L955" i="10" s="1"/>
  <c r="AE955" i="10" s="1"/>
  <c r="K666" i="10"/>
  <c r="L666" i="10" s="1"/>
  <c r="AE666" i="10" s="1"/>
  <c r="P786" i="9"/>
  <c r="I1359" i="9"/>
  <c r="L1359" i="9"/>
  <c r="L1361" i="9" s="1"/>
  <c r="K195" i="12" s="1"/>
  <c r="L195" i="12" s="1"/>
  <c r="K264" i="10" s="1"/>
  <c r="L264" i="10" s="1"/>
  <c r="AE264" i="10" s="1"/>
  <c r="N1359" i="9"/>
  <c r="N1361" i="9" s="1"/>
  <c r="M195" i="12" s="1"/>
  <c r="N195" i="12" s="1"/>
  <c r="M264" i="10" s="1"/>
  <c r="N264" i="10" s="1"/>
  <c r="P1006" i="9"/>
  <c r="P284" i="9"/>
  <c r="P695" i="9"/>
  <c r="P118" i="9"/>
  <c r="P447" i="9"/>
  <c r="P751" i="9"/>
  <c r="H210" i="12"/>
  <c r="P1449" i="9"/>
  <c r="N1269" i="9"/>
  <c r="N1271" i="9" s="1"/>
  <c r="M180" i="12" s="1"/>
  <c r="N180" i="12" s="1"/>
  <c r="M265" i="10" s="1"/>
  <c r="N265" i="10" s="1"/>
  <c r="I1269" i="9"/>
  <c r="L1269" i="9"/>
  <c r="L1271" i="9" s="1"/>
  <c r="K180" i="12" s="1"/>
  <c r="L180" i="12" s="1"/>
  <c r="K265" i="10" s="1"/>
  <c r="L265" i="10" s="1"/>
  <c r="AE265" i="10" s="1"/>
  <c r="P107" i="9"/>
  <c r="I115" i="9"/>
  <c r="H219" i="12"/>
  <c r="P1496" i="9"/>
  <c r="P756" i="9"/>
  <c r="I760" i="9"/>
  <c r="P1461" i="9"/>
  <c r="O178" i="12"/>
  <c r="I178" i="12"/>
  <c r="I853" i="9"/>
  <c r="N853" i="9"/>
  <c r="N855" i="9" s="1"/>
  <c r="M114" i="12" s="1"/>
  <c r="N114" i="12" s="1"/>
  <c r="M782" i="10" s="1"/>
  <c r="N782" i="10" s="1"/>
  <c r="L853" i="9"/>
  <c r="L855" i="9" s="1"/>
  <c r="K114" i="12" s="1"/>
  <c r="L114" i="12" s="1"/>
  <c r="K782" i="10" s="1"/>
  <c r="L782" i="10" s="1"/>
  <c r="AE782" i="10" s="1"/>
  <c r="I585" i="9"/>
  <c r="P581" i="9"/>
  <c r="P822" i="9"/>
  <c r="M78" i="10"/>
  <c r="N78" i="10" s="1"/>
  <c r="M27" i="10"/>
  <c r="N27" i="10" s="1"/>
  <c r="M130" i="10"/>
  <c r="N130" i="10" s="1"/>
  <c r="I1178" i="9"/>
  <c r="I1180" i="9" s="1"/>
  <c r="L1178" i="9"/>
  <c r="L1180" i="9" s="1"/>
  <c r="K165" i="12" s="1"/>
  <c r="L165" i="12" s="1"/>
  <c r="K567" i="10" s="1"/>
  <c r="L567" i="10" s="1"/>
  <c r="AE567" i="10" s="1"/>
  <c r="N1178" i="9"/>
  <c r="N1180" i="9" s="1"/>
  <c r="M165" i="12" s="1"/>
  <c r="N165" i="12" s="1"/>
  <c r="M567" i="10" s="1"/>
  <c r="N567" i="10" s="1"/>
  <c r="P141" i="9"/>
  <c r="M31" i="11"/>
  <c r="N31" i="11" s="1"/>
  <c r="N55" i="11" s="1"/>
  <c r="D3" i="5"/>
  <c r="I197" i="12"/>
  <c r="O197" i="12"/>
  <c r="H187" i="12"/>
  <c r="P1313" i="9"/>
  <c r="M841" i="10"/>
  <c r="N841" i="10" s="1"/>
  <c r="M555" i="10"/>
  <c r="N555" i="10" s="1"/>
  <c r="M321" i="10"/>
  <c r="N321" i="10" s="1"/>
  <c r="M112" i="10"/>
  <c r="N112" i="10" s="1"/>
  <c r="M164" i="10"/>
  <c r="N164" i="10" s="1"/>
  <c r="M8" i="10"/>
  <c r="N8" i="10" s="1"/>
  <c r="M60" i="10"/>
  <c r="N60" i="10" s="1"/>
  <c r="P153" i="9"/>
  <c r="I162" i="9"/>
  <c r="M898" i="10"/>
  <c r="N898" i="10" s="1"/>
  <c r="M588" i="10"/>
  <c r="N588" i="10" s="1"/>
  <c r="M350" i="10"/>
  <c r="N350" i="10" s="1"/>
  <c r="I732" i="9"/>
  <c r="P728" i="9"/>
  <c r="P1423" i="9"/>
  <c r="P380" i="9"/>
  <c r="I1017" i="9"/>
  <c r="L1017" i="9"/>
  <c r="L1019" i="9" s="1"/>
  <c r="K140" i="12" s="1"/>
  <c r="L140" i="12" s="1"/>
  <c r="N1017" i="9"/>
  <c r="N1019" i="9" s="1"/>
  <c r="M140" i="12" s="1"/>
  <c r="N140" i="12" s="1"/>
  <c r="P681" i="9"/>
  <c r="I60" i="9"/>
  <c r="I62" i="9" s="1"/>
  <c r="L60" i="9"/>
  <c r="L62" i="9" s="1"/>
  <c r="K10" i="12" s="1"/>
  <c r="L10" i="12" s="1"/>
  <c r="N60" i="9"/>
  <c r="N62" i="9" s="1"/>
  <c r="M10" i="12" s="1"/>
  <c r="N10" i="12" s="1"/>
  <c r="H159" i="12"/>
  <c r="P1143" i="9"/>
  <c r="N1063" i="9"/>
  <c r="N1065" i="9" s="1"/>
  <c r="M146" i="12" s="1"/>
  <c r="N146" i="12" s="1"/>
  <c r="M642" i="10" s="1"/>
  <c r="N642" i="10" s="1"/>
  <c r="I1063" i="9"/>
  <c r="L1063" i="9"/>
  <c r="L1065" i="9" s="1"/>
  <c r="K146" i="12" s="1"/>
  <c r="L146" i="12" s="1"/>
  <c r="K642" i="10" s="1"/>
  <c r="L642" i="10" s="1"/>
  <c r="AE642" i="10" s="1"/>
  <c r="M712" i="10"/>
  <c r="N712" i="10" s="1"/>
  <c r="M220" i="10"/>
  <c r="N220" i="10" s="1"/>
  <c r="I246" i="9"/>
  <c r="L246" i="9"/>
  <c r="N246" i="9"/>
  <c r="N273" i="9"/>
  <c r="N275" i="9" s="1"/>
  <c r="M29" i="12" s="1"/>
  <c r="N29" i="12" s="1"/>
  <c r="I273" i="9"/>
  <c r="L273" i="9"/>
  <c r="L275" i="9" s="1"/>
  <c r="K29" i="12" s="1"/>
  <c r="L29" i="12" s="1"/>
  <c r="P630" i="9"/>
  <c r="I634" i="9"/>
  <c r="H60" i="12"/>
  <c r="P491" i="9"/>
  <c r="P1329" i="9"/>
  <c r="I1331" i="9"/>
  <c r="M901" i="10"/>
  <c r="N901" i="10" s="1"/>
  <c r="M797" i="10"/>
  <c r="N797" i="10" s="1"/>
  <c r="M516" i="10"/>
  <c r="N516" i="10" s="1"/>
  <c r="M242" i="10"/>
  <c r="N242" i="10" s="1"/>
  <c r="I210" i="9"/>
  <c r="L210" i="9"/>
  <c r="N210" i="9"/>
  <c r="M664" i="10"/>
  <c r="N664" i="10" s="1"/>
  <c r="M397" i="10"/>
  <c r="N397" i="10" s="1"/>
  <c r="M219" i="10"/>
  <c r="N219" i="10" s="1"/>
  <c r="I1057" i="9"/>
  <c r="I1059" i="9" s="1"/>
  <c r="L1057" i="9"/>
  <c r="L1059" i="9" s="1"/>
  <c r="K145" i="12" s="1"/>
  <c r="L145" i="12" s="1"/>
  <c r="N1057" i="9"/>
  <c r="N1059" i="9" s="1"/>
  <c r="M145" i="12" s="1"/>
  <c r="N145" i="12" s="1"/>
  <c r="H56" i="12"/>
  <c r="P467" i="9"/>
  <c r="P588" i="9"/>
  <c r="I592" i="9"/>
  <c r="P707" i="9"/>
  <c r="M955" i="10"/>
  <c r="N955" i="10" s="1"/>
  <c r="M666" i="10"/>
  <c r="N666" i="10" s="1"/>
  <c r="I746" i="9"/>
  <c r="P742" i="9"/>
  <c r="I928" i="9"/>
  <c r="N928" i="9"/>
  <c r="L928" i="9"/>
  <c r="P903" i="9"/>
  <c r="P1295" i="9"/>
  <c r="P995" i="9"/>
  <c r="I70" i="9"/>
  <c r="L70" i="9"/>
  <c r="L72" i="9" s="1"/>
  <c r="K11" i="12" s="1"/>
  <c r="L11" i="12" s="1"/>
  <c r="N70" i="9"/>
  <c r="N72" i="9" s="1"/>
  <c r="M11" i="12" s="1"/>
  <c r="N11" i="12" s="1"/>
  <c r="P890" i="9"/>
  <c r="I1147" i="9"/>
  <c r="L1147" i="9"/>
  <c r="L1149" i="9" s="1"/>
  <c r="K160" i="12" s="1"/>
  <c r="L160" i="12" s="1"/>
  <c r="N1147" i="9"/>
  <c r="N1149" i="9" s="1"/>
  <c r="M160" i="12" s="1"/>
  <c r="N160" i="12" s="1"/>
  <c r="K125" i="10"/>
  <c r="L125" i="10" s="1"/>
  <c r="AE125" i="10" s="1"/>
  <c r="K590" i="10"/>
  <c r="L590" i="10" s="1"/>
  <c r="AE590" i="10" s="1"/>
  <c r="K353" i="10"/>
  <c r="L353" i="10" s="1"/>
  <c r="AE353" i="10" s="1"/>
  <c r="K73" i="10"/>
  <c r="L73" i="10" s="1"/>
  <c r="AE73" i="10" s="1"/>
  <c r="K178" i="10"/>
  <c r="L178" i="10" s="1"/>
  <c r="AE178" i="10" s="1"/>
  <c r="K22" i="10"/>
  <c r="L22" i="10" s="1"/>
  <c r="AE22" i="10" s="1"/>
  <c r="I781" i="9"/>
  <c r="P777" i="9"/>
  <c r="P165" i="9"/>
  <c r="O212" i="12"/>
  <c r="I212" i="12"/>
  <c r="K78" i="10"/>
  <c r="L78" i="10" s="1"/>
  <c r="AE78" i="10" s="1"/>
  <c r="K27" i="10"/>
  <c r="L27" i="10" s="1"/>
  <c r="AE27" i="10" s="1"/>
  <c r="K130" i="10"/>
  <c r="L130" i="10" s="1"/>
  <c r="AE130" i="10" s="1"/>
  <c r="M711" i="10"/>
  <c r="N711" i="10" s="1"/>
  <c r="M218" i="10"/>
  <c r="N218" i="10" s="1"/>
  <c r="M5" i="9"/>
  <c r="N5" i="9" s="1"/>
  <c r="N7" i="9" s="1"/>
  <c r="M4" i="12" s="1"/>
  <c r="N216" i="12"/>
  <c r="M715" i="10"/>
  <c r="N715" i="10" s="1"/>
  <c r="M451" i="10"/>
  <c r="N451" i="10" s="1"/>
  <c r="M224" i="10"/>
  <c r="N224" i="10" s="1"/>
  <c r="L1453" i="9"/>
  <c r="L1455" i="9" s="1"/>
  <c r="K211" i="12" s="1"/>
  <c r="L211" i="12" s="1"/>
  <c r="N1453" i="9"/>
  <c r="N1455" i="9" s="1"/>
  <c r="M211" i="12" s="1"/>
  <c r="N211" i="12" s="1"/>
  <c r="I1453" i="9"/>
  <c r="I357" i="9"/>
  <c r="L357" i="9"/>
  <c r="L359" i="9" s="1"/>
  <c r="K40" i="12" s="1"/>
  <c r="L40" i="12" s="1"/>
  <c r="N357" i="9"/>
  <c r="N359" i="9" s="1"/>
  <c r="M40" i="12" s="1"/>
  <c r="N40" i="12" s="1"/>
  <c r="I412" i="9"/>
  <c r="P408" i="9"/>
  <c r="P672" i="9"/>
  <c r="I676" i="9"/>
  <c r="I174" i="12"/>
  <c r="O174" i="12"/>
  <c r="I1251" i="9"/>
  <c r="L1251" i="9"/>
  <c r="L1253" i="9" s="1"/>
  <c r="K177" i="12" s="1"/>
  <c r="L177" i="12" s="1"/>
  <c r="K754" i="10" s="1"/>
  <c r="L754" i="10" s="1"/>
  <c r="AE754" i="10" s="1"/>
  <c r="N1251" i="9"/>
  <c r="N1253" i="9" s="1"/>
  <c r="M177" i="12" s="1"/>
  <c r="N177" i="12" s="1"/>
  <c r="M754" i="10" s="1"/>
  <c r="N754" i="10" s="1"/>
  <c r="K713" i="10"/>
  <c r="L713" i="10" s="1"/>
  <c r="AE713" i="10" s="1"/>
  <c r="K512" i="10"/>
  <c r="L512" i="10" s="1"/>
  <c r="AE512" i="10" s="1"/>
  <c r="K632" i="10"/>
  <c r="L632" i="10" s="1"/>
  <c r="AE632" i="10" s="1"/>
  <c r="P723" i="9"/>
  <c r="K712" i="10"/>
  <c r="L712" i="10" s="1"/>
  <c r="AE712" i="10" s="1"/>
  <c r="K220" i="10"/>
  <c r="L220" i="10" s="1"/>
  <c r="AE220" i="10" s="1"/>
  <c r="K793" i="10"/>
  <c r="L793" i="10" s="1"/>
  <c r="AE793" i="10" s="1"/>
  <c r="K302" i="10"/>
  <c r="L302" i="10" s="1"/>
  <c r="AE302" i="10" s="1"/>
  <c r="P344" i="9"/>
  <c r="K901" i="10"/>
  <c r="L901" i="10" s="1"/>
  <c r="AE901" i="10" s="1"/>
  <c r="K797" i="10"/>
  <c r="L797" i="10" s="1"/>
  <c r="AE797" i="10" s="1"/>
  <c r="K242" i="10"/>
  <c r="L242" i="10" s="1"/>
  <c r="AE242" i="10" s="1"/>
  <c r="K516" i="10"/>
  <c r="L516" i="10" s="1"/>
  <c r="AE516" i="10" s="1"/>
  <c r="I892" i="9"/>
  <c r="P220" i="9"/>
  <c r="K664" i="10"/>
  <c r="L664" i="10" s="1"/>
  <c r="AE664" i="10" s="1"/>
  <c r="K397" i="10"/>
  <c r="L397" i="10" s="1"/>
  <c r="AE397" i="10" s="1"/>
  <c r="K219" i="10"/>
  <c r="L219" i="10" s="1"/>
  <c r="AE219" i="10" s="1"/>
  <c r="N569" i="9"/>
  <c r="N571" i="9" s="1"/>
  <c r="M73" i="12" s="1"/>
  <c r="N73" i="12" s="1"/>
  <c r="L569" i="9"/>
  <c r="L571" i="9" s="1"/>
  <c r="K73" i="12" s="1"/>
  <c r="L73" i="12" s="1"/>
  <c r="I569" i="9"/>
  <c r="I1087" i="9"/>
  <c r="L1087" i="9"/>
  <c r="L1089" i="9" s="1"/>
  <c r="K150" i="12" s="1"/>
  <c r="L150" i="12" s="1"/>
  <c r="N1087" i="9"/>
  <c r="N1089" i="9" s="1"/>
  <c r="M150" i="12" s="1"/>
  <c r="N150" i="12" s="1"/>
  <c r="P1054" i="9"/>
  <c r="M724" i="10"/>
  <c r="N724" i="10" s="1"/>
  <c r="M971" i="10"/>
  <c r="N971" i="10" s="1"/>
  <c r="M235" i="10"/>
  <c r="N235" i="10" s="1"/>
  <c r="M429" i="10"/>
  <c r="N429" i="10" s="1"/>
  <c r="I184" i="12"/>
  <c r="O184" i="12"/>
  <c r="P827" i="9"/>
  <c r="I831" i="9"/>
  <c r="I148" i="9"/>
  <c r="L148" i="9"/>
  <c r="L150" i="9" s="1"/>
  <c r="K18" i="12" s="1"/>
  <c r="L18" i="12" s="1"/>
  <c r="N148" i="9"/>
  <c r="N150" i="9" s="1"/>
  <c r="M18" i="12" s="1"/>
  <c r="N18" i="12" s="1"/>
  <c r="P1141" i="9"/>
  <c r="N1341" i="9"/>
  <c r="N1343" i="9" s="1"/>
  <c r="M192" i="12" s="1"/>
  <c r="N192" i="12" s="1"/>
  <c r="M749" i="10" s="1"/>
  <c r="N749" i="10" s="1"/>
  <c r="I1341" i="9"/>
  <c r="L1341" i="9"/>
  <c r="L1343" i="9" s="1"/>
  <c r="K192" i="12" s="1"/>
  <c r="L192" i="12" s="1"/>
  <c r="K749" i="10" s="1"/>
  <c r="L749" i="10" s="1"/>
  <c r="AE749" i="10" s="1"/>
  <c r="P674" i="9"/>
  <c r="P560" i="9"/>
  <c r="I564" i="9"/>
  <c r="K711" i="10"/>
  <c r="L711" i="10" s="1"/>
  <c r="AE711" i="10" s="1"/>
  <c r="K218" i="10"/>
  <c r="L218" i="10" s="1"/>
  <c r="AE218" i="10" s="1"/>
  <c r="K5" i="9"/>
  <c r="L5" i="9" s="1"/>
  <c r="L7" i="9" s="1"/>
  <c r="K4" i="12" s="1"/>
  <c r="L216" i="12"/>
  <c r="M774" i="10"/>
  <c r="N774" i="10" s="1"/>
  <c r="M708" i="10"/>
  <c r="N708" i="10" s="1"/>
  <c r="M662" i="10"/>
  <c r="N662" i="10" s="1"/>
  <c r="M447" i="10"/>
  <c r="N447" i="10" s="1"/>
  <c r="M296" i="10"/>
  <c r="N296" i="10" s="1"/>
  <c r="M215" i="10"/>
  <c r="N215" i="10" s="1"/>
  <c r="I543" i="9"/>
  <c r="L543" i="9"/>
  <c r="L545" i="9" s="1"/>
  <c r="K69" i="12" s="1"/>
  <c r="L69" i="12" s="1"/>
  <c r="K952" i="10" s="1"/>
  <c r="L952" i="10" s="1"/>
  <c r="AE952" i="10" s="1"/>
  <c r="N543" i="9"/>
  <c r="N545" i="9" s="1"/>
  <c r="M69" i="12" s="1"/>
  <c r="N69" i="12" s="1"/>
  <c r="M952" i="10" s="1"/>
  <c r="N952" i="10" s="1"/>
  <c r="I1093" i="9"/>
  <c r="L1093" i="9"/>
  <c r="L1095" i="9" s="1"/>
  <c r="K151" i="12" s="1"/>
  <c r="L151" i="12" s="1"/>
  <c r="K182" i="10" s="1"/>
  <c r="L182" i="10" s="1"/>
  <c r="AE182" i="10" s="1"/>
  <c r="N1093" i="9"/>
  <c r="N1095" i="9" s="1"/>
  <c r="M151" i="12" s="1"/>
  <c r="N151" i="12" s="1"/>
  <c r="M182" i="10" s="1"/>
  <c r="N182" i="10" s="1"/>
  <c r="I648" i="9"/>
  <c r="P644" i="9"/>
  <c r="I989" i="9"/>
  <c r="L989" i="9"/>
  <c r="L991" i="9" s="1"/>
  <c r="K136" i="12" s="1"/>
  <c r="L136" i="12" s="1"/>
  <c r="K681" i="10" s="1"/>
  <c r="L681" i="10" s="1"/>
  <c r="AE681" i="10" s="1"/>
  <c r="N989" i="9"/>
  <c r="N991" i="9" s="1"/>
  <c r="M136" i="12" s="1"/>
  <c r="N136" i="12" s="1"/>
  <c r="M681" i="10" s="1"/>
  <c r="N681" i="10" s="1"/>
  <c r="I1215" i="9"/>
  <c r="L1215" i="9"/>
  <c r="L1217" i="9" s="1"/>
  <c r="K171" i="12" s="1"/>
  <c r="L171" i="12" s="1"/>
  <c r="K274" i="10" s="1"/>
  <c r="L274" i="10" s="1"/>
  <c r="AE274" i="10" s="1"/>
  <c r="N1215" i="9"/>
  <c r="N1217" i="9" s="1"/>
  <c r="M171" i="12" s="1"/>
  <c r="N171" i="12" s="1"/>
  <c r="M274" i="10" s="1"/>
  <c r="N274" i="10" s="1"/>
  <c r="I1111" i="9"/>
  <c r="L1111" i="9"/>
  <c r="L1113" i="9" s="1"/>
  <c r="K154" i="12" s="1"/>
  <c r="L154" i="12" s="1"/>
  <c r="K184" i="10" s="1"/>
  <c r="L184" i="10" s="1"/>
  <c r="AE184" i="10" s="1"/>
  <c r="N1111" i="9"/>
  <c r="N1113" i="9" s="1"/>
  <c r="M154" i="12" s="1"/>
  <c r="N154" i="12" s="1"/>
  <c r="M184" i="10" s="1"/>
  <c r="N184" i="10" s="1"/>
  <c r="I347" i="9"/>
  <c r="L347" i="9"/>
  <c r="N347" i="9"/>
  <c r="I262" i="9"/>
  <c r="L262" i="9"/>
  <c r="L264" i="9" s="1"/>
  <c r="K27" i="12" s="1"/>
  <c r="L27" i="12" s="1"/>
  <c r="N262" i="9"/>
  <c r="N264" i="9" s="1"/>
  <c r="M27" i="12" s="1"/>
  <c r="N27" i="12" s="1"/>
  <c r="N348" i="9"/>
  <c r="I348" i="9"/>
  <c r="L348" i="9"/>
  <c r="I291" i="9"/>
  <c r="L291" i="9"/>
  <c r="L293" i="9" s="1"/>
  <c r="K32" i="12" s="1"/>
  <c r="L32" i="12" s="1"/>
  <c r="K962" i="10" s="1"/>
  <c r="L962" i="10" s="1"/>
  <c r="AE962" i="10" s="1"/>
  <c r="N291" i="9"/>
  <c r="N293" i="9" s="1"/>
  <c r="M32" i="12" s="1"/>
  <c r="N32" i="12" s="1"/>
  <c r="M962" i="10" s="1"/>
  <c r="N962" i="10" s="1"/>
  <c r="K857" i="10"/>
  <c r="L857" i="10" s="1"/>
  <c r="AE857" i="10" s="1"/>
  <c r="K328" i="10"/>
  <c r="L328" i="10" s="1"/>
  <c r="AE328" i="10" s="1"/>
  <c r="K172" i="10"/>
  <c r="L172" i="10" s="1"/>
  <c r="AE172" i="10" s="1"/>
  <c r="K561" i="10"/>
  <c r="L561" i="10" s="1"/>
  <c r="AE561" i="10" s="1"/>
  <c r="K16" i="10"/>
  <c r="L16" i="10" s="1"/>
  <c r="AE16" i="10" s="1"/>
  <c r="K120" i="10"/>
  <c r="L120" i="10" s="1"/>
  <c r="AE120" i="10" s="1"/>
  <c r="K68" i="10"/>
  <c r="L68" i="10" s="1"/>
  <c r="AE68" i="10" s="1"/>
  <c r="I927" i="9"/>
  <c r="L927" i="9"/>
  <c r="L930" i="9" s="1"/>
  <c r="K126" i="12" s="1"/>
  <c r="L126" i="12" s="1"/>
  <c r="N927" i="9"/>
  <c r="N930" i="9" s="1"/>
  <c r="M126" i="12" s="1"/>
  <c r="N126" i="12" s="1"/>
  <c r="M713" i="10"/>
  <c r="N713" i="10" s="1"/>
  <c r="M512" i="10"/>
  <c r="N512" i="10" s="1"/>
  <c r="M632" i="10"/>
  <c r="N632" i="10" s="1"/>
  <c r="I194" i="12"/>
  <c r="O194" i="12"/>
  <c r="K715" i="10"/>
  <c r="L715" i="10" s="1"/>
  <c r="AE715" i="10" s="1"/>
  <c r="K451" i="10"/>
  <c r="L451" i="10" s="1"/>
  <c r="AE451" i="10" s="1"/>
  <c r="K224" i="10"/>
  <c r="L224" i="10" s="1"/>
  <c r="AE224" i="10" s="1"/>
  <c r="P667" i="9"/>
  <c r="I331" i="9"/>
  <c r="L331" i="9"/>
  <c r="L333" i="9" s="1"/>
  <c r="K37" i="12" s="1"/>
  <c r="L37" i="12" s="1"/>
  <c r="N331" i="9"/>
  <c r="N333" i="9" s="1"/>
  <c r="M37" i="12" s="1"/>
  <c r="N37" i="12" s="1"/>
  <c r="P160" i="9"/>
  <c r="L1033" i="9"/>
  <c r="L1035" i="9" s="1"/>
  <c r="K142" i="12" s="1"/>
  <c r="L142" i="12" s="1"/>
  <c r="N1033" i="9"/>
  <c r="N1035" i="9" s="1"/>
  <c r="M142" i="12" s="1"/>
  <c r="N142" i="12" s="1"/>
  <c r="I1033" i="9"/>
  <c r="P1025" i="9"/>
  <c r="P618" i="9"/>
  <c r="I1009" i="9"/>
  <c r="L1009" i="9"/>
  <c r="L1011" i="9" s="1"/>
  <c r="K139" i="12" s="1"/>
  <c r="L139" i="12" s="1"/>
  <c r="N1009" i="9"/>
  <c r="N1011" i="9" s="1"/>
  <c r="M139" i="12" s="1"/>
  <c r="N139" i="12" s="1"/>
  <c r="P590" i="9"/>
  <c r="K971" i="10"/>
  <c r="L971" i="10" s="1"/>
  <c r="AE971" i="10" s="1"/>
  <c r="K724" i="10"/>
  <c r="L724" i="10" s="1"/>
  <c r="AE724" i="10" s="1"/>
  <c r="K429" i="10"/>
  <c r="L429" i="10" s="1"/>
  <c r="AE429" i="10" s="1"/>
  <c r="K235" i="10"/>
  <c r="L235" i="10" s="1"/>
  <c r="AE235" i="10" s="1"/>
  <c r="L935" i="9"/>
  <c r="L937" i="9" s="1"/>
  <c r="K127" i="12" s="1"/>
  <c r="L127" i="12" s="1"/>
  <c r="K675" i="10" s="1"/>
  <c r="L675" i="10" s="1"/>
  <c r="AE675" i="10" s="1"/>
  <c r="N935" i="9"/>
  <c r="N937" i="9" s="1"/>
  <c r="M127" i="12" s="1"/>
  <c r="N127" i="12" s="1"/>
  <c r="M675" i="10" s="1"/>
  <c r="N675" i="10" s="1"/>
  <c r="I935" i="9"/>
  <c r="P1227" i="9"/>
  <c r="I1229" i="9"/>
  <c r="M968" i="10"/>
  <c r="N968" i="10" s="1"/>
  <c r="M776" i="10"/>
  <c r="N776" i="10" s="1"/>
  <c r="M513" i="10"/>
  <c r="N513" i="10" s="1"/>
  <c r="I477" i="9"/>
  <c r="L477" i="9"/>
  <c r="L479" i="9" s="1"/>
  <c r="K58" i="12" s="1"/>
  <c r="L58" i="12" s="1"/>
  <c r="N477" i="9"/>
  <c r="N479" i="9" s="1"/>
  <c r="M58" i="12" s="1"/>
  <c r="N58" i="12" s="1"/>
  <c r="I20" i="9"/>
  <c r="L20" i="9"/>
  <c r="L22" i="9" s="1"/>
  <c r="K6" i="12" s="1"/>
  <c r="L6" i="12" s="1"/>
  <c r="N20" i="9"/>
  <c r="N22" i="9" s="1"/>
  <c r="M6" i="12" s="1"/>
  <c r="N6" i="12" s="1"/>
  <c r="I1199" i="9"/>
  <c r="P1195" i="9"/>
  <c r="P312" i="9"/>
  <c r="P501" i="9"/>
  <c r="M133" i="10"/>
  <c r="N133" i="10" s="1"/>
  <c r="M186" i="10"/>
  <c r="N186" i="10" s="1"/>
  <c r="M31" i="10"/>
  <c r="N31" i="10" s="1"/>
  <c r="M81" i="10"/>
  <c r="N81" i="10" s="1"/>
  <c r="P812" i="9"/>
  <c r="K725" i="10"/>
  <c r="L725" i="10" s="1"/>
  <c r="AE725" i="10" s="1"/>
  <c r="K634" i="10"/>
  <c r="L634" i="10" s="1"/>
  <c r="AE634" i="10" s="1"/>
  <c r="K237" i="10"/>
  <c r="L237" i="10" s="1"/>
  <c r="AE237" i="10" s="1"/>
  <c r="K515" i="10"/>
  <c r="L515" i="10" s="1"/>
  <c r="AE515" i="10" s="1"/>
  <c r="K457" i="10"/>
  <c r="L457" i="10" s="1"/>
  <c r="AE457" i="10" s="1"/>
  <c r="K788" i="10"/>
  <c r="L788" i="10" s="1"/>
  <c r="AE788" i="10" s="1"/>
  <c r="M221" i="10"/>
  <c r="N221" i="10" s="1"/>
  <c r="M668" i="10"/>
  <c r="N668" i="10" s="1"/>
  <c r="P611" i="9"/>
  <c r="P1482" i="9"/>
  <c r="I1483" i="9"/>
  <c r="I285" i="9"/>
  <c r="L285" i="9"/>
  <c r="L287" i="9" s="1"/>
  <c r="K31" i="12" s="1"/>
  <c r="L31" i="12" s="1"/>
  <c r="K961" i="10" s="1"/>
  <c r="L961" i="10" s="1"/>
  <c r="AE961" i="10" s="1"/>
  <c r="N285" i="9"/>
  <c r="N287" i="9" s="1"/>
  <c r="M31" i="12" s="1"/>
  <c r="N31" i="12" s="1"/>
  <c r="M961" i="10" s="1"/>
  <c r="N961" i="10" s="1"/>
  <c r="I774" i="9"/>
  <c r="P770" i="9"/>
  <c r="I80" i="9"/>
  <c r="L80" i="9"/>
  <c r="L82" i="9" s="1"/>
  <c r="K12" i="12" s="1"/>
  <c r="L12" i="12" s="1"/>
  <c r="N80" i="9"/>
  <c r="N82" i="9" s="1"/>
  <c r="M12" i="12" s="1"/>
  <c r="N12" i="12" s="1"/>
  <c r="K133" i="10"/>
  <c r="L133" i="10" s="1"/>
  <c r="AE133" i="10" s="1"/>
  <c r="K81" i="10"/>
  <c r="L81" i="10" s="1"/>
  <c r="AE81" i="10" s="1"/>
  <c r="K186" i="10"/>
  <c r="L186" i="10" s="1"/>
  <c r="AE186" i="10" s="1"/>
  <c r="K31" i="10"/>
  <c r="L31" i="10" s="1"/>
  <c r="AE31" i="10" s="1"/>
  <c r="M142" i="10"/>
  <c r="N142" i="10" s="1"/>
  <c r="M90" i="10"/>
  <c r="N90" i="10" s="1"/>
  <c r="M40" i="10"/>
  <c r="N40" i="10" s="1"/>
  <c r="N191" i="9"/>
  <c r="I191" i="9"/>
  <c r="L191" i="9"/>
  <c r="K513" i="10"/>
  <c r="L513" i="10" s="1"/>
  <c r="AE513" i="10" s="1"/>
  <c r="K776" i="10"/>
  <c r="L776" i="10" s="1"/>
  <c r="AE776" i="10" s="1"/>
  <c r="K968" i="10"/>
  <c r="L968" i="10" s="1"/>
  <c r="AE968" i="10" s="1"/>
  <c r="M124" i="10"/>
  <c r="N124" i="10" s="1"/>
  <c r="M72" i="10"/>
  <c r="N72" i="10" s="1"/>
  <c r="M352" i="10"/>
  <c r="N352" i="10" s="1"/>
  <c r="M177" i="10"/>
  <c r="N177" i="10" s="1"/>
  <c r="M21" i="10"/>
  <c r="N21" i="10" s="1"/>
  <c r="I627" i="9"/>
  <c r="P623" i="9"/>
  <c r="I815" i="9"/>
  <c r="I817" i="9" s="1"/>
  <c r="L815" i="9"/>
  <c r="L817" i="9" s="1"/>
  <c r="K108" i="12" s="1"/>
  <c r="L108" i="12" s="1"/>
  <c r="K671" i="10" s="1"/>
  <c r="L671" i="10" s="1"/>
  <c r="AE671" i="10" s="1"/>
  <c r="N815" i="9"/>
  <c r="N817" i="9" s="1"/>
  <c r="M108" i="12" s="1"/>
  <c r="N108" i="12" s="1"/>
  <c r="M671" i="10" s="1"/>
  <c r="N671" i="10" s="1"/>
  <c r="M79" i="10"/>
  <c r="N79" i="10" s="1"/>
  <c r="M28" i="10"/>
  <c r="N28" i="10" s="1"/>
  <c r="M131" i="10"/>
  <c r="N131" i="10" s="1"/>
  <c r="M897" i="10"/>
  <c r="N897" i="10" s="1"/>
  <c r="M718" i="10"/>
  <c r="N718" i="10" s="1"/>
  <c r="M228" i="10"/>
  <c r="N228" i="10" s="1"/>
  <c r="I226" i="9"/>
  <c r="L226" i="9"/>
  <c r="N226" i="9"/>
  <c r="P304" i="9"/>
  <c r="I309" i="9"/>
  <c r="M137" i="10"/>
  <c r="N137" i="10" s="1"/>
  <c r="M85" i="10"/>
  <c r="N85" i="10" s="1"/>
  <c r="M190" i="10"/>
  <c r="N190" i="10" s="1"/>
  <c r="M35" i="10"/>
  <c r="N35" i="10" s="1"/>
  <c r="I1156" i="9"/>
  <c r="P847" i="9"/>
  <c r="H199" i="12"/>
  <c r="P1385" i="9"/>
  <c r="P1347" i="9"/>
  <c r="N1377" i="9"/>
  <c r="N1379" i="9" s="1"/>
  <c r="M198" i="12" s="1"/>
  <c r="N198" i="12" s="1"/>
  <c r="M864" i="10" s="1"/>
  <c r="N864" i="10" s="1"/>
  <c r="I1377" i="9"/>
  <c r="L1377" i="9"/>
  <c r="L1379" i="9" s="1"/>
  <c r="K198" i="12" s="1"/>
  <c r="L198" i="12" s="1"/>
  <c r="K864" i="10" s="1"/>
  <c r="L864" i="10" s="1"/>
  <c r="AE864" i="10" s="1"/>
  <c r="K662" i="10"/>
  <c r="L662" i="10" s="1"/>
  <c r="AE662" i="10" s="1"/>
  <c r="K774" i="10"/>
  <c r="L774" i="10" s="1"/>
  <c r="AE774" i="10" s="1"/>
  <c r="K708" i="10"/>
  <c r="L708" i="10" s="1"/>
  <c r="AE708" i="10" s="1"/>
  <c r="K447" i="10"/>
  <c r="L447" i="10" s="1"/>
  <c r="K296" i="10"/>
  <c r="L296" i="10" s="1"/>
  <c r="AE296" i="10" s="1"/>
  <c r="K215" i="10"/>
  <c r="L215" i="10" s="1"/>
  <c r="AE215" i="10" s="1"/>
  <c r="M773" i="10"/>
  <c r="N773" i="10" s="1"/>
  <c r="M707" i="10"/>
  <c r="N707" i="10" s="1"/>
  <c r="M896" i="10"/>
  <c r="N896" i="10" s="1"/>
  <c r="M511" i="10"/>
  <c r="N511" i="10" s="1"/>
  <c r="M214" i="10"/>
  <c r="N214" i="10" s="1"/>
  <c r="H185" i="12"/>
  <c r="P1301" i="9"/>
  <c r="P1190" i="9"/>
  <c r="P702" i="9"/>
  <c r="L1275" i="9"/>
  <c r="L1277" i="9" s="1"/>
  <c r="K181" i="12" s="1"/>
  <c r="L181" i="12" s="1"/>
  <c r="K266" i="10" s="1"/>
  <c r="L266" i="10" s="1"/>
  <c r="AE266" i="10" s="1"/>
  <c r="N1275" i="9"/>
  <c r="N1277" i="9" s="1"/>
  <c r="M181" i="12" s="1"/>
  <c r="N181" i="12" s="1"/>
  <c r="M266" i="10" s="1"/>
  <c r="N266" i="10" s="1"/>
  <c r="I1275" i="9"/>
  <c r="K841" i="10"/>
  <c r="L841" i="10" s="1"/>
  <c r="AE841" i="10" s="1"/>
  <c r="K555" i="10"/>
  <c r="L555" i="10" s="1"/>
  <c r="AE555" i="10" s="1"/>
  <c r="K321" i="10"/>
  <c r="L321" i="10" s="1"/>
  <c r="AE321" i="10" s="1"/>
  <c r="K112" i="10"/>
  <c r="L112" i="10" s="1"/>
  <c r="AE112" i="10" s="1"/>
  <c r="K164" i="10"/>
  <c r="L164" i="10" s="1"/>
  <c r="AE164" i="10" s="1"/>
  <c r="K8" i="10"/>
  <c r="L8" i="10" s="1"/>
  <c r="AE8" i="10" s="1"/>
  <c r="K60" i="10"/>
  <c r="L60" i="10" s="1"/>
  <c r="AE60" i="10" s="1"/>
  <c r="I896" i="9"/>
  <c r="L896" i="9"/>
  <c r="L899" i="9" s="1"/>
  <c r="K121" i="12" s="1"/>
  <c r="L121" i="12" s="1"/>
  <c r="K672" i="10" s="1"/>
  <c r="L672" i="10" s="1"/>
  <c r="AE672" i="10" s="1"/>
  <c r="N896" i="9"/>
  <c r="N899" i="9" s="1"/>
  <c r="M121" i="12" s="1"/>
  <c r="N121" i="12" s="1"/>
  <c r="M672" i="10" s="1"/>
  <c r="N672" i="10" s="1"/>
  <c r="K352" i="10"/>
  <c r="L352" i="10" s="1"/>
  <c r="AE352" i="10" s="1"/>
  <c r="K177" i="10"/>
  <c r="L177" i="10" s="1"/>
  <c r="AE177" i="10" s="1"/>
  <c r="K21" i="10"/>
  <c r="L21" i="10" s="1"/>
  <c r="AE21" i="10" s="1"/>
  <c r="K124" i="10"/>
  <c r="L124" i="10" s="1"/>
  <c r="AE124" i="10" s="1"/>
  <c r="K72" i="10"/>
  <c r="L72" i="10" s="1"/>
  <c r="AE72" i="10" s="1"/>
  <c r="L865" i="9"/>
  <c r="L867" i="9" s="1"/>
  <c r="K116" i="12" s="1"/>
  <c r="L116" i="12" s="1"/>
  <c r="N865" i="9"/>
  <c r="N867" i="9" s="1"/>
  <c r="M116" i="12" s="1"/>
  <c r="N116" i="12" s="1"/>
  <c r="I865" i="9"/>
  <c r="P859" i="9"/>
  <c r="M634" i="10"/>
  <c r="N634" i="10" s="1"/>
  <c r="M788" i="10"/>
  <c r="N788" i="10" s="1"/>
  <c r="M725" i="10"/>
  <c r="N725" i="10" s="1"/>
  <c r="M237" i="10"/>
  <c r="N237" i="10" s="1"/>
  <c r="M515" i="10"/>
  <c r="N515" i="10" s="1"/>
  <c r="M457" i="10"/>
  <c r="N457" i="10" s="1"/>
  <c r="N339" i="9"/>
  <c r="N341" i="9" s="1"/>
  <c r="M38" i="12" s="1"/>
  <c r="N38" i="12" s="1"/>
  <c r="I339" i="9"/>
  <c r="I341" i="9" s="1"/>
  <c r="L339" i="9"/>
  <c r="L341" i="9" s="1"/>
  <c r="K38" i="12" s="1"/>
  <c r="L38" i="12" s="1"/>
  <c r="I915" i="9"/>
  <c r="N915" i="9"/>
  <c r="N917" i="9" s="1"/>
  <c r="M124" i="12" s="1"/>
  <c r="N124" i="12" s="1"/>
  <c r="M378" i="10" s="1"/>
  <c r="N378" i="10" s="1"/>
  <c r="L915" i="9"/>
  <c r="L917" i="9" s="1"/>
  <c r="K124" i="12" s="1"/>
  <c r="L124" i="12" s="1"/>
  <c r="K378" i="10" s="1"/>
  <c r="L378" i="10" s="1"/>
  <c r="AE378" i="10" s="1"/>
  <c r="N374" i="9"/>
  <c r="N377" i="9" s="1"/>
  <c r="M42" i="12" s="1"/>
  <c r="N42" i="12" s="1"/>
  <c r="M658" i="10" s="1"/>
  <c r="N658" i="10" s="1"/>
  <c r="I374" i="9"/>
  <c r="I377" i="9" s="1"/>
  <c r="L374" i="9"/>
  <c r="L377" i="9" s="1"/>
  <c r="K42" i="12" s="1"/>
  <c r="L42" i="12" s="1"/>
  <c r="K658" i="10" s="1"/>
  <c r="L658" i="10" s="1"/>
  <c r="AE658" i="10" s="1"/>
  <c r="K184" i="9"/>
  <c r="L184" i="9" s="1"/>
  <c r="K208" i="9"/>
  <c r="L208" i="9" s="1"/>
  <c r="L219" i="12"/>
  <c r="I359" i="9"/>
  <c r="P353" i="9"/>
  <c r="P1172" i="9"/>
  <c r="P779" i="9"/>
  <c r="P983" i="9"/>
  <c r="K79" i="10"/>
  <c r="L79" i="10" s="1"/>
  <c r="AE79" i="10" s="1"/>
  <c r="K28" i="10"/>
  <c r="L28" i="10" s="1"/>
  <c r="AE28" i="10" s="1"/>
  <c r="K131" i="10"/>
  <c r="L131" i="10" s="1"/>
  <c r="AE131" i="10" s="1"/>
  <c r="M793" i="10"/>
  <c r="N793" i="10" s="1"/>
  <c r="M302" i="10"/>
  <c r="N302" i="10" s="1"/>
  <c r="I662" i="9"/>
  <c r="P658" i="9"/>
  <c r="O200" i="12"/>
  <c r="I200" i="12"/>
  <c r="I366" i="9"/>
  <c r="L366" i="9"/>
  <c r="N366" i="9"/>
  <c r="I391" i="9"/>
  <c r="P387" i="9"/>
  <c r="K221" i="10"/>
  <c r="L221" i="10" s="1"/>
  <c r="AE221" i="10" s="1"/>
  <c r="K668" i="10"/>
  <c r="L668" i="10" s="1"/>
  <c r="AE668" i="10" s="1"/>
  <c r="P1221" i="9"/>
  <c r="I1223" i="9"/>
  <c r="K142" i="10"/>
  <c r="L142" i="10" s="1"/>
  <c r="AE142" i="10" s="1"/>
  <c r="K90" i="10"/>
  <c r="L90" i="10" s="1"/>
  <c r="AE90" i="10" s="1"/>
  <c r="K40" i="10"/>
  <c r="L40" i="10" s="1"/>
  <c r="AE40" i="10" s="1"/>
  <c r="K717" i="10"/>
  <c r="L717" i="10" s="1"/>
  <c r="AE717" i="10" s="1"/>
  <c r="K227" i="10"/>
  <c r="L227" i="10" s="1"/>
  <c r="AE227" i="10" s="1"/>
  <c r="K453" i="10"/>
  <c r="L453" i="10" s="1"/>
  <c r="AE453" i="10" s="1"/>
  <c r="K897" i="10"/>
  <c r="L897" i="10" s="1"/>
  <c r="AE897" i="10" s="1"/>
  <c r="K228" i="10"/>
  <c r="L228" i="10" s="1"/>
  <c r="AE228" i="10" s="1"/>
  <c r="K718" i="10"/>
  <c r="L718" i="10" s="1"/>
  <c r="AE718" i="10" s="1"/>
  <c r="P1441" i="9"/>
  <c r="I1443" i="9"/>
  <c r="H62" i="12"/>
  <c r="P503" i="9"/>
  <c r="P744" i="9"/>
  <c r="K190" i="10"/>
  <c r="L190" i="10" s="1"/>
  <c r="AE190" i="10" s="1"/>
  <c r="K137" i="10"/>
  <c r="L137" i="10" s="1"/>
  <c r="AE137" i="10" s="1"/>
  <c r="K85" i="10"/>
  <c r="L85" i="10" s="1"/>
  <c r="AE85" i="10" s="1"/>
  <c r="K35" i="10"/>
  <c r="L35" i="10" s="1"/>
  <c r="AE35" i="10" s="1"/>
  <c r="P401" i="9"/>
  <c r="P1171" i="9"/>
  <c r="I1174" i="9"/>
  <c r="N1135" i="9"/>
  <c r="N1137" i="9" s="1"/>
  <c r="M158" i="12" s="1"/>
  <c r="N158" i="12" s="1"/>
  <c r="I1135" i="9"/>
  <c r="L1135" i="9"/>
  <c r="L1137" i="9" s="1"/>
  <c r="K158" i="12" s="1"/>
  <c r="L158" i="12" s="1"/>
  <c r="P1383" i="9"/>
  <c r="M785" i="10"/>
  <c r="N785" i="10" s="1"/>
  <c r="M721" i="10"/>
  <c r="N721" i="10" s="1"/>
  <c r="M679" i="10"/>
  <c r="N679" i="10" s="1"/>
  <c r="M379" i="10"/>
  <c r="N379" i="10" s="1"/>
  <c r="M454" i="10"/>
  <c r="N454" i="10" s="1"/>
  <c r="M402" i="10"/>
  <c r="N402" i="10" s="1"/>
  <c r="M232" i="10"/>
  <c r="N232" i="10" s="1"/>
  <c r="H153" i="12"/>
  <c r="P1107" i="9"/>
  <c r="I613" i="9"/>
  <c r="P609" i="9"/>
  <c r="I382" i="9"/>
  <c r="L382" i="9"/>
  <c r="L384" i="9" s="1"/>
  <c r="K43" i="12" s="1"/>
  <c r="L43" i="12" s="1"/>
  <c r="N382" i="9"/>
  <c r="N384" i="9" s="1"/>
  <c r="M43" i="12" s="1"/>
  <c r="N43" i="12" s="1"/>
  <c r="K773" i="10"/>
  <c r="L773" i="10" s="1"/>
  <c r="AE773" i="10" s="1"/>
  <c r="K707" i="10"/>
  <c r="L707" i="10" s="1"/>
  <c r="K896" i="10"/>
  <c r="L896" i="10" s="1"/>
  <c r="AE896" i="10" s="1"/>
  <c r="K214" i="10"/>
  <c r="L214" i="10" s="1"/>
  <c r="AE214" i="10" s="1"/>
  <c r="K511" i="10"/>
  <c r="L511" i="10" s="1"/>
  <c r="AE511" i="10" s="1"/>
  <c r="P96" i="9"/>
  <c r="H65" i="12"/>
  <c r="P521" i="9"/>
  <c r="P371" i="9"/>
  <c r="I495" i="9"/>
  <c r="L495" i="9"/>
  <c r="L497" i="9" s="1"/>
  <c r="K61" i="12" s="1"/>
  <c r="L61" i="12" s="1"/>
  <c r="K852" i="10" s="1"/>
  <c r="L852" i="10" s="1"/>
  <c r="AE852" i="10" s="1"/>
  <c r="N495" i="9"/>
  <c r="N497" i="9" s="1"/>
  <c r="M61" i="12" s="1"/>
  <c r="N61" i="12" s="1"/>
  <c r="M852" i="10" s="1"/>
  <c r="N852" i="10" s="1"/>
  <c r="I193" i="9"/>
  <c r="L193" i="9"/>
  <c r="N193" i="9"/>
  <c r="P429" i="9"/>
  <c r="I606" i="9"/>
  <c r="P602" i="9"/>
  <c r="P805" i="9"/>
  <c r="I809" i="9"/>
  <c r="P877" i="9"/>
  <c r="P85" i="9"/>
  <c r="I449" i="9"/>
  <c r="K898" i="10"/>
  <c r="L898" i="10" s="1"/>
  <c r="AE898" i="10" s="1"/>
  <c r="K588" i="10"/>
  <c r="L588" i="10" s="1"/>
  <c r="AE588" i="10" s="1"/>
  <c r="K350" i="10"/>
  <c r="L350" i="10" s="1"/>
  <c r="AE350" i="10" s="1"/>
  <c r="L435" i="9"/>
  <c r="L437" i="9" s="1"/>
  <c r="K51" i="12" s="1"/>
  <c r="L51" i="12" s="1"/>
  <c r="N435" i="9"/>
  <c r="N437" i="9" s="1"/>
  <c r="M51" i="12" s="1"/>
  <c r="N51" i="12" s="1"/>
  <c r="I435" i="9"/>
  <c r="P763" i="9"/>
  <c r="I767" i="9"/>
  <c r="H66" i="12"/>
  <c r="P527" i="9"/>
  <c r="L172" i="9"/>
  <c r="L174" i="9" s="1"/>
  <c r="K20" i="12" s="1"/>
  <c r="L20" i="12" s="1"/>
  <c r="K794" i="10" s="1"/>
  <c r="L794" i="10" s="1"/>
  <c r="AE794" i="10" s="1"/>
  <c r="N172" i="9"/>
  <c r="N174" i="9" s="1"/>
  <c r="M20" i="12" s="1"/>
  <c r="N20" i="12" s="1"/>
  <c r="M794" i="10" s="1"/>
  <c r="N794" i="10" s="1"/>
  <c r="I172" i="9"/>
  <c r="P172" i="9" s="1"/>
  <c r="K787" i="10"/>
  <c r="L787" i="10" s="1"/>
  <c r="AE787" i="10" s="1"/>
  <c r="K514" i="10"/>
  <c r="L514" i="10" s="1"/>
  <c r="AE514" i="10" s="1"/>
  <c r="K236" i="10"/>
  <c r="L236" i="10" s="1"/>
  <c r="AE236" i="10" s="1"/>
  <c r="K900" i="10"/>
  <c r="L900" i="10" s="1"/>
  <c r="AE900" i="10" s="1"/>
  <c r="I533" i="9"/>
  <c r="I192" i="9"/>
  <c r="L192" i="9"/>
  <c r="N192" i="9"/>
  <c r="K709" i="10"/>
  <c r="L709" i="10" s="1"/>
  <c r="AE709" i="10" s="1"/>
  <c r="K448" i="10"/>
  <c r="L448" i="10" s="1"/>
  <c r="AE448" i="10" s="1"/>
  <c r="K297" i="10"/>
  <c r="L297" i="10" s="1"/>
  <c r="AE297" i="10" s="1"/>
  <c r="K586" i="10"/>
  <c r="L586" i="10" s="1"/>
  <c r="AE586" i="10" s="1"/>
  <c r="K216" i="10"/>
  <c r="L216" i="10" s="1"/>
  <c r="AE216" i="10" s="1"/>
  <c r="P1123" i="9"/>
  <c r="I985" i="9"/>
  <c r="L256" i="9"/>
  <c r="L259" i="9" s="1"/>
  <c r="K26" i="12" s="1"/>
  <c r="L26" i="12" s="1"/>
  <c r="K688" i="10" s="1"/>
  <c r="L688" i="10" s="1"/>
  <c r="AE688" i="10" s="1"/>
  <c r="N256" i="9"/>
  <c r="N259" i="9" s="1"/>
  <c r="M26" i="12" s="1"/>
  <c r="N26" i="12" s="1"/>
  <c r="M688" i="10" s="1"/>
  <c r="N688" i="10" s="1"/>
  <c r="I256" i="9"/>
  <c r="I259" i="9" s="1"/>
  <c r="I473" i="9"/>
  <c r="P721" i="9"/>
  <c r="I725" i="9"/>
  <c r="I431" i="9" l="1"/>
  <c r="P428" i="9"/>
  <c r="P548" i="9"/>
  <c r="I551" i="9"/>
  <c r="I1101" i="9"/>
  <c r="P1098" i="9"/>
  <c r="I1095" i="10"/>
  <c r="H213" i="11" s="1"/>
  <c r="P1072" i="10"/>
  <c r="P1095" i="10" s="1"/>
  <c r="P1123" i="10"/>
  <c r="P1147" i="10" s="1"/>
  <c r="I1147" i="10"/>
  <c r="H215" i="11" s="1"/>
  <c r="I425" i="9"/>
  <c r="P422" i="9"/>
  <c r="P440" i="9"/>
  <c r="I443" i="9"/>
  <c r="I455" i="9"/>
  <c r="P452" i="9"/>
  <c r="P554" i="9"/>
  <c r="I557" i="9"/>
  <c r="P834" i="9"/>
  <c r="I837" i="9"/>
  <c r="I849" i="9"/>
  <c r="P846" i="9"/>
  <c r="I861" i="9"/>
  <c r="P858" i="9"/>
  <c r="P870" i="9"/>
  <c r="I873" i="9"/>
  <c r="I885" i="9"/>
  <c r="P882" i="9"/>
  <c r="I911" i="9"/>
  <c r="P908" i="9"/>
  <c r="I923" i="9"/>
  <c r="P920" i="9"/>
  <c r="I961" i="9"/>
  <c r="P958" i="9"/>
  <c r="P994" i="9"/>
  <c r="I997" i="9"/>
  <c r="I1173" i="10"/>
  <c r="H216" i="11" s="1"/>
  <c r="P1153" i="10"/>
  <c r="P1173" i="10" s="1"/>
  <c r="I1069" i="10"/>
  <c r="H188" i="11" s="1"/>
  <c r="P1047" i="10"/>
  <c r="P1069" i="10" s="1"/>
  <c r="I1121" i="10"/>
  <c r="H214" i="11" s="1"/>
  <c r="P1098" i="10"/>
  <c r="P1121" i="10" s="1"/>
  <c r="K87" i="10"/>
  <c r="L87" i="10" s="1"/>
  <c r="AE87" i="10" s="1"/>
  <c r="K37" i="10"/>
  <c r="L37" i="10" s="1"/>
  <c r="AE37" i="10" s="1"/>
  <c r="K139" i="10"/>
  <c r="L139" i="10" s="1"/>
  <c r="AE139" i="10" s="1"/>
  <c r="K192" i="10"/>
  <c r="L192" i="10" s="1"/>
  <c r="AE192" i="10" s="1"/>
  <c r="K294" i="10"/>
  <c r="L294" i="10" s="1"/>
  <c r="AE294" i="10" s="1"/>
  <c r="K768" i="10"/>
  <c r="L768" i="10" s="1"/>
  <c r="AE768" i="10" s="1"/>
  <c r="P1235" i="9"/>
  <c r="K174" i="12"/>
  <c r="L174" i="12" s="1"/>
  <c r="K753" i="10" s="1"/>
  <c r="L753" i="10" s="1"/>
  <c r="AE753" i="10" s="1"/>
  <c r="P941" i="9"/>
  <c r="P247" i="9"/>
  <c r="P315" i="9"/>
  <c r="P299" i="9"/>
  <c r="P709" i="9"/>
  <c r="L239" i="9"/>
  <c r="N239" i="9"/>
  <c r="M24" i="12" s="1"/>
  <c r="N24" i="12" s="1"/>
  <c r="M635" i="10" s="1"/>
  <c r="N635" i="10" s="1"/>
  <c r="P625" i="9"/>
  <c r="I368" i="9"/>
  <c r="H41" i="12" s="1"/>
  <c r="P60" i="9"/>
  <c r="P246" i="9"/>
  <c r="L249" i="9"/>
  <c r="K25" i="12" s="1"/>
  <c r="L25" i="12" s="1"/>
  <c r="K687" i="10" s="1"/>
  <c r="L687" i="10" s="1"/>
  <c r="AE687" i="10" s="1"/>
  <c r="N249" i="9"/>
  <c r="M25" i="12" s="1"/>
  <c r="N25" i="12" s="1"/>
  <c r="M687" i="10" s="1"/>
  <c r="N687" i="10" s="1"/>
  <c r="P1057" i="9"/>
  <c r="P357" i="9"/>
  <c r="I350" i="9"/>
  <c r="H39" i="12" s="1"/>
  <c r="I333" i="9"/>
  <c r="I1011" i="9"/>
  <c r="I22" i="9"/>
  <c r="P285" i="9"/>
  <c r="P191" i="9"/>
  <c r="P226" i="9"/>
  <c r="P366" i="9"/>
  <c r="P382" i="9"/>
  <c r="P193" i="9"/>
  <c r="P482" i="9"/>
  <c r="I485" i="9"/>
  <c r="P75" i="9"/>
  <c r="I82" i="9"/>
  <c r="P232" i="9"/>
  <c r="I239" i="9"/>
  <c r="P25" i="9"/>
  <c r="I32" i="9"/>
  <c r="P1014" i="10"/>
  <c r="P1017" i="10" s="1"/>
  <c r="I1017" i="10"/>
  <c r="H187" i="11" s="1"/>
  <c r="P402" i="9"/>
  <c r="I405" i="9"/>
  <c r="P637" i="9"/>
  <c r="I641" i="9"/>
  <c r="I753" i="9"/>
  <c r="P749" i="9"/>
  <c r="I795" i="9"/>
  <c r="P795" i="9" s="1"/>
  <c r="P791" i="9"/>
  <c r="P88" i="9"/>
  <c r="I93" i="9"/>
  <c r="P48" i="9"/>
  <c r="I52" i="9"/>
  <c r="P99" i="9"/>
  <c r="I104" i="9"/>
  <c r="P68" i="9"/>
  <c r="I72" i="9"/>
  <c r="P39" i="9"/>
  <c r="I42" i="9"/>
  <c r="P1023" i="9"/>
  <c r="I1027" i="9"/>
  <c r="P1030" i="9"/>
  <c r="I1035" i="9"/>
  <c r="P1039" i="9"/>
  <c r="I1043" i="9"/>
  <c r="I1051" i="9"/>
  <c r="P1046" i="9"/>
  <c r="M129" i="10"/>
  <c r="N129" i="10" s="1"/>
  <c r="M26" i="10"/>
  <c r="N26" i="10" s="1"/>
  <c r="M77" i="10"/>
  <c r="N77" i="10" s="1"/>
  <c r="K129" i="10"/>
  <c r="L129" i="10" s="1"/>
  <c r="AE129" i="10" s="1"/>
  <c r="K77" i="10"/>
  <c r="L77" i="10" s="1"/>
  <c r="AE77" i="10" s="1"/>
  <c r="K26" i="10"/>
  <c r="L26" i="10" s="1"/>
  <c r="AE26" i="10" s="1"/>
  <c r="H26" i="12"/>
  <c r="P259" i="9"/>
  <c r="H108" i="12"/>
  <c r="P817" i="9"/>
  <c r="P915" i="9"/>
  <c r="I917" i="9"/>
  <c r="K563" i="10"/>
  <c r="L563" i="10" s="1"/>
  <c r="AE563" i="10" s="1"/>
  <c r="K175" i="10"/>
  <c r="L175" i="10" s="1"/>
  <c r="AE175" i="10" s="1"/>
  <c r="K860" i="10"/>
  <c r="L860" i="10" s="1"/>
  <c r="AE860" i="10" s="1"/>
  <c r="K122" i="10"/>
  <c r="L122" i="10" s="1"/>
  <c r="AE122" i="10" s="1"/>
  <c r="K70" i="10"/>
  <c r="L70" i="10" s="1"/>
  <c r="AE70" i="10" s="1"/>
  <c r="K19" i="10"/>
  <c r="L19" i="10" s="1"/>
  <c r="AE19" i="10" s="1"/>
  <c r="H145" i="12"/>
  <c r="P1059" i="9"/>
  <c r="P865" i="9"/>
  <c r="I867" i="9"/>
  <c r="P896" i="9"/>
  <c r="I899" i="9"/>
  <c r="K967" i="10"/>
  <c r="L967" i="10" s="1"/>
  <c r="K771" i="10"/>
  <c r="L771" i="10" s="1"/>
  <c r="AE771" i="10" s="1"/>
  <c r="K631" i="10"/>
  <c r="L631" i="10" s="1"/>
  <c r="AE631" i="10" s="1"/>
  <c r="K584" i="10"/>
  <c r="L584" i="10" s="1"/>
  <c r="AE584" i="10" s="1"/>
  <c r="K509" i="10"/>
  <c r="L509" i="10" s="1"/>
  <c r="AE509" i="10" s="1"/>
  <c r="K395" i="10"/>
  <c r="L395" i="10" s="1"/>
  <c r="K213" i="10"/>
  <c r="L213" i="10" s="1"/>
  <c r="K295" i="10"/>
  <c r="L295" i="10" s="1"/>
  <c r="AE295" i="10" s="1"/>
  <c r="K660" i="10"/>
  <c r="L660" i="10" s="1"/>
  <c r="AE660" i="10" s="1"/>
  <c r="K798" i="10"/>
  <c r="L798" i="10" s="1"/>
  <c r="AE798" i="10" s="1"/>
  <c r="K638" i="10"/>
  <c r="L638" i="10" s="1"/>
  <c r="AE638" i="10" s="1"/>
  <c r="K460" i="10"/>
  <c r="L460" i="10" s="1"/>
  <c r="AE460" i="10" s="1"/>
  <c r="K517" i="10"/>
  <c r="L517" i="10" s="1"/>
  <c r="AE517" i="10" s="1"/>
  <c r="K730" i="10"/>
  <c r="L730" i="10" s="1"/>
  <c r="AE730" i="10" s="1"/>
  <c r="K243" i="10"/>
  <c r="L243" i="10" s="1"/>
  <c r="AE243" i="10" s="1"/>
  <c r="H84" i="12"/>
  <c r="P648" i="9"/>
  <c r="M973" i="10"/>
  <c r="N973" i="10" s="1"/>
  <c r="M729" i="10"/>
  <c r="N729" i="10" s="1"/>
  <c r="M241" i="10"/>
  <c r="N241" i="10" s="1"/>
  <c r="M431" i="10"/>
  <c r="N431" i="10" s="1"/>
  <c r="P1075" i="9"/>
  <c r="I1077" i="9"/>
  <c r="L368" i="9"/>
  <c r="K41" i="12" s="1"/>
  <c r="L41" i="12" s="1"/>
  <c r="I1437" i="9"/>
  <c r="P1435" i="9"/>
  <c r="P1323" i="9"/>
  <c r="I1325" i="9"/>
  <c r="H203" i="12"/>
  <c r="P1409" i="9"/>
  <c r="O188" i="12"/>
  <c r="I188" i="12"/>
  <c r="H182" i="9"/>
  <c r="H206" i="9"/>
  <c r="I218" i="12"/>
  <c r="P218" i="12" s="1"/>
  <c r="O218" i="12"/>
  <c r="P1239" i="9"/>
  <c r="I1241" i="9"/>
  <c r="AE941" i="10"/>
  <c r="AE963" i="10" s="1"/>
  <c r="L965" i="10"/>
  <c r="K168" i="11" s="1"/>
  <c r="L168" i="11" s="1"/>
  <c r="H53" i="12"/>
  <c r="P449" i="9"/>
  <c r="K181" i="9"/>
  <c r="L181" i="9" s="1"/>
  <c r="L198" i="9" s="1"/>
  <c r="K21" i="12" s="1"/>
  <c r="L21" i="12" s="1"/>
  <c r="K684" i="10" s="1"/>
  <c r="L684" i="10" s="1"/>
  <c r="AE684" i="10" s="1"/>
  <c r="K205" i="9"/>
  <c r="L205" i="9" s="1"/>
  <c r="K223" i="9"/>
  <c r="L223" i="9" s="1"/>
  <c r="L4" i="12"/>
  <c r="P1017" i="9"/>
  <c r="P1001" i="9"/>
  <c r="I1003" i="9"/>
  <c r="H48" i="12"/>
  <c r="P419" i="9"/>
  <c r="H97" i="12"/>
  <c r="P739" i="9"/>
  <c r="P1287" i="9"/>
  <c r="I1289" i="9"/>
  <c r="I193" i="12"/>
  <c r="O193" i="12"/>
  <c r="H191" i="12"/>
  <c r="P1337" i="9"/>
  <c r="M860" i="10"/>
  <c r="N860" i="10" s="1"/>
  <c r="M563" i="10"/>
  <c r="N563" i="10" s="1"/>
  <c r="M175" i="10"/>
  <c r="N175" i="10" s="1"/>
  <c r="M122" i="10"/>
  <c r="N122" i="10" s="1"/>
  <c r="M70" i="10"/>
  <c r="N70" i="10" s="1"/>
  <c r="M19" i="10"/>
  <c r="N19" i="10" s="1"/>
  <c r="H33" i="12"/>
  <c r="P301" i="9"/>
  <c r="H165" i="12"/>
  <c r="P1180" i="9"/>
  <c r="M792" i="10"/>
  <c r="N792" i="10" s="1"/>
  <c r="M301" i="10"/>
  <c r="N301" i="10" s="1"/>
  <c r="I187" i="11"/>
  <c r="O187" i="11"/>
  <c r="H13" i="12"/>
  <c r="P93" i="9"/>
  <c r="I62" i="12"/>
  <c r="O62" i="12"/>
  <c r="P339" i="9"/>
  <c r="H142" i="12"/>
  <c r="P1035" i="9"/>
  <c r="P1377" i="9"/>
  <c r="I1379" i="9"/>
  <c r="H102" i="12"/>
  <c r="P774" i="9"/>
  <c r="H35" i="12"/>
  <c r="P317" i="9"/>
  <c r="K889" i="10"/>
  <c r="L889" i="10" s="1"/>
  <c r="K759" i="10"/>
  <c r="L759" i="10" s="1"/>
  <c r="K578" i="10"/>
  <c r="L578" i="10" s="1"/>
  <c r="AE578" i="10" s="1"/>
  <c r="K837" i="10"/>
  <c r="L837" i="10" s="1"/>
  <c r="K551" i="10"/>
  <c r="L551" i="10" s="1"/>
  <c r="K317" i="10"/>
  <c r="L317" i="10" s="1"/>
  <c r="K161" i="10"/>
  <c r="L161" i="10" s="1"/>
  <c r="K603" i="10"/>
  <c r="L603" i="10" s="1"/>
  <c r="K57" i="10"/>
  <c r="L57" i="10" s="1"/>
  <c r="K5" i="10"/>
  <c r="L5" i="10" s="1"/>
  <c r="K499" i="10"/>
  <c r="L499" i="10" s="1"/>
  <c r="K343" i="10"/>
  <c r="L343" i="10" s="1"/>
  <c r="K422" i="10"/>
  <c r="L422" i="10" s="1"/>
  <c r="AE422" i="10" s="1"/>
  <c r="K109" i="10"/>
  <c r="L109" i="10" s="1"/>
  <c r="K674" i="10"/>
  <c r="L674" i="10" s="1"/>
  <c r="AE674" i="10" s="1"/>
  <c r="K784" i="10"/>
  <c r="L784" i="10" s="1"/>
  <c r="AE784" i="10" s="1"/>
  <c r="K633" i="10"/>
  <c r="L633" i="10" s="1"/>
  <c r="AE633" i="10" s="1"/>
  <c r="P1093" i="9"/>
  <c r="I1095" i="9"/>
  <c r="K301" i="10"/>
  <c r="L301" i="10" s="1"/>
  <c r="AE301" i="10" s="1"/>
  <c r="K792" i="10"/>
  <c r="L792" i="10" s="1"/>
  <c r="AE792" i="10" s="1"/>
  <c r="H120" i="12"/>
  <c r="P892" i="9"/>
  <c r="M630" i="10"/>
  <c r="N630" i="10" s="1"/>
  <c r="M760" i="10"/>
  <c r="N760" i="10" s="1"/>
  <c r="M181" i="9"/>
  <c r="N181" i="9" s="1"/>
  <c r="M205" i="9"/>
  <c r="N205" i="9" s="1"/>
  <c r="M223" i="9"/>
  <c r="N223" i="9" s="1"/>
  <c r="N4" i="12"/>
  <c r="P70" i="9"/>
  <c r="H82" i="12"/>
  <c r="P634" i="9"/>
  <c r="H75" i="12"/>
  <c r="P585" i="9"/>
  <c r="I287" i="9"/>
  <c r="H77" i="12"/>
  <c r="P599" i="9"/>
  <c r="I122" i="12"/>
  <c r="O122" i="12"/>
  <c r="P136" i="9"/>
  <c r="I1019" i="9"/>
  <c r="H80" i="12"/>
  <c r="P620" i="9"/>
  <c r="H267" i="10"/>
  <c r="P182" i="12"/>
  <c r="I162" i="12"/>
  <c r="O162" i="12"/>
  <c r="H99" i="12"/>
  <c r="P753" i="9"/>
  <c r="H91" i="12"/>
  <c r="P697" i="9"/>
  <c r="H196" i="12"/>
  <c r="P1367" i="9"/>
  <c r="H106" i="12"/>
  <c r="P802" i="9"/>
  <c r="H8" i="12"/>
  <c r="P42" i="9"/>
  <c r="H46" i="12"/>
  <c r="P405" i="9"/>
  <c r="H47" i="12"/>
  <c r="P412" i="9"/>
  <c r="H95" i="12"/>
  <c r="P725" i="9"/>
  <c r="P495" i="9"/>
  <c r="I497" i="9"/>
  <c r="M840" i="10"/>
  <c r="N840" i="10" s="1"/>
  <c r="M554" i="10"/>
  <c r="N554" i="10" s="1"/>
  <c r="M503" i="10"/>
  <c r="N503" i="10" s="1"/>
  <c r="M320" i="10"/>
  <c r="N320" i="10" s="1"/>
  <c r="M163" i="10"/>
  <c r="N163" i="10" s="1"/>
  <c r="M59" i="10"/>
  <c r="N59" i="10" s="1"/>
  <c r="M111" i="10"/>
  <c r="N111" i="10" s="1"/>
  <c r="M7" i="10"/>
  <c r="N7" i="10" s="1"/>
  <c r="H209" i="12"/>
  <c r="P1443" i="9"/>
  <c r="H40" i="12"/>
  <c r="P359" i="9"/>
  <c r="M838" i="10"/>
  <c r="N838" i="10" s="1"/>
  <c r="M552" i="10"/>
  <c r="N552" i="10" s="1"/>
  <c r="M318" i="10"/>
  <c r="N318" i="10" s="1"/>
  <c r="P331" i="9"/>
  <c r="P927" i="9"/>
  <c r="I930" i="9"/>
  <c r="P348" i="9"/>
  <c r="P148" i="9"/>
  <c r="M128" i="10"/>
  <c r="N128" i="10" s="1"/>
  <c r="M76" i="10"/>
  <c r="N76" i="10" s="1"/>
  <c r="M181" i="10"/>
  <c r="N181" i="10" s="1"/>
  <c r="M25" i="10"/>
  <c r="N25" i="10" s="1"/>
  <c r="K630" i="10"/>
  <c r="L630" i="10" s="1"/>
  <c r="AE630" i="10" s="1"/>
  <c r="K760" i="10"/>
  <c r="L760" i="10" s="1"/>
  <c r="AE760" i="10" s="1"/>
  <c r="I384" i="9"/>
  <c r="I249" i="9"/>
  <c r="M10" i="9"/>
  <c r="N10" i="9" s="1"/>
  <c r="N12" i="9" s="1"/>
  <c r="M5" i="12" s="1"/>
  <c r="N5" i="12" s="1"/>
  <c r="M224" i="9"/>
  <c r="N224" i="9" s="1"/>
  <c r="M183" i="9"/>
  <c r="N183" i="9" s="1"/>
  <c r="M207" i="9"/>
  <c r="N207" i="9" s="1"/>
  <c r="N217" i="12"/>
  <c r="I167" i="12"/>
  <c r="O167" i="12"/>
  <c r="P1305" i="9"/>
  <c r="I1307" i="9"/>
  <c r="H83" i="12"/>
  <c r="P641" i="9"/>
  <c r="P1413" i="9"/>
  <c r="I1415" i="9"/>
  <c r="M189" i="10"/>
  <c r="N189" i="10" s="1"/>
  <c r="M34" i="10"/>
  <c r="N34" i="10" s="1"/>
  <c r="M84" i="10"/>
  <c r="N84" i="10" s="1"/>
  <c r="M136" i="10"/>
  <c r="N136" i="10" s="1"/>
  <c r="O207" i="12"/>
  <c r="I207" i="12"/>
  <c r="P124" i="9"/>
  <c r="H89" i="12"/>
  <c r="P683" i="9"/>
  <c r="P477" i="9"/>
  <c r="I479" i="9"/>
  <c r="H98" i="12"/>
  <c r="P746" i="9"/>
  <c r="P1111" i="9"/>
  <c r="I1113" i="9"/>
  <c r="I66" i="12"/>
  <c r="O66" i="12"/>
  <c r="K840" i="10"/>
  <c r="L840" i="10" s="1"/>
  <c r="AE840" i="10" s="1"/>
  <c r="K163" i="10"/>
  <c r="L163" i="10" s="1"/>
  <c r="AE163" i="10" s="1"/>
  <c r="K111" i="10"/>
  <c r="L111" i="10" s="1"/>
  <c r="AE111" i="10" s="1"/>
  <c r="K554" i="10"/>
  <c r="L554" i="10" s="1"/>
  <c r="AE554" i="10" s="1"/>
  <c r="K503" i="10"/>
  <c r="L503" i="10" s="1"/>
  <c r="AE503" i="10" s="1"/>
  <c r="K320" i="10"/>
  <c r="L320" i="10" s="1"/>
  <c r="AE320" i="10" s="1"/>
  <c r="K7" i="10"/>
  <c r="L7" i="10" s="1"/>
  <c r="AE7" i="10" s="1"/>
  <c r="K59" i="10"/>
  <c r="L59" i="10" s="1"/>
  <c r="AE59" i="10" s="1"/>
  <c r="H172" i="12"/>
  <c r="P1223" i="9"/>
  <c r="H86" i="12"/>
  <c r="P662" i="9"/>
  <c r="H9" i="12"/>
  <c r="P52" i="9"/>
  <c r="M728" i="10"/>
  <c r="N728" i="10" s="1"/>
  <c r="M240" i="10"/>
  <c r="N240" i="10" s="1"/>
  <c r="M683" i="10"/>
  <c r="N683" i="10" s="1"/>
  <c r="H168" i="12"/>
  <c r="P1199" i="9"/>
  <c r="H173" i="12"/>
  <c r="P1229" i="9"/>
  <c r="M972" i="10"/>
  <c r="N972" i="10" s="1"/>
  <c r="M430" i="10"/>
  <c r="N430" i="10" s="1"/>
  <c r="M405" i="10"/>
  <c r="N405" i="10" s="1"/>
  <c r="P1215" i="9"/>
  <c r="I1217" i="9"/>
  <c r="H72" i="12"/>
  <c r="P564" i="9"/>
  <c r="H110" i="12"/>
  <c r="P831" i="9"/>
  <c r="K181" i="10"/>
  <c r="L181" i="10" s="1"/>
  <c r="AE181" i="10" s="1"/>
  <c r="K25" i="10"/>
  <c r="L25" i="10" s="1"/>
  <c r="AE25" i="10" s="1"/>
  <c r="K128" i="10"/>
  <c r="L128" i="10" s="1"/>
  <c r="AE128" i="10" s="1"/>
  <c r="K76" i="10"/>
  <c r="L76" i="10" s="1"/>
  <c r="AE76" i="10" s="1"/>
  <c r="I711" i="9"/>
  <c r="K861" i="10"/>
  <c r="L861" i="10" s="1"/>
  <c r="AE861" i="10" s="1"/>
  <c r="K564" i="10"/>
  <c r="L564" i="10" s="1"/>
  <c r="AE564" i="10" s="1"/>
  <c r="K180" i="10"/>
  <c r="L180" i="10" s="1"/>
  <c r="AE180" i="10" s="1"/>
  <c r="K75" i="10"/>
  <c r="L75" i="10" s="1"/>
  <c r="AE75" i="10" s="1"/>
  <c r="K127" i="10"/>
  <c r="L127" i="10" s="1"/>
  <c r="AE127" i="10" s="1"/>
  <c r="K24" i="10"/>
  <c r="L24" i="10" s="1"/>
  <c r="AE24" i="10" s="1"/>
  <c r="I150" i="9"/>
  <c r="P1269" i="9"/>
  <c r="I1271" i="9"/>
  <c r="K10" i="9"/>
  <c r="L10" i="9" s="1"/>
  <c r="L12" i="9" s="1"/>
  <c r="K5" i="12" s="1"/>
  <c r="L5" i="12" s="1"/>
  <c r="K224" i="9"/>
  <c r="L224" i="9" s="1"/>
  <c r="K183" i="9"/>
  <c r="L183" i="9" s="1"/>
  <c r="K207" i="9"/>
  <c r="L207" i="9" s="1"/>
  <c r="L217" i="12"/>
  <c r="P396" i="9"/>
  <c r="I112" i="12"/>
  <c r="O112" i="12"/>
  <c r="I138" i="9"/>
  <c r="K189" i="10"/>
  <c r="L189" i="10" s="1"/>
  <c r="AE189" i="10" s="1"/>
  <c r="K136" i="10"/>
  <c r="L136" i="10" s="1"/>
  <c r="AE136" i="10" s="1"/>
  <c r="K34" i="10"/>
  <c r="L34" i="10" s="1"/>
  <c r="AE34" i="10" s="1"/>
  <c r="K84" i="10"/>
  <c r="L84" i="10" s="1"/>
  <c r="AE84" i="10" s="1"/>
  <c r="P237" i="9"/>
  <c r="H90" i="12"/>
  <c r="P690" i="9"/>
  <c r="M452" i="10"/>
  <c r="N452" i="10" s="1"/>
  <c r="M226" i="10"/>
  <c r="N226" i="10" s="1"/>
  <c r="H94" i="12"/>
  <c r="P718" i="9"/>
  <c r="N939" i="10"/>
  <c r="M167" i="11" s="1"/>
  <c r="N167" i="11" s="1"/>
  <c r="M138" i="10"/>
  <c r="N138" i="10" s="1"/>
  <c r="M86" i="10"/>
  <c r="N86" i="10" s="1"/>
  <c r="M36" i="10"/>
  <c r="N36" i="10" s="1"/>
  <c r="M191" i="10"/>
  <c r="N191" i="10" s="1"/>
  <c r="H38" i="12"/>
  <c r="P341" i="9"/>
  <c r="K838" i="10"/>
  <c r="L838" i="10" s="1"/>
  <c r="AE838" i="10" s="1"/>
  <c r="K318" i="10"/>
  <c r="L318" i="10" s="1"/>
  <c r="AE318" i="10" s="1"/>
  <c r="K552" i="10"/>
  <c r="L552" i="10" s="1"/>
  <c r="AE552" i="10" s="1"/>
  <c r="P291" i="9"/>
  <c r="K728" i="10"/>
  <c r="L728" i="10" s="1"/>
  <c r="AE728" i="10" s="1"/>
  <c r="K240" i="10"/>
  <c r="L240" i="10" s="1"/>
  <c r="AE240" i="10" s="1"/>
  <c r="K683" i="10"/>
  <c r="L683" i="10" s="1"/>
  <c r="AE683" i="10" s="1"/>
  <c r="I293" i="9"/>
  <c r="K972" i="10"/>
  <c r="L972" i="10" s="1"/>
  <c r="AE972" i="10" s="1"/>
  <c r="K405" i="10"/>
  <c r="L405" i="10" s="1"/>
  <c r="AE405" i="10" s="1"/>
  <c r="K430" i="10"/>
  <c r="L430" i="10" s="1"/>
  <c r="AE430" i="10" s="1"/>
  <c r="M179" i="10"/>
  <c r="N179" i="10" s="1"/>
  <c r="M74" i="10"/>
  <c r="N74" i="10" s="1"/>
  <c r="M126" i="10"/>
  <c r="N126" i="10" s="1"/>
  <c r="M23" i="10"/>
  <c r="N23" i="10" s="1"/>
  <c r="P543" i="9"/>
  <c r="I545" i="9"/>
  <c r="P1087" i="9"/>
  <c r="I1089" i="9"/>
  <c r="P1453" i="9"/>
  <c r="I1455" i="9"/>
  <c r="H76" i="12"/>
  <c r="P592" i="9"/>
  <c r="P210" i="9"/>
  <c r="P273" i="9"/>
  <c r="I275" i="9"/>
  <c r="P853" i="9"/>
  <c r="I855" i="9"/>
  <c r="P403" i="9"/>
  <c r="P1486" i="9"/>
  <c r="I1487" i="9"/>
  <c r="P1395" i="9"/>
  <c r="I1397" i="9"/>
  <c r="O118" i="12"/>
  <c r="I118" i="12"/>
  <c r="H74" i="12"/>
  <c r="P578" i="9"/>
  <c r="P1166" i="9"/>
  <c r="I1168" i="9"/>
  <c r="K452" i="10"/>
  <c r="L452" i="10" s="1"/>
  <c r="AE452" i="10" s="1"/>
  <c r="K226" i="10"/>
  <c r="L226" i="10" s="1"/>
  <c r="AE226" i="10" s="1"/>
  <c r="AE915" i="10"/>
  <c r="AE920" i="10" s="1"/>
  <c r="L939" i="10"/>
  <c r="K167" i="11" s="1"/>
  <c r="L167" i="11" s="1"/>
  <c r="I64" i="12"/>
  <c r="O64" i="12"/>
  <c r="K138" i="10"/>
  <c r="L138" i="10" s="1"/>
  <c r="AE138" i="10" s="1"/>
  <c r="K86" i="10"/>
  <c r="L86" i="10" s="1"/>
  <c r="AE86" i="10" s="1"/>
  <c r="K191" i="10"/>
  <c r="L191" i="10" s="1"/>
  <c r="AE191" i="10" s="1"/>
  <c r="K36" i="10"/>
  <c r="L36" i="10" s="1"/>
  <c r="AE36" i="10" s="1"/>
  <c r="H129" i="12"/>
  <c r="P949" i="9"/>
  <c r="H42" i="12"/>
  <c r="P377" i="9"/>
  <c r="H128" i="12"/>
  <c r="P943" i="9"/>
  <c r="P256" i="9"/>
  <c r="P192" i="9"/>
  <c r="K185" i="10"/>
  <c r="L185" i="10" s="1"/>
  <c r="AE185" i="10" s="1"/>
  <c r="K132" i="10"/>
  <c r="L132" i="10" s="1"/>
  <c r="AE132" i="10" s="1"/>
  <c r="K80" i="10"/>
  <c r="L80" i="10" s="1"/>
  <c r="AE80" i="10" s="1"/>
  <c r="K30" i="10"/>
  <c r="L30" i="10" s="1"/>
  <c r="AE30" i="10" s="1"/>
  <c r="H34" i="12"/>
  <c r="P309" i="9"/>
  <c r="P80" i="9"/>
  <c r="H216" i="12"/>
  <c r="P1483" i="9"/>
  <c r="P935" i="9"/>
  <c r="I937" i="9"/>
  <c r="P1009" i="9"/>
  <c r="K179" i="10"/>
  <c r="L179" i="10" s="1"/>
  <c r="AE179" i="10" s="1"/>
  <c r="K74" i="10"/>
  <c r="L74" i="10" s="1"/>
  <c r="AE74" i="10" s="1"/>
  <c r="K126" i="10"/>
  <c r="L126" i="10" s="1"/>
  <c r="AE126" i="10" s="1"/>
  <c r="K23" i="10"/>
  <c r="L23" i="10" s="1"/>
  <c r="AE23" i="10" s="1"/>
  <c r="P569" i="9"/>
  <c r="M196" i="10"/>
  <c r="N196" i="10" s="1"/>
  <c r="M144" i="10"/>
  <c r="N144" i="10" s="1"/>
  <c r="M92" i="10"/>
  <c r="N92" i="10" s="1"/>
  <c r="M861" i="10"/>
  <c r="N861" i="10" s="1"/>
  <c r="M180" i="10"/>
  <c r="N180" i="10" s="1"/>
  <c r="M564" i="10"/>
  <c r="N564" i="10" s="1"/>
  <c r="M75" i="10"/>
  <c r="N75" i="10" s="1"/>
  <c r="M127" i="10"/>
  <c r="N127" i="10" s="1"/>
  <c r="M24" i="10"/>
  <c r="N24" i="10" s="1"/>
  <c r="O159" i="12"/>
  <c r="I159" i="12"/>
  <c r="H96" i="12"/>
  <c r="P732" i="9"/>
  <c r="H273" i="10"/>
  <c r="P178" i="12"/>
  <c r="H143" i="12"/>
  <c r="P1043" i="9"/>
  <c r="H144" i="12"/>
  <c r="P1051" i="9"/>
  <c r="M677" i="10"/>
  <c r="N677" i="10" s="1"/>
  <c r="M401" i="10"/>
  <c r="N401" i="10" s="1"/>
  <c r="M231" i="10"/>
  <c r="N231" i="10" s="1"/>
  <c r="H104" i="12"/>
  <c r="P788" i="9"/>
  <c r="H36" i="12"/>
  <c r="P325" i="9"/>
  <c r="P1203" i="9"/>
  <c r="I1205" i="9"/>
  <c r="H85" i="12"/>
  <c r="P655" i="9"/>
  <c r="P737" i="9"/>
  <c r="P459" i="9"/>
  <c r="I461" i="9"/>
  <c r="P653" i="9"/>
  <c r="P212" i="9"/>
  <c r="P1471" i="9"/>
  <c r="I1473" i="9"/>
  <c r="H105" i="12"/>
  <c r="I185" i="12"/>
  <c r="O185" i="12"/>
  <c r="M784" i="10"/>
  <c r="N784" i="10" s="1"/>
  <c r="M674" i="10"/>
  <c r="N674" i="10" s="1"/>
  <c r="M633" i="10"/>
  <c r="N633" i="10" s="1"/>
  <c r="P1063" i="9"/>
  <c r="I1065" i="9"/>
  <c r="H107" i="12"/>
  <c r="P809" i="9"/>
  <c r="H67" i="12"/>
  <c r="P533" i="9"/>
  <c r="P435" i="9"/>
  <c r="I437" i="9"/>
  <c r="I65" i="12"/>
  <c r="O65" i="12"/>
  <c r="H79" i="12"/>
  <c r="P613" i="9"/>
  <c r="P1135" i="9"/>
  <c r="I1137" i="9"/>
  <c r="H10" i="12"/>
  <c r="P62" i="9"/>
  <c r="P1275" i="9"/>
  <c r="I1277" i="9"/>
  <c r="I199" i="12"/>
  <c r="O199" i="12"/>
  <c r="P815" i="9"/>
  <c r="H7" i="12"/>
  <c r="P32" i="9"/>
  <c r="H11" i="12"/>
  <c r="P72" i="9"/>
  <c r="M970" i="10"/>
  <c r="N970" i="10" s="1"/>
  <c r="M428" i="10"/>
  <c r="N428" i="10" s="1"/>
  <c r="M404" i="10"/>
  <c r="N404" i="10" s="1"/>
  <c r="I264" i="9"/>
  <c r="P262" i="9"/>
  <c r="P989" i="9"/>
  <c r="I991" i="9"/>
  <c r="H269" i="10"/>
  <c r="P184" i="12"/>
  <c r="K895" i="10"/>
  <c r="L895" i="10" s="1"/>
  <c r="AE895" i="10" s="1"/>
  <c r="K585" i="10"/>
  <c r="L585" i="10" s="1"/>
  <c r="AE585" i="10" s="1"/>
  <c r="K772" i="10"/>
  <c r="L772" i="10" s="1"/>
  <c r="AE772" i="10" s="1"/>
  <c r="K327" i="10"/>
  <c r="L327" i="10" s="1"/>
  <c r="AE327" i="10" s="1"/>
  <c r="K171" i="10"/>
  <c r="L171" i="10" s="1"/>
  <c r="AE171" i="10" s="1"/>
  <c r="K560" i="10"/>
  <c r="L560" i="10" s="1"/>
  <c r="AE560" i="10" s="1"/>
  <c r="K349" i="10"/>
  <c r="L349" i="10" s="1"/>
  <c r="AE349" i="10" s="1"/>
  <c r="K15" i="10"/>
  <c r="L15" i="10" s="1"/>
  <c r="AE15" i="10" s="1"/>
  <c r="K119" i="10"/>
  <c r="L119" i="10" s="1"/>
  <c r="AE119" i="10" s="1"/>
  <c r="K856" i="10"/>
  <c r="L856" i="10" s="1"/>
  <c r="AE856" i="10" s="1"/>
  <c r="K67" i="10"/>
  <c r="L67" i="10" s="1"/>
  <c r="AE67" i="10" s="1"/>
  <c r="P1251" i="9"/>
  <c r="I1253" i="9"/>
  <c r="K196" i="10"/>
  <c r="L196" i="10" s="1"/>
  <c r="AE196" i="10" s="1"/>
  <c r="K92" i="10"/>
  <c r="L92" i="10" s="1"/>
  <c r="AE92" i="10" s="1"/>
  <c r="K144" i="10"/>
  <c r="L144" i="10" s="1"/>
  <c r="AE144" i="10" s="1"/>
  <c r="M789" i="10"/>
  <c r="N789" i="10" s="1"/>
  <c r="M726" i="10"/>
  <c r="N726" i="10" s="1"/>
  <c r="N757" i="10" s="1"/>
  <c r="M163" i="11" s="1"/>
  <c r="N163" i="11" s="1"/>
  <c r="M300" i="10"/>
  <c r="N300" i="10" s="1"/>
  <c r="M458" i="10"/>
  <c r="N458" i="10" s="1"/>
  <c r="M238" i="10"/>
  <c r="N238" i="10" s="1"/>
  <c r="I210" i="12"/>
  <c r="O210" i="12"/>
  <c r="P1359" i="9"/>
  <c r="I1361" i="9"/>
  <c r="H141" i="12"/>
  <c r="P1027" i="9"/>
  <c r="H333" i="10"/>
  <c r="P206" i="12"/>
  <c r="H109" i="12"/>
  <c r="P824" i="9"/>
  <c r="K723" i="10"/>
  <c r="L723" i="10" s="1"/>
  <c r="AE723" i="10" s="1"/>
  <c r="K680" i="10"/>
  <c r="L680" i="10" s="1"/>
  <c r="AE680" i="10" s="1"/>
  <c r="K456" i="10"/>
  <c r="L456" i="10" s="1"/>
  <c r="AE456" i="10" s="1"/>
  <c r="K234" i="10"/>
  <c r="L234" i="10" s="1"/>
  <c r="AE234" i="10" s="1"/>
  <c r="K403" i="10"/>
  <c r="L403" i="10" s="1"/>
  <c r="AE403" i="10" s="1"/>
  <c r="P236" i="9"/>
  <c r="I213" i="12"/>
  <c r="O213" i="12"/>
  <c r="K677" i="10"/>
  <c r="L677" i="10" s="1"/>
  <c r="AE677" i="10" s="1"/>
  <c r="K401" i="10"/>
  <c r="L401" i="10" s="1"/>
  <c r="AE401" i="10" s="1"/>
  <c r="K231" i="10"/>
  <c r="L231" i="10" s="1"/>
  <c r="AE231" i="10" s="1"/>
  <c r="I179" i="12"/>
  <c r="O179" i="12"/>
  <c r="I156" i="12"/>
  <c r="O156" i="12"/>
  <c r="H184" i="9"/>
  <c r="H208" i="9"/>
  <c r="O219" i="12"/>
  <c r="I219" i="12"/>
  <c r="P219" i="12" s="1"/>
  <c r="H132" i="12"/>
  <c r="P967" i="9"/>
  <c r="H866" i="10"/>
  <c r="P200" i="12"/>
  <c r="H103" i="12"/>
  <c r="P781" i="9"/>
  <c r="H57" i="12"/>
  <c r="P473" i="9"/>
  <c r="M842" i="10"/>
  <c r="N842" i="10" s="1"/>
  <c r="M769" i="10"/>
  <c r="N769" i="10" s="1"/>
  <c r="M890" i="10"/>
  <c r="N890" i="10" s="1"/>
  <c r="M322" i="10"/>
  <c r="N322" i="10" s="1"/>
  <c r="M344" i="10"/>
  <c r="N344" i="10" s="1"/>
  <c r="M506" i="10"/>
  <c r="N506" i="10" s="1"/>
  <c r="M373" i="10"/>
  <c r="N373" i="10" s="1"/>
  <c r="M556" i="10"/>
  <c r="N556" i="10" s="1"/>
  <c r="H78" i="12"/>
  <c r="P606" i="9"/>
  <c r="M132" i="10"/>
  <c r="N132" i="10" s="1"/>
  <c r="M80" i="10"/>
  <c r="N80" i="10" s="1"/>
  <c r="M185" i="10"/>
  <c r="N185" i="10" s="1"/>
  <c r="M30" i="10"/>
  <c r="N30" i="10" s="1"/>
  <c r="P374" i="9"/>
  <c r="H24" i="12"/>
  <c r="K970" i="10"/>
  <c r="L970" i="10" s="1"/>
  <c r="AE970" i="10" s="1"/>
  <c r="K404" i="10"/>
  <c r="L404" i="10" s="1"/>
  <c r="AE404" i="10" s="1"/>
  <c r="K428" i="10"/>
  <c r="L428" i="10" s="1"/>
  <c r="AE428" i="10" s="1"/>
  <c r="N350" i="9"/>
  <c r="M39" i="12" s="1"/>
  <c r="N39" i="12" s="1"/>
  <c r="M629" i="10" s="1"/>
  <c r="N629" i="10" s="1"/>
  <c r="P1341" i="9"/>
  <c r="I1343" i="9"/>
  <c r="M856" i="10"/>
  <c r="N856" i="10" s="1"/>
  <c r="M772" i="10"/>
  <c r="N772" i="10" s="1"/>
  <c r="M895" i="10"/>
  <c r="N895" i="10" s="1"/>
  <c r="M585" i="10"/>
  <c r="N585" i="10" s="1"/>
  <c r="M327" i="10"/>
  <c r="N327" i="10" s="1"/>
  <c r="M171" i="10"/>
  <c r="N171" i="10" s="1"/>
  <c r="M560" i="10"/>
  <c r="N560" i="10" s="1"/>
  <c r="M349" i="10"/>
  <c r="N349" i="10" s="1"/>
  <c r="M15" i="10"/>
  <c r="N15" i="10" s="1"/>
  <c r="M119" i="10"/>
  <c r="N119" i="10" s="1"/>
  <c r="M67" i="10"/>
  <c r="N67" i="10" s="1"/>
  <c r="H193" i="10"/>
  <c r="H38" i="10"/>
  <c r="H140" i="10"/>
  <c r="H88" i="10"/>
  <c r="P212" i="12"/>
  <c r="M187" i="10"/>
  <c r="N187" i="10" s="1"/>
  <c r="M134" i="10"/>
  <c r="N134" i="10" s="1"/>
  <c r="M32" i="10"/>
  <c r="N32" i="10" s="1"/>
  <c r="M82" i="10"/>
  <c r="N82" i="10" s="1"/>
  <c r="O56" i="12"/>
  <c r="I56" i="12"/>
  <c r="K789" i="10"/>
  <c r="L789" i="10" s="1"/>
  <c r="AE789" i="10" s="1"/>
  <c r="K238" i="10"/>
  <c r="L238" i="10" s="1"/>
  <c r="AE238" i="10" s="1"/>
  <c r="K300" i="10"/>
  <c r="L300" i="10" s="1"/>
  <c r="AE300" i="10" s="1"/>
  <c r="K726" i="10"/>
  <c r="L726" i="10" s="1"/>
  <c r="AE726" i="10" s="1"/>
  <c r="K458" i="10"/>
  <c r="L458" i="10" s="1"/>
  <c r="AE458" i="10" s="1"/>
  <c r="P1178" i="9"/>
  <c r="H166" i="12"/>
  <c r="P1186" i="9"/>
  <c r="P977" i="9"/>
  <c r="I979" i="9"/>
  <c r="M786" i="10"/>
  <c r="N786" i="10" s="1"/>
  <c r="M722" i="10"/>
  <c r="N722" i="10" s="1"/>
  <c r="M455" i="10"/>
  <c r="N455" i="10" s="1"/>
  <c r="M233" i="10"/>
  <c r="N233" i="10" s="1"/>
  <c r="M655" i="10"/>
  <c r="N655" i="10" s="1"/>
  <c r="M369" i="10"/>
  <c r="N369" i="10" s="1"/>
  <c r="M421" i="10"/>
  <c r="N421" i="10" s="1"/>
  <c r="P195" i="9"/>
  <c r="I149" i="12"/>
  <c r="O149" i="12"/>
  <c r="P953" i="9"/>
  <c r="I955" i="9"/>
  <c r="H278" i="10"/>
  <c r="P170" i="12"/>
  <c r="I571" i="9"/>
  <c r="H92" i="12"/>
  <c r="P704" i="9"/>
  <c r="H267" i="9"/>
  <c r="I220" i="12"/>
  <c r="P220" i="12" s="1"/>
  <c r="O220" i="12"/>
  <c r="O68" i="12"/>
  <c r="I68" i="12"/>
  <c r="H161" i="12"/>
  <c r="P1156" i="9"/>
  <c r="K729" i="10"/>
  <c r="L729" i="10" s="1"/>
  <c r="AE729" i="10" s="1"/>
  <c r="K973" i="10"/>
  <c r="L973" i="10" s="1"/>
  <c r="AE973" i="10" s="1"/>
  <c r="K241" i="10"/>
  <c r="L241" i="10" s="1"/>
  <c r="AE241" i="10" s="1"/>
  <c r="K431" i="10"/>
  <c r="L431" i="10" s="1"/>
  <c r="AE431" i="10" s="1"/>
  <c r="AE707" i="10"/>
  <c r="K790" i="10"/>
  <c r="L790" i="10" s="1"/>
  <c r="AE790" i="10" s="1"/>
  <c r="K727" i="10"/>
  <c r="L727" i="10" s="1"/>
  <c r="AE727" i="10" s="1"/>
  <c r="K459" i="10"/>
  <c r="L459" i="10" s="1"/>
  <c r="AE459" i="10" s="1"/>
  <c r="K239" i="10"/>
  <c r="L239" i="10" s="1"/>
  <c r="AE239" i="10" s="1"/>
  <c r="H101" i="12"/>
  <c r="P767" i="9"/>
  <c r="H135" i="12"/>
  <c r="P985" i="9"/>
  <c r="K842" i="10"/>
  <c r="L842" i="10" s="1"/>
  <c r="AE842" i="10" s="1"/>
  <c r="K769" i="10"/>
  <c r="L769" i="10" s="1"/>
  <c r="AE769" i="10" s="1"/>
  <c r="K556" i="10"/>
  <c r="L556" i="10" s="1"/>
  <c r="AE556" i="10" s="1"/>
  <c r="K890" i="10"/>
  <c r="L890" i="10" s="1"/>
  <c r="AE890" i="10" s="1"/>
  <c r="K322" i="10"/>
  <c r="L322" i="10" s="1"/>
  <c r="AE322" i="10" s="1"/>
  <c r="K344" i="10"/>
  <c r="L344" i="10" s="1"/>
  <c r="AE344" i="10" s="1"/>
  <c r="K373" i="10"/>
  <c r="L373" i="10" s="1"/>
  <c r="AE373" i="10" s="1"/>
  <c r="K506" i="10"/>
  <c r="L506" i="10" s="1"/>
  <c r="AE506" i="10" s="1"/>
  <c r="H14" i="12"/>
  <c r="P104" i="9"/>
  <c r="I153" i="12"/>
  <c r="O153" i="12"/>
  <c r="H164" i="12"/>
  <c r="P1174" i="9"/>
  <c r="H44" i="12"/>
  <c r="P391" i="9"/>
  <c r="AE447" i="10"/>
  <c r="H81" i="12"/>
  <c r="P627" i="9"/>
  <c r="P20" i="9"/>
  <c r="P1033" i="9"/>
  <c r="H750" i="10"/>
  <c r="P194" i="12"/>
  <c r="L350" i="9"/>
  <c r="K39" i="12" s="1"/>
  <c r="L39" i="12" s="1"/>
  <c r="K629" i="10" s="1"/>
  <c r="L629" i="10" s="1"/>
  <c r="H753" i="10"/>
  <c r="P174" i="12"/>
  <c r="K187" i="10"/>
  <c r="L187" i="10" s="1"/>
  <c r="AE187" i="10" s="1"/>
  <c r="K134" i="10"/>
  <c r="L134" i="10" s="1"/>
  <c r="AE134" i="10" s="1"/>
  <c r="K32" i="10"/>
  <c r="L32" i="10" s="1"/>
  <c r="AE32" i="10" s="1"/>
  <c r="K82" i="10"/>
  <c r="L82" i="10" s="1"/>
  <c r="AE82" i="10" s="1"/>
  <c r="M691" i="10"/>
  <c r="N691" i="10" s="1"/>
  <c r="M733" i="10"/>
  <c r="N733" i="10" s="1"/>
  <c r="M407" i="10"/>
  <c r="N407" i="10" s="1"/>
  <c r="M246" i="10"/>
  <c r="N246" i="10" s="1"/>
  <c r="H100" i="12"/>
  <c r="P760" i="9"/>
  <c r="H215" i="12"/>
  <c r="P1479" i="9"/>
  <c r="P365" i="9"/>
  <c r="M723" i="10"/>
  <c r="N723" i="10" s="1"/>
  <c r="M680" i="10"/>
  <c r="N680" i="10" s="1"/>
  <c r="M403" i="10"/>
  <c r="N403" i="10" s="1"/>
  <c r="M456" i="10"/>
  <c r="N456" i="10" s="1"/>
  <c r="M234" i="10"/>
  <c r="N234" i="10" s="1"/>
  <c r="K786" i="10"/>
  <c r="L786" i="10" s="1"/>
  <c r="AE786" i="10" s="1"/>
  <c r="K455" i="10"/>
  <c r="L455" i="10" s="1"/>
  <c r="AE455" i="10" s="1"/>
  <c r="K233" i="10"/>
  <c r="L233" i="10" s="1"/>
  <c r="AE233" i="10" s="1"/>
  <c r="K722" i="10"/>
  <c r="L722" i="10" s="1"/>
  <c r="AE722" i="10" s="1"/>
  <c r="K421" i="10"/>
  <c r="L421" i="10" s="1"/>
  <c r="K655" i="10"/>
  <c r="L655" i="10" s="1"/>
  <c r="K369" i="10"/>
  <c r="L369" i="10" s="1"/>
  <c r="H202" i="12"/>
  <c r="P1403" i="9"/>
  <c r="M143" i="10"/>
  <c r="N143" i="10" s="1"/>
  <c r="M91" i="10"/>
  <c r="N91" i="10" s="1"/>
  <c r="M41" i="10"/>
  <c r="N41" i="10" s="1"/>
  <c r="M195" i="10"/>
  <c r="N195" i="10" s="1"/>
  <c r="I155" i="12"/>
  <c r="O155" i="12"/>
  <c r="H473" i="10"/>
  <c r="P176" i="12"/>
  <c r="H87" i="12"/>
  <c r="P669" i="9"/>
  <c r="AE293" i="10"/>
  <c r="P507" i="9"/>
  <c r="I509" i="9"/>
  <c r="H30" i="12"/>
  <c r="P281" i="9"/>
  <c r="M790" i="10"/>
  <c r="N790" i="10" s="1"/>
  <c r="M727" i="10"/>
  <c r="N727" i="10" s="1"/>
  <c r="M459" i="10"/>
  <c r="N459" i="10" s="1"/>
  <c r="M239" i="10"/>
  <c r="N239" i="10" s="1"/>
  <c r="H863" i="10"/>
  <c r="H329" i="10"/>
  <c r="P197" i="12"/>
  <c r="M578" i="10"/>
  <c r="N578" i="10" s="1"/>
  <c r="N601" i="10" s="1"/>
  <c r="M138" i="11" s="1"/>
  <c r="N138" i="11" s="1"/>
  <c r="M837" i="10"/>
  <c r="N837" i="10" s="1"/>
  <c r="M889" i="10"/>
  <c r="N889" i="10" s="1"/>
  <c r="N913" i="10" s="1"/>
  <c r="M166" i="11" s="1"/>
  <c r="N166" i="11" s="1"/>
  <c r="M759" i="10"/>
  <c r="N759" i="10" s="1"/>
  <c r="M317" i="10"/>
  <c r="N317" i="10" s="1"/>
  <c r="M161" i="10"/>
  <c r="N161" i="10" s="1"/>
  <c r="M109" i="10"/>
  <c r="N109" i="10" s="1"/>
  <c r="M57" i="10"/>
  <c r="N57" i="10" s="1"/>
  <c r="M603" i="10"/>
  <c r="N603" i="10" s="1"/>
  <c r="N627" i="10" s="1"/>
  <c r="M139" i="11" s="1"/>
  <c r="N139" i="11" s="1"/>
  <c r="M499" i="10"/>
  <c r="N499" i="10" s="1"/>
  <c r="M422" i="10"/>
  <c r="N422" i="10" s="1"/>
  <c r="M343" i="10"/>
  <c r="N343" i="10" s="1"/>
  <c r="M551" i="10"/>
  <c r="N551" i="10" s="1"/>
  <c r="M5" i="10"/>
  <c r="N5" i="10" s="1"/>
  <c r="I60" i="12"/>
  <c r="O60" i="12"/>
  <c r="H15" i="12"/>
  <c r="P115" i="9"/>
  <c r="M584" i="10"/>
  <c r="N584" i="10" s="1"/>
  <c r="M967" i="10"/>
  <c r="N967" i="10" s="1"/>
  <c r="M771" i="10"/>
  <c r="N771" i="10" s="1"/>
  <c r="M631" i="10"/>
  <c r="N631" i="10" s="1"/>
  <c r="M509" i="10"/>
  <c r="N509" i="10" s="1"/>
  <c r="M395" i="10"/>
  <c r="N395" i="10" s="1"/>
  <c r="M213" i="10"/>
  <c r="N213" i="10" s="1"/>
  <c r="M295" i="10"/>
  <c r="N295" i="10" s="1"/>
  <c r="M660" i="10"/>
  <c r="N660" i="10" s="1"/>
  <c r="M798" i="10"/>
  <c r="N798" i="10" s="1"/>
  <c r="M638" i="10"/>
  <c r="N638" i="10" s="1"/>
  <c r="M730" i="10"/>
  <c r="N730" i="10" s="1"/>
  <c r="M517" i="10"/>
  <c r="N517" i="10" s="1"/>
  <c r="M243" i="10"/>
  <c r="N243" i="10" s="1"/>
  <c r="M460" i="10"/>
  <c r="N460" i="10" s="1"/>
  <c r="P347" i="9"/>
  <c r="H88" i="12"/>
  <c r="P676" i="9"/>
  <c r="I174" i="9"/>
  <c r="P1147" i="9"/>
  <c r="I1149" i="9"/>
  <c r="P928" i="9"/>
  <c r="K733" i="10"/>
  <c r="L733" i="10" s="1"/>
  <c r="AE733" i="10" s="1"/>
  <c r="K246" i="10"/>
  <c r="L246" i="10" s="1"/>
  <c r="AE246" i="10" s="1"/>
  <c r="K407" i="10"/>
  <c r="L407" i="10" s="1"/>
  <c r="AE407" i="10" s="1"/>
  <c r="K691" i="10"/>
  <c r="L691" i="10" s="1"/>
  <c r="AE691" i="10" s="1"/>
  <c r="H190" i="12"/>
  <c r="P1331" i="9"/>
  <c r="H19" i="12"/>
  <c r="P162" i="9"/>
  <c r="I187" i="12"/>
  <c r="O187" i="12"/>
  <c r="H16" i="12"/>
  <c r="P126" i="9"/>
  <c r="N368" i="9"/>
  <c r="M41" i="12" s="1"/>
  <c r="N41" i="12" s="1"/>
  <c r="P971" i="9"/>
  <c r="I973" i="9"/>
  <c r="K143" i="10"/>
  <c r="L143" i="10" s="1"/>
  <c r="AE143" i="10" s="1"/>
  <c r="K91" i="10"/>
  <c r="L91" i="10" s="1"/>
  <c r="AE91" i="10" s="1"/>
  <c r="K41" i="10"/>
  <c r="L41" i="10" s="1"/>
  <c r="AE41" i="10" s="1"/>
  <c r="K195" i="10"/>
  <c r="L195" i="10" s="1"/>
  <c r="AE195" i="10" s="1"/>
  <c r="I398" i="9"/>
  <c r="AE577" i="10"/>
  <c r="I157" i="12"/>
  <c r="O157" i="12"/>
  <c r="N965" i="10"/>
  <c r="M168" i="11" s="1"/>
  <c r="N168" i="11" s="1"/>
  <c r="O147" i="12"/>
  <c r="I147" i="12"/>
  <c r="P431" i="9" l="1"/>
  <c r="H50" i="12"/>
  <c r="P551" i="9"/>
  <c r="H70" i="12"/>
  <c r="P1101" i="9"/>
  <c r="H152" i="12"/>
  <c r="O213" i="11"/>
  <c r="I213" i="11"/>
  <c r="O215" i="11"/>
  <c r="I215" i="11"/>
  <c r="P215" i="11" s="1"/>
  <c r="P425" i="9"/>
  <c r="H49" i="12"/>
  <c r="P443" i="9"/>
  <c r="H52" i="12"/>
  <c r="P455" i="9"/>
  <c r="H54" i="12"/>
  <c r="P557" i="9"/>
  <c r="H71" i="12"/>
  <c r="P837" i="9"/>
  <c r="H111" i="12"/>
  <c r="P849" i="9"/>
  <c r="H113" i="12"/>
  <c r="P861" i="9"/>
  <c r="H115" i="12"/>
  <c r="P873" i="9"/>
  <c r="H117" i="12"/>
  <c r="P885" i="9"/>
  <c r="H119" i="12"/>
  <c r="P911" i="9"/>
  <c r="H123" i="12"/>
  <c r="P923" i="9"/>
  <c r="H125" i="12"/>
  <c r="H131" i="12"/>
  <c r="P961" i="9"/>
  <c r="P997" i="9"/>
  <c r="H137" i="12"/>
  <c r="O216" i="11"/>
  <c r="I216" i="11"/>
  <c r="P216" i="11" s="1"/>
  <c r="O188" i="11"/>
  <c r="I188" i="11"/>
  <c r="I214" i="11"/>
  <c r="P214" i="11" s="1"/>
  <c r="O214" i="11"/>
  <c r="N159" i="10"/>
  <c r="M111" i="11" s="1"/>
  <c r="N111" i="11" s="1"/>
  <c r="N497" i="10"/>
  <c r="M135" i="11" s="1"/>
  <c r="N135" i="11" s="1"/>
  <c r="N549" i="10"/>
  <c r="M136" i="11" s="1"/>
  <c r="N136" i="11" s="1"/>
  <c r="N367" i="10"/>
  <c r="M87" i="11" s="1"/>
  <c r="N87" i="11" s="1"/>
  <c r="N575" i="10"/>
  <c r="M137" i="11" s="1"/>
  <c r="N137" i="11" s="1"/>
  <c r="N991" i="10"/>
  <c r="M169" i="11" s="1"/>
  <c r="N169" i="11" s="1"/>
  <c r="N315" i="10"/>
  <c r="M85" i="11" s="1"/>
  <c r="N85" i="11" s="1"/>
  <c r="K24" i="12"/>
  <c r="L24" i="12" s="1"/>
  <c r="K635" i="10" s="1"/>
  <c r="L635" i="10" s="1"/>
  <c r="AE635" i="10" s="1"/>
  <c r="P239" i="9"/>
  <c r="H37" i="12"/>
  <c r="P333" i="9"/>
  <c r="H139" i="12"/>
  <c r="P1011" i="9"/>
  <c r="H6" i="12"/>
  <c r="P22" i="9"/>
  <c r="H59" i="12"/>
  <c r="P485" i="9"/>
  <c r="H12" i="12"/>
  <c r="P82" i="9"/>
  <c r="H160" i="12"/>
  <c r="P1149" i="9"/>
  <c r="I753" i="10"/>
  <c r="P753" i="10" s="1"/>
  <c r="O753" i="10"/>
  <c r="I24" i="12"/>
  <c r="O24" i="12"/>
  <c r="AE499" i="10"/>
  <c r="AE524" i="10" s="1"/>
  <c r="L549" i="10"/>
  <c r="K136" i="11" s="1"/>
  <c r="L136" i="11" s="1"/>
  <c r="H204" i="12"/>
  <c r="P1415" i="9"/>
  <c r="O46" i="12"/>
  <c r="I46" i="12"/>
  <c r="H386" i="10"/>
  <c r="P162" i="12"/>
  <c r="I120" i="12"/>
  <c r="O120" i="12"/>
  <c r="I145" i="12"/>
  <c r="O145" i="12"/>
  <c r="I100" i="12"/>
  <c r="O100" i="12"/>
  <c r="I141" i="12"/>
  <c r="O141" i="12"/>
  <c r="H31" i="12"/>
  <c r="P287" i="9"/>
  <c r="H476" i="10"/>
  <c r="P188" i="12"/>
  <c r="O44" i="12"/>
  <c r="I44" i="12"/>
  <c r="H177" i="12"/>
  <c r="P1253" i="9"/>
  <c r="AE591" i="10"/>
  <c r="H272" i="10"/>
  <c r="P187" i="12"/>
  <c r="N289" i="10"/>
  <c r="M84" i="11" s="1"/>
  <c r="N84" i="11" s="1"/>
  <c r="N887" i="10"/>
  <c r="M165" i="11" s="1"/>
  <c r="N165" i="11" s="1"/>
  <c r="I30" i="12"/>
  <c r="O30" i="12"/>
  <c r="L757" i="10"/>
  <c r="K163" i="11" s="1"/>
  <c r="L163" i="11" s="1"/>
  <c r="H950" i="10"/>
  <c r="P68" i="12"/>
  <c r="I193" i="10"/>
  <c r="P193" i="10" s="1"/>
  <c r="O193" i="10"/>
  <c r="I208" i="9"/>
  <c r="P208" i="9" s="1"/>
  <c r="O208" i="9"/>
  <c r="I7" i="12"/>
  <c r="O7" i="12"/>
  <c r="H29" i="12"/>
  <c r="P275" i="9"/>
  <c r="H58" i="12"/>
  <c r="P479" i="9"/>
  <c r="H25" i="12"/>
  <c r="P249" i="9"/>
  <c r="O75" i="12"/>
  <c r="I75" i="12"/>
  <c r="AE57" i="10"/>
  <c r="AE93" i="10" s="1"/>
  <c r="L107" i="10"/>
  <c r="K110" i="11" s="1"/>
  <c r="L110" i="11" s="1"/>
  <c r="I35" i="12"/>
  <c r="O35" i="12"/>
  <c r="I53" i="12"/>
  <c r="O53" i="12"/>
  <c r="AE395" i="10"/>
  <c r="AE419" i="10" s="1"/>
  <c r="L419" i="10"/>
  <c r="K89" i="11" s="1"/>
  <c r="L89" i="11" s="1"/>
  <c r="H78" i="10"/>
  <c r="H27" i="10"/>
  <c r="H130" i="10"/>
  <c r="P155" i="12"/>
  <c r="I38" i="10"/>
  <c r="P38" i="10" s="1"/>
  <c r="O38" i="10"/>
  <c r="AE213" i="10"/>
  <c r="AE279" i="10" s="1"/>
  <c r="L289" i="10"/>
  <c r="K84" i="11" s="1"/>
  <c r="L84" i="11" s="1"/>
  <c r="H20" i="12"/>
  <c r="P174" i="9"/>
  <c r="N55" i="10"/>
  <c r="M109" i="11" s="1"/>
  <c r="N109" i="11" s="1"/>
  <c r="H45" i="12"/>
  <c r="P398" i="9"/>
  <c r="N419" i="10"/>
  <c r="M89" i="11" s="1"/>
  <c r="N89" i="11" s="1"/>
  <c r="H63" i="12"/>
  <c r="P509" i="9"/>
  <c r="O750" i="10"/>
  <c r="I750" i="10"/>
  <c r="P750" i="10" s="1"/>
  <c r="O164" i="12"/>
  <c r="I164" i="12"/>
  <c r="AE755" i="10"/>
  <c r="I278" i="10"/>
  <c r="P278" i="10" s="1"/>
  <c r="O278" i="10"/>
  <c r="I59" i="12"/>
  <c r="O59" i="12"/>
  <c r="I184" i="9"/>
  <c r="P184" i="9" s="1"/>
  <c r="O184" i="9"/>
  <c r="O269" i="10"/>
  <c r="I269" i="10"/>
  <c r="P269" i="10" s="1"/>
  <c r="H943" i="10"/>
  <c r="P65" i="12"/>
  <c r="H858" i="10"/>
  <c r="H173" i="10"/>
  <c r="H562" i="10"/>
  <c r="H17" i="10"/>
  <c r="P112" i="12"/>
  <c r="I72" i="12"/>
  <c r="O72" i="12"/>
  <c r="H43" i="12"/>
  <c r="P384" i="9"/>
  <c r="O8" i="12"/>
  <c r="I8" i="12"/>
  <c r="I267" i="10"/>
  <c r="P267" i="10" s="1"/>
  <c r="O267" i="10"/>
  <c r="AE603" i="10"/>
  <c r="AE611" i="10" s="1"/>
  <c r="L627" i="10"/>
  <c r="K139" i="11" s="1"/>
  <c r="L139" i="11" s="1"/>
  <c r="I13" i="12"/>
  <c r="O13" i="12"/>
  <c r="I48" i="12"/>
  <c r="O48" i="12"/>
  <c r="I203" i="12"/>
  <c r="O203" i="12"/>
  <c r="I139" i="12"/>
  <c r="O139" i="12"/>
  <c r="AE629" i="10"/>
  <c r="I108" i="12"/>
  <c r="O108" i="12"/>
  <c r="H130" i="12"/>
  <c r="P955" i="9"/>
  <c r="H605" i="10"/>
  <c r="P56" i="12"/>
  <c r="H192" i="12"/>
  <c r="P1343" i="9"/>
  <c r="H194" i="10"/>
  <c r="H141" i="10"/>
  <c r="H89" i="10"/>
  <c r="H39" i="10"/>
  <c r="P210" i="12"/>
  <c r="H136" i="12"/>
  <c r="P991" i="9"/>
  <c r="H51" i="12"/>
  <c r="P437" i="9"/>
  <c r="H270" i="10"/>
  <c r="P185" i="12"/>
  <c r="I144" i="12"/>
  <c r="O144" i="12"/>
  <c r="I74" i="12"/>
  <c r="O74" i="12"/>
  <c r="H171" i="12"/>
  <c r="P1217" i="9"/>
  <c r="I83" i="12"/>
  <c r="O83" i="12"/>
  <c r="O82" i="12"/>
  <c r="I82" i="12"/>
  <c r="H151" i="12"/>
  <c r="P1095" i="9"/>
  <c r="AE161" i="10"/>
  <c r="AE197" i="10" s="1"/>
  <c r="L211" i="10"/>
  <c r="K112" i="11" s="1"/>
  <c r="L112" i="11" s="1"/>
  <c r="I102" i="12"/>
  <c r="O102" i="12"/>
  <c r="H138" i="12"/>
  <c r="P1003" i="9"/>
  <c r="H189" i="12"/>
  <c r="P1325" i="9"/>
  <c r="I84" i="12"/>
  <c r="O84" i="12"/>
  <c r="P368" i="9"/>
  <c r="H114" i="12"/>
  <c r="P855" i="9"/>
  <c r="I168" i="12"/>
  <c r="O168" i="12"/>
  <c r="I12" i="12"/>
  <c r="O12" i="12"/>
  <c r="I19" i="12"/>
  <c r="O19" i="12"/>
  <c r="I88" i="12"/>
  <c r="O88" i="12"/>
  <c r="L315" i="10"/>
  <c r="K85" i="11" s="1"/>
  <c r="L85" i="11" s="1"/>
  <c r="H183" i="10"/>
  <c r="P153" i="12"/>
  <c r="O135" i="12"/>
  <c r="I135" i="12"/>
  <c r="I57" i="12"/>
  <c r="O57" i="12"/>
  <c r="H79" i="10"/>
  <c r="H28" i="10"/>
  <c r="H131" i="10"/>
  <c r="P156" i="12"/>
  <c r="H865" i="10"/>
  <c r="P199" i="12"/>
  <c r="I85" i="12"/>
  <c r="O85" i="12"/>
  <c r="H352" i="10"/>
  <c r="H177" i="10"/>
  <c r="H124" i="10"/>
  <c r="H72" i="10"/>
  <c r="H21" i="10"/>
  <c r="P118" i="12"/>
  <c r="I90" i="12"/>
  <c r="O90" i="12"/>
  <c r="I9" i="12"/>
  <c r="O9" i="12"/>
  <c r="I89" i="12"/>
  <c r="O89" i="12"/>
  <c r="H186" i="12"/>
  <c r="P1307" i="9"/>
  <c r="O106" i="12"/>
  <c r="I106" i="12"/>
  <c r="O80" i="12"/>
  <c r="I80" i="12"/>
  <c r="AE317" i="10"/>
  <c r="AE334" i="10" s="1"/>
  <c r="L341" i="10"/>
  <c r="K86" i="11" s="1"/>
  <c r="L86" i="11" s="1"/>
  <c r="H198" i="12"/>
  <c r="P1379" i="9"/>
  <c r="P187" i="11"/>
  <c r="I41" i="12"/>
  <c r="O41" i="12"/>
  <c r="H18" i="12"/>
  <c r="P150" i="9"/>
  <c r="H73" i="12"/>
  <c r="P571" i="9"/>
  <c r="I110" i="12"/>
  <c r="O110" i="12"/>
  <c r="AE5" i="10"/>
  <c r="AE42" i="10" s="1"/>
  <c r="L55" i="10"/>
  <c r="K109" i="11" s="1"/>
  <c r="L109" i="11" s="1"/>
  <c r="AE307" i="10"/>
  <c r="H134" i="12"/>
  <c r="P979" i="9"/>
  <c r="H181" i="12"/>
  <c r="P1277" i="9"/>
  <c r="I105" i="12"/>
  <c r="O105" i="12"/>
  <c r="H169" i="12"/>
  <c r="P1205" i="9"/>
  <c r="I143" i="12"/>
  <c r="O143" i="12"/>
  <c r="H127" i="12"/>
  <c r="P937" i="9"/>
  <c r="H942" i="10"/>
  <c r="P64" i="12"/>
  <c r="I76" i="12"/>
  <c r="O76" i="12"/>
  <c r="I38" i="12"/>
  <c r="O38" i="12"/>
  <c r="H61" i="12"/>
  <c r="P497" i="9"/>
  <c r="H140" i="12"/>
  <c r="P1019" i="9"/>
  <c r="M689" i="10"/>
  <c r="N689" i="10" s="1"/>
  <c r="M795" i="10"/>
  <c r="N795" i="10" s="1"/>
  <c r="M636" i="10"/>
  <c r="N636" i="10" s="1"/>
  <c r="AE551" i="10"/>
  <c r="AE569" i="10" s="1"/>
  <c r="L575" i="10"/>
  <c r="K137" i="11" s="1"/>
  <c r="L137" i="11" s="1"/>
  <c r="H175" i="12"/>
  <c r="P1241" i="9"/>
  <c r="P350" i="9"/>
  <c r="H126" i="12"/>
  <c r="P930" i="9"/>
  <c r="H847" i="10"/>
  <c r="P60" i="12"/>
  <c r="H195" i="12"/>
  <c r="P1361" i="9"/>
  <c r="O190" i="12"/>
  <c r="I190" i="12"/>
  <c r="O329" i="10"/>
  <c r="I329" i="10"/>
  <c r="P329" i="10" s="1"/>
  <c r="O202" i="12"/>
  <c r="I202" i="12"/>
  <c r="I14" i="12"/>
  <c r="O14" i="12"/>
  <c r="I101" i="12"/>
  <c r="O101" i="12"/>
  <c r="N653" i="10"/>
  <c r="M161" i="11" s="1"/>
  <c r="N161" i="11" s="1"/>
  <c r="I78" i="12"/>
  <c r="O78" i="12"/>
  <c r="I103" i="12"/>
  <c r="O103" i="12"/>
  <c r="H472" i="10"/>
  <c r="P179" i="12"/>
  <c r="H27" i="12"/>
  <c r="P264" i="9"/>
  <c r="I67" i="12"/>
  <c r="O67" i="12"/>
  <c r="H201" i="12"/>
  <c r="P1397" i="9"/>
  <c r="H211" i="12"/>
  <c r="P1455" i="9"/>
  <c r="H93" i="12"/>
  <c r="P711" i="9"/>
  <c r="I86" i="12"/>
  <c r="O86" i="12"/>
  <c r="H870" i="10"/>
  <c r="H332" i="10"/>
  <c r="P207" i="12"/>
  <c r="I40" i="12"/>
  <c r="O40" i="12"/>
  <c r="I196" i="12"/>
  <c r="O196" i="12"/>
  <c r="N229" i="9"/>
  <c r="M23" i="12" s="1"/>
  <c r="N23" i="12" s="1"/>
  <c r="AE837" i="10"/>
  <c r="AE871" i="10" s="1"/>
  <c r="L887" i="10"/>
  <c r="K165" i="11" s="1"/>
  <c r="L165" i="11" s="1"/>
  <c r="I191" i="12"/>
  <c r="O191" i="12"/>
  <c r="H208" i="12"/>
  <c r="P1437" i="9"/>
  <c r="AE967" i="10"/>
  <c r="AE980" i="10" s="1"/>
  <c r="L991" i="10"/>
  <c r="K169" i="11" s="1"/>
  <c r="L169" i="11" s="1"/>
  <c r="O39" i="12"/>
  <c r="I39" i="12"/>
  <c r="I129" i="12"/>
  <c r="O129" i="12"/>
  <c r="M796" i="10"/>
  <c r="N796" i="10" s="1"/>
  <c r="M690" i="10"/>
  <c r="N690" i="10" s="1"/>
  <c r="M637" i="10"/>
  <c r="N637" i="10" s="1"/>
  <c r="H133" i="12"/>
  <c r="P973" i="9"/>
  <c r="N107" i="10"/>
  <c r="M110" i="11" s="1"/>
  <c r="N110" i="11" s="1"/>
  <c r="I863" i="10"/>
  <c r="P863" i="10" s="1"/>
  <c r="O863" i="10"/>
  <c r="AE369" i="10"/>
  <c r="O267" i="9"/>
  <c r="I267" i="9"/>
  <c r="I109" i="12"/>
  <c r="O109" i="12"/>
  <c r="O273" i="10"/>
  <c r="I273" i="10"/>
  <c r="P273" i="10" s="1"/>
  <c r="O128" i="12"/>
  <c r="I128" i="12"/>
  <c r="H32" i="12"/>
  <c r="P293" i="9"/>
  <c r="H388" i="10"/>
  <c r="P167" i="12"/>
  <c r="N217" i="9"/>
  <c r="M22" i="12" s="1"/>
  <c r="N22" i="12" s="1"/>
  <c r="M685" i="10" s="1"/>
  <c r="N685" i="10" s="1"/>
  <c r="O142" i="12"/>
  <c r="I142" i="12"/>
  <c r="K657" i="10"/>
  <c r="L657" i="10" s="1"/>
  <c r="AE657" i="10" s="1"/>
  <c r="K761" i="10"/>
  <c r="L761" i="10" s="1"/>
  <c r="AE761" i="10" s="1"/>
  <c r="H121" i="12"/>
  <c r="P899" i="9"/>
  <c r="H124" i="12"/>
  <c r="P917" i="9"/>
  <c r="I16" i="12"/>
  <c r="O16" i="12"/>
  <c r="H192" i="10"/>
  <c r="H87" i="10"/>
  <c r="H37" i="10"/>
  <c r="H139" i="10"/>
  <c r="P213" i="12"/>
  <c r="I11" i="12"/>
  <c r="O11" i="12"/>
  <c r="O34" i="12"/>
  <c r="I34" i="12"/>
  <c r="O94" i="12"/>
  <c r="I94" i="12"/>
  <c r="I97" i="12"/>
  <c r="O97" i="12"/>
  <c r="H862" i="10"/>
  <c r="H565" i="10"/>
  <c r="P147" i="12"/>
  <c r="O87" i="12"/>
  <c r="I87" i="12"/>
  <c r="AE655" i="10"/>
  <c r="I81" i="12"/>
  <c r="O81" i="12"/>
  <c r="H383" i="10"/>
  <c r="P149" i="12"/>
  <c r="O166" i="12"/>
  <c r="I166" i="12"/>
  <c r="I866" i="10"/>
  <c r="P866" i="10" s="1"/>
  <c r="O866" i="10"/>
  <c r="O10" i="12"/>
  <c r="I10" i="12"/>
  <c r="I107" i="12"/>
  <c r="O107" i="12"/>
  <c r="H214" i="12"/>
  <c r="P1473" i="9"/>
  <c r="I36" i="12"/>
  <c r="O36" i="12"/>
  <c r="H5" i="9"/>
  <c r="I216" i="12"/>
  <c r="P216" i="12" s="1"/>
  <c r="O216" i="12"/>
  <c r="H217" i="12"/>
  <c r="P1487" i="9"/>
  <c r="H150" i="12"/>
  <c r="P1089" i="9"/>
  <c r="K690" i="10"/>
  <c r="L690" i="10" s="1"/>
  <c r="AE690" i="10" s="1"/>
  <c r="K796" i="10"/>
  <c r="L796" i="10" s="1"/>
  <c r="AE796" i="10" s="1"/>
  <c r="K637" i="10"/>
  <c r="L637" i="10" s="1"/>
  <c r="AE637" i="10" s="1"/>
  <c r="I172" i="12"/>
  <c r="O172" i="12"/>
  <c r="H948" i="10"/>
  <c r="P66" i="12"/>
  <c r="I209" i="12"/>
  <c r="O209" i="12"/>
  <c r="I95" i="12"/>
  <c r="O95" i="12"/>
  <c r="I91" i="12"/>
  <c r="O91" i="12"/>
  <c r="H376" i="10"/>
  <c r="P122" i="12"/>
  <c r="N198" i="9"/>
  <c r="M21" i="12" s="1"/>
  <c r="N21" i="12" s="1"/>
  <c r="M684" i="10" s="1"/>
  <c r="N684" i="10" s="1"/>
  <c r="AE109" i="10"/>
  <c r="AE145" i="10" s="1"/>
  <c r="L159" i="10"/>
  <c r="K111" i="11" s="1"/>
  <c r="L111" i="11" s="1"/>
  <c r="AE759" i="10"/>
  <c r="I165" i="12"/>
  <c r="O165" i="12"/>
  <c r="H748" i="10"/>
  <c r="P193" i="12"/>
  <c r="K795" i="10"/>
  <c r="L795" i="10" s="1"/>
  <c r="AE795" i="10" s="1"/>
  <c r="K689" i="10"/>
  <c r="L689" i="10" s="1"/>
  <c r="AE689" i="10" s="1"/>
  <c r="K636" i="10"/>
  <c r="L636" i="10" s="1"/>
  <c r="AE636" i="10" s="1"/>
  <c r="H148" i="12"/>
  <c r="P1077" i="9"/>
  <c r="I26" i="12"/>
  <c r="O26" i="12"/>
  <c r="I79" i="12"/>
  <c r="O79" i="12"/>
  <c r="I98" i="12"/>
  <c r="O98" i="12"/>
  <c r="M761" i="10"/>
  <c r="N761" i="10" s="1"/>
  <c r="M657" i="10"/>
  <c r="N657" i="10" s="1"/>
  <c r="N211" i="10"/>
  <c r="M112" i="11" s="1"/>
  <c r="N112" i="11" s="1"/>
  <c r="AE421" i="10"/>
  <c r="AE445" i="10" s="1"/>
  <c r="L445" i="10"/>
  <c r="K90" i="11" s="1"/>
  <c r="L90" i="11" s="1"/>
  <c r="I215" i="12"/>
  <c r="O215" i="12"/>
  <c r="L497" i="10"/>
  <c r="K135" i="11" s="1"/>
  <c r="L135" i="11" s="1"/>
  <c r="O92" i="12"/>
  <c r="I92" i="12"/>
  <c r="I333" i="10"/>
  <c r="P333" i="10" s="1"/>
  <c r="O333" i="10"/>
  <c r="H158" i="12"/>
  <c r="P1137" i="9"/>
  <c r="H146" i="12"/>
  <c r="P1065" i="9"/>
  <c r="I96" i="12"/>
  <c r="O96" i="12"/>
  <c r="I42" i="12"/>
  <c r="O42" i="12"/>
  <c r="H180" i="12"/>
  <c r="P1271" i="9"/>
  <c r="I173" i="12"/>
  <c r="O173" i="12"/>
  <c r="H154" i="12"/>
  <c r="P1113" i="9"/>
  <c r="AE889" i="10"/>
  <c r="AE905" i="10" s="1"/>
  <c r="L913" i="10"/>
  <c r="K166" i="11" s="1"/>
  <c r="L166" i="11" s="1"/>
  <c r="H183" i="12"/>
  <c r="P1289" i="9"/>
  <c r="L229" i="9"/>
  <c r="K23" i="12" s="1"/>
  <c r="L23" i="12" s="1"/>
  <c r="O206" i="9"/>
  <c r="I206" i="9"/>
  <c r="P206" i="9" s="1"/>
  <c r="H116" i="12"/>
  <c r="P867" i="9"/>
  <c r="I140" i="10"/>
  <c r="P140" i="10" s="1"/>
  <c r="O140" i="10"/>
  <c r="L601" i="10"/>
  <c r="K138" i="11" s="1"/>
  <c r="L138" i="11" s="1"/>
  <c r="H55" i="12"/>
  <c r="P461" i="9"/>
  <c r="H29" i="10"/>
  <c r="P157" i="12"/>
  <c r="O15" i="12"/>
  <c r="I15" i="12"/>
  <c r="N341" i="10"/>
  <c r="M86" i="11" s="1"/>
  <c r="N86" i="11" s="1"/>
  <c r="I473" i="10"/>
  <c r="P473" i="10" s="1"/>
  <c r="O473" i="10"/>
  <c r="AE478" i="10"/>
  <c r="I161" i="12"/>
  <c r="O161" i="12"/>
  <c r="N445" i="10"/>
  <c r="M90" i="11" s="1"/>
  <c r="N90" i="11" s="1"/>
  <c r="I88" i="10"/>
  <c r="P88" i="10" s="1"/>
  <c r="O88" i="10"/>
  <c r="I132" i="12"/>
  <c r="O132" i="12"/>
  <c r="O104" i="12"/>
  <c r="I104" i="12"/>
  <c r="H81" i="10"/>
  <c r="H186" i="10"/>
  <c r="H133" i="10"/>
  <c r="H31" i="10"/>
  <c r="P159" i="12"/>
  <c r="H163" i="12"/>
  <c r="P1168" i="9"/>
  <c r="H69" i="12"/>
  <c r="P545" i="9"/>
  <c r="H17" i="12"/>
  <c r="P138" i="9"/>
  <c r="I47" i="12"/>
  <c r="O47" i="12"/>
  <c r="O99" i="12"/>
  <c r="I99" i="12"/>
  <c r="I77" i="12"/>
  <c r="O77" i="12"/>
  <c r="AE343" i="10"/>
  <c r="AE354" i="10" s="1"/>
  <c r="L367" i="10"/>
  <c r="K87" i="11" s="1"/>
  <c r="L87" i="11" s="1"/>
  <c r="H854" i="10"/>
  <c r="P62" i="12"/>
  <c r="I33" i="12"/>
  <c r="O33" i="12"/>
  <c r="L217" i="9"/>
  <c r="K22" i="12" s="1"/>
  <c r="L22" i="12" s="1"/>
  <c r="K685" i="10" s="1"/>
  <c r="L685" i="10" s="1"/>
  <c r="AE685" i="10" s="1"/>
  <c r="O182" i="9"/>
  <c r="I182" i="9"/>
  <c r="P182" i="9" s="1"/>
  <c r="I37" i="12"/>
  <c r="O37" i="12"/>
  <c r="I6" i="12"/>
  <c r="O6" i="12"/>
  <c r="O50" i="12" l="1"/>
  <c r="I50" i="12"/>
  <c r="I70" i="12"/>
  <c r="O70" i="12"/>
  <c r="I152" i="12"/>
  <c r="O152" i="12"/>
  <c r="I237" i="11"/>
  <c r="P213" i="11"/>
  <c r="P237" i="11" s="1"/>
  <c r="O49" i="12"/>
  <c r="I49" i="12"/>
  <c r="O52" i="12"/>
  <c r="I52" i="12"/>
  <c r="O54" i="12"/>
  <c r="I54" i="12"/>
  <c r="O71" i="12"/>
  <c r="I71" i="12"/>
  <c r="I111" i="12"/>
  <c r="O111" i="12"/>
  <c r="O113" i="12"/>
  <c r="I113" i="12"/>
  <c r="O115" i="12"/>
  <c r="I115" i="12"/>
  <c r="O117" i="12"/>
  <c r="I117" i="12"/>
  <c r="O119" i="12"/>
  <c r="I119" i="12"/>
  <c r="I123" i="12"/>
  <c r="O123" i="12"/>
  <c r="O125" i="12"/>
  <c r="I125" i="12"/>
  <c r="O131" i="12"/>
  <c r="I131" i="12"/>
  <c r="O137" i="12"/>
  <c r="I137" i="12"/>
  <c r="N835" i="10"/>
  <c r="M164" i="11" s="1"/>
  <c r="N164" i="11" s="1"/>
  <c r="N159" i="11"/>
  <c r="M58" i="11" s="1"/>
  <c r="N58" i="11" s="1"/>
  <c r="P188" i="11"/>
  <c r="P211" i="11" s="1"/>
  <c r="I211" i="11"/>
  <c r="I177" i="12"/>
  <c r="O177" i="12"/>
  <c r="I133" i="12"/>
  <c r="O133" i="12"/>
  <c r="O28" i="10"/>
  <c r="I28" i="10"/>
  <c r="P28" i="10" s="1"/>
  <c r="I138" i="12"/>
  <c r="O138" i="12"/>
  <c r="H405" i="10"/>
  <c r="H972" i="10"/>
  <c r="H430" i="10"/>
  <c r="P139" i="12"/>
  <c r="I81" i="10"/>
  <c r="P81" i="10" s="1"/>
  <c r="O81" i="10"/>
  <c r="I748" i="10"/>
  <c r="P748" i="10" s="1"/>
  <c r="O748" i="10"/>
  <c r="I150" i="12"/>
  <c r="O150" i="12"/>
  <c r="H789" i="10"/>
  <c r="H238" i="10"/>
  <c r="H300" i="10"/>
  <c r="H726" i="10"/>
  <c r="H458" i="10"/>
  <c r="P10" i="12"/>
  <c r="H370" i="10"/>
  <c r="P34" i="12"/>
  <c r="I124" i="12"/>
  <c r="O124" i="12"/>
  <c r="H676" i="10"/>
  <c r="P128" i="12"/>
  <c r="I332" i="10"/>
  <c r="P332" i="10" s="1"/>
  <c r="O332" i="10"/>
  <c r="H779" i="10"/>
  <c r="H298" i="10"/>
  <c r="P101" i="12"/>
  <c r="I73" i="12"/>
  <c r="O73" i="12"/>
  <c r="O21" i="10"/>
  <c r="I21" i="10"/>
  <c r="P21" i="10" s="1"/>
  <c r="I79" i="10"/>
  <c r="P79" i="10" s="1"/>
  <c r="O79" i="10"/>
  <c r="I89" i="10"/>
  <c r="P89" i="10" s="1"/>
  <c r="O89" i="10"/>
  <c r="H773" i="10"/>
  <c r="H707" i="10"/>
  <c r="H896" i="10"/>
  <c r="H214" i="10"/>
  <c r="H511" i="10"/>
  <c r="P75" i="12"/>
  <c r="I950" i="10"/>
  <c r="P950" i="10" s="1"/>
  <c r="O950" i="10"/>
  <c r="H630" i="10"/>
  <c r="H760" i="10"/>
  <c r="P40" i="12"/>
  <c r="H400" i="10"/>
  <c r="P110" i="12"/>
  <c r="I158" i="12"/>
  <c r="O158" i="12"/>
  <c r="O171" i="12"/>
  <c r="I171" i="12"/>
  <c r="H970" i="10"/>
  <c r="H404" i="10"/>
  <c r="H428" i="10"/>
  <c r="P6" i="12"/>
  <c r="H709" i="10"/>
  <c r="H448" i="10"/>
  <c r="H297" i="10"/>
  <c r="H586" i="10"/>
  <c r="H216" i="10"/>
  <c r="P77" i="12"/>
  <c r="H781" i="10"/>
  <c r="P104" i="12"/>
  <c r="H276" i="10"/>
  <c r="P173" i="12"/>
  <c r="H717" i="10"/>
  <c r="H227" i="10"/>
  <c r="H453" i="10"/>
  <c r="P98" i="12"/>
  <c r="H715" i="10"/>
  <c r="H451" i="10"/>
  <c r="H224" i="10"/>
  <c r="P95" i="12"/>
  <c r="I870" i="10"/>
  <c r="P870" i="10" s="1"/>
  <c r="O870" i="10"/>
  <c r="H949" i="10"/>
  <c r="P67" i="12"/>
  <c r="I847" i="10"/>
  <c r="P847" i="10" s="1"/>
  <c r="O847" i="10"/>
  <c r="I127" i="12"/>
  <c r="O127" i="12"/>
  <c r="H719" i="10"/>
  <c r="P106" i="12"/>
  <c r="I72" i="10"/>
  <c r="P72" i="10" s="1"/>
  <c r="O72" i="10"/>
  <c r="H978" i="10"/>
  <c r="P168" i="12"/>
  <c r="H299" i="10"/>
  <c r="P102" i="12"/>
  <c r="H510" i="10"/>
  <c r="P74" i="12"/>
  <c r="I141" i="10"/>
  <c r="P141" i="10" s="1"/>
  <c r="O141" i="10"/>
  <c r="H869" i="10"/>
  <c r="H330" i="10"/>
  <c r="P203" i="12"/>
  <c r="I43" i="12"/>
  <c r="O43" i="12"/>
  <c r="O63" i="12"/>
  <c r="I63" i="12"/>
  <c r="I130" i="10"/>
  <c r="P130" i="10" s="1"/>
  <c r="O130" i="10"/>
  <c r="I204" i="12"/>
  <c r="O204" i="12"/>
  <c r="I183" i="10"/>
  <c r="P183" i="10" s="1"/>
  <c r="O183" i="10"/>
  <c r="O32" i="12"/>
  <c r="I32" i="12"/>
  <c r="I39" i="10"/>
  <c r="P39" i="10" s="1"/>
  <c r="O39" i="10"/>
  <c r="H504" i="10"/>
  <c r="P44" i="12"/>
  <c r="H889" i="10"/>
  <c r="H759" i="10"/>
  <c r="H578" i="10"/>
  <c r="H837" i="10"/>
  <c r="H551" i="10"/>
  <c r="H317" i="10"/>
  <c r="H161" i="10"/>
  <c r="H109" i="10"/>
  <c r="H57" i="10"/>
  <c r="H603" i="10"/>
  <c r="H5" i="10"/>
  <c r="H499" i="10"/>
  <c r="H343" i="10"/>
  <c r="H422" i="10"/>
  <c r="P37" i="12"/>
  <c r="H670" i="10"/>
  <c r="P99" i="12"/>
  <c r="H958" i="10"/>
  <c r="P15" i="12"/>
  <c r="O116" i="12"/>
  <c r="I116" i="12"/>
  <c r="H513" i="10"/>
  <c r="H776" i="10"/>
  <c r="H968" i="10"/>
  <c r="P92" i="12"/>
  <c r="H567" i="10"/>
  <c r="P165" i="12"/>
  <c r="H10" i="9"/>
  <c r="H224" i="9"/>
  <c r="H183" i="9"/>
  <c r="H207" i="9"/>
  <c r="I217" i="12"/>
  <c r="P217" i="12" s="1"/>
  <c r="O217" i="12"/>
  <c r="I121" i="12"/>
  <c r="O121" i="12"/>
  <c r="H957" i="10"/>
  <c r="P14" i="12"/>
  <c r="I18" i="12"/>
  <c r="O18" i="12"/>
  <c r="I124" i="10"/>
  <c r="P124" i="10" s="1"/>
  <c r="O124" i="10"/>
  <c r="H425" i="10"/>
  <c r="H66" i="10"/>
  <c r="H170" i="10"/>
  <c r="H118" i="10"/>
  <c r="H14" i="10"/>
  <c r="P57" i="12"/>
  <c r="O194" i="10"/>
  <c r="I194" i="10"/>
  <c r="P194" i="10" s="1"/>
  <c r="I27" i="10"/>
  <c r="P27" i="10" s="1"/>
  <c r="O27" i="10"/>
  <c r="I476" i="10"/>
  <c r="P476" i="10" s="1"/>
  <c r="O476" i="10"/>
  <c r="H959" i="10"/>
  <c r="P16" i="12"/>
  <c r="H787" i="10"/>
  <c r="H514" i="10"/>
  <c r="H236" i="10"/>
  <c r="H900" i="10"/>
  <c r="P8" i="12"/>
  <c r="I942" i="10"/>
  <c r="P942" i="10" s="1"/>
  <c r="O942" i="10"/>
  <c r="I17" i="12"/>
  <c r="O17" i="12"/>
  <c r="I180" i="12"/>
  <c r="O180" i="12"/>
  <c r="H711" i="10"/>
  <c r="H218" i="10"/>
  <c r="P79" i="12"/>
  <c r="L835" i="10"/>
  <c r="K164" i="11" s="1"/>
  <c r="L164" i="11" s="1"/>
  <c r="H142" i="10"/>
  <c r="H90" i="10"/>
  <c r="H40" i="10"/>
  <c r="P209" i="12"/>
  <c r="H712" i="10"/>
  <c r="H220" i="10"/>
  <c r="P87" i="12"/>
  <c r="H790" i="10"/>
  <c r="H727" i="10"/>
  <c r="H459" i="10"/>
  <c r="H239" i="10"/>
  <c r="P11" i="12"/>
  <c r="H752" i="10"/>
  <c r="P191" i="12"/>
  <c r="H398" i="10"/>
  <c r="P86" i="12"/>
  <c r="O27" i="12"/>
  <c r="I27" i="12"/>
  <c r="H868" i="10"/>
  <c r="P202" i="12"/>
  <c r="I126" i="12"/>
  <c r="O126" i="12"/>
  <c r="O140" i="12"/>
  <c r="I140" i="12"/>
  <c r="H799" i="10"/>
  <c r="H731" i="10"/>
  <c r="H406" i="10"/>
  <c r="H303" i="10"/>
  <c r="H244" i="10"/>
  <c r="H461" i="10"/>
  <c r="P143" i="12"/>
  <c r="I177" i="10"/>
  <c r="P177" i="10" s="1"/>
  <c r="O177" i="10"/>
  <c r="I114" i="12"/>
  <c r="O114" i="12"/>
  <c r="H732" i="10"/>
  <c r="H245" i="10"/>
  <c r="H800" i="10"/>
  <c r="H462" i="10"/>
  <c r="P144" i="12"/>
  <c r="H768" i="10"/>
  <c r="H294" i="10"/>
  <c r="P48" i="12"/>
  <c r="H855" i="10"/>
  <c r="P72" i="12"/>
  <c r="O78" i="10"/>
  <c r="I78" i="10"/>
  <c r="P78" i="10" s="1"/>
  <c r="I25" i="12"/>
  <c r="O25" i="12"/>
  <c r="H960" i="10"/>
  <c r="P30" i="12"/>
  <c r="H897" i="10"/>
  <c r="H228" i="10"/>
  <c r="H718" i="10"/>
  <c r="P100" i="12"/>
  <c r="I133" i="10"/>
  <c r="P133" i="10" s="1"/>
  <c r="O133" i="10"/>
  <c r="O943" i="10"/>
  <c r="I943" i="10"/>
  <c r="P943" i="10" s="1"/>
  <c r="L159" i="11"/>
  <c r="K58" i="11" s="1"/>
  <c r="L58" i="11" s="1"/>
  <c r="AE813" i="10"/>
  <c r="H568" i="10"/>
  <c r="P166" i="12"/>
  <c r="H720" i="10"/>
  <c r="H230" i="10"/>
  <c r="P129" i="12"/>
  <c r="H657" i="10"/>
  <c r="H761" i="10"/>
  <c r="P41" i="12"/>
  <c r="I186" i="12"/>
  <c r="O186" i="12"/>
  <c r="I352" i="10"/>
  <c r="P352" i="10" s="1"/>
  <c r="O352" i="10"/>
  <c r="I192" i="12"/>
  <c r="O192" i="12"/>
  <c r="L653" i="10"/>
  <c r="K161" i="11" s="1"/>
  <c r="L161" i="11" s="1"/>
  <c r="H661" i="10"/>
  <c r="P59" i="12"/>
  <c r="I45" i="12"/>
  <c r="O45" i="12"/>
  <c r="I31" i="12"/>
  <c r="O31" i="12"/>
  <c r="H767" i="10"/>
  <c r="H293" i="10"/>
  <c r="P47" i="12"/>
  <c r="I69" i="12"/>
  <c r="O69" i="12"/>
  <c r="I29" i="10"/>
  <c r="P29" i="10" s="1"/>
  <c r="O29" i="10"/>
  <c r="K686" i="10"/>
  <c r="L686" i="10" s="1"/>
  <c r="AE686" i="10" s="1"/>
  <c r="AE705" i="10" s="1"/>
  <c r="K381" i="10"/>
  <c r="L381" i="10" s="1"/>
  <c r="H658" i="10"/>
  <c r="P42" i="12"/>
  <c r="H688" i="10"/>
  <c r="P26" i="12"/>
  <c r="I948" i="10"/>
  <c r="P948" i="10" s="1"/>
  <c r="O948" i="10"/>
  <c r="I5" i="9"/>
  <c r="O5" i="9"/>
  <c r="I139" i="10"/>
  <c r="P139" i="10" s="1"/>
  <c r="O139" i="10"/>
  <c r="H798" i="10"/>
  <c r="H638" i="10"/>
  <c r="H460" i="10"/>
  <c r="H517" i="10"/>
  <c r="H730" i="10"/>
  <c r="H243" i="10"/>
  <c r="P142" i="12"/>
  <c r="I93" i="12"/>
  <c r="O93" i="12"/>
  <c r="I472" i="10"/>
  <c r="P472" i="10" s="1"/>
  <c r="O472" i="10"/>
  <c r="I61" i="12"/>
  <c r="O61" i="12"/>
  <c r="I169" i="12"/>
  <c r="O169" i="12"/>
  <c r="I151" i="12"/>
  <c r="O151" i="12"/>
  <c r="I270" i="10"/>
  <c r="P270" i="10" s="1"/>
  <c r="O270" i="10"/>
  <c r="AE648" i="10"/>
  <c r="H956" i="10"/>
  <c r="P13" i="12"/>
  <c r="I17" i="10"/>
  <c r="P17" i="10" s="1"/>
  <c r="O17" i="10"/>
  <c r="N133" i="11"/>
  <c r="M83" i="11" s="1"/>
  <c r="N83" i="11" s="1"/>
  <c r="O58" i="12"/>
  <c r="I58" i="12"/>
  <c r="H733" i="10"/>
  <c r="H246" i="10"/>
  <c r="H407" i="10"/>
  <c r="H691" i="10"/>
  <c r="P145" i="12"/>
  <c r="H635" i="10"/>
  <c r="P24" i="12"/>
  <c r="I131" i="10"/>
  <c r="P131" i="10" s="1"/>
  <c r="O131" i="10"/>
  <c r="H766" i="10"/>
  <c r="P46" i="12"/>
  <c r="O154" i="12"/>
  <c r="I154" i="12"/>
  <c r="H587" i="10"/>
  <c r="H222" i="10"/>
  <c r="P91" i="12"/>
  <c r="I208" i="12"/>
  <c r="O208" i="12"/>
  <c r="I134" i="12"/>
  <c r="O134" i="12"/>
  <c r="H728" i="10"/>
  <c r="H240" i="10"/>
  <c r="H683" i="10"/>
  <c r="P12" i="12"/>
  <c r="H721" i="10"/>
  <c r="H785" i="10"/>
  <c r="H679" i="10"/>
  <c r="H379" i="10"/>
  <c r="H454" i="10"/>
  <c r="H402" i="10"/>
  <c r="H232" i="10"/>
  <c r="P132" i="12"/>
  <c r="H190" i="10"/>
  <c r="H137" i="10"/>
  <c r="H85" i="10"/>
  <c r="H35" i="10"/>
  <c r="P215" i="12"/>
  <c r="I565" i="10"/>
  <c r="P565" i="10" s="1"/>
  <c r="O565" i="10"/>
  <c r="O37" i="10"/>
  <c r="I37" i="10"/>
  <c r="P37" i="10" s="1"/>
  <c r="H969" i="10"/>
  <c r="H606" i="10"/>
  <c r="H427" i="10"/>
  <c r="P109" i="12"/>
  <c r="H629" i="10"/>
  <c r="P39" i="12"/>
  <c r="M686" i="10"/>
  <c r="N686" i="10" s="1"/>
  <c r="N705" i="10" s="1"/>
  <c r="M162" i="11" s="1"/>
  <c r="N162" i="11" s="1"/>
  <c r="N185" i="11" s="1"/>
  <c r="M59" i="11" s="1"/>
  <c r="N59" i="11" s="1"/>
  <c r="M381" i="10"/>
  <c r="N381" i="10" s="1"/>
  <c r="N393" i="10" s="1"/>
  <c r="M88" i="11" s="1"/>
  <c r="N88" i="11" s="1"/>
  <c r="H31" i="11"/>
  <c r="B3" i="5"/>
  <c r="F3" i="5" s="1"/>
  <c r="K32" i="3" s="1"/>
  <c r="H713" i="10"/>
  <c r="H512" i="10"/>
  <c r="H632" i="10"/>
  <c r="P89" i="12"/>
  <c r="H915" i="10"/>
  <c r="P85" i="12"/>
  <c r="H665" i="10"/>
  <c r="P82" i="12"/>
  <c r="O605" i="10"/>
  <c r="I605" i="10"/>
  <c r="P605" i="10" s="1"/>
  <c r="O562" i="10"/>
  <c r="I562" i="10"/>
  <c r="P562" i="10" s="1"/>
  <c r="H971" i="10"/>
  <c r="H724" i="10"/>
  <c r="H429" i="10"/>
  <c r="H235" i="10"/>
  <c r="P7" i="12"/>
  <c r="H901" i="10"/>
  <c r="H797" i="10"/>
  <c r="H242" i="10"/>
  <c r="H516" i="10"/>
  <c r="P141" i="12"/>
  <c r="H669" i="10"/>
  <c r="P90" i="12"/>
  <c r="H671" i="10"/>
  <c r="P108" i="12"/>
  <c r="H426" i="10"/>
  <c r="P107" i="12"/>
  <c r="H421" i="10"/>
  <c r="H655" i="10"/>
  <c r="H369" i="10"/>
  <c r="P33" i="12"/>
  <c r="I163" i="12"/>
  <c r="O163" i="12"/>
  <c r="O183" i="12"/>
  <c r="I183" i="12"/>
  <c r="H716" i="10"/>
  <c r="H399" i="10"/>
  <c r="H225" i="10"/>
  <c r="P96" i="12"/>
  <c r="I148" i="12"/>
  <c r="O148" i="12"/>
  <c r="H275" i="10"/>
  <c r="P172" i="12"/>
  <c r="H656" i="10"/>
  <c r="P36" i="12"/>
  <c r="O383" i="10"/>
  <c r="I383" i="10"/>
  <c r="P383" i="10" s="1"/>
  <c r="I862" i="10"/>
  <c r="P862" i="10" s="1"/>
  <c r="O862" i="10"/>
  <c r="O87" i="10"/>
  <c r="I87" i="10"/>
  <c r="P87" i="10" s="1"/>
  <c r="P267" i="9"/>
  <c r="I270" i="9"/>
  <c r="I211" i="12"/>
  <c r="O211" i="12"/>
  <c r="H780" i="10"/>
  <c r="P103" i="12"/>
  <c r="H751" i="10"/>
  <c r="P190" i="12"/>
  <c r="H838" i="10"/>
  <c r="H318" i="10"/>
  <c r="H552" i="10"/>
  <c r="P38" i="12"/>
  <c r="H229" i="10"/>
  <c r="P105" i="12"/>
  <c r="L133" i="11"/>
  <c r="K83" i="11" s="1"/>
  <c r="L83" i="11" s="1"/>
  <c r="H380" i="10"/>
  <c r="P135" i="12"/>
  <c r="H221" i="10"/>
  <c r="H668" i="10"/>
  <c r="P88" i="12"/>
  <c r="H667" i="10"/>
  <c r="P84" i="12"/>
  <c r="O51" i="12"/>
  <c r="I51" i="12"/>
  <c r="O173" i="10"/>
  <c r="I173" i="10"/>
  <c r="P173" i="10" s="1"/>
  <c r="O20" i="12"/>
  <c r="I20" i="12"/>
  <c r="H844" i="10"/>
  <c r="H892" i="10"/>
  <c r="H604" i="10"/>
  <c r="H346" i="10"/>
  <c r="H424" i="10"/>
  <c r="H166" i="10"/>
  <c r="H114" i="10"/>
  <c r="H62" i="10"/>
  <c r="H507" i="10"/>
  <c r="H581" i="10"/>
  <c r="H10" i="10"/>
  <c r="H324" i="10"/>
  <c r="P53" i="12"/>
  <c r="I29" i="12"/>
  <c r="O29" i="12"/>
  <c r="O272" i="10"/>
  <c r="I272" i="10"/>
  <c r="P272" i="10" s="1"/>
  <c r="H916" i="10"/>
  <c r="P120" i="12"/>
  <c r="H778" i="10"/>
  <c r="H714" i="10"/>
  <c r="H450" i="10"/>
  <c r="H223" i="10"/>
  <c r="P94" i="12"/>
  <c r="O195" i="12"/>
  <c r="I195" i="12"/>
  <c r="H664" i="10"/>
  <c r="H397" i="10"/>
  <c r="H219" i="10"/>
  <c r="P80" i="12"/>
  <c r="I192" i="10"/>
  <c r="P192" i="10" s="1"/>
  <c r="O192" i="10"/>
  <c r="H277" i="10"/>
  <c r="P196" i="12"/>
  <c r="I175" i="12"/>
  <c r="O175" i="12"/>
  <c r="I198" i="12"/>
  <c r="O198" i="12"/>
  <c r="H725" i="10"/>
  <c r="H634" i="10"/>
  <c r="H237" i="10"/>
  <c r="H788" i="10"/>
  <c r="H515" i="10"/>
  <c r="H457" i="10"/>
  <c r="P9" i="12"/>
  <c r="I865" i="10"/>
  <c r="P865" i="10" s="1"/>
  <c r="O865" i="10"/>
  <c r="O130" i="12"/>
  <c r="I130" i="12"/>
  <c r="I858" i="10"/>
  <c r="P858" i="10" s="1"/>
  <c r="O858" i="10"/>
  <c r="H566" i="10"/>
  <c r="P164" i="12"/>
  <c r="I186" i="10"/>
  <c r="P186" i="10" s="1"/>
  <c r="O186" i="10"/>
  <c r="I854" i="10"/>
  <c r="P854" i="10" s="1"/>
  <c r="O854" i="10"/>
  <c r="I31" i="10"/>
  <c r="P31" i="10" s="1"/>
  <c r="O31" i="10"/>
  <c r="H384" i="10"/>
  <c r="P161" i="12"/>
  <c r="I55" i="12"/>
  <c r="O55" i="12"/>
  <c r="I146" i="12"/>
  <c r="O146" i="12"/>
  <c r="O376" i="10"/>
  <c r="I376" i="10"/>
  <c r="P376" i="10" s="1"/>
  <c r="O214" i="12"/>
  <c r="I214" i="12"/>
  <c r="H375" i="10"/>
  <c r="P81" i="12"/>
  <c r="H452" i="10"/>
  <c r="H226" i="10"/>
  <c r="P97" i="12"/>
  <c r="I388" i="10"/>
  <c r="P388" i="10" s="1"/>
  <c r="O388" i="10"/>
  <c r="I201" i="12"/>
  <c r="O201" i="12"/>
  <c r="H775" i="10"/>
  <c r="H396" i="10"/>
  <c r="H710" i="10"/>
  <c r="H217" i="10"/>
  <c r="H374" i="10"/>
  <c r="H663" i="10"/>
  <c r="H449" i="10"/>
  <c r="P78" i="12"/>
  <c r="H662" i="10"/>
  <c r="H774" i="10"/>
  <c r="H708" i="10"/>
  <c r="H447" i="10"/>
  <c r="H296" i="10"/>
  <c r="H215" i="10"/>
  <c r="P76" i="12"/>
  <c r="I181" i="12"/>
  <c r="O181" i="12"/>
  <c r="H793" i="10"/>
  <c r="H302" i="10"/>
  <c r="P19" i="12"/>
  <c r="I189" i="12"/>
  <c r="O189" i="12"/>
  <c r="H955" i="10"/>
  <c r="H666" i="10"/>
  <c r="P83" i="12"/>
  <c r="I136" i="12"/>
  <c r="O136" i="12"/>
  <c r="H577" i="10"/>
  <c r="P35" i="12"/>
  <c r="I386" i="10"/>
  <c r="P386" i="10" s="1"/>
  <c r="O386" i="10"/>
  <c r="I160" i="12"/>
  <c r="O160" i="12"/>
  <c r="P50" i="12" l="1"/>
  <c r="H60" i="10"/>
  <c r="H112" i="10"/>
  <c r="H321" i="10"/>
  <c r="H555" i="10"/>
  <c r="H841" i="10"/>
  <c r="H8" i="10"/>
  <c r="H164" i="10"/>
  <c r="P70" i="12"/>
  <c r="H953" i="10"/>
  <c r="P152" i="12"/>
  <c r="H26" i="10"/>
  <c r="H77" i="10"/>
  <c r="H129" i="10"/>
  <c r="B4" i="5"/>
  <c r="F4" i="5" s="1"/>
  <c r="K33" i="3" s="1"/>
  <c r="H32" i="11"/>
  <c r="P49" i="12"/>
  <c r="H371" i="10"/>
  <c r="P52" i="12"/>
  <c r="H557" i="10"/>
  <c r="H61" i="10"/>
  <c r="H9" i="10"/>
  <c r="H113" i="10"/>
  <c r="H165" i="10"/>
  <c r="H423" i="10"/>
  <c r="H345" i="10"/>
  <c r="H323" i="10"/>
  <c r="H580" i="10"/>
  <c r="H891" i="10"/>
  <c r="H770" i="10"/>
  <c r="H843" i="10"/>
  <c r="P54" i="12"/>
  <c r="H167" i="10"/>
  <c r="H63" i="10"/>
  <c r="H11" i="10"/>
  <c r="H115" i="10"/>
  <c r="P71" i="12"/>
  <c r="H954" i="10"/>
  <c r="P111" i="12"/>
  <c r="H16" i="10"/>
  <c r="H561" i="10"/>
  <c r="H68" i="10"/>
  <c r="H120" i="10"/>
  <c r="H172" i="10"/>
  <c r="H328" i="10"/>
  <c r="H857" i="10"/>
  <c r="P113" i="12"/>
  <c r="H18" i="10"/>
  <c r="H69" i="10"/>
  <c r="H121" i="10"/>
  <c r="H174" i="10"/>
  <c r="H859" i="10"/>
  <c r="P115" i="12"/>
  <c r="H350" i="10"/>
  <c r="H588" i="10"/>
  <c r="H898" i="10"/>
  <c r="P117" i="12"/>
  <c r="H20" i="10"/>
  <c r="H589" i="10"/>
  <c r="H71" i="10"/>
  <c r="H123" i="10"/>
  <c r="H176" i="10"/>
  <c r="H351" i="10"/>
  <c r="H783" i="10"/>
  <c r="H899" i="10"/>
  <c r="P119" i="12"/>
  <c r="H178" i="10"/>
  <c r="H22" i="10"/>
  <c r="H73" i="10"/>
  <c r="H125" i="10"/>
  <c r="H353" i="10"/>
  <c r="H590" i="10"/>
  <c r="P123" i="12"/>
  <c r="H918" i="10"/>
  <c r="H377" i="10"/>
  <c r="P125" i="12"/>
  <c r="H673" i="10"/>
  <c r="P131" i="12"/>
  <c r="H678" i="10"/>
  <c r="P137" i="12"/>
  <c r="H682" i="10"/>
  <c r="N107" i="11"/>
  <c r="M57" i="11" s="1"/>
  <c r="N57" i="11" s="1"/>
  <c r="AC838" i="10"/>
  <c r="O838" i="10"/>
  <c r="I838" i="10"/>
  <c r="AC897" i="10"/>
  <c r="I897" i="10"/>
  <c r="P897" i="10" s="1"/>
  <c r="O897" i="10"/>
  <c r="AC781" i="10"/>
  <c r="I781" i="10"/>
  <c r="P781" i="10" s="1"/>
  <c r="O781" i="10"/>
  <c r="AC405" i="10"/>
  <c r="O405" i="10"/>
  <c r="I405" i="10"/>
  <c r="H642" i="10"/>
  <c r="P146" i="12"/>
  <c r="H264" i="10"/>
  <c r="P195" i="12"/>
  <c r="H861" i="10"/>
  <c r="H564" i="10"/>
  <c r="H180" i="10"/>
  <c r="H75" i="10"/>
  <c r="H127" i="10"/>
  <c r="H24" i="10"/>
  <c r="P29" i="12"/>
  <c r="I892" i="10"/>
  <c r="P892" i="10" s="1"/>
  <c r="O892" i="10"/>
  <c r="AC399" i="10"/>
  <c r="I399" i="10"/>
  <c r="P399" i="10" s="1"/>
  <c r="O399" i="10"/>
  <c r="AC655" i="10"/>
  <c r="I655" i="10"/>
  <c r="O655" i="10"/>
  <c r="I379" i="10"/>
  <c r="P379" i="10" s="1"/>
  <c r="O379" i="10"/>
  <c r="I661" i="10"/>
  <c r="P661" i="10" s="1"/>
  <c r="O661" i="10"/>
  <c r="AC657" i="10"/>
  <c r="I657" i="10"/>
  <c r="O657" i="10"/>
  <c r="AC768" i="10"/>
  <c r="I768" i="10"/>
  <c r="P768" i="10" s="1"/>
  <c r="O768" i="10"/>
  <c r="I40" i="10"/>
  <c r="P40" i="10" s="1"/>
  <c r="O40" i="10"/>
  <c r="O66" i="10"/>
  <c r="I66" i="10"/>
  <c r="P66" i="10" s="1"/>
  <c r="AC968" i="10"/>
  <c r="I968" i="10"/>
  <c r="P968" i="10" s="1"/>
  <c r="O968" i="10"/>
  <c r="AC499" i="10"/>
  <c r="I499" i="10"/>
  <c r="O499" i="10"/>
  <c r="AC978" i="10"/>
  <c r="I978" i="10"/>
  <c r="P978" i="10" s="1"/>
  <c r="O978" i="10"/>
  <c r="H274" i="10"/>
  <c r="P171" i="12"/>
  <c r="AC773" i="10"/>
  <c r="I773" i="10"/>
  <c r="P773" i="10" s="1"/>
  <c r="O773" i="10"/>
  <c r="AC298" i="10"/>
  <c r="I298" i="10"/>
  <c r="P298" i="10" s="1"/>
  <c r="O298" i="10"/>
  <c r="I604" i="10"/>
  <c r="P604" i="10" s="1"/>
  <c r="O604" i="10"/>
  <c r="AC369" i="10"/>
  <c r="O369" i="10"/>
  <c r="I369" i="10"/>
  <c r="I170" i="10"/>
  <c r="P170" i="10" s="1"/>
  <c r="O170" i="10"/>
  <c r="H474" i="10"/>
  <c r="P175" i="12"/>
  <c r="I844" i="10"/>
  <c r="P844" i="10" s="1"/>
  <c r="O844" i="10"/>
  <c r="AC668" i="10"/>
  <c r="I668" i="10"/>
  <c r="P668" i="10" s="1"/>
  <c r="O668" i="10"/>
  <c r="I751" i="10"/>
  <c r="P751" i="10" s="1"/>
  <c r="O751" i="10"/>
  <c r="AC716" i="10"/>
  <c r="I716" i="10"/>
  <c r="P716" i="10" s="1"/>
  <c r="O716" i="10"/>
  <c r="AC421" i="10"/>
  <c r="O421" i="10"/>
  <c r="I421" i="10"/>
  <c r="AC516" i="10"/>
  <c r="I516" i="10"/>
  <c r="O516" i="10"/>
  <c r="I679" i="10"/>
  <c r="P679" i="10" s="1"/>
  <c r="O679" i="10"/>
  <c r="H143" i="10"/>
  <c r="H91" i="10"/>
  <c r="H41" i="10"/>
  <c r="H195" i="10"/>
  <c r="P208" i="12"/>
  <c r="AC293" i="10"/>
  <c r="I293" i="10"/>
  <c r="O293" i="10"/>
  <c r="O960" i="10"/>
  <c r="I960" i="10"/>
  <c r="P960" i="10" s="1"/>
  <c r="O90" i="10"/>
  <c r="I90" i="10"/>
  <c r="P90" i="10" s="1"/>
  <c r="I425" i="10"/>
  <c r="P425" i="10" s="1"/>
  <c r="O425" i="10"/>
  <c r="H672" i="10"/>
  <c r="P121" i="12"/>
  <c r="AC776" i="10"/>
  <c r="I776" i="10"/>
  <c r="P776" i="10" s="1"/>
  <c r="O776" i="10"/>
  <c r="AC5" i="10"/>
  <c r="I5" i="10"/>
  <c r="O5" i="10"/>
  <c r="AC504" i="10"/>
  <c r="O504" i="10"/>
  <c r="I504" i="10"/>
  <c r="P504" i="10" s="1"/>
  <c r="H331" i="10"/>
  <c r="P204" i="12"/>
  <c r="I330" i="10"/>
  <c r="P330" i="10" s="1"/>
  <c r="O330" i="10"/>
  <c r="AC224" i="10"/>
  <c r="I224" i="10"/>
  <c r="P224" i="10" s="1"/>
  <c r="O224" i="10"/>
  <c r="AC779" i="10"/>
  <c r="O779" i="10"/>
  <c r="I779" i="10"/>
  <c r="P779" i="10" s="1"/>
  <c r="AC370" i="10"/>
  <c r="I370" i="10"/>
  <c r="O370" i="10"/>
  <c r="H919" i="10"/>
  <c r="P138" i="12"/>
  <c r="H677" i="10"/>
  <c r="H401" i="10"/>
  <c r="H231" i="10"/>
  <c r="P130" i="12"/>
  <c r="I454" i="10"/>
  <c r="P454" i="10" s="1"/>
  <c r="O454" i="10"/>
  <c r="H729" i="10"/>
  <c r="H973" i="10"/>
  <c r="H241" i="10"/>
  <c r="H431" i="10"/>
  <c r="P140" i="12"/>
  <c r="I970" i="10"/>
  <c r="P970" i="10" s="1"/>
  <c r="O970" i="10"/>
  <c r="I324" i="10"/>
  <c r="P324" i="10" s="1"/>
  <c r="O324" i="10"/>
  <c r="H794" i="10"/>
  <c r="P20" i="12"/>
  <c r="AC221" i="10"/>
  <c r="O221" i="10"/>
  <c r="I221" i="10"/>
  <c r="P221" i="10" s="1"/>
  <c r="H268" i="10"/>
  <c r="P183" i="12"/>
  <c r="AC242" i="10"/>
  <c r="I242" i="10"/>
  <c r="O242" i="10"/>
  <c r="I785" i="10"/>
  <c r="P785" i="10" s="1"/>
  <c r="O785" i="10"/>
  <c r="H477" i="10"/>
  <c r="P169" i="12"/>
  <c r="AC243" i="10"/>
  <c r="I243" i="10"/>
  <c r="O243" i="10"/>
  <c r="AC767" i="10"/>
  <c r="O767" i="10"/>
  <c r="I767" i="10"/>
  <c r="P767" i="10" s="1"/>
  <c r="H674" i="10"/>
  <c r="H784" i="10"/>
  <c r="H633" i="10"/>
  <c r="P126" i="12"/>
  <c r="I142" i="10"/>
  <c r="P142" i="10" s="1"/>
  <c r="O142" i="10"/>
  <c r="O900" i="10"/>
  <c r="I900" i="10"/>
  <c r="P900" i="10" s="1"/>
  <c r="AC513" i="10"/>
  <c r="I513" i="10"/>
  <c r="P513" i="10" s="1"/>
  <c r="O513" i="10"/>
  <c r="AC603" i="10"/>
  <c r="I603" i="10"/>
  <c r="O603" i="10"/>
  <c r="O869" i="10"/>
  <c r="I869" i="10"/>
  <c r="P869" i="10" s="1"/>
  <c r="O949" i="10"/>
  <c r="I949" i="10"/>
  <c r="P949" i="10" s="1"/>
  <c r="AC451" i="10"/>
  <c r="I451" i="10"/>
  <c r="P451" i="10" s="1"/>
  <c r="O451" i="10"/>
  <c r="I568" i="10"/>
  <c r="P568" i="10" s="1"/>
  <c r="O568" i="10"/>
  <c r="H840" i="10"/>
  <c r="H554" i="10"/>
  <c r="H503" i="10"/>
  <c r="H320" i="10"/>
  <c r="H7" i="10"/>
  <c r="H59" i="10"/>
  <c r="H163" i="10"/>
  <c r="H111" i="10"/>
  <c r="P43" i="12"/>
  <c r="H181" i="10"/>
  <c r="H128" i="10"/>
  <c r="H76" i="10"/>
  <c r="H25" i="10"/>
  <c r="P150" i="12"/>
  <c r="AC577" i="10"/>
  <c r="I577" i="10"/>
  <c r="O577" i="10"/>
  <c r="I277" i="10"/>
  <c r="P277" i="10" s="1"/>
  <c r="O277" i="10"/>
  <c r="O10" i="10"/>
  <c r="I10" i="10"/>
  <c r="P10" i="10" s="1"/>
  <c r="AC780" i="10"/>
  <c r="I780" i="10"/>
  <c r="P780" i="10" s="1"/>
  <c r="O780" i="10"/>
  <c r="AC426" i="10"/>
  <c r="O426" i="10"/>
  <c r="I426" i="10"/>
  <c r="P426" i="10" s="1"/>
  <c r="AC797" i="10"/>
  <c r="I797" i="10"/>
  <c r="O797" i="10"/>
  <c r="AC665" i="10"/>
  <c r="O665" i="10"/>
  <c r="I665" i="10"/>
  <c r="P665" i="10" s="1"/>
  <c r="AC629" i="10"/>
  <c r="O629" i="10"/>
  <c r="I629" i="10"/>
  <c r="I721" i="10"/>
  <c r="P721" i="10" s="1"/>
  <c r="O721" i="10"/>
  <c r="AC222" i="10"/>
  <c r="I222" i="10"/>
  <c r="P222" i="10" s="1"/>
  <c r="O222" i="10"/>
  <c r="I635" i="10"/>
  <c r="P635" i="10" s="1"/>
  <c r="O635" i="10"/>
  <c r="I956" i="10"/>
  <c r="P956" i="10" s="1"/>
  <c r="O956" i="10"/>
  <c r="AC730" i="10"/>
  <c r="I730" i="10"/>
  <c r="O730" i="10"/>
  <c r="I688" i="10"/>
  <c r="P688" i="10" s="1"/>
  <c r="O688" i="10"/>
  <c r="H749" i="10"/>
  <c r="P192" i="12"/>
  <c r="I236" i="10"/>
  <c r="P236" i="10" s="1"/>
  <c r="O236" i="10"/>
  <c r="H563" i="10"/>
  <c r="H175" i="10"/>
  <c r="H122" i="10"/>
  <c r="H70" i="10"/>
  <c r="H19" i="10"/>
  <c r="H860" i="10"/>
  <c r="P116" i="12"/>
  <c r="AC57" i="10"/>
  <c r="I57" i="10"/>
  <c r="O57" i="10"/>
  <c r="AC715" i="10"/>
  <c r="I715" i="10"/>
  <c r="P715" i="10" s="1"/>
  <c r="O715" i="10"/>
  <c r="AC216" i="10"/>
  <c r="O216" i="10"/>
  <c r="I216" i="10"/>
  <c r="P216" i="10" s="1"/>
  <c r="N81" i="11"/>
  <c r="M5" i="11" s="1"/>
  <c r="N5" i="11" s="1"/>
  <c r="N29" i="11" s="1"/>
  <c r="D2" i="5" s="1"/>
  <c r="D11" i="3" s="1"/>
  <c r="AC761" i="10"/>
  <c r="I761" i="10"/>
  <c r="O761" i="10"/>
  <c r="AC343" i="10"/>
  <c r="I343" i="10"/>
  <c r="O343" i="10"/>
  <c r="AC707" i="10"/>
  <c r="I707" i="10"/>
  <c r="O707" i="10"/>
  <c r="O302" i="10"/>
  <c r="I302" i="10"/>
  <c r="P302" i="10" s="1"/>
  <c r="I793" i="10"/>
  <c r="P793" i="10" s="1"/>
  <c r="O793" i="10"/>
  <c r="H583" i="10"/>
  <c r="P55" i="12"/>
  <c r="AC450" i="10"/>
  <c r="O450" i="10"/>
  <c r="I450" i="10"/>
  <c r="P450" i="10" s="1"/>
  <c r="I380" i="10"/>
  <c r="P380" i="10" s="1"/>
  <c r="O380" i="10"/>
  <c r="AC901" i="10"/>
  <c r="I901" i="10"/>
  <c r="O901" i="10"/>
  <c r="I35" i="10"/>
  <c r="P35" i="10" s="1"/>
  <c r="O35" i="10"/>
  <c r="AC587" i="10"/>
  <c r="O587" i="10"/>
  <c r="I587" i="10"/>
  <c r="P587" i="10" s="1"/>
  <c r="H852" i="10"/>
  <c r="P61" i="12"/>
  <c r="AC517" i="10"/>
  <c r="O517" i="10"/>
  <c r="I517" i="10"/>
  <c r="I230" i="10"/>
  <c r="P230" i="10" s="1"/>
  <c r="O230" i="10"/>
  <c r="AC462" i="10"/>
  <c r="O462" i="10"/>
  <c r="I462" i="10"/>
  <c r="I868" i="10"/>
  <c r="P868" i="10" s="1"/>
  <c r="O868" i="10"/>
  <c r="I239" i="10"/>
  <c r="P239" i="10" s="1"/>
  <c r="O239" i="10"/>
  <c r="I514" i="10"/>
  <c r="P514" i="10" s="1"/>
  <c r="O514" i="10"/>
  <c r="AC109" i="10"/>
  <c r="O109" i="10"/>
  <c r="I109" i="10"/>
  <c r="AC586" i="10"/>
  <c r="I586" i="10"/>
  <c r="P586" i="10" s="1"/>
  <c r="O586" i="10"/>
  <c r="H864" i="10"/>
  <c r="P198" i="12"/>
  <c r="AC667" i="10"/>
  <c r="I667" i="10"/>
  <c r="P667" i="10" s="1"/>
  <c r="O667" i="10"/>
  <c r="AC225" i="10"/>
  <c r="I225" i="10"/>
  <c r="P225" i="10" s="1"/>
  <c r="O225" i="10"/>
  <c r="I31" i="11"/>
  <c r="O31" i="11"/>
  <c r="H723" i="10"/>
  <c r="H680" i="10"/>
  <c r="H456" i="10"/>
  <c r="H234" i="10"/>
  <c r="H403" i="10"/>
  <c r="P134" i="12"/>
  <c r="H952" i="10"/>
  <c r="P69" i="12"/>
  <c r="H378" i="10"/>
  <c r="P124" i="12"/>
  <c r="AC449" i="10"/>
  <c r="I449" i="10"/>
  <c r="P449" i="10" s="1"/>
  <c r="O449" i="10"/>
  <c r="AC663" i="10"/>
  <c r="I663" i="10"/>
  <c r="P663" i="10" s="1"/>
  <c r="O663" i="10"/>
  <c r="AC374" i="10"/>
  <c r="I374" i="10"/>
  <c r="P374" i="10" s="1"/>
  <c r="O374" i="10"/>
  <c r="H266" i="10"/>
  <c r="P181" i="12"/>
  <c r="AC452" i="10"/>
  <c r="I452" i="10"/>
  <c r="P452" i="10" s="1"/>
  <c r="O452" i="10"/>
  <c r="I384" i="10"/>
  <c r="P384" i="10" s="1"/>
  <c r="O384" i="10"/>
  <c r="I457" i="10"/>
  <c r="P457" i="10" s="1"/>
  <c r="O457" i="10"/>
  <c r="I581" i="10"/>
  <c r="P581" i="10" s="1"/>
  <c r="O581" i="10"/>
  <c r="AC710" i="10"/>
  <c r="O710" i="10"/>
  <c r="I710" i="10"/>
  <c r="P710" i="10" s="1"/>
  <c r="O515" i="10"/>
  <c r="I515" i="10"/>
  <c r="P515" i="10" s="1"/>
  <c r="AC714" i="10"/>
  <c r="I714" i="10"/>
  <c r="P714" i="10" s="1"/>
  <c r="O714" i="10"/>
  <c r="I507" i="10"/>
  <c r="P507" i="10" s="1"/>
  <c r="O507" i="10"/>
  <c r="H196" i="10"/>
  <c r="H92" i="10"/>
  <c r="H144" i="10"/>
  <c r="P211" i="12"/>
  <c r="AC656" i="10"/>
  <c r="O656" i="10"/>
  <c r="I656" i="10"/>
  <c r="AC915" i="10"/>
  <c r="I915" i="10"/>
  <c r="O915" i="10"/>
  <c r="I85" i="10"/>
  <c r="P85" i="10" s="1"/>
  <c r="O85" i="10"/>
  <c r="H184" i="10"/>
  <c r="P154" i="12"/>
  <c r="AC691" i="10"/>
  <c r="I691" i="10"/>
  <c r="O691" i="10"/>
  <c r="AC460" i="10"/>
  <c r="O460" i="10"/>
  <c r="I460" i="10"/>
  <c r="AC658" i="10"/>
  <c r="I658" i="10"/>
  <c r="O658" i="10"/>
  <c r="O720" i="10"/>
  <c r="I720" i="10"/>
  <c r="P720" i="10" s="1"/>
  <c r="H687" i="10"/>
  <c r="P25" i="12"/>
  <c r="AC800" i="10"/>
  <c r="I800" i="10"/>
  <c r="O800" i="10"/>
  <c r="AC461" i="10"/>
  <c r="I461" i="10"/>
  <c r="O461" i="10"/>
  <c r="H179" i="10"/>
  <c r="H74" i="10"/>
  <c r="H126" i="10"/>
  <c r="H23" i="10"/>
  <c r="P27" i="12"/>
  <c r="I459" i="10"/>
  <c r="P459" i="10" s="1"/>
  <c r="O459" i="10"/>
  <c r="AC218" i="10"/>
  <c r="I218" i="10"/>
  <c r="P218" i="10" s="1"/>
  <c r="O218" i="10"/>
  <c r="I787" i="10"/>
  <c r="P787" i="10" s="1"/>
  <c r="O787" i="10"/>
  <c r="H301" i="10"/>
  <c r="H792" i="10"/>
  <c r="P18" i="12"/>
  <c r="O207" i="9"/>
  <c r="I207" i="9"/>
  <c r="P207" i="9" s="1"/>
  <c r="AC161" i="10"/>
  <c r="I161" i="10"/>
  <c r="O161" i="10"/>
  <c r="AC453" i="10"/>
  <c r="I453" i="10"/>
  <c r="P453" i="10" s="1"/>
  <c r="O453" i="10"/>
  <c r="AC297" i="10"/>
  <c r="I297" i="10"/>
  <c r="P297" i="10" s="1"/>
  <c r="O297" i="10"/>
  <c r="H185" i="10"/>
  <c r="H132" i="10"/>
  <c r="H80" i="10"/>
  <c r="H30" i="10"/>
  <c r="P158" i="12"/>
  <c r="O458" i="10"/>
  <c r="I458" i="10"/>
  <c r="P458" i="10" s="1"/>
  <c r="H786" i="10"/>
  <c r="H455" i="10"/>
  <c r="H233" i="10"/>
  <c r="H722" i="10"/>
  <c r="P133" i="12"/>
  <c r="AC664" i="10"/>
  <c r="I664" i="10"/>
  <c r="P664" i="10" s="1"/>
  <c r="O664" i="10"/>
  <c r="I7" i="9"/>
  <c r="P5" i="9"/>
  <c r="AC294" i="10"/>
  <c r="I294" i="10"/>
  <c r="P294" i="10" s="1"/>
  <c r="O294" i="10"/>
  <c r="AC889" i="10"/>
  <c r="I889" i="10"/>
  <c r="O889" i="10"/>
  <c r="L705" i="10"/>
  <c r="K162" i="11" s="1"/>
  <c r="L162" i="11" s="1"/>
  <c r="L185" i="11" s="1"/>
  <c r="K59" i="11" s="1"/>
  <c r="L59" i="11" s="1"/>
  <c r="AC226" i="10"/>
  <c r="O226" i="10"/>
  <c r="I226" i="10"/>
  <c r="P226" i="10" s="1"/>
  <c r="AC223" i="10"/>
  <c r="I223" i="10"/>
  <c r="P223" i="10" s="1"/>
  <c r="O223" i="10"/>
  <c r="AC217" i="10"/>
  <c r="I217" i="10"/>
  <c r="P217" i="10" s="1"/>
  <c r="O217" i="10"/>
  <c r="H187" i="10"/>
  <c r="H134" i="10"/>
  <c r="H32" i="10"/>
  <c r="H82" i="10"/>
  <c r="P160" i="12"/>
  <c r="H681" i="10"/>
  <c r="P136" i="12"/>
  <c r="AC215" i="10"/>
  <c r="I215" i="10"/>
  <c r="P215" i="10" s="1"/>
  <c r="O215" i="10"/>
  <c r="AC396" i="10"/>
  <c r="I396" i="10"/>
  <c r="P396" i="10" s="1"/>
  <c r="O396" i="10"/>
  <c r="AC375" i="10"/>
  <c r="I375" i="10"/>
  <c r="P375" i="10" s="1"/>
  <c r="O375" i="10"/>
  <c r="I566" i="10"/>
  <c r="P566" i="10" s="1"/>
  <c r="O566" i="10"/>
  <c r="I788" i="10"/>
  <c r="P788" i="10" s="1"/>
  <c r="O788" i="10"/>
  <c r="AC778" i="10"/>
  <c r="I778" i="10"/>
  <c r="P778" i="10" s="1"/>
  <c r="O778" i="10"/>
  <c r="I62" i="10"/>
  <c r="P62" i="10" s="1"/>
  <c r="O62" i="10"/>
  <c r="H28" i="12"/>
  <c r="P270" i="9"/>
  <c r="I235" i="10"/>
  <c r="P235" i="10" s="1"/>
  <c r="O235" i="10"/>
  <c r="AC427" i="10"/>
  <c r="I427" i="10"/>
  <c r="P427" i="10" s="1"/>
  <c r="O427" i="10"/>
  <c r="I137" i="10"/>
  <c r="P137" i="10" s="1"/>
  <c r="O137" i="10"/>
  <c r="AC407" i="10"/>
  <c r="O407" i="10"/>
  <c r="I407" i="10"/>
  <c r="AC638" i="10"/>
  <c r="I638" i="10"/>
  <c r="O638" i="10"/>
  <c r="AE381" i="10"/>
  <c r="AE390" i="10" s="1"/>
  <c r="L393" i="10"/>
  <c r="K88" i="11" s="1"/>
  <c r="L88" i="11" s="1"/>
  <c r="L107" i="11" s="1"/>
  <c r="K57" i="11" s="1"/>
  <c r="L57" i="11" s="1"/>
  <c r="H961" i="10"/>
  <c r="P31" i="12"/>
  <c r="AC245" i="10"/>
  <c r="O245" i="10"/>
  <c r="I245" i="10"/>
  <c r="AC244" i="10"/>
  <c r="I244" i="10"/>
  <c r="O244" i="10"/>
  <c r="I727" i="10"/>
  <c r="P727" i="10" s="1"/>
  <c r="O727" i="10"/>
  <c r="AC711" i="10"/>
  <c r="I711" i="10"/>
  <c r="P711" i="10" s="1"/>
  <c r="O711" i="10"/>
  <c r="I183" i="9"/>
  <c r="P183" i="9" s="1"/>
  <c r="O183" i="9"/>
  <c r="I958" i="10"/>
  <c r="P958" i="10" s="1"/>
  <c r="O958" i="10"/>
  <c r="AC317" i="10"/>
  <c r="I317" i="10"/>
  <c r="O317" i="10"/>
  <c r="H962" i="10"/>
  <c r="P32" i="12"/>
  <c r="AC719" i="10"/>
  <c r="O719" i="10"/>
  <c r="I719" i="10"/>
  <c r="P719" i="10" s="1"/>
  <c r="AC227" i="10"/>
  <c r="I227" i="10"/>
  <c r="P227" i="10" s="1"/>
  <c r="O227" i="10"/>
  <c r="AC448" i="10"/>
  <c r="O448" i="10"/>
  <c r="I448" i="10"/>
  <c r="P448" i="10" s="1"/>
  <c r="O726" i="10"/>
  <c r="I726" i="10"/>
  <c r="P726" i="10" s="1"/>
  <c r="AC717" i="10"/>
  <c r="I717" i="10"/>
  <c r="P717" i="10" s="1"/>
  <c r="O717" i="10"/>
  <c r="AC709" i="10"/>
  <c r="I709" i="10"/>
  <c r="P709" i="10" s="1"/>
  <c r="O709" i="10"/>
  <c r="AC400" i="10"/>
  <c r="I400" i="10"/>
  <c r="P400" i="10" s="1"/>
  <c r="O400" i="10"/>
  <c r="O300" i="10"/>
  <c r="I300" i="10"/>
  <c r="P300" i="10" s="1"/>
  <c r="AC662" i="10"/>
  <c r="I662" i="10"/>
  <c r="P662" i="10" s="1"/>
  <c r="O662" i="10"/>
  <c r="AC296" i="10"/>
  <c r="I296" i="10"/>
  <c r="P296" i="10" s="1"/>
  <c r="O296" i="10"/>
  <c r="H191" i="10"/>
  <c r="H86" i="10"/>
  <c r="H36" i="10"/>
  <c r="H138" i="10"/>
  <c r="P214" i="12"/>
  <c r="I114" i="10"/>
  <c r="P114" i="10" s="1"/>
  <c r="O114" i="10"/>
  <c r="AC229" i="10"/>
  <c r="I229" i="10"/>
  <c r="P229" i="10" s="1"/>
  <c r="O229" i="10"/>
  <c r="H189" i="10"/>
  <c r="H136" i="10"/>
  <c r="H34" i="10"/>
  <c r="H84" i="10"/>
  <c r="P163" i="12"/>
  <c r="I429" i="10"/>
  <c r="P429" i="10" s="1"/>
  <c r="O429" i="10"/>
  <c r="I190" i="10"/>
  <c r="P190" i="10" s="1"/>
  <c r="O190" i="10"/>
  <c r="I683" i="10"/>
  <c r="P683" i="10" s="1"/>
  <c r="O683" i="10"/>
  <c r="AC798" i="10"/>
  <c r="O798" i="10"/>
  <c r="I798" i="10"/>
  <c r="AC303" i="10"/>
  <c r="I303" i="10"/>
  <c r="O303" i="10"/>
  <c r="I224" i="9"/>
  <c r="P224" i="9" s="1"/>
  <c r="O224" i="9"/>
  <c r="AC551" i="10"/>
  <c r="I551" i="10"/>
  <c r="O551" i="10"/>
  <c r="AC666" i="10"/>
  <c r="I666" i="10"/>
  <c r="P666" i="10" s="1"/>
  <c r="O666" i="10"/>
  <c r="AC447" i="10"/>
  <c r="I447" i="10"/>
  <c r="O447" i="10"/>
  <c r="O634" i="10"/>
  <c r="I634" i="10"/>
  <c r="P634" i="10" s="1"/>
  <c r="O916" i="10"/>
  <c r="I916" i="10"/>
  <c r="P916" i="10" s="1"/>
  <c r="I166" i="10"/>
  <c r="P166" i="10" s="1"/>
  <c r="O166" i="10"/>
  <c r="H842" i="10"/>
  <c r="H769" i="10"/>
  <c r="H556" i="10"/>
  <c r="H890" i="10"/>
  <c r="H322" i="10"/>
  <c r="H344" i="10"/>
  <c r="H373" i="10"/>
  <c r="H506" i="10"/>
  <c r="P51" i="12"/>
  <c r="I724" i="10"/>
  <c r="P724" i="10" s="1"/>
  <c r="O724" i="10"/>
  <c r="AC512" i="10"/>
  <c r="I512" i="10"/>
  <c r="P512" i="10" s="1"/>
  <c r="O512" i="10"/>
  <c r="AC969" i="10"/>
  <c r="O969" i="10"/>
  <c r="I969" i="10"/>
  <c r="P969" i="10" s="1"/>
  <c r="O240" i="10"/>
  <c r="I240" i="10"/>
  <c r="P240" i="10" s="1"/>
  <c r="AC766" i="10"/>
  <c r="I766" i="10"/>
  <c r="P766" i="10" s="1"/>
  <c r="O766" i="10"/>
  <c r="AC733" i="10"/>
  <c r="I733" i="10"/>
  <c r="O733" i="10"/>
  <c r="H182" i="10"/>
  <c r="P151" i="12"/>
  <c r="AC406" i="10"/>
  <c r="I406" i="10"/>
  <c r="O406" i="10"/>
  <c r="AC398" i="10"/>
  <c r="I398" i="10"/>
  <c r="P398" i="10" s="1"/>
  <c r="O398" i="10"/>
  <c r="H265" i="10"/>
  <c r="P180" i="12"/>
  <c r="I10" i="9"/>
  <c r="O10" i="9"/>
  <c r="AC670" i="10"/>
  <c r="O670" i="10"/>
  <c r="I670" i="10"/>
  <c r="P670" i="10" s="1"/>
  <c r="AC837" i="10"/>
  <c r="I837" i="10"/>
  <c r="O837" i="10"/>
  <c r="H941" i="10"/>
  <c r="P63" i="12"/>
  <c r="AC510" i="10"/>
  <c r="O510" i="10"/>
  <c r="I510" i="10"/>
  <c r="P510" i="10" s="1"/>
  <c r="AC511" i="10"/>
  <c r="I511" i="10"/>
  <c r="P511" i="10" s="1"/>
  <c r="O511" i="10"/>
  <c r="O238" i="10"/>
  <c r="I238" i="10"/>
  <c r="P238" i="10" s="1"/>
  <c r="H475" i="10"/>
  <c r="P189" i="12"/>
  <c r="I237" i="10"/>
  <c r="P237" i="10" s="1"/>
  <c r="O237" i="10"/>
  <c r="I275" i="10"/>
  <c r="P275" i="10" s="1"/>
  <c r="O275" i="10"/>
  <c r="AC632" i="10"/>
  <c r="I632" i="10"/>
  <c r="P632" i="10" s="1"/>
  <c r="O632" i="10"/>
  <c r="I790" i="10"/>
  <c r="P790" i="10" s="1"/>
  <c r="O790" i="10"/>
  <c r="I959" i="10"/>
  <c r="P959" i="10" s="1"/>
  <c r="O959" i="10"/>
  <c r="AC955" i="10"/>
  <c r="I955" i="10"/>
  <c r="P955" i="10" s="1"/>
  <c r="O955" i="10"/>
  <c r="AC708" i="10"/>
  <c r="O708" i="10"/>
  <c r="I708" i="10"/>
  <c r="P708" i="10" s="1"/>
  <c r="H867" i="10"/>
  <c r="P201" i="12"/>
  <c r="I725" i="10"/>
  <c r="P725" i="10" s="1"/>
  <c r="O725" i="10"/>
  <c r="AC219" i="10"/>
  <c r="I219" i="10"/>
  <c r="P219" i="10" s="1"/>
  <c r="O219" i="10"/>
  <c r="O424" i="10"/>
  <c r="I424" i="10"/>
  <c r="P424" i="10" s="1"/>
  <c r="AC552" i="10"/>
  <c r="I552" i="10"/>
  <c r="O552" i="10"/>
  <c r="H382" i="10"/>
  <c r="P148" i="12"/>
  <c r="AC669" i="10"/>
  <c r="I669" i="10"/>
  <c r="P669" i="10" s="1"/>
  <c r="O669" i="10"/>
  <c r="I971" i="10"/>
  <c r="P971" i="10" s="1"/>
  <c r="O971" i="10"/>
  <c r="AC713" i="10"/>
  <c r="I713" i="10"/>
  <c r="P713" i="10" s="1"/>
  <c r="O713" i="10"/>
  <c r="I232" i="10"/>
  <c r="P232" i="10" s="1"/>
  <c r="O232" i="10"/>
  <c r="I728" i="10"/>
  <c r="P728" i="10" s="1"/>
  <c r="O728" i="10"/>
  <c r="H967" i="10"/>
  <c r="H771" i="10"/>
  <c r="H631" i="10"/>
  <c r="H584" i="10"/>
  <c r="H509" i="10"/>
  <c r="H395" i="10"/>
  <c r="H213" i="10"/>
  <c r="H295" i="10"/>
  <c r="H660" i="10"/>
  <c r="P58" i="12"/>
  <c r="H271" i="10"/>
  <c r="P186" i="12"/>
  <c r="AC718" i="10"/>
  <c r="O718" i="10"/>
  <c r="I718" i="10"/>
  <c r="P718" i="10" s="1"/>
  <c r="AC855" i="10"/>
  <c r="O855" i="10"/>
  <c r="I855" i="10"/>
  <c r="P855" i="10" s="1"/>
  <c r="H782" i="10"/>
  <c r="P114" i="12"/>
  <c r="AC731" i="10"/>
  <c r="I731" i="10"/>
  <c r="O731" i="10"/>
  <c r="AC220" i="10"/>
  <c r="I220" i="10"/>
  <c r="P220" i="10" s="1"/>
  <c r="O220" i="10"/>
  <c r="I14" i="10"/>
  <c r="P14" i="10" s="1"/>
  <c r="O14" i="10"/>
  <c r="AC578" i="10"/>
  <c r="I578" i="10"/>
  <c r="O578" i="10"/>
  <c r="I276" i="10"/>
  <c r="P276" i="10" s="1"/>
  <c r="O276" i="10"/>
  <c r="O428" i="10"/>
  <c r="I428" i="10"/>
  <c r="P428" i="10" s="1"/>
  <c r="AC760" i="10"/>
  <c r="O760" i="10"/>
  <c r="I760" i="10"/>
  <c r="AC214" i="10"/>
  <c r="O214" i="10"/>
  <c r="I214" i="10"/>
  <c r="P214" i="10" s="1"/>
  <c r="I676" i="10"/>
  <c r="P676" i="10" s="1"/>
  <c r="O676" i="10"/>
  <c r="I789" i="10"/>
  <c r="P789" i="10" s="1"/>
  <c r="O789" i="10"/>
  <c r="AC430" i="10"/>
  <c r="I430" i="10"/>
  <c r="O430" i="10"/>
  <c r="H754" i="10"/>
  <c r="P177" i="12"/>
  <c r="AC775" i="10"/>
  <c r="I775" i="10"/>
  <c r="P775" i="10" s="1"/>
  <c r="O775" i="10"/>
  <c r="AC671" i="10"/>
  <c r="I671" i="10"/>
  <c r="P671" i="10" s="1"/>
  <c r="O671" i="10"/>
  <c r="AC606" i="10"/>
  <c r="I606" i="10"/>
  <c r="P606" i="10" s="1"/>
  <c r="O606" i="10"/>
  <c r="AC246" i="10"/>
  <c r="I246" i="10"/>
  <c r="O246" i="10"/>
  <c r="AC732" i="10"/>
  <c r="O732" i="10"/>
  <c r="I732" i="10"/>
  <c r="I957" i="10"/>
  <c r="P957" i="10" s="1"/>
  <c r="O957" i="10"/>
  <c r="AC774" i="10"/>
  <c r="O774" i="10"/>
  <c r="I774" i="10"/>
  <c r="P774" i="10" s="1"/>
  <c r="AC397" i="10"/>
  <c r="O397" i="10"/>
  <c r="I397" i="10"/>
  <c r="P397" i="10" s="1"/>
  <c r="I346" i="10"/>
  <c r="P346" i="10" s="1"/>
  <c r="O346" i="10"/>
  <c r="AC318" i="10"/>
  <c r="I318" i="10"/>
  <c r="O318" i="10"/>
  <c r="I402" i="10"/>
  <c r="P402" i="10" s="1"/>
  <c r="O402" i="10"/>
  <c r="H777" i="10"/>
  <c r="P93" i="12"/>
  <c r="H505" i="10"/>
  <c r="P45" i="12"/>
  <c r="AC228" i="10"/>
  <c r="O228" i="10"/>
  <c r="I228" i="10"/>
  <c r="P228" i="10" s="1"/>
  <c r="AC799" i="10"/>
  <c r="I799" i="10"/>
  <c r="O799" i="10"/>
  <c r="O752" i="10"/>
  <c r="I752" i="10"/>
  <c r="P752" i="10" s="1"/>
  <c r="AC712" i="10"/>
  <c r="I712" i="10"/>
  <c r="P712" i="10" s="1"/>
  <c r="O712" i="10"/>
  <c r="H791" i="10"/>
  <c r="P17" i="12"/>
  <c r="I118" i="10"/>
  <c r="P118" i="10" s="1"/>
  <c r="O118" i="10"/>
  <c r="I567" i="10"/>
  <c r="P567" i="10" s="1"/>
  <c r="O567" i="10"/>
  <c r="AC422" i="10"/>
  <c r="I422" i="10"/>
  <c r="O422" i="10"/>
  <c r="AC759" i="10"/>
  <c r="I759" i="10"/>
  <c r="O759" i="10"/>
  <c r="AC299" i="10"/>
  <c r="O299" i="10"/>
  <c r="I299" i="10"/>
  <c r="P299" i="10" s="1"/>
  <c r="H675" i="10"/>
  <c r="P127" i="12"/>
  <c r="I404" i="10"/>
  <c r="P404" i="10" s="1"/>
  <c r="O404" i="10"/>
  <c r="AC630" i="10"/>
  <c r="I630" i="10"/>
  <c r="O630" i="10"/>
  <c r="AC896" i="10"/>
  <c r="O896" i="10"/>
  <c r="I896" i="10"/>
  <c r="P896" i="10" s="1"/>
  <c r="H895" i="10"/>
  <c r="H585" i="10"/>
  <c r="H772" i="10"/>
  <c r="H327" i="10"/>
  <c r="H171" i="10"/>
  <c r="H856" i="10"/>
  <c r="H349" i="10"/>
  <c r="H15" i="10"/>
  <c r="H560" i="10"/>
  <c r="H119" i="10"/>
  <c r="H67" i="10"/>
  <c r="P73" i="12"/>
  <c r="AC972" i="10"/>
  <c r="I972" i="10"/>
  <c r="O972" i="10"/>
  <c r="I60" i="10" l="1"/>
  <c r="P60" i="10" s="1"/>
  <c r="O60" i="10"/>
  <c r="I112" i="10"/>
  <c r="P112" i="10" s="1"/>
  <c r="O112" i="10"/>
  <c r="I321" i="10"/>
  <c r="P321" i="10" s="1"/>
  <c r="O321" i="10"/>
  <c r="I555" i="10"/>
  <c r="P555" i="10" s="1"/>
  <c r="O555" i="10"/>
  <c r="O841" i="10"/>
  <c r="I841" i="10"/>
  <c r="P841" i="10" s="1"/>
  <c r="O8" i="10"/>
  <c r="I8" i="10"/>
  <c r="P8" i="10" s="1"/>
  <c r="O164" i="10"/>
  <c r="I164" i="10"/>
  <c r="P164" i="10" s="1"/>
  <c r="O953" i="10"/>
  <c r="I953" i="10"/>
  <c r="P953" i="10" s="1"/>
  <c r="O26" i="10"/>
  <c r="I26" i="10"/>
  <c r="P26" i="10" s="1"/>
  <c r="O77" i="10"/>
  <c r="I77" i="10"/>
  <c r="P77" i="10" s="1"/>
  <c r="I129" i="10"/>
  <c r="P129" i="10" s="1"/>
  <c r="O129" i="10"/>
  <c r="O32" i="11"/>
  <c r="I32" i="11"/>
  <c r="P32" i="11" s="1"/>
  <c r="O371" i="10"/>
  <c r="I371" i="10"/>
  <c r="P371" i="10" s="1"/>
  <c r="O557" i="10"/>
  <c r="I557" i="10"/>
  <c r="P557" i="10" s="1"/>
  <c r="O61" i="10"/>
  <c r="I61" i="10"/>
  <c r="P61" i="10" s="1"/>
  <c r="O9" i="10"/>
  <c r="I9" i="10"/>
  <c r="P9" i="10" s="1"/>
  <c r="O113" i="10"/>
  <c r="I113" i="10"/>
  <c r="P113" i="10" s="1"/>
  <c r="O165" i="10"/>
  <c r="I165" i="10"/>
  <c r="P165" i="10" s="1"/>
  <c r="O423" i="10"/>
  <c r="I423" i="10"/>
  <c r="O345" i="10"/>
  <c r="I345" i="10"/>
  <c r="P345" i="10" s="1"/>
  <c r="I323" i="10"/>
  <c r="P323" i="10" s="1"/>
  <c r="O323" i="10"/>
  <c r="I580" i="10"/>
  <c r="P580" i="10" s="1"/>
  <c r="O580" i="10"/>
  <c r="O891" i="10"/>
  <c r="I891" i="10"/>
  <c r="P891" i="10" s="1"/>
  <c r="O770" i="10"/>
  <c r="I770" i="10"/>
  <c r="P770" i="10" s="1"/>
  <c r="O843" i="10"/>
  <c r="I843" i="10"/>
  <c r="P843" i="10" s="1"/>
  <c r="I167" i="10"/>
  <c r="P167" i="10" s="1"/>
  <c r="O167" i="10"/>
  <c r="O63" i="10"/>
  <c r="I63" i="10"/>
  <c r="P63" i="10" s="1"/>
  <c r="O11" i="10"/>
  <c r="I11" i="10"/>
  <c r="P11" i="10" s="1"/>
  <c r="O115" i="10"/>
  <c r="I115" i="10"/>
  <c r="P115" i="10" s="1"/>
  <c r="I954" i="10"/>
  <c r="P954" i="10" s="1"/>
  <c r="O954" i="10"/>
  <c r="O16" i="10"/>
  <c r="I16" i="10"/>
  <c r="P16" i="10" s="1"/>
  <c r="O561" i="10"/>
  <c r="I561" i="10"/>
  <c r="P561" i="10" s="1"/>
  <c r="O68" i="10"/>
  <c r="I68" i="10"/>
  <c r="P68" i="10" s="1"/>
  <c r="O120" i="10"/>
  <c r="I120" i="10"/>
  <c r="P120" i="10" s="1"/>
  <c r="O172" i="10"/>
  <c r="I172" i="10"/>
  <c r="P172" i="10" s="1"/>
  <c r="I328" i="10"/>
  <c r="P328" i="10" s="1"/>
  <c r="O328" i="10"/>
  <c r="I857" i="10"/>
  <c r="P857" i="10" s="1"/>
  <c r="O857" i="10"/>
  <c r="O18" i="10"/>
  <c r="I18" i="10"/>
  <c r="P18" i="10" s="1"/>
  <c r="O69" i="10"/>
  <c r="I69" i="10"/>
  <c r="P69" i="10" s="1"/>
  <c r="O121" i="10"/>
  <c r="I121" i="10"/>
  <c r="P121" i="10" s="1"/>
  <c r="O174" i="10"/>
  <c r="I174" i="10"/>
  <c r="P174" i="10" s="1"/>
  <c r="I859" i="10"/>
  <c r="P859" i="10" s="1"/>
  <c r="O859" i="10"/>
  <c r="O350" i="10"/>
  <c r="I350" i="10"/>
  <c r="P350" i="10" s="1"/>
  <c r="O588" i="10"/>
  <c r="I588" i="10"/>
  <c r="P588" i="10" s="1"/>
  <c r="I898" i="10"/>
  <c r="P898" i="10" s="1"/>
  <c r="O898" i="10"/>
  <c r="O20" i="10"/>
  <c r="I20" i="10"/>
  <c r="P20" i="10" s="1"/>
  <c r="O589" i="10"/>
  <c r="I589" i="10"/>
  <c r="P589" i="10" s="1"/>
  <c r="I71" i="10"/>
  <c r="P71" i="10" s="1"/>
  <c r="O71" i="10"/>
  <c r="O123" i="10"/>
  <c r="I123" i="10"/>
  <c r="P123" i="10" s="1"/>
  <c r="O176" i="10"/>
  <c r="I176" i="10"/>
  <c r="P176" i="10" s="1"/>
  <c r="O351" i="10"/>
  <c r="I351" i="10"/>
  <c r="P351" i="10" s="1"/>
  <c r="O783" i="10"/>
  <c r="I783" i="10"/>
  <c r="P783" i="10" s="1"/>
  <c r="O899" i="10"/>
  <c r="I899" i="10"/>
  <c r="P899" i="10" s="1"/>
  <c r="I178" i="10"/>
  <c r="P178" i="10" s="1"/>
  <c r="O178" i="10"/>
  <c r="O22" i="10"/>
  <c r="I22" i="10"/>
  <c r="P22" i="10" s="1"/>
  <c r="I73" i="10"/>
  <c r="P73" i="10" s="1"/>
  <c r="O73" i="10"/>
  <c r="O125" i="10"/>
  <c r="I125" i="10"/>
  <c r="P125" i="10" s="1"/>
  <c r="I353" i="10"/>
  <c r="P353" i="10" s="1"/>
  <c r="O353" i="10"/>
  <c r="O590" i="10"/>
  <c r="I590" i="10"/>
  <c r="P590" i="10" s="1"/>
  <c r="O918" i="10"/>
  <c r="I918" i="10"/>
  <c r="O377" i="10"/>
  <c r="I377" i="10"/>
  <c r="P377" i="10" s="1"/>
  <c r="O673" i="10"/>
  <c r="I673" i="10"/>
  <c r="P673" i="10" s="1"/>
  <c r="O678" i="10"/>
  <c r="I678" i="10"/>
  <c r="P678" i="10" s="1"/>
  <c r="I682" i="10"/>
  <c r="P682" i="10" s="1"/>
  <c r="O682" i="10"/>
  <c r="L81" i="11"/>
  <c r="K5" i="11" s="1"/>
  <c r="L5" i="11" s="1"/>
  <c r="L29" i="11" s="1"/>
  <c r="C2" i="5" s="1"/>
  <c r="D8" i="3" s="1"/>
  <c r="D9" i="3" s="1"/>
  <c r="K9" i="3" s="1"/>
  <c r="D17" i="3"/>
  <c r="D14" i="3"/>
  <c r="K14" i="3" s="1"/>
  <c r="AC560" i="10"/>
  <c r="I560" i="10"/>
  <c r="P560" i="10" s="1"/>
  <c r="O560" i="10"/>
  <c r="I962" i="10"/>
  <c r="P962" i="10" s="1"/>
  <c r="O962" i="10"/>
  <c r="AC15" i="10"/>
  <c r="I15" i="10"/>
  <c r="P15" i="10" s="1"/>
  <c r="O15" i="10"/>
  <c r="O722" i="10"/>
  <c r="I722" i="10"/>
  <c r="P722" i="10" s="1"/>
  <c r="I681" i="10"/>
  <c r="P681" i="10" s="1"/>
  <c r="O681" i="10"/>
  <c r="I80" i="10"/>
  <c r="P80" i="10" s="1"/>
  <c r="O80" i="10"/>
  <c r="AC119" i="10"/>
  <c r="O119" i="10"/>
  <c r="I119" i="10"/>
  <c r="P119" i="10" s="1"/>
  <c r="AA759" i="10"/>
  <c r="P759" i="10"/>
  <c r="AB731" i="10"/>
  <c r="P731" i="10"/>
  <c r="I12" i="9"/>
  <c r="P10" i="9"/>
  <c r="AB733" i="10"/>
  <c r="P733" i="10"/>
  <c r="I82" i="10"/>
  <c r="P82" i="10" s="1"/>
  <c r="O82" i="10"/>
  <c r="O185" i="10"/>
  <c r="I185" i="10"/>
  <c r="P185" i="10" s="1"/>
  <c r="I126" i="10"/>
  <c r="P126" i="10" s="1"/>
  <c r="O126" i="10"/>
  <c r="I403" i="10"/>
  <c r="P403" i="10" s="1"/>
  <c r="O403" i="10"/>
  <c r="I852" i="10"/>
  <c r="P852" i="10" s="1"/>
  <c r="O852" i="10"/>
  <c r="AA343" i="10"/>
  <c r="P343" i="10"/>
  <c r="AB577" i="10"/>
  <c r="P577" i="10"/>
  <c r="AC320" i="10"/>
  <c r="I320" i="10"/>
  <c r="P320" i="10" s="1"/>
  <c r="O320" i="10"/>
  <c r="I633" i="10"/>
  <c r="P633" i="10" s="1"/>
  <c r="O633" i="10"/>
  <c r="I401" i="10"/>
  <c r="P401" i="10" s="1"/>
  <c r="O401" i="10"/>
  <c r="P293" i="10"/>
  <c r="AB421" i="10"/>
  <c r="P421" i="10"/>
  <c r="AB405" i="10"/>
  <c r="P405" i="10"/>
  <c r="I792" i="10"/>
  <c r="P792" i="10" s="1"/>
  <c r="O792" i="10"/>
  <c r="O677" i="10"/>
  <c r="I677" i="10"/>
  <c r="P677" i="10" s="1"/>
  <c r="I864" i="10"/>
  <c r="P864" i="10" s="1"/>
  <c r="O864" i="10"/>
  <c r="AA603" i="10"/>
  <c r="P603" i="10"/>
  <c r="P627" i="10" s="1"/>
  <c r="I627" i="10"/>
  <c r="H139" i="11" s="1"/>
  <c r="I24" i="10"/>
  <c r="P24" i="10" s="1"/>
  <c r="O24" i="10"/>
  <c r="AA57" i="10"/>
  <c r="P57" i="10"/>
  <c r="O784" i="10"/>
  <c r="I784" i="10"/>
  <c r="P784" i="10" s="1"/>
  <c r="AC554" i="10"/>
  <c r="I554" i="10"/>
  <c r="P554" i="10" s="1"/>
  <c r="O554" i="10"/>
  <c r="I674" i="10"/>
  <c r="P674" i="10" s="1"/>
  <c r="O674" i="10"/>
  <c r="AB242" i="10"/>
  <c r="P242" i="10"/>
  <c r="AC349" i="10"/>
  <c r="I349" i="10"/>
  <c r="P349" i="10" s="1"/>
  <c r="O349" i="10"/>
  <c r="AA422" i="10"/>
  <c r="P422" i="10"/>
  <c r="I782" i="10"/>
  <c r="P782" i="10" s="1"/>
  <c r="O782" i="10"/>
  <c r="I213" i="10"/>
  <c r="O213" i="10"/>
  <c r="AA317" i="10"/>
  <c r="P317" i="10"/>
  <c r="AB244" i="10"/>
  <c r="P244" i="10"/>
  <c r="AB407" i="10"/>
  <c r="P407" i="10"/>
  <c r="I187" i="10"/>
  <c r="P187" i="10" s="1"/>
  <c r="O187" i="10"/>
  <c r="AA889" i="10"/>
  <c r="P889" i="10"/>
  <c r="O233" i="10"/>
  <c r="I233" i="10"/>
  <c r="P233" i="10" s="1"/>
  <c r="P915" i="10"/>
  <c r="I680" i="10"/>
  <c r="P680" i="10" s="1"/>
  <c r="O680" i="10"/>
  <c r="AB462" i="10"/>
  <c r="P462" i="10"/>
  <c r="I583" i="10"/>
  <c r="P583" i="10" s="1"/>
  <c r="O583" i="10"/>
  <c r="AB761" i="10"/>
  <c r="P761" i="10"/>
  <c r="I25" i="10"/>
  <c r="P25" i="10" s="1"/>
  <c r="O25" i="10"/>
  <c r="AC840" i="10"/>
  <c r="O840" i="10"/>
  <c r="I840" i="10"/>
  <c r="P840" i="10" s="1"/>
  <c r="O919" i="10"/>
  <c r="I919" i="10"/>
  <c r="P919" i="10" s="1"/>
  <c r="O672" i="10"/>
  <c r="I672" i="10"/>
  <c r="P672" i="10" s="1"/>
  <c r="I195" i="10"/>
  <c r="P195" i="10" s="1"/>
  <c r="O195" i="10"/>
  <c r="O127" i="10"/>
  <c r="I127" i="10"/>
  <c r="P127" i="10" s="1"/>
  <c r="I295" i="10"/>
  <c r="P295" i="10" s="1"/>
  <c r="O295" i="10"/>
  <c r="I28" i="12"/>
  <c r="O28" i="12"/>
  <c r="O134" i="10"/>
  <c r="I134" i="10"/>
  <c r="P134" i="10" s="1"/>
  <c r="I179" i="10"/>
  <c r="P179" i="10" s="1"/>
  <c r="O179" i="10"/>
  <c r="I474" i="10"/>
  <c r="P474" i="10" s="1"/>
  <c r="O474" i="10"/>
  <c r="AC856" i="10"/>
  <c r="I856" i="10"/>
  <c r="P856" i="10" s="1"/>
  <c r="O856" i="10"/>
  <c r="O395" i="10"/>
  <c r="I395" i="10"/>
  <c r="I941" i="10"/>
  <c r="O941" i="10"/>
  <c r="O506" i="10"/>
  <c r="I506" i="10"/>
  <c r="P506" i="10" s="1"/>
  <c r="O138" i="10"/>
  <c r="I138" i="10"/>
  <c r="P138" i="10" s="1"/>
  <c r="I455" i="10"/>
  <c r="P455" i="10" s="1"/>
  <c r="O455" i="10"/>
  <c r="AB461" i="10"/>
  <c r="P461" i="10"/>
  <c r="AB460" i="10"/>
  <c r="P460" i="10"/>
  <c r="I723" i="10"/>
  <c r="P723" i="10" s="1"/>
  <c r="O723" i="10"/>
  <c r="I860" i="10"/>
  <c r="P860" i="10" s="1"/>
  <c r="O860" i="10"/>
  <c r="AB629" i="10"/>
  <c r="P629" i="10"/>
  <c r="I76" i="10"/>
  <c r="P76" i="10" s="1"/>
  <c r="O76" i="10"/>
  <c r="AC431" i="10"/>
  <c r="I431" i="10"/>
  <c r="O431" i="10"/>
  <c r="I331" i="10"/>
  <c r="P331" i="10" s="1"/>
  <c r="O331" i="10"/>
  <c r="I41" i="10"/>
  <c r="P41" i="10" s="1"/>
  <c r="O41" i="10"/>
  <c r="I75" i="10"/>
  <c r="P75" i="10" s="1"/>
  <c r="O75" i="10"/>
  <c r="I234" i="10"/>
  <c r="P234" i="10" s="1"/>
  <c r="O234" i="10"/>
  <c r="AC503" i="10"/>
  <c r="I503" i="10"/>
  <c r="P503" i="10" s="1"/>
  <c r="O503" i="10"/>
  <c r="I265" i="10"/>
  <c r="P265" i="10" s="1"/>
  <c r="O265" i="10"/>
  <c r="AA578" i="10"/>
  <c r="P578" i="10"/>
  <c r="AC171" i="10"/>
  <c r="I171" i="10"/>
  <c r="P171" i="10" s="1"/>
  <c r="O171" i="10"/>
  <c r="AB799" i="10"/>
  <c r="P799" i="10"/>
  <c r="AA318" i="10"/>
  <c r="P318" i="10"/>
  <c r="AB732" i="10"/>
  <c r="P732" i="10"/>
  <c r="I509" i="10"/>
  <c r="P509" i="10" s="1"/>
  <c r="O509" i="10"/>
  <c r="I373" i="10"/>
  <c r="P373" i="10" s="1"/>
  <c r="O373" i="10"/>
  <c r="I36" i="10"/>
  <c r="P36" i="10" s="1"/>
  <c r="O36" i="10"/>
  <c r="AB245" i="10"/>
  <c r="P245" i="10"/>
  <c r="O786" i="10"/>
  <c r="I786" i="10"/>
  <c r="P786" i="10" s="1"/>
  <c r="AB656" i="10"/>
  <c r="P656" i="10"/>
  <c r="K11" i="3"/>
  <c r="I19" i="10"/>
  <c r="P19" i="10" s="1"/>
  <c r="O19" i="10"/>
  <c r="AB730" i="10"/>
  <c r="P730" i="10"/>
  <c r="I128" i="10"/>
  <c r="P128" i="10" s="1"/>
  <c r="O128" i="10"/>
  <c r="I268" i="10"/>
  <c r="P268" i="10" s="1"/>
  <c r="O268" i="10"/>
  <c r="AC241" i="10"/>
  <c r="I241" i="10"/>
  <c r="O241" i="10"/>
  <c r="AB370" i="10"/>
  <c r="P370" i="10"/>
  <c r="O91" i="10"/>
  <c r="I91" i="10"/>
  <c r="P91" i="10" s="1"/>
  <c r="AB369" i="10"/>
  <c r="P369" i="10"/>
  <c r="I274" i="10"/>
  <c r="P274" i="10" s="1"/>
  <c r="O274" i="10"/>
  <c r="O180" i="10"/>
  <c r="I180" i="10"/>
  <c r="P180" i="10" s="1"/>
  <c r="O749" i="10"/>
  <c r="I749" i="10"/>
  <c r="P749" i="10" s="1"/>
  <c r="AB630" i="10"/>
  <c r="P630" i="10"/>
  <c r="O456" i="10"/>
  <c r="I456" i="10"/>
  <c r="P456" i="10" s="1"/>
  <c r="I584" i="10"/>
  <c r="P584" i="10" s="1"/>
  <c r="O584" i="10"/>
  <c r="I84" i="10"/>
  <c r="P84" i="10" s="1"/>
  <c r="O84" i="10"/>
  <c r="P31" i="11"/>
  <c r="P55" i="11" s="1"/>
  <c r="I55" i="11"/>
  <c r="AA109" i="10"/>
  <c r="P109" i="10"/>
  <c r="I70" i="10"/>
  <c r="P70" i="10" s="1"/>
  <c r="O70" i="10"/>
  <c r="I181" i="10"/>
  <c r="P181" i="10" s="1"/>
  <c r="O181" i="10"/>
  <c r="AC973" i="10"/>
  <c r="I973" i="10"/>
  <c r="O973" i="10"/>
  <c r="O143" i="10"/>
  <c r="I143" i="10"/>
  <c r="P143" i="10" s="1"/>
  <c r="AB655" i="10"/>
  <c r="P655" i="10"/>
  <c r="O564" i="10"/>
  <c r="I564" i="10"/>
  <c r="P564" i="10" s="1"/>
  <c r="AC777" i="10"/>
  <c r="I777" i="10"/>
  <c r="P777" i="10" s="1"/>
  <c r="O777" i="10"/>
  <c r="AA551" i="10"/>
  <c r="P551" i="10"/>
  <c r="I32" i="10"/>
  <c r="P32" i="10" s="1"/>
  <c r="O32" i="10"/>
  <c r="AC327" i="10"/>
  <c r="O327" i="10"/>
  <c r="I327" i="10"/>
  <c r="P327" i="10" s="1"/>
  <c r="I86" i="10"/>
  <c r="P86" i="10" s="1"/>
  <c r="O86" i="10"/>
  <c r="AC772" i="10"/>
  <c r="O772" i="10"/>
  <c r="I772" i="10"/>
  <c r="P772" i="10" s="1"/>
  <c r="I675" i="10"/>
  <c r="P675" i="10" s="1"/>
  <c r="O675" i="10"/>
  <c r="I631" i="10"/>
  <c r="P631" i="10" s="1"/>
  <c r="O631" i="10"/>
  <c r="AB406" i="10"/>
  <c r="P406" i="10"/>
  <c r="I322" i="10"/>
  <c r="P322" i="10" s="1"/>
  <c r="O322" i="10"/>
  <c r="P447" i="10"/>
  <c r="I34" i="10"/>
  <c r="P34" i="10" s="1"/>
  <c r="O34" i="10"/>
  <c r="I191" i="10"/>
  <c r="P191" i="10" s="1"/>
  <c r="O191" i="10"/>
  <c r="AB800" i="10"/>
  <c r="P800" i="10"/>
  <c r="AB901" i="10"/>
  <c r="P901" i="10"/>
  <c r="O122" i="10"/>
  <c r="I122" i="10"/>
  <c r="P122" i="10" s="1"/>
  <c r="AB243" i="10"/>
  <c r="P243" i="10"/>
  <c r="AC729" i="10"/>
  <c r="O729" i="10"/>
  <c r="I729" i="10"/>
  <c r="I861" i="10"/>
  <c r="P861" i="10" s="1"/>
  <c r="O861" i="10"/>
  <c r="AA552" i="10"/>
  <c r="P552" i="10"/>
  <c r="I475" i="10"/>
  <c r="P475" i="10" s="1"/>
  <c r="O475" i="10"/>
  <c r="I344" i="10"/>
  <c r="P344" i="10" s="1"/>
  <c r="O344" i="10"/>
  <c r="AB972" i="10"/>
  <c r="P972" i="10"/>
  <c r="AC585" i="10"/>
  <c r="I585" i="10"/>
  <c r="P585" i="10" s="1"/>
  <c r="O585" i="10"/>
  <c r="AB760" i="10"/>
  <c r="P760" i="10"/>
  <c r="I771" i="10"/>
  <c r="P771" i="10" s="1"/>
  <c r="O771" i="10"/>
  <c r="I890" i="10"/>
  <c r="P890" i="10" s="1"/>
  <c r="O890" i="10"/>
  <c r="AB798" i="10"/>
  <c r="P798" i="10"/>
  <c r="O136" i="10"/>
  <c r="I136" i="10"/>
  <c r="P136" i="10" s="1"/>
  <c r="AA161" i="10"/>
  <c r="P161" i="10"/>
  <c r="AB691" i="10"/>
  <c r="P691" i="10"/>
  <c r="O378" i="10"/>
  <c r="I378" i="10"/>
  <c r="P378" i="10" s="1"/>
  <c r="AB517" i="10"/>
  <c r="P517" i="10"/>
  <c r="I175" i="10"/>
  <c r="P175" i="10" s="1"/>
  <c r="O175" i="10"/>
  <c r="AC111" i="10"/>
  <c r="I111" i="10"/>
  <c r="P111" i="10" s="1"/>
  <c r="O111" i="10"/>
  <c r="AB638" i="10"/>
  <c r="P638" i="10"/>
  <c r="I74" i="10"/>
  <c r="P74" i="10" s="1"/>
  <c r="O74" i="10"/>
  <c r="AA837" i="10"/>
  <c r="P837" i="10"/>
  <c r="AB303" i="10"/>
  <c r="P303" i="10"/>
  <c r="AC895" i="10"/>
  <c r="I895" i="10"/>
  <c r="P895" i="10" s="1"/>
  <c r="O895" i="10"/>
  <c r="AB246" i="10"/>
  <c r="P246" i="10"/>
  <c r="I754" i="10"/>
  <c r="P754" i="10" s="1"/>
  <c r="O754" i="10"/>
  <c r="O967" i="10"/>
  <c r="I967" i="10"/>
  <c r="O556" i="10"/>
  <c r="I556" i="10"/>
  <c r="P556" i="10" s="1"/>
  <c r="O189" i="10"/>
  <c r="I189" i="10"/>
  <c r="P189" i="10" s="1"/>
  <c r="I961" i="10"/>
  <c r="P961" i="10" s="1"/>
  <c r="O961" i="10"/>
  <c r="H4" i="12"/>
  <c r="P7" i="9"/>
  <c r="I30" i="10"/>
  <c r="P30" i="10" s="1"/>
  <c r="O30" i="10"/>
  <c r="I144" i="10"/>
  <c r="P144" i="10" s="1"/>
  <c r="O144" i="10"/>
  <c r="I266" i="10"/>
  <c r="P266" i="10" s="1"/>
  <c r="O266" i="10"/>
  <c r="P707" i="10"/>
  <c r="I563" i="10"/>
  <c r="P563" i="10" s="1"/>
  <c r="O563" i="10"/>
  <c r="AC163" i="10"/>
  <c r="I163" i="10"/>
  <c r="P163" i="10" s="1"/>
  <c r="O163" i="10"/>
  <c r="AA5" i="10"/>
  <c r="P5" i="10"/>
  <c r="I264" i="10"/>
  <c r="P264" i="10" s="1"/>
  <c r="O264" i="10"/>
  <c r="AA838" i="10"/>
  <c r="P838" i="10"/>
  <c r="I301" i="10"/>
  <c r="P301" i="10" s="1"/>
  <c r="O301" i="10"/>
  <c r="I182" i="10"/>
  <c r="P182" i="10" s="1"/>
  <c r="O182" i="10"/>
  <c r="I769" i="10"/>
  <c r="P769" i="10" s="1"/>
  <c r="O769" i="10"/>
  <c r="I687" i="10"/>
  <c r="P687" i="10" s="1"/>
  <c r="O687" i="10"/>
  <c r="O952" i="10"/>
  <c r="I952" i="10"/>
  <c r="P952" i="10" s="1"/>
  <c r="AC59" i="10"/>
  <c r="I59" i="10"/>
  <c r="P59" i="10" s="1"/>
  <c r="O59" i="10"/>
  <c r="O477" i="10"/>
  <c r="I477" i="10"/>
  <c r="P477" i="10" s="1"/>
  <c r="I794" i="10"/>
  <c r="P794" i="10" s="1"/>
  <c r="O794" i="10"/>
  <c r="AB516" i="10"/>
  <c r="P516" i="10"/>
  <c r="AA499" i="10"/>
  <c r="P499" i="10"/>
  <c r="O660" i="10"/>
  <c r="I660" i="10"/>
  <c r="P660" i="10" s="1"/>
  <c r="AB658" i="10"/>
  <c r="P658" i="10"/>
  <c r="O791" i="10"/>
  <c r="I791" i="10"/>
  <c r="P791" i="10" s="1"/>
  <c r="O92" i="10"/>
  <c r="I92" i="10"/>
  <c r="P92" i="10" s="1"/>
  <c r="AC67" i="10"/>
  <c r="I67" i="10"/>
  <c r="P67" i="10" s="1"/>
  <c r="O67" i="10"/>
  <c r="AC505" i="10"/>
  <c r="I505" i="10"/>
  <c r="P505" i="10" s="1"/>
  <c r="O505" i="10"/>
  <c r="AB430" i="10"/>
  <c r="P430" i="10"/>
  <c r="O271" i="10"/>
  <c r="I271" i="10"/>
  <c r="P271" i="10" s="1"/>
  <c r="I382" i="10"/>
  <c r="P382" i="10" s="1"/>
  <c r="O382" i="10"/>
  <c r="O867" i="10"/>
  <c r="I867" i="10"/>
  <c r="P867" i="10" s="1"/>
  <c r="O842" i="10"/>
  <c r="I842" i="10"/>
  <c r="P842" i="10" s="1"/>
  <c r="I132" i="10"/>
  <c r="P132" i="10" s="1"/>
  <c r="O132" i="10"/>
  <c r="O23" i="10"/>
  <c r="I23" i="10"/>
  <c r="P23" i="10" s="1"/>
  <c r="I184" i="10"/>
  <c r="P184" i="10" s="1"/>
  <c r="O184" i="10"/>
  <c r="I196" i="10"/>
  <c r="P196" i="10" s="1"/>
  <c r="O196" i="10"/>
  <c r="AB797" i="10"/>
  <c r="P797" i="10"/>
  <c r="AC7" i="10"/>
  <c r="I7" i="10"/>
  <c r="P7" i="10" s="1"/>
  <c r="O7" i="10"/>
  <c r="I231" i="10"/>
  <c r="P231" i="10" s="1"/>
  <c r="O231" i="10"/>
  <c r="AB657" i="10"/>
  <c r="P657" i="10"/>
  <c r="O642" i="10"/>
  <c r="I642" i="10"/>
  <c r="P642" i="10" s="1"/>
  <c r="I757" i="10" l="1"/>
  <c r="H163" i="11" s="1"/>
  <c r="P423" i="10"/>
  <c r="I445" i="10"/>
  <c r="H90" i="11" s="1"/>
  <c r="P918" i="10"/>
  <c r="I939" i="10"/>
  <c r="H167" i="11" s="1"/>
  <c r="D18" i="3"/>
  <c r="K18" i="3" s="1"/>
  <c r="K8" i="3"/>
  <c r="P341" i="10"/>
  <c r="I913" i="10"/>
  <c r="H166" i="11" s="1"/>
  <c r="I601" i="10"/>
  <c r="H138" i="11" s="1"/>
  <c r="P601" i="10"/>
  <c r="I497" i="10"/>
  <c r="H135" i="11" s="1"/>
  <c r="P913" i="10"/>
  <c r="I289" i="10"/>
  <c r="H84" i="11" s="1"/>
  <c r="P213" i="10"/>
  <c r="I315" i="10"/>
  <c r="H85" i="11" s="1"/>
  <c r="P367" i="10"/>
  <c r="AB973" i="10"/>
  <c r="P973" i="10"/>
  <c r="P549" i="10"/>
  <c r="I549" i="10"/>
  <c r="H136" i="11" s="1"/>
  <c r="I887" i="10"/>
  <c r="H165" i="11" s="1"/>
  <c r="P497" i="10"/>
  <c r="P315" i="10"/>
  <c r="I367" i="10"/>
  <c r="H87" i="11" s="1"/>
  <c r="P575" i="10"/>
  <c r="O139" i="11"/>
  <c r="I139" i="11"/>
  <c r="P139" i="11" s="1"/>
  <c r="P55" i="10"/>
  <c r="I991" i="10"/>
  <c r="H169" i="11" s="1"/>
  <c r="P967" i="10"/>
  <c r="P991" i="10" s="1"/>
  <c r="P887" i="10"/>
  <c r="I55" i="10"/>
  <c r="H109" i="11" s="1"/>
  <c r="I159" i="10"/>
  <c r="H111" i="11" s="1"/>
  <c r="H5" i="12"/>
  <c r="P12" i="9"/>
  <c r="AB729" i="10"/>
  <c r="P729" i="10"/>
  <c r="P757" i="10" s="1"/>
  <c r="P159" i="10"/>
  <c r="P107" i="10"/>
  <c r="P941" i="10"/>
  <c r="P965" i="10" s="1"/>
  <c r="I965" i="10"/>
  <c r="H168" i="11" s="1"/>
  <c r="I107" i="10"/>
  <c r="H110" i="11" s="1"/>
  <c r="D10" i="3"/>
  <c r="H181" i="9"/>
  <c r="H205" i="9"/>
  <c r="H223" i="9"/>
  <c r="I4" i="12"/>
  <c r="O4" i="12"/>
  <c r="AB241" i="10"/>
  <c r="P241" i="10"/>
  <c r="H647" i="10"/>
  <c r="P28" i="12"/>
  <c r="P211" i="10"/>
  <c r="P395" i="10"/>
  <c r="P419" i="10" s="1"/>
  <c r="I419" i="10"/>
  <c r="H89" i="11" s="1"/>
  <c r="D19" i="3"/>
  <c r="K19" i="3" s="1"/>
  <c r="K17" i="3"/>
  <c r="I211" i="10"/>
  <c r="H112" i="11" s="1"/>
  <c r="I575" i="10"/>
  <c r="H137" i="11" s="1"/>
  <c r="AB431" i="10"/>
  <c r="P431" i="10"/>
  <c r="P445" i="10" s="1"/>
  <c r="P939" i="10"/>
  <c r="I341" i="10"/>
  <c r="H86" i="11" s="1"/>
  <c r="I163" i="11" l="1"/>
  <c r="P163" i="11" s="1"/>
  <c r="O163" i="11"/>
  <c r="I90" i="11"/>
  <c r="P90" i="11" s="1"/>
  <c r="O90" i="11"/>
  <c r="I167" i="11"/>
  <c r="P167" i="11" s="1"/>
  <c r="O167" i="11"/>
  <c r="I86" i="11"/>
  <c r="P86" i="11" s="1"/>
  <c r="O86" i="11"/>
  <c r="O136" i="11"/>
  <c r="I136" i="11"/>
  <c r="P136" i="11" s="1"/>
  <c r="I135" i="11"/>
  <c r="O135" i="11"/>
  <c r="I109" i="11"/>
  <c r="O109" i="11"/>
  <c r="I647" i="10"/>
  <c r="P647" i="10" s="1"/>
  <c r="O647" i="10"/>
  <c r="I169" i="11"/>
  <c r="P169" i="11" s="1"/>
  <c r="O169" i="11"/>
  <c r="I138" i="11"/>
  <c r="P138" i="11" s="1"/>
  <c r="O138" i="11"/>
  <c r="O110" i="11"/>
  <c r="I110" i="11"/>
  <c r="P110" i="11" s="1"/>
  <c r="I166" i="11"/>
  <c r="P166" i="11" s="1"/>
  <c r="O166" i="11"/>
  <c r="I112" i="11"/>
  <c r="P112" i="11" s="1"/>
  <c r="O112" i="11"/>
  <c r="O137" i="11"/>
  <c r="I137" i="11"/>
  <c r="P137" i="11" s="1"/>
  <c r="H795" i="10"/>
  <c r="H689" i="10"/>
  <c r="H636" i="10"/>
  <c r="P4" i="12"/>
  <c r="O168" i="11"/>
  <c r="I168" i="11"/>
  <c r="P168" i="11" s="1"/>
  <c r="I223" i="9"/>
  <c r="O223" i="9"/>
  <c r="I87" i="11"/>
  <c r="P87" i="11" s="1"/>
  <c r="O87" i="11"/>
  <c r="O85" i="11"/>
  <c r="I85" i="11"/>
  <c r="P85" i="11" s="1"/>
  <c r="I205" i="9"/>
  <c r="O205" i="9"/>
  <c r="I5" i="12"/>
  <c r="O5" i="12"/>
  <c r="P289" i="10"/>
  <c r="I89" i="11"/>
  <c r="P89" i="11" s="1"/>
  <c r="O89" i="11"/>
  <c r="I181" i="9"/>
  <c r="O181" i="9"/>
  <c r="I84" i="11"/>
  <c r="P84" i="11" s="1"/>
  <c r="O84" i="11"/>
  <c r="O165" i="11"/>
  <c r="I165" i="11"/>
  <c r="P165" i="11" s="1"/>
  <c r="I111" i="11"/>
  <c r="P111" i="11" s="1"/>
  <c r="O111" i="11"/>
  <c r="D13" i="3"/>
  <c r="K13" i="3" s="1"/>
  <c r="D12" i="3"/>
  <c r="K10" i="3"/>
  <c r="I795" i="10" l="1"/>
  <c r="O795" i="10"/>
  <c r="P205" i="9"/>
  <c r="I217" i="9"/>
  <c r="P109" i="11"/>
  <c r="P133" i="11" s="1"/>
  <c r="I133" i="11"/>
  <c r="H83" i="11" s="1"/>
  <c r="P181" i="9"/>
  <c r="I198" i="9"/>
  <c r="P223" i="9"/>
  <c r="I229" i="9"/>
  <c r="I159" i="11"/>
  <c r="H58" i="11" s="1"/>
  <c r="P135" i="11"/>
  <c r="P159" i="11" s="1"/>
  <c r="I689" i="10"/>
  <c r="P689" i="10" s="1"/>
  <c r="O689" i="10"/>
  <c r="K12" i="3"/>
  <c r="H690" i="10"/>
  <c r="H796" i="10"/>
  <c r="H637" i="10"/>
  <c r="P5" i="12"/>
  <c r="I636" i="10"/>
  <c r="O636" i="10"/>
  <c r="I83" i="11" l="1"/>
  <c r="O83" i="11"/>
  <c r="I58" i="11"/>
  <c r="P58" i="11" s="1"/>
  <c r="O58" i="11"/>
  <c r="H21" i="12"/>
  <c r="P198" i="9"/>
  <c r="H22" i="12"/>
  <c r="P217" i="9"/>
  <c r="P636" i="10"/>
  <c r="I637" i="10"/>
  <c r="P637" i="10" s="1"/>
  <c r="O637" i="10"/>
  <c r="O796" i="10"/>
  <c r="I796" i="10"/>
  <c r="P796" i="10" s="1"/>
  <c r="H23" i="12"/>
  <c r="P229" i="9"/>
  <c r="I690" i="10"/>
  <c r="P690" i="10" s="1"/>
  <c r="O690" i="10"/>
  <c r="P795" i="10"/>
  <c r="P835" i="10" s="1"/>
  <c r="I835" i="10"/>
  <c r="H164" i="11" s="1"/>
  <c r="I653" i="10" l="1"/>
  <c r="H161" i="11" s="1"/>
  <c r="O22" i="12"/>
  <c r="I22" i="12"/>
  <c r="I21" i="12"/>
  <c r="O21" i="12"/>
  <c r="P653" i="10"/>
  <c r="I23" i="12"/>
  <c r="O23" i="12"/>
  <c r="I164" i="11"/>
  <c r="P164" i="11" s="1"/>
  <c r="O164" i="11"/>
  <c r="P83" i="11"/>
  <c r="H686" i="10" l="1"/>
  <c r="H381" i="10"/>
  <c r="P23" i="12"/>
  <c r="H685" i="10"/>
  <c r="P22" i="12"/>
  <c r="H684" i="10"/>
  <c r="P21" i="12"/>
  <c r="I161" i="11"/>
  <c r="O161" i="11"/>
  <c r="P161" i="11" l="1"/>
  <c r="I685" i="10"/>
  <c r="P685" i="10" s="1"/>
  <c r="O685" i="10"/>
  <c r="O686" i="10"/>
  <c r="I686" i="10"/>
  <c r="P686" i="10" s="1"/>
  <c r="O684" i="10"/>
  <c r="I684" i="10"/>
  <c r="I381" i="10"/>
  <c r="O381" i="10"/>
  <c r="P684" i="10" l="1"/>
  <c r="P705" i="10" s="1"/>
  <c r="I705" i="10"/>
  <c r="H162" i="11" s="1"/>
  <c r="P381" i="10"/>
  <c r="P393" i="10" s="1"/>
  <c r="I393" i="10"/>
  <c r="H88" i="11" s="1"/>
  <c r="O88" i="11" l="1"/>
  <c r="I88" i="11"/>
  <c r="O162" i="11"/>
  <c r="I162" i="11"/>
  <c r="P162" i="11" l="1"/>
  <c r="P185" i="11" s="1"/>
  <c r="I185" i="11"/>
  <c r="H59" i="11" s="1"/>
  <c r="P88" i="11"/>
  <c r="P107" i="11" s="1"/>
  <c r="I107" i="11"/>
  <c r="H57" i="11" s="1"/>
  <c r="O57" i="11" l="1"/>
  <c r="I57" i="11"/>
  <c r="O59" i="11"/>
  <c r="I59" i="11"/>
  <c r="P59" i="11" s="1"/>
  <c r="I81" i="11" l="1"/>
  <c r="H5" i="11" s="1"/>
  <c r="P57" i="11"/>
  <c r="P81" i="11" s="1"/>
  <c r="O5" i="11" l="1"/>
  <c r="I5" i="11"/>
  <c r="P5" i="11" l="1"/>
  <c r="P29" i="11" s="1"/>
  <c r="I29" i="11"/>
  <c r="B2" i="5" s="1"/>
  <c r="D5" i="3" l="1"/>
  <c r="F2" i="5"/>
  <c r="D7" i="3" l="1"/>
  <c r="D30" i="3" s="1"/>
  <c r="K30" i="3" s="1"/>
  <c r="K5" i="3"/>
  <c r="D16" i="3" l="1"/>
  <c r="K16" i="3" s="1"/>
  <c r="D15" i="3"/>
  <c r="K7" i="3"/>
  <c r="K15" i="3" l="1"/>
  <c r="D25" i="3"/>
  <c r="K25" i="3" l="1"/>
  <c r="D27" i="3"/>
  <c r="D26" i="3"/>
  <c r="K26" i="3" s="1"/>
  <c r="K27" i="3" l="1"/>
  <c r="D28" i="3"/>
  <c r="K28" i="3" s="1"/>
  <c r="D29" i="3" s="1"/>
  <c r="K31" i="3" l="1"/>
  <c r="K29" i="3"/>
  <c r="K36" i="3" l="1"/>
  <c r="D36" i="3" s="1"/>
</calcChain>
</file>

<file path=xl/comments1.xml><?xml version="1.0" encoding="utf-8"?>
<comments xmlns="http://schemas.openxmlformats.org/spreadsheetml/2006/main">
  <authors>
    <author>박종황</author>
  </authors>
  <commentList>
    <comment ref="I88" authorId="0" shapeId="0">
      <text>
        <r>
          <rPr>
            <sz val="9"/>
            <color indexed="8"/>
            <rFont val="굴림"/>
            <family val="3"/>
            <charset val="129"/>
          </rPr>
          <t>사이트접속주소
http://cyber.kepco.co.kr/cyber/personal/knowledgy/agreement/electric/electric010704.html</t>
        </r>
      </text>
    </comment>
  </commentList>
</comments>
</file>

<file path=xl/sharedStrings.xml><?xml version="1.0" encoding="utf-8"?>
<sst xmlns="http://schemas.openxmlformats.org/spreadsheetml/2006/main" count="21382" uniqueCount="3351">
  <si>
    <t>단위</t>
    <phoneticPr fontId="2" type="noConversion"/>
  </si>
  <si>
    <t>수량</t>
    <phoneticPr fontId="2" type="noConversion"/>
  </si>
  <si>
    <t xml:space="preserve"> </t>
    <phoneticPr fontId="2" type="noConversion"/>
  </si>
  <si>
    <t xml:space="preserve"> </t>
    <phoneticPr fontId="2" type="noConversion"/>
  </si>
  <si>
    <t>원 가 계 산 서</t>
    <phoneticPr fontId="2" type="noConversion"/>
  </si>
  <si>
    <t>비 목</t>
    <phoneticPr fontId="2" type="noConversion"/>
  </si>
  <si>
    <t>구  분</t>
    <phoneticPr fontId="2" type="noConversion"/>
  </si>
  <si>
    <t>금 액</t>
    <phoneticPr fontId="2" type="noConversion"/>
  </si>
  <si>
    <t xml:space="preserve"> </t>
    <phoneticPr fontId="2" type="noConversion"/>
  </si>
  <si>
    <t>노무비</t>
    <phoneticPr fontId="2" type="noConversion"/>
  </si>
  <si>
    <t>경비</t>
    <phoneticPr fontId="2" type="noConversion"/>
  </si>
  <si>
    <t>재료비</t>
    <phoneticPr fontId="2" type="noConversion"/>
  </si>
  <si>
    <t>계</t>
    <phoneticPr fontId="2" type="noConversion"/>
  </si>
  <si>
    <t>총 급 액</t>
    <phoneticPr fontId="2" type="noConversion"/>
  </si>
  <si>
    <t>*(공종별 노임 적용율(%))*</t>
    <phoneticPr fontId="2" type="noConversion"/>
  </si>
  <si>
    <t>적용율(%)</t>
    <phoneticPr fontId="2" type="noConversion"/>
  </si>
  <si>
    <t>소수자릿수</t>
    <phoneticPr fontId="2" type="noConversion"/>
  </si>
  <si>
    <t>끝자리</t>
    <phoneticPr fontId="2" type="noConversion"/>
  </si>
  <si>
    <t>소모잡자재(%)</t>
    <phoneticPr fontId="2" type="noConversion"/>
  </si>
  <si>
    <t>방폭할증(%)</t>
    <phoneticPr fontId="2" type="noConversion"/>
  </si>
  <si>
    <t>고소할증(%)</t>
    <phoneticPr fontId="2" type="noConversion"/>
  </si>
  <si>
    <t>공구손료(%)</t>
    <phoneticPr fontId="2" type="noConversion"/>
  </si>
  <si>
    <t>코드</t>
    <phoneticPr fontId="2" type="noConversion"/>
  </si>
  <si>
    <t>코드</t>
    <phoneticPr fontId="2" type="noConversion"/>
  </si>
  <si>
    <t>단위</t>
    <phoneticPr fontId="2" type="noConversion"/>
  </si>
  <si>
    <t>물가정보</t>
    <phoneticPr fontId="2" type="noConversion"/>
  </si>
  <si>
    <t>단가</t>
    <phoneticPr fontId="2" type="noConversion"/>
  </si>
  <si>
    <t>공종코드</t>
    <phoneticPr fontId="2" type="noConversion"/>
  </si>
  <si>
    <t>규격</t>
    <phoneticPr fontId="2" type="noConversion"/>
  </si>
  <si>
    <t>재료비</t>
    <phoneticPr fontId="2" type="noConversion"/>
  </si>
  <si>
    <t>노무비</t>
    <phoneticPr fontId="2" type="noConversion"/>
  </si>
  <si>
    <t>경비</t>
    <phoneticPr fontId="2" type="noConversion"/>
  </si>
  <si>
    <t>지급비</t>
    <phoneticPr fontId="2" type="noConversion"/>
  </si>
  <si>
    <t>비고</t>
    <phoneticPr fontId="2" type="noConversion"/>
  </si>
  <si>
    <t>…</t>
    <phoneticPr fontId="2" type="noConversion"/>
  </si>
  <si>
    <t>계</t>
    <phoneticPr fontId="2" type="noConversion"/>
  </si>
  <si>
    <t>단가</t>
    <phoneticPr fontId="2" type="noConversion"/>
  </si>
  <si>
    <t>금액</t>
    <phoneticPr fontId="2" type="noConversion"/>
  </si>
  <si>
    <t>단가</t>
    <phoneticPr fontId="2" type="noConversion"/>
  </si>
  <si>
    <t>단가</t>
    <phoneticPr fontId="2" type="noConversion"/>
  </si>
  <si>
    <t xml:space="preserve">  </t>
    <phoneticPr fontId="2" type="noConversion"/>
  </si>
  <si>
    <t>계</t>
    <phoneticPr fontId="2" type="noConversion"/>
  </si>
  <si>
    <t>구  성  비</t>
    <phoneticPr fontId="2" type="noConversion"/>
  </si>
  <si>
    <t>재 료 비</t>
    <phoneticPr fontId="2" type="noConversion"/>
  </si>
  <si>
    <t>순</t>
    <phoneticPr fontId="2" type="noConversion"/>
  </si>
  <si>
    <t>노 무 비</t>
    <phoneticPr fontId="2" type="noConversion"/>
  </si>
  <si>
    <t>공</t>
    <phoneticPr fontId="2" type="noConversion"/>
  </si>
  <si>
    <t>경</t>
    <phoneticPr fontId="2" type="noConversion"/>
  </si>
  <si>
    <t>사</t>
    <phoneticPr fontId="2" type="noConversion"/>
  </si>
  <si>
    <t>비</t>
    <phoneticPr fontId="2" type="noConversion"/>
  </si>
  <si>
    <t>번호</t>
    <phoneticPr fontId="2" type="noConversion"/>
  </si>
  <si>
    <t>번호</t>
    <phoneticPr fontId="2" type="noConversion"/>
  </si>
  <si>
    <t>코드</t>
    <phoneticPr fontId="2" type="noConversion"/>
  </si>
  <si>
    <t>단가</t>
    <phoneticPr fontId="2" type="noConversion"/>
  </si>
  <si>
    <t>…</t>
    <phoneticPr fontId="2" type="noConversion"/>
  </si>
  <si>
    <t>비고</t>
    <phoneticPr fontId="2" type="noConversion"/>
  </si>
  <si>
    <t>공   종   명</t>
    <phoneticPr fontId="2" type="noConversion"/>
  </si>
  <si>
    <t>명   칭</t>
    <phoneticPr fontId="2" type="noConversion"/>
  </si>
  <si>
    <t>규   격</t>
    <phoneticPr fontId="2" type="noConversion"/>
  </si>
  <si>
    <t>적용단가</t>
    <phoneticPr fontId="2" type="noConversion"/>
  </si>
  <si>
    <t>PAGE</t>
    <phoneticPr fontId="2" type="noConversion"/>
  </si>
  <si>
    <t>PAGE</t>
    <phoneticPr fontId="2" type="noConversion"/>
  </si>
  <si>
    <t xml:space="preserve"> </t>
    <phoneticPr fontId="2" type="noConversion"/>
  </si>
  <si>
    <t>노임 계산 정보</t>
    <phoneticPr fontId="2" type="noConversion"/>
  </si>
  <si>
    <t>노임계</t>
    <phoneticPr fontId="2" type="noConversion"/>
  </si>
  <si>
    <t>전체(%)</t>
    <phoneticPr fontId="2" type="noConversion"/>
  </si>
  <si>
    <t>공종별(%)</t>
    <phoneticPr fontId="2" type="noConversion"/>
  </si>
  <si>
    <t>노임 소수</t>
    <phoneticPr fontId="2" type="noConversion"/>
  </si>
  <si>
    <t>부속재 및 손료</t>
    <phoneticPr fontId="2" type="noConversion"/>
  </si>
  <si>
    <t>소모재</t>
    <phoneticPr fontId="2" type="noConversion"/>
  </si>
  <si>
    <t>노임계</t>
    <phoneticPr fontId="2" type="noConversion"/>
  </si>
  <si>
    <t>자재계</t>
    <phoneticPr fontId="2" type="noConversion"/>
  </si>
  <si>
    <t>*(그룹별 자재 단가 추가 할증)*</t>
    <phoneticPr fontId="2" type="noConversion"/>
  </si>
  <si>
    <t>Cable(CAB) 할증(%)</t>
    <phoneticPr fontId="2" type="noConversion"/>
  </si>
  <si>
    <t>Wire (WIR) 할증(%)</t>
    <phoneticPr fontId="2" type="noConversion"/>
  </si>
  <si>
    <t>제 4그룹   할증(%)</t>
    <phoneticPr fontId="2" type="noConversion"/>
  </si>
  <si>
    <t>제 5그룹   할증(%)</t>
    <phoneticPr fontId="2" type="noConversion"/>
  </si>
  <si>
    <t>Pipe (PIP) 할증(%)</t>
    <phoneticPr fontId="2" type="noConversion"/>
  </si>
  <si>
    <t>적용율(%)/100</t>
    <phoneticPr fontId="2" type="noConversion"/>
  </si>
  <si>
    <t>금액</t>
    <phoneticPr fontId="2" type="noConversion"/>
  </si>
  <si>
    <t>요율</t>
    <phoneticPr fontId="2" type="noConversion"/>
  </si>
  <si>
    <t>수량</t>
    <phoneticPr fontId="2" type="noConversion"/>
  </si>
  <si>
    <t>끝자리 맞추기</t>
    <phoneticPr fontId="2" type="noConversion"/>
  </si>
  <si>
    <t>이윤</t>
    <phoneticPr fontId="2" type="noConversion"/>
  </si>
  <si>
    <t>공사명:</t>
    <phoneticPr fontId="2" type="noConversion"/>
  </si>
  <si>
    <t>목차코드</t>
    <phoneticPr fontId="2" type="noConversion"/>
  </si>
  <si>
    <t>비고</t>
    <phoneticPr fontId="2" type="noConversion"/>
  </si>
  <si>
    <t>단가</t>
    <phoneticPr fontId="2" type="noConversion"/>
  </si>
  <si>
    <t>CD관부속재(%)</t>
  </si>
  <si>
    <t>*(그룹별 노임 추가 할증)*</t>
  </si>
  <si>
    <t>적용율(%)</t>
  </si>
  <si>
    <t>자동부속재(전기)</t>
  </si>
  <si>
    <t>자동부속재(통신)</t>
  </si>
  <si>
    <t>배관부속재(%)</t>
  </si>
  <si>
    <t>일반배관재</t>
    <phoneticPr fontId="2" type="noConversion"/>
  </si>
  <si>
    <t>CD배관재</t>
    <phoneticPr fontId="2" type="noConversion"/>
  </si>
  <si>
    <t>일위대가소수</t>
    <phoneticPr fontId="2" type="noConversion"/>
  </si>
  <si>
    <t>번호</t>
    <phoneticPr fontId="2" type="noConversion"/>
  </si>
  <si>
    <t>공종코드</t>
    <phoneticPr fontId="2" type="noConversion"/>
  </si>
  <si>
    <t>코드</t>
    <phoneticPr fontId="2" type="noConversion"/>
  </si>
  <si>
    <t>명   칭</t>
    <phoneticPr fontId="2" type="noConversion"/>
  </si>
  <si>
    <t>규   격</t>
    <phoneticPr fontId="2" type="noConversion"/>
  </si>
  <si>
    <t>단위</t>
    <phoneticPr fontId="2" type="noConversion"/>
  </si>
  <si>
    <t>수량</t>
    <phoneticPr fontId="2" type="noConversion"/>
  </si>
  <si>
    <t>공량산출</t>
    <phoneticPr fontId="2" type="noConversion"/>
  </si>
  <si>
    <t>단 위 단 가 산 출</t>
    <phoneticPr fontId="2" type="noConversion"/>
  </si>
  <si>
    <t>품셈근거</t>
    <phoneticPr fontId="2" type="noConversion"/>
  </si>
  <si>
    <t>비고</t>
    <phoneticPr fontId="2" type="noConversion"/>
  </si>
  <si>
    <t>결정수량</t>
    <phoneticPr fontId="2" type="noConversion"/>
  </si>
  <si>
    <t>할증</t>
    <phoneticPr fontId="2" type="noConversion"/>
  </si>
  <si>
    <t>산출수량</t>
    <phoneticPr fontId="2" type="noConversion"/>
  </si>
  <si>
    <t>재할%</t>
    <phoneticPr fontId="2" type="noConversion"/>
  </si>
  <si>
    <t>명칭</t>
    <phoneticPr fontId="2" type="noConversion"/>
  </si>
  <si>
    <t>품셈</t>
    <phoneticPr fontId="2" type="noConversion"/>
  </si>
  <si>
    <t>할증%</t>
    <phoneticPr fontId="2" type="noConversion"/>
  </si>
  <si>
    <t>공량</t>
    <phoneticPr fontId="2" type="noConversion"/>
  </si>
  <si>
    <t>단가</t>
    <phoneticPr fontId="2" type="noConversion"/>
  </si>
  <si>
    <t>단위단가</t>
    <phoneticPr fontId="2" type="noConversion"/>
  </si>
  <si>
    <t>단위계</t>
    <phoneticPr fontId="2" type="noConversion"/>
  </si>
  <si>
    <t>전체자재 적용율(%)(공종/일위대가)</t>
    <phoneticPr fontId="2" type="noConversion"/>
  </si>
  <si>
    <t>전체노임 적용율(%)(공종)</t>
    <phoneticPr fontId="2" type="noConversion"/>
  </si>
  <si>
    <t>전체노임 적용율(%)(일위대가)</t>
    <phoneticPr fontId="2" type="noConversion"/>
  </si>
  <si>
    <t>거래가격</t>
    <phoneticPr fontId="2" type="noConversion"/>
  </si>
  <si>
    <t>조사단가1</t>
    <phoneticPr fontId="2" type="noConversion"/>
  </si>
  <si>
    <t>조사단가2</t>
    <phoneticPr fontId="2" type="noConversion"/>
  </si>
  <si>
    <t>연속견적가로형식</t>
  </si>
  <si>
    <t>시설단가</t>
    <phoneticPr fontId="2" type="noConversion"/>
  </si>
  <si>
    <t>금액조정이 안되나요?</t>
    <phoneticPr fontId="2" type="noConversion"/>
  </si>
  <si>
    <t>이지테크에서 변환할 때 2번 옵션을 지정하여 다시 해보세요</t>
    <phoneticPr fontId="2" type="noConversion"/>
  </si>
  <si>
    <t>시트를 삭제할 때 에러가 뜨면 1번 옵션으로 하면 됩니다.</t>
    <phoneticPr fontId="2" type="noConversion"/>
  </si>
  <si>
    <t>2번 옵션으로 변환했을 때에는 결과값이 다를 수 있습니다.</t>
    <phoneticPr fontId="2" type="noConversion"/>
  </si>
  <si>
    <t>1-1-2.전력간선설비공사</t>
  </si>
  <si>
    <t>1-1-3.동력설비공사</t>
  </si>
  <si>
    <t>1-1-4.전등설비공사</t>
  </si>
  <si>
    <t>1-1-5.전열설비공사</t>
  </si>
  <si>
    <t>1-1-6.피뢰설비공사</t>
  </si>
  <si>
    <t>1-1-7.태양광설비공사</t>
  </si>
  <si>
    <t>1-1-8.원격검침설비공사</t>
  </si>
  <si>
    <t>1-1-1-1.전기단위세대(52㎡-4세대)</t>
  </si>
  <si>
    <t>1-1-1-2.전기단위세대(51㎡-39세대)</t>
  </si>
  <si>
    <t>1-1-1-3.전기단위세대(42㎡-17세대)</t>
  </si>
  <si>
    <t>1-1-1-4.전기단위세대(20㎡-20세대)</t>
  </si>
  <si>
    <t>1-2-1.전력간선설비공사</t>
  </si>
  <si>
    <t>1-2-2.동력설비공사</t>
  </si>
  <si>
    <t>1-2-3.전등설비공사</t>
  </si>
  <si>
    <t>1-2-4.전열설비공사</t>
  </si>
  <si>
    <t>1-2-5.원격검침설비공사</t>
  </si>
  <si>
    <t>1-3-1.옥외보안등공사</t>
  </si>
  <si>
    <t>1-3-2.수변전설비공사</t>
  </si>
  <si>
    <t>1-3-3.전력간선설비공사</t>
  </si>
  <si>
    <t>1-3-4.동력설비공사</t>
  </si>
  <si>
    <t>1-3-5.전등설비공사</t>
  </si>
  <si>
    <t>1-3-6.전열설비공사</t>
  </si>
  <si>
    <t>1-3-7.접지설비공사</t>
  </si>
  <si>
    <t>1-3-8.CABLE TRAY설비공사</t>
  </si>
  <si>
    <t>1-3-9.빌딩자동제어공사</t>
  </si>
  <si>
    <t>2-1.조명기구</t>
  </si>
  <si>
    <t>2-2.분전반</t>
  </si>
  <si>
    <t>3-1.수배전반</t>
  </si>
  <si>
    <t>3-2.발전기</t>
  </si>
  <si>
    <t>3-3.태양광설비</t>
  </si>
  <si>
    <t>3-4.빌딩자동제어</t>
  </si>
  <si>
    <t>물가자료</t>
    <phoneticPr fontId="2" type="noConversion"/>
  </si>
  <si>
    <t>3913170610034965</t>
  </si>
  <si>
    <t>경질비닐전선관</t>
  </si>
  <si>
    <t>HI 16 mm</t>
  </si>
  <si>
    <t>M</t>
  </si>
  <si>
    <t>1024</t>
  </si>
  <si>
    <t>1-1203</t>
  </si>
  <si>
    <t>1107</t>
  </si>
  <si>
    <t>860</t>
  </si>
  <si>
    <t>3913170610034967</t>
  </si>
  <si>
    <t>HI 28 mm</t>
  </si>
  <si>
    <t>3913170610034968</t>
  </si>
  <si>
    <t>HI 36 mm</t>
  </si>
  <si>
    <t>3913170610034969</t>
  </si>
  <si>
    <t>HI 42 mm</t>
  </si>
  <si>
    <t>3913170610035664</t>
  </si>
  <si>
    <t>합성수지제 가요전선관</t>
  </si>
  <si>
    <t>CD-난연성 16㎜</t>
  </si>
  <si>
    <t>1025</t>
  </si>
  <si>
    <t>1104</t>
  </si>
  <si>
    <t>859</t>
  </si>
  <si>
    <t>3913170610035665</t>
  </si>
  <si>
    <t>CD-난연성 22㎜</t>
  </si>
  <si>
    <t>3913170610035631</t>
  </si>
  <si>
    <t>파상형 폴리에틸렌 전선관</t>
  </si>
  <si>
    <t>30㎜</t>
  </si>
  <si>
    <t>861</t>
  </si>
  <si>
    <t>3913170610035632</t>
  </si>
  <si>
    <t>40㎜</t>
  </si>
  <si>
    <t>1106</t>
  </si>
  <si>
    <t>3913170610035634</t>
  </si>
  <si>
    <t>65㎜</t>
  </si>
  <si>
    <t>1,106</t>
  </si>
  <si>
    <t>MMJ4705529200000</t>
  </si>
  <si>
    <t>125㎜-2열 포설</t>
  </si>
  <si>
    <t>3913170620174434</t>
  </si>
  <si>
    <t>1종금속제가요전선관</t>
  </si>
  <si>
    <t>커넥터, 16 mm 일반-비방수</t>
  </si>
  <si>
    <t>개</t>
  </si>
  <si>
    <t>인터넷</t>
  </si>
  <si>
    <t>1101</t>
  </si>
  <si>
    <t>3913170620174436</t>
  </si>
  <si>
    <t>커넥터, 28 mm 일반-비방수</t>
  </si>
  <si>
    <t>3913170620174437</t>
  </si>
  <si>
    <t>커넥터, 36 mm 일반-비방수</t>
  </si>
  <si>
    <t>3913170620174448</t>
  </si>
  <si>
    <t>커넥터, 28 mm 일반-방수</t>
  </si>
  <si>
    <t>3913170620174449</t>
  </si>
  <si>
    <t>커넥터, 36 mm 일반-방수</t>
  </si>
  <si>
    <t>3913170620174450</t>
  </si>
  <si>
    <t>커넥터, 42 mm 일반-방수</t>
  </si>
  <si>
    <t>3913170620174451</t>
  </si>
  <si>
    <t>커넥터, 54 mm 일반-방수</t>
  </si>
  <si>
    <t>3913170620174478</t>
  </si>
  <si>
    <t>16 mm 고장력-비방수</t>
  </si>
  <si>
    <t>3913170620174480</t>
  </si>
  <si>
    <t>28 mm 고장력-비방수</t>
  </si>
  <si>
    <t>3913170620174481</t>
  </si>
  <si>
    <t>36 mm 고장력-비방수</t>
  </si>
  <si>
    <t>3913170620174472</t>
  </si>
  <si>
    <t>28 mm 고장력-방수</t>
  </si>
  <si>
    <t>3913170620174473</t>
  </si>
  <si>
    <t>36 mm 고장력-방수</t>
  </si>
  <si>
    <t>3913170620174474</t>
  </si>
  <si>
    <t>42 mm 고장력-방수</t>
  </si>
  <si>
    <t>3912139920409528</t>
  </si>
  <si>
    <t>발포지수제</t>
  </si>
  <si>
    <t>D100 이하</t>
  </si>
  <si>
    <t>3912139920409529</t>
  </si>
  <si>
    <t>D150 이하</t>
  </si>
  <si>
    <t>3912139920935638</t>
  </si>
  <si>
    <t>수밀보호테이프</t>
  </si>
  <si>
    <t>3913170820174926</t>
  </si>
  <si>
    <t>실링가스켓</t>
  </si>
  <si>
    <t>D50</t>
  </si>
  <si>
    <t>3913170820174927</t>
  </si>
  <si>
    <t>D65</t>
  </si>
  <si>
    <t>3913170820174931</t>
  </si>
  <si>
    <t>D150</t>
  </si>
  <si>
    <t>3913170820935650</t>
  </si>
  <si>
    <t>관구밀폐기</t>
  </si>
  <si>
    <t>이종연결관Φ50mm</t>
  </si>
  <si>
    <t>1229</t>
  </si>
  <si>
    <t>3913170820935651</t>
  </si>
  <si>
    <t>이종연결관Φ65mm</t>
  </si>
  <si>
    <t>3913170820935654</t>
  </si>
  <si>
    <t>이종연결관Φ150m</t>
  </si>
  <si>
    <t>3913170820176468</t>
  </si>
  <si>
    <t>강제전선관용 부품</t>
  </si>
  <si>
    <t>위샤캡, 28 C</t>
  </si>
  <si>
    <t>3913170820935617</t>
  </si>
  <si>
    <t>경질비닐전선관용 부품</t>
  </si>
  <si>
    <t>노말밴드, 28 mm</t>
  </si>
  <si>
    <t>3913170820935618</t>
  </si>
  <si>
    <t>노말밴드, 36 mm</t>
  </si>
  <si>
    <t>3913170820935619</t>
  </si>
  <si>
    <t>노말밴드, 42 mm</t>
  </si>
  <si>
    <t>3912130810035750</t>
  </si>
  <si>
    <t>아우트렛박스</t>
  </si>
  <si>
    <t>8각 54㎜</t>
  </si>
  <si>
    <t>1028</t>
  </si>
  <si>
    <t>1-1206</t>
  </si>
  <si>
    <t>1105</t>
  </si>
  <si>
    <t>873</t>
  </si>
  <si>
    <t>3912130810035753</t>
  </si>
  <si>
    <t>중형4각 54㎜</t>
  </si>
  <si>
    <t>3912130610035778</t>
  </si>
  <si>
    <t>스위치박스</t>
  </si>
  <si>
    <t>1 개용 54 mm</t>
  </si>
  <si>
    <t>3912130610035781</t>
  </si>
  <si>
    <t>2 개용 54 mm</t>
  </si>
  <si>
    <t>3912130610036786</t>
  </si>
  <si>
    <t>연결박스</t>
  </si>
  <si>
    <t>4각 44㎜</t>
  </si>
  <si>
    <t>3912130820174712</t>
  </si>
  <si>
    <t>아우트렛박스 커버</t>
  </si>
  <si>
    <t>커버, 8각, 둥근구멍(평)</t>
  </si>
  <si>
    <t>3912130820174715</t>
  </si>
  <si>
    <t>커버, 4각, 둥근구멍(평)</t>
  </si>
  <si>
    <t>3912130820174718</t>
  </si>
  <si>
    <t>커버, 4각,2개용S/W (오목)</t>
  </si>
  <si>
    <t>3912131020170565</t>
  </si>
  <si>
    <t>시스템 박스</t>
  </si>
  <si>
    <t>Con'매입용</t>
  </si>
  <si>
    <t>3912130320175917</t>
  </si>
  <si>
    <t>정션 박스</t>
  </si>
  <si>
    <t>100*100*50</t>
  </si>
  <si>
    <t>EA</t>
  </si>
  <si>
    <t>3912130310035794</t>
  </si>
  <si>
    <t>풀박스</t>
  </si>
  <si>
    <t>100×100×50</t>
  </si>
  <si>
    <t>3912130310035797</t>
  </si>
  <si>
    <t>150×150×100</t>
  </si>
  <si>
    <t>3912130320174775</t>
  </si>
  <si>
    <t>600×600×300</t>
  </si>
  <si>
    <t>3913170920173642</t>
  </si>
  <si>
    <t>레이스웨이</t>
  </si>
  <si>
    <t>BODY, 40×40</t>
  </si>
  <si>
    <t>1040</t>
  </si>
  <si>
    <t>1-1205</t>
  </si>
  <si>
    <t>3913170910034922</t>
  </si>
  <si>
    <t>COVER, 40 x 40</t>
  </si>
  <si>
    <t>3913170910034925</t>
  </si>
  <si>
    <t>JONER, 40 x 40</t>
  </si>
  <si>
    <t>3913170910034928</t>
  </si>
  <si>
    <t>END CAP, 40 x 40</t>
  </si>
  <si>
    <t>3913170910034936</t>
  </si>
  <si>
    <t>A형 HANGER, 40 x 40</t>
  </si>
  <si>
    <t>3913170910034944</t>
  </si>
  <si>
    <t>JOINT BOX, 40 x 40</t>
  </si>
  <si>
    <t>3913170910034933</t>
  </si>
  <si>
    <t>기구용금구, 40 x 40</t>
  </si>
  <si>
    <t>3913170920173646</t>
  </si>
  <si>
    <t>JUNC.BOX - 2 방, 40×40</t>
  </si>
  <si>
    <t>3913170420174125</t>
  </si>
  <si>
    <t>케이블트레이</t>
  </si>
  <si>
    <t>STRAIGHT,St W800x100Hx2.3t</t>
  </si>
  <si>
    <t>1035</t>
  </si>
  <si>
    <t>1-1215</t>
  </si>
  <si>
    <t>3913170520175725</t>
  </si>
  <si>
    <t>케이블트레이부속품</t>
  </si>
  <si>
    <t>H. ELBOW, St,W800x100Hx2.3t</t>
  </si>
  <si>
    <t>3913170520178225</t>
  </si>
  <si>
    <t>V. ELBOW, St,W800x100Hx2.3t</t>
  </si>
  <si>
    <t>3913170520175118</t>
  </si>
  <si>
    <t>JOINT CONNEC.아연도100Hx2.3</t>
  </si>
  <si>
    <t>1114</t>
  </si>
  <si>
    <t>3913170520175120</t>
  </si>
  <si>
    <t>SHANK BOLT &amp; NUT, 아연도</t>
  </si>
  <si>
    <t>3913170520175124</t>
  </si>
  <si>
    <t>BONDING JUMPER, 35㎟</t>
  </si>
  <si>
    <t>3913170520935624</t>
  </si>
  <si>
    <t>RAIL CLAMP</t>
  </si>
  <si>
    <t>3913170520175125</t>
  </si>
  <si>
    <t>HOLD DOWN CLAMP, 아연도</t>
  </si>
  <si>
    <t>3913170520175126</t>
  </si>
  <si>
    <t>찬넬스프링 너트, 아연도</t>
  </si>
  <si>
    <t>3913170520175128</t>
  </si>
  <si>
    <t>U CHANNEL, 41x41x2.6t</t>
  </si>
  <si>
    <t>3913170420174039</t>
  </si>
  <si>
    <t>AL, 2.0txW300 x H70</t>
  </si>
  <si>
    <t>3913170520175147</t>
  </si>
  <si>
    <t>AL HOR. ELBOW, W300 x H70</t>
  </si>
  <si>
    <t>3913170520175165</t>
  </si>
  <si>
    <t>AL HOR. TEE, W300 x H70</t>
  </si>
  <si>
    <t>3913170520175180</t>
  </si>
  <si>
    <t>JOINT CONNEC. Al H70</t>
  </si>
  <si>
    <t>1123</t>
  </si>
  <si>
    <t>3913170420175332</t>
  </si>
  <si>
    <t>덕트형 케이블트레이</t>
  </si>
  <si>
    <t>DUCT, W 200 x H 100</t>
  </si>
  <si>
    <t>3913170520175442</t>
  </si>
  <si>
    <t>덕트형 케이블트레이부속</t>
  </si>
  <si>
    <t>HOR. ELBOW, W 200</t>
  </si>
  <si>
    <t>3913170520175449</t>
  </si>
  <si>
    <t>VER. ELBOW, W 200</t>
  </si>
  <si>
    <t>3913170810036336</t>
  </si>
  <si>
    <t>강재전선관용 부품</t>
  </si>
  <si>
    <t>파이프크램프, 28 C</t>
  </si>
  <si>
    <t>864</t>
  </si>
  <si>
    <t>3913170810036337</t>
  </si>
  <si>
    <t>파이프크램프, 36 C</t>
  </si>
  <si>
    <t>3913170810036338</t>
  </si>
  <si>
    <t>파이프크램프, 42 C</t>
  </si>
  <si>
    <t>3913170810036339</t>
  </si>
  <si>
    <t>파이프크램프, 54 C</t>
  </si>
  <si>
    <t>3913170810036357</t>
  </si>
  <si>
    <t>파이프행거, 16 C</t>
  </si>
  <si>
    <t>1029</t>
  </si>
  <si>
    <t>1-1202</t>
  </si>
  <si>
    <t>3913170810036358</t>
  </si>
  <si>
    <t>파이프행거, 22 C</t>
  </si>
  <si>
    <t>3913170810036359</t>
  </si>
  <si>
    <t>파이프행거, 28 C</t>
  </si>
  <si>
    <t>3913170810036360</t>
  </si>
  <si>
    <t>파이프행거, 36 C</t>
  </si>
  <si>
    <t>3913170810036361</t>
  </si>
  <si>
    <t>파이프행거, 42 C</t>
  </si>
  <si>
    <t>3913170810036362</t>
  </si>
  <si>
    <t>파이프행거, 54 C</t>
  </si>
  <si>
    <t>3913170810036363</t>
  </si>
  <si>
    <t>파이프행거, 70 C</t>
  </si>
  <si>
    <t>3116210220135750</t>
  </si>
  <si>
    <t>셋트앵커</t>
  </si>
  <si>
    <t>M25×L250mm</t>
  </si>
  <si>
    <t>3116210220135769</t>
  </si>
  <si>
    <t>스트롱앵커(내진)</t>
  </si>
  <si>
    <t>3/8</t>
  </si>
  <si>
    <t>에스아이</t>
  </si>
  <si>
    <t>3116169820135160</t>
  </si>
  <si>
    <t>행거볼트</t>
  </si>
  <si>
    <t>M10×1000㎜</t>
  </si>
  <si>
    <t>1-43</t>
  </si>
  <si>
    <t>51</t>
  </si>
  <si>
    <t>2612162922076726</t>
  </si>
  <si>
    <t>450/750V 내열비닐절연전선</t>
  </si>
  <si>
    <t>HFIX 1.38mm(1.5㎟)</t>
  </si>
  <si>
    <t>993</t>
  </si>
  <si>
    <t>1-1165</t>
  </si>
  <si>
    <t>1074</t>
  </si>
  <si>
    <t>833</t>
  </si>
  <si>
    <t>2612162922076727</t>
  </si>
  <si>
    <t>HFIX 1.78mm(2.5㎟)</t>
  </si>
  <si>
    <t>2612162922076728</t>
  </si>
  <si>
    <t>HFIX 2.25mm(4㎟)</t>
  </si>
  <si>
    <t>2612152420683696</t>
  </si>
  <si>
    <t>접지용비닐절연전선(F-GV)</t>
  </si>
  <si>
    <t>4㎟</t>
  </si>
  <si>
    <t>994</t>
  </si>
  <si>
    <t>1075</t>
  </si>
  <si>
    <t>2612152420683697</t>
  </si>
  <si>
    <t>6㎟</t>
  </si>
  <si>
    <t>2612152420683698</t>
  </si>
  <si>
    <t>10㎟</t>
  </si>
  <si>
    <t>2612152420683699</t>
  </si>
  <si>
    <t>16㎟</t>
  </si>
  <si>
    <t>2612152420683700</t>
  </si>
  <si>
    <t>25㎟</t>
  </si>
  <si>
    <t>2612152420683701</t>
  </si>
  <si>
    <t>35㎟</t>
  </si>
  <si>
    <t>2612152420683702</t>
  </si>
  <si>
    <t>50㎟</t>
  </si>
  <si>
    <t>2612152420683703</t>
  </si>
  <si>
    <t>70㎟</t>
  </si>
  <si>
    <t>2612152420683704</t>
  </si>
  <si>
    <t>95㎟</t>
  </si>
  <si>
    <t>2612152420683705</t>
  </si>
  <si>
    <t>120㎟</t>
  </si>
  <si>
    <t>2612152420182438</t>
  </si>
  <si>
    <t>전기용 연동연선(BC)</t>
  </si>
  <si>
    <t>1008</t>
  </si>
  <si>
    <t>1-1180</t>
  </si>
  <si>
    <t>2612162920683890</t>
  </si>
  <si>
    <t>폴리에틸렌 난연케이블-2열/옥내</t>
  </si>
  <si>
    <t>0.6/1kv F-CV 1C×70㎟</t>
  </si>
  <si>
    <t>1-1168</t>
  </si>
  <si>
    <t>834</t>
  </si>
  <si>
    <t>2612162920683889</t>
  </si>
  <si>
    <t>폴리에틸렌 난연케이블-4열/옥내</t>
  </si>
  <si>
    <t>0.6/1kv F-CV 1C×50㎟</t>
  </si>
  <si>
    <t>1080</t>
  </si>
  <si>
    <t>842</t>
  </si>
  <si>
    <t>2612162920683903</t>
  </si>
  <si>
    <t>폴리에틸렌 난연케이블</t>
  </si>
  <si>
    <t>0.6/1kv F-CV 2C×4㎟</t>
  </si>
  <si>
    <t>2612162920683904</t>
  </si>
  <si>
    <t>0.6/1kv F-CV 2C×6㎟</t>
  </si>
  <si>
    <t>2612162920683905</t>
  </si>
  <si>
    <t>0.6/1kv F-CV 2C×10㎟</t>
  </si>
  <si>
    <t>2612162920683922</t>
  </si>
  <si>
    <t>0.6/1kv F-CV 3C×4㎟</t>
  </si>
  <si>
    <t>2612162920683923</t>
  </si>
  <si>
    <t>0.6/1kv F-CV 3C×6㎟</t>
  </si>
  <si>
    <t>2612162920683945</t>
  </si>
  <si>
    <t>0.6/1kv F-CV 4C×6㎟</t>
  </si>
  <si>
    <t>2612162920683946</t>
  </si>
  <si>
    <t>0.6/1kv F-CV 4C×10㎟</t>
  </si>
  <si>
    <t>2612162920683947</t>
  </si>
  <si>
    <t>0.6/1kv F-CV 4C×16㎟</t>
  </si>
  <si>
    <t>2612162920683948</t>
  </si>
  <si>
    <t>0.6/1kv F-CV 4C×25㎟</t>
  </si>
  <si>
    <t>2612162920683949</t>
  </si>
  <si>
    <t>0.6/1kv F-CV 4C×35㎟</t>
  </si>
  <si>
    <t>2612164020684004</t>
  </si>
  <si>
    <t>소방용내화전선(F-FR-8)</t>
  </si>
  <si>
    <t>1C×240㎟-4열/옥내</t>
  </si>
  <si>
    <t>998</t>
  </si>
  <si>
    <t>1-1172</t>
  </si>
  <si>
    <t>1077</t>
  </si>
  <si>
    <t>837</t>
  </si>
  <si>
    <t>2612164020684013</t>
  </si>
  <si>
    <t>2C×4㎟</t>
  </si>
  <si>
    <t>2612164020684033</t>
  </si>
  <si>
    <t>3C×6㎟</t>
  </si>
  <si>
    <t>2612164020684034</t>
  </si>
  <si>
    <t>3C×10㎟</t>
  </si>
  <si>
    <t>2612164020684035</t>
  </si>
  <si>
    <t>3C×16㎟</t>
  </si>
  <si>
    <t>2612164020684036</t>
  </si>
  <si>
    <t>3C×25㎟</t>
  </si>
  <si>
    <t>2612164020684055</t>
  </si>
  <si>
    <t>4C×16㎟</t>
  </si>
  <si>
    <t>2612164020684057</t>
  </si>
  <si>
    <t>4C×35㎟</t>
  </si>
  <si>
    <t>2612160320684349</t>
  </si>
  <si>
    <t>난연제어케이블</t>
  </si>
  <si>
    <t>F-CVV-S, 2Cx1.5㎟</t>
  </si>
  <si>
    <t>995</t>
  </si>
  <si>
    <t>1-1171</t>
  </si>
  <si>
    <t>1076</t>
  </si>
  <si>
    <t>2612162910040270</t>
  </si>
  <si>
    <t>23KV동심난연케이블-옥내3열</t>
  </si>
  <si>
    <t>22.9kV,F-CN/CO,수밀,1x60㎟</t>
  </si>
  <si>
    <t>996</t>
  </si>
  <si>
    <t>1-1170</t>
  </si>
  <si>
    <t>835</t>
  </si>
  <si>
    <t>2612160921650751</t>
  </si>
  <si>
    <t>UTP 케이블</t>
  </si>
  <si>
    <t>Cat.5E 0.5mm 4P</t>
  </si>
  <si>
    <t>1002</t>
  </si>
  <si>
    <t>1083</t>
  </si>
  <si>
    <t>847</t>
  </si>
  <si>
    <t>2612160620185741</t>
  </si>
  <si>
    <t>STP 케이블</t>
  </si>
  <si>
    <t>Cat.5 0.5mm 4P</t>
  </si>
  <si>
    <t>3912998720170517</t>
  </si>
  <si>
    <t>매입스위치</t>
  </si>
  <si>
    <t>250V 1로1구</t>
  </si>
  <si>
    <t>1098</t>
  </si>
  <si>
    <t>1-1280</t>
  </si>
  <si>
    <t>1204</t>
  </si>
  <si>
    <t>930</t>
  </si>
  <si>
    <t>3912998720170518</t>
  </si>
  <si>
    <t>250V 1로2구</t>
  </si>
  <si>
    <t>3912998720170519</t>
  </si>
  <si>
    <t>250V 1로3구</t>
  </si>
  <si>
    <t>3912140620170835</t>
  </si>
  <si>
    <t>콘센트</t>
  </si>
  <si>
    <t>노출-접지형, 250V 2구</t>
  </si>
  <si>
    <t>1205</t>
  </si>
  <si>
    <t>3912140620170848</t>
  </si>
  <si>
    <t>대기전력차단콘센트</t>
  </si>
  <si>
    <t>매입형, 15A 250V 2구</t>
  </si>
  <si>
    <t>3912140620170849</t>
  </si>
  <si>
    <t>매입-접지형, 250V 1구</t>
  </si>
  <si>
    <t>1099</t>
  </si>
  <si>
    <t>3912140620170850</t>
  </si>
  <si>
    <t>매입-접지형, 250V 2구</t>
  </si>
  <si>
    <t>3912140621030227</t>
  </si>
  <si>
    <t>방우콘센트</t>
  </si>
  <si>
    <t>3912140621030228</t>
  </si>
  <si>
    <t>3912161310034844</t>
  </si>
  <si>
    <t>접지봉</t>
  </si>
  <si>
    <t>14Φ×1000 mm</t>
  </si>
  <si>
    <t>1-1270</t>
  </si>
  <si>
    <t>1198</t>
  </si>
  <si>
    <t>925</t>
  </si>
  <si>
    <t>3912161310034846</t>
  </si>
  <si>
    <t>16Φ×1800 mm</t>
  </si>
  <si>
    <t>3912161320937649</t>
  </si>
  <si>
    <t>수막처리접지봉</t>
  </si>
  <si>
    <t>18Φ×500 mm</t>
  </si>
  <si>
    <t>3912169720173983</t>
  </si>
  <si>
    <t>접지첨가제</t>
  </si>
  <si>
    <t>접지저항저감제,아스판엠,10Kg</t>
  </si>
  <si>
    <t>3912162120169303</t>
  </si>
  <si>
    <t>동피뢰침</t>
  </si>
  <si>
    <t>동피뢰침(대), 14×485mm</t>
  </si>
  <si>
    <t>1-1274</t>
  </si>
  <si>
    <t>3911152520A20010</t>
  </si>
  <si>
    <t>철근클램프</t>
  </si>
  <si>
    <t>구조체접속</t>
  </si>
  <si>
    <t>개소</t>
  </si>
  <si>
    <t>1199</t>
  </si>
  <si>
    <t>3912130321650854</t>
  </si>
  <si>
    <t>접지단자함</t>
  </si>
  <si>
    <t>SUS, 3 CCT</t>
  </si>
  <si>
    <t>면</t>
  </si>
  <si>
    <t>1-1336</t>
  </si>
  <si>
    <t>3912130322497088</t>
  </si>
  <si>
    <t>SUS, 7 CCT</t>
  </si>
  <si>
    <t>시행사</t>
  </si>
  <si>
    <t>3120150220174066</t>
  </si>
  <si>
    <t>WARNING TAPE(강전용)</t>
  </si>
  <si>
    <t>300 x 250</t>
  </si>
  <si>
    <t>3120150220174067</t>
  </si>
  <si>
    <t>WARNING TAPE(고압용)</t>
  </si>
  <si>
    <t>3912170120173494</t>
  </si>
  <si>
    <t>케이블걸이</t>
  </si>
  <si>
    <t>걸이쇠, 2조</t>
  </si>
  <si>
    <t>3912170120174007</t>
  </si>
  <si>
    <t>케이블받침대</t>
  </si>
  <si>
    <t>75x40x5x750</t>
  </si>
  <si>
    <t>3912140920174174</t>
  </si>
  <si>
    <t>케이블 단말접속자재</t>
  </si>
  <si>
    <t>자기수축,23kV 1Cx60 ㎟</t>
  </si>
  <si>
    <t>조</t>
  </si>
  <si>
    <t>1021</t>
  </si>
  <si>
    <t>1096</t>
  </si>
  <si>
    <t>855</t>
  </si>
  <si>
    <t>3912143210033799</t>
  </si>
  <si>
    <t>러그단자</t>
  </si>
  <si>
    <t>동관단자 2 HOLE 50 ㎟</t>
  </si>
  <si>
    <t>1019</t>
  </si>
  <si>
    <t>1-1231</t>
  </si>
  <si>
    <t>1100</t>
  </si>
  <si>
    <t>858</t>
  </si>
  <si>
    <t>3912143220171081</t>
  </si>
  <si>
    <t>동관단자 2 HOLE 70 ㎟</t>
  </si>
  <si>
    <t>3912143210033803</t>
  </si>
  <si>
    <t>동관단자 2 HOLE 240 ㎟</t>
  </si>
  <si>
    <t>857</t>
  </si>
  <si>
    <t>3912143221650911</t>
  </si>
  <si>
    <t>압착단자</t>
  </si>
  <si>
    <t>R형동선 나압착 16 ㎟</t>
  </si>
  <si>
    <t>3912143221650912</t>
  </si>
  <si>
    <t>R형동선 나압착 25 ㎟</t>
  </si>
  <si>
    <t>3912143221650913</t>
  </si>
  <si>
    <t>R형동선 나압착 35 ㎟</t>
  </si>
  <si>
    <t>3912143221650914</t>
  </si>
  <si>
    <t>R형동선 나압착 50 ㎟</t>
  </si>
  <si>
    <t>3912143221650916</t>
  </si>
  <si>
    <t>R형동선 나압착 95 ㎟</t>
  </si>
  <si>
    <t>3912143220172082</t>
  </si>
  <si>
    <t>R형동선 나압착 120 ㎟</t>
  </si>
  <si>
    <t>3912140420170798</t>
  </si>
  <si>
    <t>압착슬리이브</t>
  </si>
  <si>
    <t>동압착슬리브-C형 50 ㎟</t>
  </si>
  <si>
    <t>3912141320170953</t>
  </si>
  <si>
    <t>볼트형콘넥터</t>
  </si>
  <si>
    <t>접지선서비스, 3.5-14 ㎟</t>
  </si>
  <si>
    <t>3912219520175644</t>
  </si>
  <si>
    <t>지중선용 가선철물</t>
  </si>
  <si>
    <t>맨홀용발판볼트, 200x330</t>
  </si>
  <si>
    <t>3912219520175645</t>
  </si>
  <si>
    <t>맨홀용 훅크, 100x250</t>
  </si>
  <si>
    <t>3012169821869019</t>
  </si>
  <si>
    <t>맨홀</t>
  </si>
  <si>
    <t>1000x1000x1000</t>
  </si>
  <si>
    <t>1-208</t>
  </si>
  <si>
    <t>3012169821869320</t>
  </si>
  <si>
    <t>1500x1500x1500</t>
  </si>
  <si>
    <t>3012169821869024</t>
  </si>
  <si>
    <t>핸드홀카바</t>
  </si>
  <si>
    <t>통신용</t>
  </si>
  <si>
    <t>기</t>
  </si>
  <si>
    <t>3010220420289162</t>
  </si>
  <si>
    <t>열연강판</t>
  </si>
  <si>
    <t>6t</t>
  </si>
  <si>
    <t>kg</t>
  </si>
  <si>
    <t>1-14</t>
  </si>
  <si>
    <t>3010150420165123</t>
  </si>
  <si>
    <t>ㄷ형강</t>
  </si>
  <si>
    <t>75x40x4T</t>
  </si>
  <si>
    <t>1-6</t>
  </si>
  <si>
    <t>3116162010023390</t>
  </si>
  <si>
    <t>6각볼트</t>
  </si>
  <si>
    <t>3/8,M10</t>
  </si>
  <si>
    <t>1-41</t>
  </si>
  <si>
    <t>49</t>
  </si>
  <si>
    <t>3116172710024976</t>
  </si>
  <si>
    <t>6각너트</t>
  </si>
  <si>
    <t>M10</t>
  </si>
  <si>
    <t>1-39</t>
  </si>
  <si>
    <t>3116172710023970</t>
  </si>
  <si>
    <t>3116181120136195</t>
  </si>
  <si>
    <t>스프링와샤</t>
  </si>
  <si>
    <t>D10</t>
  </si>
  <si>
    <t>56</t>
  </si>
  <si>
    <t>31211704201C1000</t>
  </si>
  <si>
    <t>내화충전(0.00032kg/cm3)</t>
  </si>
  <si>
    <t>실리콘  RTV 폼</t>
  </si>
  <si>
    <t>KG</t>
  </si>
  <si>
    <t>3913170634691047</t>
  </si>
  <si>
    <t>나사없는전선관(노출)</t>
  </si>
  <si>
    <t>E19</t>
  </si>
  <si>
    <t>1-1201</t>
  </si>
  <si>
    <t>3913170634691048</t>
  </si>
  <si>
    <t>E25</t>
  </si>
  <si>
    <t>3913170634691049</t>
  </si>
  <si>
    <t>E31</t>
  </si>
  <si>
    <t>3913170634691050</t>
  </si>
  <si>
    <t>E39</t>
  </si>
  <si>
    <t>3913170634691051</t>
  </si>
  <si>
    <t>E51</t>
  </si>
  <si>
    <t>3913170634691052</t>
  </si>
  <si>
    <t>E63</t>
  </si>
  <si>
    <t>3913170634691053</t>
  </si>
  <si>
    <t>E75</t>
  </si>
  <si>
    <t>3913170825309903</t>
  </si>
  <si>
    <t>볼트고정식이음쇠(나사없는)</t>
  </si>
  <si>
    <t>커플링 E19</t>
  </si>
  <si>
    <t>3913170825309904</t>
  </si>
  <si>
    <t>커플링 E25</t>
  </si>
  <si>
    <t>3913170825309905</t>
  </si>
  <si>
    <t>커플링 E31</t>
  </si>
  <si>
    <t>3913170825309906</t>
  </si>
  <si>
    <t>커플링 E39</t>
  </si>
  <si>
    <t>3913170825309907</t>
  </si>
  <si>
    <t>커플링 E51</t>
  </si>
  <si>
    <t>3913170825309908</t>
  </si>
  <si>
    <t>커플링 E63</t>
  </si>
  <si>
    <t>3913170825309909</t>
  </si>
  <si>
    <t>커플링 E75</t>
  </si>
  <si>
    <t>3913170825309896</t>
  </si>
  <si>
    <t>커넥터 E19</t>
  </si>
  <si>
    <t>3913170825309897</t>
  </si>
  <si>
    <t>커넥터 E25</t>
  </si>
  <si>
    <t>3913170825309898</t>
  </si>
  <si>
    <t>커넥터 E31</t>
  </si>
  <si>
    <t>3913170825309899</t>
  </si>
  <si>
    <t>커넥터 E39</t>
  </si>
  <si>
    <t>3913170825309900</t>
  </si>
  <si>
    <t>커넥터 E51</t>
  </si>
  <si>
    <t>3913170825309901</t>
  </si>
  <si>
    <t>커넥터 E63</t>
  </si>
  <si>
    <t>3913170825309902</t>
  </si>
  <si>
    <t>커넥터 E75</t>
  </si>
  <si>
    <t>3913170824691056</t>
  </si>
  <si>
    <t>노말밴드(나사없는 전선관용)</t>
  </si>
  <si>
    <t>3913170824691057</t>
  </si>
  <si>
    <t>3913170824691058</t>
  </si>
  <si>
    <t>3913170824691060</t>
  </si>
  <si>
    <t>3913170824691062</t>
  </si>
  <si>
    <t>InMastDBNonCode</t>
  </si>
  <si>
    <t>다기능 접속 단자함</t>
  </si>
  <si>
    <t>카운터센서</t>
  </si>
  <si>
    <t>화장실</t>
  </si>
  <si>
    <t>SET</t>
  </si>
  <si>
    <t>1214</t>
  </si>
  <si>
    <t>이질슬리브</t>
  </si>
  <si>
    <t>수평도체 접합용 8mm</t>
  </si>
  <si>
    <t>3912130321650852</t>
  </si>
  <si>
    <t>구조체 연속성 측정용 단자함</t>
  </si>
  <si>
    <t>통합콘센트</t>
  </si>
  <si>
    <t>일반4구/전화2/TV</t>
  </si>
  <si>
    <t>일반2구/전화2</t>
  </si>
  <si>
    <t>일반2/전화2/TV</t>
  </si>
  <si>
    <t>통합BOX</t>
  </si>
  <si>
    <t>1127</t>
  </si>
  <si>
    <t>결로 통합BOX</t>
  </si>
  <si>
    <t>가로-접지형,15A 250V 2구</t>
  </si>
  <si>
    <t>결로BOX</t>
  </si>
  <si>
    <t>1구</t>
  </si>
  <si>
    <t>2구</t>
  </si>
  <si>
    <t>3912162120936731</t>
  </si>
  <si>
    <t>STS 봉</t>
  </si>
  <si>
    <t>8Φ</t>
  </si>
  <si>
    <t>STS봉 지지금구</t>
  </si>
  <si>
    <t>S1</t>
  </si>
  <si>
    <t>STS봉후렉시블</t>
  </si>
  <si>
    <t>STS봉연결커넥터</t>
  </si>
  <si>
    <t>￠ 8(-형)</t>
  </si>
  <si>
    <t>실외기단자대</t>
  </si>
  <si>
    <t>세대분전반</t>
  </si>
  <si>
    <t>8회로+APU</t>
  </si>
  <si>
    <t>1208</t>
  </si>
  <si>
    <t>소방보존형 콘트롤러</t>
  </si>
  <si>
    <t>대</t>
  </si>
  <si>
    <t>썬테크</t>
  </si>
  <si>
    <t>지엔</t>
  </si>
  <si>
    <t>스마트</t>
  </si>
  <si>
    <t>매연저감장치 - 360KW 용 (ONLY</t>
  </si>
  <si>
    <t>배전반</t>
  </si>
  <si>
    <t>HV-1</t>
  </si>
  <si>
    <t>지투</t>
  </si>
  <si>
    <t>HV-2</t>
  </si>
  <si>
    <t>TR-1</t>
  </si>
  <si>
    <t>LV-1</t>
  </si>
  <si>
    <t>LV-1-1</t>
  </si>
  <si>
    <t>LV-1-2</t>
  </si>
  <si>
    <t>LV-1-3</t>
  </si>
  <si>
    <t>조명기구 TYPE D</t>
  </si>
  <si>
    <t>LED40W(매입등)</t>
  </si>
  <si>
    <t>라눅스</t>
  </si>
  <si>
    <t>금경</t>
  </si>
  <si>
    <t>네오</t>
  </si>
  <si>
    <t>조명기구 TYPE E</t>
  </si>
  <si>
    <t>LED15W(D.L)</t>
  </si>
  <si>
    <t>조명기구 TYPE F</t>
  </si>
  <si>
    <t>LED15W(비상D.L)</t>
  </si>
  <si>
    <t>조명기구 TYPE 공용부</t>
  </si>
  <si>
    <t>LED15W(센서등)</t>
  </si>
  <si>
    <t>LED15W(비상센서)</t>
  </si>
  <si>
    <t>조명기구 TYPE 세대</t>
  </si>
  <si>
    <t>LED10W(욕실D.L)</t>
  </si>
  <si>
    <t>태양광 발전장치(DPVQMax-EK30)</t>
  </si>
  <si>
    <t>30kW급</t>
  </si>
  <si>
    <t>에코스</t>
  </si>
  <si>
    <t>태양광 발전장치(DPVQMax-EK25)</t>
  </si>
  <si>
    <t>25kW급</t>
  </si>
  <si>
    <t>모니터링시스템(PVQMax-MON)</t>
  </si>
  <si>
    <t>옵션</t>
  </si>
  <si>
    <t>철근 죔쇠접속</t>
  </si>
  <si>
    <t>토우</t>
  </si>
  <si>
    <t>난방 구동기 데이터 전송장치</t>
  </si>
  <si>
    <t>전자식 전력량계</t>
  </si>
  <si>
    <t>1P2W 220 60(15)A</t>
  </si>
  <si>
    <t>태스콘</t>
  </si>
  <si>
    <t>3P4W 220/380V 40(10)A</t>
  </si>
  <si>
    <t>3P4W 220/380V 120(30)A</t>
  </si>
  <si>
    <t>3P4W 220/380V 5(2.5)A</t>
  </si>
  <si>
    <t>자동검침접속장치</t>
  </si>
  <si>
    <t>AGU</t>
  </si>
  <si>
    <t>분산제어장치</t>
  </si>
  <si>
    <t>DCU</t>
  </si>
  <si>
    <t>통신변환장치</t>
  </si>
  <si>
    <t>CCU</t>
  </si>
  <si>
    <t>중앙관제장치</t>
  </si>
  <si>
    <t>CCMS</t>
  </si>
  <si>
    <t>식</t>
  </si>
  <si>
    <t>설치 및 시운전비</t>
  </si>
  <si>
    <t>원격검침(강릉시입암동)</t>
  </si>
  <si>
    <t>2612160620185687</t>
  </si>
  <si>
    <t>제어케이블-쉴드</t>
  </si>
  <si>
    <t>LIREV AMESB AWG22# 2P</t>
  </si>
  <si>
    <t>1081</t>
  </si>
  <si>
    <t>Client PC</t>
  </si>
  <si>
    <t>CPU : Intel i7 3.4GHz(4Core),</t>
  </si>
  <si>
    <t>데이터 관리 Software</t>
  </si>
  <si>
    <t>PostgreSQL 12.6</t>
  </si>
  <si>
    <t>백신 Software</t>
  </si>
  <si>
    <t>V3 Internet Security 9.0(1년)</t>
  </si>
  <si>
    <t>보고서용 Software</t>
  </si>
  <si>
    <t>MS Office 2024 Home &amp; Business</t>
  </si>
  <si>
    <t>프린터</t>
  </si>
  <si>
    <t>레이저 프린터 A4</t>
  </si>
  <si>
    <t>UPS</t>
  </si>
  <si>
    <t>1KVA, Backup30분</t>
  </si>
  <si>
    <t>모니터</t>
  </si>
  <si>
    <t>24" LED</t>
  </si>
  <si>
    <t>스위칭허브</t>
  </si>
  <si>
    <t>8Port</t>
  </si>
  <si>
    <t>SYSTEM DESK / CHAIR</t>
  </si>
  <si>
    <t>H-ZEMS v1.0(우수조달 2022241)</t>
  </si>
  <si>
    <t>빌딩에너지 통합관리시스템(GS인</t>
  </si>
  <si>
    <t>콘트롤 박스</t>
  </si>
  <si>
    <t>400x500x200</t>
  </si>
  <si>
    <t>HG-2000E(우수조달 2022241)</t>
  </si>
  <si>
    <t>에너지게이트웨이(NEP인증(NEP-M</t>
  </si>
  <si>
    <t>공구손료</t>
  </si>
  <si>
    <t>노무비의 2%</t>
  </si>
  <si>
    <t>중앙처리장치(CPU)설치</t>
  </si>
  <si>
    <t>포인트 설치-MMI</t>
  </si>
  <si>
    <t>POINT</t>
  </si>
  <si>
    <t>DDC 통신상태 점검-MMI</t>
  </si>
  <si>
    <t>DDC</t>
  </si>
  <si>
    <t>포인트 점검, 시험-MMI</t>
  </si>
  <si>
    <t>3912162120169295</t>
  </si>
  <si>
    <t>피뢰침지지대</t>
  </si>
  <si>
    <t>4M</t>
  </si>
  <si>
    <t>에스디</t>
  </si>
  <si>
    <t>선광</t>
  </si>
  <si>
    <t>외등기초</t>
  </si>
  <si>
    <t>400*500*500(기초 앵커 포함)</t>
  </si>
  <si>
    <t>1230</t>
  </si>
  <si>
    <t>경유</t>
  </si>
  <si>
    <t>경유, 저유황</t>
  </si>
  <si>
    <t>L</t>
  </si>
  <si>
    <t>잡재료</t>
  </si>
  <si>
    <t>주연료비의20%</t>
  </si>
  <si>
    <t>391115ZZ701Z0004</t>
  </si>
  <si>
    <t>디젤엔진발전기-*@관급자재</t>
  </si>
  <si>
    <t>360kW/450kVA</t>
  </si>
  <si>
    <t>391115ZZ701Z0005</t>
  </si>
  <si>
    <t>배전반-*@관급자재</t>
  </si>
  <si>
    <t>391115ZZ701Z0006</t>
  </si>
  <si>
    <t>391115ZZ701Z0007</t>
  </si>
  <si>
    <t>391115ZZ701Z0008</t>
  </si>
  <si>
    <t>391115ZZ701Z0009</t>
  </si>
  <si>
    <t>391115ZZ701Z0010</t>
  </si>
  <si>
    <t>391115ZZ701Z0011</t>
  </si>
  <si>
    <t>391115ZZ701Z0012</t>
  </si>
  <si>
    <t>부가 가치세(38)</t>
  </si>
  <si>
    <t>10%</t>
  </si>
  <si>
    <t>391115ZZ701Z0013</t>
  </si>
  <si>
    <t>분전반-@관급자재</t>
  </si>
  <si>
    <t>L-보안등</t>
  </si>
  <si>
    <t>391115ZZ701Z0014</t>
  </si>
  <si>
    <t>L-태양광</t>
  </si>
  <si>
    <t>391115ZZ701Z0015</t>
  </si>
  <si>
    <t>LE-2</t>
  </si>
  <si>
    <t>391115ZZ701Z0016</t>
  </si>
  <si>
    <t>LE-5</t>
  </si>
  <si>
    <t>391115ZZ701Z0017</t>
  </si>
  <si>
    <t>LE-8</t>
  </si>
  <si>
    <t>391115ZZ701Z0018</t>
  </si>
  <si>
    <t>LE-B1</t>
  </si>
  <si>
    <t>391115ZZ701Z0019</t>
  </si>
  <si>
    <t>LE-MDF</t>
  </si>
  <si>
    <t>391115ZZ701Z0020</t>
  </si>
  <si>
    <t>LE-방재실</t>
  </si>
  <si>
    <t>391115ZZ701Z0021</t>
  </si>
  <si>
    <t>LE-전기실</t>
  </si>
  <si>
    <t>391115ZZ701Z0022</t>
  </si>
  <si>
    <t>LN-10</t>
  </si>
  <si>
    <t>391115ZZ701Z0023</t>
  </si>
  <si>
    <t>LN-1</t>
  </si>
  <si>
    <t>391115ZZ701Z0024</t>
  </si>
  <si>
    <t>LN-2</t>
  </si>
  <si>
    <t>391115ZZ701Z0025</t>
  </si>
  <si>
    <t>LN-3</t>
  </si>
  <si>
    <t>391115ZZ701Z0026</t>
  </si>
  <si>
    <t>LN-4</t>
  </si>
  <si>
    <t>391115ZZ701Z0027</t>
  </si>
  <si>
    <t>LN-5</t>
  </si>
  <si>
    <t>391115ZZ701Z0028</t>
  </si>
  <si>
    <t>LN-6</t>
  </si>
  <si>
    <t>391115ZZ701Z0029</t>
  </si>
  <si>
    <t>LN-7</t>
  </si>
  <si>
    <t>391115ZZ701Z0030</t>
  </si>
  <si>
    <t>LN-8</t>
  </si>
  <si>
    <t>391115ZZ701Z0031</t>
  </si>
  <si>
    <t>LN-9</t>
  </si>
  <si>
    <t>391115ZZ701Z0032</t>
  </si>
  <si>
    <t>LN-주민공동</t>
  </si>
  <si>
    <t>391115ZZ701Z0033</t>
  </si>
  <si>
    <t>LN-주민카페</t>
  </si>
  <si>
    <t>391115ZZ701Z0034</t>
  </si>
  <si>
    <t>MCP-B1-A</t>
  </si>
  <si>
    <t>391115ZZ701Z0035</t>
  </si>
  <si>
    <t>MCP-B1-B</t>
  </si>
  <si>
    <t>391115ZZ701Z0036</t>
  </si>
  <si>
    <t>MCP-E</t>
  </si>
  <si>
    <t>391115ZZ701Z0037</t>
  </si>
  <si>
    <t>MCP-F</t>
  </si>
  <si>
    <t>391115ZZ701Z0038</t>
  </si>
  <si>
    <t>MCP-W</t>
  </si>
  <si>
    <t>391115ZZ701Z0039</t>
  </si>
  <si>
    <t>MCPF-PH</t>
  </si>
  <si>
    <t>391115ZZ701Z0040</t>
  </si>
  <si>
    <t>P-ELEV</t>
  </si>
  <si>
    <t>391115ZZ701Z0041</t>
  </si>
  <si>
    <t>빌딩자동제어장치-*@관급자재</t>
  </si>
  <si>
    <t>헤리트</t>
  </si>
  <si>
    <t>391115ZZ701Z0042</t>
  </si>
  <si>
    <t>조달 수수료(32)</t>
  </si>
  <si>
    <t>0.54%</t>
  </si>
  <si>
    <t>391115ZZ701Z0043</t>
  </si>
  <si>
    <t>조달 수수료(33)</t>
  </si>
  <si>
    <t>391115ZZ701Z0044</t>
  </si>
  <si>
    <t>조달 수수료(35)</t>
  </si>
  <si>
    <t>391115ZZ701Z0045</t>
  </si>
  <si>
    <t>조달 수수료(36)</t>
  </si>
  <si>
    <t>391115ZZ701Z0046</t>
  </si>
  <si>
    <t>조달 수수료(37)</t>
  </si>
  <si>
    <t>391115ZZ701Z0047</t>
  </si>
  <si>
    <t>조달 수수료(38)</t>
  </si>
  <si>
    <t>391115ZZ701Z0048</t>
  </si>
  <si>
    <t>조명기구 TYPE A-@관급자재</t>
  </si>
  <si>
    <t>LED40W(P.P)</t>
  </si>
  <si>
    <t>391115ZZ701Z0049</t>
  </si>
  <si>
    <t>조명기구 TYPE B-@관급자재</t>
  </si>
  <si>
    <t>LED40W(RACEWAY)</t>
  </si>
  <si>
    <t>391115ZZ701Z0050</t>
  </si>
  <si>
    <t>조명기구 TYPE C-@관급자재</t>
  </si>
  <si>
    <t>LED40W(주차램프)</t>
  </si>
  <si>
    <t>391115ZZ701Z0051</t>
  </si>
  <si>
    <t>조명기구 TYPE D-@관급자재</t>
  </si>
  <si>
    <t>391115ZZ701Z0052</t>
  </si>
  <si>
    <t>조명기구 TYPE E-@관급자재</t>
  </si>
  <si>
    <t>391115ZZ701Z0053</t>
  </si>
  <si>
    <t>조명기구 TYPE F-@관급자재</t>
  </si>
  <si>
    <t>391115ZZ701Z0054</t>
  </si>
  <si>
    <t>조명기구 TYPE G-@관급자재</t>
  </si>
  <si>
    <t>LED10W(비상센서)</t>
  </si>
  <si>
    <t>391115ZZ701Z0055</t>
  </si>
  <si>
    <t>조명기구 TYPE H-@관급자재</t>
  </si>
  <si>
    <t>LED10W(센서벽부)</t>
  </si>
  <si>
    <t>391115ZZ701Z0056</t>
  </si>
  <si>
    <t>조명기구 TYPE O-A-*@관급자재</t>
  </si>
  <si>
    <t>LED50W(보안등)</t>
  </si>
  <si>
    <t>391115ZZ701Z0057</t>
  </si>
  <si>
    <t>베이스커버</t>
  </si>
  <si>
    <t>391115ZZ701Z0058</t>
  </si>
  <si>
    <t>스테인리스보안등주</t>
  </si>
  <si>
    <t>391115ZZ701Z0059</t>
  </si>
  <si>
    <t>조명기구 TYPE 공용부-@관급자</t>
  </si>
  <si>
    <t>391115ZZ701Z0060</t>
  </si>
  <si>
    <t>391115ZZ701Z0061</t>
  </si>
  <si>
    <t>조명기구 TYPE 세대-@관급자재</t>
  </si>
  <si>
    <t>LED10W(비상D.L)</t>
  </si>
  <si>
    <t>391115ZZ701Z0062</t>
  </si>
  <si>
    <t>LED10W(세대D.L)</t>
  </si>
  <si>
    <t>391115ZZ701Z0063</t>
  </si>
  <si>
    <t>LED10W(세대직부)</t>
  </si>
  <si>
    <t>391115ZZ701Z0064</t>
  </si>
  <si>
    <t>391115ZZ701Z0065</t>
  </si>
  <si>
    <t>LED10W(현관센서)</t>
  </si>
  <si>
    <t>391115ZZ701Z0066</t>
  </si>
  <si>
    <t>LED30W(욕실매입)</t>
  </si>
  <si>
    <t>391115ZZ701Z0067</t>
  </si>
  <si>
    <t>LED40W(주방직부)</t>
  </si>
  <si>
    <t>391115ZZ701Z0068</t>
  </si>
  <si>
    <t>LED50W(침실직부)</t>
  </si>
  <si>
    <t>ECA565826042</t>
  </si>
  <si>
    <t>기계터파기</t>
  </si>
  <si>
    <t>보통토사(0.6㎥/43.6)</t>
  </si>
  <si>
    <t>㎥</t>
  </si>
  <si>
    <t>경비</t>
  </si>
  <si>
    <t>재료</t>
  </si>
  <si>
    <t>노무</t>
  </si>
  <si>
    <t>ECA565826051</t>
  </si>
  <si>
    <t>기계되메우기</t>
  </si>
  <si>
    <t>ECA565826044</t>
  </si>
  <si>
    <t>크레인</t>
  </si>
  <si>
    <t>트럭 탑재형 10 Ton</t>
  </si>
  <si>
    <t>분</t>
  </si>
  <si>
    <t>MMJ471402120</t>
  </si>
  <si>
    <t>빌딩자동제어 경비</t>
  </si>
  <si>
    <t>표준단가</t>
  </si>
  <si>
    <t>MMJ471402100</t>
  </si>
  <si>
    <t>트럭탑재형 크레인</t>
  </si>
  <si>
    <t>5ton</t>
  </si>
  <si>
    <t>MMJ471402110</t>
  </si>
  <si>
    <t>화물차운전사</t>
  </si>
  <si>
    <t>일반공사 직종</t>
  </si>
  <si>
    <t>인</t>
  </si>
  <si>
    <t>경비로 적용</t>
  </si>
  <si>
    <t>합계의 100%</t>
  </si>
  <si>
    <t>L001010101000075</t>
  </si>
  <si>
    <t>노 무 비</t>
  </si>
  <si>
    <t>내선전공</t>
  </si>
  <si>
    <t>L001010101000078</t>
  </si>
  <si>
    <t>저압케이블전공</t>
  </si>
  <si>
    <t>L001010101000077</t>
  </si>
  <si>
    <t>고압케이블전공</t>
  </si>
  <si>
    <t>L001010101000076</t>
  </si>
  <si>
    <t>특고압케이블전공</t>
  </si>
  <si>
    <t>L001010101000081</t>
  </si>
  <si>
    <t>배전전공</t>
  </si>
  <si>
    <t>L001010101000089</t>
  </si>
  <si>
    <t>통신케이블공</t>
  </si>
  <si>
    <t>L001010101000088</t>
  </si>
  <si>
    <t>통신외선공</t>
  </si>
  <si>
    <t>L001010101000002</t>
  </si>
  <si>
    <t>보통인부</t>
  </si>
  <si>
    <t>L001010101000003</t>
  </si>
  <si>
    <t>특별인부</t>
  </si>
  <si>
    <t>L001010101000026</t>
  </si>
  <si>
    <t>방수공</t>
  </si>
  <si>
    <t>L001010101000034</t>
  </si>
  <si>
    <t>줄눈공</t>
  </si>
  <si>
    <t>L001010101000001</t>
  </si>
  <si>
    <t>작업반장</t>
  </si>
  <si>
    <t>363</t>
  </si>
  <si>
    <t>59751467012</t>
  </si>
  <si>
    <t>59751467014</t>
  </si>
  <si>
    <t>59751467015</t>
  </si>
  <si>
    <t>59751467016</t>
  </si>
  <si>
    <t>59753097002</t>
  </si>
  <si>
    <t>59753097003</t>
  </si>
  <si>
    <t>59753178001</t>
  </si>
  <si>
    <t>59753178002</t>
  </si>
  <si>
    <t>59753178004</t>
  </si>
  <si>
    <t>MMJ47055292</t>
  </si>
  <si>
    <t>59753017043</t>
  </si>
  <si>
    <t>59753017045</t>
  </si>
  <si>
    <t>59753017046</t>
  </si>
  <si>
    <t>59753017065</t>
  </si>
  <si>
    <t>59753017066</t>
  </si>
  <si>
    <t>59753017067</t>
  </si>
  <si>
    <t>59753017068</t>
  </si>
  <si>
    <t>MM496797011</t>
  </si>
  <si>
    <t>MM496797013</t>
  </si>
  <si>
    <t>MM496797014</t>
  </si>
  <si>
    <t>MM496797031</t>
  </si>
  <si>
    <t>MM496797032</t>
  </si>
  <si>
    <t>MM496797033</t>
  </si>
  <si>
    <t>59754887002</t>
  </si>
  <si>
    <t>59754887003</t>
  </si>
  <si>
    <t>59754887006</t>
  </si>
  <si>
    <t>59754877102</t>
  </si>
  <si>
    <t>59754877103</t>
  </si>
  <si>
    <t>59754877107</t>
  </si>
  <si>
    <t>59754877022</t>
  </si>
  <si>
    <t>59754877023</t>
  </si>
  <si>
    <t>59754877027</t>
  </si>
  <si>
    <t>59759017043</t>
  </si>
  <si>
    <t>59759027001</t>
  </si>
  <si>
    <t>59759027002</t>
  </si>
  <si>
    <t>59759027003</t>
  </si>
  <si>
    <t>59753767011</t>
  </si>
  <si>
    <t>59753767041</t>
  </si>
  <si>
    <t>59753777102</t>
  </si>
  <si>
    <t>59753777111</t>
  </si>
  <si>
    <t>MM300040261</t>
  </si>
  <si>
    <t>59753767221</t>
  </si>
  <si>
    <t>59753767251</t>
  </si>
  <si>
    <t>59753767281</t>
  </si>
  <si>
    <t>59350067031</t>
  </si>
  <si>
    <t>61455137894</t>
  </si>
  <si>
    <t>59753857001</t>
  </si>
  <si>
    <t>59753857031</t>
  </si>
  <si>
    <t>59753857211</t>
  </si>
  <si>
    <t>59750897001</t>
  </si>
  <si>
    <t>59750897031</t>
  </si>
  <si>
    <t>59750897061</t>
  </si>
  <si>
    <t>59750897091</t>
  </si>
  <si>
    <t>59750897171</t>
  </si>
  <si>
    <t>59750897281</t>
  </si>
  <si>
    <t>59750897141</t>
  </si>
  <si>
    <t>59750897311</t>
  </si>
  <si>
    <t>59751817253</t>
  </si>
  <si>
    <t>59754967028</t>
  </si>
  <si>
    <t>59754967128</t>
  </si>
  <si>
    <t>59754967501</t>
  </si>
  <si>
    <t>59754967521</t>
  </si>
  <si>
    <t>59754967561</t>
  </si>
  <si>
    <t>59754967572</t>
  </si>
  <si>
    <t>59754967571</t>
  </si>
  <si>
    <t>59754967581</t>
  </si>
  <si>
    <t>59754967601</t>
  </si>
  <si>
    <t>59751817131</t>
  </si>
  <si>
    <t>59754967916</t>
  </si>
  <si>
    <t>59754968016</t>
  </si>
  <si>
    <t>59754968301</t>
  </si>
  <si>
    <t>59754977011</t>
  </si>
  <si>
    <t>59754987011</t>
  </si>
  <si>
    <t>59754987111</t>
  </si>
  <si>
    <t>59759017053</t>
  </si>
  <si>
    <t>59759017054</t>
  </si>
  <si>
    <t>59759017055</t>
  </si>
  <si>
    <t>59759017056</t>
  </si>
  <si>
    <t>59759017111</t>
  </si>
  <si>
    <t>59759017112</t>
  </si>
  <si>
    <t>59759017113</t>
  </si>
  <si>
    <t>59759017114</t>
  </si>
  <si>
    <t>59759017115</t>
  </si>
  <si>
    <t>59759017116</t>
  </si>
  <si>
    <t>59759017117</t>
  </si>
  <si>
    <t>53060707015</t>
  </si>
  <si>
    <t>53060807001</t>
  </si>
  <si>
    <t>53060327011</t>
  </si>
  <si>
    <t>MM481669623</t>
  </si>
  <si>
    <t>MM481669624</t>
  </si>
  <si>
    <t>E1450667003</t>
  </si>
  <si>
    <t>E1450927202</t>
  </si>
  <si>
    <t>E1450927203</t>
  </si>
  <si>
    <t>E1450927204</t>
  </si>
  <si>
    <t>E1450927205</t>
  </si>
  <si>
    <t>E1450927206</t>
  </si>
  <si>
    <t>E1450927208</t>
  </si>
  <si>
    <t>E1450927209</t>
  </si>
  <si>
    <t>E1450927211</t>
  </si>
  <si>
    <t>E1450927212</t>
  </si>
  <si>
    <t>E1450927213</t>
  </si>
  <si>
    <t>MM449604035</t>
  </si>
  <si>
    <t>MMJ46377974</t>
  </si>
  <si>
    <t>MMJ46377969</t>
  </si>
  <si>
    <t>MMJ46377971</t>
  </si>
  <si>
    <t>E1450287522</t>
  </si>
  <si>
    <t>E1450287523</t>
  </si>
  <si>
    <t>E1450287524</t>
  </si>
  <si>
    <t>E1450287539</t>
  </si>
  <si>
    <t>E1450287540</t>
  </si>
  <si>
    <t>E1450287563</t>
  </si>
  <si>
    <t>E1450287564</t>
  </si>
  <si>
    <t>E1450287565</t>
  </si>
  <si>
    <t>E1450287566</t>
  </si>
  <si>
    <t>E1450287568</t>
  </si>
  <si>
    <t>MMJ46377972</t>
  </si>
  <si>
    <t>E1450137202</t>
  </si>
  <si>
    <t>E1450137303</t>
  </si>
  <si>
    <t>E1450137304</t>
  </si>
  <si>
    <t>E1450137305</t>
  </si>
  <si>
    <t>E1450137306</t>
  </si>
  <si>
    <t>E1450137405</t>
  </si>
  <si>
    <t>E1450137408</t>
  </si>
  <si>
    <t>E1450358401</t>
  </si>
  <si>
    <t>MM046377981</t>
  </si>
  <si>
    <t>MM362692755</t>
  </si>
  <si>
    <t>61452167511</t>
  </si>
  <si>
    <t>59301517001</t>
  </si>
  <si>
    <t>59301517002</t>
  </si>
  <si>
    <t>59301517003</t>
  </si>
  <si>
    <t>59350317122</t>
  </si>
  <si>
    <t>MMJ31198163</t>
  </si>
  <si>
    <t>59350317205</t>
  </si>
  <si>
    <t>59350317206</t>
  </si>
  <si>
    <t>59350317207</t>
  </si>
  <si>
    <t>59350317208</t>
  </si>
  <si>
    <t>59750427102</t>
  </si>
  <si>
    <t>59750427104</t>
  </si>
  <si>
    <t>59750427111</t>
  </si>
  <si>
    <t>59751777101</t>
  </si>
  <si>
    <t>59200257101</t>
  </si>
  <si>
    <t>MMA88787933</t>
  </si>
  <si>
    <t>59750430003</t>
  </si>
  <si>
    <t>59750430007</t>
  </si>
  <si>
    <t>59750440005</t>
  </si>
  <si>
    <t>59750440003</t>
  </si>
  <si>
    <t>59750167002</t>
  </si>
  <si>
    <t>59751807001</t>
  </si>
  <si>
    <t>59752007003</t>
  </si>
  <si>
    <t>E9400177025</t>
  </si>
  <si>
    <t>E9400177026</t>
  </si>
  <si>
    <t>E9400177030</t>
  </si>
  <si>
    <t>E9400267006</t>
  </si>
  <si>
    <t>E9400267007</t>
  </si>
  <si>
    <t>E9400267008</t>
  </si>
  <si>
    <t>E9400267009</t>
  </si>
  <si>
    <t>E9400267011</t>
  </si>
  <si>
    <t>E9400267012</t>
  </si>
  <si>
    <t>59350287063</t>
  </si>
  <si>
    <t>59400077201</t>
  </si>
  <si>
    <t>59755057204</t>
  </si>
  <si>
    <t>59755057205</t>
  </si>
  <si>
    <t>56300217297</t>
  </si>
  <si>
    <t>56300217299</t>
  </si>
  <si>
    <t>56800447433</t>
  </si>
  <si>
    <t>95150607001</t>
  </si>
  <si>
    <t>95200027092</t>
  </si>
  <si>
    <t>53060027000</t>
  </si>
  <si>
    <t>53100027003</t>
  </si>
  <si>
    <t>53100028501</t>
  </si>
  <si>
    <t>52100327001</t>
  </si>
  <si>
    <t>MM355702721</t>
  </si>
  <si>
    <t>59750338011</t>
  </si>
  <si>
    <t>59750338012</t>
  </si>
  <si>
    <t>59750338013</t>
  </si>
  <si>
    <t>59750338014</t>
  </si>
  <si>
    <t>59750338016</t>
  </si>
  <si>
    <t>59750338017</t>
  </si>
  <si>
    <t>59750338018</t>
  </si>
  <si>
    <t>MM318075001</t>
  </si>
  <si>
    <t>MM318075002</t>
  </si>
  <si>
    <t>MM318075003</t>
  </si>
  <si>
    <t>MM318075004</t>
  </si>
  <si>
    <t>MM318075005</t>
  </si>
  <si>
    <t>MM318075006</t>
  </si>
  <si>
    <t>MM318075007</t>
  </si>
  <si>
    <t>MM318075101</t>
  </si>
  <si>
    <t>MM318075102</t>
  </si>
  <si>
    <t>MM318075103</t>
  </si>
  <si>
    <t>MM318075104</t>
  </si>
  <si>
    <t>MM318075105</t>
  </si>
  <si>
    <t>MM318075106</t>
  </si>
  <si>
    <t>MM318075107</t>
  </si>
  <si>
    <t>59759027063</t>
  </si>
  <si>
    <t>59759027064</t>
  </si>
  <si>
    <t>59759027065</t>
  </si>
  <si>
    <t>59759027066</t>
  </si>
  <si>
    <t>59759027067</t>
  </si>
  <si>
    <t>MMA07068976</t>
  </si>
  <si>
    <t>MMH02109318</t>
  </si>
  <si>
    <t>MML40714719</t>
  </si>
  <si>
    <t>MMJ44189786</t>
  </si>
  <si>
    <t>MMJ31034907</t>
  </si>
  <si>
    <t>MMJ31190948</t>
  </si>
  <si>
    <t>MMH19862285</t>
  </si>
  <si>
    <t>MMJ31034913</t>
  </si>
  <si>
    <t>MMJ31190949</t>
  </si>
  <si>
    <t>MMH19862286</t>
  </si>
  <si>
    <t>MMJ31034916</t>
  </si>
  <si>
    <t>MMH36101092</t>
  </si>
  <si>
    <t>MMH28528332</t>
  </si>
  <si>
    <t>MMH28528333</t>
  </si>
  <si>
    <t>MMH28528334</t>
  </si>
  <si>
    <t>MMA12687311</t>
  </si>
  <si>
    <t>MMA12687312</t>
  </si>
  <si>
    <t>MMA12687313</t>
  </si>
  <si>
    <t>MMA12687314</t>
  </si>
  <si>
    <t>MMH15519080</t>
  </si>
  <si>
    <t>MMH15782169</t>
  </si>
  <si>
    <t>MMJ36167892</t>
  </si>
  <si>
    <t>MMJ50352961</t>
  </si>
  <si>
    <t>MMJ36167824</t>
  </si>
  <si>
    <t>MMJ36167825</t>
  </si>
  <si>
    <t>MMJ36167832</t>
  </si>
  <si>
    <t>MMJ36167833</t>
  </si>
  <si>
    <t>MMJ36167834</t>
  </si>
  <si>
    <t>MMJ36167835</t>
  </si>
  <si>
    <t>MM038600833</t>
  </si>
  <si>
    <t>MMH36186252</t>
  </si>
  <si>
    <t>MMH36186253</t>
  </si>
  <si>
    <t>MMH36186254</t>
  </si>
  <si>
    <t>MMH38522357</t>
  </si>
  <si>
    <t>MMH38522358</t>
  </si>
  <si>
    <t>MMH36101103</t>
  </si>
  <si>
    <t>MMJ50615313</t>
  </si>
  <si>
    <t>MMJ50615314</t>
  </si>
  <si>
    <t>MMJ50615315</t>
  </si>
  <si>
    <t>MMH36101106</t>
  </si>
  <si>
    <t>MMO36274222</t>
  </si>
  <si>
    <t>MMO36274230</t>
  </si>
  <si>
    <t>MMO36274231</t>
  </si>
  <si>
    <t>MMO36274232</t>
  </si>
  <si>
    <t>MMO36274233</t>
  </si>
  <si>
    <t>MMO36274237</t>
  </si>
  <si>
    <t>MMO36274238</t>
  </si>
  <si>
    <t>MMO36274239</t>
  </si>
  <si>
    <t>MMO36274240</t>
  </si>
  <si>
    <t>MMO36274241</t>
  </si>
  <si>
    <t>MMJ36168021</t>
  </si>
  <si>
    <t>MMJ50615318</t>
  </si>
  <si>
    <t>MMJ50615338</t>
  </si>
  <si>
    <t>MMJ50615339</t>
  </si>
  <si>
    <t>MMJ50615340</t>
  </si>
  <si>
    <t>MMJ50615341</t>
  </si>
  <si>
    <t>MMJ50615342</t>
  </si>
  <si>
    <t>MMJ50615319</t>
  </si>
  <si>
    <t>MMJ50615320</t>
  </si>
  <si>
    <t>MMJ50615321</t>
  </si>
  <si>
    <t>MMJ50615322</t>
  </si>
  <si>
    <t>MMJ50615345</t>
  </si>
  <si>
    <t>MMJ50615324</t>
  </si>
  <si>
    <t>MMJ50615325</t>
  </si>
  <si>
    <t>MMJ50615326</t>
  </si>
  <si>
    <t>MMJ50615327</t>
  </si>
  <si>
    <t>MMJ50615328</t>
  </si>
  <si>
    <t>MMJ47055396</t>
  </si>
  <si>
    <t>MMJ47055392</t>
  </si>
  <si>
    <t>MM047140204</t>
  </si>
  <si>
    <t>MM047140205</t>
  </si>
  <si>
    <t>MM047672775</t>
  </si>
  <si>
    <t>MM047672777</t>
  </si>
  <si>
    <t>MM047672778</t>
  </si>
  <si>
    <t>MM047672781</t>
  </si>
  <si>
    <t>MM047672782</t>
  </si>
  <si>
    <t>MM047672783</t>
  </si>
  <si>
    <t>MM047672780</t>
  </si>
  <si>
    <t>MM047672779</t>
  </si>
  <si>
    <t>MM050615358</t>
  </si>
  <si>
    <t>MM047672771</t>
  </si>
  <si>
    <t>MM047672759</t>
  </si>
  <si>
    <t>MM047672755</t>
  </si>
  <si>
    <t>MM047672756</t>
  </si>
  <si>
    <t>MM047672757</t>
  </si>
  <si>
    <t>MM047672789</t>
  </si>
  <si>
    <t>MM047672768</t>
  </si>
  <si>
    <t>MM047672767</t>
  </si>
  <si>
    <t>MM047672790</t>
  </si>
  <si>
    <t>MM047672754</t>
  </si>
  <si>
    <t>MM047672766</t>
  </si>
  <si>
    <t>MM047672746</t>
  </si>
  <si>
    <t>MM047672747</t>
  </si>
  <si>
    <t>MM047672748</t>
  </si>
  <si>
    <t>MM047672749</t>
  </si>
  <si>
    <t>MM047672750</t>
  </si>
  <si>
    <t>MM047672751</t>
  </si>
  <si>
    <t>MM047672752</t>
  </si>
  <si>
    <t>MM047672753</t>
  </si>
  <si>
    <t>MM047672770</t>
  </si>
  <si>
    <t>MM047672769</t>
  </si>
  <si>
    <t>MM047672787</t>
  </si>
  <si>
    <t>MM047672788</t>
  </si>
  <si>
    <t>MM047672785</t>
  </si>
  <si>
    <t>MM047672784</t>
  </si>
  <si>
    <t>MM047672786</t>
  </si>
  <si>
    <t>MM047672745</t>
  </si>
  <si>
    <t>MM047672758</t>
  </si>
  <si>
    <t>MM047672799</t>
  </si>
  <si>
    <t>MM050166345</t>
  </si>
  <si>
    <t>MM050166347</t>
  </si>
  <si>
    <t>MM050166350</t>
  </si>
  <si>
    <t>MM050166353</t>
  </si>
  <si>
    <t>MM050166355</t>
  </si>
  <si>
    <t>MM050615359</t>
  </si>
  <si>
    <t>MM047672791</t>
  </si>
  <si>
    <t>MM047672792</t>
  </si>
  <si>
    <t>MM047672793</t>
  </si>
  <si>
    <t>MM047672794</t>
  </si>
  <si>
    <t>MM047672795</t>
  </si>
  <si>
    <t>MM047672796</t>
  </si>
  <si>
    <t>MM047672797</t>
  </si>
  <si>
    <t>MM047672762</t>
  </si>
  <si>
    <t>MM047672772</t>
  </si>
  <si>
    <t>MM047672774</t>
  </si>
  <si>
    <t>MM047672773</t>
  </si>
  <si>
    <t>MM047672764</t>
  </si>
  <si>
    <t>MM047672798</t>
  </si>
  <si>
    <t>MM047672728</t>
  </si>
  <si>
    <t>MM047672727</t>
  </si>
  <si>
    <t>MM047672726</t>
  </si>
  <si>
    <t>MM047672729</t>
  </si>
  <si>
    <t>MM047672725</t>
  </si>
  <si>
    <t>MM047672724</t>
  </si>
  <si>
    <t>MM047672723</t>
  </si>
  <si>
    <t>MM047672722</t>
  </si>
  <si>
    <t>CA565826042</t>
  </si>
  <si>
    <t>182-하</t>
  </si>
  <si>
    <t>CA565826051</t>
  </si>
  <si>
    <t>187-하</t>
  </si>
  <si>
    <t>CA565826044</t>
  </si>
  <si>
    <t>184-하</t>
  </si>
  <si>
    <t>MM050615357</t>
  </si>
  <si>
    <t>MMJ47140210</t>
  </si>
  <si>
    <t>MMJ47140211</t>
  </si>
  <si>
    <t>MMJ47140212</t>
  </si>
  <si>
    <t>56900017016</t>
  </si>
  <si>
    <t>56900017076</t>
  </si>
  <si>
    <t>56900017010</t>
  </si>
  <si>
    <t>56900017117</t>
  </si>
  <si>
    <t>56900017031</t>
  </si>
  <si>
    <t>56900017116</t>
  </si>
  <si>
    <t>56900017115</t>
  </si>
  <si>
    <t>56900017041</t>
  </si>
  <si>
    <t>56900017118</t>
  </si>
  <si>
    <t>56900017029</t>
  </si>
  <si>
    <t>56900017091</t>
  </si>
  <si>
    <t>56900017074</t>
  </si>
  <si>
    <t>367</t>
  </si>
  <si>
    <t>내선전공</t>
    <phoneticPr fontId="2" type="noConversion"/>
  </si>
  <si>
    <t>저압케이블전공</t>
    <phoneticPr fontId="2" type="noConversion"/>
  </si>
  <si>
    <t>고압케이블전공</t>
    <phoneticPr fontId="2" type="noConversion"/>
  </si>
  <si>
    <t>특고압케이블전공</t>
    <phoneticPr fontId="2" type="noConversion"/>
  </si>
  <si>
    <t>배전전공</t>
    <phoneticPr fontId="2" type="noConversion"/>
  </si>
  <si>
    <t>통신케이블공</t>
    <phoneticPr fontId="2" type="noConversion"/>
  </si>
  <si>
    <t>통신외선공</t>
    <phoneticPr fontId="2" type="noConversion"/>
  </si>
  <si>
    <t>보통인부</t>
    <phoneticPr fontId="2" type="noConversion"/>
  </si>
  <si>
    <t>특별인부</t>
    <phoneticPr fontId="2" type="noConversion"/>
  </si>
  <si>
    <t>방수공</t>
    <phoneticPr fontId="2" type="noConversion"/>
  </si>
  <si>
    <t>줄눈공</t>
    <phoneticPr fontId="2" type="noConversion"/>
  </si>
  <si>
    <t>작업반장</t>
    <phoneticPr fontId="2" type="noConversion"/>
  </si>
  <si>
    <t>800</t>
  </si>
  <si>
    <t>전기5-29</t>
  </si>
  <si>
    <t>노임계</t>
  </si>
  <si>
    <t>전기4-43-3</t>
  </si>
  <si>
    <t>통신2-3-2</t>
  </si>
  <si>
    <t>전기3-38</t>
  </si>
  <si>
    <t>전기4-39</t>
  </si>
  <si>
    <t>전기2-18</t>
  </si>
  <si>
    <t>391115ZZ701Z0074</t>
  </si>
  <si>
    <t>품셈 산출근거</t>
  </si>
  <si>
    <t>측벽</t>
  </si>
  <si>
    <t>391115ZZ701Z0070</t>
  </si>
  <si>
    <t>5m-7m 이하(기계화시공)</t>
  </si>
  <si>
    <t>391115ZZ701Z0069</t>
  </si>
  <si>
    <t>전기5-1</t>
  </si>
  <si>
    <t>전기4-31</t>
  </si>
  <si>
    <t>전기5-3</t>
  </si>
  <si>
    <t>전기5-5</t>
  </si>
  <si>
    <t>전기5-4</t>
  </si>
  <si>
    <t>전기5-9-1</t>
  </si>
  <si>
    <t>전기5-8</t>
  </si>
  <si>
    <t>전기5-7</t>
  </si>
  <si>
    <t>전기5-10</t>
  </si>
  <si>
    <t>전기5-11</t>
  </si>
  <si>
    <t>전기5-13</t>
  </si>
  <si>
    <t>전기4-34</t>
  </si>
  <si>
    <t>통신4-3-1</t>
  </si>
  <si>
    <t>통신4-10</t>
  </si>
  <si>
    <t>전기5-23-2</t>
  </si>
  <si>
    <t>전기5-23-1</t>
  </si>
  <si>
    <t>전기5-42</t>
  </si>
  <si>
    <t>전기4-45</t>
  </si>
  <si>
    <t>전기4-37</t>
  </si>
  <si>
    <t>전기5-19</t>
  </si>
  <si>
    <t>전기5-23-나</t>
  </si>
  <si>
    <t>전기3-20</t>
  </si>
  <si>
    <t>전기5-18-1</t>
  </si>
  <si>
    <t>전기5-26-2</t>
  </si>
  <si>
    <t>전기5-25-3</t>
  </si>
  <si>
    <t>@관급자재</t>
  </si>
  <si>
    <t>391115ZZ701Z0072</t>
  </si>
  <si>
    <t>인력터파기 보통토사 0-1M</t>
  </si>
  <si>
    <t>토목3-1-3-1</t>
  </si>
  <si>
    <t>391115ZZ701Z0071</t>
  </si>
  <si>
    <t>인력되메우기 보통토사 0-1M</t>
  </si>
  <si>
    <t>391115ZZ701Z0075</t>
  </si>
  <si>
    <t>현장내잔토처리 소운반.고르기</t>
  </si>
  <si>
    <t>391115ZZ701Z0073</t>
  </si>
  <si>
    <t>잡석깔기지정 떨공이다지기</t>
  </si>
  <si>
    <t>토목5-1-2</t>
  </si>
  <si>
    <t>[ 제 3호 ] 파이프행가  16 C [식]</t>
  </si>
  <si>
    <t>공종줄</t>
    <phoneticPr fontId="2" type="noConversion"/>
  </si>
  <si>
    <t>[ 제 4호 ] 파이프행가  22 C [식]</t>
  </si>
  <si>
    <t>[ 제 5호 ] 파이프행가  28 C [식]</t>
  </si>
  <si>
    <t>[ 제 6호 ] 파이프행가  36 C [식]</t>
  </si>
  <si>
    <t>[ 제 7호 ] 파이프행가  42 C [식]</t>
  </si>
  <si>
    <t>[ 제 8호 ] 파이프행가  54 C [식]</t>
  </si>
  <si>
    <t>[ 제 9호 ] 파이프행가  70 C [식]</t>
  </si>
  <si>
    <t>[ 제 10호 ] 케이블트레이지지대  W200-1단 [식]</t>
  </si>
  <si>
    <t>[ 제 11호 ] 케이블트레이지지대  W300-1단 [식]</t>
  </si>
  <si>
    <t>[ 제 12호 ] 케이블트레이지지대  W800-1단 [식]</t>
  </si>
  <si>
    <t>[ 제 13호 ] EPS SUPPORT  W800-1단 [식]</t>
  </si>
  <si>
    <t>[ 제 14호 ] 동력배관지지가대  28C [식]</t>
  </si>
  <si>
    <t>[ 제 15호 ] 동력배관지지가대  36C [식]</t>
  </si>
  <si>
    <t>[ 제 16호 ] 동력배관지지가대  42C [식]</t>
  </si>
  <si>
    <t>[ 제 17호 ] 동력배관지지가대  54C [식]</t>
  </si>
  <si>
    <t>[ 제 18호 ] 맨  홀  1000x1000x1000 [식]</t>
  </si>
  <si>
    <t>[ 제 19호 ] 맨  홀  1500x1500x1500 [식]</t>
  </si>
  <si>
    <t>[ 제 20호 ] 접지공사  TEST [식]</t>
  </si>
  <si>
    <t>[ 제 21호 ] 관로구방수  D50 [식]</t>
  </si>
  <si>
    <t>[ 제 22호 ] 관로구방수  D65 [식]</t>
  </si>
  <si>
    <t>[ 제 23호 ] 관로구방수  D150 [식]</t>
  </si>
  <si>
    <t>[ 제 24호 ] 석고따기  측벽 [식]</t>
  </si>
  <si>
    <t>[ 제 25호 ] 조명기구 설치(POLE LIGHT)-강관,AL  5m-7m 이하(기계화시공) [개소]</t>
  </si>
  <si>
    <t>[ 제 26호 ] 다운라이트구멍따기 [개소]</t>
  </si>
  <si>
    <t>[ 제 27호 ] 방화구획(내화충전)  W 200 [개소]</t>
  </si>
  <si>
    <t>[ 제 28호 ] 방화구획(내화충전)  W 300 [개소]</t>
  </si>
  <si>
    <t>[ 제 29호 ] 방화구획(내화충전)  W 800 [개소]</t>
  </si>
  <si>
    <t>[ 제 30호 ] 경질비닐전선관  HI 16 mm [M.]</t>
  </si>
  <si>
    <t>[ 제 31호 ] 경질비닐전선관  HI 28 mm [M.]</t>
  </si>
  <si>
    <t>[ 제 32호 ] 경질비닐전선관  HI 36 mm [M.]</t>
  </si>
  <si>
    <t>[ 제 33호 ] 경질비닐전선관  HI 42 mm [M.]</t>
  </si>
  <si>
    <t>[ 제 34호 ] 합성수지제 가요전선관  CD-난연성 16㎜ [M..]</t>
  </si>
  <si>
    <t>[ 제 35호 ] 합성수지제 가요전선관  CD-난연성 22㎜ [M..]</t>
  </si>
  <si>
    <t>[ 제 36호 ] 파상형 폴리에틸렌 전선관  30㎜ [M.]</t>
  </si>
  <si>
    <t>[ 제 37호 ] 파상형 폴리에틸렌 전선관  40㎜ [M.]</t>
  </si>
  <si>
    <t>[ 제 38호 ] 파상형 폴리에틸렌 전선관  65㎜ [M.]</t>
  </si>
  <si>
    <t>[ 제 39호 ] 파상형 폴리에틸렌 전선관  125㎜-2열 포설 [M.]</t>
  </si>
  <si>
    <t>[ 제 40호 ] 1종금속제가요전선관  16 mm 고장력-비방수 [M]</t>
  </si>
  <si>
    <t>[ 제 41호 ] 1종금속제가요전선관  28 mm 고장력-비방수 [M]</t>
  </si>
  <si>
    <t>[ 제 42호 ] 1종금속제가요전선관  36 mm 고장력-비방수 [M]</t>
  </si>
  <si>
    <t>[ 제 43호 ] 1종금속제가요전선관  28 mm 고장력-방수 [M]</t>
  </si>
  <si>
    <t>[ 제 44호 ] 1종금속제가요전선관  36 mm 고장력-방수 [M]</t>
  </si>
  <si>
    <t>[ 제 45호 ] 1종금속제가요전선관  42 mm 고장력-방수 [M]</t>
  </si>
  <si>
    <t>[ 제 46호 ] 강제전선관용 부품  위샤캡, 28 C [개]</t>
  </si>
  <si>
    <t>[ 제 47호 ] 아우트렛박스  8각 54㎜ [개]</t>
  </si>
  <si>
    <t>[ 제 48호 ] 아우트렛박스  중형4각 54㎜ [개]</t>
  </si>
  <si>
    <t>[ 제 49호 ] 스위치박스  1 개용 54 mm [개]</t>
  </si>
  <si>
    <t>[ 제 50호 ] 스위치박스  2 개용 54 mm [개]</t>
  </si>
  <si>
    <t>[ 제 51호 ] 연결박스  4각 44㎜ [개]</t>
  </si>
  <si>
    <t>[ 제 52호 ] 시스템 박스  Con'매입용 [개]</t>
  </si>
  <si>
    <t>[ 제 53호 ] 정션 박스  100*100*50 [EA]</t>
  </si>
  <si>
    <t>[ 제 54호 ] 풀박스  100×100×50 [개]</t>
  </si>
  <si>
    <t>[ 제 55호 ] 풀박스  150×150×100 [개]</t>
  </si>
  <si>
    <t>[ 제 56호 ] 풀박스  600×600×300 [개]</t>
  </si>
  <si>
    <t>[ 제 57호 ] 레이스웨이  BODY, 40×40 [m]</t>
  </si>
  <si>
    <t>[ 제 58호 ] 레이스웨이  JOINT BOX, 40 x 40 [개]</t>
  </si>
  <si>
    <t>[ 제 59호 ] 레이스웨이  JUNC.BOX - 2 방, 40×40 [개]</t>
  </si>
  <si>
    <t>[ 제 60호 ] 케이블트레이  STRAIGHT,St W800x100Hx2.3t [m]</t>
  </si>
  <si>
    <t>[ 제 61호 ] 케이블트레이부속품  H. ELBOW, St,W800x100Hx2.3t [개]</t>
  </si>
  <si>
    <t>[ 제 62호 ] 케이블트레이부속품  V. ELBOW, St,W800x100Hx2.3t [개]</t>
  </si>
  <si>
    <t>[ 제 63호 ] 케이블트레이  AL, 2.0txW300 x H70 [m]</t>
  </si>
  <si>
    <t>[ 제 64호 ] 케이블트레이부속품  AL HOR. ELBOW, W300 x H70 [개]</t>
  </si>
  <si>
    <t>[ 제 65호 ] 케이블트레이부속품  AL HOR. TEE, W300 x H70 [개]</t>
  </si>
  <si>
    <t>[ 제 66호 ] 덕트형 케이블트레이  DUCT, W 200 x H 100 [m]</t>
  </si>
  <si>
    <t>[ 제 67호 ] 덕트형 케이블트레이부속  HOR. ELBOW, W 200 [개]</t>
  </si>
  <si>
    <t>[ 제 68호 ] 덕트형 케이블트레이부속  VER. ELBOW, W 200 [개]</t>
  </si>
  <si>
    <t>[ 제 69호 ] 450/750V 내열비닐절연전선  HFIX 1.38mm(1.5㎟) [M]</t>
  </si>
  <si>
    <t>[ 제 70호 ] 450/750V 내열비닐절연전선  HFIX 1.78mm(2.5㎟) [M]</t>
  </si>
  <si>
    <t>[ 제 71호 ] 450/750V 내열비닐절연전선  HFIX 2.25mm(4㎟) [M]</t>
  </si>
  <si>
    <t>[ 제 72호 ] 접지용비닐절연전선(F-GV)  4㎟ [M]</t>
  </si>
  <si>
    <t>[ 제 73호 ] 접지용비닐절연전선(F-GV)  6㎟ [M]</t>
  </si>
  <si>
    <t>[ 제 74호 ] 접지용비닐절연전선(F-GV)  10㎟ [M]</t>
  </si>
  <si>
    <t>[ 제 75호 ] 접지용비닐절연전선(F-GV)  16㎟ [M]</t>
  </si>
  <si>
    <t>[ 제 76호 ] 접지용비닐절연전선(F-GV)  25㎟ [M]</t>
  </si>
  <si>
    <t>[ 제 77호 ] 접지용비닐절연전선(F-GV)  35㎟ [M]</t>
  </si>
  <si>
    <t>[ 제 78호 ] 접지용비닐절연전선(F-GV)  50㎟ [M]</t>
  </si>
  <si>
    <t>[ 제 79호 ] 접지용비닐절연전선(F-GV)  70㎟ [M]</t>
  </si>
  <si>
    <t>[ 제 80호 ] 접지용비닐절연전선(F-GV)  95㎟ [M]</t>
  </si>
  <si>
    <t>[ 제 81호 ] 접지용비닐절연전선(F-GV)  120㎟ [M]</t>
  </si>
  <si>
    <t>[ 제 82호 ] 전기용 연동연선(BC)  50㎟ [M]</t>
  </si>
  <si>
    <t>[ 제 83호 ] 폴리에틸렌 난연케이블-2열/옥내  0.6/1kv F-CV 1C×70㎟ [M]</t>
  </si>
  <si>
    <t>[ 제 84호 ] 폴리에틸렌 난연케이블-4열/옥내  0.6/1kv F-CV 1C×50㎟ [M]</t>
  </si>
  <si>
    <t>[ 제 85호 ] 폴리에틸렌 난연케이블-4열/옥내  0.6/1kv F-CV 1C×70㎟ [M]</t>
  </si>
  <si>
    <t>[ 제 86호 ] 폴리에틸렌 난연케이블  0.6/1kv F-CV 2C×4㎟ [M]</t>
  </si>
  <si>
    <t>[ 제 87호 ] 폴리에틸렌 난연케이블  0.6/1kv F-CV 2C×6㎟ [M]</t>
  </si>
  <si>
    <t>[ 제 88호 ] 폴리에틸렌 난연케이블  0.6/1kv F-CV 2C×10㎟ [M]</t>
  </si>
  <si>
    <t>[ 제 89호 ] 폴리에틸렌 난연케이블  0.6/1kv F-CV 3C×4㎟ [M]</t>
  </si>
  <si>
    <t>[ 제 90호 ] 폴리에틸렌 난연케이블  0.6/1kv F-CV 3C×6㎟ [M]</t>
  </si>
  <si>
    <t>[ 제 91호 ] 폴리에틸렌 난연케이블  0.6/1kv F-CV 4C×6㎟ [M]</t>
  </si>
  <si>
    <t>[ 제 92호 ] 폴리에틸렌 난연케이블  0.6/1kv F-CV 4C×10㎟ [M]</t>
  </si>
  <si>
    <t>[ 제 93호 ] 폴리에틸렌 난연케이블  0.6/1kv F-CV 4C×16㎟ [M]</t>
  </si>
  <si>
    <t>[ 제 94호 ] 폴리에틸렌 난연케이블  0.6/1kv F-CV 4C×25㎟ [M]</t>
  </si>
  <si>
    <t>[ 제 95호 ] 폴리에틸렌 난연케이블  0.6/1kv F-CV 4C×35㎟ [M]</t>
  </si>
  <si>
    <t>[ 제 96호 ] 소방용내화전선(F-FR-8)  1C×240㎟-4열/옥내 [M]</t>
  </si>
  <si>
    <t>[ 제 97호 ] 소방용내화전선(F-FR-8)  2C×4㎟ [M]</t>
  </si>
  <si>
    <t>[ 제 98호 ] 소방용내화전선(F-FR-8)  3C×6㎟ [M]</t>
  </si>
  <si>
    <t>[ 제 99호 ] 소방용내화전선(F-FR-8)  3C×10㎟ [M]</t>
  </si>
  <si>
    <t>[ 제 100호 ] 소방용내화전선(F-FR-8)  3C×16㎟ [M]</t>
  </si>
  <si>
    <t>[ 제 101호 ] 소방용내화전선(F-FR-8)  3C×25㎟ [M]</t>
  </si>
  <si>
    <t>[ 제 102호 ] 소방용내화전선(F-FR-8)  4C×16㎟ [M]</t>
  </si>
  <si>
    <t>[ 제 103호 ] 소방용내화전선(F-FR-8)  4C×35㎟ [M]</t>
  </si>
  <si>
    <t>[ 제 104호 ] 난연제어케이블  F-CVV-S, 2Cx1.5㎟ [M]</t>
  </si>
  <si>
    <t>[ 제 105호 ] 23KV동심난연케이블-옥내3열  22.9kV,F-CN/CO,수밀,1x60㎟ [M]</t>
  </si>
  <si>
    <t>[ 제 106호 ] UTP 케이블  Cat.5E 0.5mm 4P [M]</t>
  </si>
  <si>
    <t>[ 제 107호 ] STP 케이블  Cat.5 0.5mm 4P [M]</t>
  </si>
  <si>
    <t>[ 제 108호 ] 매입스위치  250V 1로1구 [개]</t>
  </si>
  <si>
    <t>[ 제 109호 ] 매입스위치  250V 1로2구 [개]</t>
  </si>
  <si>
    <t>[ 제 110호 ] 매입스위치  250V 1로3구 [개]</t>
  </si>
  <si>
    <t>[ 제 111호 ] 콘센트  노출-접지형, 250V 2구 [개]</t>
  </si>
  <si>
    <t>[ 제 112호 ] 대기전력차단콘센트  매입형, 15A 250V 2구 [개]</t>
  </si>
  <si>
    <t>[ 제 113호 ] 콘센트  매입-접지형, 250V 1구 [개]</t>
  </si>
  <si>
    <t>[ 제 114호 ] 콘센트  매입-접지형, 250V 2구 [개]</t>
  </si>
  <si>
    <t>[ 제 115호 ] 방우콘센트  매입-접지형, 250V 1구 [개]</t>
  </si>
  <si>
    <t>[ 제 116호 ] 방우콘센트  매입-접지형, 250V 2구 [개]</t>
  </si>
  <si>
    <t>[ 제 117호 ] 접지봉  16Φ×1800 mm [개]</t>
  </si>
  <si>
    <t>[ 제 118호 ] 수막처리접지봉  18Φ×500 mm [개]</t>
  </si>
  <si>
    <t>[ 제 119호 ] 동피뢰침  동피뢰침(대), 14×485mm [개]</t>
  </si>
  <si>
    <t>[ 제 120호 ] 철근클램프  구조체접속 [개소]</t>
  </si>
  <si>
    <t>[ 제 121호 ] 접지단자함  SUS, 3 CCT [면]</t>
  </si>
  <si>
    <t>[ 제 122호 ] 접지단자함  SUS, 7 CCT [면]</t>
  </si>
  <si>
    <t>[ 제 123호 ] WARNING TAPE(강전용)  300 x 250 [m]</t>
  </si>
  <si>
    <t>[ 제 124호 ] WARNING TAPE(고압용)  300 x 250 [m]</t>
  </si>
  <si>
    <t>[ 제 125호 ] 케이블 단말접속자재  자기수축,23kV 1Cx60 ㎟ [조]</t>
  </si>
  <si>
    <t>[ 제 126호 ] 러그단자  동관단자 2 HOLE 50 ㎟ [개]</t>
  </si>
  <si>
    <t>[ 제 127호 ] 러그단자  동관단자 2 HOLE 70 ㎟ [개]</t>
  </si>
  <si>
    <t>[ 제 128호 ] 러그단자  동관단자 2 HOLE 240 ㎟ [개]</t>
  </si>
  <si>
    <t>[ 제 129호 ] 압착단자  R형동선 나압착 16 ㎟ [개]</t>
  </si>
  <si>
    <t>[ 제 130호 ] 압착단자  R형동선 나압착 25 ㎟ [개]</t>
  </si>
  <si>
    <t>[ 제 131호 ] 압착단자  R형동선 나압착 35 ㎟ [개]</t>
  </si>
  <si>
    <t>[ 제 132호 ] 압착단자  R형동선 나압착 50 ㎟ [개]</t>
  </si>
  <si>
    <t>[ 제 133호 ] 압착단자  R형동선 나압착 95 ㎟ [개]</t>
  </si>
  <si>
    <t>[ 제 134호 ] 압착단자  R형동선 나압착 120 ㎟ [개]</t>
  </si>
  <si>
    <t>[ 제 135호 ] 압착슬리이브  동압착슬리브-C형 50 ㎟ [개]</t>
  </si>
  <si>
    <t>[ 제 136호 ] 나사없는전선관(노출)  E19 [M.]</t>
  </si>
  <si>
    <t>[ 제 137호 ] 나사없는전선관(노출)  E25 [M.]</t>
  </si>
  <si>
    <t>[ 제 138호 ] 나사없는전선관(노출)  E31 [M.]</t>
  </si>
  <si>
    <t>[ 제 139호 ] 나사없는전선관(노출)  E39 [M.]</t>
  </si>
  <si>
    <t>[ 제 140호 ] 나사없는전선관(노출)  E51 [M.]</t>
  </si>
  <si>
    <t>[ 제 141호 ] 나사없는전선관(노출)  E63 [M.]</t>
  </si>
  <si>
    <t>[ 제 142호 ] 나사없는전선관(노출)  E75 [M.]</t>
  </si>
  <si>
    <t>[ 제 143호 ] 다기능 접속 단자함 [개]</t>
  </si>
  <si>
    <t>[ 제 144호 ] 카운터센서  화장실 [SET]</t>
  </si>
  <si>
    <t>[ 제 145호 ] 이질슬리브  수평도체 접합용 8mm [EA]</t>
  </si>
  <si>
    <t>[ 제 146호 ] 구조체 연속성 측정용 단자함 [면]</t>
  </si>
  <si>
    <t>[ 제 147호 ] 통합콘센트  일반4구/전화2/TV [개]</t>
  </si>
  <si>
    <t>[ 제 148호 ] 통합콘센트  일반2구/전화2 [개]</t>
  </si>
  <si>
    <t>[ 제 149호 ] 통합콘센트  일반2/전화2/TV [개]</t>
  </si>
  <si>
    <t>[ 제 150호 ] 통합BOX  일반4구/전화2/TV [개]</t>
  </si>
  <si>
    <t>[ 제 151호 ] 통합BOX  일반2구/전화2 [개]</t>
  </si>
  <si>
    <t>[ 제 152호 ] 통합BOX  일반2/전화2/TV [개]</t>
  </si>
  <si>
    <t>[ 제 153호 ] 결로 통합BOX  일반4구/전화2/TV [개]</t>
  </si>
  <si>
    <t>[ 제 154호 ] 결로 통합BOX  일반2/전화2/TV [개]</t>
  </si>
  <si>
    <t>[ 제 155호 ] 콘센트  가로-접지형,15A 250V 2구 [개]</t>
  </si>
  <si>
    <t>[ 제 156호 ] 결로BOX  1구 [개]</t>
  </si>
  <si>
    <t>[ 제 157호 ] 결로BOX  2구 [개]</t>
  </si>
  <si>
    <t>[ 제 158호 ] STS 봉  8Φ [m]</t>
  </si>
  <si>
    <t>[ 제 159호 ] STS봉후렉시블 [EA]</t>
  </si>
  <si>
    <t>[ 제 160호 ] 세대분전반  8회로+APU [면]</t>
  </si>
  <si>
    <t>[ 제 161호 ] 조명기구 TYPE D  LED40W(매입등) [SET]</t>
  </si>
  <si>
    <t>[ 제 162호 ] 조명기구 TYPE E  LED15W(D.L) [SET]</t>
  </si>
  <si>
    <t>[ 제 163호 ] 조명기구 TYPE F  LED15W(비상D.L) [SET]</t>
  </si>
  <si>
    <t>[ 제 164호 ] 철근 죔쇠접속 [EA]</t>
  </si>
  <si>
    <t>[ 제 165호 ] 제어케이블-쉴드  LIREV AMESB AWG22# 2P [M]</t>
  </si>
  <si>
    <t>[ 제 166호 ] 분전반-@관급자재  L-보안등 [면]</t>
  </si>
  <si>
    <t>[ 제 167호 ] 분전반-@관급자재  L-태양광 [면]</t>
  </si>
  <si>
    <t>[ 제 168호 ] 분전반-@관급자재  LE-2 [면]</t>
  </si>
  <si>
    <t>[ 제 169호 ] 분전반-@관급자재  LE-5 [면]</t>
  </si>
  <si>
    <t>[ 제 170호 ] 분전반-@관급자재  LE-8 [면]</t>
  </si>
  <si>
    <t>[ 제 171호 ] 분전반-@관급자재  LE-B1 [면]</t>
  </si>
  <si>
    <t>[ 제 172호 ] 분전반-@관급자재  LE-MDF [면]</t>
  </si>
  <si>
    <t>[ 제 173호 ] 분전반-@관급자재  LE-방재실 [면]</t>
  </si>
  <si>
    <t>[ 제 174호 ] 분전반-@관급자재  LE-전기실 [면]</t>
  </si>
  <si>
    <t>[ 제 175호 ] 분전반-@관급자재  LN-10 [면]</t>
  </si>
  <si>
    <t>[ 제 176호 ] 분전반-@관급자재  LN-1 [면]</t>
  </si>
  <si>
    <t>[ 제 177호 ] 분전반-@관급자재  LN-2 [면]</t>
  </si>
  <si>
    <t>[ 제 178호 ] 분전반-@관급자재  LN-3 [면]</t>
  </si>
  <si>
    <t>[ 제 179호 ] 분전반-@관급자재  LN-4 [면]</t>
  </si>
  <si>
    <t>[ 제 180호 ] 분전반-@관급자재  LN-5 [면]</t>
  </si>
  <si>
    <t>[ 제 181호 ] 분전반-@관급자재  LN-6 [면]</t>
  </si>
  <si>
    <t>[ 제 182호 ] 분전반-@관급자재  LN-7 [면]</t>
  </si>
  <si>
    <t>[ 제 183호 ] 분전반-@관급자재  LN-8 [면]</t>
  </si>
  <si>
    <t>[ 제 184호 ] 분전반-@관급자재  LN-9 [면]</t>
  </si>
  <si>
    <t>[ 제 185호 ] 분전반-@관급자재  LN-주민공동 [면]</t>
  </si>
  <si>
    <t>[ 제 186호 ] 분전반-@관급자재  LN-주민카페 [면]</t>
  </si>
  <si>
    <t>[ 제 187호 ] 분전반-@관급자재  MCP-B1-A [면]</t>
  </si>
  <si>
    <t>[ 제 188호 ] 분전반-@관급자재  MCP-B1-B [면]</t>
  </si>
  <si>
    <t>[ 제 189호 ] 분전반-@관급자재  MCP-E [면]</t>
  </si>
  <si>
    <t>[ 제 190호 ] 분전반-@관급자재  MCP-F [면]</t>
  </si>
  <si>
    <t>[ 제 191호 ] 분전반-@관급자재  MCP-W [면]</t>
  </si>
  <si>
    <t>[ 제 192호 ] 분전반-@관급자재  MCPF-PH [면]</t>
  </si>
  <si>
    <t>[ 제 193호 ] 분전반-@관급자재  P-ELEV [면]</t>
  </si>
  <si>
    <t>[ 제 194호 ] 조명기구 TYPE A-@관급자재  LED40W(P.P) [SET]</t>
  </si>
  <si>
    <t>[ 제 195호 ] 조명기구 TYPE B-@관급자재  LED40W(RACEWAY) [SET]</t>
  </si>
  <si>
    <t>[ 제 196호 ] 조명기구 TYPE C-@관급자재  LED40W(주차램프) [SET]</t>
  </si>
  <si>
    <t>[ 제 197호 ] 조명기구 TYPE D-@관급자재  LED40W(매입등) [SET]</t>
  </si>
  <si>
    <t>[ 제 198호 ] 조명기구 TYPE E-@관급자재  LED15W(D.L) [SET]</t>
  </si>
  <si>
    <t>[ 제 199호 ] 조명기구 TYPE F-@관급자재  LED15W(비상D.L) [SET]</t>
  </si>
  <si>
    <t>[ 제 200호 ] 조명기구 TYPE G-@관급자재  LED10W(비상센서) [SET]</t>
  </si>
  <si>
    <t>[ 제 201호 ] 조명기구 TYPE H-@관급자재  LED10W(센서벽부) [SET]</t>
  </si>
  <si>
    <t>[ 제 203호 ] 조명기구 TYPE 공용부-@관급자  LED15W(비상센서) [SET]</t>
  </si>
  <si>
    <t>[ 제 204호 ] 조명기구 TYPE 공용부-@관급자  LED15W(센서등) [SET]</t>
  </si>
  <si>
    <t>[ 제 205호 ] 조명기구 TYPE 세대-@관급자재  LED10W(비상D.L) [SET]</t>
  </si>
  <si>
    <t>[ 제 206호 ] 조명기구 TYPE 세대-@관급자재  LED10W(세대D.L) [SET]</t>
  </si>
  <si>
    <t>[ 제 207호 ] 조명기구 TYPE 세대-@관급자재  LED10W(세대직부) [SET]</t>
  </si>
  <si>
    <t>[ 제 208호 ] 조명기구 TYPE 세대-@관급자재  LED10W(욕실D.L) [SET]</t>
  </si>
  <si>
    <t>[ 제 209호 ] 조명기구 TYPE 세대-@관급자재  LED10W(현관센서) [SET]</t>
  </si>
  <si>
    <t>[ 제 210호 ] 조명기구 TYPE 세대-@관급자재  LED30W(욕실매입) [SET]</t>
  </si>
  <si>
    <t>[ 제 211호 ] 조명기구 TYPE 세대-@관급자재  LED40W(주방직부) [SET]</t>
  </si>
  <si>
    <t>[ 제 212호 ] 조명기구 TYPE 세대-@관급자재  LED50W(침실직부) [SET]</t>
  </si>
  <si>
    <t>[ 제 213호 ] 인력터파기  보통토사0-1m [㎥_]</t>
  </si>
  <si>
    <t>[ 제 214호 ] 인력되메우기  보통토사0-1m [㎥_]</t>
  </si>
  <si>
    <t>[ 제 215호 ] 현장내잔토처리  소운반.고르기 [㎥_]</t>
  </si>
  <si>
    <t>[ 제 216호 ] 잡석깔기지정  떨공이다지기 [㎥]</t>
  </si>
  <si>
    <t>705</t>
  </si>
  <si>
    <t>56930220020</t>
  </si>
  <si>
    <t>ABB103200000</t>
  </si>
  <si>
    <t>제 1호</t>
  </si>
  <si>
    <t>터파기(기계80%,인력20%)</t>
  </si>
  <si>
    <t>보통토사</t>
  </si>
  <si>
    <t>56930220052</t>
  </si>
  <si>
    <t>ABB104200000</t>
  </si>
  <si>
    <t>제 2호</t>
  </si>
  <si>
    <t>되메우기(기계80%,인력20%)</t>
  </si>
  <si>
    <t>56950120016</t>
  </si>
  <si>
    <t>EAA110110000</t>
  </si>
  <si>
    <t>제 3호</t>
  </si>
  <si>
    <t>파이프행가</t>
  </si>
  <si>
    <t>16 C</t>
  </si>
  <si>
    <t>56950120022</t>
  </si>
  <si>
    <t>EAA110120000</t>
  </si>
  <si>
    <t>제 4호</t>
  </si>
  <si>
    <t>22 C</t>
  </si>
  <si>
    <t>56950120028</t>
  </si>
  <si>
    <t>EAA110130000</t>
  </si>
  <si>
    <t>제 5호</t>
  </si>
  <si>
    <t>28 C</t>
  </si>
  <si>
    <t>56950120036</t>
  </si>
  <si>
    <t>EAA110140000</t>
  </si>
  <si>
    <t>제 6호</t>
  </si>
  <si>
    <t>36 C</t>
  </si>
  <si>
    <t>56950120042</t>
  </si>
  <si>
    <t>EAA110150000</t>
  </si>
  <si>
    <t>제 7호</t>
  </si>
  <si>
    <t>42 C</t>
  </si>
  <si>
    <t>56950120054</t>
  </si>
  <si>
    <t>EAA110160000</t>
  </si>
  <si>
    <t>제 8호</t>
  </si>
  <si>
    <t>54 C</t>
  </si>
  <si>
    <t>56950120070</t>
  </si>
  <si>
    <t>EAA110170000</t>
  </si>
  <si>
    <t>제 9호</t>
  </si>
  <si>
    <t>70 C</t>
  </si>
  <si>
    <t>56950160200</t>
  </si>
  <si>
    <t>EAA110420000</t>
  </si>
  <si>
    <t>제 10호</t>
  </si>
  <si>
    <t>케이블트레이지지대</t>
  </si>
  <si>
    <t>W200-1단</t>
  </si>
  <si>
    <t>56950160300</t>
  </si>
  <si>
    <t>EAA110430000</t>
  </si>
  <si>
    <t>제 11호</t>
  </si>
  <si>
    <t>W300-1단</t>
  </si>
  <si>
    <t>56950160800</t>
  </si>
  <si>
    <t>EAA110478000</t>
  </si>
  <si>
    <t>제 12호</t>
  </si>
  <si>
    <t>W800-1단</t>
  </si>
  <si>
    <t>56950170119</t>
  </si>
  <si>
    <t>EAA110690000</t>
  </si>
  <si>
    <t>제 13호</t>
  </si>
  <si>
    <t>EPS SUPPORT</t>
  </si>
  <si>
    <t>56950180028</t>
  </si>
  <si>
    <t>EAA110830000</t>
  </si>
  <si>
    <t>제 14호</t>
  </si>
  <si>
    <t>동력배관지지가대</t>
  </si>
  <si>
    <t>28C</t>
  </si>
  <si>
    <t>56950180036</t>
  </si>
  <si>
    <t>EAA110840000</t>
  </si>
  <si>
    <t>제 15호</t>
  </si>
  <si>
    <t>36C</t>
  </si>
  <si>
    <t>56950180042</t>
  </si>
  <si>
    <t>EAA110850000</t>
  </si>
  <si>
    <t>제 16호</t>
  </si>
  <si>
    <t>42C</t>
  </si>
  <si>
    <t>56950180054</t>
  </si>
  <si>
    <t>EAA110860000</t>
  </si>
  <si>
    <t>제 17호</t>
  </si>
  <si>
    <t>54C</t>
  </si>
  <si>
    <t>56950200520</t>
  </si>
  <si>
    <t>EAC110160000</t>
  </si>
  <si>
    <t>제 18호</t>
  </si>
  <si>
    <t>맨  홀</t>
  </si>
  <si>
    <t>56950200530</t>
  </si>
  <si>
    <t>EAC110170000</t>
  </si>
  <si>
    <t>제 19호</t>
  </si>
  <si>
    <t>56950220302</t>
  </si>
  <si>
    <t>EAD110121000</t>
  </si>
  <si>
    <t>제 20호</t>
  </si>
  <si>
    <t>접지공사</t>
  </si>
  <si>
    <t>TEST</t>
  </si>
  <si>
    <t>56950240050</t>
  </si>
  <si>
    <t>EAF110120000</t>
  </si>
  <si>
    <t>제 21호</t>
  </si>
  <si>
    <t>관로구방수</t>
  </si>
  <si>
    <t>56950240065</t>
  </si>
  <si>
    <t>EAF110130000</t>
  </si>
  <si>
    <t>제 22호</t>
  </si>
  <si>
    <t>56950240150</t>
  </si>
  <si>
    <t>EAF110170000</t>
  </si>
  <si>
    <t>제 23호</t>
  </si>
  <si>
    <t>56953100927</t>
  </si>
  <si>
    <t>EAB110540000</t>
  </si>
  <si>
    <t>제 24호</t>
  </si>
  <si>
    <t>석고따기</t>
  </si>
  <si>
    <t>56959J99110</t>
  </si>
  <si>
    <t>56959J991100</t>
  </si>
  <si>
    <t>제 25호</t>
  </si>
  <si>
    <t>조명기구 설치(POLE LIGHT)-강관,AL</t>
  </si>
  <si>
    <t>5695C100010</t>
  </si>
  <si>
    <t>F5695C100010</t>
  </si>
  <si>
    <t>제 26호</t>
  </si>
  <si>
    <t>다운라이트구멍따기</t>
  </si>
  <si>
    <t>5695FIR0200</t>
  </si>
  <si>
    <t>F5695F8R0200</t>
  </si>
  <si>
    <t>제 27호</t>
  </si>
  <si>
    <t>방화구획(내화충전)</t>
  </si>
  <si>
    <t>W 200</t>
  </si>
  <si>
    <t>5695FIR0300</t>
  </si>
  <si>
    <t>F5695F8R0300</t>
  </si>
  <si>
    <t>제 28호</t>
  </si>
  <si>
    <t>W 300</t>
  </si>
  <si>
    <t>5695FIR0800</t>
  </si>
  <si>
    <t>F5695F8R0800</t>
  </si>
  <si>
    <t>제 29호</t>
  </si>
  <si>
    <t>W 800</t>
  </si>
  <si>
    <t>59751E67012</t>
  </si>
  <si>
    <t>F59751467012</t>
  </si>
  <si>
    <t>제 30호</t>
  </si>
  <si>
    <t>59751E67014</t>
  </si>
  <si>
    <t>F59751467014</t>
  </si>
  <si>
    <t>제 31호</t>
  </si>
  <si>
    <t>59751E67015</t>
  </si>
  <si>
    <t>F59751467015</t>
  </si>
  <si>
    <t>제 32호</t>
  </si>
  <si>
    <t>59751E67016</t>
  </si>
  <si>
    <t>F59751467016</t>
  </si>
  <si>
    <t>제 33호</t>
  </si>
  <si>
    <t>59753A97002</t>
  </si>
  <si>
    <t>F59753097002</t>
  </si>
  <si>
    <t>제 34호</t>
  </si>
  <si>
    <t>M..</t>
  </si>
  <si>
    <t>59753A97003</t>
  </si>
  <si>
    <t>F59753097003</t>
  </si>
  <si>
    <t>제 35호</t>
  </si>
  <si>
    <t>59753B78001</t>
  </si>
  <si>
    <t>F59753178001</t>
  </si>
  <si>
    <t>제 36호</t>
  </si>
  <si>
    <t>59753B78002</t>
  </si>
  <si>
    <t>F59753178002</t>
  </si>
  <si>
    <t>제 37호</t>
  </si>
  <si>
    <t>59753B78004</t>
  </si>
  <si>
    <t>F59753178004</t>
  </si>
  <si>
    <t>제 38호</t>
  </si>
  <si>
    <t>56959000002</t>
  </si>
  <si>
    <t>F56959000002</t>
  </si>
  <si>
    <t>제 39호</t>
  </si>
  <si>
    <t>56959000004</t>
  </si>
  <si>
    <t>F56959000004</t>
  </si>
  <si>
    <t>제 40호</t>
  </si>
  <si>
    <t>56959000006</t>
  </si>
  <si>
    <t>F56959000006</t>
  </si>
  <si>
    <t>제 41호</t>
  </si>
  <si>
    <t>56959000008</t>
  </si>
  <si>
    <t>F56959000008</t>
  </si>
  <si>
    <t>제 42호</t>
  </si>
  <si>
    <t>56959000010</t>
  </si>
  <si>
    <t>F56959000010</t>
  </si>
  <si>
    <t>제 43호</t>
  </si>
  <si>
    <t>56959000012</t>
  </si>
  <si>
    <t>F56959000012</t>
  </si>
  <si>
    <t>제 44호</t>
  </si>
  <si>
    <t>56959000014</t>
  </si>
  <si>
    <t>F56959000014</t>
  </si>
  <si>
    <t>제 45호</t>
  </si>
  <si>
    <t>59759A17043</t>
  </si>
  <si>
    <t>F59759017043</t>
  </si>
  <si>
    <t>제 46호</t>
  </si>
  <si>
    <t>59753H67011</t>
  </si>
  <si>
    <t>F59753767011</t>
  </si>
  <si>
    <t>제 47호</t>
  </si>
  <si>
    <t>59753H67041</t>
  </si>
  <si>
    <t>F59753767041</t>
  </si>
  <si>
    <t>제 48호</t>
  </si>
  <si>
    <t>59753H77102</t>
  </si>
  <si>
    <t>F59753777102</t>
  </si>
  <si>
    <t>제 49호</t>
  </si>
  <si>
    <t>59753H77111</t>
  </si>
  <si>
    <t>F59753777111</t>
  </si>
  <si>
    <t>제 50호</t>
  </si>
  <si>
    <t>56959000016</t>
  </si>
  <si>
    <t>F56959000016</t>
  </si>
  <si>
    <t>제 51호</t>
  </si>
  <si>
    <t>59350A67031</t>
  </si>
  <si>
    <t>F59350067031</t>
  </si>
  <si>
    <t>제 52호</t>
  </si>
  <si>
    <t>61455B37894</t>
  </si>
  <si>
    <t>F61455137894</t>
  </si>
  <si>
    <t>제 53호</t>
  </si>
  <si>
    <t>59753I57001</t>
  </si>
  <si>
    <t>F59753857001</t>
  </si>
  <si>
    <t>제 54호</t>
  </si>
  <si>
    <t>59753I57031</t>
  </si>
  <si>
    <t>F59753857031</t>
  </si>
  <si>
    <t>제 55호</t>
  </si>
  <si>
    <t>59753I57211</t>
  </si>
  <si>
    <t>F59753857211</t>
  </si>
  <si>
    <t>제 56호</t>
  </si>
  <si>
    <t>59750I97001</t>
  </si>
  <si>
    <t>F59750897001</t>
  </si>
  <si>
    <t>제 57호</t>
  </si>
  <si>
    <t>m</t>
  </si>
  <si>
    <t>59750I97281</t>
  </si>
  <si>
    <t>F59750897281</t>
  </si>
  <si>
    <t>제 58호</t>
  </si>
  <si>
    <t>59750I97311</t>
  </si>
  <si>
    <t>F59750897311</t>
  </si>
  <si>
    <t>제 59호</t>
  </si>
  <si>
    <t>59751I17253</t>
  </si>
  <si>
    <t>F59751817253</t>
  </si>
  <si>
    <t>제 60호</t>
  </si>
  <si>
    <t>59754J67028</t>
  </si>
  <si>
    <t>F59754967028</t>
  </si>
  <si>
    <t>제 61호</t>
  </si>
  <si>
    <t>59754J67128</t>
  </si>
  <si>
    <t>F59754967128</t>
  </si>
  <si>
    <t>제 62호</t>
  </si>
  <si>
    <t>59751I17131</t>
  </si>
  <si>
    <t>F59751817131</t>
  </si>
  <si>
    <t>제 63호</t>
  </si>
  <si>
    <t>59754J67916</t>
  </si>
  <si>
    <t>F59754967916</t>
  </si>
  <si>
    <t>제 64호</t>
  </si>
  <si>
    <t>59754J68016</t>
  </si>
  <si>
    <t>F59754968016</t>
  </si>
  <si>
    <t>제 65호</t>
  </si>
  <si>
    <t>59754J77011</t>
  </si>
  <si>
    <t>F59754977011</t>
  </si>
  <si>
    <t>제 66호</t>
  </si>
  <si>
    <t>59754J87011</t>
  </si>
  <si>
    <t>F59754987011</t>
  </si>
  <si>
    <t>제 67호</t>
  </si>
  <si>
    <t>59754J87111</t>
  </si>
  <si>
    <t>F59754987111</t>
  </si>
  <si>
    <t>제 68호</t>
  </si>
  <si>
    <t>56959000018</t>
  </si>
  <si>
    <t>F56959000018</t>
  </si>
  <si>
    <t>제 69호</t>
  </si>
  <si>
    <t>56959000020</t>
  </si>
  <si>
    <t>F56959000020</t>
  </si>
  <si>
    <t>제 70호</t>
  </si>
  <si>
    <t>E1450G67003</t>
  </si>
  <si>
    <t>FE1450667003</t>
  </si>
  <si>
    <t>제 71호</t>
  </si>
  <si>
    <t>E1450J27202</t>
  </si>
  <si>
    <t>FE1450927202</t>
  </si>
  <si>
    <t>제 72호</t>
  </si>
  <si>
    <t>E1450J27203</t>
  </si>
  <si>
    <t>FE1450927203</t>
  </si>
  <si>
    <t>제 73호</t>
  </si>
  <si>
    <t>E1450J27204</t>
  </si>
  <si>
    <t>FE1450927204</t>
  </si>
  <si>
    <t>제 74호</t>
  </si>
  <si>
    <t>E1450J27205</t>
  </si>
  <si>
    <t>FE1450927205</t>
  </si>
  <si>
    <t>제 75호</t>
  </si>
  <si>
    <t>E1450J27206</t>
  </si>
  <si>
    <t>FE1450927206</t>
  </si>
  <si>
    <t>제 76호</t>
  </si>
  <si>
    <t>E1450J27208</t>
  </si>
  <si>
    <t>FE1450927208</t>
  </si>
  <si>
    <t>제 77호</t>
  </si>
  <si>
    <t>E1450J27209</t>
  </si>
  <si>
    <t>FE1450927209</t>
  </si>
  <si>
    <t>제 78호</t>
  </si>
  <si>
    <t>E1450J27211</t>
  </si>
  <si>
    <t>FE1450927211</t>
  </si>
  <si>
    <t>제 79호</t>
  </si>
  <si>
    <t>E1450J27212</t>
  </si>
  <si>
    <t>FE1450927212</t>
  </si>
  <si>
    <t>제 80호</t>
  </si>
  <si>
    <t>E1450J27213</t>
  </si>
  <si>
    <t>FE1450927213</t>
  </si>
  <si>
    <t>제 81호</t>
  </si>
  <si>
    <t>56959000022</t>
  </si>
  <si>
    <t>F56959000022</t>
  </si>
  <si>
    <t>제 82호</t>
  </si>
  <si>
    <t>56959000024</t>
  </si>
  <si>
    <t>F56959000024</t>
  </si>
  <si>
    <t>제 83호</t>
  </si>
  <si>
    <t>56959000026</t>
  </si>
  <si>
    <t>F56959000026</t>
  </si>
  <si>
    <t>제 84호</t>
  </si>
  <si>
    <t>56959000028</t>
  </si>
  <si>
    <t>F56959000028</t>
  </si>
  <si>
    <t>제 85호</t>
  </si>
  <si>
    <t>E1450C87522</t>
  </si>
  <si>
    <t>FE1450287522</t>
  </si>
  <si>
    <t>제 86호</t>
  </si>
  <si>
    <t>E1450C87523</t>
  </si>
  <si>
    <t>FE1450287523</t>
  </si>
  <si>
    <t>제 87호</t>
  </si>
  <si>
    <t>E1450C87524</t>
  </si>
  <si>
    <t>FE1450287524</t>
  </si>
  <si>
    <t>제 88호</t>
  </si>
  <si>
    <t>E1450C87539</t>
  </si>
  <si>
    <t>FE1450287539</t>
  </si>
  <si>
    <t>제 89호</t>
  </si>
  <si>
    <t>E1450C87540</t>
  </si>
  <si>
    <t>FE1450287540</t>
  </si>
  <si>
    <t>제 90호</t>
  </si>
  <si>
    <t>E1450C87563</t>
  </si>
  <si>
    <t>FE1450287563</t>
  </si>
  <si>
    <t>제 91호</t>
  </si>
  <si>
    <t>E1450C87564</t>
  </si>
  <si>
    <t>FE1450287564</t>
  </si>
  <si>
    <t>제 92호</t>
  </si>
  <si>
    <t>E1450C87565</t>
  </si>
  <si>
    <t>FE1450287565</t>
  </si>
  <si>
    <t>제 93호</t>
  </si>
  <si>
    <t>E1450C87566</t>
  </si>
  <si>
    <t>FE1450287566</t>
  </si>
  <si>
    <t>제 94호</t>
  </si>
  <si>
    <t>E1450C87568</t>
  </si>
  <si>
    <t>FE1450287568</t>
  </si>
  <si>
    <t>제 95호</t>
  </si>
  <si>
    <t>56959000030</t>
  </si>
  <si>
    <t>F56959000030</t>
  </si>
  <si>
    <t>제 96호</t>
  </si>
  <si>
    <t>E1450B37202</t>
  </si>
  <si>
    <t>FE1450137202</t>
  </si>
  <si>
    <t>제 97호</t>
  </si>
  <si>
    <t>E1450B37303</t>
  </si>
  <si>
    <t>FE1450137303</t>
  </si>
  <si>
    <t>제 98호</t>
  </si>
  <si>
    <t>E1450B37304</t>
  </si>
  <si>
    <t>FE1450137304</t>
  </si>
  <si>
    <t>제 99호</t>
  </si>
  <si>
    <t>E1450B37305</t>
  </si>
  <si>
    <t>FE1450137305</t>
  </si>
  <si>
    <t>제 100호</t>
  </si>
  <si>
    <t>E1450B37306</t>
  </si>
  <si>
    <t>FE1450137306</t>
  </si>
  <si>
    <t>제 101호</t>
  </si>
  <si>
    <t>E1450B37405</t>
  </si>
  <si>
    <t>FE1450137405</t>
  </si>
  <si>
    <t>제 102호</t>
  </si>
  <si>
    <t>E1450B37408</t>
  </si>
  <si>
    <t>FE1450137408</t>
  </si>
  <si>
    <t>제 103호</t>
  </si>
  <si>
    <t>E1450D58401</t>
  </si>
  <si>
    <t>FE1450358401</t>
  </si>
  <si>
    <t>제 104호</t>
  </si>
  <si>
    <t>56959000032</t>
  </si>
  <si>
    <t>F56959000032</t>
  </si>
  <si>
    <t>제 105호</t>
  </si>
  <si>
    <t>56959000034</t>
  </si>
  <si>
    <t>F56959000034</t>
  </si>
  <si>
    <t>제 106호</t>
  </si>
  <si>
    <t>61452B67511</t>
  </si>
  <si>
    <t>F61452167511</t>
  </si>
  <si>
    <t>제 107호</t>
  </si>
  <si>
    <t>59301F17001</t>
  </si>
  <si>
    <t>F59301517001</t>
  </si>
  <si>
    <t>제 108호</t>
  </si>
  <si>
    <t>59301F17002</t>
  </si>
  <si>
    <t>F59301517002</t>
  </si>
  <si>
    <t>제 109호</t>
  </si>
  <si>
    <t>59301F17003</t>
  </si>
  <si>
    <t>F59301517003</t>
  </si>
  <si>
    <t>제 110호</t>
  </si>
  <si>
    <t>59350D17122</t>
  </si>
  <si>
    <t>F59350317122</t>
  </si>
  <si>
    <t>제 111호</t>
  </si>
  <si>
    <t>56959000036</t>
  </si>
  <si>
    <t>F56959000036</t>
  </si>
  <si>
    <t>제 112호</t>
  </si>
  <si>
    <t>59350D17205</t>
  </si>
  <si>
    <t>F59350317205</t>
  </si>
  <si>
    <t>제 113호</t>
  </si>
  <si>
    <t>59350D17206</t>
  </si>
  <si>
    <t>F59350317206</t>
  </si>
  <si>
    <t>제 114호</t>
  </si>
  <si>
    <t>59350D17207</t>
  </si>
  <si>
    <t>F59350317207</t>
  </si>
  <si>
    <t>제 115호</t>
  </si>
  <si>
    <t>59350D17208</t>
  </si>
  <si>
    <t>F59350317208</t>
  </si>
  <si>
    <t>제 116호</t>
  </si>
  <si>
    <t>59750E27104</t>
  </si>
  <si>
    <t>F59750427104</t>
  </si>
  <si>
    <t>제 117호</t>
  </si>
  <si>
    <t>59750E27111</t>
  </si>
  <si>
    <t>F59750427111</t>
  </si>
  <si>
    <t>제 118호</t>
  </si>
  <si>
    <t>59200C57101</t>
  </si>
  <si>
    <t>F59200257101</t>
  </si>
  <si>
    <t>제 119호</t>
  </si>
  <si>
    <t>56959000038</t>
  </si>
  <si>
    <t>F56959000038</t>
  </si>
  <si>
    <t>제 120호</t>
  </si>
  <si>
    <t>59750E30003</t>
  </si>
  <si>
    <t>F59750430003</t>
  </si>
  <si>
    <t>제 121호</t>
  </si>
  <si>
    <t>59750E30007</t>
  </si>
  <si>
    <t>F59750430007</t>
  </si>
  <si>
    <t>제 122호</t>
  </si>
  <si>
    <t>59750E40005</t>
  </si>
  <si>
    <t>F59750440005</t>
  </si>
  <si>
    <t>제 123호</t>
  </si>
  <si>
    <t>59750E40003</t>
  </si>
  <si>
    <t>F59750440003</t>
  </si>
  <si>
    <t>제 124호</t>
  </si>
  <si>
    <t>59752A07003</t>
  </si>
  <si>
    <t>F59752007003</t>
  </si>
  <si>
    <t>제 125호</t>
  </si>
  <si>
    <t>E9400B77025</t>
  </si>
  <si>
    <t>FE9400177025</t>
  </si>
  <si>
    <t>제 126호</t>
  </si>
  <si>
    <t>E9400B77026</t>
  </si>
  <si>
    <t>FE9400177026</t>
  </si>
  <si>
    <t>제 127호</t>
  </si>
  <si>
    <t>E9400B77030</t>
  </si>
  <si>
    <t>FE9400177030</t>
  </si>
  <si>
    <t>제 128호</t>
  </si>
  <si>
    <t>E9400C67006</t>
  </si>
  <si>
    <t>FE9400267006</t>
  </si>
  <si>
    <t>제 129호</t>
  </si>
  <si>
    <t>E9400C67007</t>
  </si>
  <si>
    <t>FE9400267007</t>
  </si>
  <si>
    <t>제 130호</t>
  </si>
  <si>
    <t>E9400C67008</t>
  </si>
  <si>
    <t>FE9400267008</t>
  </si>
  <si>
    <t>제 131호</t>
  </si>
  <si>
    <t>E9400C67009</t>
  </si>
  <si>
    <t>FE9400267009</t>
  </si>
  <si>
    <t>제 132호</t>
  </si>
  <si>
    <t>E9400C67011</t>
  </si>
  <si>
    <t>FE9400267011</t>
  </si>
  <si>
    <t>제 133호</t>
  </si>
  <si>
    <t>E9400C67012</t>
  </si>
  <si>
    <t>FE9400267012</t>
  </si>
  <si>
    <t>제 134호</t>
  </si>
  <si>
    <t>59350C87063</t>
  </si>
  <si>
    <t>F59350287063</t>
  </si>
  <si>
    <t>제 135호</t>
  </si>
  <si>
    <t>59750D38011</t>
  </si>
  <si>
    <t>F59750338011</t>
  </si>
  <si>
    <t>제 136호</t>
  </si>
  <si>
    <t>59750D38012</t>
  </si>
  <si>
    <t>F59750338012</t>
  </si>
  <si>
    <t>제 137호</t>
  </si>
  <si>
    <t>59750D38013</t>
  </si>
  <si>
    <t>F59750338013</t>
  </si>
  <si>
    <t>제 138호</t>
  </si>
  <si>
    <t>59750D38014</t>
  </si>
  <si>
    <t>F59750338014</t>
  </si>
  <si>
    <t>제 139호</t>
  </si>
  <si>
    <t>59750D38016</t>
  </si>
  <si>
    <t>F59750338016</t>
  </si>
  <si>
    <t>제 140호</t>
  </si>
  <si>
    <t>59750D38017</t>
  </si>
  <si>
    <t>F59750338017</t>
  </si>
  <si>
    <t>제 141호</t>
  </si>
  <si>
    <t>59750D38018</t>
  </si>
  <si>
    <t>F59750338018</t>
  </si>
  <si>
    <t>제 142호</t>
  </si>
  <si>
    <t>56959000040</t>
  </si>
  <si>
    <t>F56959000040</t>
  </si>
  <si>
    <t>제 143호</t>
  </si>
  <si>
    <t>56959000042</t>
  </si>
  <si>
    <t>F56959000042</t>
  </si>
  <si>
    <t>제 144호</t>
  </si>
  <si>
    <t>56959000044</t>
  </si>
  <si>
    <t>F56959000044</t>
  </si>
  <si>
    <t>제 145호</t>
  </si>
  <si>
    <t>56959000046</t>
  </si>
  <si>
    <t>F56959000046</t>
  </si>
  <si>
    <t>제 146호</t>
  </si>
  <si>
    <t>56959000048</t>
  </si>
  <si>
    <t>F56959000048</t>
  </si>
  <si>
    <t>제 147호</t>
  </si>
  <si>
    <t>56959000050</t>
  </si>
  <si>
    <t>F56959000050</t>
  </si>
  <si>
    <t>제 148호</t>
  </si>
  <si>
    <t>56959000052</t>
  </si>
  <si>
    <t>F56959000052</t>
  </si>
  <si>
    <t>제 149호</t>
  </si>
  <si>
    <t>56959000054</t>
  </si>
  <si>
    <t>F56959000054</t>
  </si>
  <si>
    <t>제 150호</t>
  </si>
  <si>
    <t>56959000056</t>
  </si>
  <si>
    <t>F56959000056</t>
  </si>
  <si>
    <t>제 151호</t>
  </si>
  <si>
    <t>56959000058</t>
  </si>
  <si>
    <t>F56959000058</t>
  </si>
  <si>
    <t>제 152호</t>
  </si>
  <si>
    <t>56959000060</t>
  </si>
  <si>
    <t>F56959000060</t>
  </si>
  <si>
    <t>제 153호</t>
  </si>
  <si>
    <t>56959000062</t>
  </si>
  <si>
    <t>F56959000062</t>
  </si>
  <si>
    <t>제 154호</t>
  </si>
  <si>
    <t>56959000064</t>
  </si>
  <si>
    <t>F56959000064</t>
  </si>
  <si>
    <t>제 155호</t>
  </si>
  <si>
    <t>56959000066</t>
  </si>
  <si>
    <t>F56959000066</t>
  </si>
  <si>
    <t>제 156호</t>
  </si>
  <si>
    <t>56959000068</t>
  </si>
  <si>
    <t>F56959000068</t>
  </si>
  <si>
    <t>제 157호</t>
  </si>
  <si>
    <t>56959000070</t>
  </si>
  <si>
    <t>F56959000070</t>
  </si>
  <si>
    <t>제 158호</t>
  </si>
  <si>
    <t>56959000072</t>
  </si>
  <si>
    <t>F56959000072</t>
  </si>
  <si>
    <t>제 159호</t>
  </si>
  <si>
    <t>56959000074</t>
  </si>
  <si>
    <t>F56959000074</t>
  </si>
  <si>
    <t>제 160호</t>
  </si>
  <si>
    <t>56959000076</t>
  </si>
  <si>
    <t>F56959000076</t>
  </si>
  <si>
    <t>제 161호</t>
  </si>
  <si>
    <t>56959000078</t>
  </si>
  <si>
    <t>F56959000078</t>
  </si>
  <si>
    <t>제 162호</t>
  </si>
  <si>
    <t>56959000080</t>
  </si>
  <si>
    <t>F56959000080</t>
  </si>
  <si>
    <t>제 163호</t>
  </si>
  <si>
    <t>56959000082</t>
  </si>
  <si>
    <t>F56959000082</t>
  </si>
  <si>
    <t>제 164호</t>
  </si>
  <si>
    <t>56959000084</t>
  </si>
  <si>
    <t>F56959000084</t>
  </si>
  <si>
    <t>제 165호</t>
  </si>
  <si>
    <t>56959000086</t>
  </si>
  <si>
    <t>F56959000086</t>
  </si>
  <si>
    <t>제 166호</t>
  </si>
  <si>
    <t>56959000088</t>
  </si>
  <si>
    <t>F56959000088</t>
  </si>
  <si>
    <t>제 167호</t>
  </si>
  <si>
    <t>56959000090</t>
  </si>
  <si>
    <t>F56959000090</t>
  </si>
  <si>
    <t>제 168호</t>
  </si>
  <si>
    <t>56959000092</t>
  </si>
  <si>
    <t>F56959000092</t>
  </si>
  <si>
    <t>제 169호</t>
  </si>
  <si>
    <t>56959000094</t>
  </si>
  <si>
    <t>F56959000094</t>
  </si>
  <si>
    <t>제 170호</t>
  </si>
  <si>
    <t>56959000096</t>
  </si>
  <si>
    <t>F56959000096</t>
  </si>
  <si>
    <t>제 171호</t>
  </si>
  <si>
    <t>56959000098</t>
  </si>
  <si>
    <t>F56959000098</t>
  </si>
  <si>
    <t>제 172호</t>
  </si>
  <si>
    <t>56959000100</t>
  </si>
  <si>
    <t>F56959000100</t>
  </si>
  <si>
    <t>제 173호</t>
  </si>
  <si>
    <t>56959000102</t>
  </si>
  <si>
    <t>F56959000102</t>
  </si>
  <si>
    <t>제 174호</t>
  </si>
  <si>
    <t>56959000104</t>
  </si>
  <si>
    <t>F56959000104</t>
  </si>
  <si>
    <t>제 175호</t>
  </si>
  <si>
    <t>56959000106</t>
  </si>
  <si>
    <t>F56959000106</t>
  </si>
  <si>
    <t>제 176호</t>
  </si>
  <si>
    <t>56959000108</t>
  </si>
  <si>
    <t>F56959000108</t>
  </si>
  <si>
    <t>제 177호</t>
  </si>
  <si>
    <t>56959000110</t>
  </si>
  <si>
    <t>F56959000110</t>
  </si>
  <si>
    <t>제 178호</t>
  </si>
  <si>
    <t>56959000112</t>
  </si>
  <si>
    <t>F56959000112</t>
  </si>
  <si>
    <t>제 179호</t>
  </si>
  <si>
    <t>56959000114</t>
  </si>
  <si>
    <t>F56959000114</t>
  </si>
  <si>
    <t>제 180호</t>
  </si>
  <si>
    <t>56959000116</t>
  </si>
  <si>
    <t>F56959000116</t>
  </si>
  <si>
    <t>제 181호</t>
  </si>
  <si>
    <t>56959000118</t>
  </si>
  <si>
    <t>F56959000118</t>
  </si>
  <si>
    <t>제 182호</t>
  </si>
  <si>
    <t>56959000120</t>
  </si>
  <si>
    <t>F56959000120</t>
  </si>
  <si>
    <t>제 183호</t>
  </si>
  <si>
    <t>56959000122</t>
  </si>
  <si>
    <t>F56959000122</t>
  </si>
  <si>
    <t>제 184호</t>
  </si>
  <si>
    <t>56959000124</t>
  </si>
  <si>
    <t>F56959000124</t>
  </si>
  <si>
    <t>제 185호</t>
  </si>
  <si>
    <t>56959000126</t>
  </si>
  <si>
    <t>F56959000126</t>
  </si>
  <si>
    <t>제 186호</t>
  </si>
  <si>
    <t>56959000128</t>
  </si>
  <si>
    <t>F56959000128</t>
  </si>
  <si>
    <t>제 187호</t>
  </si>
  <si>
    <t>56959000130</t>
  </si>
  <si>
    <t>F56959000130</t>
  </si>
  <si>
    <t>제 188호</t>
  </si>
  <si>
    <t>56959000132</t>
  </si>
  <si>
    <t>F56959000132</t>
  </si>
  <si>
    <t>제 189호</t>
  </si>
  <si>
    <t>56959000134</t>
  </si>
  <si>
    <t>F56959000134</t>
  </si>
  <si>
    <t>제 190호</t>
  </si>
  <si>
    <t>56959000136</t>
  </si>
  <si>
    <t>F56959000136</t>
  </si>
  <si>
    <t>제 191호</t>
  </si>
  <si>
    <t>56959000138</t>
  </si>
  <si>
    <t>F56959000138</t>
  </si>
  <si>
    <t>제 192호</t>
  </si>
  <si>
    <t>56959000140</t>
  </si>
  <si>
    <t>F56959000140</t>
  </si>
  <si>
    <t>제 193호</t>
  </si>
  <si>
    <t>56959000142</t>
  </si>
  <si>
    <t>F56959000142</t>
  </si>
  <si>
    <t>제 194호</t>
  </si>
  <si>
    <t>56959000144</t>
  </si>
  <si>
    <t>F56959000144</t>
  </si>
  <si>
    <t>제 195호</t>
  </si>
  <si>
    <t>56959000146</t>
  </si>
  <si>
    <t>F56959000146</t>
  </si>
  <si>
    <t>제 196호</t>
  </si>
  <si>
    <t>56959000148</t>
  </si>
  <si>
    <t>F56959000148</t>
  </si>
  <si>
    <t>제 197호</t>
  </si>
  <si>
    <t>56959000150</t>
  </si>
  <si>
    <t>F56959000150</t>
  </si>
  <si>
    <t>제 198호</t>
  </si>
  <si>
    <t>56959000152</t>
  </si>
  <si>
    <t>F56959000152</t>
  </si>
  <si>
    <t>제 199호</t>
  </si>
  <si>
    <t>56959000154</t>
  </si>
  <si>
    <t>F56959000154</t>
  </si>
  <si>
    <t>제 200호</t>
  </si>
  <si>
    <t>56959000156</t>
  </si>
  <si>
    <t>F56959000156</t>
  </si>
  <si>
    <t>제 201호</t>
  </si>
  <si>
    <t>56959000158</t>
  </si>
  <si>
    <t>F56959000158</t>
  </si>
  <si>
    <t>제 202호</t>
  </si>
  <si>
    <t>56959000160</t>
  </si>
  <si>
    <t>F56959000160</t>
  </si>
  <si>
    <t>제 203호</t>
  </si>
  <si>
    <t>56959000162</t>
  </si>
  <si>
    <t>F56959000162</t>
  </si>
  <si>
    <t>제 204호</t>
  </si>
  <si>
    <t>56959000164</t>
  </si>
  <si>
    <t>F56959000164</t>
  </si>
  <si>
    <t>제 205호</t>
  </si>
  <si>
    <t>56959000166</t>
  </si>
  <si>
    <t>F56959000166</t>
  </si>
  <si>
    <t>제 206호</t>
  </si>
  <si>
    <t>56959000168</t>
  </si>
  <si>
    <t>F56959000168</t>
  </si>
  <si>
    <t>제 207호</t>
  </si>
  <si>
    <t>56959000170</t>
  </si>
  <si>
    <t>F56959000170</t>
  </si>
  <si>
    <t>제 208호</t>
  </si>
  <si>
    <t>56959000172</t>
  </si>
  <si>
    <t>F56959000172</t>
  </si>
  <si>
    <t>제 209호</t>
  </si>
  <si>
    <t>56959000174</t>
  </si>
  <si>
    <t>F56959000174</t>
  </si>
  <si>
    <t>제 210호</t>
  </si>
  <si>
    <t>56959000176</t>
  </si>
  <si>
    <t>F56959000176</t>
  </si>
  <si>
    <t>제 211호</t>
  </si>
  <si>
    <t>56959000178</t>
  </si>
  <si>
    <t>F56959000178</t>
  </si>
  <si>
    <t>제 212호</t>
  </si>
  <si>
    <t>56930210010</t>
  </si>
  <si>
    <t>ABB111100000</t>
  </si>
  <si>
    <t>제 213호</t>
  </si>
  <si>
    <t>인력터파기</t>
  </si>
  <si>
    <t>보통토사0-1m</t>
  </si>
  <si>
    <t>㎥_</t>
  </si>
  <si>
    <t>56930210021</t>
  </si>
  <si>
    <t>ABD100001000</t>
  </si>
  <si>
    <t>제 214호</t>
  </si>
  <si>
    <t>인력되메우기</t>
  </si>
  <si>
    <t>56930240130</t>
  </si>
  <si>
    <t>ABC113000000</t>
  </si>
  <si>
    <t>제 215호</t>
  </si>
  <si>
    <t>현장내잔토처리</t>
  </si>
  <si>
    <t>소운반.고르기</t>
  </si>
  <si>
    <t>56930250040</t>
  </si>
  <si>
    <t>ABD102300000</t>
  </si>
  <si>
    <t>제 216호</t>
  </si>
  <si>
    <t>잡석깔기지정</t>
  </si>
  <si>
    <t>떨공이다지기</t>
  </si>
  <si>
    <t>56959J99100</t>
  </si>
  <si>
    <t>56959J991000</t>
  </si>
  <si>
    <t>제 217호</t>
  </si>
  <si>
    <t>트럭탑재형크레인</t>
  </si>
  <si>
    <t>5톤</t>
  </si>
  <si>
    <t>HR</t>
  </si>
  <si>
    <t>237</t>
  </si>
  <si>
    <t>ILD</t>
  </si>
  <si>
    <t>합계줄</t>
  </si>
  <si>
    <t>( 합       계 )</t>
  </si>
  <si>
    <t>A0300000000</t>
  </si>
  <si>
    <t>RENT000000000006</t>
  </si>
  <si>
    <t>[ 공 구 손 료 ]</t>
  </si>
  <si>
    <t>노무비의 2 %</t>
  </si>
  <si>
    <t>HI</t>
  </si>
  <si>
    <t>A0500000000</t>
  </si>
  <si>
    <t>RENT000000000002</t>
  </si>
  <si>
    <t>[ 배관 부속재 ]</t>
  </si>
  <si>
    <t>전선관의 15 %</t>
  </si>
  <si>
    <t>CD</t>
  </si>
  <si>
    <t>A0600000000</t>
  </si>
  <si>
    <t>RENT000000000001</t>
  </si>
  <si>
    <t>CD 전선관의 40 %</t>
  </si>
  <si>
    <t>ELP</t>
  </si>
  <si>
    <t>ST</t>
  </si>
  <si>
    <t>TRAY</t>
  </si>
  <si>
    <t>관급자재</t>
  </si>
  <si>
    <t>경비처리</t>
  </si>
  <si>
    <t>[제 1호] 터파기(기계80%,인력20%)  보통토사 [㎥]</t>
  </si>
  <si>
    <t>56930220020</t>
    <phoneticPr fontId="2" type="noConversion"/>
  </si>
  <si>
    <t>일목줄</t>
    <phoneticPr fontId="2" type="noConversion"/>
  </si>
  <si>
    <t>ABB103200000</t>
    <phoneticPr fontId="2" type="noConversion"/>
  </si>
  <si>
    <t>[제 2호] 되메우기(기계80%,인력20%)  보통토사 [㎥]</t>
  </si>
  <si>
    <t>56930220052</t>
    <phoneticPr fontId="2" type="noConversion"/>
  </si>
  <si>
    <t>ABB104200000</t>
    <phoneticPr fontId="2" type="noConversion"/>
  </si>
  <si>
    <t>[제 3호] 파이프행가  16 C [식]</t>
  </si>
  <si>
    <t>56950120016</t>
    <phoneticPr fontId="2" type="noConversion"/>
  </si>
  <si>
    <t>EAA110110000</t>
    <phoneticPr fontId="2" type="noConversion"/>
  </si>
  <si>
    <t>[제 4호] 파이프행가  22 C [식]</t>
  </si>
  <si>
    <t>56950120022</t>
    <phoneticPr fontId="2" type="noConversion"/>
  </si>
  <si>
    <t>EAA110120000</t>
    <phoneticPr fontId="2" type="noConversion"/>
  </si>
  <si>
    <t>[제 5호] 파이프행가  28 C [식]</t>
  </si>
  <si>
    <t>56950120028</t>
    <phoneticPr fontId="2" type="noConversion"/>
  </si>
  <si>
    <t>EAA110130000</t>
    <phoneticPr fontId="2" type="noConversion"/>
  </si>
  <si>
    <t>[제 6호] 파이프행가  36 C [식]</t>
  </si>
  <si>
    <t>56950120036</t>
    <phoneticPr fontId="2" type="noConversion"/>
  </si>
  <si>
    <t>EAA110140000</t>
    <phoneticPr fontId="2" type="noConversion"/>
  </si>
  <si>
    <t>[제 7호] 파이프행가  42 C [식]</t>
  </si>
  <si>
    <t>56950120042</t>
    <phoneticPr fontId="2" type="noConversion"/>
  </si>
  <si>
    <t>EAA110150000</t>
    <phoneticPr fontId="2" type="noConversion"/>
  </si>
  <si>
    <t>[제 8호] 파이프행가  54 C [식]</t>
  </si>
  <si>
    <t>56950120054</t>
    <phoneticPr fontId="2" type="noConversion"/>
  </si>
  <si>
    <t>EAA110160000</t>
    <phoneticPr fontId="2" type="noConversion"/>
  </si>
  <si>
    <t>[제 9호] 파이프행가  70 C [식]</t>
  </si>
  <si>
    <t>56950120070</t>
    <phoneticPr fontId="2" type="noConversion"/>
  </si>
  <si>
    <t>EAA110170000</t>
    <phoneticPr fontId="2" type="noConversion"/>
  </si>
  <si>
    <t>[제 10호] 케이블트레이지지대  W200-1단 [식]</t>
  </si>
  <si>
    <t>56950160200</t>
    <phoneticPr fontId="2" type="noConversion"/>
  </si>
  <si>
    <t>EAA110420000</t>
    <phoneticPr fontId="2" type="noConversion"/>
  </si>
  <si>
    <t>[제 11호] 케이블트레이지지대  W300-1단 [식]</t>
  </si>
  <si>
    <t>56950160300</t>
    <phoneticPr fontId="2" type="noConversion"/>
  </si>
  <si>
    <t>EAA110430000</t>
    <phoneticPr fontId="2" type="noConversion"/>
  </si>
  <si>
    <t>[제 12호] 케이블트레이지지대  W800-1단 [식]</t>
  </si>
  <si>
    <t>56950160800</t>
    <phoneticPr fontId="2" type="noConversion"/>
  </si>
  <si>
    <t>EAA110478000</t>
    <phoneticPr fontId="2" type="noConversion"/>
  </si>
  <si>
    <t>[제 13호] EPS SUPPORT  W800-1단 [식]</t>
  </si>
  <si>
    <t>56950170119</t>
    <phoneticPr fontId="2" type="noConversion"/>
  </si>
  <si>
    <t>EAA110690000</t>
    <phoneticPr fontId="2" type="noConversion"/>
  </si>
  <si>
    <t>[제 14호] 동력배관지지가대  28C [식]</t>
  </si>
  <si>
    <t>56950180028</t>
    <phoneticPr fontId="2" type="noConversion"/>
  </si>
  <si>
    <t>EAA110830000</t>
    <phoneticPr fontId="2" type="noConversion"/>
  </si>
  <si>
    <t>[제 15호] 동력배관지지가대  36C [식]</t>
  </si>
  <si>
    <t>56950180036</t>
    <phoneticPr fontId="2" type="noConversion"/>
  </si>
  <si>
    <t>EAA110840000</t>
    <phoneticPr fontId="2" type="noConversion"/>
  </si>
  <si>
    <t>[제 16호] 동력배관지지가대  42C [식]</t>
  </si>
  <si>
    <t>56950180042</t>
    <phoneticPr fontId="2" type="noConversion"/>
  </si>
  <si>
    <t>EAA110850000</t>
    <phoneticPr fontId="2" type="noConversion"/>
  </si>
  <si>
    <t>[제 17호] 동력배관지지가대  54C [식]</t>
  </si>
  <si>
    <t>56950180054</t>
    <phoneticPr fontId="2" type="noConversion"/>
  </si>
  <si>
    <t>EAA110860000</t>
    <phoneticPr fontId="2" type="noConversion"/>
  </si>
  <si>
    <t>[제 18호] 맨  홀  1000x1000x1000 [식]</t>
  </si>
  <si>
    <t>56950200520</t>
    <phoneticPr fontId="2" type="noConversion"/>
  </si>
  <si>
    <t>EAC110160000</t>
    <phoneticPr fontId="2" type="noConversion"/>
  </si>
  <si>
    <t>[제 19호] 맨  홀  1500x1500x1500 [식]</t>
  </si>
  <si>
    <t>56950200530</t>
    <phoneticPr fontId="2" type="noConversion"/>
  </si>
  <si>
    <t>EAC110170000</t>
    <phoneticPr fontId="2" type="noConversion"/>
  </si>
  <si>
    <t>[제 20호] 접지공사  TEST [식]</t>
  </si>
  <si>
    <t>56950220302</t>
    <phoneticPr fontId="2" type="noConversion"/>
  </si>
  <si>
    <t>EAD110121000</t>
    <phoneticPr fontId="2" type="noConversion"/>
  </si>
  <si>
    <t>[제 21호] 관로구방수  D50 [식]</t>
  </si>
  <si>
    <t>56950240050</t>
    <phoneticPr fontId="2" type="noConversion"/>
  </si>
  <si>
    <t>EAF110120000</t>
    <phoneticPr fontId="2" type="noConversion"/>
  </si>
  <si>
    <t>[제 22호] 관로구방수  D65 [식]</t>
  </si>
  <si>
    <t>56950240065</t>
    <phoneticPr fontId="2" type="noConversion"/>
  </si>
  <si>
    <t>EAF110130000</t>
    <phoneticPr fontId="2" type="noConversion"/>
  </si>
  <si>
    <t>[제 23호] 관로구방수  D150 [식]</t>
  </si>
  <si>
    <t>56950240150</t>
    <phoneticPr fontId="2" type="noConversion"/>
  </si>
  <si>
    <t>EAF110170000</t>
    <phoneticPr fontId="2" type="noConversion"/>
  </si>
  <si>
    <t>[제 24호] 석고따기  측벽 [식]</t>
  </si>
  <si>
    <t>56953100927</t>
    <phoneticPr fontId="2" type="noConversion"/>
  </si>
  <si>
    <t>EAB110540000</t>
    <phoneticPr fontId="2" type="noConversion"/>
  </si>
  <si>
    <t>[제 25호] 조명기구 설치(POLE LIGHT)-강관,AL  5m-7m 이하(기계화시공) [개소]</t>
  </si>
  <si>
    <t>56959J99110</t>
    <phoneticPr fontId="2" type="noConversion"/>
  </si>
  <si>
    <t>56959J991100</t>
    <phoneticPr fontId="2" type="noConversion"/>
  </si>
  <si>
    <t>[제 26호] 다운라이트구멍따기 [개소]</t>
  </si>
  <si>
    <t>5695C100010</t>
    <phoneticPr fontId="2" type="noConversion"/>
  </si>
  <si>
    <t>F5695C100010</t>
    <phoneticPr fontId="2" type="noConversion"/>
  </si>
  <si>
    <t>[제 27호] 방화구획(내화충전)  W 200 [개소]</t>
  </si>
  <si>
    <t>5695FIR0200</t>
    <phoneticPr fontId="2" type="noConversion"/>
  </si>
  <si>
    <t>F5695F8R0200</t>
    <phoneticPr fontId="2" type="noConversion"/>
  </si>
  <si>
    <t>[제 28호] 방화구획(내화충전)  W 300 [개소]</t>
  </si>
  <si>
    <t>5695FIR0300</t>
    <phoneticPr fontId="2" type="noConversion"/>
  </si>
  <si>
    <t>F5695F8R0300</t>
    <phoneticPr fontId="2" type="noConversion"/>
  </si>
  <si>
    <t>[제 29호] 방화구획(내화충전)  W 800 [개소]</t>
  </si>
  <si>
    <t>5695FIR0800</t>
    <phoneticPr fontId="2" type="noConversion"/>
  </si>
  <si>
    <t>F5695F8R0800</t>
    <phoneticPr fontId="2" type="noConversion"/>
  </si>
  <si>
    <t>[제 30호] 경질비닐전선관  HI 16 mm [M.]</t>
  </si>
  <si>
    <t>59751E67012</t>
    <phoneticPr fontId="2" type="noConversion"/>
  </si>
  <si>
    <t>F59751467012</t>
    <phoneticPr fontId="2" type="noConversion"/>
  </si>
  <si>
    <t>[제 31호] 경질비닐전선관  HI 28 mm [M.]</t>
  </si>
  <si>
    <t>59751E67014</t>
    <phoneticPr fontId="2" type="noConversion"/>
  </si>
  <si>
    <t>F59751467014</t>
    <phoneticPr fontId="2" type="noConversion"/>
  </si>
  <si>
    <t>[제 32호] 경질비닐전선관  HI 36 mm [M.]</t>
  </si>
  <si>
    <t>59751E67015</t>
    <phoneticPr fontId="2" type="noConversion"/>
  </si>
  <si>
    <t>F59751467015</t>
    <phoneticPr fontId="2" type="noConversion"/>
  </si>
  <si>
    <t>[제 33호] 경질비닐전선관  HI 42 mm [M.]</t>
  </si>
  <si>
    <t>59751E67016</t>
    <phoneticPr fontId="2" type="noConversion"/>
  </si>
  <si>
    <t>F59751467016</t>
    <phoneticPr fontId="2" type="noConversion"/>
  </si>
  <si>
    <t>[제 34호] 합성수지제 가요전선관  CD-난연성 16㎜ [M..]</t>
  </si>
  <si>
    <t>59753A97002</t>
    <phoneticPr fontId="2" type="noConversion"/>
  </si>
  <si>
    <t>F59753097002</t>
    <phoneticPr fontId="2" type="noConversion"/>
  </si>
  <si>
    <t>[제 35호] 합성수지제 가요전선관  CD-난연성 22㎜ [M..]</t>
  </si>
  <si>
    <t>59753A97003</t>
    <phoneticPr fontId="2" type="noConversion"/>
  </si>
  <si>
    <t>F59753097003</t>
    <phoneticPr fontId="2" type="noConversion"/>
  </si>
  <si>
    <t>[제 36호] 파상형 폴리에틸렌 전선관  30㎜ [M.]</t>
  </si>
  <si>
    <t>59753B78001</t>
    <phoneticPr fontId="2" type="noConversion"/>
  </si>
  <si>
    <t>F59753178001</t>
    <phoneticPr fontId="2" type="noConversion"/>
  </si>
  <si>
    <t>[제 37호] 파상형 폴리에틸렌 전선관  40㎜ [M.]</t>
  </si>
  <si>
    <t>59753B78002</t>
    <phoneticPr fontId="2" type="noConversion"/>
  </si>
  <si>
    <t>F59753178002</t>
    <phoneticPr fontId="2" type="noConversion"/>
  </si>
  <si>
    <t>[제 38호] 파상형 폴리에틸렌 전선관  65㎜ [M.]</t>
  </si>
  <si>
    <t>59753B78004</t>
    <phoneticPr fontId="2" type="noConversion"/>
  </si>
  <si>
    <t>F59753178004</t>
    <phoneticPr fontId="2" type="noConversion"/>
  </si>
  <si>
    <t>[제 39호] 파상형 폴리에틸렌 전선관  125㎜-2열 포설 [M.]</t>
  </si>
  <si>
    <t>56959000002</t>
    <phoneticPr fontId="2" type="noConversion"/>
  </si>
  <si>
    <t>F56959000002</t>
    <phoneticPr fontId="2" type="noConversion"/>
  </si>
  <si>
    <t>[제 40호] 1종금속제가요전선관  16 mm 고장력-비방수 [M]</t>
  </si>
  <si>
    <t>56959000004</t>
    <phoneticPr fontId="2" type="noConversion"/>
  </si>
  <si>
    <t>F56959000004</t>
    <phoneticPr fontId="2" type="noConversion"/>
  </si>
  <si>
    <t>[제 41호] 1종금속제가요전선관  28 mm 고장력-비방수 [M]</t>
  </si>
  <si>
    <t>56959000006</t>
    <phoneticPr fontId="2" type="noConversion"/>
  </si>
  <si>
    <t>F56959000006</t>
    <phoneticPr fontId="2" type="noConversion"/>
  </si>
  <si>
    <t>[제 42호] 1종금속제가요전선관  36 mm 고장력-비방수 [M]</t>
  </si>
  <si>
    <t>56959000008</t>
    <phoneticPr fontId="2" type="noConversion"/>
  </si>
  <si>
    <t>F56959000008</t>
    <phoneticPr fontId="2" type="noConversion"/>
  </si>
  <si>
    <t>[제 43호] 1종금속제가요전선관  28 mm 고장력-방수 [M]</t>
  </si>
  <si>
    <t>56959000010</t>
    <phoneticPr fontId="2" type="noConversion"/>
  </si>
  <si>
    <t>F56959000010</t>
    <phoneticPr fontId="2" type="noConversion"/>
  </si>
  <si>
    <t>[제 44호] 1종금속제가요전선관  36 mm 고장력-방수 [M]</t>
  </si>
  <si>
    <t>56959000012</t>
    <phoneticPr fontId="2" type="noConversion"/>
  </si>
  <si>
    <t>F56959000012</t>
    <phoneticPr fontId="2" type="noConversion"/>
  </si>
  <si>
    <t>[제 45호] 1종금속제가요전선관  42 mm 고장력-방수 [M]</t>
  </si>
  <si>
    <t>56959000014</t>
    <phoneticPr fontId="2" type="noConversion"/>
  </si>
  <si>
    <t>F56959000014</t>
    <phoneticPr fontId="2" type="noConversion"/>
  </si>
  <si>
    <t>[제 46호] 강제전선관용 부품  위샤캡, 28 C [개]</t>
  </si>
  <si>
    <t>59759A17043</t>
    <phoneticPr fontId="2" type="noConversion"/>
  </si>
  <si>
    <t>F59759017043</t>
    <phoneticPr fontId="2" type="noConversion"/>
  </si>
  <si>
    <t>[제 47호] 아우트렛박스  8각 54㎜ [개]</t>
  </si>
  <si>
    <t>59753H67011</t>
    <phoneticPr fontId="2" type="noConversion"/>
  </si>
  <si>
    <t>F59753767011</t>
    <phoneticPr fontId="2" type="noConversion"/>
  </si>
  <si>
    <t>[제 48호] 아우트렛박스  중형4각 54㎜ [개]</t>
  </si>
  <si>
    <t>59753H67041</t>
    <phoneticPr fontId="2" type="noConversion"/>
  </si>
  <si>
    <t>F59753767041</t>
    <phoneticPr fontId="2" type="noConversion"/>
  </si>
  <si>
    <t>[제 49호] 스위치박스  1 개용 54 mm [개]</t>
  </si>
  <si>
    <t>59753H77102</t>
    <phoneticPr fontId="2" type="noConversion"/>
  </si>
  <si>
    <t>F59753777102</t>
    <phoneticPr fontId="2" type="noConversion"/>
  </si>
  <si>
    <t>[제 50호] 스위치박스  2 개용 54 mm [개]</t>
  </si>
  <si>
    <t>59753H77111</t>
    <phoneticPr fontId="2" type="noConversion"/>
  </si>
  <si>
    <t>F59753777111</t>
    <phoneticPr fontId="2" type="noConversion"/>
  </si>
  <si>
    <t>[제 51호] 연결박스  4각 44㎜ [개]</t>
  </si>
  <si>
    <t>56959000016</t>
    <phoneticPr fontId="2" type="noConversion"/>
  </si>
  <si>
    <t>F56959000016</t>
    <phoneticPr fontId="2" type="noConversion"/>
  </si>
  <si>
    <t>[제 52호] 시스템 박스  Con'매입용 [개]</t>
  </si>
  <si>
    <t>59350A67031</t>
    <phoneticPr fontId="2" type="noConversion"/>
  </si>
  <si>
    <t>F59350067031</t>
    <phoneticPr fontId="2" type="noConversion"/>
  </si>
  <si>
    <t>[제 53호] 정션 박스  100*100*50 [EA]</t>
  </si>
  <si>
    <t>61455B37894</t>
    <phoneticPr fontId="2" type="noConversion"/>
  </si>
  <si>
    <t>F61455137894</t>
    <phoneticPr fontId="2" type="noConversion"/>
  </si>
  <si>
    <t>[제 54호] 풀박스  100×100×50 [개]</t>
  </si>
  <si>
    <t>59753I57001</t>
    <phoneticPr fontId="2" type="noConversion"/>
  </si>
  <si>
    <t>F59753857001</t>
    <phoneticPr fontId="2" type="noConversion"/>
  </si>
  <si>
    <t>[제 55호] 풀박스  150×150×100 [개]</t>
  </si>
  <si>
    <t>59753I57031</t>
    <phoneticPr fontId="2" type="noConversion"/>
  </si>
  <si>
    <t>F59753857031</t>
    <phoneticPr fontId="2" type="noConversion"/>
  </si>
  <si>
    <t>[제 56호] 풀박스  600×600×300 [개]</t>
  </si>
  <si>
    <t>59753I57211</t>
    <phoneticPr fontId="2" type="noConversion"/>
  </si>
  <si>
    <t>F59753857211</t>
    <phoneticPr fontId="2" type="noConversion"/>
  </si>
  <si>
    <t>[제 57호] 레이스웨이  BODY, 40×40 [m]</t>
  </si>
  <si>
    <t>59750I97001</t>
    <phoneticPr fontId="2" type="noConversion"/>
  </si>
  <si>
    <t>F59750897001</t>
    <phoneticPr fontId="2" type="noConversion"/>
  </si>
  <si>
    <t>[제 58호] 레이스웨이  JOINT BOX, 40 x 40 [개]</t>
  </si>
  <si>
    <t>59750I97281</t>
    <phoneticPr fontId="2" type="noConversion"/>
  </si>
  <si>
    <t>F59750897281</t>
    <phoneticPr fontId="2" type="noConversion"/>
  </si>
  <si>
    <t>[제 59호] 레이스웨이  JUNC.BOX - 2 방, 40×40 [개]</t>
  </si>
  <si>
    <t>59750I97311</t>
    <phoneticPr fontId="2" type="noConversion"/>
  </si>
  <si>
    <t>F59750897311</t>
    <phoneticPr fontId="2" type="noConversion"/>
  </si>
  <si>
    <t>[제 60호] 케이블트레이  STRAIGHT,St W800x100Hx2.3t [m]</t>
  </si>
  <si>
    <t>59751I17253</t>
    <phoneticPr fontId="2" type="noConversion"/>
  </si>
  <si>
    <t>F59751817253</t>
    <phoneticPr fontId="2" type="noConversion"/>
  </si>
  <si>
    <t>[제 61호] 케이블트레이부속품  H. ELBOW, St,W800x100Hx2.3t [개]</t>
  </si>
  <si>
    <t>59754J67028</t>
    <phoneticPr fontId="2" type="noConversion"/>
  </si>
  <si>
    <t>F59754967028</t>
    <phoneticPr fontId="2" type="noConversion"/>
  </si>
  <si>
    <t>[제 62호] 케이블트레이부속품  V. ELBOW, St,W800x100Hx2.3t [개]</t>
  </si>
  <si>
    <t>59754J67128</t>
    <phoneticPr fontId="2" type="noConversion"/>
  </si>
  <si>
    <t>F59754967128</t>
    <phoneticPr fontId="2" type="noConversion"/>
  </si>
  <si>
    <t>[제 63호] 케이블트레이  AL, 2.0txW300 x H70 [m]</t>
  </si>
  <si>
    <t>59751I17131</t>
    <phoneticPr fontId="2" type="noConversion"/>
  </si>
  <si>
    <t>F59751817131</t>
    <phoneticPr fontId="2" type="noConversion"/>
  </si>
  <si>
    <t>[제 64호] 케이블트레이부속품  AL HOR. ELBOW, W300 x H70 [개]</t>
  </si>
  <si>
    <t>59754J67916</t>
    <phoneticPr fontId="2" type="noConversion"/>
  </si>
  <si>
    <t>F59754967916</t>
    <phoneticPr fontId="2" type="noConversion"/>
  </si>
  <si>
    <t>[제 65호] 케이블트레이부속품  AL HOR. TEE, W300 x H70 [개]</t>
  </si>
  <si>
    <t>59754J68016</t>
    <phoneticPr fontId="2" type="noConversion"/>
  </si>
  <si>
    <t>F59754968016</t>
    <phoneticPr fontId="2" type="noConversion"/>
  </si>
  <si>
    <t>[제 66호] 덕트형 케이블트레이  DUCT, W 200 x H 100 [m]</t>
  </si>
  <si>
    <t>59754J77011</t>
    <phoneticPr fontId="2" type="noConversion"/>
  </si>
  <si>
    <t>F59754977011</t>
    <phoneticPr fontId="2" type="noConversion"/>
  </si>
  <si>
    <t>[제 67호] 덕트형 케이블트레이부속  HOR. ELBOW, W 200 [개]</t>
  </si>
  <si>
    <t>59754J87011</t>
    <phoneticPr fontId="2" type="noConversion"/>
  </si>
  <si>
    <t>F59754987011</t>
    <phoneticPr fontId="2" type="noConversion"/>
  </si>
  <si>
    <t>[제 68호] 덕트형 케이블트레이부속  VER. ELBOW, W 200 [개]</t>
  </si>
  <si>
    <t>59754J87111</t>
    <phoneticPr fontId="2" type="noConversion"/>
  </si>
  <si>
    <t>F59754987111</t>
    <phoneticPr fontId="2" type="noConversion"/>
  </si>
  <si>
    <t>[제 69호] 450/750V 내열비닐절연전선  HFIX 1.38mm(1.5㎟) [M]</t>
  </si>
  <si>
    <t>56959000018</t>
    <phoneticPr fontId="2" type="noConversion"/>
  </si>
  <si>
    <t>F56959000018</t>
    <phoneticPr fontId="2" type="noConversion"/>
  </si>
  <si>
    <t>[제 70호] 450/750V 내열비닐절연전선  HFIX 1.78mm(2.5㎟) [M]</t>
  </si>
  <si>
    <t>56959000020</t>
    <phoneticPr fontId="2" type="noConversion"/>
  </si>
  <si>
    <t>F56959000020</t>
    <phoneticPr fontId="2" type="noConversion"/>
  </si>
  <si>
    <t>[제 71호] 450/750V 내열비닐절연전선  HFIX 2.25mm(4㎟) [M]</t>
  </si>
  <si>
    <t>E1450G67003</t>
    <phoneticPr fontId="2" type="noConversion"/>
  </si>
  <si>
    <t>FE1450667003</t>
    <phoneticPr fontId="2" type="noConversion"/>
  </si>
  <si>
    <t>[제 72호] 접지용비닐절연전선(F-GV)  4㎟ [M]</t>
  </si>
  <si>
    <t>E1450J27202</t>
    <phoneticPr fontId="2" type="noConversion"/>
  </si>
  <si>
    <t>FE1450927202</t>
    <phoneticPr fontId="2" type="noConversion"/>
  </si>
  <si>
    <t>[제 73호] 접지용비닐절연전선(F-GV)  6㎟ [M]</t>
  </si>
  <si>
    <t>E1450J27203</t>
    <phoneticPr fontId="2" type="noConversion"/>
  </si>
  <si>
    <t>FE1450927203</t>
    <phoneticPr fontId="2" type="noConversion"/>
  </si>
  <si>
    <t>[제 74호] 접지용비닐절연전선(F-GV)  10㎟ [M]</t>
  </si>
  <si>
    <t>E1450J27204</t>
    <phoneticPr fontId="2" type="noConversion"/>
  </si>
  <si>
    <t>FE1450927204</t>
    <phoneticPr fontId="2" type="noConversion"/>
  </si>
  <si>
    <t>[제 75호] 접지용비닐절연전선(F-GV)  16㎟ [M]</t>
  </si>
  <si>
    <t>E1450J27205</t>
    <phoneticPr fontId="2" type="noConversion"/>
  </si>
  <si>
    <t>FE1450927205</t>
    <phoneticPr fontId="2" type="noConversion"/>
  </si>
  <si>
    <t>[제 76호] 접지용비닐절연전선(F-GV)  25㎟ [M]</t>
  </si>
  <si>
    <t>E1450J27206</t>
    <phoneticPr fontId="2" type="noConversion"/>
  </si>
  <si>
    <t>FE1450927206</t>
    <phoneticPr fontId="2" type="noConversion"/>
  </si>
  <si>
    <t>[제 77호] 접지용비닐절연전선(F-GV)  35㎟ [M]</t>
  </si>
  <si>
    <t>E1450J27208</t>
    <phoneticPr fontId="2" type="noConversion"/>
  </si>
  <si>
    <t>FE1450927208</t>
    <phoneticPr fontId="2" type="noConversion"/>
  </si>
  <si>
    <t>[제 78호] 접지용비닐절연전선(F-GV)  50㎟ [M]</t>
  </si>
  <si>
    <t>E1450J27209</t>
    <phoneticPr fontId="2" type="noConversion"/>
  </si>
  <si>
    <t>FE1450927209</t>
    <phoneticPr fontId="2" type="noConversion"/>
  </si>
  <si>
    <t>[제 79호] 접지용비닐절연전선(F-GV)  70㎟ [M]</t>
  </si>
  <si>
    <t>E1450J27211</t>
    <phoneticPr fontId="2" type="noConversion"/>
  </si>
  <si>
    <t>FE1450927211</t>
    <phoneticPr fontId="2" type="noConversion"/>
  </si>
  <si>
    <t>[제 80호] 접지용비닐절연전선(F-GV)  95㎟ [M]</t>
  </si>
  <si>
    <t>E1450J27212</t>
    <phoneticPr fontId="2" type="noConversion"/>
  </si>
  <si>
    <t>FE1450927212</t>
    <phoneticPr fontId="2" type="noConversion"/>
  </si>
  <si>
    <t>[제 81호] 접지용비닐절연전선(F-GV)  120㎟ [M]</t>
  </si>
  <si>
    <t>E1450J27213</t>
    <phoneticPr fontId="2" type="noConversion"/>
  </si>
  <si>
    <t>FE1450927213</t>
    <phoneticPr fontId="2" type="noConversion"/>
  </si>
  <si>
    <t>[제 82호] 전기용 연동연선(BC)  50㎟ [M]</t>
  </si>
  <si>
    <t>56959000022</t>
    <phoneticPr fontId="2" type="noConversion"/>
  </si>
  <si>
    <t>F56959000022</t>
    <phoneticPr fontId="2" type="noConversion"/>
  </si>
  <si>
    <t>[제 83호] 폴리에틸렌 난연케이블-2열/옥내  0.6/1kv F-CV 1C×70㎟ [M]</t>
  </si>
  <si>
    <t>56959000024</t>
    <phoneticPr fontId="2" type="noConversion"/>
  </si>
  <si>
    <t>F56959000024</t>
    <phoneticPr fontId="2" type="noConversion"/>
  </si>
  <si>
    <t>[제 84호] 폴리에틸렌 난연케이블-4열/옥내  0.6/1kv F-CV 1C×50㎟ [M]</t>
  </si>
  <si>
    <t>56959000026</t>
    <phoneticPr fontId="2" type="noConversion"/>
  </si>
  <si>
    <t>F56959000026</t>
    <phoneticPr fontId="2" type="noConversion"/>
  </si>
  <si>
    <t>[제 85호] 폴리에틸렌 난연케이블-4열/옥내  0.6/1kv F-CV 1C×70㎟ [M]</t>
  </si>
  <si>
    <t>56959000028</t>
    <phoneticPr fontId="2" type="noConversion"/>
  </si>
  <si>
    <t>F56959000028</t>
    <phoneticPr fontId="2" type="noConversion"/>
  </si>
  <si>
    <t>[제 86호] 폴리에틸렌 난연케이블  0.6/1kv F-CV 2C×4㎟ [M]</t>
  </si>
  <si>
    <t>E1450C87522</t>
    <phoneticPr fontId="2" type="noConversion"/>
  </si>
  <si>
    <t>FE1450287522</t>
    <phoneticPr fontId="2" type="noConversion"/>
  </si>
  <si>
    <t>[제 87호] 폴리에틸렌 난연케이블  0.6/1kv F-CV 2C×6㎟ [M]</t>
  </si>
  <si>
    <t>E1450C87523</t>
    <phoneticPr fontId="2" type="noConversion"/>
  </si>
  <si>
    <t>FE1450287523</t>
    <phoneticPr fontId="2" type="noConversion"/>
  </si>
  <si>
    <t>[제 88호] 폴리에틸렌 난연케이블  0.6/1kv F-CV 2C×10㎟ [M]</t>
  </si>
  <si>
    <t>E1450C87524</t>
    <phoneticPr fontId="2" type="noConversion"/>
  </si>
  <si>
    <t>FE1450287524</t>
    <phoneticPr fontId="2" type="noConversion"/>
  </si>
  <si>
    <t>[제 89호] 폴리에틸렌 난연케이블  0.6/1kv F-CV 3C×4㎟ [M]</t>
  </si>
  <si>
    <t>E1450C87539</t>
    <phoneticPr fontId="2" type="noConversion"/>
  </si>
  <si>
    <t>FE1450287539</t>
    <phoneticPr fontId="2" type="noConversion"/>
  </si>
  <si>
    <t>[제 90호] 폴리에틸렌 난연케이블  0.6/1kv F-CV 3C×6㎟ [M]</t>
  </si>
  <si>
    <t>E1450C87540</t>
    <phoneticPr fontId="2" type="noConversion"/>
  </si>
  <si>
    <t>FE1450287540</t>
    <phoneticPr fontId="2" type="noConversion"/>
  </si>
  <si>
    <t>[제 91호] 폴리에틸렌 난연케이블  0.6/1kv F-CV 4C×6㎟ [M]</t>
  </si>
  <si>
    <t>E1450C87563</t>
    <phoneticPr fontId="2" type="noConversion"/>
  </si>
  <si>
    <t>FE1450287563</t>
    <phoneticPr fontId="2" type="noConversion"/>
  </si>
  <si>
    <t>[제 92호] 폴리에틸렌 난연케이블  0.6/1kv F-CV 4C×10㎟ [M]</t>
  </si>
  <si>
    <t>E1450C87564</t>
    <phoneticPr fontId="2" type="noConversion"/>
  </si>
  <si>
    <t>FE1450287564</t>
    <phoneticPr fontId="2" type="noConversion"/>
  </si>
  <si>
    <t>[제 93호] 폴리에틸렌 난연케이블  0.6/1kv F-CV 4C×16㎟ [M]</t>
  </si>
  <si>
    <t>E1450C87565</t>
    <phoneticPr fontId="2" type="noConversion"/>
  </si>
  <si>
    <t>FE1450287565</t>
    <phoneticPr fontId="2" type="noConversion"/>
  </si>
  <si>
    <t>[제 94호] 폴리에틸렌 난연케이블  0.6/1kv F-CV 4C×25㎟ [M]</t>
  </si>
  <si>
    <t>E1450C87566</t>
    <phoneticPr fontId="2" type="noConversion"/>
  </si>
  <si>
    <t>FE1450287566</t>
    <phoneticPr fontId="2" type="noConversion"/>
  </si>
  <si>
    <t>[제 95호] 폴리에틸렌 난연케이블  0.6/1kv F-CV 4C×35㎟ [M]</t>
  </si>
  <si>
    <t>E1450C87568</t>
    <phoneticPr fontId="2" type="noConversion"/>
  </si>
  <si>
    <t>FE1450287568</t>
    <phoneticPr fontId="2" type="noConversion"/>
  </si>
  <si>
    <t>[제 96호] 소방용내화전선(F-FR-8)  1C×240㎟-4열/옥내 [M]</t>
  </si>
  <si>
    <t>56959000030</t>
    <phoneticPr fontId="2" type="noConversion"/>
  </si>
  <si>
    <t>F56959000030</t>
    <phoneticPr fontId="2" type="noConversion"/>
  </si>
  <si>
    <t>[제 97호] 소방용내화전선(F-FR-8)  2C×4㎟ [M]</t>
  </si>
  <si>
    <t>E1450B37202</t>
    <phoneticPr fontId="2" type="noConversion"/>
  </si>
  <si>
    <t>FE1450137202</t>
    <phoneticPr fontId="2" type="noConversion"/>
  </si>
  <si>
    <t>[제 98호] 소방용내화전선(F-FR-8)  3C×6㎟ [M]</t>
  </si>
  <si>
    <t>E1450B37303</t>
    <phoneticPr fontId="2" type="noConversion"/>
  </si>
  <si>
    <t>FE1450137303</t>
    <phoneticPr fontId="2" type="noConversion"/>
  </si>
  <si>
    <t>[제 99호] 소방용내화전선(F-FR-8)  3C×10㎟ [M]</t>
  </si>
  <si>
    <t>E1450B37304</t>
    <phoneticPr fontId="2" type="noConversion"/>
  </si>
  <si>
    <t>FE1450137304</t>
    <phoneticPr fontId="2" type="noConversion"/>
  </si>
  <si>
    <t>[제 100호] 소방용내화전선(F-FR-8)  3C×16㎟ [M]</t>
  </si>
  <si>
    <t>E1450B37305</t>
    <phoneticPr fontId="2" type="noConversion"/>
  </si>
  <si>
    <t>FE1450137305</t>
    <phoneticPr fontId="2" type="noConversion"/>
  </si>
  <si>
    <t>[제 101호] 소방용내화전선(F-FR-8)  3C×25㎟ [M]</t>
  </si>
  <si>
    <t>E1450B37306</t>
    <phoneticPr fontId="2" type="noConversion"/>
  </si>
  <si>
    <t>FE1450137306</t>
    <phoneticPr fontId="2" type="noConversion"/>
  </si>
  <si>
    <t>[제 102호] 소방용내화전선(F-FR-8)  4C×16㎟ [M]</t>
  </si>
  <si>
    <t>E1450B37405</t>
    <phoneticPr fontId="2" type="noConversion"/>
  </si>
  <si>
    <t>FE1450137405</t>
    <phoneticPr fontId="2" type="noConversion"/>
  </si>
  <si>
    <t>[제 103호] 소방용내화전선(F-FR-8)  4C×35㎟ [M]</t>
  </si>
  <si>
    <t>E1450B37408</t>
    <phoneticPr fontId="2" type="noConversion"/>
  </si>
  <si>
    <t>FE1450137408</t>
    <phoneticPr fontId="2" type="noConversion"/>
  </si>
  <si>
    <t>[제 104호] 난연제어케이블  F-CVV-S, 2Cx1.5㎟ [M]</t>
  </si>
  <si>
    <t>E1450D58401</t>
    <phoneticPr fontId="2" type="noConversion"/>
  </si>
  <si>
    <t>FE1450358401</t>
    <phoneticPr fontId="2" type="noConversion"/>
  </si>
  <si>
    <t>[제 105호] 23KV동심난연케이블-옥내3열  22.9kV,F-CN/CO,수밀,1x60㎟ [M]</t>
  </si>
  <si>
    <t>56959000032</t>
    <phoneticPr fontId="2" type="noConversion"/>
  </si>
  <si>
    <t>F56959000032</t>
    <phoneticPr fontId="2" type="noConversion"/>
  </si>
  <si>
    <t>[제 106호] UTP 케이블  Cat.5E 0.5mm 4P [M]</t>
  </si>
  <si>
    <t>56959000034</t>
    <phoneticPr fontId="2" type="noConversion"/>
  </si>
  <si>
    <t>F56959000034</t>
    <phoneticPr fontId="2" type="noConversion"/>
  </si>
  <si>
    <t>[제 107호] STP 케이블  Cat.5 0.5mm 4P [M]</t>
  </si>
  <si>
    <t>61452B67511</t>
    <phoneticPr fontId="2" type="noConversion"/>
  </si>
  <si>
    <t>F61452167511</t>
    <phoneticPr fontId="2" type="noConversion"/>
  </si>
  <si>
    <t>[제 108호] 매입스위치  250V 1로1구 [개]</t>
  </si>
  <si>
    <t>59301F17001</t>
    <phoneticPr fontId="2" type="noConversion"/>
  </si>
  <si>
    <t>F59301517001</t>
    <phoneticPr fontId="2" type="noConversion"/>
  </si>
  <si>
    <t>[제 109호] 매입스위치  250V 1로2구 [개]</t>
  </si>
  <si>
    <t>59301F17002</t>
    <phoneticPr fontId="2" type="noConversion"/>
  </si>
  <si>
    <t>F59301517002</t>
    <phoneticPr fontId="2" type="noConversion"/>
  </si>
  <si>
    <t>[제 110호] 매입스위치  250V 1로3구 [개]</t>
  </si>
  <si>
    <t>59301F17003</t>
    <phoneticPr fontId="2" type="noConversion"/>
  </si>
  <si>
    <t>F59301517003</t>
    <phoneticPr fontId="2" type="noConversion"/>
  </si>
  <si>
    <t>[제 111호] 콘센트  노출-접지형, 250V 2구 [개]</t>
  </si>
  <si>
    <t>59350D17122</t>
    <phoneticPr fontId="2" type="noConversion"/>
  </si>
  <si>
    <t>F59350317122</t>
    <phoneticPr fontId="2" type="noConversion"/>
  </si>
  <si>
    <t>[제 112호] 대기전력차단콘센트  매입형, 15A 250V 2구 [개]</t>
  </si>
  <si>
    <t>56959000036</t>
    <phoneticPr fontId="2" type="noConversion"/>
  </si>
  <si>
    <t>F56959000036</t>
    <phoneticPr fontId="2" type="noConversion"/>
  </si>
  <si>
    <t>[제 113호] 콘센트  매입-접지형, 250V 1구 [개]</t>
  </si>
  <si>
    <t>59350D17205</t>
    <phoneticPr fontId="2" type="noConversion"/>
  </si>
  <si>
    <t>F59350317205</t>
    <phoneticPr fontId="2" type="noConversion"/>
  </si>
  <si>
    <t>[제 114호] 콘센트  매입-접지형, 250V 2구 [개]</t>
  </si>
  <si>
    <t>59350D17206</t>
    <phoneticPr fontId="2" type="noConversion"/>
  </si>
  <si>
    <t>F59350317206</t>
    <phoneticPr fontId="2" type="noConversion"/>
  </si>
  <si>
    <t>[제 115호] 방우콘센트  매입-접지형, 250V 1구 [개]</t>
  </si>
  <si>
    <t>59350D17207</t>
    <phoneticPr fontId="2" type="noConversion"/>
  </si>
  <si>
    <t>F59350317207</t>
    <phoneticPr fontId="2" type="noConversion"/>
  </si>
  <si>
    <t>[제 116호] 방우콘센트  매입-접지형, 250V 2구 [개]</t>
  </si>
  <si>
    <t>59350D17208</t>
    <phoneticPr fontId="2" type="noConversion"/>
  </si>
  <si>
    <t>F59350317208</t>
    <phoneticPr fontId="2" type="noConversion"/>
  </si>
  <si>
    <t>[제 117호] 접지봉  16Φ×1800 mm [개]</t>
  </si>
  <si>
    <t>59750E27104</t>
    <phoneticPr fontId="2" type="noConversion"/>
  </si>
  <si>
    <t>F59750427104</t>
    <phoneticPr fontId="2" type="noConversion"/>
  </si>
  <si>
    <t>[제 118호] 수막처리접지봉  18Φ×500 mm [개]</t>
  </si>
  <si>
    <t>59750E27111</t>
    <phoneticPr fontId="2" type="noConversion"/>
  </si>
  <si>
    <t>F59750427111</t>
    <phoneticPr fontId="2" type="noConversion"/>
  </si>
  <si>
    <t>[제 119호] 동피뢰침  동피뢰침(대), 14×485mm [개]</t>
  </si>
  <si>
    <t>59200C57101</t>
    <phoneticPr fontId="2" type="noConversion"/>
  </si>
  <si>
    <t>F59200257101</t>
    <phoneticPr fontId="2" type="noConversion"/>
  </si>
  <si>
    <t>[제 120호] 철근클램프  구조체접속 [개소]</t>
  </si>
  <si>
    <t>56959000038</t>
    <phoneticPr fontId="2" type="noConversion"/>
  </si>
  <si>
    <t>F56959000038</t>
    <phoneticPr fontId="2" type="noConversion"/>
  </si>
  <si>
    <t>[제 121호] 접지단자함  SUS, 3 CCT [면]</t>
  </si>
  <si>
    <t>59750E30003</t>
    <phoneticPr fontId="2" type="noConversion"/>
  </si>
  <si>
    <t>F59750430003</t>
    <phoneticPr fontId="2" type="noConversion"/>
  </si>
  <si>
    <t>[제 122호] 접지단자함  SUS, 7 CCT [면]</t>
  </si>
  <si>
    <t>59750E30007</t>
    <phoneticPr fontId="2" type="noConversion"/>
  </si>
  <si>
    <t>F59750430007</t>
    <phoneticPr fontId="2" type="noConversion"/>
  </si>
  <si>
    <t>[제 123호] WARNING TAPE(강전용)  300 x 250 [m]</t>
  </si>
  <si>
    <t>59750E40005</t>
    <phoneticPr fontId="2" type="noConversion"/>
  </si>
  <si>
    <t>F59750440005</t>
    <phoneticPr fontId="2" type="noConversion"/>
  </si>
  <si>
    <t>[제 124호] WARNING TAPE(고압용)  300 x 250 [m]</t>
  </si>
  <si>
    <t>59750E40003</t>
    <phoneticPr fontId="2" type="noConversion"/>
  </si>
  <si>
    <t>F59750440003</t>
    <phoneticPr fontId="2" type="noConversion"/>
  </si>
  <si>
    <t>[제 125호] 케이블 단말접속자재  자기수축,23kV 1Cx60 ㎟ [조]</t>
  </si>
  <si>
    <t>59752A07003</t>
    <phoneticPr fontId="2" type="noConversion"/>
  </si>
  <si>
    <t>F59752007003</t>
    <phoneticPr fontId="2" type="noConversion"/>
  </si>
  <si>
    <t>[제 126호] 러그단자  동관단자 2 HOLE 50 ㎟ [개]</t>
  </si>
  <si>
    <t>E9400B77025</t>
    <phoneticPr fontId="2" type="noConversion"/>
  </si>
  <si>
    <t>FE9400177025</t>
    <phoneticPr fontId="2" type="noConversion"/>
  </si>
  <si>
    <t>[제 127호] 러그단자  동관단자 2 HOLE 70 ㎟ [개]</t>
  </si>
  <si>
    <t>E9400B77026</t>
    <phoneticPr fontId="2" type="noConversion"/>
  </si>
  <si>
    <t>FE9400177026</t>
    <phoneticPr fontId="2" type="noConversion"/>
  </si>
  <si>
    <t>[제 128호] 러그단자  동관단자 2 HOLE 240 ㎟ [개]</t>
  </si>
  <si>
    <t>E9400B77030</t>
    <phoneticPr fontId="2" type="noConversion"/>
  </si>
  <si>
    <t>FE9400177030</t>
    <phoneticPr fontId="2" type="noConversion"/>
  </si>
  <si>
    <t>[제 129호] 압착단자  R형동선 나압착 16 ㎟ [개]</t>
  </si>
  <si>
    <t>E9400C67006</t>
    <phoneticPr fontId="2" type="noConversion"/>
  </si>
  <si>
    <t>FE9400267006</t>
    <phoneticPr fontId="2" type="noConversion"/>
  </si>
  <si>
    <t>[제 130호] 압착단자  R형동선 나압착 25 ㎟ [개]</t>
  </si>
  <si>
    <t>E9400C67007</t>
    <phoneticPr fontId="2" type="noConversion"/>
  </si>
  <si>
    <t>FE9400267007</t>
    <phoneticPr fontId="2" type="noConversion"/>
  </si>
  <si>
    <t>[제 131호] 압착단자  R형동선 나압착 35 ㎟ [개]</t>
  </si>
  <si>
    <t>E9400C67008</t>
    <phoneticPr fontId="2" type="noConversion"/>
  </si>
  <si>
    <t>FE9400267008</t>
    <phoneticPr fontId="2" type="noConversion"/>
  </si>
  <si>
    <t>[제 132호] 압착단자  R형동선 나압착 50 ㎟ [개]</t>
  </si>
  <si>
    <t>E9400C67009</t>
    <phoneticPr fontId="2" type="noConversion"/>
  </si>
  <si>
    <t>FE9400267009</t>
    <phoneticPr fontId="2" type="noConversion"/>
  </si>
  <si>
    <t>[제 133호] 압착단자  R형동선 나압착 95 ㎟ [개]</t>
  </si>
  <si>
    <t>E9400C67011</t>
    <phoneticPr fontId="2" type="noConversion"/>
  </si>
  <si>
    <t>FE9400267011</t>
    <phoneticPr fontId="2" type="noConversion"/>
  </si>
  <si>
    <t>[제 134호] 압착단자  R형동선 나압착 120 ㎟ [개]</t>
  </si>
  <si>
    <t>E9400C67012</t>
    <phoneticPr fontId="2" type="noConversion"/>
  </si>
  <si>
    <t>FE9400267012</t>
    <phoneticPr fontId="2" type="noConversion"/>
  </si>
  <si>
    <t>[제 135호] 압착슬리이브  동압착슬리브-C형 50 ㎟ [개]</t>
  </si>
  <si>
    <t>59350C87063</t>
    <phoneticPr fontId="2" type="noConversion"/>
  </si>
  <si>
    <t>F59350287063</t>
    <phoneticPr fontId="2" type="noConversion"/>
  </si>
  <si>
    <t>[제 136호] 나사없는전선관(노출)  E19 [M.]</t>
  </si>
  <si>
    <t>59750D38011</t>
    <phoneticPr fontId="2" type="noConversion"/>
  </si>
  <si>
    <t>F59750338011</t>
    <phoneticPr fontId="2" type="noConversion"/>
  </si>
  <si>
    <t>[제 137호] 나사없는전선관(노출)  E25 [M.]</t>
  </si>
  <si>
    <t>59750D38012</t>
    <phoneticPr fontId="2" type="noConversion"/>
  </si>
  <si>
    <t>F59750338012</t>
    <phoneticPr fontId="2" type="noConversion"/>
  </si>
  <si>
    <t>[제 138호] 나사없는전선관(노출)  E31 [M.]</t>
  </si>
  <si>
    <t>59750D38013</t>
    <phoneticPr fontId="2" type="noConversion"/>
  </si>
  <si>
    <t>F59750338013</t>
    <phoneticPr fontId="2" type="noConversion"/>
  </si>
  <si>
    <t>[제 139호] 나사없는전선관(노출)  E39 [M.]</t>
  </si>
  <si>
    <t>59750D38014</t>
    <phoneticPr fontId="2" type="noConversion"/>
  </si>
  <si>
    <t>F59750338014</t>
    <phoneticPr fontId="2" type="noConversion"/>
  </si>
  <si>
    <t>[제 140호] 나사없는전선관(노출)  E51 [M.]</t>
  </si>
  <si>
    <t>59750D38016</t>
    <phoneticPr fontId="2" type="noConversion"/>
  </si>
  <si>
    <t>F59750338016</t>
    <phoneticPr fontId="2" type="noConversion"/>
  </si>
  <si>
    <t>[제 141호] 나사없는전선관(노출)  E63 [M.]</t>
  </si>
  <si>
    <t>59750D38017</t>
    <phoneticPr fontId="2" type="noConversion"/>
  </si>
  <si>
    <t>F59750338017</t>
    <phoneticPr fontId="2" type="noConversion"/>
  </si>
  <si>
    <t>[제 142호] 나사없는전선관(노출)  E75 [M.]</t>
  </si>
  <si>
    <t>59750D38018</t>
    <phoneticPr fontId="2" type="noConversion"/>
  </si>
  <si>
    <t>F59750338018</t>
    <phoneticPr fontId="2" type="noConversion"/>
  </si>
  <si>
    <t>[제 143호] 다기능 접속 단자함 [개]</t>
  </si>
  <si>
    <t>56959000040</t>
    <phoneticPr fontId="2" type="noConversion"/>
  </si>
  <si>
    <t>F56959000040</t>
    <phoneticPr fontId="2" type="noConversion"/>
  </si>
  <si>
    <t>[제 144호] 카운터센서  화장실 [SET]</t>
  </si>
  <si>
    <t>56959000042</t>
    <phoneticPr fontId="2" type="noConversion"/>
  </si>
  <si>
    <t>F56959000042</t>
    <phoneticPr fontId="2" type="noConversion"/>
  </si>
  <si>
    <t>[제 145호] 이질슬리브  수평도체 접합용 8mm [EA]</t>
  </si>
  <si>
    <t>56959000044</t>
    <phoneticPr fontId="2" type="noConversion"/>
  </si>
  <si>
    <t>F56959000044</t>
    <phoneticPr fontId="2" type="noConversion"/>
  </si>
  <si>
    <t>[제 146호] 구조체 연속성 측정용 단자함 [면]</t>
  </si>
  <si>
    <t>56959000046</t>
    <phoneticPr fontId="2" type="noConversion"/>
  </si>
  <si>
    <t>F56959000046</t>
    <phoneticPr fontId="2" type="noConversion"/>
  </si>
  <si>
    <t>[제 147호] 통합콘센트  일반4구/전화2/TV [개]</t>
  </si>
  <si>
    <t>56959000048</t>
    <phoneticPr fontId="2" type="noConversion"/>
  </si>
  <si>
    <t>F56959000048</t>
    <phoneticPr fontId="2" type="noConversion"/>
  </si>
  <si>
    <t>[제 148호] 통합콘센트  일반2구/전화2 [개]</t>
  </si>
  <si>
    <t>56959000050</t>
    <phoneticPr fontId="2" type="noConversion"/>
  </si>
  <si>
    <t>F56959000050</t>
    <phoneticPr fontId="2" type="noConversion"/>
  </si>
  <si>
    <t>[제 149호] 통합콘센트  일반2/전화2/TV [개]</t>
  </si>
  <si>
    <t>56959000052</t>
    <phoneticPr fontId="2" type="noConversion"/>
  </si>
  <si>
    <t>F56959000052</t>
    <phoneticPr fontId="2" type="noConversion"/>
  </si>
  <si>
    <t>[제 150호] 통합BOX  일반4구/전화2/TV [개]</t>
  </si>
  <si>
    <t>56959000054</t>
    <phoneticPr fontId="2" type="noConversion"/>
  </si>
  <si>
    <t>F56959000054</t>
    <phoneticPr fontId="2" type="noConversion"/>
  </si>
  <si>
    <t>[제 151호] 통합BOX  일반2구/전화2 [개]</t>
  </si>
  <si>
    <t>56959000056</t>
    <phoneticPr fontId="2" type="noConversion"/>
  </si>
  <si>
    <t>F56959000056</t>
    <phoneticPr fontId="2" type="noConversion"/>
  </si>
  <si>
    <t>[제 152호] 통합BOX  일반2/전화2/TV [개]</t>
  </si>
  <si>
    <t>56959000058</t>
    <phoneticPr fontId="2" type="noConversion"/>
  </si>
  <si>
    <t>F56959000058</t>
    <phoneticPr fontId="2" type="noConversion"/>
  </si>
  <si>
    <t>[제 153호] 결로 통합BOX  일반4구/전화2/TV [개]</t>
  </si>
  <si>
    <t>56959000060</t>
    <phoneticPr fontId="2" type="noConversion"/>
  </si>
  <si>
    <t>F56959000060</t>
    <phoneticPr fontId="2" type="noConversion"/>
  </si>
  <si>
    <t>[제 154호] 결로 통합BOX  일반2/전화2/TV [개]</t>
  </si>
  <si>
    <t>56959000062</t>
    <phoneticPr fontId="2" type="noConversion"/>
  </si>
  <si>
    <t>F56959000062</t>
    <phoneticPr fontId="2" type="noConversion"/>
  </si>
  <si>
    <t>[제 155호] 콘센트  가로-접지형,15A 250V 2구 [개]</t>
  </si>
  <si>
    <t>56959000064</t>
    <phoneticPr fontId="2" type="noConversion"/>
  </si>
  <si>
    <t>F56959000064</t>
    <phoneticPr fontId="2" type="noConversion"/>
  </si>
  <si>
    <t>[제 156호] 결로BOX  1구 [개]</t>
  </si>
  <si>
    <t>56959000066</t>
    <phoneticPr fontId="2" type="noConversion"/>
  </si>
  <si>
    <t>F56959000066</t>
    <phoneticPr fontId="2" type="noConversion"/>
  </si>
  <si>
    <t>[제 157호] 결로BOX  2구 [개]</t>
  </si>
  <si>
    <t>56959000068</t>
    <phoneticPr fontId="2" type="noConversion"/>
  </si>
  <si>
    <t>F56959000068</t>
    <phoneticPr fontId="2" type="noConversion"/>
  </si>
  <si>
    <t>[제 158호] STS 봉  8Φ [m]</t>
  </si>
  <si>
    <t>56959000070</t>
    <phoneticPr fontId="2" type="noConversion"/>
  </si>
  <si>
    <t>F56959000070</t>
    <phoneticPr fontId="2" type="noConversion"/>
  </si>
  <si>
    <t>[제 159호] STS봉후렉시블 [EA]</t>
  </si>
  <si>
    <t>56959000072</t>
    <phoneticPr fontId="2" type="noConversion"/>
  </si>
  <si>
    <t>F56959000072</t>
    <phoneticPr fontId="2" type="noConversion"/>
  </si>
  <si>
    <t>[제 160호] 세대분전반  8회로+APU [면]</t>
  </si>
  <si>
    <t>56959000074</t>
    <phoneticPr fontId="2" type="noConversion"/>
  </si>
  <si>
    <t>F56959000074</t>
    <phoneticPr fontId="2" type="noConversion"/>
  </si>
  <si>
    <t>[제 161호] 조명기구 TYPE D  LED40W(매입등) [SET]</t>
  </si>
  <si>
    <t>56959000076</t>
    <phoneticPr fontId="2" type="noConversion"/>
  </si>
  <si>
    <t>F56959000076</t>
    <phoneticPr fontId="2" type="noConversion"/>
  </si>
  <si>
    <t>[제 162호] 조명기구 TYPE E  LED15W(D.L) [SET]</t>
  </si>
  <si>
    <t>56959000078</t>
    <phoneticPr fontId="2" type="noConversion"/>
  </si>
  <si>
    <t>F56959000078</t>
    <phoneticPr fontId="2" type="noConversion"/>
  </si>
  <si>
    <t>[제 163호] 조명기구 TYPE F  LED15W(비상D.L) [SET]</t>
  </si>
  <si>
    <t>56959000080</t>
    <phoneticPr fontId="2" type="noConversion"/>
  </si>
  <si>
    <t>F56959000080</t>
    <phoneticPr fontId="2" type="noConversion"/>
  </si>
  <si>
    <t>[제 164호] 철근 죔쇠접속 [EA]</t>
  </si>
  <si>
    <t>56959000082</t>
    <phoneticPr fontId="2" type="noConversion"/>
  </si>
  <si>
    <t>F56959000082</t>
    <phoneticPr fontId="2" type="noConversion"/>
  </si>
  <si>
    <t>[제 165호] 제어케이블-쉴드  LIREV AMESB AWG22# 2P [M]</t>
  </si>
  <si>
    <t>56959000084</t>
    <phoneticPr fontId="2" type="noConversion"/>
  </si>
  <si>
    <t>F56959000084</t>
    <phoneticPr fontId="2" type="noConversion"/>
  </si>
  <si>
    <t>[제 166호] 분전반-@관급자재  L-보안등 [면]</t>
  </si>
  <si>
    <t>56959000086</t>
    <phoneticPr fontId="2" type="noConversion"/>
  </si>
  <si>
    <t>F56959000086</t>
    <phoneticPr fontId="2" type="noConversion"/>
  </si>
  <si>
    <t>[제 167호] 분전반-@관급자재  L-태양광 [면]</t>
  </si>
  <si>
    <t>56959000088</t>
    <phoneticPr fontId="2" type="noConversion"/>
  </si>
  <si>
    <t>F56959000088</t>
    <phoneticPr fontId="2" type="noConversion"/>
  </si>
  <si>
    <t>[제 168호] 분전반-@관급자재  LE-2 [면]</t>
  </si>
  <si>
    <t>56959000090</t>
    <phoneticPr fontId="2" type="noConversion"/>
  </si>
  <si>
    <t>F56959000090</t>
    <phoneticPr fontId="2" type="noConversion"/>
  </si>
  <si>
    <t>[제 169호] 분전반-@관급자재  LE-5 [면]</t>
  </si>
  <si>
    <t>56959000092</t>
    <phoneticPr fontId="2" type="noConversion"/>
  </si>
  <si>
    <t>F56959000092</t>
    <phoneticPr fontId="2" type="noConversion"/>
  </si>
  <si>
    <t>[제 170호] 분전반-@관급자재  LE-8 [면]</t>
  </si>
  <si>
    <t>56959000094</t>
    <phoneticPr fontId="2" type="noConversion"/>
  </si>
  <si>
    <t>F56959000094</t>
    <phoneticPr fontId="2" type="noConversion"/>
  </si>
  <si>
    <t>[제 171호] 분전반-@관급자재  LE-B1 [면]</t>
  </si>
  <si>
    <t>56959000096</t>
    <phoneticPr fontId="2" type="noConversion"/>
  </si>
  <si>
    <t>F56959000096</t>
    <phoneticPr fontId="2" type="noConversion"/>
  </si>
  <si>
    <t>[제 172호] 분전반-@관급자재  LE-MDF [면]</t>
  </si>
  <si>
    <t>56959000098</t>
    <phoneticPr fontId="2" type="noConversion"/>
  </si>
  <si>
    <t>F56959000098</t>
    <phoneticPr fontId="2" type="noConversion"/>
  </si>
  <si>
    <t>[제 173호] 분전반-@관급자재  LE-방재실 [면]</t>
  </si>
  <si>
    <t>56959000100</t>
    <phoneticPr fontId="2" type="noConversion"/>
  </si>
  <si>
    <t>F56959000100</t>
    <phoneticPr fontId="2" type="noConversion"/>
  </si>
  <si>
    <t>[제 174호] 분전반-@관급자재  LE-전기실 [면]</t>
  </si>
  <si>
    <t>56959000102</t>
    <phoneticPr fontId="2" type="noConversion"/>
  </si>
  <si>
    <t>F56959000102</t>
    <phoneticPr fontId="2" type="noConversion"/>
  </si>
  <si>
    <t>[제 175호] 분전반-@관급자재  LN-10 [면]</t>
  </si>
  <si>
    <t>56959000104</t>
    <phoneticPr fontId="2" type="noConversion"/>
  </si>
  <si>
    <t>F56959000104</t>
    <phoneticPr fontId="2" type="noConversion"/>
  </si>
  <si>
    <t>[제 176호] 분전반-@관급자재  LN-1 [면]</t>
  </si>
  <si>
    <t>56959000106</t>
    <phoneticPr fontId="2" type="noConversion"/>
  </si>
  <si>
    <t>F56959000106</t>
    <phoneticPr fontId="2" type="noConversion"/>
  </si>
  <si>
    <t>[제 177호] 분전반-@관급자재  LN-2 [면]</t>
  </si>
  <si>
    <t>56959000108</t>
    <phoneticPr fontId="2" type="noConversion"/>
  </si>
  <si>
    <t>F56959000108</t>
    <phoneticPr fontId="2" type="noConversion"/>
  </si>
  <si>
    <t>[제 178호] 분전반-@관급자재  LN-3 [면]</t>
  </si>
  <si>
    <t>56959000110</t>
    <phoneticPr fontId="2" type="noConversion"/>
  </si>
  <si>
    <t>F56959000110</t>
    <phoneticPr fontId="2" type="noConversion"/>
  </si>
  <si>
    <t>[제 179호] 분전반-@관급자재  LN-4 [면]</t>
  </si>
  <si>
    <t>56959000112</t>
    <phoneticPr fontId="2" type="noConversion"/>
  </si>
  <si>
    <t>F56959000112</t>
    <phoneticPr fontId="2" type="noConversion"/>
  </si>
  <si>
    <t>[제 180호] 분전반-@관급자재  LN-5 [면]</t>
  </si>
  <si>
    <t>56959000114</t>
    <phoneticPr fontId="2" type="noConversion"/>
  </si>
  <si>
    <t>F56959000114</t>
    <phoneticPr fontId="2" type="noConversion"/>
  </si>
  <si>
    <t>[제 181호] 분전반-@관급자재  LN-6 [면]</t>
  </si>
  <si>
    <t>56959000116</t>
    <phoneticPr fontId="2" type="noConversion"/>
  </si>
  <si>
    <t>F56959000116</t>
    <phoneticPr fontId="2" type="noConversion"/>
  </si>
  <si>
    <t>[제 182호] 분전반-@관급자재  LN-7 [면]</t>
  </si>
  <si>
    <t>56959000118</t>
    <phoneticPr fontId="2" type="noConversion"/>
  </si>
  <si>
    <t>F56959000118</t>
    <phoneticPr fontId="2" type="noConversion"/>
  </si>
  <si>
    <t>[제 183호] 분전반-@관급자재  LN-8 [면]</t>
  </si>
  <si>
    <t>56959000120</t>
    <phoneticPr fontId="2" type="noConversion"/>
  </si>
  <si>
    <t>F56959000120</t>
    <phoneticPr fontId="2" type="noConversion"/>
  </si>
  <si>
    <t>[제 184호] 분전반-@관급자재  LN-9 [면]</t>
  </si>
  <si>
    <t>56959000122</t>
    <phoneticPr fontId="2" type="noConversion"/>
  </si>
  <si>
    <t>F56959000122</t>
    <phoneticPr fontId="2" type="noConversion"/>
  </si>
  <si>
    <t>[제 185호] 분전반-@관급자재  LN-주민공동 [면]</t>
  </si>
  <si>
    <t>56959000124</t>
    <phoneticPr fontId="2" type="noConversion"/>
  </si>
  <si>
    <t>F56959000124</t>
    <phoneticPr fontId="2" type="noConversion"/>
  </si>
  <si>
    <t>[제 186호] 분전반-@관급자재  LN-주민카페 [면]</t>
  </si>
  <si>
    <t>56959000126</t>
    <phoneticPr fontId="2" type="noConversion"/>
  </si>
  <si>
    <t>F56959000126</t>
    <phoneticPr fontId="2" type="noConversion"/>
  </si>
  <si>
    <t>[제 187호] 분전반-@관급자재  MCP-B1-A [면]</t>
  </si>
  <si>
    <t>56959000128</t>
    <phoneticPr fontId="2" type="noConversion"/>
  </si>
  <si>
    <t>F56959000128</t>
    <phoneticPr fontId="2" type="noConversion"/>
  </si>
  <si>
    <t>[제 188호] 분전반-@관급자재  MCP-B1-B [면]</t>
  </si>
  <si>
    <t>56959000130</t>
    <phoneticPr fontId="2" type="noConversion"/>
  </si>
  <si>
    <t>F56959000130</t>
    <phoneticPr fontId="2" type="noConversion"/>
  </si>
  <si>
    <t>[제 189호] 분전반-@관급자재  MCP-E [면]</t>
  </si>
  <si>
    <t>56959000132</t>
    <phoneticPr fontId="2" type="noConversion"/>
  </si>
  <si>
    <t>F56959000132</t>
    <phoneticPr fontId="2" type="noConversion"/>
  </si>
  <si>
    <t>[제 190호] 분전반-@관급자재  MCP-F [면]</t>
  </si>
  <si>
    <t>56959000134</t>
    <phoneticPr fontId="2" type="noConversion"/>
  </si>
  <si>
    <t>F56959000134</t>
    <phoneticPr fontId="2" type="noConversion"/>
  </si>
  <si>
    <t>[제 191호] 분전반-@관급자재  MCP-W [면]</t>
  </si>
  <si>
    <t>56959000136</t>
    <phoneticPr fontId="2" type="noConversion"/>
  </si>
  <si>
    <t>F56959000136</t>
    <phoneticPr fontId="2" type="noConversion"/>
  </si>
  <si>
    <t>[제 192호] 분전반-@관급자재  MCPF-PH [면]</t>
  </si>
  <si>
    <t>56959000138</t>
    <phoneticPr fontId="2" type="noConversion"/>
  </si>
  <si>
    <t>F56959000138</t>
    <phoneticPr fontId="2" type="noConversion"/>
  </si>
  <si>
    <t>[제 193호] 분전반-@관급자재  P-ELEV [면]</t>
  </si>
  <si>
    <t>56959000140</t>
    <phoneticPr fontId="2" type="noConversion"/>
  </si>
  <si>
    <t>F56959000140</t>
    <phoneticPr fontId="2" type="noConversion"/>
  </si>
  <si>
    <t>[제 194호] 조명기구 TYPE A-@관급자재  LED40W(P.P) [SET]</t>
  </si>
  <si>
    <t>56959000142</t>
    <phoneticPr fontId="2" type="noConversion"/>
  </si>
  <si>
    <t>F56959000142</t>
    <phoneticPr fontId="2" type="noConversion"/>
  </si>
  <si>
    <t>[제 195호] 조명기구 TYPE B-@관급자재  LED40W(RACEWAY) [SET]</t>
  </si>
  <si>
    <t>56959000144</t>
    <phoneticPr fontId="2" type="noConversion"/>
  </si>
  <si>
    <t>F56959000144</t>
    <phoneticPr fontId="2" type="noConversion"/>
  </si>
  <si>
    <t>[제 196호] 조명기구 TYPE C-@관급자재  LED40W(주차램프) [SET]</t>
  </si>
  <si>
    <t>56959000146</t>
    <phoneticPr fontId="2" type="noConversion"/>
  </si>
  <si>
    <t>F56959000146</t>
    <phoneticPr fontId="2" type="noConversion"/>
  </si>
  <si>
    <t>[제 197호] 조명기구 TYPE D-@관급자재  LED40W(매입등) [SET]</t>
  </si>
  <si>
    <t>56959000148</t>
    <phoneticPr fontId="2" type="noConversion"/>
  </si>
  <si>
    <t>F56959000148</t>
    <phoneticPr fontId="2" type="noConversion"/>
  </si>
  <si>
    <t>[제 198호] 조명기구 TYPE E-@관급자재  LED15W(D.L) [SET]</t>
  </si>
  <si>
    <t>56959000150</t>
    <phoneticPr fontId="2" type="noConversion"/>
  </si>
  <si>
    <t>F56959000150</t>
    <phoneticPr fontId="2" type="noConversion"/>
  </si>
  <si>
    <t>[제 199호] 조명기구 TYPE F-@관급자재  LED15W(비상D.L) [SET]</t>
  </si>
  <si>
    <t>56959000152</t>
    <phoneticPr fontId="2" type="noConversion"/>
  </si>
  <si>
    <t>F56959000152</t>
    <phoneticPr fontId="2" type="noConversion"/>
  </si>
  <si>
    <t>[제 200호] 조명기구 TYPE G-@관급자재  LED10W(비상센서) [SET]</t>
  </si>
  <si>
    <t>56959000154</t>
    <phoneticPr fontId="2" type="noConversion"/>
  </si>
  <si>
    <t>F56959000154</t>
    <phoneticPr fontId="2" type="noConversion"/>
  </si>
  <si>
    <t>[제 201호] 조명기구 TYPE H-@관급자재  LED10W(센서벽부) [SET]</t>
  </si>
  <si>
    <t>56959000156</t>
    <phoneticPr fontId="2" type="noConversion"/>
  </si>
  <si>
    <t>F56959000156</t>
    <phoneticPr fontId="2" type="noConversion"/>
  </si>
  <si>
    <t>[제 202호] 조명기구 TYPE O-A-*@관급자재  LED50W(보안등) [SET]</t>
  </si>
  <si>
    <t>56959000158</t>
    <phoneticPr fontId="2" type="noConversion"/>
  </si>
  <si>
    <t>F56959000158</t>
    <phoneticPr fontId="2" type="noConversion"/>
  </si>
  <si>
    <t>[제 203호] 조명기구 TYPE 공용부-@관급자  LED15W(비상센서) [SET]</t>
  </si>
  <si>
    <t>56959000160</t>
    <phoneticPr fontId="2" type="noConversion"/>
  </si>
  <si>
    <t>F56959000160</t>
    <phoneticPr fontId="2" type="noConversion"/>
  </si>
  <si>
    <t>[제 204호] 조명기구 TYPE 공용부-@관급자  LED15W(센서등) [SET]</t>
  </si>
  <si>
    <t>56959000162</t>
    <phoneticPr fontId="2" type="noConversion"/>
  </si>
  <si>
    <t>F56959000162</t>
    <phoneticPr fontId="2" type="noConversion"/>
  </si>
  <si>
    <t>[제 205호] 조명기구 TYPE 세대-@관급자재  LED10W(비상D.L) [SET]</t>
  </si>
  <si>
    <t>56959000164</t>
    <phoneticPr fontId="2" type="noConversion"/>
  </si>
  <si>
    <t>F56959000164</t>
    <phoneticPr fontId="2" type="noConversion"/>
  </si>
  <si>
    <t>[제 206호] 조명기구 TYPE 세대-@관급자재  LED10W(세대D.L) [SET]</t>
  </si>
  <si>
    <t>56959000166</t>
    <phoneticPr fontId="2" type="noConversion"/>
  </si>
  <si>
    <t>F56959000166</t>
    <phoneticPr fontId="2" type="noConversion"/>
  </si>
  <si>
    <t>[제 207호] 조명기구 TYPE 세대-@관급자재  LED10W(세대직부) [SET]</t>
  </si>
  <si>
    <t>56959000168</t>
    <phoneticPr fontId="2" type="noConversion"/>
  </si>
  <si>
    <t>F56959000168</t>
    <phoneticPr fontId="2" type="noConversion"/>
  </si>
  <si>
    <t>[제 208호] 조명기구 TYPE 세대-@관급자재  LED10W(욕실D.L) [SET]</t>
  </si>
  <si>
    <t>56959000170</t>
    <phoneticPr fontId="2" type="noConversion"/>
  </si>
  <si>
    <t>F56959000170</t>
    <phoneticPr fontId="2" type="noConversion"/>
  </si>
  <si>
    <t>[제 209호] 조명기구 TYPE 세대-@관급자재  LED10W(현관센서) [SET]</t>
  </si>
  <si>
    <t>56959000172</t>
    <phoneticPr fontId="2" type="noConversion"/>
  </si>
  <si>
    <t>F56959000172</t>
    <phoneticPr fontId="2" type="noConversion"/>
  </si>
  <si>
    <t>[제 210호] 조명기구 TYPE 세대-@관급자재  LED30W(욕실매입) [SET]</t>
  </si>
  <si>
    <t>56959000174</t>
    <phoneticPr fontId="2" type="noConversion"/>
  </si>
  <si>
    <t>F56959000174</t>
    <phoneticPr fontId="2" type="noConversion"/>
  </si>
  <si>
    <t>[제 211호] 조명기구 TYPE 세대-@관급자재  LED40W(주방직부) [SET]</t>
  </si>
  <si>
    <t>56959000176</t>
    <phoneticPr fontId="2" type="noConversion"/>
  </si>
  <si>
    <t>F56959000176</t>
    <phoneticPr fontId="2" type="noConversion"/>
  </si>
  <si>
    <t>[제 212호] 조명기구 TYPE 세대-@관급자재  LED50W(침실직부) [SET]</t>
  </si>
  <si>
    <t>56959000178</t>
    <phoneticPr fontId="2" type="noConversion"/>
  </si>
  <si>
    <t>F56959000178</t>
    <phoneticPr fontId="2" type="noConversion"/>
  </si>
  <si>
    <t>[제 213호] 인력터파기  보통토사0-1m [㎥_]</t>
  </si>
  <si>
    <t>56930210010</t>
    <phoneticPr fontId="2" type="noConversion"/>
  </si>
  <si>
    <t>ABB111100000</t>
    <phoneticPr fontId="2" type="noConversion"/>
  </si>
  <si>
    <t>[제 214호] 인력되메우기  보통토사0-1m [㎥_]</t>
  </si>
  <si>
    <t>56930210021</t>
    <phoneticPr fontId="2" type="noConversion"/>
  </si>
  <si>
    <t>ABD100001000</t>
    <phoneticPr fontId="2" type="noConversion"/>
  </si>
  <si>
    <t>[제 215호] 현장내잔토처리  소운반.고르기 [㎥_]</t>
  </si>
  <si>
    <t>56930240130</t>
    <phoneticPr fontId="2" type="noConversion"/>
  </si>
  <si>
    <t>ABC113000000</t>
    <phoneticPr fontId="2" type="noConversion"/>
  </si>
  <si>
    <t>[제 216호] 잡석깔기지정  떨공이다지기 [㎥]</t>
  </si>
  <si>
    <t>56930250040</t>
    <phoneticPr fontId="2" type="noConversion"/>
  </si>
  <si>
    <t>ABD102300000</t>
    <phoneticPr fontId="2" type="noConversion"/>
  </si>
  <si>
    <t>[제 217호] 트럭탑재형크레인  5톤 [HR]</t>
  </si>
  <si>
    <t>56959J99100</t>
    <phoneticPr fontId="2" type="noConversion"/>
  </si>
  <si>
    <t>56959J991000</t>
    <phoneticPr fontId="2" type="noConversion"/>
  </si>
  <si>
    <t>1511</t>
  </si>
  <si>
    <t>01010101</t>
  </si>
  <si>
    <t>01010102</t>
  </si>
  <si>
    <t>01010103</t>
  </si>
  <si>
    <t>01010104</t>
  </si>
  <si>
    <t>010102</t>
  </si>
  <si>
    <t>010103</t>
  </si>
  <si>
    <t>010104</t>
  </si>
  <si>
    <t>010105</t>
  </si>
  <si>
    <t>010106</t>
  </si>
  <si>
    <t>010107</t>
  </si>
  <si>
    <t>010108</t>
  </si>
  <si>
    <t>010201</t>
  </si>
  <si>
    <t>010202</t>
  </si>
  <si>
    <t>010203</t>
  </si>
  <si>
    <t>010204</t>
  </si>
  <si>
    <t>010205</t>
  </si>
  <si>
    <t>010301</t>
  </si>
  <si>
    <t>010302</t>
  </si>
  <si>
    <t>010303</t>
  </si>
  <si>
    <t>010304</t>
  </si>
  <si>
    <t>010305</t>
  </si>
  <si>
    <t>010306</t>
  </si>
  <si>
    <t>010307</t>
  </si>
  <si>
    <t>010308</t>
  </si>
  <si>
    <t>010309</t>
  </si>
  <si>
    <t>MMH36186249</t>
  </si>
  <si>
    <t>0201</t>
  </si>
  <si>
    <t>조명기구 TYPE A</t>
  </si>
  <si>
    <t>25345138</t>
  </si>
  <si>
    <t>MMH36186250</t>
  </si>
  <si>
    <t>조명기구 TYPE B</t>
  </si>
  <si>
    <t>25345137</t>
  </si>
  <si>
    <t>MMH36186251</t>
  </si>
  <si>
    <t>조명기구 TYPE C</t>
  </si>
  <si>
    <t>24966066</t>
  </si>
  <si>
    <t>25345140</t>
  </si>
  <si>
    <t>25326123</t>
  </si>
  <si>
    <t>MMH36186255</t>
  </si>
  <si>
    <t>조명기구 TYPE G</t>
  </si>
  <si>
    <t>25345135</t>
  </si>
  <si>
    <t>MMH36186256</t>
  </si>
  <si>
    <t>조명기구 TYPE H</t>
  </si>
  <si>
    <t>25531882</t>
  </si>
  <si>
    <t>MMH36101104</t>
  </si>
  <si>
    <t>조명기구 TYPE O-A</t>
  </si>
  <si>
    <t>25096757</t>
  </si>
  <si>
    <t>MM036168218</t>
  </si>
  <si>
    <t>24461255</t>
  </si>
  <si>
    <t>MM036168217</t>
  </si>
  <si>
    <t>24016498</t>
  </si>
  <si>
    <t>MMH36101096</t>
  </si>
  <si>
    <t>25345150</t>
  </si>
  <si>
    <t>MMH36101097</t>
  </si>
  <si>
    <t>25345139</t>
  </si>
  <si>
    <t>MMH36101098</t>
  </si>
  <si>
    <t>24484851</t>
  </si>
  <si>
    <t>MMH36101099</t>
  </si>
  <si>
    <t>MMH36101100</t>
  </si>
  <si>
    <t>25345134</t>
  </si>
  <si>
    <t>MMH36101101</t>
  </si>
  <si>
    <t>MMH36101102</t>
  </si>
  <si>
    <t>MMJ36167831</t>
  </si>
  <si>
    <t>0202</t>
  </si>
  <si>
    <t>분전반</t>
  </si>
  <si>
    <t>24627878</t>
  </si>
  <si>
    <t>MMJ36167842</t>
  </si>
  <si>
    <t>24627914</t>
  </si>
  <si>
    <t>MMJ36167841</t>
  </si>
  <si>
    <t>MMH38522362</t>
  </si>
  <si>
    <t>24627866</t>
  </si>
  <si>
    <t>MMJ36167840</t>
  </si>
  <si>
    <t>24627871</t>
  </si>
  <si>
    <t>MMJ36167839</t>
  </si>
  <si>
    <t>MMJ36167838</t>
  </si>
  <si>
    <t>24627888</t>
  </si>
  <si>
    <t>MMJ36167843</t>
  </si>
  <si>
    <t>24626138</t>
  </si>
  <si>
    <t>MMJ36167844</t>
  </si>
  <si>
    <t>24627852</t>
  </si>
  <si>
    <t>MMJ36167845</t>
  </si>
  <si>
    <t>MMJ36167846</t>
  </si>
  <si>
    <t>24626131</t>
  </si>
  <si>
    <t>MMJ36167847</t>
  </si>
  <si>
    <t>24627854</t>
  </si>
  <si>
    <t>MMJ36167848</t>
  </si>
  <si>
    <t>24626111</t>
  </si>
  <si>
    <t>MMJ36167849</t>
  </si>
  <si>
    <t>24626126</t>
  </si>
  <si>
    <t>MMJ36167850</t>
  </si>
  <si>
    <t>24626103</t>
  </si>
  <si>
    <t>MMJ36167851</t>
  </si>
  <si>
    <t>MMJ36167852</t>
  </si>
  <si>
    <t>MMJ36167853</t>
  </si>
  <si>
    <t>24626125</t>
  </si>
  <si>
    <t>MMJ36167854</t>
  </si>
  <si>
    <t>24627856</t>
  </si>
  <si>
    <t>MMJ36167855</t>
  </si>
  <si>
    <t>24627903</t>
  </si>
  <si>
    <t>MMJ36167856</t>
  </si>
  <si>
    <t>24627909</t>
  </si>
  <si>
    <t>MMJ36167857</t>
  </si>
  <si>
    <t>24682659</t>
  </si>
  <si>
    <t>MMJ36167858</t>
  </si>
  <si>
    <t>MMJ36167859</t>
  </si>
  <si>
    <t>24627902</t>
  </si>
  <si>
    <t>MMJ36167860</t>
  </si>
  <si>
    <t>24627865</t>
  </si>
  <si>
    <t>MMJ36167861</t>
  </si>
  <si>
    <t>MMJ36167862</t>
  </si>
  <si>
    <t>24627857</t>
  </si>
  <si>
    <t>MMJ36167863</t>
  </si>
  <si>
    <t>0301</t>
  </si>
  <si>
    <t>MMJ36167827</t>
  </si>
  <si>
    <t>0302</t>
  </si>
  <si>
    <t>디젤엔진발전기</t>
  </si>
  <si>
    <t>23979647</t>
  </si>
  <si>
    <t>0303</t>
  </si>
  <si>
    <t>25337225</t>
  </si>
  <si>
    <t>25337223</t>
  </si>
  <si>
    <t>23961235</t>
  </si>
  <si>
    <t>MMJ36168031</t>
  </si>
  <si>
    <t>0304</t>
  </si>
  <si>
    <t>빌딩자동제어장치</t>
  </si>
  <si>
    <t>2022241</t>
  </si>
  <si>
    <t>MM050615351</t>
  </si>
  <si>
    <t>391115ZZ701Z0001</t>
  </si>
  <si>
    <t>1. 중앙감시반</t>
  </si>
  <si>
    <t>MM050615356</t>
  </si>
  <si>
    <t>391115ZZ701Z0002</t>
  </si>
  <si>
    <t>2. 원격제어반</t>
  </si>
  <si>
    <t>MM050615355</t>
  </si>
  <si>
    <t>391115ZZ701Z0003</t>
  </si>
  <si>
    <t>3. 설치 및 시운전</t>
  </si>
  <si>
    <t>1.전기공사::1-1.공동주택::1-1-1.전기단위세대공사::1-1-1-1.전기단위세대(52㎡-4세대)</t>
  </si>
  <si>
    <t>1.전기공사::1-1.공동주택::1-1-1.전기단위세대공사::1-1-1-2.전기단위세대(51㎡-39세대)</t>
  </si>
  <si>
    <t>1.전기공사::1-1.공동주택::1-1-1.전기단위세대공사::1-1-1-3.전기단위세대(42㎡-17세대)</t>
  </si>
  <si>
    <t>1.전기공사::1-1.공동주택::1-1-1.전기단위세대공사::1-1-1-4.전기단위세대(20㎡-20세대)</t>
  </si>
  <si>
    <t>1.전기공사::1-1.공동주택::1-1-2.전력간선설비공사</t>
  </si>
  <si>
    <t>1.전기공사::1-1.공동주택::1-1-3.동력설비공사</t>
  </si>
  <si>
    <t>1.전기공사::1-1.공동주택::1-1-4.전등설비공사</t>
  </si>
  <si>
    <t>1.전기공사::1-1.공동주택::1-1-5.전열설비공사</t>
  </si>
  <si>
    <t>1.전기공사::1-1.공동주택::1-1-6.피뢰설비공사</t>
  </si>
  <si>
    <t>1.전기공사::1-1.공동주택::1-1-7.태양광설비공사</t>
  </si>
  <si>
    <t>1.전기공사::1-1.공동주택::1-1-8.원격검침설비공사</t>
  </si>
  <si>
    <t>1.전기공사::1-2.부대시설::1-2-1.전력간선설비공사</t>
  </si>
  <si>
    <t>1.전기공사::1-2.부대시설::1-2-2.동력설비공사</t>
  </si>
  <si>
    <t>1.전기공사::1-2.부대시설::1-2-3.전등설비공사</t>
  </si>
  <si>
    <t>1.전기공사::1-2.부대시설::1-2-4.전열설비공사</t>
  </si>
  <si>
    <t>1.전기공사::1-2.부대시설::1-2-5.원격검침설비공사</t>
  </si>
  <si>
    <t>1.전기공사::1-3.지하주차장::1-3-1.옥외보안등공사</t>
  </si>
  <si>
    <t>1.전기공사::1-3.지하주차장::1-3-2.수변전설비공사</t>
  </si>
  <si>
    <t>1.전기공사::1-3.지하주차장::1-3-3.전력간선설비공사</t>
  </si>
  <si>
    <t>1.전기공사::1-3.지하주차장::1-3-4.동력설비공사</t>
  </si>
  <si>
    <t>1.전기공사::1-3.지하주차장::1-3-5.전등설비공사</t>
  </si>
  <si>
    <t>1.전기공사::1-3.지하주차장::1-3-6.전열설비공사</t>
  </si>
  <si>
    <t>1.전기공사::1-3.지하주차장::1-3-7.접지설비공사</t>
  </si>
  <si>
    <t>1.전기공사::1-3.지하주차장::1-3-8.CABLE TRAY설비공사</t>
  </si>
  <si>
    <t>1.전기공사::1-3.지하주차장::1-3-9.빌딩자동제어공사</t>
  </si>
  <si>
    <t>2.도급자관급::2-1.조명기구</t>
  </si>
  <si>
    <t>2.도급자관급::2-2.분전반</t>
  </si>
  <si>
    <t>3.관급자관급::3-1.수배전반</t>
  </si>
  <si>
    <t>3.관급자관급::3-2.발전기</t>
  </si>
  <si>
    <t>3.관급자관급::3-3.태양광설비</t>
  </si>
  <si>
    <t>3.관급자관급::3-4.빌딩자동제어</t>
  </si>
  <si>
    <t>총줄수-&gt;</t>
  </si>
  <si>
    <t>1173</t>
  </si>
  <si>
    <t>01</t>
  </si>
  <si>
    <t>1.전기공사</t>
  </si>
  <si>
    <t>Total</t>
  </si>
  <si>
    <t>02</t>
  </si>
  <si>
    <t>2.도급자관급</t>
  </si>
  <si>
    <t>03</t>
  </si>
  <si>
    <t>3.관급자관급</t>
  </si>
  <si>
    <t>0101</t>
  </si>
  <si>
    <t>1-1.공동주택</t>
  </si>
  <si>
    <t>0102</t>
  </si>
  <si>
    <t>1-2.부대시설</t>
  </si>
  <si>
    <t>0103</t>
  </si>
  <si>
    <t>1-3.지하주차장</t>
  </si>
  <si>
    <t>010101</t>
  </si>
  <si>
    <t>1-1-1.전기단위세대공사</t>
  </si>
  <si>
    <t>강릉시 입암동 통합공공임대주택 건립사업 신</t>
  </si>
  <si>
    <t>1.전기공사::1-1.공동주택</t>
  </si>
  <si>
    <t>1.전기공사::1-1.공동주택::1-1-1.전기단위세대공사</t>
  </si>
  <si>
    <t>1.전기공사::1-2.부대시설</t>
  </si>
  <si>
    <t>1.전기공사::1-3.지하주차장</t>
  </si>
  <si>
    <t>도급자관급</t>
    <phoneticPr fontId="2" type="noConversion"/>
  </si>
  <si>
    <t>관급자관급</t>
    <phoneticPr fontId="2" type="noConversion"/>
  </si>
  <si>
    <t>직 접 재 료 비</t>
    <phoneticPr fontId="2" type="noConversion"/>
  </si>
  <si>
    <t>간 접 재 료 비</t>
    <phoneticPr fontId="2" type="noConversion"/>
  </si>
  <si>
    <t>( 소      계 )</t>
    <phoneticPr fontId="2" type="noConversion"/>
  </si>
  <si>
    <t>직 접 노 무 비</t>
    <phoneticPr fontId="2" type="noConversion"/>
  </si>
  <si>
    <t>간 접 노 무 비</t>
    <phoneticPr fontId="2" type="noConversion"/>
  </si>
  <si>
    <t>(직접 노무비) * 15.1 %</t>
  </si>
  <si>
    <t>기  계  경  비</t>
    <phoneticPr fontId="2" type="noConversion"/>
  </si>
  <si>
    <t>산 재 보 험 료</t>
    <phoneticPr fontId="2" type="noConversion"/>
  </si>
  <si>
    <t>(노무비) * 3.56 %</t>
  </si>
  <si>
    <t>고 용 보 험 료</t>
    <phoneticPr fontId="2" type="noConversion"/>
  </si>
  <si>
    <t>(노무비) * 1.01 %</t>
  </si>
  <si>
    <t>퇴 직 금 공 제</t>
    <phoneticPr fontId="2" type="noConversion"/>
  </si>
  <si>
    <t>(직접 노무비) * 2.3 %</t>
  </si>
  <si>
    <t>안 전 관 리 비</t>
    <phoneticPr fontId="2" type="noConversion"/>
  </si>
  <si>
    <t>(재료+직노) * 2.28 %</t>
  </si>
  <si>
    <t>기  타  경  비</t>
    <phoneticPr fontId="2" type="noConversion"/>
  </si>
  <si>
    <t>(재료+노무) * 5.1 %</t>
  </si>
  <si>
    <t>건 강 보 험 료</t>
    <phoneticPr fontId="2" type="noConversion"/>
  </si>
  <si>
    <t>연 금 보 험 료</t>
    <phoneticPr fontId="2" type="noConversion"/>
  </si>
  <si>
    <t>노인장기요양보험</t>
    <phoneticPr fontId="2" type="noConversion"/>
  </si>
  <si>
    <t>일 반 관 리 비</t>
    <phoneticPr fontId="2" type="noConversion"/>
  </si>
  <si>
    <t>(재료+노무+경비) * 6.5 %</t>
  </si>
  <si>
    <t>이          윤</t>
    <phoneticPr fontId="2" type="noConversion"/>
  </si>
  <si>
    <t>(노무+경비+일반관리비) * 15 %</t>
  </si>
  <si>
    <t>( 총  원  가 )</t>
    <phoneticPr fontId="2" type="noConversion"/>
  </si>
  <si>
    <t>부 가 가 치 세</t>
    <phoneticPr fontId="2" type="noConversion"/>
  </si>
  <si>
    <t>도 급 자 관 급</t>
    <phoneticPr fontId="2" type="noConversion"/>
  </si>
  <si>
    <t>관 급 자 관 급</t>
    <phoneticPr fontId="2" type="noConversion"/>
  </si>
  <si>
    <t>( 총      계 )</t>
    <phoneticPr fontId="2" type="noConversion"/>
  </si>
  <si>
    <t>( 순 공 사 비 계 )</t>
    <phoneticPr fontId="2" type="noConversion"/>
  </si>
  <si>
    <t>본 파일은 이지테크에서 2번 옵션으로 만들었습니다.</t>
  </si>
  <si>
    <t>케이디</t>
  </si>
  <si>
    <t>24608464</t>
  </si>
  <si>
    <t>24608468</t>
  </si>
  <si>
    <t>24608511</t>
  </si>
  <si>
    <t>25439858</t>
  </si>
  <si>
    <t>24608987</t>
  </si>
  <si>
    <t>24608978</t>
  </si>
  <si>
    <t>강릉시 입암동 통합공공임대주택 건립사업 신축공사(전기)</t>
    <phoneticPr fontId="2" type="noConversion"/>
  </si>
  <si>
    <t>[ 강릉시 입암동 통합공공임대주택 건립사업 신축공사 ]</t>
    <phoneticPr fontId="2" type="noConversion"/>
  </si>
  <si>
    <t>[ 강릉시 입암동 통합공공임대주택 건립사업 신축공사 ] - 일위대가목차</t>
    <phoneticPr fontId="2" type="noConversion"/>
  </si>
  <si>
    <t>[ 강릉시 입암동 통합공공임대주택 건립사업 신축공사 ] - 일위대가표</t>
    <phoneticPr fontId="2" type="noConversion"/>
  </si>
  <si>
    <t>[ 강릉시 입암동 통합공공임대주택 건립사업 신축공사 ] - 일위노임 산출근거(202601-노임)</t>
    <phoneticPr fontId="2" type="noConversion"/>
  </si>
  <si>
    <t>[ 강릉시 입암동 통합공공임대주택 건립사업 신축공사 ] - 합산자재목록</t>
    <phoneticPr fontId="2" type="noConversion"/>
  </si>
  <si>
    <t>(직접 노무비) * 3.595 %</t>
    <phoneticPr fontId="2" type="noConversion"/>
  </si>
  <si>
    <t>(직접 노무비) * 4.75 %</t>
    <phoneticPr fontId="2" type="noConversion"/>
  </si>
  <si>
    <t>(건강 보험료) * 13.14 %</t>
    <phoneticPr fontId="2" type="noConversion"/>
  </si>
  <si>
    <t>한 전 불 입 금</t>
    <phoneticPr fontId="2" type="noConversion"/>
  </si>
  <si>
    <t>한전불입금 및 사용전검사비</t>
  </si>
  <si>
    <t>공사명:강릉시 입암동 통합공공임대주택 건립사업 신축공사</t>
    <phoneticPr fontId="2" type="noConversion"/>
  </si>
  <si>
    <t>▪ 수전전압: 22.9[KV]    ▪ 수전용량: 500[kW]    ▪ 발전기용량:  360kW   ▪ 태양광발전용량:  56kW</t>
    <phoneticPr fontId="2" type="noConversion"/>
  </si>
  <si>
    <t xml:space="preserve">  구               분</t>
  </si>
  <si>
    <t>기본금액</t>
  </si>
  <si>
    <t>단위</t>
  </si>
  <si>
    <t>수량</t>
  </si>
  <si>
    <t>합  계</t>
  </si>
  <si>
    <t>비 고</t>
  </si>
  <si>
    <t>1.한전불입금</t>
  </si>
  <si>
    <t>1) 기본공사비</t>
  </si>
  <si>
    <t>가공공급</t>
  </si>
  <si>
    <t>매 1계약에 대하여 계약전력 5kW까지</t>
  </si>
  <si>
    <t>저압</t>
  </si>
  <si>
    <t>건당</t>
  </si>
  <si>
    <t>* 저입인입 경우 기본 5kW 제외하고 적용.                                          * 예) 신청용량 30kW 경우 25kW만 적용.</t>
  </si>
  <si>
    <t>계약전력 5kW 초과분의 매 1kW에 대하여</t>
  </si>
  <si>
    <t>kW</t>
  </si>
  <si>
    <t>신증설 계약전력 매 1kW에 대하여</t>
  </si>
  <si>
    <t>고압 또는 특별고압</t>
  </si>
  <si>
    <t>지중공급</t>
  </si>
  <si>
    <t>소계</t>
  </si>
  <si>
    <t>2) 거리공사비</t>
  </si>
  <si>
    <t>기본거리를 초과하는 신설                      거리 매 1m에 대하여</t>
  </si>
  <si>
    <t>저압 단상</t>
  </si>
  <si>
    <t>* 기본거리(가공: 200m, 지중: 50m)를 초과하는 경우 거리공사비 별도로 추가됨.</t>
  </si>
  <si>
    <t>저압 삼상</t>
  </si>
  <si>
    <t>기본거리를 초과하는 신설                 거리 매 1m에 대하여</t>
  </si>
  <si>
    <t>3) 첨가거리공사비</t>
  </si>
  <si>
    <t>기본거리를 초과하는 첨가                 거리 매 1m에 대하여</t>
  </si>
  <si>
    <t>합계</t>
  </si>
  <si>
    <t>2.사용전검사비</t>
  </si>
  <si>
    <t>1) 수용설비</t>
  </si>
  <si>
    <t>기본료</t>
  </si>
  <si>
    <t>고압 300kW까지</t>
  </si>
  <si>
    <t>고압 300kW초과</t>
  </si>
  <si>
    <t>고압 1,000kW이상</t>
  </si>
  <si>
    <t>kW당 요금</t>
  </si>
  <si>
    <t>kW당</t>
  </si>
  <si>
    <t>* 구내배전설비 검사시는 기본료에 Kw당 요금의 2배합산적용.
 * 예비 용량 제외</t>
  </si>
  <si>
    <t>고압 1,000kW까지</t>
  </si>
  <si>
    <t>고압 1,001~100,000kW까지</t>
  </si>
  <si>
    <t>고압 100,000kW초과</t>
  </si>
  <si>
    <t>* 1000kw이상 2배합산</t>
  </si>
  <si>
    <t>2) 발전기공사</t>
  </si>
  <si>
    <t>용량 300kW까지</t>
  </si>
  <si>
    <t>* 수용설비 기본료 적용시 발전설비는 기본료는 제외임.</t>
  </si>
  <si>
    <t>용량 300kW초과</t>
  </si>
  <si>
    <t>용량 50,000kW초과</t>
  </si>
  <si>
    <t>500kW까지</t>
  </si>
  <si>
    <t>501~1,000kW까지</t>
  </si>
  <si>
    <t>1,001~5,000kW까지</t>
  </si>
  <si>
    <t>5,001~10,000kW까지</t>
  </si>
  <si>
    <t>10,000kW초과</t>
  </si>
  <si>
    <t>10,0000kW까지</t>
  </si>
  <si>
    <t>10,0000kW초과</t>
  </si>
  <si>
    <t>3) 태양광발전설비</t>
  </si>
  <si>
    <t>용량 20kW까지(저압계통연계)</t>
    <phoneticPr fontId="2" type="noConversion"/>
  </si>
  <si>
    <t>용량 20kW초과(저압계통연계)</t>
    <phoneticPr fontId="2" type="noConversion"/>
  </si>
  <si>
    <t>* 사용전검사비는 모두 적용.</t>
  </si>
  <si>
    <t>용량 500kW까지(특고압계통연계)</t>
    <phoneticPr fontId="2" type="noConversion"/>
  </si>
  <si>
    <t>용량 500kW초과(특고압계통연계)</t>
    <phoneticPr fontId="2" type="noConversion"/>
  </si>
  <si>
    <t>소계</t>
    <phoneticPr fontId="2" type="noConversion"/>
  </si>
  <si>
    <t>4) 연료전지</t>
    <phoneticPr fontId="2" type="noConversion"/>
  </si>
  <si>
    <t>용량 20kW까지</t>
    <phoneticPr fontId="2" type="noConversion"/>
  </si>
  <si>
    <t>용량 200kW까지</t>
    <phoneticPr fontId="2" type="noConversion"/>
  </si>
  <si>
    <t>용량 200kW초과</t>
    <phoneticPr fontId="2" type="noConversion"/>
  </si>
  <si>
    <t>5) 전기저장장치(ESS)</t>
    <phoneticPr fontId="2" type="noConversion"/>
  </si>
  <si>
    <t>용량 100kW까지</t>
    <phoneticPr fontId="2" type="noConversion"/>
  </si>
  <si>
    <t>용량 500kW까지</t>
    <phoneticPr fontId="2" type="noConversion"/>
  </si>
  <si>
    <t>용량 1000kW까지</t>
    <phoneticPr fontId="2" type="noConversion"/>
  </si>
  <si>
    <t>용량 1000kW초과</t>
    <phoneticPr fontId="2" type="noConversion"/>
  </si>
  <si>
    <t>합계(1+2)</t>
  </si>
  <si>
    <t>원</t>
  </si>
  <si>
    <t>부가가치세</t>
  </si>
  <si>
    <t>총계</t>
  </si>
  <si>
    <t>자료출처:</t>
  </si>
  <si>
    <t>한국전기안전공사협회 http://www.kesco.or.kr(사용전검사비)</t>
    <phoneticPr fontId="2" type="noConversion"/>
  </si>
  <si>
    <t xml:space="preserve"> </t>
  </si>
  <si>
    <t>한국전력공사 http://cyber.kepco.co.kr/ckepco/front/jsp/CY/D/C/CYDCHP00404.jsp (한전불입금)</t>
    <phoneticPr fontId="2" type="noConversion"/>
  </si>
  <si>
    <t>[ 강릉시 입암동 통합공공임대주택 건립사업 신축공사 ] - 단가조사서(1/6단가:2026년 02월)</t>
    <phoneticPr fontId="2" type="noConversion"/>
  </si>
  <si>
    <t>재료비의10%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</si>
</sst>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#,##0_ "/>
    <numFmt numFmtId="177" formatCode="#,###"/>
    <numFmt numFmtId="178" formatCode="#,###;\-#,###"/>
    <numFmt numFmtId="179" formatCode="#,##0_);[Red]\(#,##0\)"/>
    <numFmt numFmtId="180" formatCode="#,##0.00_);[Red]\(#,##0.00\)"/>
    <numFmt numFmtId="181" formatCode="#,##0.0_);[Red]\(#,##0.0\)"/>
  </numFmts>
  <fonts count="2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sz val="11"/>
      <name val="돋움체"/>
      <family val="3"/>
      <charset val="129"/>
    </font>
    <font>
      <sz val="12"/>
      <name val="돋움체"/>
      <family val="3"/>
      <charset val="129"/>
    </font>
    <font>
      <sz val="28"/>
      <name val="돋움체"/>
      <family val="3"/>
      <charset val="129"/>
    </font>
    <font>
      <sz val="18"/>
      <name val="돋움체"/>
      <family val="3"/>
      <charset val="129"/>
    </font>
    <font>
      <b/>
      <sz val="12"/>
      <name val="돋움"/>
      <family val="3"/>
      <charset val="129"/>
    </font>
    <font>
      <sz val="12"/>
      <color indexed="8"/>
      <name val="바탕체"/>
      <family val="1"/>
      <charset val="129"/>
    </font>
    <font>
      <sz val="20"/>
      <color indexed="8"/>
      <name val="돋움체"/>
      <family val="3"/>
      <charset val="129"/>
    </font>
    <font>
      <sz val="14"/>
      <color indexed="8"/>
      <name val="한컴바탕"/>
      <family val="1"/>
      <charset val="129"/>
    </font>
    <font>
      <b/>
      <sz val="14"/>
      <color indexed="8"/>
      <name val="한컴바탕"/>
      <family val="1"/>
      <charset val="129"/>
    </font>
    <font>
      <b/>
      <sz val="10"/>
      <color indexed="8"/>
      <name val="돋움체"/>
      <family val="3"/>
      <charset val="129"/>
    </font>
    <font>
      <sz val="12"/>
      <color indexed="8"/>
      <name val="돋움체"/>
      <family val="3"/>
      <charset val="129"/>
    </font>
    <font>
      <b/>
      <sz val="10"/>
      <color rgb="FF0000FF"/>
      <name val="돋움체"/>
      <family val="3"/>
      <charset val="129"/>
    </font>
    <font>
      <sz val="9"/>
      <color indexed="8"/>
      <name val="돋움체"/>
      <family val="3"/>
      <charset val="129"/>
    </font>
    <font>
      <sz val="14"/>
      <color indexed="8"/>
      <name val="돋움"/>
      <family val="3"/>
      <charset val="129"/>
    </font>
    <font>
      <b/>
      <sz val="9"/>
      <color indexed="8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돋움체"/>
      <family val="3"/>
      <charset val="129"/>
    </font>
    <font>
      <sz val="9"/>
      <color rgb="FFFF0000"/>
      <name val="돋움체"/>
      <family val="3"/>
      <charset val="129"/>
    </font>
    <font>
      <sz val="9"/>
      <color rgb="FF0000FF"/>
      <name val="돋움체"/>
      <family val="3"/>
      <charset val="129"/>
    </font>
    <font>
      <b/>
      <sz val="9"/>
      <color rgb="FF0000FF"/>
      <name val="돋움체"/>
      <family val="3"/>
      <charset val="129"/>
    </font>
    <font>
      <sz val="11"/>
      <color indexed="8"/>
      <name val="돋움체"/>
      <family val="3"/>
      <charset val="129"/>
    </font>
    <font>
      <b/>
      <sz val="20"/>
      <color indexed="8"/>
      <name val="돋움체"/>
      <family val="3"/>
      <charset val="129"/>
    </font>
    <font>
      <u/>
      <sz val="11"/>
      <color indexed="12"/>
      <name val="돋움"/>
      <family val="3"/>
      <charset val="129"/>
    </font>
    <font>
      <sz val="9"/>
      <color indexed="8"/>
      <name val="돋움"/>
      <family val="3"/>
      <charset val="129"/>
    </font>
    <font>
      <sz val="9"/>
      <color indexed="8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E69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0" fontId="9" fillId="0" borderId="0"/>
    <xf numFmtId="41" fontId="1" fillId="0" borderId="0" applyFont="0" applyFill="0" applyBorder="0" applyAlignment="0" applyProtection="0"/>
    <xf numFmtId="0" fontId="19" fillId="4" borderId="0" applyNumberFormat="0" applyBorder="0" applyAlignment="0" applyProtection="0">
      <alignment vertical="center"/>
    </xf>
    <xf numFmtId="0" fontId="1" fillId="0" borderId="0"/>
  </cellStyleXfs>
  <cellXfs count="215">
    <xf numFmtId="0" fontId="0" fillId="0" borderId="0" xfId="0"/>
    <xf numFmtId="49" fontId="4" fillId="0" borderId="0" xfId="0" applyNumberFormat="1" applyFont="1" applyAlignment="1">
      <alignment horizontal="left"/>
    </xf>
    <xf numFmtId="0" fontId="4" fillId="0" borderId="0" xfId="0" applyFont="1"/>
    <xf numFmtId="49" fontId="4" fillId="0" borderId="1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176" fontId="4" fillId="0" borderId="1" xfId="0" applyNumberFormat="1" applyFont="1" applyBorder="1"/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vertical="center"/>
    </xf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right"/>
    </xf>
    <xf numFmtId="49" fontId="4" fillId="0" borderId="1" xfId="0" applyNumberFormat="1" applyFont="1" applyBorder="1"/>
    <xf numFmtId="49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1" xfId="0" applyFont="1" applyBorder="1"/>
    <xf numFmtId="0" fontId="4" fillId="0" borderId="0" xfId="0" applyFont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49" fontId="4" fillId="0" borderId="3" xfId="0" applyNumberFormat="1" applyFont="1" applyBorder="1" applyAlignment="1">
      <alignment horizontal="left" vertical="center" indent="1"/>
    </xf>
    <xf numFmtId="49" fontId="4" fillId="0" borderId="7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 indent="1"/>
    </xf>
    <xf numFmtId="49" fontId="4" fillId="0" borderId="8" xfId="0" applyNumberFormat="1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right"/>
    </xf>
    <xf numFmtId="177" fontId="4" fillId="0" borderId="1" xfId="0" applyNumberFormat="1" applyFont="1" applyBorder="1" applyAlignment="1">
      <alignment horizontal="right"/>
    </xf>
    <xf numFmtId="177" fontId="4" fillId="0" borderId="0" xfId="0" applyNumberFormat="1" applyFont="1" applyAlignment="1">
      <alignment horizontal="right"/>
    </xf>
    <xf numFmtId="178" fontId="4" fillId="0" borderId="0" xfId="0" applyNumberFormat="1" applyFont="1"/>
    <xf numFmtId="178" fontId="4" fillId="0" borderId="4" xfId="0" applyNumberFormat="1" applyFont="1" applyBorder="1" applyAlignment="1">
      <alignment horizontal="center" vertical="center"/>
    </xf>
    <xf numFmtId="178" fontId="4" fillId="0" borderId="3" xfId="0" applyNumberFormat="1" applyFont="1" applyBorder="1"/>
    <xf numFmtId="178" fontId="4" fillId="0" borderId="1" xfId="0" applyNumberFormat="1" applyFont="1" applyBorder="1"/>
    <xf numFmtId="178" fontId="0" fillId="0" borderId="0" xfId="0" applyNumberFormat="1"/>
    <xf numFmtId="178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vertical="center"/>
    </xf>
    <xf numFmtId="178" fontId="4" fillId="0" borderId="3" xfId="0" applyNumberFormat="1" applyFont="1" applyBorder="1" applyAlignment="1">
      <alignment vertical="center"/>
    </xf>
    <xf numFmtId="178" fontId="4" fillId="0" borderId="1" xfId="0" applyNumberFormat="1" applyFont="1" applyBorder="1" applyAlignment="1">
      <alignment vertical="center"/>
    </xf>
    <xf numFmtId="178" fontId="4" fillId="0" borderId="11" xfId="0" applyNumberFormat="1" applyFont="1" applyBorder="1" applyAlignment="1">
      <alignment vertical="center"/>
    </xf>
    <xf numFmtId="49" fontId="4" fillId="2" borderId="12" xfId="0" applyNumberFormat="1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2" xfId="0" applyFont="1" applyBorder="1"/>
    <xf numFmtId="178" fontId="4" fillId="0" borderId="2" xfId="0" applyNumberFormat="1" applyFont="1" applyBorder="1"/>
    <xf numFmtId="49" fontId="0" fillId="0" borderId="0" xfId="0" applyNumberFormat="1"/>
    <xf numFmtId="49" fontId="4" fillId="0" borderId="0" xfId="0" applyNumberFormat="1" applyFont="1" applyAlignment="1">
      <alignment horizontal="center" vertical="center"/>
    </xf>
    <xf numFmtId="0" fontId="4" fillId="0" borderId="1" xfId="1" applyNumberFormat="1" applyFont="1" applyBorder="1"/>
    <xf numFmtId="49" fontId="4" fillId="0" borderId="1" xfId="0" applyNumberFormat="1" applyFont="1" applyBorder="1" applyAlignment="1">
      <alignment shrinkToFit="1"/>
    </xf>
    <xf numFmtId="178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78" fontId="4" fillId="0" borderId="1" xfId="1" applyNumberFormat="1" applyFont="1" applyBorder="1"/>
    <xf numFmtId="177" fontId="4" fillId="0" borderId="1" xfId="0" applyNumberFormat="1" applyFont="1" applyBorder="1" applyAlignment="1">
      <alignment horizontal="center" vertical="center"/>
    </xf>
    <xf numFmtId="177" fontId="4" fillId="0" borderId="0" xfId="0" applyNumberFormat="1" applyFont="1"/>
    <xf numFmtId="49" fontId="3" fillId="0" borderId="0" xfId="0" applyNumberFormat="1" applyFont="1" applyAlignment="1">
      <alignment horizontal="left" indent="1"/>
    </xf>
    <xf numFmtId="49" fontId="4" fillId="0" borderId="2" xfId="0" applyNumberFormat="1" applyFont="1" applyBorder="1" applyAlignment="1">
      <alignment horizontal="left" vertical="center" indent="1"/>
    </xf>
    <xf numFmtId="0" fontId="10" fillId="0" borderId="0" xfId="2" applyFont="1"/>
    <xf numFmtId="0" fontId="10" fillId="0" borderId="0" xfId="2" applyFont="1" applyAlignment="1">
      <alignment horizontal="center" vertical="center"/>
    </xf>
    <xf numFmtId="179" fontId="10" fillId="0" borderId="0" xfId="2" applyNumberFormat="1" applyFont="1"/>
    <xf numFmtId="41" fontId="10" fillId="0" borderId="0" xfId="3" applyFont="1"/>
    <xf numFmtId="0" fontId="11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179" fontId="14" fillId="0" borderId="0" xfId="2" applyNumberFormat="1" applyFont="1" applyAlignment="1">
      <alignment horizontal="center" vertical="center"/>
    </xf>
    <xf numFmtId="0" fontId="15" fillId="0" borderId="0" xfId="2" applyFont="1" applyAlignment="1">
      <alignment horizontal="right" vertical="center"/>
    </xf>
    <xf numFmtId="0" fontId="16" fillId="0" borderId="0" xfId="2" applyFont="1" applyAlignment="1">
      <alignment horizontal="center" vertical="center"/>
    </xf>
    <xf numFmtId="41" fontId="10" fillId="0" borderId="0" xfId="3" applyFont="1" applyAlignment="1">
      <alignment vertical="center"/>
    </xf>
    <xf numFmtId="0" fontId="17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49" fontId="16" fillId="0" borderId="0" xfId="2" applyNumberFormat="1" applyFont="1" applyAlignment="1">
      <alignment vertical="center" wrapText="1"/>
    </xf>
    <xf numFmtId="0" fontId="16" fillId="0" borderId="0" xfId="2" applyFont="1" applyAlignment="1">
      <alignment vertical="center"/>
    </xf>
    <xf numFmtId="0" fontId="18" fillId="0" borderId="0" xfId="2" applyFont="1" applyAlignment="1">
      <alignment vertical="center"/>
    </xf>
    <xf numFmtId="0" fontId="13" fillId="4" borderId="1" xfId="4" applyNumberFormat="1" applyFont="1" applyBorder="1" applyAlignment="1">
      <alignment horizontal="center" vertical="center"/>
    </xf>
    <xf numFmtId="179" fontId="13" fillId="4" borderId="1" xfId="4" applyNumberFormat="1" applyFont="1" applyBorder="1" applyAlignment="1">
      <alignment horizontal="center" vertical="center"/>
    </xf>
    <xf numFmtId="0" fontId="13" fillId="4" borderId="0" xfId="4" applyNumberFormat="1" applyFont="1" applyBorder="1" applyAlignment="1">
      <alignment horizontal="center" vertical="center"/>
    </xf>
    <xf numFmtId="41" fontId="13" fillId="0" borderId="0" xfId="3" applyFont="1" applyAlignment="1">
      <alignment vertical="center"/>
    </xf>
    <xf numFmtId="0" fontId="13" fillId="0" borderId="0" xfId="2" applyFont="1" applyAlignment="1">
      <alignment vertical="center"/>
    </xf>
    <xf numFmtId="0" fontId="18" fillId="0" borderId="25" xfId="2" applyFont="1" applyBorder="1" applyAlignment="1">
      <alignment vertical="center"/>
    </xf>
    <xf numFmtId="179" fontId="16" fillId="0" borderId="0" xfId="2" applyNumberFormat="1" applyFont="1" applyAlignment="1">
      <alignment vertical="center"/>
    </xf>
    <xf numFmtId="0" fontId="16" fillId="0" borderId="26" xfId="2" applyFont="1" applyBorder="1" applyAlignment="1">
      <alignment vertical="center"/>
    </xf>
    <xf numFmtId="41" fontId="16" fillId="0" borderId="0" xfId="3" applyFont="1" applyAlignment="1">
      <alignment horizontal="center" vertical="center"/>
    </xf>
    <xf numFmtId="0" fontId="20" fillId="0" borderId="0" xfId="2" applyFont="1" applyAlignment="1">
      <alignment vertical="center"/>
    </xf>
    <xf numFmtId="0" fontId="16" fillId="0" borderId="25" xfId="2" applyFont="1" applyBorder="1" applyAlignment="1">
      <alignment vertical="center"/>
    </xf>
    <xf numFmtId="0" fontId="16" fillId="0" borderId="27" xfId="2" applyFont="1" applyBorder="1" applyAlignment="1">
      <alignment vertical="center"/>
    </xf>
    <xf numFmtId="0" fontId="16" fillId="0" borderId="28" xfId="2" applyFont="1" applyBorder="1" applyAlignment="1">
      <alignment horizontal="center" vertical="center"/>
    </xf>
    <xf numFmtId="0" fontId="16" fillId="0" borderId="28" xfId="2" applyFont="1" applyBorder="1" applyAlignment="1">
      <alignment vertical="center" wrapText="1"/>
    </xf>
    <xf numFmtId="41" fontId="16" fillId="0" borderId="28" xfId="3" applyFont="1" applyBorder="1" applyAlignment="1">
      <alignment vertical="center"/>
    </xf>
    <xf numFmtId="41" fontId="16" fillId="0" borderId="28" xfId="3" applyFont="1" applyBorder="1" applyAlignment="1">
      <alignment horizontal="center" vertical="center"/>
    </xf>
    <xf numFmtId="179" fontId="16" fillId="0" borderId="28" xfId="2" applyNumberFormat="1" applyFont="1" applyBorder="1" applyAlignment="1">
      <alignment vertical="center"/>
    </xf>
    <xf numFmtId="41" fontId="16" fillId="0" borderId="28" xfId="2" applyNumberFormat="1" applyFont="1" applyBorder="1" applyAlignment="1">
      <alignment vertical="center"/>
    </xf>
    <xf numFmtId="0" fontId="16" fillId="0" borderId="28" xfId="2" applyFont="1" applyBorder="1" applyAlignment="1">
      <alignment vertical="center"/>
    </xf>
    <xf numFmtId="0" fontId="21" fillId="0" borderId="28" xfId="2" applyFont="1" applyBorder="1" applyAlignment="1">
      <alignment vertical="center" wrapText="1"/>
    </xf>
    <xf numFmtId="41" fontId="21" fillId="0" borderId="28" xfId="3" applyFont="1" applyBorder="1" applyAlignment="1">
      <alignment vertical="center"/>
    </xf>
    <xf numFmtId="179" fontId="21" fillId="0" borderId="28" xfId="3" applyNumberFormat="1" applyFont="1" applyBorder="1" applyAlignment="1">
      <alignment horizontal="center" vertical="center"/>
    </xf>
    <xf numFmtId="0" fontId="21" fillId="0" borderId="28" xfId="2" applyFont="1" applyBorder="1" applyAlignment="1">
      <alignment vertical="center"/>
    </xf>
    <xf numFmtId="0" fontId="16" fillId="0" borderId="0" xfId="2" applyFont="1" applyAlignment="1">
      <alignment vertical="center" wrapText="1"/>
    </xf>
    <xf numFmtId="0" fontId="16" fillId="0" borderId="0" xfId="2" applyFont="1" applyAlignment="1">
      <alignment horizontal="center" vertical="center" wrapText="1"/>
    </xf>
    <xf numFmtId="41" fontId="16" fillId="0" borderId="0" xfId="3" applyFont="1" applyBorder="1" applyAlignment="1">
      <alignment vertical="center"/>
    </xf>
    <xf numFmtId="41" fontId="16" fillId="0" borderId="0" xfId="3" applyFont="1" applyBorder="1" applyAlignment="1">
      <alignment horizontal="center" vertical="center"/>
    </xf>
    <xf numFmtId="0" fontId="16" fillId="0" borderId="29" xfId="2" applyFont="1" applyBorder="1" applyAlignment="1">
      <alignment vertical="center"/>
    </xf>
    <xf numFmtId="41" fontId="16" fillId="0" borderId="0" xfId="3" applyFont="1" applyAlignment="1">
      <alignment vertical="center"/>
    </xf>
    <xf numFmtId="0" fontId="22" fillId="5" borderId="28" xfId="2" applyFont="1" applyFill="1" applyBorder="1" applyAlignment="1">
      <alignment vertical="center"/>
    </xf>
    <xf numFmtId="41" fontId="22" fillId="5" borderId="28" xfId="3" applyFont="1" applyFill="1" applyBorder="1" applyAlignment="1">
      <alignment vertical="center"/>
    </xf>
    <xf numFmtId="179" fontId="23" fillId="5" borderId="28" xfId="3" applyNumberFormat="1" applyFont="1" applyFill="1" applyBorder="1" applyAlignment="1">
      <alignment horizontal="center" vertical="center"/>
    </xf>
    <xf numFmtId="41" fontId="23" fillId="5" borderId="28" xfId="3" applyFont="1" applyFill="1" applyBorder="1" applyAlignment="1">
      <alignment vertical="center"/>
    </xf>
    <xf numFmtId="41" fontId="20" fillId="0" borderId="0" xfId="2" applyNumberFormat="1" applyFont="1" applyAlignment="1">
      <alignment vertical="center"/>
    </xf>
    <xf numFmtId="179" fontId="16" fillId="0" borderId="0" xfId="3" applyNumberFormat="1" applyFont="1" applyBorder="1" applyAlignment="1">
      <alignment vertical="center"/>
    </xf>
    <xf numFmtId="0" fontId="16" fillId="0" borderId="30" xfId="2" applyFont="1" applyBorder="1" applyAlignment="1">
      <alignment vertical="center"/>
    </xf>
    <xf numFmtId="0" fontId="24" fillId="0" borderId="0" xfId="2" applyFont="1" applyAlignment="1">
      <alignment vertical="center"/>
    </xf>
    <xf numFmtId="179" fontId="16" fillId="0" borderId="28" xfId="3" applyNumberFormat="1" applyFont="1" applyBorder="1" applyAlignment="1">
      <alignment vertical="center"/>
    </xf>
    <xf numFmtId="41" fontId="20" fillId="0" borderId="0" xfId="3" applyFont="1" applyAlignment="1">
      <alignment vertical="center"/>
    </xf>
    <xf numFmtId="0" fontId="16" fillId="0" borderId="31" xfId="2" applyFont="1" applyBorder="1" applyAlignment="1">
      <alignment vertical="center"/>
    </xf>
    <xf numFmtId="41" fontId="16" fillId="0" borderId="0" xfId="3" applyFont="1" applyBorder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6" fillId="0" borderId="28" xfId="2" applyFont="1" applyBorder="1" applyAlignment="1">
      <alignment horizontal="right" vertical="center"/>
    </xf>
    <xf numFmtId="41" fontId="20" fillId="0" borderId="0" xfId="3" applyFont="1" applyBorder="1" applyAlignment="1">
      <alignment vertical="center"/>
    </xf>
    <xf numFmtId="41" fontId="16" fillId="0" borderId="31" xfId="3" applyFont="1" applyBorder="1" applyAlignment="1">
      <alignment vertical="center"/>
    </xf>
    <xf numFmtId="41" fontId="16" fillId="0" borderId="31" xfId="3" applyFont="1" applyBorder="1" applyAlignment="1">
      <alignment horizontal="center" vertical="center"/>
    </xf>
    <xf numFmtId="179" fontId="16" fillId="0" borderId="31" xfId="3" applyNumberFormat="1" applyFont="1" applyBorder="1" applyAlignment="1">
      <alignment vertical="center"/>
    </xf>
    <xf numFmtId="180" fontId="16" fillId="0" borderId="28" xfId="3" applyNumberFormat="1" applyFont="1" applyBorder="1" applyAlignment="1">
      <alignment vertical="center"/>
    </xf>
    <xf numFmtId="181" fontId="16" fillId="0" borderId="28" xfId="3" applyNumberFormat="1" applyFont="1" applyBorder="1" applyAlignment="1">
      <alignment vertical="center"/>
    </xf>
    <xf numFmtId="0" fontId="21" fillId="0" borderId="34" xfId="2" applyFont="1" applyBorder="1" applyAlignment="1">
      <alignment horizontal="center" vertical="center"/>
    </xf>
    <xf numFmtId="0" fontId="21" fillId="0" borderId="28" xfId="2" applyFont="1" applyBorder="1" applyAlignment="1">
      <alignment horizontal="center" vertical="center"/>
    </xf>
    <xf numFmtId="181" fontId="21" fillId="0" borderId="28" xfId="3" applyNumberFormat="1" applyFont="1" applyBorder="1" applyAlignment="1">
      <alignment vertical="center"/>
    </xf>
    <xf numFmtId="0" fontId="18" fillId="0" borderId="28" xfId="2" applyFont="1" applyBorder="1" applyAlignment="1">
      <alignment vertical="center"/>
    </xf>
    <xf numFmtId="41" fontId="18" fillId="0" borderId="28" xfId="3" applyFont="1" applyBorder="1" applyAlignment="1">
      <alignment horizontal="center" vertical="center"/>
    </xf>
    <xf numFmtId="179" fontId="18" fillId="0" borderId="28" xfId="3" applyNumberFormat="1" applyFont="1" applyBorder="1" applyAlignment="1">
      <alignment vertical="center"/>
    </xf>
    <xf numFmtId="41" fontId="18" fillId="0" borderId="28" xfId="3" applyFont="1" applyBorder="1" applyAlignment="1">
      <alignment vertical="center"/>
    </xf>
    <xf numFmtId="41" fontId="10" fillId="0" borderId="0" xfId="2" applyNumberFormat="1" applyFont="1" applyAlignment="1">
      <alignment vertical="center"/>
    </xf>
    <xf numFmtId="9" fontId="18" fillId="0" borderId="28" xfId="2" applyNumberFormat="1" applyFont="1" applyBorder="1" applyAlignment="1">
      <alignment horizontal="left" vertical="center"/>
    </xf>
    <xf numFmtId="0" fontId="10" fillId="0" borderId="25" xfId="2" applyFont="1" applyBorder="1" applyAlignment="1">
      <alignment vertical="center"/>
    </xf>
    <xf numFmtId="0" fontId="25" fillId="0" borderId="28" xfId="2" applyFont="1" applyBorder="1" applyAlignment="1">
      <alignment vertical="center"/>
    </xf>
    <xf numFmtId="0" fontId="10" fillId="0" borderId="28" xfId="2" applyFont="1" applyBorder="1" applyAlignment="1">
      <alignment vertical="center"/>
    </xf>
    <xf numFmtId="0" fontId="10" fillId="0" borderId="26" xfId="2" applyFont="1" applyBorder="1" applyAlignment="1">
      <alignment vertical="center"/>
    </xf>
    <xf numFmtId="0" fontId="10" fillId="0" borderId="16" xfId="2" applyFont="1" applyBorder="1"/>
    <xf numFmtId="0" fontId="10" fillId="0" borderId="17" xfId="2" applyFont="1" applyBorder="1"/>
    <xf numFmtId="0" fontId="10" fillId="0" borderId="17" xfId="2" applyFont="1" applyBorder="1" applyAlignment="1">
      <alignment horizontal="center" vertical="center"/>
    </xf>
    <xf numFmtId="179" fontId="10" fillId="0" borderId="17" xfId="2" applyNumberFormat="1" applyFont="1" applyBorder="1"/>
    <xf numFmtId="0" fontId="10" fillId="0" borderId="35" xfId="2" applyFont="1" applyBorder="1"/>
    <xf numFmtId="0" fontId="10" fillId="0" borderId="18" xfId="2" applyFont="1" applyBorder="1"/>
    <xf numFmtId="0" fontId="16" fillId="0" borderId="0" xfId="2" applyFont="1"/>
    <xf numFmtId="0" fontId="26" fillId="0" borderId="0" xfId="0" applyFont="1"/>
    <xf numFmtId="0" fontId="27" fillId="0" borderId="0" xfId="5" applyFont="1"/>
    <xf numFmtId="0" fontId="1" fillId="0" borderId="0" xfId="5"/>
    <xf numFmtId="0" fontId="4" fillId="0" borderId="19" xfId="0" applyFont="1" applyBorder="1" applyAlignment="1">
      <alignment horizontal="left" vertical="center" indent="1"/>
    </xf>
    <xf numFmtId="0" fontId="0" fillId="0" borderId="22" xfId="0" applyBorder="1" applyAlignment="1">
      <alignment horizontal="left" vertical="center" indent="1"/>
    </xf>
    <xf numFmtId="49" fontId="4" fillId="0" borderId="21" xfId="0" applyNumberFormat="1" applyFont="1" applyBorder="1" applyAlignment="1">
      <alignment horizontal="left" vertical="center" indent="2"/>
    </xf>
    <xf numFmtId="49" fontId="4" fillId="0" borderId="1" xfId="0" applyNumberFormat="1" applyFont="1" applyBorder="1" applyAlignment="1">
      <alignment horizontal="left" vertical="center" indent="2"/>
    </xf>
    <xf numFmtId="49" fontId="4" fillId="0" borderId="24" xfId="0" applyNumberFormat="1" applyFont="1" applyBorder="1" applyAlignment="1">
      <alignment horizontal="left" vertical="center" indent="2"/>
    </xf>
    <xf numFmtId="49" fontId="4" fillId="0" borderId="11" xfId="0" applyNumberFormat="1" applyFont="1" applyBorder="1" applyAlignment="1">
      <alignment horizontal="left" vertical="center" indent="2"/>
    </xf>
    <xf numFmtId="0" fontId="4" fillId="0" borderId="20" xfId="0" applyFont="1" applyBorder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4" fillId="0" borderId="20" xfId="0" applyNumberFormat="1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49" fontId="4" fillId="0" borderId="17" xfId="0" applyNumberFormat="1" applyFont="1" applyBorder="1"/>
    <xf numFmtId="49" fontId="0" fillId="0" borderId="17" xfId="0" applyNumberFormat="1" applyBorder="1"/>
    <xf numFmtId="49" fontId="4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9" xfId="0" applyNumberFormat="1" applyFont="1" applyBorder="1"/>
    <xf numFmtId="0" fontId="0" fillId="0" borderId="23" xfId="0" applyBorder="1"/>
    <xf numFmtId="0" fontId="0" fillId="0" borderId="22" xfId="0" applyBorder="1"/>
    <xf numFmtId="0" fontId="4" fillId="0" borderId="0" xfId="0" applyFont="1" applyAlignment="1">
      <alignment horizontal="center"/>
    </xf>
    <xf numFmtId="49" fontId="5" fillId="0" borderId="0" xfId="0" applyNumberFormat="1" applyFont="1" applyAlignment="1">
      <alignment horizontal="left" indent="1"/>
    </xf>
    <xf numFmtId="0" fontId="0" fillId="0" borderId="0" xfId="0"/>
    <xf numFmtId="176" fontId="4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indent="1"/>
    </xf>
    <xf numFmtId="49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  <xf numFmtId="49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178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left" indent="1"/>
    </xf>
    <xf numFmtId="0" fontId="16" fillId="0" borderId="32" xfId="2" applyFont="1" applyBorder="1" applyAlignment="1">
      <alignment horizontal="center" vertical="center"/>
    </xf>
    <xf numFmtId="0" fontId="16" fillId="0" borderId="33" xfId="2" applyFont="1" applyBorder="1" applyAlignment="1">
      <alignment horizontal="center" vertical="center"/>
    </xf>
    <xf numFmtId="0" fontId="16" fillId="0" borderId="34" xfId="2" applyFont="1" applyBorder="1" applyAlignment="1">
      <alignment horizontal="center" vertical="center"/>
    </xf>
    <xf numFmtId="0" fontId="16" fillId="0" borderId="28" xfId="2" applyFont="1" applyBorder="1" applyAlignment="1">
      <alignment horizontal="center" vertical="center" wrapText="1"/>
    </xf>
    <xf numFmtId="49" fontId="16" fillId="0" borderId="0" xfId="2" applyNumberFormat="1" applyFont="1" applyAlignment="1">
      <alignment vertical="center" wrapText="1"/>
    </xf>
    <xf numFmtId="0" fontId="16" fillId="0" borderId="28" xfId="2" applyFont="1" applyBorder="1" applyAlignment="1">
      <alignment horizontal="center" vertical="center"/>
    </xf>
    <xf numFmtId="41" fontId="16" fillId="0" borderId="0" xfId="3" applyFont="1" applyAlignment="1">
      <alignment horizontal="left" vertical="center" wrapText="1"/>
    </xf>
    <xf numFmtId="41" fontId="16" fillId="0" borderId="0" xfId="3" applyFont="1" applyAlignment="1">
      <alignment horizontal="left" vertical="center"/>
    </xf>
    <xf numFmtId="0" fontId="16" fillId="0" borderId="28" xfId="2" applyFont="1" applyBorder="1" applyAlignment="1">
      <alignment horizontal="left" vertical="center"/>
    </xf>
    <xf numFmtId="0" fontId="16" fillId="0" borderId="28" xfId="2" applyFont="1" applyBorder="1" applyAlignment="1">
      <alignment horizontal="left" vertical="center" wrapText="1"/>
    </xf>
    <xf numFmtId="0" fontId="11" fillId="0" borderId="0" xfId="2" applyFont="1" applyAlignment="1">
      <alignment horizontal="center" vertical="center"/>
    </xf>
    <xf numFmtId="0" fontId="13" fillId="0" borderId="0" xfId="2" applyFont="1" applyAlignment="1">
      <alignment horizontal="left" vertical="center"/>
    </xf>
    <xf numFmtId="0" fontId="13" fillId="4" borderId="19" xfId="4" applyNumberFormat="1" applyFont="1" applyBorder="1" applyAlignment="1">
      <alignment horizontal="center" vertical="center"/>
    </xf>
    <xf numFmtId="0" fontId="13" fillId="4" borderId="23" xfId="4" applyNumberFormat="1" applyFont="1" applyBorder="1" applyAlignment="1">
      <alignment horizontal="center" vertical="center"/>
    </xf>
    <xf numFmtId="0" fontId="13" fillId="4" borderId="22" xfId="4" applyNumberFormat="1" applyFont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</cellXfs>
  <cellStyles count="6">
    <cellStyle name="20% - 강조색2 2 2" xfId="4"/>
    <cellStyle name="쉼표 [0]" xfId="1" builtinId="6"/>
    <cellStyle name="쉼표 [0] 2 2" xfId="3"/>
    <cellStyle name="표준" xfId="0" builtinId="0"/>
    <cellStyle name="표준 3 2" xfId="5"/>
    <cellStyle name="표준_표지NEW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1</xdr:row>
      <xdr:rowOff>0</xdr:rowOff>
    </xdr:from>
    <xdr:to>
      <xdr:col>4</xdr:col>
      <xdr:colOff>1428750</xdr:colOff>
      <xdr:row>1</xdr:row>
      <xdr:rowOff>0</xdr:rowOff>
    </xdr:to>
    <xdr:sp macro="" textlink="">
      <xdr:nvSpPr>
        <xdr:cNvPr id="4098" name="Line 2">
          <a:extLst>
            <a:ext uri="{FF2B5EF4-FFF2-40B4-BE49-F238E27FC236}">
              <a16:creationId xmlns:a16="http://schemas.microsoft.com/office/drawing/2014/main" id="{903A2E66-09A9-46AD-99C5-20993D18B5CE}"/>
            </a:ext>
          </a:extLst>
        </xdr:cNvPr>
        <xdr:cNvSpPr>
          <a:spLocks noChangeShapeType="1"/>
        </xdr:cNvSpPr>
      </xdr:nvSpPr>
      <xdr:spPr bwMode="auto">
        <a:xfrm>
          <a:off x="3371850" y="447675"/>
          <a:ext cx="26860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257175</xdr:colOff>
      <xdr:row>0</xdr:row>
      <xdr:rowOff>38100</xdr:rowOff>
    </xdr:from>
    <xdr:to>
      <xdr:col>12</xdr:col>
      <xdr:colOff>904875</xdr:colOff>
      <xdr:row>2</xdr:row>
      <xdr:rowOff>28575</xdr:rowOff>
    </xdr:to>
    <xdr:pic>
      <xdr:nvPicPr>
        <xdr:cNvPr id="4100" name="Picture 4">
          <a:extLst>
            <a:ext uri="{FF2B5EF4-FFF2-40B4-BE49-F238E27FC236}">
              <a16:creationId xmlns:a16="http://schemas.microsoft.com/office/drawing/2014/main" id="{C94B084C-A944-41A4-9C6D-0FD8B23BA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3275" y="38100"/>
          <a:ext cx="457200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57150</xdr:colOff>
      <xdr:row>7</xdr:row>
      <xdr:rowOff>47625</xdr:rowOff>
    </xdr:from>
    <xdr:to>
      <xdr:col>18</xdr:col>
      <xdr:colOff>523875</xdr:colOff>
      <xdr:row>35</xdr:row>
      <xdr:rowOff>114300</xdr:rowOff>
    </xdr:to>
    <xdr:pic>
      <xdr:nvPicPr>
        <xdr:cNvPr id="4101" name="Picture 5">
          <a:extLst>
            <a:ext uri="{FF2B5EF4-FFF2-40B4-BE49-F238E27FC236}">
              <a16:creationId xmlns:a16="http://schemas.microsoft.com/office/drawing/2014/main" id="{302A88B2-FE65-4975-AE6F-296E741B8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1781175"/>
          <a:ext cx="4276725" cy="48672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38100</xdr:colOff>
      <xdr:row>0</xdr:row>
      <xdr:rowOff>76200</xdr:rowOff>
    </xdr:from>
    <xdr:to>
      <xdr:col>18</xdr:col>
      <xdr:colOff>485775</xdr:colOff>
      <xdr:row>6</xdr:row>
      <xdr:rowOff>104775</xdr:rowOff>
    </xdr:to>
    <xdr:pic>
      <xdr:nvPicPr>
        <xdr:cNvPr id="4102" name="Picture 6">
          <a:extLst>
            <a:ext uri="{FF2B5EF4-FFF2-40B4-BE49-F238E27FC236}">
              <a16:creationId xmlns:a16="http://schemas.microsoft.com/office/drawing/2014/main" id="{9B97331A-4C83-41C9-A20C-829FC7B46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30550" y="76200"/>
          <a:ext cx="4257675" cy="15906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419100</xdr:colOff>
      <xdr:row>14</xdr:row>
      <xdr:rowOff>85725</xdr:rowOff>
    </xdr:from>
    <xdr:to>
      <xdr:col>13</xdr:col>
      <xdr:colOff>400050</xdr:colOff>
      <xdr:row>30</xdr:row>
      <xdr:rowOff>28575</xdr:rowOff>
    </xdr:to>
    <xdr:pic>
      <xdr:nvPicPr>
        <xdr:cNvPr id="9226" name="Picture 10">
          <a:extLst>
            <a:ext uri="{FF2B5EF4-FFF2-40B4-BE49-F238E27FC236}">
              <a16:creationId xmlns:a16="http://schemas.microsoft.com/office/drawing/2014/main" id="{351D3746-F676-4F53-BE44-968BE405E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2514600"/>
          <a:ext cx="5286375" cy="272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topLeftCell="A2" zoomScaleNormal="100" workbookViewId="0">
      <selection activeCell="H21" sqref="H21"/>
    </sheetView>
  </sheetViews>
  <sheetFormatPr defaultRowHeight="13.5" x14ac:dyDescent="0.15"/>
  <cols>
    <col min="1" max="1" width="3.21875" style="9" customWidth="1"/>
    <col min="2" max="2" width="3.44140625" style="9" customWidth="1"/>
    <col min="3" max="3" width="25.33203125" style="9" customWidth="1"/>
    <col min="4" max="4" width="22" style="42" customWidth="1"/>
    <col min="5" max="5" width="56.5546875" style="9" customWidth="1"/>
    <col min="6" max="6" width="8.77734375" style="9" hidden="1" customWidth="1"/>
    <col min="7" max="7" width="8.88671875" style="9" hidden="1" customWidth="1"/>
    <col min="8" max="8" width="14.33203125" style="42" customWidth="1"/>
    <col min="9" max="10" width="8.88671875" style="9"/>
    <col min="11" max="11" width="13.33203125" style="9" customWidth="1"/>
    <col min="12" max="12" width="14.6640625" style="9" customWidth="1"/>
    <col min="13" max="13" width="13.5546875" style="9" customWidth="1"/>
    <col min="14" max="16384" width="8.88671875" style="9"/>
  </cols>
  <sheetData>
    <row r="1" spans="1:13" ht="35.25" x14ac:dyDescent="0.15">
      <c r="A1" s="160" t="s">
        <v>4</v>
      </c>
      <c r="B1" s="160"/>
      <c r="C1" s="160"/>
      <c r="D1" s="160"/>
      <c r="E1" s="160"/>
    </row>
    <row r="2" spans="1:13" ht="24.75" customHeight="1" x14ac:dyDescent="0.15"/>
    <row r="3" spans="1:13" ht="14.25" thickBot="1" x14ac:dyDescent="0.2">
      <c r="A3" s="161" t="s">
        <v>84</v>
      </c>
      <c r="B3" s="161"/>
      <c r="C3" s="156" t="s">
        <v>3259</v>
      </c>
      <c r="D3" s="156"/>
      <c r="E3" s="16"/>
    </row>
    <row r="4" spans="1:13" ht="21.75" customHeight="1" thickBot="1" x14ac:dyDescent="0.2">
      <c r="A4" s="162" t="s">
        <v>5</v>
      </c>
      <c r="B4" s="163"/>
      <c r="C4" s="17" t="s">
        <v>6</v>
      </c>
      <c r="D4" s="36" t="s">
        <v>7</v>
      </c>
      <c r="E4" s="18" t="s">
        <v>42</v>
      </c>
      <c r="F4" s="9" t="s">
        <v>2</v>
      </c>
      <c r="I4" s="28" t="s">
        <v>80</v>
      </c>
      <c r="J4" s="28" t="s">
        <v>81</v>
      </c>
      <c r="K4" s="28" t="s">
        <v>79</v>
      </c>
      <c r="L4" s="28" t="s">
        <v>83</v>
      </c>
      <c r="M4" s="28" t="s">
        <v>82</v>
      </c>
    </row>
    <row r="5" spans="1:13" ht="14.1" customHeight="1" x14ac:dyDescent="0.15">
      <c r="A5" s="19"/>
      <c r="B5" s="157" t="s">
        <v>43</v>
      </c>
      <c r="C5" s="20" t="s">
        <v>3221</v>
      </c>
      <c r="D5" s="43">
        <f>옵션!$B$2</f>
        <v>344292005</v>
      </c>
      <c r="E5" s="21"/>
      <c r="G5" s="9" t="s">
        <v>2</v>
      </c>
      <c r="J5" s="9">
        <v>1</v>
      </c>
      <c r="K5" s="42">
        <f>D5*J5</f>
        <v>344292005</v>
      </c>
      <c r="L5" s="42"/>
      <c r="M5" s="42"/>
    </row>
    <row r="6" spans="1:13" ht="14.1" customHeight="1" x14ac:dyDescent="0.15">
      <c r="A6" s="19"/>
      <c r="B6" s="157"/>
      <c r="C6" s="22" t="s">
        <v>3222</v>
      </c>
      <c r="D6" s="44"/>
      <c r="E6" s="23"/>
      <c r="K6" s="42">
        <f t="shared" ref="K6:K35" si="0">D6*J6</f>
        <v>0</v>
      </c>
      <c r="L6" s="42"/>
      <c r="M6" s="42"/>
    </row>
    <row r="7" spans="1:13" ht="14.1" customHeight="1" x14ac:dyDescent="0.15">
      <c r="A7" s="19" t="s">
        <v>2</v>
      </c>
      <c r="B7" s="158"/>
      <c r="C7" s="22" t="s">
        <v>3223</v>
      </c>
      <c r="D7" s="44">
        <f>SUM(D5:D6)</f>
        <v>344292005</v>
      </c>
      <c r="E7" s="23"/>
      <c r="K7" s="42">
        <f t="shared" si="0"/>
        <v>0</v>
      </c>
      <c r="L7" s="42"/>
      <c r="M7" s="42"/>
    </row>
    <row r="8" spans="1:13" ht="14.1" customHeight="1" x14ac:dyDescent="0.15">
      <c r="A8" s="24" t="s">
        <v>44</v>
      </c>
      <c r="B8" s="159" t="s">
        <v>45</v>
      </c>
      <c r="C8" s="22" t="s">
        <v>3224</v>
      </c>
      <c r="D8" s="44">
        <f>옵션!$C$2</f>
        <v>897549290</v>
      </c>
      <c r="E8" s="23"/>
      <c r="J8" s="9">
        <v>1</v>
      </c>
      <c r="K8" s="42">
        <f t="shared" si="0"/>
        <v>897549290</v>
      </c>
      <c r="L8" s="42"/>
      <c r="M8" s="42"/>
    </row>
    <row r="9" spans="1:13" ht="14.1" customHeight="1" x14ac:dyDescent="0.15">
      <c r="A9" s="19"/>
      <c r="B9" s="157"/>
      <c r="C9" s="22" t="s">
        <v>3225</v>
      </c>
      <c r="D9" s="44">
        <f>TRUNC(D8*I9/100)</f>
        <v>135529942</v>
      </c>
      <c r="E9" s="23" t="s">
        <v>3226</v>
      </c>
      <c r="I9" s="9">
        <v>15.1</v>
      </c>
      <c r="J9" s="9">
        <v>1</v>
      </c>
      <c r="K9" s="42">
        <f t="shared" si="0"/>
        <v>135529942</v>
      </c>
      <c r="L9" s="42"/>
      <c r="M9" s="42"/>
    </row>
    <row r="10" spans="1:13" ht="14.1" customHeight="1" x14ac:dyDescent="0.15">
      <c r="A10" s="19"/>
      <c r="B10" s="158"/>
      <c r="C10" s="22" t="s">
        <v>3223</v>
      </c>
      <c r="D10" s="44">
        <f>SUM(D8:D9)</f>
        <v>1033079232</v>
      </c>
      <c r="E10" s="23"/>
      <c r="K10" s="42">
        <f t="shared" si="0"/>
        <v>0</v>
      </c>
      <c r="L10" s="42"/>
      <c r="M10" s="42"/>
    </row>
    <row r="11" spans="1:13" ht="14.1" customHeight="1" x14ac:dyDescent="0.15">
      <c r="A11" s="19" t="s">
        <v>2</v>
      </c>
      <c r="B11" s="25"/>
      <c r="C11" s="22" t="s">
        <v>3227</v>
      </c>
      <c r="D11" s="44">
        <f>옵션!$D$2</f>
        <v>542331</v>
      </c>
      <c r="E11" s="23"/>
      <c r="J11" s="9">
        <v>1</v>
      </c>
      <c r="K11" s="42">
        <f t="shared" si="0"/>
        <v>542331</v>
      </c>
      <c r="L11" s="42"/>
      <c r="M11" s="42"/>
    </row>
    <row r="12" spans="1:13" ht="14.1" customHeight="1" x14ac:dyDescent="0.15">
      <c r="A12" s="19"/>
      <c r="B12" s="25"/>
      <c r="C12" s="22" t="s">
        <v>3228</v>
      </c>
      <c r="D12" s="44">
        <f>TRUNC(D10*I12/100)</f>
        <v>36777620</v>
      </c>
      <c r="E12" s="23" t="s">
        <v>3229</v>
      </c>
      <c r="I12" s="9">
        <v>3.56</v>
      </c>
      <c r="J12" s="9">
        <v>1</v>
      </c>
      <c r="K12" s="42">
        <f t="shared" si="0"/>
        <v>36777620</v>
      </c>
      <c r="L12" s="42"/>
      <c r="M12" s="42"/>
    </row>
    <row r="13" spans="1:13" ht="14.1" customHeight="1" x14ac:dyDescent="0.15">
      <c r="A13" s="24" t="s">
        <v>46</v>
      </c>
      <c r="C13" s="22" t="s">
        <v>3230</v>
      </c>
      <c r="D13" s="44">
        <f>TRUNC(D10*I13/100)</f>
        <v>10434100</v>
      </c>
      <c r="E13" s="23" t="s">
        <v>3231</v>
      </c>
      <c r="I13" s="9">
        <v>1.01</v>
      </c>
      <c r="J13" s="9">
        <v>1</v>
      </c>
      <c r="K13" s="42">
        <f t="shared" si="0"/>
        <v>10434100</v>
      </c>
      <c r="L13" s="42"/>
      <c r="M13" s="42"/>
    </row>
    <row r="14" spans="1:13" ht="14.1" customHeight="1" x14ac:dyDescent="0.15">
      <c r="A14" s="19"/>
      <c r="B14" s="26" t="s">
        <v>47</v>
      </c>
      <c r="C14" s="22" t="s">
        <v>3232</v>
      </c>
      <c r="D14" s="44">
        <f>TRUNC(D8*I14/100)</f>
        <v>20643633</v>
      </c>
      <c r="E14" s="23" t="s">
        <v>3233</v>
      </c>
      <c r="I14" s="9">
        <v>2.2999999999999998</v>
      </c>
      <c r="J14" s="9">
        <v>1</v>
      </c>
      <c r="K14" s="42">
        <f t="shared" si="0"/>
        <v>20643633</v>
      </c>
      <c r="L14" s="42"/>
      <c r="M14" s="42"/>
    </row>
    <row r="15" spans="1:13" ht="14.1" customHeight="1" x14ac:dyDescent="0.15">
      <c r="A15" s="19" t="s">
        <v>2</v>
      </c>
      <c r="B15" s="25"/>
      <c r="C15" s="22" t="s">
        <v>3234</v>
      </c>
      <c r="D15" s="44">
        <f>TRUNC((4325000+(D7+D8+D32/1.1))*I15/100)</f>
        <v>32595894</v>
      </c>
      <c r="E15" s="23" t="s">
        <v>3235</v>
      </c>
      <c r="I15" s="9">
        <v>2.2799999999999998</v>
      </c>
      <c r="J15" s="9">
        <v>1</v>
      </c>
      <c r="K15" s="42">
        <f t="shared" si="0"/>
        <v>32595894</v>
      </c>
      <c r="L15" s="42"/>
      <c r="M15" s="42"/>
    </row>
    <row r="16" spans="1:13" ht="14.1" customHeight="1" x14ac:dyDescent="0.15">
      <c r="A16" s="19"/>
      <c r="B16" s="25"/>
      <c r="C16" s="22" t="s">
        <v>3236</v>
      </c>
      <c r="D16" s="44">
        <f>TRUNC((D7+D10)*I16/100)</f>
        <v>70245933</v>
      </c>
      <c r="E16" s="23" t="s">
        <v>3237</v>
      </c>
      <c r="I16" s="9">
        <v>5.0999999999999996</v>
      </c>
      <c r="J16" s="9">
        <v>1</v>
      </c>
      <c r="K16" s="42">
        <f t="shared" si="0"/>
        <v>70245933</v>
      </c>
      <c r="L16" s="42"/>
      <c r="M16" s="42"/>
    </row>
    <row r="17" spans="1:13" ht="14.1" customHeight="1" x14ac:dyDescent="0.15">
      <c r="A17" s="19"/>
      <c r="B17" s="25"/>
      <c r="C17" s="22" t="s">
        <v>3238</v>
      </c>
      <c r="D17" s="44">
        <f>TRUNC(D8*I17/100)</f>
        <v>32266896</v>
      </c>
      <c r="E17" s="23" t="s">
        <v>3265</v>
      </c>
      <c r="I17" s="9">
        <v>3.5950000000000002</v>
      </c>
      <c r="J17" s="9">
        <v>1</v>
      </c>
      <c r="K17" s="42">
        <f t="shared" si="0"/>
        <v>32266896</v>
      </c>
      <c r="L17" s="42"/>
      <c r="M17" s="42"/>
    </row>
    <row r="18" spans="1:13" ht="14.1" customHeight="1" x14ac:dyDescent="0.15">
      <c r="A18" s="24" t="s">
        <v>48</v>
      </c>
      <c r="B18" s="25"/>
      <c r="C18" s="22" t="s">
        <v>3239</v>
      </c>
      <c r="D18" s="44">
        <f>TRUNC(D8*I18/100)</f>
        <v>42633591</v>
      </c>
      <c r="E18" s="23" t="s">
        <v>3266</v>
      </c>
      <c r="I18" s="9">
        <v>4.75</v>
      </c>
      <c r="J18" s="9">
        <v>1</v>
      </c>
      <c r="K18" s="42">
        <f t="shared" si="0"/>
        <v>42633591</v>
      </c>
      <c r="L18" s="42"/>
      <c r="M18" s="42"/>
    </row>
    <row r="19" spans="1:13" ht="14.1" customHeight="1" x14ac:dyDescent="0.15">
      <c r="A19" s="19" t="s">
        <v>2</v>
      </c>
      <c r="B19" s="26" t="s">
        <v>2</v>
      </c>
      <c r="C19" s="22" t="s">
        <v>3240</v>
      </c>
      <c r="D19" s="44">
        <f>TRUNC(D17*I19/100)</f>
        <v>4239870</v>
      </c>
      <c r="E19" s="23" t="s">
        <v>3267</v>
      </c>
      <c r="I19" s="9">
        <v>13.14</v>
      </c>
      <c r="J19" s="9">
        <v>1</v>
      </c>
      <c r="K19" s="42">
        <f t="shared" si="0"/>
        <v>4239870</v>
      </c>
      <c r="L19" s="42"/>
      <c r="M19" s="42"/>
    </row>
    <row r="20" spans="1:13" ht="14.1" customHeight="1" x14ac:dyDescent="0.15">
      <c r="A20" s="19"/>
      <c r="C20" s="22" t="s">
        <v>2</v>
      </c>
      <c r="D20" s="44"/>
      <c r="E20" s="23"/>
      <c r="K20" s="42">
        <f t="shared" si="0"/>
        <v>0</v>
      </c>
      <c r="L20" s="42"/>
      <c r="M20" s="42"/>
    </row>
    <row r="21" spans="1:13" ht="14.1" customHeight="1" x14ac:dyDescent="0.15">
      <c r="A21" s="19"/>
      <c r="B21" s="25"/>
      <c r="C21" s="22" t="s">
        <v>2</v>
      </c>
      <c r="D21" s="44"/>
      <c r="E21" s="23"/>
      <c r="K21" s="42">
        <f t="shared" si="0"/>
        <v>0</v>
      </c>
      <c r="L21" s="42"/>
      <c r="M21" s="42"/>
    </row>
    <row r="22" spans="1:13" ht="14.1" customHeight="1" x14ac:dyDescent="0.15">
      <c r="A22" s="19"/>
      <c r="B22" s="26" t="s">
        <v>49</v>
      </c>
      <c r="C22" s="22" t="s">
        <v>2</v>
      </c>
      <c r="D22" s="44"/>
      <c r="E22" s="23"/>
      <c r="K22" s="42">
        <f t="shared" si="0"/>
        <v>0</v>
      </c>
      <c r="L22" s="42"/>
      <c r="M22" s="42"/>
    </row>
    <row r="23" spans="1:13" ht="14.1" customHeight="1" x14ac:dyDescent="0.15">
      <c r="A23" s="24" t="s">
        <v>49</v>
      </c>
      <c r="B23" s="25"/>
      <c r="C23" s="22" t="s">
        <v>2</v>
      </c>
      <c r="D23" s="44"/>
      <c r="E23" s="23"/>
      <c r="K23" s="42">
        <f t="shared" si="0"/>
        <v>0</v>
      </c>
      <c r="L23" s="42"/>
      <c r="M23" s="42"/>
    </row>
    <row r="24" spans="1:13" ht="14.1" customHeight="1" x14ac:dyDescent="0.15">
      <c r="A24" s="19"/>
      <c r="B24" s="25"/>
      <c r="C24" s="22" t="s">
        <v>2</v>
      </c>
      <c r="D24" s="44"/>
      <c r="E24" s="23"/>
      <c r="K24" s="42">
        <f t="shared" si="0"/>
        <v>0</v>
      </c>
      <c r="L24" s="42"/>
      <c r="M24" s="42"/>
    </row>
    <row r="25" spans="1:13" ht="14.1" customHeight="1" x14ac:dyDescent="0.15">
      <c r="A25" s="19"/>
      <c r="B25" s="25"/>
      <c r="C25" s="61" t="s">
        <v>3223</v>
      </c>
      <c r="D25" s="44">
        <f>SUM(D11:D24)</f>
        <v>250379868</v>
      </c>
      <c r="E25" s="23"/>
      <c r="K25" s="42">
        <f t="shared" si="0"/>
        <v>0</v>
      </c>
      <c r="L25" s="42"/>
      <c r="M25" s="42"/>
    </row>
    <row r="26" spans="1:13" ht="14.1" customHeight="1" x14ac:dyDescent="0.15">
      <c r="A26" s="19"/>
      <c r="B26" s="150" t="s">
        <v>3250</v>
      </c>
      <c r="C26" s="151"/>
      <c r="D26" s="44">
        <f>D7+D10+D25</f>
        <v>1627751105</v>
      </c>
      <c r="E26" s="23"/>
      <c r="K26" s="42">
        <f t="shared" si="0"/>
        <v>0</v>
      </c>
      <c r="L26" s="42"/>
      <c r="M26" s="42"/>
    </row>
    <row r="27" spans="1:13" ht="14.1" customHeight="1" x14ac:dyDescent="0.15">
      <c r="A27" s="152" t="s">
        <v>3241</v>
      </c>
      <c r="B27" s="153"/>
      <c r="C27" s="153"/>
      <c r="D27" s="44">
        <f>TRUNC((D7+D10+D25)*I27/100)</f>
        <v>105803821</v>
      </c>
      <c r="E27" s="23" t="s">
        <v>3242</v>
      </c>
      <c r="I27" s="9">
        <v>6.5</v>
      </c>
      <c r="J27" s="9">
        <v>1</v>
      </c>
      <c r="K27" s="42">
        <f t="shared" si="0"/>
        <v>105803821</v>
      </c>
      <c r="L27" s="42"/>
      <c r="M27" s="42"/>
    </row>
    <row r="28" spans="1:13" ht="14.1" customHeight="1" x14ac:dyDescent="0.15">
      <c r="A28" s="152" t="s">
        <v>3243</v>
      </c>
      <c r="B28" s="153"/>
      <c r="C28" s="153"/>
      <c r="D28" s="44">
        <f>TRUNC(((D10+D25+D27))*I28/100)-752</f>
        <v>208388686</v>
      </c>
      <c r="E28" s="23" t="s">
        <v>3244</v>
      </c>
      <c r="I28" s="9">
        <v>15</v>
      </c>
      <c r="J28" s="9">
        <v>1</v>
      </c>
      <c r="K28" s="42">
        <f t="shared" si="0"/>
        <v>208388686</v>
      </c>
      <c r="L28" s="42"/>
      <c r="M28" s="42"/>
    </row>
    <row r="29" spans="1:13" ht="14.1" customHeight="1" x14ac:dyDescent="0.15">
      <c r="A29" s="152" t="s">
        <v>3245</v>
      </c>
      <c r="B29" s="153"/>
      <c r="C29" s="153"/>
      <c r="D29" s="44">
        <f>SUM(K5:K28)</f>
        <v>1941943612</v>
      </c>
      <c r="E29" s="23"/>
      <c r="K29" s="42">
        <f t="shared" si="0"/>
        <v>0</v>
      </c>
      <c r="L29" s="42"/>
      <c r="M29" s="42"/>
    </row>
    <row r="30" spans="1:13" ht="14.1" customHeight="1" x14ac:dyDescent="0.15">
      <c r="A30" s="152" t="s">
        <v>3246</v>
      </c>
      <c r="B30" s="153"/>
      <c r="C30" s="153"/>
      <c r="D30" s="44">
        <f>TRUNC(D7*10%)</f>
        <v>34429200</v>
      </c>
      <c r="E30" s="23" t="s">
        <v>3350</v>
      </c>
      <c r="I30" s="9">
        <v>10</v>
      </c>
      <c r="J30" s="9">
        <v>1</v>
      </c>
      <c r="K30" s="42">
        <f t="shared" si="0"/>
        <v>34429200</v>
      </c>
      <c r="L30" s="42"/>
      <c r="M30" s="42"/>
    </row>
    <row r="31" spans="1:13" ht="14.1" customHeight="1" x14ac:dyDescent="0.15">
      <c r="A31" s="152"/>
      <c r="B31" s="153"/>
      <c r="C31" s="153"/>
      <c r="D31" s="44">
        <v>0</v>
      </c>
      <c r="E31" s="23"/>
      <c r="I31" s="9">
        <v>10</v>
      </c>
      <c r="J31" s="9">
        <v>1</v>
      </c>
      <c r="K31" s="42">
        <f t="shared" si="0"/>
        <v>0</v>
      </c>
      <c r="L31" s="42"/>
      <c r="M31" s="42"/>
    </row>
    <row r="32" spans="1:13" ht="14.1" customHeight="1" x14ac:dyDescent="0.15">
      <c r="A32" s="152" t="s">
        <v>3247</v>
      </c>
      <c r="B32" s="153"/>
      <c r="C32" s="153"/>
      <c r="D32" s="44">
        <f>옵션!$F$3+999</f>
        <v>201826000</v>
      </c>
      <c r="E32" s="23"/>
      <c r="J32" s="9">
        <v>1</v>
      </c>
      <c r="K32" s="42">
        <f t="shared" si="0"/>
        <v>201826000</v>
      </c>
      <c r="L32" s="42"/>
      <c r="M32" s="42"/>
    </row>
    <row r="33" spans="1:13" ht="14.1" customHeight="1" x14ac:dyDescent="0.15">
      <c r="A33" s="152" t="s">
        <v>3248</v>
      </c>
      <c r="B33" s="153"/>
      <c r="C33" s="153"/>
      <c r="D33" s="44">
        <f>옵션!$F$4+787</f>
        <v>427708000</v>
      </c>
      <c r="E33" s="23"/>
      <c r="J33" s="9">
        <v>1</v>
      </c>
      <c r="K33" s="42">
        <f t="shared" si="0"/>
        <v>427708000</v>
      </c>
      <c r="L33" s="42"/>
      <c r="M33" s="42"/>
    </row>
    <row r="34" spans="1:13" ht="14.1" customHeight="1" x14ac:dyDescent="0.15">
      <c r="A34" s="152" t="s">
        <v>3268</v>
      </c>
      <c r="B34" s="153"/>
      <c r="C34" s="153"/>
      <c r="D34" s="44">
        <f>한전불입금및사용전검사비!J84</f>
        <v>14670000</v>
      </c>
      <c r="E34" s="23"/>
      <c r="J34" s="9">
        <v>1</v>
      </c>
      <c r="K34" s="42">
        <f t="shared" si="0"/>
        <v>14670000</v>
      </c>
      <c r="L34" s="42"/>
      <c r="M34" s="42"/>
    </row>
    <row r="35" spans="1:13" ht="14.1" customHeight="1" x14ac:dyDescent="0.15">
      <c r="A35" s="152"/>
      <c r="B35" s="153"/>
      <c r="C35" s="153"/>
      <c r="D35" s="44"/>
      <c r="E35" s="23"/>
      <c r="J35" s="9">
        <v>1</v>
      </c>
      <c r="K35" s="42">
        <f t="shared" si="0"/>
        <v>0</v>
      </c>
      <c r="L35" s="42"/>
      <c r="M35" s="42"/>
    </row>
    <row r="36" spans="1:13" ht="14.1" customHeight="1" thickBot="1" x14ac:dyDescent="0.2">
      <c r="A36" s="154" t="s">
        <v>3249</v>
      </c>
      <c r="B36" s="155"/>
      <c r="C36" s="155"/>
      <c r="D36" s="45">
        <f>K36</f>
        <v>2620576812</v>
      </c>
      <c r="E36" s="27"/>
      <c r="K36" s="42">
        <f>SUM(K5:K35)</f>
        <v>2620576812</v>
      </c>
      <c r="L36" s="42"/>
      <c r="M36" s="42"/>
    </row>
    <row r="37" spans="1:13" ht="14.1" customHeight="1" x14ac:dyDescent="0.15">
      <c r="K37" s="42"/>
      <c r="L37" s="42"/>
      <c r="M37" s="42"/>
    </row>
    <row r="38" spans="1:13" x14ac:dyDescent="0.15">
      <c r="K38" s="42"/>
      <c r="L38" s="42"/>
      <c r="M38" s="42"/>
    </row>
    <row r="39" spans="1:13" x14ac:dyDescent="0.15">
      <c r="K39" s="42"/>
      <c r="L39" s="42"/>
      <c r="M39" s="42"/>
    </row>
    <row r="40" spans="1:13" x14ac:dyDescent="0.15">
      <c r="K40" s="42"/>
      <c r="L40" s="42"/>
      <c r="M40" s="42"/>
    </row>
    <row r="41" spans="1:13" x14ac:dyDescent="0.15">
      <c r="K41" s="42"/>
      <c r="L41" s="42"/>
      <c r="M41" s="42"/>
    </row>
    <row r="42" spans="1:13" x14ac:dyDescent="0.15">
      <c r="K42" s="42"/>
      <c r="L42" s="42"/>
      <c r="M42" s="42"/>
    </row>
    <row r="43" spans="1:13" x14ac:dyDescent="0.15">
      <c r="K43" s="42"/>
      <c r="L43" s="42"/>
      <c r="M43" s="42"/>
    </row>
    <row r="44" spans="1:13" x14ac:dyDescent="0.15">
      <c r="K44" s="42"/>
      <c r="L44" s="42"/>
      <c r="M44" s="42"/>
    </row>
    <row r="45" spans="1:13" x14ac:dyDescent="0.15">
      <c r="K45" s="42"/>
      <c r="L45" s="42"/>
      <c r="M45" s="42"/>
    </row>
    <row r="46" spans="1:13" x14ac:dyDescent="0.15">
      <c r="K46" s="42"/>
      <c r="L46" s="42"/>
      <c r="M46" s="42"/>
    </row>
    <row r="47" spans="1:13" x14ac:dyDescent="0.15">
      <c r="K47" s="42"/>
      <c r="L47" s="42"/>
      <c r="M47" s="42"/>
    </row>
    <row r="48" spans="1:13" x14ac:dyDescent="0.15">
      <c r="K48" s="42"/>
      <c r="L48" s="42"/>
      <c r="M48" s="42"/>
    </row>
    <row r="49" spans="11:13" x14ac:dyDescent="0.15">
      <c r="K49" s="42"/>
      <c r="L49" s="42"/>
      <c r="M49" s="42"/>
    </row>
    <row r="50" spans="11:13" x14ac:dyDescent="0.15">
      <c r="K50" s="42"/>
      <c r="L50" s="42"/>
      <c r="M50" s="42"/>
    </row>
    <row r="51" spans="11:13" x14ac:dyDescent="0.15">
      <c r="K51" s="42"/>
      <c r="L51" s="42"/>
      <c r="M51" s="42"/>
    </row>
    <row r="52" spans="11:13" x14ac:dyDescent="0.15">
      <c r="K52" s="42"/>
      <c r="L52" s="42"/>
      <c r="M52" s="42"/>
    </row>
    <row r="53" spans="11:13" x14ac:dyDescent="0.15">
      <c r="K53" s="42"/>
      <c r="L53" s="42"/>
      <c r="M53" s="42"/>
    </row>
  </sheetData>
  <mergeCells count="17">
    <mergeCell ref="C3:D3"/>
    <mergeCell ref="B5:B7"/>
    <mergeCell ref="B8:B10"/>
    <mergeCell ref="A1:E1"/>
    <mergeCell ref="A3:B3"/>
    <mergeCell ref="A4:B4"/>
    <mergeCell ref="B26:C26"/>
    <mergeCell ref="A35:C35"/>
    <mergeCell ref="A36:C36"/>
    <mergeCell ref="A33:C33"/>
    <mergeCell ref="A27:C27"/>
    <mergeCell ref="A28:C28"/>
    <mergeCell ref="A29:C29"/>
    <mergeCell ref="A34:C34"/>
    <mergeCell ref="A31:C31"/>
    <mergeCell ref="A32:C32"/>
    <mergeCell ref="A30:C30"/>
  </mergeCells>
  <phoneticPr fontId="2" type="noConversion"/>
  <printOptions horizontalCentered="1" verticalCentered="1"/>
  <pageMargins left="0.74803149606299213" right="0.35433070866141736" top="0.19685039370078741" bottom="0.39370078740157483" header="0.51181102362204722" footer="0.39370078740157483"/>
  <pageSetup paperSize="9" orientation="landscape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7"/>
  <sheetViews>
    <sheetView topLeftCell="D1" zoomScaleNormal="100" workbookViewId="0">
      <pane ySplit="3" topLeftCell="A241" activePane="bottomLeft" state="frozen"/>
      <selection activeCell="D1" sqref="D1"/>
      <selection pane="bottomLeft" activeCell="D24" sqref="D24"/>
    </sheetView>
  </sheetViews>
  <sheetFormatPr defaultRowHeight="20.45" customHeight="1" x14ac:dyDescent="0.15"/>
  <cols>
    <col min="1" max="1" width="5.77734375" style="2" hidden="1" customWidth="1"/>
    <col min="2" max="2" width="6.5546875" style="13" hidden="1" customWidth="1"/>
    <col min="3" max="3" width="13.6640625" style="13" hidden="1" customWidth="1"/>
    <col min="4" max="4" width="36.21875" style="13" customWidth="1"/>
    <col min="5" max="5" width="9.109375" style="2" hidden="1" customWidth="1"/>
    <col min="6" max="6" width="4.21875" style="30" customWidth="1"/>
    <col min="7" max="7" width="4.6640625" style="35" customWidth="1"/>
    <col min="8" max="8" width="13" style="35" customWidth="1"/>
    <col min="9" max="9" width="13.109375" style="35" customWidth="1"/>
    <col min="10" max="10" width="5.109375" style="35" hidden="1" customWidth="1"/>
    <col min="11" max="11" width="11.21875" style="35" bestFit="1" customWidth="1"/>
    <col min="12" max="12" width="11.5546875" style="35" customWidth="1"/>
    <col min="13" max="14" width="9.44140625" style="35" customWidth="1"/>
    <col min="15" max="15" width="8.77734375" style="35" hidden="1" customWidth="1"/>
    <col min="16" max="16" width="13.21875" style="35" customWidth="1"/>
    <col min="17" max="17" width="10.44140625" style="13" customWidth="1"/>
    <col min="18" max="16384" width="8.88671875" style="2"/>
  </cols>
  <sheetData>
    <row r="1" spans="1:27" ht="20.45" customHeight="1" x14ac:dyDescent="0.15">
      <c r="A1" s="2" t="s">
        <v>3197</v>
      </c>
      <c r="B1" s="13" t="s">
        <v>2358</v>
      </c>
      <c r="D1" s="165" t="s">
        <v>3260</v>
      </c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AA1" s="2" t="s">
        <v>125</v>
      </c>
    </row>
    <row r="2" spans="1:27" s="14" customFormat="1" ht="20.45" customHeight="1" x14ac:dyDescent="0.15">
      <c r="A2" s="167" t="s">
        <v>51</v>
      </c>
      <c r="B2" s="167" t="s">
        <v>27</v>
      </c>
      <c r="C2" s="167" t="s">
        <v>34</v>
      </c>
      <c r="D2" s="168" t="s">
        <v>56</v>
      </c>
      <c r="E2" s="169" t="s">
        <v>28</v>
      </c>
      <c r="F2" s="169" t="s">
        <v>0</v>
      </c>
      <c r="G2" s="164" t="s">
        <v>1</v>
      </c>
      <c r="H2" s="164" t="s">
        <v>29</v>
      </c>
      <c r="I2" s="164"/>
      <c r="J2" s="164" t="s">
        <v>30</v>
      </c>
      <c r="K2" s="164"/>
      <c r="L2" s="164"/>
      <c r="M2" s="164" t="s">
        <v>31</v>
      </c>
      <c r="N2" s="164"/>
      <c r="O2" s="55"/>
      <c r="P2" s="164" t="s">
        <v>35</v>
      </c>
      <c r="Q2" s="168" t="s">
        <v>33</v>
      </c>
    </row>
    <row r="3" spans="1:27" s="14" customFormat="1" ht="20.45" customHeight="1" x14ac:dyDescent="0.15">
      <c r="A3" s="167"/>
      <c r="B3" s="167"/>
      <c r="C3" s="167"/>
      <c r="D3" s="168"/>
      <c r="E3" s="169"/>
      <c r="F3" s="169"/>
      <c r="G3" s="164"/>
      <c r="H3" s="55" t="s">
        <v>36</v>
      </c>
      <c r="I3" s="55" t="s">
        <v>37</v>
      </c>
      <c r="J3" s="55" t="s">
        <v>1</v>
      </c>
      <c r="K3" s="55" t="s">
        <v>36</v>
      </c>
      <c r="L3" s="55" t="s">
        <v>37</v>
      </c>
      <c r="M3" s="55" t="s">
        <v>38</v>
      </c>
      <c r="N3" s="55" t="s">
        <v>37</v>
      </c>
      <c r="O3" s="55" t="s">
        <v>39</v>
      </c>
      <c r="P3" s="164"/>
      <c r="Q3" s="168"/>
    </row>
    <row r="4" spans="1:27" ht="20.45" customHeight="1" x14ac:dyDescent="0.15">
      <c r="B4" s="13" t="s">
        <v>1448</v>
      </c>
      <c r="D4" s="170" t="s">
        <v>3214</v>
      </c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2"/>
    </row>
    <row r="5" spans="1:27" ht="20.45" customHeight="1" x14ac:dyDescent="0.15">
      <c r="B5" s="13" t="s">
        <v>3199</v>
      </c>
      <c r="D5" s="12" t="s">
        <v>3200</v>
      </c>
      <c r="E5" s="15"/>
      <c r="F5" s="31" t="s">
        <v>792</v>
      </c>
      <c r="G5" s="38">
        <v>1</v>
      </c>
      <c r="H5" s="38">
        <f>총괄표!I81</f>
        <v>344292005</v>
      </c>
      <c r="I5" s="38">
        <f>G5*H5</f>
        <v>344292005</v>
      </c>
      <c r="J5" s="38"/>
      <c r="K5" s="38">
        <f>총괄표!L81</f>
        <v>897549290</v>
      </c>
      <c r="L5" s="38">
        <f>G5*K5</f>
        <v>897549290</v>
      </c>
      <c r="M5" s="38">
        <f>총괄표!N81</f>
        <v>542331</v>
      </c>
      <c r="N5" s="38">
        <f>G5*M5</f>
        <v>542331</v>
      </c>
      <c r="O5" s="38">
        <f>IF((H5+K5+M5)=0, "", (H5+K5+M5))</f>
        <v>1242383626</v>
      </c>
      <c r="P5" s="38">
        <f>SUM(I5,L5,N5)</f>
        <v>1242383626</v>
      </c>
      <c r="Q5" s="12" t="s">
        <v>2</v>
      </c>
    </row>
    <row r="6" spans="1:27" ht="20.45" customHeight="1" x14ac:dyDescent="0.15">
      <c r="D6" s="12"/>
      <c r="E6" s="15"/>
      <c r="F6" s="31"/>
      <c r="G6" s="38"/>
      <c r="H6" s="38"/>
      <c r="I6" s="38"/>
      <c r="J6" s="38"/>
      <c r="K6" s="38"/>
      <c r="L6" s="38"/>
      <c r="M6" s="38"/>
      <c r="N6" s="38"/>
      <c r="O6" s="38"/>
      <c r="P6" s="38"/>
      <c r="Q6" s="12"/>
    </row>
    <row r="7" spans="1:27" ht="20.45" customHeight="1" x14ac:dyDescent="0.15">
      <c r="D7" s="12"/>
      <c r="E7" s="15"/>
      <c r="F7" s="31"/>
      <c r="G7" s="38"/>
      <c r="H7" s="38"/>
      <c r="I7" s="38"/>
      <c r="J7" s="38"/>
      <c r="K7" s="38"/>
      <c r="L7" s="38"/>
      <c r="M7" s="38"/>
      <c r="N7" s="38"/>
      <c r="O7" s="38"/>
      <c r="P7" s="38"/>
      <c r="Q7" s="12"/>
    </row>
    <row r="8" spans="1:27" ht="20.45" customHeight="1" x14ac:dyDescent="0.15">
      <c r="D8" s="12"/>
      <c r="E8" s="15"/>
      <c r="F8" s="31"/>
      <c r="G8" s="38"/>
      <c r="H8" s="38"/>
      <c r="I8" s="38"/>
      <c r="J8" s="38"/>
      <c r="K8" s="38"/>
      <c r="L8" s="38"/>
      <c r="M8" s="38"/>
      <c r="N8" s="38"/>
      <c r="O8" s="38"/>
      <c r="P8" s="38"/>
      <c r="Q8" s="12"/>
    </row>
    <row r="9" spans="1:27" ht="20.45" customHeight="1" x14ac:dyDescent="0.15">
      <c r="D9" s="12"/>
      <c r="E9" s="15"/>
      <c r="F9" s="31"/>
      <c r="G9" s="38"/>
      <c r="H9" s="38"/>
      <c r="I9" s="38"/>
      <c r="J9" s="38"/>
      <c r="K9" s="38"/>
      <c r="L9" s="38"/>
      <c r="M9" s="38"/>
      <c r="N9" s="38"/>
      <c r="O9" s="38"/>
      <c r="P9" s="38"/>
      <c r="Q9" s="12"/>
    </row>
    <row r="10" spans="1:27" ht="20.45" customHeight="1" x14ac:dyDescent="0.15">
      <c r="D10" s="12"/>
      <c r="E10" s="15"/>
      <c r="F10" s="31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12"/>
    </row>
    <row r="11" spans="1:27" ht="20.45" customHeight="1" x14ac:dyDescent="0.15">
      <c r="D11" s="12"/>
      <c r="E11" s="15"/>
      <c r="F11" s="31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12"/>
    </row>
    <row r="12" spans="1:27" ht="20.45" customHeight="1" x14ac:dyDescent="0.15">
      <c r="D12" s="12"/>
      <c r="E12" s="15"/>
      <c r="F12" s="31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12"/>
    </row>
    <row r="13" spans="1:27" ht="20.45" customHeight="1" x14ac:dyDescent="0.15">
      <c r="D13" s="12"/>
      <c r="E13" s="15"/>
      <c r="F13" s="31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12"/>
    </row>
    <row r="14" spans="1:27" ht="20.45" customHeight="1" x14ac:dyDescent="0.15">
      <c r="D14" s="12"/>
      <c r="E14" s="15"/>
      <c r="F14" s="31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12"/>
    </row>
    <row r="15" spans="1:27" ht="20.45" customHeight="1" x14ac:dyDescent="0.15">
      <c r="D15" s="12"/>
      <c r="E15" s="15"/>
      <c r="F15" s="31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12"/>
    </row>
    <row r="16" spans="1:27" ht="20.45" customHeight="1" x14ac:dyDescent="0.15">
      <c r="D16" s="12"/>
      <c r="E16" s="15"/>
      <c r="F16" s="31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12"/>
    </row>
    <row r="17" spans="2:17" ht="20.45" customHeight="1" x14ac:dyDescent="0.15">
      <c r="D17" s="12"/>
      <c r="E17" s="15"/>
      <c r="F17" s="31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12"/>
    </row>
    <row r="18" spans="2:17" ht="20.45" customHeight="1" x14ac:dyDescent="0.15">
      <c r="D18" s="12"/>
      <c r="E18" s="15"/>
      <c r="F18" s="31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12"/>
    </row>
    <row r="19" spans="2:17" ht="20.45" customHeight="1" x14ac:dyDescent="0.15">
      <c r="D19" s="12"/>
      <c r="E19" s="15"/>
      <c r="F19" s="31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12"/>
    </row>
    <row r="20" spans="2:17" ht="20.45" customHeight="1" x14ac:dyDescent="0.15">
      <c r="D20" s="12"/>
      <c r="E20" s="15"/>
      <c r="F20" s="31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12"/>
    </row>
    <row r="21" spans="2:17" ht="20.45" customHeight="1" x14ac:dyDescent="0.15">
      <c r="D21" s="12"/>
      <c r="E21" s="15"/>
      <c r="F21" s="31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12"/>
    </row>
    <row r="22" spans="2:17" ht="20.45" customHeight="1" x14ac:dyDescent="0.15">
      <c r="D22" s="12"/>
      <c r="E22" s="15"/>
      <c r="F22" s="31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12"/>
    </row>
    <row r="23" spans="2:17" ht="20.45" customHeight="1" x14ac:dyDescent="0.15">
      <c r="D23" s="12"/>
      <c r="E23" s="15"/>
      <c r="F23" s="31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12"/>
    </row>
    <row r="24" spans="2:17" ht="20.45" customHeight="1" x14ac:dyDescent="0.15">
      <c r="D24" s="12"/>
      <c r="E24" s="15"/>
      <c r="F24" s="31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12"/>
    </row>
    <row r="25" spans="2:17" ht="20.45" customHeight="1" x14ac:dyDescent="0.15">
      <c r="D25" s="12"/>
      <c r="E25" s="15"/>
      <c r="F25" s="31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12"/>
    </row>
    <row r="26" spans="2:17" ht="20.45" customHeight="1" x14ac:dyDescent="0.15">
      <c r="D26" s="12"/>
      <c r="E26" s="15"/>
      <c r="F26" s="31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12"/>
    </row>
    <row r="27" spans="2:17" ht="20.45" customHeight="1" x14ac:dyDescent="0.15">
      <c r="D27" s="12"/>
      <c r="E27" s="15"/>
      <c r="F27" s="31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12"/>
    </row>
    <row r="28" spans="2:17" ht="20.45" customHeight="1" x14ac:dyDescent="0.15">
      <c r="D28" s="12"/>
      <c r="E28" s="15"/>
      <c r="F28" s="31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12"/>
    </row>
    <row r="29" spans="2:17" ht="20.45" customHeight="1" x14ac:dyDescent="0.15">
      <c r="C29" s="13" t="s">
        <v>3201</v>
      </c>
      <c r="D29" s="12" t="s">
        <v>2361</v>
      </c>
      <c r="E29" s="15"/>
      <c r="F29" s="31"/>
      <c r="G29" s="38"/>
      <c r="H29" s="38"/>
      <c r="I29" s="38">
        <f>TRUNC(SUM(I4:I28))</f>
        <v>344292005</v>
      </c>
      <c r="J29" s="38"/>
      <c r="K29" s="38"/>
      <c r="L29" s="38">
        <f>TRUNC(SUM(L4:L28))</f>
        <v>897549290</v>
      </c>
      <c r="M29" s="38"/>
      <c r="N29" s="38">
        <f>TRUNC(SUM(N4:N28))</f>
        <v>542331</v>
      </c>
      <c r="O29" s="38" t="str">
        <f>IF((H29+K29+M29)=0, "", (H29+K29+M29))</f>
        <v/>
      </c>
      <c r="P29" s="38">
        <f>TRUNC(SUM(P4:P28))</f>
        <v>1242383626</v>
      </c>
      <c r="Q29" s="12"/>
    </row>
    <row r="30" spans="2:17" ht="20.45" customHeight="1" x14ac:dyDescent="0.15">
      <c r="B30" s="13" t="s">
        <v>1448</v>
      </c>
      <c r="D30" s="170" t="s">
        <v>3214</v>
      </c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2"/>
    </row>
    <row r="31" spans="2:17" ht="20.45" customHeight="1" x14ac:dyDescent="0.15">
      <c r="B31" s="13" t="s">
        <v>3202</v>
      </c>
      <c r="D31" s="12" t="s">
        <v>3203</v>
      </c>
      <c r="E31" s="15"/>
      <c r="F31" s="31" t="s">
        <v>792</v>
      </c>
      <c r="G31" s="38">
        <v>1</v>
      </c>
      <c r="H31" s="38">
        <f>총괄표!I211</f>
        <v>201825001</v>
      </c>
      <c r="I31" s="38">
        <f>G31*H31</f>
        <v>201825001</v>
      </c>
      <c r="J31" s="38"/>
      <c r="K31" s="38">
        <f>총괄표!L211</f>
        <v>0</v>
      </c>
      <c r="L31" s="38">
        <f>G31*K31</f>
        <v>0</v>
      </c>
      <c r="M31" s="38">
        <f>총괄표!N211</f>
        <v>0</v>
      </c>
      <c r="N31" s="38">
        <f>G31*M31</f>
        <v>0</v>
      </c>
      <c r="O31" s="38">
        <f>IF((H31+K31+M31)=0, "", (H31+K31+M31))</f>
        <v>201825001</v>
      </c>
      <c r="P31" s="38">
        <f>SUM(I31,L31,N31)</f>
        <v>201825001</v>
      </c>
      <c r="Q31" s="12"/>
    </row>
    <row r="32" spans="2:17" ht="20.45" customHeight="1" x14ac:dyDescent="0.15">
      <c r="B32" s="13" t="s">
        <v>3204</v>
      </c>
      <c r="D32" s="12" t="s">
        <v>3205</v>
      </c>
      <c r="E32" s="15"/>
      <c r="F32" s="31" t="s">
        <v>792</v>
      </c>
      <c r="G32" s="38">
        <v>1</v>
      </c>
      <c r="H32" s="38">
        <f>총괄표!I237</f>
        <v>424636881</v>
      </c>
      <c r="I32" s="38">
        <f>G32*H32</f>
        <v>424636881</v>
      </c>
      <c r="J32" s="38"/>
      <c r="K32" s="38">
        <f>총괄표!L237</f>
        <v>0</v>
      </c>
      <c r="L32" s="38">
        <f>G32*K32</f>
        <v>0</v>
      </c>
      <c r="M32" s="38">
        <f>총괄표!N237</f>
        <v>3070332</v>
      </c>
      <c r="N32" s="38">
        <f>G32*M32</f>
        <v>3070332</v>
      </c>
      <c r="O32" s="38">
        <f>IF((H32+K32+M32)=0, "", (H32+K32+M32))</f>
        <v>427707213</v>
      </c>
      <c r="P32" s="38">
        <f>SUM(I32,L32,N32)</f>
        <v>427707213</v>
      </c>
      <c r="Q32" s="12"/>
    </row>
    <row r="33" spans="4:17" ht="20.45" customHeight="1" x14ac:dyDescent="0.15">
      <c r="D33" s="12"/>
      <c r="E33" s="15"/>
      <c r="F33" s="31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12"/>
    </row>
    <row r="34" spans="4:17" ht="20.45" customHeight="1" x14ac:dyDescent="0.15">
      <c r="D34" s="12"/>
      <c r="E34" s="15"/>
      <c r="F34" s="31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12"/>
    </row>
    <row r="35" spans="4:17" ht="20.45" customHeight="1" x14ac:dyDescent="0.15">
      <c r="D35" s="12"/>
      <c r="E35" s="15"/>
      <c r="F35" s="31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12"/>
    </row>
    <row r="36" spans="4:17" ht="20.45" customHeight="1" x14ac:dyDescent="0.15">
      <c r="D36" s="12"/>
      <c r="E36" s="15"/>
      <c r="F36" s="31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12"/>
    </row>
    <row r="37" spans="4:17" ht="20.45" customHeight="1" x14ac:dyDescent="0.15">
      <c r="D37" s="12"/>
      <c r="E37" s="15"/>
      <c r="F37" s="31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12"/>
    </row>
    <row r="38" spans="4:17" ht="20.45" customHeight="1" x14ac:dyDescent="0.15">
      <c r="D38" s="12"/>
      <c r="E38" s="15"/>
      <c r="F38" s="31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12"/>
    </row>
    <row r="39" spans="4:17" ht="20.45" customHeight="1" x14ac:dyDescent="0.15">
      <c r="D39" s="12"/>
      <c r="E39" s="15"/>
      <c r="F39" s="31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12"/>
    </row>
    <row r="40" spans="4:17" ht="20.45" customHeight="1" x14ac:dyDescent="0.15">
      <c r="D40" s="12"/>
      <c r="E40" s="15"/>
      <c r="F40" s="31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12"/>
    </row>
    <row r="41" spans="4:17" ht="20.45" customHeight="1" x14ac:dyDescent="0.15">
      <c r="D41" s="12"/>
      <c r="E41" s="15"/>
      <c r="F41" s="31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12"/>
    </row>
    <row r="42" spans="4:17" ht="20.45" customHeight="1" x14ac:dyDescent="0.15">
      <c r="D42" s="12"/>
      <c r="E42" s="15"/>
      <c r="F42" s="31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12"/>
    </row>
    <row r="43" spans="4:17" ht="20.45" customHeight="1" x14ac:dyDescent="0.15">
      <c r="D43" s="12"/>
      <c r="E43" s="15"/>
      <c r="F43" s="31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12"/>
    </row>
    <row r="44" spans="4:17" ht="20.45" customHeight="1" x14ac:dyDescent="0.15">
      <c r="D44" s="12"/>
      <c r="E44" s="15"/>
      <c r="F44" s="31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12"/>
    </row>
    <row r="45" spans="4:17" ht="20.45" customHeight="1" x14ac:dyDescent="0.15">
      <c r="D45" s="12"/>
      <c r="E45" s="15"/>
      <c r="F45" s="31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12"/>
    </row>
    <row r="46" spans="4:17" ht="20.45" customHeight="1" x14ac:dyDescent="0.15">
      <c r="D46" s="12"/>
      <c r="E46" s="15"/>
      <c r="F46" s="31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12"/>
    </row>
    <row r="47" spans="4:17" ht="20.45" customHeight="1" x14ac:dyDescent="0.15">
      <c r="D47" s="12"/>
      <c r="E47" s="15"/>
      <c r="F47" s="31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12"/>
    </row>
    <row r="48" spans="4:17" ht="20.45" customHeight="1" x14ac:dyDescent="0.15">
      <c r="D48" s="12"/>
      <c r="E48" s="15"/>
      <c r="F48" s="31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12"/>
    </row>
    <row r="49" spans="2:17" ht="20.45" customHeight="1" x14ac:dyDescent="0.15">
      <c r="D49" s="12"/>
      <c r="E49" s="15"/>
      <c r="F49" s="31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12"/>
    </row>
    <row r="50" spans="2:17" ht="20.45" customHeight="1" x14ac:dyDescent="0.15">
      <c r="D50" s="12"/>
      <c r="E50" s="15"/>
      <c r="F50" s="31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12"/>
    </row>
    <row r="51" spans="2:17" ht="20.45" customHeight="1" x14ac:dyDescent="0.15">
      <c r="D51" s="12"/>
      <c r="E51" s="15"/>
      <c r="F51" s="31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12"/>
    </row>
    <row r="52" spans="2:17" ht="20.45" customHeight="1" x14ac:dyDescent="0.15">
      <c r="D52" s="12"/>
      <c r="E52" s="15"/>
      <c r="F52" s="31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12"/>
    </row>
    <row r="53" spans="2:17" ht="20.45" customHeight="1" x14ac:dyDescent="0.15">
      <c r="D53" s="12"/>
      <c r="E53" s="15"/>
      <c r="F53" s="31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12"/>
    </row>
    <row r="54" spans="2:17" ht="20.45" customHeight="1" x14ac:dyDescent="0.15">
      <c r="D54" s="12"/>
      <c r="E54" s="15"/>
      <c r="F54" s="31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12"/>
    </row>
    <row r="55" spans="2:17" ht="20.45" customHeight="1" x14ac:dyDescent="0.15">
      <c r="C55" s="13" t="s">
        <v>3201</v>
      </c>
      <c r="D55" s="12" t="s">
        <v>2361</v>
      </c>
      <c r="E55" s="15"/>
      <c r="F55" s="31"/>
      <c r="G55" s="38"/>
      <c r="H55" s="38"/>
      <c r="I55" s="38">
        <f>TRUNC(SUM(I30:I54))</f>
        <v>626461882</v>
      </c>
      <c r="J55" s="38"/>
      <c r="K55" s="38"/>
      <c r="L55" s="38">
        <f>TRUNC(SUM(L30:L54))</f>
        <v>0</v>
      </c>
      <c r="M55" s="38"/>
      <c r="N55" s="38">
        <f>TRUNC(SUM(N30:N54))</f>
        <v>3070332</v>
      </c>
      <c r="O55" s="38" t="str">
        <f>IF((H55+K55+M55)=0, "", (H55+K55+M55))</f>
        <v/>
      </c>
      <c r="P55" s="38">
        <f>TRUNC(SUM(P30:P54))</f>
        <v>629532214</v>
      </c>
      <c r="Q55" s="12"/>
    </row>
    <row r="56" spans="2:17" ht="20.45" customHeight="1" x14ac:dyDescent="0.15">
      <c r="B56" s="13" t="s">
        <v>1448</v>
      </c>
      <c r="D56" s="170" t="s">
        <v>3200</v>
      </c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2"/>
    </row>
    <row r="57" spans="2:17" ht="20.45" customHeight="1" x14ac:dyDescent="0.15">
      <c r="B57" s="13" t="s">
        <v>3206</v>
      </c>
      <c r="D57" s="12" t="s">
        <v>3207</v>
      </c>
      <c r="E57" s="15"/>
      <c r="F57" s="31" t="s">
        <v>792</v>
      </c>
      <c r="G57" s="38">
        <v>1</v>
      </c>
      <c r="H57" s="38">
        <f>총괄표!I107</f>
        <v>189884042</v>
      </c>
      <c r="I57" s="38">
        <f>G57*H57</f>
        <v>189884042</v>
      </c>
      <c r="J57" s="38"/>
      <c r="K57" s="38">
        <f>총괄표!L107</f>
        <v>644295815</v>
      </c>
      <c r="L57" s="38">
        <f>G57*K57</f>
        <v>644295815</v>
      </c>
      <c r="M57" s="38">
        <f>총괄표!N107</f>
        <v>2508</v>
      </c>
      <c r="N57" s="38">
        <f>G57*M57</f>
        <v>2508</v>
      </c>
      <c r="O57" s="38">
        <f>IF((H57+K57+M57)=0, "", (H57+K57+M57))</f>
        <v>834182365</v>
      </c>
      <c r="P57" s="38">
        <f>SUM(I57,L57,N57)</f>
        <v>834182365</v>
      </c>
      <c r="Q57" s="12"/>
    </row>
    <row r="58" spans="2:17" ht="20.45" customHeight="1" x14ac:dyDescent="0.15">
      <c r="B58" s="13" t="s">
        <v>3208</v>
      </c>
      <c r="D58" s="12" t="s">
        <v>3209</v>
      </c>
      <c r="E58" s="15"/>
      <c r="F58" s="31" t="s">
        <v>792</v>
      </c>
      <c r="G58" s="38">
        <v>1</v>
      </c>
      <c r="H58" s="38">
        <f>총괄표!I159</f>
        <v>17288143</v>
      </c>
      <c r="I58" s="38">
        <f>G58*H58</f>
        <v>17288143</v>
      </c>
      <c r="J58" s="38"/>
      <c r="K58" s="38">
        <f>총괄표!L159</f>
        <v>44218688</v>
      </c>
      <c r="L58" s="38">
        <f>G58*K58</f>
        <v>44218688</v>
      </c>
      <c r="M58" s="38">
        <f>총괄표!N159</f>
        <v>0</v>
      </c>
      <c r="N58" s="38">
        <f>G58*M58</f>
        <v>0</v>
      </c>
      <c r="O58" s="38">
        <f>IF((H58+K58+M58)=0, "", (H58+K58+M58))</f>
        <v>61506831</v>
      </c>
      <c r="P58" s="38">
        <f>SUM(I58,L58,N58)</f>
        <v>61506831</v>
      </c>
      <c r="Q58" s="12"/>
    </row>
    <row r="59" spans="2:17" ht="20.45" customHeight="1" x14ac:dyDescent="0.15">
      <c r="B59" s="13" t="s">
        <v>3210</v>
      </c>
      <c r="D59" s="12" t="s">
        <v>3211</v>
      </c>
      <c r="E59" s="15"/>
      <c r="F59" s="31" t="s">
        <v>792</v>
      </c>
      <c r="G59" s="38">
        <v>1</v>
      </c>
      <c r="H59" s="38">
        <f>총괄표!I185</f>
        <v>137119820</v>
      </c>
      <c r="I59" s="38">
        <f>G59*H59</f>
        <v>137119820</v>
      </c>
      <c r="J59" s="38"/>
      <c r="K59" s="38">
        <f>총괄표!L185</f>
        <v>209034787</v>
      </c>
      <c r="L59" s="38">
        <f>G59*K59</f>
        <v>209034787</v>
      </c>
      <c r="M59" s="38">
        <f>총괄표!N185</f>
        <v>539823</v>
      </c>
      <c r="N59" s="38">
        <f>G59*M59</f>
        <v>539823</v>
      </c>
      <c r="O59" s="38">
        <f>IF((H59+K59+M59)=0, "", (H59+K59+M59))</f>
        <v>346694430</v>
      </c>
      <c r="P59" s="38">
        <f>SUM(I59,L59,N59)</f>
        <v>346694430</v>
      </c>
      <c r="Q59" s="12"/>
    </row>
    <row r="60" spans="2:17" ht="20.45" customHeight="1" x14ac:dyDescent="0.15">
      <c r="D60" s="12"/>
      <c r="E60" s="15"/>
      <c r="F60" s="31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12"/>
    </row>
    <row r="61" spans="2:17" ht="20.45" customHeight="1" x14ac:dyDescent="0.15">
      <c r="D61" s="12"/>
      <c r="E61" s="15"/>
      <c r="F61" s="31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12"/>
    </row>
    <row r="62" spans="2:17" ht="20.45" customHeight="1" x14ac:dyDescent="0.15">
      <c r="D62" s="12"/>
      <c r="E62" s="15"/>
      <c r="F62" s="31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12"/>
    </row>
    <row r="63" spans="2:17" ht="20.45" customHeight="1" x14ac:dyDescent="0.15">
      <c r="D63" s="12"/>
      <c r="E63" s="15"/>
      <c r="F63" s="31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12"/>
    </row>
    <row r="64" spans="2:17" ht="20.45" customHeight="1" x14ac:dyDescent="0.15">
      <c r="D64" s="12"/>
      <c r="E64" s="15"/>
      <c r="F64" s="31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12"/>
    </row>
    <row r="65" spans="4:17" ht="20.45" customHeight="1" x14ac:dyDescent="0.15">
      <c r="D65" s="12"/>
      <c r="E65" s="15"/>
      <c r="F65" s="31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12"/>
    </row>
    <row r="66" spans="4:17" ht="20.45" customHeight="1" x14ac:dyDescent="0.15">
      <c r="D66" s="12"/>
      <c r="E66" s="15"/>
      <c r="F66" s="31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12"/>
    </row>
    <row r="67" spans="4:17" ht="20.45" customHeight="1" x14ac:dyDescent="0.15">
      <c r="D67" s="12"/>
      <c r="E67" s="15"/>
      <c r="F67" s="31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12"/>
    </row>
    <row r="68" spans="4:17" ht="20.45" customHeight="1" x14ac:dyDescent="0.15">
      <c r="D68" s="12"/>
      <c r="E68" s="15"/>
      <c r="F68" s="31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12"/>
    </row>
    <row r="69" spans="4:17" ht="20.45" customHeight="1" x14ac:dyDescent="0.15">
      <c r="D69" s="12"/>
      <c r="E69" s="15"/>
      <c r="F69" s="31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12"/>
    </row>
    <row r="70" spans="4:17" ht="20.45" customHeight="1" x14ac:dyDescent="0.15">
      <c r="D70" s="12"/>
      <c r="E70" s="15"/>
      <c r="F70" s="31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12"/>
    </row>
    <row r="71" spans="4:17" ht="20.45" customHeight="1" x14ac:dyDescent="0.15">
      <c r="D71" s="12"/>
      <c r="E71" s="15"/>
      <c r="F71" s="31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12"/>
    </row>
    <row r="72" spans="4:17" ht="20.45" customHeight="1" x14ac:dyDescent="0.15">
      <c r="D72" s="12"/>
      <c r="E72" s="15"/>
      <c r="F72" s="31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12"/>
    </row>
    <row r="73" spans="4:17" ht="20.45" customHeight="1" x14ac:dyDescent="0.15">
      <c r="D73" s="12"/>
      <c r="E73" s="15"/>
      <c r="F73" s="31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12"/>
    </row>
    <row r="74" spans="4:17" ht="20.45" customHeight="1" x14ac:dyDescent="0.15">
      <c r="D74" s="12"/>
      <c r="E74" s="15"/>
      <c r="F74" s="31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12"/>
    </row>
    <row r="75" spans="4:17" ht="20.45" customHeight="1" x14ac:dyDescent="0.15">
      <c r="D75" s="12"/>
      <c r="E75" s="15"/>
      <c r="F75" s="31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12"/>
    </row>
    <row r="76" spans="4:17" ht="20.45" customHeight="1" x14ac:dyDescent="0.15">
      <c r="D76" s="12"/>
      <c r="E76" s="15"/>
      <c r="F76" s="31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12"/>
    </row>
    <row r="77" spans="4:17" ht="20.45" customHeight="1" x14ac:dyDescent="0.15">
      <c r="D77" s="12"/>
      <c r="E77" s="15"/>
      <c r="F77" s="31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12"/>
    </row>
    <row r="78" spans="4:17" ht="20.45" customHeight="1" x14ac:dyDescent="0.15">
      <c r="D78" s="12"/>
      <c r="E78" s="15"/>
      <c r="F78" s="31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12"/>
    </row>
    <row r="79" spans="4:17" ht="20.45" customHeight="1" x14ac:dyDescent="0.15">
      <c r="D79" s="12"/>
      <c r="E79" s="15"/>
      <c r="F79" s="31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12"/>
    </row>
    <row r="80" spans="4:17" ht="20.45" customHeight="1" x14ac:dyDescent="0.15">
      <c r="D80" s="12"/>
      <c r="E80" s="15"/>
      <c r="F80" s="31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12"/>
    </row>
    <row r="81" spans="2:17" ht="20.45" customHeight="1" x14ac:dyDescent="0.15">
      <c r="B81" s="13" t="s">
        <v>3199</v>
      </c>
      <c r="C81" s="13" t="s">
        <v>3201</v>
      </c>
      <c r="D81" s="12" t="s">
        <v>2361</v>
      </c>
      <c r="E81" s="15"/>
      <c r="F81" s="31"/>
      <c r="G81" s="38"/>
      <c r="H81" s="38"/>
      <c r="I81" s="38">
        <f>TRUNC(SUM(I56:I80))</f>
        <v>344292005</v>
      </c>
      <c r="J81" s="38"/>
      <c r="K81" s="38"/>
      <c r="L81" s="38">
        <f>TRUNC(SUM(L56:L80))</f>
        <v>897549290</v>
      </c>
      <c r="M81" s="38"/>
      <c r="N81" s="38">
        <f>TRUNC(SUM(N56:N80))</f>
        <v>542331</v>
      </c>
      <c r="O81" s="38" t="str">
        <f>IF((H81+K81+M81)=0, "", (H81+K81+M81))</f>
        <v/>
      </c>
      <c r="P81" s="38">
        <f>TRUNC(SUM(P56:P80))</f>
        <v>1242383626</v>
      </c>
      <c r="Q81" s="12"/>
    </row>
    <row r="82" spans="2:17" ht="20.45" customHeight="1" x14ac:dyDescent="0.15">
      <c r="B82" s="13" t="s">
        <v>1448</v>
      </c>
      <c r="D82" s="170" t="s">
        <v>3215</v>
      </c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2"/>
    </row>
    <row r="83" spans="2:17" ht="20.45" customHeight="1" x14ac:dyDescent="0.15">
      <c r="B83" s="13" t="s">
        <v>3212</v>
      </c>
      <c r="D83" s="12" t="s">
        <v>3213</v>
      </c>
      <c r="E83" s="15"/>
      <c r="F83" s="31" t="s">
        <v>792</v>
      </c>
      <c r="G83" s="38">
        <v>1</v>
      </c>
      <c r="H83" s="38">
        <f>총괄표!I133</f>
        <v>70170959</v>
      </c>
      <c r="I83" s="38">
        <f t="shared" ref="I83:I90" si="0">G83*H83</f>
        <v>70170959</v>
      </c>
      <c r="J83" s="38"/>
      <c r="K83" s="38">
        <f>총괄표!L133</f>
        <v>445848834</v>
      </c>
      <c r="L83" s="38">
        <f t="shared" ref="L83:L90" si="1">G83*K83</f>
        <v>445848834</v>
      </c>
      <c r="M83" s="38">
        <f>총괄표!N133</f>
        <v>0</v>
      </c>
      <c r="N83" s="38">
        <f t="shared" ref="N83:N90" si="2">G83*M83</f>
        <v>0</v>
      </c>
      <c r="O83" s="38">
        <f t="shared" ref="O83:O90" si="3">IF((H83+K83+M83)=0, "", (H83+K83+M83))</f>
        <v>516019793</v>
      </c>
      <c r="P83" s="38">
        <f t="shared" ref="P83:P90" si="4">SUM(I83,L83,N83)</f>
        <v>516019793</v>
      </c>
      <c r="Q83" s="12"/>
    </row>
    <row r="84" spans="2:17" ht="20.45" customHeight="1" x14ac:dyDescent="0.15">
      <c r="B84" s="13" t="s">
        <v>3037</v>
      </c>
      <c r="D84" s="12" t="s">
        <v>131</v>
      </c>
      <c r="E84" s="15"/>
      <c r="F84" s="31" t="s">
        <v>792</v>
      </c>
      <c r="G84" s="38">
        <v>1</v>
      </c>
      <c r="H84" s="38">
        <f>내역서!I289</f>
        <v>51374819</v>
      </c>
      <c r="I84" s="38">
        <f t="shared" si="0"/>
        <v>51374819</v>
      </c>
      <c r="J84" s="38"/>
      <c r="K84" s="38">
        <f>내역서!L289</f>
        <v>87042155</v>
      </c>
      <c r="L84" s="38">
        <f t="shared" si="1"/>
        <v>87042155</v>
      </c>
      <c r="M84" s="38">
        <f>내역서!N289</f>
        <v>0</v>
      </c>
      <c r="N84" s="38">
        <f t="shared" si="2"/>
        <v>0</v>
      </c>
      <c r="O84" s="38">
        <f t="shared" si="3"/>
        <v>138416974</v>
      </c>
      <c r="P84" s="38">
        <f t="shared" si="4"/>
        <v>138416974</v>
      </c>
      <c r="Q84" s="12"/>
    </row>
    <row r="85" spans="2:17" ht="20.45" customHeight="1" x14ac:dyDescent="0.15">
      <c r="B85" s="13" t="s">
        <v>3038</v>
      </c>
      <c r="D85" s="12" t="s">
        <v>132</v>
      </c>
      <c r="E85" s="15"/>
      <c r="F85" s="31" t="s">
        <v>792</v>
      </c>
      <c r="G85" s="38">
        <v>1</v>
      </c>
      <c r="H85" s="38">
        <f>내역서!I315</f>
        <v>412004</v>
      </c>
      <c r="I85" s="38">
        <f t="shared" si="0"/>
        <v>412004</v>
      </c>
      <c r="J85" s="38"/>
      <c r="K85" s="38">
        <f>내역서!L315</f>
        <v>1359615</v>
      </c>
      <c r="L85" s="38">
        <f t="shared" si="1"/>
        <v>1359615</v>
      </c>
      <c r="M85" s="38">
        <f>내역서!N315</f>
        <v>0</v>
      </c>
      <c r="N85" s="38">
        <f t="shared" si="2"/>
        <v>0</v>
      </c>
      <c r="O85" s="38">
        <f t="shared" si="3"/>
        <v>1771619</v>
      </c>
      <c r="P85" s="38">
        <f t="shared" si="4"/>
        <v>1771619</v>
      </c>
      <c r="Q85" s="12"/>
    </row>
    <row r="86" spans="2:17" ht="20.45" customHeight="1" x14ac:dyDescent="0.15">
      <c r="B86" s="13" t="s">
        <v>3039</v>
      </c>
      <c r="D86" s="12" t="s">
        <v>133</v>
      </c>
      <c r="E86" s="15"/>
      <c r="F86" s="31" t="s">
        <v>792</v>
      </c>
      <c r="G86" s="38">
        <v>1</v>
      </c>
      <c r="H86" s="38">
        <f>내역서!I341</f>
        <v>3339695</v>
      </c>
      <c r="I86" s="38">
        <f t="shared" si="0"/>
        <v>3339695</v>
      </c>
      <c r="J86" s="38"/>
      <c r="K86" s="38">
        <f>내역서!L341</f>
        <v>29974439</v>
      </c>
      <c r="L86" s="38">
        <f t="shared" si="1"/>
        <v>29974439</v>
      </c>
      <c r="M86" s="38">
        <f>내역서!N341</f>
        <v>0</v>
      </c>
      <c r="N86" s="38">
        <f t="shared" si="2"/>
        <v>0</v>
      </c>
      <c r="O86" s="38">
        <f t="shared" si="3"/>
        <v>33314134</v>
      </c>
      <c r="P86" s="38">
        <f t="shared" si="4"/>
        <v>33314134</v>
      </c>
      <c r="Q86" s="12"/>
    </row>
    <row r="87" spans="2:17" ht="20.45" customHeight="1" x14ac:dyDescent="0.15">
      <c r="B87" s="13" t="s">
        <v>3040</v>
      </c>
      <c r="D87" s="12" t="s">
        <v>134</v>
      </c>
      <c r="E87" s="15"/>
      <c r="F87" s="31" t="s">
        <v>792</v>
      </c>
      <c r="G87" s="38">
        <v>1</v>
      </c>
      <c r="H87" s="38">
        <f>내역서!I367</f>
        <v>1815363</v>
      </c>
      <c r="I87" s="38">
        <f t="shared" si="0"/>
        <v>1815363</v>
      </c>
      <c r="J87" s="38"/>
      <c r="K87" s="38">
        <f>내역서!L367</f>
        <v>8043692</v>
      </c>
      <c r="L87" s="38">
        <f t="shared" si="1"/>
        <v>8043692</v>
      </c>
      <c r="M87" s="38">
        <f>내역서!N367</f>
        <v>0</v>
      </c>
      <c r="N87" s="38">
        <f t="shared" si="2"/>
        <v>0</v>
      </c>
      <c r="O87" s="38">
        <f t="shared" si="3"/>
        <v>9859055</v>
      </c>
      <c r="P87" s="38">
        <f t="shared" si="4"/>
        <v>9859055</v>
      </c>
      <c r="Q87" s="12"/>
    </row>
    <row r="88" spans="2:17" ht="20.45" customHeight="1" x14ac:dyDescent="0.15">
      <c r="B88" s="13" t="s">
        <v>3041</v>
      </c>
      <c r="D88" s="12" t="s">
        <v>135</v>
      </c>
      <c r="E88" s="15"/>
      <c r="F88" s="31" t="s">
        <v>792</v>
      </c>
      <c r="G88" s="38">
        <v>1</v>
      </c>
      <c r="H88" s="38">
        <f>내역서!I393</f>
        <v>8415881</v>
      </c>
      <c r="I88" s="38">
        <f t="shared" si="0"/>
        <v>8415881</v>
      </c>
      <c r="J88" s="38"/>
      <c r="K88" s="38">
        <f>내역서!L393</f>
        <v>11631411</v>
      </c>
      <c r="L88" s="38">
        <f t="shared" si="1"/>
        <v>11631411</v>
      </c>
      <c r="M88" s="38">
        <f>내역서!N393</f>
        <v>2508</v>
      </c>
      <c r="N88" s="38">
        <f t="shared" si="2"/>
        <v>2508</v>
      </c>
      <c r="O88" s="38">
        <f t="shared" si="3"/>
        <v>20049800</v>
      </c>
      <c r="P88" s="38">
        <f t="shared" si="4"/>
        <v>20049800</v>
      </c>
      <c r="Q88" s="12"/>
    </row>
    <row r="89" spans="2:17" ht="20.45" customHeight="1" x14ac:dyDescent="0.15">
      <c r="B89" s="13" t="s">
        <v>3042</v>
      </c>
      <c r="D89" s="12" t="s">
        <v>136</v>
      </c>
      <c r="E89" s="15"/>
      <c r="F89" s="31" t="s">
        <v>792</v>
      </c>
      <c r="G89" s="38">
        <v>1</v>
      </c>
      <c r="H89" s="38">
        <f>내역서!I419</f>
        <v>4736754</v>
      </c>
      <c r="I89" s="38">
        <f t="shared" si="0"/>
        <v>4736754</v>
      </c>
      <c r="J89" s="38"/>
      <c r="K89" s="38">
        <f>내역서!L419</f>
        <v>9995296</v>
      </c>
      <c r="L89" s="38">
        <f t="shared" si="1"/>
        <v>9995296</v>
      </c>
      <c r="M89" s="38">
        <f>내역서!N419</f>
        <v>0</v>
      </c>
      <c r="N89" s="38">
        <f t="shared" si="2"/>
        <v>0</v>
      </c>
      <c r="O89" s="38">
        <f t="shared" si="3"/>
        <v>14732050</v>
      </c>
      <c r="P89" s="38">
        <f t="shared" si="4"/>
        <v>14732050</v>
      </c>
      <c r="Q89" s="12"/>
    </row>
    <row r="90" spans="2:17" ht="20.45" customHeight="1" x14ac:dyDescent="0.15">
      <c r="B90" s="13" t="s">
        <v>3043</v>
      </c>
      <c r="D90" s="12" t="s">
        <v>137</v>
      </c>
      <c r="E90" s="15"/>
      <c r="F90" s="31" t="s">
        <v>792</v>
      </c>
      <c r="G90" s="38">
        <v>1</v>
      </c>
      <c r="H90" s="38">
        <f>내역서!I445</f>
        <v>49618567</v>
      </c>
      <c r="I90" s="38">
        <f t="shared" si="0"/>
        <v>49618567</v>
      </c>
      <c r="J90" s="38"/>
      <c r="K90" s="38">
        <f>내역서!L445</f>
        <v>50400373</v>
      </c>
      <c r="L90" s="38">
        <f t="shared" si="1"/>
        <v>50400373</v>
      </c>
      <c r="M90" s="38">
        <f>내역서!N445</f>
        <v>0</v>
      </c>
      <c r="N90" s="38">
        <f t="shared" si="2"/>
        <v>0</v>
      </c>
      <c r="O90" s="38">
        <f t="shared" si="3"/>
        <v>100018940</v>
      </c>
      <c r="P90" s="38">
        <f t="shared" si="4"/>
        <v>100018940</v>
      </c>
      <c r="Q90" s="12"/>
    </row>
    <row r="91" spans="2:17" ht="20.45" customHeight="1" x14ac:dyDescent="0.15">
      <c r="D91" s="12"/>
      <c r="E91" s="15"/>
      <c r="F91" s="31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12"/>
    </row>
    <row r="92" spans="2:17" ht="20.45" customHeight="1" x14ac:dyDescent="0.15">
      <c r="D92" s="12"/>
      <c r="E92" s="15"/>
      <c r="F92" s="31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12"/>
    </row>
    <row r="93" spans="2:17" ht="20.45" customHeight="1" x14ac:dyDescent="0.15">
      <c r="D93" s="12"/>
      <c r="E93" s="15"/>
      <c r="F93" s="31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12"/>
    </row>
    <row r="94" spans="2:17" ht="20.45" customHeight="1" x14ac:dyDescent="0.15">
      <c r="D94" s="12"/>
      <c r="E94" s="15"/>
      <c r="F94" s="31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12"/>
    </row>
    <row r="95" spans="2:17" ht="20.45" customHeight="1" x14ac:dyDescent="0.15">
      <c r="D95" s="12"/>
      <c r="E95" s="15"/>
      <c r="F95" s="31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12"/>
    </row>
    <row r="96" spans="2:17" ht="20.45" customHeight="1" x14ac:dyDescent="0.15">
      <c r="D96" s="12"/>
      <c r="E96" s="15"/>
      <c r="F96" s="31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12"/>
    </row>
    <row r="97" spans="2:17" ht="20.45" customHeight="1" x14ac:dyDescent="0.15">
      <c r="D97" s="12"/>
      <c r="E97" s="15"/>
      <c r="F97" s="31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12"/>
    </row>
    <row r="98" spans="2:17" ht="20.45" customHeight="1" x14ac:dyDescent="0.15">
      <c r="D98" s="12"/>
      <c r="E98" s="15"/>
      <c r="F98" s="31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12"/>
    </row>
    <row r="99" spans="2:17" ht="20.45" customHeight="1" x14ac:dyDescent="0.15">
      <c r="D99" s="12"/>
      <c r="E99" s="15"/>
      <c r="F99" s="31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12"/>
    </row>
    <row r="100" spans="2:17" ht="20.45" customHeight="1" x14ac:dyDescent="0.15">
      <c r="D100" s="12"/>
      <c r="E100" s="15"/>
      <c r="F100" s="31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12"/>
    </row>
    <row r="101" spans="2:17" ht="20.45" customHeight="1" x14ac:dyDescent="0.15">
      <c r="D101" s="12"/>
      <c r="E101" s="15"/>
      <c r="F101" s="31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12"/>
    </row>
    <row r="102" spans="2:17" ht="20.45" customHeight="1" x14ac:dyDescent="0.15">
      <c r="D102" s="12"/>
      <c r="E102" s="15"/>
      <c r="F102" s="31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12"/>
    </row>
    <row r="103" spans="2:17" ht="20.45" customHeight="1" x14ac:dyDescent="0.15">
      <c r="D103" s="12"/>
      <c r="E103" s="15"/>
      <c r="F103" s="31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12"/>
    </row>
    <row r="104" spans="2:17" ht="20.45" customHeight="1" x14ac:dyDescent="0.15">
      <c r="D104" s="12"/>
      <c r="E104" s="15"/>
      <c r="F104" s="31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12"/>
    </row>
    <row r="105" spans="2:17" ht="20.45" customHeight="1" x14ac:dyDescent="0.15">
      <c r="D105" s="12"/>
      <c r="E105" s="15"/>
      <c r="F105" s="31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12"/>
    </row>
    <row r="106" spans="2:17" ht="20.45" customHeight="1" x14ac:dyDescent="0.15">
      <c r="D106" s="12"/>
      <c r="E106" s="15"/>
      <c r="F106" s="31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12"/>
    </row>
    <row r="107" spans="2:17" ht="20.45" customHeight="1" x14ac:dyDescent="0.15">
      <c r="B107" s="13" t="s">
        <v>3206</v>
      </c>
      <c r="C107" s="13" t="s">
        <v>3201</v>
      </c>
      <c r="D107" s="12" t="s">
        <v>2361</v>
      </c>
      <c r="E107" s="15"/>
      <c r="F107" s="31"/>
      <c r="G107" s="38"/>
      <c r="H107" s="38"/>
      <c r="I107" s="38">
        <f>TRUNC(SUM(I82:I106))</f>
        <v>189884042</v>
      </c>
      <c r="J107" s="38"/>
      <c r="K107" s="38"/>
      <c r="L107" s="38">
        <f>TRUNC(SUM(L82:L106))</f>
        <v>644295815</v>
      </c>
      <c r="M107" s="38"/>
      <c r="N107" s="38">
        <f>TRUNC(SUM(N82:N106))</f>
        <v>2508</v>
      </c>
      <c r="O107" s="38" t="str">
        <f>IF((H107+K107+M107)=0, "", (H107+K107+M107))</f>
        <v/>
      </c>
      <c r="P107" s="38">
        <f>TRUNC(SUM(P82:P106))</f>
        <v>834182365</v>
      </c>
      <c r="Q107" s="12"/>
    </row>
    <row r="108" spans="2:17" ht="20.45" customHeight="1" x14ac:dyDescent="0.15">
      <c r="B108" s="13" t="s">
        <v>1448</v>
      </c>
      <c r="D108" s="170" t="s">
        <v>3216</v>
      </c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2"/>
    </row>
    <row r="109" spans="2:17" ht="20.45" customHeight="1" x14ac:dyDescent="0.15">
      <c r="B109" s="13" t="s">
        <v>3033</v>
      </c>
      <c r="D109" s="12" t="s">
        <v>138</v>
      </c>
      <c r="E109" s="15"/>
      <c r="F109" s="31" t="s">
        <v>792</v>
      </c>
      <c r="G109" s="38">
        <v>1</v>
      </c>
      <c r="H109" s="38">
        <f>내역서!I55</f>
        <v>3695743</v>
      </c>
      <c r="I109" s="38">
        <f>G109*H109</f>
        <v>3695743</v>
      </c>
      <c r="J109" s="38"/>
      <c r="K109" s="38">
        <f>내역서!L55</f>
        <v>24100672</v>
      </c>
      <c r="L109" s="38">
        <f>G109*K109</f>
        <v>24100672</v>
      </c>
      <c r="M109" s="38">
        <f>내역서!N55</f>
        <v>0</v>
      </c>
      <c r="N109" s="38">
        <f>G109*M109</f>
        <v>0</v>
      </c>
      <c r="O109" s="38">
        <f>IF((H109+K109+M109)=0, "", (H109+K109+M109))</f>
        <v>27796415</v>
      </c>
      <c r="P109" s="38">
        <f>SUM(I109,L109,N109)</f>
        <v>27796415</v>
      </c>
      <c r="Q109" s="12"/>
    </row>
    <row r="110" spans="2:17" ht="20.45" customHeight="1" x14ac:dyDescent="0.15">
      <c r="B110" s="13" t="s">
        <v>3034</v>
      </c>
      <c r="D110" s="12" t="s">
        <v>139</v>
      </c>
      <c r="E110" s="15"/>
      <c r="F110" s="31" t="s">
        <v>792</v>
      </c>
      <c r="G110" s="38">
        <v>1</v>
      </c>
      <c r="H110" s="38">
        <f>내역서!I107</f>
        <v>36293190</v>
      </c>
      <c r="I110" s="38">
        <f>G110*H110</f>
        <v>36293190</v>
      </c>
      <c r="J110" s="38"/>
      <c r="K110" s="38">
        <f>내역서!L107</f>
        <v>236792377</v>
      </c>
      <c r="L110" s="38">
        <f>G110*K110</f>
        <v>236792377</v>
      </c>
      <c r="M110" s="38">
        <f>내역서!N107</f>
        <v>0</v>
      </c>
      <c r="N110" s="38">
        <f>G110*M110</f>
        <v>0</v>
      </c>
      <c r="O110" s="38">
        <f>IF((H110+K110+M110)=0, "", (H110+K110+M110))</f>
        <v>273085567</v>
      </c>
      <c r="P110" s="38">
        <f>SUM(I110,L110,N110)</f>
        <v>273085567</v>
      </c>
      <c r="Q110" s="12"/>
    </row>
    <row r="111" spans="2:17" ht="20.45" customHeight="1" x14ac:dyDescent="0.15">
      <c r="B111" s="13" t="s">
        <v>3035</v>
      </c>
      <c r="D111" s="12" t="s">
        <v>140</v>
      </c>
      <c r="E111" s="15"/>
      <c r="F111" s="31" t="s">
        <v>792</v>
      </c>
      <c r="G111" s="38">
        <v>1</v>
      </c>
      <c r="H111" s="38">
        <f>내역서!I159</f>
        <v>15770169</v>
      </c>
      <c r="I111" s="38">
        <f>G111*H111</f>
        <v>15770169</v>
      </c>
      <c r="J111" s="38"/>
      <c r="K111" s="38">
        <f>내역서!L159</f>
        <v>103149180</v>
      </c>
      <c r="L111" s="38">
        <f>G111*K111</f>
        <v>103149180</v>
      </c>
      <c r="M111" s="38">
        <f>내역서!N159</f>
        <v>0</v>
      </c>
      <c r="N111" s="38">
        <f>G111*M111</f>
        <v>0</v>
      </c>
      <c r="O111" s="38">
        <f>IF((H111+K111+M111)=0, "", (H111+K111+M111))</f>
        <v>118919349</v>
      </c>
      <c r="P111" s="38">
        <f>SUM(I111,L111,N111)</f>
        <v>118919349</v>
      </c>
      <c r="Q111" s="12"/>
    </row>
    <row r="112" spans="2:17" ht="20.45" customHeight="1" x14ac:dyDescent="0.15">
      <c r="B112" s="13" t="s">
        <v>3036</v>
      </c>
      <c r="D112" s="12" t="s">
        <v>141</v>
      </c>
      <c r="E112" s="15"/>
      <c r="F112" s="31" t="s">
        <v>792</v>
      </c>
      <c r="G112" s="38">
        <v>1</v>
      </c>
      <c r="H112" s="38">
        <f>내역서!I211</f>
        <v>14411857</v>
      </c>
      <c r="I112" s="38">
        <f>G112*H112</f>
        <v>14411857</v>
      </c>
      <c r="J112" s="38"/>
      <c r="K112" s="38">
        <f>내역서!L211</f>
        <v>81806605</v>
      </c>
      <c r="L112" s="38">
        <f>G112*K112</f>
        <v>81806605</v>
      </c>
      <c r="M112" s="38">
        <f>내역서!N211</f>
        <v>0</v>
      </c>
      <c r="N112" s="38">
        <f>G112*M112</f>
        <v>0</v>
      </c>
      <c r="O112" s="38">
        <f>IF((H112+K112+M112)=0, "", (H112+K112+M112))</f>
        <v>96218462</v>
      </c>
      <c r="P112" s="38">
        <f>SUM(I112,L112,N112)</f>
        <v>96218462</v>
      </c>
      <c r="Q112" s="12"/>
    </row>
    <row r="113" spans="4:17" ht="20.45" customHeight="1" x14ac:dyDescent="0.15">
      <c r="D113" s="12"/>
      <c r="E113" s="15"/>
      <c r="F113" s="31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12"/>
    </row>
    <row r="114" spans="4:17" ht="20.45" customHeight="1" x14ac:dyDescent="0.15">
      <c r="D114" s="12"/>
      <c r="E114" s="15"/>
      <c r="F114" s="31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12"/>
    </row>
    <row r="115" spans="4:17" ht="20.45" customHeight="1" x14ac:dyDescent="0.15">
      <c r="D115" s="12"/>
      <c r="E115" s="15"/>
      <c r="F115" s="31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12"/>
    </row>
    <row r="116" spans="4:17" ht="20.45" customHeight="1" x14ac:dyDescent="0.15">
      <c r="D116" s="12"/>
      <c r="E116" s="15"/>
      <c r="F116" s="31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12"/>
    </row>
    <row r="117" spans="4:17" ht="20.45" customHeight="1" x14ac:dyDescent="0.15">
      <c r="D117" s="12"/>
      <c r="E117" s="15"/>
      <c r="F117" s="31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12"/>
    </row>
    <row r="118" spans="4:17" ht="20.45" customHeight="1" x14ac:dyDescent="0.15">
      <c r="D118" s="12"/>
      <c r="E118" s="15"/>
      <c r="F118" s="31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12"/>
    </row>
    <row r="119" spans="4:17" ht="20.45" customHeight="1" x14ac:dyDescent="0.15">
      <c r="D119" s="12"/>
      <c r="E119" s="15"/>
      <c r="F119" s="31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12"/>
    </row>
    <row r="120" spans="4:17" ht="20.45" customHeight="1" x14ac:dyDescent="0.15">
      <c r="D120" s="12"/>
      <c r="E120" s="15"/>
      <c r="F120" s="31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12"/>
    </row>
    <row r="121" spans="4:17" ht="20.45" customHeight="1" x14ac:dyDescent="0.15">
      <c r="D121" s="12"/>
      <c r="E121" s="15"/>
      <c r="F121" s="31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12"/>
    </row>
    <row r="122" spans="4:17" ht="20.45" customHeight="1" x14ac:dyDescent="0.15">
      <c r="D122" s="12"/>
      <c r="E122" s="15"/>
      <c r="F122" s="31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12"/>
    </row>
    <row r="123" spans="4:17" ht="20.45" customHeight="1" x14ac:dyDescent="0.15">
      <c r="D123" s="12"/>
      <c r="E123" s="15"/>
      <c r="F123" s="31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12"/>
    </row>
    <row r="124" spans="4:17" ht="20.45" customHeight="1" x14ac:dyDescent="0.15">
      <c r="D124" s="12"/>
      <c r="E124" s="15"/>
      <c r="F124" s="31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12"/>
    </row>
    <row r="125" spans="4:17" ht="20.45" customHeight="1" x14ac:dyDescent="0.15">
      <c r="D125" s="12"/>
      <c r="E125" s="15"/>
      <c r="F125" s="31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12"/>
    </row>
    <row r="126" spans="4:17" ht="20.45" customHeight="1" x14ac:dyDescent="0.15">
      <c r="D126" s="12"/>
      <c r="E126" s="15"/>
      <c r="F126" s="31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12"/>
    </row>
    <row r="127" spans="4:17" ht="20.45" customHeight="1" x14ac:dyDescent="0.15">
      <c r="D127" s="12"/>
      <c r="E127" s="15"/>
      <c r="F127" s="31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12"/>
    </row>
    <row r="128" spans="4:17" ht="20.45" customHeight="1" x14ac:dyDescent="0.15">
      <c r="D128" s="12"/>
      <c r="E128" s="15"/>
      <c r="F128" s="31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12"/>
    </row>
    <row r="129" spans="2:17" ht="20.45" customHeight="1" x14ac:dyDescent="0.15">
      <c r="D129" s="12"/>
      <c r="E129" s="15"/>
      <c r="F129" s="31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12"/>
    </row>
    <row r="130" spans="2:17" ht="20.45" customHeight="1" x14ac:dyDescent="0.15">
      <c r="D130" s="12"/>
      <c r="E130" s="15"/>
      <c r="F130" s="31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12"/>
    </row>
    <row r="131" spans="2:17" ht="20.45" customHeight="1" x14ac:dyDescent="0.15">
      <c r="D131" s="12"/>
      <c r="E131" s="15"/>
      <c r="F131" s="31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12"/>
    </row>
    <row r="132" spans="2:17" ht="20.45" customHeight="1" x14ac:dyDescent="0.15">
      <c r="D132" s="12"/>
      <c r="E132" s="15"/>
      <c r="F132" s="31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12"/>
    </row>
    <row r="133" spans="2:17" ht="20.45" customHeight="1" x14ac:dyDescent="0.15">
      <c r="B133" s="13" t="s">
        <v>3212</v>
      </c>
      <c r="C133" s="13" t="s">
        <v>3201</v>
      </c>
      <c r="D133" s="12" t="s">
        <v>2361</v>
      </c>
      <c r="E133" s="15"/>
      <c r="F133" s="31"/>
      <c r="G133" s="38"/>
      <c r="H133" s="38"/>
      <c r="I133" s="38">
        <f>TRUNC(SUM(I108:I132))</f>
        <v>70170959</v>
      </c>
      <c r="J133" s="38"/>
      <c r="K133" s="38"/>
      <c r="L133" s="38">
        <f>TRUNC(SUM(L108:L132))</f>
        <v>445848834</v>
      </c>
      <c r="M133" s="38"/>
      <c r="N133" s="38">
        <f>TRUNC(SUM(N108:N132))</f>
        <v>0</v>
      </c>
      <c r="O133" s="38" t="str">
        <f>IF((H133+K133+M133)=0, "", (H133+K133+M133))</f>
        <v/>
      </c>
      <c r="P133" s="38">
        <f>TRUNC(SUM(P108:P132))</f>
        <v>516019793</v>
      </c>
      <c r="Q133" s="12"/>
    </row>
    <row r="134" spans="2:17" ht="20.45" customHeight="1" x14ac:dyDescent="0.15">
      <c r="B134" s="13" t="s">
        <v>1448</v>
      </c>
      <c r="D134" s="170" t="s">
        <v>3217</v>
      </c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2"/>
    </row>
    <row r="135" spans="2:17" ht="20.45" customHeight="1" x14ac:dyDescent="0.15">
      <c r="B135" s="13" t="s">
        <v>3044</v>
      </c>
      <c r="D135" s="12" t="s">
        <v>142</v>
      </c>
      <c r="E135" s="15"/>
      <c r="F135" s="31" t="s">
        <v>792</v>
      </c>
      <c r="G135" s="38">
        <v>1</v>
      </c>
      <c r="H135" s="38">
        <f>내역서!I497</f>
        <v>8146951</v>
      </c>
      <c r="I135" s="38">
        <f>G135*H135</f>
        <v>8146951</v>
      </c>
      <c r="J135" s="38"/>
      <c r="K135" s="38">
        <f>내역서!L497</f>
        <v>15234857</v>
      </c>
      <c r="L135" s="38">
        <f>G135*K135</f>
        <v>15234857</v>
      </c>
      <c r="M135" s="38">
        <f>내역서!N497</f>
        <v>0</v>
      </c>
      <c r="N135" s="38">
        <f>G135*M135</f>
        <v>0</v>
      </c>
      <c r="O135" s="38">
        <f>IF((H135+K135+M135)=0, "", (H135+K135+M135))</f>
        <v>23381808</v>
      </c>
      <c r="P135" s="38">
        <f>SUM(I135,L135,N135)</f>
        <v>23381808</v>
      </c>
      <c r="Q135" s="12"/>
    </row>
    <row r="136" spans="2:17" ht="20.45" customHeight="1" x14ac:dyDescent="0.15">
      <c r="B136" s="13" t="s">
        <v>3045</v>
      </c>
      <c r="D136" s="12" t="s">
        <v>143</v>
      </c>
      <c r="E136" s="15"/>
      <c r="F136" s="31" t="s">
        <v>792</v>
      </c>
      <c r="G136" s="38">
        <v>1</v>
      </c>
      <c r="H136" s="38">
        <f>내역서!I549</f>
        <v>2800156</v>
      </c>
      <c r="I136" s="38">
        <f>G136*H136</f>
        <v>2800156</v>
      </c>
      <c r="J136" s="38"/>
      <c r="K136" s="38">
        <f>내역서!L549</f>
        <v>9612794</v>
      </c>
      <c r="L136" s="38">
        <f>G136*K136</f>
        <v>9612794</v>
      </c>
      <c r="M136" s="38">
        <f>내역서!N549</f>
        <v>0</v>
      </c>
      <c r="N136" s="38">
        <f>G136*M136</f>
        <v>0</v>
      </c>
      <c r="O136" s="38">
        <f>IF((H136+K136+M136)=0, "", (H136+K136+M136))</f>
        <v>12412950</v>
      </c>
      <c r="P136" s="38">
        <f>SUM(I136,L136,N136)</f>
        <v>12412950</v>
      </c>
      <c r="Q136" s="12"/>
    </row>
    <row r="137" spans="2:17" ht="20.45" customHeight="1" x14ac:dyDescent="0.15">
      <c r="B137" s="13" t="s">
        <v>3046</v>
      </c>
      <c r="D137" s="12" t="s">
        <v>144</v>
      </c>
      <c r="E137" s="15"/>
      <c r="F137" s="31" t="s">
        <v>792</v>
      </c>
      <c r="G137" s="38">
        <v>1</v>
      </c>
      <c r="H137" s="38">
        <f>내역서!I575</f>
        <v>4056614</v>
      </c>
      <c r="I137" s="38">
        <f>G137*H137</f>
        <v>4056614</v>
      </c>
      <c r="J137" s="38"/>
      <c r="K137" s="38">
        <f>내역서!L575</f>
        <v>7981123</v>
      </c>
      <c r="L137" s="38">
        <f>G137*K137</f>
        <v>7981123</v>
      </c>
      <c r="M137" s="38">
        <f>내역서!N575</f>
        <v>0</v>
      </c>
      <c r="N137" s="38">
        <f>G137*M137</f>
        <v>0</v>
      </c>
      <c r="O137" s="38">
        <f>IF((H137+K137+M137)=0, "", (H137+K137+M137))</f>
        <v>12037737</v>
      </c>
      <c r="P137" s="38">
        <f>SUM(I137,L137,N137)</f>
        <v>12037737</v>
      </c>
      <c r="Q137" s="12"/>
    </row>
    <row r="138" spans="2:17" ht="20.45" customHeight="1" x14ac:dyDescent="0.15">
      <c r="B138" s="13" t="s">
        <v>3047</v>
      </c>
      <c r="D138" s="12" t="s">
        <v>145</v>
      </c>
      <c r="E138" s="15"/>
      <c r="F138" s="31" t="s">
        <v>792</v>
      </c>
      <c r="G138" s="38">
        <v>1</v>
      </c>
      <c r="H138" s="38">
        <f>내역서!I601</f>
        <v>1527040</v>
      </c>
      <c r="I138" s="38">
        <f>G138*H138</f>
        <v>1527040</v>
      </c>
      <c r="J138" s="38"/>
      <c r="K138" s="38">
        <f>내역서!L601</f>
        <v>10243086</v>
      </c>
      <c r="L138" s="38">
        <f>G138*K138</f>
        <v>10243086</v>
      </c>
      <c r="M138" s="38">
        <f>내역서!N601</f>
        <v>0</v>
      </c>
      <c r="N138" s="38">
        <f>G138*M138</f>
        <v>0</v>
      </c>
      <c r="O138" s="38">
        <f>IF((H138+K138+M138)=0, "", (H138+K138+M138))</f>
        <v>11770126</v>
      </c>
      <c r="P138" s="38">
        <f>SUM(I138,L138,N138)</f>
        <v>11770126</v>
      </c>
      <c r="Q138" s="12"/>
    </row>
    <row r="139" spans="2:17" ht="20.45" customHeight="1" x14ac:dyDescent="0.15">
      <c r="B139" s="13" t="s">
        <v>3048</v>
      </c>
      <c r="D139" s="12" t="s">
        <v>146</v>
      </c>
      <c r="E139" s="15"/>
      <c r="F139" s="31" t="s">
        <v>792</v>
      </c>
      <c r="G139" s="38">
        <v>1</v>
      </c>
      <c r="H139" s="38">
        <f>내역서!I627</f>
        <v>757382</v>
      </c>
      <c r="I139" s="38">
        <f>G139*H139</f>
        <v>757382</v>
      </c>
      <c r="J139" s="38"/>
      <c r="K139" s="38">
        <f>내역서!L627</f>
        <v>1146828</v>
      </c>
      <c r="L139" s="38">
        <f>G139*K139</f>
        <v>1146828</v>
      </c>
      <c r="M139" s="38">
        <f>내역서!N627</f>
        <v>0</v>
      </c>
      <c r="N139" s="38">
        <f>G139*M139</f>
        <v>0</v>
      </c>
      <c r="O139" s="38">
        <f>IF((H139+K139+M139)=0, "", (H139+K139+M139))</f>
        <v>1904210</v>
      </c>
      <c r="P139" s="38">
        <f>SUM(I139,L139,N139)</f>
        <v>1904210</v>
      </c>
      <c r="Q139" s="12"/>
    </row>
    <row r="140" spans="2:17" ht="20.45" customHeight="1" x14ac:dyDescent="0.15">
      <c r="D140" s="12"/>
      <c r="E140" s="15"/>
      <c r="F140" s="31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12"/>
    </row>
    <row r="141" spans="2:17" ht="20.45" customHeight="1" x14ac:dyDescent="0.15">
      <c r="D141" s="12"/>
      <c r="E141" s="15"/>
      <c r="F141" s="31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12"/>
    </row>
    <row r="142" spans="2:17" ht="20.45" customHeight="1" x14ac:dyDescent="0.15">
      <c r="D142" s="12"/>
      <c r="E142" s="15"/>
      <c r="F142" s="31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12"/>
    </row>
    <row r="143" spans="2:17" ht="20.45" customHeight="1" x14ac:dyDescent="0.15">
      <c r="D143" s="12"/>
      <c r="E143" s="15"/>
      <c r="F143" s="31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12"/>
    </row>
    <row r="144" spans="2:17" ht="20.45" customHeight="1" x14ac:dyDescent="0.15">
      <c r="D144" s="12"/>
      <c r="E144" s="15"/>
      <c r="F144" s="31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12"/>
    </row>
    <row r="145" spans="2:17" ht="20.45" customHeight="1" x14ac:dyDescent="0.15">
      <c r="D145" s="12"/>
      <c r="E145" s="15"/>
      <c r="F145" s="31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12"/>
    </row>
    <row r="146" spans="2:17" ht="20.45" customHeight="1" x14ac:dyDescent="0.15">
      <c r="D146" s="12"/>
      <c r="E146" s="15"/>
      <c r="F146" s="31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12"/>
    </row>
    <row r="147" spans="2:17" ht="20.45" customHeight="1" x14ac:dyDescent="0.15">
      <c r="D147" s="12"/>
      <c r="E147" s="15"/>
      <c r="F147" s="31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12"/>
    </row>
    <row r="148" spans="2:17" ht="20.45" customHeight="1" x14ac:dyDescent="0.15">
      <c r="D148" s="12"/>
      <c r="E148" s="15"/>
      <c r="F148" s="31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12"/>
    </row>
    <row r="149" spans="2:17" ht="20.45" customHeight="1" x14ac:dyDescent="0.15">
      <c r="D149" s="12"/>
      <c r="E149" s="15"/>
      <c r="F149" s="31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12"/>
    </row>
    <row r="150" spans="2:17" ht="20.45" customHeight="1" x14ac:dyDescent="0.15">
      <c r="D150" s="12"/>
      <c r="E150" s="15"/>
      <c r="F150" s="31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12"/>
    </row>
    <row r="151" spans="2:17" ht="20.45" customHeight="1" x14ac:dyDescent="0.15">
      <c r="D151" s="12"/>
      <c r="E151" s="15"/>
      <c r="F151" s="31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12"/>
    </row>
    <row r="152" spans="2:17" ht="20.45" customHeight="1" x14ac:dyDescent="0.15">
      <c r="D152" s="12"/>
      <c r="E152" s="15"/>
      <c r="F152" s="31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12"/>
    </row>
    <row r="153" spans="2:17" ht="20.45" customHeight="1" x14ac:dyDescent="0.15">
      <c r="D153" s="12"/>
      <c r="E153" s="15"/>
      <c r="F153" s="31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12"/>
    </row>
    <row r="154" spans="2:17" ht="20.45" customHeight="1" x14ac:dyDescent="0.15">
      <c r="D154" s="12"/>
      <c r="E154" s="15"/>
      <c r="F154" s="31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12"/>
    </row>
    <row r="155" spans="2:17" ht="20.45" customHeight="1" x14ac:dyDescent="0.15">
      <c r="D155" s="12"/>
      <c r="E155" s="15"/>
      <c r="F155" s="31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12"/>
    </row>
    <row r="156" spans="2:17" ht="20.45" customHeight="1" x14ac:dyDescent="0.15">
      <c r="D156" s="12"/>
      <c r="E156" s="15"/>
      <c r="F156" s="31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12"/>
    </row>
    <row r="157" spans="2:17" ht="20.45" customHeight="1" x14ac:dyDescent="0.15">
      <c r="D157" s="12"/>
      <c r="E157" s="15"/>
      <c r="F157" s="31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12"/>
    </row>
    <row r="158" spans="2:17" ht="20.45" customHeight="1" x14ac:dyDescent="0.15">
      <c r="D158" s="12"/>
      <c r="E158" s="15"/>
      <c r="F158" s="31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12"/>
    </row>
    <row r="159" spans="2:17" ht="20.45" customHeight="1" x14ac:dyDescent="0.15">
      <c r="B159" s="13" t="s">
        <v>3208</v>
      </c>
      <c r="C159" s="13" t="s">
        <v>3201</v>
      </c>
      <c r="D159" s="12" t="s">
        <v>2361</v>
      </c>
      <c r="E159" s="15"/>
      <c r="F159" s="31"/>
      <c r="G159" s="38"/>
      <c r="H159" s="38"/>
      <c r="I159" s="38">
        <f>TRUNC(SUM(I134:I158))</f>
        <v>17288143</v>
      </c>
      <c r="J159" s="38"/>
      <c r="K159" s="38"/>
      <c r="L159" s="38">
        <f>TRUNC(SUM(L134:L158))</f>
        <v>44218688</v>
      </c>
      <c r="M159" s="38"/>
      <c r="N159" s="38">
        <f>TRUNC(SUM(N134:N158))</f>
        <v>0</v>
      </c>
      <c r="O159" s="38" t="str">
        <f>IF((H159+K159+M159)=0, "", (H159+K159+M159))</f>
        <v/>
      </c>
      <c r="P159" s="38">
        <f>TRUNC(SUM(P134:P158))</f>
        <v>61506831</v>
      </c>
      <c r="Q159" s="12"/>
    </row>
    <row r="160" spans="2:17" ht="20.45" customHeight="1" x14ac:dyDescent="0.15">
      <c r="B160" s="13" t="s">
        <v>1448</v>
      </c>
      <c r="D160" s="170" t="s">
        <v>3218</v>
      </c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2"/>
    </row>
    <row r="161" spans="2:17" ht="20.45" customHeight="1" x14ac:dyDescent="0.15">
      <c r="B161" s="13" t="s">
        <v>3049</v>
      </c>
      <c r="D161" s="12" t="s">
        <v>147</v>
      </c>
      <c r="E161" s="15"/>
      <c r="F161" s="31" t="s">
        <v>792</v>
      </c>
      <c r="G161" s="38">
        <v>1</v>
      </c>
      <c r="H161" s="38">
        <f>내역서!I653</f>
        <v>2462251</v>
      </c>
      <c r="I161" s="38">
        <f t="shared" ref="I161:I169" si="5">G161*H161</f>
        <v>2462251</v>
      </c>
      <c r="J161" s="38"/>
      <c r="K161" s="38">
        <f>내역서!L653</f>
        <v>4636151</v>
      </c>
      <c r="L161" s="38">
        <f t="shared" ref="L161:L169" si="6">G161*K161</f>
        <v>4636151</v>
      </c>
      <c r="M161" s="38">
        <f>내역서!N653</f>
        <v>374879</v>
      </c>
      <c r="N161" s="38">
        <f t="shared" ref="N161:N169" si="7">G161*M161</f>
        <v>374879</v>
      </c>
      <c r="O161" s="38">
        <f t="shared" ref="O161:O169" si="8">IF((H161+K161+M161)=0, "", (H161+K161+M161))</f>
        <v>7473281</v>
      </c>
      <c r="P161" s="38">
        <f t="shared" ref="P161:P169" si="9">SUM(I161,L161,N161)</f>
        <v>7473281</v>
      </c>
      <c r="Q161" s="12"/>
    </row>
    <row r="162" spans="2:17" ht="20.45" customHeight="1" x14ac:dyDescent="0.15">
      <c r="B162" s="13" t="s">
        <v>3050</v>
      </c>
      <c r="D162" s="12" t="s">
        <v>148</v>
      </c>
      <c r="E162" s="15"/>
      <c r="F162" s="31" t="s">
        <v>792</v>
      </c>
      <c r="G162" s="38">
        <v>1</v>
      </c>
      <c r="H162" s="38">
        <f>내역서!I705</f>
        <v>55118035</v>
      </c>
      <c r="I162" s="38">
        <f t="shared" si="5"/>
        <v>55118035</v>
      </c>
      <c r="J162" s="38"/>
      <c r="K162" s="38">
        <f>내역서!L705</f>
        <v>34723280</v>
      </c>
      <c r="L162" s="38">
        <f t="shared" si="6"/>
        <v>34723280</v>
      </c>
      <c r="M162" s="38">
        <f>내역서!N705</f>
        <v>162312</v>
      </c>
      <c r="N162" s="38">
        <f t="shared" si="7"/>
        <v>162312</v>
      </c>
      <c r="O162" s="38">
        <f t="shared" si="8"/>
        <v>90003627</v>
      </c>
      <c r="P162" s="38">
        <f t="shared" si="9"/>
        <v>90003627</v>
      </c>
      <c r="Q162" s="12"/>
    </row>
    <row r="163" spans="2:17" ht="20.45" customHeight="1" x14ac:dyDescent="0.15">
      <c r="B163" s="13" t="s">
        <v>3051</v>
      </c>
      <c r="D163" s="12" t="s">
        <v>149</v>
      </c>
      <c r="E163" s="15"/>
      <c r="F163" s="31" t="s">
        <v>792</v>
      </c>
      <c r="G163" s="38">
        <v>1</v>
      </c>
      <c r="H163" s="38">
        <f>내역서!I757</f>
        <v>10972715</v>
      </c>
      <c r="I163" s="38">
        <f t="shared" si="5"/>
        <v>10972715</v>
      </c>
      <c r="J163" s="38"/>
      <c r="K163" s="38">
        <f>내역서!L757</f>
        <v>20456773</v>
      </c>
      <c r="L163" s="38">
        <f t="shared" si="6"/>
        <v>20456773</v>
      </c>
      <c r="M163" s="38">
        <f>내역서!N757</f>
        <v>0</v>
      </c>
      <c r="N163" s="38">
        <f t="shared" si="7"/>
        <v>0</v>
      </c>
      <c r="O163" s="38">
        <f t="shared" si="8"/>
        <v>31429488</v>
      </c>
      <c r="P163" s="38">
        <f t="shared" si="9"/>
        <v>31429488</v>
      </c>
      <c r="Q163" s="12"/>
    </row>
    <row r="164" spans="2:17" ht="20.45" customHeight="1" x14ac:dyDescent="0.15">
      <c r="B164" s="13" t="s">
        <v>3052</v>
      </c>
      <c r="D164" s="12" t="s">
        <v>150</v>
      </c>
      <c r="E164" s="15"/>
      <c r="F164" s="31" t="s">
        <v>792</v>
      </c>
      <c r="G164" s="38">
        <v>1</v>
      </c>
      <c r="H164" s="38">
        <f>내역서!I835</f>
        <v>11665583</v>
      </c>
      <c r="I164" s="38">
        <f t="shared" si="5"/>
        <v>11665583</v>
      </c>
      <c r="J164" s="38"/>
      <c r="K164" s="38">
        <f>내역서!L835</f>
        <v>29482634</v>
      </c>
      <c r="L164" s="38">
        <f t="shared" si="6"/>
        <v>29482634</v>
      </c>
      <c r="M164" s="38">
        <f>내역서!N835</f>
        <v>2632</v>
      </c>
      <c r="N164" s="38">
        <f t="shared" si="7"/>
        <v>2632</v>
      </c>
      <c r="O164" s="38">
        <f t="shared" si="8"/>
        <v>41150849</v>
      </c>
      <c r="P164" s="38">
        <f t="shared" si="9"/>
        <v>41150849</v>
      </c>
      <c r="Q164" s="12"/>
    </row>
    <row r="165" spans="2:17" ht="20.45" customHeight="1" x14ac:dyDescent="0.15">
      <c r="B165" s="13" t="s">
        <v>3053</v>
      </c>
      <c r="D165" s="12" t="s">
        <v>151</v>
      </c>
      <c r="E165" s="15"/>
      <c r="F165" s="31" t="s">
        <v>792</v>
      </c>
      <c r="G165" s="38">
        <v>1</v>
      </c>
      <c r="H165" s="38">
        <f>내역서!I887</f>
        <v>4971116</v>
      </c>
      <c r="I165" s="38">
        <f t="shared" si="5"/>
        <v>4971116</v>
      </c>
      <c r="J165" s="38"/>
      <c r="K165" s="38">
        <f>내역서!L887</f>
        <v>48170342</v>
      </c>
      <c r="L165" s="38">
        <f t="shared" si="6"/>
        <v>48170342</v>
      </c>
      <c r="M165" s="38">
        <f>내역서!N887</f>
        <v>0</v>
      </c>
      <c r="N165" s="38">
        <f t="shared" si="7"/>
        <v>0</v>
      </c>
      <c r="O165" s="38">
        <f t="shared" si="8"/>
        <v>53141458</v>
      </c>
      <c r="P165" s="38">
        <f t="shared" si="9"/>
        <v>53141458</v>
      </c>
      <c r="Q165" s="12"/>
    </row>
    <row r="166" spans="2:17" ht="20.45" customHeight="1" x14ac:dyDescent="0.15">
      <c r="B166" s="13" t="s">
        <v>3054</v>
      </c>
      <c r="D166" s="12" t="s">
        <v>152</v>
      </c>
      <c r="E166" s="15"/>
      <c r="F166" s="31" t="s">
        <v>792</v>
      </c>
      <c r="G166" s="38">
        <v>1</v>
      </c>
      <c r="H166" s="38">
        <f>내역서!I913</f>
        <v>1833956</v>
      </c>
      <c r="I166" s="38">
        <f t="shared" si="5"/>
        <v>1833956</v>
      </c>
      <c r="J166" s="38"/>
      <c r="K166" s="38">
        <f>내역서!L913</f>
        <v>8522658</v>
      </c>
      <c r="L166" s="38">
        <f t="shared" si="6"/>
        <v>8522658</v>
      </c>
      <c r="M166" s="38">
        <f>내역서!N913</f>
        <v>0</v>
      </c>
      <c r="N166" s="38">
        <f t="shared" si="7"/>
        <v>0</v>
      </c>
      <c r="O166" s="38">
        <f t="shared" si="8"/>
        <v>10356614</v>
      </c>
      <c r="P166" s="38">
        <f t="shared" si="9"/>
        <v>10356614</v>
      </c>
      <c r="Q166" s="12"/>
    </row>
    <row r="167" spans="2:17" ht="20.45" customHeight="1" x14ac:dyDescent="0.15">
      <c r="B167" s="13" t="s">
        <v>3055</v>
      </c>
      <c r="D167" s="12" t="s">
        <v>153</v>
      </c>
      <c r="E167" s="15"/>
      <c r="F167" s="31" t="s">
        <v>792</v>
      </c>
      <c r="G167" s="38">
        <v>1</v>
      </c>
      <c r="H167" s="38">
        <f>내역서!I939</f>
        <v>11615988</v>
      </c>
      <c r="I167" s="38">
        <f t="shared" si="5"/>
        <v>11615988</v>
      </c>
      <c r="J167" s="38"/>
      <c r="K167" s="38">
        <f>내역서!L939</f>
        <v>11438451</v>
      </c>
      <c r="L167" s="38">
        <f t="shared" si="6"/>
        <v>11438451</v>
      </c>
      <c r="M167" s="38">
        <f>내역서!N939</f>
        <v>0</v>
      </c>
      <c r="N167" s="38">
        <f t="shared" si="7"/>
        <v>0</v>
      </c>
      <c r="O167" s="38">
        <f t="shared" si="8"/>
        <v>23054439</v>
      </c>
      <c r="P167" s="38">
        <f t="shared" si="9"/>
        <v>23054439</v>
      </c>
      <c r="Q167" s="12"/>
    </row>
    <row r="168" spans="2:17" ht="20.45" customHeight="1" x14ac:dyDescent="0.15">
      <c r="B168" s="13" t="s">
        <v>3056</v>
      </c>
      <c r="D168" s="12" t="s">
        <v>154</v>
      </c>
      <c r="E168" s="15"/>
      <c r="F168" s="31" t="s">
        <v>792</v>
      </c>
      <c r="G168" s="38">
        <v>1</v>
      </c>
      <c r="H168" s="38">
        <f>내역서!I965</f>
        <v>36320895</v>
      </c>
      <c r="I168" s="38">
        <f t="shared" si="5"/>
        <v>36320895</v>
      </c>
      <c r="J168" s="38"/>
      <c r="K168" s="38">
        <f>내역서!L965</f>
        <v>47337607</v>
      </c>
      <c r="L168" s="38">
        <f t="shared" si="6"/>
        <v>47337607</v>
      </c>
      <c r="M168" s="38">
        <f>내역서!N965</f>
        <v>0</v>
      </c>
      <c r="N168" s="38">
        <f t="shared" si="7"/>
        <v>0</v>
      </c>
      <c r="O168" s="38">
        <f t="shared" si="8"/>
        <v>83658502</v>
      </c>
      <c r="P168" s="38">
        <f t="shared" si="9"/>
        <v>83658502</v>
      </c>
      <c r="Q168" s="12"/>
    </row>
    <row r="169" spans="2:17" ht="20.45" customHeight="1" x14ac:dyDescent="0.15">
      <c r="B169" s="13" t="s">
        <v>3057</v>
      </c>
      <c r="D169" s="12" t="s">
        <v>155</v>
      </c>
      <c r="E169" s="15"/>
      <c r="F169" s="31" t="s">
        <v>792</v>
      </c>
      <c r="G169" s="38">
        <v>1</v>
      </c>
      <c r="H169" s="38">
        <f>내역서!I991</f>
        <v>2159281</v>
      </c>
      <c r="I169" s="38">
        <f t="shared" si="5"/>
        <v>2159281</v>
      </c>
      <c r="J169" s="38"/>
      <c r="K169" s="38">
        <f>내역서!L991</f>
        <v>4266891</v>
      </c>
      <c r="L169" s="38">
        <f t="shared" si="6"/>
        <v>4266891</v>
      </c>
      <c r="M169" s="38">
        <f>내역서!N991</f>
        <v>0</v>
      </c>
      <c r="N169" s="38">
        <f t="shared" si="7"/>
        <v>0</v>
      </c>
      <c r="O169" s="38">
        <f t="shared" si="8"/>
        <v>6426172</v>
      </c>
      <c r="P169" s="38">
        <f t="shared" si="9"/>
        <v>6426172</v>
      </c>
      <c r="Q169" s="12"/>
    </row>
    <row r="170" spans="2:17" ht="20.45" customHeight="1" x14ac:dyDescent="0.15">
      <c r="D170" s="12"/>
      <c r="E170" s="15"/>
      <c r="F170" s="31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12"/>
    </row>
    <row r="171" spans="2:17" ht="20.45" customHeight="1" x14ac:dyDescent="0.15">
      <c r="D171" s="12"/>
      <c r="E171" s="15"/>
      <c r="F171" s="31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12"/>
    </row>
    <row r="172" spans="2:17" ht="20.45" customHeight="1" x14ac:dyDescent="0.15">
      <c r="D172" s="12"/>
      <c r="E172" s="15"/>
      <c r="F172" s="31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12"/>
    </row>
    <row r="173" spans="2:17" ht="20.45" customHeight="1" x14ac:dyDescent="0.15">
      <c r="D173" s="12"/>
      <c r="E173" s="15"/>
      <c r="F173" s="31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12"/>
    </row>
    <row r="174" spans="2:17" ht="20.45" customHeight="1" x14ac:dyDescent="0.15">
      <c r="D174" s="12"/>
      <c r="E174" s="15"/>
      <c r="F174" s="31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12"/>
    </row>
    <row r="175" spans="2:17" ht="20.45" customHeight="1" x14ac:dyDescent="0.15">
      <c r="D175" s="12"/>
      <c r="E175" s="15"/>
      <c r="F175" s="31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12"/>
    </row>
    <row r="176" spans="2:17" ht="20.45" customHeight="1" x14ac:dyDescent="0.15">
      <c r="D176" s="12"/>
      <c r="E176" s="15"/>
      <c r="F176" s="31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12"/>
    </row>
    <row r="177" spans="2:17" ht="20.45" customHeight="1" x14ac:dyDescent="0.15">
      <c r="D177" s="12"/>
      <c r="E177" s="15"/>
      <c r="F177" s="31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12"/>
    </row>
    <row r="178" spans="2:17" ht="20.45" customHeight="1" x14ac:dyDescent="0.15">
      <c r="D178" s="12"/>
      <c r="E178" s="15"/>
      <c r="F178" s="31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12"/>
    </row>
    <row r="179" spans="2:17" ht="20.45" customHeight="1" x14ac:dyDescent="0.15">
      <c r="D179" s="12"/>
      <c r="E179" s="15"/>
      <c r="F179" s="31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12"/>
    </row>
    <row r="180" spans="2:17" ht="20.45" customHeight="1" x14ac:dyDescent="0.15">
      <c r="D180" s="12"/>
      <c r="E180" s="15"/>
      <c r="F180" s="31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12"/>
    </row>
    <row r="181" spans="2:17" ht="20.45" customHeight="1" x14ac:dyDescent="0.15">
      <c r="D181" s="12"/>
      <c r="E181" s="15"/>
      <c r="F181" s="31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12"/>
    </row>
    <row r="182" spans="2:17" ht="20.45" customHeight="1" x14ac:dyDescent="0.15">
      <c r="D182" s="12"/>
      <c r="E182" s="15"/>
      <c r="F182" s="31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12"/>
    </row>
    <row r="183" spans="2:17" ht="20.45" customHeight="1" x14ac:dyDescent="0.15">
      <c r="D183" s="12"/>
      <c r="E183" s="15"/>
      <c r="F183" s="31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12"/>
    </row>
    <row r="184" spans="2:17" ht="20.45" customHeight="1" x14ac:dyDescent="0.15">
      <c r="D184" s="12"/>
      <c r="E184" s="15"/>
      <c r="F184" s="31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12"/>
    </row>
    <row r="185" spans="2:17" ht="20.45" customHeight="1" x14ac:dyDescent="0.15">
      <c r="B185" s="13" t="s">
        <v>3210</v>
      </c>
      <c r="C185" s="13" t="s">
        <v>3201</v>
      </c>
      <c r="D185" s="12" t="s">
        <v>2361</v>
      </c>
      <c r="E185" s="15"/>
      <c r="F185" s="31"/>
      <c r="G185" s="38"/>
      <c r="H185" s="38"/>
      <c r="I185" s="38">
        <f>TRUNC(SUM(I160:I184))</f>
        <v>137119820</v>
      </c>
      <c r="J185" s="38"/>
      <c r="K185" s="38"/>
      <c r="L185" s="38">
        <f>TRUNC(SUM(L160:L184))</f>
        <v>209034787</v>
      </c>
      <c r="M185" s="38"/>
      <c r="N185" s="38">
        <f>TRUNC(SUM(N160:N184))</f>
        <v>539823</v>
      </c>
      <c r="O185" s="38" t="str">
        <f>IF((H185+K185+M185)=0, "", (H185+K185+M185))</f>
        <v/>
      </c>
      <c r="P185" s="38">
        <f>TRUNC(SUM(P160:P184))</f>
        <v>346694430</v>
      </c>
      <c r="Q185" s="12"/>
    </row>
    <row r="186" spans="2:17" ht="20.45" customHeight="1" x14ac:dyDescent="0.15">
      <c r="B186" s="13" t="s">
        <v>1448</v>
      </c>
      <c r="D186" s="170" t="s">
        <v>3203</v>
      </c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2"/>
    </row>
    <row r="187" spans="2:17" ht="20.45" customHeight="1" x14ac:dyDescent="0.15">
      <c r="B187" s="13" t="s">
        <v>3059</v>
      </c>
      <c r="D187" s="12" t="s">
        <v>156</v>
      </c>
      <c r="E187" s="15"/>
      <c r="F187" s="31" t="s">
        <v>792</v>
      </c>
      <c r="G187" s="38">
        <v>1</v>
      </c>
      <c r="H187" s="38">
        <f>내역서!I1017</f>
        <v>88842171</v>
      </c>
      <c r="I187" s="38">
        <f>G187*H187</f>
        <v>88842171</v>
      </c>
      <c r="J187" s="38"/>
      <c r="K187" s="38">
        <f>내역서!L1017</f>
        <v>0</v>
      </c>
      <c r="L187" s="38">
        <f>G187*K187</f>
        <v>0</v>
      </c>
      <c r="M187" s="38">
        <f>내역서!N1017</f>
        <v>0</v>
      </c>
      <c r="N187" s="38">
        <f>G187*M187</f>
        <v>0</v>
      </c>
      <c r="O187" s="38">
        <f>IF((H187+K187+M187)=0, "", (H187+K187+M187))</f>
        <v>88842171</v>
      </c>
      <c r="P187" s="38">
        <f>SUM(I187,L187,N187)</f>
        <v>88842171</v>
      </c>
      <c r="Q187" s="12"/>
    </row>
    <row r="188" spans="2:17" ht="20.45" customHeight="1" x14ac:dyDescent="0.15">
      <c r="B188" s="13" t="s">
        <v>3095</v>
      </c>
      <c r="D188" s="12" t="s">
        <v>157</v>
      </c>
      <c r="E188" s="15"/>
      <c r="F188" s="31" t="s">
        <v>792</v>
      </c>
      <c r="G188" s="38">
        <v>1</v>
      </c>
      <c r="H188" s="38">
        <f>내역서!I1069</f>
        <v>112982830</v>
      </c>
      <c r="I188" s="38">
        <f>G188*H188</f>
        <v>112982830</v>
      </c>
      <c r="J188" s="38"/>
      <c r="K188" s="38">
        <f>내역서!L1069</f>
        <v>0</v>
      </c>
      <c r="L188" s="38">
        <f>G188*K188</f>
        <v>0</v>
      </c>
      <c r="M188" s="38">
        <f>내역서!N1069</f>
        <v>0</v>
      </c>
      <c r="N188" s="38">
        <f>G188*M188</f>
        <v>0</v>
      </c>
      <c r="O188" s="38">
        <f>IF((H188+K188+M188)=0, "", (H188+K188+M188))</f>
        <v>112982830</v>
      </c>
      <c r="P188" s="38">
        <f>SUM(I188,L188,N188)</f>
        <v>112982830</v>
      </c>
      <c r="Q188" s="12"/>
    </row>
    <row r="189" spans="2:17" ht="20.45" customHeight="1" x14ac:dyDescent="0.15">
      <c r="D189" s="12"/>
      <c r="E189" s="15"/>
      <c r="F189" s="31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12"/>
    </row>
    <row r="190" spans="2:17" ht="20.45" customHeight="1" x14ac:dyDescent="0.15">
      <c r="D190" s="12"/>
      <c r="E190" s="15"/>
      <c r="F190" s="31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12"/>
    </row>
    <row r="191" spans="2:17" ht="20.45" customHeight="1" x14ac:dyDescent="0.15">
      <c r="D191" s="12"/>
      <c r="E191" s="15"/>
      <c r="F191" s="31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12"/>
    </row>
    <row r="192" spans="2:17" ht="20.45" customHeight="1" x14ac:dyDescent="0.15">
      <c r="D192" s="12"/>
      <c r="E192" s="15"/>
      <c r="F192" s="31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12"/>
    </row>
    <row r="193" spans="4:17" ht="20.45" customHeight="1" x14ac:dyDescent="0.15">
      <c r="D193" s="12"/>
      <c r="E193" s="15"/>
      <c r="F193" s="31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12"/>
    </row>
    <row r="194" spans="4:17" ht="20.45" customHeight="1" x14ac:dyDescent="0.15">
      <c r="D194" s="12"/>
      <c r="E194" s="15"/>
      <c r="F194" s="31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12"/>
    </row>
    <row r="195" spans="4:17" ht="20.45" customHeight="1" x14ac:dyDescent="0.15">
      <c r="D195" s="12"/>
      <c r="E195" s="15"/>
      <c r="F195" s="31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12"/>
    </row>
    <row r="196" spans="4:17" ht="20.45" customHeight="1" x14ac:dyDescent="0.15">
      <c r="D196" s="12"/>
      <c r="E196" s="15"/>
      <c r="F196" s="31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12"/>
    </row>
    <row r="197" spans="4:17" ht="20.45" customHeight="1" x14ac:dyDescent="0.15">
      <c r="D197" s="12"/>
      <c r="E197" s="15"/>
      <c r="F197" s="31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12"/>
    </row>
    <row r="198" spans="4:17" ht="20.45" customHeight="1" x14ac:dyDescent="0.15">
      <c r="D198" s="12"/>
      <c r="E198" s="15"/>
      <c r="F198" s="31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12"/>
    </row>
    <row r="199" spans="4:17" ht="20.45" customHeight="1" x14ac:dyDescent="0.15">
      <c r="D199" s="12"/>
      <c r="E199" s="15"/>
      <c r="F199" s="31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12"/>
    </row>
    <row r="200" spans="4:17" ht="20.45" customHeight="1" x14ac:dyDescent="0.15">
      <c r="D200" s="12"/>
      <c r="E200" s="15"/>
      <c r="F200" s="31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12"/>
    </row>
    <row r="201" spans="4:17" ht="20.45" customHeight="1" x14ac:dyDescent="0.15">
      <c r="D201" s="12"/>
      <c r="E201" s="15"/>
      <c r="F201" s="31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12"/>
    </row>
    <row r="202" spans="4:17" ht="20.45" customHeight="1" x14ac:dyDescent="0.15">
      <c r="D202" s="12"/>
      <c r="E202" s="15"/>
      <c r="F202" s="31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12"/>
    </row>
    <row r="203" spans="4:17" ht="20.45" customHeight="1" x14ac:dyDescent="0.15">
      <c r="D203" s="12"/>
      <c r="E203" s="15"/>
      <c r="F203" s="31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12"/>
    </row>
    <row r="204" spans="4:17" ht="20.45" customHeight="1" x14ac:dyDescent="0.15">
      <c r="D204" s="12"/>
      <c r="E204" s="15"/>
      <c r="F204" s="31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12"/>
    </row>
    <row r="205" spans="4:17" ht="20.45" customHeight="1" x14ac:dyDescent="0.15">
      <c r="D205" s="12"/>
      <c r="E205" s="15"/>
      <c r="F205" s="31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12"/>
    </row>
    <row r="206" spans="4:17" ht="20.45" customHeight="1" x14ac:dyDescent="0.15">
      <c r="D206" s="12"/>
      <c r="E206" s="15"/>
      <c r="F206" s="31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12"/>
    </row>
    <row r="207" spans="4:17" ht="20.45" customHeight="1" x14ac:dyDescent="0.15">
      <c r="D207" s="12"/>
      <c r="E207" s="15"/>
      <c r="F207" s="31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12"/>
    </row>
    <row r="208" spans="4:17" ht="20.45" customHeight="1" x14ac:dyDescent="0.15">
      <c r="D208" s="12"/>
      <c r="E208" s="15"/>
      <c r="F208" s="31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12"/>
    </row>
    <row r="209" spans="2:17" ht="20.45" customHeight="1" x14ac:dyDescent="0.15">
      <c r="D209" s="12"/>
      <c r="E209" s="15"/>
      <c r="F209" s="31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12"/>
    </row>
    <row r="210" spans="2:17" ht="20.45" customHeight="1" x14ac:dyDescent="0.15">
      <c r="D210" s="12"/>
      <c r="E210" s="15"/>
      <c r="F210" s="31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12"/>
    </row>
    <row r="211" spans="2:17" ht="20.45" customHeight="1" x14ac:dyDescent="0.15">
      <c r="B211" s="13" t="s">
        <v>3202</v>
      </c>
      <c r="C211" s="13" t="s">
        <v>3201</v>
      </c>
      <c r="D211" s="12" t="s">
        <v>2361</v>
      </c>
      <c r="E211" s="15"/>
      <c r="F211" s="31"/>
      <c r="G211" s="38"/>
      <c r="H211" s="38"/>
      <c r="I211" s="38">
        <f>TRUNC(SUM(I186:I210))</f>
        <v>201825001</v>
      </c>
      <c r="J211" s="38"/>
      <c r="K211" s="38"/>
      <c r="L211" s="38">
        <f>TRUNC(SUM(L186:L210))</f>
        <v>0</v>
      </c>
      <c r="M211" s="38"/>
      <c r="N211" s="38">
        <f>TRUNC(SUM(N186:N210))</f>
        <v>0</v>
      </c>
      <c r="O211" s="38" t="str">
        <f>IF((H211+K211+M211)=0, "", (H211+K211+M211))</f>
        <v/>
      </c>
      <c r="P211" s="38">
        <f>TRUNC(SUM(P186:P210))</f>
        <v>201825001</v>
      </c>
      <c r="Q211" s="12"/>
    </row>
    <row r="212" spans="2:17" ht="20.45" customHeight="1" x14ac:dyDescent="0.15">
      <c r="B212" s="13" t="s">
        <v>1448</v>
      </c>
      <c r="D212" s="170" t="s">
        <v>3205</v>
      </c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2"/>
    </row>
    <row r="213" spans="2:17" ht="20.45" customHeight="1" x14ac:dyDescent="0.15">
      <c r="B213" s="13" t="s">
        <v>3144</v>
      </c>
      <c r="D213" s="12" t="s">
        <v>158</v>
      </c>
      <c r="E213" s="15"/>
      <c r="F213" s="31" t="s">
        <v>792</v>
      </c>
      <c r="G213" s="38">
        <v>1</v>
      </c>
      <c r="H213" s="38">
        <f>내역서!I1095</f>
        <v>159090474</v>
      </c>
      <c r="I213" s="38">
        <f>G213*H213</f>
        <v>159090474</v>
      </c>
      <c r="J213" s="38"/>
      <c r="K213" s="38">
        <f>내역서!L1095</f>
        <v>0</v>
      </c>
      <c r="L213" s="38">
        <f>G213*K213</f>
        <v>0</v>
      </c>
      <c r="M213" s="38">
        <f>내역서!N1095</f>
        <v>0</v>
      </c>
      <c r="N213" s="38">
        <f>G213*M213</f>
        <v>0</v>
      </c>
      <c r="O213" s="38">
        <f>IF((H213+K213+M213)=0, "", (H213+K213+M213))</f>
        <v>159090474</v>
      </c>
      <c r="P213" s="38">
        <f>SUM(I213,L213,N213)</f>
        <v>159090474</v>
      </c>
      <c r="Q213" s="12"/>
    </row>
    <row r="214" spans="2:17" ht="20.45" customHeight="1" x14ac:dyDescent="0.15">
      <c r="B214" s="13" t="s">
        <v>3146</v>
      </c>
      <c r="D214" s="12" t="s">
        <v>159</v>
      </c>
      <c r="E214" s="15"/>
      <c r="F214" s="31" t="s">
        <v>792</v>
      </c>
      <c r="G214" s="38">
        <v>1</v>
      </c>
      <c r="H214" s="38">
        <f>내역서!I1121</f>
        <v>56704560</v>
      </c>
      <c r="I214" s="38">
        <f>G214*H214</f>
        <v>56704560</v>
      </c>
      <c r="J214" s="38"/>
      <c r="K214" s="38">
        <f>내역서!L1121</f>
        <v>0</v>
      </c>
      <c r="L214" s="38">
        <f>G214*K214</f>
        <v>0</v>
      </c>
      <c r="M214" s="38">
        <f>내역서!N1121</f>
        <v>0</v>
      </c>
      <c r="N214" s="38">
        <f>G214*M214</f>
        <v>0</v>
      </c>
      <c r="O214" s="38">
        <f>IF((H214+K214+M214)=0, "", (H214+K214+M214))</f>
        <v>56704560</v>
      </c>
      <c r="P214" s="38">
        <f>SUM(I214,L214,N214)</f>
        <v>56704560</v>
      </c>
      <c r="Q214" s="12"/>
    </row>
    <row r="215" spans="2:17" ht="20.45" customHeight="1" x14ac:dyDescent="0.15">
      <c r="B215" s="13" t="s">
        <v>3149</v>
      </c>
      <c r="D215" s="12" t="s">
        <v>160</v>
      </c>
      <c r="E215" s="15"/>
      <c r="F215" s="31" t="s">
        <v>792</v>
      </c>
      <c r="G215" s="38">
        <v>1</v>
      </c>
      <c r="H215" s="38">
        <f>내역서!I1147</f>
        <v>138739167</v>
      </c>
      <c r="I215" s="38">
        <f>G215*H215</f>
        <v>138739167</v>
      </c>
      <c r="J215" s="38"/>
      <c r="K215" s="38">
        <f>내역서!L1147</f>
        <v>0</v>
      </c>
      <c r="L215" s="38">
        <f>G215*K215</f>
        <v>0</v>
      </c>
      <c r="M215" s="38">
        <f>내역서!N1147</f>
        <v>0</v>
      </c>
      <c r="N215" s="38">
        <f>G215*M215</f>
        <v>0</v>
      </c>
      <c r="O215" s="38">
        <f>IF((H215+K215+M215)=0, "", (H215+K215+M215))</f>
        <v>138739167</v>
      </c>
      <c r="P215" s="38">
        <f>SUM(I215,L215,N215)</f>
        <v>138739167</v>
      </c>
      <c r="Q215" s="12"/>
    </row>
    <row r="216" spans="2:17" ht="20.45" customHeight="1" x14ac:dyDescent="0.15">
      <c r="B216" s="13" t="s">
        <v>3154</v>
      </c>
      <c r="D216" s="12" t="s">
        <v>161</v>
      </c>
      <c r="E216" s="15"/>
      <c r="F216" s="31" t="s">
        <v>792</v>
      </c>
      <c r="G216" s="38">
        <v>1</v>
      </c>
      <c r="H216" s="38">
        <f>내역서!I1173</f>
        <v>70102680</v>
      </c>
      <c r="I216" s="38">
        <f>G216*H216</f>
        <v>70102680</v>
      </c>
      <c r="J216" s="38"/>
      <c r="K216" s="38">
        <f>내역서!L1173</f>
        <v>0</v>
      </c>
      <c r="L216" s="38">
        <f>G216*K216</f>
        <v>0</v>
      </c>
      <c r="M216" s="38">
        <f>내역서!N1173</f>
        <v>3070332</v>
      </c>
      <c r="N216" s="38">
        <f>G216*M216</f>
        <v>3070332</v>
      </c>
      <c r="O216" s="38">
        <f>IF((H216+K216+M216)=0, "", (H216+K216+M216))</f>
        <v>73173012</v>
      </c>
      <c r="P216" s="38">
        <f>SUM(I216,L216,N216)</f>
        <v>73173012</v>
      </c>
      <c r="Q216" s="12"/>
    </row>
    <row r="217" spans="2:17" ht="20.45" customHeight="1" x14ac:dyDescent="0.15">
      <c r="D217" s="12"/>
      <c r="E217" s="15"/>
      <c r="F217" s="31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12"/>
    </row>
    <row r="218" spans="2:17" ht="20.45" customHeight="1" x14ac:dyDescent="0.15">
      <c r="D218" s="12"/>
      <c r="E218" s="15"/>
      <c r="F218" s="31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12"/>
    </row>
    <row r="219" spans="2:17" ht="20.45" customHeight="1" x14ac:dyDescent="0.15">
      <c r="D219" s="12"/>
      <c r="E219" s="15"/>
      <c r="F219" s="31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12"/>
    </row>
    <row r="220" spans="2:17" ht="20.45" customHeight="1" x14ac:dyDescent="0.15">
      <c r="D220" s="12"/>
      <c r="E220" s="15"/>
      <c r="F220" s="31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12"/>
    </row>
    <row r="221" spans="2:17" ht="20.45" customHeight="1" x14ac:dyDescent="0.15">
      <c r="D221" s="12"/>
      <c r="E221" s="15"/>
      <c r="F221" s="31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12"/>
    </row>
    <row r="222" spans="2:17" ht="20.45" customHeight="1" x14ac:dyDescent="0.15">
      <c r="D222" s="12"/>
      <c r="E222" s="15"/>
      <c r="F222" s="31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12"/>
    </row>
    <row r="223" spans="2:17" ht="20.45" customHeight="1" x14ac:dyDescent="0.15">
      <c r="D223" s="12"/>
      <c r="E223" s="15"/>
      <c r="F223" s="31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12"/>
    </row>
    <row r="224" spans="2:17" ht="20.45" customHeight="1" x14ac:dyDescent="0.15">
      <c r="D224" s="12"/>
      <c r="E224" s="15"/>
      <c r="F224" s="31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12"/>
    </row>
    <row r="225" spans="2:17" ht="20.45" customHeight="1" x14ac:dyDescent="0.15">
      <c r="D225" s="12"/>
      <c r="E225" s="15"/>
      <c r="F225" s="31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12"/>
    </row>
    <row r="226" spans="2:17" ht="20.45" customHeight="1" x14ac:dyDescent="0.15">
      <c r="D226" s="12"/>
      <c r="E226" s="15"/>
      <c r="F226" s="31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12"/>
    </row>
    <row r="227" spans="2:17" ht="20.45" customHeight="1" x14ac:dyDescent="0.15">
      <c r="D227" s="12"/>
      <c r="E227" s="15"/>
      <c r="F227" s="31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12"/>
    </row>
    <row r="228" spans="2:17" ht="20.45" customHeight="1" x14ac:dyDescent="0.15">
      <c r="D228" s="12"/>
      <c r="E228" s="15"/>
      <c r="F228" s="31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12"/>
    </row>
    <row r="229" spans="2:17" ht="20.45" customHeight="1" x14ac:dyDescent="0.15">
      <c r="D229" s="12"/>
      <c r="E229" s="15"/>
      <c r="F229" s="31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12"/>
    </row>
    <row r="230" spans="2:17" ht="20.45" customHeight="1" x14ac:dyDescent="0.15">
      <c r="D230" s="12"/>
      <c r="E230" s="15"/>
      <c r="F230" s="31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12"/>
    </row>
    <row r="231" spans="2:17" ht="20.45" customHeight="1" x14ac:dyDescent="0.15">
      <c r="D231" s="12"/>
      <c r="E231" s="15"/>
      <c r="F231" s="31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12"/>
    </row>
    <row r="232" spans="2:17" ht="20.45" customHeight="1" x14ac:dyDescent="0.15">
      <c r="D232" s="12"/>
      <c r="E232" s="15"/>
      <c r="F232" s="31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12"/>
    </row>
    <row r="233" spans="2:17" ht="20.45" customHeight="1" x14ac:dyDescent="0.15">
      <c r="D233" s="12"/>
      <c r="E233" s="15"/>
      <c r="F233" s="31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12"/>
    </row>
    <row r="234" spans="2:17" ht="20.45" customHeight="1" x14ac:dyDescent="0.15">
      <c r="D234" s="12"/>
      <c r="E234" s="15"/>
      <c r="F234" s="31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12"/>
    </row>
    <row r="235" spans="2:17" ht="20.45" customHeight="1" x14ac:dyDescent="0.15">
      <c r="D235" s="12"/>
      <c r="E235" s="15"/>
      <c r="F235" s="31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12"/>
    </row>
    <row r="236" spans="2:17" ht="20.45" customHeight="1" x14ac:dyDescent="0.15">
      <c r="D236" s="12"/>
      <c r="E236" s="15"/>
      <c r="F236" s="31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12"/>
    </row>
    <row r="237" spans="2:17" ht="20.45" customHeight="1" x14ac:dyDescent="0.15">
      <c r="B237" s="13" t="s">
        <v>3204</v>
      </c>
      <c r="C237" s="13" t="s">
        <v>3201</v>
      </c>
      <c r="D237" s="12" t="s">
        <v>2361</v>
      </c>
      <c r="E237" s="15"/>
      <c r="F237" s="31"/>
      <c r="G237" s="38"/>
      <c r="H237" s="38"/>
      <c r="I237" s="38">
        <f>TRUNC(SUM(I212:I236))</f>
        <v>424636881</v>
      </c>
      <c r="J237" s="38"/>
      <c r="K237" s="38"/>
      <c r="L237" s="38">
        <f>TRUNC(SUM(L212:L236))</f>
        <v>0</v>
      </c>
      <c r="M237" s="38"/>
      <c r="N237" s="38">
        <f>TRUNC(SUM(N212:N236))</f>
        <v>3070332</v>
      </c>
      <c r="O237" s="38" t="str">
        <f>IF((H237+K237+M237)=0, "", (H237+K237+M237))</f>
        <v/>
      </c>
      <c r="P237" s="38">
        <f>TRUNC(SUM(P212:P236))</f>
        <v>427707213</v>
      </c>
      <c r="Q237" s="12"/>
    </row>
  </sheetData>
  <mergeCells count="22">
    <mergeCell ref="D134:Q134"/>
    <mergeCell ref="D160:Q160"/>
    <mergeCell ref="D186:Q186"/>
    <mergeCell ref="D212:Q212"/>
    <mergeCell ref="D4:Q4"/>
    <mergeCell ref="D30:Q30"/>
    <mergeCell ref="D56:Q56"/>
    <mergeCell ref="D82:Q82"/>
    <mergeCell ref="D108:Q108"/>
    <mergeCell ref="J2:L2"/>
    <mergeCell ref="M2:N2"/>
    <mergeCell ref="D1:Q1"/>
    <mergeCell ref="A2:A3"/>
    <mergeCell ref="Q2:Q3"/>
    <mergeCell ref="B2:B3"/>
    <mergeCell ref="C2:C3"/>
    <mergeCell ref="E2:E3"/>
    <mergeCell ref="F2:F3"/>
    <mergeCell ref="G2:G3"/>
    <mergeCell ref="H2:I2"/>
    <mergeCell ref="P2:P3"/>
    <mergeCell ref="D2:D3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73"/>
  <sheetViews>
    <sheetView topLeftCell="D1" workbookViewId="0">
      <pane ySplit="3" topLeftCell="A1111" activePane="bottomLeft" state="frozen"/>
      <selection activeCell="D1" sqref="D1"/>
      <selection pane="bottomLeft" activeCell="D2" sqref="D2:D3"/>
    </sheetView>
  </sheetViews>
  <sheetFormatPr defaultRowHeight="23.1" customHeight="1" x14ac:dyDescent="0.15"/>
  <cols>
    <col min="1" max="1" width="12.109375" style="13" hidden="1" customWidth="1"/>
    <col min="2" max="2" width="17.44140625" style="13" hidden="1" customWidth="1"/>
    <col min="3" max="3" width="20.6640625" style="13" hidden="1" customWidth="1"/>
    <col min="4" max="4" width="24.33203125" style="13" customWidth="1"/>
    <col min="5" max="5" width="25.33203125" style="13" customWidth="1"/>
    <col min="6" max="6" width="4.21875" style="30" customWidth="1"/>
    <col min="7" max="7" width="10" style="2" customWidth="1"/>
    <col min="8" max="8" width="13" style="35" customWidth="1"/>
    <col min="9" max="9" width="13.21875" style="35" customWidth="1"/>
    <col min="10" max="10" width="5.5546875" style="35" hidden="1" customWidth="1"/>
    <col min="11" max="11" width="10.44140625" style="35" customWidth="1"/>
    <col min="12" max="12" width="11.77734375" style="35" customWidth="1"/>
    <col min="13" max="13" width="9.33203125" style="35" bestFit="1" customWidth="1"/>
    <col min="14" max="14" width="9.109375" style="35" customWidth="1"/>
    <col min="15" max="15" width="6" style="35" hidden="1" customWidth="1"/>
    <col min="16" max="16" width="13" style="35" customWidth="1"/>
    <col min="17" max="17" width="8.44140625" style="13" bestFit="1" customWidth="1"/>
    <col min="18" max="26" width="8.88671875" style="2"/>
    <col min="27" max="31" width="11.77734375" style="35" customWidth="1"/>
    <col min="32" max="16384" width="8.88671875" style="2"/>
  </cols>
  <sheetData>
    <row r="1" spans="1:31" ht="23.1" customHeight="1" x14ac:dyDescent="0.15">
      <c r="A1" s="13" t="s">
        <v>3197</v>
      </c>
      <c r="B1" s="13" t="s">
        <v>3198</v>
      </c>
      <c r="D1" s="174" t="s">
        <v>3260</v>
      </c>
      <c r="E1" s="175"/>
      <c r="F1" s="175"/>
      <c r="G1" s="175"/>
      <c r="H1" s="175"/>
      <c r="I1" s="175"/>
      <c r="J1" s="175"/>
      <c r="K1" s="175"/>
      <c r="L1" s="175"/>
      <c r="M1" s="175"/>
      <c r="N1" s="175"/>
      <c r="W1" s="173" t="s">
        <v>63</v>
      </c>
      <c r="X1" s="173"/>
      <c r="Y1" s="173"/>
      <c r="Z1" s="30"/>
      <c r="AA1" s="30" t="s">
        <v>68</v>
      </c>
      <c r="AB1" s="30"/>
      <c r="AC1" s="30"/>
      <c r="AD1" s="30"/>
      <c r="AE1" s="30"/>
    </row>
    <row r="2" spans="1:31" s="14" customFormat="1" ht="23.1" customHeight="1" x14ac:dyDescent="0.15">
      <c r="A2" s="167" t="s">
        <v>50</v>
      </c>
      <c r="B2" s="167" t="s">
        <v>27</v>
      </c>
      <c r="C2" s="167" t="s">
        <v>23</v>
      </c>
      <c r="D2" s="168" t="s">
        <v>57</v>
      </c>
      <c r="E2" s="168" t="s">
        <v>58</v>
      </c>
      <c r="F2" s="169" t="s">
        <v>0</v>
      </c>
      <c r="G2" s="169" t="s">
        <v>1</v>
      </c>
      <c r="H2" s="164" t="s">
        <v>29</v>
      </c>
      <c r="I2" s="164"/>
      <c r="J2" s="164" t="s">
        <v>30</v>
      </c>
      <c r="K2" s="164"/>
      <c r="L2" s="164"/>
      <c r="M2" s="164" t="s">
        <v>31</v>
      </c>
      <c r="N2" s="164"/>
      <c r="O2" s="55"/>
      <c r="P2" s="164" t="s">
        <v>35</v>
      </c>
      <c r="Q2" s="168" t="s">
        <v>33</v>
      </c>
      <c r="W2" s="14" t="s">
        <v>64</v>
      </c>
      <c r="X2" s="14" t="s">
        <v>65</v>
      </c>
      <c r="Y2" s="14" t="s">
        <v>66</v>
      </c>
      <c r="Z2" s="14" t="s">
        <v>67</v>
      </c>
      <c r="AA2" s="40" t="s">
        <v>95</v>
      </c>
      <c r="AB2" s="40" t="s">
        <v>94</v>
      </c>
      <c r="AC2" s="40" t="s">
        <v>69</v>
      </c>
      <c r="AD2" s="40" t="s">
        <v>71</v>
      </c>
      <c r="AE2" s="40" t="s">
        <v>70</v>
      </c>
    </row>
    <row r="3" spans="1:31" s="14" customFormat="1" ht="23.1" customHeight="1" x14ac:dyDescent="0.15">
      <c r="A3" s="167"/>
      <c r="B3" s="167"/>
      <c r="C3" s="167"/>
      <c r="D3" s="168"/>
      <c r="E3" s="168"/>
      <c r="F3" s="169"/>
      <c r="G3" s="169"/>
      <c r="H3" s="55" t="s">
        <v>36</v>
      </c>
      <c r="I3" s="55" t="s">
        <v>37</v>
      </c>
      <c r="J3" s="55" t="s">
        <v>1</v>
      </c>
      <c r="K3" s="55" t="s">
        <v>36</v>
      </c>
      <c r="L3" s="55" t="s">
        <v>37</v>
      </c>
      <c r="M3" s="55" t="s">
        <v>38</v>
      </c>
      <c r="N3" s="55" t="s">
        <v>37</v>
      </c>
      <c r="O3" s="55" t="s">
        <v>39</v>
      </c>
      <c r="P3" s="164"/>
      <c r="Q3" s="168"/>
      <c r="W3" s="2"/>
      <c r="X3" s="2"/>
      <c r="Y3" s="2"/>
      <c r="Z3" s="2"/>
      <c r="AA3" s="35"/>
      <c r="AB3" s="35"/>
      <c r="AC3" s="35"/>
      <c r="AD3" s="35">
        <f>IF(옵션!$C$11 =0, "1", 옵션!$C$11)</f>
        <v>1</v>
      </c>
      <c r="AE3" s="35">
        <f>IF(옵션!$C$12 =0, "1", 옵션!$C$12)</f>
        <v>1</v>
      </c>
    </row>
    <row r="4" spans="1:31" ht="23.1" customHeight="1" x14ac:dyDescent="0.15">
      <c r="B4" s="13" t="s">
        <v>1448</v>
      </c>
      <c r="D4" s="170" t="s">
        <v>3166</v>
      </c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2"/>
    </row>
    <row r="5" spans="1:31" ht="23.1" customHeight="1" x14ac:dyDescent="0.15">
      <c r="A5" s="13" t="s">
        <v>1793</v>
      </c>
      <c r="B5" s="13" t="s">
        <v>3033</v>
      </c>
      <c r="C5" s="13" t="s">
        <v>1794</v>
      </c>
      <c r="D5" s="12" t="s">
        <v>178</v>
      </c>
      <c r="E5" s="12" t="s">
        <v>179</v>
      </c>
      <c r="F5" s="31" t="s">
        <v>166</v>
      </c>
      <c r="G5" s="15">
        <v>589</v>
      </c>
      <c r="H5" s="38">
        <f>일대목차!I37</f>
        <v>449</v>
      </c>
      <c r="I5" s="57">
        <f t="shared" ref="I5:I41" si="0">TRUNC(G5*H5)</f>
        <v>264461</v>
      </c>
      <c r="J5" s="38">
        <v>589</v>
      </c>
      <c r="K5" s="38">
        <f>일대목차!L37</f>
        <v>9852</v>
      </c>
      <c r="L5" s="57">
        <f t="shared" ref="L5:L41" si="1">TRUNC(G5*K5)</f>
        <v>5802828</v>
      </c>
      <c r="M5" s="38">
        <f>일대목차!N37</f>
        <v>0</v>
      </c>
      <c r="N5" s="57">
        <f t="shared" ref="N5:N41" si="2">TRUNC(G5*M5)</f>
        <v>0</v>
      </c>
      <c r="O5" s="38">
        <f t="shared" ref="O5:O41" si="3">IF((H5+K5+M5)=0, "", (H5+K5+M5))</f>
        <v>10301</v>
      </c>
      <c r="P5" s="38">
        <f t="shared" ref="P5:P41" si="4">SUM(I5,L5,N5)</f>
        <v>6067289</v>
      </c>
      <c r="Q5" s="12" t="s">
        <v>1795</v>
      </c>
      <c r="AA5" s="35">
        <f>I5</f>
        <v>264461</v>
      </c>
      <c r="AC5" s="35">
        <f>G5*H5</f>
        <v>264461</v>
      </c>
      <c r="AE5" s="35">
        <f>L5</f>
        <v>5802828</v>
      </c>
    </row>
    <row r="6" spans="1:31" ht="23.1" customHeight="1" x14ac:dyDescent="0.15">
      <c r="A6" s="13" t="s">
        <v>1038</v>
      </c>
      <c r="B6" s="13" t="s">
        <v>3033</v>
      </c>
      <c r="C6" s="13" t="s">
        <v>197</v>
      </c>
      <c r="D6" s="12" t="s">
        <v>198</v>
      </c>
      <c r="E6" s="12" t="s">
        <v>199</v>
      </c>
      <c r="F6" s="31" t="s">
        <v>200</v>
      </c>
      <c r="G6" s="15">
        <v>120</v>
      </c>
      <c r="H6" s="38">
        <f>합산자재!H14</f>
        <v>340</v>
      </c>
      <c r="I6" s="57">
        <f t="shared" si="0"/>
        <v>40800</v>
      </c>
      <c r="J6" s="38">
        <v>120</v>
      </c>
      <c r="K6" s="38">
        <f>합산자재!I14</f>
        <v>0</v>
      </c>
      <c r="L6" s="57">
        <f t="shared" si="1"/>
        <v>0</v>
      </c>
      <c r="M6" s="38">
        <f>합산자재!J14</f>
        <v>0</v>
      </c>
      <c r="N6" s="57">
        <f t="shared" si="2"/>
        <v>0</v>
      </c>
      <c r="O6" s="38">
        <f t="shared" si="3"/>
        <v>340</v>
      </c>
      <c r="P6" s="38">
        <f t="shared" si="4"/>
        <v>40800</v>
      </c>
      <c r="Q6" s="12"/>
    </row>
    <row r="7" spans="1:31" ht="23.1" customHeight="1" x14ac:dyDescent="0.15">
      <c r="A7" s="13" t="s">
        <v>1812</v>
      </c>
      <c r="B7" s="13" t="s">
        <v>3033</v>
      </c>
      <c r="C7" s="13" t="s">
        <v>1813</v>
      </c>
      <c r="D7" s="12" t="s">
        <v>198</v>
      </c>
      <c r="E7" s="12" t="s">
        <v>216</v>
      </c>
      <c r="F7" s="31" t="s">
        <v>166</v>
      </c>
      <c r="G7" s="15">
        <v>34</v>
      </c>
      <c r="H7" s="38">
        <f>일대목차!I43</f>
        <v>691</v>
      </c>
      <c r="I7" s="57">
        <f t="shared" si="0"/>
        <v>23494</v>
      </c>
      <c r="J7" s="38">
        <v>34</v>
      </c>
      <c r="K7" s="38">
        <f>일대목차!L43</f>
        <v>10837</v>
      </c>
      <c r="L7" s="57">
        <f t="shared" si="1"/>
        <v>368458</v>
      </c>
      <c r="M7" s="38">
        <f>일대목차!N43</f>
        <v>0</v>
      </c>
      <c r="N7" s="57">
        <f t="shared" si="2"/>
        <v>0</v>
      </c>
      <c r="O7" s="38">
        <f t="shared" si="3"/>
        <v>11528</v>
      </c>
      <c r="P7" s="38">
        <f t="shared" si="4"/>
        <v>391952</v>
      </c>
      <c r="Q7" s="12" t="s">
        <v>1814</v>
      </c>
      <c r="AC7" s="35">
        <f>G7*H7</f>
        <v>23494</v>
      </c>
      <c r="AE7" s="35">
        <f>L7</f>
        <v>368458</v>
      </c>
    </row>
    <row r="8" spans="1:31" ht="23.1" customHeight="1" x14ac:dyDescent="0.15">
      <c r="A8" s="13" t="s">
        <v>1833</v>
      </c>
      <c r="B8" s="13" t="s">
        <v>3033</v>
      </c>
      <c r="C8" s="13" t="s">
        <v>1834</v>
      </c>
      <c r="D8" s="12" t="s">
        <v>260</v>
      </c>
      <c r="E8" s="12" t="s">
        <v>261</v>
      </c>
      <c r="F8" s="31" t="s">
        <v>200</v>
      </c>
      <c r="G8" s="15">
        <v>44</v>
      </c>
      <c r="H8" s="38">
        <f>일대목차!I50</f>
        <v>1218</v>
      </c>
      <c r="I8" s="57">
        <f t="shared" si="0"/>
        <v>53592</v>
      </c>
      <c r="J8" s="38">
        <v>44</v>
      </c>
      <c r="K8" s="38">
        <f>일대목차!L50</f>
        <v>29557</v>
      </c>
      <c r="L8" s="57">
        <f t="shared" si="1"/>
        <v>1300508</v>
      </c>
      <c r="M8" s="38">
        <f>일대목차!N50</f>
        <v>0</v>
      </c>
      <c r="N8" s="57">
        <f t="shared" si="2"/>
        <v>0</v>
      </c>
      <c r="O8" s="38">
        <f t="shared" si="3"/>
        <v>30775</v>
      </c>
      <c r="P8" s="38">
        <f t="shared" si="4"/>
        <v>1354100</v>
      </c>
      <c r="Q8" s="12" t="s">
        <v>1835</v>
      </c>
      <c r="AE8" s="35">
        <f>L8</f>
        <v>1300508</v>
      </c>
    </row>
    <row r="9" spans="1:31" ht="23.1" customHeight="1" x14ac:dyDescent="0.15">
      <c r="A9" s="13" t="s">
        <v>1839</v>
      </c>
      <c r="B9" s="13" t="s">
        <v>3033</v>
      </c>
      <c r="C9" s="13" t="s">
        <v>1840</v>
      </c>
      <c r="D9" s="12" t="s">
        <v>269</v>
      </c>
      <c r="E9" s="12" t="s">
        <v>270</v>
      </c>
      <c r="F9" s="31" t="s">
        <v>200</v>
      </c>
      <c r="G9" s="15">
        <v>36</v>
      </c>
      <c r="H9" s="38">
        <f>일대목차!I52</f>
        <v>1577</v>
      </c>
      <c r="I9" s="57">
        <f t="shared" si="0"/>
        <v>56772</v>
      </c>
      <c r="J9" s="38">
        <v>36</v>
      </c>
      <c r="K9" s="38">
        <f>일대목차!L52</f>
        <v>49261</v>
      </c>
      <c r="L9" s="57">
        <f t="shared" si="1"/>
        <v>1773396</v>
      </c>
      <c r="M9" s="38">
        <f>일대목차!N52</f>
        <v>0</v>
      </c>
      <c r="N9" s="57">
        <f t="shared" si="2"/>
        <v>0</v>
      </c>
      <c r="O9" s="38">
        <f t="shared" si="3"/>
        <v>50838</v>
      </c>
      <c r="P9" s="38">
        <f t="shared" si="4"/>
        <v>1830168</v>
      </c>
      <c r="Q9" s="12" t="s">
        <v>1841</v>
      </c>
      <c r="AE9" s="35">
        <f>L9</f>
        <v>1773396</v>
      </c>
    </row>
    <row r="10" spans="1:31" ht="23.1" customHeight="1" x14ac:dyDescent="0.15">
      <c r="A10" s="13" t="s">
        <v>1842</v>
      </c>
      <c r="B10" s="13" t="s">
        <v>3033</v>
      </c>
      <c r="C10" s="13" t="s">
        <v>1843</v>
      </c>
      <c r="D10" s="12" t="s">
        <v>269</v>
      </c>
      <c r="E10" s="12" t="s">
        <v>272</v>
      </c>
      <c r="F10" s="31" t="s">
        <v>200</v>
      </c>
      <c r="G10" s="15">
        <v>28</v>
      </c>
      <c r="H10" s="38">
        <f>일대목차!I53</f>
        <v>1711</v>
      </c>
      <c r="I10" s="57">
        <f t="shared" si="0"/>
        <v>47908</v>
      </c>
      <c r="J10" s="38">
        <v>28</v>
      </c>
      <c r="K10" s="38">
        <f>일대목차!L53</f>
        <v>49261</v>
      </c>
      <c r="L10" s="57">
        <f t="shared" si="1"/>
        <v>1379308</v>
      </c>
      <c r="M10" s="38">
        <f>일대목차!N53</f>
        <v>0</v>
      </c>
      <c r="N10" s="57">
        <f t="shared" si="2"/>
        <v>0</v>
      </c>
      <c r="O10" s="38">
        <f t="shared" si="3"/>
        <v>50972</v>
      </c>
      <c r="P10" s="38">
        <f t="shared" si="4"/>
        <v>1427216</v>
      </c>
      <c r="Q10" s="12" t="s">
        <v>1844</v>
      </c>
      <c r="AE10" s="35">
        <f>L10</f>
        <v>1379308</v>
      </c>
    </row>
    <row r="11" spans="1:31" ht="23.1" customHeight="1" x14ac:dyDescent="0.15">
      <c r="A11" s="13" t="s">
        <v>1845</v>
      </c>
      <c r="B11" s="13" t="s">
        <v>3033</v>
      </c>
      <c r="C11" s="13" t="s">
        <v>1846</v>
      </c>
      <c r="D11" s="12" t="s">
        <v>274</v>
      </c>
      <c r="E11" s="12" t="s">
        <v>275</v>
      </c>
      <c r="F11" s="31" t="s">
        <v>200</v>
      </c>
      <c r="G11" s="15">
        <v>36</v>
      </c>
      <c r="H11" s="38">
        <f>일대목차!I54</f>
        <v>921</v>
      </c>
      <c r="I11" s="57">
        <f t="shared" si="0"/>
        <v>33156</v>
      </c>
      <c r="J11" s="38">
        <v>36</v>
      </c>
      <c r="K11" s="38">
        <f>일대목차!L54</f>
        <v>9852</v>
      </c>
      <c r="L11" s="57">
        <f t="shared" si="1"/>
        <v>354672</v>
      </c>
      <c r="M11" s="38">
        <f>일대목차!N54</f>
        <v>0</v>
      </c>
      <c r="N11" s="57">
        <f t="shared" si="2"/>
        <v>0</v>
      </c>
      <c r="O11" s="38">
        <f t="shared" si="3"/>
        <v>10773</v>
      </c>
      <c r="P11" s="38">
        <f t="shared" si="4"/>
        <v>387828</v>
      </c>
      <c r="Q11" s="12" t="s">
        <v>1847</v>
      </c>
      <c r="AE11" s="35">
        <f>L11</f>
        <v>354672</v>
      </c>
    </row>
    <row r="12" spans="1:31" ht="23.1" customHeight="1" x14ac:dyDescent="0.15">
      <c r="A12" s="13" t="s">
        <v>1069</v>
      </c>
      <c r="B12" s="13" t="s">
        <v>3033</v>
      </c>
      <c r="C12" s="13" t="s">
        <v>276</v>
      </c>
      <c r="D12" s="12" t="s">
        <v>277</v>
      </c>
      <c r="E12" s="12" t="s">
        <v>278</v>
      </c>
      <c r="F12" s="31" t="s">
        <v>200</v>
      </c>
      <c r="G12" s="15">
        <v>44</v>
      </c>
      <c r="H12" s="38">
        <f>합산자재!H45</f>
        <v>282</v>
      </c>
      <c r="I12" s="57">
        <f t="shared" si="0"/>
        <v>12408</v>
      </c>
      <c r="J12" s="38">
        <v>44</v>
      </c>
      <c r="K12" s="38">
        <f>합산자재!I45</f>
        <v>0</v>
      </c>
      <c r="L12" s="57">
        <f t="shared" si="1"/>
        <v>0</v>
      </c>
      <c r="M12" s="38">
        <f>합산자재!J45</f>
        <v>0</v>
      </c>
      <c r="N12" s="57">
        <f t="shared" si="2"/>
        <v>0</v>
      </c>
      <c r="O12" s="38">
        <f t="shared" si="3"/>
        <v>282</v>
      </c>
      <c r="P12" s="38">
        <f t="shared" si="4"/>
        <v>12408</v>
      </c>
      <c r="Q12" s="12"/>
    </row>
    <row r="13" spans="1:31" ht="23.1" customHeight="1" x14ac:dyDescent="0.15">
      <c r="A13" s="13" t="s">
        <v>1071</v>
      </c>
      <c r="B13" s="13" t="s">
        <v>3033</v>
      </c>
      <c r="C13" s="13" t="s">
        <v>281</v>
      </c>
      <c r="D13" s="12" t="s">
        <v>277</v>
      </c>
      <c r="E13" s="12" t="s">
        <v>282</v>
      </c>
      <c r="F13" s="31" t="s">
        <v>200</v>
      </c>
      <c r="G13" s="15">
        <v>28</v>
      </c>
      <c r="H13" s="38">
        <f>합산자재!H47</f>
        <v>283</v>
      </c>
      <c r="I13" s="57">
        <f t="shared" si="0"/>
        <v>7924</v>
      </c>
      <c r="J13" s="38">
        <v>28</v>
      </c>
      <c r="K13" s="38">
        <f>합산자재!I47</f>
        <v>0</v>
      </c>
      <c r="L13" s="57">
        <f t="shared" si="1"/>
        <v>0</v>
      </c>
      <c r="M13" s="38">
        <f>합산자재!J47</f>
        <v>0</v>
      </c>
      <c r="N13" s="57">
        <f t="shared" si="2"/>
        <v>0</v>
      </c>
      <c r="O13" s="38">
        <f t="shared" si="3"/>
        <v>283</v>
      </c>
      <c r="P13" s="38">
        <f t="shared" si="4"/>
        <v>7924</v>
      </c>
      <c r="Q13" s="12"/>
    </row>
    <row r="14" spans="1:31" ht="23.1" customHeight="1" x14ac:dyDescent="0.15">
      <c r="A14" s="13" t="s">
        <v>1854</v>
      </c>
      <c r="B14" s="13" t="s">
        <v>3033</v>
      </c>
      <c r="C14" s="13" t="s">
        <v>1855</v>
      </c>
      <c r="D14" s="12" t="s">
        <v>291</v>
      </c>
      <c r="E14" s="12" t="s">
        <v>292</v>
      </c>
      <c r="F14" s="31" t="s">
        <v>200</v>
      </c>
      <c r="G14" s="15">
        <v>4</v>
      </c>
      <c r="H14" s="38">
        <f>일대목차!I57</f>
        <v>3121</v>
      </c>
      <c r="I14" s="57">
        <f t="shared" si="0"/>
        <v>12484</v>
      </c>
      <c r="J14" s="38">
        <v>4</v>
      </c>
      <c r="K14" s="38">
        <f>일대목차!L57</f>
        <v>41872</v>
      </c>
      <c r="L14" s="57">
        <f t="shared" si="1"/>
        <v>167488</v>
      </c>
      <c r="M14" s="38">
        <f>일대목차!N57</f>
        <v>0</v>
      </c>
      <c r="N14" s="57">
        <f t="shared" si="2"/>
        <v>0</v>
      </c>
      <c r="O14" s="38">
        <f t="shared" si="3"/>
        <v>44993</v>
      </c>
      <c r="P14" s="38">
        <f t="shared" si="4"/>
        <v>179972</v>
      </c>
      <c r="Q14" s="12" t="s">
        <v>1856</v>
      </c>
      <c r="AE14" s="35">
        <f t="shared" ref="AE14:AE32" si="5">L14</f>
        <v>167488</v>
      </c>
    </row>
    <row r="15" spans="1:31" ht="23.1" customHeight="1" x14ac:dyDescent="0.15">
      <c r="A15" s="13" t="s">
        <v>1903</v>
      </c>
      <c r="B15" s="13" t="s">
        <v>3033</v>
      </c>
      <c r="C15" s="13" t="s">
        <v>1904</v>
      </c>
      <c r="D15" s="12" t="s">
        <v>397</v>
      </c>
      <c r="E15" s="12" t="s">
        <v>404</v>
      </c>
      <c r="F15" s="31" t="s">
        <v>166</v>
      </c>
      <c r="G15" s="15">
        <v>2238</v>
      </c>
      <c r="H15" s="38">
        <f>일대목차!I73</f>
        <v>590</v>
      </c>
      <c r="I15" s="57">
        <f t="shared" si="0"/>
        <v>1320420</v>
      </c>
      <c r="J15" s="38">
        <v>2238</v>
      </c>
      <c r="K15" s="38">
        <f>일대목차!L73</f>
        <v>2353</v>
      </c>
      <c r="L15" s="57">
        <f t="shared" si="1"/>
        <v>5266014</v>
      </c>
      <c r="M15" s="38">
        <f>일대목차!N73</f>
        <v>0</v>
      </c>
      <c r="N15" s="57">
        <f t="shared" si="2"/>
        <v>0</v>
      </c>
      <c r="O15" s="38">
        <f t="shared" si="3"/>
        <v>2943</v>
      </c>
      <c r="P15" s="38">
        <f t="shared" si="4"/>
        <v>6586434</v>
      </c>
      <c r="Q15" s="12" t="s">
        <v>1905</v>
      </c>
      <c r="AC15" s="35">
        <f>G15*H15</f>
        <v>1320420</v>
      </c>
      <c r="AE15" s="35">
        <f t="shared" si="5"/>
        <v>5266014</v>
      </c>
    </row>
    <row r="16" spans="1:31" ht="23.1" customHeight="1" x14ac:dyDescent="0.15">
      <c r="A16" s="13" t="s">
        <v>2017</v>
      </c>
      <c r="B16" s="13" t="s">
        <v>3033</v>
      </c>
      <c r="C16" s="13" t="s">
        <v>2018</v>
      </c>
      <c r="D16" s="12" t="s">
        <v>508</v>
      </c>
      <c r="E16" s="12" t="s">
        <v>509</v>
      </c>
      <c r="F16" s="31" t="s">
        <v>200</v>
      </c>
      <c r="G16" s="15">
        <v>16</v>
      </c>
      <c r="H16" s="38">
        <f>일대목차!I111</f>
        <v>1789</v>
      </c>
      <c r="I16" s="57">
        <f t="shared" si="0"/>
        <v>28624</v>
      </c>
      <c r="J16" s="38">
        <v>16</v>
      </c>
      <c r="K16" s="38">
        <f>일대목차!L111</f>
        <v>23262</v>
      </c>
      <c r="L16" s="57">
        <f t="shared" si="1"/>
        <v>372192</v>
      </c>
      <c r="M16" s="38">
        <f>일대목차!N111</f>
        <v>0</v>
      </c>
      <c r="N16" s="57">
        <f t="shared" si="2"/>
        <v>0</v>
      </c>
      <c r="O16" s="38">
        <f t="shared" si="3"/>
        <v>25051</v>
      </c>
      <c r="P16" s="38">
        <f t="shared" si="4"/>
        <v>400816</v>
      </c>
      <c r="Q16" s="12" t="s">
        <v>2019</v>
      </c>
      <c r="AE16" s="35">
        <f t="shared" si="5"/>
        <v>372192</v>
      </c>
    </row>
    <row r="17" spans="1:31" ht="23.1" customHeight="1" x14ac:dyDescent="0.15">
      <c r="A17" s="13" t="s">
        <v>2020</v>
      </c>
      <c r="B17" s="13" t="s">
        <v>3033</v>
      </c>
      <c r="C17" s="13" t="s">
        <v>2021</v>
      </c>
      <c r="D17" s="12" t="s">
        <v>508</v>
      </c>
      <c r="E17" s="12" t="s">
        <v>515</v>
      </c>
      <c r="F17" s="31" t="s">
        <v>200</v>
      </c>
      <c r="G17" s="15">
        <v>4</v>
      </c>
      <c r="H17" s="38">
        <f>일대목차!I112</f>
        <v>2318</v>
      </c>
      <c r="I17" s="57">
        <f t="shared" si="0"/>
        <v>9272</v>
      </c>
      <c r="J17" s="38">
        <v>4</v>
      </c>
      <c r="K17" s="38">
        <f>일대목차!L112</f>
        <v>23262</v>
      </c>
      <c r="L17" s="57">
        <f t="shared" si="1"/>
        <v>93048</v>
      </c>
      <c r="M17" s="38">
        <f>일대목차!N112</f>
        <v>0</v>
      </c>
      <c r="N17" s="57">
        <f t="shared" si="2"/>
        <v>0</v>
      </c>
      <c r="O17" s="38">
        <f t="shared" si="3"/>
        <v>25580</v>
      </c>
      <c r="P17" s="38">
        <f t="shared" si="4"/>
        <v>102320</v>
      </c>
      <c r="Q17" s="12" t="s">
        <v>2022</v>
      </c>
      <c r="AE17" s="35">
        <f t="shared" si="5"/>
        <v>93048</v>
      </c>
    </row>
    <row r="18" spans="1:31" ht="23.1" customHeight="1" x14ac:dyDescent="0.15">
      <c r="A18" s="13" t="s">
        <v>2023</v>
      </c>
      <c r="B18" s="13" t="s">
        <v>3033</v>
      </c>
      <c r="C18" s="13" t="s">
        <v>2024</v>
      </c>
      <c r="D18" s="12" t="s">
        <v>508</v>
      </c>
      <c r="E18" s="12" t="s">
        <v>517</v>
      </c>
      <c r="F18" s="31" t="s">
        <v>200</v>
      </c>
      <c r="G18" s="15">
        <v>4</v>
      </c>
      <c r="H18" s="38">
        <f>일대목차!I113</f>
        <v>2860</v>
      </c>
      <c r="I18" s="57">
        <f t="shared" si="0"/>
        <v>11440</v>
      </c>
      <c r="J18" s="38">
        <v>4</v>
      </c>
      <c r="K18" s="38">
        <f>일대목차!L113</f>
        <v>23262</v>
      </c>
      <c r="L18" s="57">
        <f t="shared" si="1"/>
        <v>93048</v>
      </c>
      <c r="M18" s="38">
        <f>일대목차!N113</f>
        <v>0</v>
      </c>
      <c r="N18" s="57">
        <f t="shared" si="2"/>
        <v>0</v>
      </c>
      <c r="O18" s="38">
        <f t="shared" si="3"/>
        <v>26122</v>
      </c>
      <c r="P18" s="38">
        <f t="shared" si="4"/>
        <v>104488</v>
      </c>
      <c r="Q18" s="12" t="s">
        <v>2025</v>
      </c>
      <c r="AE18" s="35">
        <f t="shared" si="5"/>
        <v>93048</v>
      </c>
    </row>
    <row r="19" spans="1:31" ht="23.1" customHeight="1" x14ac:dyDescent="0.15">
      <c r="A19" s="13" t="s">
        <v>2032</v>
      </c>
      <c r="B19" s="13" t="s">
        <v>3033</v>
      </c>
      <c r="C19" s="13" t="s">
        <v>2033</v>
      </c>
      <c r="D19" s="12" t="s">
        <v>519</v>
      </c>
      <c r="E19" s="12" t="s">
        <v>526</v>
      </c>
      <c r="F19" s="31" t="s">
        <v>200</v>
      </c>
      <c r="G19" s="15">
        <v>12</v>
      </c>
      <c r="H19" s="38">
        <f>일대목차!I116</f>
        <v>1372</v>
      </c>
      <c r="I19" s="57">
        <f t="shared" si="0"/>
        <v>16464</v>
      </c>
      <c r="J19" s="38">
        <v>12</v>
      </c>
      <c r="K19" s="38">
        <f>일대목차!L116</f>
        <v>21894</v>
      </c>
      <c r="L19" s="57">
        <f t="shared" si="1"/>
        <v>262728</v>
      </c>
      <c r="M19" s="38">
        <f>일대목차!N116</f>
        <v>0</v>
      </c>
      <c r="N19" s="57">
        <f t="shared" si="2"/>
        <v>0</v>
      </c>
      <c r="O19" s="38">
        <f t="shared" si="3"/>
        <v>23266</v>
      </c>
      <c r="P19" s="38">
        <f t="shared" si="4"/>
        <v>279192</v>
      </c>
      <c r="Q19" s="12" t="s">
        <v>2034</v>
      </c>
      <c r="AE19" s="35">
        <f t="shared" si="5"/>
        <v>262728</v>
      </c>
    </row>
    <row r="20" spans="1:31" ht="23.1" customHeight="1" x14ac:dyDescent="0.15">
      <c r="A20" s="13" t="s">
        <v>2035</v>
      </c>
      <c r="B20" s="13" t="s">
        <v>3033</v>
      </c>
      <c r="C20" s="13" t="s">
        <v>2036</v>
      </c>
      <c r="D20" s="12" t="s">
        <v>519</v>
      </c>
      <c r="E20" s="12" t="s">
        <v>529</v>
      </c>
      <c r="F20" s="31" t="s">
        <v>200</v>
      </c>
      <c r="G20" s="15">
        <v>44</v>
      </c>
      <c r="H20" s="38">
        <f>일대목차!I117</f>
        <v>1822</v>
      </c>
      <c r="I20" s="57">
        <f t="shared" si="0"/>
        <v>80168</v>
      </c>
      <c r="J20" s="38">
        <v>44</v>
      </c>
      <c r="K20" s="38">
        <f>일대목차!L117</f>
        <v>21894</v>
      </c>
      <c r="L20" s="57">
        <f t="shared" si="1"/>
        <v>963336</v>
      </c>
      <c r="M20" s="38">
        <f>일대목차!N117</f>
        <v>0</v>
      </c>
      <c r="N20" s="57">
        <f t="shared" si="2"/>
        <v>0</v>
      </c>
      <c r="O20" s="38">
        <f t="shared" si="3"/>
        <v>23716</v>
      </c>
      <c r="P20" s="38">
        <f t="shared" si="4"/>
        <v>1043504</v>
      </c>
      <c r="Q20" s="12" t="s">
        <v>2037</v>
      </c>
      <c r="AE20" s="35">
        <f t="shared" si="5"/>
        <v>963336</v>
      </c>
    </row>
    <row r="21" spans="1:31" ht="23.1" customHeight="1" x14ac:dyDescent="0.15">
      <c r="A21" s="13" t="s">
        <v>2038</v>
      </c>
      <c r="B21" s="13" t="s">
        <v>3033</v>
      </c>
      <c r="C21" s="13" t="s">
        <v>2039</v>
      </c>
      <c r="D21" s="12" t="s">
        <v>531</v>
      </c>
      <c r="E21" s="12" t="s">
        <v>526</v>
      </c>
      <c r="F21" s="31" t="s">
        <v>200</v>
      </c>
      <c r="G21" s="15">
        <v>8</v>
      </c>
      <c r="H21" s="38">
        <f>일대목차!I118</f>
        <v>2474</v>
      </c>
      <c r="I21" s="57">
        <f t="shared" si="0"/>
        <v>19792</v>
      </c>
      <c r="J21" s="38">
        <v>8</v>
      </c>
      <c r="K21" s="38">
        <f>일대목차!L118</f>
        <v>21894</v>
      </c>
      <c r="L21" s="57">
        <f t="shared" si="1"/>
        <v>175152</v>
      </c>
      <c r="M21" s="38">
        <f>일대목차!N118</f>
        <v>0</v>
      </c>
      <c r="N21" s="57">
        <f t="shared" si="2"/>
        <v>0</v>
      </c>
      <c r="O21" s="38">
        <f t="shared" si="3"/>
        <v>24368</v>
      </c>
      <c r="P21" s="38">
        <f t="shared" si="4"/>
        <v>194944</v>
      </c>
      <c r="Q21" s="12" t="s">
        <v>2040</v>
      </c>
      <c r="AE21" s="35">
        <f t="shared" si="5"/>
        <v>175152</v>
      </c>
    </row>
    <row r="22" spans="1:31" ht="23.1" customHeight="1" x14ac:dyDescent="0.15">
      <c r="A22" s="13" t="s">
        <v>2041</v>
      </c>
      <c r="B22" s="13" t="s">
        <v>3033</v>
      </c>
      <c r="C22" s="13" t="s">
        <v>2042</v>
      </c>
      <c r="D22" s="12" t="s">
        <v>531</v>
      </c>
      <c r="E22" s="12" t="s">
        <v>529</v>
      </c>
      <c r="F22" s="31" t="s">
        <v>200</v>
      </c>
      <c r="G22" s="15">
        <v>4</v>
      </c>
      <c r="H22" s="38">
        <f>일대목차!I119</f>
        <v>2560</v>
      </c>
      <c r="I22" s="57">
        <f t="shared" si="0"/>
        <v>10240</v>
      </c>
      <c r="J22" s="38">
        <v>4</v>
      </c>
      <c r="K22" s="38">
        <f>일대목차!L119</f>
        <v>21894</v>
      </c>
      <c r="L22" s="57">
        <f t="shared" si="1"/>
        <v>87576</v>
      </c>
      <c r="M22" s="38">
        <f>일대목차!N119</f>
        <v>0</v>
      </c>
      <c r="N22" s="57">
        <f t="shared" si="2"/>
        <v>0</v>
      </c>
      <c r="O22" s="38">
        <f t="shared" si="3"/>
        <v>24454</v>
      </c>
      <c r="P22" s="38">
        <f t="shared" si="4"/>
        <v>97816</v>
      </c>
      <c r="Q22" s="12" t="s">
        <v>2043</v>
      </c>
      <c r="AE22" s="35">
        <f t="shared" si="5"/>
        <v>87576</v>
      </c>
    </row>
    <row r="23" spans="1:31" ht="23.1" customHeight="1" x14ac:dyDescent="0.15">
      <c r="A23" s="13" t="s">
        <v>1756</v>
      </c>
      <c r="B23" s="13" t="s">
        <v>3033</v>
      </c>
      <c r="C23" s="13" t="s">
        <v>1757</v>
      </c>
      <c r="D23" s="12" t="s">
        <v>1759</v>
      </c>
      <c r="E23" s="12" t="s">
        <v>1407</v>
      </c>
      <c r="F23" s="31" t="s">
        <v>792</v>
      </c>
      <c r="G23" s="15">
        <v>36</v>
      </c>
      <c r="H23" s="38">
        <f>일대목차!I27</f>
        <v>224</v>
      </c>
      <c r="I23" s="57">
        <f t="shared" si="0"/>
        <v>8064</v>
      </c>
      <c r="J23" s="38">
        <v>36</v>
      </c>
      <c r="K23" s="38">
        <f>일대목차!L27</f>
        <v>11220</v>
      </c>
      <c r="L23" s="57">
        <f t="shared" si="1"/>
        <v>403920</v>
      </c>
      <c r="M23" s="38">
        <f>일대목차!N27</f>
        <v>0</v>
      </c>
      <c r="N23" s="57">
        <f t="shared" si="2"/>
        <v>0</v>
      </c>
      <c r="O23" s="38">
        <f t="shared" si="3"/>
        <v>11444</v>
      </c>
      <c r="P23" s="38">
        <f t="shared" si="4"/>
        <v>411984</v>
      </c>
      <c r="Q23" s="12" t="s">
        <v>1758</v>
      </c>
      <c r="AE23" s="35">
        <f t="shared" si="5"/>
        <v>403920</v>
      </c>
    </row>
    <row r="24" spans="1:31" ht="23.1" customHeight="1" x14ac:dyDescent="0.15">
      <c r="A24" s="13" t="s">
        <v>1764</v>
      </c>
      <c r="B24" s="13" t="s">
        <v>3033</v>
      </c>
      <c r="C24" s="13" t="s">
        <v>1765</v>
      </c>
      <c r="D24" s="12" t="s">
        <v>1767</v>
      </c>
      <c r="E24" s="12"/>
      <c r="F24" s="31" t="s">
        <v>554</v>
      </c>
      <c r="G24" s="15">
        <v>8</v>
      </c>
      <c r="H24" s="38">
        <f>일대목차!I29</f>
        <v>224</v>
      </c>
      <c r="I24" s="57">
        <f t="shared" si="0"/>
        <v>1792</v>
      </c>
      <c r="J24" s="38">
        <v>8</v>
      </c>
      <c r="K24" s="38">
        <f>일대목차!L29</f>
        <v>11220</v>
      </c>
      <c r="L24" s="57">
        <f t="shared" si="1"/>
        <v>89760</v>
      </c>
      <c r="M24" s="38">
        <f>일대목차!N29</f>
        <v>0</v>
      </c>
      <c r="N24" s="57">
        <f t="shared" si="2"/>
        <v>0</v>
      </c>
      <c r="O24" s="38">
        <f t="shared" si="3"/>
        <v>11444</v>
      </c>
      <c r="P24" s="38">
        <f t="shared" si="4"/>
        <v>91552</v>
      </c>
      <c r="Q24" s="12" t="s">
        <v>1766</v>
      </c>
      <c r="AE24" s="35">
        <f t="shared" si="5"/>
        <v>89760</v>
      </c>
    </row>
    <row r="25" spans="1:31" ht="23.1" customHeight="1" x14ac:dyDescent="0.15">
      <c r="A25" s="13" t="s">
        <v>2134</v>
      </c>
      <c r="B25" s="13" t="s">
        <v>3033</v>
      </c>
      <c r="C25" s="13" t="s">
        <v>2135</v>
      </c>
      <c r="D25" s="12" t="s">
        <v>716</v>
      </c>
      <c r="E25" s="12" t="s">
        <v>717</v>
      </c>
      <c r="F25" s="31" t="s">
        <v>200</v>
      </c>
      <c r="G25" s="15">
        <v>4</v>
      </c>
      <c r="H25" s="38">
        <f>일대목차!I150</f>
        <v>45437</v>
      </c>
      <c r="I25" s="57">
        <f t="shared" si="0"/>
        <v>181748</v>
      </c>
      <c r="J25" s="38">
        <v>4</v>
      </c>
      <c r="K25" s="38">
        <f>일대목차!L150</f>
        <v>21894</v>
      </c>
      <c r="L25" s="57">
        <f t="shared" si="1"/>
        <v>87576</v>
      </c>
      <c r="M25" s="38">
        <f>일대목차!N150</f>
        <v>0</v>
      </c>
      <c r="N25" s="57">
        <f t="shared" si="2"/>
        <v>0</v>
      </c>
      <c r="O25" s="38">
        <f t="shared" si="3"/>
        <v>67331</v>
      </c>
      <c r="P25" s="38">
        <f t="shared" si="4"/>
        <v>269324</v>
      </c>
      <c r="Q25" s="12" t="s">
        <v>2136</v>
      </c>
      <c r="AE25" s="35">
        <f t="shared" si="5"/>
        <v>87576</v>
      </c>
    </row>
    <row r="26" spans="1:31" ht="23.1" customHeight="1" x14ac:dyDescent="0.15">
      <c r="A26" s="13" t="s">
        <v>2140</v>
      </c>
      <c r="B26" s="13" t="s">
        <v>3033</v>
      </c>
      <c r="C26" s="13" t="s">
        <v>2141</v>
      </c>
      <c r="D26" s="12" t="s">
        <v>716</v>
      </c>
      <c r="E26" s="12" t="s">
        <v>719</v>
      </c>
      <c r="F26" s="31" t="s">
        <v>200</v>
      </c>
      <c r="G26" s="15">
        <v>8</v>
      </c>
      <c r="H26" s="38">
        <f>일대목차!I152</f>
        <v>35437</v>
      </c>
      <c r="I26" s="57">
        <f t="shared" si="0"/>
        <v>283496</v>
      </c>
      <c r="J26" s="38">
        <v>8</v>
      </c>
      <c r="K26" s="38">
        <f>일대목차!L152</f>
        <v>21894</v>
      </c>
      <c r="L26" s="57">
        <f t="shared" si="1"/>
        <v>175152</v>
      </c>
      <c r="M26" s="38">
        <f>일대목차!N152</f>
        <v>0</v>
      </c>
      <c r="N26" s="57">
        <f t="shared" si="2"/>
        <v>0</v>
      </c>
      <c r="O26" s="38">
        <f t="shared" si="3"/>
        <v>57331</v>
      </c>
      <c r="P26" s="38">
        <f t="shared" si="4"/>
        <v>458648</v>
      </c>
      <c r="Q26" s="12" t="s">
        <v>2142</v>
      </c>
      <c r="AE26" s="35">
        <f t="shared" si="5"/>
        <v>175152</v>
      </c>
    </row>
    <row r="27" spans="1:31" ht="23.1" customHeight="1" x14ac:dyDescent="0.15">
      <c r="A27" s="13" t="s">
        <v>2149</v>
      </c>
      <c r="B27" s="13" t="s">
        <v>3033</v>
      </c>
      <c r="C27" s="13" t="s">
        <v>2150</v>
      </c>
      <c r="D27" s="12" t="s">
        <v>720</v>
      </c>
      <c r="E27" s="12" t="s">
        <v>719</v>
      </c>
      <c r="F27" s="31" t="s">
        <v>200</v>
      </c>
      <c r="G27" s="15">
        <v>4</v>
      </c>
      <c r="H27" s="38">
        <f>일대목차!I155</f>
        <v>4985</v>
      </c>
      <c r="I27" s="57">
        <f t="shared" si="0"/>
        <v>19940</v>
      </c>
      <c r="J27" s="38">
        <v>4</v>
      </c>
      <c r="K27" s="38">
        <f>일대목차!L155</f>
        <v>49261</v>
      </c>
      <c r="L27" s="57">
        <f t="shared" si="1"/>
        <v>197044</v>
      </c>
      <c r="M27" s="38">
        <f>일대목차!N155</f>
        <v>0</v>
      </c>
      <c r="N27" s="57">
        <f t="shared" si="2"/>
        <v>0</v>
      </c>
      <c r="O27" s="38">
        <f t="shared" si="3"/>
        <v>54246</v>
      </c>
      <c r="P27" s="38">
        <f t="shared" si="4"/>
        <v>216984</v>
      </c>
      <c r="Q27" s="12" t="s">
        <v>2151</v>
      </c>
      <c r="AE27" s="35">
        <f t="shared" si="5"/>
        <v>197044</v>
      </c>
    </row>
    <row r="28" spans="1:31" ht="23.1" customHeight="1" x14ac:dyDescent="0.15">
      <c r="A28" s="13" t="s">
        <v>2152</v>
      </c>
      <c r="B28" s="13" t="s">
        <v>3033</v>
      </c>
      <c r="C28" s="13" t="s">
        <v>2153</v>
      </c>
      <c r="D28" s="12" t="s">
        <v>722</v>
      </c>
      <c r="E28" s="12" t="s">
        <v>717</v>
      </c>
      <c r="F28" s="31" t="s">
        <v>200</v>
      </c>
      <c r="G28" s="15">
        <v>4</v>
      </c>
      <c r="H28" s="38">
        <f>일대목차!I156</f>
        <v>2485</v>
      </c>
      <c r="I28" s="57">
        <f t="shared" si="0"/>
        <v>9940</v>
      </c>
      <c r="J28" s="38">
        <v>4</v>
      </c>
      <c r="K28" s="38">
        <f>일대목차!L156</f>
        <v>49261</v>
      </c>
      <c r="L28" s="57">
        <f t="shared" si="1"/>
        <v>197044</v>
      </c>
      <c r="M28" s="38">
        <f>일대목차!N156</f>
        <v>0</v>
      </c>
      <c r="N28" s="57">
        <f t="shared" si="2"/>
        <v>0</v>
      </c>
      <c r="O28" s="38">
        <f t="shared" si="3"/>
        <v>51746</v>
      </c>
      <c r="P28" s="38">
        <f t="shared" si="4"/>
        <v>206984</v>
      </c>
      <c r="Q28" s="12" t="s">
        <v>2154</v>
      </c>
      <c r="AE28" s="35">
        <f t="shared" si="5"/>
        <v>197044</v>
      </c>
    </row>
    <row r="29" spans="1:31" ht="23.1" customHeight="1" x14ac:dyDescent="0.15">
      <c r="A29" s="13" t="s">
        <v>2155</v>
      </c>
      <c r="B29" s="13" t="s">
        <v>3033</v>
      </c>
      <c r="C29" s="13" t="s">
        <v>2156</v>
      </c>
      <c r="D29" s="12" t="s">
        <v>722</v>
      </c>
      <c r="E29" s="12" t="s">
        <v>719</v>
      </c>
      <c r="F29" s="31" t="s">
        <v>200</v>
      </c>
      <c r="G29" s="15">
        <v>4</v>
      </c>
      <c r="H29" s="38">
        <f>일대목차!I157</f>
        <v>2485</v>
      </c>
      <c r="I29" s="57">
        <f t="shared" si="0"/>
        <v>9940</v>
      </c>
      <c r="J29" s="38">
        <v>4</v>
      </c>
      <c r="K29" s="38">
        <f>일대목차!L157</f>
        <v>49261</v>
      </c>
      <c r="L29" s="57">
        <f t="shared" si="1"/>
        <v>197044</v>
      </c>
      <c r="M29" s="38">
        <f>일대목차!N157</f>
        <v>0</v>
      </c>
      <c r="N29" s="57">
        <f t="shared" si="2"/>
        <v>0</v>
      </c>
      <c r="O29" s="38">
        <f t="shared" si="3"/>
        <v>51746</v>
      </c>
      <c r="P29" s="38">
        <f t="shared" si="4"/>
        <v>206984</v>
      </c>
      <c r="Q29" s="12" t="s">
        <v>2157</v>
      </c>
      <c r="AE29" s="35">
        <f t="shared" si="5"/>
        <v>197044</v>
      </c>
    </row>
    <row r="30" spans="1:31" ht="23.1" customHeight="1" x14ac:dyDescent="0.15">
      <c r="A30" s="13" t="s">
        <v>2158</v>
      </c>
      <c r="B30" s="13" t="s">
        <v>3033</v>
      </c>
      <c r="C30" s="13" t="s">
        <v>2159</v>
      </c>
      <c r="D30" s="12" t="s">
        <v>519</v>
      </c>
      <c r="E30" s="12" t="s">
        <v>723</v>
      </c>
      <c r="F30" s="31" t="s">
        <v>200</v>
      </c>
      <c r="G30" s="15">
        <v>4</v>
      </c>
      <c r="H30" s="38">
        <f>일대목차!I158</f>
        <v>1782</v>
      </c>
      <c r="I30" s="57">
        <f t="shared" si="0"/>
        <v>7128</v>
      </c>
      <c r="J30" s="38">
        <v>4</v>
      </c>
      <c r="K30" s="38">
        <f>일대목차!L158</f>
        <v>21894</v>
      </c>
      <c r="L30" s="57">
        <f t="shared" si="1"/>
        <v>87576</v>
      </c>
      <c r="M30" s="38">
        <f>일대목차!N158</f>
        <v>0</v>
      </c>
      <c r="N30" s="57">
        <f t="shared" si="2"/>
        <v>0</v>
      </c>
      <c r="O30" s="38">
        <f t="shared" si="3"/>
        <v>23676</v>
      </c>
      <c r="P30" s="38">
        <f t="shared" si="4"/>
        <v>94704</v>
      </c>
      <c r="Q30" s="12" t="s">
        <v>2160</v>
      </c>
      <c r="AE30" s="35">
        <f t="shared" si="5"/>
        <v>87576</v>
      </c>
    </row>
    <row r="31" spans="1:31" ht="23.1" customHeight="1" x14ac:dyDescent="0.15">
      <c r="A31" s="13" t="s">
        <v>2161</v>
      </c>
      <c r="B31" s="13" t="s">
        <v>3033</v>
      </c>
      <c r="C31" s="13" t="s">
        <v>2162</v>
      </c>
      <c r="D31" s="12" t="s">
        <v>724</v>
      </c>
      <c r="E31" s="12" t="s">
        <v>725</v>
      </c>
      <c r="F31" s="31" t="s">
        <v>200</v>
      </c>
      <c r="G31" s="15">
        <v>16</v>
      </c>
      <c r="H31" s="38">
        <f>일대목차!I159</f>
        <v>2285</v>
      </c>
      <c r="I31" s="57">
        <f t="shared" si="0"/>
        <v>36560</v>
      </c>
      <c r="J31" s="38">
        <v>16</v>
      </c>
      <c r="K31" s="38">
        <f>일대목차!L159</f>
        <v>49261</v>
      </c>
      <c r="L31" s="57">
        <f t="shared" si="1"/>
        <v>788176</v>
      </c>
      <c r="M31" s="38">
        <f>일대목차!N159</f>
        <v>0</v>
      </c>
      <c r="N31" s="57">
        <f t="shared" si="2"/>
        <v>0</v>
      </c>
      <c r="O31" s="38">
        <f t="shared" si="3"/>
        <v>51546</v>
      </c>
      <c r="P31" s="38">
        <f t="shared" si="4"/>
        <v>824736</v>
      </c>
      <c r="Q31" s="12" t="s">
        <v>2163</v>
      </c>
      <c r="AE31" s="35">
        <f t="shared" si="5"/>
        <v>788176</v>
      </c>
    </row>
    <row r="32" spans="1:31" ht="23.1" customHeight="1" x14ac:dyDescent="0.15">
      <c r="A32" s="13" t="s">
        <v>2164</v>
      </c>
      <c r="B32" s="13" t="s">
        <v>3033</v>
      </c>
      <c r="C32" s="13" t="s">
        <v>2165</v>
      </c>
      <c r="D32" s="12" t="s">
        <v>724</v>
      </c>
      <c r="E32" s="12" t="s">
        <v>726</v>
      </c>
      <c r="F32" s="31" t="s">
        <v>200</v>
      </c>
      <c r="G32" s="15">
        <v>12</v>
      </c>
      <c r="H32" s="38">
        <f>일대목차!I160</f>
        <v>2485</v>
      </c>
      <c r="I32" s="57">
        <f t="shared" si="0"/>
        <v>29820</v>
      </c>
      <c r="J32" s="38">
        <v>12</v>
      </c>
      <c r="K32" s="38">
        <f>일대목차!L160</f>
        <v>49261</v>
      </c>
      <c r="L32" s="57">
        <f t="shared" si="1"/>
        <v>591132</v>
      </c>
      <c r="M32" s="38">
        <f>일대목차!N160</f>
        <v>0</v>
      </c>
      <c r="N32" s="57">
        <f t="shared" si="2"/>
        <v>0</v>
      </c>
      <c r="O32" s="38">
        <f t="shared" si="3"/>
        <v>51746</v>
      </c>
      <c r="P32" s="38">
        <f t="shared" si="4"/>
        <v>620952</v>
      </c>
      <c r="Q32" s="12" t="s">
        <v>2166</v>
      </c>
      <c r="AE32" s="35">
        <f t="shared" si="5"/>
        <v>591132</v>
      </c>
    </row>
    <row r="33" spans="1:31" ht="23.1" customHeight="1" x14ac:dyDescent="0.15">
      <c r="A33" s="13" t="s">
        <v>1245</v>
      </c>
      <c r="B33" s="13" t="s">
        <v>3033</v>
      </c>
      <c r="C33" s="13" t="s">
        <v>706</v>
      </c>
      <c r="D33" s="12" t="s">
        <v>735</v>
      </c>
      <c r="E33" s="12"/>
      <c r="F33" s="31" t="s">
        <v>289</v>
      </c>
      <c r="G33" s="15">
        <v>4</v>
      </c>
      <c r="H33" s="38">
        <f>합산자재!H221</f>
        <v>50000</v>
      </c>
      <c r="I33" s="57">
        <f t="shared" si="0"/>
        <v>200000</v>
      </c>
      <c r="J33" s="38">
        <v>4</v>
      </c>
      <c r="K33" s="38">
        <f>합산자재!I221</f>
        <v>0</v>
      </c>
      <c r="L33" s="57">
        <f t="shared" si="1"/>
        <v>0</v>
      </c>
      <c r="M33" s="38">
        <f>합산자재!J221</f>
        <v>0</v>
      </c>
      <c r="N33" s="57">
        <f t="shared" si="2"/>
        <v>0</v>
      </c>
      <c r="O33" s="38">
        <f t="shared" si="3"/>
        <v>50000</v>
      </c>
      <c r="P33" s="38">
        <f t="shared" si="4"/>
        <v>200000</v>
      </c>
      <c r="Q33" s="12"/>
    </row>
    <row r="34" spans="1:31" ht="23.1" customHeight="1" x14ac:dyDescent="0.15">
      <c r="A34" s="13" t="s">
        <v>2173</v>
      </c>
      <c r="B34" s="13" t="s">
        <v>3033</v>
      </c>
      <c r="C34" s="13" t="s">
        <v>2174</v>
      </c>
      <c r="D34" s="12" t="s">
        <v>736</v>
      </c>
      <c r="E34" s="12" t="s">
        <v>737</v>
      </c>
      <c r="F34" s="31" t="s">
        <v>559</v>
      </c>
      <c r="G34" s="15">
        <v>4</v>
      </c>
      <c r="H34" s="38">
        <f>일대목차!I163</f>
        <v>205221</v>
      </c>
      <c r="I34" s="57">
        <f t="shared" si="0"/>
        <v>820884</v>
      </c>
      <c r="J34" s="38">
        <v>4</v>
      </c>
      <c r="K34" s="38">
        <f>일대목차!L163</f>
        <v>243571</v>
      </c>
      <c r="L34" s="57">
        <f t="shared" si="1"/>
        <v>974284</v>
      </c>
      <c r="M34" s="38">
        <f>일대목차!N163</f>
        <v>0</v>
      </c>
      <c r="N34" s="57">
        <f t="shared" si="2"/>
        <v>0</v>
      </c>
      <c r="O34" s="38">
        <f t="shared" si="3"/>
        <v>448792</v>
      </c>
      <c r="P34" s="38">
        <f t="shared" si="4"/>
        <v>1795168</v>
      </c>
      <c r="Q34" s="12" t="s">
        <v>2175</v>
      </c>
      <c r="AE34" s="35">
        <f t="shared" ref="AE34:AE41" si="6">L34</f>
        <v>974284</v>
      </c>
    </row>
    <row r="35" spans="1:31" ht="23.1" customHeight="1" x14ac:dyDescent="0.15">
      <c r="A35" s="13" t="s">
        <v>2329</v>
      </c>
      <c r="B35" s="13" t="s">
        <v>3033</v>
      </c>
      <c r="C35" s="13" t="s">
        <v>2330</v>
      </c>
      <c r="D35" s="12" t="s">
        <v>962</v>
      </c>
      <c r="E35" s="12" t="s">
        <v>976</v>
      </c>
      <c r="F35" s="31" t="s">
        <v>710</v>
      </c>
      <c r="G35" s="15">
        <v>12</v>
      </c>
      <c r="H35" s="38">
        <f>일대목차!I215</f>
        <v>1247</v>
      </c>
      <c r="I35" s="57">
        <f t="shared" si="0"/>
        <v>14964</v>
      </c>
      <c r="J35" s="38">
        <v>12</v>
      </c>
      <c r="K35" s="38">
        <f>일대목차!L215</f>
        <v>62398</v>
      </c>
      <c r="L35" s="57">
        <f t="shared" si="1"/>
        <v>748776</v>
      </c>
      <c r="M35" s="38">
        <f>일대목차!N215</f>
        <v>0</v>
      </c>
      <c r="N35" s="57">
        <f t="shared" si="2"/>
        <v>0</v>
      </c>
      <c r="O35" s="38">
        <f t="shared" si="3"/>
        <v>63645</v>
      </c>
      <c r="P35" s="38">
        <f t="shared" si="4"/>
        <v>763740</v>
      </c>
      <c r="Q35" s="12" t="s">
        <v>2331</v>
      </c>
      <c r="AE35" s="35">
        <f t="shared" si="6"/>
        <v>748776</v>
      </c>
    </row>
    <row r="36" spans="1:31" ht="23.1" customHeight="1" x14ac:dyDescent="0.15">
      <c r="A36" s="13" t="s">
        <v>2326</v>
      </c>
      <c r="B36" s="13" t="s">
        <v>3033</v>
      </c>
      <c r="C36" s="13" t="s">
        <v>2327</v>
      </c>
      <c r="D36" s="12" t="s">
        <v>962</v>
      </c>
      <c r="E36" s="12" t="s">
        <v>974</v>
      </c>
      <c r="F36" s="31" t="s">
        <v>710</v>
      </c>
      <c r="G36" s="15">
        <v>4</v>
      </c>
      <c r="H36" s="38">
        <f>일대목차!I214</f>
        <v>1083</v>
      </c>
      <c r="I36" s="57">
        <f t="shared" si="0"/>
        <v>4332</v>
      </c>
      <c r="J36" s="38">
        <v>4</v>
      </c>
      <c r="K36" s="38">
        <f>일대목차!L214</f>
        <v>54187</v>
      </c>
      <c r="L36" s="57">
        <f t="shared" si="1"/>
        <v>216748</v>
      </c>
      <c r="M36" s="38">
        <f>일대목차!N214</f>
        <v>0</v>
      </c>
      <c r="N36" s="57">
        <f t="shared" si="2"/>
        <v>0</v>
      </c>
      <c r="O36" s="38">
        <f t="shared" si="3"/>
        <v>55270</v>
      </c>
      <c r="P36" s="38">
        <f t="shared" si="4"/>
        <v>221080</v>
      </c>
      <c r="Q36" s="12" t="s">
        <v>2328</v>
      </c>
      <c r="AE36" s="35">
        <f t="shared" si="6"/>
        <v>216748</v>
      </c>
    </row>
    <row r="37" spans="1:31" ht="23.1" customHeight="1" x14ac:dyDescent="0.15">
      <c r="A37" s="13" t="s">
        <v>2323</v>
      </c>
      <c r="B37" s="13" t="s">
        <v>3033</v>
      </c>
      <c r="C37" s="13" t="s">
        <v>2324</v>
      </c>
      <c r="D37" s="12" t="s">
        <v>962</v>
      </c>
      <c r="E37" s="12" t="s">
        <v>972</v>
      </c>
      <c r="F37" s="31" t="s">
        <v>710</v>
      </c>
      <c r="G37" s="15">
        <v>4</v>
      </c>
      <c r="H37" s="38">
        <f>일대목차!I213</f>
        <v>1187</v>
      </c>
      <c r="I37" s="57">
        <f t="shared" si="0"/>
        <v>4748</v>
      </c>
      <c r="J37" s="38">
        <v>4</v>
      </c>
      <c r="K37" s="38">
        <f>일대목차!L213</f>
        <v>59387</v>
      </c>
      <c r="L37" s="57">
        <f t="shared" si="1"/>
        <v>237548</v>
      </c>
      <c r="M37" s="38">
        <f>일대목차!N213</f>
        <v>0</v>
      </c>
      <c r="N37" s="57">
        <f t="shared" si="2"/>
        <v>0</v>
      </c>
      <c r="O37" s="38">
        <f t="shared" si="3"/>
        <v>60574</v>
      </c>
      <c r="P37" s="38">
        <f t="shared" si="4"/>
        <v>242296</v>
      </c>
      <c r="Q37" s="12" t="s">
        <v>2325</v>
      </c>
      <c r="AE37" s="35">
        <f t="shared" si="6"/>
        <v>237548</v>
      </c>
    </row>
    <row r="38" spans="1:31" ht="23.1" customHeight="1" x14ac:dyDescent="0.15">
      <c r="A38" s="13" t="s">
        <v>2320</v>
      </c>
      <c r="B38" s="13" t="s">
        <v>3033</v>
      </c>
      <c r="C38" s="13" t="s">
        <v>2321</v>
      </c>
      <c r="D38" s="12" t="s">
        <v>962</v>
      </c>
      <c r="E38" s="12" t="s">
        <v>970</v>
      </c>
      <c r="F38" s="31" t="s">
        <v>710</v>
      </c>
      <c r="G38" s="15">
        <v>4</v>
      </c>
      <c r="H38" s="38">
        <f>일대목차!I212</f>
        <v>574</v>
      </c>
      <c r="I38" s="57">
        <f t="shared" si="0"/>
        <v>2296</v>
      </c>
      <c r="J38" s="38">
        <v>4</v>
      </c>
      <c r="K38" s="38">
        <f>일대목차!L212</f>
        <v>28735</v>
      </c>
      <c r="L38" s="57">
        <f t="shared" si="1"/>
        <v>114940</v>
      </c>
      <c r="M38" s="38">
        <f>일대목차!N212</f>
        <v>0</v>
      </c>
      <c r="N38" s="57">
        <f t="shared" si="2"/>
        <v>0</v>
      </c>
      <c r="O38" s="38">
        <f t="shared" si="3"/>
        <v>29309</v>
      </c>
      <c r="P38" s="38">
        <f t="shared" si="4"/>
        <v>117236</v>
      </c>
      <c r="Q38" s="12" t="s">
        <v>2322</v>
      </c>
      <c r="AE38" s="35">
        <f t="shared" si="6"/>
        <v>114940</v>
      </c>
    </row>
    <row r="39" spans="1:31" ht="23.1" customHeight="1" x14ac:dyDescent="0.15">
      <c r="A39" s="13" t="s">
        <v>2314</v>
      </c>
      <c r="B39" s="13" t="s">
        <v>3033</v>
      </c>
      <c r="C39" s="13" t="s">
        <v>2315</v>
      </c>
      <c r="D39" s="12" t="s">
        <v>962</v>
      </c>
      <c r="E39" s="12" t="s">
        <v>967</v>
      </c>
      <c r="F39" s="31" t="s">
        <v>710</v>
      </c>
      <c r="G39" s="15">
        <v>8</v>
      </c>
      <c r="H39" s="38">
        <f>일대목차!I210</f>
        <v>574</v>
      </c>
      <c r="I39" s="57">
        <f t="shared" si="0"/>
        <v>4592</v>
      </c>
      <c r="J39" s="38">
        <v>8</v>
      </c>
      <c r="K39" s="38">
        <f>일대목차!L210</f>
        <v>28735</v>
      </c>
      <c r="L39" s="57">
        <f t="shared" si="1"/>
        <v>229880</v>
      </c>
      <c r="M39" s="38">
        <f>일대목차!N210</f>
        <v>0</v>
      </c>
      <c r="N39" s="57">
        <f t="shared" si="2"/>
        <v>0</v>
      </c>
      <c r="O39" s="38">
        <f t="shared" si="3"/>
        <v>29309</v>
      </c>
      <c r="P39" s="38">
        <f t="shared" si="4"/>
        <v>234472</v>
      </c>
      <c r="Q39" s="12" t="s">
        <v>2316</v>
      </c>
      <c r="AE39" s="35">
        <f t="shared" si="6"/>
        <v>229880</v>
      </c>
    </row>
    <row r="40" spans="1:31" ht="23.1" customHeight="1" x14ac:dyDescent="0.15">
      <c r="A40" s="13" t="s">
        <v>2311</v>
      </c>
      <c r="B40" s="13" t="s">
        <v>3033</v>
      </c>
      <c r="C40" s="13" t="s">
        <v>2312</v>
      </c>
      <c r="D40" s="12" t="s">
        <v>962</v>
      </c>
      <c r="E40" s="12" t="s">
        <v>965</v>
      </c>
      <c r="F40" s="31" t="s">
        <v>710</v>
      </c>
      <c r="G40" s="15">
        <v>4</v>
      </c>
      <c r="H40" s="38">
        <f>일대목차!I209</f>
        <v>760</v>
      </c>
      <c r="I40" s="57">
        <f t="shared" si="0"/>
        <v>3040</v>
      </c>
      <c r="J40" s="38">
        <v>4</v>
      </c>
      <c r="K40" s="38">
        <f>일대목차!L209</f>
        <v>38040</v>
      </c>
      <c r="L40" s="57">
        <f t="shared" si="1"/>
        <v>152160</v>
      </c>
      <c r="M40" s="38">
        <f>일대목차!N209</f>
        <v>0</v>
      </c>
      <c r="N40" s="57">
        <f t="shared" si="2"/>
        <v>0</v>
      </c>
      <c r="O40" s="38">
        <f t="shared" si="3"/>
        <v>38800</v>
      </c>
      <c r="P40" s="38">
        <f t="shared" si="4"/>
        <v>155200</v>
      </c>
      <c r="Q40" s="12" t="s">
        <v>2313</v>
      </c>
      <c r="AE40" s="35">
        <f t="shared" si="6"/>
        <v>152160</v>
      </c>
    </row>
    <row r="41" spans="1:31" ht="23.1" customHeight="1" x14ac:dyDescent="0.15">
      <c r="A41" s="13" t="s">
        <v>2308</v>
      </c>
      <c r="B41" s="13" t="s">
        <v>3033</v>
      </c>
      <c r="C41" s="13" t="s">
        <v>2309</v>
      </c>
      <c r="D41" s="12" t="s">
        <v>962</v>
      </c>
      <c r="E41" s="12" t="s">
        <v>963</v>
      </c>
      <c r="F41" s="31" t="s">
        <v>710</v>
      </c>
      <c r="G41" s="15">
        <v>4</v>
      </c>
      <c r="H41" s="38">
        <f>일대목차!I208</f>
        <v>760</v>
      </c>
      <c r="I41" s="57">
        <f t="shared" si="0"/>
        <v>3040</v>
      </c>
      <c r="J41" s="38">
        <v>4</v>
      </c>
      <c r="K41" s="38">
        <f>일대목차!L208</f>
        <v>38040</v>
      </c>
      <c r="L41" s="57">
        <f t="shared" si="1"/>
        <v>152160</v>
      </c>
      <c r="M41" s="38">
        <f>일대목차!N208</f>
        <v>0</v>
      </c>
      <c r="N41" s="57">
        <f t="shared" si="2"/>
        <v>0</v>
      </c>
      <c r="O41" s="38">
        <f t="shared" si="3"/>
        <v>38800</v>
      </c>
      <c r="P41" s="38">
        <f t="shared" si="4"/>
        <v>155200</v>
      </c>
      <c r="Q41" s="12" t="s">
        <v>2310</v>
      </c>
      <c r="AE41" s="35">
        <f t="shared" si="6"/>
        <v>152160</v>
      </c>
    </row>
    <row r="42" spans="1:31" ht="23.1" customHeight="1" x14ac:dyDescent="0.15">
      <c r="D42" s="12"/>
      <c r="E42" s="12"/>
      <c r="F42" s="31"/>
      <c r="G42" s="15"/>
      <c r="H42" s="38"/>
      <c r="I42" s="57"/>
      <c r="J42" s="38"/>
      <c r="K42" s="38"/>
      <c r="L42" s="57"/>
      <c r="M42" s="38"/>
      <c r="N42" s="57"/>
      <c r="O42" s="38"/>
      <c r="P42" s="38"/>
      <c r="Q42" s="12"/>
      <c r="AE42" s="35">
        <f>TRUNC(SUM(AE4:AE41))</f>
        <v>24100672</v>
      </c>
    </row>
    <row r="43" spans="1:31" ht="23.1" customHeight="1" x14ac:dyDescent="0.15">
      <c r="D43" s="12"/>
      <c r="E43" s="12"/>
      <c r="F43" s="31"/>
      <c r="G43" s="15"/>
      <c r="H43" s="38"/>
      <c r="I43" s="57"/>
      <c r="J43" s="38"/>
      <c r="K43" s="38"/>
      <c r="L43" s="57"/>
      <c r="M43" s="38"/>
      <c r="N43" s="57"/>
      <c r="O43" s="38"/>
      <c r="P43" s="38"/>
      <c r="Q43" s="12"/>
    </row>
    <row r="44" spans="1:31" ht="23.1" customHeight="1" x14ac:dyDescent="0.15">
      <c r="D44" s="12"/>
      <c r="E44" s="12"/>
      <c r="F44" s="31"/>
      <c r="G44" s="15"/>
      <c r="H44" s="38"/>
      <c r="I44" s="57"/>
      <c r="J44" s="38"/>
      <c r="K44" s="38"/>
      <c r="L44" s="57"/>
      <c r="M44" s="38"/>
      <c r="N44" s="57"/>
      <c r="O44" s="38"/>
      <c r="P44" s="38"/>
      <c r="Q44" s="12"/>
    </row>
    <row r="45" spans="1:31" ht="23.1" customHeight="1" x14ac:dyDescent="0.15">
      <c r="D45" s="12"/>
      <c r="E45" s="12"/>
      <c r="F45" s="31"/>
      <c r="G45" s="15"/>
      <c r="H45" s="38"/>
      <c r="I45" s="57"/>
      <c r="J45" s="38"/>
      <c r="K45" s="38"/>
      <c r="L45" s="57"/>
      <c r="M45" s="38"/>
      <c r="N45" s="57"/>
      <c r="O45" s="38"/>
      <c r="P45" s="38"/>
      <c r="Q45" s="12"/>
    </row>
    <row r="46" spans="1:31" ht="23.1" customHeight="1" x14ac:dyDescent="0.15">
      <c r="D46" s="12"/>
      <c r="E46" s="12"/>
      <c r="F46" s="31"/>
      <c r="G46" s="15"/>
      <c r="H46" s="38"/>
      <c r="I46" s="57"/>
      <c r="J46" s="38"/>
      <c r="K46" s="38"/>
      <c r="L46" s="57"/>
      <c r="M46" s="38"/>
      <c r="N46" s="57"/>
      <c r="O46" s="38"/>
      <c r="P46" s="38"/>
      <c r="Q46" s="12"/>
    </row>
    <row r="47" spans="1:31" ht="23.1" customHeight="1" x14ac:dyDescent="0.15">
      <c r="D47" s="12"/>
      <c r="E47" s="12"/>
      <c r="F47" s="31"/>
      <c r="G47" s="15"/>
      <c r="H47" s="38"/>
      <c r="I47" s="57"/>
      <c r="J47" s="38"/>
      <c r="K47" s="38"/>
      <c r="L47" s="57"/>
      <c r="M47" s="38"/>
      <c r="N47" s="57"/>
      <c r="O47" s="38"/>
      <c r="P47" s="38"/>
      <c r="Q47" s="12"/>
    </row>
    <row r="48" spans="1:31" ht="23.1" customHeight="1" x14ac:dyDescent="0.15">
      <c r="D48" s="12"/>
      <c r="E48" s="12"/>
      <c r="F48" s="31"/>
      <c r="G48" s="15"/>
      <c r="H48" s="38"/>
      <c r="I48" s="57"/>
      <c r="J48" s="38"/>
      <c r="K48" s="38"/>
      <c r="L48" s="57"/>
      <c r="M48" s="38"/>
      <c r="N48" s="57"/>
      <c r="O48" s="38"/>
      <c r="P48" s="38"/>
      <c r="Q48" s="12"/>
    </row>
    <row r="49" spans="1:31" ht="23.1" customHeight="1" x14ac:dyDescent="0.15">
      <c r="D49" s="12"/>
      <c r="E49" s="12"/>
      <c r="F49" s="31"/>
      <c r="G49" s="15"/>
      <c r="H49" s="38"/>
      <c r="I49" s="57"/>
      <c r="J49" s="38"/>
      <c r="K49" s="38"/>
      <c r="L49" s="57"/>
      <c r="M49" s="38"/>
      <c r="N49" s="57"/>
      <c r="O49" s="38"/>
      <c r="P49" s="38"/>
      <c r="Q49" s="12"/>
    </row>
    <row r="50" spans="1:31" ht="23.1" customHeight="1" x14ac:dyDescent="0.15">
      <c r="D50" s="12"/>
      <c r="E50" s="12"/>
      <c r="F50" s="31"/>
      <c r="G50" s="15"/>
      <c r="H50" s="38"/>
      <c r="I50" s="57"/>
      <c r="J50" s="38"/>
      <c r="K50" s="38"/>
      <c r="L50" s="57"/>
      <c r="M50" s="38"/>
      <c r="N50" s="57"/>
      <c r="O50" s="38"/>
      <c r="P50" s="38"/>
      <c r="Q50" s="12"/>
    </row>
    <row r="51" spans="1:31" ht="23.1" customHeight="1" x14ac:dyDescent="0.15">
      <c r="D51" s="12"/>
      <c r="E51" s="12"/>
      <c r="F51" s="31"/>
      <c r="G51" s="15"/>
      <c r="H51" s="38"/>
      <c r="I51" s="57"/>
      <c r="J51" s="38"/>
      <c r="K51" s="38"/>
      <c r="L51" s="57"/>
      <c r="M51" s="38"/>
      <c r="N51" s="57"/>
      <c r="O51" s="38"/>
      <c r="P51" s="38"/>
      <c r="Q51" s="12"/>
    </row>
    <row r="52" spans="1:31" ht="23.1" customHeight="1" x14ac:dyDescent="0.15">
      <c r="D52" s="12"/>
      <c r="E52" s="12"/>
      <c r="F52" s="31"/>
      <c r="G52" s="15"/>
      <c r="H52" s="38"/>
      <c r="I52" s="57"/>
      <c r="J52" s="38"/>
      <c r="K52" s="38"/>
      <c r="L52" s="57"/>
      <c r="M52" s="38"/>
      <c r="N52" s="57"/>
      <c r="O52" s="38"/>
      <c r="P52" s="38"/>
      <c r="Q52" s="12"/>
    </row>
    <row r="53" spans="1:31" ht="23.1" customHeight="1" x14ac:dyDescent="0.15">
      <c r="D53" s="12"/>
      <c r="E53" s="12"/>
      <c r="F53" s="31"/>
      <c r="G53" s="15"/>
      <c r="H53" s="38"/>
      <c r="I53" s="57"/>
      <c r="J53" s="38"/>
      <c r="K53" s="38"/>
      <c r="L53" s="57"/>
      <c r="M53" s="38"/>
      <c r="N53" s="57"/>
      <c r="O53" s="38"/>
      <c r="P53" s="38"/>
      <c r="Q53" s="12"/>
    </row>
    <row r="54" spans="1:31" ht="23.1" customHeight="1" x14ac:dyDescent="0.15">
      <c r="D54" s="12"/>
      <c r="E54" s="12"/>
      <c r="F54" s="31"/>
      <c r="G54" s="15"/>
      <c r="H54" s="38"/>
      <c r="I54" s="57"/>
      <c r="J54" s="38"/>
      <c r="K54" s="38"/>
      <c r="L54" s="57"/>
      <c r="M54" s="38"/>
      <c r="N54" s="57"/>
      <c r="O54" s="38"/>
      <c r="P54" s="38"/>
      <c r="Q54" s="12"/>
    </row>
    <row r="55" spans="1:31" ht="23.1" customHeight="1" x14ac:dyDescent="0.15">
      <c r="B55" s="13" t="s">
        <v>2360</v>
      </c>
      <c r="D55" s="12" t="s">
        <v>2361</v>
      </c>
      <c r="E55" s="12"/>
      <c r="F55" s="31"/>
      <c r="G55" s="15"/>
      <c r="H55" s="38"/>
      <c r="I55" s="57">
        <f>TRUNC(SUM(I4:I54))</f>
        <v>3695743</v>
      </c>
      <c r="J55" s="38"/>
      <c r="K55" s="38"/>
      <c r="L55" s="57">
        <f>TRUNC(SUM(L4:L54))</f>
        <v>24100672</v>
      </c>
      <c r="M55" s="38"/>
      <c r="N55" s="57">
        <f>TRUNC(SUM(N4:N54))</f>
        <v>0</v>
      </c>
      <c r="O55" s="38" t="str">
        <f>IF((H55+K55+M55)=0, "", (H55+K55+M55))</f>
        <v/>
      </c>
      <c r="P55" s="38">
        <f>TRUNC(SUM(P4:P54))</f>
        <v>27796415</v>
      </c>
      <c r="Q55" s="12"/>
    </row>
    <row r="56" spans="1:31" ht="23.1" customHeight="1" x14ac:dyDescent="0.15">
      <c r="B56" s="13" t="s">
        <v>1448</v>
      </c>
      <c r="D56" s="170" t="s">
        <v>3167</v>
      </c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2"/>
    </row>
    <row r="57" spans="1:31" ht="23.1" customHeight="1" x14ac:dyDescent="0.15">
      <c r="A57" s="13" t="s">
        <v>1793</v>
      </c>
      <c r="B57" s="13" t="s">
        <v>3034</v>
      </c>
      <c r="C57" s="13" t="s">
        <v>1794</v>
      </c>
      <c r="D57" s="12" t="s">
        <v>178</v>
      </c>
      <c r="E57" s="12" t="s">
        <v>179</v>
      </c>
      <c r="F57" s="31" t="s">
        <v>166</v>
      </c>
      <c r="G57" s="15">
        <v>5701</v>
      </c>
      <c r="H57" s="38">
        <f>일대목차!I37</f>
        <v>449</v>
      </c>
      <c r="I57" s="57">
        <f t="shared" ref="I57:I92" si="7">TRUNC(G57*H57)</f>
        <v>2559749</v>
      </c>
      <c r="J57" s="38">
        <v>5701</v>
      </c>
      <c r="K57" s="38">
        <f>일대목차!L37</f>
        <v>9852</v>
      </c>
      <c r="L57" s="57">
        <f t="shared" ref="L57:L92" si="8">TRUNC(G57*K57)</f>
        <v>56166252</v>
      </c>
      <c r="M57" s="38">
        <f>일대목차!N37</f>
        <v>0</v>
      </c>
      <c r="N57" s="57">
        <f t="shared" ref="N57:N92" si="9">TRUNC(G57*M57)</f>
        <v>0</v>
      </c>
      <c r="O57" s="38">
        <f t="shared" ref="O57:O92" si="10">IF((H57+K57+M57)=0, "", (H57+K57+M57))</f>
        <v>10301</v>
      </c>
      <c r="P57" s="38">
        <f t="shared" ref="P57:P92" si="11">SUM(I57,L57,N57)</f>
        <v>58726001</v>
      </c>
      <c r="Q57" s="12" t="s">
        <v>1795</v>
      </c>
      <c r="AA57" s="35">
        <f>I57</f>
        <v>2559749</v>
      </c>
      <c r="AC57" s="35">
        <f>G57*H57</f>
        <v>2559749</v>
      </c>
      <c r="AE57" s="35">
        <f>L57</f>
        <v>56166252</v>
      </c>
    </row>
    <row r="58" spans="1:31" ht="23.1" customHeight="1" x14ac:dyDescent="0.15">
      <c r="A58" s="13" t="s">
        <v>1038</v>
      </c>
      <c r="B58" s="13" t="s">
        <v>3034</v>
      </c>
      <c r="C58" s="13" t="s">
        <v>197</v>
      </c>
      <c r="D58" s="12" t="s">
        <v>198</v>
      </c>
      <c r="E58" s="12" t="s">
        <v>199</v>
      </c>
      <c r="F58" s="31" t="s">
        <v>200</v>
      </c>
      <c r="G58" s="15">
        <v>1248</v>
      </c>
      <c r="H58" s="38">
        <f>합산자재!H14</f>
        <v>340</v>
      </c>
      <c r="I58" s="57">
        <f t="shared" si="7"/>
        <v>424320</v>
      </c>
      <c r="J58" s="38">
        <v>1248</v>
      </c>
      <c r="K58" s="38">
        <f>합산자재!I14</f>
        <v>0</v>
      </c>
      <c r="L58" s="57">
        <f t="shared" si="8"/>
        <v>0</v>
      </c>
      <c r="M58" s="38">
        <f>합산자재!J14</f>
        <v>0</v>
      </c>
      <c r="N58" s="57">
        <f t="shared" si="9"/>
        <v>0</v>
      </c>
      <c r="O58" s="38">
        <f t="shared" si="10"/>
        <v>340</v>
      </c>
      <c r="P58" s="38">
        <f t="shared" si="11"/>
        <v>424320</v>
      </c>
      <c r="Q58" s="12"/>
    </row>
    <row r="59" spans="1:31" ht="23.1" customHeight="1" x14ac:dyDescent="0.15">
      <c r="A59" s="13" t="s">
        <v>1812</v>
      </c>
      <c r="B59" s="13" t="s">
        <v>3034</v>
      </c>
      <c r="C59" s="13" t="s">
        <v>1813</v>
      </c>
      <c r="D59" s="12" t="s">
        <v>198</v>
      </c>
      <c r="E59" s="12" t="s">
        <v>216</v>
      </c>
      <c r="F59" s="31" t="s">
        <v>166</v>
      </c>
      <c r="G59" s="15">
        <v>358</v>
      </c>
      <c r="H59" s="38">
        <f>일대목차!I43</f>
        <v>691</v>
      </c>
      <c r="I59" s="57">
        <f t="shared" si="7"/>
        <v>247378</v>
      </c>
      <c r="J59" s="38">
        <v>358</v>
      </c>
      <c r="K59" s="38">
        <f>일대목차!L43</f>
        <v>10837</v>
      </c>
      <c r="L59" s="57">
        <f t="shared" si="8"/>
        <v>3879646</v>
      </c>
      <c r="M59" s="38">
        <f>일대목차!N43</f>
        <v>0</v>
      </c>
      <c r="N59" s="57">
        <f t="shared" si="9"/>
        <v>0</v>
      </c>
      <c r="O59" s="38">
        <f t="shared" si="10"/>
        <v>11528</v>
      </c>
      <c r="P59" s="38">
        <f t="shared" si="11"/>
        <v>4127024</v>
      </c>
      <c r="Q59" s="12" t="s">
        <v>1814</v>
      </c>
      <c r="AC59" s="35">
        <f>G59*H59</f>
        <v>247378</v>
      </c>
      <c r="AE59" s="35">
        <f>L59</f>
        <v>3879646</v>
      </c>
    </row>
    <row r="60" spans="1:31" ht="23.1" customHeight="1" x14ac:dyDescent="0.15">
      <c r="A60" s="13" t="s">
        <v>1833</v>
      </c>
      <c r="B60" s="13" t="s">
        <v>3034</v>
      </c>
      <c r="C60" s="13" t="s">
        <v>1834</v>
      </c>
      <c r="D60" s="12" t="s">
        <v>260</v>
      </c>
      <c r="E60" s="12" t="s">
        <v>261</v>
      </c>
      <c r="F60" s="31" t="s">
        <v>200</v>
      </c>
      <c r="G60" s="15">
        <v>468</v>
      </c>
      <c r="H60" s="38">
        <f>일대목차!I50</f>
        <v>1218</v>
      </c>
      <c r="I60" s="57">
        <f t="shared" si="7"/>
        <v>570024</v>
      </c>
      <c r="J60" s="38">
        <v>468</v>
      </c>
      <c r="K60" s="38">
        <f>일대목차!L50</f>
        <v>29557</v>
      </c>
      <c r="L60" s="57">
        <f t="shared" si="8"/>
        <v>13832676</v>
      </c>
      <c r="M60" s="38">
        <f>일대목차!N50</f>
        <v>0</v>
      </c>
      <c r="N60" s="57">
        <f t="shared" si="9"/>
        <v>0</v>
      </c>
      <c r="O60" s="38">
        <f t="shared" si="10"/>
        <v>30775</v>
      </c>
      <c r="P60" s="38">
        <f t="shared" si="11"/>
        <v>14402700</v>
      </c>
      <c r="Q60" s="12" t="s">
        <v>1835</v>
      </c>
      <c r="AE60" s="35">
        <f>L60</f>
        <v>13832676</v>
      </c>
    </row>
    <row r="61" spans="1:31" ht="23.1" customHeight="1" x14ac:dyDescent="0.15">
      <c r="A61" s="13" t="s">
        <v>1839</v>
      </c>
      <c r="B61" s="13" t="s">
        <v>3034</v>
      </c>
      <c r="C61" s="13" t="s">
        <v>1840</v>
      </c>
      <c r="D61" s="12" t="s">
        <v>269</v>
      </c>
      <c r="E61" s="12" t="s">
        <v>270</v>
      </c>
      <c r="F61" s="31" t="s">
        <v>200</v>
      </c>
      <c r="G61" s="15">
        <v>351</v>
      </c>
      <c r="H61" s="38">
        <f>일대목차!I52</f>
        <v>1577</v>
      </c>
      <c r="I61" s="57">
        <f t="shared" si="7"/>
        <v>553527</v>
      </c>
      <c r="J61" s="38">
        <v>351</v>
      </c>
      <c r="K61" s="38">
        <f>일대목차!L52</f>
        <v>49261</v>
      </c>
      <c r="L61" s="57">
        <f t="shared" si="8"/>
        <v>17290611</v>
      </c>
      <c r="M61" s="38">
        <f>일대목차!N52</f>
        <v>0</v>
      </c>
      <c r="N61" s="57">
        <f t="shared" si="9"/>
        <v>0</v>
      </c>
      <c r="O61" s="38">
        <f t="shared" si="10"/>
        <v>50838</v>
      </c>
      <c r="P61" s="38">
        <f t="shared" si="11"/>
        <v>17844138</v>
      </c>
      <c r="Q61" s="12" t="s">
        <v>1841</v>
      </c>
      <c r="AE61" s="35">
        <f>L61</f>
        <v>17290611</v>
      </c>
    </row>
    <row r="62" spans="1:31" ht="23.1" customHeight="1" x14ac:dyDescent="0.15">
      <c r="A62" s="13" t="s">
        <v>1842</v>
      </c>
      <c r="B62" s="13" t="s">
        <v>3034</v>
      </c>
      <c r="C62" s="13" t="s">
        <v>1843</v>
      </c>
      <c r="D62" s="12" t="s">
        <v>269</v>
      </c>
      <c r="E62" s="12" t="s">
        <v>272</v>
      </c>
      <c r="F62" s="31" t="s">
        <v>200</v>
      </c>
      <c r="G62" s="15">
        <v>312</v>
      </c>
      <c r="H62" s="38">
        <f>일대목차!I53</f>
        <v>1711</v>
      </c>
      <c r="I62" s="57">
        <f t="shared" si="7"/>
        <v>533832</v>
      </c>
      <c r="J62" s="38">
        <v>312</v>
      </c>
      <c r="K62" s="38">
        <f>일대목차!L53</f>
        <v>49261</v>
      </c>
      <c r="L62" s="57">
        <f t="shared" si="8"/>
        <v>15369432</v>
      </c>
      <c r="M62" s="38">
        <f>일대목차!N53</f>
        <v>0</v>
      </c>
      <c r="N62" s="57">
        <f t="shared" si="9"/>
        <v>0</v>
      </c>
      <c r="O62" s="38">
        <f t="shared" si="10"/>
        <v>50972</v>
      </c>
      <c r="P62" s="38">
        <f t="shared" si="11"/>
        <v>15903264</v>
      </c>
      <c r="Q62" s="12" t="s">
        <v>1844</v>
      </c>
      <c r="AE62" s="35">
        <f>L62</f>
        <v>15369432</v>
      </c>
    </row>
    <row r="63" spans="1:31" ht="23.1" customHeight="1" x14ac:dyDescent="0.15">
      <c r="A63" s="13" t="s">
        <v>1845</v>
      </c>
      <c r="B63" s="13" t="s">
        <v>3034</v>
      </c>
      <c r="C63" s="13" t="s">
        <v>1846</v>
      </c>
      <c r="D63" s="12" t="s">
        <v>274</v>
      </c>
      <c r="E63" s="12" t="s">
        <v>275</v>
      </c>
      <c r="F63" s="31" t="s">
        <v>200</v>
      </c>
      <c r="G63" s="15">
        <v>273</v>
      </c>
      <c r="H63" s="38">
        <f>일대목차!I54</f>
        <v>921</v>
      </c>
      <c r="I63" s="57">
        <f t="shared" si="7"/>
        <v>251433</v>
      </c>
      <c r="J63" s="38">
        <v>273</v>
      </c>
      <c r="K63" s="38">
        <f>일대목차!L54</f>
        <v>9852</v>
      </c>
      <c r="L63" s="57">
        <f t="shared" si="8"/>
        <v>2689596</v>
      </c>
      <c r="M63" s="38">
        <f>일대목차!N54</f>
        <v>0</v>
      </c>
      <c r="N63" s="57">
        <f t="shared" si="9"/>
        <v>0</v>
      </c>
      <c r="O63" s="38">
        <f t="shared" si="10"/>
        <v>10773</v>
      </c>
      <c r="P63" s="38">
        <f t="shared" si="11"/>
        <v>2941029</v>
      </c>
      <c r="Q63" s="12" t="s">
        <v>1847</v>
      </c>
      <c r="AE63" s="35">
        <f>L63</f>
        <v>2689596</v>
      </c>
    </row>
    <row r="64" spans="1:31" ht="23.1" customHeight="1" x14ac:dyDescent="0.15">
      <c r="A64" s="13" t="s">
        <v>1069</v>
      </c>
      <c r="B64" s="13" t="s">
        <v>3034</v>
      </c>
      <c r="C64" s="13" t="s">
        <v>276</v>
      </c>
      <c r="D64" s="12" t="s">
        <v>277</v>
      </c>
      <c r="E64" s="12" t="s">
        <v>278</v>
      </c>
      <c r="F64" s="31" t="s">
        <v>200</v>
      </c>
      <c r="G64" s="15">
        <v>468</v>
      </c>
      <c r="H64" s="38">
        <f>합산자재!H45</f>
        <v>282</v>
      </c>
      <c r="I64" s="57">
        <f t="shared" si="7"/>
        <v>131976</v>
      </c>
      <c r="J64" s="38">
        <v>468</v>
      </c>
      <c r="K64" s="38">
        <f>합산자재!I45</f>
        <v>0</v>
      </c>
      <c r="L64" s="57">
        <f t="shared" si="8"/>
        <v>0</v>
      </c>
      <c r="M64" s="38">
        <f>합산자재!J45</f>
        <v>0</v>
      </c>
      <c r="N64" s="57">
        <f t="shared" si="9"/>
        <v>0</v>
      </c>
      <c r="O64" s="38">
        <f t="shared" si="10"/>
        <v>282</v>
      </c>
      <c r="P64" s="38">
        <f t="shared" si="11"/>
        <v>131976</v>
      </c>
      <c r="Q64" s="12"/>
    </row>
    <row r="65" spans="1:31" ht="23.1" customHeight="1" x14ac:dyDescent="0.15">
      <c r="A65" s="13" t="s">
        <v>1071</v>
      </c>
      <c r="B65" s="13" t="s">
        <v>3034</v>
      </c>
      <c r="C65" s="13" t="s">
        <v>281</v>
      </c>
      <c r="D65" s="12" t="s">
        <v>277</v>
      </c>
      <c r="E65" s="12" t="s">
        <v>282</v>
      </c>
      <c r="F65" s="31" t="s">
        <v>200</v>
      </c>
      <c r="G65" s="15">
        <v>312</v>
      </c>
      <c r="H65" s="38">
        <f>합산자재!H47</f>
        <v>283</v>
      </c>
      <c r="I65" s="57">
        <f t="shared" si="7"/>
        <v>88296</v>
      </c>
      <c r="J65" s="38">
        <v>312</v>
      </c>
      <c r="K65" s="38">
        <f>합산자재!I47</f>
        <v>0</v>
      </c>
      <c r="L65" s="57">
        <f t="shared" si="8"/>
        <v>0</v>
      </c>
      <c r="M65" s="38">
        <f>합산자재!J47</f>
        <v>0</v>
      </c>
      <c r="N65" s="57">
        <f t="shared" si="9"/>
        <v>0</v>
      </c>
      <c r="O65" s="38">
        <f t="shared" si="10"/>
        <v>283</v>
      </c>
      <c r="P65" s="38">
        <f t="shared" si="11"/>
        <v>88296</v>
      </c>
      <c r="Q65" s="12"/>
    </row>
    <row r="66" spans="1:31" ht="23.1" customHeight="1" x14ac:dyDescent="0.15">
      <c r="A66" s="13" t="s">
        <v>1854</v>
      </c>
      <c r="B66" s="13" t="s">
        <v>3034</v>
      </c>
      <c r="C66" s="13" t="s">
        <v>1855</v>
      </c>
      <c r="D66" s="12" t="s">
        <v>291</v>
      </c>
      <c r="E66" s="12" t="s">
        <v>292</v>
      </c>
      <c r="F66" s="31" t="s">
        <v>200</v>
      </c>
      <c r="G66" s="15">
        <v>39</v>
      </c>
      <c r="H66" s="38">
        <f>일대목차!I57</f>
        <v>3121</v>
      </c>
      <c r="I66" s="57">
        <f t="shared" si="7"/>
        <v>121719</v>
      </c>
      <c r="J66" s="38">
        <v>39</v>
      </c>
      <c r="K66" s="38">
        <f>일대목차!L57</f>
        <v>41872</v>
      </c>
      <c r="L66" s="57">
        <f t="shared" si="8"/>
        <v>1633008</v>
      </c>
      <c r="M66" s="38">
        <f>일대목차!N57</f>
        <v>0</v>
      </c>
      <c r="N66" s="57">
        <f t="shared" si="9"/>
        <v>0</v>
      </c>
      <c r="O66" s="38">
        <f t="shared" si="10"/>
        <v>44993</v>
      </c>
      <c r="P66" s="38">
        <f t="shared" si="11"/>
        <v>1754727</v>
      </c>
      <c r="Q66" s="12" t="s">
        <v>1856</v>
      </c>
      <c r="AE66" s="35">
        <f t="shared" ref="AE66:AE82" si="12">L66</f>
        <v>1633008</v>
      </c>
    </row>
    <row r="67" spans="1:31" ht="23.1" customHeight="1" x14ac:dyDescent="0.15">
      <c r="A67" s="13" t="s">
        <v>1903</v>
      </c>
      <c r="B67" s="13" t="s">
        <v>3034</v>
      </c>
      <c r="C67" s="13" t="s">
        <v>1904</v>
      </c>
      <c r="D67" s="12" t="s">
        <v>397</v>
      </c>
      <c r="E67" s="12" t="s">
        <v>404</v>
      </c>
      <c r="F67" s="31" t="s">
        <v>166</v>
      </c>
      <c r="G67" s="15">
        <v>22035</v>
      </c>
      <c r="H67" s="38">
        <f>일대목차!I73</f>
        <v>590</v>
      </c>
      <c r="I67" s="57">
        <f t="shared" si="7"/>
        <v>13000650</v>
      </c>
      <c r="J67" s="38">
        <v>22035</v>
      </c>
      <c r="K67" s="38">
        <f>일대목차!L73</f>
        <v>2353</v>
      </c>
      <c r="L67" s="57">
        <f t="shared" si="8"/>
        <v>51848355</v>
      </c>
      <c r="M67" s="38">
        <f>일대목차!N73</f>
        <v>0</v>
      </c>
      <c r="N67" s="57">
        <f t="shared" si="9"/>
        <v>0</v>
      </c>
      <c r="O67" s="38">
        <f t="shared" si="10"/>
        <v>2943</v>
      </c>
      <c r="P67" s="38">
        <f t="shared" si="11"/>
        <v>64849005</v>
      </c>
      <c r="Q67" s="12" t="s">
        <v>1905</v>
      </c>
      <c r="AC67" s="35">
        <f>G67*H67</f>
        <v>13000650</v>
      </c>
      <c r="AE67" s="35">
        <f t="shared" si="12"/>
        <v>51848355</v>
      </c>
    </row>
    <row r="68" spans="1:31" ht="23.1" customHeight="1" x14ac:dyDescent="0.15">
      <c r="A68" s="13" t="s">
        <v>2017</v>
      </c>
      <c r="B68" s="13" t="s">
        <v>3034</v>
      </c>
      <c r="C68" s="13" t="s">
        <v>2018</v>
      </c>
      <c r="D68" s="12" t="s">
        <v>508</v>
      </c>
      <c r="E68" s="12" t="s">
        <v>509</v>
      </c>
      <c r="F68" s="31" t="s">
        <v>200</v>
      </c>
      <c r="G68" s="15">
        <v>156</v>
      </c>
      <c r="H68" s="38">
        <f>일대목차!I111</f>
        <v>1789</v>
      </c>
      <c r="I68" s="57">
        <f t="shared" si="7"/>
        <v>279084</v>
      </c>
      <c r="J68" s="38">
        <v>156</v>
      </c>
      <c r="K68" s="38">
        <f>일대목차!L111</f>
        <v>23262</v>
      </c>
      <c r="L68" s="57">
        <f t="shared" si="8"/>
        <v>3628872</v>
      </c>
      <c r="M68" s="38">
        <f>일대목차!N111</f>
        <v>0</v>
      </c>
      <c r="N68" s="57">
        <f t="shared" si="9"/>
        <v>0</v>
      </c>
      <c r="O68" s="38">
        <f t="shared" si="10"/>
        <v>25051</v>
      </c>
      <c r="P68" s="38">
        <f t="shared" si="11"/>
        <v>3907956</v>
      </c>
      <c r="Q68" s="12" t="s">
        <v>2019</v>
      </c>
      <c r="AE68" s="35">
        <f t="shared" si="12"/>
        <v>3628872</v>
      </c>
    </row>
    <row r="69" spans="1:31" ht="23.1" customHeight="1" x14ac:dyDescent="0.15">
      <c r="A69" s="13" t="s">
        <v>2023</v>
      </c>
      <c r="B69" s="13" t="s">
        <v>3034</v>
      </c>
      <c r="C69" s="13" t="s">
        <v>2024</v>
      </c>
      <c r="D69" s="12" t="s">
        <v>508</v>
      </c>
      <c r="E69" s="12" t="s">
        <v>517</v>
      </c>
      <c r="F69" s="31" t="s">
        <v>200</v>
      </c>
      <c r="G69" s="15">
        <v>78</v>
      </c>
      <c r="H69" s="38">
        <f>일대목차!I113</f>
        <v>2860</v>
      </c>
      <c r="I69" s="57">
        <f t="shared" si="7"/>
        <v>223080</v>
      </c>
      <c r="J69" s="38">
        <v>78</v>
      </c>
      <c r="K69" s="38">
        <f>일대목차!L113</f>
        <v>23262</v>
      </c>
      <c r="L69" s="57">
        <f t="shared" si="8"/>
        <v>1814436</v>
      </c>
      <c r="M69" s="38">
        <f>일대목차!N113</f>
        <v>0</v>
      </c>
      <c r="N69" s="57">
        <f t="shared" si="9"/>
        <v>0</v>
      </c>
      <c r="O69" s="38">
        <f t="shared" si="10"/>
        <v>26122</v>
      </c>
      <c r="P69" s="38">
        <f t="shared" si="11"/>
        <v>2037516</v>
      </c>
      <c r="Q69" s="12" t="s">
        <v>2025</v>
      </c>
      <c r="AE69" s="35">
        <f t="shared" si="12"/>
        <v>1814436</v>
      </c>
    </row>
    <row r="70" spans="1:31" ht="23.1" customHeight="1" x14ac:dyDescent="0.15">
      <c r="A70" s="13" t="s">
        <v>2032</v>
      </c>
      <c r="B70" s="13" t="s">
        <v>3034</v>
      </c>
      <c r="C70" s="13" t="s">
        <v>2033</v>
      </c>
      <c r="D70" s="12" t="s">
        <v>519</v>
      </c>
      <c r="E70" s="12" t="s">
        <v>526</v>
      </c>
      <c r="F70" s="31" t="s">
        <v>200</v>
      </c>
      <c r="G70" s="15">
        <v>117</v>
      </c>
      <c r="H70" s="38">
        <f>일대목차!I116</f>
        <v>1372</v>
      </c>
      <c r="I70" s="57">
        <f t="shared" si="7"/>
        <v>160524</v>
      </c>
      <c r="J70" s="38">
        <v>117</v>
      </c>
      <c r="K70" s="38">
        <f>일대목차!L116</f>
        <v>21894</v>
      </c>
      <c r="L70" s="57">
        <f t="shared" si="8"/>
        <v>2561598</v>
      </c>
      <c r="M70" s="38">
        <f>일대목차!N116</f>
        <v>0</v>
      </c>
      <c r="N70" s="57">
        <f t="shared" si="9"/>
        <v>0</v>
      </c>
      <c r="O70" s="38">
        <f t="shared" si="10"/>
        <v>23266</v>
      </c>
      <c r="P70" s="38">
        <f t="shared" si="11"/>
        <v>2722122</v>
      </c>
      <c r="Q70" s="12" t="s">
        <v>2034</v>
      </c>
      <c r="AE70" s="35">
        <f t="shared" si="12"/>
        <v>2561598</v>
      </c>
    </row>
    <row r="71" spans="1:31" ht="23.1" customHeight="1" x14ac:dyDescent="0.15">
      <c r="A71" s="13" t="s">
        <v>2035</v>
      </c>
      <c r="B71" s="13" t="s">
        <v>3034</v>
      </c>
      <c r="C71" s="13" t="s">
        <v>2036</v>
      </c>
      <c r="D71" s="12" t="s">
        <v>519</v>
      </c>
      <c r="E71" s="12" t="s">
        <v>529</v>
      </c>
      <c r="F71" s="31" t="s">
        <v>200</v>
      </c>
      <c r="G71" s="15">
        <v>429</v>
      </c>
      <c r="H71" s="38">
        <f>일대목차!I117</f>
        <v>1822</v>
      </c>
      <c r="I71" s="57">
        <f t="shared" si="7"/>
        <v>781638</v>
      </c>
      <c r="J71" s="38">
        <v>429</v>
      </c>
      <c r="K71" s="38">
        <f>일대목차!L117</f>
        <v>21894</v>
      </c>
      <c r="L71" s="57">
        <f t="shared" si="8"/>
        <v>9392526</v>
      </c>
      <c r="M71" s="38">
        <f>일대목차!N117</f>
        <v>0</v>
      </c>
      <c r="N71" s="57">
        <f t="shared" si="9"/>
        <v>0</v>
      </c>
      <c r="O71" s="38">
        <f t="shared" si="10"/>
        <v>23716</v>
      </c>
      <c r="P71" s="38">
        <f t="shared" si="11"/>
        <v>10174164</v>
      </c>
      <c r="Q71" s="12" t="s">
        <v>2037</v>
      </c>
      <c r="AE71" s="35">
        <f t="shared" si="12"/>
        <v>9392526</v>
      </c>
    </row>
    <row r="72" spans="1:31" ht="23.1" customHeight="1" x14ac:dyDescent="0.15">
      <c r="A72" s="13" t="s">
        <v>2038</v>
      </c>
      <c r="B72" s="13" t="s">
        <v>3034</v>
      </c>
      <c r="C72" s="13" t="s">
        <v>2039</v>
      </c>
      <c r="D72" s="12" t="s">
        <v>531</v>
      </c>
      <c r="E72" s="12" t="s">
        <v>526</v>
      </c>
      <c r="F72" s="31" t="s">
        <v>200</v>
      </c>
      <c r="G72" s="15">
        <v>78</v>
      </c>
      <c r="H72" s="38">
        <f>일대목차!I118</f>
        <v>2474</v>
      </c>
      <c r="I72" s="57">
        <f t="shared" si="7"/>
        <v>192972</v>
      </c>
      <c r="J72" s="38">
        <v>78</v>
      </c>
      <c r="K72" s="38">
        <f>일대목차!L118</f>
        <v>21894</v>
      </c>
      <c r="L72" s="57">
        <f t="shared" si="8"/>
        <v>1707732</v>
      </c>
      <c r="M72" s="38">
        <f>일대목차!N118</f>
        <v>0</v>
      </c>
      <c r="N72" s="57">
        <f t="shared" si="9"/>
        <v>0</v>
      </c>
      <c r="O72" s="38">
        <f t="shared" si="10"/>
        <v>24368</v>
      </c>
      <c r="P72" s="38">
        <f t="shared" si="11"/>
        <v>1900704</v>
      </c>
      <c r="Q72" s="12" t="s">
        <v>2040</v>
      </c>
      <c r="AE72" s="35">
        <f t="shared" si="12"/>
        <v>1707732</v>
      </c>
    </row>
    <row r="73" spans="1:31" ht="23.1" customHeight="1" x14ac:dyDescent="0.15">
      <c r="A73" s="13" t="s">
        <v>2041</v>
      </c>
      <c r="B73" s="13" t="s">
        <v>3034</v>
      </c>
      <c r="C73" s="13" t="s">
        <v>2042</v>
      </c>
      <c r="D73" s="12" t="s">
        <v>531</v>
      </c>
      <c r="E73" s="12" t="s">
        <v>529</v>
      </c>
      <c r="F73" s="31" t="s">
        <v>200</v>
      </c>
      <c r="G73" s="15">
        <v>39</v>
      </c>
      <c r="H73" s="38">
        <f>일대목차!I119</f>
        <v>2560</v>
      </c>
      <c r="I73" s="57">
        <f t="shared" si="7"/>
        <v>99840</v>
      </c>
      <c r="J73" s="38">
        <v>39</v>
      </c>
      <c r="K73" s="38">
        <f>일대목차!L119</f>
        <v>21894</v>
      </c>
      <c r="L73" s="57">
        <f t="shared" si="8"/>
        <v>853866</v>
      </c>
      <c r="M73" s="38">
        <f>일대목차!N119</f>
        <v>0</v>
      </c>
      <c r="N73" s="57">
        <f t="shared" si="9"/>
        <v>0</v>
      </c>
      <c r="O73" s="38">
        <f t="shared" si="10"/>
        <v>24454</v>
      </c>
      <c r="P73" s="38">
        <f t="shared" si="11"/>
        <v>953706</v>
      </c>
      <c r="Q73" s="12" t="s">
        <v>2043</v>
      </c>
      <c r="AE73" s="35">
        <f t="shared" si="12"/>
        <v>853866</v>
      </c>
    </row>
    <row r="74" spans="1:31" ht="23.1" customHeight="1" x14ac:dyDescent="0.15">
      <c r="A74" s="13" t="s">
        <v>1756</v>
      </c>
      <c r="B74" s="13" t="s">
        <v>3034</v>
      </c>
      <c r="C74" s="13" t="s">
        <v>1757</v>
      </c>
      <c r="D74" s="12" t="s">
        <v>1759</v>
      </c>
      <c r="E74" s="12" t="s">
        <v>1407</v>
      </c>
      <c r="F74" s="31" t="s">
        <v>792</v>
      </c>
      <c r="G74" s="15">
        <v>273</v>
      </c>
      <c r="H74" s="38">
        <f>일대목차!I27</f>
        <v>224</v>
      </c>
      <c r="I74" s="57">
        <f t="shared" si="7"/>
        <v>61152</v>
      </c>
      <c r="J74" s="38">
        <v>273</v>
      </c>
      <c r="K74" s="38">
        <f>일대목차!L27</f>
        <v>11220</v>
      </c>
      <c r="L74" s="57">
        <f t="shared" si="8"/>
        <v>3063060</v>
      </c>
      <c r="M74" s="38">
        <f>일대목차!N27</f>
        <v>0</v>
      </c>
      <c r="N74" s="57">
        <f t="shared" si="9"/>
        <v>0</v>
      </c>
      <c r="O74" s="38">
        <f t="shared" si="10"/>
        <v>11444</v>
      </c>
      <c r="P74" s="38">
        <f t="shared" si="11"/>
        <v>3124212</v>
      </c>
      <c r="Q74" s="12" t="s">
        <v>1758</v>
      </c>
      <c r="AE74" s="35">
        <f t="shared" si="12"/>
        <v>3063060</v>
      </c>
    </row>
    <row r="75" spans="1:31" ht="23.1" customHeight="1" x14ac:dyDescent="0.15">
      <c r="A75" s="13" t="s">
        <v>1764</v>
      </c>
      <c r="B75" s="13" t="s">
        <v>3034</v>
      </c>
      <c r="C75" s="13" t="s">
        <v>1765</v>
      </c>
      <c r="D75" s="12" t="s">
        <v>1767</v>
      </c>
      <c r="E75" s="12"/>
      <c r="F75" s="31" t="s">
        <v>554</v>
      </c>
      <c r="G75" s="15">
        <v>117</v>
      </c>
      <c r="H75" s="38">
        <f>일대목차!I29</f>
        <v>224</v>
      </c>
      <c r="I75" s="57">
        <f t="shared" si="7"/>
        <v>26208</v>
      </c>
      <c r="J75" s="38">
        <v>117</v>
      </c>
      <c r="K75" s="38">
        <f>일대목차!L29</f>
        <v>11220</v>
      </c>
      <c r="L75" s="57">
        <f t="shared" si="8"/>
        <v>1312740</v>
      </c>
      <c r="M75" s="38">
        <f>일대목차!N29</f>
        <v>0</v>
      </c>
      <c r="N75" s="57">
        <f t="shared" si="9"/>
        <v>0</v>
      </c>
      <c r="O75" s="38">
        <f t="shared" si="10"/>
        <v>11444</v>
      </c>
      <c r="P75" s="38">
        <f t="shared" si="11"/>
        <v>1338948</v>
      </c>
      <c r="Q75" s="12" t="s">
        <v>1766</v>
      </c>
      <c r="AE75" s="35">
        <f t="shared" si="12"/>
        <v>1312740</v>
      </c>
    </row>
    <row r="76" spans="1:31" ht="23.1" customHeight="1" x14ac:dyDescent="0.15">
      <c r="A76" s="13" t="s">
        <v>2134</v>
      </c>
      <c r="B76" s="13" t="s">
        <v>3034</v>
      </c>
      <c r="C76" s="13" t="s">
        <v>2135</v>
      </c>
      <c r="D76" s="12" t="s">
        <v>716</v>
      </c>
      <c r="E76" s="12" t="s">
        <v>717</v>
      </c>
      <c r="F76" s="31" t="s">
        <v>200</v>
      </c>
      <c r="G76" s="15">
        <v>39</v>
      </c>
      <c r="H76" s="38">
        <f>일대목차!I150</f>
        <v>45437</v>
      </c>
      <c r="I76" s="57">
        <f t="shared" si="7"/>
        <v>1772043</v>
      </c>
      <c r="J76" s="38">
        <v>39</v>
      </c>
      <c r="K76" s="38">
        <f>일대목차!L150</f>
        <v>21894</v>
      </c>
      <c r="L76" s="57">
        <f t="shared" si="8"/>
        <v>853866</v>
      </c>
      <c r="M76" s="38">
        <f>일대목차!N150</f>
        <v>0</v>
      </c>
      <c r="N76" s="57">
        <f t="shared" si="9"/>
        <v>0</v>
      </c>
      <c r="O76" s="38">
        <f t="shared" si="10"/>
        <v>67331</v>
      </c>
      <c r="P76" s="38">
        <f t="shared" si="11"/>
        <v>2625909</v>
      </c>
      <c r="Q76" s="12" t="s">
        <v>2136</v>
      </c>
      <c r="AE76" s="35">
        <f t="shared" si="12"/>
        <v>853866</v>
      </c>
    </row>
    <row r="77" spans="1:31" ht="23.1" customHeight="1" x14ac:dyDescent="0.15">
      <c r="A77" s="13" t="s">
        <v>2140</v>
      </c>
      <c r="B77" s="13" t="s">
        <v>3034</v>
      </c>
      <c r="C77" s="13" t="s">
        <v>2141</v>
      </c>
      <c r="D77" s="12" t="s">
        <v>716</v>
      </c>
      <c r="E77" s="12" t="s">
        <v>719</v>
      </c>
      <c r="F77" s="31" t="s">
        <v>200</v>
      </c>
      <c r="G77" s="15">
        <v>78</v>
      </c>
      <c r="H77" s="38">
        <f>일대목차!I152</f>
        <v>35437</v>
      </c>
      <c r="I77" s="57">
        <f t="shared" si="7"/>
        <v>2764086</v>
      </c>
      <c r="J77" s="38">
        <v>78</v>
      </c>
      <c r="K77" s="38">
        <f>일대목차!L152</f>
        <v>21894</v>
      </c>
      <c r="L77" s="57">
        <f t="shared" si="8"/>
        <v>1707732</v>
      </c>
      <c r="M77" s="38">
        <f>일대목차!N152</f>
        <v>0</v>
      </c>
      <c r="N77" s="57">
        <f t="shared" si="9"/>
        <v>0</v>
      </c>
      <c r="O77" s="38">
        <f t="shared" si="10"/>
        <v>57331</v>
      </c>
      <c r="P77" s="38">
        <f t="shared" si="11"/>
        <v>4471818</v>
      </c>
      <c r="Q77" s="12" t="s">
        <v>2142</v>
      </c>
      <c r="AE77" s="35">
        <f t="shared" si="12"/>
        <v>1707732</v>
      </c>
    </row>
    <row r="78" spans="1:31" ht="23.1" customHeight="1" x14ac:dyDescent="0.15">
      <c r="A78" s="13" t="s">
        <v>2149</v>
      </c>
      <c r="B78" s="13" t="s">
        <v>3034</v>
      </c>
      <c r="C78" s="13" t="s">
        <v>2150</v>
      </c>
      <c r="D78" s="12" t="s">
        <v>720</v>
      </c>
      <c r="E78" s="12" t="s">
        <v>719</v>
      </c>
      <c r="F78" s="31" t="s">
        <v>200</v>
      </c>
      <c r="G78" s="15">
        <v>78</v>
      </c>
      <c r="H78" s="38">
        <f>일대목차!I155</f>
        <v>4985</v>
      </c>
      <c r="I78" s="57">
        <f t="shared" si="7"/>
        <v>388830</v>
      </c>
      <c r="J78" s="38">
        <v>78</v>
      </c>
      <c r="K78" s="38">
        <f>일대목차!L155</f>
        <v>49261</v>
      </c>
      <c r="L78" s="57">
        <f t="shared" si="8"/>
        <v>3842358</v>
      </c>
      <c r="M78" s="38">
        <f>일대목차!N155</f>
        <v>0</v>
      </c>
      <c r="N78" s="57">
        <f t="shared" si="9"/>
        <v>0</v>
      </c>
      <c r="O78" s="38">
        <f t="shared" si="10"/>
        <v>54246</v>
      </c>
      <c r="P78" s="38">
        <f t="shared" si="11"/>
        <v>4231188</v>
      </c>
      <c r="Q78" s="12" t="s">
        <v>2151</v>
      </c>
      <c r="AE78" s="35">
        <f t="shared" si="12"/>
        <v>3842358</v>
      </c>
    </row>
    <row r="79" spans="1:31" ht="23.1" customHeight="1" x14ac:dyDescent="0.15">
      <c r="A79" s="13" t="s">
        <v>2152</v>
      </c>
      <c r="B79" s="13" t="s">
        <v>3034</v>
      </c>
      <c r="C79" s="13" t="s">
        <v>2153</v>
      </c>
      <c r="D79" s="12" t="s">
        <v>722</v>
      </c>
      <c r="E79" s="12" t="s">
        <v>717</v>
      </c>
      <c r="F79" s="31" t="s">
        <v>200</v>
      </c>
      <c r="G79" s="15">
        <v>39</v>
      </c>
      <c r="H79" s="38">
        <f>일대목차!I156</f>
        <v>2485</v>
      </c>
      <c r="I79" s="57">
        <f t="shared" si="7"/>
        <v>96915</v>
      </c>
      <c r="J79" s="38">
        <v>39</v>
      </c>
      <c r="K79" s="38">
        <f>일대목차!L156</f>
        <v>49261</v>
      </c>
      <c r="L79" s="57">
        <f t="shared" si="8"/>
        <v>1921179</v>
      </c>
      <c r="M79" s="38">
        <f>일대목차!N156</f>
        <v>0</v>
      </c>
      <c r="N79" s="57">
        <f t="shared" si="9"/>
        <v>0</v>
      </c>
      <c r="O79" s="38">
        <f t="shared" si="10"/>
        <v>51746</v>
      </c>
      <c r="P79" s="38">
        <f t="shared" si="11"/>
        <v>2018094</v>
      </c>
      <c r="Q79" s="12" t="s">
        <v>2154</v>
      </c>
      <c r="AE79" s="35">
        <f t="shared" si="12"/>
        <v>1921179</v>
      </c>
    </row>
    <row r="80" spans="1:31" ht="23.1" customHeight="1" x14ac:dyDescent="0.15">
      <c r="A80" s="13" t="s">
        <v>2158</v>
      </c>
      <c r="B80" s="13" t="s">
        <v>3034</v>
      </c>
      <c r="C80" s="13" t="s">
        <v>2159</v>
      </c>
      <c r="D80" s="12" t="s">
        <v>519</v>
      </c>
      <c r="E80" s="12" t="s">
        <v>723</v>
      </c>
      <c r="F80" s="31" t="s">
        <v>200</v>
      </c>
      <c r="G80" s="15">
        <v>39</v>
      </c>
      <c r="H80" s="38">
        <f>일대목차!I158</f>
        <v>1782</v>
      </c>
      <c r="I80" s="57">
        <f t="shared" si="7"/>
        <v>69498</v>
      </c>
      <c r="J80" s="38">
        <v>39</v>
      </c>
      <c r="K80" s="38">
        <f>일대목차!L158</f>
        <v>21894</v>
      </c>
      <c r="L80" s="57">
        <f t="shared" si="8"/>
        <v>853866</v>
      </c>
      <c r="M80" s="38">
        <f>일대목차!N158</f>
        <v>0</v>
      </c>
      <c r="N80" s="57">
        <f t="shared" si="9"/>
        <v>0</v>
      </c>
      <c r="O80" s="38">
        <f t="shared" si="10"/>
        <v>23676</v>
      </c>
      <c r="P80" s="38">
        <f t="shared" si="11"/>
        <v>923364</v>
      </c>
      <c r="Q80" s="12" t="s">
        <v>2160</v>
      </c>
      <c r="AE80" s="35">
        <f t="shared" si="12"/>
        <v>853866</v>
      </c>
    </row>
    <row r="81" spans="1:31" ht="23.1" customHeight="1" x14ac:dyDescent="0.15">
      <c r="A81" s="13" t="s">
        <v>2161</v>
      </c>
      <c r="B81" s="13" t="s">
        <v>3034</v>
      </c>
      <c r="C81" s="13" t="s">
        <v>2162</v>
      </c>
      <c r="D81" s="12" t="s">
        <v>724</v>
      </c>
      <c r="E81" s="12" t="s">
        <v>725</v>
      </c>
      <c r="F81" s="31" t="s">
        <v>200</v>
      </c>
      <c r="G81" s="15">
        <v>156</v>
      </c>
      <c r="H81" s="38">
        <f>일대목차!I159</f>
        <v>2285</v>
      </c>
      <c r="I81" s="57">
        <f t="shared" si="7"/>
        <v>356460</v>
      </c>
      <c r="J81" s="38">
        <v>156</v>
      </c>
      <c r="K81" s="38">
        <f>일대목차!L159</f>
        <v>49261</v>
      </c>
      <c r="L81" s="57">
        <f t="shared" si="8"/>
        <v>7684716</v>
      </c>
      <c r="M81" s="38">
        <f>일대목차!N159</f>
        <v>0</v>
      </c>
      <c r="N81" s="57">
        <f t="shared" si="9"/>
        <v>0</v>
      </c>
      <c r="O81" s="38">
        <f t="shared" si="10"/>
        <v>51546</v>
      </c>
      <c r="P81" s="38">
        <f t="shared" si="11"/>
        <v>8041176</v>
      </c>
      <c r="Q81" s="12" t="s">
        <v>2163</v>
      </c>
      <c r="AE81" s="35">
        <f t="shared" si="12"/>
        <v>7684716</v>
      </c>
    </row>
    <row r="82" spans="1:31" ht="23.1" customHeight="1" x14ac:dyDescent="0.15">
      <c r="A82" s="13" t="s">
        <v>2164</v>
      </c>
      <c r="B82" s="13" t="s">
        <v>3034</v>
      </c>
      <c r="C82" s="13" t="s">
        <v>2165</v>
      </c>
      <c r="D82" s="12" t="s">
        <v>724</v>
      </c>
      <c r="E82" s="12" t="s">
        <v>726</v>
      </c>
      <c r="F82" s="31" t="s">
        <v>200</v>
      </c>
      <c r="G82" s="15">
        <v>78</v>
      </c>
      <c r="H82" s="38">
        <f>일대목차!I160</f>
        <v>2485</v>
      </c>
      <c r="I82" s="57">
        <f t="shared" si="7"/>
        <v>193830</v>
      </c>
      <c r="J82" s="38">
        <v>78</v>
      </c>
      <c r="K82" s="38">
        <f>일대목차!L160</f>
        <v>49261</v>
      </c>
      <c r="L82" s="57">
        <f t="shared" si="8"/>
        <v>3842358</v>
      </c>
      <c r="M82" s="38">
        <f>일대목차!N160</f>
        <v>0</v>
      </c>
      <c r="N82" s="57">
        <f t="shared" si="9"/>
        <v>0</v>
      </c>
      <c r="O82" s="38">
        <f t="shared" si="10"/>
        <v>51746</v>
      </c>
      <c r="P82" s="38">
        <f t="shared" si="11"/>
        <v>4036188</v>
      </c>
      <c r="Q82" s="12" t="s">
        <v>2166</v>
      </c>
      <c r="AE82" s="35">
        <f t="shared" si="12"/>
        <v>3842358</v>
      </c>
    </row>
    <row r="83" spans="1:31" ht="23.1" customHeight="1" x14ac:dyDescent="0.15">
      <c r="A83" s="13" t="s">
        <v>1245</v>
      </c>
      <c r="B83" s="13" t="s">
        <v>3034</v>
      </c>
      <c r="C83" s="13" t="s">
        <v>706</v>
      </c>
      <c r="D83" s="12" t="s">
        <v>735</v>
      </c>
      <c r="E83" s="12"/>
      <c r="F83" s="31" t="s">
        <v>289</v>
      </c>
      <c r="G83" s="15">
        <v>39</v>
      </c>
      <c r="H83" s="38">
        <f>합산자재!H221</f>
        <v>50000</v>
      </c>
      <c r="I83" s="57">
        <f t="shared" si="7"/>
        <v>1950000</v>
      </c>
      <c r="J83" s="38">
        <v>39</v>
      </c>
      <c r="K83" s="38">
        <f>합산자재!I221</f>
        <v>0</v>
      </c>
      <c r="L83" s="57">
        <f t="shared" si="8"/>
        <v>0</v>
      </c>
      <c r="M83" s="38">
        <f>합산자재!J221</f>
        <v>0</v>
      </c>
      <c r="N83" s="57">
        <f t="shared" si="9"/>
        <v>0</v>
      </c>
      <c r="O83" s="38">
        <f t="shared" si="10"/>
        <v>50000</v>
      </c>
      <c r="P83" s="38">
        <f t="shared" si="11"/>
        <v>1950000</v>
      </c>
      <c r="Q83" s="12"/>
    </row>
    <row r="84" spans="1:31" ht="23.1" customHeight="1" x14ac:dyDescent="0.15">
      <c r="A84" s="13" t="s">
        <v>2173</v>
      </c>
      <c r="B84" s="13" t="s">
        <v>3034</v>
      </c>
      <c r="C84" s="13" t="s">
        <v>2174</v>
      </c>
      <c r="D84" s="12" t="s">
        <v>736</v>
      </c>
      <c r="E84" s="12" t="s">
        <v>737</v>
      </c>
      <c r="F84" s="31" t="s">
        <v>559</v>
      </c>
      <c r="G84" s="15">
        <v>39</v>
      </c>
      <c r="H84" s="38">
        <f>일대목차!I163</f>
        <v>205221</v>
      </c>
      <c r="I84" s="57">
        <f t="shared" si="7"/>
        <v>8003619</v>
      </c>
      <c r="J84" s="38">
        <v>39</v>
      </c>
      <c r="K84" s="38">
        <f>일대목차!L163</f>
        <v>243571</v>
      </c>
      <c r="L84" s="57">
        <f t="shared" si="8"/>
        <v>9499269</v>
      </c>
      <c r="M84" s="38">
        <f>일대목차!N163</f>
        <v>0</v>
      </c>
      <c r="N84" s="57">
        <f t="shared" si="9"/>
        <v>0</v>
      </c>
      <c r="O84" s="38">
        <f t="shared" si="10"/>
        <v>448792</v>
      </c>
      <c r="P84" s="38">
        <f t="shared" si="11"/>
        <v>17502888</v>
      </c>
      <c r="Q84" s="12" t="s">
        <v>2175</v>
      </c>
      <c r="AE84" s="35">
        <f t="shared" ref="AE84:AE92" si="13">L84</f>
        <v>9499269</v>
      </c>
    </row>
    <row r="85" spans="1:31" ht="23.1" customHeight="1" x14ac:dyDescent="0.15">
      <c r="A85" s="13" t="s">
        <v>2329</v>
      </c>
      <c r="B85" s="13" t="s">
        <v>3034</v>
      </c>
      <c r="C85" s="13" t="s">
        <v>2330</v>
      </c>
      <c r="D85" s="12" t="s">
        <v>962</v>
      </c>
      <c r="E85" s="12" t="s">
        <v>976</v>
      </c>
      <c r="F85" s="31" t="s">
        <v>710</v>
      </c>
      <c r="G85" s="15">
        <v>117</v>
      </c>
      <c r="H85" s="38">
        <f>일대목차!I215</f>
        <v>1247</v>
      </c>
      <c r="I85" s="57">
        <f t="shared" si="7"/>
        <v>145899</v>
      </c>
      <c r="J85" s="38">
        <v>117</v>
      </c>
      <c r="K85" s="38">
        <f>일대목차!L215</f>
        <v>62398</v>
      </c>
      <c r="L85" s="57">
        <f t="shared" si="8"/>
        <v>7300566</v>
      </c>
      <c r="M85" s="38">
        <f>일대목차!N215</f>
        <v>0</v>
      </c>
      <c r="N85" s="57">
        <f t="shared" si="9"/>
        <v>0</v>
      </c>
      <c r="O85" s="38">
        <f t="shared" si="10"/>
        <v>63645</v>
      </c>
      <c r="P85" s="38">
        <f t="shared" si="11"/>
        <v>7446465</v>
      </c>
      <c r="Q85" s="12" t="s">
        <v>2331</v>
      </c>
      <c r="AE85" s="35">
        <f t="shared" si="13"/>
        <v>7300566</v>
      </c>
    </row>
    <row r="86" spans="1:31" ht="23.1" customHeight="1" x14ac:dyDescent="0.15">
      <c r="A86" s="13" t="s">
        <v>2326</v>
      </c>
      <c r="B86" s="13" t="s">
        <v>3034</v>
      </c>
      <c r="C86" s="13" t="s">
        <v>2327</v>
      </c>
      <c r="D86" s="12" t="s">
        <v>962</v>
      </c>
      <c r="E86" s="12" t="s">
        <v>974</v>
      </c>
      <c r="F86" s="31" t="s">
        <v>710</v>
      </c>
      <c r="G86" s="15">
        <v>39</v>
      </c>
      <c r="H86" s="38">
        <f>일대목차!I214</f>
        <v>1083</v>
      </c>
      <c r="I86" s="57">
        <f t="shared" si="7"/>
        <v>42237</v>
      </c>
      <c r="J86" s="38">
        <v>39</v>
      </c>
      <c r="K86" s="38">
        <f>일대목차!L214</f>
        <v>54187</v>
      </c>
      <c r="L86" s="57">
        <f t="shared" si="8"/>
        <v>2113293</v>
      </c>
      <c r="M86" s="38">
        <f>일대목차!N214</f>
        <v>0</v>
      </c>
      <c r="N86" s="57">
        <f t="shared" si="9"/>
        <v>0</v>
      </c>
      <c r="O86" s="38">
        <f t="shared" si="10"/>
        <v>55270</v>
      </c>
      <c r="P86" s="38">
        <f t="shared" si="11"/>
        <v>2155530</v>
      </c>
      <c r="Q86" s="12" t="s">
        <v>2328</v>
      </c>
      <c r="AE86" s="35">
        <f t="shared" si="13"/>
        <v>2113293</v>
      </c>
    </row>
    <row r="87" spans="1:31" ht="23.1" customHeight="1" x14ac:dyDescent="0.15">
      <c r="A87" s="13" t="s">
        <v>2323</v>
      </c>
      <c r="B87" s="13" t="s">
        <v>3034</v>
      </c>
      <c r="C87" s="13" t="s">
        <v>2324</v>
      </c>
      <c r="D87" s="12" t="s">
        <v>962</v>
      </c>
      <c r="E87" s="12" t="s">
        <v>972</v>
      </c>
      <c r="F87" s="31" t="s">
        <v>710</v>
      </c>
      <c r="G87" s="15">
        <v>39</v>
      </c>
      <c r="H87" s="38">
        <f>일대목차!I213</f>
        <v>1187</v>
      </c>
      <c r="I87" s="57">
        <f t="shared" si="7"/>
        <v>46293</v>
      </c>
      <c r="J87" s="38">
        <v>39</v>
      </c>
      <c r="K87" s="38">
        <f>일대목차!L213</f>
        <v>59387</v>
      </c>
      <c r="L87" s="57">
        <f t="shared" si="8"/>
        <v>2316093</v>
      </c>
      <c r="M87" s="38">
        <f>일대목차!N213</f>
        <v>0</v>
      </c>
      <c r="N87" s="57">
        <f t="shared" si="9"/>
        <v>0</v>
      </c>
      <c r="O87" s="38">
        <f t="shared" si="10"/>
        <v>60574</v>
      </c>
      <c r="P87" s="38">
        <f t="shared" si="11"/>
        <v>2362386</v>
      </c>
      <c r="Q87" s="12" t="s">
        <v>2325</v>
      </c>
      <c r="AE87" s="35">
        <f t="shared" si="13"/>
        <v>2316093</v>
      </c>
    </row>
    <row r="88" spans="1:31" ht="23.1" customHeight="1" x14ac:dyDescent="0.15">
      <c r="A88" s="13" t="s">
        <v>2320</v>
      </c>
      <c r="B88" s="13" t="s">
        <v>3034</v>
      </c>
      <c r="C88" s="13" t="s">
        <v>2321</v>
      </c>
      <c r="D88" s="12" t="s">
        <v>962</v>
      </c>
      <c r="E88" s="12" t="s">
        <v>970</v>
      </c>
      <c r="F88" s="31" t="s">
        <v>710</v>
      </c>
      <c r="G88" s="15">
        <v>39</v>
      </c>
      <c r="H88" s="38">
        <f>일대목차!I212</f>
        <v>574</v>
      </c>
      <c r="I88" s="57">
        <f t="shared" si="7"/>
        <v>22386</v>
      </c>
      <c r="J88" s="38">
        <v>39</v>
      </c>
      <c r="K88" s="38">
        <f>일대목차!L212</f>
        <v>28735</v>
      </c>
      <c r="L88" s="57">
        <f t="shared" si="8"/>
        <v>1120665</v>
      </c>
      <c r="M88" s="38">
        <f>일대목차!N212</f>
        <v>0</v>
      </c>
      <c r="N88" s="57">
        <f t="shared" si="9"/>
        <v>0</v>
      </c>
      <c r="O88" s="38">
        <f t="shared" si="10"/>
        <v>29309</v>
      </c>
      <c r="P88" s="38">
        <f t="shared" si="11"/>
        <v>1143051</v>
      </c>
      <c r="Q88" s="12" t="s">
        <v>2322</v>
      </c>
      <c r="AE88" s="35">
        <f t="shared" si="13"/>
        <v>1120665</v>
      </c>
    </row>
    <row r="89" spans="1:31" ht="23.1" customHeight="1" x14ac:dyDescent="0.15">
      <c r="A89" s="13" t="s">
        <v>2314</v>
      </c>
      <c r="B89" s="13" t="s">
        <v>3034</v>
      </c>
      <c r="C89" s="13" t="s">
        <v>2315</v>
      </c>
      <c r="D89" s="12" t="s">
        <v>962</v>
      </c>
      <c r="E89" s="12" t="s">
        <v>967</v>
      </c>
      <c r="F89" s="31" t="s">
        <v>710</v>
      </c>
      <c r="G89" s="15">
        <v>78</v>
      </c>
      <c r="H89" s="38">
        <f>일대목차!I210</f>
        <v>574</v>
      </c>
      <c r="I89" s="57">
        <f t="shared" si="7"/>
        <v>44772</v>
      </c>
      <c r="J89" s="38">
        <v>78</v>
      </c>
      <c r="K89" s="38">
        <f>일대목차!L210</f>
        <v>28735</v>
      </c>
      <c r="L89" s="57">
        <f t="shared" si="8"/>
        <v>2241330</v>
      </c>
      <c r="M89" s="38">
        <f>일대목차!N210</f>
        <v>0</v>
      </c>
      <c r="N89" s="57">
        <f t="shared" si="9"/>
        <v>0</v>
      </c>
      <c r="O89" s="38">
        <f t="shared" si="10"/>
        <v>29309</v>
      </c>
      <c r="P89" s="38">
        <f t="shared" si="11"/>
        <v>2286102</v>
      </c>
      <c r="Q89" s="12" t="s">
        <v>2316</v>
      </c>
      <c r="AE89" s="35">
        <f t="shared" si="13"/>
        <v>2241330</v>
      </c>
    </row>
    <row r="90" spans="1:31" ht="23.1" customHeight="1" x14ac:dyDescent="0.15">
      <c r="A90" s="13" t="s">
        <v>2311</v>
      </c>
      <c r="B90" s="13" t="s">
        <v>3034</v>
      </c>
      <c r="C90" s="13" t="s">
        <v>2312</v>
      </c>
      <c r="D90" s="12" t="s">
        <v>962</v>
      </c>
      <c r="E90" s="12" t="s">
        <v>965</v>
      </c>
      <c r="F90" s="31" t="s">
        <v>710</v>
      </c>
      <c r="G90" s="15">
        <v>39</v>
      </c>
      <c r="H90" s="38">
        <f>일대목차!I209</f>
        <v>760</v>
      </c>
      <c r="I90" s="57">
        <f t="shared" si="7"/>
        <v>29640</v>
      </c>
      <c r="J90" s="38">
        <v>39</v>
      </c>
      <c r="K90" s="38">
        <f>일대목차!L209</f>
        <v>38040</v>
      </c>
      <c r="L90" s="57">
        <f t="shared" si="8"/>
        <v>1483560</v>
      </c>
      <c r="M90" s="38">
        <f>일대목차!N209</f>
        <v>0</v>
      </c>
      <c r="N90" s="57">
        <f t="shared" si="9"/>
        <v>0</v>
      </c>
      <c r="O90" s="38">
        <f t="shared" si="10"/>
        <v>38800</v>
      </c>
      <c r="P90" s="38">
        <f t="shared" si="11"/>
        <v>1513200</v>
      </c>
      <c r="Q90" s="12" t="s">
        <v>2313</v>
      </c>
      <c r="AE90" s="35">
        <f t="shared" si="13"/>
        <v>1483560</v>
      </c>
    </row>
    <row r="91" spans="1:31" ht="23.1" customHeight="1" x14ac:dyDescent="0.15">
      <c r="A91" s="13" t="s">
        <v>2308</v>
      </c>
      <c r="B91" s="13" t="s">
        <v>3034</v>
      </c>
      <c r="C91" s="13" t="s">
        <v>2309</v>
      </c>
      <c r="D91" s="12" t="s">
        <v>962</v>
      </c>
      <c r="E91" s="12" t="s">
        <v>963</v>
      </c>
      <c r="F91" s="31" t="s">
        <v>710</v>
      </c>
      <c r="G91" s="15">
        <v>39</v>
      </c>
      <c r="H91" s="38">
        <f>일대목차!I208</f>
        <v>760</v>
      </c>
      <c r="I91" s="57">
        <f t="shared" si="7"/>
        <v>29640</v>
      </c>
      <c r="J91" s="38">
        <v>39</v>
      </c>
      <c r="K91" s="38">
        <f>일대목차!L208</f>
        <v>38040</v>
      </c>
      <c r="L91" s="57">
        <f t="shared" si="8"/>
        <v>1483560</v>
      </c>
      <c r="M91" s="38">
        <f>일대목차!N208</f>
        <v>0</v>
      </c>
      <c r="N91" s="57">
        <f t="shared" si="9"/>
        <v>0</v>
      </c>
      <c r="O91" s="38">
        <f t="shared" si="10"/>
        <v>38800</v>
      </c>
      <c r="P91" s="38">
        <f t="shared" si="11"/>
        <v>1513200</v>
      </c>
      <c r="Q91" s="12" t="s">
        <v>2310</v>
      </c>
      <c r="AE91" s="35">
        <f t="shared" si="13"/>
        <v>1483560</v>
      </c>
    </row>
    <row r="92" spans="1:31" ht="23.1" customHeight="1" x14ac:dyDescent="0.15">
      <c r="A92" s="13" t="s">
        <v>2317</v>
      </c>
      <c r="B92" s="13" t="s">
        <v>3034</v>
      </c>
      <c r="C92" s="13" t="s">
        <v>2318</v>
      </c>
      <c r="D92" s="12" t="s">
        <v>962</v>
      </c>
      <c r="E92" s="12" t="s">
        <v>767</v>
      </c>
      <c r="F92" s="31" t="s">
        <v>710</v>
      </c>
      <c r="G92" s="15">
        <v>39</v>
      </c>
      <c r="H92" s="38">
        <f>일대목차!I211</f>
        <v>760</v>
      </c>
      <c r="I92" s="57">
        <f t="shared" si="7"/>
        <v>29640</v>
      </c>
      <c r="J92" s="38">
        <v>39</v>
      </c>
      <c r="K92" s="38">
        <f>일대목차!L211</f>
        <v>38040</v>
      </c>
      <c r="L92" s="57">
        <f t="shared" si="8"/>
        <v>1483560</v>
      </c>
      <c r="M92" s="38">
        <f>일대목차!N211</f>
        <v>0</v>
      </c>
      <c r="N92" s="57">
        <f t="shared" si="9"/>
        <v>0</v>
      </c>
      <c r="O92" s="38">
        <f t="shared" si="10"/>
        <v>38800</v>
      </c>
      <c r="P92" s="38">
        <f t="shared" si="11"/>
        <v>1513200</v>
      </c>
      <c r="Q92" s="12" t="s">
        <v>2319</v>
      </c>
      <c r="AE92" s="35">
        <f t="shared" si="13"/>
        <v>1483560</v>
      </c>
    </row>
    <row r="93" spans="1:31" ht="23.1" customHeight="1" x14ac:dyDescent="0.15">
      <c r="D93" s="12"/>
      <c r="E93" s="12"/>
      <c r="F93" s="31"/>
      <c r="G93" s="15"/>
      <c r="H93" s="38"/>
      <c r="I93" s="57"/>
      <c r="J93" s="38"/>
      <c r="K93" s="38"/>
      <c r="L93" s="57"/>
      <c r="M93" s="38"/>
      <c r="N93" s="57"/>
      <c r="O93" s="38"/>
      <c r="P93" s="38"/>
      <c r="Q93" s="12"/>
      <c r="AE93" s="35">
        <f>TRUNC(SUM(AE56:AE92))</f>
        <v>236792377</v>
      </c>
    </row>
    <row r="94" spans="1:31" ht="23.1" customHeight="1" x14ac:dyDescent="0.15">
      <c r="D94" s="12"/>
      <c r="E94" s="12"/>
      <c r="F94" s="31"/>
      <c r="G94" s="15"/>
      <c r="H94" s="38"/>
      <c r="I94" s="57"/>
      <c r="J94" s="38"/>
      <c r="K94" s="38"/>
      <c r="L94" s="57"/>
      <c r="M94" s="38"/>
      <c r="N94" s="57"/>
      <c r="O94" s="38"/>
      <c r="P94" s="38"/>
      <c r="Q94" s="12"/>
    </row>
    <row r="95" spans="1:31" ht="23.1" customHeight="1" x14ac:dyDescent="0.15">
      <c r="D95" s="12"/>
      <c r="E95" s="12"/>
      <c r="F95" s="31"/>
      <c r="G95" s="15"/>
      <c r="H95" s="38"/>
      <c r="I95" s="57"/>
      <c r="J95" s="38"/>
      <c r="K95" s="38"/>
      <c r="L95" s="57"/>
      <c r="M95" s="38"/>
      <c r="N95" s="57"/>
      <c r="O95" s="38"/>
      <c r="P95" s="38"/>
      <c r="Q95" s="12"/>
    </row>
    <row r="96" spans="1:31" ht="23.1" customHeight="1" x14ac:dyDescent="0.15">
      <c r="D96" s="12"/>
      <c r="E96" s="12"/>
      <c r="F96" s="31"/>
      <c r="G96" s="15"/>
      <c r="H96" s="38"/>
      <c r="I96" s="57"/>
      <c r="J96" s="38"/>
      <c r="K96" s="38"/>
      <c r="L96" s="57"/>
      <c r="M96" s="38"/>
      <c r="N96" s="57"/>
      <c r="O96" s="38"/>
      <c r="P96" s="38"/>
      <c r="Q96" s="12"/>
    </row>
    <row r="97" spans="1:31" ht="23.1" customHeight="1" x14ac:dyDescent="0.15">
      <c r="D97" s="12"/>
      <c r="E97" s="12"/>
      <c r="F97" s="31"/>
      <c r="G97" s="15"/>
      <c r="H97" s="38"/>
      <c r="I97" s="57"/>
      <c r="J97" s="38"/>
      <c r="K97" s="38"/>
      <c r="L97" s="57"/>
      <c r="M97" s="38"/>
      <c r="N97" s="57"/>
      <c r="O97" s="38"/>
      <c r="P97" s="38"/>
      <c r="Q97" s="12"/>
    </row>
    <row r="98" spans="1:31" ht="23.1" customHeight="1" x14ac:dyDescent="0.15">
      <c r="D98" s="12"/>
      <c r="E98" s="12"/>
      <c r="F98" s="31"/>
      <c r="G98" s="15"/>
      <c r="H98" s="38"/>
      <c r="I98" s="57"/>
      <c r="J98" s="38"/>
      <c r="K98" s="38"/>
      <c r="L98" s="57"/>
      <c r="M98" s="38"/>
      <c r="N98" s="57"/>
      <c r="O98" s="38"/>
      <c r="P98" s="38"/>
      <c r="Q98" s="12"/>
    </row>
    <row r="99" spans="1:31" ht="23.1" customHeight="1" x14ac:dyDescent="0.15">
      <c r="D99" s="12"/>
      <c r="E99" s="12"/>
      <c r="F99" s="31"/>
      <c r="G99" s="15"/>
      <c r="H99" s="38"/>
      <c r="I99" s="57"/>
      <c r="J99" s="38"/>
      <c r="K99" s="38"/>
      <c r="L99" s="57"/>
      <c r="M99" s="38"/>
      <c r="N99" s="57"/>
      <c r="O99" s="38"/>
      <c r="P99" s="38"/>
      <c r="Q99" s="12"/>
    </row>
    <row r="100" spans="1:31" ht="23.1" customHeight="1" x14ac:dyDescent="0.15">
      <c r="D100" s="12"/>
      <c r="E100" s="12"/>
      <c r="F100" s="31"/>
      <c r="G100" s="15"/>
      <c r="H100" s="38"/>
      <c r="I100" s="57"/>
      <c r="J100" s="38"/>
      <c r="K100" s="38"/>
      <c r="L100" s="57"/>
      <c r="M100" s="38"/>
      <c r="N100" s="57"/>
      <c r="O100" s="38"/>
      <c r="P100" s="38"/>
      <c r="Q100" s="12"/>
    </row>
    <row r="101" spans="1:31" ht="23.1" customHeight="1" x14ac:dyDescent="0.15">
      <c r="D101" s="12"/>
      <c r="E101" s="12"/>
      <c r="F101" s="31"/>
      <c r="G101" s="15"/>
      <c r="H101" s="38"/>
      <c r="I101" s="57"/>
      <c r="J101" s="38"/>
      <c r="K101" s="38"/>
      <c r="L101" s="57"/>
      <c r="M101" s="38"/>
      <c r="N101" s="57"/>
      <c r="O101" s="38"/>
      <c r="P101" s="38"/>
      <c r="Q101" s="12"/>
    </row>
    <row r="102" spans="1:31" ht="23.1" customHeight="1" x14ac:dyDescent="0.15">
      <c r="D102" s="12"/>
      <c r="E102" s="12"/>
      <c r="F102" s="31"/>
      <c r="G102" s="15"/>
      <c r="H102" s="38"/>
      <c r="I102" s="57"/>
      <c r="J102" s="38"/>
      <c r="K102" s="38"/>
      <c r="L102" s="57"/>
      <c r="M102" s="38"/>
      <c r="N102" s="57"/>
      <c r="O102" s="38"/>
      <c r="P102" s="38"/>
      <c r="Q102" s="12"/>
    </row>
    <row r="103" spans="1:31" ht="23.1" customHeight="1" x14ac:dyDescent="0.15">
      <c r="D103" s="12"/>
      <c r="E103" s="12"/>
      <c r="F103" s="31"/>
      <c r="G103" s="15"/>
      <c r="H103" s="38"/>
      <c r="I103" s="57"/>
      <c r="J103" s="38"/>
      <c r="K103" s="38"/>
      <c r="L103" s="57"/>
      <c r="M103" s="38"/>
      <c r="N103" s="57"/>
      <c r="O103" s="38"/>
      <c r="P103" s="38"/>
      <c r="Q103" s="12"/>
    </row>
    <row r="104" spans="1:31" ht="23.1" customHeight="1" x14ac:dyDescent="0.15">
      <c r="D104" s="12"/>
      <c r="E104" s="12"/>
      <c r="F104" s="31"/>
      <c r="G104" s="15"/>
      <c r="H104" s="38"/>
      <c r="I104" s="57"/>
      <c r="J104" s="38"/>
      <c r="K104" s="38"/>
      <c r="L104" s="57"/>
      <c r="M104" s="38"/>
      <c r="N104" s="57"/>
      <c r="O104" s="38"/>
      <c r="P104" s="38"/>
      <c r="Q104" s="12"/>
    </row>
    <row r="105" spans="1:31" ht="23.1" customHeight="1" x14ac:dyDescent="0.15">
      <c r="D105" s="12"/>
      <c r="E105" s="12"/>
      <c r="F105" s="31"/>
      <c r="G105" s="15"/>
      <c r="H105" s="38"/>
      <c r="I105" s="57"/>
      <c r="J105" s="38"/>
      <c r="K105" s="38"/>
      <c r="L105" s="57"/>
      <c r="M105" s="38"/>
      <c r="N105" s="57"/>
      <c r="O105" s="38"/>
      <c r="P105" s="38"/>
      <c r="Q105" s="12"/>
    </row>
    <row r="106" spans="1:31" ht="23.1" customHeight="1" x14ac:dyDescent="0.15">
      <c r="D106" s="12"/>
      <c r="E106" s="12"/>
      <c r="F106" s="31"/>
      <c r="G106" s="15"/>
      <c r="H106" s="38"/>
      <c r="I106" s="57"/>
      <c r="J106" s="38"/>
      <c r="K106" s="38"/>
      <c r="L106" s="57"/>
      <c r="M106" s="38"/>
      <c r="N106" s="57"/>
      <c r="O106" s="38"/>
      <c r="P106" s="38"/>
      <c r="Q106" s="12"/>
    </row>
    <row r="107" spans="1:31" ht="23.1" customHeight="1" x14ac:dyDescent="0.15">
      <c r="B107" s="13" t="s">
        <v>2360</v>
      </c>
      <c r="D107" s="12" t="s">
        <v>2361</v>
      </c>
      <c r="E107" s="12"/>
      <c r="F107" s="31"/>
      <c r="G107" s="15"/>
      <c r="H107" s="38"/>
      <c r="I107" s="57">
        <f>TRUNC(SUM(I56:I106))</f>
        <v>36293190</v>
      </c>
      <c r="J107" s="38"/>
      <c r="K107" s="38"/>
      <c r="L107" s="57">
        <f>TRUNC(SUM(L56:L106))</f>
        <v>236792377</v>
      </c>
      <c r="M107" s="38"/>
      <c r="N107" s="57">
        <f>TRUNC(SUM(N56:N106))</f>
        <v>0</v>
      </c>
      <c r="O107" s="38" t="str">
        <f>IF((H107+K107+M107)=0, "", (H107+K107+M107))</f>
        <v/>
      </c>
      <c r="P107" s="38">
        <f>TRUNC(SUM(P56:P106))</f>
        <v>273085567</v>
      </c>
      <c r="Q107" s="12"/>
    </row>
    <row r="108" spans="1:31" ht="23.1" customHeight="1" x14ac:dyDescent="0.15">
      <c r="B108" s="13" t="s">
        <v>1448</v>
      </c>
      <c r="D108" s="170" t="s">
        <v>3168</v>
      </c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2"/>
    </row>
    <row r="109" spans="1:31" ht="23.1" customHeight="1" x14ac:dyDescent="0.15">
      <c r="A109" s="13" t="s">
        <v>1793</v>
      </c>
      <c r="B109" s="13" t="s">
        <v>3035</v>
      </c>
      <c r="C109" s="13" t="s">
        <v>1794</v>
      </c>
      <c r="D109" s="12" t="s">
        <v>178</v>
      </c>
      <c r="E109" s="12" t="s">
        <v>179</v>
      </c>
      <c r="F109" s="31" t="s">
        <v>166</v>
      </c>
      <c r="G109" s="15">
        <v>2125</v>
      </c>
      <c r="H109" s="38">
        <f>일대목차!I37</f>
        <v>449</v>
      </c>
      <c r="I109" s="57">
        <f t="shared" ref="I109:I144" si="14">TRUNC(G109*H109)</f>
        <v>954125</v>
      </c>
      <c r="J109" s="38">
        <v>2125</v>
      </c>
      <c r="K109" s="38">
        <f>일대목차!L37</f>
        <v>9852</v>
      </c>
      <c r="L109" s="57">
        <f t="shared" ref="L109:L144" si="15">TRUNC(G109*K109)</f>
        <v>20935500</v>
      </c>
      <c r="M109" s="38">
        <f>일대목차!N37</f>
        <v>0</v>
      </c>
      <c r="N109" s="57">
        <f t="shared" ref="N109:N144" si="16">TRUNC(G109*M109)</f>
        <v>0</v>
      </c>
      <c r="O109" s="38">
        <f t="shared" ref="O109:O144" si="17">IF((H109+K109+M109)=0, "", (H109+K109+M109))</f>
        <v>10301</v>
      </c>
      <c r="P109" s="38">
        <f t="shared" ref="P109:P144" si="18">SUM(I109,L109,N109)</f>
        <v>21889625</v>
      </c>
      <c r="Q109" s="12" t="s">
        <v>1795</v>
      </c>
      <c r="AA109" s="35">
        <f>I109</f>
        <v>954125</v>
      </c>
      <c r="AC109" s="35">
        <f>G109*H109</f>
        <v>954125</v>
      </c>
      <c r="AE109" s="35">
        <f>L109</f>
        <v>20935500</v>
      </c>
    </row>
    <row r="110" spans="1:31" ht="23.1" customHeight="1" x14ac:dyDescent="0.15">
      <c r="A110" s="13" t="s">
        <v>1038</v>
      </c>
      <c r="B110" s="13" t="s">
        <v>3035</v>
      </c>
      <c r="C110" s="13" t="s">
        <v>197</v>
      </c>
      <c r="D110" s="12" t="s">
        <v>198</v>
      </c>
      <c r="E110" s="12" t="s">
        <v>199</v>
      </c>
      <c r="F110" s="31" t="s">
        <v>200</v>
      </c>
      <c r="G110" s="15">
        <v>704</v>
      </c>
      <c r="H110" s="38">
        <f>합산자재!H14</f>
        <v>340</v>
      </c>
      <c r="I110" s="57">
        <f t="shared" si="14"/>
        <v>239360</v>
      </c>
      <c r="J110" s="38">
        <v>704</v>
      </c>
      <c r="K110" s="38">
        <f>합산자재!I14</f>
        <v>0</v>
      </c>
      <c r="L110" s="57">
        <f t="shared" si="15"/>
        <v>0</v>
      </c>
      <c r="M110" s="38">
        <f>합산자재!J14</f>
        <v>0</v>
      </c>
      <c r="N110" s="57">
        <f t="shared" si="16"/>
        <v>0</v>
      </c>
      <c r="O110" s="38">
        <f t="shared" si="17"/>
        <v>340</v>
      </c>
      <c r="P110" s="38">
        <f t="shared" si="18"/>
        <v>239360</v>
      </c>
      <c r="Q110" s="12"/>
    </row>
    <row r="111" spans="1:31" ht="23.1" customHeight="1" x14ac:dyDescent="0.15">
      <c r="A111" s="13" t="s">
        <v>1812</v>
      </c>
      <c r="B111" s="13" t="s">
        <v>3035</v>
      </c>
      <c r="C111" s="13" t="s">
        <v>1813</v>
      </c>
      <c r="D111" s="12" t="s">
        <v>198</v>
      </c>
      <c r="E111" s="12" t="s">
        <v>216</v>
      </c>
      <c r="F111" s="31" t="s">
        <v>166</v>
      </c>
      <c r="G111" s="15">
        <v>373</v>
      </c>
      <c r="H111" s="38">
        <f>일대목차!I43</f>
        <v>691</v>
      </c>
      <c r="I111" s="57">
        <f t="shared" si="14"/>
        <v>257743</v>
      </c>
      <c r="J111" s="38">
        <v>373</v>
      </c>
      <c r="K111" s="38">
        <f>일대목차!L43</f>
        <v>10837</v>
      </c>
      <c r="L111" s="57">
        <f t="shared" si="15"/>
        <v>4042201</v>
      </c>
      <c r="M111" s="38">
        <f>일대목차!N43</f>
        <v>0</v>
      </c>
      <c r="N111" s="57">
        <f t="shared" si="16"/>
        <v>0</v>
      </c>
      <c r="O111" s="38">
        <f t="shared" si="17"/>
        <v>11528</v>
      </c>
      <c r="P111" s="38">
        <f t="shared" si="18"/>
        <v>4299944</v>
      </c>
      <c r="Q111" s="12" t="s">
        <v>1814</v>
      </c>
      <c r="AC111" s="35">
        <f>G111*H111</f>
        <v>257743</v>
      </c>
      <c r="AE111" s="35">
        <f>L111</f>
        <v>4042201</v>
      </c>
    </row>
    <row r="112" spans="1:31" ht="23.1" customHeight="1" x14ac:dyDescent="0.15">
      <c r="A112" s="13" t="s">
        <v>1833</v>
      </c>
      <c r="B112" s="13" t="s">
        <v>3035</v>
      </c>
      <c r="C112" s="13" t="s">
        <v>1834</v>
      </c>
      <c r="D112" s="12" t="s">
        <v>260</v>
      </c>
      <c r="E112" s="12" t="s">
        <v>261</v>
      </c>
      <c r="F112" s="31" t="s">
        <v>200</v>
      </c>
      <c r="G112" s="15">
        <v>204</v>
      </c>
      <c r="H112" s="38">
        <f>일대목차!I50</f>
        <v>1218</v>
      </c>
      <c r="I112" s="57">
        <f t="shared" si="14"/>
        <v>248472</v>
      </c>
      <c r="J112" s="38">
        <v>204</v>
      </c>
      <c r="K112" s="38">
        <f>일대목차!L50</f>
        <v>29557</v>
      </c>
      <c r="L112" s="57">
        <f t="shared" si="15"/>
        <v>6029628</v>
      </c>
      <c r="M112" s="38">
        <f>일대목차!N50</f>
        <v>0</v>
      </c>
      <c r="N112" s="57">
        <f t="shared" si="16"/>
        <v>0</v>
      </c>
      <c r="O112" s="38">
        <f t="shared" si="17"/>
        <v>30775</v>
      </c>
      <c r="P112" s="38">
        <f t="shared" si="18"/>
        <v>6278100</v>
      </c>
      <c r="Q112" s="12" t="s">
        <v>1835</v>
      </c>
      <c r="AE112" s="35">
        <f>L112</f>
        <v>6029628</v>
      </c>
    </row>
    <row r="113" spans="1:31" ht="23.1" customHeight="1" x14ac:dyDescent="0.15">
      <c r="A113" s="13" t="s">
        <v>1839</v>
      </c>
      <c r="B113" s="13" t="s">
        <v>3035</v>
      </c>
      <c r="C113" s="13" t="s">
        <v>1840</v>
      </c>
      <c r="D113" s="12" t="s">
        <v>269</v>
      </c>
      <c r="E113" s="12" t="s">
        <v>270</v>
      </c>
      <c r="F113" s="31" t="s">
        <v>200</v>
      </c>
      <c r="G113" s="15">
        <v>153</v>
      </c>
      <c r="H113" s="38">
        <f>일대목차!I52</f>
        <v>1577</v>
      </c>
      <c r="I113" s="57">
        <f t="shared" si="14"/>
        <v>241281</v>
      </c>
      <c r="J113" s="38">
        <v>153</v>
      </c>
      <c r="K113" s="38">
        <f>일대목차!L52</f>
        <v>49261</v>
      </c>
      <c r="L113" s="57">
        <f t="shared" si="15"/>
        <v>7536933</v>
      </c>
      <c r="M113" s="38">
        <f>일대목차!N52</f>
        <v>0</v>
      </c>
      <c r="N113" s="57">
        <f t="shared" si="16"/>
        <v>0</v>
      </c>
      <c r="O113" s="38">
        <f t="shared" si="17"/>
        <v>50838</v>
      </c>
      <c r="P113" s="38">
        <f t="shared" si="18"/>
        <v>7778214</v>
      </c>
      <c r="Q113" s="12" t="s">
        <v>1841</v>
      </c>
      <c r="AE113" s="35">
        <f>L113</f>
        <v>7536933</v>
      </c>
    </row>
    <row r="114" spans="1:31" ht="23.1" customHeight="1" x14ac:dyDescent="0.15">
      <c r="A114" s="13" t="s">
        <v>1842</v>
      </c>
      <c r="B114" s="13" t="s">
        <v>3035</v>
      </c>
      <c r="C114" s="13" t="s">
        <v>1843</v>
      </c>
      <c r="D114" s="12" t="s">
        <v>269</v>
      </c>
      <c r="E114" s="12" t="s">
        <v>272</v>
      </c>
      <c r="F114" s="31" t="s">
        <v>200</v>
      </c>
      <c r="G114" s="15">
        <v>34</v>
      </c>
      <c r="H114" s="38">
        <f>일대목차!I53</f>
        <v>1711</v>
      </c>
      <c r="I114" s="57">
        <f t="shared" si="14"/>
        <v>58174</v>
      </c>
      <c r="J114" s="38">
        <v>34</v>
      </c>
      <c r="K114" s="38">
        <f>일대목차!L53</f>
        <v>49261</v>
      </c>
      <c r="L114" s="57">
        <f t="shared" si="15"/>
        <v>1674874</v>
      </c>
      <c r="M114" s="38">
        <f>일대목차!N53</f>
        <v>0</v>
      </c>
      <c r="N114" s="57">
        <f t="shared" si="16"/>
        <v>0</v>
      </c>
      <c r="O114" s="38">
        <f t="shared" si="17"/>
        <v>50972</v>
      </c>
      <c r="P114" s="38">
        <f t="shared" si="18"/>
        <v>1733048</v>
      </c>
      <c r="Q114" s="12" t="s">
        <v>1844</v>
      </c>
      <c r="AE114" s="35">
        <f>L114</f>
        <v>1674874</v>
      </c>
    </row>
    <row r="115" spans="1:31" ht="23.1" customHeight="1" x14ac:dyDescent="0.15">
      <c r="A115" s="13" t="s">
        <v>1845</v>
      </c>
      <c r="B115" s="13" t="s">
        <v>3035</v>
      </c>
      <c r="C115" s="13" t="s">
        <v>1846</v>
      </c>
      <c r="D115" s="12" t="s">
        <v>274</v>
      </c>
      <c r="E115" s="12" t="s">
        <v>275</v>
      </c>
      <c r="F115" s="31" t="s">
        <v>200</v>
      </c>
      <c r="G115" s="15">
        <v>221</v>
      </c>
      <c r="H115" s="38">
        <f>일대목차!I54</f>
        <v>921</v>
      </c>
      <c r="I115" s="57">
        <f t="shared" si="14"/>
        <v>203541</v>
      </c>
      <c r="J115" s="38">
        <v>221</v>
      </c>
      <c r="K115" s="38">
        <f>일대목차!L54</f>
        <v>9852</v>
      </c>
      <c r="L115" s="57">
        <f t="shared" si="15"/>
        <v>2177292</v>
      </c>
      <c r="M115" s="38">
        <f>일대목차!N54</f>
        <v>0</v>
      </c>
      <c r="N115" s="57">
        <f t="shared" si="16"/>
        <v>0</v>
      </c>
      <c r="O115" s="38">
        <f t="shared" si="17"/>
        <v>10773</v>
      </c>
      <c r="P115" s="38">
        <f t="shared" si="18"/>
        <v>2380833</v>
      </c>
      <c r="Q115" s="12" t="s">
        <v>1847</v>
      </c>
      <c r="AE115" s="35">
        <f>L115</f>
        <v>2177292</v>
      </c>
    </row>
    <row r="116" spans="1:31" ht="23.1" customHeight="1" x14ac:dyDescent="0.15">
      <c r="A116" s="13" t="s">
        <v>1069</v>
      </c>
      <c r="B116" s="13" t="s">
        <v>3035</v>
      </c>
      <c r="C116" s="13" t="s">
        <v>276</v>
      </c>
      <c r="D116" s="12" t="s">
        <v>277</v>
      </c>
      <c r="E116" s="12" t="s">
        <v>278</v>
      </c>
      <c r="F116" s="31" t="s">
        <v>200</v>
      </c>
      <c r="G116" s="15">
        <v>204</v>
      </c>
      <c r="H116" s="38">
        <f>합산자재!H45</f>
        <v>282</v>
      </c>
      <c r="I116" s="57">
        <f t="shared" si="14"/>
        <v>57528</v>
      </c>
      <c r="J116" s="38">
        <v>204</v>
      </c>
      <c r="K116" s="38">
        <f>합산자재!I45</f>
        <v>0</v>
      </c>
      <c r="L116" s="57">
        <f t="shared" si="15"/>
        <v>0</v>
      </c>
      <c r="M116" s="38">
        <f>합산자재!J45</f>
        <v>0</v>
      </c>
      <c r="N116" s="57">
        <f t="shared" si="16"/>
        <v>0</v>
      </c>
      <c r="O116" s="38">
        <f t="shared" si="17"/>
        <v>282</v>
      </c>
      <c r="P116" s="38">
        <f t="shared" si="18"/>
        <v>57528</v>
      </c>
      <c r="Q116" s="12"/>
    </row>
    <row r="117" spans="1:31" ht="23.1" customHeight="1" x14ac:dyDescent="0.15">
      <c r="A117" s="13" t="s">
        <v>1071</v>
      </c>
      <c r="B117" s="13" t="s">
        <v>3035</v>
      </c>
      <c r="C117" s="13" t="s">
        <v>281</v>
      </c>
      <c r="D117" s="12" t="s">
        <v>277</v>
      </c>
      <c r="E117" s="12" t="s">
        <v>282</v>
      </c>
      <c r="F117" s="31" t="s">
        <v>200</v>
      </c>
      <c r="G117" s="15">
        <v>34</v>
      </c>
      <c r="H117" s="38">
        <f>합산자재!H47</f>
        <v>283</v>
      </c>
      <c r="I117" s="57">
        <f t="shared" si="14"/>
        <v>9622</v>
      </c>
      <c r="J117" s="38">
        <v>34</v>
      </c>
      <c r="K117" s="38">
        <f>합산자재!I47</f>
        <v>0</v>
      </c>
      <c r="L117" s="57">
        <f t="shared" si="15"/>
        <v>0</v>
      </c>
      <c r="M117" s="38">
        <f>합산자재!J47</f>
        <v>0</v>
      </c>
      <c r="N117" s="57">
        <f t="shared" si="16"/>
        <v>0</v>
      </c>
      <c r="O117" s="38">
        <f t="shared" si="17"/>
        <v>283</v>
      </c>
      <c r="P117" s="38">
        <f t="shared" si="18"/>
        <v>9622</v>
      </c>
      <c r="Q117" s="12"/>
    </row>
    <row r="118" spans="1:31" ht="23.1" customHeight="1" x14ac:dyDescent="0.15">
      <c r="A118" s="13" t="s">
        <v>1854</v>
      </c>
      <c r="B118" s="13" t="s">
        <v>3035</v>
      </c>
      <c r="C118" s="13" t="s">
        <v>1855</v>
      </c>
      <c r="D118" s="12" t="s">
        <v>291</v>
      </c>
      <c r="E118" s="12" t="s">
        <v>292</v>
      </c>
      <c r="F118" s="31" t="s">
        <v>200</v>
      </c>
      <c r="G118" s="15">
        <v>17</v>
      </c>
      <c r="H118" s="38">
        <f>일대목차!I57</f>
        <v>3121</v>
      </c>
      <c r="I118" s="57">
        <f t="shared" si="14"/>
        <v>53057</v>
      </c>
      <c r="J118" s="38">
        <v>17</v>
      </c>
      <c r="K118" s="38">
        <f>일대목차!L57</f>
        <v>41872</v>
      </c>
      <c r="L118" s="57">
        <f t="shared" si="15"/>
        <v>711824</v>
      </c>
      <c r="M118" s="38">
        <f>일대목차!N57</f>
        <v>0</v>
      </c>
      <c r="N118" s="57">
        <f t="shared" si="16"/>
        <v>0</v>
      </c>
      <c r="O118" s="38">
        <f t="shared" si="17"/>
        <v>44993</v>
      </c>
      <c r="P118" s="38">
        <f t="shared" si="18"/>
        <v>764881</v>
      </c>
      <c r="Q118" s="12" t="s">
        <v>1856</v>
      </c>
      <c r="AE118" s="35">
        <f t="shared" ref="AE118:AE134" si="19">L118</f>
        <v>711824</v>
      </c>
    </row>
    <row r="119" spans="1:31" ht="23.1" customHeight="1" x14ac:dyDescent="0.15">
      <c r="A119" s="13" t="s">
        <v>1903</v>
      </c>
      <c r="B119" s="13" t="s">
        <v>3035</v>
      </c>
      <c r="C119" s="13" t="s">
        <v>1904</v>
      </c>
      <c r="D119" s="12" t="s">
        <v>397</v>
      </c>
      <c r="E119" s="12" t="s">
        <v>404</v>
      </c>
      <c r="F119" s="31" t="s">
        <v>166</v>
      </c>
      <c r="G119" s="15">
        <v>9171</v>
      </c>
      <c r="H119" s="38">
        <f>일대목차!I73</f>
        <v>590</v>
      </c>
      <c r="I119" s="57">
        <f t="shared" si="14"/>
        <v>5410890</v>
      </c>
      <c r="J119" s="38">
        <v>9171</v>
      </c>
      <c r="K119" s="38">
        <f>일대목차!L73</f>
        <v>2353</v>
      </c>
      <c r="L119" s="57">
        <f t="shared" si="15"/>
        <v>21579363</v>
      </c>
      <c r="M119" s="38">
        <f>일대목차!N73</f>
        <v>0</v>
      </c>
      <c r="N119" s="57">
        <f t="shared" si="16"/>
        <v>0</v>
      </c>
      <c r="O119" s="38">
        <f t="shared" si="17"/>
        <v>2943</v>
      </c>
      <c r="P119" s="38">
        <f t="shared" si="18"/>
        <v>26990253</v>
      </c>
      <c r="Q119" s="12" t="s">
        <v>1905</v>
      </c>
      <c r="AC119" s="35">
        <f>G119*H119</f>
        <v>5410890</v>
      </c>
      <c r="AE119" s="35">
        <f t="shared" si="19"/>
        <v>21579363</v>
      </c>
    </row>
    <row r="120" spans="1:31" ht="23.1" customHeight="1" x14ac:dyDescent="0.15">
      <c r="A120" s="13" t="s">
        <v>2017</v>
      </c>
      <c r="B120" s="13" t="s">
        <v>3035</v>
      </c>
      <c r="C120" s="13" t="s">
        <v>2018</v>
      </c>
      <c r="D120" s="12" t="s">
        <v>508</v>
      </c>
      <c r="E120" s="12" t="s">
        <v>509</v>
      </c>
      <c r="F120" s="31" t="s">
        <v>200</v>
      </c>
      <c r="G120" s="15">
        <v>68</v>
      </c>
      <c r="H120" s="38">
        <f>일대목차!I111</f>
        <v>1789</v>
      </c>
      <c r="I120" s="57">
        <f t="shared" si="14"/>
        <v>121652</v>
      </c>
      <c r="J120" s="38">
        <v>68</v>
      </c>
      <c r="K120" s="38">
        <f>일대목차!L111</f>
        <v>23262</v>
      </c>
      <c r="L120" s="57">
        <f t="shared" si="15"/>
        <v>1581816</v>
      </c>
      <c r="M120" s="38">
        <f>일대목차!N111</f>
        <v>0</v>
      </c>
      <c r="N120" s="57">
        <f t="shared" si="16"/>
        <v>0</v>
      </c>
      <c r="O120" s="38">
        <f t="shared" si="17"/>
        <v>25051</v>
      </c>
      <c r="P120" s="38">
        <f t="shared" si="18"/>
        <v>1703468</v>
      </c>
      <c r="Q120" s="12" t="s">
        <v>2019</v>
      </c>
      <c r="AE120" s="35">
        <f t="shared" si="19"/>
        <v>1581816</v>
      </c>
    </row>
    <row r="121" spans="1:31" ht="23.1" customHeight="1" x14ac:dyDescent="0.15">
      <c r="A121" s="13" t="s">
        <v>2023</v>
      </c>
      <c r="B121" s="13" t="s">
        <v>3035</v>
      </c>
      <c r="C121" s="13" t="s">
        <v>2024</v>
      </c>
      <c r="D121" s="12" t="s">
        <v>508</v>
      </c>
      <c r="E121" s="12" t="s">
        <v>517</v>
      </c>
      <c r="F121" s="31" t="s">
        <v>200</v>
      </c>
      <c r="G121" s="15">
        <v>34</v>
      </c>
      <c r="H121" s="38">
        <f>일대목차!I113</f>
        <v>2860</v>
      </c>
      <c r="I121" s="57">
        <f t="shared" si="14"/>
        <v>97240</v>
      </c>
      <c r="J121" s="38">
        <v>34</v>
      </c>
      <c r="K121" s="38">
        <f>일대목차!L113</f>
        <v>23262</v>
      </c>
      <c r="L121" s="57">
        <f t="shared" si="15"/>
        <v>790908</v>
      </c>
      <c r="M121" s="38">
        <f>일대목차!N113</f>
        <v>0</v>
      </c>
      <c r="N121" s="57">
        <f t="shared" si="16"/>
        <v>0</v>
      </c>
      <c r="O121" s="38">
        <f t="shared" si="17"/>
        <v>26122</v>
      </c>
      <c r="P121" s="38">
        <f t="shared" si="18"/>
        <v>888148</v>
      </c>
      <c r="Q121" s="12" t="s">
        <v>2025</v>
      </c>
      <c r="AE121" s="35">
        <f t="shared" si="19"/>
        <v>790908</v>
      </c>
    </row>
    <row r="122" spans="1:31" ht="23.1" customHeight="1" x14ac:dyDescent="0.15">
      <c r="A122" s="13" t="s">
        <v>2032</v>
      </c>
      <c r="B122" s="13" t="s">
        <v>3035</v>
      </c>
      <c r="C122" s="13" t="s">
        <v>2033</v>
      </c>
      <c r="D122" s="12" t="s">
        <v>519</v>
      </c>
      <c r="E122" s="12" t="s">
        <v>526</v>
      </c>
      <c r="F122" s="31" t="s">
        <v>200</v>
      </c>
      <c r="G122" s="15">
        <v>51</v>
      </c>
      <c r="H122" s="38">
        <f>일대목차!I116</f>
        <v>1372</v>
      </c>
      <c r="I122" s="57">
        <f t="shared" si="14"/>
        <v>69972</v>
      </c>
      <c r="J122" s="38">
        <v>51</v>
      </c>
      <c r="K122" s="38">
        <f>일대목차!L116</f>
        <v>21894</v>
      </c>
      <c r="L122" s="57">
        <f t="shared" si="15"/>
        <v>1116594</v>
      </c>
      <c r="M122" s="38">
        <f>일대목차!N116</f>
        <v>0</v>
      </c>
      <c r="N122" s="57">
        <f t="shared" si="16"/>
        <v>0</v>
      </c>
      <c r="O122" s="38">
        <f t="shared" si="17"/>
        <v>23266</v>
      </c>
      <c r="P122" s="38">
        <f t="shared" si="18"/>
        <v>1186566</v>
      </c>
      <c r="Q122" s="12" t="s">
        <v>2034</v>
      </c>
      <c r="AE122" s="35">
        <f t="shared" si="19"/>
        <v>1116594</v>
      </c>
    </row>
    <row r="123" spans="1:31" ht="23.1" customHeight="1" x14ac:dyDescent="0.15">
      <c r="A123" s="13" t="s">
        <v>2035</v>
      </c>
      <c r="B123" s="13" t="s">
        <v>3035</v>
      </c>
      <c r="C123" s="13" t="s">
        <v>2036</v>
      </c>
      <c r="D123" s="12" t="s">
        <v>519</v>
      </c>
      <c r="E123" s="12" t="s">
        <v>529</v>
      </c>
      <c r="F123" s="31" t="s">
        <v>200</v>
      </c>
      <c r="G123" s="15">
        <v>187</v>
      </c>
      <c r="H123" s="38">
        <f>일대목차!I117</f>
        <v>1822</v>
      </c>
      <c r="I123" s="57">
        <f t="shared" si="14"/>
        <v>340714</v>
      </c>
      <c r="J123" s="38">
        <v>187</v>
      </c>
      <c r="K123" s="38">
        <f>일대목차!L117</f>
        <v>21894</v>
      </c>
      <c r="L123" s="57">
        <f t="shared" si="15"/>
        <v>4094178</v>
      </c>
      <c r="M123" s="38">
        <f>일대목차!N117</f>
        <v>0</v>
      </c>
      <c r="N123" s="57">
        <f t="shared" si="16"/>
        <v>0</v>
      </c>
      <c r="O123" s="38">
        <f t="shared" si="17"/>
        <v>23716</v>
      </c>
      <c r="P123" s="38">
        <f t="shared" si="18"/>
        <v>4434892</v>
      </c>
      <c r="Q123" s="12" t="s">
        <v>2037</v>
      </c>
      <c r="AE123" s="35">
        <f t="shared" si="19"/>
        <v>4094178</v>
      </c>
    </row>
    <row r="124" spans="1:31" ht="23.1" customHeight="1" x14ac:dyDescent="0.15">
      <c r="A124" s="13" t="s">
        <v>2038</v>
      </c>
      <c r="B124" s="13" t="s">
        <v>3035</v>
      </c>
      <c r="C124" s="13" t="s">
        <v>2039</v>
      </c>
      <c r="D124" s="12" t="s">
        <v>531</v>
      </c>
      <c r="E124" s="12" t="s">
        <v>526</v>
      </c>
      <c r="F124" s="31" t="s">
        <v>200</v>
      </c>
      <c r="G124" s="15">
        <v>34</v>
      </c>
      <c r="H124" s="38">
        <f>일대목차!I118</f>
        <v>2474</v>
      </c>
      <c r="I124" s="57">
        <f t="shared" si="14"/>
        <v>84116</v>
      </c>
      <c r="J124" s="38">
        <v>34</v>
      </c>
      <c r="K124" s="38">
        <f>일대목차!L118</f>
        <v>21894</v>
      </c>
      <c r="L124" s="57">
        <f t="shared" si="15"/>
        <v>744396</v>
      </c>
      <c r="M124" s="38">
        <f>일대목차!N118</f>
        <v>0</v>
      </c>
      <c r="N124" s="57">
        <f t="shared" si="16"/>
        <v>0</v>
      </c>
      <c r="O124" s="38">
        <f t="shared" si="17"/>
        <v>24368</v>
      </c>
      <c r="P124" s="38">
        <f t="shared" si="18"/>
        <v>828512</v>
      </c>
      <c r="Q124" s="12" t="s">
        <v>2040</v>
      </c>
      <c r="AE124" s="35">
        <f t="shared" si="19"/>
        <v>744396</v>
      </c>
    </row>
    <row r="125" spans="1:31" ht="23.1" customHeight="1" x14ac:dyDescent="0.15">
      <c r="A125" s="13" t="s">
        <v>2041</v>
      </c>
      <c r="B125" s="13" t="s">
        <v>3035</v>
      </c>
      <c r="C125" s="13" t="s">
        <v>2042</v>
      </c>
      <c r="D125" s="12" t="s">
        <v>531</v>
      </c>
      <c r="E125" s="12" t="s">
        <v>529</v>
      </c>
      <c r="F125" s="31" t="s">
        <v>200</v>
      </c>
      <c r="G125" s="15">
        <v>17</v>
      </c>
      <c r="H125" s="38">
        <f>일대목차!I119</f>
        <v>2560</v>
      </c>
      <c r="I125" s="57">
        <f t="shared" si="14"/>
        <v>43520</v>
      </c>
      <c r="J125" s="38">
        <v>17</v>
      </c>
      <c r="K125" s="38">
        <f>일대목차!L119</f>
        <v>21894</v>
      </c>
      <c r="L125" s="57">
        <f t="shared" si="15"/>
        <v>372198</v>
      </c>
      <c r="M125" s="38">
        <f>일대목차!N119</f>
        <v>0</v>
      </c>
      <c r="N125" s="57">
        <f t="shared" si="16"/>
        <v>0</v>
      </c>
      <c r="O125" s="38">
        <f t="shared" si="17"/>
        <v>24454</v>
      </c>
      <c r="P125" s="38">
        <f t="shared" si="18"/>
        <v>415718</v>
      </c>
      <c r="Q125" s="12" t="s">
        <v>2043</v>
      </c>
      <c r="AE125" s="35">
        <f t="shared" si="19"/>
        <v>372198</v>
      </c>
    </row>
    <row r="126" spans="1:31" ht="23.1" customHeight="1" x14ac:dyDescent="0.15">
      <c r="A126" s="13" t="s">
        <v>1756</v>
      </c>
      <c r="B126" s="13" t="s">
        <v>3035</v>
      </c>
      <c r="C126" s="13" t="s">
        <v>1757</v>
      </c>
      <c r="D126" s="12" t="s">
        <v>1759</v>
      </c>
      <c r="E126" s="12" t="s">
        <v>1407</v>
      </c>
      <c r="F126" s="31" t="s">
        <v>792</v>
      </c>
      <c r="G126" s="15">
        <v>221</v>
      </c>
      <c r="H126" s="38">
        <f>일대목차!I27</f>
        <v>224</v>
      </c>
      <c r="I126" s="57">
        <f t="shared" si="14"/>
        <v>49504</v>
      </c>
      <c r="J126" s="38">
        <v>221</v>
      </c>
      <c r="K126" s="38">
        <f>일대목차!L27</f>
        <v>11220</v>
      </c>
      <c r="L126" s="57">
        <f t="shared" si="15"/>
        <v>2479620</v>
      </c>
      <c r="M126" s="38">
        <f>일대목차!N27</f>
        <v>0</v>
      </c>
      <c r="N126" s="57">
        <f t="shared" si="16"/>
        <v>0</v>
      </c>
      <c r="O126" s="38">
        <f t="shared" si="17"/>
        <v>11444</v>
      </c>
      <c r="P126" s="38">
        <f t="shared" si="18"/>
        <v>2529124</v>
      </c>
      <c r="Q126" s="12" t="s">
        <v>1758</v>
      </c>
      <c r="AE126" s="35">
        <f t="shared" si="19"/>
        <v>2479620</v>
      </c>
    </row>
    <row r="127" spans="1:31" ht="23.1" customHeight="1" x14ac:dyDescent="0.15">
      <c r="A127" s="13" t="s">
        <v>1764</v>
      </c>
      <c r="B127" s="13" t="s">
        <v>3035</v>
      </c>
      <c r="C127" s="13" t="s">
        <v>1765</v>
      </c>
      <c r="D127" s="12" t="s">
        <v>1767</v>
      </c>
      <c r="E127" s="12"/>
      <c r="F127" s="31" t="s">
        <v>554</v>
      </c>
      <c r="G127" s="15">
        <v>51</v>
      </c>
      <c r="H127" s="38">
        <f>일대목차!I29</f>
        <v>224</v>
      </c>
      <c r="I127" s="57">
        <f t="shared" si="14"/>
        <v>11424</v>
      </c>
      <c r="J127" s="38">
        <v>51</v>
      </c>
      <c r="K127" s="38">
        <f>일대목차!L29</f>
        <v>11220</v>
      </c>
      <c r="L127" s="57">
        <f t="shared" si="15"/>
        <v>572220</v>
      </c>
      <c r="M127" s="38">
        <f>일대목차!N29</f>
        <v>0</v>
      </c>
      <c r="N127" s="57">
        <f t="shared" si="16"/>
        <v>0</v>
      </c>
      <c r="O127" s="38">
        <f t="shared" si="17"/>
        <v>11444</v>
      </c>
      <c r="P127" s="38">
        <f t="shared" si="18"/>
        <v>583644</v>
      </c>
      <c r="Q127" s="12" t="s">
        <v>1766</v>
      </c>
      <c r="AE127" s="35">
        <f t="shared" si="19"/>
        <v>572220</v>
      </c>
    </row>
    <row r="128" spans="1:31" ht="23.1" customHeight="1" x14ac:dyDescent="0.15">
      <c r="A128" s="13" t="s">
        <v>2134</v>
      </c>
      <c r="B128" s="13" t="s">
        <v>3035</v>
      </c>
      <c r="C128" s="13" t="s">
        <v>2135</v>
      </c>
      <c r="D128" s="12" t="s">
        <v>716</v>
      </c>
      <c r="E128" s="12" t="s">
        <v>717</v>
      </c>
      <c r="F128" s="31" t="s">
        <v>200</v>
      </c>
      <c r="G128" s="15">
        <v>17</v>
      </c>
      <c r="H128" s="38">
        <f>일대목차!I150</f>
        <v>45437</v>
      </c>
      <c r="I128" s="57">
        <f t="shared" si="14"/>
        <v>772429</v>
      </c>
      <c r="J128" s="38">
        <v>17</v>
      </c>
      <c r="K128" s="38">
        <f>일대목차!L150</f>
        <v>21894</v>
      </c>
      <c r="L128" s="57">
        <f t="shared" si="15"/>
        <v>372198</v>
      </c>
      <c r="M128" s="38">
        <f>일대목차!N150</f>
        <v>0</v>
      </c>
      <c r="N128" s="57">
        <f t="shared" si="16"/>
        <v>0</v>
      </c>
      <c r="O128" s="38">
        <f t="shared" si="17"/>
        <v>67331</v>
      </c>
      <c r="P128" s="38">
        <f t="shared" si="18"/>
        <v>1144627</v>
      </c>
      <c r="Q128" s="12" t="s">
        <v>2136</v>
      </c>
      <c r="AE128" s="35">
        <f t="shared" si="19"/>
        <v>372198</v>
      </c>
    </row>
    <row r="129" spans="1:31" ht="23.1" customHeight="1" x14ac:dyDescent="0.15">
      <c r="A129" s="13" t="s">
        <v>2140</v>
      </c>
      <c r="B129" s="13" t="s">
        <v>3035</v>
      </c>
      <c r="C129" s="13" t="s">
        <v>2141</v>
      </c>
      <c r="D129" s="12" t="s">
        <v>716</v>
      </c>
      <c r="E129" s="12" t="s">
        <v>719</v>
      </c>
      <c r="F129" s="31" t="s">
        <v>200</v>
      </c>
      <c r="G129" s="15">
        <v>34</v>
      </c>
      <c r="H129" s="38">
        <f>일대목차!I152</f>
        <v>35437</v>
      </c>
      <c r="I129" s="57">
        <f t="shared" si="14"/>
        <v>1204858</v>
      </c>
      <c r="J129" s="38">
        <v>34</v>
      </c>
      <c r="K129" s="38">
        <f>일대목차!L152</f>
        <v>21894</v>
      </c>
      <c r="L129" s="57">
        <f t="shared" si="15"/>
        <v>744396</v>
      </c>
      <c r="M129" s="38">
        <f>일대목차!N152</f>
        <v>0</v>
      </c>
      <c r="N129" s="57">
        <f t="shared" si="16"/>
        <v>0</v>
      </c>
      <c r="O129" s="38">
        <f t="shared" si="17"/>
        <v>57331</v>
      </c>
      <c r="P129" s="38">
        <f t="shared" si="18"/>
        <v>1949254</v>
      </c>
      <c r="Q129" s="12" t="s">
        <v>2142</v>
      </c>
      <c r="AE129" s="35">
        <f t="shared" si="19"/>
        <v>744396</v>
      </c>
    </row>
    <row r="130" spans="1:31" ht="23.1" customHeight="1" x14ac:dyDescent="0.15">
      <c r="A130" s="13" t="s">
        <v>2149</v>
      </c>
      <c r="B130" s="13" t="s">
        <v>3035</v>
      </c>
      <c r="C130" s="13" t="s">
        <v>2150</v>
      </c>
      <c r="D130" s="12" t="s">
        <v>720</v>
      </c>
      <c r="E130" s="12" t="s">
        <v>719</v>
      </c>
      <c r="F130" s="31" t="s">
        <v>200</v>
      </c>
      <c r="G130" s="15">
        <v>34</v>
      </c>
      <c r="H130" s="38">
        <f>일대목차!I155</f>
        <v>4985</v>
      </c>
      <c r="I130" s="57">
        <f t="shared" si="14"/>
        <v>169490</v>
      </c>
      <c r="J130" s="38">
        <v>34</v>
      </c>
      <c r="K130" s="38">
        <f>일대목차!L155</f>
        <v>49261</v>
      </c>
      <c r="L130" s="57">
        <f t="shared" si="15"/>
        <v>1674874</v>
      </c>
      <c r="M130" s="38">
        <f>일대목차!N155</f>
        <v>0</v>
      </c>
      <c r="N130" s="57">
        <f t="shared" si="16"/>
        <v>0</v>
      </c>
      <c r="O130" s="38">
        <f t="shared" si="17"/>
        <v>54246</v>
      </c>
      <c r="P130" s="38">
        <f t="shared" si="18"/>
        <v>1844364</v>
      </c>
      <c r="Q130" s="12" t="s">
        <v>2151</v>
      </c>
      <c r="AE130" s="35">
        <f t="shared" si="19"/>
        <v>1674874</v>
      </c>
    </row>
    <row r="131" spans="1:31" ht="23.1" customHeight="1" x14ac:dyDescent="0.15">
      <c r="A131" s="13" t="s">
        <v>2152</v>
      </c>
      <c r="B131" s="13" t="s">
        <v>3035</v>
      </c>
      <c r="C131" s="13" t="s">
        <v>2153</v>
      </c>
      <c r="D131" s="12" t="s">
        <v>722</v>
      </c>
      <c r="E131" s="12" t="s">
        <v>717</v>
      </c>
      <c r="F131" s="31" t="s">
        <v>200</v>
      </c>
      <c r="G131" s="15">
        <v>17</v>
      </c>
      <c r="H131" s="38">
        <f>일대목차!I156</f>
        <v>2485</v>
      </c>
      <c r="I131" s="57">
        <f t="shared" si="14"/>
        <v>42245</v>
      </c>
      <c r="J131" s="38">
        <v>17</v>
      </c>
      <c r="K131" s="38">
        <f>일대목차!L156</f>
        <v>49261</v>
      </c>
      <c r="L131" s="57">
        <f t="shared" si="15"/>
        <v>837437</v>
      </c>
      <c r="M131" s="38">
        <f>일대목차!N156</f>
        <v>0</v>
      </c>
      <c r="N131" s="57">
        <f t="shared" si="16"/>
        <v>0</v>
      </c>
      <c r="O131" s="38">
        <f t="shared" si="17"/>
        <v>51746</v>
      </c>
      <c r="P131" s="38">
        <f t="shared" si="18"/>
        <v>879682</v>
      </c>
      <c r="Q131" s="12" t="s">
        <v>2154</v>
      </c>
      <c r="AE131" s="35">
        <f t="shared" si="19"/>
        <v>837437</v>
      </c>
    </row>
    <row r="132" spans="1:31" ht="23.1" customHeight="1" x14ac:dyDescent="0.15">
      <c r="A132" s="13" t="s">
        <v>2158</v>
      </c>
      <c r="B132" s="13" t="s">
        <v>3035</v>
      </c>
      <c r="C132" s="13" t="s">
        <v>2159</v>
      </c>
      <c r="D132" s="12" t="s">
        <v>519</v>
      </c>
      <c r="E132" s="12" t="s">
        <v>723</v>
      </c>
      <c r="F132" s="31" t="s">
        <v>200</v>
      </c>
      <c r="G132" s="15">
        <v>17</v>
      </c>
      <c r="H132" s="38">
        <f>일대목차!I158</f>
        <v>1782</v>
      </c>
      <c r="I132" s="57">
        <f t="shared" si="14"/>
        <v>30294</v>
      </c>
      <c r="J132" s="38">
        <v>17</v>
      </c>
      <c r="K132" s="38">
        <f>일대목차!L158</f>
        <v>21894</v>
      </c>
      <c r="L132" s="57">
        <f t="shared" si="15"/>
        <v>372198</v>
      </c>
      <c r="M132" s="38">
        <f>일대목차!N158</f>
        <v>0</v>
      </c>
      <c r="N132" s="57">
        <f t="shared" si="16"/>
        <v>0</v>
      </c>
      <c r="O132" s="38">
        <f t="shared" si="17"/>
        <v>23676</v>
      </c>
      <c r="P132" s="38">
        <f t="shared" si="18"/>
        <v>402492</v>
      </c>
      <c r="Q132" s="12" t="s">
        <v>2160</v>
      </c>
      <c r="AE132" s="35">
        <f t="shared" si="19"/>
        <v>372198</v>
      </c>
    </row>
    <row r="133" spans="1:31" ht="23.1" customHeight="1" x14ac:dyDescent="0.15">
      <c r="A133" s="13" t="s">
        <v>2161</v>
      </c>
      <c r="B133" s="13" t="s">
        <v>3035</v>
      </c>
      <c r="C133" s="13" t="s">
        <v>2162</v>
      </c>
      <c r="D133" s="12" t="s">
        <v>724</v>
      </c>
      <c r="E133" s="12" t="s">
        <v>725</v>
      </c>
      <c r="F133" s="31" t="s">
        <v>200</v>
      </c>
      <c r="G133" s="15">
        <v>85</v>
      </c>
      <c r="H133" s="38">
        <f>일대목차!I159</f>
        <v>2285</v>
      </c>
      <c r="I133" s="57">
        <f t="shared" si="14"/>
        <v>194225</v>
      </c>
      <c r="J133" s="38">
        <v>85</v>
      </c>
      <c r="K133" s="38">
        <f>일대목차!L159</f>
        <v>49261</v>
      </c>
      <c r="L133" s="57">
        <f t="shared" si="15"/>
        <v>4187185</v>
      </c>
      <c r="M133" s="38">
        <f>일대목차!N159</f>
        <v>0</v>
      </c>
      <c r="N133" s="57">
        <f t="shared" si="16"/>
        <v>0</v>
      </c>
      <c r="O133" s="38">
        <f t="shared" si="17"/>
        <v>51546</v>
      </c>
      <c r="P133" s="38">
        <f t="shared" si="18"/>
        <v>4381410</v>
      </c>
      <c r="Q133" s="12" t="s">
        <v>2163</v>
      </c>
      <c r="AE133" s="35">
        <f t="shared" si="19"/>
        <v>4187185</v>
      </c>
    </row>
    <row r="134" spans="1:31" ht="23.1" customHeight="1" x14ac:dyDescent="0.15">
      <c r="A134" s="13" t="s">
        <v>2164</v>
      </c>
      <c r="B134" s="13" t="s">
        <v>3035</v>
      </c>
      <c r="C134" s="13" t="s">
        <v>2165</v>
      </c>
      <c r="D134" s="12" t="s">
        <v>724</v>
      </c>
      <c r="E134" s="12" t="s">
        <v>726</v>
      </c>
      <c r="F134" s="31" t="s">
        <v>200</v>
      </c>
      <c r="G134" s="15">
        <v>119</v>
      </c>
      <c r="H134" s="38">
        <f>일대목차!I160</f>
        <v>2485</v>
      </c>
      <c r="I134" s="57">
        <f t="shared" si="14"/>
        <v>295715</v>
      </c>
      <c r="J134" s="38">
        <v>119</v>
      </c>
      <c r="K134" s="38">
        <f>일대목차!L160</f>
        <v>49261</v>
      </c>
      <c r="L134" s="57">
        <f t="shared" si="15"/>
        <v>5862059</v>
      </c>
      <c r="M134" s="38">
        <f>일대목차!N160</f>
        <v>0</v>
      </c>
      <c r="N134" s="57">
        <f t="shared" si="16"/>
        <v>0</v>
      </c>
      <c r="O134" s="38">
        <f t="shared" si="17"/>
        <v>51746</v>
      </c>
      <c r="P134" s="38">
        <f t="shared" si="18"/>
        <v>6157774</v>
      </c>
      <c r="Q134" s="12" t="s">
        <v>2166</v>
      </c>
      <c r="AE134" s="35">
        <f t="shared" si="19"/>
        <v>5862059</v>
      </c>
    </row>
    <row r="135" spans="1:31" ht="23.1" customHeight="1" x14ac:dyDescent="0.15">
      <c r="A135" s="13" t="s">
        <v>1245</v>
      </c>
      <c r="B135" s="13" t="s">
        <v>3035</v>
      </c>
      <c r="C135" s="13" t="s">
        <v>706</v>
      </c>
      <c r="D135" s="12" t="s">
        <v>735</v>
      </c>
      <c r="E135" s="12"/>
      <c r="F135" s="31" t="s">
        <v>289</v>
      </c>
      <c r="G135" s="15">
        <v>17</v>
      </c>
      <c r="H135" s="38">
        <f>합산자재!H221</f>
        <v>50000</v>
      </c>
      <c r="I135" s="57">
        <f t="shared" si="14"/>
        <v>850000</v>
      </c>
      <c r="J135" s="38">
        <v>17</v>
      </c>
      <c r="K135" s="38">
        <f>합산자재!I221</f>
        <v>0</v>
      </c>
      <c r="L135" s="57">
        <f t="shared" si="15"/>
        <v>0</v>
      </c>
      <c r="M135" s="38">
        <f>합산자재!J221</f>
        <v>0</v>
      </c>
      <c r="N135" s="57">
        <f t="shared" si="16"/>
        <v>0</v>
      </c>
      <c r="O135" s="38">
        <f t="shared" si="17"/>
        <v>50000</v>
      </c>
      <c r="P135" s="38">
        <f t="shared" si="18"/>
        <v>850000</v>
      </c>
      <c r="Q135" s="12"/>
    </row>
    <row r="136" spans="1:31" ht="23.1" customHeight="1" x14ac:dyDescent="0.15">
      <c r="A136" s="13" t="s">
        <v>2173</v>
      </c>
      <c r="B136" s="13" t="s">
        <v>3035</v>
      </c>
      <c r="C136" s="13" t="s">
        <v>2174</v>
      </c>
      <c r="D136" s="12" t="s">
        <v>736</v>
      </c>
      <c r="E136" s="12" t="s">
        <v>737</v>
      </c>
      <c r="F136" s="31" t="s">
        <v>559</v>
      </c>
      <c r="G136" s="15">
        <v>17</v>
      </c>
      <c r="H136" s="38">
        <f>일대목차!I163</f>
        <v>205221</v>
      </c>
      <c r="I136" s="57">
        <f t="shared" si="14"/>
        <v>3488757</v>
      </c>
      <c r="J136" s="38">
        <v>17</v>
      </c>
      <c r="K136" s="38">
        <f>일대목차!L163</f>
        <v>243571</v>
      </c>
      <c r="L136" s="57">
        <f t="shared" si="15"/>
        <v>4140707</v>
      </c>
      <c r="M136" s="38">
        <f>일대목차!N163</f>
        <v>0</v>
      </c>
      <c r="N136" s="57">
        <f t="shared" si="16"/>
        <v>0</v>
      </c>
      <c r="O136" s="38">
        <f t="shared" si="17"/>
        <v>448792</v>
      </c>
      <c r="P136" s="38">
        <f t="shared" si="18"/>
        <v>7629464</v>
      </c>
      <c r="Q136" s="12" t="s">
        <v>2175</v>
      </c>
      <c r="AE136" s="35">
        <f t="shared" ref="AE136:AE144" si="20">L136</f>
        <v>4140707</v>
      </c>
    </row>
    <row r="137" spans="1:31" ht="23.1" customHeight="1" x14ac:dyDescent="0.15">
      <c r="A137" s="13" t="s">
        <v>2329</v>
      </c>
      <c r="B137" s="13" t="s">
        <v>3035</v>
      </c>
      <c r="C137" s="13" t="s">
        <v>2330</v>
      </c>
      <c r="D137" s="12" t="s">
        <v>962</v>
      </c>
      <c r="E137" s="12" t="s">
        <v>976</v>
      </c>
      <c r="F137" s="31" t="s">
        <v>710</v>
      </c>
      <c r="G137" s="15">
        <v>51</v>
      </c>
      <c r="H137" s="38">
        <f>일대목차!I215</f>
        <v>1247</v>
      </c>
      <c r="I137" s="57">
        <f t="shared" si="14"/>
        <v>63597</v>
      </c>
      <c r="J137" s="38">
        <v>51</v>
      </c>
      <c r="K137" s="38">
        <f>일대목차!L215</f>
        <v>62398</v>
      </c>
      <c r="L137" s="57">
        <f t="shared" si="15"/>
        <v>3182298</v>
      </c>
      <c r="M137" s="38">
        <f>일대목차!N215</f>
        <v>0</v>
      </c>
      <c r="N137" s="57">
        <f t="shared" si="16"/>
        <v>0</v>
      </c>
      <c r="O137" s="38">
        <f t="shared" si="17"/>
        <v>63645</v>
      </c>
      <c r="P137" s="38">
        <f t="shared" si="18"/>
        <v>3245895</v>
      </c>
      <c r="Q137" s="12" t="s">
        <v>2331</v>
      </c>
      <c r="AE137" s="35">
        <f t="shared" si="20"/>
        <v>3182298</v>
      </c>
    </row>
    <row r="138" spans="1:31" ht="23.1" customHeight="1" x14ac:dyDescent="0.15">
      <c r="A138" s="13" t="s">
        <v>2326</v>
      </c>
      <c r="B138" s="13" t="s">
        <v>3035</v>
      </c>
      <c r="C138" s="13" t="s">
        <v>2327</v>
      </c>
      <c r="D138" s="12" t="s">
        <v>962</v>
      </c>
      <c r="E138" s="12" t="s">
        <v>974</v>
      </c>
      <c r="F138" s="31" t="s">
        <v>710</v>
      </c>
      <c r="G138" s="15">
        <v>17</v>
      </c>
      <c r="H138" s="38">
        <f>일대목차!I214</f>
        <v>1083</v>
      </c>
      <c r="I138" s="57">
        <f t="shared" si="14"/>
        <v>18411</v>
      </c>
      <c r="J138" s="38">
        <v>17</v>
      </c>
      <c r="K138" s="38">
        <f>일대목차!L214</f>
        <v>54187</v>
      </c>
      <c r="L138" s="57">
        <f t="shared" si="15"/>
        <v>921179</v>
      </c>
      <c r="M138" s="38">
        <f>일대목차!N214</f>
        <v>0</v>
      </c>
      <c r="N138" s="57">
        <f t="shared" si="16"/>
        <v>0</v>
      </c>
      <c r="O138" s="38">
        <f t="shared" si="17"/>
        <v>55270</v>
      </c>
      <c r="P138" s="38">
        <f t="shared" si="18"/>
        <v>939590</v>
      </c>
      <c r="Q138" s="12" t="s">
        <v>2328</v>
      </c>
      <c r="AE138" s="35">
        <f t="shared" si="20"/>
        <v>921179</v>
      </c>
    </row>
    <row r="139" spans="1:31" ht="23.1" customHeight="1" x14ac:dyDescent="0.15">
      <c r="A139" s="13" t="s">
        <v>2323</v>
      </c>
      <c r="B139" s="13" t="s">
        <v>3035</v>
      </c>
      <c r="C139" s="13" t="s">
        <v>2324</v>
      </c>
      <c r="D139" s="12" t="s">
        <v>962</v>
      </c>
      <c r="E139" s="12" t="s">
        <v>972</v>
      </c>
      <c r="F139" s="31" t="s">
        <v>710</v>
      </c>
      <c r="G139" s="15">
        <v>17</v>
      </c>
      <c r="H139" s="38">
        <f>일대목차!I213</f>
        <v>1187</v>
      </c>
      <c r="I139" s="57">
        <f t="shared" si="14"/>
        <v>20179</v>
      </c>
      <c r="J139" s="38">
        <v>17</v>
      </c>
      <c r="K139" s="38">
        <f>일대목차!L213</f>
        <v>59387</v>
      </c>
      <c r="L139" s="57">
        <f t="shared" si="15"/>
        <v>1009579</v>
      </c>
      <c r="M139" s="38">
        <f>일대목차!N213</f>
        <v>0</v>
      </c>
      <c r="N139" s="57">
        <f t="shared" si="16"/>
        <v>0</v>
      </c>
      <c r="O139" s="38">
        <f t="shared" si="17"/>
        <v>60574</v>
      </c>
      <c r="P139" s="38">
        <f t="shared" si="18"/>
        <v>1029758</v>
      </c>
      <c r="Q139" s="12" t="s">
        <v>2325</v>
      </c>
      <c r="AE139" s="35">
        <f t="shared" si="20"/>
        <v>1009579</v>
      </c>
    </row>
    <row r="140" spans="1:31" ht="23.1" customHeight="1" x14ac:dyDescent="0.15">
      <c r="A140" s="13" t="s">
        <v>2320</v>
      </c>
      <c r="B140" s="13" t="s">
        <v>3035</v>
      </c>
      <c r="C140" s="13" t="s">
        <v>2321</v>
      </c>
      <c r="D140" s="12" t="s">
        <v>962</v>
      </c>
      <c r="E140" s="12" t="s">
        <v>970</v>
      </c>
      <c r="F140" s="31" t="s">
        <v>710</v>
      </c>
      <c r="G140" s="15">
        <v>17</v>
      </c>
      <c r="H140" s="38">
        <f>일대목차!I212</f>
        <v>574</v>
      </c>
      <c r="I140" s="57">
        <f t="shared" si="14"/>
        <v>9758</v>
      </c>
      <c r="J140" s="38">
        <v>17</v>
      </c>
      <c r="K140" s="38">
        <f>일대목차!L212</f>
        <v>28735</v>
      </c>
      <c r="L140" s="57">
        <f t="shared" si="15"/>
        <v>488495</v>
      </c>
      <c r="M140" s="38">
        <f>일대목차!N212</f>
        <v>0</v>
      </c>
      <c r="N140" s="57">
        <f t="shared" si="16"/>
        <v>0</v>
      </c>
      <c r="O140" s="38">
        <f t="shared" si="17"/>
        <v>29309</v>
      </c>
      <c r="P140" s="38">
        <f t="shared" si="18"/>
        <v>498253</v>
      </c>
      <c r="Q140" s="12" t="s">
        <v>2322</v>
      </c>
      <c r="AE140" s="35">
        <f t="shared" si="20"/>
        <v>488495</v>
      </c>
    </row>
    <row r="141" spans="1:31" ht="23.1" customHeight="1" x14ac:dyDescent="0.15">
      <c r="A141" s="13" t="s">
        <v>2314</v>
      </c>
      <c r="B141" s="13" t="s">
        <v>3035</v>
      </c>
      <c r="C141" s="13" t="s">
        <v>2315</v>
      </c>
      <c r="D141" s="12" t="s">
        <v>962</v>
      </c>
      <c r="E141" s="12" t="s">
        <v>967</v>
      </c>
      <c r="F141" s="31" t="s">
        <v>710</v>
      </c>
      <c r="G141" s="15">
        <v>34</v>
      </c>
      <c r="H141" s="38">
        <f>일대목차!I210</f>
        <v>574</v>
      </c>
      <c r="I141" s="57">
        <f t="shared" si="14"/>
        <v>19516</v>
      </c>
      <c r="J141" s="38">
        <v>34</v>
      </c>
      <c r="K141" s="38">
        <f>일대목차!L210</f>
        <v>28735</v>
      </c>
      <c r="L141" s="57">
        <f t="shared" si="15"/>
        <v>976990</v>
      </c>
      <c r="M141" s="38">
        <f>일대목차!N210</f>
        <v>0</v>
      </c>
      <c r="N141" s="57">
        <f t="shared" si="16"/>
        <v>0</v>
      </c>
      <c r="O141" s="38">
        <f t="shared" si="17"/>
        <v>29309</v>
      </c>
      <c r="P141" s="38">
        <f t="shared" si="18"/>
        <v>996506</v>
      </c>
      <c r="Q141" s="12" t="s">
        <v>2316</v>
      </c>
      <c r="AE141" s="35">
        <f t="shared" si="20"/>
        <v>976990</v>
      </c>
    </row>
    <row r="142" spans="1:31" ht="23.1" customHeight="1" x14ac:dyDescent="0.15">
      <c r="A142" s="13" t="s">
        <v>2311</v>
      </c>
      <c r="B142" s="13" t="s">
        <v>3035</v>
      </c>
      <c r="C142" s="13" t="s">
        <v>2312</v>
      </c>
      <c r="D142" s="12" t="s">
        <v>962</v>
      </c>
      <c r="E142" s="12" t="s">
        <v>965</v>
      </c>
      <c r="F142" s="31" t="s">
        <v>710</v>
      </c>
      <c r="G142" s="15">
        <v>17</v>
      </c>
      <c r="H142" s="38">
        <f>일대목차!I209</f>
        <v>760</v>
      </c>
      <c r="I142" s="57">
        <f t="shared" si="14"/>
        <v>12920</v>
      </c>
      <c r="J142" s="38">
        <v>17</v>
      </c>
      <c r="K142" s="38">
        <f>일대목차!L209</f>
        <v>38040</v>
      </c>
      <c r="L142" s="57">
        <f t="shared" si="15"/>
        <v>646680</v>
      </c>
      <c r="M142" s="38">
        <f>일대목차!N209</f>
        <v>0</v>
      </c>
      <c r="N142" s="57">
        <f t="shared" si="16"/>
        <v>0</v>
      </c>
      <c r="O142" s="38">
        <f t="shared" si="17"/>
        <v>38800</v>
      </c>
      <c r="P142" s="38">
        <f t="shared" si="18"/>
        <v>659600</v>
      </c>
      <c r="Q142" s="12" t="s">
        <v>2313</v>
      </c>
      <c r="AE142" s="35">
        <f t="shared" si="20"/>
        <v>646680</v>
      </c>
    </row>
    <row r="143" spans="1:31" ht="23.1" customHeight="1" x14ac:dyDescent="0.15">
      <c r="A143" s="13" t="s">
        <v>2308</v>
      </c>
      <c r="B143" s="13" t="s">
        <v>3035</v>
      </c>
      <c r="C143" s="13" t="s">
        <v>2309</v>
      </c>
      <c r="D143" s="12" t="s">
        <v>962</v>
      </c>
      <c r="E143" s="12" t="s">
        <v>963</v>
      </c>
      <c r="F143" s="31" t="s">
        <v>710</v>
      </c>
      <c r="G143" s="15">
        <v>17</v>
      </c>
      <c r="H143" s="38">
        <f>일대목차!I208</f>
        <v>760</v>
      </c>
      <c r="I143" s="57">
        <f t="shared" si="14"/>
        <v>12920</v>
      </c>
      <c r="J143" s="38">
        <v>17</v>
      </c>
      <c r="K143" s="38">
        <f>일대목차!L208</f>
        <v>38040</v>
      </c>
      <c r="L143" s="57">
        <f t="shared" si="15"/>
        <v>646680</v>
      </c>
      <c r="M143" s="38">
        <f>일대목차!N208</f>
        <v>0</v>
      </c>
      <c r="N143" s="57">
        <f t="shared" si="16"/>
        <v>0</v>
      </c>
      <c r="O143" s="38">
        <f t="shared" si="17"/>
        <v>38800</v>
      </c>
      <c r="P143" s="38">
        <f t="shared" si="18"/>
        <v>659600</v>
      </c>
      <c r="Q143" s="12" t="s">
        <v>2310</v>
      </c>
      <c r="AE143" s="35">
        <f t="shared" si="20"/>
        <v>646680</v>
      </c>
    </row>
    <row r="144" spans="1:31" ht="23.1" customHeight="1" x14ac:dyDescent="0.15">
      <c r="A144" s="13" t="s">
        <v>2317</v>
      </c>
      <c r="B144" s="13" t="s">
        <v>3035</v>
      </c>
      <c r="C144" s="13" t="s">
        <v>2318</v>
      </c>
      <c r="D144" s="12" t="s">
        <v>962</v>
      </c>
      <c r="E144" s="12" t="s">
        <v>767</v>
      </c>
      <c r="F144" s="31" t="s">
        <v>710</v>
      </c>
      <c r="G144" s="15">
        <v>17</v>
      </c>
      <c r="H144" s="38">
        <f>일대목차!I211</f>
        <v>760</v>
      </c>
      <c r="I144" s="57">
        <f t="shared" si="14"/>
        <v>12920</v>
      </c>
      <c r="J144" s="38">
        <v>17</v>
      </c>
      <c r="K144" s="38">
        <f>일대목차!L211</f>
        <v>38040</v>
      </c>
      <c r="L144" s="57">
        <f t="shared" si="15"/>
        <v>646680</v>
      </c>
      <c r="M144" s="38">
        <f>일대목차!N211</f>
        <v>0</v>
      </c>
      <c r="N144" s="57">
        <f t="shared" si="16"/>
        <v>0</v>
      </c>
      <c r="O144" s="38">
        <f t="shared" si="17"/>
        <v>38800</v>
      </c>
      <c r="P144" s="38">
        <f t="shared" si="18"/>
        <v>659600</v>
      </c>
      <c r="Q144" s="12" t="s">
        <v>2319</v>
      </c>
      <c r="AE144" s="35">
        <f t="shared" si="20"/>
        <v>646680</v>
      </c>
    </row>
    <row r="145" spans="2:31" ht="23.1" customHeight="1" x14ac:dyDescent="0.15">
      <c r="D145" s="12"/>
      <c r="E145" s="12"/>
      <c r="F145" s="31"/>
      <c r="G145" s="15"/>
      <c r="H145" s="38"/>
      <c r="I145" s="57"/>
      <c r="J145" s="38"/>
      <c r="K145" s="38"/>
      <c r="L145" s="57"/>
      <c r="M145" s="38"/>
      <c r="N145" s="57"/>
      <c r="O145" s="38"/>
      <c r="P145" s="38"/>
      <c r="Q145" s="12"/>
      <c r="AE145" s="35">
        <f>TRUNC(SUM(AE108:AE144))</f>
        <v>103149180</v>
      </c>
    </row>
    <row r="146" spans="2:31" ht="23.1" customHeight="1" x14ac:dyDescent="0.15">
      <c r="D146" s="12"/>
      <c r="E146" s="12"/>
      <c r="F146" s="31"/>
      <c r="G146" s="15"/>
      <c r="H146" s="38"/>
      <c r="I146" s="57"/>
      <c r="J146" s="38"/>
      <c r="K146" s="38"/>
      <c r="L146" s="57"/>
      <c r="M146" s="38"/>
      <c r="N146" s="57"/>
      <c r="O146" s="38"/>
      <c r="P146" s="38"/>
      <c r="Q146" s="12"/>
    </row>
    <row r="147" spans="2:31" ht="23.1" customHeight="1" x14ac:dyDescent="0.15">
      <c r="D147" s="12"/>
      <c r="E147" s="12"/>
      <c r="F147" s="31"/>
      <c r="G147" s="15"/>
      <c r="H147" s="38"/>
      <c r="I147" s="57"/>
      <c r="J147" s="38"/>
      <c r="K147" s="38"/>
      <c r="L147" s="57"/>
      <c r="M147" s="38"/>
      <c r="N147" s="57"/>
      <c r="O147" s="38"/>
      <c r="P147" s="38"/>
      <c r="Q147" s="12"/>
    </row>
    <row r="148" spans="2:31" ht="23.1" customHeight="1" x14ac:dyDescent="0.15">
      <c r="D148" s="12"/>
      <c r="E148" s="12"/>
      <c r="F148" s="31"/>
      <c r="G148" s="15"/>
      <c r="H148" s="38"/>
      <c r="I148" s="57"/>
      <c r="J148" s="38"/>
      <c r="K148" s="38"/>
      <c r="L148" s="57"/>
      <c r="M148" s="38"/>
      <c r="N148" s="57"/>
      <c r="O148" s="38"/>
      <c r="P148" s="38"/>
      <c r="Q148" s="12"/>
    </row>
    <row r="149" spans="2:31" ht="23.1" customHeight="1" x14ac:dyDescent="0.15">
      <c r="D149" s="12"/>
      <c r="E149" s="12"/>
      <c r="F149" s="31"/>
      <c r="G149" s="15"/>
      <c r="H149" s="38"/>
      <c r="I149" s="57"/>
      <c r="J149" s="38"/>
      <c r="K149" s="38"/>
      <c r="L149" s="57"/>
      <c r="M149" s="38"/>
      <c r="N149" s="57"/>
      <c r="O149" s="38"/>
      <c r="P149" s="38"/>
      <c r="Q149" s="12"/>
    </row>
    <row r="150" spans="2:31" ht="23.1" customHeight="1" x14ac:dyDescent="0.15">
      <c r="D150" s="12"/>
      <c r="E150" s="12"/>
      <c r="F150" s="31"/>
      <c r="G150" s="15"/>
      <c r="H150" s="38"/>
      <c r="I150" s="57"/>
      <c r="J150" s="38"/>
      <c r="K150" s="38"/>
      <c r="L150" s="57"/>
      <c r="M150" s="38"/>
      <c r="N150" s="57"/>
      <c r="O150" s="38"/>
      <c r="P150" s="38"/>
      <c r="Q150" s="12"/>
    </row>
    <row r="151" spans="2:31" ht="23.1" customHeight="1" x14ac:dyDescent="0.15">
      <c r="D151" s="12"/>
      <c r="E151" s="12"/>
      <c r="F151" s="31"/>
      <c r="G151" s="15"/>
      <c r="H151" s="38"/>
      <c r="I151" s="57"/>
      <c r="J151" s="38"/>
      <c r="K151" s="38"/>
      <c r="L151" s="57"/>
      <c r="M151" s="38"/>
      <c r="N151" s="57"/>
      <c r="O151" s="38"/>
      <c r="P151" s="38"/>
      <c r="Q151" s="12"/>
    </row>
    <row r="152" spans="2:31" ht="23.1" customHeight="1" x14ac:dyDescent="0.15">
      <c r="D152" s="12"/>
      <c r="E152" s="12"/>
      <c r="F152" s="31"/>
      <c r="G152" s="15"/>
      <c r="H152" s="38"/>
      <c r="I152" s="57"/>
      <c r="J152" s="38"/>
      <c r="K152" s="38"/>
      <c r="L152" s="57"/>
      <c r="M152" s="38"/>
      <c r="N152" s="57"/>
      <c r="O152" s="38"/>
      <c r="P152" s="38"/>
      <c r="Q152" s="12"/>
    </row>
    <row r="153" spans="2:31" ht="23.1" customHeight="1" x14ac:dyDescent="0.15">
      <c r="D153" s="12"/>
      <c r="E153" s="12"/>
      <c r="F153" s="31"/>
      <c r="G153" s="15"/>
      <c r="H153" s="38"/>
      <c r="I153" s="57"/>
      <c r="J153" s="38"/>
      <c r="K153" s="38"/>
      <c r="L153" s="57"/>
      <c r="M153" s="38"/>
      <c r="N153" s="57"/>
      <c r="O153" s="38"/>
      <c r="P153" s="38"/>
      <c r="Q153" s="12"/>
    </row>
    <row r="154" spans="2:31" ht="23.1" customHeight="1" x14ac:dyDescent="0.15">
      <c r="D154" s="12"/>
      <c r="E154" s="12"/>
      <c r="F154" s="31"/>
      <c r="G154" s="15"/>
      <c r="H154" s="38"/>
      <c r="I154" s="57"/>
      <c r="J154" s="38"/>
      <c r="K154" s="38"/>
      <c r="L154" s="57"/>
      <c r="M154" s="38"/>
      <c r="N154" s="57"/>
      <c r="O154" s="38"/>
      <c r="P154" s="38"/>
      <c r="Q154" s="12"/>
    </row>
    <row r="155" spans="2:31" ht="23.1" customHeight="1" x14ac:dyDescent="0.15">
      <c r="D155" s="12"/>
      <c r="E155" s="12"/>
      <c r="F155" s="31"/>
      <c r="G155" s="15"/>
      <c r="H155" s="38"/>
      <c r="I155" s="57"/>
      <c r="J155" s="38"/>
      <c r="K155" s="38"/>
      <c r="L155" s="57"/>
      <c r="M155" s="38"/>
      <c r="N155" s="57"/>
      <c r="O155" s="38"/>
      <c r="P155" s="38"/>
      <c r="Q155" s="12"/>
    </row>
    <row r="156" spans="2:31" ht="23.1" customHeight="1" x14ac:dyDescent="0.15">
      <c r="D156" s="12"/>
      <c r="E156" s="12"/>
      <c r="F156" s="31"/>
      <c r="G156" s="15"/>
      <c r="H156" s="38"/>
      <c r="I156" s="57"/>
      <c r="J156" s="38"/>
      <c r="K156" s="38"/>
      <c r="L156" s="57"/>
      <c r="M156" s="38"/>
      <c r="N156" s="57"/>
      <c r="O156" s="38"/>
      <c r="P156" s="38"/>
      <c r="Q156" s="12"/>
    </row>
    <row r="157" spans="2:31" ht="23.1" customHeight="1" x14ac:dyDescent="0.15">
      <c r="D157" s="12"/>
      <c r="E157" s="12"/>
      <c r="F157" s="31"/>
      <c r="G157" s="15"/>
      <c r="H157" s="38"/>
      <c r="I157" s="57"/>
      <c r="J157" s="38"/>
      <c r="K157" s="38"/>
      <c r="L157" s="57"/>
      <c r="M157" s="38"/>
      <c r="N157" s="57"/>
      <c r="O157" s="38"/>
      <c r="P157" s="38"/>
      <c r="Q157" s="12"/>
    </row>
    <row r="158" spans="2:31" ht="23.1" customHeight="1" x14ac:dyDescent="0.15">
      <c r="D158" s="12"/>
      <c r="E158" s="12"/>
      <c r="F158" s="31"/>
      <c r="G158" s="15"/>
      <c r="H158" s="38"/>
      <c r="I158" s="57"/>
      <c r="J158" s="38"/>
      <c r="K158" s="38"/>
      <c r="L158" s="57"/>
      <c r="M158" s="38"/>
      <c r="N158" s="57"/>
      <c r="O158" s="38"/>
      <c r="P158" s="38"/>
      <c r="Q158" s="12"/>
    </row>
    <row r="159" spans="2:31" ht="23.1" customHeight="1" x14ac:dyDescent="0.15">
      <c r="B159" s="13" t="s">
        <v>2360</v>
      </c>
      <c r="D159" s="12" t="s">
        <v>2361</v>
      </c>
      <c r="E159" s="12"/>
      <c r="F159" s="31"/>
      <c r="G159" s="15"/>
      <c r="H159" s="38"/>
      <c r="I159" s="57">
        <f>TRUNC(SUM(I108:I158))</f>
        <v>15770169</v>
      </c>
      <c r="J159" s="38"/>
      <c r="K159" s="38"/>
      <c r="L159" s="57">
        <f>TRUNC(SUM(L108:L158))</f>
        <v>103149180</v>
      </c>
      <c r="M159" s="38"/>
      <c r="N159" s="57">
        <f>TRUNC(SUM(N108:N158))</f>
        <v>0</v>
      </c>
      <c r="O159" s="38" t="str">
        <f>IF((H159+K159+M159)=0, "", (H159+K159+M159))</f>
        <v/>
      </c>
      <c r="P159" s="38">
        <f>TRUNC(SUM(P108:P158))</f>
        <v>118919349</v>
      </c>
      <c r="Q159" s="12"/>
    </row>
    <row r="160" spans="2:31" ht="23.1" customHeight="1" x14ac:dyDescent="0.15">
      <c r="B160" s="13" t="s">
        <v>1448</v>
      </c>
      <c r="D160" s="170" t="s">
        <v>3169</v>
      </c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2"/>
    </row>
    <row r="161" spans="1:31" ht="23.1" customHeight="1" x14ac:dyDescent="0.15">
      <c r="A161" s="13" t="s">
        <v>1793</v>
      </c>
      <c r="B161" s="13" t="s">
        <v>3036</v>
      </c>
      <c r="C161" s="13" t="s">
        <v>1794</v>
      </c>
      <c r="D161" s="12" t="s">
        <v>178</v>
      </c>
      <c r="E161" s="12" t="s">
        <v>179</v>
      </c>
      <c r="F161" s="31" t="s">
        <v>166</v>
      </c>
      <c r="G161" s="15">
        <v>1796</v>
      </c>
      <c r="H161" s="38">
        <f>일대목차!I37</f>
        <v>449</v>
      </c>
      <c r="I161" s="57">
        <f t="shared" ref="I161:I196" si="21">TRUNC(G161*H161)</f>
        <v>806404</v>
      </c>
      <c r="J161" s="38">
        <v>1796</v>
      </c>
      <c r="K161" s="38">
        <f>일대목차!L37</f>
        <v>9852</v>
      </c>
      <c r="L161" s="57">
        <f t="shared" ref="L161:L196" si="22">TRUNC(G161*K161)</f>
        <v>17694192</v>
      </c>
      <c r="M161" s="38">
        <f>일대목차!N37</f>
        <v>0</v>
      </c>
      <c r="N161" s="57">
        <f t="shared" ref="N161:N196" si="23">TRUNC(G161*M161)</f>
        <v>0</v>
      </c>
      <c r="O161" s="38">
        <f t="shared" ref="O161:O196" si="24">IF((H161+K161+M161)=0, "", (H161+K161+M161))</f>
        <v>10301</v>
      </c>
      <c r="P161" s="38">
        <f t="shared" ref="P161:P196" si="25">SUM(I161,L161,N161)</f>
        <v>18500596</v>
      </c>
      <c r="Q161" s="12" t="s">
        <v>1795</v>
      </c>
      <c r="AA161" s="35">
        <f>I161</f>
        <v>806404</v>
      </c>
      <c r="AC161" s="35">
        <f>G161*H161</f>
        <v>806404</v>
      </c>
      <c r="AE161" s="35">
        <f>L161</f>
        <v>17694192</v>
      </c>
    </row>
    <row r="162" spans="1:31" ht="23.1" customHeight="1" x14ac:dyDescent="0.15">
      <c r="A162" s="13" t="s">
        <v>1038</v>
      </c>
      <c r="B162" s="13" t="s">
        <v>3036</v>
      </c>
      <c r="C162" s="13" t="s">
        <v>197</v>
      </c>
      <c r="D162" s="12" t="s">
        <v>198</v>
      </c>
      <c r="E162" s="12" t="s">
        <v>199</v>
      </c>
      <c r="F162" s="31" t="s">
        <v>200</v>
      </c>
      <c r="G162" s="15">
        <v>368</v>
      </c>
      <c r="H162" s="38">
        <f>합산자재!H14</f>
        <v>340</v>
      </c>
      <c r="I162" s="57">
        <f t="shared" si="21"/>
        <v>125120</v>
      </c>
      <c r="J162" s="38">
        <v>368</v>
      </c>
      <c r="K162" s="38">
        <f>합산자재!I14</f>
        <v>0</v>
      </c>
      <c r="L162" s="57">
        <f t="shared" si="22"/>
        <v>0</v>
      </c>
      <c r="M162" s="38">
        <f>합산자재!J14</f>
        <v>0</v>
      </c>
      <c r="N162" s="57">
        <f t="shared" si="23"/>
        <v>0</v>
      </c>
      <c r="O162" s="38">
        <f t="shared" si="24"/>
        <v>340</v>
      </c>
      <c r="P162" s="38">
        <f t="shared" si="25"/>
        <v>125120</v>
      </c>
      <c r="Q162" s="12"/>
    </row>
    <row r="163" spans="1:31" ht="23.1" customHeight="1" x14ac:dyDescent="0.15">
      <c r="A163" s="13" t="s">
        <v>1812</v>
      </c>
      <c r="B163" s="13" t="s">
        <v>3036</v>
      </c>
      <c r="C163" s="13" t="s">
        <v>1813</v>
      </c>
      <c r="D163" s="12" t="s">
        <v>198</v>
      </c>
      <c r="E163" s="12" t="s">
        <v>216</v>
      </c>
      <c r="F163" s="31" t="s">
        <v>166</v>
      </c>
      <c r="G163" s="15">
        <v>163</v>
      </c>
      <c r="H163" s="38">
        <f>일대목차!I43</f>
        <v>691</v>
      </c>
      <c r="I163" s="57">
        <f t="shared" si="21"/>
        <v>112633</v>
      </c>
      <c r="J163" s="38">
        <v>163</v>
      </c>
      <c r="K163" s="38">
        <f>일대목차!L43</f>
        <v>10837</v>
      </c>
      <c r="L163" s="57">
        <f t="shared" si="22"/>
        <v>1766431</v>
      </c>
      <c r="M163" s="38">
        <f>일대목차!N43</f>
        <v>0</v>
      </c>
      <c r="N163" s="57">
        <f t="shared" si="23"/>
        <v>0</v>
      </c>
      <c r="O163" s="38">
        <f t="shared" si="24"/>
        <v>11528</v>
      </c>
      <c r="P163" s="38">
        <f t="shared" si="25"/>
        <v>1879064</v>
      </c>
      <c r="Q163" s="12" t="s">
        <v>1814</v>
      </c>
      <c r="AC163" s="35">
        <f>G163*H163</f>
        <v>112633</v>
      </c>
      <c r="AE163" s="35">
        <f>L163</f>
        <v>1766431</v>
      </c>
    </row>
    <row r="164" spans="1:31" ht="23.1" customHeight="1" x14ac:dyDescent="0.15">
      <c r="A164" s="13" t="s">
        <v>1833</v>
      </c>
      <c r="B164" s="13" t="s">
        <v>3036</v>
      </c>
      <c r="C164" s="13" t="s">
        <v>1834</v>
      </c>
      <c r="D164" s="12" t="s">
        <v>260</v>
      </c>
      <c r="E164" s="12" t="s">
        <v>261</v>
      </c>
      <c r="F164" s="31" t="s">
        <v>200</v>
      </c>
      <c r="G164" s="15">
        <v>160</v>
      </c>
      <c r="H164" s="38">
        <f>일대목차!I50</f>
        <v>1218</v>
      </c>
      <c r="I164" s="57">
        <f t="shared" si="21"/>
        <v>194880</v>
      </c>
      <c r="J164" s="38">
        <v>160</v>
      </c>
      <c r="K164" s="38">
        <f>일대목차!L50</f>
        <v>29557</v>
      </c>
      <c r="L164" s="57">
        <f t="shared" si="22"/>
        <v>4729120</v>
      </c>
      <c r="M164" s="38">
        <f>일대목차!N50</f>
        <v>0</v>
      </c>
      <c r="N164" s="57">
        <f t="shared" si="23"/>
        <v>0</v>
      </c>
      <c r="O164" s="38">
        <f t="shared" si="24"/>
        <v>30775</v>
      </c>
      <c r="P164" s="38">
        <f t="shared" si="25"/>
        <v>4924000</v>
      </c>
      <c r="Q164" s="12" t="s">
        <v>1835</v>
      </c>
      <c r="AE164" s="35">
        <f>L164</f>
        <v>4729120</v>
      </c>
    </row>
    <row r="165" spans="1:31" ht="23.1" customHeight="1" x14ac:dyDescent="0.15">
      <c r="A165" s="13" t="s">
        <v>1839</v>
      </c>
      <c r="B165" s="13" t="s">
        <v>3036</v>
      </c>
      <c r="C165" s="13" t="s">
        <v>1840</v>
      </c>
      <c r="D165" s="12" t="s">
        <v>269</v>
      </c>
      <c r="E165" s="12" t="s">
        <v>270</v>
      </c>
      <c r="F165" s="31" t="s">
        <v>200</v>
      </c>
      <c r="G165" s="15">
        <v>160</v>
      </c>
      <c r="H165" s="38">
        <f>일대목차!I52</f>
        <v>1577</v>
      </c>
      <c r="I165" s="57">
        <f t="shared" si="21"/>
        <v>252320</v>
      </c>
      <c r="J165" s="38">
        <v>160</v>
      </c>
      <c r="K165" s="38">
        <f>일대목차!L52</f>
        <v>49261</v>
      </c>
      <c r="L165" s="57">
        <f t="shared" si="22"/>
        <v>7881760</v>
      </c>
      <c r="M165" s="38">
        <f>일대목차!N52</f>
        <v>0</v>
      </c>
      <c r="N165" s="57">
        <f t="shared" si="23"/>
        <v>0</v>
      </c>
      <c r="O165" s="38">
        <f t="shared" si="24"/>
        <v>50838</v>
      </c>
      <c r="P165" s="38">
        <f t="shared" si="25"/>
        <v>8134080</v>
      </c>
      <c r="Q165" s="12" t="s">
        <v>1841</v>
      </c>
      <c r="AE165" s="35">
        <f>L165</f>
        <v>7881760</v>
      </c>
    </row>
    <row r="166" spans="1:31" ht="23.1" customHeight="1" x14ac:dyDescent="0.15">
      <c r="A166" s="13" t="s">
        <v>1842</v>
      </c>
      <c r="B166" s="13" t="s">
        <v>3036</v>
      </c>
      <c r="C166" s="13" t="s">
        <v>1843</v>
      </c>
      <c r="D166" s="12" t="s">
        <v>269</v>
      </c>
      <c r="E166" s="12" t="s">
        <v>272</v>
      </c>
      <c r="F166" s="31" t="s">
        <v>200</v>
      </c>
      <c r="G166" s="15">
        <v>100</v>
      </c>
      <c r="H166" s="38">
        <f>일대목차!I53</f>
        <v>1711</v>
      </c>
      <c r="I166" s="57">
        <f t="shared" si="21"/>
        <v>171100</v>
      </c>
      <c r="J166" s="38">
        <v>100</v>
      </c>
      <c r="K166" s="38">
        <f>일대목차!L53</f>
        <v>49261</v>
      </c>
      <c r="L166" s="57">
        <f t="shared" si="22"/>
        <v>4926100</v>
      </c>
      <c r="M166" s="38">
        <f>일대목차!N53</f>
        <v>0</v>
      </c>
      <c r="N166" s="57">
        <f t="shared" si="23"/>
        <v>0</v>
      </c>
      <c r="O166" s="38">
        <f t="shared" si="24"/>
        <v>50972</v>
      </c>
      <c r="P166" s="38">
        <f t="shared" si="25"/>
        <v>5097200</v>
      </c>
      <c r="Q166" s="12" t="s">
        <v>1844</v>
      </c>
      <c r="AE166" s="35">
        <f>L166</f>
        <v>4926100</v>
      </c>
    </row>
    <row r="167" spans="1:31" ht="23.1" customHeight="1" x14ac:dyDescent="0.15">
      <c r="A167" s="13" t="s">
        <v>1845</v>
      </c>
      <c r="B167" s="13" t="s">
        <v>3036</v>
      </c>
      <c r="C167" s="13" t="s">
        <v>1846</v>
      </c>
      <c r="D167" s="12" t="s">
        <v>274</v>
      </c>
      <c r="E167" s="12" t="s">
        <v>275</v>
      </c>
      <c r="F167" s="31" t="s">
        <v>200</v>
      </c>
      <c r="G167" s="15">
        <v>60</v>
      </c>
      <c r="H167" s="38">
        <f>일대목차!I54</f>
        <v>921</v>
      </c>
      <c r="I167" s="57">
        <f t="shared" si="21"/>
        <v>55260</v>
      </c>
      <c r="J167" s="38">
        <v>60</v>
      </c>
      <c r="K167" s="38">
        <f>일대목차!L54</f>
        <v>9852</v>
      </c>
      <c r="L167" s="57">
        <f t="shared" si="22"/>
        <v>591120</v>
      </c>
      <c r="M167" s="38">
        <f>일대목차!N54</f>
        <v>0</v>
      </c>
      <c r="N167" s="57">
        <f t="shared" si="23"/>
        <v>0</v>
      </c>
      <c r="O167" s="38">
        <f t="shared" si="24"/>
        <v>10773</v>
      </c>
      <c r="P167" s="38">
        <f t="shared" si="25"/>
        <v>646380</v>
      </c>
      <c r="Q167" s="12" t="s">
        <v>1847</v>
      </c>
      <c r="AE167" s="35">
        <f>L167</f>
        <v>591120</v>
      </c>
    </row>
    <row r="168" spans="1:31" ht="23.1" customHeight="1" x14ac:dyDescent="0.15">
      <c r="A168" s="13" t="s">
        <v>1069</v>
      </c>
      <c r="B168" s="13" t="s">
        <v>3036</v>
      </c>
      <c r="C168" s="13" t="s">
        <v>276</v>
      </c>
      <c r="D168" s="12" t="s">
        <v>277</v>
      </c>
      <c r="E168" s="12" t="s">
        <v>278</v>
      </c>
      <c r="F168" s="31" t="s">
        <v>200</v>
      </c>
      <c r="G168" s="15">
        <v>160</v>
      </c>
      <c r="H168" s="38">
        <f>합산자재!H45</f>
        <v>282</v>
      </c>
      <c r="I168" s="57">
        <f t="shared" si="21"/>
        <v>45120</v>
      </c>
      <c r="J168" s="38">
        <v>160</v>
      </c>
      <c r="K168" s="38">
        <f>합산자재!I45</f>
        <v>0</v>
      </c>
      <c r="L168" s="57">
        <f t="shared" si="22"/>
        <v>0</v>
      </c>
      <c r="M168" s="38">
        <f>합산자재!J45</f>
        <v>0</v>
      </c>
      <c r="N168" s="57">
        <f t="shared" si="23"/>
        <v>0</v>
      </c>
      <c r="O168" s="38">
        <f t="shared" si="24"/>
        <v>282</v>
      </c>
      <c r="P168" s="38">
        <f t="shared" si="25"/>
        <v>45120</v>
      </c>
      <c r="Q168" s="12"/>
    </row>
    <row r="169" spans="1:31" ht="23.1" customHeight="1" x14ac:dyDescent="0.15">
      <c r="A169" s="13" t="s">
        <v>1071</v>
      </c>
      <c r="B169" s="13" t="s">
        <v>3036</v>
      </c>
      <c r="C169" s="13" t="s">
        <v>281</v>
      </c>
      <c r="D169" s="12" t="s">
        <v>277</v>
      </c>
      <c r="E169" s="12" t="s">
        <v>282</v>
      </c>
      <c r="F169" s="31" t="s">
        <v>200</v>
      </c>
      <c r="G169" s="15">
        <v>100</v>
      </c>
      <c r="H169" s="38">
        <f>합산자재!H47</f>
        <v>283</v>
      </c>
      <c r="I169" s="57">
        <f t="shared" si="21"/>
        <v>28300</v>
      </c>
      <c r="J169" s="38">
        <v>100</v>
      </c>
      <c r="K169" s="38">
        <f>합산자재!I47</f>
        <v>0</v>
      </c>
      <c r="L169" s="57">
        <f t="shared" si="22"/>
        <v>0</v>
      </c>
      <c r="M169" s="38">
        <f>합산자재!J47</f>
        <v>0</v>
      </c>
      <c r="N169" s="57">
        <f t="shared" si="23"/>
        <v>0</v>
      </c>
      <c r="O169" s="38">
        <f t="shared" si="24"/>
        <v>283</v>
      </c>
      <c r="P169" s="38">
        <f t="shared" si="25"/>
        <v>28300</v>
      </c>
      <c r="Q169" s="12"/>
    </row>
    <row r="170" spans="1:31" ht="23.1" customHeight="1" x14ac:dyDescent="0.15">
      <c r="A170" s="13" t="s">
        <v>1854</v>
      </c>
      <c r="B170" s="13" t="s">
        <v>3036</v>
      </c>
      <c r="C170" s="13" t="s">
        <v>1855</v>
      </c>
      <c r="D170" s="12" t="s">
        <v>291</v>
      </c>
      <c r="E170" s="12" t="s">
        <v>292</v>
      </c>
      <c r="F170" s="31" t="s">
        <v>200</v>
      </c>
      <c r="G170" s="15">
        <v>20</v>
      </c>
      <c r="H170" s="38">
        <f>일대목차!I57</f>
        <v>3121</v>
      </c>
      <c r="I170" s="57">
        <f t="shared" si="21"/>
        <v>62420</v>
      </c>
      <c r="J170" s="38">
        <v>20</v>
      </c>
      <c r="K170" s="38">
        <f>일대목차!L57</f>
        <v>41872</v>
      </c>
      <c r="L170" s="57">
        <f t="shared" si="22"/>
        <v>837440</v>
      </c>
      <c r="M170" s="38">
        <f>일대목차!N57</f>
        <v>0</v>
      </c>
      <c r="N170" s="57">
        <f t="shared" si="23"/>
        <v>0</v>
      </c>
      <c r="O170" s="38">
        <f t="shared" si="24"/>
        <v>44993</v>
      </c>
      <c r="P170" s="38">
        <f t="shared" si="25"/>
        <v>899860</v>
      </c>
      <c r="Q170" s="12" t="s">
        <v>1856</v>
      </c>
      <c r="AE170" s="35">
        <f t="shared" ref="AE170:AE187" si="26">L170</f>
        <v>837440</v>
      </c>
    </row>
    <row r="171" spans="1:31" ht="23.1" customHeight="1" x14ac:dyDescent="0.15">
      <c r="A171" s="13" t="s">
        <v>1903</v>
      </c>
      <c r="B171" s="13" t="s">
        <v>3036</v>
      </c>
      <c r="C171" s="13" t="s">
        <v>1904</v>
      </c>
      <c r="D171" s="12" t="s">
        <v>397</v>
      </c>
      <c r="E171" s="12" t="s">
        <v>404</v>
      </c>
      <c r="F171" s="31" t="s">
        <v>166</v>
      </c>
      <c r="G171" s="15">
        <v>7594</v>
      </c>
      <c r="H171" s="38">
        <f>일대목차!I73</f>
        <v>590</v>
      </c>
      <c r="I171" s="57">
        <f t="shared" si="21"/>
        <v>4480460</v>
      </c>
      <c r="J171" s="38">
        <v>7594</v>
      </c>
      <c r="K171" s="38">
        <f>일대목차!L73</f>
        <v>2353</v>
      </c>
      <c r="L171" s="57">
        <f t="shared" si="22"/>
        <v>17868682</v>
      </c>
      <c r="M171" s="38">
        <f>일대목차!N73</f>
        <v>0</v>
      </c>
      <c r="N171" s="57">
        <f t="shared" si="23"/>
        <v>0</v>
      </c>
      <c r="O171" s="38">
        <f t="shared" si="24"/>
        <v>2943</v>
      </c>
      <c r="P171" s="38">
        <f t="shared" si="25"/>
        <v>22349142</v>
      </c>
      <c r="Q171" s="12" t="s">
        <v>1905</v>
      </c>
      <c r="AC171" s="35">
        <f>G171*H171</f>
        <v>4480460</v>
      </c>
      <c r="AE171" s="35">
        <f t="shared" si="26"/>
        <v>17868682</v>
      </c>
    </row>
    <row r="172" spans="1:31" ht="23.1" customHeight="1" x14ac:dyDescent="0.15">
      <c r="A172" s="13" t="s">
        <v>2017</v>
      </c>
      <c r="B172" s="13" t="s">
        <v>3036</v>
      </c>
      <c r="C172" s="13" t="s">
        <v>2018</v>
      </c>
      <c r="D172" s="12" t="s">
        <v>508</v>
      </c>
      <c r="E172" s="12" t="s">
        <v>509</v>
      </c>
      <c r="F172" s="31" t="s">
        <v>200</v>
      </c>
      <c r="G172" s="15">
        <v>20</v>
      </c>
      <c r="H172" s="38">
        <f>일대목차!I111</f>
        <v>1789</v>
      </c>
      <c r="I172" s="57">
        <f t="shared" si="21"/>
        <v>35780</v>
      </c>
      <c r="J172" s="38">
        <v>20</v>
      </c>
      <c r="K172" s="38">
        <f>일대목차!L111</f>
        <v>23262</v>
      </c>
      <c r="L172" s="57">
        <f t="shared" si="22"/>
        <v>465240</v>
      </c>
      <c r="M172" s="38">
        <f>일대목차!N111</f>
        <v>0</v>
      </c>
      <c r="N172" s="57">
        <f t="shared" si="23"/>
        <v>0</v>
      </c>
      <c r="O172" s="38">
        <f t="shared" si="24"/>
        <v>25051</v>
      </c>
      <c r="P172" s="38">
        <f t="shared" si="25"/>
        <v>501020</v>
      </c>
      <c r="Q172" s="12" t="s">
        <v>2019</v>
      </c>
      <c r="AE172" s="35">
        <f t="shared" si="26"/>
        <v>465240</v>
      </c>
    </row>
    <row r="173" spans="1:31" ht="23.1" customHeight="1" x14ac:dyDescent="0.15">
      <c r="A173" s="13" t="s">
        <v>2020</v>
      </c>
      <c r="B173" s="13" t="s">
        <v>3036</v>
      </c>
      <c r="C173" s="13" t="s">
        <v>2021</v>
      </c>
      <c r="D173" s="12" t="s">
        <v>508</v>
      </c>
      <c r="E173" s="12" t="s">
        <v>515</v>
      </c>
      <c r="F173" s="31" t="s">
        <v>200</v>
      </c>
      <c r="G173" s="15">
        <v>20</v>
      </c>
      <c r="H173" s="38">
        <f>일대목차!I112</f>
        <v>2318</v>
      </c>
      <c r="I173" s="57">
        <f t="shared" si="21"/>
        <v>46360</v>
      </c>
      <c r="J173" s="38">
        <v>20</v>
      </c>
      <c r="K173" s="38">
        <f>일대목차!L112</f>
        <v>23262</v>
      </c>
      <c r="L173" s="57">
        <f t="shared" si="22"/>
        <v>465240</v>
      </c>
      <c r="M173" s="38">
        <f>일대목차!N112</f>
        <v>0</v>
      </c>
      <c r="N173" s="57">
        <f t="shared" si="23"/>
        <v>0</v>
      </c>
      <c r="O173" s="38">
        <f t="shared" si="24"/>
        <v>25580</v>
      </c>
      <c r="P173" s="38">
        <f t="shared" si="25"/>
        <v>511600</v>
      </c>
      <c r="Q173" s="12" t="s">
        <v>2022</v>
      </c>
      <c r="AE173" s="35">
        <f t="shared" si="26"/>
        <v>465240</v>
      </c>
    </row>
    <row r="174" spans="1:31" ht="23.1" customHeight="1" x14ac:dyDescent="0.15">
      <c r="A174" s="13" t="s">
        <v>2023</v>
      </c>
      <c r="B174" s="13" t="s">
        <v>3036</v>
      </c>
      <c r="C174" s="13" t="s">
        <v>2024</v>
      </c>
      <c r="D174" s="12" t="s">
        <v>508</v>
      </c>
      <c r="E174" s="12" t="s">
        <v>517</v>
      </c>
      <c r="F174" s="31" t="s">
        <v>200</v>
      </c>
      <c r="G174" s="15">
        <v>20</v>
      </c>
      <c r="H174" s="38">
        <f>일대목차!I113</f>
        <v>2860</v>
      </c>
      <c r="I174" s="57">
        <f t="shared" si="21"/>
        <v>57200</v>
      </c>
      <c r="J174" s="38">
        <v>20</v>
      </c>
      <c r="K174" s="38">
        <f>일대목차!L113</f>
        <v>23262</v>
      </c>
      <c r="L174" s="57">
        <f t="shared" si="22"/>
        <v>465240</v>
      </c>
      <c r="M174" s="38">
        <f>일대목차!N113</f>
        <v>0</v>
      </c>
      <c r="N174" s="57">
        <f t="shared" si="23"/>
        <v>0</v>
      </c>
      <c r="O174" s="38">
        <f t="shared" si="24"/>
        <v>26122</v>
      </c>
      <c r="P174" s="38">
        <f t="shared" si="25"/>
        <v>522440</v>
      </c>
      <c r="Q174" s="12" t="s">
        <v>2025</v>
      </c>
      <c r="AE174" s="35">
        <f t="shared" si="26"/>
        <v>465240</v>
      </c>
    </row>
    <row r="175" spans="1:31" ht="23.1" customHeight="1" x14ac:dyDescent="0.15">
      <c r="A175" s="13" t="s">
        <v>2032</v>
      </c>
      <c r="B175" s="13" t="s">
        <v>3036</v>
      </c>
      <c r="C175" s="13" t="s">
        <v>2033</v>
      </c>
      <c r="D175" s="12" t="s">
        <v>519</v>
      </c>
      <c r="E175" s="12" t="s">
        <v>526</v>
      </c>
      <c r="F175" s="31" t="s">
        <v>200</v>
      </c>
      <c r="G175" s="15">
        <v>60</v>
      </c>
      <c r="H175" s="38">
        <f>일대목차!I116</f>
        <v>1372</v>
      </c>
      <c r="I175" s="57">
        <f t="shared" si="21"/>
        <v>82320</v>
      </c>
      <c r="J175" s="38">
        <v>60</v>
      </c>
      <c r="K175" s="38">
        <f>일대목차!L116</f>
        <v>21894</v>
      </c>
      <c r="L175" s="57">
        <f t="shared" si="22"/>
        <v>1313640</v>
      </c>
      <c r="M175" s="38">
        <f>일대목차!N116</f>
        <v>0</v>
      </c>
      <c r="N175" s="57">
        <f t="shared" si="23"/>
        <v>0</v>
      </c>
      <c r="O175" s="38">
        <f t="shared" si="24"/>
        <v>23266</v>
      </c>
      <c r="P175" s="38">
        <f t="shared" si="25"/>
        <v>1395960</v>
      </c>
      <c r="Q175" s="12" t="s">
        <v>2034</v>
      </c>
      <c r="AE175" s="35">
        <f t="shared" si="26"/>
        <v>1313640</v>
      </c>
    </row>
    <row r="176" spans="1:31" ht="23.1" customHeight="1" x14ac:dyDescent="0.15">
      <c r="A176" s="13" t="s">
        <v>2035</v>
      </c>
      <c r="B176" s="13" t="s">
        <v>3036</v>
      </c>
      <c r="C176" s="13" t="s">
        <v>2036</v>
      </c>
      <c r="D176" s="12" t="s">
        <v>519</v>
      </c>
      <c r="E176" s="12" t="s">
        <v>529</v>
      </c>
      <c r="F176" s="31" t="s">
        <v>200</v>
      </c>
      <c r="G176" s="15">
        <v>140</v>
      </c>
      <c r="H176" s="38">
        <f>일대목차!I117</f>
        <v>1822</v>
      </c>
      <c r="I176" s="57">
        <f t="shared" si="21"/>
        <v>255080</v>
      </c>
      <c r="J176" s="38">
        <v>140</v>
      </c>
      <c r="K176" s="38">
        <f>일대목차!L117</f>
        <v>21894</v>
      </c>
      <c r="L176" s="57">
        <f t="shared" si="22"/>
        <v>3065160</v>
      </c>
      <c r="M176" s="38">
        <f>일대목차!N117</f>
        <v>0</v>
      </c>
      <c r="N176" s="57">
        <f t="shared" si="23"/>
        <v>0</v>
      </c>
      <c r="O176" s="38">
        <f t="shared" si="24"/>
        <v>23716</v>
      </c>
      <c r="P176" s="38">
        <f t="shared" si="25"/>
        <v>3320240</v>
      </c>
      <c r="Q176" s="12" t="s">
        <v>2037</v>
      </c>
      <c r="AE176" s="35">
        <f t="shared" si="26"/>
        <v>3065160</v>
      </c>
    </row>
    <row r="177" spans="1:31" ht="23.1" customHeight="1" x14ac:dyDescent="0.15">
      <c r="A177" s="13" t="s">
        <v>2038</v>
      </c>
      <c r="B177" s="13" t="s">
        <v>3036</v>
      </c>
      <c r="C177" s="13" t="s">
        <v>2039</v>
      </c>
      <c r="D177" s="12" t="s">
        <v>531</v>
      </c>
      <c r="E177" s="12" t="s">
        <v>526</v>
      </c>
      <c r="F177" s="31" t="s">
        <v>200</v>
      </c>
      <c r="G177" s="15">
        <v>40</v>
      </c>
      <c r="H177" s="38">
        <f>일대목차!I118</f>
        <v>2474</v>
      </c>
      <c r="I177" s="57">
        <f t="shared" si="21"/>
        <v>98960</v>
      </c>
      <c r="J177" s="38">
        <v>40</v>
      </c>
      <c r="K177" s="38">
        <f>일대목차!L118</f>
        <v>21894</v>
      </c>
      <c r="L177" s="57">
        <f t="shared" si="22"/>
        <v>875760</v>
      </c>
      <c r="M177" s="38">
        <f>일대목차!N118</f>
        <v>0</v>
      </c>
      <c r="N177" s="57">
        <f t="shared" si="23"/>
        <v>0</v>
      </c>
      <c r="O177" s="38">
        <f t="shared" si="24"/>
        <v>24368</v>
      </c>
      <c r="P177" s="38">
        <f t="shared" si="25"/>
        <v>974720</v>
      </c>
      <c r="Q177" s="12" t="s">
        <v>2040</v>
      </c>
      <c r="AE177" s="35">
        <f t="shared" si="26"/>
        <v>875760</v>
      </c>
    </row>
    <row r="178" spans="1:31" ht="23.1" customHeight="1" x14ac:dyDescent="0.15">
      <c r="A178" s="13" t="s">
        <v>2041</v>
      </c>
      <c r="B178" s="13" t="s">
        <v>3036</v>
      </c>
      <c r="C178" s="13" t="s">
        <v>2042</v>
      </c>
      <c r="D178" s="12" t="s">
        <v>531</v>
      </c>
      <c r="E178" s="12" t="s">
        <v>529</v>
      </c>
      <c r="F178" s="31" t="s">
        <v>200</v>
      </c>
      <c r="G178" s="15">
        <v>20</v>
      </c>
      <c r="H178" s="38">
        <f>일대목차!I119</f>
        <v>2560</v>
      </c>
      <c r="I178" s="57">
        <f t="shared" si="21"/>
        <v>51200</v>
      </c>
      <c r="J178" s="38">
        <v>20</v>
      </c>
      <c r="K178" s="38">
        <f>일대목차!L119</f>
        <v>21894</v>
      </c>
      <c r="L178" s="57">
        <f t="shared" si="22"/>
        <v>437880</v>
      </c>
      <c r="M178" s="38">
        <f>일대목차!N119</f>
        <v>0</v>
      </c>
      <c r="N178" s="57">
        <f t="shared" si="23"/>
        <v>0</v>
      </c>
      <c r="O178" s="38">
        <f t="shared" si="24"/>
        <v>24454</v>
      </c>
      <c r="P178" s="38">
        <f t="shared" si="25"/>
        <v>489080</v>
      </c>
      <c r="Q178" s="12" t="s">
        <v>2043</v>
      </c>
      <c r="AE178" s="35">
        <f t="shared" si="26"/>
        <v>437880</v>
      </c>
    </row>
    <row r="179" spans="1:31" ht="23.1" customHeight="1" x14ac:dyDescent="0.15">
      <c r="A179" s="13" t="s">
        <v>1756</v>
      </c>
      <c r="B179" s="13" t="s">
        <v>3036</v>
      </c>
      <c r="C179" s="13" t="s">
        <v>1757</v>
      </c>
      <c r="D179" s="12" t="s">
        <v>1759</v>
      </c>
      <c r="E179" s="12" t="s">
        <v>1407</v>
      </c>
      <c r="F179" s="31" t="s">
        <v>792</v>
      </c>
      <c r="G179" s="15">
        <v>60</v>
      </c>
      <c r="H179" s="38">
        <f>일대목차!I27</f>
        <v>224</v>
      </c>
      <c r="I179" s="57">
        <f t="shared" si="21"/>
        <v>13440</v>
      </c>
      <c r="J179" s="38">
        <v>60</v>
      </c>
      <c r="K179" s="38">
        <f>일대목차!L27</f>
        <v>11220</v>
      </c>
      <c r="L179" s="57">
        <f t="shared" si="22"/>
        <v>673200</v>
      </c>
      <c r="M179" s="38">
        <f>일대목차!N27</f>
        <v>0</v>
      </c>
      <c r="N179" s="57">
        <f t="shared" si="23"/>
        <v>0</v>
      </c>
      <c r="O179" s="38">
        <f t="shared" si="24"/>
        <v>11444</v>
      </c>
      <c r="P179" s="38">
        <f t="shared" si="25"/>
        <v>686640</v>
      </c>
      <c r="Q179" s="12" t="s">
        <v>1758</v>
      </c>
      <c r="AE179" s="35">
        <f t="shared" si="26"/>
        <v>673200</v>
      </c>
    </row>
    <row r="180" spans="1:31" ht="23.1" customHeight="1" x14ac:dyDescent="0.15">
      <c r="A180" s="13" t="s">
        <v>1764</v>
      </c>
      <c r="B180" s="13" t="s">
        <v>3036</v>
      </c>
      <c r="C180" s="13" t="s">
        <v>1765</v>
      </c>
      <c r="D180" s="12" t="s">
        <v>1767</v>
      </c>
      <c r="E180" s="12"/>
      <c r="F180" s="31" t="s">
        <v>554</v>
      </c>
      <c r="G180" s="15">
        <v>40</v>
      </c>
      <c r="H180" s="38">
        <f>일대목차!I29</f>
        <v>224</v>
      </c>
      <c r="I180" s="57">
        <f t="shared" si="21"/>
        <v>8960</v>
      </c>
      <c r="J180" s="38">
        <v>40</v>
      </c>
      <c r="K180" s="38">
        <f>일대목차!L29</f>
        <v>11220</v>
      </c>
      <c r="L180" s="57">
        <f t="shared" si="22"/>
        <v>448800</v>
      </c>
      <c r="M180" s="38">
        <f>일대목차!N29</f>
        <v>0</v>
      </c>
      <c r="N180" s="57">
        <f t="shared" si="23"/>
        <v>0</v>
      </c>
      <c r="O180" s="38">
        <f t="shared" si="24"/>
        <v>11444</v>
      </c>
      <c r="P180" s="38">
        <f t="shared" si="25"/>
        <v>457760</v>
      </c>
      <c r="Q180" s="12" t="s">
        <v>1766</v>
      </c>
      <c r="AE180" s="35">
        <f t="shared" si="26"/>
        <v>448800</v>
      </c>
    </row>
    <row r="181" spans="1:31" ht="23.1" customHeight="1" x14ac:dyDescent="0.15">
      <c r="A181" s="13" t="s">
        <v>2134</v>
      </c>
      <c r="B181" s="13" t="s">
        <v>3036</v>
      </c>
      <c r="C181" s="13" t="s">
        <v>2135</v>
      </c>
      <c r="D181" s="12" t="s">
        <v>716</v>
      </c>
      <c r="E181" s="12" t="s">
        <v>717</v>
      </c>
      <c r="F181" s="31" t="s">
        <v>200</v>
      </c>
      <c r="G181" s="15">
        <v>20</v>
      </c>
      <c r="H181" s="38">
        <f>일대목차!I150</f>
        <v>45437</v>
      </c>
      <c r="I181" s="57">
        <f t="shared" si="21"/>
        <v>908740</v>
      </c>
      <c r="J181" s="38">
        <v>20</v>
      </c>
      <c r="K181" s="38">
        <f>일대목차!L150</f>
        <v>21894</v>
      </c>
      <c r="L181" s="57">
        <f t="shared" si="22"/>
        <v>437880</v>
      </c>
      <c r="M181" s="38">
        <f>일대목차!N150</f>
        <v>0</v>
      </c>
      <c r="N181" s="57">
        <f t="shared" si="23"/>
        <v>0</v>
      </c>
      <c r="O181" s="38">
        <f t="shared" si="24"/>
        <v>67331</v>
      </c>
      <c r="P181" s="38">
        <f t="shared" si="25"/>
        <v>1346620</v>
      </c>
      <c r="Q181" s="12" t="s">
        <v>2136</v>
      </c>
      <c r="AE181" s="35">
        <f t="shared" si="26"/>
        <v>437880</v>
      </c>
    </row>
    <row r="182" spans="1:31" ht="23.1" customHeight="1" x14ac:dyDescent="0.15">
      <c r="A182" s="13" t="s">
        <v>2137</v>
      </c>
      <c r="B182" s="13" t="s">
        <v>3036</v>
      </c>
      <c r="C182" s="13" t="s">
        <v>2138</v>
      </c>
      <c r="D182" s="12" t="s">
        <v>716</v>
      </c>
      <c r="E182" s="12" t="s">
        <v>718</v>
      </c>
      <c r="F182" s="31" t="s">
        <v>200</v>
      </c>
      <c r="G182" s="15">
        <v>20</v>
      </c>
      <c r="H182" s="38">
        <f>일대목차!I151</f>
        <v>45437</v>
      </c>
      <c r="I182" s="57">
        <f t="shared" si="21"/>
        <v>908740</v>
      </c>
      <c r="J182" s="38">
        <v>20</v>
      </c>
      <c r="K182" s="38">
        <f>일대목차!L151</f>
        <v>21894</v>
      </c>
      <c r="L182" s="57">
        <f t="shared" si="22"/>
        <v>437880</v>
      </c>
      <c r="M182" s="38">
        <f>일대목차!N151</f>
        <v>0</v>
      </c>
      <c r="N182" s="57">
        <f t="shared" si="23"/>
        <v>0</v>
      </c>
      <c r="O182" s="38">
        <f t="shared" si="24"/>
        <v>67331</v>
      </c>
      <c r="P182" s="38">
        <f t="shared" si="25"/>
        <v>1346620</v>
      </c>
      <c r="Q182" s="12" t="s">
        <v>2139</v>
      </c>
      <c r="AE182" s="35">
        <f t="shared" si="26"/>
        <v>437880</v>
      </c>
    </row>
    <row r="183" spans="1:31" ht="23.1" customHeight="1" x14ac:dyDescent="0.15">
      <c r="A183" s="13" t="s">
        <v>2143</v>
      </c>
      <c r="B183" s="13" t="s">
        <v>3036</v>
      </c>
      <c r="C183" s="13" t="s">
        <v>2144</v>
      </c>
      <c r="D183" s="12" t="s">
        <v>720</v>
      </c>
      <c r="E183" s="12" t="s">
        <v>717</v>
      </c>
      <c r="F183" s="31" t="s">
        <v>200</v>
      </c>
      <c r="G183" s="15">
        <v>20</v>
      </c>
      <c r="H183" s="38">
        <f>일대목차!I153</f>
        <v>5485</v>
      </c>
      <c r="I183" s="57">
        <f t="shared" si="21"/>
        <v>109700</v>
      </c>
      <c r="J183" s="38">
        <v>20</v>
      </c>
      <c r="K183" s="38">
        <f>일대목차!L153</f>
        <v>49261</v>
      </c>
      <c r="L183" s="57">
        <f t="shared" si="22"/>
        <v>985220</v>
      </c>
      <c r="M183" s="38">
        <f>일대목차!N153</f>
        <v>0</v>
      </c>
      <c r="N183" s="57">
        <f t="shared" si="23"/>
        <v>0</v>
      </c>
      <c r="O183" s="38">
        <f t="shared" si="24"/>
        <v>54746</v>
      </c>
      <c r="P183" s="38">
        <f t="shared" si="25"/>
        <v>1094920</v>
      </c>
      <c r="Q183" s="12" t="s">
        <v>2145</v>
      </c>
      <c r="AE183" s="35">
        <f t="shared" si="26"/>
        <v>985220</v>
      </c>
    </row>
    <row r="184" spans="1:31" ht="23.1" customHeight="1" x14ac:dyDescent="0.15">
      <c r="A184" s="13" t="s">
        <v>2146</v>
      </c>
      <c r="B184" s="13" t="s">
        <v>3036</v>
      </c>
      <c r="C184" s="13" t="s">
        <v>2147</v>
      </c>
      <c r="D184" s="12" t="s">
        <v>720</v>
      </c>
      <c r="E184" s="12" t="s">
        <v>718</v>
      </c>
      <c r="F184" s="31" t="s">
        <v>200</v>
      </c>
      <c r="G184" s="15">
        <v>20</v>
      </c>
      <c r="H184" s="38">
        <f>일대목차!I154</f>
        <v>4825</v>
      </c>
      <c r="I184" s="57">
        <f t="shared" si="21"/>
        <v>96500</v>
      </c>
      <c r="J184" s="38">
        <v>20</v>
      </c>
      <c r="K184" s="38">
        <f>일대목차!L154</f>
        <v>49261</v>
      </c>
      <c r="L184" s="57">
        <f t="shared" si="22"/>
        <v>985220</v>
      </c>
      <c r="M184" s="38">
        <f>일대목차!N154</f>
        <v>0</v>
      </c>
      <c r="N184" s="57">
        <f t="shared" si="23"/>
        <v>0</v>
      </c>
      <c r="O184" s="38">
        <f t="shared" si="24"/>
        <v>54086</v>
      </c>
      <c r="P184" s="38">
        <f t="shared" si="25"/>
        <v>1081720</v>
      </c>
      <c r="Q184" s="12" t="s">
        <v>2148</v>
      </c>
      <c r="AE184" s="35">
        <f t="shared" si="26"/>
        <v>985220</v>
      </c>
    </row>
    <row r="185" spans="1:31" ht="23.1" customHeight="1" x14ac:dyDescent="0.15">
      <c r="A185" s="13" t="s">
        <v>2158</v>
      </c>
      <c r="B185" s="13" t="s">
        <v>3036</v>
      </c>
      <c r="C185" s="13" t="s">
        <v>2159</v>
      </c>
      <c r="D185" s="12" t="s">
        <v>519</v>
      </c>
      <c r="E185" s="12" t="s">
        <v>723</v>
      </c>
      <c r="F185" s="31" t="s">
        <v>200</v>
      </c>
      <c r="G185" s="15">
        <v>20</v>
      </c>
      <c r="H185" s="38">
        <f>일대목차!I158</f>
        <v>1782</v>
      </c>
      <c r="I185" s="57">
        <f t="shared" si="21"/>
        <v>35640</v>
      </c>
      <c r="J185" s="38">
        <v>20</v>
      </c>
      <c r="K185" s="38">
        <f>일대목차!L158</f>
        <v>21894</v>
      </c>
      <c r="L185" s="57">
        <f t="shared" si="22"/>
        <v>437880</v>
      </c>
      <c r="M185" s="38">
        <f>일대목차!N158</f>
        <v>0</v>
      </c>
      <c r="N185" s="57">
        <f t="shared" si="23"/>
        <v>0</v>
      </c>
      <c r="O185" s="38">
        <f t="shared" si="24"/>
        <v>23676</v>
      </c>
      <c r="P185" s="38">
        <f t="shared" si="25"/>
        <v>473520</v>
      </c>
      <c r="Q185" s="12" t="s">
        <v>2160</v>
      </c>
      <c r="AE185" s="35">
        <f t="shared" si="26"/>
        <v>437880</v>
      </c>
    </row>
    <row r="186" spans="1:31" ht="23.1" customHeight="1" x14ac:dyDescent="0.15">
      <c r="A186" s="13" t="s">
        <v>2161</v>
      </c>
      <c r="B186" s="13" t="s">
        <v>3036</v>
      </c>
      <c r="C186" s="13" t="s">
        <v>2162</v>
      </c>
      <c r="D186" s="12" t="s">
        <v>724</v>
      </c>
      <c r="E186" s="12" t="s">
        <v>725</v>
      </c>
      <c r="F186" s="31" t="s">
        <v>200</v>
      </c>
      <c r="G186" s="15">
        <v>40</v>
      </c>
      <c r="H186" s="38">
        <f>일대목차!I159</f>
        <v>2285</v>
      </c>
      <c r="I186" s="57">
        <f t="shared" si="21"/>
        <v>91400</v>
      </c>
      <c r="J186" s="38">
        <v>40</v>
      </c>
      <c r="K186" s="38">
        <f>일대목차!L159</f>
        <v>49261</v>
      </c>
      <c r="L186" s="57">
        <f t="shared" si="22"/>
        <v>1970440</v>
      </c>
      <c r="M186" s="38">
        <f>일대목차!N159</f>
        <v>0</v>
      </c>
      <c r="N186" s="57">
        <f t="shared" si="23"/>
        <v>0</v>
      </c>
      <c r="O186" s="38">
        <f t="shared" si="24"/>
        <v>51546</v>
      </c>
      <c r="P186" s="38">
        <f t="shared" si="25"/>
        <v>2061840</v>
      </c>
      <c r="Q186" s="12" t="s">
        <v>2163</v>
      </c>
      <c r="AE186" s="35">
        <f t="shared" si="26"/>
        <v>1970440</v>
      </c>
    </row>
    <row r="187" spans="1:31" ht="23.1" customHeight="1" x14ac:dyDescent="0.15">
      <c r="A187" s="13" t="s">
        <v>2164</v>
      </c>
      <c r="B187" s="13" t="s">
        <v>3036</v>
      </c>
      <c r="C187" s="13" t="s">
        <v>2165</v>
      </c>
      <c r="D187" s="12" t="s">
        <v>724</v>
      </c>
      <c r="E187" s="12" t="s">
        <v>726</v>
      </c>
      <c r="F187" s="31" t="s">
        <v>200</v>
      </c>
      <c r="G187" s="15">
        <v>20</v>
      </c>
      <c r="H187" s="38">
        <f>일대목차!I160</f>
        <v>2485</v>
      </c>
      <c r="I187" s="57">
        <f t="shared" si="21"/>
        <v>49700</v>
      </c>
      <c r="J187" s="38">
        <v>20</v>
      </c>
      <c r="K187" s="38">
        <f>일대목차!L160</f>
        <v>49261</v>
      </c>
      <c r="L187" s="57">
        <f t="shared" si="22"/>
        <v>985220</v>
      </c>
      <c r="M187" s="38">
        <f>일대목차!N160</f>
        <v>0</v>
      </c>
      <c r="N187" s="57">
        <f t="shared" si="23"/>
        <v>0</v>
      </c>
      <c r="O187" s="38">
        <f t="shared" si="24"/>
        <v>51746</v>
      </c>
      <c r="P187" s="38">
        <f t="shared" si="25"/>
        <v>1034920</v>
      </c>
      <c r="Q187" s="12" t="s">
        <v>2166</v>
      </c>
      <c r="AE187" s="35">
        <f t="shared" si="26"/>
        <v>985220</v>
      </c>
    </row>
    <row r="188" spans="1:31" ht="23.1" customHeight="1" x14ac:dyDescent="0.15">
      <c r="A188" s="13" t="s">
        <v>1245</v>
      </c>
      <c r="B188" s="13" t="s">
        <v>3036</v>
      </c>
      <c r="C188" s="13" t="s">
        <v>706</v>
      </c>
      <c r="D188" s="12" t="s">
        <v>735</v>
      </c>
      <c r="E188" s="12"/>
      <c r="F188" s="31" t="s">
        <v>289</v>
      </c>
      <c r="G188" s="15">
        <v>20</v>
      </c>
      <c r="H188" s="38">
        <f>합산자재!H221</f>
        <v>50000</v>
      </c>
      <c r="I188" s="57">
        <f t="shared" si="21"/>
        <v>1000000</v>
      </c>
      <c r="J188" s="38">
        <v>20</v>
      </c>
      <c r="K188" s="38">
        <f>합산자재!I221</f>
        <v>0</v>
      </c>
      <c r="L188" s="57">
        <f t="shared" si="22"/>
        <v>0</v>
      </c>
      <c r="M188" s="38">
        <f>합산자재!J221</f>
        <v>0</v>
      </c>
      <c r="N188" s="57">
        <f t="shared" si="23"/>
        <v>0</v>
      </c>
      <c r="O188" s="38">
        <f t="shared" si="24"/>
        <v>50000</v>
      </c>
      <c r="P188" s="38">
        <f t="shared" si="25"/>
        <v>1000000</v>
      </c>
      <c r="Q188" s="12"/>
    </row>
    <row r="189" spans="1:31" ht="23.1" customHeight="1" x14ac:dyDescent="0.15">
      <c r="A189" s="13" t="s">
        <v>2173</v>
      </c>
      <c r="B189" s="13" t="s">
        <v>3036</v>
      </c>
      <c r="C189" s="13" t="s">
        <v>2174</v>
      </c>
      <c r="D189" s="12" t="s">
        <v>736</v>
      </c>
      <c r="E189" s="12" t="s">
        <v>737</v>
      </c>
      <c r="F189" s="31" t="s">
        <v>559</v>
      </c>
      <c r="G189" s="15">
        <v>20</v>
      </c>
      <c r="H189" s="38">
        <f>일대목차!I163</f>
        <v>205221</v>
      </c>
      <c r="I189" s="57">
        <f t="shared" si="21"/>
        <v>4104420</v>
      </c>
      <c r="J189" s="38">
        <v>20</v>
      </c>
      <c r="K189" s="38">
        <f>일대목차!L163</f>
        <v>243571</v>
      </c>
      <c r="L189" s="57">
        <f t="shared" si="22"/>
        <v>4871420</v>
      </c>
      <c r="M189" s="38">
        <f>일대목차!N163</f>
        <v>0</v>
      </c>
      <c r="N189" s="57">
        <f t="shared" si="23"/>
        <v>0</v>
      </c>
      <c r="O189" s="38">
        <f t="shared" si="24"/>
        <v>448792</v>
      </c>
      <c r="P189" s="38">
        <f t="shared" si="25"/>
        <v>8975840</v>
      </c>
      <c r="Q189" s="12" t="s">
        <v>2175</v>
      </c>
      <c r="AE189" s="35">
        <f t="shared" ref="AE189:AE196" si="27">L189</f>
        <v>4871420</v>
      </c>
    </row>
    <row r="190" spans="1:31" ht="23.1" customHeight="1" x14ac:dyDescent="0.15">
      <c r="A190" s="13" t="s">
        <v>2329</v>
      </c>
      <c r="B190" s="13" t="s">
        <v>3036</v>
      </c>
      <c r="C190" s="13" t="s">
        <v>2330</v>
      </c>
      <c r="D190" s="12" t="s">
        <v>962</v>
      </c>
      <c r="E190" s="12" t="s">
        <v>976</v>
      </c>
      <c r="F190" s="31" t="s">
        <v>710</v>
      </c>
      <c r="G190" s="15">
        <v>20</v>
      </c>
      <c r="H190" s="38">
        <f>일대목차!I215</f>
        <v>1247</v>
      </c>
      <c r="I190" s="57">
        <f t="shared" si="21"/>
        <v>24940</v>
      </c>
      <c r="J190" s="38">
        <v>20</v>
      </c>
      <c r="K190" s="38">
        <f>일대목차!L215</f>
        <v>62398</v>
      </c>
      <c r="L190" s="57">
        <f t="shared" si="22"/>
        <v>1247960</v>
      </c>
      <c r="M190" s="38">
        <f>일대목차!N215</f>
        <v>0</v>
      </c>
      <c r="N190" s="57">
        <f t="shared" si="23"/>
        <v>0</v>
      </c>
      <c r="O190" s="38">
        <f t="shared" si="24"/>
        <v>63645</v>
      </c>
      <c r="P190" s="38">
        <f t="shared" si="25"/>
        <v>1272900</v>
      </c>
      <c r="Q190" s="12" t="s">
        <v>2331</v>
      </c>
      <c r="AE190" s="35">
        <f t="shared" si="27"/>
        <v>1247960</v>
      </c>
    </row>
    <row r="191" spans="1:31" ht="23.1" customHeight="1" x14ac:dyDescent="0.15">
      <c r="A191" s="13" t="s">
        <v>2326</v>
      </c>
      <c r="B191" s="13" t="s">
        <v>3036</v>
      </c>
      <c r="C191" s="13" t="s">
        <v>2327</v>
      </c>
      <c r="D191" s="12" t="s">
        <v>962</v>
      </c>
      <c r="E191" s="12" t="s">
        <v>974</v>
      </c>
      <c r="F191" s="31" t="s">
        <v>710</v>
      </c>
      <c r="G191" s="15">
        <v>20</v>
      </c>
      <c r="H191" s="38">
        <f>일대목차!I214</f>
        <v>1083</v>
      </c>
      <c r="I191" s="57">
        <f t="shared" si="21"/>
        <v>21660</v>
      </c>
      <c r="J191" s="38">
        <v>20</v>
      </c>
      <c r="K191" s="38">
        <f>일대목차!L214</f>
        <v>54187</v>
      </c>
      <c r="L191" s="57">
        <f t="shared" si="22"/>
        <v>1083740</v>
      </c>
      <c r="M191" s="38">
        <f>일대목차!N214</f>
        <v>0</v>
      </c>
      <c r="N191" s="57">
        <f t="shared" si="23"/>
        <v>0</v>
      </c>
      <c r="O191" s="38">
        <f t="shared" si="24"/>
        <v>55270</v>
      </c>
      <c r="P191" s="38">
        <f t="shared" si="25"/>
        <v>1105400</v>
      </c>
      <c r="Q191" s="12" t="s">
        <v>2328</v>
      </c>
      <c r="AE191" s="35">
        <f t="shared" si="27"/>
        <v>1083740</v>
      </c>
    </row>
    <row r="192" spans="1:31" ht="23.1" customHeight="1" x14ac:dyDescent="0.15">
      <c r="A192" s="13" t="s">
        <v>2323</v>
      </c>
      <c r="B192" s="13" t="s">
        <v>3036</v>
      </c>
      <c r="C192" s="13" t="s">
        <v>2324</v>
      </c>
      <c r="D192" s="12" t="s">
        <v>962</v>
      </c>
      <c r="E192" s="12" t="s">
        <v>972</v>
      </c>
      <c r="F192" s="31" t="s">
        <v>710</v>
      </c>
      <c r="G192" s="15">
        <v>20</v>
      </c>
      <c r="H192" s="38">
        <f>일대목차!I213</f>
        <v>1187</v>
      </c>
      <c r="I192" s="57">
        <f t="shared" si="21"/>
        <v>23740</v>
      </c>
      <c r="J192" s="38">
        <v>20</v>
      </c>
      <c r="K192" s="38">
        <f>일대목차!L213</f>
        <v>59387</v>
      </c>
      <c r="L192" s="57">
        <f t="shared" si="22"/>
        <v>1187740</v>
      </c>
      <c r="M192" s="38">
        <f>일대목차!N213</f>
        <v>0</v>
      </c>
      <c r="N192" s="57">
        <f t="shared" si="23"/>
        <v>0</v>
      </c>
      <c r="O192" s="38">
        <f t="shared" si="24"/>
        <v>60574</v>
      </c>
      <c r="P192" s="38">
        <f t="shared" si="25"/>
        <v>1211480</v>
      </c>
      <c r="Q192" s="12" t="s">
        <v>2325</v>
      </c>
      <c r="AE192" s="35">
        <f t="shared" si="27"/>
        <v>1187740</v>
      </c>
    </row>
    <row r="193" spans="1:31" ht="23.1" customHeight="1" x14ac:dyDescent="0.15">
      <c r="A193" s="13" t="s">
        <v>2320</v>
      </c>
      <c r="B193" s="13" t="s">
        <v>3036</v>
      </c>
      <c r="C193" s="13" t="s">
        <v>2321</v>
      </c>
      <c r="D193" s="12" t="s">
        <v>962</v>
      </c>
      <c r="E193" s="12" t="s">
        <v>970</v>
      </c>
      <c r="F193" s="31" t="s">
        <v>710</v>
      </c>
      <c r="G193" s="15">
        <v>20</v>
      </c>
      <c r="H193" s="38">
        <f>일대목차!I212</f>
        <v>574</v>
      </c>
      <c r="I193" s="57">
        <f t="shared" si="21"/>
        <v>11480</v>
      </c>
      <c r="J193" s="38">
        <v>20</v>
      </c>
      <c r="K193" s="38">
        <f>일대목차!L212</f>
        <v>28735</v>
      </c>
      <c r="L193" s="57">
        <f t="shared" si="22"/>
        <v>574700</v>
      </c>
      <c r="M193" s="38">
        <f>일대목차!N212</f>
        <v>0</v>
      </c>
      <c r="N193" s="57">
        <f t="shared" si="23"/>
        <v>0</v>
      </c>
      <c r="O193" s="38">
        <f t="shared" si="24"/>
        <v>29309</v>
      </c>
      <c r="P193" s="38">
        <f t="shared" si="25"/>
        <v>586180</v>
      </c>
      <c r="Q193" s="12" t="s">
        <v>2322</v>
      </c>
      <c r="AE193" s="35">
        <f t="shared" si="27"/>
        <v>574700</v>
      </c>
    </row>
    <row r="194" spans="1:31" ht="23.1" customHeight="1" x14ac:dyDescent="0.15">
      <c r="A194" s="13" t="s">
        <v>2314</v>
      </c>
      <c r="B194" s="13" t="s">
        <v>3036</v>
      </c>
      <c r="C194" s="13" t="s">
        <v>2315</v>
      </c>
      <c r="D194" s="12" t="s">
        <v>962</v>
      </c>
      <c r="E194" s="12" t="s">
        <v>967</v>
      </c>
      <c r="F194" s="31" t="s">
        <v>710</v>
      </c>
      <c r="G194" s="15">
        <v>20</v>
      </c>
      <c r="H194" s="38">
        <f>일대목차!I210</f>
        <v>574</v>
      </c>
      <c r="I194" s="57">
        <f t="shared" si="21"/>
        <v>11480</v>
      </c>
      <c r="J194" s="38">
        <v>20</v>
      </c>
      <c r="K194" s="38">
        <f>일대목차!L210</f>
        <v>28735</v>
      </c>
      <c r="L194" s="57">
        <f t="shared" si="22"/>
        <v>574700</v>
      </c>
      <c r="M194" s="38">
        <f>일대목차!N210</f>
        <v>0</v>
      </c>
      <c r="N194" s="57">
        <f t="shared" si="23"/>
        <v>0</v>
      </c>
      <c r="O194" s="38">
        <f t="shared" si="24"/>
        <v>29309</v>
      </c>
      <c r="P194" s="38">
        <f t="shared" si="25"/>
        <v>586180</v>
      </c>
      <c r="Q194" s="12" t="s">
        <v>2316</v>
      </c>
      <c r="AE194" s="35">
        <f t="shared" si="27"/>
        <v>574700</v>
      </c>
    </row>
    <row r="195" spans="1:31" ht="23.1" customHeight="1" x14ac:dyDescent="0.15">
      <c r="A195" s="13" t="s">
        <v>2308</v>
      </c>
      <c r="B195" s="13" t="s">
        <v>3036</v>
      </c>
      <c r="C195" s="13" t="s">
        <v>2309</v>
      </c>
      <c r="D195" s="12" t="s">
        <v>962</v>
      </c>
      <c r="E195" s="12" t="s">
        <v>963</v>
      </c>
      <c r="F195" s="31" t="s">
        <v>710</v>
      </c>
      <c r="G195" s="15">
        <v>20</v>
      </c>
      <c r="H195" s="38">
        <f>일대목차!I208</f>
        <v>760</v>
      </c>
      <c r="I195" s="57">
        <f t="shared" si="21"/>
        <v>15200</v>
      </c>
      <c r="J195" s="38">
        <v>20</v>
      </c>
      <c r="K195" s="38">
        <f>일대목차!L208</f>
        <v>38040</v>
      </c>
      <c r="L195" s="57">
        <f t="shared" si="22"/>
        <v>760800</v>
      </c>
      <c r="M195" s="38">
        <f>일대목차!N208</f>
        <v>0</v>
      </c>
      <c r="N195" s="57">
        <f t="shared" si="23"/>
        <v>0</v>
      </c>
      <c r="O195" s="38">
        <f t="shared" si="24"/>
        <v>38800</v>
      </c>
      <c r="P195" s="38">
        <f t="shared" si="25"/>
        <v>776000</v>
      </c>
      <c r="Q195" s="12" t="s">
        <v>2310</v>
      </c>
      <c r="AE195" s="35">
        <f t="shared" si="27"/>
        <v>760800</v>
      </c>
    </row>
    <row r="196" spans="1:31" ht="23.1" customHeight="1" x14ac:dyDescent="0.15">
      <c r="A196" s="13" t="s">
        <v>2317</v>
      </c>
      <c r="B196" s="13" t="s">
        <v>3036</v>
      </c>
      <c r="C196" s="13" t="s">
        <v>2318</v>
      </c>
      <c r="D196" s="12" t="s">
        <v>962</v>
      </c>
      <c r="E196" s="12" t="s">
        <v>767</v>
      </c>
      <c r="F196" s="31" t="s">
        <v>710</v>
      </c>
      <c r="G196" s="15">
        <v>20</v>
      </c>
      <c r="H196" s="38">
        <f>일대목차!I211</f>
        <v>760</v>
      </c>
      <c r="I196" s="57">
        <f t="shared" si="21"/>
        <v>15200</v>
      </c>
      <c r="J196" s="38">
        <v>20</v>
      </c>
      <c r="K196" s="38">
        <f>일대목차!L211</f>
        <v>38040</v>
      </c>
      <c r="L196" s="57">
        <f t="shared" si="22"/>
        <v>760800</v>
      </c>
      <c r="M196" s="38">
        <f>일대목차!N211</f>
        <v>0</v>
      </c>
      <c r="N196" s="57">
        <f t="shared" si="23"/>
        <v>0</v>
      </c>
      <c r="O196" s="38">
        <f t="shared" si="24"/>
        <v>38800</v>
      </c>
      <c r="P196" s="38">
        <f t="shared" si="25"/>
        <v>776000</v>
      </c>
      <c r="Q196" s="12" t="s">
        <v>2319</v>
      </c>
      <c r="AE196" s="35">
        <f t="shared" si="27"/>
        <v>760800</v>
      </c>
    </row>
    <row r="197" spans="1:31" ht="23.1" customHeight="1" x14ac:dyDescent="0.15">
      <c r="D197" s="12"/>
      <c r="E197" s="12"/>
      <c r="F197" s="31"/>
      <c r="G197" s="15"/>
      <c r="H197" s="38"/>
      <c r="I197" s="57"/>
      <c r="J197" s="38"/>
      <c r="K197" s="38"/>
      <c r="L197" s="57"/>
      <c r="M197" s="38"/>
      <c r="N197" s="57"/>
      <c r="O197" s="38"/>
      <c r="P197" s="38"/>
      <c r="Q197" s="12"/>
      <c r="AE197" s="35">
        <f>TRUNC(SUM(AE160:AE196))</f>
        <v>81806605</v>
      </c>
    </row>
    <row r="198" spans="1:31" ht="23.1" customHeight="1" x14ac:dyDescent="0.15">
      <c r="D198" s="12"/>
      <c r="E198" s="12"/>
      <c r="F198" s="31"/>
      <c r="G198" s="15"/>
      <c r="H198" s="38"/>
      <c r="I198" s="57"/>
      <c r="J198" s="38"/>
      <c r="K198" s="38"/>
      <c r="L198" s="57"/>
      <c r="M198" s="38"/>
      <c r="N198" s="57"/>
      <c r="O198" s="38"/>
      <c r="P198" s="38"/>
      <c r="Q198" s="12"/>
    </row>
    <row r="199" spans="1:31" ht="23.1" customHeight="1" x14ac:dyDescent="0.15">
      <c r="D199" s="12"/>
      <c r="E199" s="12"/>
      <c r="F199" s="31"/>
      <c r="G199" s="15"/>
      <c r="H199" s="38"/>
      <c r="I199" s="57"/>
      <c r="J199" s="38"/>
      <c r="K199" s="38"/>
      <c r="L199" s="57"/>
      <c r="M199" s="38"/>
      <c r="N199" s="57"/>
      <c r="O199" s="38"/>
      <c r="P199" s="38"/>
      <c r="Q199" s="12"/>
    </row>
    <row r="200" spans="1:31" ht="23.1" customHeight="1" x14ac:dyDescent="0.15">
      <c r="D200" s="12"/>
      <c r="E200" s="12"/>
      <c r="F200" s="31"/>
      <c r="G200" s="15"/>
      <c r="H200" s="38"/>
      <c r="I200" s="57"/>
      <c r="J200" s="38"/>
      <c r="K200" s="38"/>
      <c r="L200" s="57"/>
      <c r="M200" s="38"/>
      <c r="N200" s="57"/>
      <c r="O200" s="38"/>
      <c r="P200" s="38"/>
      <c r="Q200" s="12"/>
    </row>
    <row r="201" spans="1:31" ht="23.1" customHeight="1" x14ac:dyDescent="0.15">
      <c r="D201" s="12"/>
      <c r="E201" s="12"/>
      <c r="F201" s="31"/>
      <c r="G201" s="15"/>
      <c r="H201" s="38"/>
      <c r="I201" s="57"/>
      <c r="J201" s="38"/>
      <c r="K201" s="38"/>
      <c r="L201" s="57"/>
      <c r="M201" s="38"/>
      <c r="N201" s="57"/>
      <c r="O201" s="38"/>
      <c r="P201" s="38"/>
      <c r="Q201" s="12"/>
    </row>
    <row r="202" spans="1:31" ht="23.1" customHeight="1" x14ac:dyDescent="0.15">
      <c r="D202" s="12"/>
      <c r="E202" s="12"/>
      <c r="F202" s="31"/>
      <c r="G202" s="15"/>
      <c r="H202" s="38"/>
      <c r="I202" s="57"/>
      <c r="J202" s="38"/>
      <c r="K202" s="38"/>
      <c r="L202" s="57"/>
      <c r="M202" s="38"/>
      <c r="N202" s="57"/>
      <c r="O202" s="38"/>
      <c r="P202" s="38"/>
      <c r="Q202" s="12"/>
    </row>
    <row r="203" spans="1:31" ht="23.1" customHeight="1" x14ac:dyDescent="0.15">
      <c r="D203" s="12"/>
      <c r="E203" s="12"/>
      <c r="F203" s="31"/>
      <c r="G203" s="15"/>
      <c r="H203" s="38"/>
      <c r="I203" s="57"/>
      <c r="J203" s="38"/>
      <c r="K203" s="38"/>
      <c r="L203" s="57"/>
      <c r="M203" s="38"/>
      <c r="N203" s="57"/>
      <c r="O203" s="38"/>
      <c r="P203" s="38"/>
      <c r="Q203" s="12"/>
    </row>
    <row r="204" spans="1:31" ht="23.1" customHeight="1" x14ac:dyDescent="0.15">
      <c r="D204" s="12"/>
      <c r="E204" s="12"/>
      <c r="F204" s="31"/>
      <c r="G204" s="15"/>
      <c r="H204" s="38"/>
      <c r="I204" s="57"/>
      <c r="J204" s="38"/>
      <c r="K204" s="38"/>
      <c r="L204" s="57"/>
      <c r="M204" s="38"/>
      <c r="N204" s="57"/>
      <c r="O204" s="38"/>
      <c r="P204" s="38"/>
      <c r="Q204" s="12"/>
    </row>
    <row r="205" spans="1:31" ht="23.1" customHeight="1" x14ac:dyDescent="0.15">
      <c r="D205" s="12"/>
      <c r="E205" s="12"/>
      <c r="F205" s="31"/>
      <c r="G205" s="15"/>
      <c r="H205" s="38"/>
      <c r="I205" s="57"/>
      <c r="J205" s="38"/>
      <c r="K205" s="38"/>
      <c r="L205" s="57"/>
      <c r="M205" s="38"/>
      <c r="N205" s="57"/>
      <c r="O205" s="38"/>
      <c r="P205" s="38"/>
      <c r="Q205" s="12"/>
    </row>
    <row r="206" spans="1:31" ht="23.1" customHeight="1" x14ac:dyDescent="0.15">
      <c r="D206" s="12"/>
      <c r="E206" s="12"/>
      <c r="F206" s="31"/>
      <c r="G206" s="15"/>
      <c r="H206" s="38"/>
      <c r="I206" s="57"/>
      <c r="J206" s="38"/>
      <c r="K206" s="38"/>
      <c r="L206" s="57"/>
      <c r="M206" s="38"/>
      <c r="N206" s="57"/>
      <c r="O206" s="38"/>
      <c r="P206" s="38"/>
      <c r="Q206" s="12"/>
    </row>
    <row r="207" spans="1:31" ht="23.1" customHeight="1" x14ac:dyDescent="0.15">
      <c r="D207" s="12"/>
      <c r="E207" s="12"/>
      <c r="F207" s="31"/>
      <c r="G207" s="15"/>
      <c r="H207" s="38"/>
      <c r="I207" s="57"/>
      <c r="J207" s="38"/>
      <c r="K207" s="38"/>
      <c r="L207" s="57"/>
      <c r="M207" s="38"/>
      <c r="N207" s="57"/>
      <c r="O207" s="38"/>
      <c r="P207" s="38"/>
      <c r="Q207" s="12"/>
    </row>
    <row r="208" spans="1:31" ht="23.1" customHeight="1" x14ac:dyDescent="0.15">
      <c r="D208" s="12"/>
      <c r="E208" s="12"/>
      <c r="F208" s="31"/>
      <c r="G208" s="15"/>
      <c r="H208" s="38"/>
      <c r="I208" s="57"/>
      <c r="J208" s="38"/>
      <c r="K208" s="38"/>
      <c r="L208" s="57"/>
      <c r="M208" s="38"/>
      <c r="N208" s="57"/>
      <c r="O208" s="38"/>
      <c r="P208" s="38"/>
      <c r="Q208" s="12"/>
    </row>
    <row r="209" spans="1:31" ht="23.1" customHeight="1" x14ac:dyDescent="0.15">
      <c r="D209" s="12"/>
      <c r="E209" s="12"/>
      <c r="F209" s="31"/>
      <c r="G209" s="15"/>
      <c r="H209" s="38"/>
      <c r="I209" s="57"/>
      <c r="J209" s="38"/>
      <c r="K209" s="38"/>
      <c r="L209" s="57"/>
      <c r="M209" s="38"/>
      <c r="N209" s="57"/>
      <c r="O209" s="38"/>
      <c r="P209" s="38"/>
      <c r="Q209" s="12"/>
    </row>
    <row r="210" spans="1:31" ht="23.1" customHeight="1" x14ac:dyDescent="0.15">
      <c r="D210" s="12"/>
      <c r="E210" s="12"/>
      <c r="F210" s="31"/>
      <c r="G210" s="15"/>
      <c r="H210" s="38"/>
      <c r="I210" s="57"/>
      <c r="J210" s="38"/>
      <c r="K210" s="38"/>
      <c r="L210" s="57"/>
      <c r="M210" s="38"/>
      <c r="N210" s="57"/>
      <c r="O210" s="38"/>
      <c r="P210" s="38"/>
      <c r="Q210" s="12"/>
    </row>
    <row r="211" spans="1:31" ht="23.1" customHeight="1" x14ac:dyDescent="0.15">
      <c r="B211" s="13" t="s">
        <v>2360</v>
      </c>
      <c r="D211" s="12" t="s">
        <v>2361</v>
      </c>
      <c r="E211" s="12"/>
      <c r="F211" s="31"/>
      <c r="G211" s="15"/>
      <c r="H211" s="38"/>
      <c r="I211" s="57">
        <f>TRUNC(SUM(I160:I210))</f>
        <v>14411857</v>
      </c>
      <c r="J211" s="38"/>
      <c r="K211" s="38"/>
      <c r="L211" s="57">
        <f>TRUNC(SUM(L160:L210))</f>
        <v>81806605</v>
      </c>
      <c r="M211" s="38"/>
      <c r="N211" s="57">
        <f>TRUNC(SUM(N160:N210))</f>
        <v>0</v>
      </c>
      <c r="O211" s="38" t="str">
        <f>IF((H211+K211+M211)=0, "", (H211+K211+M211))</f>
        <v/>
      </c>
      <c r="P211" s="38">
        <f>TRUNC(SUM(P160:P210))</f>
        <v>96218462</v>
      </c>
      <c r="Q211" s="12"/>
    </row>
    <row r="212" spans="1:31" ht="23.1" customHeight="1" x14ac:dyDescent="0.15">
      <c r="B212" s="13" t="s">
        <v>1448</v>
      </c>
      <c r="D212" s="170" t="s">
        <v>3170</v>
      </c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2"/>
    </row>
    <row r="213" spans="1:31" ht="23.1" customHeight="1" x14ac:dyDescent="0.15">
      <c r="A213" s="13" t="s">
        <v>1857</v>
      </c>
      <c r="B213" s="13" t="s">
        <v>3037</v>
      </c>
      <c r="C213" s="13" t="s">
        <v>1858</v>
      </c>
      <c r="D213" s="12" t="s">
        <v>291</v>
      </c>
      <c r="E213" s="12" t="s">
        <v>294</v>
      </c>
      <c r="F213" s="31" t="s">
        <v>200</v>
      </c>
      <c r="G213" s="15">
        <v>5</v>
      </c>
      <c r="H213" s="38">
        <f>일대목차!I58</f>
        <v>5563</v>
      </c>
      <c r="I213" s="57">
        <f t="shared" ref="I213:I244" si="28">TRUNC(G213*H213)</f>
        <v>27815</v>
      </c>
      <c r="J213" s="38">
        <v>5</v>
      </c>
      <c r="K213" s="38">
        <f>일대목차!L58</f>
        <v>135469</v>
      </c>
      <c r="L213" s="57">
        <f t="shared" ref="L213:L244" si="29">TRUNC(G213*K213)</f>
        <v>677345</v>
      </c>
      <c r="M213" s="38">
        <f>일대목차!N58</f>
        <v>0</v>
      </c>
      <c r="N213" s="57">
        <f t="shared" ref="N213:N244" si="30">TRUNC(G213*M213)</f>
        <v>0</v>
      </c>
      <c r="O213" s="38">
        <f t="shared" ref="O213:O244" si="31">IF((H213+K213+M213)=0, "", (H213+K213+M213))</f>
        <v>141032</v>
      </c>
      <c r="P213" s="38">
        <f t="shared" ref="P213:P244" si="32">SUM(I213,L213,N213)</f>
        <v>705160</v>
      </c>
      <c r="Q213" s="12" t="s">
        <v>1859</v>
      </c>
      <c r="AE213" s="35">
        <f t="shared" ref="AE213:AE246" si="33">L213</f>
        <v>677345</v>
      </c>
    </row>
    <row r="214" spans="1:31" ht="23.1" customHeight="1" x14ac:dyDescent="0.15">
      <c r="A214" s="13" t="s">
        <v>1909</v>
      </c>
      <c r="B214" s="13" t="s">
        <v>3037</v>
      </c>
      <c r="C214" s="13" t="s">
        <v>1910</v>
      </c>
      <c r="D214" s="12" t="s">
        <v>408</v>
      </c>
      <c r="E214" s="12" t="s">
        <v>409</v>
      </c>
      <c r="F214" s="31" t="s">
        <v>166</v>
      </c>
      <c r="G214" s="15">
        <v>7</v>
      </c>
      <c r="H214" s="38">
        <f>일대목차!I75</f>
        <v>1066</v>
      </c>
      <c r="I214" s="57">
        <f t="shared" si="28"/>
        <v>7462</v>
      </c>
      <c r="J214" s="38">
        <v>7</v>
      </c>
      <c r="K214" s="38">
        <f>일대목차!L75</f>
        <v>2463</v>
      </c>
      <c r="L214" s="57">
        <f t="shared" si="29"/>
        <v>17241</v>
      </c>
      <c r="M214" s="38">
        <f>일대목차!N75</f>
        <v>0</v>
      </c>
      <c r="N214" s="57">
        <f t="shared" si="30"/>
        <v>0</v>
      </c>
      <c r="O214" s="38">
        <f t="shared" si="31"/>
        <v>3529</v>
      </c>
      <c r="P214" s="38">
        <f t="shared" si="32"/>
        <v>24703</v>
      </c>
      <c r="Q214" s="12" t="s">
        <v>1911</v>
      </c>
      <c r="AC214" s="35">
        <f t="shared" ref="AC214:AC229" si="34">G214*H214</f>
        <v>7462</v>
      </c>
      <c r="AE214" s="35">
        <f t="shared" si="33"/>
        <v>17241</v>
      </c>
    </row>
    <row r="215" spans="1:31" ht="23.1" customHeight="1" x14ac:dyDescent="0.15">
      <c r="A215" s="13" t="s">
        <v>1912</v>
      </c>
      <c r="B215" s="13" t="s">
        <v>3037</v>
      </c>
      <c r="C215" s="13" t="s">
        <v>1913</v>
      </c>
      <c r="D215" s="12" t="s">
        <v>408</v>
      </c>
      <c r="E215" s="12" t="s">
        <v>413</v>
      </c>
      <c r="F215" s="31" t="s">
        <v>166</v>
      </c>
      <c r="G215" s="15">
        <v>7</v>
      </c>
      <c r="H215" s="38">
        <f>일대목차!I76</f>
        <v>1183</v>
      </c>
      <c r="I215" s="57">
        <f t="shared" si="28"/>
        <v>8281</v>
      </c>
      <c r="J215" s="38">
        <v>7</v>
      </c>
      <c r="K215" s="38">
        <f>일대목차!L76</f>
        <v>2463</v>
      </c>
      <c r="L215" s="57">
        <f t="shared" si="29"/>
        <v>17241</v>
      </c>
      <c r="M215" s="38">
        <f>일대목차!N76</f>
        <v>0</v>
      </c>
      <c r="N215" s="57">
        <f t="shared" si="30"/>
        <v>0</v>
      </c>
      <c r="O215" s="38">
        <f t="shared" si="31"/>
        <v>3646</v>
      </c>
      <c r="P215" s="38">
        <f t="shared" si="32"/>
        <v>25522</v>
      </c>
      <c r="Q215" s="12" t="s">
        <v>1914</v>
      </c>
      <c r="AC215" s="35">
        <f t="shared" si="34"/>
        <v>8281</v>
      </c>
      <c r="AE215" s="35">
        <f t="shared" si="33"/>
        <v>17241</v>
      </c>
    </row>
    <row r="216" spans="1:31" ht="23.1" customHeight="1" x14ac:dyDescent="0.15">
      <c r="A216" s="13" t="s">
        <v>1915</v>
      </c>
      <c r="B216" s="13" t="s">
        <v>3037</v>
      </c>
      <c r="C216" s="13" t="s">
        <v>1916</v>
      </c>
      <c r="D216" s="12" t="s">
        <v>408</v>
      </c>
      <c r="E216" s="12" t="s">
        <v>415</v>
      </c>
      <c r="F216" s="31" t="s">
        <v>166</v>
      </c>
      <c r="G216" s="15">
        <v>1016</v>
      </c>
      <c r="H216" s="38">
        <f>일대목차!I77</f>
        <v>2106</v>
      </c>
      <c r="I216" s="57">
        <f t="shared" si="28"/>
        <v>2139696</v>
      </c>
      <c r="J216" s="38">
        <v>1016</v>
      </c>
      <c r="K216" s="38">
        <f>일대목차!L77</f>
        <v>2463</v>
      </c>
      <c r="L216" s="57">
        <f t="shared" si="29"/>
        <v>2502408</v>
      </c>
      <c r="M216" s="38">
        <f>일대목차!N77</f>
        <v>0</v>
      </c>
      <c r="N216" s="57">
        <f t="shared" si="30"/>
        <v>0</v>
      </c>
      <c r="O216" s="38">
        <f t="shared" si="31"/>
        <v>4569</v>
      </c>
      <c r="P216" s="38">
        <f t="shared" si="32"/>
        <v>4642104</v>
      </c>
      <c r="Q216" s="12" t="s">
        <v>1917</v>
      </c>
      <c r="AC216" s="35">
        <f t="shared" si="34"/>
        <v>2139696</v>
      </c>
      <c r="AE216" s="35">
        <f t="shared" si="33"/>
        <v>2502408</v>
      </c>
    </row>
    <row r="217" spans="1:31" ht="23.1" customHeight="1" x14ac:dyDescent="0.15">
      <c r="A217" s="13" t="s">
        <v>1918</v>
      </c>
      <c r="B217" s="13" t="s">
        <v>3037</v>
      </c>
      <c r="C217" s="13" t="s">
        <v>1919</v>
      </c>
      <c r="D217" s="12" t="s">
        <v>408</v>
      </c>
      <c r="E217" s="12" t="s">
        <v>417</v>
      </c>
      <c r="F217" s="31" t="s">
        <v>166</v>
      </c>
      <c r="G217" s="15">
        <v>172</v>
      </c>
      <c r="H217" s="38">
        <f>일대목차!I78</f>
        <v>2658</v>
      </c>
      <c r="I217" s="57">
        <f t="shared" si="28"/>
        <v>457176</v>
      </c>
      <c r="J217" s="38">
        <v>172</v>
      </c>
      <c r="K217" s="38">
        <f>일대목차!L78</f>
        <v>2873</v>
      </c>
      <c r="L217" s="57">
        <f t="shared" si="29"/>
        <v>494156</v>
      </c>
      <c r="M217" s="38">
        <f>일대목차!N78</f>
        <v>0</v>
      </c>
      <c r="N217" s="57">
        <f t="shared" si="30"/>
        <v>0</v>
      </c>
      <c r="O217" s="38">
        <f t="shared" si="31"/>
        <v>5531</v>
      </c>
      <c r="P217" s="38">
        <f t="shared" si="32"/>
        <v>951332</v>
      </c>
      <c r="Q217" s="12" t="s">
        <v>1920</v>
      </c>
      <c r="AC217" s="35">
        <f t="shared" si="34"/>
        <v>457176</v>
      </c>
      <c r="AE217" s="35">
        <f t="shared" si="33"/>
        <v>494156</v>
      </c>
    </row>
    <row r="218" spans="1:31" ht="23.1" customHeight="1" x14ac:dyDescent="0.15">
      <c r="A218" s="13" t="s">
        <v>1921</v>
      </c>
      <c r="B218" s="13" t="s">
        <v>3037</v>
      </c>
      <c r="C218" s="13" t="s">
        <v>1922</v>
      </c>
      <c r="D218" s="12" t="s">
        <v>408</v>
      </c>
      <c r="E218" s="12" t="s">
        <v>419</v>
      </c>
      <c r="F218" s="31" t="s">
        <v>166</v>
      </c>
      <c r="G218" s="15">
        <v>7</v>
      </c>
      <c r="H218" s="38">
        <f>일대목차!I79</f>
        <v>4233</v>
      </c>
      <c r="I218" s="57">
        <f t="shared" si="28"/>
        <v>29631</v>
      </c>
      <c r="J218" s="38">
        <v>7</v>
      </c>
      <c r="K218" s="38">
        <f>일대목차!L79</f>
        <v>2873</v>
      </c>
      <c r="L218" s="57">
        <f t="shared" si="29"/>
        <v>20111</v>
      </c>
      <c r="M218" s="38">
        <f>일대목차!N79</f>
        <v>0</v>
      </c>
      <c r="N218" s="57">
        <f t="shared" si="30"/>
        <v>0</v>
      </c>
      <c r="O218" s="38">
        <f t="shared" si="31"/>
        <v>7106</v>
      </c>
      <c r="P218" s="38">
        <f t="shared" si="32"/>
        <v>49742</v>
      </c>
      <c r="Q218" s="12" t="s">
        <v>1923</v>
      </c>
      <c r="AC218" s="35">
        <f t="shared" si="34"/>
        <v>29631</v>
      </c>
      <c r="AE218" s="35">
        <f t="shared" si="33"/>
        <v>20111</v>
      </c>
    </row>
    <row r="219" spans="1:31" ht="23.1" customHeight="1" x14ac:dyDescent="0.15">
      <c r="A219" s="13" t="s">
        <v>1924</v>
      </c>
      <c r="B219" s="13" t="s">
        <v>3037</v>
      </c>
      <c r="C219" s="13" t="s">
        <v>1925</v>
      </c>
      <c r="D219" s="12" t="s">
        <v>408</v>
      </c>
      <c r="E219" s="12" t="s">
        <v>421</v>
      </c>
      <c r="F219" s="31" t="s">
        <v>166</v>
      </c>
      <c r="G219" s="15">
        <v>7</v>
      </c>
      <c r="H219" s="38">
        <f>일대목차!I80</f>
        <v>5972</v>
      </c>
      <c r="I219" s="57">
        <f t="shared" si="28"/>
        <v>41804</v>
      </c>
      <c r="J219" s="38">
        <v>7</v>
      </c>
      <c r="K219" s="38">
        <f>일대목차!L80</f>
        <v>2873</v>
      </c>
      <c r="L219" s="57">
        <f t="shared" si="29"/>
        <v>20111</v>
      </c>
      <c r="M219" s="38">
        <f>일대목차!N80</f>
        <v>0</v>
      </c>
      <c r="N219" s="57">
        <f t="shared" si="30"/>
        <v>0</v>
      </c>
      <c r="O219" s="38">
        <f t="shared" si="31"/>
        <v>8845</v>
      </c>
      <c r="P219" s="38">
        <f t="shared" si="32"/>
        <v>61915</v>
      </c>
      <c r="Q219" s="12" t="s">
        <v>1926</v>
      </c>
      <c r="AC219" s="35">
        <f t="shared" si="34"/>
        <v>41804</v>
      </c>
      <c r="AE219" s="35">
        <f t="shared" si="33"/>
        <v>20111</v>
      </c>
    </row>
    <row r="220" spans="1:31" ht="23.1" customHeight="1" x14ac:dyDescent="0.15">
      <c r="A220" s="13" t="s">
        <v>1945</v>
      </c>
      <c r="B220" s="13" t="s">
        <v>3037</v>
      </c>
      <c r="C220" s="13" t="s">
        <v>1946</v>
      </c>
      <c r="D220" s="12" t="s">
        <v>440</v>
      </c>
      <c r="E220" s="12" t="s">
        <v>441</v>
      </c>
      <c r="F220" s="31" t="s">
        <v>166</v>
      </c>
      <c r="G220" s="15">
        <v>307</v>
      </c>
      <c r="H220" s="38">
        <f>일대목차!I87</f>
        <v>9299</v>
      </c>
      <c r="I220" s="57">
        <f t="shared" si="28"/>
        <v>2854793</v>
      </c>
      <c r="J220" s="38">
        <v>307</v>
      </c>
      <c r="K220" s="38">
        <f>일대목차!L87</f>
        <v>11101</v>
      </c>
      <c r="L220" s="57">
        <f t="shared" si="29"/>
        <v>3408007</v>
      </c>
      <c r="M220" s="38">
        <f>일대목차!N87</f>
        <v>0</v>
      </c>
      <c r="N220" s="57">
        <f t="shared" si="30"/>
        <v>0</v>
      </c>
      <c r="O220" s="38">
        <f t="shared" si="31"/>
        <v>20400</v>
      </c>
      <c r="P220" s="38">
        <f t="shared" si="32"/>
        <v>6262800</v>
      </c>
      <c r="Q220" s="12" t="s">
        <v>1947</v>
      </c>
      <c r="AC220" s="35">
        <f t="shared" si="34"/>
        <v>2854793</v>
      </c>
      <c r="AE220" s="35">
        <f t="shared" si="33"/>
        <v>3408007</v>
      </c>
    </row>
    <row r="221" spans="1:31" ht="23.1" customHeight="1" x14ac:dyDescent="0.15">
      <c r="A221" s="13" t="s">
        <v>1948</v>
      </c>
      <c r="B221" s="13" t="s">
        <v>3037</v>
      </c>
      <c r="C221" s="13" t="s">
        <v>1949</v>
      </c>
      <c r="D221" s="12" t="s">
        <v>440</v>
      </c>
      <c r="E221" s="12" t="s">
        <v>436</v>
      </c>
      <c r="F221" s="31" t="s">
        <v>166</v>
      </c>
      <c r="G221" s="15">
        <v>285</v>
      </c>
      <c r="H221" s="38">
        <f>일대목차!I88</f>
        <v>13040</v>
      </c>
      <c r="I221" s="57">
        <f t="shared" si="28"/>
        <v>3716400</v>
      </c>
      <c r="J221" s="38">
        <v>285</v>
      </c>
      <c r="K221" s="38">
        <f>일대목차!L88</f>
        <v>14721</v>
      </c>
      <c r="L221" s="57">
        <f t="shared" si="29"/>
        <v>4195485</v>
      </c>
      <c r="M221" s="38">
        <f>일대목차!N88</f>
        <v>0</v>
      </c>
      <c r="N221" s="57">
        <f t="shared" si="30"/>
        <v>0</v>
      </c>
      <c r="O221" s="38">
        <f t="shared" si="31"/>
        <v>27761</v>
      </c>
      <c r="P221" s="38">
        <f t="shared" si="32"/>
        <v>7911885</v>
      </c>
      <c r="Q221" s="12" t="s">
        <v>1950</v>
      </c>
      <c r="AC221" s="35">
        <f t="shared" si="34"/>
        <v>3716400</v>
      </c>
      <c r="AE221" s="35">
        <f t="shared" si="33"/>
        <v>4195485</v>
      </c>
    </row>
    <row r="222" spans="1:31" ht="23.1" customHeight="1" x14ac:dyDescent="0.15">
      <c r="A222" s="13" t="s">
        <v>1957</v>
      </c>
      <c r="B222" s="13" t="s">
        <v>3037</v>
      </c>
      <c r="C222" s="13" t="s">
        <v>1958</v>
      </c>
      <c r="D222" s="12" t="s">
        <v>445</v>
      </c>
      <c r="E222" s="12" t="s">
        <v>450</v>
      </c>
      <c r="F222" s="31" t="s">
        <v>166</v>
      </c>
      <c r="G222" s="15">
        <v>2198</v>
      </c>
      <c r="H222" s="38">
        <f>일대목차!I91</f>
        <v>4458</v>
      </c>
      <c r="I222" s="57">
        <f t="shared" si="28"/>
        <v>9798684</v>
      </c>
      <c r="J222" s="38">
        <v>2198</v>
      </c>
      <c r="K222" s="38">
        <f>일대목차!L91</f>
        <v>7603</v>
      </c>
      <c r="L222" s="57">
        <f t="shared" si="29"/>
        <v>16711394</v>
      </c>
      <c r="M222" s="38">
        <f>일대목차!N91</f>
        <v>0</v>
      </c>
      <c r="N222" s="57">
        <f t="shared" si="30"/>
        <v>0</v>
      </c>
      <c r="O222" s="38">
        <f t="shared" si="31"/>
        <v>12061</v>
      </c>
      <c r="P222" s="38">
        <f t="shared" si="32"/>
        <v>26510078</v>
      </c>
      <c r="Q222" s="12" t="s">
        <v>1959</v>
      </c>
      <c r="AC222" s="35">
        <f t="shared" si="34"/>
        <v>9798684</v>
      </c>
      <c r="AE222" s="35">
        <f t="shared" si="33"/>
        <v>16711394</v>
      </c>
    </row>
    <row r="223" spans="1:31" ht="23.1" customHeight="1" x14ac:dyDescent="0.15">
      <c r="A223" s="13" t="s">
        <v>1966</v>
      </c>
      <c r="B223" s="13" t="s">
        <v>3037</v>
      </c>
      <c r="C223" s="13" t="s">
        <v>1967</v>
      </c>
      <c r="D223" s="12" t="s">
        <v>445</v>
      </c>
      <c r="E223" s="12" t="s">
        <v>456</v>
      </c>
      <c r="F223" s="31" t="s">
        <v>166</v>
      </c>
      <c r="G223" s="15">
        <v>76</v>
      </c>
      <c r="H223" s="38">
        <f>일대목차!I94</f>
        <v>5347</v>
      </c>
      <c r="I223" s="57">
        <f t="shared" si="28"/>
        <v>406372</v>
      </c>
      <c r="J223" s="38">
        <v>76</v>
      </c>
      <c r="K223" s="38">
        <f>일대목차!L94</f>
        <v>10341</v>
      </c>
      <c r="L223" s="57">
        <f t="shared" si="29"/>
        <v>785916</v>
      </c>
      <c r="M223" s="38">
        <f>일대목차!N94</f>
        <v>0</v>
      </c>
      <c r="N223" s="57">
        <f t="shared" si="30"/>
        <v>0</v>
      </c>
      <c r="O223" s="38">
        <f t="shared" si="31"/>
        <v>15688</v>
      </c>
      <c r="P223" s="38">
        <f t="shared" si="32"/>
        <v>1192288</v>
      </c>
      <c r="Q223" s="12" t="s">
        <v>1968</v>
      </c>
      <c r="AC223" s="35">
        <f t="shared" si="34"/>
        <v>406372</v>
      </c>
      <c r="AE223" s="35">
        <f t="shared" si="33"/>
        <v>785916</v>
      </c>
    </row>
    <row r="224" spans="1:31" ht="23.1" customHeight="1" x14ac:dyDescent="0.15">
      <c r="A224" s="13" t="s">
        <v>1969</v>
      </c>
      <c r="B224" s="13" t="s">
        <v>3037</v>
      </c>
      <c r="C224" s="13" t="s">
        <v>1970</v>
      </c>
      <c r="D224" s="12" t="s">
        <v>445</v>
      </c>
      <c r="E224" s="12" t="s">
        <v>458</v>
      </c>
      <c r="F224" s="31" t="s">
        <v>166</v>
      </c>
      <c r="G224" s="15">
        <v>138</v>
      </c>
      <c r="H224" s="38">
        <f>일대목차!I95</f>
        <v>8341</v>
      </c>
      <c r="I224" s="57">
        <f t="shared" si="28"/>
        <v>1151058</v>
      </c>
      <c r="J224" s="38">
        <v>138</v>
      </c>
      <c r="K224" s="38">
        <f>일대목차!L95</f>
        <v>14903</v>
      </c>
      <c r="L224" s="57">
        <f t="shared" si="29"/>
        <v>2056614</v>
      </c>
      <c r="M224" s="38">
        <f>일대목차!N95</f>
        <v>0</v>
      </c>
      <c r="N224" s="57">
        <f t="shared" si="30"/>
        <v>0</v>
      </c>
      <c r="O224" s="38">
        <f t="shared" si="31"/>
        <v>23244</v>
      </c>
      <c r="P224" s="38">
        <f t="shared" si="32"/>
        <v>3207672</v>
      </c>
      <c r="Q224" s="12" t="s">
        <v>1971</v>
      </c>
      <c r="AC224" s="35">
        <f t="shared" si="34"/>
        <v>1151058</v>
      </c>
      <c r="AE224" s="35">
        <f t="shared" si="33"/>
        <v>2056614</v>
      </c>
    </row>
    <row r="225" spans="1:31" ht="23.1" customHeight="1" x14ac:dyDescent="0.15">
      <c r="A225" s="13" t="s">
        <v>1972</v>
      </c>
      <c r="B225" s="13" t="s">
        <v>3037</v>
      </c>
      <c r="C225" s="13" t="s">
        <v>1973</v>
      </c>
      <c r="D225" s="12" t="s">
        <v>445</v>
      </c>
      <c r="E225" s="12" t="s">
        <v>460</v>
      </c>
      <c r="F225" s="31" t="s">
        <v>166</v>
      </c>
      <c r="G225" s="15">
        <v>154</v>
      </c>
      <c r="H225" s="38">
        <f>일대목차!I96</f>
        <v>13750</v>
      </c>
      <c r="I225" s="57">
        <f t="shared" si="28"/>
        <v>2117500</v>
      </c>
      <c r="J225" s="38">
        <v>154</v>
      </c>
      <c r="K225" s="38">
        <f>일대목차!L96</f>
        <v>18188</v>
      </c>
      <c r="L225" s="57">
        <f t="shared" si="29"/>
        <v>2800952</v>
      </c>
      <c r="M225" s="38">
        <f>일대목차!N96</f>
        <v>0</v>
      </c>
      <c r="N225" s="57">
        <f t="shared" si="30"/>
        <v>0</v>
      </c>
      <c r="O225" s="38">
        <f t="shared" si="31"/>
        <v>31938</v>
      </c>
      <c r="P225" s="38">
        <f t="shared" si="32"/>
        <v>4918452</v>
      </c>
      <c r="Q225" s="12" t="s">
        <v>1974</v>
      </c>
      <c r="AC225" s="35">
        <f t="shared" si="34"/>
        <v>2117500</v>
      </c>
      <c r="AE225" s="35">
        <f t="shared" si="33"/>
        <v>2800952</v>
      </c>
    </row>
    <row r="226" spans="1:31" ht="23.1" customHeight="1" x14ac:dyDescent="0.15">
      <c r="A226" s="13" t="s">
        <v>1975</v>
      </c>
      <c r="B226" s="13" t="s">
        <v>3037</v>
      </c>
      <c r="C226" s="13" t="s">
        <v>1976</v>
      </c>
      <c r="D226" s="12" t="s">
        <v>445</v>
      </c>
      <c r="E226" s="12" t="s">
        <v>462</v>
      </c>
      <c r="F226" s="31" t="s">
        <v>166</v>
      </c>
      <c r="G226" s="15">
        <v>23</v>
      </c>
      <c r="H226" s="38">
        <f>일대목차!I97</f>
        <v>21124</v>
      </c>
      <c r="I226" s="57">
        <f t="shared" si="28"/>
        <v>485852</v>
      </c>
      <c r="J226" s="38">
        <v>23</v>
      </c>
      <c r="K226" s="38">
        <f>일대목차!L97</f>
        <v>23724</v>
      </c>
      <c r="L226" s="57">
        <f t="shared" si="29"/>
        <v>545652</v>
      </c>
      <c r="M226" s="38">
        <f>일대목차!N97</f>
        <v>0</v>
      </c>
      <c r="N226" s="57">
        <f t="shared" si="30"/>
        <v>0</v>
      </c>
      <c r="O226" s="38">
        <f t="shared" si="31"/>
        <v>44848</v>
      </c>
      <c r="P226" s="38">
        <f t="shared" si="32"/>
        <v>1031504</v>
      </c>
      <c r="Q226" s="12" t="s">
        <v>1977</v>
      </c>
      <c r="AC226" s="35">
        <f t="shared" si="34"/>
        <v>485852</v>
      </c>
      <c r="AE226" s="35">
        <f t="shared" si="33"/>
        <v>545652</v>
      </c>
    </row>
    <row r="227" spans="1:31" ht="23.1" customHeight="1" x14ac:dyDescent="0.15">
      <c r="A227" s="13" t="s">
        <v>1978</v>
      </c>
      <c r="B227" s="13" t="s">
        <v>3037</v>
      </c>
      <c r="C227" s="13" t="s">
        <v>1979</v>
      </c>
      <c r="D227" s="12" t="s">
        <v>445</v>
      </c>
      <c r="E227" s="12" t="s">
        <v>464</v>
      </c>
      <c r="F227" s="31" t="s">
        <v>166</v>
      </c>
      <c r="G227" s="15">
        <v>345</v>
      </c>
      <c r="H227" s="38">
        <f>일대목차!I98</f>
        <v>21899</v>
      </c>
      <c r="I227" s="57">
        <f t="shared" si="28"/>
        <v>7555155</v>
      </c>
      <c r="J227" s="38">
        <v>345</v>
      </c>
      <c r="K227" s="38">
        <f>일대목차!L98</f>
        <v>28469</v>
      </c>
      <c r="L227" s="57">
        <f t="shared" si="29"/>
        <v>9821805</v>
      </c>
      <c r="M227" s="38">
        <f>일대목차!N98</f>
        <v>0</v>
      </c>
      <c r="N227" s="57">
        <f t="shared" si="30"/>
        <v>0</v>
      </c>
      <c r="O227" s="38">
        <f t="shared" si="31"/>
        <v>50368</v>
      </c>
      <c r="P227" s="38">
        <f t="shared" si="32"/>
        <v>17376960</v>
      </c>
      <c r="Q227" s="12" t="s">
        <v>1980</v>
      </c>
      <c r="AC227" s="35">
        <f t="shared" si="34"/>
        <v>7555155</v>
      </c>
      <c r="AE227" s="35">
        <f t="shared" si="33"/>
        <v>9821805</v>
      </c>
    </row>
    <row r="228" spans="1:31" ht="23.1" customHeight="1" x14ac:dyDescent="0.15">
      <c r="A228" s="13" t="s">
        <v>1984</v>
      </c>
      <c r="B228" s="13" t="s">
        <v>3037</v>
      </c>
      <c r="C228" s="13" t="s">
        <v>1985</v>
      </c>
      <c r="D228" s="12" t="s">
        <v>466</v>
      </c>
      <c r="E228" s="12" t="s">
        <v>473</v>
      </c>
      <c r="F228" s="31" t="s">
        <v>166</v>
      </c>
      <c r="G228" s="15">
        <v>7</v>
      </c>
      <c r="H228" s="38">
        <f>일대목차!I100</f>
        <v>3573</v>
      </c>
      <c r="I228" s="57">
        <f t="shared" si="28"/>
        <v>25011</v>
      </c>
      <c r="J228" s="38">
        <v>7</v>
      </c>
      <c r="K228" s="38">
        <f>일대목차!L100</f>
        <v>4866</v>
      </c>
      <c r="L228" s="57">
        <f t="shared" si="29"/>
        <v>34062</v>
      </c>
      <c r="M228" s="38">
        <f>일대목차!N100</f>
        <v>0</v>
      </c>
      <c r="N228" s="57">
        <f t="shared" si="30"/>
        <v>0</v>
      </c>
      <c r="O228" s="38">
        <f t="shared" si="31"/>
        <v>8439</v>
      </c>
      <c r="P228" s="38">
        <f t="shared" si="32"/>
        <v>59073</v>
      </c>
      <c r="Q228" s="12" t="s">
        <v>1986</v>
      </c>
      <c r="AC228" s="35">
        <f t="shared" si="34"/>
        <v>25011</v>
      </c>
      <c r="AE228" s="35">
        <f t="shared" si="33"/>
        <v>34062</v>
      </c>
    </row>
    <row r="229" spans="1:31" ht="23.1" customHeight="1" x14ac:dyDescent="0.15">
      <c r="A229" s="13" t="s">
        <v>1999</v>
      </c>
      <c r="B229" s="13" t="s">
        <v>3037</v>
      </c>
      <c r="C229" s="13" t="s">
        <v>2000</v>
      </c>
      <c r="D229" s="12" t="s">
        <v>466</v>
      </c>
      <c r="E229" s="12" t="s">
        <v>483</v>
      </c>
      <c r="F229" s="31" t="s">
        <v>166</v>
      </c>
      <c r="G229" s="15">
        <v>103</v>
      </c>
      <c r="H229" s="38">
        <f>일대목차!I105</f>
        <v>14715</v>
      </c>
      <c r="I229" s="57">
        <f t="shared" si="28"/>
        <v>1515645</v>
      </c>
      <c r="J229" s="38">
        <v>103</v>
      </c>
      <c r="K229" s="38">
        <f>일대목차!L105</f>
        <v>18188</v>
      </c>
      <c r="L229" s="57">
        <f t="shared" si="29"/>
        <v>1873364</v>
      </c>
      <c r="M229" s="38">
        <f>일대목차!N105</f>
        <v>0</v>
      </c>
      <c r="N229" s="57">
        <f t="shared" si="30"/>
        <v>0</v>
      </c>
      <c r="O229" s="38">
        <f t="shared" si="31"/>
        <v>32903</v>
      </c>
      <c r="P229" s="38">
        <f t="shared" si="32"/>
        <v>3389009</v>
      </c>
      <c r="Q229" s="12" t="s">
        <v>2001</v>
      </c>
      <c r="AC229" s="35">
        <f t="shared" si="34"/>
        <v>1515645</v>
      </c>
      <c r="AE229" s="35">
        <f t="shared" si="33"/>
        <v>1873364</v>
      </c>
    </row>
    <row r="230" spans="1:31" ht="23.1" customHeight="1" x14ac:dyDescent="0.15">
      <c r="A230" s="13" t="s">
        <v>2071</v>
      </c>
      <c r="B230" s="13" t="s">
        <v>3037</v>
      </c>
      <c r="C230" s="13" t="s">
        <v>2072</v>
      </c>
      <c r="D230" s="12" t="s">
        <v>583</v>
      </c>
      <c r="E230" s="12" t="s">
        <v>584</v>
      </c>
      <c r="F230" s="31" t="s">
        <v>200</v>
      </c>
      <c r="G230" s="15">
        <v>8</v>
      </c>
      <c r="H230" s="38">
        <f>일대목차!I129</f>
        <v>1321</v>
      </c>
      <c r="I230" s="57">
        <f t="shared" si="28"/>
        <v>10568</v>
      </c>
      <c r="J230" s="38">
        <v>8</v>
      </c>
      <c r="K230" s="38">
        <f>일대목차!L129</f>
        <v>43798</v>
      </c>
      <c r="L230" s="57">
        <f t="shared" si="29"/>
        <v>350384</v>
      </c>
      <c r="M230" s="38">
        <f>일대목차!N129</f>
        <v>0</v>
      </c>
      <c r="N230" s="57">
        <f t="shared" si="30"/>
        <v>0</v>
      </c>
      <c r="O230" s="38">
        <f t="shared" si="31"/>
        <v>45119</v>
      </c>
      <c r="P230" s="38">
        <f t="shared" si="32"/>
        <v>360952</v>
      </c>
      <c r="Q230" s="12" t="s">
        <v>2073</v>
      </c>
      <c r="AE230" s="35">
        <f t="shared" si="33"/>
        <v>350384</v>
      </c>
    </row>
    <row r="231" spans="1:31" ht="23.1" customHeight="1" x14ac:dyDescent="0.15">
      <c r="A231" s="13" t="s">
        <v>2074</v>
      </c>
      <c r="B231" s="13" t="s">
        <v>3037</v>
      </c>
      <c r="C231" s="13" t="s">
        <v>2075</v>
      </c>
      <c r="D231" s="12" t="s">
        <v>583</v>
      </c>
      <c r="E231" s="12" t="s">
        <v>590</v>
      </c>
      <c r="F231" s="31" t="s">
        <v>200</v>
      </c>
      <c r="G231" s="15">
        <v>8</v>
      </c>
      <c r="H231" s="38">
        <f>일대목차!I130</f>
        <v>1718</v>
      </c>
      <c r="I231" s="57">
        <f t="shared" si="28"/>
        <v>13744</v>
      </c>
      <c r="J231" s="38">
        <v>8</v>
      </c>
      <c r="K231" s="38">
        <f>일대목차!L130</f>
        <v>51463</v>
      </c>
      <c r="L231" s="57">
        <f t="shared" si="29"/>
        <v>411704</v>
      </c>
      <c r="M231" s="38">
        <f>일대목차!N130</f>
        <v>0</v>
      </c>
      <c r="N231" s="57">
        <f t="shared" si="30"/>
        <v>0</v>
      </c>
      <c r="O231" s="38">
        <f t="shared" si="31"/>
        <v>53181</v>
      </c>
      <c r="P231" s="38">
        <f t="shared" si="32"/>
        <v>425448</v>
      </c>
      <c r="Q231" s="12" t="s">
        <v>2076</v>
      </c>
      <c r="AE231" s="35">
        <f t="shared" si="33"/>
        <v>411704</v>
      </c>
    </row>
    <row r="232" spans="1:31" ht="23.1" customHeight="1" x14ac:dyDescent="0.15">
      <c r="A232" s="13" t="s">
        <v>2080</v>
      </c>
      <c r="B232" s="13" t="s">
        <v>3037</v>
      </c>
      <c r="C232" s="13" t="s">
        <v>2081</v>
      </c>
      <c r="D232" s="12" t="s">
        <v>595</v>
      </c>
      <c r="E232" s="12" t="s">
        <v>596</v>
      </c>
      <c r="F232" s="31" t="s">
        <v>200</v>
      </c>
      <c r="G232" s="15">
        <v>72</v>
      </c>
      <c r="H232" s="38">
        <f>일대목차!I132</f>
        <v>718</v>
      </c>
      <c r="I232" s="57">
        <f t="shared" si="28"/>
        <v>51696</v>
      </c>
      <c r="J232" s="38">
        <v>72</v>
      </c>
      <c r="K232" s="38">
        <f>일대목차!L132</f>
        <v>29563</v>
      </c>
      <c r="L232" s="57">
        <f t="shared" si="29"/>
        <v>2128536</v>
      </c>
      <c r="M232" s="38">
        <f>일대목차!N132</f>
        <v>0</v>
      </c>
      <c r="N232" s="57">
        <f t="shared" si="30"/>
        <v>0</v>
      </c>
      <c r="O232" s="38">
        <f t="shared" si="31"/>
        <v>30281</v>
      </c>
      <c r="P232" s="38">
        <f t="shared" si="32"/>
        <v>2180232</v>
      </c>
      <c r="Q232" s="12" t="s">
        <v>2082</v>
      </c>
      <c r="AE232" s="35">
        <f t="shared" si="33"/>
        <v>2128536</v>
      </c>
    </row>
    <row r="233" spans="1:31" ht="23.1" customHeight="1" x14ac:dyDescent="0.15">
      <c r="A233" s="13" t="s">
        <v>2083</v>
      </c>
      <c r="B233" s="13" t="s">
        <v>3037</v>
      </c>
      <c r="C233" s="13" t="s">
        <v>2084</v>
      </c>
      <c r="D233" s="12" t="s">
        <v>595</v>
      </c>
      <c r="E233" s="12" t="s">
        <v>598</v>
      </c>
      <c r="F233" s="31" t="s">
        <v>200</v>
      </c>
      <c r="G233" s="15">
        <v>18</v>
      </c>
      <c r="H233" s="38">
        <f>일대목차!I133</f>
        <v>909</v>
      </c>
      <c r="I233" s="57">
        <f t="shared" si="28"/>
        <v>16362</v>
      </c>
      <c r="J233" s="38">
        <v>18</v>
      </c>
      <c r="K233" s="38">
        <f>일대목차!L133</f>
        <v>36133</v>
      </c>
      <c r="L233" s="57">
        <f t="shared" si="29"/>
        <v>650394</v>
      </c>
      <c r="M233" s="38">
        <f>일대목차!N133</f>
        <v>0</v>
      </c>
      <c r="N233" s="57">
        <f t="shared" si="30"/>
        <v>0</v>
      </c>
      <c r="O233" s="38">
        <f t="shared" si="31"/>
        <v>37042</v>
      </c>
      <c r="P233" s="38">
        <f t="shared" si="32"/>
        <v>666756</v>
      </c>
      <c r="Q233" s="12" t="s">
        <v>2085</v>
      </c>
      <c r="AE233" s="35">
        <f t="shared" si="33"/>
        <v>650394</v>
      </c>
    </row>
    <row r="234" spans="1:31" ht="23.1" customHeight="1" x14ac:dyDescent="0.15">
      <c r="A234" s="13" t="s">
        <v>2086</v>
      </c>
      <c r="B234" s="13" t="s">
        <v>3037</v>
      </c>
      <c r="C234" s="13" t="s">
        <v>2087</v>
      </c>
      <c r="D234" s="12" t="s">
        <v>595</v>
      </c>
      <c r="E234" s="12" t="s">
        <v>600</v>
      </c>
      <c r="F234" s="31" t="s">
        <v>200</v>
      </c>
      <c r="G234" s="15">
        <v>34</v>
      </c>
      <c r="H234" s="38">
        <f>일대목차!I134</f>
        <v>1030</v>
      </c>
      <c r="I234" s="57">
        <f t="shared" si="28"/>
        <v>35020</v>
      </c>
      <c r="J234" s="38">
        <v>34</v>
      </c>
      <c r="K234" s="38">
        <f>일대목차!L134</f>
        <v>39418</v>
      </c>
      <c r="L234" s="57">
        <f t="shared" si="29"/>
        <v>1340212</v>
      </c>
      <c r="M234" s="38">
        <f>일대목차!N134</f>
        <v>0</v>
      </c>
      <c r="N234" s="57">
        <f t="shared" si="30"/>
        <v>0</v>
      </c>
      <c r="O234" s="38">
        <f t="shared" si="31"/>
        <v>40448</v>
      </c>
      <c r="P234" s="38">
        <f t="shared" si="32"/>
        <v>1375232</v>
      </c>
      <c r="Q234" s="12" t="s">
        <v>2088</v>
      </c>
      <c r="AE234" s="35">
        <f t="shared" si="33"/>
        <v>1340212</v>
      </c>
    </row>
    <row r="235" spans="1:31" ht="23.1" customHeight="1" x14ac:dyDescent="0.15">
      <c r="A235" s="13" t="s">
        <v>1676</v>
      </c>
      <c r="B235" s="13" t="s">
        <v>3037</v>
      </c>
      <c r="C235" s="13" t="s">
        <v>1677</v>
      </c>
      <c r="D235" s="12" t="s">
        <v>1674</v>
      </c>
      <c r="E235" s="12" t="s">
        <v>1679</v>
      </c>
      <c r="F235" s="31" t="s">
        <v>792</v>
      </c>
      <c r="G235" s="15">
        <v>3</v>
      </c>
      <c r="H235" s="38">
        <f>일대목차!I7</f>
        <v>19539</v>
      </c>
      <c r="I235" s="57">
        <f t="shared" si="28"/>
        <v>58617</v>
      </c>
      <c r="J235" s="38">
        <v>3</v>
      </c>
      <c r="K235" s="38">
        <f>일대목차!L7</f>
        <v>9852</v>
      </c>
      <c r="L235" s="57">
        <f t="shared" si="29"/>
        <v>29556</v>
      </c>
      <c r="M235" s="38">
        <f>일대목차!N7</f>
        <v>0</v>
      </c>
      <c r="N235" s="57">
        <f t="shared" si="30"/>
        <v>0</v>
      </c>
      <c r="O235" s="38">
        <f t="shared" si="31"/>
        <v>29391</v>
      </c>
      <c r="P235" s="38">
        <f t="shared" si="32"/>
        <v>88173</v>
      </c>
      <c r="Q235" s="12" t="s">
        <v>1678</v>
      </c>
      <c r="AE235" s="35">
        <f t="shared" si="33"/>
        <v>29556</v>
      </c>
    </row>
    <row r="236" spans="1:31" ht="23.1" customHeight="1" x14ac:dyDescent="0.15">
      <c r="A236" s="13" t="s">
        <v>1680</v>
      </c>
      <c r="B236" s="13" t="s">
        <v>3037</v>
      </c>
      <c r="C236" s="13" t="s">
        <v>1681</v>
      </c>
      <c r="D236" s="12" t="s">
        <v>1674</v>
      </c>
      <c r="E236" s="12" t="s">
        <v>1683</v>
      </c>
      <c r="F236" s="31" t="s">
        <v>792</v>
      </c>
      <c r="G236" s="15">
        <v>493</v>
      </c>
      <c r="H236" s="38">
        <f>일대목차!I8</f>
        <v>19561</v>
      </c>
      <c r="I236" s="57">
        <f t="shared" si="28"/>
        <v>9643573</v>
      </c>
      <c r="J236" s="38">
        <v>493</v>
      </c>
      <c r="K236" s="38">
        <f>일대목차!L8</f>
        <v>9852</v>
      </c>
      <c r="L236" s="57">
        <f t="shared" si="29"/>
        <v>4857036</v>
      </c>
      <c r="M236" s="38">
        <f>일대목차!N8</f>
        <v>0</v>
      </c>
      <c r="N236" s="57">
        <f t="shared" si="30"/>
        <v>0</v>
      </c>
      <c r="O236" s="38">
        <f t="shared" si="31"/>
        <v>29413</v>
      </c>
      <c r="P236" s="38">
        <f t="shared" si="32"/>
        <v>14500609</v>
      </c>
      <c r="Q236" s="12" t="s">
        <v>1682</v>
      </c>
      <c r="AE236" s="35">
        <f t="shared" si="33"/>
        <v>4857036</v>
      </c>
    </row>
    <row r="237" spans="1:31" ht="23.1" customHeight="1" x14ac:dyDescent="0.15">
      <c r="A237" s="13" t="s">
        <v>1684</v>
      </c>
      <c r="B237" s="13" t="s">
        <v>3037</v>
      </c>
      <c r="C237" s="13" t="s">
        <v>1685</v>
      </c>
      <c r="D237" s="12" t="s">
        <v>1674</v>
      </c>
      <c r="E237" s="12" t="s">
        <v>1687</v>
      </c>
      <c r="F237" s="31" t="s">
        <v>792</v>
      </c>
      <c r="G237" s="15">
        <v>2</v>
      </c>
      <c r="H237" s="38">
        <f>일대목차!I9</f>
        <v>19585</v>
      </c>
      <c r="I237" s="57">
        <f t="shared" si="28"/>
        <v>39170</v>
      </c>
      <c r="J237" s="38">
        <v>2</v>
      </c>
      <c r="K237" s="38">
        <f>일대목차!L9</f>
        <v>9852</v>
      </c>
      <c r="L237" s="57">
        <f t="shared" si="29"/>
        <v>19704</v>
      </c>
      <c r="M237" s="38">
        <f>일대목차!N9</f>
        <v>0</v>
      </c>
      <c r="N237" s="57">
        <f t="shared" si="30"/>
        <v>0</v>
      </c>
      <c r="O237" s="38">
        <f t="shared" si="31"/>
        <v>29437</v>
      </c>
      <c r="P237" s="38">
        <f t="shared" si="32"/>
        <v>58874</v>
      </c>
      <c r="Q237" s="12" t="s">
        <v>1686</v>
      </c>
      <c r="AE237" s="35">
        <f t="shared" si="33"/>
        <v>19704</v>
      </c>
    </row>
    <row r="238" spans="1:31" ht="23.1" customHeight="1" x14ac:dyDescent="0.15">
      <c r="A238" s="13" t="s">
        <v>1688</v>
      </c>
      <c r="B238" s="13" t="s">
        <v>3037</v>
      </c>
      <c r="C238" s="13" t="s">
        <v>1689</v>
      </c>
      <c r="D238" s="12" t="s">
        <v>1674</v>
      </c>
      <c r="E238" s="12" t="s">
        <v>1691</v>
      </c>
      <c r="F238" s="31" t="s">
        <v>792</v>
      </c>
      <c r="G238" s="15">
        <v>58</v>
      </c>
      <c r="H238" s="38">
        <f>일대목차!I10</f>
        <v>19622</v>
      </c>
      <c r="I238" s="57">
        <f t="shared" si="28"/>
        <v>1138076</v>
      </c>
      <c r="J238" s="38">
        <v>58</v>
      </c>
      <c r="K238" s="38">
        <f>일대목차!L10</f>
        <v>9852</v>
      </c>
      <c r="L238" s="57">
        <f t="shared" si="29"/>
        <v>571416</v>
      </c>
      <c r="M238" s="38">
        <f>일대목차!N10</f>
        <v>0</v>
      </c>
      <c r="N238" s="57">
        <f t="shared" si="30"/>
        <v>0</v>
      </c>
      <c r="O238" s="38">
        <f t="shared" si="31"/>
        <v>29474</v>
      </c>
      <c r="P238" s="38">
        <f t="shared" si="32"/>
        <v>1709492</v>
      </c>
      <c r="Q238" s="12" t="s">
        <v>1690</v>
      </c>
      <c r="AE238" s="35">
        <f t="shared" si="33"/>
        <v>571416</v>
      </c>
    </row>
    <row r="239" spans="1:31" ht="23.1" customHeight="1" x14ac:dyDescent="0.15">
      <c r="A239" s="13" t="s">
        <v>1692</v>
      </c>
      <c r="B239" s="13" t="s">
        <v>3037</v>
      </c>
      <c r="C239" s="13" t="s">
        <v>1693</v>
      </c>
      <c r="D239" s="12" t="s">
        <v>1674</v>
      </c>
      <c r="E239" s="12" t="s">
        <v>1695</v>
      </c>
      <c r="F239" s="31" t="s">
        <v>792</v>
      </c>
      <c r="G239" s="15">
        <v>26</v>
      </c>
      <c r="H239" s="38">
        <f>일대목차!I11</f>
        <v>19816</v>
      </c>
      <c r="I239" s="57">
        <f t="shared" si="28"/>
        <v>515216</v>
      </c>
      <c r="J239" s="38">
        <v>26</v>
      </c>
      <c r="K239" s="38">
        <f>일대목차!L11</f>
        <v>9852</v>
      </c>
      <c r="L239" s="57">
        <f t="shared" si="29"/>
        <v>256152</v>
      </c>
      <c r="M239" s="38">
        <f>일대목차!N11</f>
        <v>0</v>
      </c>
      <c r="N239" s="57">
        <f t="shared" si="30"/>
        <v>0</v>
      </c>
      <c r="O239" s="38">
        <f t="shared" si="31"/>
        <v>29668</v>
      </c>
      <c r="P239" s="38">
        <f t="shared" si="32"/>
        <v>771368</v>
      </c>
      <c r="Q239" s="12" t="s">
        <v>1694</v>
      </c>
      <c r="AE239" s="35">
        <f t="shared" si="33"/>
        <v>256152</v>
      </c>
    </row>
    <row r="240" spans="1:31" ht="23.1" customHeight="1" x14ac:dyDescent="0.15">
      <c r="A240" s="13" t="s">
        <v>1696</v>
      </c>
      <c r="B240" s="13" t="s">
        <v>3037</v>
      </c>
      <c r="C240" s="13" t="s">
        <v>1697</v>
      </c>
      <c r="D240" s="12" t="s">
        <v>1674</v>
      </c>
      <c r="E240" s="12" t="s">
        <v>1699</v>
      </c>
      <c r="F240" s="31" t="s">
        <v>792</v>
      </c>
      <c r="G240" s="15">
        <v>4</v>
      </c>
      <c r="H240" s="38">
        <f>일대목차!I12</f>
        <v>19866</v>
      </c>
      <c r="I240" s="57">
        <f t="shared" si="28"/>
        <v>79464</v>
      </c>
      <c r="J240" s="38">
        <v>4</v>
      </c>
      <c r="K240" s="38">
        <f>일대목차!L12</f>
        <v>9852</v>
      </c>
      <c r="L240" s="57">
        <f t="shared" si="29"/>
        <v>39408</v>
      </c>
      <c r="M240" s="38">
        <f>일대목차!N12</f>
        <v>0</v>
      </c>
      <c r="N240" s="57">
        <f t="shared" si="30"/>
        <v>0</v>
      </c>
      <c r="O240" s="38">
        <f t="shared" si="31"/>
        <v>29718</v>
      </c>
      <c r="P240" s="38">
        <f t="shared" si="32"/>
        <v>118872</v>
      </c>
      <c r="Q240" s="12" t="s">
        <v>1698</v>
      </c>
      <c r="AE240" s="35">
        <f t="shared" si="33"/>
        <v>39408</v>
      </c>
    </row>
    <row r="241" spans="1:31" ht="23.1" customHeight="1" x14ac:dyDescent="0.15">
      <c r="A241" s="13" t="s">
        <v>2104</v>
      </c>
      <c r="B241" s="13" t="s">
        <v>3037</v>
      </c>
      <c r="C241" s="13" t="s">
        <v>2105</v>
      </c>
      <c r="D241" s="12" t="s">
        <v>656</v>
      </c>
      <c r="E241" s="12" t="s">
        <v>660</v>
      </c>
      <c r="F241" s="31" t="s">
        <v>166</v>
      </c>
      <c r="G241" s="15">
        <v>4</v>
      </c>
      <c r="H241" s="38">
        <f>일대목차!I140</f>
        <v>3942</v>
      </c>
      <c r="I241" s="57">
        <f t="shared" si="28"/>
        <v>15768</v>
      </c>
      <c r="J241" s="38">
        <v>4</v>
      </c>
      <c r="K241" s="38">
        <f>일대목차!L140</f>
        <v>17734</v>
      </c>
      <c r="L241" s="57">
        <f t="shared" si="29"/>
        <v>70936</v>
      </c>
      <c r="M241" s="38">
        <f>일대목차!N140</f>
        <v>0</v>
      </c>
      <c r="N241" s="57">
        <f t="shared" si="30"/>
        <v>0</v>
      </c>
      <c r="O241" s="38">
        <f t="shared" si="31"/>
        <v>21676</v>
      </c>
      <c r="P241" s="38">
        <f t="shared" si="32"/>
        <v>86704</v>
      </c>
      <c r="Q241" s="12" t="s">
        <v>2106</v>
      </c>
      <c r="AB241" s="35">
        <f t="shared" ref="AB241:AB246" si="35">I241</f>
        <v>15768</v>
      </c>
      <c r="AC241" s="35">
        <f t="shared" ref="AC241:AC246" si="36">G241*H241</f>
        <v>15768</v>
      </c>
      <c r="AE241" s="35">
        <f t="shared" si="33"/>
        <v>70936</v>
      </c>
    </row>
    <row r="242" spans="1:31" ht="23.1" customHeight="1" x14ac:dyDescent="0.15">
      <c r="A242" s="13" t="s">
        <v>2107</v>
      </c>
      <c r="B242" s="13" t="s">
        <v>3037</v>
      </c>
      <c r="C242" s="13" t="s">
        <v>2108</v>
      </c>
      <c r="D242" s="12" t="s">
        <v>656</v>
      </c>
      <c r="E242" s="12" t="s">
        <v>662</v>
      </c>
      <c r="F242" s="31" t="s">
        <v>166</v>
      </c>
      <c r="G242" s="15">
        <v>737</v>
      </c>
      <c r="H242" s="38">
        <f>일대목차!I141</f>
        <v>5334</v>
      </c>
      <c r="I242" s="57">
        <f t="shared" si="28"/>
        <v>3931158</v>
      </c>
      <c r="J242" s="38">
        <v>737</v>
      </c>
      <c r="K242" s="38">
        <f>일대목차!L141</f>
        <v>23645</v>
      </c>
      <c r="L242" s="57">
        <f t="shared" si="29"/>
        <v>17426365</v>
      </c>
      <c r="M242" s="38">
        <f>일대목차!N141</f>
        <v>0</v>
      </c>
      <c r="N242" s="57">
        <f t="shared" si="30"/>
        <v>0</v>
      </c>
      <c r="O242" s="38">
        <f t="shared" si="31"/>
        <v>28979</v>
      </c>
      <c r="P242" s="38">
        <f t="shared" si="32"/>
        <v>21357523</v>
      </c>
      <c r="Q242" s="12" t="s">
        <v>2109</v>
      </c>
      <c r="AB242" s="35">
        <f t="shared" si="35"/>
        <v>3931158</v>
      </c>
      <c r="AC242" s="35">
        <f t="shared" si="36"/>
        <v>3931158</v>
      </c>
      <c r="AE242" s="35">
        <f t="shared" si="33"/>
        <v>17426365</v>
      </c>
    </row>
    <row r="243" spans="1:31" ht="23.1" customHeight="1" x14ac:dyDescent="0.15">
      <c r="A243" s="13" t="s">
        <v>2110</v>
      </c>
      <c r="B243" s="13" t="s">
        <v>3037</v>
      </c>
      <c r="C243" s="13" t="s">
        <v>2111</v>
      </c>
      <c r="D243" s="12" t="s">
        <v>656</v>
      </c>
      <c r="E243" s="12" t="s">
        <v>664</v>
      </c>
      <c r="F243" s="31" t="s">
        <v>166</v>
      </c>
      <c r="G243" s="15">
        <v>3</v>
      </c>
      <c r="H243" s="38">
        <f>일대목차!I142</f>
        <v>6369</v>
      </c>
      <c r="I243" s="57">
        <f t="shared" si="28"/>
        <v>19107</v>
      </c>
      <c r="J243" s="38">
        <v>3</v>
      </c>
      <c r="K243" s="38">
        <f>일대목차!L142</f>
        <v>29557</v>
      </c>
      <c r="L243" s="57">
        <f t="shared" si="29"/>
        <v>88671</v>
      </c>
      <c r="M243" s="38">
        <f>일대목차!N142</f>
        <v>0</v>
      </c>
      <c r="N243" s="57">
        <f t="shared" si="30"/>
        <v>0</v>
      </c>
      <c r="O243" s="38">
        <f t="shared" si="31"/>
        <v>35926</v>
      </c>
      <c r="P243" s="38">
        <f t="shared" si="32"/>
        <v>107778</v>
      </c>
      <c r="Q243" s="12" t="s">
        <v>2112</v>
      </c>
      <c r="AB243" s="35">
        <f t="shared" si="35"/>
        <v>19107</v>
      </c>
      <c r="AC243" s="35">
        <f t="shared" si="36"/>
        <v>19107</v>
      </c>
      <c r="AE243" s="35">
        <f t="shared" si="33"/>
        <v>88671</v>
      </c>
    </row>
    <row r="244" spans="1:31" ht="23.1" customHeight="1" x14ac:dyDescent="0.15">
      <c r="A244" s="13" t="s">
        <v>2113</v>
      </c>
      <c r="B244" s="13" t="s">
        <v>3037</v>
      </c>
      <c r="C244" s="13" t="s">
        <v>2114</v>
      </c>
      <c r="D244" s="12" t="s">
        <v>656</v>
      </c>
      <c r="E244" s="12" t="s">
        <v>666</v>
      </c>
      <c r="F244" s="31" t="s">
        <v>166</v>
      </c>
      <c r="G244" s="15">
        <v>87</v>
      </c>
      <c r="H244" s="38">
        <f>일대목차!I143</f>
        <v>8442</v>
      </c>
      <c r="I244" s="57">
        <f t="shared" si="28"/>
        <v>734454</v>
      </c>
      <c r="J244" s="38">
        <v>87</v>
      </c>
      <c r="K244" s="38">
        <f>일대목차!L143</f>
        <v>38424</v>
      </c>
      <c r="L244" s="57">
        <f t="shared" si="29"/>
        <v>3342888</v>
      </c>
      <c r="M244" s="38">
        <f>일대목차!N143</f>
        <v>0</v>
      </c>
      <c r="N244" s="57">
        <f t="shared" si="30"/>
        <v>0</v>
      </c>
      <c r="O244" s="38">
        <f t="shared" si="31"/>
        <v>46866</v>
      </c>
      <c r="P244" s="38">
        <f t="shared" si="32"/>
        <v>4077342</v>
      </c>
      <c r="Q244" s="12" t="s">
        <v>2115</v>
      </c>
      <c r="AB244" s="35">
        <f t="shared" si="35"/>
        <v>734454</v>
      </c>
      <c r="AC244" s="35">
        <f t="shared" si="36"/>
        <v>734454</v>
      </c>
      <c r="AE244" s="35">
        <f t="shared" si="33"/>
        <v>3342888</v>
      </c>
    </row>
    <row r="245" spans="1:31" ht="23.1" customHeight="1" x14ac:dyDescent="0.15">
      <c r="A245" s="13" t="s">
        <v>2116</v>
      </c>
      <c r="B245" s="13" t="s">
        <v>3037</v>
      </c>
      <c r="C245" s="13" t="s">
        <v>2117</v>
      </c>
      <c r="D245" s="12" t="s">
        <v>656</v>
      </c>
      <c r="E245" s="12" t="s">
        <v>668</v>
      </c>
      <c r="F245" s="31" t="s">
        <v>166</v>
      </c>
      <c r="G245" s="15">
        <v>70</v>
      </c>
      <c r="H245" s="38">
        <f>일대목차!I144</f>
        <v>11759</v>
      </c>
      <c r="I245" s="57">
        <f t="shared" ref="I245:I276" si="37">TRUNC(G245*H245)</f>
        <v>823130</v>
      </c>
      <c r="J245" s="38">
        <v>70</v>
      </c>
      <c r="K245" s="38">
        <f>일대목차!L144</f>
        <v>56158</v>
      </c>
      <c r="L245" s="57">
        <f t="shared" ref="L245:L276" si="38">TRUNC(G245*K245)</f>
        <v>3931060</v>
      </c>
      <c r="M245" s="38">
        <f>일대목차!N144</f>
        <v>0</v>
      </c>
      <c r="N245" s="57">
        <f t="shared" ref="N245:N276" si="39">TRUNC(G245*M245)</f>
        <v>0</v>
      </c>
      <c r="O245" s="38">
        <f t="shared" ref="O245:O278" si="40">IF((H245+K245+M245)=0, "", (H245+K245+M245))</f>
        <v>67917</v>
      </c>
      <c r="P245" s="38">
        <f t="shared" ref="P245:P278" si="41">SUM(I245,L245,N245)</f>
        <v>4754190</v>
      </c>
      <c r="Q245" s="12" t="s">
        <v>2118</v>
      </c>
      <c r="AB245" s="35">
        <f t="shared" si="35"/>
        <v>823130</v>
      </c>
      <c r="AC245" s="35">
        <f t="shared" si="36"/>
        <v>823130</v>
      </c>
      <c r="AE245" s="35">
        <f t="shared" si="33"/>
        <v>3931060</v>
      </c>
    </row>
    <row r="246" spans="1:31" ht="23.1" customHeight="1" x14ac:dyDescent="0.15">
      <c r="A246" s="13" t="s">
        <v>2119</v>
      </c>
      <c r="B246" s="13" t="s">
        <v>3037</v>
      </c>
      <c r="C246" s="13" t="s">
        <v>2120</v>
      </c>
      <c r="D246" s="12" t="s">
        <v>656</v>
      </c>
      <c r="E246" s="12" t="s">
        <v>670</v>
      </c>
      <c r="F246" s="31" t="s">
        <v>166</v>
      </c>
      <c r="G246" s="15">
        <v>6</v>
      </c>
      <c r="H246" s="38">
        <f>일대목차!I145</f>
        <v>15746</v>
      </c>
      <c r="I246" s="57">
        <f t="shared" si="37"/>
        <v>94476</v>
      </c>
      <c r="J246" s="38">
        <v>6</v>
      </c>
      <c r="K246" s="38">
        <f>일대목차!L145</f>
        <v>82759</v>
      </c>
      <c r="L246" s="57">
        <f t="shared" si="38"/>
        <v>496554</v>
      </c>
      <c r="M246" s="38">
        <f>일대목차!N145</f>
        <v>0</v>
      </c>
      <c r="N246" s="57">
        <f t="shared" si="39"/>
        <v>0</v>
      </c>
      <c r="O246" s="38">
        <f t="shared" si="40"/>
        <v>98505</v>
      </c>
      <c r="P246" s="38">
        <f t="shared" si="41"/>
        <v>591030</v>
      </c>
      <c r="Q246" s="12" t="s">
        <v>2121</v>
      </c>
      <c r="AB246" s="35">
        <f t="shared" si="35"/>
        <v>94476</v>
      </c>
      <c r="AC246" s="35">
        <f t="shared" si="36"/>
        <v>94476</v>
      </c>
      <c r="AE246" s="35">
        <f t="shared" si="33"/>
        <v>496554</v>
      </c>
    </row>
    <row r="247" spans="1:31" ht="23.1" customHeight="1" x14ac:dyDescent="0.15">
      <c r="A247" s="13" t="s">
        <v>1208</v>
      </c>
      <c r="B247" s="13" t="s">
        <v>3037</v>
      </c>
      <c r="C247" s="13" t="s">
        <v>674</v>
      </c>
      <c r="D247" s="12" t="s">
        <v>672</v>
      </c>
      <c r="E247" s="12" t="s">
        <v>675</v>
      </c>
      <c r="F247" s="31" t="s">
        <v>200</v>
      </c>
      <c r="G247" s="15">
        <v>1</v>
      </c>
      <c r="H247" s="38">
        <f>합산자재!H184</f>
        <v>1014</v>
      </c>
      <c r="I247" s="57">
        <f t="shared" si="37"/>
        <v>1014</v>
      </c>
      <c r="J247" s="38">
        <v>1</v>
      </c>
      <c r="K247" s="38">
        <f>합산자재!I184</f>
        <v>0</v>
      </c>
      <c r="L247" s="57">
        <f t="shared" si="38"/>
        <v>0</v>
      </c>
      <c r="M247" s="38">
        <f>합산자재!J184</f>
        <v>0</v>
      </c>
      <c r="N247" s="57">
        <f t="shared" si="39"/>
        <v>0</v>
      </c>
      <c r="O247" s="38">
        <f t="shared" si="40"/>
        <v>1014</v>
      </c>
      <c r="P247" s="38">
        <f t="shared" si="41"/>
        <v>1014</v>
      </c>
      <c r="Q247" s="12"/>
    </row>
    <row r="248" spans="1:31" ht="23.1" customHeight="1" x14ac:dyDescent="0.15">
      <c r="A248" s="13" t="s">
        <v>1209</v>
      </c>
      <c r="B248" s="13" t="s">
        <v>3037</v>
      </c>
      <c r="C248" s="13" t="s">
        <v>676</v>
      </c>
      <c r="D248" s="12" t="s">
        <v>672</v>
      </c>
      <c r="E248" s="12" t="s">
        <v>677</v>
      </c>
      <c r="F248" s="31" t="s">
        <v>200</v>
      </c>
      <c r="G248" s="15">
        <v>206</v>
      </c>
      <c r="H248" s="38">
        <f>합산자재!H185</f>
        <v>1246</v>
      </c>
      <c r="I248" s="57">
        <f t="shared" si="37"/>
        <v>256676</v>
      </c>
      <c r="J248" s="38">
        <v>206</v>
      </c>
      <c r="K248" s="38">
        <f>합산자재!I185</f>
        <v>0</v>
      </c>
      <c r="L248" s="57">
        <f t="shared" si="38"/>
        <v>0</v>
      </c>
      <c r="M248" s="38">
        <f>합산자재!J185</f>
        <v>0</v>
      </c>
      <c r="N248" s="57">
        <f t="shared" si="39"/>
        <v>0</v>
      </c>
      <c r="O248" s="38">
        <f t="shared" si="40"/>
        <v>1246</v>
      </c>
      <c r="P248" s="38">
        <f t="shared" si="41"/>
        <v>256676</v>
      </c>
      <c r="Q248" s="12"/>
    </row>
    <row r="249" spans="1:31" ht="23.1" customHeight="1" x14ac:dyDescent="0.15">
      <c r="A249" s="13" t="s">
        <v>1210</v>
      </c>
      <c r="B249" s="13" t="s">
        <v>3037</v>
      </c>
      <c r="C249" s="13" t="s">
        <v>678</v>
      </c>
      <c r="D249" s="12" t="s">
        <v>672</v>
      </c>
      <c r="E249" s="12" t="s">
        <v>679</v>
      </c>
      <c r="F249" s="31" t="s">
        <v>200</v>
      </c>
      <c r="G249" s="15">
        <v>1</v>
      </c>
      <c r="H249" s="38">
        <f>합산자재!H186</f>
        <v>1811</v>
      </c>
      <c r="I249" s="57">
        <f t="shared" si="37"/>
        <v>1811</v>
      </c>
      <c r="J249" s="38">
        <v>1</v>
      </c>
      <c r="K249" s="38">
        <f>합산자재!I186</f>
        <v>0</v>
      </c>
      <c r="L249" s="57">
        <f t="shared" si="38"/>
        <v>0</v>
      </c>
      <c r="M249" s="38">
        <f>합산자재!J186</f>
        <v>0</v>
      </c>
      <c r="N249" s="57">
        <f t="shared" si="39"/>
        <v>0</v>
      </c>
      <c r="O249" s="38">
        <f t="shared" si="40"/>
        <v>1811</v>
      </c>
      <c r="P249" s="38">
        <f t="shared" si="41"/>
        <v>1811</v>
      </c>
      <c r="Q249" s="12"/>
    </row>
    <row r="250" spans="1:31" ht="23.1" customHeight="1" x14ac:dyDescent="0.15">
      <c r="A250" s="13" t="s">
        <v>1211</v>
      </c>
      <c r="B250" s="13" t="s">
        <v>3037</v>
      </c>
      <c r="C250" s="13" t="s">
        <v>680</v>
      </c>
      <c r="D250" s="12" t="s">
        <v>672</v>
      </c>
      <c r="E250" s="12" t="s">
        <v>681</v>
      </c>
      <c r="F250" s="31" t="s">
        <v>200</v>
      </c>
      <c r="G250" s="15">
        <v>24</v>
      </c>
      <c r="H250" s="38">
        <f>합산자재!H187</f>
        <v>2721</v>
      </c>
      <c r="I250" s="57">
        <f t="shared" si="37"/>
        <v>65304</v>
      </c>
      <c r="J250" s="38">
        <v>24</v>
      </c>
      <c r="K250" s="38">
        <f>합산자재!I187</f>
        <v>0</v>
      </c>
      <c r="L250" s="57">
        <f t="shared" si="38"/>
        <v>0</v>
      </c>
      <c r="M250" s="38">
        <f>합산자재!J187</f>
        <v>0</v>
      </c>
      <c r="N250" s="57">
        <f t="shared" si="39"/>
        <v>0</v>
      </c>
      <c r="O250" s="38">
        <f t="shared" si="40"/>
        <v>2721</v>
      </c>
      <c r="P250" s="38">
        <f t="shared" si="41"/>
        <v>65304</v>
      </c>
      <c r="Q250" s="12"/>
    </row>
    <row r="251" spans="1:31" ht="23.1" customHeight="1" x14ac:dyDescent="0.15">
      <c r="A251" s="13" t="s">
        <v>1212</v>
      </c>
      <c r="B251" s="13" t="s">
        <v>3037</v>
      </c>
      <c r="C251" s="13" t="s">
        <v>682</v>
      </c>
      <c r="D251" s="12" t="s">
        <v>672</v>
      </c>
      <c r="E251" s="12" t="s">
        <v>683</v>
      </c>
      <c r="F251" s="31" t="s">
        <v>200</v>
      </c>
      <c r="G251" s="15">
        <v>19</v>
      </c>
      <c r="H251" s="38">
        <f>합산자재!H188</f>
        <v>3586</v>
      </c>
      <c r="I251" s="57">
        <f t="shared" si="37"/>
        <v>68134</v>
      </c>
      <c r="J251" s="38">
        <v>19</v>
      </c>
      <c r="K251" s="38">
        <f>합산자재!I188</f>
        <v>0</v>
      </c>
      <c r="L251" s="57">
        <f t="shared" si="38"/>
        <v>0</v>
      </c>
      <c r="M251" s="38">
        <f>합산자재!J188</f>
        <v>0</v>
      </c>
      <c r="N251" s="57">
        <f t="shared" si="39"/>
        <v>0</v>
      </c>
      <c r="O251" s="38">
        <f t="shared" si="40"/>
        <v>3586</v>
      </c>
      <c r="P251" s="38">
        <f t="shared" si="41"/>
        <v>68134</v>
      </c>
      <c r="Q251" s="12"/>
    </row>
    <row r="252" spans="1:31" ht="23.1" customHeight="1" x14ac:dyDescent="0.15">
      <c r="A252" s="13" t="s">
        <v>1213</v>
      </c>
      <c r="B252" s="13" t="s">
        <v>3037</v>
      </c>
      <c r="C252" s="13" t="s">
        <v>684</v>
      </c>
      <c r="D252" s="12" t="s">
        <v>672</v>
      </c>
      <c r="E252" s="12" t="s">
        <v>685</v>
      </c>
      <c r="F252" s="31" t="s">
        <v>200</v>
      </c>
      <c r="G252" s="15">
        <v>1</v>
      </c>
      <c r="H252" s="38">
        <f>합산자재!H189</f>
        <v>4442</v>
      </c>
      <c r="I252" s="57">
        <f t="shared" si="37"/>
        <v>4442</v>
      </c>
      <c r="J252" s="38">
        <v>1</v>
      </c>
      <c r="K252" s="38">
        <f>합산자재!I189</f>
        <v>0</v>
      </c>
      <c r="L252" s="57">
        <f t="shared" si="38"/>
        <v>0</v>
      </c>
      <c r="M252" s="38">
        <f>합산자재!J189</f>
        <v>0</v>
      </c>
      <c r="N252" s="57">
        <f t="shared" si="39"/>
        <v>0</v>
      </c>
      <c r="O252" s="38">
        <f t="shared" si="40"/>
        <v>4442</v>
      </c>
      <c r="P252" s="38">
        <f t="shared" si="41"/>
        <v>4442</v>
      </c>
      <c r="Q252" s="12"/>
    </row>
    <row r="253" spans="1:31" ht="23.1" customHeight="1" x14ac:dyDescent="0.15">
      <c r="A253" s="13" t="s">
        <v>1215</v>
      </c>
      <c r="B253" s="13" t="s">
        <v>3037</v>
      </c>
      <c r="C253" s="13" t="s">
        <v>688</v>
      </c>
      <c r="D253" s="12" t="s">
        <v>672</v>
      </c>
      <c r="E253" s="12" t="s">
        <v>689</v>
      </c>
      <c r="F253" s="31" t="s">
        <v>200</v>
      </c>
      <c r="G253" s="15">
        <v>2</v>
      </c>
      <c r="H253" s="38">
        <f>합산자재!H191</f>
        <v>1258</v>
      </c>
      <c r="I253" s="57">
        <f t="shared" si="37"/>
        <v>2516</v>
      </c>
      <c r="J253" s="38">
        <v>2</v>
      </c>
      <c r="K253" s="38">
        <f>합산자재!I191</f>
        <v>0</v>
      </c>
      <c r="L253" s="57">
        <f t="shared" si="38"/>
        <v>0</v>
      </c>
      <c r="M253" s="38">
        <f>합산자재!J191</f>
        <v>0</v>
      </c>
      <c r="N253" s="57">
        <f t="shared" si="39"/>
        <v>0</v>
      </c>
      <c r="O253" s="38">
        <f t="shared" si="40"/>
        <v>1258</v>
      </c>
      <c r="P253" s="38">
        <f t="shared" si="41"/>
        <v>2516</v>
      </c>
      <c r="Q253" s="12"/>
    </row>
    <row r="254" spans="1:31" ht="23.1" customHeight="1" x14ac:dyDescent="0.15">
      <c r="A254" s="13" t="s">
        <v>1216</v>
      </c>
      <c r="B254" s="13" t="s">
        <v>3037</v>
      </c>
      <c r="C254" s="13" t="s">
        <v>690</v>
      </c>
      <c r="D254" s="12" t="s">
        <v>672</v>
      </c>
      <c r="E254" s="12" t="s">
        <v>691</v>
      </c>
      <c r="F254" s="31" t="s">
        <v>200</v>
      </c>
      <c r="G254" s="15">
        <v>160</v>
      </c>
      <c r="H254" s="38">
        <f>합산자재!H192</f>
        <v>1513</v>
      </c>
      <c r="I254" s="57">
        <f t="shared" si="37"/>
        <v>242080</v>
      </c>
      <c r="J254" s="38">
        <v>160</v>
      </c>
      <c r="K254" s="38">
        <f>합산자재!I192</f>
        <v>0</v>
      </c>
      <c r="L254" s="57">
        <f t="shared" si="38"/>
        <v>0</v>
      </c>
      <c r="M254" s="38">
        <f>합산자재!J192</f>
        <v>0</v>
      </c>
      <c r="N254" s="57">
        <f t="shared" si="39"/>
        <v>0</v>
      </c>
      <c r="O254" s="38">
        <f t="shared" si="40"/>
        <v>1513</v>
      </c>
      <c r="P254" s="38">
        <f t="shared" si="41"/>
        <v>242080</v>
      </c>
      <c r="Q254" s="12"/>
    </row>
    <row r="255" spans="1:31" ht="23.1" customHeight="1" x14ac:dyDescent="0.15">
      <c r="A255" s="13" t="s">
        <v>1217</v>
      </c>
      <c r="B255" s="13" t="s">
        <v>3037</v>
      </c>
      <c r="C255" s="13" t="s">
        <v>692</v>
      </c>
      <c r="D255" s="12" t="s">
        <v>672</v>
      </c>
      <c r="E255" s="12" t="s">
        <v>693</v>
      </c>
      <c r="F255" s="31" t="s">
        <v>200</v>
      </c>
      <c r="G255" s="15">
        <v>2</v>
      </c>
      <c r="H255" s="38">
        <f>합산자재!H193</f>
        <v>1983</v>
      </c>
      <c r="I255" s="57">
        <f t="shared" si="37"/>
        <v>3966</v>
      </c>
      <c r="J255" s="38">
        <v>2</v>
      </c>
      <c r="K255" s="38">
        <f>합산자재!I193</f>
        <v>0</v>
      </c>
      <c r="L255" s="57">
        <f t="shared" si="38"/>
        <v>0</v>
      </c>
      <c r="M255" s="38">
        <f>합산자재!J193</f>
        <v>0</v>
      </c>
      <c r="N255" s="57">
        <f t="shared" si="39"/>
        <v>0</v>
      </c>
      <c r="O255" s="38">
        <f t="shared" si="40"/>
        <v>1983</v>
      </c>
      <c r="P255" s="38">
        <f t="shared" si="41"/>
        <v>3966</v>
      </c>
      <c r="Q255" s="12"/>
    </row>
    <row r="256" spans="1:31" ht="23.1" customHeight="1" x14ac:dyDescent="0.15">
      <c r="A256" s="13" t="s">
        <v>1218</v>
      </c>
      <c r="B256" s="13" t="s">
        <v>3037</v>
      </c>
      <c r="C256" s="13" t="s">
        <v>694</v>
      </c>
      <c r="D256" s="12" t="s">
        <v>672</v>
      </c>
      <c r="E256" s="12" t="s">
        <v>695</v>
      </c>
      <c r="F256" s="31" t="s">
        <v>200</v>
      </c>
      <c r="G256" s="15">
        <v>18</v>
      </c>
      <c r="H256" s="38">
        <f>합산자재!H194</f>
        <v>2981</v>
      </c>
      <c r="I256" s="57">
        <f t="shared" si="37"/>
        <v>53658</v>
      </c>
      <c r="J256" s="38">
        <v>18</v>
      </c>
      <c r="K256" s="38">
        <f>합산자재!I194</f>
        <v>0</v>
      </c>
      <c r="L256" s="57">
        <f t="shared" si="38"/>
        <v>0</v>
      </c>
      <c r="M256" s="38">
        <f>합산자재!J194</f>
        <v>0</v>
      </c>
      <c r="N256" s="57">
        <f t="shared" si="39"/>
        <v>0</v>
      </c>
      <c r="O256" s="38">
        <f t="shared" si="40"/>
        <v>2981</v>
      </c>
      <c r="P256" s="38">
        <f t="shared" si="41"/>
        <v>53658</v>
      </c>
      <c r="Q256" s="12"/>
    </row>
    <row r="257" spans="1:31" ht="23.1" customHeight="1" x14ac:dyDescent="0.15">
      <c r="A257" s="13" t="s">
        <v>1219</v>
      </c>
      <c r="B257" s="13" t="s">
        <v>3037</v>
      </c>
      <c r="C257" s="13" t="s">
        <v>696</v>
      </c>
      <c r="D257" s="12" t="s">
        <v>672</v>
      </c>
      <c r="E257" s="12" t="s">
        <v>697</v>
      </c>
      <c r="F257" s="31" t="s">
        <v>200</v>
      </c>
      <c r="G257" s="15">
        <v>30</v>
      </c>
      <c r="H257" s="38">
        <f>합산자재!H195</f>
        <v>3800</v>
      </c>
      <c r="I257" s="57">
        <f t="shared" si="37"/>
        <v>114000</v>
      </c>
      <c r="J257" s="38">
        <v>30</v>
      </c>
      <c r="K257" s="38">
        <f>합산자재!I195</f>
        <v>0</v>
      </c>
      <c r="L257" s="57">
        <f t="shared" si="38"/>
        <v>0</v>
      </c>
      <c r="M257" s="38">
        <f>합산자재!J195</f>
        <v>0</v>
      </c>
      <c r="N257" s="57">
        <f t="shared" si="39"/>
        <v>0</v>
      </c>
      <c r="O257" s="38">
        <f t="shared" si="40"/>
        <v>3800</v>
      </c>
      <c r="P257" s="38">
        <f t="shared" si="41"/>
        <v>114000</v>
      </c>
      <c r="Q257" s="12"/>
    </row>
    <row r="258" spans="1:31" ht="23.1" customHeight="1" x14ac:dyDescent="0.15">
      <c r="A258" s="13" t="s">
        <v>1220</v>
      </c>
      <c r="B258" s="13" t="s">
        <v>3037</v>
      </c>
      <c r="C258" s="13" t="s">
        <v>698</v>
      </c>
      <c r="D258" s="12" t="s">
        <v>672</v>
      </c>
      <c r="E258" s="12" t="s">
        <v>699</v>
      </c>
      <c r="F258" s="31" t="s">
        <v>200</v>
      </c>
      <c r="G258" s="15">
        <v>4</v>
      </c>
      <c r="H258" s="38">
        <f>합산자재!H196</f>
        <v>5002</v>
      </c>
      <c r="I258" s="57">
        <f t="shared" si="37"/>
        <v>20008</v>
      </c>
      <c r="J258" s="38">
        <v>4</v>
      </c>
      <c r="K258" s="38">
        <f>합산자재!I196</f>
        <v>0</v>
      </c>
      <c r="L258" s="57">
        <f t="shared" si="38"/>
        <v>0</v>
      </c>
      <c r="M258" s="38">
        <f>합산자재!J196</f>
        <v>0</v>
      </c>
      <c r="N258" s="57">
        <f t="shared" si="39"/>
        <v>0</v>
      </c>
      <c r="O258" s="38">
        <f t="shared" si="40"/>
        <v>5002</v>
      </c>
      <c r="P258" s="38">
        <f t="shared" si="41"/>
        <v>20008</v>
      </c>
      <c r="Q258" s="12"/>
    </row>
    <row r="259" spans="1:31" ht="23.1" customHeight="1" x14ac:dyDescent="0.15">
      <c r="A259" s="13" t="s">
        <v>1221</v>
      </c>
      <c r="B259" s="13" t="s">
        <v>3037</v>
      </c>
      <c r="C259" s="13" t="s">
        <v>700</v>
      </c>
      <c r="D259" s="12" t="s">
        <v>701</v>
      </c>
      <c r="E259" s="12" t="s">
        <v>662</v>
      </c>
      <c r="F259" s="31" t="s">
        <v>200</v>
      </c>
      <c r="G259" s="15">
        <v>160</v>
      </c>
      <c r="H259" s="38">
        <f>합산자재!H197</f>
        <v>3467</v>
      </c>
      <c r="I259" s="57">
        <f t="shared" si="37"/>
        <v>554720</v>
      </c>
      <c r="J259" s="38">
        <v>160</v>
      </c>
      <c r="K259" s="38">
        <f>합산자재!I197</f>
        <v>0</v>
      </c>
      <c r="L259" s="57">
        <f t="shared" si="38"/>
        <v>0</v>
      </c>
      <c r="M259" s="38">
        <f>합산자재!J197</f>
        <v>0</v>
      </c>
      <c r="N259" s="57">
        <f t="shared" si="39"/>
        <v>0</v>
      </c>
      <c r="O259" s="38">
        <f t="shared" si="40"/>
        <v>3467</v>
      </c>
      <c r="P259" s="38">
        <f t="shared" si="41"/>
        <v>554720</v>
      </c>
      <c r="Q259" s="12"/>
    </row>
    <row r="260" spans="1:31" ht="23.1" customHeight="1" x14ac:dyDescent="0.15">
      <c r="A260" s="13" t="s">
        <v>1222</v>
      </c>
      <c r="B260" s="13" t="s">
        <v>3037</v>
      </c>
      <c r="C260" s="13" t="s">
        <v>702</v>
      </c>
      <c r="D260" s="12" t="s">
        <v>701</v>
      </c>
      <c r="E260" s="12" t="s">
        <v>664</v>
      </c>
      <c r="F260" s="31" t="s">
        <v>200</v>
      </c>
      <c r="G260" s="15">
        <v>1</v>
      </c>
      <c r="H260" s="38">
        <f>합산자재!H198</f>
        <v>4640</v>
      </c>
      <c r="I260" s="57">
        <f t="shared" si="37"/>
        <v>4640</v>
      </c>
      <c r="J260" s="38">
        <v>1</v>
      </c>
      <c r="K260" s="38">
        <f>합산자재!I198</f>
        <v>0</v>
      </c>
      <c r="L260" s="57">
        <f t="shared" si="38"/>
        <v>0</v>
      </c>
      <c r="M260" s="38">
        <f>합산자재!J198</f>
        <v>0</v>
      </c>
      <c r="N260" s="57">
        <f t="shared" si="39"/>
        <v>0</v>
      </c>
      <c r="O260" s="38">
        <f t="shared" si="40"/>
        <v>4640</v>
      </c>
      <c r="P260" s="38">
        <f t="shared" si="41"/>
        <v>4640</v>
      </c>
      <c r="Q260" s="12"/>
    </row>
    <row r="261" spans="1:31" ht="23.1" customHeight="1" x14ac:dyDescent="0.15">
      <c r="A261" s="13" t="s">
        <v>1223</v>
      </c>
      <c r="B261" s="13" t="s">
        <v>3037</v>
      </c>
      <c r="C261" s="13" t="s">
        <v>703</v>
      </c>
      <c r="D261" s="12" t="s">
        <v>701</v>
      </c>
      <c r="E261" s="12" t="s">
        <v>666</v>
      </c>
      <c r="F261" s="31" t="s">
        <v>200</v>
      </c>
      <c r="G261" s="15">
        <v>8</v>
      </c>
      <c r="H261" s="38">
        <f>합산자재!H199</f>
        <v>6705</v>
      </c>
      <c r="I261" s="57">
        <f t="shared" si="37"/>
        <v>53640</v>
      </c>
      <c r="J261" s="38">
        <v>8</v>
      </c>
      <c r="K261" s="38">
        <f>합산자재!I199</f>
        <v>0</v>
      </c>
      <c r="L261" s="57">
        <f t="shared" si="38"/>
        <v>0</v>
      </c>
      <c r="M261" s="38">
        <f>합산자재!J199</f>
        <v>0</v>
      </c>
      <c r="N261" s="57">
        <f t="shared" si="39"/>
        <v>0</v>
      </c>
      <c r="O261" s="38">
        <f t="shared" si="40"/>
        <v>6705</v>
      </c>
      <c r="P261" s="38">
        <f t="shared" si="41"/>
        <v>53640</v>
      </c>
      <c r="Q261" s="12"/>
    </row>
    <row r="262" spans="1:31" ht="23.1" customHeight="1" x14ac:dyDescent="0.15">
      <c r="A262" s="13" t="s">
        <v>1224</v>
      </c>
      <c r="B262" s="13" t="s">
        <v>3037</v>
      </c>
      <c r="C262" s="13" t="s">
        <v>704</v>
      </c>
      <c r="D262" s="12" t="s">
        <v>701</v>
      </c>
      <c r="E262" s="12" t="s">
        <v>668</v>
      </c>
      <c r="F262" s="31" t="s">
        <v>200</v>
      </c>
      <c r="G262" s="15">
        <v>23</v>
      </c>
      <c r="H262" s="38">
        <f>합산자재!H200</f>
        <v>10240</v>
      </c>
      <c r="I262" s="57">
        <f t="shared" si="37"/>
        <v>235520</v>
      </c>
      <c r="J262" s="38">
        <v>23</v>
      </c>
      <c r="K262" s="38">
        <f>합산자재!I200</f>
        <v>0</v>
      </c>
      <c r="L262" s="57">
        <f t="shared" si="38"/>
        <v>0</v>
      </c>
      <c r="M262" s="38">
        <f>합산자재!J200</f>
        <v>0</v>
      </c>
      <c r="N262" s="57">
        <f t="shared" si="39"/>
        <v>0</v>
      </c>
      <c r="O262" s="38">
        <f t="shared" si="40"/>
        <v>10240</v>
      </c>
      <c r="P262" s="38">
        <f t="shared" si="41"/>
        <v>235520</v>
      </c>
      <c r="Q262" s="12"/>
    </row>
    <row r="263" spans="1:31" ht="23.1" customHeight="1" x14ac:dyDescent="0.15">
      <c r="A263" s="13" t="s">
        <v>1225</v>
      </c>
      <c r="B263" s="13" t="s">
        <v>3037</v>
      </c>
      <c r="C263" s="13" t="s">
        <v>705</v>
      </c>
      <c r="D263" s="12" t="s">
        <v>701</v>
      </c>
      <c r="E263" s="12" t="s">
        <v>670</v>
      </c>
      <c r="F263" s="31" t="s">
        <v>200</v>
      </c>
      <c r="G263" s="15">
        <v>2</v>
      </c>
      <c r="H263" s="38">
        <f>합산자재!H201</f>
        <v>16888</v>
      </c>
      <c r="I263" s="57">
        <f t="shared" si="37"/>
        <v>33776</v>
      </c>
      <c r="J263" s="38">
        <v>2</v>
      </c>
      <c r="K263" s="38">
        <f>합산자재!I201</f>
        <v>0</v>
      </c>
      <c r="L263" s="57">
        <f t="shared" si="38"/>
        <v>0</v>
      </c>
      <c r="M263" s="38">
        <f>합산자재!J201</f>
        <v>0</v>
      </c>
      <c r="N263" s="57">
        <f t="shared" si="39"/>
        <v>0</v>
      </c>
      <c r="O263" s="38">
        <f t="shared" si="40"/>
        <v>16888</v>
      </c>
      <c r="P263" s="38">
        <f t="shared" si="41"/>
        <v>33776</v>
      </c>
      <c r="Q263" s="12"/>
    </row>
    <row r="264" spans="1:31" ht="23.1" customHeight="1" x14ac:dyDescent="0.15">
      <c r="A264" s="13" t="s">
        <v>2269</v>
      </c>
      <c r="B264" s="13" t="s">
        <v>3037</v>
      </c>
      <c r="C264" s="13" t="s">
        <v>2270</v>
      </c>
      <c r="D264" s="12" t="s">
        <v>858</v>
      </c>
      <c r="E264" s="12" t="s">
        <v>911</v>
      </c>
      <c r="F264" s="31" t="s">
        <v>559</v>
      </c>
      <c r="G264" s="15">
        <v>1</v>
      </c>
      <c r="H264" s="38">
        <f>일대목차!I195</f>
        <v>6732</v>
      </c>
      <c r="I264" s="57">
        <f t="shared" si="37"/>
        <v>6732</v>
      </c>
      <c r="J264" s="38">
        <v>1</v>
      </c>
      <c r="K264" s="38">
        <f>일대목차!L195</f>
        <v>336621</v>
      </c>
      <c r="L264" s="57">
        <f t="shared" si="38"/>
        <v>336621</v>
      </c>
      <c r="M264" s="38">
        <f>일대목차!N195</f>
        <v>0</v>
      </c>
      <c r="N264" s="57">
        <f t="shared" si="39"/>
        <v>0</v>
      </c>
      <c r="O264" s="38">
        <f t="shared" si="40"/>
        <v>343353</v>
      </c>
      <c r="P264" s="38">
        <f t="shared" si="41"/>
        <v>343353</v>
      </c>
      <c r="Q264" s="12" t="s">
        <v>2271</v>
      </c>
      <c r="AE264" s="35">
        <f t="shared" ref="AE264:AE278" si="42">L264</f>
        <v>336621</v>
      </c>
    </row>
    <row r="265" spans="1:31" ht="23.1" customHeight="1" x14ac:dyDescent="0.15">
      <c r="A265" s="13" t="s">
        <v>2224</v>
      </c>
      <c r="B265" s="13" t="s">
        <v>3037</v>
      </c>
      <c r="C265" s="13" t="s">
        <v>2225</v>
      </c>
      <c r="D265" s="12" t="s">
        <v>858</v>
      </c>
      <c r="E265" s="12" t="s">
        <v>881</v>
      </c>
      <c r="F265" s="31" t="s">
        <v>559</v>
      </c>
      <c r="G265" s="15">
        <v>1</v>
      </c>
      <c r="H265" s="38">
        <f>일대목차!I180</f>
        <v>6732</v>
      </c>
      <c r="I265" s="57">
        <f t="shared" si="37"/>
        <v>6732</v>
      </c>
      <c r="J265" s="38">
        <v>1</v>
      </c>
      <c r="K265" s="38">
        <f>일대목차!L180</f>
        <v>336621</v>
      </c>
      <c r="L265" s="57">
        <f t="shared" si="38"/>
        <v>336621</v>
      </c>
      <c r="M265" s="38">
        <f>일대목차!N180</f>
        <v>0</v>
      </c>
      <c r="N265" s="57">
        <f t="shared" si="39"/>
        <v>0</v>
      </c>
      <c r="O265" s="38">
        <f t="shared" si="40"/>
        <v>343353</v>
      </c>
      <c r="P265" s="38">
        <f t="shared" si="41"/>
        <v>343353</v>
      </c>
      <c r="Q265" s="12" t="s">
        <v>2226</v>
      </c>
      <c r="AE265" s="35">
        <f t="shared" si="42"/>
        <v>336621</v>
      </c>
    </row>
    <row r="266" spans="1:31" ht="23.1" customHeight="1" x14ac:dyDescent="0.15">
      <c r="A266" s="13" t="s">
        <v>2227</v>
      </c>
      <c r="B266" s="13" t="s">
        <v>3037</v>
      </c>
      <c r="C266" s="13" t="s">
        <v>2228</v>
      </c>
      <c r="D266" s="12" t="s">
        <v>858</v>
      </c>
      <c r="E266" s="12" t="s">
        <v>883</v>
      </c>
      <c r="F266" s="31" t="s">
        <v>559</v>
      </c>
      <c r="G266" s="15">
        <v>1</v>
      </c>
      <c r="H266" s="38">
        <f>일대목차!I181</f>
        <v>6732</v>
      </c>
      <c r="I266" s="57">
        <f t="shared" si="37"/>
        <v>6732</v>
      </c>
      <c r="J266" s="38">
        <v>1</v>
      </c>
      <c r="K266" s="38">
        <f>일대목차!L181</f>
        <v>336621</v>
      </c>
      <c r="L266" s="57">
        <f t="shared" si="38"/>
        <v>336621</v>
      </c>
      <c r="M266" s="38">
        <f>일대목차!N181</f>
        <v>0</v>
      </c>
      <c r="N266" s="57">
        <f t="shared" si="39"/>
        <v>0</v>
      </c>
      <c r="O266" s="38">
        <f t="shared" si="40"/>
        <v>343353</v>
      </c>
      <c r="P266" s="38">
        <f t="shared" si="41"/>
        <v>343353</v>
      </c>
      <c r="Q266" s="12" t="s">
        <v>2229</v>
      </c>
      <c r="AE266" s="35">
        <f t="shared" si="42"/>
        <v>336621</v>
      </c>
    </row>
    <row r="267" spans="1:31" ht="23.1" customHeight="1" x14ac:dyDescent="0.15">
      <c r="A267" s="13" t="s">
        <v>2230</v>
      </c>
      <c r="B267" s="13" t="s">
        <v>3037</v>
      </c>
      <c r="C267" s="13" t="s">
        <v>2231</v>
      </c>
      <c r="D267" s="12" t="s">
        <v>858</v>
      </c>
      <c r="E267" s="12" t="s">
        <v>885</v>
      </c>
      <c r="F267" s="31" t="s">
        <v>559</v>
      </c>
      <c r="G267" s="15">
        <v>1</v>
      </c>
      <c r="H267" s="38">
        <f>일대목차!I182</f>
        <v>6732</v>
      </c>
      <c r="I267" s="57">
        <f t="shared" si="37"/>
        <v>6732</v>
      </c>
      <c r="J267" s="38">
        <v>1</v>
      </c>
      <c r="K267" s="38">
        <f>일대목차!L182</f>
        <v>336621</v>
      </c>
      <c r="L267" s="57">
        <f t="shared" si="38"/>
        <v>336621</v>
      </c>
      <c r="M267" s="38">
        <f>일대목차!N182</f>
        <v>0</v>
      </c>
      <c r="N267" s="57">
        <f t="shared" si="39"/>
        <v>0</v>
      </c>
      <c r="O267" s="38">
        <f t="shared" si="40"/>
        <v>343353</v>
      </c>
      <c r="P267" s="38">
        <f t="shared" si="41"/>
        <v>343353</v>
      </c>
      <c r="Q267" s="12" t="s">
        <v>2232</v>
      </c>
      <c r="AE267" s="35">
        <f t="shared" si="42"/>
        <v>336621</v>
      </c>
    </row>
    <row r="268" spans="1:31" ht="23.1" customHeight="1" x14ac:dyDescent="0.15">
      <c r="A268" s="13" t="s">
        <v>2233</v>
      </c>
      <c r="B268" s="13" t="s">
        <v>3037</v>
      </c>
      <c r="C268" s="13" t="s">
        <v>2234</v>
      </c>
      <c r="D268" s="12" t="s">
        <v>858</v>
      </c>
      <c r="E268" s="12" t="s">
        <v>887</v>
      </c>
      <c r="F268" s="31" t="s">
        <v>559</v>
      </c>
      <c r="G268" s="15">
        <v>1</v>
      </c>
      <c r="H268" s="38">
        <f>일대목차!I183</f>
        <v>6732</v>
      </c>
      <c r="I268" s="57">
        <f t="shared" si="37"/>
        <v>6732</v>
      </c>
      <c r="J268" s="38">
        <v>1</v>
      </c>
      <c r="K268" s="38">
        <f>일대목차!L183</f>
        <v>336621</v>
      </c>
      <c r="L268" s="57">
        <f t="shared" si="38"/>
        <v>336621</v>
      </c>
      <c r="M268" s="38">
        <f>일대목차!N183</f>
        <v>0</v>
      </c>
      <c r="N268" s="57">
        <f t="shared" si="39"/>
        <v>0</v>
      </c>
      <c r="O268" s="38">
        <f t="shared" si="40"/>
        <v>343353</v>
      </c>
      <c r="P268" s="38">
        <f t="shared" si="41"/>
        <v>343353</v>
      </c>
      <c r="Q268" s="12" t="s">
        <v>2235</v>
      </c>
      <c r="AE268" s="35">
        <f t="shared" si="42"/>
        <v>336621</v>
      </c>
    </row>
    <row r="269" spans="1:31" ht="23.1" customHeight="1" x14ac:dyDescent="0.15">
      <c r="A269" s="13" t="s">
        <v>2236</v>
      </c>
      <c r="B269" s="13" t="s">
        <v>3037</v>
      </c>
      <c r="C269" s="13" t="s">
        <v>2237</v>
      </c>
      <c r="D269" s="12" t="s">
        <v>858</v>
      </c>
      <c r="E269" s="12" t="s">
        <v>889</v>
      </c>
      <c r="F269" s="31" t="s">
        <v>559</v>
      </c>
      <c r="G269" s="15">
        <v>1</v>
      </c>
      <c r="H269" s="38">
        <f>일대목차!I184</f>
        <v>6732</v>
      </c>
      <c r="I269" s="57">
        <f t="shared" si="37"/>
        <v>6732</v>
      </c>
      <c r="J269" s="38">
        <v>1</v>
      </c>
      <c r="K269" s="38">
        <f>일대목차!L184</f>
        <v>336621</v>
      </c>
      <c r="L269" s="57">
        <f t="shared" si="38"/>
        <v>336621</v>
      </c>
      <c r="M269" s="38">
        <f>일대목차!N184</f>
        <v>0</v>
      </c>
      <c r="N269" s="57">
        <f t="shared" si="39"/>
        <v>0</v>
      </c>
      <c r="O269" s="38">
        <f t="shared" si="40"/>
        <v>343353</v>
      </c>
      <c r="P269" s="38">
        <f t="shared" si="41"/>
        <v>343353</v>
      </c>
      <c r="Q269" s="12" t="s">
        <v>2238</v>
      </c>
      <c r="AE269" s="35">
        <f t="shared" si="42"/>
        <v>336621</v>
      </c>
    </row>
    <row r="270" spans="1:31" ht="23.1" customHeight="1" x14ac:dyDescent="0.15">
      <c r="A270" s="13" t="s">
        <v>2239</v>
      </c>
      <c r="B270" s="13" t="s">
        <v>3037</v>
      </c>
      <c r="C270" s="13" t="s">
        <v>2240</v>
      </c>
      <c r="D270" s="12" t="s">
        <v>858</v>
      </c>
      <c r="E270" s="12" t="s">
        <v>891</v>
      </c>
      <c r="F270" s="31" t="s">
        <v>559</v>
      </c>
      <c r="G270" s="15">
        <v>1</v>
      </c>
      <c r="H270" s="38">
        <f>일대목차!I185</f>
        <v>6732</v>
      </c>
      <c r="I270" s="57">
        <f t="shared" si="37"/>
        <v>6732</v>
      </c>
      <c r="J270" s="38">
        <v>1</v>
      </c>
      <c r="K270" s="38">
        <f>일대목차!L185</f>
        <v>336621</v>
      </c>
      <c r="L270" s="57">
        <f t="shared" si="38"/>
        <v>336621</v>
      </c>
      <c r="M270" s="38">
        <f>일대목차!N185</f>
        <v>0</v>
      </c>
      <c r="N270" s="57">
        <f t="shared" si="39"/>
        <v>0</v>
      </c>
      <c r="O270" s="38">
        <f t="shared" si="40"/>
        <v>343353</v>
      </c>
      <c r="P270" s="38">
        <f t="shared" si="41"/>
        <v>343353</v>
      </c>
      <c r="Q270" s="12" t="s">
        <v>2241</v>
      </c>
      <c r="AE270" s="35">
        <f t="shared" si="42"/>
        <v>336621</v>
      </c>
    </row>
    <row r="271" spans="1:31" ht="23.1" customHeight="1" x14ac:dyDescent="0.15">
      <c r="A271" s="13" t="s">
        <v>2242</v>
      </c>
      <c r="B271" s="13" t="s">
        <v>3037</v>
      </c>
      <c r="C271" s="13" t="s">
        <v>2243</v>
      </c>
      <c r="D271" s="12" t="s">
        <v>858</v>
      </c>
      <c r="E271" s="12" t="s">
        <v>893</v>
      </c>
      <c r="F271" s="31" t="s">
        <v>559</v>
      </c>
      <c r="G271" s="15">
        <v>1</v>
      </c>
      <c r="H271" s="38">
        <f>일대목차!I186</f>
        <v>6732</v>
      </c>
      <c r="I271" s="57">
        <f t="shared" si="37"/>
        <v>6732</v>
      </c>
      <c r="J271" s="38">
        <v>1</v>
      </c>
      <c r="K271" s="38">
        <f>일대목차!L186</f>
        <v>336621</v>
      </c>
      <c r="L271" s="57">
        <f t="shared" si="38"/>
        <v>336621</v>
      </c>
      <c r="M271" s="38">
        <f>일대목차!N186</f>
        <v>0</v>
      </c>
      <c r="N271" s="57">
        <f t="shared" si="39"/>
        <v>0</v>
      </c>
      <c r="O271" s="38">
        <f t="shared" si="40"/>
        <v>343353</v>
      </c>
      <c r="P271" s="38">
        <f t="shared" si="41"/>
        <v>343353</v>
      </c>
      <c r="Q271" s="12" t="s">
        <v>2244</v>
      </c>
      <c r="AE271" s="35">
        <f t="shared" si="42"/>
        <v>336621</v>
      </c>
    </row>
    <row r="272" spans="1:31" ht="23.1" customHeight="1" x14ac:dyDescent="0.15">
      <c r="A272" s="13" t="s">
        <v>2245</v>
      </c>
      <c r="B272" s="13" t="s">
        <v>3037</v>
      </c>
      <c r="C272" s="13" t="s">
        <v>2246</v>
      </c>
      <c r="D272" s="12" t="s">
        <v>858</v>
      </c>
      <c r="E272" s="12" t="s">
        <v>895</v>
      </c>
      <c r="F272" s="31" t="s">
        <v>559</v>
      </c>
      <c r="G272" s="15">
        <v>1</v>
      </c>
      <c r="H272" s="38">
        <f>일대목차!I187</f>
        <v>6732</v>
      </c>
      <c r="I272" s="57">
        <f t="shared" si="37"/>
        <v>6732</v>
      </c>
      <c r="J272" s="38">
        <v>1</v>
      </c>
      <c r="K272" s="38">
        <f>일대목차!L187</f>
        <v>336621</v>
      </c>
      <c r="L272" s="57">
        <f t="shared" si="38"/>
        <v>336621</v>
      </c>
      <c r="M272" s="38">
        <f>일대목차!N187</f>
        <v>0</v>
      </c>
      <c r="N272" s="57">
        <f t="shared" si="39"/>
        <v>0</v>
      </c>
      <c r="O272" s="38">
        <f t="shared" si="40"/>
        <v>343353</v>
      </c>
      <c r="P272" s="38">
        <f t="shared" si="41"/>
        <v>343353</v>
      </c>
      <c r="Q272" s="12" t="s">
        <v>2247</v>
      </c>
      <c r="AE272" s="35">
        <f t="shared" si="42"/>
        <v>336621</v>
      </c>
    </row>
    <row r="273" spans="1:31" ht="23.1" customHeight="1" x14ac:dyDescent="0.15">
      <c r="A273" s="13" t="s">
        <v>2218</v>
      </c>
      <c r="B273" s="13" t="s">
        <v>3037</v>
      </c>
      <c r="C273" s="13" t="s">
        <v>2219</v>
      </c>
      <c r="D273" s="12" t="s">
        <v>858</v>
      </c>
      <c r="E273" s="12" t="s">
        <v>877</v>
      </c>
      <c r="F273" s="31" t="s">
        <v>559</v>
      </c>
      <c r="G273" s="15">
        <v>1</v>
      </c>
      <c r="H273" s="38">
        <f>일대목차!I178</f>
        <v>6732</v>
      </c>
      <c r="I273" s="57">
        <f t="shared" si="37"/>
        <v>6732</v>
      </c>
      <c r="J273" s="38">
        <v>1</v>
      </c>
      <c r="K273" s="38">
        <f>일대목차!L178</f>
        <v>336621</v>
      </c>
      <c r="L273" s="57">
        <f t="shared" si="38"/>
        <v>336621</v>
      </c>
      <c r="M273" s="38">
        <f>일대목차!N178</f>
        <v>0</v>
      </c>
      <c r="N273" s="57">
        <f t="shared" si="39"/>
        <v>0</v>
      </c>
      <c r="O273" s="38">
        <f t="shared" si="40"/>
        <v>343353</v>
      </c>
      <c r="P273" s="38">
        <f t="shared" si="41"/>
        <v>343353</v>
      </c>
      <c r="Q273" s="12" t="s">
        <v>2220</v>
      </c>
      <c r="AE273" s="35">
        <f t="shared" si="42"/>
        <v>336621</v>
      </c>
    </row>
    <row r="274" spans="1:31" ht="23.1" customHeight="1" x14ac:dyDescent="0.15">
      <c r="A274" s="13" t="s">
        <v>2197</v>
      </c>
      <c r="B274" s="13" t="s">
        <v>3037</v>
      </c>
      <c r="C274" s="13" t="s">
        <v>2198</v>
      </c>
      <c r="D274" s="12" t="s">
        <v>858</v>
      </c>
      <c r="E274" s="12" t="s">
        <v>863</v>
      </c>
      <c r="F274" s="31" t="s">
        <v>559</v>
      </c>
      <c r="G274" s="15">
        <v>1</v>
      </c>
      <c r="H274" s="38">
        <f>일대목차!I171</f>
        <v>6732</v>
      </c>
      <c r="I274" s="57">
        <f t="shared" si="37"/>
        <v>6732</v>
      </c>
      <c r="J274" s="38">
        <v>1</v>
      </c>
      <c r="K274" s="38">
        <f>일대목차!L171</f>
        <v>336621</v>
      </c>
      <c r="L274" s="57">
        <f t="shared" si="38"/>
        <v>336621</v>
      </c>
      <c r="M274" s="38">
        <f>일대목차!N171</f>
        <v>0</v>
      </c>
      <c r="N274" s="57">
        <f t="shared" si="39"/>
        <v>0</v>
      </c>
      <c r="O274" s="38">
        <f t="shared" si="40"/>
        <v>343353</v>
      </c>
      <c r="P274" s="38">
        <f t="shared" si="41"/>
        <v>343353</v>
      </c>
      <c r="Q274" s="12" t="s">
        <v>2199</v>
      </c>
      <c r="AE274" s="35">
        <f t="shared" si="42"/>
        <v>336621</v>
      </c>
    </row>
    <row r="275" spans="1:31" ht="23.1" customHeight="1" x14ac:dyDescent="0.15">
      <c r="A275" s="13" t="s">
        <v>2200</v>
      </c>
      <c r="B275" s="13" t="s">
        <v>3037</v>
      </c>
      <c r="C275" s="13" t="s">
        <v>2201</v>
      </c>
      <c r="D275" s="12" t="s">
        <v>858</v>
      </c>
      <c r="E275" s="12" t="s">
        <v>865</v>
      </c>
      <c r="F275" s="31" t="s">
        <v>559</v>
      </c>
      <c r="G275" s="15">
        <v>1</v>
      </c>
      <c r="H275" s="38">
        <f>일대목차!I172</f>
        <v>6732</v>
      </c>
      <c r="I275" s="57">
        <f t="shared" si="37"/>
        <v>6732</v>
      </c>
      <c r="J275" s="38">
        <v>1</v>
      </c>
      <c r="K275" s="38">
        <f>일대목차!L172</f>
        <v>336621</v>
      </c>
      <c r="L275" s="57">
        <f t="shared" si="38"/>
        <v>336621</v>
      </c>
      <c r="M275" s="38">
        <f>일대목차!N172</f>
        <v>0</v>
      </c>
      <c r="N275" s="57">
        <f t="shared" si="39"/>
        <v>0</v>
      </c>
      <c r="O275" s="38">
        <f t="shared" si="40"/>
        <v>343353</v>
      </c>
      <c r="P275" s="38">
        <f t="shared" si="41"/>
        <v>343353</v>
      </c>
      <c r="Q275" s="12" t="s">
        <v>2202</v>
      </c>
      <c r="AE275" s="35">
        <f t="shared" si="42"/>
        <v>336621</v>
      </c>
    </row>
    <row r="276" spans="1:31" ht="23.1" customHeight="1" x14ac:dyDescent="0.15">
      <c r="A276" s="13" t="s">
        <v>2203</v>
      </c>
      <c r="B276" s="13" t="s">
        <v>3037</v>
      </c>
      <c r="C276" s="13" t="s">
        <v>2204</v>
      </c>
      <c r="D276" s="12" t="s">
        <v>858</v>
      </c>
      <c r="E276" s="12" t="s">
        <v>867</v>
      </c>
      <c r="F276" s="31" t="s">
        <v>559</v>
      </c>
      <c r="G276" s="15">
        <v>1</v>
      </c>
      <c r="H276" s="38">
        <f>일대목차!I173</f>
        <v>6732</v>
      </c>
      <c r="I276" s="57">
        <f t="shared" si="37"/>
        <v>6732</v>
      </c>
      <c r="J276" s="38">
        <v>1</v>
      </c>
      <c r="K276" s="38">
        <f>일대목차!L173</f>
        <v>336621</v>
      </c>
      <c r="L276" s="57">
        <f t="shared" si="38"/>
        <v>336621</v>
      </c>
      <c r="M276" s="38">
        <f>일대목차!N173</f>
        <v>0</v>
      </c>
      <c r="N276" s="57">
        <f t="shared" si="39"/>
        <v>0</v>
      </c>
      <c r="O276" s="38">
        <f t="shared" si="40"/>
        <v>343353</v>
      </c>
      <c r="P276" s="38">
        <f t="shared" si="41"/>
        <v>343353</v>
      </c>
      <c r="Q276" s="12" t="s">
        <v>2205</v>
      </c>
      <c r="AE276" s="35">
        <f t="shared" si="42"/>
        <v>336621</v>
      </c>
    </row>
    <row r="277" spans="1:31" ht="23.1" customHeight="1" x14ac:dyDescent="0.15">
      <c r="A277" s="13" t="s">
        <v>2272</v>
      </c>
      <c r="B277" s="13" t="s">
        <v>3037</v>
      </c>
      <c r="C277" s="13" t="s">
        <v>2273</v>
      </c>
      <c r="D277" s="12" t="s">
        <v>858</v>
      </c>
      <c r="E277" s="12" t="s">
        <v>913</v>
      </c>
      <c r="F277" s="31" t="s">
        <v>559</v>
      </c>
      <c r="G277" s="15">
        <v>1</v>
      </c>
      <c r="H277" s="38">
        <f>일대목차!I196</f>
        <v>6732</v>
      </c>
      <c r="I277" s="57">
        <f t="shared" ref="I277:I278" si="43">TRUNC(G277*H277)</f>
        <v>6732</v>
      </c>
      <c r="J277" s="38">
        <v>1</v>
      </c>
      <c r="K277" s="38">
        <f>일대목차!L196</f>
        <v>336621</v>
      </c>
      <c r="L277" s="57">
        <f t="shared" ref="L277:L278" si="44">TRUNC(G277*K277)</f>
        <v>336621</v>
      </c>
      <c r="M277" s="38">
        <f>일대목차!N196</f>
        <v>0</v>
      </c>
      <c r="N277" s="57">
        <f t="shared" ref="N277:N278" si="45">TRUNC(G277*M277)</f>
        <v>0</v>
      </c>
      <c r="O277" s="38">
        <f t="shared" si="40"/>
        <v>343353</v>
      </c>
      <c r="P277" s="38">
        <f t="shared" si="41"/>
        <v>343353</v>
      </c>
      <c r="Q277" s="12" t="s">
        <v>2274</v>
      </c>
      <c r="AE277" s="35">
        <f t="shared" si="42"/>
        <v>336621</v>
      </c>
    </row>
    <row r="278" spans="1:31" ht="23.1" customHeight="1" x14ac:dyDescent="0.15">
      <c r="A278" s="13" t="s">
        <v>2194</v>
      </c>
      <c r="B278" s="13" t="s">
        <v>3037</v>
      </c>
      <c r="C278" s="13" t="s">
        <v>2195</v>
      </c>
      <c r="D278" s="12" t="s">
        <v>858</v>
      </c>
      <c r="E278" s="12" t="s">
        <v>861</v>
      </c>
      <c r="F278" s="31" t="s">
        <v>559</v>
      </c>
      <c r="G278" s="15">
        <v>1</v>
      </c>
      <c r="H278" s="38">
        <f>일대목차!I170</f>
        <v>6732</v>
      </c>
      <c r="I278" s="57">
        <f t="shared" si="43"/>
        <v>6732</v>
      </c>
      <c r="J278" s="38">
        <v>1</v>
      </c>
      <c r="K278" s="38">
        <f>일대목차!L170</f>
        <v>336621</v>
      </c>
      <c r="L278" s="57">
        <f t="shared" si="44"/>
        <v>336621</v>
      </c>
      <c r="M278" s="38">
        <f>일대목차!N170</f>
        <v>0</v>
      </c>
      <c r="N278" s="57">
        <f t="shared" si="45"/>
        <v>0</v>
      </c>
      <c r="O278" s="38">
        <f t="shared" si="40"/>
        <v>343353</v>
      </c>
      <c r="P278" s="38">
        <f t="shared" si="41"/>
        <v>343353</v>
      </c>
      <c r="Q278" s="12" t="s">
        <v>2196</v>
      </c>
      <c r="AE278" s="35">
        <f t="shared" si="42"/>
        <v>336621</v>
      </c>
    </row>
    <row r="279" spans="1:31" ht="23.1" customHeight="1" x14ac:dyDescent="0.15">
      <c r="D279" s="12"/>
      <c r="E279" s="12"/>
      <c r="F279" s="31"/>
      <c r="G279" s="15"/>
      <c r="H279" s="38"/>
      <c r="I279" s="57"/>
      <c r="J279" s="38"/>
      <c r="K279" s="38"/>
      <c r="L279" s="57"/>
      <c r="M279" s="38"/>
      <c r="N279" s="57"/>
      <c r="O279" s="38"/>
      <c r="P279" s="38"/>
      <c r="Q279" s="12"/>
      <c r="AE279" s="35">
        <f>TRUNC(SUM(AE212:AE278))</f>
        <v>87042155</v>
      </c>
    </row>
    <row r="280" spans="1:31" ht="23.1" customHeight="1" x14ac:dyDescent="0.15">
      <c r="D280" s="12"/>
      <c r="E280" s="12"/>
      <c r="F280" s="31"/>
      <c r="G280" s="15"/>
      <c r="H280" s="38"/>
      <c r="I280" s="57"/>
      <c r="J280" s="38"/>
      <c r="K280" s="38"/>
      <c r="L280" s="57"/>
      <c r="M280" s="38"/>
      <c r="N280" s="57"/>
      <c r="O280" s="38"/>
      <c r="P280" s="38"/>
      <c r="Q280" s="12"/>
    </row>
    <row r="281" spans="1:31" ht="23.1" customHeight="1" x14ac:dyDescent="0.15">
      <c r="D281" s="12"/>
      <c r="E281" s="12"/>
      <c r="F281" s="31"/>
      <c r="G281" s="15"/>
      <c r="H281" s="38"/>
      <c r="I281" s="57"/>
      <c r="J281" s="38"/>
      <c r="K281" s="38"/>
      <c r="L281" s="57"/>
      <c r="M281" s="38"/>
      <c r="N281" s="57"/>
      <c r="O281" s="38"/>
      <c r="P281" s="38"/>
      <c r="Q281" s="12"/>
    </row>
    <row r="282" spans="1:31" ht="23.1" customHeight="1" x14ac:dyDescent="0.15">
      <c r="D282" s="12"/>
      <c r="E282" s="12"/>
      <c r="F282" s="31"/>
      <c r="G282" s="15"/>
      <c r="H282" s="38"/>
      <c r="I282" s="57"/>
      <c r="J282" s="38"/>
      <c r="K282" s="38"/>
      <c r="L282" s="57"/>
      <c r="M282" s="38"/>
      <c r="N282" s="57"/>
      <c r="O282" s="38"/>
      <c r="P282" s="38"/>
      <c r="Q282" s="12"/>
    </row>
    <row r="283" spans="1:31" ht="23.1" customHeight="1" x14ac:dyDescent="0.15">
      <c r="D283" s="12"/>
      <c r="E283" s="12"/>
      <c r="F283" s="31"/>
      <c r="G283" s="15"/>
      <c r="H283" s="38"/>
      <c r="I283" s="57"/>
      <c r="J283" s="38"/>
      <c r="K283" s="38"/>
      <c r="L283" s="57"/>
      <c r="M283" s="38"/>
      <c r="N283" s="57"/>
      <c r="O283" s="38"/>
      <c r="P283" s="38"/>
      <c r="Q283" s="12"/>
    </row>
    <row r="284" spans="1:31" ht="23.1" customHeight="1" x14ac:dyDescent="0.15">
      <c r="D284" s="12"/>
      <c r="E284" s="12"/>
      <c r="F284" s="31"/>
      <c r="G284" s="15"/>
      <c r="H284" s="38"/>
      <c r="I284" s="57"/>
      <c r="J284" s="38"/>
      <c r="K284" s="38"/>
      <c r="L284" s="57"/>
      <c r="M284" s="38"/>
      <c r="N284" s="57"/>
      <c r="O284" s="38"/>
      <c r="P284" s="38"/>
      <c r="Q284" s="12"/>
    </row>
    <row r="285" spans="1:31" ht="23.1" customHeight="1" x14ac:dyDescent="0.15">
      <c r="D285" s="12"/>
      <c r="E285" s="12"/>
      <c r="F285" s="31"/>
      <c r="G285" s="15"/>
      <c r="H285" s="38"/>
      <c r="I285" s="57"/>
      <c r="J285" s="38"/>
      <c r="K285" s="38"/>
      <c r="L285" s="57"/>
      <c r="M285" s="38"/>
      <c r="N285" s="57"/>
      <c r="O285" s="38"/>
      <c r="P285" s="38"/>
      <c r="Q285" s="12"/>
    </row>
    <row r="286" spans="1:31" ht="23.1" customHeight="1" x14ac:dyDescent="0.15">
      <c r="D286" s="12"/>
      <c r="E286" s="12"/>
      <c r="F286" s="31"/>
      <c r="G286" s="15"/>
      <c r="H286" s="38"/>
      <c r="I286" s="57"/>
      <c r="J286" s="38"/>
      <c r="K286" s="38"/>
      <c r="L286" s="57"/>
      <c r="M286" s="38"/>
      <c r="N286" s="57"/>
      <c r="O286" s="38"/>
      <c r="P286" s="38"/>
      <c r="Q286" s="12"/>
    </row>
    <row r="287" spans="1:31" ht="23.1" customHeight="1" x14ac:dyDescent="0.15">
      <c r="D287" s="12"/>
      <c r="E287" s="12"/>
      <c r="F287" s="31"/>
      <c r="G287" s="15"/>
      <c r="H287" s="38"/>
      <c r="I287" s="57"/>
      <c r="J287" s="38"/>
      <c r="K287" s="38"/>
      <c r="L287" s="57"/>
      <c r="M287" s="38"/>
      <c r="N287" s="57"/>
      <c r="O287" s="38"/>
      <c r="P287" s="38"/>
      <c r="Q287" s="12"/>
    </row>
    <row r="288" spans="1:31" ht="23.1" customHeight="1" x14ac:dyDescent="0.15">
      <c r="D288" s="12"/>
      <c r="E288" s="12"/>
      <c r="F288" s="31"/>
      <c r="G288" s="15"/>
      <c r="H288" s="38"/>
      <c r="I288" s="57"/>
      <c r="J288" s="38"/>
      <c r="K288" s="38"/>
      <c r="L288" s="57"/>
      <c r="M288" s="38"/>
      <c r="N288" s="57"/>
      <c r="O288" s="38"/>
      <c r="P288" s="38"/>
      <c r="Q288" s="12"/>
    </row>
    <row r="289" spans="1:31" ht="23.1" customHeight="1" x14ac:dyDescent="0.15">
      <c r="B289" s="13" t="s">
        <v>2360</v>
      </c>
      <c r="D289" s="12" t="s">
        <v>2361</v>
      </c>
      <c r="E289" s="12"/>
      <c r="F289" s="31"/>
      <c r="G289" s="15"/>
      <c r="H289" s="38"/>
      <c r="I289" s="57">
        <f>TRUNC(SUM(I212:I288))</f>
        <v>51374819</v>
      </c>
      <c r="J289" s="38"/>
      <c r="K289" s="38"/>
      <c r="L289" s="57">
        <f>TRUNC(SUM(L212:L288))</f>
        <v>87042155</v>
      </c>
      <c r="M289" s="38"/>
      <c r="N289" s="57">
        <f>TRUNC(SUM(N212:N288))</f>
        <v>0</v>
      </c>
      <c r="O289" s="38" t="str">
        <f>IF((H289+K289+M289)=0, "", (H289+K289+M289))</f>
        <v/>
      </c>
      <c r="P289" s="38">
        <f>TRUNC(SUM(P212:P288))</f>
        <v>138416974</v>
      </c>
      <c r="Q289" s="12"/>
    </row>
    <row r="290" spans="1:31" ht="23.1" customHeight="1" x14ac:dyDescent="0.15">
      <c r="B290" s="13" t="s">
        <v>1448</v>
      </c>
      <c r="D290" s="170" t="s">
        <v>3171</v>
      </c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2"/>
    </row>
    <row r="291" spans="1:31" ht="23.1" customHeight="1" x14ac:dyDescent="0.15">
      <c r="A291" s="13" t="s">
        <v>1042</v>
      </c>
      <c r="B291" s="13" t="s">
        <v>3038</v>
      </c>
      <c r="C291" s="13" t="s">
        <v>209</v>
      </c>
      <c r="D291" s="12" t="s">
        <v>198</v>
      </c>
      <c r="E291" s="12" t="s">
        <v>210</v>
      </c>
      <c r="F291" s="31" t="s">
        <v>200</v>
      </c>
      <c r="G291" s="15">
        <v>4</v>
      </c>
      <c r="H291" s="38">
        <f>합산자재!H18</f>
        <v>1900</v>
      </c>
      <c r="I291" s="57">
        <f t="shared" ref="I291:I306" si="46">TRUNC(G291*H291)</f>
        <v>7600</v>
      </c>
      <c r="J291" s="38">
        <v>4</v>
      </c>
      <c r="K291" s="38">
        <f>합산자재!I18</f>
        <v>0</v>
      </c>
      <c r="L291" s="57">
        <f t="shared" ref="L291:L306" si="47">TRUNC(G291*K291)</f>
        <v>0</v>
      </c>
      <c r="M291" s="38">
        <f>합산자재!J18</f>
        <v>0</v>
      </c>
      <c r="N291" s="57">
        <f t="shared" ref="N291:N306" si="48">TRUNC(G291*M291)</f>
        <v>0</v>
      </c>
      <c r="O291" s="38">
        <f t="shared" ref="O291:O306" si="49">IF((H291+K291+M291)=0, "", (H291+K291+M291))</f>
        <v>1900</v>
      </c>
      <c r="P291" s="38">
        <f t="shared" ref="P291:P306" si="50">SUM(I291,L291,N291)</f>
        <v>7600</v>
      </c>
      <c r="Q291" s="12"/>
    </row>
    <row r="292" spans="1:31" ht="23.1" customHeight="1" x14ac:dyDescent="0.15">
      <c r="A292" s="13" t="s">
        <v>1043</v>
      </c>
      <c r="B292" s="13" t="s">
        <v>3038</v>
      </c>
      <c r="C292" s="13" t="s">
        <v>211</v>
      </c>
      <c r="D292" s="12" t="s">
        <v>198</v>
      </c>
      <c r="E292" s="12" t="s">
        <v>212</v>
      </c>
      <c r="F292" s="31" t="s">
        <v>200</v>
      </c>
      <c r="G292" s="15">
        <v>2</v>
      </c>
      <c r="H292" s="38">
        <f>합산자재!H19</f>
        <v>2750</v>
      </c>
      <c r="I292" s="57">
        <f t="shared" si="46"/>
        <v>5500</v>
      </c>
      <c r="J292" s="38">
        <v>2</v>
      </c>
      <c r="K292" s="38">
        <f>합산자재!I19</f>
        <v>0</v>
      </c>
      <c r="L292" s="57">
        <f t="shared" si="47"/>
        <v>0</v>
      </c>
      <c r="M292" s="38">
        <f>합산자재!J19</f>
        <v>0</v>
      </c>
      <c r="N292" s="57">
        <f t="shared" si="48"/>
        <v>0</v>
      </c>
      <c r="O292" s="38">
        <f t="shared" si="49"/>
        <v>2750</v>
      </c>
      <c r="P292" s="38">
        <f t="shared" si="50"/>
        <v>5500</v>
      </c>
      <c r="Q292" s="12"/>
    </row>
    <row r="293" spans="1:31" ht="23.1" customHeight="1" x14ac:dyDescent="0.15">
      <c r="A293" s="13" t="s">
        <v>1824</v>
      </c>
      <c r="B293" s="13" t="s">
        <v>3038</v>
      </c>
      <c r="C293" s="13" t="s">
        <v>1825</v>
      </c>
      <c r="D293" s="12" t="s">
        <v>198</v>
      </c>
      <c r="E293" s="12" t="s">
        <v>224</v>
      </c>
      <c r="F293" s="31" t="s">
        <v>166</v>
      </c>
      <c r="G293" s="15">
        <v>7</v>
      </c>
      <c r="H293" s="38">
        <f>일대목차!I47</f>
        <v>3409</v>
      </c>
      <c r="I293" s="57">
        <f t="shared" si="46"/>
        <v>23863</v>
      </c>
      <c r="J293" s="38">
        <v>7</v>
      </c>
      <c r="K293" s="38">
        <f>일대목차!L47</f>
        <v>21428</v>
      </c>
      <c r="L293" s="57">
        <f t="shared" si="47"/>
        <v>149996</v>
      </c>
      <c r="M293" s="38">
        <f>일대목차!N47</f>
        <v>0</v>
      </c>
      <c r="N293" s="57">
        <f t="shared" si="48"/>
        <v>0</v>
      </c>
      <c r="O293" s="38">
        <f t="shared" si="49"/>
        <v>24837</v>
      </c>
      <c r="P293" s="38">
        <f t="shared" si="50"/>
        <v>173859</v>
      </c>
      <c r="Q293" s="12" t="s">
        <v>1826</v>
      </c>
      <c r="AC293" s="35">
        <f>G293*H293</f>
        <v>23863</v>
      </c>
      <c r="AE293" s="35">
        <f t="shared" ref="AE293:AE303" si="51">L293</f>
        <v>149996</v>
      </c>
    </row>
    <row r="294" spans="1:31" ht="23.1" customHeight="1" x14ac:dyDescent="0.15">
      <c r="A294" s="13" t="s">
        <v>1827</v>
      </c>
      <c r="B294" s="13" t="s">
        <v>3038</v>
      </c>
      <c r="C294" s="13" t="s">
        <v>1828</v>
      </c>
      <c r="D294" s="12" t="s">
        <v>198</v>
      </c>
      <c r="E294" s="12" t="s">
        <v>226</v>
      </c>
      <c r="F294" s="31" t="s">
        <v>166</v>
      </c>
      <c r="G294" s="15">
        <v>2</v>
      </c>
      <c r="H294" s="38">
        <f>일대목차!I48</f>
        <v>4439</v>
      </c>
      <c r="I294" s="57">
        <f t="shared" si="46"/>
        <v>8878</v>
      </c>
      <c r="J294" s="38">
        <v>2</v>
      </c>
      <c r="K294" s="38">
        <f>일대목차!L48</f>
        <v>25616</v>
      </c>
      <c r="L294" s="57">
        <f t="shared" si="47"/>
        <v>51232</v>
      </c>
      <c r="M294" s="38">
        <f>일대목차!N48</f>
        <v>0</v>
      </c>
      <c r="N294" s="57">
        <f t="shared" si="48"/>
        <v>0</v>
      </c>
      <c r="O294" s="38">
        <f t="shared" si="49"/>
        <v>30055</v>
      </c>
      <c r="P294" s="38">
        <f t="shared" si="50"/>
        <v>60110</v>
      </c>
      <c r="Q294" s="12" t="s">
        <v>1829</v>
      </c>
      <c r="AC294" s="35">
        <f>G294*H294</f>
        <v>8878</v>
      </c>
      <c r="AE294" s="35">
        <f t="shared" si="51"/>
        <v>51232</v>
      </c>
    </row>
    <row r="295" spans="1:31" ht="23.1" customHeight="1" x14ac:dyDescent="0.15">
      <c r="A295" s="13" t="s">
        <v>1857</v>
      </c>
      <c r="B295" s="13" t="s">
        <v>3038</v>
      </c>
      <c r="C295" s="13" t="s">
        <v>1858</v>
      </c>
      <c r="D295" s="12" t="s">
        <v>291</v>
      </c>
      <c r="E295" s="12" t="s">
        <v>294</v>
      </c>
      <c r="F295" s="31" t="s">
        <v>200</v>
      </c>
      <c r="G295" s="15">
        <v>2</v>
      </c>
      <c r="H295" s="38">
        <f>일대목차!I58</f>
        <v>5563</v>
      </c>
      <c r="I295" s="57">
        <f t="shared" si="46"/>
        <v>11126</v>
      </c>
      <c r="J295" s="38">
        <v>2</v>
      </c>
      <c r="K295" s="38">
        <f>일대목차!L58</f>
        <v>135469</v>
      </c>
      <c r="L295" s="57">
        <f t="shared" si="47"/>
        <v>270938</v>
      </c>
      <c r="M295" s="38">
        <f>일대목차!N58</f>
        <v>0</v>
      </c>
      <c r="N295" s="57">
        <f t="shared" si="48"/>
        <v>0</v>
      </c>
      <c r="O295" s="38">
        <f t="shared" si="49"/>
        <v>141032</v>
      </c>
      <c r="P295" s="38">
        <f t="shared" si="50"/>
        <v>282064</v>
      </c>
      <c r="Q295" s="12" t="s">
        <v>1859</v>
      </c>
      <c r="AE295" s="35">
        <f t="shared" si="51"/>
        <v>270938</v>
      </c>
    </row>
    <row r="296" spans="1:31" ht="23.1" customHeight="1" x14ac:dyDescent="0.15">
      <c r="A296" s="13" t="s">
        <v>1912</v>
      </c>
      <c r="B296" s="13" t="s">
        <v>3038</v>
      </c>
      <c r="C296" s="13" t="s">
        <v>1913</v>
      </c>
      <c r="D296" s="12" t="s">
        <v>408</v>
      </c>
      <c r="E296" s="12" t="s">
        <v>413</v>
      </c>
      <c r="F296" s="31" t="s">
        <v>166</v>
      </c>
      <c r="G296" s="15">
        <v>9</v>
      </c>
      <c r="H296" s="38">
        <f>일대목차!I76</f>
        <v>1183</v>
      </c>
      <c r="I296" s="57">
        <f t="shared" si="46"/>
        <v>10647</v>
      </c>
      <c r="J296" s="38">
        <v>9</v>
      </c>
      <c r="K296" s="38">
        <f>일대목차!L76</f>
        <v>2463</v>
      </c>
      <c r="L296" s="57">
        <f t="shared" si="47"/>
        <v>22167</v>
      </c>
      <c r="M296" s="38">
        <f>일대목차!N76</f>
        <v>0</v>
      </c>
      <c r="N296" s="57">
        <f t="shared" si="48"/>
        <v>0</v>
      </c>
      <c r="O296" s="38">
        <f t="shared" si="49"/>
        <v>3646</v>
      </c>
      <c r="P296" s="38">
        <f t="shared" si="50"/>
        <v>32814</v>
      </c>
      <c r="Q296" s="12" t="s">
        <v>1914</v>
      </c>
      <c r="AC296" s="35">
        <f>G296*H296</f>
        <v>10647</v>
      </c>
      <c r="AE296" s="35">
        <f t="shared" si="51"/>
        <v>22167</v>
      </c>
    </row>
    <row r="297" spans="1:31" ht="23.1" customHeight="1" x14ac:dyDescent="0.15">
      <c r="A297" s="13" t="s">
        <v>1915</v>
      </c>
      <c r="B297" s="13" t="s">
        <v>3038</v>
      </c>
      <c r="C297" s="13" t="s">
        <v>1916</v>
      </c>
      <c r="D297" s="12" t="s">
        <v>408</v>
      </c>
      <c r="E297" s="12" t="s">
        <v>415</v>
      </c>
      <c r="F297" s="31" t="s">
        <v>166</v>
      </c>
      <c r="G297" s="15">
        <v>8</v>
      </c>
      <c r="H297" s="38">
        <f>일대목차!I77</f>
        <v>2106</v>
      </c>
      <c r="I297" s="57">
        <f t="shared" si="46"/>
        <v>16848</v>
      </c>
      <c r="J297" s="38">
        <v>8</v>
      </c>
      <c r="K297" s="38">
        <f>일대목차!L77</f>
        <v>2463</v>
      </c>
      <c r="L297" s="57">
        <f t="shared" si="47"/>
        <v>19704</v>
      </c>
      <c r="M297" s="38">
        <f>일대목차!N77</f>
        <v>0</v>
      </c>
      <c r="N297" s="57">
        <f t="shared" si="48"/>
        <v>0</v>
      </c>
      <c r="O297" s="38">
        <f t="shared" si="49"/>
        <v>4569</v>
      </c>
      <c r="P297" s="38">
        <f t="shared" si="50"/>
        <v>36552</v>
      </c>
      <c r="Q297" s="12" t="s">
        <v>1917</v>
      </c>
      <c r="AC297" s="35">
        <f>G297*H297</f>
        <v>16848</v>
      </c>
      <c r="AE297" s="35">
        <f t="shared" si="51"/>
        <v>19704</v>
      </c>
    </row>
    <row r="298" spans="1:31" ht="23.1" customHeight="1" x14ac:dyDescent="0.15">
      <c r="A298" s="13" t="s">
        <v>1987</v>
      </c>
      <c r="B298" s="13" t="s">
        <v>3038</v>
      </c>
      <c r="C298" s="13" t="s">
        <v>1988</v>
      </c>
      <c r="D298" s="12" t="s">
        <v>466</v>
      </c>
      <c r="E298" s="12" t="s">
        <v>475</v>
      </c>
      <c r="F298" s="31" t="s">
        <v>166</v>
      </c>
      <c r="G298" s="15">
        <v>9</v>
      </c>
      <c r="H298" s="38">
        <f>일대목차!I101</f>
        <v>5926</v>
      </c>
      <c r="I298" s="57">
        <f t="shared" si="46"/>
        <v>53334</v>
      </c>
      <c r="J298" s="38">
        <v>9</v>
      </c>
      <c r="K298" s="38">
        <f>일대목차!L101</f>
        <v>7908</v>
      </c>
      <c r="L298" s="57">
        <f t="shared" si="47"/>
        <v>71172</v>
      </c>
      <c r="M298" s="38">
        <f>일대목차!N101</f>
        <v>0</v>
      </c>
      <c r="N298" s="57">
        <f t="shared" si="48"/>
        <v>0</v>
      </c>
      <c r="O298" s="38">
        <f t="shared" si="49"/>
        <v>13834</v>
      </c>
      <c r="P298" s="38">
        <f t="shared" si="50"/>
        <v>124506</v>
      </c>
      <c r="Q298" s="12" t="s">
        <v>1989</v>
      </c>
      <c r="AC298" s="35">
        <f>G298*H298</f>
        <v>53334</v>
      </c>
      <c r="AE298" s="35">
        <f t="shared" si="51"/>
        <v>71172</v>
      </c>
    </row>
    <row r="299" spans="1:31" ht="23.1" customHeight="1" x14ac:dyDescent="0.15">
      <c r="A299" s="13" t="s">
        <v>1990</v>
      </c>
      <c r="B299" s="13" t="s">
        <v>3038</v>
      </c>
      <c r="C299" s="13" t="s">
        <v>1991</v>
      </c>
      <c r="D299" s="12" t="s">
        <v>466</v>
      </c>
      <c r="E299" s="12" t="s">
        <v>477</v>
      </c>
      <c r="F299" s="31" t="s">
        <v>166</v>
      </c>
      <c r="G299" s="15">
        <v>8</v>
      </c>
      <c r="H299" s="38">
        <f>일대목차!I102</f>
        <v>8753</v>
      </c>
      <c r="I299" s="57">
        <f t="shared" si="46"/>
        <v>70024</v>
      </c>
      <c r="J299" s="38">
        <v>8</v>
      </c>
      <c r="K299" s="38">
        <f>일대목차!L102</f>
        <v>10949</v>
      </c>
      <c r="L299" s="57">
        <f t="shared" si="47"/>
        <v>87592</v>
      </c>
      <c r="M299" s="38">
        <f>일대목차!N102</f>
        <v>0</v>
      </c>
      <c r="N299" s="57">
        <f t="shared" si="48"/>
        <v>0</v>
      </c>
      <c r="O299" s="38">
        <f t="shared" si="49"/>
        <v>19702</v>
      </c>
      <c r="P299" s="38">
        <f t="shared" si="50"/>
        <v>157616</v>
      </c>
      <c r="Q299" s="12" t="s">
        <v>1992</v>
      </c>
      <c r="AC299" s="35">
        <f>G299*H299</f>
        <v>70024</v>
      </c>
      <c r="AE299" s="35">
        <f t="shared" si="51"/>
        <v>87592</v>
      </c>
    </row>
    <row r="300" spans="1:31" ht="23.1" customHeight="1" x14ac:dyDescent="0.15">
      <c r="A300" s="13" t="s">
        <v>1688</v>
      </c>
      <c r="B300" s="13" t="s">
        <v>3038</v>
      </c>
      <c r="C300" s="13" t="s">
        <v>1689</v>
      </c>
      <c r="D300" s="12" t="s">
        <v>1674</v>
      </c>
      <c r="E300" s="12" t="s">
        <v>1691</v>
      </c>
      <c r="F300" s="31" t="s">
        <v>792</v>
      </c>
      <c r="G300" s="15">
        <v>3</v>
      </c>
      <c r="H300" s="38">
        <f>일대목차!I10</f>
        <v>19622</v>
      </c>
      <c r="I300" s="57">
        <f t="shared" si="46"/>
        <v>58866</v>
      </c>
      <c r="J300" s="38">
        <v>3</v>
      </c>
      <c r="K300" s="38">
        <f>일대목차!L10</f>
        <v>9852</v>
      </c>
      <c r="L300" s="57">
        <f t="shared" si="47"/>
        <v>29556</v>
      </c>
      <c r="M300" s="38">
        <f>일대목차!N10</f>
        <v>0</v>
      </c>
      <c r="N300" s="57">
        <f t="shared" si="48"/>
        <v>0</v>
      </c>
      <c r="O300" s="38">
        <f t="shared" si="49"/>
        <v>29474</v>
      </c>
      <c r="P300" s="38">
        <f t="shared" si="50"/>
        <v>88422</v>
      </c>
      <c r="Q300" s="12" t="s">
        <v>1690</v>
      </c>
      <c r="AE300" s="35">
        <f t="shared" si="51"/>
        <v>29556</v>
      </c>
    </row>
    <row r="301" spans="1:31" ht="23.1" customHeight="1" x14ac:dyDescent="0.15">
      <c r="A301" s="13" t="s">
        <v>1722</v>
      </c>
      <c r="B301" s="13" t="s">
        <v>3038</v>
      </c>
      <c r="C301" s="13" t="s">
        <v>1723</v>
      </c>
      <c r="D301" s="12" t="s">
        <v>1720</v>
      </c>
      <c r="E301" s="12" t="s">
        <v>1725</v>
      </c>
      <c r="F301" s="31" t="s">
        <v>792</v>
      </c>
      <c r="G301" s="15">
        <v>1</v>
      </c>
      <c r="H301" s="38">
        <f>일대목차!I18</f>
        <v>41357</v>
      </c>
      <c r="I301" s="57">
        <f t="shared" si="46"/>
        <v>41357</v>
      </c>
      <c r="J301" s="38">
        <v>1</v>
      </c>
      <c r="K301" s="38">
        <f>일대목차!L18</f>
        <v>251781</v>
      </c>
      <c r="L301" s="57">
        <f t="shared" si="47"/>
        <v>251781</v>
      </c>
      <c r="M301" s="38">
        <f>일대목차!N18</f>
        <v>0</v>
      </c>
      <c r="N301" s="57">
        <f t="shared" si="48"/>
        <v>0</v>
      </c>
      <c r="O301" s="38">
        <f t="shared" si="49"/>
        <v>293138</v>
      </c>
      <c r="P301" s="38">
        <f t="shared" si="50"/>
        <v>293138</v>
      </c>
      <c r="Q301" s="12" t="s">
        <v>1724</v>
      </c>
      <c r="AE301" s="35">
        <f t="shared" si="51"/>
        <v>251781</v>
      </c>
    </row>
    <row r="302" spans="1:31" ht="23.1" customHeight="1" x14ac:dyDescent="0.15">
      <c r="A302" s="13" t="s">
        <v>1726</v>
      </c>
      <c r="B302" s="13" t="s">
        <v>3038</v>
      </c>
      <c r="C302" s="13" t="s">
        <v>1727</v>
      </c>
      <c r="D302" s="12" t="s">
        <v>1720</v>
      </c>
      <c r="E302" s="12" t="s">
        <v>1729</v>
      </c>
      <c r="F302" s="31" t="s">
        <v>792</v>
      </c>
      <c r="G302" s="15">
        <v>1</v>
      </c>
      <c r="H302" s="38">
        <f>일대목차!I19</f>
        <v>41395</v>
      </c>
      <c r="I302" s="57">
        <f t="shared" si="46"/>
        <v>41395</v>
      </c>
      <c r="J302" s="38">
        <v>1</v>
      </c>
      <c r="K302" s="38">
        <f>일대목차!L19</f>
        <v>251781</v>
      </c>
      <c r="L302" s="57">
        <f t="shared" si="47"/>
        <v>251781</v>
      </c>
      <c r="M302" s="38">
        <f>일대목차!N19</f>
        <v>0</v>
      </c>
      <c r="N302" s="57">
        <f t="shared" si="48"/>
        <v>0</v>
      </c>
      <c r="O302" s="38">
        <f t="shared" si="49"/>
        <v>293176</v>
      </c>
      <c r="P302" s="38">
        <f t="shared" si="50"/>
        <v>293176</v>
      </c>
      <c r="Q302" s="12" t="s">
        <v>1728</v>
      </c>
      <c r="AE302" s="35">
        <f t="shared" si="51"/>
        <v>251781</v>
      </c>
    </row>
    <row r="303" spans="1:31" ht="23.1" customHeight="1" x14ac:dyDescent="0.15">
      <c r="A303" s="13" t="s">
        <v>2113</v>
      </c>
      <c r="B303" s="13" t="s">
        <v>3038</v>
      </c>
      <c r="C303" s="13" t="s">
        <v>2114</v>
      </c>
      <c r="D303" s="12" t="s">
        <v>656</v>
      </c>
      <c r="E303" s="12" t="s">
        <v>666</v>
      </c>
      <c r="F303" s="31" t="s">
        <v>166</v>
      </c>
      <c r="G303" s="15">
        <v>4</v>
      </c>
      <c r="H303" s="38">
        <f>일대목차!I143</f>
        <v>8442</v>
      </c>
      <c r="I303" s="57">
        <f t="shared" si="46"/>
        <v>33768</v>
      </c>
      <c r="J303" s="38">
        <v>4</v>
      </c>
      <c r="K303" s="38">
        <f>일대목차!L143</f>
        <v>38424</v>
      </c>
      <c r="L303" s="57">
        <f t="shared" si="47"/>
        <v>153696</v>
      </c>
      <c r="M303" s="38">
        <f>일대목차!N143</f>
        <v>0</v>
      </c>
      <c r="N303" s="57">
        <f t="shared" si="48"/>
        <v>0</v>
      </c>
      <c r="O303" s="38">
        <f t="shared" si="49"/>
        <v>46866</v>
      </c>
      <c r="P303" s="38">
        <f t="shared" si="50"/>
        <v>187464</v>
      </c>
      <c r="Q303" s="12" t="s">
        <v>2115</v>
      </c>
      <c r="AB303" s="35">
        <f>I303</f>
        <v>33768</v>
      </c>
      <c r="AC303" s="35">
        <f>G303*H303</f>
        <v>33768</v>
      </c>
      <c r="AE303" s="35">
        <f t="shared" si="51"/>
        <v>153696</v>
      </c>
    </row>
    <row r="304" spans="1:31" ht="23.1" customHeight="1" x14ac:dyDescent="0.15">
      <c r="A304" s="13" t="s">
        <v>1211</v>
      </c>
      <c r="B304" s="13" t="s">
        <v>3038</v>
      </c>
      <c r="C304" s="13" t="s">
        <v>680</v>
      </c>
      <c r="D304" s="12" t="s">
        <v>672</v>
      </c>
      <c r="E304" s="12" t="s">
        <v>681</v>
      </c>
      <c r="F304" s="31" t="s">
        <v>200</v>
      </c>
      <c r="G304" s="15">
        <v>1</v>
      </c>
      <c r="H304" s="38">
        <f>합산자재!H187</f>
        <v>2721</v>
      </c>
      <c r="I304" s="57">
        <f t="shared" si="46"/>
        <v>2721</v>
      </c>
      <c r="J304" s="38">
        <v>1</v>
      </c>
      <c r="K304" s="38">
        <f>합산자재!I187</f>
        <v>0</v>
      </c>
      <c r="L304" s="57">
        <f t="shared" si="47"/>
        <v>0</v>
      </c>
      <c r="M304" s="38">
        <f>합산자재!J187</f>
        <v>0</v>
      </c>
      <c r="N304" s="57">
        <f t="shared" si="48"/>
        <v>0</v>
      </c>
      <c r="O304" s="38">
        <f t="shared" si="49"/>
        <v>2721</v>
      </c>
      <c r="P304" s="38">
        <f t="shared" si="50"/>
        <v>2721</v>
      </c>
      <c r="Q304" s="12"/>
    </row>
    <row r="305" spans="1:31" ht="23.1" customHeight="1" x14ac:dyDescent="0.15">
      <c r="A305" s="13" t="s">
        <v>1218</v>
      </c>
      <c r="B305" s="13" t="s">
        <v>3038</v>
      </c>
      <c r="C305" s="13" t="s">
        <v>694</v>
      </c>
      <c r="D305" s="12" t="s">
        <v>672</v>
      </c>
      <c r="E305" s="12" t="s">
        <v>695</v>
      </c>
      <c r="F305" s="31" t="s">
        <v>200</v>
      </c>
      <c r="G305" s="15">
        <v>2</v>
      </c>
      <c r="H305" s="38">
        <f>합산자재!H194</f>
        <v>2981</v>
      </c>
      <c r="I305" s="57">
        <f t="shared" si="46"/>
        <v>5962</v>
      </c>
      <c r="J305" s="38">
        <v>2</v>
      </c>
      <c r="K305" s="38">
        <f>합산자재!I194</f>
        <v>0</v>
      </c>
      <c r="L305" s="57">
        <f t="shared" si="47"/>
        <v>0</v>
      </c>
      <c r="M305" s="38">
        <f>합산자재!J194</f>
        <v>0</v>
      </c>
      <c r="N305" s="57">
        <f t="shared" si="48"/>
        <v>0</v>
      </c>
      <c r="O305" s="38">
        <f t="shared" si="49"/>
        <v>2981</v>
      </c>
      <c r="P305" s="38">
        <f t="shared" si="50"/>
        <v>5962</v>
      </c>
      <c r="Q305" s="12"/>
    </row>
    <row r="306" spans="1:31" ht="23.1" customHeight="1" x14ac:dyDescent="0.15">
      <c r="A306" s="13" t="s">
        <v>1223</v>
      </c>
      <c r="B306" s="13" t="s">
        <v>3038</v>
      </c>
      <c r="C306" s="13" t="s">
        <v>703</v>
      </c>
      <c r="D306" s="12" t="s">
        <v>701</v>
      </c>
      <c r="E306" s="12" t="s">
        <v>666</v>
      </c>
      <c r="F306" s="31" t="s">
        <v>200</v>
      </c>
      <c r="G306" s="15">
        <v>3</v>
      </c>
      <c r="H306" s="38">
        <f>합산자재!H199</f>
        <v>6705</v>
      </c>
      <c r="I306" s="57">
        <f t="shared" si="46"/>
        <v>20115</v>
      </c>
      <c r="J306" s="38">
        <v>3</v>
      </c>
      <c r="K306" s="38">
        <f>합산자재!I199</f>
        <v>0</v>
      </c>
      <c r="L306" s="57">
        <f t="shared" si="47"/>
        <v>0</v>
      </c>
      <c r="M306" s="38">
        <f>합산자재!J199</f>
        <v>0</v>
      </c>
      <c r="N306" s="57">
        <f t="shared" si="48"/>
        <v>0</v>
      </c>
      <c r="O306" s="38">
        <f t="shared" si="49"/>
        <v>6705</v>
      </c>
      <c r="P306" s="38">
        <f t="shared" si="50"/>
        <v>20115</v>
      </c>
      <c r="Q306" s="12"/>
    </row>
    <row r="307" spans="1:31" ht="23.1" customHeight="1" x14ac:dyDescent="0.15">
      <c r="D307" s="12"/>
      <c r="E307" s="12"/>
      <c r="F307" s="31"/>
      <c r="G307" s="15"/>
      <c r="H307" s="38"/>
      <c r="I307" s="57"/>
      <c r="J307" s="38"/>
      <c r="K307" s="38"/>
      <c r="L307" s="57"/>
      <c r="M307" s="38"/>
      <c r="N307" s="57"/>
      <c r="O307" s="38"/>
      <c r="P307" s="38"/>
      <c r="Q307" s="12"/>
      <c r="AE307" s="35">
        <f>TRUNC(SUM(AE290:AE306))</f>
        <v>1359615</v>
      </c>
    </row>
    <row r="308" spans="1:31" ht="23.1" customHeight="1" x14ac:dyDescent="0.15">
      <c r="D308" s="12"/>
      <c r="E308" s="12"/>
      <c r="F308" s="31"/>
      <c r="G308" s="15"/>
      <c r="H308" s="38"/>
      <c r="I308" s="57"/>
      <c r="J308" s="38"/>
      <c r="K308" s="38"/>
      <c r="L308" s="57"/>
      <c r="M308" s="38"/>
      <c r="N308" s="57"/>
      <c r="O308" s="38"/>
      <c r="P308" s="38"/>
      <c r="Q308" s="12"/>
    </row>
    <row r="309" spans="1:31" ht="23.1" customHeight="1" x14ac:dyDescent="0.15">
      <c r="D309" s="12"/>
      <c r="E309" s="12"/>
      <c r="F309" s="31"/>
      <c r="G309" s="15"/>
      <c r="H309" s="38"/>
      <c r="I309" s="57"/>
      <c r="J309" s="38"/>
      <c r="K309" s="38"/>
      <c r="L309" s="57"/>
      <c r="M309" s="38"/>
      <c r="N309" s="57"/>
      <c r="O309" s="38"/>
      <c r="P309" s="38"/>
      <c r="Q309" s="12"/>
    </row>
    <row r="310" spans="1:31" ht="23.1" customHeight="1" x14ac:dyDescent="0.15">
      <c r="D310" s="12"/>
      <c r="E310" s="12"/>
      <c r="F310" s="31"/>
      <c r="G310" s="15"/>
      <c r="H310" s="38"/>
      <c r="I310" s="57"/>
      <c r="J310" s="38"/>
      <c r="K310" s="38"/>
      <c r="L310" s="57"/>
      <c r="M310" s="38"/>
      <c r="N310" s="57"/>
      <c r="O310" s="38"/>
      <c r="P310" s="38"/>
      <c r="Q310" s="12"/>
    </row>
    <row r="311" spans="1:31" ht="23.1" customHeight="1" x14ac:dyDescent="0.15">
      <c r="D311" s="12"/>
      <c r="E311" s="12"/>
      <c r="F311" s="31"/>
      <c r="G311" s="15"/>
      <c r="H311" s="38"/>
      <c r="I311" s="57"/>
      <c r="J311" s="38"/>
      <c r="K311" s="38"/>
      <c r="L311" s="57"/>
      <c r="M311" s="38"/>
      <c r="N311" s="57"/>
      <c r="O311" s="38"/>
      <c r="P311" s="38"/>
      <c r="Q311" s="12"/>
    </row>
    <row r="312" spans="1:31" ht="23.1" customHeight="1" x14ac:dyDescent="0.15">
      <c r="D312" s="12"/>
      <c r="E312" s="12"/>
      <c r="F312" s="31"/>
      <c r="G312" s="15"/>
      <c r="H312" s="38"/>
      <c r="I312" s="57"/>
      <c r="J312" s="38"/>
      <c r="K312" s="38"/>
      <c r="L312" s="57"/>
      <c r="M312" s="38"/>
      <c r="N312" s="57"/>
      <c r="O312" s="38"/>
      <c r="P312" s="38"/>
      <c r="Q312" s="12"/>
    </row>
    <row r="313" spans="1:31" ht="23.1" customHeight="1" x14ac:dyDescent="0.15">
      <c r="D313" s="12"/>
      <c r="E313" s="12"/>
      <c r="F313" s="31"/>
      <c r="G313" s="15"/>
      <c r="H313" s="38"/>
      <c r="I313" s="57"/>
      <c r="J313" s="38"/>
      <c r="K313" s="38"/>
      <c r="L313" s="57"/>
      <c r="M313" s="38"/>
      <c r="N313" s="57"/>
      <c r="O313" s="38"/>
      <c r="P313" s="38"/>
      <c r="Q313" s="12"/>
    </row>
    <row r="314" spans="1:31" ht="23.1" customHeight="1" x14ac:dyDescent="0.15">
      <c r="D314" s="12"/>
      <c r="E314" s="12"/>
      <c r="F314" s="31"/>
      <c r="G314" s="15"/>
      <c r="H314" s="38"/>
      <c r="I314" s="57"/>
      <c r="J314" s="38"/>
      <c r="K314" s="38"/>
      <c r="L314" s="57"/>
      <c r="M314" s="38"/>
      <c r="N314" s="57"/>
      <c r="O314" s="38"/>
      <c r="P314" s="38"/>
      <c r="Q314" s="12"/>
    </row>
    <row r="315" spans="1:31" ht="23.1" customHeight="1" x14ac:dyDescent="0.15">
      <c r="B315" s="13" t="s">
        <v>2360</v>
      </c>
      <c r="D315" s="12" t="s">
        <v>2361</v>
      </c>
      <c r="E315" s="12"/>
      <c r="F315" s="31"/>
      <c r="G315" s="15"/>
      <c r="H315" s="38"/>
      <c r="I315" s="57">
        <f>TRUNC(SUM(I290:I314))</f>
        <v>412004</v>
      </c>
      <c r="J315" s="38"/>
      <c r="K315" s="38"/>
      <c r="L315" s="57">
        <f>TRUNC(SUM(L290:L314))</f>
        <v>1359615</v>
      </c>
      <c r="M315" s="38"/>
      <c r="N315" s="57">
        <f>TRUNC(SUM(N290:N314))</f>
        <v>0</v>
      </c>
      <c r="O315" s="38" t="str">
        <f>IF((H315+K315+M315)=0, "", (H315+K315+M315))</f>
        <v/>
      </c>
      <c r="P315" s="38">
        <f>TRUNC(SUM(P290:P314))</f>
        <v>1771619</v>
      </c>
      <c r="Q315" s="12"/>
    </row>
    <row r="316" spans="1:31" ht="23.1" customHeight="1" x14ac:dyDescent="0.15">
      <c r="B316" s="13" t="s">
        <v>1448</v>
      </c>
      <c r="D316" s="170" t="s">
        <v>3172</v>
      </c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2"/>
    </row>
    <row r="317" spans="1:31" ht="23.1" customHeight="1" x14ac:dyDescent="0.15">
      <c r="A317" s="13" t="s">
        <v>1793</v>
      </c>
      <c r="B317" s="13" t="s">
        <v>3039</v>
      </c>
      <c r="C317" s="13" t="s">
        <v>1794</v>
      </c>
      <c r="D317" s="12" t="s">
        <v>178</v>
      </c>
      <c r="E317" s="12" t="s">
        <v>179</v>
      </c>
      <c r="F317" s="31" t="s">
        <v>166</v>
      </c>
      <c r="G317" s="15">
        <v>216</v>
      </c>
      <c r="H317" s="38">
        <f>일대목차!I37</f>
        <v>449</v>
      </c>
      <c r="I317" s="57">
        <f t="shared" ref="I317:I333" si="52">TRUNC(G317*H317)</f>
        <v>96984</v>
      </c>
      <c r="J317" s="38">
        <v>216</v>
      </c>
      <c r="K317" s="38">
        <f>일대목차!L37</f>
        <v>9852</v>
      </c>
      <c r="L317" s="57">
        <f t="shared" ref="L317:L333" si="53">TRUNC(G317*K317)</f>
        <v>2128032</v>
      </c>
      <c r="M317" s="38">
        <f>일대목차!N37</f>
        <v>0</v>
      </c>
      <c r="N317" s="57">
        <f t="shared" ref="N317:N333" si="54">TRUNC(G317*M317)</f>
        <v>0</v>
      </c>
      <c r="O317" s="38">
        <f t="shared" ref="O317:O333" si="55">IF((H317+K317+M317)=0, "", (H317+K317+M317))</f>
        <v>10301</v>
      </c>
      <c r="P317" s="38">
        <f t="shared" ref="P317:P333" si="56">SUM(I317,L317,N317)</f>
        <v>2225016</v>
      </c>
      <c r="Q317" s="12" t="s">
        <v>1795</v>
      </c>
      <c r="AA317" s="35">
        <f>I317</f>
        <v>96984</v>
      </c>
      <c r="AC317" s="35">
        <f>G317*H317</f>
        <v>96984</v>
      </c>
      <c r="AE317" s="35">
        <f>L317</f>
        <v>2128032</v>
      </c>
    </row>
    <row r="318" spans="1:31" ht="23.1" customHeight="1" x14ac:dyDescent="0.15">
      <c r="A318" s="13" t="s">
        <v>1797</v>
      </c>
      <c r="B318" s="13" t="s">
        <v>3039</v>
      </c>
      <c r="C318" s="13" t="s">
        <v>1798</v>
      </c>
      <c r="D318" s="12" t="s">
        <v>178</v>
      </c>
      <c r="E318" s="12" t="s">
        <v>184</v>
      </c>
      <c r="F318" s="31" t="s">
        <v>166</v>
      </c>
      <c r="G318" s="15">
        <v>542</v>
      </c>
      <c r="H318" s="38">
        <f>일대목차!I38</f>
        <v>615</v>
      </c>
      <c r="I318" s="57">
        <f t="shared" si="52"/>
        <v>333330</v>
      </c>
      <c r="J318" s="38">
        <v>542</v>
      </c>
      <c r="K318" s="38">
        <f>일대목차!L38</f>
        <v>11822</v>
      </c>
      <c r="L318" s="57">
        <f t="shared" si="53"/>
        <v>6407524</v>
      </c>
      <c r="M318" s="38">
        <f>일대목차!N38</f>
        <v>0</v>
      </c>
      <c r="N318" s="57">
        <f t="shared" si="54"/>
        <v>0</v>
      </c>
      <c r="O318" s="38">
        <f t="shared" si="55"/>
        <v>12437</v>
      </c>
      <c r="P318" s="38">
        <f t="shared" si="56"/>
        <v>6740854</v>
      </c>
      <c r="Q318" s="12" t="s">
        <v>1799</v>
      </c>
      <c r="AA318" s="35">
        <f>I318</f>
        <v>333330</v>
      </c>
      <c r="AC318" s="35">
        <f>G318*H318</f>
        <v>333330</v>
      </c>
      <c r="AE318" s="35">
        <f>L318</f>
        <v>6407524</v>
      </c>
    </row>
    <row r="319" spans="1:31" ht="23.1" customHeight="1" x14ac:dyDescent="0.15">
      <c r="A319" s="13" t="s">
        <v>1038</v>
      </c>
      <c r="B319" s="13" t="s">
        <v>3039</v>
      </c>
      <c r="C319" s="13" t="s">
        <v>197</v>
      </c>
      <c r="D319" s="12" t="s">
        <v>198</v>
      </c>
      <c r="E319" s="12" t="s">
        <v>199</v>
      </c>
      <c r="F319" s="31" t="s">
        <v>200</v>
      </c>
      <c r="G319" s="15">
        <v>276</v>
      </c>
      <c r="H319" s="38">
        <f>합산자재!H14</f>
        <v>340</v>
      </c>
      <c r="I319" s="57">
        <f t="shared" si="52"/>
        <v>93840</v>
      </c>
      <c r="J319" s="38">
        <v>276</v>
      </c>
      <c r="K319" s="38">
        <f>합산자재!I14</f>
        <v>0</v>
      </c>
      <c r="L319" s="57">
        <f t="shared" si="53"/>
        <v>0</v>
      </c>
      <c r="M319" s="38">
        <f>합산자재!J14</f>
        <v>0</v>
      </c>
      <c r="N319" s="57">
        <f t="shared" si="54"/>
        <v>0</v>
      </c>
      <c r="O319" s="38">
        <f t="shared" si="55"/>
        <v>340</v>
      </c>
      <c r="P319" s="38">
        <f t="shared" si="56"/>
        <v>93840</v>
      </c>
      <c r="Q319" s="12"/>
    </row>
    <row r="320" spans="1:31" ht="23.1" customHeight="1" x14ac:dyDescent="0.15">
      <c r="A320" s="13" t="s">
        <v>1812</v>
      </c>
      <c r="B320" s="13" t="s">
        <v>3039</v>
      </c>
      <c r="C320" s="13" t="s">
        <v>1813</v>
      </c>
      <c r="D320" s="12" t="s">
        <v>198</v>
      </c>
      <c r="E320" s="12" t="s">
        <v>216</v>
      </c>
      <c r="F320" s="31" t="s">
        <v>166</v>
      </c>
      <c r="G320" s="15">
        <v>69</v>
      </c>
      <c r="H320" s="38">
        <f>일대목차!I43</f>
        <v>691</v>
      </c>
      <c r="I320" s="57">
        <f t="shared" si="52"/>
        <v>47679</v>
      </c>
      <c r="J320" s="38">
        <v>69</v>
      </c>
      <c r="K320" s="38">
        <f>일대목차!L43</f>
        <v>10837</v>
      </c>
      <c r="L320" s="57">
        <f t="shared" si="53"/>
        <v>747753</v>
      </c>
      <c r="M320" s="38">
        <f>일대목차!N43</f>
        <v>0</v>
      </c>
      <c r="N320" s="57">
        <f t="shared" si="54"/>
        <v>0</v>
      </c>
      <c r="O320" s="38">
        <f t="shared" si="55"/>
        <v>11528</v>
      </c>
      <c r="P320" s="38">
        <f t="shared" si="56"/>
        <v>795432</v>
      </c>
      <c r="Q320" s="12" t="s">
        <v>1814</v>
      </c>
      <c r="AC320" s="35">
        <f>G320*H320</f>
        <v>47679</v>
      </c>
      <c r="AE320" s="35">
        <f>L320</f>
        <v>747753</v>
      </c>
    </row>
    <row r="321" spans="1:31" ht="23.1" customHeight="1" x14ac:dyDescent="0.15">
      <c r="A321" s="13" t="s">
        <v>1833</v>
      </c>
      <c r="B321" s="13" t="s">
        <v>3039</v>
      </c>
      <c r="C321" s="13" t="s">
        <v>1834</v>
      </c>
      <c r="D321" s="12" t="s">
        <v>260</v>
      </c>
      <c r="E321" s="12" t="s">
        <v>261</v>
      </c>
      <c r="F321" s="31" t="s">
        <v>200</v>
      </c>
      <c r="G321" s="15">
        <v>97</v>
      </c>
      <c r="H321" s="38">
        <f>일대목차!I50</f>
        <v>1218</v>
      </c>
      <c r="I321" s="57">
        <f t="shared" si="52"/>
        <v>118146</v>
      </c>
      <c r="J321" s="38">
        <v>97</v>
      </c>
      <c r="K321" s="38">
        <f>일대목차!L50</f>
        <v>29557</v>
      </c>
      <c r="L321" s="57">
        <f t="shared" si="53"/>
        <v>2867029</v>
      </c>
      <c r="M321" s="38">
        <f>일대목차!N50</f>
        <v>0</v>
      </c>
      <c r="N321" s="57">
        <f t="shared" si="54"/>
        <v>0</v>
      </c>
      <c r="O321" s="38">
        <f t="shared" si="55"/>
        <v>30775</v>
      </c>
      <c r="P321" s="38">
        <f t="shared" si="56"/>
        <v>2985175</v>
      </c>
      <c r="Q321" s="12" t="s">
        <v>1835</v>
      </c>
      <c r="AE321" s="35">
        <f>L321</f>
        <v>2867029</v>
      </c>
    </row>
    <row r="322" spans="1:31" ht="23.1" customHeight="1" x14ac:dyDescent="0.15">
      <c r="A322" s="13" t="s">
        <v>1836</v>
      </c>
      <c r="B322" s="13" t="s">
        <v>3039</v>
      </c>
      <c r="C322" s="13" t="s">
        <v>1837</v>
      </c>
      <c r="D322" s="12" t="s">
        <v>260</v>
      </c>
      <c r="E322" s="12" t="s">
        <v>267</v>
      </c>
      <c r="F322" s="31" t="s">
        <v>200</v>
      </c>
      <c r="G322" s="15">
        <v>81</v>
      </c>
      <c r="H322" s="38">
        <f>일대목차!I51</f>
        <v>1321</v>
      </c>
      <c r="I322" s="57">
        <f t="shared" si="52"/>
        <v>107001</v>
      </c>
      <c r="J322" s="38">
        <v>81</v>
      </c>
      <c r="K322" s="38">
        <f>일대목차!L51</f>
        <v>29557</v>
      </c>
      <c r="L322" s="57">
        <f t="shared" si="53"/>
        <v>2394117</v>
      </c>
      <c r="M322" s="38">
        <f>일대목차!N51</f>
        <v>0</v>
      </c>
      <c r="N322" s="57">
        <f t="shared" si="54"/>
        <v>0</v>
      </c>
      <c r="O322" s="38">
        <f t="shared" si="55"/>
        <v>30878</v>
      </c>
      <c r="P322" s="38">
        <f t="shared" si="56"/>
        <v>2501118</v>
      </c>
      <c r="Q322" s="12" t="s">
        <v>1838</v>
      </c>
      <c r="AE322" s="35">
        <f>L322</f>
        <v>2394117</v>
      </c>
    </row>
    <row r="323" spans="1:31" ht="23.1" customHeight="1" x14ac:dyDescent="0.15">
      <c r="A323" s="13" t="s">
        <v>1839</v>
      </c>
      <c r="B323" s="13" t="s">
        <v>3039</v>
      </c>
      <c r="C323" s="13" t="s">
        <v>1840</v>
      </c>
      <c r="D323" s="12" t="s">
        <v>269</v>
      </c>
      <c r="E323" s="12" t="s">
        <v>270</v>
      </c>
      <c r="F323" s="31" t="s">
        <v>200</v>
      </c>
      <c r="G323" s="15">
        <v>1</v>
      </c>
      <c r="H323" s="38">
        <f>일대목차!I52</f>
        <v>1577</v>
      </c>
      <c r="I323" s="57">
        <f t="shared" si="52"/>
        <v>1577</v>
      </c>
      <c r="J323" s="38">
        <v>1</v>
      </c>
      <c r="K323" s="38">
        <f>일대목차!L52</f>
        <v>49261</v>
      </c>
      <c r="L323" s="57">
        <f t="shared" si="53"/>
        <v>49261</v>
      </c>
      <c r="M323" s="38">
        <f>일대목차!N52</f>
        <v>0</v>
      </c>
      <c r="N323" s="57">
        <f t="shared" si="54"/>
        <v>0</v>
      </c>
      <c r="O323" s="38">
        <f t="shared" si="55"/>
        <v>50838</v>
      </c>
      <c r="P323" s="38">
        <f t="shared" si="56"/>
        <v>50838</v>
      </c>
      <c r="Q323" s="12" t="s">
        <v>1841</v>
      </c>
      <c r="AE323" s="35">
        <f>L323</f>
        <v>49261</v>
      </c>
    </row>
    <row r="324" spans="1:31" ht="23.1" customHeight="1" x14ac:dyDescent="0.15">
      <c r="A324" s="13" t="s">
        <v>1842</v>
      </c>
      <c r="B324" s="13" t="s">
        <v>3039</v>
      </c>
      <c r="C324" s="13" t="s">
        <v>1843</v>
      </c>
      <c r="D324" s="12" t="s">
        <v>269</v>
      </c>
      <c r="E324" s="12" t="s">
        <v>272</v>
      </c>
      <c r="F324" s="31" t="s">
        <v>200</v>
      </c>
      <c r="G324" s="15">
        <v>9</v>
      </c>
      <c r="H324" s="38">
        <f>일대목차!I53</f>
        <v>1711</v>
      </c>
      <c r="I324" s="57">
        <f t="shared" si="52"/>
        <v>15399</v>
      </c>
      <c r="J324" s="38">
        <v>9</v>
      </c>
      <c r="K324" s="38">
        <f>일대목차!L53</f>
        <v>49261</v>
      </c>
      <c r="L324" s="57">
        <f t="shared" si="53"/>
        <v>443349</v>
      </c>
      <c r="M324" s="38">
        <f>일대목차!N53</f>
        <v>0</v>
      </c>
      <c r="N324" s="57">
        <f t="shared" si="54"/>
        <v>0</v>
      </c>
      <c r="O324" s="38">
        <f t="shared" si="55"/>
        <v>50972</v>
      </c>
      <c r="P324" s="38">
        <f t="shared" si="56"/>
        <v>458748</v>
      </c>
      <c r="Q324" s="12" t="s">
        <v>1844</v>
      </c>
      <c r="AE324" s="35">
        <f>L324</f>
        <v>443349</v>
      </c>
    </row>
    <row r="325" spans="1:31" ht="23.1" customHeight="1" x14ac:dyDescent="0.15">
      <c r="A325" s="13" t="s">
        <v>1069</v>
      </c>
      <c r="B325" s="13" t="s">
        <v>3039</v>
      </c>
      <c r="C325" s="13" t="s">
        <v>276</v>
      </c>
      <c r="D325" s="12" t="s">
        <v>277</v>
      </c>
      <c r="E325" s="12" t="s">
        <v>278</v>
      </c>
      <c r="F325" s="31" t="s">
        <v>200</v>
      </c>
      <c r="G325" s="15">
        <v>96</v>
      </c>
      <c r="H325" s="38">
        <f>합산자재!H45</f>
        <v>282</v>
      </c>
      <c r="I325" s="57">
        <f t="shared" si="52"/>
        <v>27072</v>
      </c>
      <c r="J325" s="38">
        <v>96</v>
      </c>
      <c r="K325" s="38">
        <f>합산자재!I45</f>
        <v>0</v>
      </c>
      <c r="L325" s="57">
        <f t="shared" si="53"/>
        <v>0</v>
      </c>
      <c r="M325" s="38">
        <f>합산자재!J45</f>
        <v>0</v>
      </c>
      <c r="N325" s="57">
        <f t="shared" si="54"/>
        <v>0</v>
      </c>
      <c r="O325" s="38">
        <f t="shared" si="55"/>
        <v>282</v>
      </c>
      <c r="P325" s="38">
        <f t="shared" si="56"/>
        <v>27072</v>
      </c>
      <c r="Q325" s="12"/>
    </row>
    <row r="326" spans="1:31" ht="23.1" customHeight="1" x14ac:dyDescent="0.15">
      <c r="A326" s="13" t="s">
        <v>1070</v>
      </c>
      <c r="B326" s="13" t="s">
        <v>3039</v>
      </c>
      <c r="C326" s="13" t="s">
        <v>279</v>
      </c>
      <c r="D326" s="12" t="s">
        <v>277</v>
      </c>
      <c r="E326" s="12" t="s">
        <v>280</v>
      </c>
      <c r="F326" s="31" t="s">
        <v>200</v>
      </c>
      <c r="G326" s="15">
        <v>42</v>
      </c>
      <c r="H326" s="38">
        <f>합산자재!H46</f>
        <v>293</v>
      </c>
      <c r="I326" s="57">
        <f t="shared" si="52"/>
        <v>12306</v>
      </c>
      <c r="J326" s="38">
        <v>42</v>
      </c>
      <c r="K326" s="38">
        <f>합산자재!I46</f>
        <v>0</v>
      </c>
      <c r="L326" s="57">
        <f t="shared" si="53"/>
        <v>0</v>
      </c>
      <c r="M326" s="38">
        <f>합산자재!J46</f>
        <v>0</v>
      </c>
      <c r="N326" s="57">
        <f t="shared" si="54"/>
        <v>0</v>
      </c>
      <c r="O326" s="38">
        <f t="shared" si="55"/>
        <v>293</v>
      </c>
      <c r="P326" s="38">
        <f t="shared" si="56"/>
        <v>12306</v>
      </c>
      <c r="Q326" s="12"/>
    </row>
    <row r="327" spans="1:31" ht="23.1" customHeight="1" x14ac:dyDescent="0.15">
      <c r="A327" s="13" t="s">
        <v>1903</v>
      </c>
      <c r="B327" s="13" t="s">
        <v>3039</v>
      </c>
      <c r="C327" s="13" t="s">
        <v>1904</v>
      </c>
      <c r="D327" s="12" t="s">
        <v>397</v>
      </c>
      <c r="E327" s="12" t="s">
        <v>404</v>
      </c>
      <c r="F327" s="31" t="s">
        <v>166</v>
      </c>
      <c r="G327" s="15">
        <v>4027</v>
      </c>
      <c r="H327" s="38">
        <f>일대목차!I73</f>
        <v>590</v>
      </c>
      <c r="I327" s="57">
        <f t="shared" si="52"/>
        <v>2375930</v>
      </c>
      <c r="J327" s="38">
        <v>4027</v>
      </c>
      <c r="K327" s="38">
        <f>일대목차!L73</f>
        <v>2353</v>
      </c>
      <c r="L327" s="57">
        <f t="shared" si="53"/>
        <v>9475531</v>
      </c>
      <c r="M327" s="38">
        <f>일대목차!N73</f>
        <v>0</v>
      </c>
      <c r="N327" s="57">
        <f t="shared" si="54"/>
        <v>0</v>
      </c>
      <c r="O327" s="38">
        <f t="shared" si="55"/>
        <v>2943</v>
      </c>
      <c r="P327" s="38">
        <f t="shared" si="56"/>
        <v>11851461</v>
      </c>
      <c r="Q327" s="12" t="s">
        <v>1905</v>
      </c>
      <c r="AC327" s="35">
        <f>G327*H327</f>
        <v>2375930</v>
      </c>
      <c r="AE327" s="35">
        <f t="shared" ref="AE327:AE333" si="57">L327</f>
        <v>9475531</v>
      </c>
    </row>
    <row r="328" spans="1:31" ht="23.1" customHeight="1" x14ac:dyDescent="0.15">
      <c r="A328" s="13" t="s">
        <v>2017</v>
      </c>
      <c r="B328" s="13" t="s">
        <v>3039</v>
      </c>
      <c r="C328" s="13" t="s">
        <v>2018</v>
      </c>
      <c r="D328" s="12" t="s">
        <v>508</v>
      </c>
      <c r="E328" s="12" t="s">
        <v>509</v>
      </c>
      <c r="F328" s="31" t="s">
        <v>200</v>
      </c>
      <c r="G328" s="15">
        <v>1</v>
      </c>
      <c r="H328" s="38">
        <f>일대목차!I111</f>
        <v>1789</v>
      </c>
      <c r="I328" s="57">
        <f t="shared" si="52"/>
        <v>1789</v>
      </c>
      <c r="J328" s="38">
        <v>1</v>
      </c>
      <c r="K328" s="38">
        <f>일대목차!L111</f>
        <v>23262</v>
      </c>
      <c r="L328" s="57">
        <f t="shared" si="53"/>
        <v>23262</v>
      </c>
      <c r="M328" s="38">
        <f>일대목차!N111</f>
        <v>0</v>
      </c>
      <c r="N328" s="57">
        <f t="shared" si="54"/>
        <v>0</v>
      </c>
      <c r="O328" s="38">
        <f t="shared" si="55"/>
        <v>25051</v>
      </c>
      <c r="P328" s="38">
        <f t="shared" si="56"/>
        <v>25051</v>
      </c>
      <c r="Q328" s="12" t="s">
        <v>2019</v>
      </c>
      <c r="AE328" s="35">
        <f t="shared" si="57"/>
        <v>23262</v>
      </c>
    </row>
    <row r="329" spans="1:31" ht="23.1" customHeight="1" x14ac:dyDescent="0.15">
      <c r="A329" s="13" t="s">
        <v>2275</v>
      </c>
      <c r="B329" s="13" t="s">
        <v>3039</v>
      </c>
      <c r="C329" s="13" t="s">
        <v>2276</v>
      </c>
      <c r="D329" s="12" t="s">
        <v>931</v>
      </c>
      <c r="E329" s="12" t="s">
        <v>932</v>
      </c>
      <c r="F329" s="31" t="s">
        <v>710</v>
      </c>
      <c r="G329" s="15">
        <v>2</v>
      </c>
      <c r="H329" s="38">
        <f>일대목차!I197</f>
        <v>1226</v>
      </c>
      <c r="I329" s="57">
        <f t="shared" si="52"/>
        <v>2452</v>
      </c>
      <c r="J329" s="38">
        <v>2</v>
      </c>
      <c r="K329" s="38">
        <f>일대목차!L197</f>
        <v>61303</v>
      </c>
      <c r="L329" s="57">
        <f t="shared" si="53"/>
        <v>122606</v>
      </c>
      <c r="M329" s="38">
        <f>일대목차!N197</f>
        <v>0</v>
      </c>
      <c r="N329" s="57">
        <f t="shared" si="54"/>
        <v>0</v>
      </c>
      <c r="O329" s="38">
        <f t="shared" si="55"/>
        <v>62529</v>
      </c>
      <c r="P329" s="38">
        <f t="shared" si="56"/>
        <v>125058</v>
      </c>
      <c r="Q329" s="12" t="s">
        <v>2277</v>
      </c>
      <c r="AE329" s="35">
        <f t="shared" si="57"/>
        <v>122606</v>
      </c>
    </row>
    <row r="330" spans="1:31" ht="23.1" customHeight="1" x14ac:dyDescent="0.15">
      <c r="A330" s="13" t="s">
        <v>2293</v>
      </c>
      <c r="B330" s="13" t="s">
        <v>3039</v>
      </c>
      <c r="C330" s="13" t="s">
        <v>2294</v>
      </c>
      <c r="D330" s="12" t="s">
        <v>946</v>
      </c>
      <c r="E330" s="12" t="s">
        <v>947</v>
      </c>
      <c r="F330" s="31" t="s">
        <v>710</v>
      </c>
      <c r="G330" s="15">
        <v>38</v>
      </c>
      <c r="H330" s="38">
        <f>일대목차!I203</f>
        <v>574</v>
      </c>
      <c r="I330" s="57">
        <f t="shared" si="52"/>
        <v>21812</v>
      </c>
      <c r="J330" s="38">
        <v>38</v>
      </c>
      <c r="K330" s="38">
        <f>일대목차!L203</f>
        <v>28735</v>
      </c>
      <c r="L330" s="57">
        <f t="shared" si="53"/>
        <v>1091930</v>
      </c>
      <c r="M330" s="38">
        <f>일대목차!N203</f>
        <v>0</v>
      </c>
      <c r="N330" s="57">
        <f t="shared" si="54"/>
        <v>0</v>
      </c>
      <c r="O330" s="38">
        <f t="shared" si="55"/>
        <v>29309</v>
      </c>
      <c r="P330" s="38">
        <f t="shared" si="56"/>
        <v>1113742</v>
      </c>
      <c r="Q330" s="12" t="s">
        <v>2295</v>
      </c>
      <c r="AE330" s="35">
        <f t="shared" si="57"/>
        <v>1091930</v>
      </c>
    </row>
    <row r="331" spans="1:31" ht="23.1" customHeight="1" x14ac:dyDescent="0.15">
      <c r="A331" s="13" t="s">
        <v>2296</v>
      </c>
      <c r="B331" s="13" t="s">
        <v>3039</v>
      </c>
      <c r="C331" s="13" t="s">
        <v>2297</v>
      </c>
      <c r="D331" s="12" t="s">
        <v>949</v>
      </c>
      <c r="E331" s="12" t="s">
        <v>950</v>
      </c>
      <c r="F331" s="31" t="s">
        <v>710</v>
      </c>
      <c r="G331" s="15">
        <v>9</v>
      </c>
      <c r="H331" s="38">
        <f>일대목차!I204</f>
        <v>574</v>
      </c>
      <c r="I331" s="57">
        <f t="shared" si="52"/>
        <v>5166</v>
      </c>
      <c r="J331" s="38">
        <v>9</v>
      </c>
      <c r="K331" s="38">
        <f>일대목차!L204</f>
        <v>28735</v>
      </c>
      <c r="L331" s="57">
        <f t="shared" si="53"/>
        <v>258615</v>
      </c>
      <c r="M331" s="38">
        <f>일대목차!N204</f>
        <v>0</v>
      </c>
      <c r="N331" s="57">
        <f t="shared" si="54"/>
        <v>0</v>
      </c>
      <c r="O331" s="38">
        <f t="shared" si="55"/>
        <v>29309</v>
      </c>
      <c r="P331" s="38">
        <f t="shared" si="56"/>
        <v>263781</v>
      </c>
      <c r="Q331" s="12" t="s">
        <v>2298</v>
      </c>
      <c r="AE331" s="35">
        <f t="shared" si="57"/>
        <v>258615</v>
      </c>
    </row>
    <row r="332" spans="1:31" ht="23.1" customHeight="1" x14ac:dyDescent="0.15">
      <c r="A332" s="13" t="s">
        <v>2305</v>
      </c>
      <c r="B332" s="13" t="s">
        <v>3039</v>
      </c>
      <c r="C332" s="13" t="s">
        <v>2306</v>
      </c>
      <c r="D332" s="12" t="s">
        <v>959</v>
      </c>
      <c r="E332" s="12" t="s">
        <v>764</v>
      </c>
      <c r="F332" s="31" t="s">
        <v>710</v>
      </c>
      <c r="G332" s="15">
        <v>96</v>
      </c>
      <c r="H332" s="38">
        <f>일대목차!I207</f>
        <v>574</v>
      </c>
      <c r="I332" s="57">
        <f t="shared" si="52"/>
        <v>55104</v>
      </c>
      <c r="J332" s="38">
        <v>96</v>
      </c>
      <c r="K332" s="38">
        <f>일대목차!L207</f>
        <v>28735</v>
      </c>
      <c r="L332" s="57">
        <f t="shared" si="53"/>
        <v>2758560</v>
      </c>
      <c r="M332" s="38">
        <f>일대목차!N207</f>
        <v>0</v>
      </c>
      <c r="N332" s="57">
        <f t="shared" si="54"/>
        <v>0</v>
      </c>
      <c r="O332" s="38">
        <f t="shared" si="55"/>
        <v>29309</v>
      </c>
      <c r="P332" s="38">
        <f t="shared" si="56"/>
        <v>2813664</v>
      </c>
      <c r="Q332" s="12" t="s">
        <v>2307</v>
      </c>
      <c r="AE332" s="35">
        <f t="shared" si="57"/>
        <v>2758560</v>
      </c>
    </row>
    <row r="333" spans="1:31" ht="23.1" customHeight="1" x14ac:dyDescent="0.15">
      <c r="A333" s="13" t="s">
        <v>2302</v>
      </c>
      <c r="B333" s="13" t="s">
        <v>3039</v>
      </c>
      <c r="C333" s="13" t="s">
        <v>2303</v>
      </c>
      <c r="D333" s="12" t="s">
        <v>959</v>
      </c>
      <c r="E333" s="12" t="s">
        <v>765</v>
      </c>
      <c r="F333" s="31" t="s">
        <v>710</v>
      </c>
      <c r="G333" s="15">
        <v>42</v>
      </c>
      <c r="H333" s="38">
        <f>일대목차!I206</f>
        <v>574</v>
      </c>
      <c r="I333" s="57">
        <f t="shared" si="52"/>
        <v>24108</v>
      </c>
      <c r="J333" s="38">
        <v>42</v>
      </c>
      <c r="K333" s="38">
        <f>일대목차!L206</f>
        <v>28735</v>
      </c>
      <c r="L333" s="57">
        <f t="shared" si="53"/>
        <v>1206870</v>
      </c>
      <c r="M333" s="38">
        <f>일대목차!N206</f>
        <v>0</v>
      </c>
      <c r="N333" s="57">
        <f t="shared" si="54"/>
        <v>0</v>
      </c>
      <c r="O333" s="38">
        <f t="shared" si="55"/>
        <v>29309</v>
      </c>
      <c r="P333" s="38">
        <f t="shared" si="56"/>
        <v>1230978</v>
      </c>
      <c r="Q333" s="12" t="s">
        <v>2304</v>
      </c>
      <c r="AE333" s="35">
        <f t="shared" si="57"/>
        <v>1206870</v>
      </c>
    </row>
    <row r="334" spans="1:31" ht="23.1" customHeight="1" x14ac:dyDescent="0.15">
      <c r="D334" s="12"/>
      <c r="E334" s="12"/>
      <c r="F334" s="31"/>
      <c r="G334" s="15"/>
      <c r="H334" s="38"/>
      <c r="I334" s="57"/>
      <c r="J334" s="38"/>
      <c r="K334" s="38"/>
      <c r="L334" s="57"/>
      <c r="M334" s="38"/>
      <c r="N334" s="57"/>
      <c r="O334" s="38"/>
      <c r="P334" s="38"/>
      <c r="Q334" s="12"/>
      <c r="AE334" s="35">
        <f>TRUNC(SUM(AE316:AE333))</f>
        <v>29974439</v>
      </c>
    </row>
    <row r="335" spans="1:31" ht="23.1" customHeight="1" x14ac:dyDescent="0.15">
      <c r="D335" s="12"/>
      <c r="E335" s="12"/>
      <c r="F335" s="31"/>
      <c r="G335" s="15"/>
      <c r="H335" s="38"/>
      <c r="I335" s="57"/>
      <c r="J335" s="38"/>
      <c r="K335" s="38"/>
      <c r="L335" s="57"/>
      <c r="M335" s="38"/>
      <c r="N335" s="57"/>
      <c r="O335" s="38"/>
      <c r="P335" s="38"/>
      <c r="Q335" s="12"/>
    </row>
    <row r="336" spans="1:31" ht="23.1" customHeight="1" x14ac:dyDescent="0.15">
      <c r="D336" s="12"/>
      <c r="E336" s="12"/>
      <c r="F336" s="31"/>
      <c r="G336" s="15"/>
      <c r="H336" s="38"/>
      <c r="I336" s="57"/>
      <c r="J336" s="38"/>
      <c r="K336" s="38"/>
      <c r="L336" s="57"/>
      <c r="M336" s="38"/>
      <c r="N336" s="57"/>
      <c r="O336" s="38"/>
      <c r="P336" s="38"/>
      <c r="Q336" s="12"/>
    </row>
    <row r="337" spans="1:31" ht="23.1" customHeight="1" x14ac:dyDescent="0.15">
      <c r="D337" s="12"/>
      <c r="E337" s="12"/>
      <c r="F337" s="31"/>
      <c r="G337" s="15"/>
      <c r="H337" s="38"/>
      <c r="I337" s="57"/>
      <c r="J337" s="38"/>
      <c r="K337" s="38"/>
      <c r="L337" s="57"/>
      <c r="M337" s="38"/>
      <c r="N337" s="57"/>
      <c r="O337" s="38"/>
      <c r="P337" s="38"/>
      <c r="Q337" s="12"/>
    </row>
    <row r="338" spans="1:31" ht="23.1" customHeight="1" x14ac:dyDescent="0.15">
      <c r="D338" s="12"/>
      <c r="E338" s="12"/>
      <c r="F338" s="31"/>
      <c r="G338" s="15"/>
      <c r="H338" s="38"/>
      <c r="I338" s="57"/>
      <c r="J338" s="38"/>
      <c r="K338" s="38"/>
      <c r="L338" s="57"/>
      <c r="M338" s="38"/>
      <c r="N338" s="57"/>
      <c r="O338" s="38"/>
      <c r="P338" s="38"/>
      <c r="Q338" s="12"/>
    </row>
    <row r="339" spans="1:31" ht="23.1" customHeight="1" x14ac:dyDescent="0.15">
      <c r="D339" s="12"/>
      <c r="E339" s="12"/>
      <c r="F339" s="31"/>
      <c r="G339" s="15"/>
      <c r="H339" s="38"/>
      <c r="I339" s="57"/>
      <c r="J339" s="38"/>
      <c r="K339" s="38"/>
      <c r="L339" s="57"/>
      <c r="M339" s="38"/>
      <c r="N339" s="57"/>
      <c r="O339" s="38"/>
      <c r="P339" s="38"/>
      <c r="Q339" s="12"/>
    </row>
    <row r="340" spans="1:31" ht="23.1" customHeight="1" x14ac:dyDescent="0.15">
      <c r="D340" s="12"/>
      <c r="E340" s="12"/>
      <c r="F340" s="31"/>
      <c r="G340" s="15"/>
      <c r="H340" s="38"/>
      <c r="I340" s="57"/>
      <c r="J340" s="38"/>
      <c r="K340" s="38"/>
      <c r="L340" s="57"/>
      <c r="M340" s="38"/>
      <c r="N340" s="57"/>
      <c r="O340" s="38"/>
      <c r="P340" s="38"/>
      <c r="Q340" s="12"/>
    </row>
    <row r="341" spans="1:31" ht="23.1" customHeight="1" x14ac:dyDescent="0.15">
      <c r="B341" s="13" t="s">
        <v>2360</v>
      </c>
      <c r="D341" s="12" t="s">
        <v>2361</v>
      </c>
      <c r="E341" s="12"/>
      <c r="F341" s="31"/>
      <c r="G341" s="15"/>
      <c r="H341" s="38"/>
      <c r="I341" s="57">
        <f>TRUNC(SUM(I316:I340))</f>
        <v>3339695</v>
      </c>
      <c r="J341" s="38"/>
      <c r="K341" s="38"/>
      <c r="L341" s="57">
        <f>TRUNC(SUM(L316:L340))</f>
        <v>29974439</v>
      </c>
      <c r="M341" s="38"/>
      <c r="N341" s="57">
        <f>TRUNC(SUM(N316:N340))</f>
        <v>0</v>
      </c>
      <c r="O341" s="38" t="str">
        <f>IF((H341+K341+M341)=0, "", (H341+K341+M341))</f>
        <v/>
      </c>
      <c r="P341" s="38">
        <f>TRUNC(SUM(P316:P340))</f>
        <v>33314134</v>
      </c>
      <c r="Q341" s="12"/>
    </row>
    <row r="342" spans="1:31" ht="23.1" customHeight="1" x14ac:dyDescent="0.15">
      <c r="B342" s="13" t="s">
        <v>1448</v>
      </c>
      <c r="D342" s="170" t="s">
        <v>3173</v>
      </c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2"/>
    </row>
    <row r="343" spans="1:31" ht="23.1" customHeight="1" x14ac:dyDescent="0.15">
      <c r="A343" s="13" t="s">
        <v>1793</v>
      </c>
      <c r="B343" s="13" t="s">
        <v>3040</v>
      </c>
      <c r="C343" s="13" t="s">
        <v>1794</v>
      </c>
      <c r="D343" s="12" t="s">
        <v>178</v>
      </c>
      <c r="E343" s="12" t="s">
        <v>179</v>
      </c>
      <c r="F343" s="31" t="s">
        <v>166</v>
      </c>
      <c r="G343" s="15">
        <v>251</v>
      </c>
      <c r="H343" s="38">
        <f>일대목차!I37</f>
        <v>449</v>
      </c>
      <c r="I343" s="57">
        <f t="shared" ref="I343:I353" si="58">TRUNC(G343*H343)</f>
        <v>112699</v>
      </c>
      <c r="J343" s="38">
        <v>251</v>
      </c>
      <c r="K343" s="38">
        <f>일대목차!L37</f>
        <v>9852</v>
      </c>
      <c r="L343" s="57">
        <f t="shared" ref="L343:L353" si="59">TRUNC(G343*K343)</f>
        <v>2472852</v>
      </c>
      <c r="M343" s="38">
        <f>일대목차!N37</f>
        <v>0</v>
      </c>
      <c r="N343" s="57">
        <f t="shared" ref="N343:N353" si="60">TRUNC(G343*M343)</f>
        <v>0</v>
      </c>
      <c r="O343" s="38">
        <f t="shared" ref="O343:O353" si="61">IF((H343+K343+M343)=0, "", (H343+K343+M343))</f>
        <v>10301</v>
      </c>
      <c r="P343" s="38">
        <f t="shared" ref="P343:P353" si="62">SUM(I343,L343,N343)</f>
        <v>2585551</v>
      </c>
      <c r="Q343" s="12" t="s">
        <v>1795</v>
      </c>
      <c r="AA343" s="35">
        <f>I343</f>
        <v>112699</v>
      </c>
      <c r="AC343" s="35">
        <f>G343*H343</f>
        <v>112699</v>
      </c>
      <c r="AE343" s="35">
        <f>L343</f>
        <v>2472852</v>
      </c>
    </row>
    <row r="344" spans="1:31" ht="23.1" customHeight="1" x14ac:dyDescent="0.15">
      <c r="A344" s="13" t="s">
        <v>1836</v>
      </c>
      <c r="B344" s="13" t="s">
        <v>3040</v>
      </c>
      <c r="C344" s="13" t="s">
        <v>1837</v>
      </c>
      <c r="D344" s="12" t="s">
        <v>260</v>
      </c>
      <c r="E344" s="12" t="s">
        <v>267</v>
      </c>
      <c r="F344" s="31" t="s">
        <v>200</v>
      </c>
      <c r="G344" s="15">
        <v>5</v>
      </c>
      <c r="H344" s="38">
        <f>일대목차!I51</f>
        <v>1321</v>
      </c>
      <c r="I344" s="57">
        <f t="shared" si="58"/>
        <v>6605</v>
      </c>
      <c r="J344" s="38">
        <v>5</v>
      </c>
      <c r="K344" s="38">
        <f>일대목차!L51</f>
        <v>29557</v>
      </c>
      <c r="L344" s="57">
        <f t="shared" si="59"/>
        <v>147785</v>
      </c>
      <c r="M344" s="38">
        <f>일대목차!N51</f>
        <v>0</v>
      </c>
      <c r="N344" s="57">
        <f t="shared" si="60"/>
        <v>0</v>
      </c>
      <c r="O344" s="38">
        <f t="shared" si="61"/>
        <v>30878</v>
      </c>
      <c r="P344" s="38">
        <f t="shared" si="62"/>
        <v>154390</v>
      </c>
      <c r="Q344" s="12" t="s">
        <v>1838</v>
      </c>
      <c r="AE344" s="35">
        <f>L344</f>
        <v>147785</v>
      </c>
    </row>
    <row r="345" spans="1:31" ht="23.1" customHeight="1" x14ac:dyDescent="0.15">
      <c r="A345" s="13" t="s">
        <v>1839</v>
      </c>
      <c r="B345" s="13" t="s">
        <v>3040</v>
      </c>
      <c r="C345" s="13" t="s">
        <v>1840</v>
      </c>
      <c r="D345" s="12" t="s">
        <v>269</v>
      </c>
      <c r="E345" s="12" t="s">
        <v>270</v>
      </c>
      <c r="F345" s="31" t="s">
        <v>200</v>
      </c>
      <c r="G345" s="15">
        <v>18</v>
      </c>
      <c r="H345" s="38">
        <f>일대목차!I52</f>
        <v>1577</v>
      </c>
      <c r="I345" s="57">
        <f t="shared" si="58"/>
        <v>28386</v>
      </c>
      <c r="J345" s="38">
        <v>18</v>
      </c>
      <c r="K345" s="38">
        <f>일대목차!L52</f>
        <v>49261</v>
      </c>
      <c r="L345" s="57">
        <f t="shared" si="59"/>
        <v>886698</v>
      </c>
      <c r="M345" s="38">
        <f>일대목차!N52</f>
        <v>0</v>
      </c>
      <c r="N345" s="57">
        <f t="shared" si="60"/>
        <v>0</v>
      </c>
      <c r="O345" s="38">
        <f t="shared" si="61"/>
        <v>50838</v>
      </c>
      <c r="P345" s="38">
        <f t="shared" si="62"/>
        <v>915084</v>
      </c>
      <c r="Q345" s="12" t="s">
        <v>1841</v>
      </c>
      <c r="AE345" s="35">
        <f>L345</f>
        <v>886698</v>
      </c>
    </row>
    <row r="346" spans="1:31" ht="23.1" customHeight="1" x14ac:dyDescent="0.15">
      <c r="A346" s="13" t="s">
        <v>1842</v>
      </c>
      <c r="B346" s="13" t="s">
        <v>3040</v>
      </c>
      <c r="C346" s="13" t="s">
        <v>1843</v>
      </c>
      <c r="D346" s="12" t="s">
        <v>269</v>
      </c>
      <c r="E346" s="12" t="s">
        <v>272</v>
      </c>
      <c r="F346" s="31" t="s">
        <v>200</v>
      </c>
      <c r="G346" s="15">
        <v>28</v>
      </c>
      <c r="H346" s="38">
        <f>일대목차!I53</f>
        <v>1711</v>
      </c>
      <c r="I346" s="57">
        <f t="shared" si="58"/>
        <v>47908</v>
      </c>
      <c r="J346" s="38">
        <v>28</v>
      </c>
      <c r="K346" s="38">
        <f>일대목차!L53</f>
        <v>49261</v>
      </c>
      <c r="L346" s="57">
        <f t="shared" si="59"/>
        <v>1379308</v>
      </c>
      <c r="M346" s="38">
        <f>일대목차!N53</f>
        <v>0</v>
      </c>
      <c r="N346" s="57">
        <f t="shared" si="60"/>
        <v>0</v>
      </c>
      <c r="O346" s="38">
        <f t="shared" si="61"/>
        <v>50972</v>
      </c>
      <c r="P346" s="38">
        <f t="shared" si="62"/>
        <v>1427216</v>
      </c>
      <c r="Q346" s="12" t="s">
        <v>1844</v>
      </c>
      <c r="AE346" s="35">
        <f>L346</f>
        <v>1379308</v>
      </c>
    </row>
    <row r="347" spans="1:31" ht="23.1" customHeight="1" x14ac:dyDescent="0.15">
      <c r="A347" s="13" t="s">
        <v>1070</v>
      </c>
      <c r="B347" s="13" t="s">
        <v>3040</v>
      </c>
      <c r="C347" s="13" t="s">
        <v>279</v>
      </c>
      <c r="D347" s="12" t="s">
        <v>277</v>
      </c>
      <c r="E347" s="12" t="s">
        <v>280</v>
      </c>
      <c r="F347" s="31" t="s">
        <v>200</v>
      </c>
      <c r="G347" s="15">
        <v>5</v>
      </c>
      <c r="H347" s="38">
        <f>합산자재!H46</f>
        <v>293</v>
      </c>
      <c r="I347" s="57">
        <f t="shared" si="58"/>
        <v>1465</v>
      </c>
      <c r="J347" s="38">
        <v>5</v>
      </c>
      <c r="K347" s="38">
        <f>합산자재!I46</f>
        <v>0</v>
      </c>
      <c r="L347" s="57">
        <f t="shared" si="59"/>
        <v>0</v>
      </c>
      <c r="M347" s="38">
        <f>합산자재!J46</f>
        <v>0</v>
      </c>
      <c r="N347" s="57">
        <f t="shared" si="60"/>
        <v>0</v>
      </c>
      <c r="O347" s="38">
        <f t="shared" si="61"/>
        <v>293</v>
      </c>
      <c r="P347" s="38">
        <f t="shared" si="62"/>
        <v>1465</v>
      </c>
      <c r="Q347" s="12"/>
    </row>
    <row r="348" spans="1:31" ht="23.1" customHeight="1" x14ac:dyDescent="0.15">
      <c r="A348" s="13" t="s">
        <v>1071</v>
      </c>
      <c r="B348" s="13" t="s">
        <v>3040</v>
      </c>
      <c r="C348" s="13" t="s">
        <v>281</v>
      </c>
      <c r="D348" s="12" t="s">
        <v>277</v>
      </c>
      <c r="E348" s="12" t="s">
        <v>282</v>
      </c>
      <c r="F348" s="31" t="s">
        <v>200</v>
      </c>
      <c r="G348" s="15">
        <v>28</v>
      </c>
      <c r="H348" s="38">
        <f>합산자재!H47</f>
        <v>283</v>
      </c>
      <c r="I348" s="57">
        <f t="shared" si="58"/>
        <v>7924</v>
      </c>
      <c r="J348" s="38">
        <v>28</v>
      </c>
      <c r="K348" s="38">
        <f>합산자재!I47</f>
        <v>0</v>
      </c>
      <c r="L348" s="57">
        <f t="shared" si="59"/>
        <v>0</v>
      </c>
      <c r="M348" s="38">
        <f>합산자재!J47</f>
        <v>0</v>
      </c>
      <c r="N348" s="57">
        <f t="shared" si="60"/>
        <v>0</v>
      </c>
      <c r="O348" s="38">
        <f t="shared" si="61"/>
        <v>283</v>
      </c>
      <c r="P348" s="38">
        <f t="shared" si="62"/>
        <v>7924</v>
      </c>
      <c r="Q348" s="12"/>
    </row>
    <row r="349" spans="1:31" ht="23.1" customHeight="1" x14ac:dyDescent="0.15">
      <c r="A349" s="13" t="s">
        <v>1903</v>
      </c>
      <c r="B349" s="13" t="s">
        <v>3040</v>
      </c>
      <c r="C349" s="13" t="s">
        <v>1904</v>
      </c>
      <c r="D349" s="12" t="s">
        <v>397</v>
      </c>
      <c r="E349" s="12" t="s">
        <v>404</v>
      </c>
      <c r="F349" s="31" t="s">
        <v>166</v>
      </c>
      <c r="G349" s="15">
        <v>923</v>
      </c>
      <c r="H349" s="38">
        <f>일대목차!I73</f>
        <v>590</v>
      </c>
      <c r="I349" s="57">
        <f t="shared" si="58"/>
        <v>544570</v>
      </c>
      <c r="J349" s="38">
        <v>923</v>
      </c>
      <c r="K349" s="38">
        <f>일대목차!L73</f>
        <v>2353</v>
      </c>
      <c r="L349" s="57">
        <f t="shared" si="59"/>
        <v>2171819</v>
      </c>
      <c r="M349" s="38">
        <f>일대목차!N73</f>
        <v>0</v>
      </c>
      <c r="N349" s="57">
        <f t="shared" si="60"/>
        <v>0</v>
      </c>
      <c r="O349" s="38">
        <f t="shared" si="61"/>
        <v>2943</v>
      </c>
      <c r="P349" s="38">
        <f t="shared" si="62"/>
        <v>2716389</v>
      </c>
      <c r="Q349" s="12" t="s">
        <v>1905</v>
      </c>
      <c r="AC349" s="35">
        <f>G349*H349</f>
        <v>544570</v>
      </c>
      <c r="AE349" s="35">
        <f>L349</f>
        <v>2171819</v>
      </c>
    </row>
    <row r="350" spans="1:31" ht="23.1" customHeight="1" x14ac:dyDescent="0.15">
      <c r="A350" s="13" t="s">
        <v>2029</v>
      </c>
      <c r="B350" s="13" t="s">
        <v>3040</v>
      </c>
      <c r="C350" s="13" t="s">
        <v>2030</v>
      </c>
      <c r="D350" s="12" t="s">
        <v>523</v>
      </c>
      <c r="E350" s="12" t="s">
        <v>524</v>
      </c>
      <c r="F350" s="31" t="s">
        <v>200</v>
      </c>
      <c r="G350" s="15">
        <v>24</v>
      </c>
      <c r="H350" s="38">
        <f>일대목차!I115</f>
        <v>42637</v>
      </c>
      <c r="I350" s="57">
        <f t="shared" si="58"/>
        <v>1023288</v>
      </c>
      <c r="J350" s="38">
        <v>24</v>
      </c>
      <c r="K350" s="38">
        <f>일대목차!L115</f>
        <v>21894</v>
      </c>
      <c r="L350" s="57">
        <f t="shared" si="59"/>
        <v>525456</v>
      </c>
      <c r="M350" s="38">
        <f>일대목차!N115</f>
        <v>0</v>
      </c>
      <c r="N350" s="57">
        <f t="shared" si="60"/>
        <v>0</v>
      </c>
      <c r="O350" s="38">
        <f t="shared" si="61"/>
        <v>64531</v>
      </c>
      <c r="P350" s="38">
        <f t="shared" si="62"/>
        <v>1548744</v>
      </c>
      <c r="Q350" s="12" t="s">
        <v>2031</v>
      </c>
      <c r="AE350" s="35">
        <f>L350</f>
        <v>525456</v>
      </c>
    </row>
    <row r="351" spans="1:31" ht="23.1" customHeight="1" x14ac:dyDescent="0.15">
      <c r="A351" s="13" t="s">
        <v>2035</v>
      </c>
      <c r="B351" s="13" t="s">
        <v>3040</v>
      </c>
      <c r="C351" s="13" t="s">
        <v>2036</v>
      </c>
      <c r="D351" s="12" t="s">
        <v>519</v>
      </c>
      <c r="E351" s="12" t="s">
        <v>529</v>
      </c>
      <c r="F351" s="31" t="s">
        <v>200</v>
      </c>
      <c r="G351" s="15">
        <v>15</v>
      </c>
      <c r="H351" s="38">
        <f>일대목차!I117</f>
        <v>1822</v>
      </c>
      <c r="I351" s="57">
        <f t="shared" si="58"/>
        <v>27330</v>
      </c>
      <c r="J351" s="38">
        <v>15</v>
      </c>
      <c r="K351" s="38">
        <f>일대목차!L117</f>
        <v>21894</v>
      </c>
      <c r="L351" s="57">
        <f t="shared" si="59"/>
        <v>328410</v>
      </c>
      <c r="M351" s="38">
        <f>일대목차!N117</f>
        <v>0</v>
      </c>
      <c r="N351" s="57">
        <f t="shared" si="60"/>
        <v>0</v>
      </c>
      <c r="O351" s="38">
        <f t="shared" si="61"/>
        <v>23716</v>
      </c>
      <c r="P351" s="38">
        <f t="shared" si="62"/>
        <v>355740</v>
      </c>
      <c r="Q351" s="12" t="s">
        <v>2037</v>
      </c>
      <c r="AE351" s="35">
        <f>L351</f>
        <v>328410</v>
      </c>
    </row>
    <row r="352" spans="1:31" ht="23.1" customHeight="1" x14ac:dyDescent="0.15">
      <c r="A352" s="13" t="s">
        <v>2038</v>
      </c>
      <c r="B352" s="13" t="s">
        <v>3040</v>
      </c>
      <c r="C352" s="13" t="s">
        <v>2039</v>
      </c>
      <c r="D352" s="12" t="s">
        <v>531</v>
      </c>
      <c r="E352" s="12" t="s">
        <v>526</v>
      </c>
      <c r="F352" s="31" t="s">
        <v>200</v>
      </c>
      <c r="G352" s="15">
        <v>2</v>
      </c>
      <c r="H352" s="38">
        <f>일대목차!I118</f>
        <v>2474</v>
      </c>
      <c r="I352" s="57">
        <f t="shared" si="58"/>
        <v>4948</v>
      </c>
      <c r="J352" s="38">
        <v>2</v>
      </c>
      <c r="K352" s="38">
        <f>일대목차!L118</f>
        <v>21894</v>
      </c>
      <c r="L352" s="57">
        <f t="shared" si="59"/>
        <v>43788</v>
      </c>
      <c r="M352" s="38">
        <f>일대목차!N118</f>
        <v>0</v>
      </c>
      <c r="N352" s="57">
        <f t="shared" si="60"/>
        <v>0</v>
      </c>
      <c r="O352" s="38">
        <f t="shared" si="61"/>
        <v>24368</v>
      </c>
      <c r="P352" s="38">
        <f t="shared" si="62"/>
        <v>48736</v>
      </c>
      <c r="Q352" s="12" t="s">
        <v>2040</v>
      </c>
      <c r="AE352" s="35">
        <f>L352</f>
        <v>43788</v>
      </c>
    </row>
    <row r="353" spans="1:31" ht="23.1" customHeight="1" x14ac:dyDescent="0.15">
      <c r="A353" s="13" t="s">
        <v>2041</v>
      </c>
      <c r="B353" s="13" t="s">
        <v>3040</v>
      </c>
      <c r="C353" s="13" t="s">
        <v>2042</v>
      </c>
      <c r="D353" s="12" t="s">
        <v>531</v>
      </c>
      <c r="E353" s="12" t="s">
        <v>529</v>
      </c>
      <c r="F353" s="31" t="s">
        <v>200</v>
      </c>
      <c r="G353" s="15">
        <v>4</v>
      </c>
      <c r="H353" s="38">
        <f>일대목차!I119</f>
        <v>2560</v>
      </c>
      <c r="I353" s="57">
        <f t="shared" si="58"/>
        <v>10240</v>
      </c>
      <c r="J353" s="38">
        <v>4</v>
      </c>
      <c r="K353" s="38">
        <f>일대목차!L119</f>
        <v>21894</v>
      </c>
      <c r="L353" s="57">
        <f t="shared" si="59"/>
        <v>87576</v>
      </c>
      <c r="M353" s="38">
        <f>일대목차!N119</f>
        <v>0</v>
      </c>
      <c r="N353" s="57">
        <f t="shared" si="60"/>
        <v>0</v>
      </c>
      <c r="O353" s="38">
        <f t="shared" si="61"/>
        <v>24454</v>
      </c>
      <c r="P353" s="38">
        <f t="shared" si="62"/>
        <v>97816</v>
      </c>
      <c r="Q353" s="12" t="s">
        <v>2043</v>
      </c>
      <c r="AE353" s="35">
        <f>L353</f>
        <v>87576</v>
      </c>
    </row>
    <row r="354" spans="1:31" ht="23.1" customHeight="1" x14ac:dyDescent="0.15">
      <c r="D354" s="12"/>
      <c r="E354" s="12"/>
      <c r="F354" s="31"/>
      <c r="G354" s="15"/>
      <c r="H354" s="38"/>
      <c r="I354" s="57"/>
      <c r="J354" s="38"/>
      <c r="K354" s="38"/>
      <c r="L354" s="57"/>
      <c r="M354" s="38"/>
      <c r="N354" s="57"/>
      <c r="O354" s="38"/>
      <c r="P354" s="38"/>
      <c r="Q354" s="12"/>
      <c r="AE354" s="35">
        <f>TRUNC(SUM(AE342:AE353))</f>
        <v>8043692</v>
      </c>
    </row>
    <row r="355" spans="1:31" ht="23.1" customHeight="1" x14ac:dyDescent="0.15">
      <c r="D355" s="12"/>
      <c r="E355" s="12"/>
      <c r="F355" s="31"/>
      <c r="G355" s="15"/>
      <c r="H355" s="38"/>
      <c r="I355" s="57"/>
      <c r="J355" s="38"/>
      <c r="K355" s="38"/>
      <c r="L355" s="57"/>
      <c r="M355" s="38"/>
      <c r="N355" s="57"/>
      <c r="O355" s="38"/>
      <c r="P355" s="38"/>
      <c r="Q355" s="12"/>
    </row>
    <row r="356" spans="1:31" ht="23.1" customHeight="1" x14ac:dyDescent="0.15">
      <c r="D356" s="12"/>
      <c r="E356" s="12"/>
      <c r="F356" s="31"/>
      <c r="G356" s="15"/>
      <c r="H356" s="38"/>
      <c r="I356" s="57"/>
      <c r="J356" s="38"/>
      <c r="K356" s="38"/>
      <c r="L356" s="57"/>
      <c r="M356" s="38"/>
      <c r="N356" s="57"/>
      <c r="O356" s="38"/>
      <c r="P356" s="38"/>
      <c r="Q356" s="12"/>
    </row>
    <row r="357" spans="1:31" ht="23.1" customHeight="1" x14ac:dyDescent="0.15">
      <c r="D357" s="12"/>
      <c r="E357" s="12"/>
      <c r="F357" s="31"/>
      <c r="G357" s="15"/>
      <c r="H357" s="38"/>
      <c r="I357" s="57"/>
      <c r="J357" s="38"/>
      <c r="K357" s="38"/>
      <c r="L357" s="57"/>
      <c r="M357" s="38"/>
      <c r="N357" s="57"/>
      <c r="O357" s="38"/>
      <c r="P357" s="38"/>
      <c r="Q357" s="12"/>
    </row>
    <row r="358" spans="1:31" ht="23.1" customHeight="1" x14ac:dyDescent="0.15">
      <c r="D358" s="12"/>
      <c r="E358" s="12"/>
      <c r="F358" s="31"/>
      <c r="G358" s="15"/>
      <c r="H358" s="38"/>
      <c r="I358" s="57"/>
      <c r="J358" s="38"/>
      <c r="K358" s="38"/>
      <c r="L358" s="57"/>
      <c r="M358" s="38"/>
      <c r="N358" s="57"/>
      <c r="O358" s="38"/>
      <c r="P358" s="38"/>
      <c r="Q358" s="12"/>
    </row>
    <row r="359" spans="1:31" ht="23.1" customHeight="1" x14ac:dyDescent="0.15">
      <c r="D359" s="12"/>
      <c r="E359" s="12"/>
      <c r="F359" s="31"/>
      <c r="G359" s="15"/>
      <c r="H359" s="38"/>
      <c r="I359" s="57"/>
      <c r="J359" s="38"/>
      <c r="K359" s="38"/>
      <c r="L359" s="57"/>
      <c r="M359" s="38"/>
      <c r="N359" s="57"/>
      <c r="O359" s="38"/>
      <c r="P359" s="38"/>
      <c r="Q359" s="12"/>
    </row>
    <row r="360" spans="1:31" ht="23.1" customHeight="1" x14ac:dyDescent="0.15">
      <c r="D360" s="12"/>
      <c r="E360" s="12"/>
      <c r="F360" s="31"/>
      <c r="G360" s="15"/>
      <c r="H360" s="38"/>
      <c r="I360" s="57"/>
      <c r="J360" s="38"/>
      <c r="K360" s="38"/>
      <c r="L360" s="57"/>
      <c r="M360" s="38"/>
      <c r="N360" s="57"/>
      <c r="O360" s="38"/>
      <c r="P360" s="38"/>
      <c r="Q360" s="12"/>
    </row>
    <row r="361" spans="1:31" ht="23.1" customHeight="1" x14ac:dyDescent="0.15">
      <c r="D361" s="12"/>
      <c r="E361" s="12"/>
      <c r="F361" s="31"/>
      <c r="G361" s="15"/>
      <c r="H361" s="38"/>
      <c r="I361" s="57"/>
      <c r="J361" s="38"/>
      <c r="K361" s="38"/>
      <c r="L361" s="57"/>
      <c r="M361" s="38"/>
      <c r="N361" s="57"/>
      <c r="O361" s="38"/>
      <c r="P361" s="38"/>
      <c r="Q361" s="12"/>
    </row>
    <row r="362" spans="1:31" ht="23.1" customHeight="1" x14ac:dyDescent="0.15">
      <c r="D362" s="12"/>
      <c r="E362" s="12"/>
      <c r="F362" s="31"/>
      <c r="G362" s="15"/>
      <c r="H362" s="38"/>
      <c r="I362" s="57"/>
      <c r="J362" s="38"/>
      <c r="K362" s="38"/>
      <c r="L362" s="57"/>
      <c r="M362" s="38"/>
      <c r="N362" s="57"/>
      <c r="O362" s="38"/>
      <c r="P362" s="38"/>
      <c r="Q362" s="12"/>
    </row>
    <row r="363" spans="1:31" ht="23.1" customHeight="1" x14ac:dyDescent="0.15">
      <c r="D363" s="12"/>
      <c r="E363" s="12"/>
      <c r="F363" s="31"/>
      <c r="G363" s="15"/>
      <c r="H363" s="38"/>
      <c r="I363" s="57"/>
      <c r="J363" s="38"/>
      <c r="K363" s="38"/>
      <c r="L363" s="57"/>
      <c r="M363" s="38"/>
      <c r="N363" s="57"/>
      <c r="O363" s="38"/>
      <c r="P363" s="38"/>
      <c r="Q363" s="12"/>
    </row>
    <row r="364" spans="1:31" ht="23.1" customHeight="1" x14ac:dyDescent="0.15">
      <c r="D364" s="12"/>
      <c r="E364" s="12"/>
      <c r="F364" s="31"/>
      <c r="G364" s="15"/>
      <c r="H364" s="38"/>
      <c r="I364" s="57"/>
      <c r="J364" s="38"/>
      <c r="K364" s="38"/>
      <c r="L364" s="57"/>
      <c r="M364" s="38"/>
      <c r="N364" s="57"/>
      <c r="O364" s="38"/>
      <c r="P364" s="38"/>
      <c r="Q364" s="12"/>
    </row>
    <row r="365" spans="1:31" ht="23.1" customHeight="1" x14ac:dyDescent="0.15">
      <c r="D365" s="12"/>
      <c r="E365" s="12"/>
      <c r="F365" s="31"/>
      <c r="G365" s="15"/>
      <c r="H365" s="38"/>
      <c r="I365" s="57"/>
      <c r="J365" s="38"/>
      <c r="K365" s="38"/>
      <c r="L365" s="57"/>
      <c r="M365" s="38"/>
      <c r="N365" s="57"/>
      <c r="O365" s="38"/>
      <c r="P365" s="38"/>
      <c r="Q365" s="12"/>
    </row>
    <row r="366" spans="1:31" ht="23.1" customHeight="1" x14ac:dyDescent="0.15">
      <c r="D366" s="12"/>
      <c r="E366" s="12"/>
      <c r="F366" s="31"/>
      <c r="G366" s="15"/>
      <c r="H366" s="38"/>
      <c r="I366" s="57"/>
      <c r="J366" s="38"/>
      <c r="K366" s="38"/>
      <c r="L366" s="57"/>
      <c r="M366" s="38"/>
      <c r="N366" s="57"/>
      <c r="O366" s="38"/>
      <c r="P366" s="38"/>
      <c r="Q366" s="12"/>
    </row>
    <row r="367" spans="1:31" ht="23.1" customHeight="1" x14ac:dyDescent="0.15">
      <c r="B367" s="13" t="s">
        <v>2360</v>
      </c>
      <c r="D367" s="12" t="s">
        <v>2361</v>
      </c>
      <c r="E367" s="12"/>
      <c r="F367" s="31"/>
      <c r="G367" s="15"/>
      <c r="H367" s="38"/>
      <c r="I367" s="57">
        <f>TRUNC(SUM(I342:I366))</f>
        <v>1815363</v>
      </c>
      <c r="J367" s="38"/>
      <c r="K367" s="38"/>
      <c r="L367" s="57">
        <f>TRUNC(SUM(L342:L366))</f>
        <v>8043692</v>
      </c>
      <c r="M367" s="38"/>
      <c r="N367" s="57">
        <f>TRUNC(SUM(N342:N366))</f>
        <v>0</v>
      </c>
      <c r="O367" s="38" t="str">
        <f>IF((H367+K367+M367)=0, "", (H367+K367+M367))</f>
        <v/>
      </c>
      <c r="P367" s="38">
        <f>TRUNC(SUM(P342:P366))</f>
        <v>9859055</v>
      </c>
      <c r="Q367" s="12"/>
    </row>
    <row r="368" spans="1:31" ht="23.1" customHeight="1" x14ac:dyDescent="0.15">
      <c r="B368" s="13" t="s">
        <v>1448</v>
      </c>
      <c r="D368" s="170" t="s">
        <v>3174</v>
      </c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2"/>
    </row>
    <row r="369" spans="1:31" ht="23.1" customHeight="1" x14ac:dyDescent="0.15">
      <c r="A369" s="13" t="s">
        <v>1781</v>
      </c>
      <c r="B369" s="13" t="s">
        <v>3041</v>
      </c>
      <c r="C369" s="13" t="s">
        <v>1782</v>
      </c>
      <c r="D369" s="12" t="s">
        <v>164</v>
      </c>
      <c r="E369" s="12" t="s">
        <v>165</v>
      </c>
      <c r="F369" s="31" t="s">
        <v>166</v>
      </c>
      <c r="G369" s="15">
        <v>39</v>
      </c>
      <c r="H369" s="38">
        <f>일대목차!I33</f>
        <v>613</v>
      </c>
      <c r="I369" s="57">
        <f t="shared" ref="I369:I389" si="63">TRUNC(G369*H369)</f>
        <v>23907</v>
      </c>
      <c r="J369" s="38">
        <v>39</v>
      </c>
      <c r="K369" s="38">
        <f>일대목차!L33</f>
        <v>12315</v>
      </c>
      <c r="L369" s="57">
        <f t="shared" ref="L369:L389" si="64">TRUNC(G369*K369)</f>
        <v>480285</v>
      </c>
      <c r="M369" s="38">
        <f>일대목차!N33</f>
        <v>0</v>
      </c>
      <c r="N369" s="57">
        <f t="shared" ref="N369:N389" si="65">TRUNC(G369*M369)</f>
        <v>0</v>
      </c>
      <c r="O369" s="38">
        <f t="shared" ref="O369:O389" si="66">IF((H369+K369+M369)=0, "", (H369+K369+M369))</f>
        <v>12928</v>
      </c>
      <c r="P369" s="38">
        <f t="shared" ref="P369:P389" si="67">SUM(I369,L369,N369)</f>
        <v>504192</v>
      </c>
      <c r="Q369" s="12" t="s">
        <v>1783</v>
      </c>
      <c r="AB369" s="35">
        <f>I369</f>
        <v>23907</v>
      </c>
      <c r="AC369" s="35">
        <f>G369*H369</f>
        <v>23907</v>
      </c>
      <c r="AE369" s="35">
        <f>L369</f>
        <v>480285</v>
      </c>
    </row>
    <row r="370" spans="1:31" ht="23.1" customHeight="1" x14ac:dyDescent="0.15">
      <c r="A370" s="13" t="s">
        <v>1784</v>
      </c>
      <c r="B370" s="13" t="s">
        <v>3041</v>
      </c>
      <c r="C370" s="13" t="s">
        <v>1785</v>
      </c>
      <c r="D370" s="12" t="s">
        <v>164</v>
      </c>
      <c r="E370" s="12" t="s">
        <v>172</v>
      </c>
      <c r="F370" s="31" t="s">
        <v>166</v>
      </c>
      <c r="G370" s="15">
        <v>42</v>
      </c>
      <c r="H370" s="38">
        <f>일대목차!I34</f>
        <v>1269</v>
      </c>
      <c r="I370" s="57">
        <f t="shared" si="63"/>
        <v>53298</v>
      </c>
      <c r="J370" s="38">
        <v>42</v>
      </c>
      <c r="K370" s="38">
        <f>일대목차!L34</f>
        <v>19704</v>
      </c>
      <c r="L370" s="57">
        <f t="shared" si="64"/>
        <v>827568</v>
      </c>
      <c r="M370" s="38">
        <f>일대목차!N34</f>
        <v>0</v>
      </c>
      <c r="N370" s="57">
        <f t="shared" si="65"/>
        <v>0</v>
      </c>
      <c r="O370" s="38">
        <f t="shared" si="66"/>
        <v>20973</v>
      </c>
      <c r="P370" s="38">
        <f t="shared" si="67"/>
        <v>880866</v>
      </c>
      <c r="Q370" s="12" t="s">
        <v>1786</v>
      </c>
      <c r="AB370" s="35">
        <f>I370</f>
        <v>53298</v>
      </c>
      <c r="AC370" s="35">
        <f>G370*H370</f>
        <v>53298</v>
      </c>
      <c r="AE370" s="35">
        <f>L370</f>
        <v>827568</v>
      </c>
    </row>
    <row r="371" spans="1:31" ht="23.1" customHeight="1" x14ac:dyDescent="0.15">
      <c r="A371" s="13" t="s">
        <v>1830</v>
      </c>
      <c r="B371" s="13" t="s">
        <v>3041</v>
      </c>
      <c r="C371" s="13" t="s">
        <v>1831</v>
      </c>
      <c r="D371" s="12" t="s">
        <v>250</v>
      </c>
      <c r="E371" s="12" t="s">
        <v>251</v>
      </c>
      <c r="F371" s="31" t="s">
        <v>200</v>
      </c>
      <c r="G371" s="15">
        <v>2</v>
      </c>
      <c r="H371" s="38">
        <f>일대목차!I49</f>
        <v>3207</v>
      </c>
      <c r="I371" s="57">
        <f t="shared" si="63"/>
        <v>6414</v>
      </c>
      <c r="J371" s="38">
        <v>2</v>
      </c>
      <c r="K371" s="38">
        <f>일대목차!L49</f>
        <v>8210</v>
      </c>
      <c r="L371" s="57">
        <f t="shared" si="64"/>
        <v>16420</v>
      </c>
      <c r="M371" s="38">
        <f>일대목차!N49</f>
        <v>0</v>
      </c>
      <c r="N371" s="57">
        <f t="shared" si="65"/>
        <v>0</v>
      </c>
      <c r="O371" s="38">
        <f t="shared" si="66"/>
        <v>11417</v>
      </c>
      <c r="P371" s="38">
        <f t="shared" si="67"/>
        <v>22834</v>
      </c>
      <c r="Q371" s="12" t="s">
        <v>1832</v>
      </c>
      <c r="AE371" s="35">
        <f>L371</f>
        <v>16420</v>
      </c>
    </row>
    <row r="372" spans="1:31" ht="23.1" customHeight="1" x14ac:dyDescent="0.15">
      <c r="A372" s="13" t="s">
        <v>1061</v>
      </c>
      <c r="B372" s="13" t="s">
        <v>3041</v>
      </c>
      <c r="C372" s="13" t="s">
        <v>252</v>
      </c>
      <c r="D372" s="12" t="s">
        <v>253</v>
      </c>
      <c r="E372" s="12" t="s">
        <v>254</v>
      </c>
      <c r="F372" s="31" t="s">
        <v>200</v>
      </c>
      <c r="G372" s="15">
        <v>4</v>
      </c>
      <c r="H372" s="38">
        <f>합산자재!H37</f>
        <v>859</v>
      </c>
      <c r="I372" s="57">
        <f t="shared" si="63"/>
        <v>3436</v>
      </c>
      <c r="J372" s="38">
        <v>4</v>
      </c>
      <c r="K372" s="38">
        <f>합산자재!I37</f>
        <v>0</v>
      </c>
      <c r="L372" s="57">
        <f t="shared" si="64"/>
        <v>0</v>
      </c>
      <c r="M372" s="38">
        <f>합산자재!J37</f>
        <v>0</v>
      </c>
      <c r="N372" s="57">
        <f t="shared" si="65"/>
        <v>0</v>
      </c>
      <c r="O372" s="38">
        <f t="shared" si="66"/>
        <v>859</v>
      </c>
      <c r="P372" s="38">
        <f t="shared" si="67"/>
        <v>3436</v>
      </c>
      <c r="Q372" s="12"/>
    </row>
    <row r="373" spans="1:31" ht="23.1" customHeight="1" x14ac:dyDescent="0.15">
      <c r="A373" s="13" t="s">
        <v>1836</v>
      </c>
      <c r="B373" s="13" t="s">
        <v>3041</v>
      </c>
      <c r="C373" s="13" t="s">
        <v>1837</v>
      </c>
      <c r="D373" s="12" t="s">
        <v>260</v>
      </c>
      <c r="E373" s="12" t="s">
        <v>267</v>
      </c>
      <c r="F373" s="31" t="s">
        <v>200</v>
      </c>
      <c r="G373" s="15">
        <v>2</v>
      </c>
      <c r="H373" s="38">
        <f>일대목차!I51</f>
        <v>1321</v>
      </c>
      <c r="I373" s="57">
        <f t="shared" si="63"/>
        <v>2642</v>
      </c>
      <c r="J373" s="38">
        <v>2</v>
      </c>
      <c r="K373" s="38">
        <f>일대목차!L51</f>
        <v>29557</v>
      </c>
      <c r="L373" s="57">
        <f t="shared" si="64"/>
        <v>59114</v>
      </c>
      <c r="M373" s="38">
        <f>일대목차!N51</f>
        <v>0</v>
      </c>
      <c r="N373" s="57">
        <f t="shared" si="65"/>
        <v>0</v>
      </c>
      <c r="O373" s="38">
        <f t="shared" si="66"/>
        <v>30878</v>
      </c>
      <c r="P373" s="38">
        <f t="shared" si="67"/>
        <v>61756</v>
      </c>
      <c r="Q373" s="12" t="s">
        <v>1838</v>
      </c>
      <c r="AE373" s="35">
        <f t="shared" ref="AE373:AE384" si="68">L373</f>
        <v>59114</v>
      </c>
    </row>
    <row r="374" spans="1:31" ht="23.1" customHeight="1" x14ac:dyDescent="0.15">
      <c r="A374" s="13" t="s">
        <v>1918</v>
      </c>
      <c r="B374" s="13" t="s">
        <v>3041</v>
      </c>
      <c r="C374" s="13" t="s">
        <v>1919</v>
      </c>
      <c r="D374" s="12" t="s">
        <v>408</v>
      </c>
      <c r="E374" s="12" t="s">
        <v>417</v>
      </c>
      <c r="F374" s="31" t="s">
        <v>166</v>
      </c>
      <c r="G374" s="15">
        <v>56</v>
      </c>
      <c r="H374" s="38">
        <f>일대목차!I78</f>
        <v>2658</v>
      </c>
      <c r="I374" s="57">
        <f t="shared" si="63"/>
        <v>148848</v>
      </c>
      <c r="J374" s="38">
        <v>56</v>
      </c>
      <c r="K374" s="38">
        <f>일대목차!L78</f>
        <v>2873</v>
      </c>
      <c r="L374" s="57">
        <f t="shared" si="64"/>
        <v>160888</v>
      </c>
      <c r="M374" s="38">
        <f>일대목차!N78</f>
        <v>0</v>
      </c>
      <c r="N374" s="57">
        <f t="shared" si="65"/>
        <v>0</v>
      </c>
      <c r="O374" s="38">
        <f t="shared" si="66"/>
        <v>5531</v>
      </c>
      <c r="P374" s="38">
        <f t="shared" si="67"/>
        <v>309736</v>
      </c>
      <c r="Q374" s="12" t="s">
        <v>1920</v>
      </c>
      <c r="AC374" s="35">
        <f>G374*H374</f>
        <v>148848</v>
      </c>
      <c r="AE374" s="35">
        <f t="shared" si="68"/>
        <v>160888</v>
      </c>
    </row>
    <row r="375" spans="1:31" ht="23.1" customHeight="1" x14ac:dyDescent="0.15">
      <c r="A375" s="13" t="s">
        <v>1927</v>
      </c>
      <c r="B375" s="13" t="s">
        <v>3041</v>
      </c>
      <c r="C375" s="13" t="s">
        <v>1928</v>
      </c>
      <c r="D375" s="12" t="s">
        <v>408</v>
      </c>
      <c r="E375" s="12" t="s">
        <v>423</v>
      </c>
      <c r="F375" s="31" t="s">
        <v>166</v>
      </c>
      <c r="G375" s="15">
        <v>151</v>
      </c>
      <c r="H375" s="38">
        <f>일대목차!I81</f>
        <v>7856</v>
      </c>
      <c r="I375" s="57">
        <f t="shared" si="63"/>
        <v>1186256</v>
      </c>
      <c r="J375" s="38">
        <v>151</v>
      </c>
      <c r="K375" s="38">
        <f>일대목차!L81</f>
        <v>3284</v>
      </c>
      <c r="L375" s="57">
        <f t="shared" si="64"/>
        <v>495884</v>
      </c>
      <c r="M375" s="38">
        <f>일대목차!N81</f>
        <v>0</v>
      </c>
      <c r="N375" s="57">
        <f t="shared" si="65"/>
        <v>0</v>
      </c>
      <c r="O375" s="38">
        <f t="shared" si="66"/>
        <v>11140</v>
      </c>
      <c r="P375" s="38">
        <f t="shared" si="67"/>
        <v>1682140</v>
      </c>
      <c r="Q375" s="12" t="s">
        <v>1929</v>
      </c>
      <c r="AC375" s="35">
        <f>G375*H375</f>
        <v>1186256</v>
      </c>
      <c r="AE375" s="35">
        <f t="shared" si="68"/>
        <v>495884</v>
      </c>
    </row>
    <row r="376" spans="1:31" ht="23.1" customHeight="1" x14ac:dyDescent="0.15">
      <c r="A376" s="13" t="s">
        <v>2050</v>
      </c>
      <c r="B376" s="13" t="s">
        <v>3041</v>
      </c>
      <c r="C376" s="13" t="s">
        <v>2051</v>
      </c>
      <c r="D376" s="12" t="s">
        <v>548</v>
      </c>
      <c r="E376" s="12" t="s">
        <v>549</v>
      </c>
      <c r="F376" s="31" t="s">
        <v>200</v>
      </c>
      <c r="G376" s="15">
        <v>2</v>
      </c>
      <c r="H376" s="38">
        <f>일대목차!I122</f>
        <v>47477</v>
      </c>
      <c r="I376" s="57">
        <f t="shared" si="63"/>
        <v>94954</v>
      </c>
      <c r="J376" s="38">
        <v>2</v>
      </c>
      <c r="K376" s="38">
        <f>일대목차!L122</f>
        <v>273878</v>
      </c>
      <c r="L376" s="57">
        <f t="shared" si="64"/>
        <v>547756</v>
      </c>
      <c r="M376" s="38">
        <f>일대목차!N122</f>
        <v>0</v>
      </c>
      <c r="N376" s="57">
        <f t="shared" si="65"/>
        <v>0</v>
      </c>
      <c r="O376" s="38">
        <f t="shared" si="66"/>
        <v>321355</v>
      </c>
      <c r="P376" s="38">
        <f t="shared" si="67"/>
        <v>642710</v>
      </c>
      <c r="Q376" s="12" t="s">
        <v>2052</v>
      </c>
      <c r="AE376" s="35">
        <f t="shared" si="68"/>
        <v>547756</v>
      </c>
    </row>
    <row r="377" spans="1:31" ht="23.1" customHeight="1" x14ac:dyDescent="0.15">
      <c r="A377" s="13" t="s">
        <v>2053</v>
      </c>
      <c r="B377" s="13" t="s">
        <v>3041</v>
      </c>
      <c r="C377" s="13" t="s">
        <v>2054</v>
      </c>
      <c r="D377" s="12" t="s">
        <v>552</v>
      </c>
      <c r="E377" s="12" t="s">
        <v>553</v>
      </c>
      <c r="F377" s="31" t="s">
        <v>554</v>
      </c>
      <c r="G377" s="15">
        <v>18</v>
      </c>
      <c r="H377" s="38">
        <f>일대목차!I123</f>
        <v>10558</v>
      </c>
      <c r="I377" s="57">
        <f t="shared" si="63"/>
        <v>190044</v>
      </c>
      <c r="J377" s="38">
        <v>18</v>
      </c>
      <c r="K377" s="38">
        <f>일대목차!L123</f>
        <v>27914</v>
      </c>
      <c r="L377" s="57">
        <f t="shared" si="64"/>
        <v>502452</v>
      </c>
      <c r="M377" s="38">
        <f>일대목차!N123</f>
        <v>0</v>
      </c>
      <c r="N377" s="57">
        <f t="shared" si="65"/>
        <v>0</v>
      </c>
      <c r="O377" s="38">
        <f t="shared" si="66"/>
        <v>38472</v>
      </c>
      <c r="P377" s="38">
        <f t="shared" si="67"/>
        <v>692496</v>
      </c>
      <c r="Q377" s="12" t="s">
        <v>2055</v>
      </c>
      <c r="AE377" s="35">
        <f t="shared" si="68"/>
        <v>502452</v>
      </c>
    </row>
    <row r="378" spans="1:31" ht="23.1" customHeight="1" x14ac:dyDescent="0.15">
      <c r="A378" s="13" t="s">
        <v>2056</v>
      </c>
      <c r="B378" s="13" t="s">
        <v>3041</v>
      </c>
      <c r="C378" s="13" t="s">
        <v>2057</v>
      </c>
      <c r="D378" s="12" t="s">
        <v>557</v>
      </c>
      <c r="E378" s="12" t="s">
        <v>558</v>
      </c>
      <c r="F378" s="31" t="s">
        <v>559</v>
      </c>
      <c r="G378" s="15">
        <v>2</v>
      </c>
      <c r="H378" s="38">
        <f>일대목차!I124</f>
        <v>117652</v>
      </c>
      <c r="I378" s="57">
        <f t="shared" si="63"/>
        <v>235304</v>
      </c>
      <c r="J378" s="38">
        <v>2</v>
      </c>
      <c r="K378" s="38">
        <f>일대목차!L124</f>
        <v>180626</v>
      </c>
      <c r="L378" s="57">
        <f t="shared" si="64"/>
        <v>361252</v>
      </c>
      <c r="M378" s="38">
        <f>일대목차!N124</f>
        <v>0</v>
      </c>
      <c r="N378" s="57">
        <f t="shared" si="65"/>
        <v>0</v>
      </c>
      <c r="O378" s="38">
        <f t="shared" si="66"/>
        <v>298278</v>
      </c>
      <c r="P378" s="38">
        <f t="shared" si="67"/>
        <v>596556</v>
      </c>
      <c r="Q378" s="12" t="s">
        <v>2058</v>
      </c>
      <c r="AE378" s="35">
        <f t="shared" si="68"/>
        <v>361252</v>
      </c>
    </row>
    <row r="379" spans="1:31" ht="23.1" customHeight="1" x14ac:dyDescent="0.15">
      <c r="A379" s="13" t="s">
        <v>2080</v>
      </c>
      <c r="B379" s="13" t="s">
        <v>3041</v>
      </c>
      <c r="C379" s="13" t="s">
        <v>2081</v>
      </c>
      <c r="D379" s="12" t="s">
        <v>595</v>
      </c>
      <c r="E379" s="12" t="s">
        <v>596</v>
      </c>
      <c r="F379" s="31" t="s">
        <v>200</v>
      </c>
      <c r="G379" s="15">
        <v>2</v>
      </c>
      <c r="H379" s="38">
        <f>일대목차!I132</f>
        <v>718</v>
      </c>
      <c r="I379" s="57">
        <f t="shared" si="63"/>
        <v>1436</v>
      </c>
      <c r="J379" s="38">
        <v>2</v>
      </c>
      <c r="K379" s="38">
        <f>일대목차!L132</f>
        <v>29563</v>
      </c>
      <c r="L379" s="57">
        <f t="shared" si="64"/>
        <v>59126</v>
      </c>
      <c r="M379" s="38">
        <f>일대목차!N132</f>
        <v>0</v>
      </c>
      <c r="N379" s="57">
        <f t="shared" si="65"/>
        <v>0</v>
      </c>
      <c r="O379" s="38">
        <f t="shared" si="66"/>
        <v>30281</v>
      </c>
      <c r="P379" s="38">
        <f t="shared" si="67"/>
        <v>60562</v>
      </c>
      <c r="Q379" s="12" t="s">
        <v>2082</v>
      </c>
      <c r="AE379" s="35">
        <f t="shared" si="68"/>
        <v>59126</v>
      </c>
    </row>
    <row r="380" spans="1:31" ht="23.1" customHeight="1" x14ac:dyDescent="0.15">
      <c r="A380" s="13" t="s">
        <v>2089</v>
      </c>
      <c r="B380" s="13" t="s">
        <v>3041</v>
      </c>
      <c r="C380" s="13" t="s">
        <v>2090</v>
      </c>
      <c r="D380" s="12" t="s">
        <v>595</v>
      </c>
      <c r="E380" s="12" t="s">
        <v>602</v>
      </c>
      <c r="F380" s="31" t="s">
        <v>200</v>
      </c>
      <c r="G380" s="15">
        <v>4</v>
      </c>
      <c r="H380" s="38">
        <f>일대목차!I135</f>
        <v>1278</v>
      </c>
      <c r="I380" s="57">
        <f t="shared" si="63"/>
        <v>5112</v>
      </c>
      <c r="J380" s="38">
        <v>4</v>
      </c>
      <c r="K380" s="38">
        <f>일대목차!L135</f>
        <v>43798</v>
      </c>
      <c r="L380" s="57">
        <f t="shared" si="64"/>
        <v>175192</v>
      </c>
      <c r="M380" s="38">
        <f>일대목차!N135</f>
        <v>0</v>
      </c>
      <c r="N380" s="57">
        <f t="shared" si="65"/>
        <v>0</v>
      </c>
      <c r="O380" s="38">
        <f t="shared" si="66"/>
        <v>45076</v>
      </c>
      <c r="P380" s="38">
        <f t="shared" si="67"/>
        <v>180304</v>
      </c>
      <c r="Q380" s="12" t="s">
        <v>2091</v>
      </c>
      <c r="AE380" s="35">
        <f t="shared" si="68"/>
        <v>175192</v>
      </c>
    </row>
    <row r="381" spans="1:31" ht="23.1" customHeight="1" x14ac:dyDescent="0.15">
      <c r="A381" s="13" t="s">
        <v>1741</v>
      </c>
      <c r="B381" s="13" t="s">
        <v>3041</v>
      </c>
      <c r="C381" s="13" t="s">
        <v>1742</v>
      </c>
      <c r="D381" s="12" t="s">
        <v>1744</v>
      </c>
      <c r="E381" s="12" t="s">
        <v>1745</v>
      </c>
      <c r="F381" s="31" t="s">
        <v>792</v>
      </c>
      <c r="G381" s="15">
        <v>2</v>
      </c>
      <c r="H381" s="38">
        <f>일대목차!I23</f>
        <v>32327</v>
      </c>
      <c r="I381" s="57">
        <f t="shared" si="63"/>
        <v>64654</v>
      </c>
      <c r="J381" s="38">
        <v>2</v>
      </c>
      <c r="K381" s="38">
        <f>일대목차!L23</f>
        <v>125021</v>
      </c>
      <c r="L381" s="57">
        <f t="shared" si="64"/>
        <v>250042</v>
      </c>
      <c r="M381" s="38">
        <f>일대목차!N23</f>
        <v>1254</v>
      </c>
      <c r="N381" s="57">
        <f t="shared" si="65"/>
        <v>2508</v>
      </c>
      <c r="O381" s="38">
        <f t="shared" si="66"/>
        <v>158602</v>
      </c>
      <c r="P381" s="38">
        <f t="shared" si="67"/>
        <v>317204</v>
      </c>
      <c r="Q381" s="12" t="s">
        <v>1743</v>
      </c>
      <c r="AE381" s="35">
        <f t="shared" si="68"/>
        <v>250042</v>
      </c>
    </row>
    <row r="382" spans="1:31" ht="23.1" customHeight="1" x14ac:dyDescent="0.15">
      <c r="A382" s="13" t="s">
        <v>2128</v>
      </c>
      <c r="B382" s="13" t="s">
        <v>3041</v>
      </c>
      <c r="C382" s="13" t="s">
        <v>2129</v>
      </c>
      <c r="D382" s="12" t="s">
        <v>712</v>
      </c>
      <c r="E382" s="12" t="s">
        <v>713</v>
      </c>
      <c r="F382" s="31" t="s">
        <v>289</v>
      </c>
      <c r="G382" s="15">
        <v>196</v>
      </c>
      <c r="H382" s="38">
        <f>일대목차!I148</f>
        <v>10530</v>
      </c>
      <c r="I382" s="57">
        <f t="shared" si="63"/>
        <v>2063880</v>
      </c>
      <c r="J382" s="38">
        <v>196</v>
      </c>
      <c r="K382" s="38">
        <f>일대목차!L148</f>
        <v>26546</v>
      </c>
      <c r="L382" s="57">
        <f t="shared" si="64"/>
        <v>5203016</v>
      </c>
      <c r="M382" s="38">
        <f>일대목차!N148</f>
        <v>0</v>
      </c>
      <c r="N382" s="57">
        <f t="shared" si="65"/>
        <v>0</v>
      </c>
      <c r="O382" s="38">
        <f t="shared" si="66"/>
        <v>37076</v>
      </c>
      <c r="P382" s="38">
        <f t="shared" si="67"/>
        <v>7266896</v>
      </c>
      <c r="Q382" s="12" t="s">
        <v>2130</v>
      </c>
      <c r="AE382" s="35">
        <f t="shared" si="68"/>
        <v>5203016</v>
      </c>
    </row>
    <row r="383" spans="1:31" ht="23.1" customHeight="1" x14ac:dyDescent="0.15">
      <c r="A383" s="13" t="s">
        <v>2131</v>
      </c>
      <c r="B383" s="13" t="s">
        <v>3041</v>
      </c>
      <c r="C383" s="13" t="s">
        <v>2132</v>
      </c>
      <c r="D383" s="12" t="s">
        <v>715</v>
      </c>
      <c r="E383" s="12"/>
      <c r="F383" s="31" t="s">
        <v>559</v>
      </c>
      <c r="G383" s="15">
        <v>2</v>
      </c>
      <c r="H383" s="38">
        <f>일대목차!I149</f>
        <v>140412</v>
      </c>
      <c r="I383" s="57">
        <f t="shared" si="63"/>
        <v>280824</v>
      </c>
      <c r="J383" s="38">
        <v>2</v>
      </c>
      <c r="K383" s="38">
        <f>일대목차!L149</f>
        <v>180626</v>
      </c>
      <c r="L383" s="57">
        <f t="shared" si="64"/>
        <v>361252</v>
      </c>
      <c r="M383" s="38">
        <f>일대목차!N149</f>
        <v>0</v>
      </c>
      <c r="N383" s="57">
        <f t="shared" si="65"/>
        <v>0</v>
      </c>
      <c r="O383" s="38">
        <f t="shared" si="66"/>
        <v>321038</v>
      </c>
      <c r="P383" s="38">
        <f t="shared" si="67"/>
        <v>642076</v>
      </c>
      <c r="Q383" s="12" t="s">
        <v>2133</v>
      </c>
      <c r="AE383" s="35">
        <f t="shared" si="68"/>
        <v>361252</v>
      </c>
    </row>
    <row r="384" spans="1:31" ht="23.1" customHeight="1" x14ac:dyDescent="0.15">
      <c r="A384" s="13" t="s">
        <v>2167</v>
      </c>
      <c r="B384" s="13" t="s">
        <v>3041</v>
      </c>
      <c r="C384" s="13" t="s">
        <v>2168</v>
      </c>
      <c r="D384" s="12" t="s">
        <v>728</v>
      </c>
      <c r="E384" s="12" t="s">
        <v>729</v>
      </c>
      <c r="F384" s="31" t="s">
        <v>166</v>
      </c>
      <c r="G384" s="15">
        <v>198</v>
      </c>
      <c r="H384" s="38">
        <f>일대목차!I161</f>
        <v>7132</v>
      </c>
      <c r="I384" s="57">
        <f t="shared" si="63"/>
        <v>1412136</v>
      </c>
      <c r="J384" s="38">
        <v>198</v>
      </c>
      <c r="K384" s="38">
        <f>일대목차!L161</f>
        <v>6646</v>
      </c>
      <c r="L384" s="57">
        <f t="shared" si="64"/>
        <v>1315908</v>
      </c>
      <c r="M384" s="38">
        <f>일대목차!N161</f>
        <v>0</v>
      </c>
      <c r="N384" s="57">
        <f t="shared" si="65"/>
        <v>0</v>
      </c>
      <c r="O384" s="38">
        <f t="shared" si="66"/>
        <v>13778</v>
      </c>
      <c r="P384" s="38">
        <f t="shared" si="67"/>
        <v>2728044</v>
      </c>
      <c r="Q384" s="12" t="s">
        <v>2169</v>
      </c>
      <c r="AE384" s="35">
        <f t="shared" si="68"/>
        <v>1315908</v>
      </c>
    </row>
    <row r="385" spans="1:31" ht="23.1" customHeight="1" x14ac:dyDescent="0.15">
      <c r="A385" s="13" t="s">
        <v>1242</v>
      </c>
      <c r="B385" s="13" t="s">
        <v>3041</v>
      </c>
      <c r="C385" s="13" t="s">
        <v>706</v>
      </c>
      <c r="D385" s="12" t="s">
        <v>730</v>
      </c>
      <c r="E385" s="12" t="s">
        <v>731</v>
      </c>
      <c r="F385" s="31" t="s">
        <v>554</v>
      </c>
      <c r="G385" s="15">
        <v>198</v>
      </c>
      <c r="H385" s="38">
        <f>합산자재!H218</f>
        <v>5000</v>
      </c>
      <c r="I385" s="57">
        <f t="shared" si="63"/>
        <v>990000</v>
      </c>
      <c r="J385" s="38">
        <v>198</v>
      </c>
      <c r="K385" s="38">
        <f>합산자재!I218</f>
        <v>0</v>
      </c>
      <c r="L385" s="57">
        <f t="shared" si="64"/>
        <v>0</v>
      </c>
      <c r="M385" s="38">
        <f>합산자재!J218</f>
        <v>0</v>
      </c>
      <c r="N385" s="57">
        <f t="shared" si="65"/>
        <v>0</v>
      </c>
      <c r="O385" s="38">
        <f t="shared" si="66"/>
        <v>5000</v>
      </c>
      <c r="P385" s="38">
        <f t="shared" si="67"/>
        <v>990000</v>
      </c>
      <c r="Q385" s="12"/>
    </row>
    <row r="386" spans="1:31" ht="23.1" customHeight="1" x14ac:dyDescent="0.15">
      <c r="A386" s="13" t="s">
        <v>2170</v>
      </c>
      <c r="B386" s="13" t="s">
        <v>3041</v>
      </c>
      <c r="C386" s="13" t="s">
        <v>2171</v>
      </c>
      <c r="D386" s="12" t="s">
        <v>732</v>
      </c>
      <c r="E386" s="12"/>
      <c r="F386" s="31" t="s">
        <v>289</v>
      </c>
      <c r="G386" s="15">
        <v>9</v>
      </c>
      <c r="H386" s="38">
        <f>일대목차!I162</f>
        <v>13530</v>
      </c>
      <c r="I386" s="57">
        <f t="shared" si="63"/>
        <v>121770</v>
      </c>
      <c r="J386" s="38">
        <v>9</v>
      </c>
      <c r="K386" s="38">
        <f>일대목차!L162</f>
        <v>26546</v>
      </c>
      <c r="L386" s="57">
        <f t="shared" si="64"/>
        <v>238914</v>
      </c>
      <c r="M386" s="38">
        <f>일대목차!N162</f>
        <v>0</v>
      </c>
      <c r="N386" s="57">
        <f t="shared" si="65"/>
        <v>0</v>
      </c>
      <c r="O386" s="38">
        <f t="shared" si="66"/>
        <v>40076</v>
      </c>
      <c r="P386" s="38">
        <f t="shared" si="67"/>
        <v>360684</v>
      </c>
      <c r="Q386" s="12" t="s">
        <v>2172</v>
      </c>
      <c r="AE386" s="35">
        <f>L386</f>
        <v>238914</v>
      </c>
    </row>
    <row r="387" spans="1:31" ht="23.1" customHeight="1" x14ac:dyDescent="0.15">
      <c r="A387" s="13" t="s">
        <v>1244</v>
      </c>
      <c r="B387" s="13" t="s">
        <v>3041</v>
      </c>
      <c r="C387" s="13" t="s">
        <v>706</v>
      </c>
      <c r="D387" s="12" t="s">
        <v>733</v>
      </c>
      <c r="E387" s="12" t="s">
        <v>734</v>
      </c>
      <c r="F387" s="31" t="s">
        <v>289</v>
      </c>
      <c r="G387" s="15">
        <v>99</v>
      </c>
      <c r="H387" s="38">
        <f>합산자재!H220</f>
        <v>3500</v>
      </c>
      <c r="I387" s="57">
        <f t="shared" si="63"/>
        <v>346500</v>
      </c>
      <c r="J387" s="38">
        <v>99</v>
      </c>
      <c r="K387" s="38">
        <f>합산자재!I220</f>
        <v>0</v>
      </c>
      <c r="L387" s="57">
        <f t="shared" si="64"/>
        <v>0</v>
      </c>
      <c r="M387" s="38">
        <f>합산자재!J220</f>
        <v>0</v>
      </c>
      <c r="N387" s="57">
        <f t="shared" si="65"/>
        <v>0</v>
      </c>
      <c r="O387" s="38">
        <f t="shared" si="66"/>
        <v>3500</v>
      </c>
      <c r="P387" s="38">
        <f t="shared" si="67"/>
        <v>346500</v>
      </c>
      <c r="Q387" s="12"/>
    </row>
    <row r="388" spans="1:31" ht="23.1" customHeight="1" x14ac:dyDescent="0.15">
      <c r="A388" s="13" t="s">
        <v>2185</v>
      </c>
      <c r="B388" s="13" t="s">
        <v>3041</v>
      </c>
      <c r="C388" s="13" t="s">
        <v>2186</v>
      </c>
      <c r="D388" s="12" t="s">
        <v>775</v>
      </c>
      <c r="E388" s="12"/>
      <c r="F388" s="31" t="s">
        <v>289</v>
      </c>
      <c r="G388" s="15">
        <v>78</v>
      </c>
      <c r="H388" s="38">
        <f>일대목차!I167</f>
        <v>3647</v>
      </c>
      <c r="I388" s="57">
        <f t="shared" si="63"/>
        <v>284466</v>
      </c>
      <c r="J388" s="38">
        <v>78</v>
      </c>
      <c r="K388" s="38">
        <f>일대목차!L167</f>
        <v>7389</v>
      </c>
      <c r="L388" s="57">
        <f t="shared" si="64"/>
        <v>576342</v>
      </c>
      <c r="M388" s="38">
        <f>일대목차!N167</f>
        <v>0</v>
      </c>
      <c r="N388" s="57">
        <f t="shared" si="65"/>
        <v>0</v>
      </c>
      <c r="O388" s="38">
        <f t="shared" si="66"/>
        <v>11036</v>
      </c>
      <c r="P388" s="38">
        <f t="shared" si="67"/>
        <v>860808</v>
      </c>
      <c r="Q388" s="12" t="s">
        <v>2187</v>
      </c>
      <c r="AE388" s="35">
        <f>L388</f>
        <v>576342</v>
      </c>
    </row>
    <row r="389" spans="1:31" ht="23.1" customHeight="1" x14ac:dyDescent="0.15">
      <c r="A389" s="13" t="s">
        <v>1293</v>
      </c>
      <c r="B389" s="13" t="s">
        <v>3041</v>
      </c>
      <c r="C389" s="13" t="s">
        <v>830</v>
      </c>
      <c r="D389" s="12" t="s">
        <v>831</v>
      </c>
      <c r="E389" s="12" t="s">
        <v>832</v>
      </c>
      <c r="F389" s="31" t="s">
        <v>710</v>
      </c>
      <c r="G389" s="15">
        <v>2</v>
      </c>
      <c r="H389" s="38">
        <f>합산자재!H269</f>
        <v>450000</v>
      </c>
      <c r="I389" s="57">
        <f t="shared" si="63"/>
        <v>900000</v>
      </c>
      <c r="J389" s="38">
        <v>2</v>
      </c>
      <c r="K389" s="38">
        <f>합산자재!I269</f>
        <v>0</v>
      </c>
      <c r="L389" s="57">
        <f t="shared" si="64"/>
        <v>0</v>
      </c>
      <c r="M389" s="38">
        <f>합산자재!J269</f>
        <v>0</v>
      </c>
      <c r="N389" s="57">
        <f t="shared" si="65"/>
        <v>0</v>
      </c>
      <c r="O389" s="38">
        <f t="shared" si="66"/>
        <v>450000</v>
      </c>
      <c r="P389" s="38">
        <f t="shared" si="67"/>
        <v>900000</v>
      </c>
      <c r="Q389" s="12"/>
    </row>
    <row r="390" spans="1:31" ht="23.1" customHeight="1" x14ac:dyDescent="0.15">
      <c r="D390" s="12"/>
      <c r="E390" s="12"/>
      <c r="F390" s="31"/>
      <c r="G390" s="15"/>
      <c r="H390" s="38"/>
      <c r="I390" s="57"/>
      <c r="J390" s="38"/>
      <c r="K390" s="38"/>
      <c r="L390" s="57"/>
      <c r="M390" s="38"/>
      <c r="N390" s="57"/>
      <c r="O390" s="38"/>
      <c r="P390" s="38"/>
      <c r="Q390" s="12"/>
      <c r="AE390" s="35">
        <f>TRUNC(SUM(AE368:AE389))</f>
        <v>11631411</v>
      </c>
    </row>
    <row r="391" spans="1:31" ht="23.1" customHeight="1" x14ac:dyDescent="0.15">
      <c r="D391" s="12"/>
      <c r="E391" s="12"/>
      <c r="F391" s="31"/>
      <c r="G391" s="15"/>
      <c r="H391" s="38"/>
      <c r="I391" s="57"/>
      <c r="J391" s="38"/>
      <c r="K391" s="38"/>
      <c r="L391" s="57"/>
      <c r="M391" s="38"/>
      <c r="N391" s="57"/>
      <c r="O391" s="38"/>
      <c r="P391" s="38"/>
      <c r="Q391" s="12"/>
    </row>
    <row r="392" spans="1:31" ht="23.1" customHeight="1" x14ac:dyDescent="0.15">
      <c r="D392" s="12"/>
      <c r="E392" s="12"/>
      <c r="F392" s="31"/>
      <c r="G392" s="15"/>
      <c r="H392" s="38"/>
      <c r="I392" s="57"/>
      <c r="J392" s="38"/>
      <c r="K392" s="38"/>
      <c r="L392" s="57"/>
      <c r="M392" s="38"/>
      <c r="N392" s="57"/>
      <c r="O392" s="38"/>
      <c r="P392" s="38"/>
      <c r="Q392" s="12"/>
    </row>
    <row r="393" spans="1:31" ht="23.1" customHeight="1" x14ac:dyDescent="0.15">
      <c r="B393" s="13" t="s">
        <v>2360</v>
      </c>
      <c r="D393" s="12" t="s">
        <v>2361</v>
      </c>
      <c r="E393" s="12"/>
      <c r="F393" s="31"/>
      <c r="G393" s="15"/>
      <c r="H393" s="38"/>
      <c r="I393" s="57">
        <f>TRUNC(SUM(I368:I392))</f>
        <v>8415881</v>
      </c>
      <c r="J393" s="38"/>
      <c r="K393" s="38"/>
      <c r="L393" s="57">
        <f>TRUNC(SUM(L368:L392))</f>
        <v>11631411</v>
      </c>
      <c r="M393" s="38"/>
      <c r="N393" s="57">
        <f>TRUNC(SUM(N368:N392))</f>
        <v>2508</v>
      </c>
      <c r="O393" s="38" t="str">
        <f>IF((H393+K393+M393)=0, "", (H393+K393+M393))</f>
        <v/>
      </c>
      <c r="P393" s="38">
        <f>TRUNC(SUM(P368:P392))</f>
        <v>20049800</v>
      </c>
      <c r="Q393" s="12"/>
    </row>
    <row r="394" spans="1:31" ht="23.1" customHeight="1" x14ac:dyDescent="0.15">
      <c r="B394" s="13" t="s">
        <v>1448</v>
      </c>
      <c r="D394" s="170" t="s">
        <v>3175</v>
      </c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2"/>
    </row>
    <row r="395" spans="1:31" ht="23.1" customHeight="1" x14ac:dyDescent="0.15">
      <c r="A395" s="13" t="s">
        <v>1857</v>
      </c>
      <c r="B395" s="13" t="s">
        <v>3042</v>
      </c>
      <c r="C395" s="13" t="s">
        <v>1858</v>
      </c>
      <c r="D395" s="12" t="s">
        <v>291</v>
      </c>
      <c r="E395" s="12" t="s">
        <v>294</v>
      </c>
      <c r="F395" s="31" t="s">
        <v>200</v>
      </c>
      <c r="G395" s="15">
        <v>4</v>
      </c>
      <c r="H395" s="38">
        <f>일대목차!I58</f>
        <v>5563</v>
      </c>
      <c r="I395" s="57">
        <f t="shared" ref="I395:I418" si="69">TRUNC(G395*H395)</f>
        <v>22252</v>
      </c>
      <c r="J395" s="38">
        <v>4</v>
      </c>
      <c r="K395" s="38">
        <f>일대목차!L58</f>
        <v>135469</v>
      </c>
      <c r="L395" s="57">
        <f t="shared" ref="L395:L418" si="70">TRUNC(G395*K395)</f>
        <v>541876</v>
      </c>
      <c r="M395" s="38">
        <f>일대목차!N58</f>
        <v>0</v>
      </c>
      <c r="N395" s="57">
        <f t="shared" ref="N395:N418" si="71">TRUNC(G395*M395)</f>
        <v>0</v>
      </c>
      <c r="O395" s="38">
        <f t="shared" ref="O395:O419" si="72">IF((H395+K395+M395)=0, "", (H395+K395+M395))</f>
        <v>141032</v>
      </c>
      <c r="P395" s="38">
        <f t="shared" ref="P395:P418" si="73">SUM(I395,L395,N395)</f>
        <v>564128</v>
      </c>
      <c r="Q395" s="12" t="s">
        <v>1859</v>
      </c>
      <c r="AE395" s="35">
        <f t="shared" ref="AE395:AE407" si="74">L395</f>
        <v>541876</v>
      </c>
    </row>
    <row r="396" spans="1:31" ht="23.1" customHeight="1" x14ac:dyDescent="0.15">
      <c r="A396" s="13" t="s">
        <v>1918</v>
      </c>
      <c r="B396" s="13" t="s">
        <v>3042</v>
      </c>
      <c r="C396" s="13" t="s">
        <v>1919</v>
      </c>
      <c r="D396" s="12" t="s">
        <v>408</v>
      </c>
      <c r="E396" s="12" t="s">
        <v>417</v>
      </c>
      <c r="F396" s="31" t="s">
        <v>166</v>
      </c>
      <c r="G396" s="15">
        <v>10</v>
      </c>
      <c r="H396" s="38">
        <f>일대목차!I78</f>
        <v>2658</v>
      </c>
      <c r="I396" s="57">
        <f t="shared" si="69"/>
        <v>26580</v>
      </c>
      <c r="J396" s="38">
        <v>10</v>
      </c>
      <c r="K396" s="38">
        <f>일대목차!L78</f>
        <v>2873</v>
      </c>
      <c r="L396" s="57">
        <f t="shared" si="70"/>
        <v>28730</v>
      </c>
      <c r="M396" s="38">
        <f>일대목차!N78</f>
        <v>0</v>
      </c>
      <c r="N396" s="57">
        <f t="shared" si="71"/>
        <v>0</v>
      </c>
      <c r="O396" s="38">
        <f t="shared" si="72"/>
        <v>5531</v>
      </c>
      <c r="P396" s="38">
        <f t="shared" si="73"/>
        <v>55310</v>
      </c>
      <c r="Q396" s="12" t="s">
        <v>1920</v>
      </c>
      <c r="AC396" s="35">
        <f>G396*H396</f>
        <v>26580</v>
      </c>
      <c r="AE396" s="35">
        <f t="shared" si="74"/>
        <v>28730</v>
      </c>
    </row>
    <row r="397" spans="1:31" ht="23.1" customHeight="1" x14ac:dyDescent="0.15">
      <c r="A397" s="13" t="s">
        <v>1924</v>
      </c>
      <c r="B397" s="13" t="s">
        <v>3042</v>
      </c>
      <c r="C397" s="13" t="s">
        <v>1925</v>
      </c>
      <c r="D397" s="12" t="s">
        <v>408</v>
      </c>
      <c r="E397" s="12" t="s">
        <v>421</v>
      </c>
      <c r="F397" s="31" t="s">
        <v>166</v>
      </c>
      <c r="G397" s="15">
        <v>17</v>
      </c>
      <c r="H397" s="38">
        <f>일대목차!I80</f>
        <v>5972</v>
      </c>
      <c r="I397" s="57">
        <f t="shared" si="69"/>
        <v>101524</v>
      </c>
      <c r="J397" s="38">
        <v>17</v>
      </c>
      <c r="K397" s="38">
        <f>일대목차!L80</f>
        <v>2873</v>
      </c>
      <c r="L397" s="57">
        <f t="shared" si="70"/>
        <v>48841</v>
      </c>
      <c r="M397" s="38">
        <f>일대목차!N80</f>
        <v>0</v>
      </c>
      <c r="N397" s="57">
        <f t="shared" si="71"/>
        <v>0</v>
      </c>
      <c r="O397" s="38">
        <f t="shared" si="72"/>
        <v>8845</v>
      </c>
      <c r="P397" s="38">
        <f t="shared" si="73"/>
        <v>150365</v>
      </c>
      <c r="Q397" s="12" t="s">
        <v>1926</v>
      </c>
      <c r="AC397" s="35">
        <f>G397*H397</f>
        <v>101524</v>
      </c>
      <c r="AE397" s="35">
        <f t="shared" si="74"/>
        <v>48841</v>
      </c>
    </row>
    <row r="398" spans="1:31" ht="23.1" customHeight="1" x14ac:dyDescent="0.15">
      <c r="A398" s="13" t="s">
        <v>1942</v>
      </c>
      <c r="B398" s="13" t="s">
        <v>3042</v>
      </c>
      <c r="C398" s="13" t="s">
        <v>1943</v>
      </c>
      <c r="D398" s="12" t="s">
        <v>435</v>
      </c>
      <c r="E398" s="12" t="s">
        <v>436</v>
      </c>
      <c r="F398" s="31" t="s">
        <v>166</v>
      </c>
      <c r="G398" s="15">
        <v>35</v>
      </c>
      <c r="H398" s="38">
        <f>일대목차!I86</f>
        <v>13057</v>
      </c>
      <c r="I398" s="57">
        <f t="shared" si="69"/>
        <v>456995</v>
      </c>
      <c r="J398" s="38">
        <v>35</v>
      </c>
      <c r="K398" s="38">
        <f>일대목차!L86</f>
        <v>15603</v>
      </c>
      <c r="L398" s="57">
        <f t="shared" si="70"/>
        <v>546105</v>
      </c>
      <c r="M398" s="38">
        <f>일대목차!N86</f>
        <v>0</v>
      </c>
      <c r="N398" s="57">
        <f t="shared" si="71"/>
        <v>0</v>
      </c>
      <c r="O398" s="38">
        <f t="shared" si="72"/>
        <v>28660</v>
      </c>
      <c r="P398" s="38">
        <f t="shared" si="73"/>
        <v>1003100</v>
      </c>
      <c r="Q398" s="12" t="s">
        <v>1944</v>
      </c>
      <c r="AC398" s="35">
        <f>G398*H398</f>
        <v>456995</v>
      </c>
      <c r="AE398" s="35">
        <f t="shared" si="74"/>
        <v>546105</v>
      </c>
    </row>
    <row r="399" spans="1:31" ht="23.1" customHeight="1" x14ac:dyDescent="0.15">
      <c r="A399" s="13" t="s">
        <v>1972</v>
      </c>
      <c r="B399" s="13" t="s">
        <v>3042</v>
      </c>
      <c r="C399" s="13" t="s">
        <v>1973</v>
      </c>
      <c r="D399" s="12" t="s">
        <v>445</v>
      </c>
      <c r="E399" s="12" t="s">
        <v>460</v>
      </c>
      <c r="F399" s="31" t="s">
        <v>166</v>
      </c>
      <c r="G399" s="15">
        <v>191</v>
      </c>
      <c r="H399" s="38">
        <f>일대목차!I96</f>
        <v>13750</v>
      </c>
      <c r="I399" s="57">
        <f t="shared" si="69"/>
        <v>2626250</v>
      </c>
      <c r="J399" s="38">
        <v>191</v>
      </c>
      <c r="K399" s="38">
        <f>일대목차!L96</f>
        <v>18188</v>
      </c>
      <c r="L399" s="57">
        <f t="shared" si="70"/>
        <v>3473908</v>
      </c>
      <c r="M399" s="38">
        <f>일대목차!N96</f>
        <v>0</v>
      </c>
      <c r="N399" s="57">
        <f t="shared" si="71"/>
        <v>0</v>
      </c>
      <c r="O399" s="38">
        <f t="shared" si="72"/>
        <v>31938</v>
      </c>
      <c r="P399" s="38">
        <f t="shared" si="73"/>
        <v>6100158</v>
      </c>
      <c r="Q399" s="12" t="s">
        <v>1974</v>
      </c>
      <c r="AC399" s="35">
        <f>G399*H399</f>
        <v>2626250</v>
      </c>
      <c r="AE399" s="35">
        <f t="shared" si="74"/>
        <v>3473908</v>
      </c>
    </row>
    <row r="400" spans="1:31" ht="23.1" customHeight="1" x14ac:dyDescent="0.15">
      <c r="A400" s="13" t="s">
        <v>2014</v>
      </c>
      <c r="B400" s="13" t="s">
        <v>3042</v>
      </c>
      <c r="C400" s="13" t="s">
        <v>2015</v>
      </c>
      <c r="D400" s="12" t="s">
        <v>505</v>
      </c>
      <c r="E400" s="12" t="s">
        <v>506</v>
      </c>
      <c r="F400" s="31" t="s">
        <v>166</v>
      </c>
      <c r="G400" s="15">
        <v>225</v>
      </c>
      <c r="H400" s="38">
        <f>일대목차!I110</f>
        <v>1769</v>
      </c>
      <c r="I400" s="57">
        <f t="shared" si="69"/>
        <v>398025</v>
      </c>
      <c r="J400" s="38">
        <v>225</v>
      </c>
      <c r="K400" s="38">
        <f>일대목차!L110</f>
        <v>7852</v>
      </c>
      <c r="L400" s="57">
        <f t="shared" si="70"/>
        <v>1766700</v>
      </c>
      <c r="M400" s="38">
        <f>일대목차!N110</f>
        <v>0</v>
      </c>
      <c r="N400" s="57">
        <f t="shared" si="71"/>
        <v>0</v>
      </c>
      <c r="O400" s="38">
        <f t="shared" si="72"/>
        <v>9621</v>
      </c>
      <c r="P400" s="38">
        <f t="shared" si="73"/>
        <v>2164725</v>
      </c>
      <c r="Q400" s="12" t="s">
        <v>2016</v>
      </c>
      <c r="AC400" s="35">
        <f>G400*H400</f>
        <v>398025</v>
      </c>
      <c r="AE400" s="35">
        <f t="shared" si="74"/>
        <v>1766700</v>
      </c>
    </row>
    <row r="401" spans="1:31" ht="23.1" customHeight="1" x14ac:dyDescent="0.15">
      <c r="A401" s="13" t="s">
        <v>2074</v>
      </c>
      <c r="B401" s="13" t="s">
        <v>3042</v>
      </c>
      <c r="C401" s="13" t="s">
        <v>2075</v>
      </c>
      <c r="D401" s="12" t="s">
        <v>583</v>
      </c>
      <c r="E401" s="12" t="s">
        <v>590</v>
      </c>
      <c r="F401" s="31" t="s">
        <v>200</v>
      </c>
      <c r="G401" s="15">
        <v>12</v>
      </c>
      <c r="H401" s="38">
        <f>일대목차!I130</f>
        <v>1718</v>
      </c>
      <c r="I401" s="57">
        <f t="shared" si="69"/>
        <v>20616</v>
      </c>
      <c r="J401" s="38">
        <v>12</v>
      </c>
      <c r="K401" s="38">
        <f>일대목차!L130</f>
        <v>51463</v>
      </c>
      <c r="L401" s="57">
        <f t="shared" si="70"/>
        <v>617556</v>
      </c>
      <c r="M401" s="38">
        <f>일대목차!N130</f>
        <v>0</v>
      </c>
      <c r="N401" s="57">
        <f t="shared" si="71"/>
        <v>0</v>
      </c>
      <c r="O401" s="38">
        <f t="shared" si="72"/>
        <v>53181</v>
      </c>
      <c r="P401" s="38">
        <f t="shared" si="73"/>
        <v>638172</v>
      </c>
      <c r="Q401" s="12" t="s">
        <v>2076</v>
      </c>
      <c r="AE401" s="35">
        <f t="shared" si="74"/>
        <v>617556</v>
      </c>
    </row>
    <row r="402" spans="1:31" ht="23.1" customHeight="1" x14ac:dyDescent="0.15">
      <c r="A402" s="13" t="s">
        <v>2080</v>
      </c>
      <c r="B402" s="13" t="s">
        <v>3042</v>
      </c>
      <c r="C402" s="13" t="s">
        <v>2081</v>
      </c>
      <c r="D402" s="12" t="s">
        <v>595</v>
      </c>
      <c r="E402" s="12" t="s">
        <v>596</v>
      </c>
      <c r="F402" s="31" t="s">
        <v>200</v>
      </c>
      <c r="G402" s="15">
        <v>20</v>
      </c>
      <c r="H402" s="38">
        <f>일대목차!I132</f>
        <v>718</v>
      </c>
      <c r="I402" s="57">
        <f t="shared" si="69"/>
        <v>14360</v>
      </c>
      <c r="J402" s="38">
        <v>20</v>
      </c>
      <c r="K402" s="38">
        <f>일대목차!L132</f>
        <v>29563</v>
      </c>
      <c r="L402" s="57">
        <f t="shared" si="70"/>
        <v>591260</v>
      </c>
      <c r="M402" s="38">
        <f>일대목차!N132</f>
        <v>0</v>
      </c>
      <c r="N402" s="57">
        <f t="shared" si="71"/>
        <v>0</v>
      </c>
      <c r="O402" s="38">
        <f t="shared" si="72"/>
        <v>30281</v>
      </c>
      <c r="P402" s="38">
        <f t="shared" si="73"/>
        <v>605620</v>
      </c>
      <c r="Q402" s="12" t="s">
        <v>2082</v>
      </c>
      <c r="AE402" s="35">
        <f t="shared" si="74"/>
        <v>591260</v>
      </c>
    </row>
    <row r="403" spans="1:31" ht="23.1" customHeight="1" x14ac:dyDescent="0.15">
      <c r="A403" s="13" t="s">
        <v>2086</v>
      </c>
      <c r="B403" s="13" t="s">
        <v>3042</v>
      </c>
      <c r="C403" s="13" t="s">
        <v>2087</v>
      </c>
      <c r="D403" s="12" t="s">
        <v>595</v>
      </c>
      <c r="E403" s="12" t="s">
        <v>600</v>
      </c>
      <c r="F403" s="31" t="s">
        <v>200</v>
      </c>
      <c r="G403" s="15">
        <v>4</v>
      </c>
      <c r="H403" s="38">
        <f>일대목차!I134</f>
        <v>1030</v>
      </c>
      <c r="I403" s="57">
        <f t="shared" si="69"/>
        <v>4120</v>
      </c>
      <c r="J403" s="38">
        <v>4</v>
      </c>
      <c r="K403" s="38">
        <f>일대목차!L134</f>
        <v>39418</v>
      </c>
      <c r="L403" s="57">
        <f t="shared" si="70"/>
        <v>157672</v>
      </c>
      <c r="M403" s="38">
        <f>일대목차!N134</f>
        <v>0</v>
      </c>
      <c r="N403" s="57">
        <f t="shared" si="71"/>
        <v>0</v>
      </c>
      <c r="O403" s="38">
        <f t="shared" si="72"/>
        <v>40448</v>
      </c>
      <c r="P403" s="38">
        <f t="shared" si="73"/>
        <v>161792</v>
      </c>
      <c r="Q403" s="12" t="s">
        <v>2088</v>
      </c>
      <c r="AE403" s="35">
        <f t="shared" si="74"/>
        <v>157672</v>
      </c>
    </row>
    <row r="404" spans="1:31" ht="23.1" customHeight="1" x14ac:dyDescent="0.15">
      <c r="A404" s="13" t="s">
        <v>1671</v>
      </c>
      <c r="B404" s="13" t="s">
        <v>3042</v>
      </c>
      <c r="C404" s="13" t="s">
        <v>1672</v>
      </c>
      <c r="D404" s="12" t="s">
        <v>1674</v>
      </c>
      <c r="E404" s="12" t="s">
        <v>1675</v>
      </c>
      <c r="F404" s="31" t="s">
        <v>792</v>
      </c>
      <c r="G404" s="15">
        <v>27</v>
      </c>
      <c r="H404" s="38">
        <f>일대목차!I6</f>
        <v>19534</v>
      </c>
      <c r="I404" s="57">
        <f t="shared" si="69"/>
        <v>527418</v>
      </c>
      <c r="J404" s="38">
        <v>27</v>
      </c>
      <c r="K404" s="38">
        <f>일대목차!L6</f>
        <v>9852</v>
      </c>
      <c r="L404" s="57">
        <f t="shared" si="70"/>
        <v>266004</v>
      </c>
      <c r="M404" s="38">
        <f>일대목차!N6</f>
        <v>0</v>
      </c>
      <c r="N404" s="57">
        <f t="shared" si="71"/>
        <v>0</v>
      </c>
      <c r="O404" s="38">
        <f t="shared" si="72"/>
        <v>29386</v>
      </c>
      <c r="P404" s="38">
        <f t="shared" si="73"/>
        <v>793422</v>
      </c>
      <c r="Q404" s="12" t="s">
        <v>1673</v>
      </c>
      <c r="AE404" s="35">
        <f t="shared" si="74"/>
        <v>266004</v>
      </c>
    </row>
    <row r="405" spans="1:31" ht="23.1" customHeight="1" x14ac:dyDescent="0.15">
      <c r="A405" s="13" t="s">
        <v>2101</v>
      </c>
      <c r="B405" s="13" t="s">
        <v>3042</v>
      </c>
      <c r="C405" s="13" t="s">
        <v>2102</v>
      </c>
      <c r="D405" s="12" t="s">
        <v>656</v>
      </c>
      <c r="E405" s="12" t="s">
        <v>657</v>
      </c>
      <c r="F405" s="31" t="s">
        <v>166</v>
      </c>
      <c r="G405" s="15">
        <v>41</v>
      </c>
      <c r="H405" s="38">
        <f>일대목차!I139</f>
        <v>3045</v>
      </c>
      <c r="I405" s="57">
        <f t="shared" si="69"/>
        <v>124845</v>
      </c>
      <c r="J405" s="38">
        <v>41</v>
      </c>
      <c r="K405" s="38">
        <f>일대목차!L139</f>
        <v>14778</v>
      </c>
      <c r="L405" s="57">
        <f t="shared" si="70"/>
        <v>605898</v>
      </c>
      <c r="M405" s="38">
        <f>일대목차!N139</f>
        <v>0</v>
      </c>
      <c r="N405" s="57">
        <f t="shared" si="71"/>
        <v>0</v>
      </c>
      <c r="O405" s="38">
        <f t="shared" si="72"/>
        <v>17823</v>
      </c>
      <c r="P405" s="38">
        <f t="shared" si="73"/>
        <v>730743</v>
      </c>
      <c r="Q405" s="12" t="s">
        <v>2103</v>
      </c>
      <c r="AB405" s="35">
        <f>I405</f>
        <v>124845</v>
      </c>
      <c r="AC405" s="35">
        <f>G405*H405</f>
        <v>124845</v>
      </c>
      <c r="AE405" s="35">
        <f t="shared" si="74"/>
        <v>605898</v>
      </c>
    </row>
    <row r="406" spans="1:31" ht="23.1" customHeight="1" x14ac:dyDescent="0.15">
      <c r="A406" s="13" t="s">
        <v>2113</v>
      </c>
      <c r="B406" s="13" t="s">
        <v>3042</v>
      </c>
      <c r="C406" s="13" t="s">
        <v>2114</v>
      </c>
      <c r="D406" s="12" t="s">
        <v>656</v>
      </c>
      <c r="E406" s="12" t="s">
        <v>666</v>
      </c>
      <c r="F406" s="31" t="s">
        <v>166</v>
      </c>
      <c r="G406" s="15">
        <v>5</v>
      </c>
      <c r="H406" s="38">
        <f>일대목차!I143</f>
        <v>8442</v>
      </c>
      <c r="I406" s="57">
        <f t="shared" si="69"/>
        <v>42210</v>
      </c>
      <c r="J406" s="38">
        <v>5</v>
      </c>
      <c r="K406" s="38">
        <f>일대목차!L143</f>
        <v>38424</v>
      </c>
      <c r="L406" s="57">
        <f t="shared" si="70"/>
        <v>192120</v>
      </c>
      <c r="M406" s="38">
        <f>일대목차!N143</f>
        <v>0</v>
      </c>
      <c r="N406" s="57">
        <f t="shared" si="71"/>
        <v>0</v>
      </c>
      <c r="O406" s="38">
        <f t="shared" si="72"/>
        <v>46866</v>
      </c>
      <c r="P406" s="38">
        <f t="shared" si="73"/>
        <v>234330</v>
      </c>
      <c r="Q406" s="12" t="s">
        <v>2115</v>
      </c>
      <c r="AB406" s="35">
        <f>I406</f>
        <v>42210</v>
      </c>
      <c r="AC406" s="35">
        <f>G406*H406</f>
        <v>42210</v>
      </c>
      <c r="AE406" s="35">
        <f t="shared" si="74"/>
        <v>192120</v>
      </c>
    </row>
    <row r="407" spans="1:31" ht="23.1" customHeight="1" x14ac:dyDescent="0.15">
      <c r="A407" s="13" t="s">
        <v>2119</v>
      </c>
      <c r="B407" s="13" t="s">
        <v>3042</v>
      </c>
      <c r="C407" s="13" t="s">
        <v>2120</v>
      </c>
      <c r="D407" s="12" t="s">
        <v>656</v>
      </c>
      <c r="E407" s="12" t="s">
        <v>670</v>
      </c>
      <c r="F407" s="31" t="s">
        <v>166</v>
      </c>
      <c r="G407" s="15">
        <v>14</v>
      </c>
      <c r="H407" s="38">
        <f>일대목차!I145</f>
        <v>15746</v>
      </c>
      <c r="I407" s="57">
        <f t="shared" si="69"/>
        <v>220444</v>
      </c>
      <c r="J407" s="38">
        <v>14</v>
      </c>
      <c r="K407" s="38">
        <f>일대목차!L145</f>
        <v>82759</v>
      </c>
      <c r="L407" s="57">
        <f t="shared" si="70"/>
        <v>1158626</v>
      </c>
      <c r="M407" s="38">
        <f>일대목차!N145</f>
        <v>0</v>
      </c>
      <c r="N407" s="57">
        <f t="shared" si="71"/>
        <v>0</v>
      </c>
      <c r="O407" s="38">
        <f t="shared" si="72"/>
        <v>98505</v>
      </c>
      <c r="P407" s="38">
        <f t="shared" si="73"/>
        <v>1379070</v>
      </c>
      <c r="Q407" s="12" t="s">
        <v>2121</v>
      </c>
      <c r="AB407" s="35">
        <f>I407</f>
        <v>220444</v>
      </c>
      <c r="AC407" s="35">
        <f>G407*H407</f>
        <v>220444</v>
      </c>
      <c r="AE407" s="35">
        <f t="shared" si="74"/>
        <v>1158626</v>
      </c>
    </row>
    <row r="408" spans="1:31" ht="23.1" customHeight="1" x14ac:dyDescent="0.15">
      <c r="A408" s="13" t="s">
        <v>1207</v>
      </c>
      <c r="B408" s="13" t="s">
        <v>3042</v>
      </c>
      <c r="C408" s="13" t="s">
        <v>671</v>
      </c>
      <c r="D408" s="12" t="s">
        <v>672</v>
      </c>
      <c r="E408" s="12" t="s">
        <v>673</v>
      </c>
      <c r="F408" s="31" t="s">
        <v>200</v>
      </c>
      <c r="G408" s="15">
        <v>11</v>
      </c>
      <c r="H408" s="38">
        <f>합산자재!H183</f>
        <v>830</v>
      </c>
      <c r="I408" s="57">
        <f t="shared" si="69"/>
        <v>9130</v>
      </c>
      <c r="J408" s="38">
        <v>11</v>
      </c>
      <c r="K408" s="38">
        <f>합산자재!I183</f>
        <v>0</v>
      </c>
      <c r="L408" s="57">
        <f t="shared" si="70"/>
        <v>0</v>
      </c>
      <c r="M408" s="38">
        <f>합산자재!J183</f>
        <v>0</v>
      </c>
      <c r="N408" s="57">
        <f t="shared" si="71"/>
        <v>0</v>
      </c>
      <c r="O408" s="38">
        <f t="shared" si="72"/>
        <v>830</v>
      </c>
      <c r="P408" s="38">
        <f t="shared" si="73"/>
        <v>9130</v>
      </c>
      <c r="Q408" s="12"/>
    </row>
    <row r="409" spans="1:31" ht="23.1" customHeight="1" x14ac:dyDescent="0.15">
      <c r="A409" s="13" t="s">
        <v>1211</v>
      </c>
      <c r="B409" s="13" t="s">
        <v>3042</v>
      </c>
      <c r="C409" s="13" t="s">
        <v>680</v>
      </c>
      <c r="D409" s="12" t="s">
        <v>672</v>
      </c>
      <c r="E409" s="12" t="s">
        <v>681</v>
      </c>
      <c r="F409" s="31" t="s">
        <v>200</v>
      </c>
      <c r="G409" s="15">
        <v>1</v>
      </c>
      <c r="H409" s="38">
        <f>합산자재!H187</f>
        <v>2721</v>
      </c>
      <c r="I409" s="57">
        <f t="shared" si="69"/>
        <v>2721</v>
      </c>
      <c r="J409" s="38">
        <v>1</v>
      </c>
      <c r="K409" s="38">
        <f>합산자재!I187</f>
        <v>0</v>
      </c>
      <c r="L409" s="57">
        <f t="shared" si="70"/>
        <v>0</v>
      </c>
      <c r="M409" s="38">
        <f>합산자재!J187</f>
        <v>0</v>
      </c>
      <c r="N409" s="57">
        <f t="shared" si="71"/>
        <v>0</v>
      </c>
      <c r="O409" s="38">
        <f t="shared" si="72"/>
        <v>2721</v>
      </c>
      <c r="P409" s="38">
        <f t="shared" si="73"/>
        <v>2721</v>
      </c>
      <c r="Q409" s="12"/>
    </row>
    <row r="410" spans="1:31" ht="23.1" customHeight="1" x14ac:dyDescent="0.15">
      <c r="A410" s="13" t="s">
        <v>1213</v>
      </c>
      <c r="B410" s="13" t="s">
        <v>3042</v>
      </c>
      <c r="C410" s="13" t="s">
        <v>684</v>
      </c>
      <c r="D410" s="12" t="s">
        <v>672</v>
      </c>
      <c r="E410" s="12" t="s">
        <v>685</v>
      </c>
      <c r="F410" s="31" t="s">
        <v>200</v>
      </c>
      <c r="G410" s="15">
        <v>3</v>
      </c>
      <c r="H410" s="38">
        <f>합산자재!H189</f>
        <v>4442</v>
      </c>
      <c r="I410" s="57">
        <f t="shared" si="69"/>
        <v>13326</v>
      </c>
      <c r="J410" s="38">
        <v>3</v>
      </c>
      <c r="K410" s="38">
        <f>합산자재!I189</f>
        <v>0</v>
      </c>
      <c r="L410" s="57">
        <f t="shared" si="70"/>
        <v>0</v>
      </c>
      <c r="M410" s="38">
        <f>합산자재!J189</f>
        <v>0</v>
      </c>
      <c r="N410" s="57">
        <f t="shared" si="71"/>
        <v>0</v>
      </c>
      <c r="O410" s="38">
        <f t="shared" si="72"/>
        <v>4442</v>
      </c>
      <c r="P410" s="38">
        <f t="shared" si="73"/>
        <v>13326</v>
      </c>
      <c r="Q410" s="12"/>
    </row>
    <row r="411" spans="1:31" ht="23.1" customHeight="1" x14ac:dyDescent="0.15">
      <c r="A411" s="13" t="s">
        <v>1214</v>
      </c>
      <c r="B411" s="13" t="s">
        <v>3042</v>
      </c>
      <c r="C411" s="13" t="s">
        <v>686</v>
      </c>
      <c r="D411" s="12" t="s">
        <v>672</v>
      </c>
      <c r="E411" s="12" t="s">
        <v>687</v>
      </c>
      <c r="F411" s="31" t="s">
        <v>200</v>
      </c>
      <c r="G411" s="15">
        <v>12</v>
      </c>
      <c r="H411" s="38">
        <f>합산자재!H190</f>
        <v>1087</v>
      </c>
      <c r="I411" s="57">
        <f t="shared" si="69"/>
        <v>13044</v>
      </c>
      <c r="J411" s="38">
        <v>12</v>
      </c>
      <c r="K411" s="38">
        <f>합산자재!I190</f>
        <v>0</v>
      </c>
      <c r="L411" s="57">
        <f t="shared" si="70"/>
        <v>0</v>
      </c>
      <c r="M411" s="38">
        <f>합산자재!J190</f>
        <v>0</v>
      </c>
      <c r="N411" s="57">
        <f t="shared" si="71"/>
        <v>0</v>
      </c>
      <c r="O411" s="38">
        <f t="shared" si="72"/>
        <v>1087</v>
      </c>
      <c r="P411" s="38">
        <f t="shared" si="73"/>
        <v>13044</v>
      </c>
      <c r="Q411" s="12"/>
    </row>
    <row r="412" spans="1:31" ht="23.1" customHeight="1" x14ac:dyDescent="0.15">
      <c r="A412" s="13" t="s">
        <v>1218</v>
      </c>
      <c r="B412" s="13" t="s">
        <v>3042</v>
      </c>
      <c r="C412" s="13" t="s">
        <v>694</v>
      </c>
      <c r="D412" s="12" t="s">
        <v>672</v>
      </c>
      <c r="E412" s="12" t="s">
        <v>695</v>
      </c>
      <c r="F412" s="31" t="s">
        <v>200</v>
      </c>
      <c r="G412" s="15">
        <v>4</v>
      </c>
      <c r="H412" s="38">
        <f>합산자재!H194</f>
        <v>2981</v>
      </c>
      <c r="I412" s="57">
        <f t="shared" si="69"/>
        <v>11924</v>
      </c>
      <c r="J412" s="38">
        <v>4</v>
      </c>
      <c r="K412" s="38">
        <f>합산자재!I194</f>
        <v>0</v>
      </c>
      <c r="L412" s="57">
        <f t="shared" si="70"/>
        <v>0</v>
      </c>
      <c r="M412" s="38">
        <f>합산자재!J194</f>
        <v>0</v>
      </c>
      <c r="N412" s="57">
        <f t="shared" si="71"/>
        <v>0</v>
      </c>
      <c r="O412" s="38">
        <f t="shared" si="72"/>
        <v>2981</v>
      </c>
      <c r="P412" s="38">
        <f t="shared" si="73"/>
        <v>11924</v>
      </c>
      <c r="Q412" s="12"/>
    </row>
    <row r="413" spans="1:31" ht="23.1" customHeight="1" x14ac:dyDescent="0.15">
      <c r="A413" s="13" t="s">
        <v>1220</v>
      </c>
      <c r="B413" s="13" t="s">
        <v>3042</v>
      </c>
      <c r="C413" s="13" t="s">
        <v>698</v>
      </c>
      <c r="D413" s="12" t="s">
        <v>672</v>
      </c>
      <c r="E413" s="12" t="s">
        <v>699</v>
      </c>
      <c r="F413" s="31" t="s">
        <v>200</v>
      </c>
      <c r="G413" s="15">
        <v>4</v>
      </c>
      <c r="H413" s="38">
        <f>합산자재!H196</f>
        <v>5002</v>
      </c>
      <c r="I413" s="57">
        <f t="shared" si="69"/>
        <v>20008</v>
      </c>
      <c r="J413" s="38">
        <v>4</v>
      </c>
      <c r="K413" s="38">
        <f>합산자재!I196</f>
        <v>0</v>
      </c>
      <c r="L413" s="57">
        <f t="shared" si="70"/>
        <v>0</v>
      </c>
      <c r="M413" s="38">
        <f>합산자재!J196</f>
        <v>0</v>
      </c>
      <c r="N413" s="57">
        <f t="shared" si="71"/>
        <v>0</v>
      </c>
      <c r="O413" s="38">
        <f t="shared" si="72"/>
        <v>5002</v>
      </c>
      <c r="P413" s="38">
        <f t="shared" si="73"/>
        <v>20008</v>
      </c>
      <c r="Q413" s="12"/>
    </row>
    <row r="414" spans="1:31" ht="23.1" customHeight="1" x14ac:dyDescent="0.15">
      <c r="A414" s="13" t="s">
        <v>1223</v>
      </c>
      <c r="B414" s="13" t="s">
        <v>3042</v>
      </c>
      <c r="C414" s="13" t="s">
        <v>703</v>
      </c>
      <c r="D414" s="12" t="s">
        <v>701</v>
      </c>
      <c r="E414" s="12" t="s">
        <v>666</v>
      </c>
      <c r="F414" s="31" t="s">
        <v>200</v>
      </c>
      <c r="G414" s="15">
        <v>2</v>
      </c>
      <c r="H414" s="38">
        <f>합산자재!H199</f>
        <v>6705</v>
      </c>
      <c r="I414" s="57">
        <f t="shared" si="69"/>
        <v>13410</v>
      </c>
      <c r="J414" s="38">
        <v>2</v>
      </c>
      <c r="K414" s="38">
        <f>합산자재!I199</f>
        <v>0</v>
      </c>
      <c r="L414" s="57">
        <f t="shared" si="70"/>
        <v>0</v>
      </c>
      <c r="M414" s="38">
        <f>합산자재!J199</f>
        <v>0</v>
      </c>
      <c r="N414" s="57">
        <f t="shared" si="71"/>
        <v>0</v>
      </c>
      <c r="O414" s="38">
        <f t="shared" si="72"/>
        <v>6705</v>
      </c>
      <c r="P414" s="38">
        <f t="shared" si="73"/>
        <v>13410</v>
      </c>
      <c r="Q414" s="12"/>
    </row>
    <row r="415" spans="1:31" ht="23.1" customHeight="1" x14ac:dyDescent="0.15">
      <c r="A415" s="13" t="s">
        <v>1225</v>
      </c>
      <c r="B415" s="13" t="s">
        <v>3042</v>
      </c>
      <c r="C415" s="13" t="s">
        <v>705</v>
      </c>
      <c r="D415" s="12" t="s">
        <v>701</v>
      </c>
      <c r="E415" s="12" t="s">
        <v>670</v>
      </c>
      <c r="F415" s="31" t="s">
        <v>200</v>
      </c>
      <c r="G415" s="15">
        <v>4</v>
      </c>
      <c r="H415" s="38">
        <f>합산자재!H201</f>
        <v>16888</v>
      </c>
      <c r="I415" s="57">
        <f t="shared" si="69"/>
        <v>67552</v>
      </c>
      <c r="J415" s="38">
        <v>4</v>
      </c>
      <c r="K415" s="38">
        <f>합산자재!I201</f>
        <v>0</v>
      </c>
      <c r="L415" s="57">
        <f t="shared" si="70"/>
        <v>0</v>
      </c>
      <c r="M415" s="38">
        <f>합산자재!J201</f>
        <v>0</v>
      </c>
      <c r="N415" s="57">
        <f t="shared" si="71"/>
        <v>0</v>
      </c>
      <c r="O415" s="38">
        <f t="shared" si="72"/>
        <v>16888</v>
      </c>
      <c r="P415" s="38">
        <f t="shared" si="73"/>
        <v>67552</v>
      </c>
      <c r="Q415" s="12"/>
    </row>
    <row r="416" spans="1:31" ht="23.1" customHeight="1" x14ac:dyDescent="0.15">
      <c r="A416" s="13" t="s">
        <v>1262</v>
      </c>
      <c r="B416" s="13" t="s">
        <v>3042</v>
      </c>
      <c r="C416" s="13" t="s">
        <v>706</v>
      </c>
      <c r="D416" s="12" t="s">
        <v>768</v>
      </c>
      <c r="E416" s="12" t="s">
        <v>769</v>
      </c>
      <c r="F416" s="31" t="s">
        <v>289</v>
      </c>
      <c r="G416" s="15">
        <v>1</v>
      </c>
      <c r="H416" s="38"/>
      <c r="I416" s="57">
        <f t="shared" si="69"/>
        <v>0</v>
      </c>
      <c r="J416" s="38">
        <v>1</v>
      </c>
      <c r="K416" s="38">
        <f>합산자재!I238</f>
        <v>0</v>
      </c>
      <c r="L416" s="57">
        <f t="shared" si="70"/>
        <v>0</v>
      </c>
      <c r="M416" s="38">
        <f>합산자재!J238</f>
        <v>0</v>
      </c>
      <c r="N416" s="57">
        <f t="shared" si="71"/>
        <v>0</v>
      </c>
      <c r="O416" s="38" t="str">
        <f t="shared" si="72"/>
        <v/>
      </c>
      <c r="P416" s="38">
        <f t="shared" si="73"/>
        <v>0</v>
      </c>
      <c r="Q416" s="12" t="s">
        <v>2378</v>
      </c>
    </row>
    <row r="417" spans="1:31" ht="23.1" customHeight="1" x14ac:dyDescent="0.15">
      <c r="A417" s="13" t="s">
        <v>1263</v>
      </c>
      <c r="B417" s="13" t="s">
        <v>3042</v>
      </c>
      <c r="C417" s="13" t="s">
        <v>706</v>
      </c>
      <c r="D417" s="12" t="s">
        <v>771</v>
      </c>
      <c r="E417" s="12" t="s">
        <v>772</v>
      </c>
      <c r="F417" s="31" t="s">
        <v>289</v>
      </c>
      <c r="G417" s="15">
        <v>1</v>
      </c>
      <c r="H417" s="38"/>
      <c r="I417" s="57">
        <f t="shared" si="69"/>
        <v>0</v>
      </c>
      <c r="J417" s="38">
        <v>1</v>
      </c>
      <c r="K417" s="38">
        <f>합산자재!I239</f>
        <v>0</v>
      </c>
      <c r="L417" s="57">
        <f t="shared" si="70"/>
        <v>0</v>
      </c>
      <c r="M417" s="38">
        <f>합산자재!J239</f>
        <v>0</v>
      </c>
      <c r="N417" s="57">
        <f t="shared" si="71"/>
        <v>0</v>
      </c>
      <c r="O417" s="38" t="str">
        <f t="shared" si="72"/>
        <v/>
      </c>
      <c r="P417" s="38">
        <f t="shared" si="73"/>
        <v>0</v>
      </c>
      <c r="Q417" s="12" t="s">
        <v>2378</v>
      </c>
    </row>
    <row r="418" spans="1:31" ht="23.1" customHeight="1" x14ac:dyDescent="0.15">
      <c r="A418" s="13" t="s">
        <v>1264</v>
      </c>
      <c r="B418" s="13" t="s">
        <v>3042</v>
      </c>
      <c r="C418" s="13" t="s">
        <v>706</v>
      </c>
      <c r="D418" s="12" t="s">
        <v>773</v>
      </c>
      <c r="E418" s="12" t="s">
        <v>774</v>
      </c>
      <c r="F418" s="31" t="s">
        <v>289</v>
      </c>
      <c r="G418" s="15">
        <v>1</v>
      </c>
      <c r="H418" s="38"/>
      <c r="I418" s="57">
        <f t="shared" si="69"/>
        <v>0</v>
      </c>
      <c r="J418" s="38">
        <v>1</v>
      </c>
      <c r="K418" s="38">
        <f>합산자재!I240</f>
        <v>0</v>
      </c>
      <c r="L418" s="57">
        <f t="shared" si="70"/>
        <v>0</v>
      </c>
      <c r="M418" s="38">
        <f>합산자재!J240</f>
        <v>0</v>
      </c>
      <c r="N418" s="57">
        <f t="shared" si="71"/>
        <v>0</v>
      </c>
      <c r="O418" s="38" t="str">
        <f t="shared" si="72"/>
        <v/>
      </c>
      <c r="P418" s="38">
        <f t="shared" si="73"/>
        <v>0</v>
      </c>
      <c r="Q418" s="12" t="s">
        <v>2378</v>
      </c>
    </row>
    <row r="419" spans="1:31" ht="23.1" customHeight="1" x14ac:dyDescent="0.15">
      <c r="B419" s="13" t="s">
        <v>2360</v>
      </c>
      <c r="D419" s="12" t="s">
        <v>2361</v>
      </c>
      <c r="E419" s="12"/>
      <c r="F419" s="31"/>
      <c r="G419" s="15"/>
      <c r="H419" s="38"/>
      <c r="I419" s="57">
        <f>TRUNC(SUM(I394:I418))</f>
        <v>4736754</v>
      </c>
      <c r="J419" s="38"/>
      <c r="K419" s="38"/>
      <c r="L419" s="57">
        <f>TRUNC(SUM(L394:L418))</f>
        <v>9995296</v>
      </c>
      <c r="M419" s="38"/>
      <c r="N419" s="57">
        <f>TRUNC(SUM(N394:N418))</f>
        <v>0</v>
      </c>
      <c r="O419" s="38" t="str">
        <f t="shared" si="72"/>
        <v/>
      </c>
      <c r="P419" s="38">
        <f>TRUNC(SUM(P394:P418))</f>
        <v>14732050</v>
      </c>
      <c r="Q419" s="12"/>
      <c r="AE419" s="35">
        <f>TRUNC(SUM(AE394:AE418))</f>
        <v>9995296</v>
      </c>
    </row>
    <row r="420" spans="1:31" ht="23.1" customHeight="1" x14ac:dyDescent="0.15">
      <c r="B420" s="13" t="s">
        <v>1448</v>
      </c>
      <c r="D420" s="170" t="s">
        <v>3176</v>
      </c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2"/>
    </row>
    <row r="421" spans="1:31" ht="23.1" customHeight="1" x14ac:dyDescent="0.15">
      <c r="A421" s="13" t="s">
        <v>1781</v>
      </c>
      <c r="B421" s="13" t="s">
        <v>3043</v>
      </c>
      <c r="C421" s="13" t="s">
        <v>1782</v>
      </c>
      <c r="D421" s="12" t="s">
        <v>164</v>
      </c>
      <c r="E421" s="12" t="s">
        <v>165</v>
      </c>
      <c r="F421" s="31" t="s">
        <v>166</v>
      </c>
      <c r="G421" s="15">
        <v>22</v>
      </c>
      <c r="H421" s="38">
        <f>일대목차!I33</f>
        <v>613</v>
      </c>
      <c r="I421" s="57">
        <f t="shared" ref="I421:I444" si="75">TRUNC(G421*H421)</f>
        <v>13486</v>
      </c>
      <c r="J421" s="38">
        <v>22</v>
      </c>
      <c r="K421" s="38">
        <f>일대목차!L33</f>
        <v>12315</v>
      </c>
      <c r="L421" s="57">
        <f t="shared" ref="L421:L444" si="76">TRUNC(G421*K421)</f>
        <v>270930</v>
      </c>
      <c r="M421" s="38">
        <f>일대목차!N33</f>
        <v>0</v>
      </c>
      <c r="N421" s="57">
        <f t="shared" ref="N421:N444" si="77">TRUNC(G421*M421)</f>
        <v>0</v>
      </c>
      <c r="O421" s="38">
        <f t="shared" ref="O421:O445" si="78">IF((H421+K421+M421)=0, "", (H421+K421+M421))</f>
        <v>12928</v>
      </c>
      <c r="P421" s="38">
        <f t="shared" ref="P421:P444" si="79">SUM(I421,L421,N421)</f>
        <v>284416</v>
      </c>
      <c r="Q421" s="12" t="s">
        <v>1783</v>
      </c>
      <c r="AB421" s="35">
        <f>I421</f>
        <v>13486</v>
      </c>
      <c r="AC421" s="35">
        <f>G421*H421</f>
        <v>13486</v>
      </c>
      <c r="AE421" s="35">
        <f t="shared" ref="AE421:AE431" si="80">L421</f>
        <v>270930</v>
      </c>
    </row>
    <row r="422" spans="1:31" ht="23.1" customHeight="1" x14ac:dyDescent="0.15">
      <c r="A422" s="13" t="s">
        <v>1793</v>
      </c>
      <c r="B422" s="13" t="s">
        <v>3043</v>
      </c>
      <c r="C422" s="13" t="s">
        <v>1794</v>
      </c>
      <c r="D422" s="12" t="s">
        <v>178</v>
      </c>
      <c r="E422" s="12" t="s">
        <v>179</v>
      </c>
      <c r="F422" s="31" t="s">
        <v>166</v>
      </c>
      <c r="G422" s="15">
        <v>1620</v>
      </c>
      <c r="H422" s="38">
        <f>일대목차!I37</f>
        <v>449</v>
      </c>
      <c r="I422" s="57">
        <f t="shared" si="75"/>
        <v>727380</v>
      </c>
      <c r="J422" s="38">
        <v>1620</v>
      </c>
      <c r="K422" s="38">
        <f>일대목차!L37</f>
        <v>9852</v>
      </c>
      <c r="L422" s="57">
        <f t="shared" si="76"/>
        <v>15960240</v>
      </c>
      <c r="M422" s="38">
        <f>일대목차!N37</f>
        <v>0</v>
      </c>
      <c r="N422" s="57">
        <f t="shared" si="77"/>
        <v>0</v>
      </c>
      <c r="O422" s="38">
        <f t="shared" si="78"/>
        <v>10301</v>
      </c>
      <c r="P422" s="38">
        <f t="shared" si="79"/>
        <v>16687620</v>
      </c>
      <c r="Q422" s="12" t="s">
        <v>1795</v>
      </c>
      <c r="AA422" s="35">
        <f>I422</f>
        <v>727380</v>
      </c>
      <c r="AC422" s="35">
        <f>G422*H422</f>
        <v>727380</v>
      </c>
      <c r="AE422" s="35">
        <f t="shared" si="80"/>
        <v>15960240</v>
      </c>
    </row>
    <row r="423" spans="1:31" ht="23.1" customHeight="1" x14ac:dyDescent="0.15">
      <c r="A423" s="13" t="s">
        <v>1839</v>
      </c>
      <c r="B423" s="13" t="s">
        <v>3043</v>
      </c>
      <c r="C423" s="13" t="s">
        <v>1840</v>
      </c>
      <c r="D423" s="12" t="s">
        <v>269</v>
      </c>
      <c r="E423" s="12" t="s">
        <v>270</v>
      </c>
      <c r="F423" s="31" t="s">
        <v>200</v>
      </c>
      <c r="G423" s="15">
        <v>80</v>
      </c>
      <c r="H423" s="38">
        <f>일대목차!I52</f>
        <v>1577</v>
      </c>
      <c r="I423" s="57">
        <f t="shared" si="75"/>
        <v>126160</v>
      </c>
      <c r="J423" s="38">
        <v>80</v>
      </c>
      <c r="K423" s="38">
        <f>일대목차!L52</f>
        <v>49261</v>
      </c>
      <c r="L423" s="57">
        <f t="shared" si="76"/>
        <v>3940880</v>
      </c>
      <c r="M423" s="38">
        <f>일대목차!N52</f>
        <v>0</v>
      </c>
      <c r="N423" s="57">
        <f t="shared" si="77"/>
        <v>0</v>
      </c>
      <c r="O423" s="38">
        <f t="shared" si="78"/>
        <v>50838</v>
      </c>
      <c r="P423" s="38">
        <f t="shared" si="79"/>
        <v>4067040</v>
      </c>
      <c r="Q423" s="12" t="s">
        <v>1841</v>
      </c>
      <c r="AE423" s="35">
        <f t="shared" si="80"/>
        <v>3940880</v>
      </c>
    </row>
    <row r="424" spans="1:31" ht="23.1" customHeight="1" x14ac:dyDescent="0.15">
      <c r="A424" s="13" t="s">
        <v>1842</v>
      </c>
      <c r="B424" s="13" t="s">
        <v>3043</v>
      </c>
      <c r="C424" s="13" t="s">
        <v>1843</v>
      </c>
      <c r="D424" s="12" t="s">
        <v>269</v>
      </c>
      <c r="E424" s="12" t="s">
        <v>272</v>
      </c>
      <c r="F424" s="31" t="s">
        <v>200</v>
      </c>
      <c r="G424" s="15">
        <v>80</v>
      </c>
      <c r="H424" s="38">
        <f>일대목차!I53</f>
        <v>1711</v>
      </c>
      <c r="I424" s="57">
        <f t="shared" si="75"/>
        <v>136880</v>
      </c>
      <c r="J424" s="38">
        <v>80</v>
      </c>
      <c r="K424" s="38">
        <f>일대목차!L53</f>
        <v>49261</v>
      </c>
      <c r="L424" s="57">
        <f t="shared" si="76"/>
        <v>3940880</v>
      </c>
      <c r="M424" s="38">
        <f>일대목차!N53</f>
        <v>0</v>
      </c>
      <c r="N424" s="57">
        <f t="shared" si="77"/>
        <v>0</v>
      </c>
      <c r="O424" s="38">
        <f t="shared" si="78"/>
        <v>50972</v>
      </c>
      <c r="P424" s="38">
        <f t="shared" si="79"/>
        <v>4077760</v>
      </c>
      <c r="Q424" s="12" t="s">
        <v>1844</v>
      </c>
      <c r="AE424" s="35">
        <f t="shared" si="80"/>
        <v>3940880</v>
      </c>
    </row>
    <row r="425" spans="1:31" ht="23.1" customHeight="1" x14ac:dyDescent="0.15">
      <c r="A425" s="13" t="s">
        <v>1854</v>
      </c>
      <c r="B425" s="13" t="s">
        <v>3043</v>
      </c>
      <c r="C425" s="13" t="s">
        <v>1855</v>
      </c>
      <c r="D425" s="12" t="s">
        <v>291</v>
      </c>
      <c r="E425" s="12" t="s">
        <v>292</v>
      </c>
      <c r="F425" s="31" t="s">
        <v>200</v>
      </c>
      <c r="G425" s="15">
        <v>82</v>
      </c>
      <c r="H425" s="38">
        <f>일대목차!I57</f>
        <v>3121</v>
      </c>
      <c r="I425" s="57">
        <f t="shared" si="75"/>
        <v>255922</v>
      </c>
      <c r="J425" s="38">
        <v>82</v>
      </c>
      <c r="K425" s="38">
        <f>일대목차!L57</f>
        <v>41872</v>
      </c>
      <c r="L425" s="57">
        <f t="shared" si="76"/>
        <v>3433504</v>
      </c>
      <c r="M425" s="38">
        <f>일대목차!N57</f>
        <v>0</v>
      </c>
      <c r="N425" s="57">
        <f t="shared" si="77"/>
        <v>0</v>
      </c>
      <c r="O425" s="38">
        <f t="shared" si="78"/>
        <v>44993</v>
      </c>
      <c r="P425" s="38">
        <f t="shared" si="79"/>
        <v>3689426</v>
      </c>
      <c r="Q425" s="12" t="s">
        <v>1856</v>
      </c>
      <c r="AE425" s="35">
        <f t="shared" si="80"/>
        <v>3433504</v>
      </c>
    </row>
    <row r="426" spans="1:31" ht="23.1" customHeight="1" x14ac:dyDescent="0.15">
      <c r="A426" s="13" t="s">
        <v>2005</v>
      </c>
      <c r="B426" s="13" t="s">
        <v>3043</v>
      </c>
      <c r="C426" s="13" t="s">
        <v>2006</v>
      </c>
      <c r="D426" s="12" t="s">
        <v>487</v>
      </c>
      <c r="E426" s="12" t="s">
        <v>488</v>
      </c>
      <c r="F426" s="31" t="s">
        <v>166</v>
      </c>
      <c r="G426" s="15">
        <v>9</v>
      </c>
      <c r="H426" s="38">
        <f>일대목차!I107</f>
        <v>1648</v>
      </c>
      <c r="I426" s="57">
        <f t="shared" si="75"/>
        <v>14832</v>
      </c>
      <c r="J426" s="38">
        <v>9</v>
      </c>
      <c r="K426" s="38">
        <f>일대목차!L107</f>
        <v>5109</v>
      </c>
      <c r="L426" s="57">
        <f t="shared" si="76"/>
        <v>45981</v>
      </c>
      <c r="M426" s="38">
        <f>일대목차!N107</f>
        <v>0</v>
      </c>
      <c r="N426" s="57">
        <f t="shared" si="77"/>
        <v>0</v>
      </c>
      <c r="O426" s="38">
        <f t="shared" si="78"/>
        <v>6757</v>
      </c>
      <c r="P426" s="38">
        <f t="shared" si="79"/>
        <v>60813</v>
      </c>
      <c r="Q426" s="12" t="s">
        <v>2007</v>
      </c>
      <c r="AC426" s="35">
        <f>G426*H426</f>
        <v>14832</v>
      </c>
      <c r="AE426" s="35">
        <f t="shared" si="80"/>
        <v>45981</v>
      </c>
    </row>
    <row r="427" spans="1:31" ht="23.1" customHeight="1" x14ac:dyDescent="0.15">
      <c r="A427" s="13" t="s">
        <v>2011</v>
      </c>
      <c r="B427" s="13" t="s">
        <v>3043</v>
      </c>
      <c r="C427" s="13" t="s">
        <v>2012</v>
      </c>
      <c r="D427" s="12" t="s">
        <v>499</v>
      </c>
      <c r="E427" s="12" t="s">
        <v>500</v>
      </c>
      <c r="F427" s="31" t="s">
        <v>166</v>
      </c>
      <c r="G427" s="15">
        <v>3458</v>
      </c>
      <c r="H427" s="38">
        <f>일대목차!I109</f>
        <v>560</v>
      </c>
      <c r="I427" s="57">
        <f t="shared" si="75"/>
        <v>1936480</v>
      </c>
      <c r="J427" s="38">
        <v>3458</v>
      </c>
      <c r="K427" s="38">
        <f>일대목차!L109</f>
        <v>6543</v>
      </c>
      <c r="L427" s="57">
        <f t="shared" si="76"/>
        <v>22625694</v>
      </c>
      <c r="M427" s="38">
        <f>일대목차!N109</f>
        <v>0</v>
      </c>
      <c r="N427" s="57">
        <f t="shared" si="77"/>
        <v>0</v>
      </c>
      <c r="O427" s="38">
        <f t="shared" si="78"/>
        <v>7103</v>
      </c>
      <c r="P427" s="38">
        <f t="shared" si="79"/>
        <v>24562174</v>
      </c>
      <c r="Q427" s="12" t="s">
        <v>2013</v>
      </c>
      <c r="AC427" s="35">
        <f>G427*H427</f>
        <v>1936480</v>
      </c>
      <c r="AE427" s="35">
        <f t="shared" si="80"/>
        <v>22625694</v>
      </c>
    </row>
    <row r="428" spans="1:31" ht="23.1" customHeight="1" x14ac:dyDescent="0.15">
      <c r="A428" s="13" t="s">
        <v>1671</v>
      </c>
      <c r="B428" s="13" t="s">
        <v>3043</v>
      </c>
      <c r="C428" s="13" t="s">
        <v>1672</v>
      </c>
      <c r="D428" s="12" t="s">
        <v>1674</v>
      </c>
      <c r="E428" s="12" t="s">
        <v>1675</v>
      </c>
      <c r="F428" s="31" t="s">
        <v>792</v>
      </c>
      <c r="G428" s="15">
        <v>2</v>
      </c>
      <c r="H428" s="38">
        <f>일대목차!I6</f>
        <v>19534</v>
      </c>
      <c r="I428" s="57">
        <f t="shared" si="75"/>
        <v>39068</v>
      </c>
      <c r="J428" s="38">
        <v>2</v>
      </c>
      <c r="K428" s="38">
        <f>일대목차!L6</f>
        <v>9852</v>
      </c>
      <c r="L428" s="57">
        <f t="shared" si="76"/>
        <v>19704</v>
      </c>
      <c r="M428" s="38">
        <f>일대목차!N6</f>
        <v>0</v>
      </c>
      <c r="N428" s="57">
        <f t="shared" si="77"/>
        <v>0</v>
      </c>
      <c r="O428" s="38">
        <f t="shared" si="78"/>
        <v>29386</v>
      </c>
      <c r="P428" s="38">
        <f t="shared" si="79"/>
        <v>58772</v>
      </c>
      <c r="Q428" s="12" t="s">
        <v>1673</v>
      </c>
      <c r="AE428" s="35">
        <f t="shared" si="80"/>
        <v>19704</v>
      </c>
    </row>
    <row r="429" spans="1:31" ht="23.1" customHeight="1" x14ac:dyDescent="0.15">
      <c r="A429" s="13" t="s">
        <v>1676</v>
      </c>
      <c r="B429" s="13" t="s">
        <v>3043</v>
      </c>
      <c r="C429" s="13" t="s">
        <v>1677</v>
      </c>
      <c r="D429" s="12" t="s">
        <v>1674</v>
      </c>
      <c r="E429" s="12" t="s">
        <v>1679</v>
      </c>
      <c r="F429" s="31" t="s">
        <v>792</v>
      </c>
      <c r="G429" s="15">
        <v>3</v>
      </c>
      <c r="H429" s="38">
        <f>일대목차!I7</f>
        <v>19539</v>
      </c>
      <c r="I429" s="57">
        <f t="shared" si="75"/>
        <v>58617</v>
      </c>
      <c r="J429" s="38">
        <v>3</v>
      </c>
      <c r="K429" s="38">
        <f>일대목차!L7</f>
        <v>9852</v>
      </c>
      <c r="L429" s="57">
        <f t="shared" si="76"/>
        <v>29556</v>
      </c>
      <c r="M429" s="38">
        <f>일대목차!N7</f>
        <v>0</v>
      </c>
      <c r="N429" s="57">
        <f t="shared" si="77"/>
        <v>0</v>
      </c>
      <c r="O429" s="38">
        <f t="shared" si="78"/>
        <v>29391</v>
      </c>
      <c r="P429" s="38">
        <f t="shared" si="79"/>
        <v>88173</v>
      </c>
      <c r="Q429" s="12" t="s">
        <v>1678</v>
      </c>
      <c r="AE429" s="35">
        <f t="shared" si="80"/>
        <v>29556</v>
      </c>
    </row>
    <row r="430" spans="1:31" ht="23.1" customHeight="1" x14ac:dyDescent="0.15">
      <c r="A430" s="13" t="s">
        <v>2101</v>
      </c>
      <c r="B430" s="13" t="s">
        <v>3043</v>
      </c>
      <c r="C430" s="13" t="s">
        <v>2102</v>
      </c>
      <c r="D430" s="12" t="s">
        <v>656</v>
      </c>
      <c r="E430" s="12" t="s">
        <v>657</v>
      </c>
      <c r="F430" s="31" t="s">
        <v>166</v>
      </c>
      <c r="G430" s="15">
        <v>3</v>
      </c>
      <c r="H430" s="38">
        <f>일대목차!I139</f>
        <v>3045</v>
      </c>
      <c r="I430" s="57">
        <f t="shared" si="75"/>
        <v>9135</v>
      </c>
      <c r="J430" s="38">
        <v>3</v>
      </c>
      <c r="K430" s="38">
        <f>일대목차!L139</f>
        <v>14778</v>
      </c>
      <c r="L430" s="57">
        <f t="shared" si="76"/>
        <v>44334</v>
      </c>
      <c r="M430" s="38">
        <f>일대목차!N139</f>
        <v>0</v>
      </c>
      <c r="N430" s="57">
        <f t="shared" si="77"/>
        <v>0</v>
      </c>
      <c r="O430" s="38">
        <f t="shared" si="78"/>
        <v>17823</v>
      </c>
      <c r="P430" s="38">
        <f t="shared" si="79"/>
        <v>53469</v>
      </c>
      <c r="Q430" s="12" t="s">
        <v>2103</v>
      </c>
      <c r="AB430" s="35">
        <f>I430</f>
        <v>9135</v>
      </c>
      <c r="AC430" s="35">
        <f>G430*H430</f>
        <v>9135</v>
      </c>
      <c r="AE430" s="35">
        <f t="shared" si="80"/>
        <v>44334</v>
      </c>
    </row>
    <row r="431" spans="1:31" ht="23.1" customHeight="1" x14ac:dyDescent="0.15">
      <c r="A431" s="13" t="s">
        <v>2104</v>
      </c>
      <c r="B431" s="13" t="s">
        <v>3043</v>
      </c>
      <c r="C431" s="13" t="s">
        <v>2105</v>
      </c>
      <c r="D431" s="12" t="s">
        <v>656</v>
      </c>
      <c r="E431" s="12" t="s">
        <v>660</v>
      </c>
      <c r="F431" s="31" t="s">
        <v>166</v>
      </c>
      <c r="G431" s="15">
        <v>5</v>
      </c>
      <c r="H431" s="38">
        <f>일대목차!I140</f>
        <v>3942</v>
      </c>
      <c r="I431" s="57">
        <f t="shared" si="75"/>
        <v>19710</v>
      </c>
      <c r="J431" s="38">
        <v>5</v>
      </c>
      <c r="K431" s="38">
        <f>일대목차!L140</f>
        <v>17734</v>
      </c>
      <c r="L431" s="57">
        <f t="shared" si="76"/>
        <v>88670</v>
      </c>
      <c r="M431" s="38">
        <f>일대목차!N140</f>
        <v>0</v>
      </c>
      <c r="N431" s="57">
        <f t="shared" si="77"/>
        <v>0</v>
      </c>
      <c r="O431" s="38">
        <f t="shared" si="78"/>
        <v>21676</v>
      </c>
      <c r="P431" s="38">
        <f t="shared" si="79"/>
        <v>108380</v>
      </c>
      <c r="Q431" s="12" t="s">
        <v>2106</v>
      </c>
      <c r="AB431" s="35">
        <f>I431</f>
        <v>19710</v>
      </c>
      <c r="AC431" s="35">
        <f>G431*H431</f>
        <v>19710</v>
      </c>
      <c r="AE431" s="35">
        <f t="shared" si="80"/>
        <v>88670</v>
      </c>
    </row>
    <row r="432" spans="1:31" ht="23.1" customHeight="1" x14ac:dyDescent="0.15">
      <c r="A432" s="13" t="s">
        <v>1207</v>
      </c>
      <c r="B432" s="13" t="s">
        <v>3043</v>
      </c>
      <c r="C432" s="13" t="s">
        <v>671</v>
      </c>
      <c r="D432" s="12" t="s">
        <v>672</v>
      </c>
      <c r="E432" s="12" t="s">
        <v>673</v>
      </c>
      <c r="F432" s="31" t="s">
        <v>200</v>
      </c>
      <c r="G432" s="15">
        <v>1</v>
      </c>
      <c r="H432" s="38">
        <f>합산자재!H183</f>
        <v>830</v>
      </c>
      <c r="I432" s="57">
        <f t="shared" si="75"/>
        <v>830</v>
      </c>
      <c r="J432" s="38">
        <v>1</v>
      </c>
      <c r="K432" s="38">
        <f>합산자재!I183</f>
        <v>0</v>
      </c>
      <c r="L432" s="57">
        <f t="shared" si="76"/>
        <v>0</v>
      </c>
      <c r="M432" s="38">
        <f>합산자재!J183</f>
        <v>0</v>
      </c>
      <c r="N432" s="57">
        <f t="shared" si="77"/>
        <v>0</v>
      </c>
      <c r="O432" s="38">
        <f t="shared" si="78"/>
        <v>830</v>
      </c>
      <c r="P432" s="38">
        <f t="shared" si="79"/>
        <v>830</v>
      </c>
      <c r="Q432" s="12"/>
    </row>
    <row r="433" spans="1:31" ht="23.1" customHeight="1" x14ac:dyDescent="0.15">
      <c r="A433" s="13" t="s">
        <v>1208</v>
      </c>
      <c r="B433" s="13" t="s">
        <v>3043</v>
      </c>
      <c r="C433" s="13" t="s">
        <v>674</v>
      </c>
      <c r="D433" s="12" t="s">
        <v>672</v>
      </c>
      <c r="E433" s="12" t="s">
        <v>675</v>
      </c>
      <c r="F433" s="31" t="s">
        <v>200</v>
      </c>
      <c r="G433" s="15">
        <v>1</v>
      </c>
      <c r="H433" s="38">
        <f>합산자재!H184</f>
        <v>1014</v>
      </c>
      <c r="I433" s="57">
        <f t="shared" si="75"/>
        <v>1014</v>
      </c>
      <c r="J433" s="38">
        <v>1</v>
      </c>
      <c r="K433" s="38">
        <f>합산자재!I184</f>
        <v>0</v>
      </c>
      <c r="L433" s="57">
        <f t="shared" si="76"/>
        <v>0</v>
      </c>
      <c r="M433" s="38">
        <f>합산자재!J184</f>
        <v>0</v>
      </c>
      <c r="N433" s="57">
        <f t="shared" si="77"/>
        <v>0</v>
      </c>
      <c r="O433" s="38">
        <f t="shared" si="78"/>
        <v>1014</v>
      </c>
      <c r="P433" s="38">
        <f t="shared" si="79"/>
        <v>1014</v>
      </c>
      <c r="Q433" s="12"/>
    </row>
    <row r="434" spans="1:31" ht="23.1" customHeight="1" x14ac:dyDescent="0.15">
      <c r="A434" s="13" t="s">
        <v>1214</v>
      </c>
      <c r="B434" s="13" t="s">
        <v>3043</v>
      </c>
      <c r="C434" s="13" t="s">
        <v>686</v>
      </c>
      <c r="D434" s="12" t="s">
        <v>672</v>
      </c>
      <c r="E434" s="12" t="s">
        <v>687</v>
      </c>
      <c r="F434" s="31" t="s">
        <v>200</v>
      </c>
      <c r="G434" s="15">
        <v>2</v>
      </c>
      <c r="H434" s="38">
        <f>합산자재!H190</f>
        <v>1087</v>
      </c>
      <c r="I434" s="57">
        <f t="shared" si="75"/>
        <v>2174</v>
      </c>
      <c r="J434" s="38">
        <v>2</v>
      </c>
      <c r="K434" s="38">
        <f>합산자재!I190</f>
        <v>0</v>
      </c>
      <c r="L434" s="57">
        <f t="shared" si="76"/>
        <v>0</v>
      </c>
      <c r="M434" s="38">
        <f>합산자재!J190</f>
        <v>0</v>
      </c>
      <c r="N434" s="57">
        <f t="shared" si="77"/>
        <v>0</v>
      </c>
      <c r="O434" s="38">
        <f t="shared" si="78"/>
        <v>1087</v>
      </c>
      <c r="P434" s="38">
        <f t="shared" si="79"/>
        <v>2174</v>
      </c>
      <c r="Q434" s="12"/>
    </row>
    <row r="435" spans="1:31" ht="23.1" customHeight="1" x14ac:dyDescent="0.15">
      <c r="A435" s="13" t="s">
        <v>1215</v>
      </c>
      <c r="B435" s="13" t="s">
        <v>3043</v>
      </c>
      <c r="C435" s="13" t="s">
        <v>688</v>
      </c>
      <c r="D435" s="12" t="s">
        <v>672</v>
      </c>
      <c r="E435" s="12" t="s">
        <v>689</v>
      </c>
      <c r="F435" s="31" t="s">
        <v>200</v>
      </c>
      <c r="G435" s="15">
        <v>2</v>
      </c>
      <c r="H435" s="38">
        <f>합산자재!H191</f>
        <v>1258</v>
      </c>
      <c r="I435" s="57">
        <f t="shared" si="75"/>
        <v>2516</v>
      </c>
      <c r="J435" s="38">
        <v>2</v>
      </c>
      <c r="K435" s="38">
        <f>합산자재!I191</f>
        <v>0</v>
      </c>
      <c r="L435" s="57">
        <f t="shared" si="76"/>
        <v>0</v>
      </c>
      <c r="M435" s="38">
        <f>합산자재!J191</f>
        <v>0</v>
      </c>
      <c r="N435" s="57">
        <f t="shared" si="77"/>
        <v>0</v>
      </c>
      <c r="O435" s="38">
        <f t="shared" si="78"/>
        <v>1258</v>
      </c>
      <c r="P435" s="38">
        <f t="shared" si="79"/>
        <v>2516</v>
      </c>
      <c r="Q435" s="12"/>
    </row>
    <row r="436" spans="1:31" ht="23.1" customHeight="1" x14ac:dyDescent="0.15">
      <c r="A436" s="13" t="s">
        <v>1266</v>
      </c>
      <c r="B436" s="13" t="s">
        <v>3043</v>
      </c>
      <c r="C436" s="13" t="s">
        <v>706</v>
      </c>
      <c r="D436" s="12" t="s">
        <v>777</v>
      </c>
      <c r="E436" s="12"/>
      <c r="F436" s="31" t="s">
        <v>289</v>
      </c>
      <c r="G436" s="15">
        <v>80</v>
      </c>
      <c r="H436" s="38">
        <f>합산자재!H242</f>
        <v>0</v>
      </c>
      <c r="I436" s="57">
        <f t="shared" si="75"/>
        <v>0</v>
      </c>
      <c r="J436" s="38">
        <v>80</v>
      </c>
      <c r="K436" s="38">
        <f>합산자재!I242</f>
        <v>0</v>
      </c>
      <c r="L436" s="57">
        <f t="shared" si="76"/>
        <v>0</v>
      </c>
      <c r="M436" s="38">
        <f>합산자재!J242</f>
        <v>0</v>
      </c>
      <c r="N436" s="57">
        <f t="shared" si="77"/>
        <v>0</v>
      </c>
      <c r="O436" s="38" t="str">
        <f t="shared" si="78"/>
        <v/>
      </c>
      <c r="P436" s="38">
        <f t="shared" si="79"/>
        <v>0</v>
      </c>
      <c r="Q436" s="12"/>
    </row>
    <row r="437" spans="1:31" ht="23.1" customHeight="1" x14ac:dyDescent="0.15">
      <c r="A437" s="13" t="s">
        <v>1267</v>
      </c>
      <c r="B437" s="13" t="s">
        <v>3043</v>
      </c>
      <c r="C437" s="13" t="s">
        <v>706</v>
      </c>
      <c r="D437" s="12" t="s">
        <v>778</v>
      </c>
      <c r="E437" s="12" t="s">
        <v>779</v>
      </c>
      <c r="F437" s="31" t="s">
        <v>289</v>
      </c>
      <c r="G437" s="15">
        <v>82</v>
      </c>
      <c r="H437" s="38">
        <f>합산자재!H243</f>
        <v>70000</v>
      </c>
      <c r="I437" s="57">
        <f t="shared" si="75"/>
        <v>5740000</v>
      </c>
      <c r="J437" s="38">
        <v>82</v>
      </c>
      <c r="K437" s="38">
        <f>합산자재!I243</f>
        <v>0</v>
      </c>
      <c r="L437" s="57">
        <f t="shared" si="76"/>
        <v>0</v>
      </c>
      <c r="M437" s="38">
        <f>합산자재!J243</f>
        <v>0</v>
      </c>
      <c r="N437" s="57">
        <f t="shared" si="77"/>
        <v>0</v>
      </c>
      <c r="O437" s="38">
        <f t="shared" si="78"/>
        <v>70000</v>
      </c>
      <c r="P437" s="38">
        <f t="shared" si="79"/>
        <v>5740000</v>
      </c>
      <c r="Q437" s="12"/>
    </row>
    <row r="438" spans="1:31" ht="23.1" customHeight="1" x14ac:dyDescent="0.15">
      <c r="A438" s="13" t="s">
        <v>1268</v>
      </c>
      <c r="B438" s="13" t="s">
        <v>3043</v>
      </c>
      <c r="C438" s="13" t="s">
        <v>706</v>
      </c>
      <c r="D438" s="12" t="s">
        <v>778</v>
      </c>
      <c r="E438" s="12" t="s">
        <v>781</v>
      </c>
      <c r="F438" s="31" t="s">
        <v>289</v>
      </c>
      <c r="G438" s="15">
        <v>1</v>
      </c>
      <c r="H438" s="38">
        <f>합산자재!H244</f>
        <v>150000</v>
      </c>
      <c r="I438" s="57">
        <f t="shared" si="75"/>
        <v>150000</v>
      </c>
      <c r="J438" s="38">
        <v>1</v>
      </c>
      <c r="K438" s="38">
        <f>합산자재!I244</f>
        <v>0</v>
      </c>
      <c r="L438" s="57">
        <f t="shared" si="76"/>
        <v>0</v>
      </c>
      <c r="M438" s="38">
        <f>합산자재!J244</f>
        <v>0</v>
      </c>
      <c r="N438" s="57">
        <f t="shared" si="77"/>
        <v>0</v>
      </c>
      <c r="O438" s="38">
        <f t="shared" si="78"/>
        <v>150000</v>
      </c>
      <c r="P438" s="38">
        <f t="shared" si="79"/>
        <v>150000</v>
      </c>
      <c r="Q438" s="12"/>
    </row>
    <row r="439" spans="1:31" ht="23.1" customHeight="1" x14ac:dyDescent="0.15">
      <c r="A439" s="13" t="s">
        <v>1269</v>
      </c>
      <c r="B439" s="13" t="s">
        <v>3043</v>
      </c>
      <c r="C439" s="13" t="s">
        <v>706</v>
      </c>
      <c r="D439" s="12" t="s">
        <v>778</v>
      </c>
      <c r="E439" s="12" t="s">
        <v>782</v>
      </c>
      <c r="F439" s="31" t="s">
        <v>289</v>
      </c>
      <c r="G439" s="15">
        <v>1</v>
      </c>
      <c r="H439" s="38">
        <f>합산자재!H245</f>
        <v>180000</v>
      </c>
      <c r="I439" s="57">
        <f t="shared" si="75"/>
        <v>180000</v>
      </c>
      <c r="J439" s="38">
        <v>1</v>
      </c>
      <c r="K439" s="38">
        <f>합산자재!I245</f>
        <v>0</v>
      </c>
      <c r="L439" s="57">
        <f t="shared" si="76"/>
        <v>0</v>
      </c>
      <c r="M439" s="38">
        <f>합산자재!J245</f>
        <v>0</v>
      </c>
      <c r="N439" s="57">
        <f t="shared" si="77"/>
        <v>0</v>
      </c>
      <c r="O439" s="38">
        <f t="shared" si="78"/>
        <v>180000</v>
      </c>
      <c r="P439" s="38">
        <f t="shared" si="79"/>
        <v>180000</v>
      </c>
      <c r="Q439" s="12"/>
    </row>
    <row r="440" spans="1:31" ht="23.1" customHeight="1" x14ac:dyDescent="0.15">
      <c r="A440" s="13" t="s">
        <v>1271</v>
      </c>
      <c r="B440" s="13" t="s">
        <v>3043</v>
      </c>
      <c r="C440" s="13" t="s">
        <v>706</v>
      </c>
      <c r="D440" s="12" t="s">
        <v>784</v>
      </c>
      <c r="E440" s="12" t="s">
        <v>785</v>
      </c>
      <c r="F440" s="31" t="s">
        <v>289</v>
      </c>
      <c r="G440" s="15">
        <v>44</v>
      </c>
      <c r="H440" s="38">
        <f>합산자재!H247</f>
        <v>70000</v>
      </c>
      <c r="I440" s="57">
        <f t="shared" si="75"/>
        <v>3080000</v>
      </c>
      <c r="J440" s="38">
        <v>44</v>
      </c>
      <c r="K440" s="38">
        <f>합산자재!I247</f>
        <v>0</v>
      </c>
      <c r="L440" s="57">
        <f t="shared" si="76"/>
        <v>0</v>
      </c>
      <c r="M440" s="38">
        <f>합산자재!J247</f>
        <v>0</v>
      </c>
      <c r="N440" s="57">
        <f t="shared" si="77"/>
        <v>0</v>
      </c>
      <c r="O440" s="38">
        <f t="shared" si="78"/>
        <v>70000</v>
      </c>
      <c r="P440" s="38">
        <f t="shared" si="79"/>
        <v>3080000</v>
      </c>
      <c r="Q440" s="12"/>
    </row>
    <row r="441" spans="1:31" ht="23.1" customHeight="1" x14ac:dyDescent="0.15">
      <c r="A441" s="13" t="s">
        <v>1272</v>
      </c>
      <c r="B441" s="13" t="s">
        <v>3043</v>
      </c>
      <c r="C441" s="13" t="s">
        <v>706</v>
      </c>
      <c r="D441" s="12" t="s">
        <v>786</v>
      </c>
      <c r="E441" s="12" t="s">
        <v>787</v>
      </c>
      <c r="F441" s="31" t="s">
        <v>289</v>
      </c>
      <c r="G441" s="15">
        <v>1</v>
      </c>
      <c r="H441" s="38">
        <f>합산자재!H248</f>
        <v>600000</v>
      </c>
      <c r="I441" s="57">
        <f t="shared" si="75"/>
        <v>600000</v>
      </c>
      <c r="J441" s="38">
        <v>1</v>
      </c>
      <c r="K441" s="38">
        <f>합산자재!I248</f>
        <v>0</v>
      </c>
      <c r="L441" s="57">
        <f t="shared" si="76"/>
        <v>0</v>
      </c>
      <c r="M441" s="38">
        <f>합산자재!J248</f>
        <v>0</v>
      </c>
      <c r="N441" s="57">
        <f t="shared" si="77"/>
        <v>0</v>
      </c>
      <c r="O441" s="38">
        <f t="shared" si="78"/>
        <v>600000</v>
      </c>
      <c r="P441" s="38">
        <f t="shared" si="79"/>
        <v>600000</v>
      </c>
      <c r="Q441" s="12"/>
    </row>
    <row r="442" spans="1:31" ht="23.1" customHeight="1" x14ac:dyDescent="0.15">
      <c r="A442" s="13" t="s">
        <v>1273</v>
      </c>
      <c r="B442" s="13" t="s">
        <v>3043</v>
      </c>
      <c r="C442" s="13" t="s">
        <v>706</v>
      </c>
      <c r="D442" s="12" t="s">
        <v>788</v>
      </c>
      <c r="E442" s="12" t="s">
        <v>789</v>
      </c>
      <c r="F442" s="31" t="s">
        <v>289</v>
      </c>
      <c r="G442" s="15">
        <v>1</v>
      </c>
      <c r="H442" s="38">
        <f>합산자재!H249</f>
        <v>900000</v>
      </c>
      <c r="I442" s="57">
        <f t="shared" si="75"/>
        <v>900000</v>
      </c>
      <c r="J442" s="38">
        <v>1</v>
      </c>
      <c r="K442" s="38">
        <f>합산자재!I249</f>
        <v>0</v>
      </c>
      <c r="L442" s="57">
        <f t="shared" si="76"/>
        <v>0</v>
      </c>
      <c r="M442" s="38">
        <f>합산자재!J249</f>
        <v>0</v>
      </c>
      <c r="N442" s="57">
        <f t="shared" si="77"/>
        <v>0</v>
      </c>
      <c r="O442" s="38">
        <f t="shared" si="78"/>
        <v>900000</v>
      </c>
      <c r="P442" s="38">
        <f t="shared" si="79"/>
        <v>900000</v>
      </c>
      <c r="Q442" s="12"/>
    </row>
    <row r="443" spans="1:31" ht="23.1" customHeight="1" x14ac:dyDescent="0.15">
      <c r="A443" s="13" t="s">
        <v>1274</v>
      </c>
      <c r="B443" s="13" t="s">
        <v>3043</v>
      </c>
      <c r="C443" s="13" t="s">
        <v>706</v>
      </c>
      <c r="D443" s="12" t="s">
        <v>790</v>
      </c>
      <c r="E443" s="12" t="s">
        <v>791</v>
      </c>
      <c r="F443" s="31" t="s">
        <v>792</v>
      </c>
      <c r="G443" s="15">
        <v>1</v>
      </c>
      <c r="H443" s="38">
        <f>합산자재!H250</f>
        <v>9000000</v>
      </c>
      <c r="I443" s="57">
        <f t="shared" si="75"/>
        <v>9000000</v>
      </c>
      <c r="J443" s="38">
        <v>1</v>
      </c>
      <c r="K443" s="38">
        <f>합산자재!I250</f>
        <v>0</v>
      </c>
      <c r="L443" s="57">
        <f t="shared" si="76"/>
        <v>0</v>
      </c>
      <c r="M443" s="38">
        <f>합산자재!J250</f>
        <v>0</v>
      </c>
      <c r="N443" s="57">
        <f t="shared" si="77"/>
        <v>0</v>
      </c>
      <c r="O443" s="38">
        <f t="shared" si="78"/>
        <v>9000000</v>
      </c>
      <c r="P443" s="38">
        <f t="shared" si="79"/>
        <v>9000000</v>
      </c>
      <c r="Q443" s="12"/>
    </row>
    <row r="444" spans="1:31" ht="23.1" customHeight="1" x14ac:dyDescent="0.15">
      <c r="A444" s="13" t="s">
        <v>1275</v>
      </c>
      <c r="B444" s="13" t="s">
        <v>3043</v>
      </c>
      <c r="C444" s="13" t="s">
        <v>706</v>
      </c>
      <c r="D444" s="12" t="s">
        <v>793</v>
      </c>
      <c r="E444" s="12" t="s">
        <v>794</v>
      </c>
      <c r="F444" s="31" t="s">
        <v>792</v>
      </c>
      <c r="G444" s="15">
        <v>1</v>
      </c>
      <c r="H444" s="38">
        <f>합산자재!H251</f>
        <v>26624363</v>
      </c>
      <c r="I444" s="57">
        <f t="shared" si="75"/>
        <v>26624363</v>
      </c>
      <c r="J444" s="38">
        <v>1</v>
      </c>
      <c r="K444" s="38">
        <f>합산자재!I251</f>
        <v>0</v>
      </c>
      <c r="L444" s="57">
        <f t="shared" si="76"/>
        <v>0</v>
      </c>
      <c r="M444" s="38">
        <f>합산자재!J251</f>
        <v>0</v>
      </c>
      <c r="N444" s="57">
        <f t="shared" si="77"/>
        <v>0</v>
      </c>
      <c r="O444" s="38">
        <f t="shared" si="78"/>
        <v>26624363</v>
      </c>
      <c r="P444" s="38">
        <f t="shared" si="79"/>
        <v>26624363</v>
      </c>
      <c r="Q444" s="12"/>
    </row>
    <row r="445" spans="1:31" ht="23.1" customHeight="1" x14ac:dyDescent="0.15">
      <c r="B445" s="13" t="s">
        <v>2360</v>
      </c>
      <c r="D445" s="12" t="s">
        <v>2361</v>
      </c>
      <c r="E445" s="12"/>
      <c r="F445" s="31"/>
      <c r="G445" s="15"/>
      <c r="H445" s="38"/>
      <c r="I445" s="57">
        <f>TRUNC(SUM(I420:I444))</f>
        <v>49618567</v>
      </c>
      <c r="J445" s="38"/>
      <c r="K445" s="38"/>
      <c r="L445" s="57">
        <f>TRUNC(SUM(L420:L444))</f>
        <v>50400373</v>
      </c>
      <c r="M445" s="38"/>
      <c r="N445" s="57">
        <f>TRUNC(SUM(N420:N444))</f>
        <v>0</v>
      </c>
      <c r="O445" s="38" t="str">
        <f t="shared" si="78"/>
        <v/>
      </c>
      <c r="P445" s="38">
        <f>TRUNC(SUM(P420:P444))</f>
        <v>100018940</v>
      </c>
      <c r="Q445" s="12"/>
      <c r="AE445" s="35">
        <f>TRUNC(SUM(AE420:AE444))</f>
        <v>50400373</v>
      </c>
    </row>
    <row r="446" spans="1:31" ht="23.1" customHeight="1" x14ac:dyDescent="0.15">
      <c r="B446" s="13" t="s">
        <v>1448</v>
      </c>
      <c r="D446" s="170" t="s">
        <v>3177</v>
      </c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2"/>
    </row>
    <row r="447" spans="1:31" ht="23.1" customHeight="1" x14ac:dyDescent="0.15">
      <c r="A447" s="13" t="s">
        <v>1912</v>
      </c>
      <c r="B447" s="13" t="s">
        <v>3044</v>
      </c>
      <c r="C447" s="13" t="s">
        <v>1913</v>
      </c>
      <c r="D447" s="12" t="s">
        <v>408</v>
      </c>
      <c r="E447" s="12" t="s">
        <v>413</v>
      </c>
      <c r="F447" s="31" t="s">
        <v>166</v>
      </c>
      <c r="G447" s="15">
        <v>19</v>
      </c>
      <c r="H447" s="38">
        <f>일대목차!I76</f>
        <v>1183</v>
      </c>
      <c r="I447" s="57">
        <f t="shared" ref="I447:I477" si="81">TRUNC(G447*H447)</f>
        <v>22477</v>
      </c>
      <c r="J447" s="38">
        <v>19</v>
      </c>
      <c r="K447" s="38">
        <f>일대목차!L76</f>
        <v>2463</v>
      </c>
      <c r="L447" s="57">
        <f t="shared" ref="L447:L477" si="82">TRUNC(G447*K447)</f>
        <v>46797</v>
      </c>
      <c r="M447" s="38">
        <f>일대목차!N76</f>
        <v>0</v>
      </c>
      <c r="N447" s="57">
        <f t="shared" ref="N447:N477" si="83">TRUNC(G447*M447)</f>
        <v>0</v>
      </c>
      <c r="O447" s="38">
        <f t="shared" ref="O447:O477" si="84">IF((H447+K447+M447)=0, "", (H447+K447+M447))</f>
        <v>3646</v>
      </c>
      <c r="P447" s="38">
        <f t="shared" ref="P447:P477" si="85">SUM(I447,L447,N447)</f>
        <v>69274</v>
      </c>
      <c r="Q447" s="12" t="s">
        <v>1914</v>
      </c>
      <c r="AC447" s="35">
        <f t="shared" ref="AC447:AC453" si="86">G447*H447</f>
        <v>22477</v>
      </c>
      <c r="AE447" s="35">
        <f t="shared" ref="AE447:AE462" si="87">L447</f>
        <v>46797</v>
      </c>
    </row>
    <row r="448" spans="1:31" ht="23.1" customHeight="1" x14ac:dyDescent="0.15">
      <c r="A448" s="13" t="s">
        <v>1915</v>
      </c>
      <c r="B448" s="13" t="s">
        <v>3044</v>
      </c>
      <c r="C448" s="13" t="s">
        <v>1916</v>
      </c>
      <c r="D448" s="12" t="s">
        <v>408</v>
      </c>
      <c r="E448" s="12" t="s">
        <v>415</v>
      </c>
      <c r="F448" s="31" t="s">
        <v>166</v>
      </c>
      <c r="G448" s="15">
        <v>41</v>
      </c>
      <c r="H448" s="38">
        <f>일대목차!I77</f>
        <v>2106</v>
      </c>
      <c r="I448" s="57">
        <f t="shared" si="81"/>
        <v>86346</v>
      </c>
      <c r="J448" s="38">
        <v>41</v>
      </c>
      <c r="K448" s="38">
        <f>일대목차!L77</f>
        <v>2463</v>
      </c>
      <c r="L448" s="57">
        <f t="shared" si="82"/>
        <v>100983</v>
      </c>
      <c r="M448" s="38">
        <f>일대목차!N77</f>
        <v>0</v>
      </c>
      <c r="N448" s="57">
        <f t="shared" si="83"/>
        <v>0</v>
      </c>
      <c r="O448" s="38">
        <f t="shared" si="84"/>
        <v>4569</v>
      </c>
      <c r="P448" s="38">
        <f t="shared" si="85"/>
        <v>187329</v>
      </c>
      <c r="Q448" s="12" t="s">
        <v>1917</v>
      </c>
      <c r="AC448" s="35">
        <f t="shared" si="86"/>
        <v>86346</v>
      </c>
      <c r="AE448" s="35">
        <f t="shared" si="87"/>
        <v>100983</v>
      </c>
    </row>
    <row r="449" spans="1:31" ht="23.1" customHeight="1" x14ac:dyDescent="0.15">
      <c r="A449" s="13" t="s">
        <v>1918</v>
      </c>
      <c r="B449" s="13" t="s">
        <v>3044</v>
      </c>
      <c r="C449" s="13" t="s">
        <v>1919</v>
      </c>
      <c r="D449" s="12" t="s">
        <v>408</v>
      </c>
      <c r="E449" s="12" t="s">
        <v>417</v>
      </c>
      <c r="F449" s="31" t="s">
        <v>166</v>
      </c>
      <c r="G449" s="15">
        <v>27</v>
      </c>
      <c r="H449" s="38">
        <f>일대목차!I78</f>
        <v>2658</v>
      </c>
      <c r="I449" s="57">
        <f t="shared" si="81"/>
        <v>71766</v>
      </c>
      <c r="J449" s="38">
        <v>27</v>
      </c>
      <c r="K449" s="38">
        <f>일대목차!L78</f>
        <v>2873</v>
      </c>
      <c r="L449" s="57">
        <f t="shared" si="82"/>
        <v>77571</v>
      </c>
      <c r="M449" s="38">
        <f>일대목차!N78</f>
        <v>0</v>
      </c>
      <c r="N449" s="57">
        <f t="shared" si="83"/>
        <v>0</v>
      </c>
      <c r="O449" s="38">
        <f t="shared" si="84"/>
        <v>5531</v>
      </c>
      <c r="P449" s="38">
        <f t="shared" si="85"/>
        <v>149337</v>
      </c>
      <c r="Q449" s="12" t="s">
        <v>1920</v>
      </c>
      <c r="AC449" s="35">
        <f t="shared" si="86"/>
        <v>71766</v>
      </c>
      <c r="AE449" s="35">
        <f t="shared" si="87"/>
        <v>77571</v>
      </c>
    </row>
    <row r="450" spans="1:31" ht="23.1" customHeight="1" x14ac:dyDescent="0.15">
      <c r="A450" s="13" t="s">
        <v>1966</v>
      </c>
      <c r="B450" s="13" t="s">
        <v>3044</v>
      </c>
      <c r="C450" s="13" t="s">
        <v>1967</v>
      </c>
      <c r="D450" s="12" t="s">
        <v>445</v>
      </c>
      <c r="E450" s="12" t="s">
        <v>456</v>
      </c>
      <c r="F450" s="31" t="s">
        <v>166</v>
      </c>
      <c r="G450" s="15">
        <v>80</v>
      </c>
      <c r="H450" s="38">
        <f>일대목차!I94</f>
        <v>5347</v>
      </c>
      <c r="I450" s="57">
        <f t="shared" si="81"/>
        <v>427760</v>
      </c>
      <c r="J450" s="38">
        <v>80</v>
      </c>
      <c r="K450" s="38">
        <f>일대목차!L94</f>
        <v>10341</v>
      </c>
      <c r="L450" s="57">
        <f t="shared" si="82"/>
        <v>827280</v>
      </c>
      <c r="M450" s="38">
        <f>일대목차!N94</f>
        <v>0</v>
      </c>
      <c r="N450" s="57">
        <f t="shared" si="83"/>
        <v>0</v>
      </c>
      <c r="O450" s="38">
        <f t="shared" si="84"/>
        <v>15688</v>
      </c>
      <c r="P450" s="38">
        <f t="shared" si="85"/>
        <v>1255040</v>
      </c>
      <c r="Q450" s="12" t="s">
        <v>1968</v>
      </c>
      <c r="AC450" s="35">
        <f t="shared" si="86"/>
        <v>427760</v>
      </c>
      <c r="AE450" s="35">
        <f t="shared" si="87"/>
        <v>827280</v>
      </c>
    </row>
    <row r="451" spans="1:31" ht="23.1" customHeight="1" x14ac:dyDescent="0.15">
      <c r="A451" s="13" t="s">
        <v>1969</v>
      </c>
      <c r="B451" s="13" t="s">
        <v>3044</v>
      </c>
      <c r="C451" s="13" t="s">
        <v>1970</v>
      </c>
      <c r="D451" s="12" t="s">
        <v>445</v>
      </c>
      <c r="E451" s="12" t="s">
        <v>458</v>
      </c>
      <c r="F451" s="31" t="s">
        <v>166</v>
      </c>
      <c r="G451" s="15">
        <v>253</v>
      </c>
      <c r="H451" s="38">
        <f>일대목차!I95</f>
        <v>8341</v>
      </c>
      <c r="I451" s="57">
        <f t="shared" si="81"/>
        <v>2110273</v>
      </c>
      <c r="J451" s="38">
        <v>253</v>
      </c>
      <c r="K451" s="38">
        <f>일대목차!L95</f>
        <v>14903</v>
      </c>
      <c r="L451" s="57">
        <f t="shared" si="82"/>
        <v>3770459</v>
      </c>
      <c r="M451" s="38">
        <f>일대목차!N95</f>
        <v>0</v>
      </c>
      <c r="N451" s="57">
        <f t="shared" si="83"/>
        <v>0</v>
      </c>
      <c r="O451" s="38">
        <f t="shared" si="84"/>
        <v>23244</v>
      </c>
      <c r="P451" s="38">
        <f t="shared" si="85"/>
        <v>5880732</v>
      </c>
      <c r="Q451" s="12" t="s">
        <v>1971</v>
      </c>
      <c r="AC451" s="35">
        <f t="shared" si="86"/>
        <v>2110273</v>
      </c>
      <c r="AE451" s="35">
        <f t="shared" si="87"/>
        <v>3770459</v>
      </c>
    </row>
    <row r="452" spans="1:31" ht="23.1" customHeight="1" x14ac:dyDescent="0.15">
      <c r="A452" s="13" t="s">
        <v>1975</v>
      </c>
      <c r="B452" s="13" t="s">
        <v>3044</v>
      </c>
      <c r="C452" s="13" t="s">
        <v>1976</v>
      </c>
      <c r="D452" s="12" t="s">
        <v>445</v>
      </c>
      <c r="E452" s="12" t="s">
        <v>462</v>
      </c>
      <c r="F452" s="31" t="s">
        <v>166</v>
      </c>
      <c r="G452" s="15">
        <v>80</v>
      </c>
      <c r="H452" s="38">
        <f>일대목차!I97</f>
        <v>21124</v>
      </c>
      <c r="I452" s="57">
        <f t="shared" si="81"/>
        <v>1689920</v>
      </c>
      <c r="J452" s="38">
        <v>80</v>
      </c>
      <c r="K452" s="38">
        <f>일대목차!L97</f>
        <v>23724</v>
      </c>
      <c r="L452" s="57">
        <f t="shared" si="82"/>
        <v>1897920</v>
      </c>
      <c r="M452" s="38">
        <f>일대목차!N97</f>
        <v>0</v>
      </c>
      <c r="N452" s="57">
        <f t="shared" si="83"/>
        <v>0</v>
      </c>
      <c r="O452" s="38">
        <f t="shared" si="84"/>
        <v>44848</v>
      </c>
      <c r="P452" s="38">
        <f t="shared" si="85"/>
        <v>3587840</v>
      </c>
      <c r="Q452" s="12" t="s">
        <v>1977</v>
      </c>
      <c r="AC452" s="35">
        <f t="shared" si="86"/>
        <v>1689920</v>
      </c>
      <c r="AE452" s="35">
        <f t="shared" si="87"/>
        <v>1897920</v>
      </c>
    </row>
    <row r="453" spans="1:31" ht="23.1" customHeight="1" x14ac:dyDescent="0.15">
      <c r="A453" s="13" t="s">
        <v>1978</v>
      </c>
      <c r="B453" s="13" t="s">
        <v>3044</v>
      </c>
      <c r="C453" s="13" t="s">
        <v>1979</v>
      </c>
      <c r="D453" s="12" t="s">
        <v>445</v>
      </c>
      <c r="E453" s="12" t="s">
        <v>464</v>
      </c>
      <c r="F453" s="31" t="s">
        <v>166</v>
      </c>
      <c r="G453" s="15">
        <v>96</v>
      </c>
      <c r="H453" s="38">
        <f>일대목차!I98</f>
        <v>21899</v>
      </c>
      <c r="I453" s="57">
        <f t="shared" si="81"/>
        <v>2102304</v>
      </c>
      <c r="J453" s="38">
        <v>96</v>
      </c>
      <c r="K453" s="38">
        <f>일대목차!L98</f>
        <v>28469</v>
      </c>
      <c r="L453" s="57">
        <f t="shared" si="82"/>
        <v>2733024</v>
      </c>
      <c r="M453" s="38">
        <f>일대목차!N98</f>
        <v>0</v>
      </c>
      <c r="N453" s="57">
        <f t="shared" si="83"/>
        <v>0</v>
      </c>
      <c r="O453" s="38">
        <f t="shared" si="84"/>
        <v>50368</v>
      </c>
      <c r="P453" s="38">
        <f t="shared" si="85"/>
        <v>4835328</v>
      </c>
      <c r="Q453" s="12" t="s">
        <v>1980</v>
      </c>
      <c r="AC453" s="35">
        <f t="shared" si="86"/>
        <v>2102304</v>
      </c>
      <c r="AE453" s="35">
        <f t="shared" si="87"/>
        <v>2733024</v>
      </c>
    </row>
    <row r="454" spans="1:31" ht="23.1" customHeight="1" x14ac:dyDescent="0.15">
      <c r="A454" s="13" t="s">
        <v>2080</v>
      </c>
      <c r="B454" s="13" t="s">
        <v>3044</v>
      </c>
      <c r="C454" s="13" t="s">
        <v>2081</v>
      </c>
      <c r="D454" s="12" t="s">
        <v>595</v>
      </c>
      <c r="E454" s="12" t="s">
        <v>596</v>
      </c>
      <c r="F454" s="31" t="s">
        <v>200</v>
      </c>
      <c r="G454" s="15">
        <v>4</v>
      </c>
      <c r="H454" s="38">
        <f>일대목차!I132</f>
        <v>718</v>
      </c>
      <c r="I454" s="57">
        <f t="shared" si="81"/>
        <v>2872</v>
      </c>
      <c r="J454" s="38">
        <v>4</v>
      </c>
      <c r="K454" s="38">
        <f>일대목차!L132</f>
        <v>29563</v>
      </c>
      <c r="L454" s="57">
        <f t="shared" si="82"/>
        <v>118252</v>
      </c>
      <c r="M454" s="38">
        <f>일대목차!N132</f>
        <v>0</v>
      </c>
      <c r="N454" s="57">
        <f t="shared" si="83"/>
        <v>0</v>
      </c>
      <c r="O454" s="38">
        <f t="shared" si="84"/>
        <v>30281</v>
      </c>
      <c r="P454" s="38">
        <f t="shared" si="85"/>
        <v>121124</v>
      </c>
      <c r="Q454" s="12" t="s">
        <v>2082</v>
      </c>
      <c r="AE454" s="35">
        <f t="shared" si="87"/>
        <v>118252</v>
      </c>
    </row>
    <row r="455" spans="1:31" ht="23.1" customHeight="1" x14ac:dyDescent="0.15">
      <c r="A455" s="13" t="s">
        <v>2083</v>
      </c>
      <c r="B455" s="13" t="s">
        <v>3044</v>
      </c>
      <c r="C455" s="13" t="s">
        <v>2084</v>
      </c>
      <c r="D455" s="12" t="s">
        <v>595</v>
      </c>
      <c r="E455" s="12" t="s">
        <v>598</v>
      </c>
      <c r="F455" s="31" t="s">
        <v>200</v>
      </c>
      <c r="G455" s="15">
        <v>8</v>
      </c>
      <c r="H455" s="38">
        <f>일대목차!I133</f>
        <v>909</v>
      </c>
      <c r="I455" s="57">
        <f t="shared" si="81"/>
        <v>7272</v>
      </c>
      <c r="J455" s="38">
        <v>8</v>
      </c>
      <c r="K455" s="38">
        <f>일대목차!L133</f>
        <v>36133</v>
      </c>
      <c r="L455" s="57">
        <f t="shared" si="82"/>
        <v>289064</v>
      </c>
      <c r="M455" s="38">
        <f>일대목차!N133</f>
        <v>0</v>
      </c>
      <c r="N455" s="57">
        <f t="shared" si="83"/>
        <v>0</v>
      </c>
      <c r="O455" s="38">
        <f t="shared" si="84"/>
        <v>37042</v>
      </c>
      <c r="P455" s="38">
        <f t="shared" si="85"/>
        <v>296336</v>
      </c>
      <c r="Q455" s="12" t="s">
        <v>2085</v>
      </c>
      <c r="AE455" s="35">
        <f t="shared" si="87"/>
        <v>289064</v>
      </c>
    </row>
    <row r="456" spans="1:31" ht="23.1" customHeight="1" x14ac:dyDescent="0.15">
      <c r="A456" s="13" t="s">
        <v>2086</v>
      </c>
      <c r="B456" s="13" t="s">
        <v>3044</v>
      </c>
      <c r="C456" s="13" t="s">
        <v>2087</v>
      </c>
      <c r="D456" s="12" t="s">
        <v>595</v>
      </c>
      <c r="E456" s="12" t="s">
        <v>600</v>
      </c>
      <c r="F456" s="31" t="s">
        <v>200</v>
      </c>
      <c r="G456" s="15">
        <v>8</v>
      </c>
      <c r="H456" s="38">
        <f>일대목차!I134</f>
        <v>1030</v>
      </c>
      <c r="I456" s="57">
        <f t="shared" si="81"/>
        <v>8240</v>
      </c>
      <c r="J456" s="38">
        <v>8</v>
      </c>
      <c r="K456" s="38">
        <f>일대목차!L134</f>
        <v>39418</v>
      </c>
      <c r="L456" s="57">
        <f t="shared" si="82"/>
        <v>315344</v>
      </c>
      <c r="M456" s="38">
        <f>일대목차!N134</f>
        <v>0</v>
      </c>
      <c r="N456" s="57">
        <f t="shared" si="83"/>
        <v>0</v>
      </c>
      <c r="O456" s="38">
        <f t="shared" si="84"/>
        <v>40448</v>
      </c>
      <c r="P456" s="38">
        <f t="shared" si="85"/>
        <v>323584</v>
      </c>
      <c r="Q456" s="12" t="s">
        <v>2088</v>
      </c>
      <c r="AE456" s="35">
        <f t="shared" si="87"/>
        <v>315344</v>
      </c>
    </row>
    <row r="457" spans="1:31" ht="23.1" customHeight="1" x14ac:dyDescent="0.15">
      <c r="A457" s="13" t="s">
        <v>1684</v>
      </c>
      <c r="B457" s="13" t="s">
        <v>3044</v>
      </c>
      <c r="C457" s="13" t="s">
        <v>1685</v>
      </c>
      <c r="D457" s="12" t="s">
        <v>1674</v>
      </c>
      <c r="E457" s="12" t="s">
        <v>1687</v>
      </c>
      <c r="F457" s="31" t="s">
        <v>792</v>
      </c>
      <c r="G457" s="15">
        <v>10</v>
      </c>
      <c r="H457" s="38">
        <f>일대목차!I9</f>
        <v>19585</v>
      </c>
      <c r="I457" s="57">
        <f t="shared" si="81"/>
        <v>195850</v>
      </c>
      <c r="J457" s="38">
        <v>10</v>
      </c>
      <c r="K457" s="38">
        <f>일대목차!L9</f>
        <v>9852</v>
      </c>
      <c r="L457" s="57">
        <f t="shared" si="82"/>
        <v>98520</v>
      </c>
      <c r="M457" s="38">
        <f>일대목차!N9</f>
        <v>0</v>
      </c>
      <c r="N457" s="57">
        <f t="shared" si="83"/>
        <v>0</v>
      </c>
      <c r="O457" s="38">
        <f t="shared" si="84"/>
        <v>29437</v>
      </c>
      <c r="P457" s="38">
        <f t="shared" si="85"/>
        <v>294370</v>
      </c>
      <c r="Q457" s="12" t="s">
        <v>1686</v>
      </c>
      <c r="AE457" s="35">
        <f t="shared" si="87"/>
        <v>98520</v>
      </c>
    </row>
    <row r="458" spans="1:31" ht="23.1" customHeight="1" x14ac:dyDescent="0.15">
      <c r="A458" s="13" t="s">
        <v>1688</v>
      </c>
      <c r="B458" s="13" t="s">
        <v>3044</v>
      </c>
      <c r="C458" s="13" t="s">
        <v>1689</v>
      </c>
      <c r="D458" s="12" t="s">
        <v>1674</v>
      </c>
      <c r="E458" s="12" t="s">
        <v>1691</v>
      </c>
      <c r="F458" s="31" t="s">
        <v>792</v>
      </c>
      <c r="G458" s="15">
        <v>19</v>
      </c>
      <c r="H458" s="38">
        <f>일대목차!I10</f>
        <v>19622</v>
      </c>
      <c r="I458" s="57">
        <f t="shared" si="81"/>
        <v>372818</v>
      </c>
      <c r="J458" s="38">
        <v>19</v>
      </c>
      <c r="K458" s="38">
        <f>일대목차!L10</f>
        <v>9852</v>
      </c>
      <c r="L458" s="57">
        <f t="shared" si="82"/>
        <v>187188</v>
      </c>
      <c r="M458" s="38">
        <f>일대목차!N10</f>
        <v>0</v>
      </c>
      <c r="N458" s="57">
        <f t="shared" si="83"/>
        <v>0</v>
      </c>
      <c r="O458" s="38">
        <f t="shared" si="84"/>
        <v>29474</v>
      </c>
      <c r="P458" s="38">
        <f t="shared" si="85"/>
        <v>560006</v>
      </c>
      <c r="Q458" s="12" t="s">
        <v>1690</v>
      </c>
      <c r="AE458" s="35">
        <f t="shared" si="87"/>
        <v>187188</v>
      </c>
    </row>
    <row r="459" spans="1:31" ht="23.1" customHeight="1" x14ac:dyDescent="0.15">
      <c r="A459" s="13" t="s">
        <v>1692</v>
      </c>
      <c r="B459" s="13" t="s">
        <v>3044</v>
      </c>
      <c r="C459" s="13" t="s">
        <v>1693</v>
      </c>
      <c r="D459" s="12" t="s">
        <v>1674</v>
      </c>
      <c r="E459" s="12" t="s">
        <v>1695</v>
      </c>
      <c r="F459" s="31" t="s">
        <v>792</v>
      </c>
      <c r="G459" s="15">
        <v>13</v>
      </c>
      <c r="H459" s="38">
        <f>일대목차!I11</f>
        <v>19816</v>
      </c>
      <c r="I459" s="57">
        <f t="shared" si="81"/>
        <v>257608</v>
      </c>
      <c r="J459" s="38">
        <v>13</v>
      </c>
      <c r="K459" s="38">
        <f>일대목차!L11</f>
        <v>9852</v>
      </c>
      <c r="L459" s="57">
        <f t="shared" si="82"/>
        <v>128076</v>
      </c>
      <c r="M459" s="38">
        <f>일대목차!N11</f>
        <v>0</v>
      </c>
      <c r="N459" s="57">
        <f t="shared" si="83"/>
        <v>0</v>
      </c>
      <c r="O459" s="38">
        <f t="shared" si="84"/>
        <v>29668</v>
      </c>
      <c r="P459" s="38">
        <f t="shared" si="85"/>
        <v>385684</v>
      </c>
      <c r="Q459" s="12" t="s">
        <v>1694</v>
      </c>
      <c r="AE459" s="35">
        <f t="shared" si="87"/>
        <v>128076</v>
      </c>
    </row>
    <row r="460" spans="1:31" ht="23.1" customHeight="1" x14ac:dyDescent="0.15">
      <c r="A460" s="13" t="s">
        <v>2110</v>
      </c>
      <c r="B460" s="13" t="s">
        <v>3044</v>
      </c>
      <c r="C460" s="13" t="s">
        <v>2111</v>
      </c>
      <c r="D460" s="12" t="s">
        <v>656</v>
      </c>
      <c r="E460" s="12" t="s">
        <v>664</v>
      </c>
      <c r="F460" s="31" t="s">
        <v>166</v>
      </c>
      <c r="G460" s="15">
        <v>15</v>
      </c>
      <c r="H460" s="38">
        <f>일대목차!I142</f>
        <v>6369</v>
      </c>
      <c r="I460" s="57">
        <f t="shared" si="81"/>
        <v>95535</v>
      </c>
      <c r="J460" s="38">
        <v>15</v>
      </c>
      <c r="K460" s="38">
        <f>일대목차!L142</f>
        <v>29557</v>
      </c>
      <c r="L460" s="57">
        <f t="shared" si="82"/>
        <v>443355</v>
      </c>
      <c r="M460" s="38">
        <f>일대목차!N142</f>
        <v>0</v>
      </c>
      <c r="N460" s="57">
        <f t="shared" si="83"/>
        <v>0</v>
      </c>
      <c r="O460" s="38">
        <f t="shared" si="84"/>
        <v>35926</v>
      </c>
      <c r="P460" s="38">
        <f t="shared" si="85"/>
        <v>538890</v>
      </c>
      <c r="Q460" s="12" t="s">
        <v>2112</v>
      </c>
      <c r="AB460" s="35">
        <f>I460</f>
        <v>95535</v>
      </c>
      <c r="AC460" s="35">
        <f>G460*H460</f>
        <v>95535</v>
      </c>
      <c r="AE460" s="35">
        <f t="shared" si="87"/>
        <v>443355</v>
      </c>
    </row>
    <row r="461" spans="1:31" ht="23.1" customHeight="1" x14ac:dyDescent="0.15">
      <c r="A461" s="13" t="s">
        <v>2113</v>
      </c>
      <c r="B461" s="13" t="s">
        <v>3044</v>
      </c>
      <c r="C461" s="13" t="s">
        <v>2114</v>
      </c>
      <c r="D461" s="12" t="s">
        <v>656</v>
      </c>
      <c r="E461" s="12" t="s">
        <v>666</v>
      </c>
      <c r="F461" s="31" t="s">
        <v>166</v>
      </c>
      <c r="G461" s="15">
        <v>29</v>
      </c>
      <c r="H461" s="38">
        <f>일대목차!I143</f>
        <v>8442</v>
      </c>
      <c r="I461" s="57">
        <f t="shared" si="81"/>
        <v>244818</v>
      </c>
      <c r="J461" s="38">
        <v>29</v>
      </c>
      <c r="K461" s="38">
        <f>일대목차!L143</f>
        <v>38424</v>
      </c>
      <c r="L461" s="57">
        <f t="shared" si="82"/>
        <v>1114296</v>
      </c>
      <c r="M461" s="38">
        <f>일대목차!N143</f>
        <v>0</v>
      </c>
      <c r="N461" s="57">
        <f t="shared" si="83"/>
        <v>0</v>
      </c>
      <c r="O461" s="38">
        <f t="shared" si="84"/>
        <v>46866</v>
      </c>
      <c r="P461" s="38">
        <f t="shared" si="85"/>
        <v>1359114</v>
      </c>
      <c r="Q461" s="12" t="s">
        <v>2115</v>
      </c>
      <c r="AB461" s="35">
        <f>I461</f>
        <v>244818</v>
      </c>
      <c r="AC461" s="35">
        <f>G461*H461</f>
        <v>244818</v>
      </c>
      <c r="AE461" s="35">
        <f t="shared" si="87"/>
        <v>1114296</v>
      </c>
    </row>
    <row r="462" spans="1:31" ht="23.1" customHeight="1" x14ac:dyDescent="0.15">
      <c r="A462" s="13" t="s">
        <v>2116</v>
      </c>
      <c r="B462" s="13" t="s">
        <v>3044</v>
      </c>
      <c r="C462" s="13" t="s">
        <v>2117</v>
      </c>
      <c r="D462" s="12" t="s">
        <v>656</v>
      </c>
      <c r="E462" s="12" t="s">
        <v>668</v>
      </c>
      <c r="F462" s="31" t="s">
        <v>166</v>
      </c>
      <c r="G462" s="15">
        <v>19</v>
      </c>
      <c r="H462" s="38">
        <f>일대목차!I144</f>
        <v>11759</v>
      </c>
      <c r="I462" s="57">
        <f t="shared" si="81"/>
        <v>223421</v>
      </c>
      <c r="J462" s="38">
        <v>19</v>
      </c>
      <c r="K462" s="38">
        <f>일대목차!L144</f>
        <v>56158</v>
      </c>
      <c r="L462" s="57">
        <f t="shared" si="82"/>
        <v>1067002</v>
      </c>
      <c r="M462" s="38">
        <f>일대목차!N144</f>
        <v>0</v>
      </c>
      <c r="N462" s="57">
        <f t="shared" si="83"/>
        <v>0</v>
      </c>
      <c r="O462" s="38">
        <f t="shared" si="84"/>
        <v>67917</v>
      </c>
      <c r="P462" s="38">
        <f t="shared" si="85"/>
        <v>1290423</v>
      </c>
      <c r="Q462" s="12" t="s">
        <v>2118</v>
      </c>
      <c r="AB462" s="35">
        <f>I462</f>
        <v>223421</v>
      </c>
      <c r="AC462" s="35">
        <f>G462*H462</f>
        <v>223421</v>
      </c>
      <c r="AE462" s="35">
        <f t="shared" si="87"/>
        <v>1067002</v>
      </c>
    </row>
    <row r="463" spans="1:31" ht="23.1" customHeight="1" x14ac:dyDescent="0.15">
      <c r="A463" s="13" t="s">
        <v>1210</v>
      </c>
      <c r="B463" s="13" t="s">
        <v>3044</v>
      </c>
      <c r="C463" s="13" t="s">
        <v>678</v>
      </c>
      <c r="D463" s="12" t="s">
        <v>672</v>
      </c>
      <c r="E463" s="12" t="s">
        <v>679</v>
      </c>
      <c r="F463" s="31" t="s">
        <v>200</v>
      </c>
      <c r="G463" s="15">
        <v>4</v>
      </c>
      <c r="H463" s="38">
        <f>합산자재!H186</f>
        <v>1811</v>
      </c>
      <c r="I463" s="57">
        <f t="shared" si="81"/>
        <v>7244</v>
      </c>
      <c r="J463" s="38">
        <v>4</v>
      </c>
      <c r="K463" s="38">
        <f>합산자재!I186</f>
        <v>0</v>
      </c>
      <c r="L463" s="57">
        <f t="shared" si="82"/>
        <v>0</v>
      </c>
      <c r="M463" s="38">
        <f>합산자재!J186</f>
        <v>0</v>
      </c>
      <c r="N463" s="57">
        <f t="shared" si="83"/>
        <v>0</v>
      </c>
      <c r="O463" s="38">
        <f t="shared" si="84"/>
        <v>1811</v>
      </c>
      <c r="P463" s="38">
        <f t="shared" si="85"/>
        <v>7244</v>
      </c>
      <c r="Q463" s="12"/>
    </row>
    <row r="464" spans="1:31" ht="23.1" customHeight="1" x14ac:dyDescent="0.15">
      <c r="A464" s="13" t="s">
        <v>1211</v>
      </c>
      <c r="B464" s="13" t="s">
        <v>3044</v>
      </c>
      <c r="C464" s="13" t="s">
        <v>680</v>
      </c>
      <c r="D464" s="12" t="s">
        <v>672</v>
      </c>
      <c r="E464" s="12" t="s">
        <v>681</v>
      </c>
      <c r="F464" s="31" t="s">
        <v>200</v>
      </c>
      <c r="G464" s="15">
        <v>8</v>
      </c>
      <c r="H464" s="38">
        <f>합산자재!H187</f>
        <v>2721</v>
      </c>
      <c r="I464" s="57">
        <f t="shared" si="81"/>
        <v>21768</v>
      </c>
      <c r="J464" s="38">
        <v>8</v>
      </c>
      <c r="K464" s="38">
        <f>합산자재!I187</f>
        <v>0</v>
      </c>
      <c r="L464" s="57">
        <f t="shared" si="82"/>
        <v>0</v>
      </c>
      <c r="M464" s="38">
        <f>합산자재!J187</f>
        <v>0</v>
      </c>
      <c r="N464" s="57">
        <f t="shared" si="83"/>
        <v>0</v>
      </c>
      <c r="O464" s="38">
        <f t="shared" si="84"/>
        <v>2721</v>
      </c>
      <c r="P464" s="38">
        <f t="shared" si="85"/>
        <v>21768</v>
      </c>
      <c r="Q464" s="12"/>
    </row>
    <row r="465" spans="1:31" ht="23.1" customHeight="1" x14ac:dyDescent="0.15">
      <c r="A465" s="13" t="s">
        <v>1212</v>
      </c>
      <c r="B465" s="13" t="s">
        <v>3044</v>
      </c>
      <c r="C465" s="13" t="s">
        <v>682</v>
      </c>
      <c r="D465" s="12" t="s">
        <v>672</v>
      </c>
      <c r="E465" s="12" t="s">
        <v>683</v>
      </c>
      <c r="F465" s="31" t="s">
        <v>200</v>
      </c>
      <c r="G465" s="15">
        <v>5</v>
      </c>
      <c r="H465" s="38">
        <f>합산자재!H188</f>
        <v>3586</v>
      </c>
      <c r="I465" s="57">
        <f t="shared" si="81"/>
        <v>17930</v>
      </c>
      <c r="J465" s="38">
        <v>5</v>
      </c>
      <c r="K465" s="38">
        <f>합산자재!I188</f>
        <v>0</v>
      </c>
      <c r="L465" s="57">
        <f t="shared" si="82"/>
        <v>0</v>
      </c>
      <c r="M465" s="38">
        <f>합산자재!J188</f>
        <v>0</v>
      </c>
      <c r="N465" s="57">
        <f t="shared" si="83"/>
        <v>0</v>
      </c>
      <c r="O465" s="38">
        <f t="shared" si="84"/>
        <v>3586</v>
      </c>
      <c r="P465" s="38">
        <f t="shared" si="85"/>
        <v>17930</v>
      </c>
      <c r="Q465" s="12"/>
    </row>
    <row r="466" spans="1:31" ht="23.1" customHeight="1" x14ac:dyDescent="0.15">
      <c r="A466" s="13" t="s">
        <v>1217</v>
      </c>
      <c r="B466" s="13" t="s">
        <v>3044</v>
      </c>
      <c r="C466" s="13" t="s">
        <v>692</v>
      </c>
      <c r="D466" s="12" t="s">
        <v>672</v>
      </c>
      <c r="E466" s="12" t="s">
        <v>693</v>
      </c>
      <c r="F466" s="31" t="s">
        <v>200</v>
      </c>
      <c r="G466" s="15">
        <v>2</v>
      </c>
      <c r="H466" s="38">
        <f>합산자재!H193</f>
        <v>1983</v>
      </c>
      <c r="I466" s="57">
        <f t="shared" si="81"/>
        <v>3966</v>
      </c>
      <c r="J466" s="38">
        <v>2</v>
      </c>
      <c r="K466" s="38">
        <f>합산자재!I193</f>
        <v>0</v>
      </c>
      <c r="L466" s="57">
        <f t="shared" si="82"/>
        <v>0</v>
      </c>
      <c r="M466" s="38">
        <f>합산자재!J193</f>
        <v>0</v>
      </c>
      <c r="N466" s="57">
        <f t="shared" si="83"/>
        <v>0</v>
      </c>
      <c r="O466" s="38">
        <f t="shared" si="84"/>
        <v>1983</v>
      </c>
      <c r="P466" s="38">
        <f t="shared" si="85"/>
        <v>3966</v>
      </c>
      <c r="Q466" s="12"/>
    </row>
    <row r="467" spans="1:31" ht="23.1" customHeight="1" x14ac:dyDescent="0.15">
      <c r="A467" s="13" t="s">
        <v>1218</v>
      </c>
      <c r="B467" s="13" t="s">
        <v>3044</v>
      </c>
      <c r="C467" s="13" t="s">
        <v>694</v>
      </c>
      <c r="D467" s="12" t="s">
        <v>672</v>
      </c>
      <c r="E467" s="12" t="s">
        <v>695</v>
      </c>
      <c r="F467" s="31" t="s">
        <v>200</v>
      </c>
      <c r="G467" s="15">
        <v>6</v>
      </c>
      <c r="H467" s="38">
        <f>합산자재!H194</f>
        <v>2981</v>
      </c>
      <c r="I467" s="57">
        <f t="shared" si="81"/>
        <v>17886</v>
      </c>
      <c r="J467" s="38">
        <v>6</v>
      </c>
      <c r="K467" s="38">
        <f>합산자재!I194</f>
        <v>0</v>
      </c>
      <c r="L467" s="57">
        <f t="shared" si="82"/>
        <v>0</v>
      </c>
      <c r="M467" s="38">
        <f>합산자재!J194</f>
        <v>0</v>
      </c>
      <c r="N467" s="57">
        <f t="shared" si="83"/>
        <v>0</v>
      </c>
      <c r="O467" s="38">
        <f t="shared" si="84"/>
        <v>2981</v>
      </c>
      <c r="P467" s="38">
        <f t="shared" si="85"/>
        <v>17886</v>
      </c>
      <c r="Q467" s="12"/>
    </row>
    <row r="468" spans="1:31" ht="23.1" customHeight="1" x14ac:dyDescent="0.15">
      <c r="A468" s="13" t="s">
        <v>1219</v>
      </c>
      <c r="B468" s="13" t="s">
        <v>3044</v>
      </c>
      <c r="C468" s="13" t="s">
        <v>696</v>
      </c>
      <c r="D468" s="12" t="s">
        <v>672</v>
      </c>
      <c r="E468" s="12" t="s">
        <v>697</v>
      </c>
      <c r="F468" s="31" t="s">
        <v>200</v>
      </c>
      <c r="G468" s="15">
        <v>4</v>
      </c>
      <c r="H468" s="38">
        <f>합산자재!H195</f>
        <v>3800</v>
      </c>
      <c r="I468" s="57">
        <f t="shared" si="81"/>
        <v>15200</v>
      </c>
      <c r="J468" s="38">
        <v>4</v>
      </c>
      <c r="K468" s="38">
        <f>합산자재!I195</f>
        <v>0</v>
      </c>
      <c r="L468" s="57">
        <f t="shared" si="82"/>
        <v>0</v>
      </c>
      <c r="M468" s="38">
        <f>합산자재!J195</f>
        <v>0</v>
      </c>
      <c r="N468" s="57">
        <f t="shared" si="83"/>
        <v>0</v>
      </c>
      <c r="O468" s="38">
        <f t="shared" si="84"/>
        <v>3800</v>
      </c>
      <c r="P468" s="38">
        <f t="shared" si="85"/>
        <v>15200</v>
      </c>
      <c r="Q468" s="12"/>
    </row>
    <row r="469" spans="1:31" ht="23.1" customHeight="1" x14ac:dyDescent="0.15">
      <c r="A469" s="13" t="s">
        <v>1222</v>
      </c>
      <c r="B469" s="13" t="s">
        <v>3044</v>
      </c>
      <c r="C469" s="13" t="s">
        <v>702</v>
      </c>
      <c r="D469" s="12" t="s">
        <v>701</v>
      </c>
      <c r="E469" s="12" t="s">
        <v>664</v>
      </c>
      <c r="F469" s="31" t="s">
        <v>200</v>
      </c>
      <c r="G469" s="15">
        <v>4</v>
      </c>
      <c r="H469" s="38">
        <f>합산자재!H198</f>
        <v>4640</v>
      </c>
      <c r="I469" s="57">
        <f t="shared" si="81"/>
        <v>18560</v>
      </c>
      <c r="J469" s="38">
        <v>4</v>
      </c>
      <c r="K469" s="38">
        <f>합산자재!I198</f>
        <v>0</v>
      </c>
      <c r="L469" s="57">
        <f t="shared" si="82"/>
        <v>0</v>
      </c>
      <c r="M469" s="38">
        <f>합산자재!J198</f>
        <v>0</v>
      </c>
      <c r="N469" s="57">
        <f t="shared" si="83"/>
        <v>0</v>
      </c>
      <c r="O469" s="38">
        <f t="shared" si="84"/>
        <v>4640</v>
      </c>
      <c r="P469" s="38">
        <f t="shared" si="85"/>
        <v>18560</v>
      </c>
      <c r="Q469" s="12"/>
    </row>
    <row r="470" spans="1:31" ht="23.1" customHeight="1" x14ac:dyDescent="0.15">
      <c r="A470" s="13" t="s">
        <v>1223</v>
      </c>
      <c r="B470" s="13" t="s">
        <v>3044</v>
      </c>
      <c r="C470" s="13" t="s">
        <v>703</v>
      </c>
      <c r="D470" s="12" t="s">
        <v>701</v>
      </c>
      <c r="E470" s="12" t="s">
        <v>666</v>
      </c>
      <c r="F470" s="31" t="s">
        <v>200</v>
      </c>
      <c r="G470" s="15">
        <v>5</v>
      </c>
      <c r="H470" s="38">
        <f>합산자재!H199</f>
        <v>6705</v>
      </c>
      <c r="I470" s="57">
        <f t="shared" si="81"/>
        <v>33525</v>
      </c>
      <c r="J470" s="38">
        <v>5</v>
      </c>
      <c r="K470" s="38">
        <f>합산자재!I199</f>
        <v>0</v>
      </c>
      <c r="L470" s="57">
        <f t="shared" si="82"/>
        <v>0</v>
      </c>
      <c r="M470" s="38">
        <f>합산자재!J199</f>
        <v>0</v>
      </c>
      <c r="N470" s="57">
        <f t="shared" si="83"/>
        <v>0</v>
      </c>
      <c r="O470" s="38">
        <f t="shared" si="84"/>
        <v>6705</v>
      </c>
      <c r="P470" s="38">
        <f t="shared" si="85"/>
        <v>33525</v>
      </c>
      <c r="Q470" s="12"/>
    </row>
    <row r="471" spans="1:31" ht="23.1" customHeight="1" x14ac:dyDescent="0.15">
      <c r="A471" s="13" t="s">
        <v>1224</v>
      </c>
      <c r="B471" s="13" t="s">
        <v>3044</v>
      </c>
      <c r="C471" s="13" t="s">
        <v>704</v>
      </c>
      <c r="D471" s="12" t="s">
        <v>701</v>
      </c>
      <c r="E471" s="12" t="s">
        <v>668</v>
      </c>
      <c r="F471" s="31" t="s">
        <v>200</v>
      </c>
      <c r="G471" s="15">
        <v>5</v>
      </c>
      <c r="H471" s="38">
        <f>합산자재!H200</f>
        <v>10240</v>
      </c>
      <c r="I471" s="57">
        <f t="shared" si="81"/>
        <v>51200</v>
      </c>
      <c r="J471" s="38">
        <v>5</v>
      </c>
      <c r="K471" s="38">
        <f>합산자재!I200</f>
        <v>0</v>
      </c>
      <c r="L471" s="57">
        <f t="shared" si="82"/>
        <v>0</v>
      </c>
      <c r="M471" s="38">
        <f>합산자재!J200</f>
        <v>0</v>
      </c>
      <c r="N471" s="57">
        <f t="shared" si="83"/>
        <v>0</v>
      </c>
      <c r="O471" s="38">
        <f t="shared" si="84"/>
        <v>10240</v>
      </c>
      <c r="P471" s="38">
        <f t="shared" si="85"/>
        <v>51200</v>
      </c>
      <c r="Q471" s="12"/>
    </row>
    <row r="472" spans="1:31" ht="23.1" customHeight="1" x14ac:dyDescent="0.15">
      <c r="A472" s="13" t="s">
        <v>2221</v>
      </c>
      <c r="B472" s="13" t="s">
        <v>3044</v>
      </c>
      <c r="C472" s="13" t="s">
        <v>2222</v>
      </c>
      <c r="D472" s="12" t="s">
        <v>858</v>
      </c>
      <c r="E472" s="12" t="s">
        <v>879</v>
      </c>
      <c r="F472" s="31" t="s">
        <v>559</v>
      </c>
      <c r="G472" s="15">
        <v>1</v>
      </c>
      <c r="H472" s="38">
        <f>일대목차!I179</f>
        <v>6732</v>
      </c>
      <c r="I472" s="57">
        <f t="shared" si="81"/>
        <v>6732</v>
      </c>
      <c r="J472" s="38">
        <v>1</v>
      </c>
      <c r="K472" s="38">
        <f>일대목차!L179</f>
        <v>336621</v>
      </c>
      <c r="L472" s="57">
        <f t="shared" si="82"/>
        <v>336621</v>
      </c>
      <c r="M472" s="38">
        <f>일대목차!N179</f>
        <v>0</v>
      </c>
      <c r="N472" s="57">
        <f t="shared" si="83"/>
        <v>0</v>
      </c>
      <c r="O472" s="38">
        <f t="shared" si="84"/>
        <v>343353</v>
      </c>
      <c r="P472" s="38">
        <f t="shared" si="85"/>
        <v>343353</v>
      </c>
      <c r="Q472" s="12" t="s">
        <v>2223</v>
      </c>
      <c r="AE472" s="35">
        <f t="shared" ref="AE472:AE477" si="88">L472</f>
        <v>336621</v>
      </c>
    </row>
    <row r="473" spans="1:31" ht="23.1" customHeight="1" x14ac:dyDescent="0.15">
      <c r="A473" s="13" t="s">
        <v>2212</v>
      </c>
      <c r="B473" s="13" t="s">
        <v>3044</v>
      </c>
      <c r="C473" s="13" t="s">
        <v>2213</v>
      </c>
      <c r="D473" s="12" t="s">
        <v>858</v>
      </c>
      <c r="E473" s="12" t="s">
        <v>873</v>
      </c>
      <c r="F473" s="31" t="s">
        <v>559</v>
      </c>
      <c r="G473" s="15">
        <v>1</v>
      </c>
      <c r="H473" s="38">
        <f>일대목차!I176</f>
        <v>6732</v>
      </c>
      <c r="I473" s="57">
        <f t="shared" si="81"/>
        <v>6732</v>
      </c>
      <c r="J473" s="38">
        <v>1</v>
      </c>
      <c r="K473" s="38">
        <f>일대목차!L176</f>
        <v>336621</v>
      </c>
      <c r="L473" s="57">
        <f t="shared" si="82"/>
        <v>336621</v>
      </c>
      <c r="M473" s="38">
        <f>일대목차!N176</f>
        <v>0</v>
      </c>
      <c r="N473" s="57">
        <f t="shared" si="83"/>
        <v>0</v>
      </c>
      <c r="O473" s="38">
        <f t="shared" si="84"/>
        <v>343353</v>
      </c>
      <c r="P473" s="38">
        <f t="shared" si="85"/>
        <v>343353</v>
      </c>
      <c r="Q473" s="12" t="s">
        <v>2214</v>
      </c>
      <c r="AE473" s="35">
        <f t="shared" si="88"/>
        <v>336621</v>
      </c>
    </row>
    <row r="474" spans="1:31" ht="23.1" customHeight="1" x14ac:dyDescent="0.15">
      <c r="A474" s="13" t="s">
        <v>2209</v>
      </c>
      <c r="B474" s="13" t="s">
        <v>3044</v>
      </c>
      <c r="C474" s="13" t="s">
        <v>2210</v>
      </c>
      <c r="D474" s="12" t="s">
        <v>858</v>
      </c>
      <c r="E474" s="12" t="s">
        <v>871</v>
      </c>
      <c r="F474" s="31" t="s">
        <v>559</v>
      </c>
      <c r="G474" s="15">
        <v>1</v>
      </c>
      <c r="H474" s="38">
        <f>일대목차!I175</f>
        <v>6732</v>
      </c>
      <c r="I474" s="57">
        <f t="shared" si="81"/>
        <v>6732</v>
      </c>
      <c r="J474" s="38">
        <v>1</v>
      </c>
      <c r="K474" s="38">
        <f>일대목차!L175</f>
        <v>336621</v>
      </c>
      <c r="L474" s="57">
        <f t="shared" si="82"/>
        <v>336621</v>
      </c>
      <c r="M474" s="38">
        <f>일대목차!N175</f>
        <v>0</v>
      </c>
      <c r="N474" s="57">
        <f t="shared" si="83"/>
        <v>0</v>
      </c>
      <c r="O474" s="38">
        <f t="shared" si="84"/>
        <v>343353</v>
      </c>
      <c r="P474" s="38">
        <f t="shared" si="85"/>
        <v>343353</v>
      </c>
      <c r="Q474" s="12" t="s">
        <v>2211</v>
      </c>
      <c r="AE474" s="35">
        <f t="shared" si="88"/>
        <v>336621</v>
      </c>
    </row>
    <row r="475" spans="1:31" ht="23.1" customHeight="1" x14ac:dyDescent="0.15">
      <c r="A475" s="13" t="s">
        <v>2251</v>
      </c>
      <c r="B475" s="13" t="s">
        <v>3044</v>
      </c>
      <c r="C475" s="13" t="s">
        <v>2252</v>
      </c>
      <c r="D475" s="12" t="s">
        <v>858</v>
      </c>
      <c r="E475" s="12" t="s">
        <v>899</v>
      </c>
      <c r="F475" s="31" t="s">
        <v>559</v>
      </c>
      <c r="G475" s="15">
        <v>1</v>
      </c>
      <c r="H475" s="38">
        <f>일대목차!I189</f>
        <v>6732</v>
      </c>
      <c r="I475" s="57">
        <f t="shared" si="81"/>
        <v>6732</v>
      </c>
      <c r="J475" s="38">
        <v>1</v>
      </c>
      <c r="K475" s="38">
        <f>일대목차!L189</f>
        <v>336621</v>
      </c>
      <c r="L475" s="57">
        <f t="shared" si="82"/>
        <v>336621</v>
      </c>
      <c r="M475" s="38">
        <f>일대목차!N189</f>
        <v>0</v>
      </c>
      <c r="N475" s="57">
        <f t="shared" si="83"/>
        <v>0</v>
      </c>
      <c r="O475" s="38">
        <f t="shared" si="84"/>
        <v>343353</v>
      </c>
      <c r="P475" s="38">
        <f t="shared" si="85"/>
        <v>343353</v>
      </c>
      <c r="Q475" s="12" t="s">
        <v>2253</v>
      </c>
      <c r="AE475" s="35">
        <f t="shared" si="88"/>
        <v>336621</v>
      </c>
    </row>
    <row r="476" spans="1:31" ht="23.1" customHeight="1" x14ac:dyDescent="0.15">
      <c r="A476" s="13" t="s">
        <v>2248</v>
      </c>
      <c r="B476" s="13" t="s">
        <v>3044</v>
      </c>
      <c r="C476" s="13" t="s">
        <v>2249</v>
      </c>
      <c r="D476" s="12" t="s">
        <v>858</v>
      </c>
      <c r="E476" s="12" t="s">
        <v>897</v>
      </c>
      <c r="F476" s="31" t="s">
        <v>559</v>
      </c>
      <c r="G476" s="15">
        <v>1</v>
      </c>
      <c r="H476" s="38">
        <f>일대목차!I188</f>
        <v>6732</v>
      </c>
      <c r="I476" s="57">
        <f t="shared" si="81"/>
        <v>6732</v>
      </c>
      <c r="J476" s="38">
        <v>1</v>
      </c>
      <c r="K476" s="38">
        <f>일대목차!L188</f>
        <v>336621</v>
      </c>
      <c r="L476" s="57">
        <f t="shared" si="82"/>
        <v>336621</v>
      </c>
      <c r="M476" s="38">
        <f>일대목차!N188</f>
        <v>0</v>
      </c>
      <c r="N476" s="57">
        <f t="shared" si="83"/>
        <v>0</v>
      </c>
      <c r="O476" s="38">
        <f t="shared" si="84"/>
        <v>343353</v>
      </c>
      <c r="P476" s="38">
        <f t="shared" si="85"/>
        <v>343353</v>
      </c>
      <c r="Q476" s="12" t="s">
        <v>2250</v>
      </c>
      <c r="AE476" s="35">
        <f t="shared" si="88"/>
        <v>336621</v>
      </c>
    </row>
    <row r="477" spans="1:31" ht="23.1" customHeight="1" x14ac:dyDescent="0.15">
      <c r="A477" s="13" t="s">
        <v>2191</v>
      </c>
      <c r="B477" s="13" t="s">
        <v>3044</v>
      </c>
      <c r="C477" s="13" t="s">
        <v>2192</v>
      </c>
      <c r="D477" s="12" t="s">
        <v>858</v>
      </c>
      <c r="E477" s="12" t="s">
        <v>859</v>
      </c>
      <c r="F477" s="31" t="s">
        <v>559</v>
      </c>
      <c r="G477" s="15">
        <v>1</v>
      </c>
      <c r="H477" s="38">
        <f>일대목차!I169</f>
        <v>6732</v>
      </c>
      <c r="I477" s="57">
        <f t="shared" si="81"/>
        <v>6732</v>
      </c>
      <c r="J477" s="38">
        <v>1</v>
      </c>
      <c r="K477" s="38">
        <f>일대목차!L169</f>
        <v>336621</v>
      </c>
      <c r="L477" s="57">
        <f t="shared" si="82"/>
        <v>336621</v>
      </c>
      <c r="M477" s="38">
        <f>일대목차!N169</f>
        <v>0</v>
      </c>
      <c r="N477" s="57">
        <f t="shared" si="83"/>
        <v>0</v>
      </c>
      <c r="O477" s="38">
        <f t="shared" si="84"/>
        <v>343353</v>
      </c>
      <c r="P477" s="38">
        <f t="shared" si="85"/>
        <v>343353</v>
      </c>
      <c r="Q477" s="12" t="s">
        <v>2193</v>
      </c>
      <c r="AE477" s="35">
        <f t="shared" si="88"/>
        <v>336621</v>
      </c>
    </row>
    <row r="478" spans="1:31" ht="23.1" customHeight="1" x14ac:dyDescent="0.15">
      <c r="D478" s="12"/>
      <c r="E478" s="12"/>
      <c r="F478" s="31"/>
      <c r="G478" s="15"/>
      <c r="H478" s="38"/>
      <c r="I478" s="57"/>
      <c r="J478" s="38"/>
      <c r="K478" s="38"/>
      <c r="L478" s="57"/>
      <c r="M478" s="38"/>
      <c r="N478" s="57"/>
      <c r="O478" s="38"/>
      <c r="P478" s="38"/>
      <c r="Q478" s="12"/>
      <c r="AE478" s="35">
        <f>TRUNC(SUM(AE446:AE477))</f>
        <v>15234857</v>
      </c>
    </row>
    <row r="479" spans="1:31" ht="23.1" customHeight="1" x14ac:dyDescent="0.15">
      <c r="D479" s="12"/>
      <c r="E479" s="12"/>
      <c r="F479" s="31"/>
      <c r="G479" s="15"/>
      <c r="H479" s="38"/>
      <c r="I479" s="57"/>
      <c r="J479" s="38"/>
      <c r="K479" s="38"/>
      <c r="L479" s="57"/>
      <c r="M479" s="38"/>
      <c r="N479" s="57"/>
      <c r="O479" s="38"/>
      <c r="P479" s="38"/>
      <c r="Q479" s="12"/>
    </row>
    <row r="480" spans="1:31" ht="23.1" customHeight="1" x14ac:dyDescent="0.15">
      <c r="D480" s="12"/>
      <c r="E480" s="12"/>
      <c r="F480" s="31"/>
      <c r="G480" s="15"/>
      <c r="H480" s="38"/>
      <c r="I480" s="57"/>
      <c r="J480" s="38"/>
      <c r="K480" s="38"/>
      <c r="L480" s="57"/>
      <c r="M480" s="38"/>
      <c r="N480" s="57"/>
      <c r="O480" s="38"/>
      <c r="P480" s="38"/>
      <c r="Q480" s="12"/>
    </row>
    <row r="481" spans="4:17" ht="23.1" customHeight="1" x14ac:dyDescent="0.15">
      <c r="D481" s="12"/>
      <c r="E481" s="12"/>
      <c r="F481" s="31"/>
      <c r="G481" s="15"/>
      <c r="H481" s="38"/>
      <c r="I481" s="57"/>
      <c r="J481" s="38"/>
      <c r="K481" s="38"/>
      <c r="L481" s="57"/>
      <c r="M481" s="38"/>
      <c r="N481" s="57"/>
      <c r="O481" s="38"/>
      <c r="P481" s="38"/>
      <c r="Q481" s="12"/>
    </row>
    <row r="482" spans="4:17" ht="23.1" customHeight="1" x14ac:dyDescent="0.15">
      <c r="D482" s="12"/>
      <c r="E482" s="12"/>
      <c r="F482" s="31"/>
      <c r="G482" s="15"/>
      <c r="H482" s="38"/>
      <c r="I482" s="57"/>
      <c r="J482" s="38"/>
      <c r="K482" s="38"/>
      <c r="L482" s="57"/>
      <c r="M482" s="38"/>
      <c r="N482" s="57"/>
      <c r="O482" s="38"/>
      <c r="P482" s="38"/>
      <c r="Q482" s="12"/>
    </row>
    <row r="483" spans="4:17" ht="23.1" customHeight="1" x14ac:dyDescent="0.15">
      <c r="D483" s="12"/>
      <c r="E483" s="12"/>
      <c r="F483" s="31"/>
      <c r="G483" s="15"/>
      <c r="H483" s="38"/>
      <c r="I483" s="57"/>
      <c r="J483" s="38"/>
      <c r="K483" s="38"/>
      <c r="L483" s="57"/>
      <c r="M483" s="38"/>
      <c r="N483" s="57"/>
      <c r="O483" s="38"/>
      <c r="P483" s="38"/>
      <c r="Q483" s="12"/>
    </row>
    <row r="484" spans="4:17" ht="23.1" customHeight="1" x14ac:dyDescent="0.15">
      <c r="D484" s="12"/>
      <c r="E484" s="12"/>
      <c r="F484" s="31"/>
      <c r="G484" s="15"/>
      <c r="H484" s="38"/>
      <c r="I484" s="57"/>
      <c r="J484" s="38"/>
      <c r="K484" s="38"/>
      <c r="L484" s="57"/>
      <c r="M484" s="38"/>
      <c r="N484" s="57"/>
      <c r="O484" s="38"/>
      <c r="P484" s="38"/>
      <c r="Q484" s="12"/>
    </row>
    <row r="485" spans="4:17" ht="23.1" customHeight="1" x14ac:dyDescent="0.15">
      <c r="D485" s="12"/>
      <c r="E485" s="12"/>
      <c r="F485" s="31"/>
      <c r="G485" s="15"/>
      <c r="H485" s="38"/>
      <c r="I485" s="57"/>
      <c r="J485" s="38"/>
      <c r="K485" s="38"/>
      <c r="L485" s="57"/>
      <c r="M485" s="38"/>
      <c r="N485" s="57"/>
      <c r="O485" s="38"/>
      <c r="P485" s="38"/>
      <c r="Q485" s="12"/>
    </row>
    <row r="486" spans="4:17" ht="23.1" customHeight="1" x14ac:dyDescent="0.15">
      <c r="D486" s="12"/>
      <c r="E486" s="12"/>
      <c r="F486" s="31"/>
      <c r="G486" s="15"/>
      <c r="H486" s="38"/>
      <c r="I486" s="57"/>
      <c r="J486" s="38"/>
      <c r="K486" s="38"/>
      <c r="L486" s="57"/>
      <c r="M486" s="38"/>
      <c r="N486" s="57"/>
      <c r="O486" s="38"/>
      <c r="P486" s="38"/>
      <c r="Q486" s="12"/>
    </row>
    <row r="487" spans="4:17" ht="23.1" customHeight="1" x14ac:dyDescent="0.15">
      <c r="D487" s="12"/>
      <c r="E487" s="12"/>
      <c r="F487" s="31"/>
      <c r="G487" s="15"/>
      <c r="H487" s="38"/>
      <c r="I487" s="57"/>
      <c r="J487" s="38"/>
      <c r="K487" s="38"/>
      <c r="L487" s="57"/>
      <c r="M487" s="38"/>
      <c r="N487" s="57"/>
      <c r="O487" s="38"/>
      <c r="P487" s="38"/>
      <c r="Q487" s="12"/>
    </row>
    <row r="488" spans="4:17" ht="23.1" customHeight="1" x14ac:dyDescent="0.15">
      <c r="D488" s="12"/>
      <c r="E488" s="12"/>
      <c r="F488" s="31"/>
      <c r="G488" s="15"/>
      <c r="H488" s="38"/>
      <c r="I488" s="57"/>
      <c r="J488" s="38"/>
      <c r="K488" s="38"/>
      <c r="L488" s="57"/>
      <c r="M488" s="38"/>
      <c r="N488" s="57"/>
      <c r="O488" s="38"/>
      <c r="P488" s="38"/>
      <c r="Q488" s="12"/>
    </row>
    <row r="489" spans="4:17" ht="23.1" customHeight="1" x14ac:dyDescent="0.15">
      <c r="D489" s="12"/>
      <c r="E489" s="12"/>
      <c r="F489" s="31"/>
      <c r="G489" s="15"/>
      <c r="H489" s="38"/>
      <c r="I489" s="57"/>
      <c r="J489" s="38"/>
      <c r="K489" s="38"/>
      <c r="L489" s="57"/>
      <c r="M489" s="38"/>
      <c r="N489" s="57"/>
      <c r="O489" s="38"/>
      <c r="P489" s="38"/>
      <c r="Q489" s="12"/>
    </row>
    <row r="490" spans="4:17" ht="23.1" customHeight="1" x14ac:dyDescent="0.15">
      <c r="D490" s="12"/>
      <c r="E490" s="12"/>
      <c r="F490" s="31"/>
      <c r="G490" s="15"/>
      <c r="H490" s="38"/>
      <c r="I490" s="57"/>
      <c r="J490" s="38"/>
      <c r="K490" s="38"/>
      <c r="L490" s="57"/>
      <c r="M490" s="38"/>
      <c r="N490" s="57"/>
      <c r="O490" s="38"/>
      <c r="P490" s="38"/>
      <c r="Q490" s="12"/>
    </row>
    <row r="491" spans="4:17" ht="23.1" customHeight="1" x14ac:dyDescent="0.15">
      <c r="D491" s="12"/>
      <c r="E491" s="12"/>
      <c r="F491" s="31"/>
      <c r="G491" s="15"/>
      <c r="H491" s="38"/>
      <c r="I491" s="57"/>
      <c r="J491" s="38"/>
      <c r="K491" s="38"/>
      <c r="L491" s="57"/>
      <c r="M491" s="38"/>
      <c r="N491" s="57"/>
      <c r="O491" s="38"/>
      <c r="P491" s="38"/>
      <c r="Q491" s="12"/>
    </row>
    <row r="492" spans="4:17" ht="23.1" customHeight="1" x14ac:dyDescent="0.15">
      <c r="D492" s="12"/>
      <c r="E492" s="12"/>
      <c r="F492" s="31"/>
      <c r="G492" s="15"/>
      <c r="H492" s="38"/>
      <c r="I492" s="57"/>
      <c r="J492" s="38"/>
      <c r="K492" s="38"/>
      <c r="L492" s="57"/>
      <c r="M492" s="38"/>
      <c r="N492" s="57"/>
      <c r="O492" s="38"/>
      <c r="P492" s="38"/>
      <c r="Q492" s="12"/>
    </row>
    <row r="493" spans="4:17" ht="23.1" customHeight="1" x14ac:dyDescent="0.15">
      <c r="D493" s="12"/>
      <c r="E493" s="12"/>
      <c r="F493" s="31"/>
      <c r="G493" s="15"/>
      <c r="H493" s="38"/>
      <c r="I493" s="57"/>
      <c r="J493" s="38"/>
      <c r="K493" s="38"/>
      <c r="L493" s="57"/>
      <c r="M493" s="38"/>
      <c r="N493" s="57"/>
      <c r="O493" s="38"/>
      <c r="P493" s="38"/>
      <c r="Q493" s="12"/>
    </row>
    <row r="494" spans="4:17" ht="23.1" customHeight="1" x14ac:dyDescent="0.15">
      <c r="D494" s="12"/>
      <c r="E494" s="12"/>
      <c r="F494" s="31"/>
      <c r="G494" s="15"/>
      <c r="H494" s="38"/>
      <c r="I494" s="57"/>
      <c r="J494" s="38"/>
      <c r="K494" s="38"/>
      <c r="L494" s="57"/>
      <c r="M494" s="38"/>
      <c r="N494" s="57"/>
      <c r="O494" s="38"/>
      <c r="P494" s="38"/>
      <c r="Q494" s="12"/>
    </row>
    <row r="495" spans="4:17" ht="23.1" customHeight="1" x14ac:dyDescent="0.15">
      <c r="D495" s="12"/>
      <c r="E495" s="12"/>
      <c r="F495" s="31"/>
      <c r="G495" s="15"/>
      <c r="H495" s="38"/>
      <c r="I495" s="57"/>
      <c r="J495" s="38"/>
      <c r="K495" s="38"/>
      <c r="L495" s="57"/>
      <c r="M495" s="38"/>
      <c r="N495" s="57"/>
      <c r="O495" s="38"/>
      <c r="P495" s="38"/>
      <c r="Q495" s="12"/>
    </row>
    <row r="496" spans="4:17" ht="23.1" customHeight="1" x14ac:dyDescent="0.15">
      <c r="D496" s="12"/>
      <c r="E496" s="12"/>
      <c r="F496" s="31"/>
      <c r="G496" s="15"/>
      <c r="H496" s="38"/>
      <c r="I496" s="57"/>
      <c r="J496" s="38"/>
      <c r="K496" s="38"/>
      <c r="L496" s="57"/>
      <c r="M496" s="38"/>
      <c r="N496" s="57"/>
      <c r="O496" s="38"/>
      <c r="P496" s="38"/>
      <c r="Q496" s="12"/>
    </row>
    <row r="497" spans="1:31" ht="23.1" customHeight="1" x14ac:dyDescent="0.15">
      <c r="B497" s="13" t="s">
        <v>2360</v>
      </c>
      <c r="D497" s="12" t="s">
        <v>2361</v>
      </c>
      <c r="E497" s="12"/>
      <c r="F497" s="31"/>
      <c r="G497" s="15"/>
      <c r="H497" s="38"/>
      <c r="I497" s="57">
        <f>TRUNC(SUM(I446:I496))</f>
        <v>8146951</v>
      </c>
      <c r="J497" s="38"/>
      <c r="K497" s="38"/>
      <c r="L497" s="57">
        <f>TRUNC(SUM(L446:L496))</f>
        <v>15234857</v>
      </c>
      <c r="M497" s="38"/>
      <c r="N497" s="57">
        <f>TRUNC(SUM(N446:N496))</f>
        <v>0</v>
      </c>
      <c r="O497" s="38" t="str">
        <f>IF((H497+K497+M497)=0, "", (H497+K497+M497))</f>
        <v/>
      </c>
      <c r="P497" s="38">
        <f>TRUNC(SUM(P446:P496))</f>
        <v>23381808</v>
      </c>
      <c r="Q497" s="12"/>
    </row>
    <row r="498" spans="1:31" ht="23.1" customHeight="1" x14ac:dyDescent="0.15">
      <c r="B498" s="13" t="s">
        <v>1448</v>
      </c>
      <c r="D498" s="170" t="s">
        <v>3178</v>
      </c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2"/>
    </row>
    <row r="499" spans="1:31" ht="23.1" customHeight="1" x14ac:dyDescent="0.15">
      <c r="A499" s="13" t="s">
        <v>1793</v>
      </c>
      <c r="B499" s="13" t="s">
        <v>3045</v>
      </c>
      <c r="C499" s="13" t="s">
        <v>1794</v>
      </c>
      <c r="D499" s="12" t="s">
        <v>178</v>
      </c>
      <c r="E499" s="12" t="s">
        <v>179</v>
      </c>
      <c r="F499" s="31" t="s">
        <v>166</v>
      </c>
      <c r="G499" s="15">
        <v>158</v>
      </c>
      <c r="H499" s="38">
        <f>일대목차!I37</f>
        <v>449</v>
      </c>
      <c r="I499" s="57">
        <f t="shared" ref="I499:I523" si="89">TRUNC(G499*H499)</f>
        <v>70942</v>
      </c>
      <c r="J499" s="38">
        <v>158</v>
      </c>
      <c r="K499" s="38">
        <f>일대목차!L37</f>
        <v>9852</v>
      </c>
      <c r="L499" s="57">
        <f t="shared" ref="L499:L523" si="90">TRUNC(G499*K499)</f>
        <v>1556616</v>
      </c>
      <c r="M499" s="38">
        <f>일대목차!N37</f>
        <v>0</v>
      </c>
      <c r="N499" s="57">
        <f t="shared" ref="N499:N523" si="91">TRUNC(G499*M499)</f>
        <v>0</v>
      </c>
      <c r="O499" s="38">
        <f t="shared" ref="O499:O523" si="92">IF((H499+K499+M499)=0, "", (H499+K499+M499))</f>
        <v>10301</v>
      </c>
      <c r="P499" s="38">
        <f t="shared" ref="P499:P523" si="93">SUM(I499,L499,N499)</f>
        <v>1627558</v>
      </c>
      <c r="Q499" s="12" t="s">
        <v>1795</v>
      </c>
      <c r="AA499" s="35">
        <f>I499</f>
        <v>70942</v>
      </c>
      <c r="AC499" s="35">
        <f>G499*H499</f>
        <v>70942</v>
      </c>
      <c r="AE499" s="35">
        <f>L499</f>
        <v>1556616</v>
      </c>
    </row>
    <row r="500" spans="1:31" ht="23.1" customHeight="1" x14ac:dyDescent="0.15">
      <c r="A500" s="13" t="s">
        <v>1038</v>
      </c>
      <c r="B500" s="13" t="s">
        <v>3045</v>
      </c>
      <c r="C500" s="13" t="s">
        <v>197</v>
      </c>
      <c r="D500" s="12" t="s">
        <v>198</v>
      </c>
      <c r="E500" s="12" t="s">
        <v>199</v>
      </c>
      <c r="F500" s="31" t="s">
        <v>200</v>
      </c>
      <c r="G500" s="15">
        <v>30</v>
      </c>
      <c r="H500" s="38">
        <f>합산자재!H14</f>
        <v>340</v>
      </c>
      <c r="I500" s="57">
        <f t="shared" si="89"/>
        <v>10200</v>
      </c>
      <c r="J500" s="38">
        <v>30</v>
      </c>
      <c r="K500" s="38">
        <f>합산자재!I14</f>
        <v>0</v>
      </c>
      <c r="L500" s="57">
        <f t="shared" si="90"/>
        <v>0</v>
      </c>
      <c r="M500" s="38">
        <f>합산자재!J14</f>
        <v>0</v>
      </c>
      <c r="N500" s="57">
        <f t="shared" si="91"/>
        <v>0</v>
      </c>
      <c r="O500" s="38">
        <f t="shared" si="92"/>
        <v>340</v>
      </c>
      <c r="P500" s="38">
        <f t="shared" si="93"/>
        <v>10200</v>
      </c>
      <c r="Q500" s="12"/>
    </row>
    <row r="501" spans="1:31" ht="23.1" customHeight="1" x14ac:dyDescent="0.15">
      <c r="A501" s="13" t="s">
        <v>1039</v>
      </c>
      <c r="B501" s="13" t="s">
        <v>3045</v>
      </c>
      <c r="C501" s="13" t="s">
        <v>203</v>
      </c>
      <c r="D501" s="12" t="s">
        <v>198</v>
      </c>
      <c r="E501" s="12" t="s">
        <v>204</v>
      </c>
      <c r="F501" s="31" t="s">
        <v>200</v>
      </c>
      <c r="G501" s="15">
        <v>2</v>
      </c>
      <c r="H501" s="38">
        <f>합산자재!H15</f>
        <v>545</v>
      </c>
      <c r="I501" s="57">
        <f t="shared" si="89"/>
        <v>1090</v>
      </c>
      <c r="J501" s="38">
        <v>2</v>
      </c>
      <c r="K501" s="38">
        <f>합산자재!I15</f>
        <v>0</v>
      </c>
      <c r="L501" s="57">
        <f t="shared" si="90"/>
        <v>0</v>
      </c>
      <c r="M501" s="38">
        <f>합산자재!J15</f>
        <v>0</v>
      </c>
      <c r="N501" s="57">
        <f t="shared" si="91"/>
        <v>0</v>
      </c>
      <c r="O501" s="38">
        <f t="shared" si="92"/>
        <v>545</v>
      </c>
      <c r="P501" s="38">
        <f t="shared" si="93"/>
        <v>1090</v>
      </c>
      <c r="Q501" s="12"/>
    </row>
    <row r="502" spans="1:31" ht="23.1" customHeight="1" x14ac:dyDescent="0.15">
      <c r="A502" s="13" t="s">
        <v>1040</v>
      </c>
      <c r="B502" s="13" t="s">
        <v>3045</v>
      </c>
      <c r="C502" s="13" t="s">
        <v>205</v>
      </c>
      <c r="D502" s="12" t="s">
        <v>198</v>
      </c>
      <c r="E502" s="12" t="s">
        <v>206</v>
      </c>
      <c r="F502" s="31" t="s">
        <v>200</v>
      </c>
      <c r="G502" s="15">
        <v>12</v>
      </c>
      <c r="H502" s="38">
        <f>합산자재!H16</f>
        <v>1175</v>
      </c>
      <c r="I502" s="57">
        <f t="shared" si="89"/>
        <v>14100</v>
      </c>
      <c r="J502" s="38">
        <v>12</v>
      </c>
      <c r="K502" s="38">
        <f>합산자재!I16</f>
        <v>0</v>
      </c>
      <c r="L502" s="57">
        <f t="shared" si="90"/>
        <v>0</v>
      </c>
      <c r="M502" s="38">
        <f>합산자재!J16</f>
        <v>0</v>
      </c>
      <c r="N502" s="57">
        <f t="shared" si="91"/>
        <v>0</v>
      </c>
      <c r="O502" s="38">
        <f t="shared" si="92"/>
        <v>1175</v>
      </c>
      <c r="P502" s="38">
        <f t="shared" si="93"/>
        <v>14100</v>
      </c>
      <c r="Q502" s="12"/>
    </row>
    <row r="503" spans="1:31" ht="23.1" customHeight="1" x14ac:dyDescent="0.15">
      <c r="A503" s="13" t="s">
        <v>1812</v>
      </c>
      <c r="B503" s="13" t="s">
        <v>3045</v>
      </c>
      <c r="C503" s="13" t="s">
        <v>1813</v>
      </c>
      <c r="D503" s="12" t="s">
        <v>198</v>
      </c>
      <c r="E503" s="12" t="s">
        <v>216</v>
      </c>
      <c r="F503" s="31" t="s">
        <v>166</v>
      </c>
      <c r="G503" s="15">
        <v>13</v>
      </c>
      <c r="H503" s="38">
        <f>일대목차!I43</f>
        <v>691</v>
      </c>
      <c r="I503" s="57">
        <f t="shared" si="89"/>
        <v>8983</v>
      </c>
      <c r="J503" s="38">
        <v>13</v>
      </c>
      <c r="K503" s="38">
        <f>일대목차!L43</f>
        <v>10837</v>
      </c>
      <c r="L503" s="57">
        <f t="shared" si="90"/>
        <v>140881</v>
      </c>
      <c r="M503" s="38">
        <f>일대목차!N43</f>
        <v>0</v>
      </c>
      <c r="N503" s="57">
        <f t="shared" si="91"/>
        <v>0</v>
      </c>
      <c r="O503" s="38">
        <f t="shared" si="92"/>
        <v>11528</v>
      </c>
      <c r="P503" s="38">
        <f t="shared" si="93"/>
        <v>149864</v>
      </c>
      <c r="Q503" s="12" t="s">
        <v>1814</v>
      </c>
      <c r="AC503" s="35">
        <f>G503*H503</f>
        <v>8983</v>
      </c>
      <c r="AE503" s="35">
        <f>L503</f>
        <v>140881</v>
      </c>
    </row>
    <row r="504" spans="1:31" ht="23.1" customHeight="1" x14ac:dyDescent="0.15">
      <c r="A504" s="13" t="s">
        <v>1815</v>
      </c>
      <c r="B504" s="13" t="s">
        <v>3045</v>
      </c>
      <c r="C504" s="13" t="s">
        <v>1816</v>
      </c>
      <c r="D504" s="12" t="s">
        <v>198</v>
      </c>
      <c r="E504" s="12" t="s">
        <v>218</v>
      </c>
      <c r="F504" s="31" t="s">
        <v>166</v>
      </c>
      <c r="G504" s="15">
        <v>2</v>
      </c>
      <c r="H504" s="38">
        <f>일대목차!I44</f>
        <v>1132</v>
      </c>
      <c r="I504" s="57">
        <f t="shared" si="89"/>
        <v>2264</v>
      </c>
      <c r="J504" s="38">
        <v>2</v>
      </c>
      <c r="K504" s="38">
        <f>일대목차!L44</f>
        <v>17734</v>
      </c>
      <c r="L504" s="57">
        <f t="shared" si="90"/>
        <v>35468</v>
      </c>
      <c r="M504" s="38">
        <f>일대목차!N44</f>
        <v>0</v>
      </c>
      <c r="N504" s="57">
        <f t="shared" si="91"/>
        <v>0</v>
      </c>
      <c r="O504" s="38">
        <f t="shared" si="92"/>
        <v>18866</v>
      </c>
      <c r="P504" s="38">
        <f t="shared" si="93"/>
        <v>37732</v>
      </c>
      <c r="Q504" s="12" t="s">
        <v>1817</v>
      </c>
      <c r="AC504" s="35">
        <f>G504*H504</f>
        <v>2264</v>
      </c>
      <c r="AE504" s="35">
        <f>L504</f>
        <v>35468</v>
      </c>
    </row>
    <row r="505" spans="1:31" ht="23.1" customHeight="1" x14ac:dyDescent="0.15">
      <c r="A505" s="13" t="s">
        <v>1818</v>
      </c>
      <c r="B505" s="13" t="s">
        <v>3045</v>
      </c>
      <c r="C505" s="13" t="s">
        <v>1819</v>
      </c>
      <c r="D505" s="12" t="s">
        <v>198</v>
      </c>
      <c r="E505" s="12" t="s">
        <v>220</v>
      </c>
      <c r="F505" s="31" t="s">
        <v>166</v>
      </c>
      <c r="G505" s="15">
        <v>46</v>
      </c>
      <c r="H505" s="38">
        <f>일대목차!I45</f>
        <v>1367</v>
      </c>
      <c r="I505" s="57">
        <f t="shared" si="89"/>
        <v>62882</v>
      </c>
      <c r="J505" s="38">
        <v>46</v>
      </c>
      <c r="K505" s="38">
        <f>일대목차!L45</f>
        <v>21428</v>
      </c>
      <c r="L505" s="57">
        <f t="shared" si="90"/>
        <v>985688</v>
      </c>
      <c r="M505" s="38">
        <f>일대목차!N45</f>
        <v>0</v>
      </c>
      <c r="N505" s="57">
        <f t="shared" si="91"/>
        <v>0</v>
      </c>
      <c r="O505" s="38">
        <f t="shared" si="92"/>
        <v>22795</v>
      </c>
      <c r="P505" s="38">
        <f t="shared" si="93"/>
        <v>1048570</v>
      </c>
      <c r="Q505" s="12" t="s">
        <v>1820</v>
      </c>
      <c r="AC505" s="35">
        <f>G505*H505</f>
        <v>62882</v>
      </c>
      <c r="AE505" s="35">
        <f>L505</f>
        <v>985688</v>
      </c>
    </row>
    <row r="506" spans="1:31" ht="23.1" customHeight="1" x14ac:dyDescent="0.15">
      <c r="A506" s="13" t="s">
        <v>1836</v>
      </c>
      <c r="B506" s="13" t="s">
        <v>3045</v>
      </c>
      <c r="C506" s="13" t="s">
        <v>1837</v>
      </c>
      <c r="D506" s="12" t="s">
        <v>260</v>
      </c>
      <c r="E506" s="12" t="s">
        <v>267</v>
      </c>
      <c r="F506" s="31" t="s">
        <v>200</v>
      </c>
      <c r="G506" s="15">
        <v>15</v>
      </c>
      <c r="H506" s="38">
        <f>일대목차!I51</f>
        <v>1321</v>
      </c>
      <c r="I506" s="57">
        <f t="shared" si="89"/>
        <v>19815</v>
      </c>
      <c r="J506" s="38">
        <v>15</v>
      </c>
      <c r="K506" s="38">
        <f>일대목차!L51</f>
        <v>29557</v>
      </c>
      <c r="L506" s="57">
        <f t="shared" si="90"/>
        <v>443355</v>
      </c>
      <c r="M506" s="38">
        <f>일대목차!N51</f>
        <v>0</v>
      </c>
      <c r="N506" s="57">
        <f t="shared" si="91"/>
        <v>0</v>
      </c>
      <c r="O506" s="38">
        <f t="shared" si="92"/>
        <v>30878</v>
      </c>
      <c r="P506" s="38">
        <f t="shared" si="93"/>
        <v>463170</v>
      </c>
      <c r="Q506" s="12" t="s">
        <v>1838</v>
      </c>
      <c r="AE506" s="35">
        <f>L506</f>
        <v>443355</v>
      </c>
    </row>
    <row r="507" spans="1:31" ht="23.1" customHeight="1" x14ac:dyDescent="0.15">
      <c r="A507" s="13" t="s">
        <v>1842</v>
      </c>
      <c r="B507" s="13" t="s">
        <v>3045</v>
      </c>
      <c r="C507" s="13" t="s">
        <v>1843</v>
      </c>
      <c r="D507" s="12" t="s">
        <v>269</v>
      </c>
      <c r="E507" s="12" t="s">
        <v>272</v>
      </c>
      <c r="F507" s="31" t="s">
        <v>200</v>
      </c>
      <c r="G507" s="15">
        <v>12</v>
      </c>
      <c r="H507" s="38">
        <f>일대목차!I53</f>
        <v>1711</v>
      </c>
      <c r="I507" s="57">
        <f t="shared" si="89"/>
        <v>20532</v>
      </c>
      <c r="J507" s="38">
        <v>12</v>
      </c>
      <c r="K507" s="38">
        <f>일대목차!L53</f>
        <v>49261</v>
      </c>
      <c r="L507" s="57">
        <f t="shared" si="90"/>
        <v>591132</v>
      </c>
      <c r="M507" s="38">
        <f>일대목차!N53</f>
        <v>0</v>
      </c>
      <c r="N507" s="57">
        <f t="shared" si="91"/>
        <v>0</v>
      </c>
      <c r="O507" s="38">
        <f t="shared" si="92"/>
        <v>50972</v>
      </c>
      <c r="P507" s="38">
        <f t="shared" si="93"/>
        <v>611664</v>
      </c>
      <c r="Q507" s="12" t="s">
        <v>1844</v>
      </c>
      <c r="AE507" s="35">
        <f>L507</f>
        <v>591132</v>
      </c>
    </row>
    <row r="508" spans="1:31" ht="23.1" customHeight="1" x14ac:dyDescent="0.15">
      <c r="A508" s="13" t="s">
        <v>1070</v>
      </c>
      <c r="B508" s="13" t="s">
        <v>3045</v>
      </c>
      <c r="C508" s="13" t="s">
        <v>279</v>
      </c>
      <c r="D508" s="12" t="s">
        <v>277</v>
      </c>
      <c r="E508" s="12" t="s">
        <v>280</v>
      </c>
      <c r="F508" s="31" t="s">
        <v>200</v>
      </c>
      <c r="G508" s="15">
        <v>15</v>
      </c>
      <c r="H508" s="38">
        <f>합산자재!H46</f>
        <v>293</v>
      </c>
      <c r="I508" s="57">
        <f t="shared" si="89"/>
        <v>4395</v>
      </c>
      <c r="J508" s="38">
        <v>15</v>
      </c>
      <c r="K508" s="38">
        <f>합산자재!I46</f>
        <v>0</v>
      </c>
      <c r="L508" s="57">
        <f t="shared" si="90"/>
        <v>0</v>
      </c>
      <c r="M508" s="38">
        <f>합산자재!J46</f>
        <v>0</v>
      </c>
      <c r="N508" s="57">
        <f t="shared" si="91"/>
        <v>0</v>
      </c>
      <c r="O508" s="38">
        <f t="shared" si="92"/>
        <v>293</v>
      </c>
      <c r="P508" s="38">
        <f t="shared" si="93"/>
        <v>4395</v>
      </c>
      <c r="Q508" s="12"/>
    </row>
    <row r="509" spans="1:31" ht="23.1" customHeight="1" x14ac:dyDescent="0.15">
      <c r="A509" s="13" t="s">
        <v>1857</v>
      </c>
      <c r="B509" s="13" t="s">
        <v>3045</v>
      </c>
      <c r="C509" s="13" t="s">
        <v>1858</v>
      </c>
      <c r="D509" s="12" t="s">
        <v>291</v>
      </c>
      <c r="E509" s="12" t="s">
        <v>294</v>
      </c>
      <c r="F509" s="31" t="s">
        <v>200</v>
      </c>
      <c r="G509" s="15">
        <v>7</v>
      </c>
      <c r="H509" s="38">
        <f>일대목차!I58</f>
        <v>5563</v>
      </c>
      <c r="I509" s="57">
        <f t="shared" si="89"/>
        <v>38941</v>
      </c>
      <c r="J509" s="38">
        <v>7</v>
      </c>
      <c r="K509" s="38">
        <f>일대목차!L58</f>
        <v>135469</v>
      </c>
      <c r="L509" s="57">
        <f t="shared" si="90"/>
        <v>948283</v>
      </c>
      <c r="M509" s="38">
        <f>일대목차!N58</f>
        <v>0</v>
      </c>
      <c r="N509" s="57">
        <f t="shared" si="91"/>
        <v>0</v>
      </c>
      <c r="O509" s="38">
        <f t="shared" si="92"/>
        <v>141032</v>
      </c>
      <c r="P509" s="38">
        <f t="shared" si="93"/>
        <v>987224</v>
      </c>
      <c r="Q509" s="12" t="s">
        <v>1859</v>
      </c>
      <c r="AE509" s="35">
        <f t="shared" ref="AE509:AE517" si="94">L509</f>
        <v>948283</v>
      </c>
    </row>
    <row r="510" spans="1:31" ht="23.1" customHeight="1" x14ac:dyDescent="0.15">
      <c r="A510" s="13" t="s">
        <v>1906</v>
      </c>
      <c r="B510" s="13" t="s">
        <v>3045</v>
      </c>
      <c r="C510" s="13" t="s">
        <v>1907</v>
      </c>
      <c r="D510" s="12" t="s">
        <v>397</v>
      </c>
      <c r="E510" s="12" t="s">
        <v>406</v>
      </c>
      <c r="F510" s="31" t="s">
        <v>166</v>
      </c>
      <c r="G510" s="15">
        <v>328</v>
      </c>
      <c r="H510" s="38">
        <f>일대목차!I74</f>
        <v>879</v>
      </c>
      <c r="I510" s="57">
        <f t="shared" si="89"/>
        <v>288312</v>
      </c>
      <c r="J510" s="38">
        <v>328</v>
      </c>
      <c r="K510" s="38">
        <f>일대목차!L74</f>
        <v>2353</v>
      </c>
      <c r="L510" s="57">
        <f t="shared" si="90"/>
        <v>771784</v>
      </c>
      <c r="M510" s="38">
        <f>일대목차!N74</f>
        <v>0</v>
      </c>
      <c r="N510" s="57">
        <f t="shared" si="91"/>
        <v>0</v>
      </c>
      <c r="O510" s="38">
        <f t="shared" si="92"/>
        <v>3232</v>
      </c>
      <c r="P510" s="38">
        <f t="shared" si="93"/>
        <v>1060096</v>
      </c>
      <c r="Q510" s="12" t="s">
        <v>1908</v>
      </c>
      <c r="AC510" s="35">
        <f>G510*H510</f>
        <v>288312</v>
      </c>
      <c r="AE510" s="35">
        <f t="shared" si="94"/>
        <v>771784</v>
      </c>
    </row>
    <row r="511" spans="1:31" ht="23.1" customHeight="1" x14ac:dyDescent="0.15">
      <c r="A511" s="13" t="s">
        <v>1909</v>
      </c>
      <c r="B511" s="13" t="s">
        <v>3045</v>
      </c>
      <c r="C511" s="13" t="s">
        <v>1910</v>
      </c>
      <c r="D511" s="12" t="s">
        <v>408</v>
      </c>
      <c r="E511" s="12" t="s">
        <v>409</v>
      </c>
      <c r="F511" s="31" t="s">
        <v>166</v>
      </c>
      <c r="G511" s="15">
        <v>142</v>
      </c>
      <c r="H511" s="38">
        <f>일대목차!I75</f>
        <v>1066</v>
      </c>
      <c r="I511" s="57">
        <f t="shared" si="89"/>
        <v>151372</v>
      </c>
      <c r="J511" s="38">
        <v>142</v>
      </c>
      <c r="K511" s="38">
        <f>일대목차!L75</f>
        <v>2463</v>
      </c>
      <c r="L511" s="57">
        <f t="shared" si="90"/>
        <v>349746</v>
      </c>
      <c r="M511" s="38">
        <f>일대목차!N75</f>
        <v>0</v>
      </c>
      <c r="N511" s="57">
        <f t="shared" si="91"/>
        <v>0</v>
      </c>
      <c r="O511" s="38">
        <f t="shared" si="92"/>
        <v>3529</v>
      </c>
      <c r="P511" s="38">
        <f t="shared" si="93"/>
        <v>501118</v>
      </c>
      <c r="Q511" s="12" t="s">
        <v>1911</v>
      </c>
      <c r="AC511" s="35">
        <f>G511*H511</f>
        <v>151372</v>
      </c>
      <c r="AE511" s="35">
        <f t="shared" si="94"/>
        <v>349746</v>
      </c>
    </row>
    <row r="512" spans="1:31" ht="23.1" customHeight="1" x14ac:dyDescent="0.15">
      <c r="A512" s="13" t="s">
        <v>1951</v>
      </c>
      <c r="B512" s="13" t="s">
        <v>3045</v>
      </c>
      <c r="C512" s="13" t="s">
        <v>1952</v>
      </c>
      <c r="D512" s="12" t="s">
        <v>445</v>
      </c>
      <c r="E512" s="12" t="s">
        <v>446</v>
      </c>
      <c r="F512" s="31" t="s">
        <v>166</v>
      </c>
      <c r="G512" s="15">
        <v>21</v>
      </c>
      <c r="H512" s="38">
        <f>일대목차!I89</f>
        <v>2308</v>
      </c>
      <c r="I512" s="57">
        <f t="shared" si="89"/>
        <v>48468</v>
      </c>
      <c r="J512" s="38">
        <v>21</v>
      </c>
      <c r="K512" s="38">
        <f>일대목차!L89</f>
        <v>4866</v>
      </c>
      <c r="L512" s="57">
        <f t="shared" si="90"/>
        <v>102186</v>
      </c>
      <c r="M512" s="38">
        <f>일대목차!N89</f>
        <v>0</v>
      </c>
      <c r="N512" s="57">
        <f t="shared" si="91"/>
        <v>0</v>
      </c>
      <c r="O512" s="38">
        <f t="shared" si="92"/>
        <v>7174</v>
      </c>
      <c r="P512" s="38">
        <f t="shared" si="93"/>
        <v>150654</v>
      </c>
      <c r="Q512" s="12" t="s">
        <v>1953</v>
      </c>
      <c r="AC512" s="35">
        <f>G512*H512</f>
        <v>48468</v>
      </c>
      <c r="AE512" s="35">
        <f t="shared" si="94"/>
        <v>102186</v>
      </c>
    </row>
    <row r="513" spans="1:31" ht="23.1" customHeight="1" x14ac:dyDescent="0.15">
      <c r="A513" s="13" t="s">
        <v>1960</v>
      </c>
      <c r="B513" s="13" t="s">
        <v>3045</v>
      </c>
      <c r="C513" s="13" t="s">
        <v>1961</v>
      </c>
      <c r="D513" s="12" t="s">
        <v>445</v>
      </c>
      <c r="E513" s="12" t="s">
        <v>452</v>
      </c>
      <c r="F513" s="31" t="s">
        <v>166</v>
      </c>
      <c r="G513" s="15">
        <v>120</v>
      </c>
      <c r="H513" s="38">
        <f>일대목차!I92</f>
        <v>3073</v>
      </c>
      <c r="I513" s="57">
        <f t="shared" si="89"/>
        <v>368760</v>
      </c>
      <c r="J513" s="38">
        <v>120</v>
      </c>
      <c r="K513" s="38">
        <f>일대목차!L92</f>
        <v>6691</v>
      </c>
      <c r="L513" s="57">
        <f t="shared" si="90"/>
        <v>802920</v>
      </c>
      <c r="M513" s="38">
        <f>일대목차!N92</f>
        <v>0</v>
      </c>
      <c r="N513" s="57">
        <f t="shared" si="91"/>
        <v>0</v>
      </c>
      <c r="O513" s="38">
        <f t="shared" si="92"/>
        <v>9764</v>
      </c>
      <c r="P513" s="38">
        <f t="shared" si="93"/>
        <v>1171680</v>
      </c>
      <c r="Q513" s="12" t="s">
        <v>1962</v>
      </c>
      <c r="AC513" s="35">
        <f>G513*H513</f>
        <v>368760</v>
      </c>
      <c r="AE513" s="35">
        <f t="shared" si="94"/>
        <v>802920</v>
      </c>
    </row>
    <row r="514" spans="1:31" ht="23.1" customHeight="1" x14ac:dyDescent="0.15">
      <c r="A514" s="13" t="s">
        <v>1680</v>
      </c>
      <c r="B514" s="13" t="s">
        <v>3045</v>
      </c>
      <c r="C514" s="13" t="s">
        <v>1681</v>
      </c>
      <c r="D514" s="12" t="s">
        <v>1674</v>
      </c>
      <c r="E514" s="12" t="s">
        <v>1683</v>
      </c>
      <c r="F514" s="31" t="s">
        <v>792</v>
      </c>
      <c r="G514" s="15">
        <v>11</v>
      </c>
      <c r="H514" s="38">
        <f>일대목차!I8</f>
        <v>19561</v>
      </c>
      <c r="I514" s="57">
        <f t="shared" si="89"/>
        <v>215171</v>
      </c>
      <c r="J514" s="38">
        <v>11</v>
      </c>
      <c r="K514" s="38">
        <f>일대목차!L8</f>
        <v>9852</v>
      </c>
      <c r="L514" s="57">
        <f t="shared" si="90"/>
        <v>108372</v>
      </c>
      <c r="M514" s="38">
        <f>일대목차!N8</f>
        <v>0</v>
      </c>
      <c r="N514" s="57">
        <f t="shared" si="91"/>
        <v>0</v>
      </c>
      <c r="O514" s="38">
        <f t="shared" si="92"/>
        <v>29413</v>
      </c>
      <c r="P514" s="38">
        <f t="shared" si="93"/>
        <v>323543</v>
      </c>
      <c r="Q514" s="12" t="s">
        <v>1682</v>
      </c>
      <c r="AE514" s="35">
        <f t="shared" si="94"/>
        <v>108372</v>
      </c>
    </row>
    <row r="515" spans="1:31" ht="23.1" customHeight="1" x14ac:dyDescent="0.15">
      <c r="A515" s="13" t="s">
        <v>1684</v>
      </c>
      <c r="B515" s="13" t="s">
        <v>3045</v>
      </c>
      <c r="C515" s="13" t="s">
        <v>1685</v>
      </c>
      <c r="D515" s="12" t="s">
        <v>1674</v>
      </c>
      <c r="E515" s="12" t="s">
        <v>1687</v>
      </c>
      <c r="F515" s="31" t="s">
        <v>792</v>
      </c>
      <c r="G515" s="15">
        <v>43</v>
      </c>
      <c r="H515" s="38">
        <f>일대목차!I9</f>
        <v>19585</v>
      </c>
      <c r="I515" s="57">
        <f t="shared" si="89"/>
        <v>842155</v>
      </c>
      <c r="J515" s="38">
        <v>43</v>
      </c>
      <c r="K515" s="38">
        <f>일대목차!L9</f>
        <v>9852</v>
      </c>
      <c r="L515" s="57">
        <f t="shared" si="90"/>
        <v>423636</v>
      </c>
      <c r="M515" s="38">
        <f>일대목차!N9</f>
        <v>0</v>
      </c>
      <c r="N515" s="57">
        <f t="shared" si="91"/>
        <v>0</v>
      </c>
      <c r="O515" s="38">
        <f t="shared" si="92"/>
        <v>29437</v>
      </c>
      <c r="P515" s="38">
        <f t="shared" si="93"/>
        <v>1265791</v>
      </c>
      <c r="Q515" s="12" t="s">
        <v>1686</v>
      </c>
      <c r="AE515" s="35">
        <f t="shared" si="94"/>
        <v>423636</v>
      </c>
    </row>
    <row r="516" spans="1:31" ht="23.1" customHeight="1" x14ac:dyDescent="0.15">
      <c r="A516" s="13" t="s">
        <v>2107</v>
      </c>
      <c r="B516" s="13" t="s">
        <v>3045</v>
      </c>
      <c r="C516" s="13" t="s">
        <v>2108</v>
      </c>
      <c r="D516" s="12" t="s">
        <v>656</v>
      </c>
      <c r="E516" s="12" t="s">
        <v>662</v>
      </c>
      <c r="F516" s="31" t="s">
        <v>166</v>
      </c>
      <c r="G516" s="15">
        <v>17</v>
      </c>
      <c r="H516" s="38">
        <f>일대목차!I141</f>
        <v>5334</v>
      </c>
      <c r="I516" s="57">
        <f t="shared" si="89"/>
        <v>90678</v>
      </c>
      <c r="J516" s="38">
        <v>17</v>
      </c>
      <c r="K516" s="38">
        <f>일대목차!L141</f>
        <v>23645</v>
      </c>
      <c r="L516" s="57">
        <f t="shared" si="90"/>
        <v>401965</v>
      </c>
      <c r="M516" s="38">
        <f>일대목차!N141</f>
        <v>0</v>
      </c>
      <c r="N516" s="57">
        <f t="shared" si="91"/>
        <v>0</v>
      </c>
      <c r="O516" s="38">
        <f t="shared" si="92"/>
        <v>28979</v>
      </c>
      <c r="P516" s="38">
        <f t="shared" si="93"/>
        <v>492643</v>
      </c>
      <c r="Q516" s="12" t="s">
        <v>2109</v>
      </c>
      <c r="AB516" s="35">
        <f>I516</f>
        <v>90678</v>
      </c>
      <c r="AC516" s="35">
        <f>G516*H516</f>
        <v>90678</v>
      </c>
      <c r="AE516" s="35">
        <f t="shared" si="94"/>
        <v>401965</v>
      </c>
    </row>
    <row r="517" spans="1:31" ht="23.1" customHeight="1" x14ac:dyDescent="0.15">
      <c r="A517" s="13" t="s">
        <v>2110</v>
      </c>
      <c r="B517" s="13" t="s">
        <v>3045</v>
      </c>
      <c r="C517" s="13" t="s">
        <v>2111</v>
      </c>
      <c r="D517" s="12" t="s">
        <v>656</v>
      </c>
      <c r="E517" s="12" t="s">
        <v>664</v>
      </c>
      <c r="F517" s="31" t="s">
        <v>166</v>
      </c>
      <c r="G517" s="15">
        <v>66</v>
      </c>
      <c r="H517" s="38">
        <f>일대목차!I142</f>
        <v>6369</v>
      </c>
      <c r="I517" s="57">
        <f t="shared" si="89"/>
        <v>420354</v>
      </c>
      <c r="J517" s="38">
        <v>66</v>
      </c>
      <c r="K517" s="38">
        <f>일대목차!L142</f>
        <v>29557</v>
      </c>
      <c r="L517" s="57">
        <f t="shared" si="90"/>
        <v>1950762</v>
      </c>
      <c r="M517" s="38">
        <f>일대목차!N142</f>
        <v>0</v>
      </c>
      <c r="N517" s="57">
        <f t="shared" si="91"/>
        <v>0</v>
      </c>
      <c r="O517" s="38">
        <f t="shared" si="92"/>
        <v>35926</v>
      </c>
      <c r="P517" s="38">
        <f t="shared" si="93"/>
        <v>2371116</v>
      </c>
      <c r="Q517" s="12" t="s">
        <v>2112</v>
      </c>
      <c r="AB517" s="35">
        <f>I517</f>
        <v>420354</v>
      </c>
      <c r="AC517" s="35">
        <f>G517*H517</f>
        <v>420354</v>
      </c>
      <c r="AE517" s="35">
        <f t="shared" si="94"/>
        <v>1950762</v>
      </c>
    </row>
    <row r="518" spans="1:31" ht="23.1" customHeight="1" x14ac:dyDescent="0.15">
      <c r="A518" s="13" t="s">
        <v>1209</v>
      </c>
      <c r="B518" s="13" t="s">
        <v>3045</v>
      </c>
      <c r="C518" s="13" t="s">
        <v>676</v>
      </c>
      <c r="D518" s="12" t="s">
        <v>672</v>
      </c>
      <c r="E518" s="12" t="s">
        <v>677</v>
      </c>
      <c r="F518" s="31" t="s">
        <v>200</v>
      </c>
      <c r="G518" s="15">
        <v>4</v>
      </c>
      <c r="H518" s="38">
        <f>합산자재!H185</f>
        <v>1246</v>
      </c>
      <c r="I518" s="57">
        <f t="shared" si="89"/>
        <v>4984</v>
      </c>
      <c r="J518" s="38">
        <v>4</v>
      </c>
      <c r="K518" s="38">
        <f>합산자재!I185</f>
        <v>0</v>
      </c>
      <c r="L518" s="57">
        <f t="shared" si="90"/>
        <v>0</v>
      </c>
      <c r="M518" s="38">
        <f>합산자재!J185</f>
        <v>0</v>
      </c>
      <c r="N518" s="57">
        <f t="shared" si="91"/>
        <v>0</v>
      </c>
      <c r="O518" s="38">
        <f t="shared" si="92"/>
        <v>1246</v>
      </c>
      <c r="P518" s="38">
        <f t="shared" si="93"/>
        <v>4984</v>
      </c>
      <c r="Q518" s="12"/>
    </row>
    <row r="519" spans="1:31" ht="23.1" customHeight="1" x14ac:dyDescent="0.15">
      <c r="A519" s="13" t="s">
        <v>1210</v>
      </c>
      <c r="B519" s="13" t="s">
        <v>3045</v>
      </c>
      <c r="C519" s="13" t="s">
        <v>678</v>
      </c>
      <c r="D519" s="12" t="s">
        <v>672</v>
      </c>
      <c r="E519" s="12" t="s">
        <v>679</v>
      </c>
      <c r="F519" s="31" t="s">
        <v>200</v>
      </c>
      <c r="G519" s="15">
        <v>17</v>
      </c>
      <c r="H519" s="38">
        <f>합산자재!H186</f>
        <v>1811</v>
      </c>
      <c r="I519" s="57">
        <f t="shared" si="89"/>
        <v>30787</v>
      </c>
      <c r="J519" s="38">
        <v>17</v>
      </c>
      <c r="K519" s="38">
        <f>합산자재!I186</f>
        <v>0</v>
      </c>
      <c r="L519" s="57">
        <f t="shared" si="90"/>
        <v>0</v>
      </c>
      <c r="M519" s="38">
        <f>합산자재!J186</f>
        <v>0</v>
      </c>
      <c r="N519" s="57">
        <f t="shared" si="91"/>
        <v>0</v>
      </c>
      <c r="O519" s="38">
        <f t="shared" si="92"/>
        <v>1811</v>
      </c>
      <c r="P519" s="38">
        <f t="shared" si="93"/>
        <v>30787</v>
      </c>
      <c r="Q519" s="12"/>
    </row>
    <row r="520" spans="1:31" ht="23.1" customHeight="1" x14ac:dyDescent="0.15">
      <c r="A520" s="13" t="s">
        <v>1216</v>
      </c>
      <c r="B520" s="13" t="s">
        <v>3045</v>
      </c>
      <c r="C520" s="13" t="s">
        <v>690</v>
      </c>
      <c r="D520" s="12" t="s">
        <v>672</v>
      </c>
      <c r="E520" s="12" t="s">
        <v>691</v>
      </c>
      <c r="F520" s="31" t="s">
        <v>200</v>
      </c>
      <c r="G520" s="15">
        <v>2</v>
      </c>
      <c r="H520" s="38">
        <f>합산자재!H192</f>
        <v>1513</v>
      </c>
      <c r="I520" s="57">
        <f t="shared" si="89"/>
        <v>3026</v>
      </c>
      <c r="J520" s="38">
        <v>2</v>
      </c>
      <c r="K520" s="38">
        <f>합산자재!I192</f>
        <v>0</v>
      </c>
      <c r="L520" s="57">
        <f t="shared" si="90"/>
        <v>0</v>
      </c>
      <c r="M520" s="38">
        <f>합산자재!J192</f>
        <v>0</v>
      </c>
      <c r="N520" s="57">
        <f t="shared" si="91"/>
        <v>0</v>
      </c>
      <c r="O520" s="38">
        <f t="shared" si="92"/>
        <v>1513</v>
      </c>
      <c r="P520" s="38">
        <f t="shared" si="93"/>
        <v>3026</v>
      </c>
      <c r="Q520" s="12"/>
    </row>
    <row r="521" spans="1:31" ht="23.1" customHeight="1" x14ac:dyDescent="0.15">
      <c r="A521" s="13" t="s">
        <v>1217</v>
      </c>
      <c r="B521" s="13" t="s">
        <v>3045</v>
      </c>
      <c r="C521" s="13" t="s">
        <v>692</v>
      </c>
      <c r="D521" s="12" t="s">
        <v>672</v>
      </c>
      <c r="E521" s="12" t="s">
        <v>693</v>
      </c>
      <c r="F521" s="31" t="s">
        <v>200</v>
      </c>
      <c r="G521" s="15">
        <v>8</v>
      </c>
      <c r="H521" s="38">
        <f>합산자재!H193</f>
        <v>1983</v>
      </c>
      <c r="I521" s="57">
        <f t="shared" si="89"/>
        <v>15864</v>
      </c>
      <c r="J521" s="38">
        <v>8</v>
      </c>
      <c r="K521" s="38">
        <f>합산자재!I193</f>
        <v>0</v>
      </c>
      <c r="L521" s="57">
        <f t="shared" si="90"/>
        <v>0</v>
      </c>
      <c r="M521" s="38">
        <f>합산자재!J193</f>
        <v>0</v>
      </c>
      <c r="N521" s="57">
        <f t="shared" si="91"/>
        <v>0</v>
      </c>
      <c r="O521" s="38">
        <f t="shared" si="92"/>
        <v>1983</v>
      </c>
      <c r="P521" s="38">
        <f t="shared" si="93"/>
        <v>15864</v>
      </c>
      <c r="Q521" s="12"/>
    </row>
    <row r="522" spans="1:31" ht="23.1" customHeight="1" x14ac:dyDescent="0.15">
      <c r="A522" s="13" t="s">
        <v>1221</v>
      </c>
      <c r="B522" s="13" t="s">
        <v>3045</v>
      </c>
      <c r="C522" s="13" t="s">
        <v>700</v>
      </c>
      <c r="D522" s="12" t="s">
        <v>701</v>
      </c>
      <c r="E522" s="12" t="s">
        <v>662</v>
      </c>
      <c r="F522" s="31" t="s">
        <v>200</v>
      </c>
      <c r="G522" s="15">
        <v>3</v>
      </c>
      <c r="H522" s="38">
        <f>합산자재!H197</f>
        <v>3467</v>
      </c>
      <c r="I522" s="57">
        <f t="shared" si="89"/>
        <v>10401</v>
      </c>
      <c r="J522" s="38">
        <v>3</v>
      </c>
      <c r="K522" s="38">
        <f>합산자재!I197</f>
        <v>0</v>
      </c>
      <c r="L522" s="57">
        <f t="shared" si="90"/>
        <v>0</v>
      </c>
      <c r="M522" s="38">
        <f>합산자재!J197</f>
        <v>0</v>
      </c>
      <c r="N522" s="57">
        <f t="shared" si="91"/>
        <v>0</v>
      </c>
      <c r="O522" s="38">
        <f t="shared" si="92"/>
        <v>3467</v>
      </c>
      <c r="P522" s="38">
        <f t="shared" si="93"/>
        <v>10401</v>
      </c>
      <c r="Q522" s="12"/>
    </row>
    <row r="523" spans="1:31" ht="23.1" customHeight="1" x14ac:dyDescent="0.15">
      <c r="A523" s="13" t="s">
        <v>1222</v>
      </c>
      <c r="B523" s="13" t="s">
        <v>3045</v>
      </c>
      <c r="C523" s="13" t="s">
        <v>702</v>
      </c>
      <c r="D523" s="12" t="s">
        <v>701</v>
      </c>
      <c r="E523" s="12" t="s">
        <v>664</v>
      </c>
      <c r="F523" s="31" t="s">
        <v>200</v>
      </c>
      <c r="G523" s="15">
        <v>12</v>
      </c>
      <c r="H523" s="38">
        <f>합산자재!H198</f>
        <v>4640</v>
      </c>
      <c r="I523" s="57">
        <f t="shared" si="89"/>
        <v>55680</v>
      </c>
      <c r="J523" s="38">
        <v>12</v>
      </c>
      <c r="K523" s="38">
        <f>합산자재!I198</f>
        <v>0</v>
      </c>
      <c r="L523" s="57">
        <f t="shared" si="90"/>
        <v>0</v>
      </c>
      <c r="M523" s="38">
        <f>합산자재!J198</f>
        <v>0</v>
      </c>
      <c r="N523" s="57">
        <f t="shared" si="91"/>
        <v>0</v>
      </c>
      <c r="O523" s="38">
        <f t="shared" si="92"/>
        <v>4640</v>
      </c>
      <c r="P523" s="38">
        <f t="shared" si="93"/>
        <v>55680</v>
      </c>
      <c r="Q523" s="12"/>
    </row>
    <row r="524" spans="1:31" ht="23.1" customHeight="1" x14ac:dyDescent="0.15">
      <c r="D524" s="12"/>
      <c r="E524" s="12"/>
      <c r="F524" s="31"/>
      <c r="G524" s="15"/>
      <c r="H524" s="38"/>
      <c r="I524" s="57"/>
      <c r="J524" s="38"/>
      <c r="K524" s="38"/>
      <c r="L524" s="57"/>
      <c r="M524" s="38"/>
      <c r="N524" s="57"/>
      <c r="O524" s="38"/>
      <c r="P524" s="38"/>
      <c r="Q524" s="12"/>
      <c r="AE524" s="35">
        <f>TRUNC(SUM(AE498:AE523))</f>
        <v>9612794</v>
      </c>
    </row>
    <row r="525" spans="1:31" ht="23.1" customHeight="1" x14ac:dyDescent="0.15">
      <c r="D525" s="12"/>
      <c r="E525" s="12"/>
      <c r="F525" s="31"/>
      <c r="G525" s="15"/>
      <c r="H525" s="38"/>
      <c r="I525" s="57"/>
      <c r="J525" s="38"/>
      <c r="K525" s="38"/>
      <c r="L525" s="57"/>
      <c r="M525" s="38"/>
      <c r="N525" s="57"/>
      <c r="O525" s="38"/>
      <c r="P525" s="38"/>
      <c r="Q525" s="12"/>
    </row>
    <row r="526" spans="1:31" ht="23.1" customHeight="1" x14ac:dyDescent="0.15">
      <c r="D526" s="12"/>
      <c r="E526" s="12"/>
      <c r="F526" s="31"/>
      <c r="G526" s="15"/>
      <c r="H526" s="38"/>
      <c r="I526" s="57"/>
      <c r="J526" s="38"/>
      <c r="K526" s="38"/>
      <c r="L526" s="57"/>
      <c r="M526" s="38"/>
      <c r="N526" s="57"/>
      <c r="O526" s="38"/>
      <c r="P526" s="38"/>
      <c r="Q526" s="12"/>
    </row>
    <row r="527" spans="1:31" ht="23.1" customHeight="1" x14ac:dyDescent="0.15">
      <c r="D527" s="12"/>
      <c r="E527" s="12"/>
      <c r="F527" s="31"/>
      <c r="G527" s="15"/>
      <c r="H527" s="38"/>
      <c r="I527" s="57"/>
      <c r="J527" s="38"/>
      <c r="K527" s="38"/>
      <c r="L527" s="57"/>
      <c r="M527" s="38"/>
      <c r="N527" s="57"/>
      <c r="O527" s="38"/>
      <c r="P527" s="38"/>
      <c r="Q527" s="12"/>
    </row>
    <row r="528" spans="1:31" ht="23.1" customHeight="1" x14ac:dyDescent="0.15">
      <c r="D528" s="12"/>
      <c r="E528" s="12"/>
      <c r="F528" s="31"/>
      <c r="G528" s="15"/>
      <c r="H528" s="38"/>
      <c r="I528" s="57"/>
      <c r="J528" s="38"/>
      <c r="K528" s="38"/>
      <c r="L528" s="57"/>
      <c r="M528" s="38"/>
      <c r="N528" s="57"/>
      <c r="O528" s="38"/>
      <c r="P528" s="38"/>
      <c r="Q528" s="12"/>
    </row>
    <row r="529" spans="4:17" ht="23.1" customHeight="1" x14ac:dyDescent="0.15">
      <c r="D529" s="12"/>
      <c r="E529" s="12"/>
      <c r="F529" s="31"/>
      <c r="G529" s="15"/>
      <c r="H529" s="38"/>
      <c r="I529" s="57"/>
      <c r="J529" s="38"/>
      <c r="K529" s="38"/>
      <c r="L529" s="57"/>
      <c r="M529" s="38"/>
      <c r="N529" s="57"/>
      <c r="O529" s="38"/>
      <c r="P529" s="38"/>
      <c r="Q529" s="12"/>
    </row>
    <row r="530" spans="4:17" ht="23.1" customHeight="1" x14ac:dyDescent="0.15">
      <c r="D530" s="12"/>
      <c r="E530" s="12"/>
      <c r="F530" s="31"/>
      <c r="G530" s="15"/>
      <c r="H530" s="38"/>
      <c r="I530" s="57"/>
      <c r="J530" s="38"/>
      <c r="K530" s="38"/>
      <c r="L530" s="57"/>
      <c r="M530" s="38"/>
      <c r="N530" s="57"/>
      <c r="O530" s="38"/>
      <c r="P530" s="38"/>
      <c r="Q530" s="12"/>
    </row>
    <row r="531" spans="4:17" ht="23.1" customHeight="1" x14ac:dyDescent="0.15">
      <c r="D531" s="12"/>
      <c r="E531" s="12"/>
      <c r="F531" s="31"/>
      <c r="G531" s="15"/>
      <c r="H531" s="38"/>
      <c r="I531" s="57"/>
      <c r="J531" s="38"/>
      <c r="K531" s="38"/>
      <c r="L531" s="57"/>
      <c r="M531" s="38"/>
      <c r="N531" s="57"/>
      <c r="O531" s="38"/>
      <c r="P531" s="38"/>
      <c r="Q531" s="12"/>
    </row>
    <row r="532" spans="4:17" ht="23.1" customHeight="1" x14ac:dyDescent="0.15">
      <c r="D532" s="12"/>
      <c r="E532" s="12"/>
      <c r="F532" s="31"/>
      <c r="G532" s="15"/>
      <c r="H532" s="38"/>
      <c r="I532" s="57"/>
      <c r="J532" s="38"/>
      <c r="K532" s="38"/>
      <c r="L532" s="57"/>
      <c r="M532" s="38"/>
      <c r="N532" s="57"/>
      <c r="O532" s="38"/>
      <c r="P532" s="38"/>
      <c r="Q532" s="12"/>
    </row>
    <row r="533" spans="4:17" ht="23.1" customHeight="1" x14ac:dyDescent="0.15">
      <c r="D533" s="12"/>
      <c r="E533" s="12"/>
      <c r="F533" s="31"/>
      <c r="G533" s="15"/>
      <c r="H533" s="38"/>
      <c r="I533" s="57"/>
      <c r="J533" s="38"/>
      <c r="K533" s="38"/>
      <c r="L533" s="57"/>
      <c r="M533" s="38"/>
      <c r="N533" s="57"/>
      <c r="O533" s="38"/>
      <c r="P533" s="38"/>
      <c r="Q533" s="12"/>
    </row>
    <row r="534" spans="4:17" ht="23.1" customHeight="1" x14ac:dyDescent="0.15">
      <c r="D534" s="12"/>
      <c r="E534" s="12"/>
      <c r="F534" s="31"/>
      <c r="G534" s="15"/>
      <c r="H534" s="38"/>
      <c r="I534" s="57"/>
      <c r="J534" s="38"/>
      <c r="K534" s="38"/>
      <c r="L534" s="57"/>
      <c r="M534" s="38"/>
      <c r="N534" s="57"/>
      <c r="O534" s="38"/>
      <c r="P534" s="38"/>
      <c r="Q534" s="12"/>
    </row>
    <row r="535" spans="4:17" ht="23.1" customHeight="1" x14ac:dyDescent="0.15">
      <c r="D535" s="12"/>
      <c r="E535" s="12"/>
      <c r="F535" s="31"/>
      <c r="G535" s="15"/>
      <c r="H535" s="38"/>
      <c r="I535" s="57"/>
      <c r="J535" s="38"/>
      <c r="K535" s="38"/>
      <c r="L535" s="57"/>
      <c r="M535" s="38"/>
      <c r="N535" s="57"/>
      <c r="O535" s="38"/>
      <c r="P535" s="38"/>
      <c r="Q535" s="12"/>
    </row>
    <row r="536" spans="4:17" ht="23.1" customHeight="1" x14ac:dyDescent="0.15">
      <c r="D536" s="12"/>
      <c r="E536" s="12"/>
      <c r="F536" s="31"/>
      <c r="G536" s="15"/>
      <c r="H536" s="38"/>
      <c r="I536" s="57"/>
      <c r="J536" s="38"/>
      <c r="K536" s="38"/>
      <c r="L536" s="57"/>
      <c r="M536" s="38"/>
      <c r="N536" s="57"/>
      <c r="O536" s="38"/>
      <c r="P536" s="38"/>
      <c r="Q536" s="12"/>
    </row>
    <row r="537" spans="4:17" ht="23.1" customHeight="1" x14ac:dyDescent="0.15">
      <c r="D537" s="12"/>
      <c r="E537" s="12"/>
      <c r="F537" s="31"/>
      <c r="G537" s="15"/>
      <c r="H537" s="38"/>
      <c r="I537" s="57"/>
      <c r="J537" s="38"/>
      <c r="K537" s="38"/>
      <c r="L537" s="57"/>
      <c r="M537" s="38"/>
      <c r="N537" s="57"/>
      <c r="O537" s="38"/>
      <c r="P537" s="38"/>
      <c r="Q537" s="12"/>
    </row>
    <row r="538" spans="4:17" ht="23.1" customHeight="1" x14ac:dyDescent="0.15">
      <c r="D538" s="12"/>
      <c r="E538" s="12"/>
      <c r="F538" s="31"/>
      <c r="G538" s="15"/>
      <c r="H538" s="38"/>
      <c r="I538" s="57"/>
      <c r="J538" s="38"/>
      <c r="K538" s="38"/>
      <c r="L538" s="57"/>
      <c r="M538" s="38"/>
      <c r="N538" s="57"/>
      <c r="O538" s="38"/>
      <c r="P538" s="38"/>
      <c r="Q538" s="12"/>
    </row>
    <row r="539" spans="4:17" ht="23.1" customHeight="1" x14ac:dyDescent="0.15">
      <c r="D539" s="12"/>
      <c r="E539" s="12"/>
      <c r="F539" s="31"/>
      <c r="G539" s="15"/>
      <c r="H539" s="38"/>
      <c r="I539" s="57"/>
      <c r="J539" s="38"/>
      <c r="K539" s="38"/>
      <c r="L539" s="57"/>
      <c r="M539" s="38"/>
      <c r="N539" s="57"/>
      <c r="O539" s="38"/>
      <c r="P539" s="38"/>
      <c r="Q539" s="12"/>
    </row>
    <row r="540" spans="4:17" ht="23.1" customHeight="1" x14ac:dyDescent="0.15">
      <c r="D540" s="12"/>
      <c r="E540" s="12"/>
      <c r="F540" s="31"/>
      <c r="G540" s="15"/>
      <c r="H540" s="38"/>
      <c r="I540" s="57"/>
      <c r="J540" s="38"/>
      <c r="K540" s="38"/>
      <c r="L540" s="57"/>
      <c r="M540" s="38"/>
      <c r="N540" s="57"/>
      <c r="O540" s="38"/>
      <c r="P540" s="38"/>
      <c r="Q540" s="12"/>
    </row>
    <row r="541" spans="4:17" ht="23.1" customHeight="1" x14ac:dyDescent="0.15">
      <c r="D541" s="12"/>
      <c r="E541" s="12"/>
      <c r="F541" s="31"/>
      <c r="G541" s="15"/>
      <c r="H541" s="38"/>
      <c r="I541" s="57"/>
      <c r="J541" s="38"/>
      <c r="K541" s="38"/>
      <c r="L541" s="57"/>
      <c r="M541" s="38"/>
      <c r="N541" s="57"/>
      <c r="O541" s="38"/>
      <c r="P541" s="38"/>
      <c r="Q541" s="12"/>
    </row>
    <row r="542" spans="4:17" ht="23.1" customHeight="1" x14ac:dyDescent="0.15">
      <c r="D542" s="12"/>
      <c r="E542" s="12"/>
      <c r="F542" s="31"/>
      <c r="G542" s="15"/>
      <c r="H542" s="38"/>
      <c r="I542" s="57"/>
      <c r="J542" s="38"/>
      <c r="K542" s="38"/>
      <c r="L542" s="57"/>
      <c r="M542" s="38"/>
      <c r="N542" s="57"/>
      <c r="O542" s="38"/>
      <c r="P542" s="38"/>
      <c r="Q542" s="12"/>
    </row>
    <row r="543" spans="4:17" ht="23.1" customHeight="1" x14ac:dyDescent="0.15">
      <c r="D543" s="12"/>
      <c r="E543" s="12"/>
      <c r="F543" s="31"/>
      <c r="G543" s="15"/>
      <c r="H543" s="38"/>
      <c r="I543" s="57"/>
      <c r="J543" s="38"/>
      <c r="K543" s="38"/>
      <c r="L543" s="57"/>
      <c r="M543" s="38"/>
      <c r="N543" s="57"/>
      <c r="O543" s="38"/>
      <c r="P543" s="38"/>
      <c r="Q543" s="12"/>
    </row>
    <row r="544" spans="4:17" ht="23.1" customHeight="1" x14ac:dyDescent="0.15">
      <c r="D544" s="12"/>
      <c r="E544" s="12"/>
      <c r="F544" s="31"/>
      <c r="G544" s="15"/>
      <c r="H544" s="38"/>
      <c r="I544" s="57"/>
      <c r="J544" s="38"/>
      <c r="K544" s="38"/>
      <c r="L544" s="57"/>
      <c r="M544" s="38"/>
      <c r="N544" s="57"/>
      <c r="O544" s="38"/>
      <c r="P544" s="38"/>
      <c r="Q544" s="12"/>
    </row>
    <row r="545" spans="1:31" ht="23.1" customHeight="1" x14ac:dyDescent="0.15">
      <c r="D545" s="12"/>
      <c r="E545" s="12"/>
      <c r="F545" s="31"/>
      <c r="G545" s="15"/>
      <c r="H545" s="38"/>
      <c r="I545" s="57"/>
      <c r="J545" s="38"/>
      <c r="K545" s="38"/>
      <c r="L545" s="57"/>
      <c r="M545" s="38"/>
      <c r="N545" s="57"/>
      <c r="O545" s="38"/>
      <c r="P545" s="38"/>
      <c r="Q545" s="12"/>
    </row>
    <row r="546" spans="1:31" ht="23.1" customHeight="1" x14ac:dyDescent="0.15">
      <c r="D546" s="12"/>
      <c r="E546" s="12"/>
      <c r="F546" s="31"/>
      <c r="G546" s="15"/>
      <c r="H546" s="38"/>
      <c r="I546" s="57"/>
      <c r="J546" s="38"/>
      <c r="K546" s="38"/>
      <c r="L546" s="57"/>
      <c r="M546" s="38"/>
      <c r="N546" s="57"/>
      <c r="O546" s="38"/>
      <c r="P546" s="38"/>
      <c r="Q546" s="12"/>
    </row>
    <row r="547" spans="1:31" ht="23.1" customHeight="1" x14ac:dyDescent="0.15">
      <c r="D547" s="12"/>
      <c r="E547" s="12"/>
      <c r="F547" s="31"/>
      <c r="G547" s="15"/>
      <c r="H547" s="38"/>
      <c r="I547" s="57"/>
      <c r="J547" s="38"/>
      <c r="K547" s="38"/>
      <c r="L547" s="57"/>
      <c r="M547" s="38"/>
      <c r="N547" s="57"/>
      <c r="O547" s="38"/>
      <c r="P547" s="38"/>
      <c r="Q547" s="12"/>
    </row>
    <row r="548" spans="1:31" ht="23.1" customHeight="1" x14ac:dyDescent="0.15">
      <c r="D548" s="12"/>
      <c r="E548" s="12"/>
      <c r="F548" s="31"/>
      <c r="G548" s="15"/>
      <c r="H548" s="38"/>
      <c r="I548" s="57"/>
      <c r="J548" s="38"/>
      <c r="K548" s="38"/>
      <c r="L548" s="57"/>
      <c r="M548" s="38"/>
      <c r="N548" s="57"/>
      <c r="O548" s="38"/>
      <c r="P548" s="38"/>
      <c r="Q548" s="12"/>
    </row>
    <row r="549" spans="1:31" ht="23.1" customHeight="1" x14ac:dyDescent="0.15">
      <c r="B549" s="13" t="s">
        <v>2360</v>
      </c>
      <c r="D549" s="12" t="s">
        <v>2361</v>
      </c>
      <c r="E549" s="12"/>
      <c r="F549" s="31"/>
      <c r="G549" s="15"/>
      <c r="H549" s="38"/>
      <c r="I549" s="57">
        <f>TRUNC(SUM(I498:I548))</f>
        <v>2800156</v>
      </c>
      <c r="J549" s="38"/>
      <c r="K549" s="38"/>
      <c r="L549" s="57">
        <f>TRUNC(SUM(L498:L548))</f>
        <v>9612794</v>
      </c>
      <c r="M549" s="38"/>
      <c r="N549" s="57">
        <f>TRUNC(SUM(N498:N548))</f>
        <v>0</v>
      </c>
      <c r="O549" s="38" t="str">
        <f>IF((H549+K549+M549)=0, "", (H549+K549+M549))</f>
        <v/>
      </c>
      <c r="P549" s="38">
        <f>TRUNC(SUM(P498:P548))</f>
        <v>12412950</v>
      </c>
      <c r="Q549" s="12"/>
    </row>
    <row r="550" spans="1:31" ht="23.1" customHeight="1" x14ac:dyDescent="0.15">
      <c r="B550" s="13" t="s">
        <v>1448</v>
      </c>
      <c r="D550" s="170" t="s">
        <v>3179</v>
      </c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2"/>
    </row>
    <row r="551" spans="1:31" ht="23.1" customHeight="1" x14ac:dyDescent="0.15">
      <c r="A551" s="13" t="s">
        <v>1793</v>
      </c>
      <c r="B551" s="13" t="s">
        <v>3046</v>
      </c>
      <c r="C551" s="13" t="s">
        <v>1794</v>
      </c>
      <c r="D551" s="12" t="s">
        <v>178</v>
      </c>
      <c r="E551" s="12" t="s">
        <v>179</v>
      </c>
      <c r="F551" s="31" t="s">
        <v>166</v>
      </c>
      <c r="G551" s="15">
        <v>133</v>
      </c>
      <c r="H551" s="38">
        <f>일대목차!I37</f>
        <v>449</v>
      </c>
      <c r="I551" s="57">
        <f t="shared" ref="I551:I568" si="95">TRUNC(G551*H551)</f>
        <v>59717</v>
      </c>
      <c r="J551" s="38">
        <v>133</v>
      </c>
      <c r="K551" s="38">
        <f>일대목차!L37</f>
        <v>9852</v>
      </c>
      <c r="L551" s="57">
        <f t="shared" ref="L551:L568" si="96">TRUNC(G551*K551)</f>
        <v>1310316</v>
      </c>
      <c r="M551" s="38">
        <f>일대목차!N37</f>
        <v>0</v>
      </c>
      <c r="N551" s="57">
        <f t="shared" ref="N551:N568" si="97">TRUNC(G551*M551)</f>
        <v>0</v>
      </c>
      <c r="O551" s="38">
        <f t="shared" ref="O551:O568" si="98">IF((H551+K551+M551)=0, "", (H551+K551+M551))</f>
        <v>10301</v>
      </c>
      <c r="P551" s="38">
        <f t="shared" ref="P551:P568" si="99">SUM(I551,L551,N551)</f>
        <v>1370033</v>
      </c>
      <c r="Q551" s="12" t="s">
        <v>1795</v>
      </c>
      <c r="AA551" s="35">
        <f>I551</f>
        <v>59717</v>
      </c>
      <c r="AC551" s="35">
        <f>G551*H551</f>
        <v>59717</v>
      </c>
      <c r="AE551" s="35">
        <f>L551</f>
        <v>1310316</v>
      </c>
    </row>
    <row r="552" spans="1:31" ht="23.1" customHeight="1" x14ac:dyDescent="0.15">
      <c r="A552" s="13" t="s">
        <v>1797</v>
      </c>
      <c r="B552" s="13" t="s">
        <v>3046</v>
      </c>
      <c r="C552" s="13" t="s">
        <v>1798</v>
      </c>
      <c r="D552" s="12" t="s">
        <v>178</v>
      </c>
      <c r="E552" s="12" t="s">
        <v>184</v>
      </c>
      <c r="F552" s="31" t="s">
        <v>166</v>
      </c>
      <c r="G552" s="15">
        <v>5</v>
      </c>
      <c r="H552" s="38">
        <f>일대목차!I38</f>
        <v>615</v>
      </c>
      <c r="I552" s="57">
        <f t="shared" si="95"/>
        <v>3075</v>
      </c>
      <c r="J552" s="38">
        <v>5</v>
      </c>
      <c r="K552" s="38">
        <f>일대목차!L38</f>
        <v>11822</v>
      </c>
      <c r="L552" s="57">
        <f t="shared" si="96"/>
        <v>59110</v>
      </c>
      <c r="M552" s="38">
        <f>일대목차!N38</f>
        <v>0</v>
      </c>
      <c r="N552" s="57">
        <f t="shared" si="97"/>
        <v>0</v>
      </c>
      <c r="O552" s="38">
        <f t="shared" si="98"/>
        <v>12437</v>
      </c>
      <c r="P552" s="38">
        <f t="shared" si="99"/>
        <v>62185</v>
      </c>
      <c r="Q552" s="12" t="s">
        <v>1799</v>
      </c>
      <c r="AA552" s="35">
        <f>I552</f>
        <v>3075</v>
      </c>
      <c r="AC552" s="35">
        <f>G552*H552</f>
        <v>3075</v>
      </c>
      <c r="AE552" s="35">
        <f>L552</f>
        <v>59110</v>
      </c>
    </row>
    <row r="553" spans="1:31" ht="23.1" customHeight="1" x14ac:dyDescent="0.15">
      <c r="A553" s="13" t="s">
        <v>1038</v>
      </c>
      <c r="B553" s="13" t="s">
        <v>3046</v>
      </c>
      <c r="C553" s="13" t="s">
        <v>197</v>
      </c>
      <c r="D553" s="12" t="s">
        <v>198</v>
      </c>
      <c r="E553" s="12" t="s">
        <v>199</v>
      </c>
      <c r="F553" s="31" t="s">
        <v>200</v>
      </c>
      <c r="G553" s="15">
        <v>84</v>
      </c>
      <c r="H553" s="38">
        <f>합산자재!H14</f>
        <v>340</v>
      </c>
      <c r="I553" s="57">
        <f t="shared" si="95"/>
        <v>28560</v>
      </c>
      <c r="J553" s="38">
        <v>84</v>
      </c>
      <c r="K553" s="38">
        <f>합산자재!I14</f>
        <v>0</v>
      </c>
      <c r="L553" s="57">
        <f t="shared" si="96"/>
        <v>0</v>
      </c>
      <c r="M553" s="38">
        <f>합산자재!J14</f>
        <v>0</v>
      </c>
      <c r="N553" s="57">
        <f t="shared" si="97"/>
        <v>0</v>
      </c>
      <c r="O553" s="38">
        <f t="shared" si="98"/>
        <v>340</v>
      </c>
      <c r="P553" s="38">
        <f t="shared" si="99"/>
        <v>28560</v>
      </c>
      <c r="Q553" s="12"/>
    </row>
    <row r="554" spans="1:31" ht="23.1" customHeight="1" x14ac:dyDescent="0.15">
      <c r="A554" s="13" t="s">
        <v>1812</v>
      </c>
      <c r="B554" s="13" t="s">
        <v>3046</v>
      </c>
      <c r="C554" s="13" t="s">
        <v>1813</v>
      </c>
      <c r="D554" s="12" t="s">
        <v>198</v>
      </c>
      <c r="E554" s="12" t="s">
        <v>216</v>
      </c>
      <c r="F554" s="31" t="s">
        <v>166</v>
      </c>
      <c r="G554" s="15">
        <v>33</v>
      </c>
      <c r="H554" s="38">
        <f>일대목차!I43</f>
        <v>691</v>
      </c>
      <c r="I554" s="57">
        <f t="shared" si="95"/>
        <v>22803</v>
      </c>
      <c r="J554" s="38">
        <v>33</v>
      </c>
      <c r="K554" s="38">
        <f>일대목차!L43</f>
        <v>10837</v>
      </c>
      <c r="L554" s="57">
        <f t="shared" si="96"/>
        <v>357621</v>
      </c>
      <c r="M554" s="38">
        <f>일대목차!N43</f>
        <v>0</v>
      </c>
      <c r="N554" s="57">
        <f t="shared" si="97"/>
        <v>0</v>
      </c>
      <c r="O554" s="38">
        <f t="shared" si="98"/>
        <v>11528</v>
      </c>
      <c r="P554" s="38">
        <f t="shared" si="99"/>
        <v>380424</v>
      </c>
      <c r="Q554" s="12" t="s">
        <v>1814</v>
      </c>
      <c r="AC554" s="35">
        <f>G554*H554</f>
        <v>22803</v>
      </c>
      <c r="AE554" s="35">
        <f>L554</f>
        <v>357621</v>
      </c>
    </row>
    <row r="555" spans="1:31" ht="23.1" customHeight="1" x14ac:dyDescent="0.15">
      <c r="A555" s="13" t="s">
        <v>1833</v>
      </c>
      <c r="B555" s="13" t="s">
        <v>3046</v>
      </c>
      <c r="C555" s="13" t="s">
        <v>1834</v>
      </c>
      <c r="D555" s="12" t="s">
        <v>260</v>
      </c>
      <c r="E555" s="12" t="s">
        <v>261</v>
      </c>
      <c r="F555" s="31" t="s">
        <v>200</v>
      </c>
      <c r="G555" s="15">
        <v>30</v>
      </c>
      <c r="H555" s="38">
        <f>일대목차!I50</f>
        <v>1218</v>
      </c>
      <c r="I555" s="57">
        <f t="shared" si="95"/>
        <v>36540</v>
      </c>
      <c r="J555" s="38">
        <v>30</v>
      </c>
      <c r="K555" s="38">
        <f>일대목차!L50</f>
        <v>29557</v>
      </c>
      <c r="L555" s="57">
        <f t="shared" si="96"/>
        <v>886710</v>
      </c>
      <c r="M555" s="38">
        <f>일대목차!N50</f>
        <v>0</v>
      </c>
      <c r="N555" s="57">
        <f t="shared" si="97"/>
        <v>0</v>
      </c>
      <c r="O555" s="38">
        <f t="shared" si="98"/>
        <v>30775</v>
      </c>
      <c r="P555" s="38">
        <f t="shared" si="99"/>
        <v>923250</v>
      </c>
      <c r="Q555" s="12" t="s">
        <v>1835</v>
      </c>
      <c r="AE555" s="35">
        <f>L555</f>
        <v>886710</v>
      </c>
    </row>
    <row r="556" spans="1:31" ht="23.1" customHeight="1" x14ac:dyDescent="0.15">
      <c r="A556" s="13" t="s">
        <v>1836</v>
      </c>
      <c r="B556" s="13" t="s">
        <v>3046</v>
      </c>
      <c r="C556" s="13" t="s">
        <v>1837</v>
      </c>
      <c r="D556" s="12" t="s">
        <v>260</v>
      </c>
      <c r="E556" s="12" t="s">
        <v>267</v>
      </c>
      <c r="F556" s="31" t="s">
        <v>200</v>
      </c>
      <c r="G556" s="15">
        <v>14</v>
      </c>
      <c r="H556" s="38">
        <f>일대목차!I51</f>
        <v>1321</v>
      </c>
      <c r="I556" s="57">
        <f t="shared" si="95"/>
        <v>18494</v>
      </c>
      <c r="J556" s="38">
        <v>14</v>
      </c>
      <c r="K556" s="38">
        <f>일대목차!L51</f>
        <v>29557</v>
      </c>
      <c r="L556" s="57">
        <f t="shared" si="96"/>
        <v>413798</v>
      </c>
      <c r="M556" s="38">
        <f>일대목차!N51</f>
        <v>0</v>
      </c>
      <c r="N556" s="57">
        <f t="shared" si="97"/>
        <v>0</v>
      </c>
      <c r="O556" s="38">
        <f t="shared" si="98"/>
        <v>30878</v>
      </c>
      <c r="P556" s="38">
        <f t="shared" si="99"/>
        <v>432292</v>
      </c>
      <c r="Q556" s="12" t="s">
        <v>1838</v>
      </c>
      <c r="AE556" s="35">
        <f>L556</f>
        <v>413798</v>
      </c>
    </row>
    <row r="557" spans="1:31" ht="23.1" customHeight="1" x14ac:dyDescent="0.15">
      <c r="A557" s="13" t="s">
        <v>1839</v>
      </c>
      <c r="B557" s="13" t="s">
        <v>3046</v>
      </c>
      <c r="C557" s="13" t="s">
        <v>1840</v>
      </c>
      <c r="D557" s="12" t="s">
        <v>269</v>
      </c>
      <c r="E557" s="12" t="s">
        <v>270</v>
      </c>
      <c r="F557" s="31" t="s">
        <v>200</v>
      </c>
      <c r="G557" s="15">
        <v>9</v>
      </c>
      <c r="H557" s="38">
        <f>일대목차!I52</f>
        <v>1577</v>
      </c>
      <c r="I557" s="57">
        <f t="shared" si="95"/>
        <v>14193</v>
      </c>
      <c r="J557" s="38">
        <v>9</v>
      </c>
      <c r="K557" s="38">
        <f>일대목차!L52</f>
        <v>49261</v>
      </c>
      <c r="L557" s="57">
        <f t="shared" si="96"/>
        <v>443349</v>
      </c>
      <c r="M557" s="38">
        <f>일대목차!N52</f>
        <v>0</v>
      </c>
      <c r="N557" s="57">
        <f t="shared" si="97"/>
        <v>0</v>
      </c>
      <c r="O557" s="38">
        <f t="shared" si="98"/>
        <v>50838</v>
      </c>
      <c r="P557" s="38">
        <f t="shared" si="99"/>
        <v>457542</v>
      </c>
      <c r="Q557" s="12" t="s">
        <v>1841</v>
      </c>
      <c r="AE557" s="35">
        <f>L557</f>
        <v>443349</v>
      </c>
    </row>
    <row r="558" spans="1:31" ht="23.1" customHeight="1" x14ac:dyDescent="0.15">
      <c r="A558" s="13" t="s">
        <v>1069</v>
      </c>
      <c r="B558" s="13" t="s">
        <v>3046</v>
      </c>
      <c r="C558" s="13" t="s">
        <v>276</v>
      </c>
      <c r="D558" s="12" t="s">
        <v>277</v>
      </c>
      <c r="E558" s="12" t="s">
        <v>278</v>
      </c>
      <c r="F558" s="31" t="s">
        <v>200</v>
      </c>
      <c r="G558" s="15">
        <v>30</v>
      </c>
      <c r="H558" s="38">
        <f>합산자재!H45</f>
        <v>282</v>
      </c>
      <c r="I558" s="57">
        <f t="shared" si="95"/>
        <v>8460</v>
      </c>
      <c r="J558" s="38">
        <v>30</v>
      </c>
      <c r="K558" s="38">
        <f>합산자재!I45</f>
        <v>0</v>
      </c>
      <c r="L558" s="57">
        <f t="shared" si="96"/>
        <v>0</v>
      </c>
      <c r="M558" s="38">
        <f>합산자재!J45</f>
        <v>0</v>
      </c>
      <c r="N558" s="57">
        <f t="shared" si="97"/>
        <v>0</v>
      </c>
      <c r="O558" s="38">
        <f t="shared" si="98"/>
        <v>282</v>
      </c>
      <c r="P558" s="38">
        <f t="shared" si="99"/>
        <v>8460</v>
      </c>
      <c r="Q558" s="12"/>
    </row>
    <row r="559" spans="1:31" ht="23.1" customHeight="1" x14ac:dyDescent="0.15">
      <c r="A559" s="13" t="s">
        <v>1070</v>
      </c>
      <c r="B559" s="13" t="s">
        <v>3046</v>
      </c>
      <c r="C559" s="13" t="s">
        <v>279</v>
      </c>
      <c r="D559" s="12" t="s">
        <v>277</v>
      </c>
      <c r="E559" s="12" t="s">
        <v>280</v>
      </c>
      <c r="F559" s="31" t="s">
        <v>200</v>
      </c>
      <c r="G559" s="15">
        <v>14</v>
      </c>
      <c r="H559" s="38">
        <f>합산자재!H46</f>
        <v>293</v>
      </c>
      <c r="I559" s="57">
        <f t="shared" si="95"/>
        <v>4102</v>
      </c>
      <c r="J559" s="38">
        <v>14</v>
      </c>
      <c r="K559" s="38">
        <f>합산자재!I46</f>
        <v>0</v>
      </c>
      <c r="L559" s="57">
        <f t="shared" si="96"/>
        <v>0</v>
      </c>
      <c r="M559" s="38">
        <f>합산자재!J46</f>
        <v>0</v>
      </c>
      <c r="N559" s="57">
        <f t="shared" si="97"/>
        <v>0</v>
      </c>
      <c r="O559" s="38">
        <f t="shared" si="98"/>
        <v>293</v>
      </c>
      <c r="P559" s="38">
        <f t="shared" si="99"/>
        <v>4102</v>
      </c>
      <c r="Q559" s="12"/>
    </row>
    <row r="560" spans="1:31" ht="23.1" customHeight="1" x14ac:dyDescent="0.15">
      <c r="A560" s="13" t="s">
        <v>1903</v>
      </c>
      <c r="B560" s="13" t="s">
        <v>3046</v>
      </c>
      <c r="C560" s="13" t="s">
        <v>1904</v>
      </c>
      <c r="D560" s="12" t="s">
        <v>397</v>
      </c>
      <c r="E560" s="12" t="s">
        <v>404</v>
      </c>
      <c r="F560" s="31" t="s">
        <v>166</v>
      </c>
      <c r="G560" s="15">
        <v>688</v>
      </c>
      <c r="H560" s="38">
        <f>일대목차!I73</f>
        <v>590</v>
      </c>
      <c r="I560" s="57">
        <f t="shared" si="95"/>
        <v>405920</v>
      </c>
      <c r="J560" s="38">
        <v>688</v>
      </c>
      <c r="K560" s="38">
        <f>일대목차!L73</f>
        <v>2353</v>
      </c>
      <c r="L560" s="57">
        <f t="shared" si="96"/>
        <v>1618864</v>
      </c>
      <c r="M560" s="38">
        <f>일대목차!N73</f>
        <v>0</v>
      </c>
      <c r="N560" s="57">
        <f t="shared" si="97"/>
        <v>0</v>
      </c>
      <c r="O560" s="38">
        <f t="shared" si="98"/>
        <v>2943</v>
      </c>
      <c r="P560" s="38">
        <f t="shared" si="99"/>
        <v>2024784</v>
      </c>
      <c r="Q560" s="12" t="s">
        <v>1905</v>
      </c>
      <c r="AC560" s="35">
        <f>G560*H560</f>
        <v>405920</v>
      </c>
      <c r="AE560" s="35">
        <f t="shared" ref="AE560:AE568" si="100">L560</f>
        <v>1618864</v>
      </c>
    </row>
    <row r="561" spans="1:31" ht="23.1" customHeight="1" x14ac:dyDescent="0.15">
      <c r="A561" s="13" t="s">
        <v>2017</v>
      </c>
      <c r="B561" s="13" t="s">
        <v>3046</v>
      </c>
      <c r="C561" s="13" t="s">
        <v>2018</v>
      </c>
      <c r="D561" s="12" t="s">
        <v>508</v>
      </c>
      <c r="E561" s="12" t="s">
        <v>509</v>
      </c>
      <c r="F561" s="31" t="s">
        <v>200</v>
      </c>
      <c r="G561" s="15">
        <v>3</v>
      </c>
      <c r="H561" s="38">
        <f>일대목차!I111</f>
        <v>1789</v>
      </c>
      <c r="I561" s="57">
        <f t="shared" si="95"/>
        <v>5367</v>
      </c>
      <c r="J561" s="38">
        <v>3</v>
      </c>
      <c r="K561" s="38">
        <f>일대목차!L111</f>
        <v>23262</v>
      </c>
      <c r="L561" s="57">
        <f t="shared" si="96"/>
        <v>69786</v>
      </c>
      <c r="M561" s="38">
        <f>일대목차!N111</f>
        <v>0</v>
      </c>
      <c r="N561" s="57">
        <f t="shared" si="97"/>
        <v>0</v>
      </c>
      <c r="O561" s="38">
        <f t="shared" si="98"/>
        <v>25051</v>
      </c>
      <c r="P561" s="38">
        <f t="shared" si="99"/>
        <v>75153</v>
      </c>
      <c r="Q561" s="12" t="s">
        <v>2019</v>
      </c>
      <c r="AE561" s="35">
        <f t="shared" si="100"/>
        <v>69786</v>
      </c>
    </row>
    <row r="562" spans="1:31" ht="23.1" customHeight="1" x14ac:dyDescent="0.15">
      <c r="A562" s="13" t="s">
        <v>2020</v>
      </c>
      <c r="B562" s="13" t="s">
        <v>3046</v>
      </c>
      <c r="C562" s="13" t="s">
        <v>2021</v>
      </c>
      <c r="D562" s="12" t="s">
        <v>508</v>
      </c>
      <c r="E562" s="12" t="s">
        <v>515</v>
      </c>
      <c r="F562" s="31" t="s">
        <v>200</v>
      </c>
      <c r="G562" s="15">
        <v>6</v>
      </c>
      <c r="H562" s="38">
        <f>일대목차!I112</f>
        <v>2318</v>
      </c>
      <c r="I562" s="57">
        <f t="shared" si="95"/>
        <v>13908</v>
      </c>
      <c r="J562" s="38">
        <v>6</v>
      </c>
      <c r="K562" s="38">
        <f>일대목차!L112</f>
        <v>23262</v>
      </c>
      <c r="L562" s="57">
        <f t="shared" si="96"/>
        <v>139572</v>
      </c>
      <c r="M562" s="38">
        <f>일대목차!N112</f>
        <v>0</v>
      </c>
      <c r="N562" s="57">
        <f t="shared" si="97"/>
        <v>0</v>
      </c>
      <c r="O562" s="38">
        <f t="shared" si="98"/>
        <v>25580</v>
      </c>
      <c r="P562" s="38">
        <f t="shared" si="99"/>
        <v>153480</v>
      </c>
      <c r="Q562" s="12" t="s">
        <v>2022</v>
      </c>
      <c r="AE562" s="35">
        <f t="shared" si="100"/>
        <v>139572</v>
      </c>
    </row>
    <row r="563" spans="1:31" ht="23.1" customHeight="1" x14ac:dyDescent="0.15">
      <c r="A563" s="13" t="s">
        <v>2032</v>
      </c>
      <c r="B563" s="13" t="s">
        <v>3046</v>
      </c>
      <c r="C563" s="13" t="s">
        <v>2033</v>
      </c>
      <c r="D563" s="12" t="s">
        <v>519</v>
      </c>
      <c r="E563" s="12" t="s">
        <v>526</v>
      </c>
      <c r="F563" s="31" t="s">
        <v>200</v>
      </c>
      <c r="G563" s="15">
        <v>2</v>
      </c>
      <c r="H563" s="38">
        <f>일대목차!I116</f>
        <v>1372</v>
      </c>
      <c r="I563" s="57">
        <f t="shared" si="95"/>
        <v>2744</v>
      </c>
      <c r="J563" s="38">
        <v>2</v>
      </c>
      <c r="K563" s="38">
        <f>일대목차!L116</f>
        <v>21894</v>
      </c>
      <c r="L563" s="57">
        <f t="shared" si="96"/>
        <v>43788</v>
      </c>
      <c r="M563" s="38">
        <f>일대목차!N116</f>
        <v>0</v>
      </c>
      <c r="N563" s="57">
        <f t="shared" si="97"/>
        <v>0</v>
      </c>
      <c r="O563" s="38">
        <f t="shared" si="98"/>
        <v>23266</v>
      </c>
      <c r="P563" s="38">
        <f t="shared" si="99"/>
        <v>46532</v>
      </c>
      <c r="Q563" s="12" t="s">
        <v>2034</v>
      </c>
      <c r="AE563" s="35">
        <f t="shared" si="100"/>
        <v>43788</v>
      </c>
    </row>
    <row r="564" spans="1:31" ht="23.1" customHeight="1" x14ac:dyDescent="0.15">
      <c r="A564" s="13" t="s">
        <v>1764</v>
      </c>
      <c r="B564" s="13" t="s">
        <v>3046</v>
      </c>
      <c r="C564" s="13" t="s">
        <v>1765</v>
      </c>
      <c r="D564" s="12" t="s">
        <v>1767</v>
      </c>
      <c r="E564" s="12"/>
      <c r="F564" s="31" t="s">
        <v>554</v>
      </c>
      <c r="G564" s="15">
        <v>5</v>
      </c>
      <c r="H564" s="38">
        <f>일대목차!I29</f>
        <v>224</v>
      </c>
      <c r="I564" s="57">
        <f t="shared" si="95"/>
        <v>1120</v>
      </c>
      <c r="J564" s="38">
        <v>5</v>
      </c>
      <c r="K564" s="38">
        <f>일대목차!L29</f>
        <v>11220</v>
      </c>
      <c r="L564" s="57">
        <f t="shared" si="96"/>
        <v>56100</v>
      </c>
      <c r="M564" s="38">
        <f>일대목차!N29</f>
        <v>0</v>
      </c>
      <c r="N564" s="57">
        <f t="shared" si="97"/>
        <v>0</v>
      </c>
      <c r="O564" s="38">
        <f t="shared" si="98"/>
        <v>11444</v>
      </c>
      <c r="P564" s="38">
        <f t="shared" si="99"/>
        <v>57220</v>
      </c>
      <c r="Q564" s="12" t="s">
        <v>1766</v>
      </c>
      <c r="AE564" s="35">
        <f t="shared" si="100"/>
        <v>56100</v>
      </c>
    </row>
    <row r="565" spans="1:31" ht="23.1" customHeight="1" x14ac:dyDescent="0.15">
      <c r="A565" s="13" t="s">
        <v>2125</v>
      </c>
      <c r="B565" s="13" t="s">
        <v>3046</v>
      </c>
      <c r="C565" s="13" t="s">
        <v>2126</v>
      </c>
      <c r="D565" s="12" t="s">
        <v>708</v>
      </c>
      <c r="E565" s="12" t="s">
        <v>709</v>
      </c>
      <c r="F565" s="31" t="s">
        <v>710</v>
      </c>
      <c r="G565" s="15">
        <v>2</v>
      </c>
      <c r="H565" s="38">
        <f>일대목차!I147</f>
        <v>51313</v>
      </c>
      <c r="I565" s="57">
        <f t="shared" si="95"/>
        <v>102626</v>
      </c>
      <c r="J565" s="38">
        <v>2</v>
      </c>
      <c r="K565" s="38">
        <f>일대목차!L147</f>
        <v>65682</v>
      </c>
      <c r="L565" s="57">
        <f t="shared" si="96"/>
        <v>131364</v>
      </c>
      <c r="M565" s="38">
        <f>일대목차!N147</f>
        <v>0</v>
      </c>
      <c r="N565" s="57">
        <f t="shared" si="97"/>
        <v>0</v>
      </c>
      <c r="O565" s="38">
        <f t="shared" si="98"/>
        <v>116995</v>
      </c>
      <c r="P565" s="38">
        <f t="shared" si="99"/>
        <v>233990</v>
      </c>
      <c r="Q565" s="12" t="s">
        <v>2127</v>
      </c>
      <c r="AE565" s="35">
        <f t="shared" si="100"/>
        <v>131364</v>
      </c>
    </row>
    <row r="566" spans="1:31" ht="23.1" customHeight="1" x14ac:dyDescent="0.15">
      <c r="A566" s="13" t="s">
        <v>2176</v>
      </c>
      <c r="B566" s="13" t="s">
        <v>3046</v>
      </c>
      <c r="C566" s="13" t="s">
        <v>2177</v>
      </c>
      <c r="D566" s="12" t="s">
        <v>754</v>
      </c>
      <c r="E566" s="12" t="s">
        <v>755</v>
      </c>
      <c r="F566" s="31" t="s">
        <v>710</v>
      </c>
      <c r="G566" s="15">
        <v>35</v>
      </c>
      <c r="H566" s="38">
        <f>일대목차!I164</f>
        <v>89291</v>
      </c>
      <c r="I566" s="57">
        <f t="shared" si="95"/>
        <v>3125185</v>
      </c>
      <c r="J566" s="38">
        <v>35</v>
      </c>
      <c r="K566" s="38">
        <f>일대목차!L164</f>
        <v>64587</v>
      </c>
      <c r="L566" s="57">
        <f t="shared" si="96"/>
        <v>2260545</v>
      </c>
      <c r="M566" s="38">
        <f>일대목차!N164</f>
        <v>0</v>
      </c>
      <c r="N566" s="57">
        <f t="shared" si="97"/>
        <v>0</v>
      </c>
      <c r="O566" s="38">
        <f t="shared" si="98"/>
        <v>153878</v>
      </c>
      <c r="P566" s="38">
        <f t="shared" si="99"/>
        <v>5385730</v>
      </c>
      <c r="Q566" s="12" t="s">
        <v>2178</v>
      </c>
      <c r="AE566" s="35">
        <f t="shared" si="100"/>
        <v>2260545</v>
      </c>
    </row>
    <row r="567" spans="1:31" ht="23.1" customHeight="1" x14ac:dyDescent="0.15">
      <c r="A567" s="13" t="s">
        <v>2179</v>
      </c>
      <c r="B567" s="13" t="s">
        <v>3046</v>
      </c>
      <c r="C567" s="13" t="s">
        <v>2180</v>
      </c>
      <c r="D567" s="12" t="s">
        <v>759</v>
      </c>
      <c r="E567" s="12" t="s">
        <v>760</v>
      </c>
      <c r="F567" s="31" t="s">
        <v>710</v>
      </c>
      <c r="G567" s="15">
        <v>4</v>
      </c>
      <c r="H567" s="38">
        <f>일대목차!I165</f>
        <v>40760</v>
      </c>
      <c r="I567" s="57">
        <f t="shared" si="95"/>
        <v>163040</v>
      </c>
      <c r="J567" s="38">
        <v>4</v>
      </c>
      <c r="K567" s="38">
        <f>일대목차!L165</f>
        <v>38040</v>
      </c>
      <c r="L567" s="57">
        <f t="shared" si="96"/>
        <v>152160</v>
      </c>
      <c r="M567" s="38">
        <f>일대목차!N165</f>
        <v>0</v>
      </c>
      <c r="N567" s="57">
        <f t="shared" si="97"/>
        <v>0</v>
      </c>
      <c r="O567" s="38">
        <f t="shared" si="98"/>
        <v>78800</v>
      </c>
      <c r="P567" s="38">
        <f t="shared" si="99"/>
        <v>315200</v>
      </c>
      <c r="Q567" s="12" t="s">
        <v>2181</v>
      </c>
      <c r="AE567" s="35">
        <f t="shared" si="100"/>
        <v>152160</v>
      </c>
    </row>
    <row r="568" spans="1:31" ht="23.1" customHeight="1" x14ac:dyDescent="0.15">
      <c r="A568" s="13" t="s">
        <v>2182</v>
      </c>
      <c r="B568" s="13" t="s">
        <v>3046</v>
      </c>
      <c r="C568" s="13" t="s">
        <v>2183</v>
      </c>
      <c r="D568" s="12" t="s">
        <v>761</v>
      </c>
      <c r="E568" s="12" t="s">
        <v>762</v>
      </c>
      <c r="F568" s="31" t="s">
        <v>710</v>
      </c>
      <c r="G568" s="15">
        <v>1</v>
      </c>
      <c r="H568" s="38">
        <f>일대목차!I166</f>
        <v>40760</v>
      </c>
      <c r="I568" s="57">
        <f t="shared" si="95"/>
        <v>40760</v>
      </c>
      <c r="J568" s="38">
        <v>1</v>
      </c>
      <c r="K568" s="38">
        <f>일대목차!L166</f>
        <v>38040</v>
      </c>
      <c r="L568" s="57">
        <f t="shared" si="96"/>
        <v>38040</v>
      </c>
      <c r="M568" s="38">
        <f>일대목차!N166</f>
        <v>0</v>
      </c>
      <c r="N568" s="57">
        <f t="shared" si="97"/>
        <v>0</v>
      </c>
      <c r="O568" s="38">
        <f t="shared" si="98"/>
        <v>78800</v>
      </c>
      <c r="P568" s="38">
        <f t="shared" si="99"/>
        <v>78800</v>
      </c>
      <c r="Q568" s="12" t="s">
        <v>2184</v>
      </c>
      <c r="AE568" s="35">
        <f t="shared" si="100"/>
        <v>38040</v>
      </c>
    </row>
    <row r="569" spans="1:31" ht="23.1" customHeight="1" x14ac:dyDescent="0.15">
      <c r="D569" s="12"/>
      <c r="E569" s="12"/>
      <c r="F569" s="31"/>
      <c r="G569" s="15"/>
      <c r="H569" s="38"/>
      <c r="I569" s="57"/>
      <c r="J569" s="38"/>
      <c r="K569" s="38"/>
      <c r="L569" s="57"/>
      <c r="M569" s="38"/>
      <c r="N569" s="57"/>
      <c r="O569" s="38"/>
      <c r="P569" s="38"/>
      <c r="Q569" s="12"/>
      <c r="AE569" s="35">
        <f>TRUNC(SUM(AE550:AE568))</f>
        <v>7981123</v>
      </c>
    </row>
    <row r="570" spans="1:31" ht="23.1" customHeight="1" x14ac:dyDescent="0.15">
      <c r="D570" s="12"/>
      <c r="E570" s="12"/>
      <c r="F570" s="31"/>
      <c r="G570" s="15"/>
      <c r="H570" s="38"/>
      <c r="I570" s="57"/>
      <c r="J570" s="38"/>
      <c r="K570" s="38"/>
      <c r="L570" s="57"/>
      <c r="M570" s="38"/>
      <c r="N570" s="57"/>
      <c r="O570" s="38"/>
      <c r="P570" s="38"/>
      <c r="Q570" s="12"/>
    </row>
    <row r="571" spans="1:31" ht="23.1" customHeight="1" x14ac:dyDescent="0.15">
      <c r="D571" s="12"/>
      <c r="E571" s="12"/>
      <c r="F571" s="31"/>
      <c r="G571" s="15"/>
      <c r="H571" s="38"/>
      <c r="I571" s="57"/>
      <c r="J571" s="38"/>
      <c r="K571" s="38"/>
      <c r="L571" s="57"/>
      <c r="M571" s="38"/>
      <c r="N571" s="57"/>
      <c r="O571" s="38"/>
      <c r="P571" s="38"/>
      <c r="Q571" s="12"/>
    </row>
    <row r="572" spans="1:31" ht="23.1" customHeight="1" x14ac:dyDescent="0.15">
      <c r="D572" s="12"/>
      <c r="E572" s="12"/>
      <c r="F572" s="31"/>
      <c r="G572" s="15"/>
      <c r="H572" s="38"/>
      <c r="I572" s="57"/>
      <c r="J572" s="38"/>
      <c r="K572" s="38"/>
      <c r="L572" s="57"/>
      <c r="M572" s="38"/>
      <c r="N572" s="57"/>
      <c r="O572" s="38"/>
      <c r="P572" s="38"/>
      <c r="Q572" s="12"/>
    </row>
    <row r="573" spans="1:31" ht="23.1" customHeight="1" x14ac:dyDescent="0.15">
      <c r="D573" s="12"/>
      <c r="E573" s="12"/>
      <c r="F573" s="31"/>
      <c r="G573" s="15"/>
      <c r="H573" s="38"/>
      <c r="I573" s="57"/>
      <c r="J573" s="38"/>
      <c r="K573" s="38"/>
      <c r="L573" s="57"/>
      <c r="M573" s="38"/>
      <c r="N573" s="57"/>
      <c r="O573" s="38"/>
      <c r="P573" s="38"/>
      <c r="Q573" s="12"/>
    </row>
    <row r="574" spans="1:31" ht="23.1" customHeight="1" x14ac:dyDescent="0.15">
      <c r="D574" s="12"/>
      <c r="E574" s="12"/>
      <c r="F574" s="31"/>
      <c r="G574" s="15"/>
      <c r="H574" s="38"/>
      <c r="I574" s="57"/>
      <c r="J574" s="38"/>
      <c r="K574" s="38"/>
      <c r="L574" s="57"/>
      <c r="M574" s="38"/>
      <c r="N574" s="57"/>
      <c r="O574" s="38"/>
      <c r="P574" s="38"/>
      <c r="Q574" s="12"/>
    </row>
    <row r="575" spans="1:31" ht="23.1" customHeight="1" x14ac:dyDescent="0.15">
      <c r="B575" s="13" t="s">
        <v>2360</v>
      </c>
      <c r="D575" s="12" t="s">
        <v>2361</v>
      </c>
      <c r="E575" s="12"/>
      <c r="F575" s="31"/>
      <c r="G575" s="15"/>
      <c r="H575" s="38"/>
      <c r="I575" s="57">
        <f>TRUNC(SUM(I550:I574))</f>
        <v>4056614</v>
      </c>
      <c r="J575" s="38"/>
      <c r="K575" s="38"/>
      <c r="L575" s="57">
        <f>TRUNC(SUM(L550:L574))</f>
        <v>7981123</v>
      </c>
      <c r="M575" s="38"/>
      <c r="N575" s="57">
        <f>TRUNC(SUM(N550:N574))</f>
        <v>0</v>
      </c>
      <c r="O575" s="38" t="str">
        <f>IF((H575+K575+M575)=0, "", (H575+K575+M575))</f>
        <v/>
      </c>
      <c r="P575" s="38">
        <f>TRUNC(SUM(P550:P574))</f>
        <v>12037737</v>
      </c>
      <c r="Q575" s="12"/>
    </row>
    <row r="576" spans="1:31" ht="23.1" customHeight="1" x14ac:dyDescent="0.15">
      <c r="B576" s="13" t="s">
        <v>1448</v>
      </c>
      <c r="D576" s="170" t="s">
        <v>3180</v>
      </c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2"/>
    </row>
    <row r="577" spans="1:31" ht="23.1" customHeight="1" x14ac:dyDescent="0.15">
      <c r="A577" s="13" t="s">
        <v>1787</v>
      </c>
      <c r="B577" s="13" t="s">
        <v>3047</v>
      </c>
      <c r="C577" s="13" t="s">
        <v>1788</v>
      </c>
      <c r="D577" s="12" t="s">
        <v>164</v>
      </c>
      <c r="E577" s="12" t="s">
        <v>174</v>
      </c>
      <c r="F577" s="31" t="s">
        <v>166</v>
      </c>
      <c r="G577" s="15">
        <v>16</v>
      </c>
      <c r="H577" s="38">
        <f>일대목차!I35</f>
        <v>1751</v>
      </c>
      <c r="I577" s="57">
        <f t="shared" ref="I577:I590" si="101">TRUNC(G577*H577)</f>
        <v>28016</v>
      </c>
      <c r="J577" s="38">
        <v>16</v>
      </c>
      <c r="K577" s="38">
        <f>일대목차!L35</f>
        <v>24630</v>
      </c>
      <c r="L577" s="57">
        <f t="shared" ref="L577:L590" si="102">TRUNC(G577*K577)</f>
        <v>394080</v>
      </c>
      <c r="M577" s="38">
        <f>일대목차!N35</f>
        <v>0</v>
      </c>
      <c r="N577" s="57">
        <f t="shared" ref="N577:N590" si="103">TRUNC(G577*M577)</f>
        <v>0</v>
      </c>
      <c r="O577" s="38">
        <f t="shared" ref="O577:O590" si="104">IF((H577+K577+M577)=0, "", (H577+K577+M577))</f>
        <v>26381</v>
      </c>
      <c r="P577" s="38">
        <f t="shared" ref="P577:P590" si="105">SUM(I577,L577,N577)</f>
        <v>422096</v>
      </c>
      <c r="Q577" s="12" t="s">
        <v>1789</v>
      </c>
      <c r="AB577" s="35">
        <f>I577</f>
        <v>28016</v>
      </c>
      <c r="AC577" s="35">
        <f>G577*H577</f>
        <v>28016</v>
      </c>
      <c r="AE577" s="35">
        <f>L577</f>
        <v>394080</v>
      </c>
    </row>
    <row r="578" spans="1:31" ht="23.1" customHeight="1" x14ac:dyDescent="0.15">
      <c r="A578" s="13" t="s">
        <v>1793</v>
      </c>
      <c r="B578" s="13" t="s">
        <v>3047</v>
      </c>
      <c r="C578" s="13" t="s">
        <v>1794</v>
      </c>
      <c r="D578" s="12" t="s">
        <v>178</v>
      </c>
      <c r="E578" s="12" t="s">
        <v>179</v>
      </c>
      <c r="F578" s="31" t="s">
        <v>166</v>
      </c>
      <c r="G578" s="15">
        <v>306</v>
      </c>
      <c r="H578" s="38">
        <f>일대목차!I37</f>
        <v>449</v>
      </c>
      <c r="I578" s="57">
        <f t="shared" si="101"/>
        <v>137394</v>
      </c>
      <c r="J578" s="38">
        <v>306</v>
      </c>
      <c r="K578" s="38">
        <f>일대목차!L37</f>
        <v>9852</v>
      </c>
      <c r="L578" s="57">
        <f t="shared" si="102"/>
        <v>3014712</v>
      </c>
      <c r="M578" s="38">
        <f>일대목차!N37</f>
        <v>0</v>
      </c>
      <c r="N578" s="57">
        <f t="shared" si="103"/>
        <v>0</v>
      </c>
      <c r="O578" s="38">
        <f t="shared" si="104"/>
        <v>10301</v>
      </c>
      <c r="P578" s="38">
        <f t="shared" si="105"/>
        <v>3152106</v>
      </c>
      <c r="Q578" s="12" t="s">
        <v>1795</v>
      </c>
      <c r="AA578" s="35">
        <f>I578</f>
        <v>137394</v>
      </c>
      <c r="AC578" s="35">
        <f>G578*H578</f>
        <v>137394</v>
      </c>
      <c r="AE578" s="35">
        <f>L578</f>
        <v>3014712</v>
      </c>
    </row>
    <row r="579" spans="1:31" ht="23.1" customHeight="1" x14ac:dyDescent="0.15">
      <c r="A579" s="13" t="s">
        <v>1062</v>
      </c>
      <c r="B579" s="13" t="s">
        <v>3047</v>
      </c>
      <c r="C579" s="13" t="s">
        <v>255</v>
      </c>
      <c r="D579" s="12" t="s">
        <v>253</v>
      </c>
      <c r="E579" s="12" t="s">
        <v>256</v>
      </c>
      <c r="F579" s="31" t="s">
        <v>200</v>
      </c>
      <c r="G579" s="15">
        <v>2</v>
      </c>
      <c r="H579" s="38">
        <f>합산자재!H38</f>
        <v>1009</v>
      </c>
      <c r="I579" s="57">
        <f t="shared" si="101"/>
        <v>2018</v>
      </c>
      <c r="J579" s="38">
        <v>2</v>
      </c>
      <c r="K579" s="38">
        <f>합산자재!I38</f>
        <v>0</v>
      </c>
      <c r="L579" s="57">
        <f t="shared" si="102"/>
        <v>0</v>
      </c>
      <c r="M579" s="38">
        <f>합산자재!J38</f>
        <v>0</v>
      </c>
      <c r="N579" s="57">
        <f t="shared" si="103"/>
        <v>0</v>
      </c>
      <c r="O579" s="38">
        <f t="shared" si="104"/>
        <v>1009</v>
      </c>
      <c r="P579" s="38">
        <f t="shared" si="105"/>
        <v>2018</v>
      </c>
      <c r="Q579" s="12"/>
    </row>
    <row r="580" spans="1:31" ht="23.1" customHeight="1" x14ac:dyDescent="0.15">
      <c r="A580" s="13" t="s">
        <v>1839</v>
      </c>
      <c r="B580" s="13" t="s">
        <v>3047</v>
      </c>
      <c r="C580" s="13" t="s">
        <v>1840</v>
      </c>
      <c r="D580" s="12" t="s">
        <v>269</v>
      </c>
      <c r="E580" s="12" t="s">
        <v>270</v>
      </c>
      <c r="F580" s="31" t="s">
        <v>200</v>
      </c>
      <c r="G580" s="15">
        <v>30</v>
      </c>
      <c r="H580" s="38">
        <f>일대목차!I52</f>
        <v>1577</v>
      </c>
      <c r="I580" s="57">
        <f t="shared" si="101"/>
        <v>47310</v>
      </c>
      <c r="J580" s="38">
        <v>30</v>
      </c>
      <c r="K580" s="38">
        <f>일대목차!L52</f>
        <v>49261</v>
      </c>
      <c r="L580" s="57">
        <f t="shared" si="102"/>
        <v>1477830</v>
      </c>
      <c r="M580" s="38">
        <f>일대목차!N52</f>
        <v>0</v>
      </c>
      <c r="N580" s="57">
        <f t="shared" si="103"/>
        <v>0</v>
      </c>
      <c r="O580" s="38">
        <f t="shared" si="104"/>
        <v>50838</v>
      </c>
      <c r="P580" s="38">
        <f t="shared" si="105"/>
        <v>1525140</v>
      </c>
      <c r="Q580" s="12" t="s">
        <v>1841</v>
      </c>
      <c r="AE580" s="35">
        <f>L580</f>
        <v>1477830</v>
      </c>
    </row>
    <row r="581" spans="1:31" ht="23.1" customHeight="1" x14ac:dyDescent="0.15">
      <c r="A581" s="13" t="s">
        <v>1842</v>
      </c>
      <c r="B581" s="13" t="s">
        <v>3047</v>
      </c>
      <c r="C581" s="13" t="s">
        <v>1843</v>
      </c>
      <c r="D581" s="12" t="s">
        <v>269</v>
      </c>
      <c r="E581" s="12" t="s">
        <v>272</v>
      </c>
      <c r="F581" s="31" t="s">
        <v>200</v>
      </c>
      <c r="G581" s="15">
        <v>7</v>
      </c>
      <c r="H581" s="38">
        <f>일대목차!I53</f>
        <v>1711</v>
      </c>
      <c r="I581" s="57">
        <f t="shared" si="101"/>
        <v>11977</v>
      </c>
      <c r="J581" s="38">
        <v>7</v>
      </c>
      <c r="K581" s="38">
        <f>일대목차!L53</f>
        <v>49261</v>
      </c>
      <c r="L581" s="57">
        <f t="shared" si="102"/>
        <v>344827</v>
      </c>
      <c r="M581" s="38">
        <f>일대목차!N53</f>
        <v>0</v>
      </c>
      <c r="N581" s="57">
        <f t="shared" si="103"/>
        <v>0</v>
      </c>
      <c r="O581" s="38">
        <f t="shared" si="104"/>
        <v>50972</v>
      </c>
      <c r="P581" s="38">
        <f t="shared" si="105"/>
        <v>356804</v>
      </c>
      <c r="Q581" s="12" t="s">
        <v>1844</v>
      </c>
      <c r="AE581" s="35">
        <f>L581</f>
        <v>344827</v>
      </c>
    </row>
    <row r="582" spans="1:31" ht="23.1" customHeight="1" x14ac:dyDescent="0.15">
      <c r="A582" s="13" t="s">
        <v>1071</v>
      </c>
      <c r="B582" s="13" t="s">
        <v>3047</v>
      </c>
      <c r="C582" s="13" t="s">
        <v>281</v>
      </c>
      <c r="D582" s="12" t="s">
        <v>277</v>
      </c>
      <c r="E582" s="12" t="s">
        <v>282</v>
      </c>
      <c r="F582" s="31" t="s">
        <v>200</v>
      </c>
      <c r="G582" s="15">
        <v>7</v>
      </c>
      <c r="H582" s="38">
        <f>합산자재!H47</f>
        <v>283</v>
      </c>
      <c r="I582" s="57">
        <f t="shared" si="101"/>
        <v>1981</v>
      </c>
      <c r="J582" s="38">
        <v>7</v>
      </c>
      <c r="K582" s="38">
        <f>합산자재!I47</f>
        <v>0</v>
      </c>
      <c r="L582" s="57">
        <f t="shared" si="102"/>
        <v>0</v>
      </c>
      <c r="M582" s="38">
        <f>합산자재!J47</f>
        <v>0</v>
      </c>
      <c r="N582" s="57">
        <f t="shared" si="103"/>
        <v>0</v>
      </c>
      <c r="O582" s="38">
        <f t="shared" si="104"/>
        <v>283</v>
      </c>
      <c r="P582" s="38">
        <f t="shared" si="105"/>
        <v>1981</v>
      </c>
      <c r="Q582" s="12"/>
    </row>
    <row r="583" spans="1:31" ht="23.1" customHeight="1" x14ac:dyDescent="0.15">
      <c r="A583" s="13" t="s">
        <v>1848</v>
      </c>
      <c r="B583" s="13" t="s">
        <v>3047</v>
      </c>
      <c r="C583" s="13" t="s">
        <v>1849</v>
      </c>
      <c r="D583" s="12" t="s">
        <v>284</v>
      </c>
      <c r="E583" s="12" t="s">
        <v>285</v>
      </c>
      <c r="F583" s="31" t="s">
        <v>200</v>
      </c>
      <c r="G583" s="15">
        <v>5</v>
      </c>
      <c r="H583" s="38">
        <f>일대목차!I55</f>
        <v>27298</v>
      </c>
      <c r="I583" s="57">
        <f t="shared" si="101"/>
        <v>136490</v>
      </c>
      <c r="J583" s="38">
        <v>5</v>
      </c>
      <c r="K583" s="38">
        <f>일대목차!L55</f>
        <v>172415</v>
      </c>
      <c r="L583" s="57">
        <f t="shared" si="102"/>
        <v>862075</v>
      </c>
      <c r="M583" s="38">
        <f>일대목차!N55</f>
        <v>0</v>
      </c>
      <c r="N583" s="57">
        <f t="shared" si="103"/>
        <v>0</v>
      </c>
      <c r="O583" s="38">
        <f t="shared" si="104"/>
        <v>199713</v>
      </c>
      <c r="P583" s="38">
        <f t="shared" si="105"/>
        <v>998565</v>
      </c>
      <c r="Q583" s="12" t="s">
        <v>1850</v>
      </c>
      <c r="AE583" s="35">
        <f t="shared" ref="AE583:AE590" si="106">L583</f>
        <v>862075</v>
      </c>
    </row>
    <row r="584" spans="1:31" ht="23.1" customHeight="1" x14ac:dyDescent="0.15">
      <c r="A584" s="13" t="s">
        <v>1857</v>
      </c>
      <c r="B584" s="13" t="s">
        <v>3047</v>
      </c>
      <c r="C584" s="13" t="s">
        <v>1858</v>
      </c>
      <c r="D584" s="12" t="s">
        <v>291</v>
      </c>
      <c r="E584" s="12" t="s">
        <v>294</v>
      </c>
      <c r="F584" s="31" t="s">
        <v>200</v>
      </c>
      <c r="G584" s="15">
        <v>3</v>
      </c>
      <c r="H584" s="38">
        <f>일대목차!I58</f>
        <v>5563</v>
      </c>
      <c r="I584" s="57">
        <f t="shared" si="101"/>
        <v>16689</v>
      </c>
      <c r="J584" s="38">
        <v>3</v>
      </c>
      <c r="K584" s="38">
        <f>일대목차!L58</f>
        <v>135469</v>
      </c>
      <c r="L584" s="57">
        <f t="shared" si="102"/>
        <v>406407</v>
      </c>
      <c r="M584" s="38">
        <f>일대목차!N58</f>
        <v>0</v>
      </c>
      <c r="N584" s="57">
        <f t="shared" si="103"/>
        <v>0</v>
      </c>
      <c r="O584" s="38">
        <f t="shared" si="104"/>
        <v>141032</v>
      </c>
      <c r="P584" s="38">
        <f t="shared" si="105"/>
        <v>423096</v>
      </c>
      <c r="Q584" s="12" t="s">
        <v>1859</v>
      </c>
      <c r="AE584" s="35">
        <f t="shared" si="106"/>
        <v>406407</v>
      </c>
    </row>
    <row r="585" spans="1:31" ht="23.1" customHeight="1" x14ac:dyDescent="0.15">
      <c r="A585" s="13" t="s">
        <v>1903</v>
      </c>
      <c r="B585" s="13" t="s">
        <v>3047</v>
      </c>
      <c r="C585" s="13" t="s">
        <v>1904</v>
      </c>
      <c r="D585" s="12" t="s">
        <v>397</v>
      </c>
      <c r="E585" s="12" t="s">
        <v>404</v>
      </c>
      <c r="F585" s="31" t="s">
        <v>166</v>
      </c>
      <c r="G585" s="15">
        <v>1123</v>
      </c>
      <c r="H585" s="38">
        <f>일대목차!I73</f>
        <v>590</v>
      </c>
      <c r="I585" s="57">
        <f t="shared" si="101"/>
        <v>662570</v>
      </c>
      <c r="J585" s="38">
        <v>1123</v>
      </c>
      <c r="K585" s="38">
        <f>일대목차!L73</f>
        <v>2353</v>
      </c>
      <c r="L585" s="57">
        <f t="shared" si="102"/>
        <v>2642419</v>
      </c>
      <c r="M585" s="38">
        <f>일대목차!N73</f>
        <v>0</v>
      </c>
      <c r="N585" s="57">
        <f t="shared" si="103"/>
        <v>0</v>
      </c>
      <c r="O585" s="38">
        <f t="shared" si="104"/>
        <v>2943</v>
      </c>
      <c r="P585" s="38">
        <f t="shared" si="105"/>
        <v>3304989</v>
      </c>
      <c r="Q585" s="12" t="s">
        <v>1905</v>
      </c>
      <c r="AC585" s="35">
        <f>G585*H585</f>
        <v>662570</v>
      </c>
      <c r="AE585" s="35">
        <f t="shared" si="106"/>
        <v>2642419</v>
      </c>
    </row>
    <row r="586" spans="1:31" ht="23.1" customHeight="1" x14ac:dyDescent="0.15">
      <c r="A586" s="13" t="s">
        <v>1915</v>
      </c>
      <c r="B586" s="13" t="s">
        <v>3047</v>
      </c>
      <c r="C586" s="13" t="s">
        <v>1916</v>
      </c>
      <c r="D586" s="12" t="s">
        <v>408</v>
      </c>
      <c r="E586" s="12" t="s">
        <v>415</v>
      </c>
      <c r="F586" s="31" t="s">
        <v>166</v>
      </c>
      <c r="G586" s="15">
        <v>18</v>
      </c>
      <c r="H586" s="38">
        <f>일대목차!I77</f>
        <v>2106</v>
      </c>
      <c r="I586" s="57">
        <f t="shared" si="101"/>
        <v>37908</v>
      </c>
      <c r="J586" s="38">
        <v>18</v>
      </c>
      <c r="K586" s="38">
        <f>일대목차!L77</f>
        <v>2463</v>
      </c>
      <c r="L586" s="57">
        <f t="shared" si="102"/>
        <v>44334</v>
      </c>
      <c r="M586" s="38">
        <f>일대목차!N77</f>
        <v>0</v>
      </c>
      <c r="N586" s="57">
        <f t="shared" si="103"/>
        <v>0</v>
      </c>
      <c r="O586" s="38">
        <f t="shared" si="104"/>
        <v>4569</v>
      </c>
      <c r="P586" s="38">
        <f t="shared" si="105"/>
        <v>82242</v>
      </c>
      <c r="Q586" s="12" t="s">
        <v>1917</v>
      </c>
      <c r="AC586" s="35">
        <f>G586*H586</f>
        <v>37908</v>
      </c>
      <c r="AE586" s="35">
        <f t="shared" si="106"/>
        <v>44334</v>
      </c>
    </row>
    <row r="587" spans="1:31" ht="23.1" customHeight="1" x14ac:dyDescent="0.15">
      <c r="A587" s="13" t="s">
        <v>1957</v>
      </c>
      <c r="B587" s="13" t="s">
        <v>3047</v>
      </c>
      <c r="C587" s="13" t="s">
        <v>1958</v>
      </c>
      <c r="D587" s="12" t="s">
        <v>445</v>
      </c>
      <c r="E587" s="12" t="s">
        <v>450</v>
      </c>
      <c r="F587" s="31" t="s">
        <v>166</v>
      </c>
      <c r="G587" s="15">
        <v>18</v>
      </c>
      <c r="H587" s="38">
        <f>일대목차!I91</f>
        <v>4458</v>
      </c>
      <c r="I587" s="57">
        <f t="shared" si="101"/>
        <v>80244</v>
      </c>
      <c r="J587" s="38">
        <v>18</v>
      </c>
      <c r="K587" s="38">
        <f>일대목차!L91</f>
        <v>7603</v>
      </c>
      <c r="L587" s="57">
        <f t="shared" si="102"/>
        <v>136854</v>
      </c>
      <c r="M587" s="38">
        <f>일대목차!N91</f>
        <v>0</v>
      </c>
      <c r="N587" s="57">
        <f t="shared" si="103"/>
        <v>0</v>
      </c>
      <c r="O587" s="38">
        <f t="shared" si="104"/>
        <v>12061</v>
      </c>
      <c r="P587" s="38">
        <f t="shared" si="105"/>
        <v>217098</v>
      </c>
      <c r="Q587" s="12" t="s">
        <v>1959</v>
      </c>
      <c r="AC587" s="35">
        <f>G587*H587</f>
        <v>80244</v>
      </c>
      <c r="AE587" s="35">
        <f t="shared" si="106"/>
        <v>136854</v>
      </c>
    </row>
    <row r="588" spans="1:31" ht="23.1" customHeight="1" x14ac:dyDescent="0.15">
      <c r="A588" s="13" t="s">
        <v>2029</v>
      </c>
      <c r="B588" s="13" t="s">
        <v>3047</v>
      </c>
      <c r="C588" s="13" t="s">
        <v>2030</v>
      </c>
      <c r="D588" s="12" t="s">
        <v>523</v>
      </c>
      <c r="E588" s="12" t="s">
        <v>524</v>
      </c>
      <c r="F588" s="31" t="s">
        <v>200</v>
      </c>
      <c r="G588" s="15">
        <v>7</v>
      </c>
      <c r="H588" s="38">
        <f>일대목차!I115</f>
        <v>42637</v>
      </c>
      <c r="I588" s="57">
        <f t="shared" si="101"/>
        <v>298459</v>
      </c>
      <c r="J588" s="38">
        <v>7</v>
      </c>
      <c r="K588" s="38">
        <f>일대목차!L115</f>
        <v>21894</v>
      </c>
      <c r="L588" s="57">
        <f t="shared" si="102"/>
        <v>153258</v>
      </c>
      <c r="M588" s="38">
        <f>일대목차!N115</f>
        <v>0</v>
      </c>
      <c r="N588" s="57">
        <f t="shared" si="103"/>
        <v>0</v>
      </c>
      <c r="O588" s="38">
        <f t="shared" si="104"/>
        <v>64531</v>
      </c>
      <c r="P588" s="38">
        <f t="shared" si="105"/>
        <v>451717</v>
      </c>
      <c r="Q588" s="12" t="s">
        <v>2031</v>
      </c>
      <c r="AE588" s="35">
        <f t="shared" si="106"/>
        <v>153258</v>
      </c>
    </row>
    <row r="589" spans="1:31" ht="23.1" customHeight="1" x14ac:dyDescent="0.15">
      <c r="A589" s="13" t="s">
        <v>2035</v>
      </c>
      <c r="B589" s="13" t="s">
        <v>3047</v>
      </c>
      <c r="C589" s="13" t="s">
        <v>2036</v>
      </c>
      <c r="D589" s="12" t="s">
        <v>519</v>
      </c>
      <c r="E589" s="12" t="s">
        <v>529</v>
      </c>
      <c r="F589" s="31" t="s">
        <v>200</v>
      </c>
      <c r="G589" s="15">
        <v>32</v>
      </c>
      <c r="H589" s="38">
        <f>일대목차!I117</f>
        <v>1822</v>
      </c>
      <c r="I589" s="57">
        <f t="shared" si="101"/>
        <v>58304</v>
      </c>
      <c r="J589" s="38">
        <v>32</v>
      </c>
      <c r="K589" s="38">
        <f>일대목차!L117</f>
        <v>21894</v>
      </c>
      <c r="L589" s="57">
        <f t="shared" si="102"/>
        <v>700608</v>
      </c>
      <c r="M589" s="38">
        <f>일대목차!N117</f>
        <v>0</v>
      </c>
      <c r="N589" s="57">
        <f t="shared" si="103"/>
        <v>0</v>
      </c>
      <c r="O589" s="38">
        <f t="shared" si="104"/>
        <v>23716</v>
      </c>
      <c r="P589" s="38">
        <f t="shared" si="105"/>
        <v>758912</v>
      </c>
      <c r="Q589" s="12" t="s">
        <v>2037</v>
      </c>
      <c r="AE589" s="35">
        <f t="shared" si="106"/>
        <v>700608</v>
      </c>
    </row>
    <row r="590" spans="1:31" ht="23.1" customHeight="1" x14ac:dyDescent="0.15">
      <c r="A590" s="13" t="s">
        <v>2041</v>
      </c>
      <c r="B590" s="13" t="s">
        <v>3047</v>
      </c>
      <c r="C590" s="13" t="s">
        <v>2042</v>
      </c>
      <c r="D590" s="12" t="s">
        <v>531</v>
      </c>
      <c r="E590" s="12" t="s">
        <v>529</v>
      </c>
      <c r="F590" s="31" t="s">
        <v>200</v>
      </c>
      <c r="G590" s="15">
        <v>3</v>
      </c>
      <c r="H590" s="38">
        <f>일대목차!I119</f>
        <v>2560</v>
      </c>
      <c r="I590" s="57">
        <f t="shared" si="101"/>
        <v>7680</v>
      </c>
      <c r="J590" s="38">
        <v>3</v>
      </c>
      <c r="K590" s="38">
        <f>일대목차!L119</f>
        <v>21894</v>
      </c>
      <c r="L590" s="57">
        <f t="shared" si="102"/>
        <v>65682</v>
      </c>
      <c r="M590" s="38">
        <f>일대목차!N119</f>
        <v>0</v>
      </c>
      <c r="N590" s="57">
        <f t="shared" si="103"/>
        <v>0</v>
      </c>
      <c r="O590" s="38">
        <f t="shared" si="104"/>
        <v>24454</v>
      </c>
      <c r="P590" s="38">
        <f t="shared" si="105"/>
        <v>73362</v>
      </c>
      <c r="Q590" s="12" t="s">
        <v>2043</v>
      </c>
      <c r="AE590" s="35">
        <f t="shared" si="106"/>
        <v>65682</v>
      </c>
    </row>
    <row r="591" spans="1:31" ht="23.1" customHeight="1" x14ac:dyDescent="0.15">
      <c r="D591" s="12"/>
      <c r="E591" s="12"/>
      <c r="F591" s="31"/>
      <c r="G591" s="15"/>
      <c r="H591" s="38"/>
      <c r="I591" s="57"/>
      <c r="J591" s="38"/>
      <c r="K591" s="38"/>
      <c r="L591" s="57"/>
      <c r="M591" s="38"/>
      <c r="N591" s="57"/>
      <c r="O591" s="38"/>
      <c r="P591" s="38"/>
      <c r="Q591" s="12"/>
      <c r="AE591" s="35">
        <f>TRUNC(SUM(AE576:AE590))</f>
        <v>10243086</v>
      </c>
    </row>
    <row r="592" spans="1:31" ht="23.1" customHeight="1" x14ac:dyDescent="0.15">
      <c r="D592" s="12"/>
      <c r="E592" s="12"/>
      <c r="F592" s="31"/>
      <c r="G592" s="15"/>
      <c r="H592" s="38"/>
      <c r="I592" s="57"/>
      <c r="J592" s="38"/>
      <c r="K592" s="38"/>
      <c r="L592" s="57"/>
      <c r="M592" s="38"/>
      <c r="N592" s="57"/>
      <c r="O592" s="38"/>
      <c r="P592" s="38"/>
      <c r="Q592" s="12"/>
    </row>
    <row r="593" spans="1:31" ht="23.1" customHeight="1" x14ac:dyDescent="0.15">
      <c r="D593" s="12"/>
      <c r="E593" s="12"/>
      <c r="F593" s="31"/>
      <c r="G593" s="15"/>
      <c r="H593" s="38"/>
      <c r="I593" s="57"/>
      <c r="J593" s="38"/>
      <c r="K593" s="38"/>
      <c r="L593" s="57"/>
      <c r="M593" s="38"/>
      <c r="N593" s="57"/>
      <c r="O593" s="38"/>
      <c r="P593" s="38"/>
      <c r="Q593" s="12"/>
    </row>
    <row r="594" spans="1:31" ht="23.1" customHeight="1" x14ac:dyDescent="0.15">
      <c r="D594" s="12"/>
      <c r="E594" s="12"/>
      <c r="F594" s="31"/>
      <c r="G594" s="15"/>
      <c r="H594" s="38"/>
      <c r="I594" s="57"/>
      <c r="J594" s="38"/>
      <c r="K594" s="38"/>
      <c r="L594" s="57"/>
      <c r="M594" s="38"/>
      <c r="N594" s="57"/>
      <c r="O594" s="38"/>
      <c r="P594" s="38"/>
      <c r="Q594" s="12"/>
    </row>
    <row r="595" spans="1:31" ht="23.1" customHeight="1" x14ac:dyDescent="0.15">
      <c r="D595" s="12"/>
      <c r="E595" s="12"/>
      <c r="F595" s="31"/>
      <c r="G595" s="15"/>
      <c r="H595" s="38"/>
      <c r="I595" s="57"/>
      <c r="J595" s="38"/>
      <c r="K595" s="38"/>
      <c r="L595" s="57"/>
      <c r="M595" s="38"/>
      <c r="N595" s="57"/>
      <c r="O595" s="38"/>
      <c r="P595" s="38"/>
      <c r="Q595" s="12"/>
    </row>
    <row r="596" spans="1:31" ht="23.1" customHeight="1" x14ac:dyDescent="0.15">
      <c r="D596" s="12"/>
      <c r="E596" s="12"/>
      <c r="F596" s="31"/>
      <c r="G596" s="15"/>
      <c r="H596" s="38"/>
      <c r="I596" s="57"/>
      <c r="J596" s="38"/>
      <c r="K596" s="38"/>
      <c r="L596" s="57"/>
      <c r="M596" s="38"/>
      <c r="N596" s="57"/>
      <c r="O596" s="38"/>
      <c r="P596" s="38"/>
      <c r="Q596" s="12"/>
    </row>
    <row r="597" spans="1:31" ht="23.1" customHeight="1" x14ac:dyDescent="0.15">
      <c r="D597" s="12"/>
      <c r="E597" s="12"/>
      <c r="F597" s="31"/>
      <c r="G597" s="15"/>
      <c r="H597" s="38"/>
      <c r="I597" s="57"/>
      <c r="J597" s="38"/>
      <c r="K597" s="38"/>
      <c r="L597" s="57"/>
      <c r="M597" s="38"/>
      <c r="N597" s="57"/>
      <c r="O597" s="38"/>
      <c r="P597" s="38"/>
      <c r="Q597" s="12"/>
    </row>
    <row r="598" spans="1:31" ht="23.1" customHeight="1" x14ac:dyDescent="0.15">
      <c r="D598" s="12"/>
      <c r="E598" s="12"/>
      <c r="F598" s="31"/>
      <c r="G598" s="15"/>
      <c r="H598" s="38"/>
      <c r="I598" s="57"/>
      <c r="J598" s="38"/>
      <c r="K598" s="38"/>
      <c r="L598" s="57"/>
      <c r="M598" s="38"/>
      <c r="N598" s="57"/>
      <c r="O598" s="38"/>
      <c r="P598" s="38"/>
      <c r="Q598" s="12"/>
    </row>
    <row r="599" spans="1:31" ht="23.1" customHeight="1" x14ac:dyDescent="0.15">
      <c r="D599" s="12"/>
      <c r="E599" s="12"/>
      <c r="F599" s="31"/>
      <c r="G599" s="15"/>
      <c r="H599" s="38"/>
      <c r="I599" s="57"/>
      <c r="J599" s="38"/>
      <c r="K599" s="38"/>
      <c r="L599" s="57"/>
      <c r="M599" s="38"/>
      <c r="N599" s="57"/>
      <c r="O599" s="38"/>
      <c r="P599" s="38"/>
      <c r="Q599" s="12"/>
    </row>
    <row r="600" spans="1:31" ht="23.1" customHeight="1" x14ac:dyDescent="0.15">
      <c r="D600" s="12"/>
      <c r="E600" s="12"/>
      <c r="F600" s="31"/>
      <c r="G600" s="15"/>
      <c r="H600" s="38"/>
      <c r="I600" s="57"/>
      <c r="J600" s="38"/>
      <c r="K600" s="38"/>
      <c r="L600" s="57"/>
      <c r="M600" s="38"/>
      <c r="N600" s="57"/>
      <c r="O600" s="38"/>
      <c r="P600" s="38"/>
      <c r="Q600" s="12"/>
    </row>
    <row r="601" spans="1:31" ht="23.1" customHeight="1" x14ac:dyDescent="0.15">
      <c r="B601" s="13" t="s">
        <v>2360</v>
      </c>
      <c r="D601" s="12" t="s">
        <v>2361</v>
      </c>
      <c r="E601" s="12"/>
      <c r="F601" s="31"/>
      <c r="G601" s="15"/>
      <c r="H601" s="38"/>
      <c r="I601" s="57">
        <f>TRUNC(SUM(I576:I600))</f>
        <v>1527040</v>
      </c>
      <c r="J601" s="38"/>
      <c r="K601" s="38"/>
      <c r="L601" s="57">
        <f>TRUNC(SUM(L576:L600))</f>
        <v>10243086</v>
      </c>
      <c r="M601" s="38"/>
      <c r="N601" s="57">
        <f>TRUNC(SUM(N576:N600))</f>
        <v>0</v>
      </c>
      <c r="O601" s="38" t="str">
        <f>IF((H601+K601+M601)=0, "", (H601+K601+M601))</f>
        <v/>
      </c>
      <c r="P601" s="38">
        <f>TRUNC(SUM(P576:P600))</f>
        <v>11770126</v>
      </c>
      <c r="Q601" s="12"/>
    </row>
    <row r="602" spans="1:31" ht="23.1" customHeight="1" x14ac:dyDescent="0.15">
      <c r="B602" s="13" t="s">
        <v>1448</v>
      </c>
      <c r="D602" s="170" t="s">
        <v>3181</v>
      </c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2"/>
    </row>
    <row r="603" spans="1:31" ht="23.1" customHeight="1" x14ac:dyDescent="0.15">
      <c r="A603" s="13" t="s">
        <v>1793</v>
      </c>
      <c r="B603" s="13" t="s">
        <v>3048</v>
      </c>
      <c r="C603" s="13" t="s">
        <v>1794</v>
      </c>
      <c r="D603" s="12" t="s">
        <v>178</v>
      </c>
      <c r="E603" s="12" t="s">
        <v>179</v>
      </c>
      <c r="F603" s="31" t="s">
        <v>166</v>
      </c>
      <c r="G603" s="15">
        <v>29</v>
      </c>
      <c r="H603" s="38">
        <f>일대목차!I37</f>
        <v>449</v>
      </c>
      <c r="I603" s="57">
        <f t="shared" ref="I603:I610" si="107">TRUNC(G603*H603)</f>
        <v>13021</v>
      </c>
      <c r="J603" s="38">
        <v>29</v>
      </c>
      <c r="K603" s="38">
        <f>일대목차!L37</f>
        <v>9852</v>
      </c>
      <c r="L603" s="57">
        <f t="shared" ref="L603:L610" si="108">TRUNC(G603*K603)</f>
        <v>285708</v>
      </c>
      <c r="M603" s="38">
        <f>일대목차!N37</f>
        <v>0</v>
      </c>
      <c r="N603" s="57">
        <f t="shared" ref="N603:N610" si="109">TRUNC(G603*M603)</f>
        <v>0</v>
      </c>
      <c r="O603" s="38">
        <f t="shared" ref="O603:O610" si="110">IF((H603+K603+M603)=0, "", (H603+K603+M603))</f>
        <v>10301</v>
      </c>
      <c r="P603" s="38">
        <f t="shared" ref="P603:P610" si="111">SUM(I603,L603,N603)</f>
        <v>298729</v>
      </c>
      <c r="Q603" s="12" t="s">
        <v>1795</v>
      </c>
      <c r="AA603" s="35">
        <f>I603</f>
        <v>13021</v>
      </c>
      <c r="AC603" s="35">
        <f>G603*H603</f>
        <v>13021</v>
      </c>
      <c r="AE603" s="35">
        <f>L603</f>
        <v>285708</v>
      </c>
    </row>
    <row r="604" spans="1:31" ht="23.1" customHeight="1" x14ac:dyDescent="0.15">
      <c r="A604" s="13" t="s">
        <v>1842</v>
      </c>
      <c r="B604" s="13" t="s">
        <v>3048</v>
      </c>
      <c r="C604" s="13" t="s">
        <v>1843</v>
      </c>
      <c r="D604" s="12" t="s">
        <v>269</v>
      </c>
      <c r="E604" s="12" t="s">
        <v>272</v>
      </c>
      <c r="F604" s="31" t="s">
        <v>200</v>
      </c>
      <c r="G604" s="15">
        <v>3</v>
      </c>
      <c r="H604" s="38">
        <f>일대목차!I53</f>
        <v>1711</v>
      </c>
      <c r="I604" s="57">
        <f t="shared" si="107"/>
        <v>5133</v>
      </c>
      <c r="J604" s="38">
        <v>3</v>
      </c>
      <c r="K604" s="38">
        <f>일대목차!L53</f>
        <v>49261</v>
      </c>
      <c r="L604" s="57">
        <f t="shared" si="108"/>
        <v>147783</v>
      </c>
      <c r="M604" s="38">
        <f>일대목차!N53</f>
        <v>0</v>
      </c>
      <c r="N604" s="57">
        <f t="shared" si="109"/>
        <v>0</v>
      </c>
      <c r="O604" s="38">
        <f t="shared" si="110"/>
        <v>50972</v>
      </c>
      <c r="P604" s="38">
        <f t="shared" si="111"/>
        <v>152916</v>
      </c>
      <c r="Q604" s="12" t="s">
        <v>1844</v>
      </c>
      <c r="AE604" s="35">
        <f>L604</f>
        <v>147783</v>
      </c>
    </row>
    <row r="605" spans="1:31" ht="23.1" customHeight="1" x14ac:dyDescent="0.15">
      <c r="A605" s="13" t="s">
        <v>1851</v>
      </c>
      <c r="B605" s="13" t="s">
        <v>3048</v>
      </c>
      <c r="C605" s="13" t="s">
        <v>1852</v>
      </c>
      <c r="D605" s="12" t="s">
        <v>287</v>
      </c>
      <c r="E605" s="12" t="s">
        <v>288</v>
      </c>
      <c r="F605" s="31" t="s">
        <v>289</v>
      </c>
      <c r="G605" s="15">
        <v>4</v>
      </c>
      <c r="H605" s="38">
        <f>일대목차!I56</f>
        <v>2887</v>
      </c>
      <c r="I605" s="57">
        <f t="shared" si="107"/>
        <v>11548</v>
      </c>
      <c r="J605" s="38">
        <v>4</v>
      </c>
      <c r="K605" s="38">
        <f>일대목차!L56</f>
        <v>9852</v>
      </c>
      <c r="L605" s="57">
        <f t="shared" si="108"/>
        <v>39408</v>
      </c>
      <c r="M605" s="38">
        <f>일대목차!N56</f>
        <v>0</v>
      </c>
      <c r="N605" s="57">
        <f t="shared" si="109"/>
        <v>0</v>
      </c>
      <c r="O605" s="38">
        <f t="shared" si="110"/>
        <v>12739</v>
      </c>
      <c r="P605" s="38">
        <f t="shared" si="111"/>
        <v>50956</v>
      </c>
      <c r="Q605" s="12" t="s">
        <v>1853</v>
      </c>
      <c r="AE605" s="35">
        <f>L605</f>
        <v>39408</v>
      </c>
    </row>
    <row r="606" spans="1:31" ht="23.1" customHeight="1" x14ac:dyDescent="0.15">
      <c r="A606" s="13" t="s">
        <v>2011</v>
      </c>
      <c r="B606" s="13" t="s">
        <v>3048</v>
      </c>
      <c r="C606" s="13" t="s">
        <v>2012</v>
      </c>
      <c r="D606" s="12" t="s">
        <v>499</v>
      </c>
      <c r="E606" s="12" t="s">
        <v>500</v>
      </c>
      <c r="F606" s="31" t="s">
        <v>166</v>
      </c>
      <c r="G606" s="15">
        <v>103</v>
      </c>
      <c r="H606" s="38">
        <f>일대목차!I109</f>
        <v>560</v>
      </c>
      <c r="I606" s="57">
        <f t="shared" si="107"/>
        <v>57680</v>
      </c>
      <c r="J606" s="38">
        <v>103</v>
      </c>
      <c r="K606" s="38">
        <f>일대목차!L109</f>
        <v>6543</v>
      </c>
      <c r="L606" s="57">
        <f t="shared" si="108"/>
        <v>673929</v>
      </c>
      <c r="M606" s="38">
        <f>일대목차!N109</f>
        <v>0</v>
      </c>
      <c r="N606" s="57">
        <f t="shared" si="109"/>
        <v>0</v>
      </c>
      <c r="O606" s="38">
        <f t="shared" si="110"/>
        <v>7103</v>
      </c>
      <c r="P606" s="38">
        <f t="shared" si="111"/>
        <v>731609</v>
      </c>
      <c r="Q606" s="12" t="s">
        <v>2013</v>
      </c>
      <c r="AC606" s="35">
        <f>G606*H606</f>
        <v>57680</v>
      </c>
      <c r="AE606" s="35">
        <f>L606</f>
        <v>673929</v>
      </c>
    </row>
    <row r="607" spans="1:31" ht="23.1" customHeight="1" x14ac:dyDescent="0.15">
      <c r="A607" s="13" t="s">
        <v>1268</v>
      </c>
      <c r="B607" s="13" t="s">
        <v>3048</v>
      </c>
      <c r="C607" s="13" t="s">
        <v>706</v>
      </c>
      <c r="D607" s="12" t="s">
        <v>778</v>
      </c>
      <c r="E607" s="12" t="s">
        <v>781</v>
      </c>
      <c r="F607" s="31" t="s">
        <v>289</v>
      </c>
      <c r="G607" s="15">
        <v>1</v>
      </c>
      <c r="H607" s="38">
        <f>합산자재!H244</f>
        <v>150000</v>
      </c>
      <c r="I607" s="57">
        <f t="shared" si="107"/>
        <v>150000</v>
      </c>
      <c r="J607" s="38">
        <v>1</v>
      </c>
      <c r="K607" s="38">
        <f>합산자재!I244</f>
        <v>0</v>
      </c>
      <c r="L607" s="57">
        <f t="shared" si="108"/>
        <v>0</v>
      </c>
      <c r="M607" s="38">
        <f>합산자재!J244</f>
        <v>0</v>
      </c>
      <c r="N607" s="57">
        <f t="shared" si="109"/>
        <v>0</v>
      </c>
      <c r="O607" s="38">
        <f t="shared" si="110"/>
        <v>150000</v>
      </c>
      <c r="P607" s="38">
        <f t="shared" si="111"/>
        <v>150000</v>
      </c>
      <c r="Q607" s="12"/>
    </row>
    <row r="608" spans="1:31" ht="23.1" customHeight="1" x14ac:dyDescent="0.15">
      <c r="A608" s="13" t="s">
        <v>1269</v>
      </c>
      <c r="B608" s="13" t="s">
        <v>3048</v>
      </c>
      <c r="C608" s="13" t="s">
        <v>706</v>
      </c>
      <c r="D608" s="12" t="s">
        <v>778</v>
      </c>
      <c r="E608" s="12" t="s">
        <v>782</v>
      </c>
      <c r="F608" s="31" t="s">
        <v>289</v>
      </c>
      <c r="G608" s="15">
        <v>1</v>
      </c>
      <c r="H608" s="38">
        <f>합산자재!H245</f>
        <v>180000</v>
      </c>
      <c r="I608" s="57">
        <f t="shared" si="107"/>
        <v>180000</v>
      </c>
      <c r="J608" s="38">
        <v>1</v>
      </c>
      <c r="K608" s="38">
        <f>합산자재!I245</f>
        <v>0</v>
      </c>
      <c r="L608" s="57">
        <f t="shared" si="108"/>
        <v>0</v>
      </c>
      <c r="M608" s="38">
        <f>합산자재!J245</f>
        <v>0</v>
      </c>
      <c r="N608" s="57">
        <f t="shared" si="109"/>
        <v>0</v>
      </c>
      <c r="O608" s="38">
        <f t="shared" si="110"/>
        <v>180000</v>
      </c>
      <c r="P608" s="38">
        <f t="shared" si="111"/>
        <v>180000</v>
      </c>
      <c r="Q608" s="12"/>
    </row>
    <row r="609" spans="1:31" ht="23.1" customHeight="1" x14ac:dyDescent="0.15">
      <c r="A609" s="13" t="s">
        <v>1270</v>
      </c>
      <c r="B609" s="13" t="s">
        <v>3048</v>
      </c>
      <c r="C609" s="13" t="s">
        <v>706</v>
      </c>
      <c r="D609" s="12" t="s">
        <v>778</v>
      </c>
      <c r="E609" s="12" t="s">
        <v>783</v>
      </c>
      <c r="F609" s="31" t="s">
        <v>289</v>
      </c>
      <c r="G609" s="15">
        <v>1</v>
      </c>
      <c r="H609" s="38">
        <f>합산자재!H246</f>
        <v>200000</v>
      </c>
      <c r="I609" s="57">
        <f t="shared" si="107"/>
        <v>200000</v>
      </c>
      <c r="J609" s="38">
        <v>1</v>
      </c>
      <c r="K609" s="38">
        <f>합산자재!I246</f>
        <v>0</v>
      </c>
      <c r="L609" s="57">
        <f t="shared" si="108"/>
        <v>0</v>
      </c>
      <c r="M609" s="38">
        <f>합산자재!J246</f>
        <v>0</v>
      </c>
      <c r="N609" s="57">
        <f t="shared" si="109"/>
        <v>0</v>
      </c>
      <c r="O609" s="38">
        <f t="shared" si="110"/>
        <v>200000</v>
      </c>
      <c r="P609" s="38">
        <f t="shared" si="111"/>
        <v>200000</v>
      </c>
      <c r="Q609" s="12"/>
    </row>
    <row r="610" spans="1:31" ht="23.1" customHeight="1" x14ac:dyDescent="0.15">
      <c r="A610" s="13" t="s">
        <v>1271</v>
      </c>
      <c r="B610" s="13" t="s">
        <v>3048</v>
      </c>
      <c r="C610" s="13" t="s">
        <v>706</v>
      </c>
      <c r="D610" s="12" t="s">
        <v>784</v>
      </c>
      <c r="E610" s="12" t="s">
        <v>785</v>
      </c>
      <c r="F610" s="31" t="s">
        <v>289</v>
      </c>
      <c r="G610" s="15">
        <v>2</v>
      </c>
      <c r="H610" s="38">
        <f>합산자재!H247</f>
        <v>70000</v>
      </c>
      <c r="I610" s="57">
        <f t="shared" si="107"/>
        <v>140000</v>
      </c>
      <c r="J610" s="38">
        <v>2</v>
      </c>
      <c r="K610" s="38">
        <f>합산자재!I247</f>
        <v>0</v>
      </c>
      <c r="L610" s="57">
        <f t="shared" si="108"/>
        <v>0</v>
      </c>
      <c r="M610" s="38">
        <f>합산자재!J247</f>
        <v>0</v>
      </c>
      <c r="N610" s="57">
        <f t="shared" si="109"/>
        <v>0</v>
      </c>
      <c r="O610" s="38">
        <f t="shared" si="110"/>
        <v>70000</v>
      </c>
      <c r="P610" s="38">
        <f t="shared" si="111"/>
        <v>140000</v>
      </c>
      <c r="Q610" s="12"/>
    </row>
    <row r="611" spans="1:31" ht="23.1" customHeight="1" x14ac:dyDescent="0.15">
      <c r="D611" s="12"/>
      <c r="E611" s="12"/>
      <c r="F611" s="31"/>
      <c r="G611" s="15"/>
      <c r="H611" s="38"/>
      <c r="I611" s="57"/>
      <c r="J611" s="38"/>
      <c r="K611" s="38"/>
      <c r="L611" s="57"/>
      <c r="M611" s="38"/>
      <c r="N611" s="57"/>
      <c r="O611" s="38"/>
      <c r="P611" s="38"/>
      <c r="Q611" s="12"/>
      <c r="AE611" s="35">
        <f>TRUNC(SUM(AE602:AE610))</f>
        <v>1146828</v>
      </c>
    </row>
    <row r="612" spans="1:31" ht="23.1" customHeight="1" x14ac:dyDescent="0.15">
      <c r="D612" s="12"/>
      <c r="E612" s="12"/>
      <c r="F612" s="31"/>
      <c r="G612" s="15"/>
      <c r="H612" s="38"/>
      <c r="I612" s="57"/>
      <c r="J612" s="38"/>
      <c r="K612" s="38"/>
      <c r="L612" s="57"/>
      <c r="M612" s="38"/>
      <c r="N612" s="57"/>
      <c r="O612" s="38"/>
      <c r="P612" s="38"/>
      <c r="Q612" s="12"/>
    </row>
    <row r="613" spans="1:31" ht="23.1" customHeight="1" x14ac:dyDescent="0.15">
      <c r="D613" s="12"/>
      <c r="E613" s="12"/>
      <c r="F613" s="31"/>
      <c r="G613" s="15"/>
      <c r="H613" s="38"/>
      <c r="I613" s="57"/>
      <c r="J613" s="38"/>
      <c r="K613" s="38"/>
      <c r="L613" s="57"/>
      <c r="M613" s="38"/>
      <c r="N613" s="57"/>
      <c r="O613" s="38"/>
      <c r="P613" s="38"/>
      <c r="Q613" s="12"/>
    </row>
    <row r="614" spans="1:31" ht="23.1" customHeight="1" x14ac:dyDescent="0.15">
      <c r="D614" s="12"/>
      <c r="E614" s="12"/>
      <c r="F614" s="31"/>
      <c r="G614" s="15"/>
      <c r="H614" s="38"/>
      <c r="I614" s="57"/>
      <c r="J614" s="38"/>
      <c r="K614" s="38"/>
      <c r="L614" s="57"/>
      <c r="M614" s="38"/>
      <c r="N614" s="57"/>
      <c r="O614" s="38"/>
      <c r="P614" s="38"/>
      <c r="Q614" s="12"/>
    </row>
    <row r="615" spans="1:31" ht="23.1" customHeight="1" x14ac:dyDescent="0.15">
      <c r="D615" s="12"/>
      <c r="E615" s="12"/>
      <c r="F615" s="31"/>
      <c r="G615" s="15"/>
      <c r="H615" s="38"/>
      <c r="I615" s="57"/>
      <c r="J615" s="38"/>
      <c r="K615" s="38"/>
      <c r="L615" s="57"/>
      <c r="M615" s="38"/>
      <c r="N615" s="57"/>
      <c r="O615" s="38"/>
      <c r="P615" s="38"/>
      <c r="Q615" s="12"/>
    </row>
    <row r="616" spans="1:31" ht="23.1" customHeight="1" x14ac:dyDescent="0.15">
      <c r="D616" s="12"/>
      <c r="E616" s="12"/>
      <c r="F616" s="31"/>
      <c r="G616" s="15"/>
      <c r="H616" s="38"/>
      <c r="I616" s="57"/>
      <c r="J616" s="38"/>
      <c r="K616" s="38"/>
      <c r="L616" s="57"/>
      <c r="M616" s="38"/>
      <c r="N616" s="57"/>
      <c r="O616" s="38"/>
      <c r="P616" s="38"/>
      <c r="Q616" s="12"/>
    </row>
    <row r="617" spans="1:31" ht="23.1" customHeight="1" x14ac:dyDescent="0.15">
      <c r="D617" s="12"/>
      <c r="E617" s="12"/>
      <c r="F617" s="31"/>
      <c r="G617" s="15"/>
      <c r="H617" s="38"/>
      <c r="I617" s="57"/>
      <c r="J617" s="38"/>
      <c r="K617" s="38"/>
      <c r="L617" s="57"/>
      <c r="M617" s="38"/>
      <c r="N617" s="57"/>
      <c r="O617" s="38"/>
      <c r="P617" s="38"/>
      <c r="Q617" s="12"/>
    </row>
    <row r="618" spans="1:31" ht="23.1" customHeight="1" x14ac:dyDescent="0.15">
      <c r="D618" s="12"/>
      <c r="E618" s="12"/>
      <c r="F618" s="31"/>
      <c r="G618" s="15"/>
      <c r="H618" s="38"/>
      <c r="I618" s="57"/>
      <c r="J618" s="38"/>
      <c r="K618" s="38"/>
      <c r="L618" s="57"/>
      <c r="M618" s="38"/>
      <c r="N618" s="57"/>
      <c r="O618" s="38"/>
      <c r="P618" s="38"/>
      <c r="Q618" s="12"/>
    </row>
    <row r="619" spans="1:31" ht="23.1" customHeight="1" x14ac:dyDescent="0.15">
      <c r="D619" s="12"/>
      <c r="E619" s="12"/>
      <c r="F619" s="31"/>
      <c r="G619" s="15"/>
      <c r="H619" s="38"/>
      <c r="I619" s="57"/>
      <c r="J619" s="38"/>
      <c r="K619" s="38"/>
      <c r="L619" s="57"/>
      <c r="M619" s="38"/>
      <c r="N619" s="57"/>
      <c r="O619" s="38"/>
      <c r="P619" s="38"/>
      <c r="Q619" s="12"/>
    </row>
    <row r="620" spans="1:31" ht="23.1" customHeight="1" x14ac:dyDescent="0.15">
      <c r="D620" s="12"/>
      <c r="E620" s="12"/>
      <c r="F620" s="31"/>
      <c r="G620" s="15"/>
      <c r="H620" s="38"/>
      <c r="I620" s="57"/>
      <c r="J620" s="38"/>
      <c r="K620" s="38"/>
      <c r="L620" s="57"/>
      <c r="M620" s="38"/>
      <c r="N620" s="57"/>
      <c r="O620" s="38"/>
      <c r="P620" s="38"/>
      <c r="Q620" s="12"/>
    </row>
    <row r="621" spans="1:31" ht="23.1" customHeight="1" x14ac:dyDescent="0.15">
      <c r="D621" s="12"/>
      <c r="E621" s="12"/>
      <c r="F621" s="31"/>
      <c r="G621" s="15"/>
      <c r="H621" s="38"/>
      <c r="I621" s="57"/>
      <c r="J621" s="38"/>
      <c r="K621" s="38"/>
      <c r="L621" s="57"/>
      <c r="M621" s="38"/>
      <c r="N621" s="57"/>
      <c r="O621" s="38"/>
      <c r="P621" s="38"/>
      <c r="Q621" s="12"/>
    </row>
    <row r="622" spans="1:31" ht="23.1" customHeight="1" x14ac:dyDescent="0.15">
      <c r="D622" s="12"/>
      <c r="E622" s="12"/>
      <c r="F622" s="31"/>
      <c r="G622" s="15"/>
      <c r="H622" s="38"/>
      <c r="I622" s="57"/>
      <c r="J622" s="38"/>
      <c r="K622" s="38"/>
      <c r="L622" s="57"/>
      <c r="M622" s="38"/>
      <c r="N622" s="57"/>
      <c r="O622" s="38"/>
      <c r="P622" s="38"/>
      <c r="Q622" s="12"/>
    </row>
    <row r="623" spans="1:31" ht="23.1" customHeight="1" x14ac:dyDescent="0.15">
      <c r="D623" s="12"/>
      <c r="E623" s="12"/>
      <c r="F623" s="31"/>
      <c r="G623" s="15"/>
      <c r="H623" s="38"/>
      <c r="I623" s="57"/>
      <c r="J623" s="38"/>
      <c r="K623" s="38"/>
      <c r="L623" s="57"/>
      <c r="M623" s="38"/>
      <c r="N623" s="57"/>
      <c r="O623" s="38"/>
      <c r="P623" s="38"/>
      <c r="Q623" s="12"/>
    </row>
    <row r="624" spans="1:31" ht="23.1" customHeight="1" x14ac:dyDescent="0.15">
      <c r="D624" s="12"/>
      <c r="E624" s="12"/>
      <c r="F624" s="31"/>
      <c r="G624" s="15"/>
      <c r="H624" s="38"/>
      <c r="I624" s="57"/>
      <c r="J624" s="38"/>
      <c r="K624" s="38"/>
      <c r="L624" s="57"/>
      <c r="M624" s="38"/>
      <c r="N624" s="57"/>
      <c r="O624" s="38"/>
      <c r="P624" s="38"/>
      <c r="Q624" s="12"/>
    </row>
    <row r="625" spans="1:31" ht="23.1" customHeight="1" x14ac:dyDescent="0.15">
      <c r="D625" s="12"/>
      <c r="E625" s="12"/>
      <c r="F625" s="31"/>
      <c r="G625" s="15"/>
      <c r="H625" s="38"/>
      <c r="I625" s="57"/>
      <c r="J625" s="38"/>
      <c r="K625" s="38"/>
      <c r="L625" s="57"/>
      <c r="M625" s="38"/>
      <c r="N625" s="57"/>
      <c r="O625" s="38"/>
      <c r="P625" s="38"/>
      <c r="Q625" s="12"/>
    </row>
    <row r="626" spans="1:31" ht="23.1" customHeight="1" x14ac:dyDescent="0.15">
      <c r="D626" s="12"/>
      <c r="E626" s="12"/>
      <c r="F626" s="31"/>
      <c r="G626" s="15"/>
      <c r="H626" s="38"/>
      <c r="I626" s="57"/>
      <c r="J626" s="38"/>
      <c r="K626" s="38"/>
      <c r="L626" s="57"/>
      <c r="M626" s="38"/>
      <c r="N626" s="57"/>
      <c r="O626" s="38"/>
      <c r="P626" s="38"/>
      <c r="Q626" s="12"/>
    </row>
    <row r="627" spans="1:31" ht="23.1" customHeight="1" x14ac:dyDescent="0.15">
      <c r="B627" s="13" t="s">
        <v>2360</v>
      </c>
      <c r="D627" s="12" t="s">
        <v>2361</v>
      </c>
      <c r="E627" s="12"/>
      <c r="F627" s="31"/>
      <c r="G627" s="15"/>
      <c r="H627" s="38"/>
      <c r="I627" s="57">
        <f>TRUNC(SUM(I602:I626))</f>
        <v>757382</v>
      </c>
      <c r="J627" s="38"/>
      <c r="K627" s="38"/>
      <c r="L627" s="57">
        <f>TRUNC(SUM(L602:L626))</f>
        <v>1146828</v>
      </c>
      <c r="M627" s="38"/>
      <c r="N627" s="57">
        <f>TRUNC(SUM(N602:N626))</f>
        <v>0</v>
      </c>
      <c r="O627" s="38" t="str">
        <f>IF((H627+K627+M627)=0, "", (H627+K627+M627))</f>
        <v/>
      </c>
      <c r="P627" s="38">
        <f>TRUNC(SUM(P602:P626))</f>
        <v>1904210</v>
      </c>
      <c r="Q627" s="12"/>
    </row>
    <row r="628" spans="1:31" ht="23.1" customHeight="1" x14ac:dyDescent="0.15">
      <c r="B628" s="13" t="s">
        <v>1448</v>
      </c>
      <c r="D628" s="170" t="s">
        <v>3182</v>
      </c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2"/>
    </row>
    <row r="629" spans="1:31" ht="23.1" customHeight="1" x14ac:dyDescent="0.15">
      <c r="A629" s="13" t="s">
        <v>1800</v>
      </c>
      <c r="B629" s="13" t="s">
        <v>3049</v>
      </c>
      <c r="C629" s="13" t="s">
        <v>1801</v>
      </c>
      <c r="D629" s="12" t="s">
        <v>186</v>
      </c>
      <c r="E629" s="12" t="s">
        <v>187</v>
      </c>
      <c r="F629" s="31" t="s">
        <v>166</v>
      </c>
      <c r="G629" s="15">
        <v>36</v>
      </c>
      <c r="H629" s="38">
        <f>일대목차!I39</f>
        <v>502</v>
      </c>
      <c r="I629" s="57">
        <f t="shared" ref="I629:I647" si="112">TRUNC(G629*H629)</f>
        <v>18072</v>
      </c>
      <c r="J629" s="38">
        <v>36</v>
      </c>
      <c r="K629" s="38">
        <f>일대목차!L39</f>
        <v>4898</v>
      </c>
      <c r="L629" s="57">
        <f t="shared" ref="L629:L647" si="113">TRUNC(G629*K629)</f>
        <v>176328</v>
      </c>
      <c r="M629" s="38">
        <f>일대목차!N39</f>
        <v>0</v>
      </c>
      <c r="N629" s="57">
        <f t="shared" ref="N629:N647" si="114">TRUNC(G629*M629)</f>
        <v>0</v>
      </c>
      <c r="O629" s="38">
        <f t="shared" ref="O629:O647" si="115">IF((H629+K629+M629)=0, "", (H629+K629+M629))</f>
        <v>5400</v>
      </c>
      <c r="P629" s="38">
        <f t="shared" ref="P629:P647" si="116">SUM(I629,L629,N629)</f>
        <v>194400</v>
      </c>
      <c r="Q629" s="12" t="s">
        <v>1802</v>
      </c>
      <c r="AB629" s="35">
        <f>I629</f>
        <v>18072</v>
      </c>
      <c r="AC629" s="35">
        <f>G629*H629</f>
        <v>18072</v>
      </c>
      <c r="AE629" s="35">
        <f t="shared" ref="AE629:AE638" si="117">L629</f>
        <v>176328</v>
      </c>
    </row>
    <row r="630" spans="1:31" ht="23.1" customHeight="1" x14ac:dyDescent="0.15">
      <c r="A630" s="13" t="s">
        <v>1803</v>
      </c>
      <c r="B630" s="13" t="s">
        <v>3049</v>
      </c>
      <c r="C630" s="13" t="s">
        <v>1804</v>
      </c>
      <c r="D630" s="12" t="s">
        <v>186</v>
      </c>
      <c r="E630" s="12" t="s">
        <v>190</v>
      </c>
      <c r="F630" s="31" t="s">
        <v>166</v>
      </c>
      <c r="G630" s="15">
        <v>131</v>
      </c>
      <c r="H630" s="38">
        <f>일대목차!I40</f>
        <v>737</v>
      </c>
      <c r="I630" s="57">
        <f t="shared" si="112"/>
        <v>96547</v>
      </c>
      <c r="J630" s="38">
        <v>131</v>
      </c>
      <c r="K630" s="38">
        <f>일대목차!L40</f>
        <v>6001</v>
      </c>
      <c r="L630" s="57">
        <f t="shared" si="113"/>
        <v>786131</v>
      </c>
      <c r="M630" s="38">
        <f>일대목차!N40</f>
        <v>0</v>
      </c>
      <c r="N630" s="57">
        <f t="shared" si="114"/>
        <v>0</v>
      </c>
      <c r="O630" s="38">
        <f t="shared" si="115"/>
        <v>6738</v>
      </c>
      <c r="P630" s="38">
        <f t="shared" si="116"/>
        <v>882678</v>
      </c>
      <c r="Q630" s="12" t="s">
        <v>1805</v>
      </c>
      <c r="AB630" s="35">
        <f>I630</f>
        <v>96547</v>
      </c>
      <c r="AC630" s="35">
        <f>G630*H630</f>
        <v>96547</v>
      </c>
      <c r="AE630" s="35">
        <f t="shared" si="117"/>
        <v>786131</v>
      </c>
    </row>
    <row r="631" spans="1:31" ht="23.1" customHeight="1" x14ac:dyDescent="0.15">
      <c r="A631" s="13" t="s">
        <v>1857</v>
      </c>
      <c r="B631" s="13" t="s">
        <v>3049</v>
      </c>
      <c r="C631" s="13" t="s">
        <v>1858</v>
      </c>
      <c r="D631" s="12" t="s">
        <v>291</v>
      </c>
      <c r="E631" s="12" t="s">
        <v>294</v>
      </c>
      <c r="F631" s="31" t="s">
        <v>200</v>
      </c>
      <c r="G631" s="15">
        <v>1</v>
      </c>
      <c r="H631" s="38">
        <f>일대목차!I58</f>
        <v>5563</v>
      </c>
      <c r="I631" s="57">
        <f t="shared" si="112"/>
        <v>5563</v>
      </c>
      <c r="J631" s="38">
        <v>1</v>
      </c>
      <c r="K631" s="38">
        <f>일대목차!L58</f>
        <v>135469</v>
      </c>
      <c r="L631" s="57">
        <f t="shared" si="113"/>
        <v>135469</v>
      </c>
      <c r="M631" s="38">
        <f>일대목차!N58</f>
        <v>0</v>
      </c>
      <c r="N631" s="57">
        <f t="shared" si="114"/>
        <v>0</v>
      </c>
      <c r="O631" s="38">
        <f t="shared" si="115"/>
        <v>141032</v>
      </c>
      <c r="P631" s="38">
        <f t="shared" si="116"/>
        <v>141032</v>
      </c>
      <c r="Q631" s="12" t="s">
        <v>1859</v>
      </c>
      <c r="AE631" s="35">
        <f t="shared" si="117"/>
        <v>135469</v>
      </c>
    </row>
    <row r="632" spans="1:31" ht="23.1" customHeight="1" x14ac:dyDescent="0.15">
      <c r="A632" s="13" t="s">
        <v>1951</v>
      </c>
      <c r="B632" s="13" t="s">
        <v>3049</v>
      </c>
      <c r="C632" s="13" t="s">
        <v>1952</v>
      </c>
      <c r="D632" s="12" t="s">
        <v>445</v>
      </c>
      <c r="E632" s="12" t="s">
        <v>446</v>
      </c>
      <c r="F632" s="31" t="s">
        <v>166</v>
      </c>
      <c r="G632" s="15">
        <v>318</v>
      </c>
      <c r="H632" s="38">
        <f>일대목차!I89</f>
        <v>2308</v>
      </c>
      <c r="I632" s="57">
        <f t="shared" si="112"/>
        <v>733944</v>
      </c>
      <c r="J632" s="38">
        <v>318</v>
      </c>
      <c r="K632" s="38">
        <f>일대목차!L89</f>
        <v>4866</v>
      </c>
      <c r="L632" s="57">
        <f t="shared" si="113"/>
        <v>1547388</v>
      </c>
      <c r="M632" s="38">
        <f>일대목차!N89</f>
        <v>0</v>
      </c>
      <c r="N632" s="57">
        <f t="shared" si="114"/>
        <v>0</v>
      </c>
      <c r="O632" s="38">
        <f t="shared" si="115"/>
        <v>7174</v>
      </c>
      <c r="P632" s="38">
        <f t="shared" si="116"/>
        <v>2281332</v>
      </c>
      <c r="Q632" s="12" t="s">
        <v>1953</v>
      </c>
      <c r="AC632" s="35">
        <f>G632*H632</f>
        <v>733944</v>
      </c>
      <c r="AE632" s="35">
        <f t="shared" si="117"/>
        <v>1547388</v>
      </c>
    </row>
    <row r="633" spans="1:31" ht="23.1" customHeight="1" x14ac:dyDescent="0.15">
      <c r="A633" s="13" t="s">
        <v>2062</v>
      </c>
      <c r="B633" s="13" t="s">
        <v>3049</v>
      </c>
      <c r="C633" s="13" t="s">
        <v>2063</v>
      </c>
      <c r="D633" s="12" t="s">
        <v>565</v>
      </c>
      <c r="E633" s="12" t="s">
        <v>566</v>
      </c>
      <c r="F633" s="31" t="s">
        <v>166</v>
      </c>
      <c r="G633" s="15">
        <v>147</v>
      </c>
      <c r="H633" s="38">
        <f>일대목차!I126</f>
        <v>257</v>
      </c>
      <c r="I633" s="57">
        <f t="shared" si="112"/>
        <v>37779</v>
      </c>
      <c r="J633" s="38">
        <v>147</v>
      </c>
      <c r="K633" s="38">
        <f>일대목차!L126</f>
        <v>358</v>
      </c>
      <c r="L633" s="57">
        <f t="shared" si="113"/>
        <v>52626</v>
      </c>
      <c r="M633" s="38">
        <f>일대목차!N126</f>
        <v>0</v>
      </c>
      <c r="N633" s="57">
        <f t="shared" si="114"/>
        <v>0</v>
      </c>
      <c r="O633" s="38">
        <f t="shared" si="115"/>
        <v>615</v>
      </c>
      <c r="P633" s="38">
        <f t="shared" si="116"/>
        <v>90405</v>
      </c>
      <c r="Q633" s="12" t="s">
        <v>2064</v>
      </c>
      <c r="AE633" s="35">
        <f t="shared" si="117"/>
        <v>52626</v>
      </c>
    </row>
    <row r="634" spans="1:31" ht="23.1" customHeight="1" x14ac:dyDescent="0.15">
      <c r="A634" s="13" t="s">
        <v>1684</v>
      </c>
      <c r="B634" s="13" t="s">
        <v>3049</v>
      </c>
      <c r="C634" s="13" t="s">
        <v>1685</v>
      </c>
      <c r="D634" s="12" t="s">
        <v>1674</v>
      </c>
      <c r="E634" s="12" t="s">
        <v>1687</v>
      </c>
      <c r="F634" s="31" t="s">
        <v>792</v>
      </c>
      <c r="G634" s="15">
        <v>4</v>
      </c>
      <c r="H634" s="38">
        <f>일대목차!I9</f>
        <v>19585</v>
      </c>
      <c r="I634" s="57">
        <f t="shared" si="112"/>
        <v>78340</v>
      </c>
      <c r="J634" s="38">
        <v>4</v>
      </c>
      <c r="K634" s="38">
        <f>일대목차!L9</f>
        <v>9852</v>
      </c>
      <c r="L634" s="57">
        <f t="shared" si="113"/>
        <v>39408</v>
      </c>
      <c r="M634" s="38">
        <f>일대목차!N9</f>
        <v>0</v>
      </c>
      <c r="N634" s="57">
        <f t="shared" si="114"/>
        <v>0</v>
      </c>
      <c r="O634" s="38">
        <f t="shared" si="115"/>
        <v>29437</v>
      </c>
      <c r="P634" s="38">
        <f t="shared" si="116"/>
        <v>117748</v>
      </c>
      <c r="Q634" s="12" t="s">
        <v>1686</v>
      </c>
      <c r="AE634" s="35">
        <f t="shared" si="117"/>
        <v>39408</v>
      </c>
    </row>
    <row r="635" spans="1:31" ht="23.1" customHeight="1" x14ac:dyDescent="0.15">
      <c r="A635" s="13" t="s">
        <v>1746</v>
      </c>
      <c r="B635" s="13" t="s">
        <v>3049</v>
      </c>
      <c r="C635" s="13" t="s">
        <v>1747</v>
      </c>
      <c r="D635" s="12" t="s">
        <v>1749</v>
      </c>
      <c r="E635" s="12" t="s">
        <v>236</v>
      </c>
      <c r="F635" s="31" t="s">
        <v>792</v>
      </c>
      <c r="G635" s="15">
        <v>1</v>
      </c>
      <c r="H635" s="38">
        <f>일대목차!I24</f>
        <v>36750</v>
      </c>
      <c r="I635" s="57">
        <f t="shared" si="112"/>
        <v>36750</v>
      </c>
      <c r="J635" s="38">
        <v>1</v>
      </c>
      <c r="K635" s="38">
        <f>일대목차!L24</f>
        <v>80874</v>
      </c>
      <c r="L635" s="57">
        <f t="shared" si="113"/>
        <v>80874</v>
      </c>
      <c r="M635" s="38">
        <f>일대목차!N24</f>
        <v>0</v>
      </c>
      <c r="N635" s="57">
        <f t="shared" si="114"/>
        <v>0</v>
      </c>
      <c r="O635" s="38">
        <f t="shared" si="115"/>
        <v>117624</v>
      </c>
      <c r="P635" s="38">
        <f t="shared" si="116"/>
        <v>117624</v>
      </c>
      <c r="Q635" s="12" t="s">
        <v>1748</v>
      </c>
      <c r="AE635" s="35">
        <f t="shared" si="117"/>
        <v>80874</v>
      </c>
    </row>
    <row r="636" spans="1:31" ht="23.1" customHeight="1" x14ac:dyDescent="0.15">
      <c r="A636" s="13" t="s">
        <v>1662</v>
      </c>
      <c r="B636" s="13" t="s">
        <v>3049</v>
      </c>
      <c r="C636" s="13" t="s">
        <v>1663</v>
      </c>
      <c r="D636" s="12" t="s">
        <v>1665</v>
      </c>
      <c r="E636" s="12" t="s">
        <v>1666</v>
      </c>
      <c r="F636" s="31" t="s">
        <v>980</v>
      </c>
      <c r="G636" s="15">
        <v>44.25</v>
      </c>
      <c r="H636" s="38">
        <f>일대목차!I4</f>
        <v>341</v>
      </c>
      <c r="I636" s="57">
        <f t="shared" si="112"/>
        <v>15089</v>
      </c>
      <c r="J636" s="38">
        <v>44.25</v>
      </c>
      <c r="K636" s="38">
        <f>일대목차!L4</f>
        <v>7929</v>
      </c>
      <c r="L636" s="57">
        <f t="shared" si="113"/>
        <v>350858</v>
      </c>
      <c r="M636" s="38">
        <f>일대목차!N4</f>
        <v>418</v>
      </c>
      <c r="N636" s="57">
        <f t="shared" si="114"/>
        <v>18496</v>
      </c>
      <c r="O636" s="38">
        <f t="shared" si="115"/>
        <v>8688</v>
      </c>
      <c r="P636" s="38">
        <f t="shared" si="116"/>
        <v>384443</v>
      </c>
      <c r="Q636" s="12" t="s">
        <v>1664</v>
      </c>
      <c r="AE636" s="35">
        <f t="shared" si="117"/>
        <v>350858</v>
      </c>
    </row>
    <row r="637" spans="1:31" ht="23.1" customHeight="1" x14ac:dyDescent="0.15">
      <c r="A637" s="13" t="s">
        <v>1667</v>
      </c>
      <c r="B637" s="13" t="s">
        <v>3049</v>
      </c>
      <c r="C637" s="13" t="s">
        <v>1668</v>
      </c>
      <c r="D637" s="12" t="s">
        <v>1670</v>
      </c>
      <c r="E637" s="12" t="s">
        <v>1666</v>
      </c>
      <c r="F637" s="31" t="s">
        <v>980</v>
      </c>
      <c r="G637" s="15">
        <v>44.25</v>
      </c>
      <c r="H637" s="38">
        <f>일대목차!I5</f>
        <v>341</v>
      </c>
      <c r="I637" s="57">
        <f t="shared" si="112"/>
        <v>15089</v>
      </c>
      <c r="J637" s="38">
        <v>44.25</v>
      </c>
      <c r="K637" s="38">
        <f>일대목차!L5</f>
        <v>4488</v>
      </c>
      <c r="L637" s="57">
        <f t="shared" si="113"/>
        <v>198594</v>
      </c>
      <c r="M637" s="38">
        <f>일대목차!N5</f>
        <v>418</v>
      </c>
      <c r="N637" s="57">
        <f t="shared" si="114"/>
        <v>18496</v>
      </c>
      <c r="O637" s="38">
        <f t="shared" si="115"/>
        <v>5247</v>
      </c>
      <c r="P637" s="38">
        <f t="shared" si="116"/>
        <v>232179</v>
      </c>
      <c r="Q637" s="12" t="s">
        <v>1669</v>
      </c>
      <c r="AE637" s="35">
        <f t="shared" si="117"/>
        <v>198594</v>
      </c>
    </row>
    <row r="638" spans="1:31" ht="23.1" customHeight="1" x14ac:dyDescent="0.15">
      <c r="A638" s="13" t="s">
        <v>2110</v>
      </c>
      <c r="B638" s="13" t="s">
        <v>3049</v>
      </c>
      <c r="C638" s="13" t="s">
        <v>2111</v>
      </c>
      <c r="D638" s="12" t="s">
        <v>656</v>
      </c>
      <c r="E638" s="12" t="s">
        <v>664</v>
      </c>
      <c r="F638" s="31" t="s">
        <v>166</v>
      </c>
      <c r="G638" s="15">
        <v>6</v>
      </c>
      <c r="H638" s="38">
        <f>일대목차!I142</f>
        <v>6369</v>
      </c>
      <c r="I638" s="57">
        <f t="shared" si="112"/>
        <v>38214</v>
      </c>
      <c r="J638" s="38">
        <v>6</v>
      </c>
      <c r="K638" s="38">
        <f>일대목차!L142</f>
        <v>29557</v>
      </c>
      <c r="L638" s="57">
        <f t="shared" si="113"/>
        <v>177342</v>
      </c>
      <c r="M638" s="38">
        <f>일대목차!N142</f>
        <v>0</v>
      </c>
      <c r="N638" s="57">
        <f t="shared" si="114"/>
        <v>0</v>
      </c>
      <c r="O638" s="38">
        <f t="shared" si="115"/>
        <v>35926</v>
      </c>
      <c r="P638" s="38">
        <f t="shared" si="116"/>
        <v>215556</v>
      </c>
      <c r="Q638" s="12" t="s">
        <v>2112</v>
      </c>
      <c r="AB638" s="35">
        <f>I638</f>
        <v>38214</v>
      </c>
      <c r="AC638" s="35">
        <f>G638*H638</f>
        <v>38214</v>
      </c>
      <c r="AE638" s="35">
        <f t="shared" si="117"/>
        <v>177342</v>
      </c>
    </row>
    <row r="639" spans="1:31" ht="23.1" customHeight="1" x14ac:dyDescent="0.15">
      <c r="A639" s="13" t="s">
        <v>1210</v>
      </c>
      <c r="B639" s="13" t="s">
        <v>3049</v>
      </c>
      <c r="C639" s="13" t="s">
        <v>678</v>
      </c>
      <c r="D639" s="12" t="s">
        <v>672</v>
      </c>
      <c r="E639" s="12" t="s">
        <v>679</v>
      </c>
      <c r="F639" s="31" t="s">
        <v>200</v>
      </c>
      <c r="G639" s="15">
        <v>1</v>
      </c>
      <c r="H639" s="38">
        <f>합산자재!H186</f>
        <v>1811</v>
      </c>
      <c r="I639" s="57">
        <f t="shared" si="112"/>
        <v>1811</v>
      </c>
      <c r="J639" s="38">
        <v>1</v>
      </c>
      <c r="K639" s="38">
        <f>합산자재!I186</f>
        <v>0</v>
      </c>
      <c r="L639" s="57">
        <f t="shared" si="113"/>
        <v>0</v>
      </c>
      <c r="M639" s="38">
        <f>합산자재!J186</f>
        <v>0</v>
      </c>
      <c r="N639" s="57">
        <f t="shared" si="114"/>
        <v>0</v>
      </c>
      <c r="O639" s="38">
        <f t="shared" si="115"/>
        <v>1811</v>
      </c>
      <c r="P639" s="38">
        <f t="shared" si="116"/>
        <v>1811</v>
      </c>
      <c r="Q639" s="12"/>
    </row>
    <row r="640" spans="1:31" ht="23.1" customHeight="1" x14ac:dyDescent="0.15">
      <c r="A640" s="13" t="s">
        <v>1217</v>
      </c>
      <c r="B640" s="13" t="s">
        <v>3049</v>
      </c>
      <c r="C640" s="13" t="s">
        <v>692</v>
      </c>
      <c r="D640" s="12" t="s">
        <v>672</v>
      </c>
      <c r="E640" s="12" t="s">
        <v>693</v>
      </c>
      <c r="F640" s="31" t="s">
        <v>200</v>
      </c>
      <c r="G640" s="15">
        <v>2</v>
      </c>
      <c r="H640" s="38">
        <f>합산자재!H193</f>
        <v>1983</v>
      </c>
      <c r="I640" s="57">
        <f t="shared" si="112"/>
        <v>3966</v>
      </c>
      <c r="J640" s="38">
        <v>2</v>
      </c>
      <c r="K640" s="38">
        <f>합산자재!I193</f>
        <v>0</v>
      </c>
      <c r="L640" s="57">
        <f t="shared" si="113"/>
        <v>0</v>
      </c>
      <c r="M640" s="38">
        <f>합산자재!J193</f>
        <v>0</v>
      </c>
      <c r="N640" s="57">
        <f t="shared" si="114"/>
        <v>0</v>
      </c>
      <c r="O640" s="38">
        <f t="shared" si="115"/>
        <v>1983</v>
      </c>
      <c r="P640" s="38">
        <f t="shared" si="116"/>
        <v>3966</v>
      </c>
      <c r="Q640" s="12"/>
    </row>
    <row r="641" spans="1:31" ht="23.1" customHeight="1" x14ac:dyDescent="0.15">
      <c r="A641" s="13" t="s">
        <v>1222</v>
      </c>
      <c r="B641" s="13" t="s">
        <v>3049</v>
      </c>
      <c r="C641" s="13" t="s">
        <v>702</v>
      </c>
      <c r="D641" s="12" t="s">
        <v>701</v>
      </c>
      <c r="E641" s="12" t="s">
        <v>664</v>
      </c>
      <c r="F641" s="31" t="s">
        <v>200</v>
      </c>
      <c r="G641" s="15">
        <v>2</v>
      </c>
      <c r="H641" s="38">
        <f>합산자재!H198</f>
        <v>4640</v>
      </c>
      <c r="I641" s="57">
        <f t="shared" si="112"/>
        <v>9280</v>
      </c>
      <c r="J641" s="38">
        <v>2</v>
      </c>
      <c r="K641" s="38">
        <f>합산자재!I198</f>
        <v>0</v>
      </c>
      <c r="L641" s="57">
        <f t="shared" si="113"/>
        <v>0</v>
      </c>
      <c r="M641" s="38">
        <f>합산자재!J198</f>
        <v>0</v>
      </c>
      <c r="N641" s="57">
        <f t="shared" si="114"/>
        <v>0</v>
      </c>
      <c r="O641" s="38">
        <f t="shared" si="115"/>
        <v>4640</v>
      </c>
      <c r="P641" s="38">
        <f t="shared" si="116"/>
        <v>9280</v>
      </c>
      <c r="Q641" s="12"/>
    </row>
    <row r="642" spans="1:31" ht="23.1" customHeight="1" x14ac:dyDescent="0.15">
      <c r="A642" s="13" t="s">
        <v>2122</v>
      </c>
      <c r="B642" s="13" t="s">
        <v>3049</v>
      </c>
      <c r="C642" s="13" t="s">
        <v>2123</v>
      </c>
      <c r="D642" s="12" t="s">
        <v>707</v>
      </c>
      <c r="E642" s="12"/>
      <c r="F642" s="31" t="s">
        <v>200</v>
      </c>
      <c r="G642" s="15">
        <v>9</v>
      </c>
      <c r="H642" s="38">
        <f>일대목차!I146</f>
        <v>50727</v>
      </c>
      <c r="I642" s="57">
        <f t="shared" si="112"/>
        <v>456543</v>
      </c>
      <c r="J642" s="38">
        <v>9</v>
      </c>
      <c r="K642" s="38">
        <f>일대목차!L146</f>
        <v>36398</v>
      </c>
      <c r="L642" s="57">
        <f t="shared" si="113"/>
        <v>327582</v>
      </c>
      <c r="M642" s="38">
        <f>일대목차!N146</f>
        <v>0</v>
      </c>
      <c r="N642" s="57">
        <f t="shared" si="114"/>
        <v>0</v>
      </c>
      <c r="O642" s="38">
        <f t="shared" si="115"/>
        <v>87125</v>
      </c>
      <c r="P642" s="38">
        <f t="shared" si="116"/>
        <v>784125</v>
      </c>
      <c r="Q642" s="12" t="s">
        <v>2124</v>
      </c>
      <c r="AE642" s="35">
        <f>L642</f>
        <v>327582</v>
      </c>
    </row>
    <row r="643" spans="1:31" ht="23.1" customHeight="1" x14ac:dyDescent="0.15">
      <c r="A643" s="13" t="s">
        <v>2299</v>
      </c>
      <c r="B643" s="13" t="s">
        <v>3049</v>
      </c>
      <c r="C643" s="13" t="s">
        <v>2300</v>
      </c>
      <c r="D643" s="12" t="s">
        <v>952</v>
      </c>
      <c r="E643" s="12" t="s">
        <v>953</v>
      </c>
      <c r="F643" s="31" t="s">
        <v>710</v>
      </c>
      <c r="G643" s="15">
        <v>9</v>
      </c>
      <c r="H643" s="38"/>
      <c r="I643" s="57">
        <f t="shared" si="112"/>
        <v>0</v>
      </c>
      <c r="J643" s="38">
        <v>9</v>
      </c>
      <c r="K643" s="38"/>
      <c r="L643" s="57">
        <f t="shared" si="113"/>
        <v>0</v>
      </c>
      <c r="M643" s="38"/>
      <c r="N643" s="57">
        <f t="shared" si="114"/>
        <v>0</v>
      </c>
      <c r="O643" s="38" t="str">
        <f t="shared" si="115"/>
        <v/>
      </c>
      <c r="P643" s="38">
        <f t="shared" si="116"/>
        <v>0</v>
      </c>
      <c r="Q643" s="12" t="s">
        <v>2378</v>
      </c>
    </row>
    <row r="644" spans="1:31" ht="23.1" customHeight="1" x14ac:dyDescent="0.15">
      <c r="A644" s="13" t="s">
        <v>1351</v>
      </c>
      <c r="B644" s="13" t="s">
        <v>3049</v>
      </c>
      <c r="C644" s="13" t="s">
        <v>956</v>
      </c>
      <c r="D644" s="12" t="s">
        <v>952</v>
      </c>
      <c r="E644" s="12" t="s">
        <v>957</v>
      </c>
      <c r="F644" s="31" t="s">
        <v>710</v>
      </c>
      <c r="G644" s="15">
        <v>9</v>
      </c>
      <c r="H644" s="38"/>
      <c r="I644" s="57">
        <f t="shared" si="112"/>
        <v>0</v>
      </c>
      <c r="J644" s="38">
        <v>9</v>
      </c>
      <c r="K644" s="38">
        <f>합산자재!I327</f>
        <v>0</v>
      </c>
      <c r="L644" s="57">
        <f t="shared" si="113"/>
        <v>0</v>
      </c>
      <c r="M644" s="38">
        <f>합산자재!J327</f>
        <v>0</v>
      </c>
      <c r="N644" s="57">
        <f t="shared" si="114"/>
        <v>0</v>
      </c>
      <c r="O644" s="38" t="str">
        <f t="shared" si="115"/>
        <v/>
      </c>
      <c r="P644" s="38">
        <f t="shared" si="116"/>
        <v>0</v>
      </c>
      <c r="Q644" s="12" t="s">
        <v>2378</v>
      </c>
    </row>
    <row r="645" spans="1:31" ht="23.1" customHeight="1" x14ac:dyDescent="0.15">
      <c r="A645" s="13" t="s">
        <v>1350</v>
      </c>
      <c r="B645" s="13" t="s">
        <v>3049</v>
      </c>
      <c r="C645" s="13" t="s">
        <v>954</v>
      </c>
      <c r="D645" s="12" t="s">
        <v>952</v>
      </c>
      <c r="E645" s="12" t="s">
        <v>955</v>
      </c>
      <c r="F645" s="31" t="s">
        <v>710</v>
      </c>
      <c r="G645" s="15">
        <v>9</v>
      </c>
      <c r="H645" s="38"/>
      <c r="I645" s="57">
        <f t="shared" si="112"/>
        <v>0</v>
      </c>
      <c r="J645" s="38">
        <v>9</v>
      </c>
      <c r="K645" s="38">
        <f>합산자재!I326</f>
        <v>0</v>
      </c>
      <c r="L645" s="57">
        <f t="shared" si="113"/>
        <v>0</v>
      </c>
      <c r="M645" s="38">
        <f>합산자재!J326</f>
        <v>0</v>
      </c>
      <c r="N645" s="57">
        <f t="shared" si="114"/>
        <v>0</v>
      </c>
      <c r="O645" s="38" t="str">
        <f t="shared" si="115"/>
        <v/>
      </c>
      <c r="P645" s="38">
        <f t="shared" si="116"/>
        <v>0</v>
      </c>
      <c r="Q645" s="12" t="s">
        <v>2378</v>
      </c>
    </row>
    <row r="646" spans="1:31" ht="23.1" customHeight="1" x14ac:dyDescent="0.15">
      <c r="A646" s="13" t="s">
        <v>1294</v>
      </c>
      <c r="B646" s="13" t="s">
        <v>3049</v>
      </c>
      <c r="C646" s="13" t="s">
        <v>706</v>
      </c>
      <c r="D646" s="12" t="s">
        <v>835</v>
      </c>
      <c r="E646" s="12" t="s">
        <v>836</v>
      </c>
      <c r="F646" s="31" t="s">
        <v>289</v>
      </c>
      <c r="G646" s="15">
        <v>9</v>
      </c>
      <c r="H646" s="38">
        <f>합산자재!H270</f>
        <v>100000</v>
      </c>
      <c r="I646" s="57">
        <f t="shared" si="112"/>
        <v>900000</v>
      </c>
      <c r="J646" s="38">
        <v>9</v>
      </c>
      <c r="K646" s="38">
        <f>합산자재!I270</f>
        <v>0</v>
      </c>
      <c r="L646" s="57">
        <f t="shared" si="113"/>
        <v>0</v>
      </c>
      <c r="M646" s="38">
        <f>합산자재!J270</f>
        <v>0</v>
      </c>
      <c r="N646" s="57">
        <f t="shared" si="114"/>
        <v>0</v>
      </c>
      <c r="O646" s="38">
        <f t="shared" si="115"/>
        <v>100000</v>
      </c>
      <c r="P646" s="38">
        <f t="shared" si="116"/>
        <v>900000</v>
      </c>
      <c r="Q646" s="12"/>
    </row>
    <row r="647" spans="1:31" ht="23.1" customHeight="1" x14ac:dyDescent="0.15">
      <c r="A647" s="13" t="s">
        <v>1760</v>
      </c>
      <c r="B647" s="13" t="s">
        <v>3049</v>
      </c>
      <c r="C647" s="13" t="s">
        <v>1761</v>
      </c>
      <c r="D647" s="12" t="s">
        <v>1763</v>
      </c>
      <c r="E647" s="12" t="s">
        <v>1409</v>
      </c>
      <c r="F647" s="31" t="s">
        <v>554</v>
      </c>
      <c r="G647" s="15">
        <v>9</v>
      </c>
      <c r="H647" s="38">
        <f>일대목차!I28</f>
        <v>1696</v>
      </c>
      <c r="I647" s="57">
        <f t="shared" si="112"/>
        <v>15264</v>
      </c>
      <c r="J647" s="38">
        <v>9</v>
      </c>
      <c r="K647" s="38">
        <f>일대목차!L28</f>
        <v>84839</v>
      </c>
      <c r="L647" s="57">
        <f t="shared" si="113"/>
        <v>763551</v>
      </c>
      <c r="M647" s="38">
        <f>일대목차!N28</f>
        <v>37543</v>
      </c>
      <c r="N647" s="57">
        <f t="shared" si="114"/>
        <v>337887</v>
      </c>
      <c r="O647" s="38">
        <f t="shared" si="115"/>
        <v>124078</v>
      </c>
      <c r="P647" s="38">
        <f t="shared" si="116"/>
        <v>1116702</v>
      </c>
      <c r="Q647" s="12" t="s">
        <v>1762</v>
      </c>
      <c r="AE647" s="35">
        <f>L647</f>
        <v>763551</v>
      </c>
    </row>
    <row r="648" spans="1:31" ht="23.1" customHeight="1" x14ac:dyDescent="0.15">
      <c r="D648" s="12"/>
      <c r="E648" s="12"/>
      <c r="F648" s="31"/>
      <c r="G648" s="15"/>
      <c r="H648" s="38"/>
      <c r="I648" s="57"/>
      <c r="J648" s="38"/>
      <c r="K648" s="38"/>
      <c r="L648" s="57"/>
      <c r="M648" s="38"/>
      <c r="N648" s="57"/>
      <c r="O648" s="38"/>
      <c r="P648" s="38"/>
      <c r="Q648" s="12"/>
      <c r="AE648" s="35">
        <f>TRUNC(SUM(AE628:AE647))</f>
        <v>4636151</v>
      </c>
    </row>
    <row r="649" spans="1:31" ht="23.1" customHeight="1" x14ac:dyDescent="0.15">
      <c r="D649" s="12"/>
      <c r="E649" s="12"/>
      <c r="F649" s="31"/>
      <c r="G649" s="15"/>
      <c r="H649" s="38"/>
      <c r="I649" s="57"/>
      <c r="J649" s="38"/>
      <c r="K649" s="38"/>
      <c r="L649" s="57"/>
      <c r="M649" s="38"/>
      <c r="N649" s="57"/>
      <c r="O649" s="38"/>
      <c r="P649" s="38"/>
      <c r="Q649" s="12"/>
    </row>
    <row r="650" spans="1:31" ht="23.1" customHeight="1" x14ac:dyDescent="0.15">
      <c r="D650" s="12"/>
      <c r="E650" s="12"/>
      <c r="F650" s="31"/>
      <c r="G650" s="15"/>
      <c r="H650" s="38"/>
      <c r="I650" s="57"/>
      <c r="J650" s="38"/>
      <c r="K650" s="38"/>
      <c r="L650" s="57"/>
      <c r="M650" s="38"/>
      <c r="N650" s="57"/>
      <c r="O650" s="38"/>
      <c r="P650" s="38"/>
      <c r="Q650" s="12"/>
    </row>
    <row r="651" spans="1:31" ht="23.1" customHeight="1" x14ac:dyDescent="0.15">
      <c r="D651" s="12"/>
      <c r="E651" s="12"/>
      <c r="F651" s="31"/>
      <c r="G651" s="15"/>
      <c r="H651" s="38"/>
      <c r="I651" s="57"/>
      <c r="J651" s="38"/>
      <c r="K651" s="38"/>
      <c r="L651" s="57"/>
      <c r="M651" s="38"/>
      <c r="N651" s="57"/>
      <c r="O651" s="38"/>
      <c r="P651" s="38"/>
      <c r="Q651" s="12"/>
    </row>
    <row r="652" spans="1:31" ht="23.1" customHeight="1" x14ac:dyDescent="0.15">
      <c r="D652" s="12"/>
      <c r="E652" s="12"/>
      <c r="F652" s="31"/>
      <c r="G652" s="15"/>
      <c r="H652" s="38"/>
      <c r="I652" s="57"/>
      <c r="J652" s="38"/>
      <c r="K652" s="38"/>
      <c r="L652" s="57"/>
      <c r="M652" s="38"/>
      <c r="N652" s="57"/>
      <c r="O652" s="38"/>
      <c r="P652" s="38"/>
      <c r="Q652" s="12"/>
    </row>
    <row r="653" spans="1:31" ht="23.1" customHeight="1" x14ac:dyDescent="0.15">
      <c r="B653" s="13" t="s">
        <v>2360</v>
      </c>
      <c r="D653" s="12" t="s">
        <v>2361</v>
      </c>
      <c r="E653" s="12"/>
      <c r="F653" s="31"/>
      <c r="G653" s="15"/>
      <c r="H653" s="38"/>
      <c r="I653" s="57">
        <f>TRUNC(SUM(I628:I652))</f>
        <v>2462251</v>
      </c>
      <c r="J653" s="38"/>
      <c r="K653" s="38"/>
      <c r="L653" s="57">
        <f>TRUNC(SUM(L628:L652))</f>
        <v>4636151</v>
      </c>
      <c r="M653" s="38"/>
      <c r="N653" s="57">
        <f>TRUNC(SUM(N628:N652))</f>
        <v>374879</v>
      </c>
      <c r="O653" s="38" t="str">
        <f>IF((H653+K653+M653)=0, "", (H653+K653+M653))</f>
        <v/>
      </c>
      <c r="P653" s="38">
        <f>TRUNC(SUM(P628:P652))</f>
        <v>7473281</v>
      </c>
      <c r="Q653" s="12"/>
    </row>
    <row r="654" spans="1:31" ht="23.1" customHeight="1" x14ac:dyDescent="0.15">
      <c r="B654" s="13" t="s">
        <v>1448</v>
      </c>
      <c r="D654" s="170" t="s">
        <v>3183</v>
      </c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2"/>
    </row>
    <row r="655" spans="1:31" ht="23.1" customHeight="1" x14ac:dyDescent="0.15">
      <c r="A655" s="13" t="s">
        <v>1781</v>
      </c>
      <c r="B655" s="13" t="s">
        <v>3050</v>
      </c>
      <c r="C655" s="13" t="s">
        <v>1782</v>
      </c>
      <c r="D655" s="12" t="s">
        <v>164</v>
      </c>
      <c r="E655" s="12" t="s">
        <v>165</v>
      </c>
      <c r="F655" s="31" t="s">
        <v>166</v>
      </c>
      <c r="G655" s="15">
        <v>35</v>
      </c>
      <c r="H655" s="38">
        <f>일대목차!I33</f>
        <v>613</v>
      </c>
      <c r="I655" s="57">
        <f t="shared" ref="I655:I686" si="118">TRUNC(G655*H655)</f>
        <v>21455</v>
      </c>
      <c r="J655" s="38">
        <v>35</v>
      </c>
      <c r="K655" s="38">
        <f>일대목차!L33</f>
        <v>12315</v>
      </c>
      <c r="L655" s="57">
        <f t="shared" ref="L655:L686" si="119">TRUNC(G655*K655)</f>
        <v>431025</v>
      </c>
      <c r="M655" s="38">
        <f>일대목차!N33</f>
        <v>0</v>
      </c>
      <c r="N655" s="57">
        <f t="shared" ref="N655:N686" si="120">TRUNC(G655*M655)</f>
        <v>0</v>
      </c>
      <c r="O655" s="38">
        <f t="shared" ref="O655:O686" si="121">IF((H655+K655+M655)=0, "", (H655+K655+M655))</f>
        <v>12928</v>
      </c>
      <c r="P655" s="38">
        <f t="shared" ref="P655:P686" si="122">SUM(I655,L655,N655)</f>
        <v>452480</v>
      </c>
      <c r="Q655" s="12" t="s">
        <v>1783</v>
      </c>
      <c r="AB655" s="35">
        <f>I655</f>
        <v>21455</v>
      </c>
      <c r="AC655" s="35">
        <f>G655*H655</f>
        <v>21455</v>
      </c>
      <c r="AE655" s="35">
        <f>L655</f>
        <v>431025</v>
      </c>
    </row>
    <row r="656" spans="1:31" ht="23.1" customHeight="1" x14ac:dyDescent="0.15">
      <c r="A656" s="13" t="s">
        <v>1790</v>
      </c>
      <c r="B656" s="13" t="s">
        <v>3050</v>
      </c>
      <c r="C656" s="13" t="s">
        <v>1791</v>
      </c>
      <c r="D656" s="12" t="s">
        <v>164</v>
      </c>
      <c r="E656" s="12" t="s">
        <v>176</v>
      </c>
      <c r="F656" s="31" t="s">
        <v>166</v>
      </c>
      <c r="G656" s="15">
        <v>196</v>
      </c>
      <c r="H656" s="38">
        <f>일대목차!I36</f>
        <v>2196</v>
      </c>
      <c r="I656" s="57">
        <f t="shared" si="118"/>
        <v>430416</v>
      </c>
      <c r="J656" s="38">
        <v>196</v>
      </c>
      <c r="K656" s="38">
        <f>일대목차!L36</f>
        <v>32020</v>
      </c>
      <c r="L656" s="57">
        <f t="shared" si="119"/>
        <v>6275920</v>
      </c>
      <c r="M656" s="38">
        <f>일대목차!N36</f>
        <v>0</v>
      </c>
      <c r="N656" s="57">
        <f t="shared" si="120"/>
        <v>0</v>
      </c>
      <c r="O656" s="38">
        <f t="shared" si="121"/>
        <v>34216</v>
      </c>
      <c r="P656" s="38">
        <f t="shared" si="122"/>
        <v>6706336</v>
      </c>
      <c r="Q656" s="12" t="s">
        <v>1792</v>
      </c>
      <c r="AB656" s="35">
        <f>I656</f>
        <v>430416</v>
      </c>
      <c r="AC656" s="35">
        <f>G656*H656</f>
        <v>430416</v>
      </c>
      <c r="AE656" s="35">
        <f>L656</f>
        <v>6275920</v>
      </c>
    </row>
    <row r="657" spans="1:31" ht="23.1" customHeight="1" x14ac:dyDescent="0.15">
      <c r="A657" s="13" t="s">
        <v>1806</v>
      </c>
      <c r="B657" s="13" t="s">
        <v>3050</v>
      </c>
      <c r="C657" s="13" t="s">
        <v>1807</v>
      </c>
      <c r="D657" s="12" t="s">
        <v>186</v>
      </c>
      <c r="E657" s="12" t="s">
        <v>193</v>
      </c>
      <c r="F657" s="31" t="s">
        <v>166</v>
      </c>
      <c r="G657" s="15">
        <v>12</v>
      </c>
      <c r="H657" s="38">
        <f>일대목차!I41</f>
        <v>1318</v>
      </c>
      <c r="I657" s="57">
        <f t="shared" si="118"/>
        <v>15816</v>
      </c>
      <c r="J657" s="38">
        <v>12</v>
      </c>
      <c r="K657" s="38">
        <f>일대목차!L41</f>
        <v>7520</v>
      </c>
      <c r="L657" s="57">
        <f t="shared" si="119"/>
        <v>90240</v>
      </c>
      <c r="M657" s="38">
        <f>일대목차!N41</f>
        <v>0</v>
      </c>
      <c r="N657" s="57">
        <f t="shared" si="120"/>
        <v>0</v>
      </c>
      <c r="O657" s="38">
        <f t="shared" si="121"/>
        <v>8838</v>
      </c>
      <c r="P657" s="38">
        <f t="shared" si="122"/>
        <v>106056</v>
      </c>
      <c r="Q657" s="12" t="s">
        <v>1808</v>
      </c>
      <c r="AB657" s="35">
        <f>I657</f>
        <v>15816</v>
      </c>
      <c r="AC657" s="35">
        <f>G657*H657</f>
        <v>15816</v>
      </c>
      <c r="AE657" s="35">
        <f>L657</f>
        <v>90240</v>
      </c>
    </row>
    <row r="658" spans="1:31" ht="23.1" customHeight="1" x14ac:dyDescent="0.15">
      <c r="A658" s="13" t="s">
        <v>1809</v>
      </c>
      <c r="B658" s="13" t="s">
        <v>3050</v>
      </c>
      <c r="C658" s="13" t="s">
        <v>1810</v>
      </c>
      <c r="D658" s="12" t="s">
        <v>186</v>
      </c>
      <c r="E658" s="12" t="s">
        <v>196</v>
      </c>
      <c r="F658" s="31" t="s">
        <v>166</v>
      </c>
      <c r="G658" s="15">
        <v>120</v>
      </c>
      <c r="H658" s="38">
        <f>일대목차!I42</f>
        <v>3567</v>
      </c>
      <c r="I658" s="57">
        <f t="shared" si="118"/>
        <v>428040</v>
      </c>
      <c r="J658" s="38">
        <v>120</v>
      </c>
      <c r="K658" s="38">
        <f>일대목차!L42</f>
        <v>13408</v>
      </c>
      <c r="L658" s="57">
        <f t="shared" si="119"/>
        <v>1608960</v>
      </c>
      <c r="M658" s="38">
        <f>일대목차!N42</f>
        <v>0</v>
      </c>
      <c r="N658" s="57">
        <f t="shared" si="120"/>
        <v>0</v>
      </c>
      <c r="O658" s="38">
        <f t="shared" si="121"/>
        <v>16975</v>
      </c>
      <c r="P658" s="38">
        <f t="shared" si="122"/>
        <v>2037000</v>
      </c>
      <c r="Q658" s="12" t="s">
        <v>1811</v>
      </c>
      <c r="AB658" s="35">
        <f>I658</f>
        <v>428040</v>
      </c>
      <c r="AC658" s="35">
        <f>G658*H658</f>
        <v>428040</v>
      </c>
      <c r="AE658" s="35">
        <f>L658</f>
        <v>1608960</v>
      </c>
    </row>
    <row r="659" spans="1:31" ht="23.1" customHeight="1" x14ac:dyDescent="0.15">
      <c r="A659" s="13" t="s">
        <v>1063</v>
      </c>
      <c r="B659" s="13" t="s">
        <v>3050</v>
      </c>
      <c r="C659" s="13" t="s">
        <v>257</v>
      </c>
      <c r="D659" s="12" t="s">
        <v>253</v>
      </c>
      <c r="E659" s="12" t="s">
        <v>258</v>
      </c>
      <c r="F659" s="31" t="s">
        <v>200</v>
      </c>
      <c r="G659" s="15">
        <v>28</v>
      </c>
      <c r="H659" s="38">
        <f>합산자재!H39</f>
        <v>1335</v>
      </c>
      <c r="I659" s="57">
        <f t="shared" si="118"/>
        <v>37380</v>
      </c>
      <c r="J659" s="38">
        <v>28</v>
      </c>
      <c r="K659" s="38">
        <f>합산자재!I39</f>
        <v>0</v>
      </c>
      <c r="L659" s="57">
        <f t="shared" si="119"/>
        <v>0</v>
      </c>
      <c r="M659" s="38">
        <f>합산자재!J39</f>
        <v>0</v>
      </c>
      <c r="N659" s="57">
        <f t="shared" si="120"/>
        <v>0</v>
      </c>
      <c r="O659" s="38">
        <f t="shared" si="121"/>
        <v>1335</v>
      </c>
      <c r="P659" s="38">
        <f t="shared" si="122"/>
        <v>37380</v>
      </c>
      <c r="Q659" s="12"/>
    </row>
    <row r="660" spans="1:31" ht="23.1" customHeight="1" x14ac:dyDescent="0.15">
      <c r="A660" s="13" t="s">
        <v>1857</v>
      </c>
      <c r="B660" s="13" t="s">
        <v>3050</v>
      </c>
      <c r="C660" s="13" t="s">
        <v>1858</v>
      </c>
      <c r="D660" s="12" t="s">
        <v>291</v>
      </c>
      <c r="E660" s="12" t="s">
        <v>294</v>
      </c>
      <c r="F660" s="31" t="s">
        <v>200</v>
      </c>
      <c r="G660" s="15">
        <v>1</v>
      </c>
      <c r="H660" s="38">
        <f>일대목차!I58</f>
        <v>5563</v>
      </c>
      <c r="I660" s="57">
        <f t="shared" si="118"/>
        <v>5563</v>
      </c>
      <c r="J660" s="38">
        <v>1</v>
      </c>
      <c r="K660" s="38">
        <f>일대목차!L58</f>
        <v>135469</v>
      </c>
      <c r="L660" s="57">
        <f t="shared" si="119"/>
        <v>135469</v>
      </c>
      <c r="M660" s="38">
        <f>일대목차!N58</f>
        <v>0</v>
      </c>
      <c r="N660" s="57">
        <f t="shared" si="120"/>
        <v>0</v>
      </c>
      <c r="O660" s="38">
        <f t="shared" si="121"/>
        <v>141032</v>
      </c>
      <c r="P660" s="38">
        <f t="shared" si="122"/>
        <v>141032</v>
      </c>
      <c r="Q660" s="12" t="s">
        <v>1859</v>
      </c>
      <c r="AE660" s="35">
        <f t="shared" ref="AE660:AE691" si="123">L660</f>
        <v>135469</v>
      </c>
    </row>
    <row r="661" spans="1:31" ht="23.1" customHeight="1" x14ac:dyDescent="0.15">
      <c r="A661" s="13" t="s">
        <v>1860</v>
      </c>
      <c r="B661" s="13" t="s">
        <v>3050</v>
      </c>
      <c r="C661" s="13" t="s">
        <v>1861</v>
      </c>
      <c r="D661" s="12" t="s">
        <v>291</v>
      </c>
      <c r="E661" s="12" t="s">
        <v>296</v>
      </c>
      <c r="F661" s="31" t="s">
        <v>200</v>
      </c>
      <c r="G661" s="15">
        <v>1</v>
      </c>
      <c r="H661" s="38">
        <f>일대목차!I59</f>
        <v>52202</v>
      </c>
      <c r="I661" s="57">
        <f t="shared" si="118"/>
        <v>52202</v>
      </c>
      <c r="J661" s="38">
        <v>1</v>
      </c>
      <c r="K661" s="38">
        <f>일대목차!L59</f>
        <v>233992</v>
      </c>
      <c r="L661" s="57">
        <f t="shared" si="119"/>
        <v>233992</v>
      </c>
      <c r="M661" s="38">
        <f>일대목차!N59</f>
        <v>0</v>
      </c>
      <c r="N661" s="57">
        <f t="shared" si="120"/>
        <v>0</v>
      </c>
      <c r="O661" s="38">
        <f t="shared" si="121"/>
        <v>286194</v>
      </c>
      <c r="P661" s="38">
        <f t="shared" si="122"/>
        <v>286194</v>
      </c>
      <c r="Q661" s="12" t="s">
        <v>1862</v>
      </c>
      <c r="AE661" s="35">
        <f t="shared" si="123"/>
        <v>233992</v>
      </c>
    </row>
    <row r="662" spans="1:31" ht="23.1" customHeight="1" x14ac:dyDescent="0.15">
      <c r="A662" s="13" t="s">
        <v>1912</v>
      </c>
      <c r="B662" s="13" t="s">
        <v>3050</v>
      </c>
      <c r="C662" s="13" t="s">
        <v>1913</v>
      </c>
      <c r="D662" s="12" t="s">
        <v>408</v>
      </c>
      <c r="E662" s="12" t="s">
        <v>413</v>
      </c>
      <c r="F662" s="31" t="s">
        <v>166</v>
      </c>
      <c r="G662" s="15">
        <v>29</v>
      </c>
      <c r="H662" s="38">
        <f>일대목차!I76</f>
        <v>1183</v>
      </c>
      <c r="I662" s="57">
        <f t="shared" si="118"/>
        <v>34307</v>
      </c>
      <c r="J662" s="38">
        <v>29</v>
      </c>
      <c r="K662" s="38">
        <f>일대목차!L76</f>
        <v>2463</v>
      </c>
      <c r="L662" s="57">
        <f t="shared" si="119"/>
        <v>71427</v>
      </c>
      <c r="M662" s="38">
        <f>일대목차!N76</f>
        <v>0</v>
      </c>
      <c r="N662" s="57">
        <f t="shared" si="120"/>
        <v>0</v>
      </c>
      <c r="O662" s="38">
        <f t="shared" si="121"/>
        <v>3646</v>
      </c>
      <c r="P662" s="38">
        <f t="shared" si="122"/>
        <v>105734</v>
      </c>
      <c r="Q662" s="12" t="s">
        <v>1914</v>
      </c>
      <c r="AC662" s="35">
        <f t="shared" ref="AC662:AC671" si="124">G662*H662</f>
        <v>34307</v>
      </c>
      <c r="AE662" s="35">
        <f t="shared" si="123"/>
        <v>71427</v>
      </c>
    </row>
    <row r="663" spans="1:31" ht="23.1" customHeight="1" x14ac:dyDescent="0.15">
      <c r="A663" s="13" t="s">
        <v>1918</v>
      </c>
      <c r="B663" s="13" t="s">
        <v>3050</v>
      </c>
      <c r="C663" s="13" t="s">
        <v>1919</v>
      </c>
      <c r="D663" s="12" t="s">
        <v>408</v>
      </c>
      <c r="E663" s="12" t="s">
        <v>417</v>
      </c>
      <c r="F663" s="31" t="s">
        <v>166</v>
      </c>
      <c r="G663" s="15">
        <v>52</v>
      </c>
      <c r="H663" s="38">
        <f>일대목차!I78</f>
        <v>2658</v>
      </c>
      <c r="I663" s="57">
        <f t="shared" si="118"/>
        <v>138216</v>
      </c>
      <c r="J663" s="38">
        <v>52</v>
      </c>
      <c r="K663" s="38">
        <f>일대목차!L78</f>
        <v>2873</v>
      </c>
      <c r="L663" s="57">
        <f t="shared" si="119"/>
        <v>149396</v>
      </c>
      <c r="M663" s="38">
        <f>일대목차!N78</f>
        <v>0</v>
      </c>
      <c r="N663" s="57">
        <f t="shared" si="120"/>
        <v>0</v>
      </c>
      <c r="O663" s="38">
        <f t="shared" si="121"/>
        <v>5531</v>
      </c>
      <c r="P663" s="38">
        <f t="shared" si="122"/>
        <v>287612</v>
      </c>
      <c r="Q663" s="12" t="s">
        <v>1920</v>
      </c>
      <c r="AC663" s="35">
        <f t="shared" si="124"/>
        <v>138216</v>
      </c>
      <c r="AE663" s="35">
        <f t="shared" si="123"/>
        <v>149396</v>
      </c>
    </row>
    <row r="664" spans="1:31" ht="23.1" customHeight="1" x14ac:dyDescent="0.15">
      <c r="A664" s="13" t="s">
        <v>1924</v>
      </c>
      <c r="B664" s="13" t="s">
        <v>3050</v>
      </c>
      <c r="C664" s="13" t="s">
        <v>1925</v>
      </c>
      <c r="D664" s="12" t="s">
        <v>408</v>
      </c>
      <c r="E664" s="12" t="s">
        <v>421</v>
      </c>
      <c r="F664" s="31" t="s">
        <v>166</v>
      </c>
      <c r="G664" s="15">
        <v>27</v>
      </c>
      <c r="H664" s="38">
        <f>일대목차!I80</f>
        <v>5972</v>
      </c>
      <c r="I664" s="57">
        <f t="shared" si="118"/>
        <v>161244</v>
      </c>
      <c r="J664" s="38">
        <v>27</v>
      </c>
      <c r="K664" s="38">
        <f>일대목차!L80</f>
        <v>2873</v>
      </c>
      <c r="L664" s="57">
        <f t="shared" si="119"/>
        <v>77571</v>
      </c>
      <c r="M664" s="38">
        <f>일대목차!N80</f>
        <v>0</v>
      </c>
      <c r="N664" s="57">
        <f t="shared" si="120"/>
        <v>0</v>
      </c>
      <c r="O664" s="38">
        <f t="shared" si="121"/>
        <v>8845</v>
      </c>
      <c r="P664" s="38">
        <f t="shared" si="122"/>
        <v>238815</v>
      </c>
      <c r="Q664" s="12" t="s">
        <v>1926</v>
      </c>
      <c r="AC664" s="35">
        <f t="shared" si="124"/>
        <v>161244</v>
      </c>
      <c r="AE664" s="35">
        <f t="shared" si="123"/>
        <v>77571</v>
      </c>
    </row>
    <row r="665" spans="1:31" ht="23.1" customHeight="1" x14ac:dyDescent="0.15">
      <c r="A665" s="13" t="s">
        <v>1930</v>
      </c>
      <c r="B665" s="13" t="s">
        <v>3050</v>
      </c>
      <c r="C665" s="13" t="s">
        <v>1931</v>
      </c>
      <c r="D665" s="12" t="s">
        <v>408</v>
      </c>
      <c r="E665" s="12" t="s">
        <v>425</v>
      </c>
      <c r="F665" s="31" t="s">
        <v>166</v>
      </c>
      <c r="G665" s="15">
        <v>140</v>
      </c>
      <c r="H665" s="38">
        <f>일대목차!I82</f>
        <v>11129</v>
      </c>
      <c r="I665" s="57">
        <f t="shared" si="118"/>
        <v>1558060</v>
      </c>
      <c r="J665" s="38">
        <v>140</v>
      </c>
      <c r="K665" s="38">
        <f>일대목차!L82</f>
        <v>3284</v>
      </c>
      <c r="L665" s="57">
        <f t="shared" si="119"/>
        <v>459760</v>
      </c>
      <c r="M665" s="38">
        <f>일대목차!N82</f>
        <v>0</v>
      </c>
      <c r="N665" s="57">
        <f t="shared" si="120"/>
        <v>0</v>
      </c>
      <c r="O665" s="38">
        <f t="shared" si="121"/>
        <v>14413</v>
      </c>
      <c r="P665" s="38">
        <f t="shared" si="122"/>
        <v>2017820</v>
      </c>
      <c r="Q665" s="12" t="s">
        <v>1932</v>
      </c>
      <c r="AC665" s="35">
        <f t="shared" si="124"/>
        <v>1558060</v>
      </c>
      <c r="AE665" s="35">
        <f t="shared" si="123"/>
        <v>459760</v>
      </c>
    </row>
    <row r="666" spans="1:31" ht="23.1" customHeight="1" x14ac:dyDescent="0.15">
      <c r="A666" s="13" t="s">
        <v>1933</v>
      </c>
      <c r="B666" s="13" t="s">
        <v>3050</v>
      </c>
      <c r="C666" s="13" t="s">
        <v>1934</v>
      </c>
      <c r="D666" s="12" t="s">
        <v>408</v>
      </c>
      <c r="E666" s="12" t="s">
        <v>427</v>
      </c>
      <c r="F666" s="31" t="s">
        <v>166</v>
      </c>
      <c r="G666" s="15">
        <v>129</v>
      </c>
      <c r="H666" s="38">
        <f>일대목차!I83</f>
        <v>14906</v>
      </c>
      <c r="I666" s="57">
        <f t="shared" si="118"/>
        <v>1922874</v>
      </c>
      <c r="J666" s="38">
        <v>129</v>
      </c>
      <c r="K666" s="38">
        <f>일대목차!L83</f>
        <v>3284</v>
      </c>
      <c r="L666" s="57">
        <f t="shared" si="119"/>
        <v>423636</v>
      </c>
      <c r="M666" s="38">
        <f>일대목차!N83</f>
        <v>0</v>
      </c>
      <c r="N666" s="57">
        <f t="shared" si="120"/>
        <v>0</v>
      </c>
      <c r="O666" s="38">
        <f t="shared" si="121"/>
        <v>18190</v>
      </c>
      <c r="P666" s="38">
        <f t="shared" si="122"/>
        <v>2346510</v>
      </c>
      <c r="Q666" s="12" t="s">
        <v>1935</v>
      </c>
      <c r="AC666" s="35">
        <f t="shared" si="124"/>
        <v>1922874</v>
      </c>
      <c r="AE666" s="35">
        <f t="shared" si="123"/>
        <v>423636</v>
      </c>
    </row>
    <row r="667" spans="1:31" ht="23.1" customHeight="1" x14ac:dyDescent="0.15">
      <c r="A667" s="13" t="s">
        <v>1936</v>
      </c>
      <c r="B667" s="13" t="s">
        <v>3050</v>
      </c>
      <c r="C667" s="13" t="s">
        <v>1937</v>
      </c>
      <c r="D667" s="12" t="s">
        <v>408</v>
      </c>
      <c r="E667" s="12" t="s">
        <v>429</v>
      </c>
      <c r="F667" s="31" t="s">
        <v>166</v>
      </c>
      <c r="G667" s="15">
        <v>49</v>
      </c>
      <c r="H667" s="38">
        <f>일대목차!I84</f>
        <v>18751</v>
      </c>
      <c r="I667" s="57">
        <f t="shared" si="118"/>
        <v>918799</v>
      </c>
      <c r="J667" s="38">
        <v>49</v>
      </c>
      <c r="K667" s="38">
        <f>일대목차!L84</f>
        <v>4515</v>
      </c>
      <c r="L667" s="57">
        <f t="shared" si="119"/>
        <v>221235</v>
      </c>
      <c r="M667" s="38">
        <f>일대목차!N84</f>
        <v>0</v>
      </c>
      <c r="N667" s="57">
        <f t="shared" si="120"/>
        <v>0</v>
      </c>
      <c r="O667" s="38">
        <f t="shared" si="121"/>
        <v>23266</v>
      </c>
      <c r="P667" s="38">
        <f t="shared" si="122"/>
        <v>1140034</v>
      </c>
      <c r="Q667" s="12" t="s">
        <v>1938</v>
      </c>
      <c r="AC667" s="35">
        <f t="shared" si="124"/>
        <v>918799</v>
      </c>
      <c r="AE667" s="35">
        <f t="shared" si="123"/>
        <v>221235</v>
      </c>
    </row>
    <row r="668" spans="1:31" ht="23.1" customHeight="1" x14ac:dyDescent="0.15">
      <c r="A668" s="13" t="s">
        <v>1948</v>
      </c>
      <c r="B668" s="13" t="s">
        <v>3050</v>
      </c>
      <c r="C668" s="13" t="s">
        <v>1949</v>
      </c>
      <c r="D668" s="12" t="s">
        <v>440</v>
      </c>
      <c r="E668" s="12" t="s">
        <v>436</v>
      </c>
      <c r="F668" s="31" t="s">
        <v>166</v>
      </c>
      <c r="G668" s="15">
        <v>260</v>
      </c>
      <c r="H668" s="38">
        <f>일대목차!I88</f>
        <v>13040</v>
      </c>
      <c r="I668" s="57">
        <f t="shared" si="118"/>
        <v>3390400</v>
      </c>
      <c r="J668" s="38">
        <v>260</v>
      </c>
      <c r="K668" s="38">
        <f>일대목차!L88</f>
        <v>14721</v>
      </c>
      <c r="L668" s="57">
        <f t="shared" si="119"/>
        <v>3827460</v>
      </c>
      <c r="M668" s="38">
        <f>일대목차!N88</f>
        <v>0</v>
      </c>
      <c r="N668" s="57">
        <f t="shared" si="120"/>
        <v>0</v>
      </c>
      <c r="O668" s="38">
        <f t="shared" si="121"/>
        <v>27761</v>
      </c>
      <c r="P668" s="38">
        <f t="shared" si="122"/>
        <v>7217860</v>
      </c>
      <c r="Q668" s="12" t="s">
        <v>1950</v>
      </c>
      <c r="AC668" s="35">
        <f t="shared" si="124"/>
        <v>3390400</v>
      </c>
      <c r="AE668" s="35">
        <f t="shared" si="123"/>
        <v>3827460</v>
      </c>
    </row>
    <row r="669" spans="1:31" ht="23.1" customHeight="1" x14ac:dyDescent="0.15">
      <c r="A669" s="13" t="s">
        <v>1954</v>
      </c>
      <c r="B669" s="13" t="s">
        <v>3050</v>
      </c>
      <c r="C669" s="13" t="s">
        <v>1955</v>
      </c>
      <c r="D669" s="12" t="s">
        <v>445</v>
      </c>
      <c r="E669" s="12" t="s">
        <v>448</v>
      </c>
      <c r="F669" s="31" t="s">
        <v>166</v>
      </c>
      <c r="G669" s="15">
        <v>29</v>
      </c>
      <c r="H669" s="38">
        <f>일대목차!I90</f>
        <v>3020</v>
      </c>
      <c r="I669" s="57">
        <f t="shared" si="118"/>
        <v>87580</v>
      </c>
      <c r="J669" s="38">
        <v>29</v>
      </c>
      <c r="K669" s="38">
        <f>일대목차!L90</f>
        <v>5474</v>
      </c>
      <c r="L669" s="57">
        <f t="shared" si="119"/>
        <v>158746</v>
      </c>
      <c r="M669" s="38">
        <f>일대목차!N90</f>
        <v>0</v>
      </c>
      <c r="N669" s="57">
        <f t="shared" si="120"/>
        <v>0</v>
      </c>
      <c r="O669" s="38">
        <f t="shared" si="121"/>
        <v>8494</v>
      </c>
      <c r="P669" s="38">
        <f t="shared" si="122"/>
        <v>246326</v>
      </c>
      <c r="Q669" s="12" t="s">
        <v>1956</v>
      </c>
      <c r="AC669" s="35">
        <f t="shared" si="124"/>
        <v>87580</v>
      </c>
      <c r="AE669" s="35">
        <f t="shared" si="123"/>
        <v>158746</v>
      </c>
    </row>
    <row r="670" spans="1:31" ht="23.1" customHeight="1" x14ac:dyDescent="0.15">
      <c r="A670" s="13" t="s">
        <v>1981</v>
      </c>
      <c r="B670" s="13" t="s">
        <v>3050</v>
      </c>
      <c r="C670" s="13" t="s">
        <v>1982</v>
      </c>
      <c r="D670" s="12" t="s">
        <v>466</v>
      </c>
      <c r="E670" s="12" t="s">
        <v>467</v>
      </c>
      <c r="F670" s="31" t="s">
        <v>166</v>
      </c>
      <c r="G670" s="15">
        <v>236</v>
      </c>
      <c r="H670" s="38">
        <f>일대목차!I99</f>
        <v>40058</v>
      </c>
      <c r="I670" s="57">
        <f t="shared" si="118"/>
        <v>9453688</v>
      </c>
      <c r="J670" s="38">
        <v>236</v>
      </c>
      <c r="K670" s="38">
        <f>일대목차!L99</f>
        <v>35160</v>
      </c>
      <c r="L670" s="57">
        <f t="shared" si="119"/>
        <v>8297760</v>
      </c>
      <c r="M670" s="38">
        <f>일대목차!N99</f>
        <v>0</v>
      </c>
      <c r="N670" s="57">
        <f t="shared" si="120"/>
        <v>0</v>
      </c>
      <c r="O670" s="38">
        <f t="shared" si="121"/>
        <v>75218</v>
      </c>
      <c r="P670" s="38">
        <f t="shared" si="122"/>
        <v>17751448</v>
      </c>
      <c r="Q670" s="12" t="s">
        <v>1983</v>
      </c>
      <c r="AC670" s="35">
        <f t="shared" si="124"/>
        <v>9453688</v>
      </c>
      <c r="AE670" s="35">
        <f t="shared" si="123"/>
        <v>8297760</v>
      </c>
    </row>
    <row r="671" spans="1:31" ht="23.1" customHeight="1" x14ac:dyDescent="0.15">
      <c r="A671" s="13" t="s">
        <v>2008</v>
      </c>
      <c r="B671" s="13" t="s">
        <v>3050</v>
      </c>
      <c r="C671" s="13" t="s">
        <v>2009</v>
      </c>
      <c r="D671" s="12" t="s">
        <v>493</v>
      </c>
      <c r="E671" s="12" t="s">
        <v>494</v>
      </c>
      <c r="F671" s="31" t="s">
        <v>166</v>
      </c>
      <c r="G671" s="15">
        <v>256</v>
      </c>
      <c r="H671" s="38">
        <f>일대목차!I108</f>
        <v>18479</v>
      </c>
      <c r="I671" s="57">
        <f t="shared" si="118"/>
        <v>4730624</v>
      </c>
      <c r="J671" s="38">
        <v>256</v>
      </c>
      <c r="K671" s="38">
        <f>일대목차!L108</f>
        <v>6371</v>
      </c>
      <c r="L671" s="57">
        <f t="shared" si="119"/>
        <v>1630976</v>
      </c>
      <c r="M671" s="38">
        <f>일대목차!N108</f>
        <v>0</v>
      </c>
      <c r="N671" s="57">
        <f t="shared" si="120"/>
        <v>0</v>
      </c>
      <c r="O671" s="38">
        <f t="shared" si="121"/>
        <v>24850</v>
      </c>
      <c r="P671" s="38">
        <f t="shared" si="122"/>
        <v>6361600</v>
      </c>
      <c r="Q671" s="12" t="s">
        <v>2010</v>
      </c>
      <c r="AC671" s="35">
        <f t="shared" si="124"/>
        <v>4730624</v>
      </c>
      <c r="AE671" s="35">
        <f t="shared" si="123"/>
        <v>1630976</v>
      </c>
    </row>
    <row r="672" spans="1:31" ht="23.1" customHeight="1" x14ac:dyDescent="0.15">
      <c r="A672" s="13" t="s">
        <v>2047</v>
      </c>
      <c r="B672" s="13" t="s">
        <v>3050</v>
      </c>
      <c r="C672" s="13" t="s">
        <v>2048</v>
      </c>
      <c r="D672" s="12" t="s">
        <v>542</v>
      </c>
      <c r="E672" s="12" t="s">
        <v>543</v>
      </c>
      <c r="F672" s="31" t="s">
        <v>200</v>
      </c>
      <c r="G672" s="15">
        <v>7</v>
      </c>
      <c r="H672" s="38">
        <f>일대목차!I121</f>
        <v>2183</v>
      </c>
      <c r="I672" s="57">
        <f t="shared" si="118"/>
        <v>15281</v>
      </c>
      <c r="J672" s="38">
        <v>7</v>
      </c>
      <c r="K672" s="38">
        <f>일대목차!L121</f>
        <v>43869</v>
      </c>
      <c r="L672" s="57">
        <f t="shared" si="119"/>
        <v>307083</v>
      </c>
      <c r="M672" s="38">
        <f>일대목차!N121</f>
        <v>0</v>
      </c>
      <c r="N672" s="57">
        <f t="shared" si="120"/>
        <v>0</v>
      </c>
      <c r="O672" s="38">
        <f t="shared" si="121"/>
        <v>46052</v>
      </c>
      <c r="P672" s="38">
        <f t="shared" si="122"/>
        <v>322364</v>
      </c>
      <c r="Q672" s="12" t="s">
        <v>2049</v>
      </c>
      <c r="AE672" s="35">
        <f t="shared" si="123"/>
        <v>307083</v>
      </c>
    </row>
    <row r="673" spans="1:31" ht="23.1" customHeight="1" x14ac:dyDescent="0.15">
      <c r="A673" s="13" t="s">
        <v>2059</v>
      </c>
      <c r="B673" s="13" t="s">
        <v>3050</v>
      </c>
      <c r="C673" s="13" t="s">
        <v>2060</v>
      </c>
      <c r="D673" s="12" t="s">
        <v>557</v>
      </c>
      <c r="E673" s="12" t="s">
        <v>562</v>
      </c>
      <c r="F673" s="31" t="s">
        <v>559</v>
      </c>
      <c r="G673" s="15">
        <v>1</v>
      </c>
      <c r="H673" s="38">
        <f>일대목차!I125</f>
        <v>303612</v>
      </c>
      <c r="I673" s="57">
        <f t="shared" si="118"/>
        <v>303612</v>
      </c>
      <c r="J673" s="38">
        <v>1</v>
      </c>
      <c r="K673" s="38">
        <f>일대목차!L125</f>
        <v>180626</v>
      </c>
      <c r="L673" s="57">
        <f t="shared" si="119"/>
        <v>180626</v>
      </c>
      <c r="M673" s="38">
        <f>일대목차!N125</f>
        <v>0</v>
      </c>
      <c r="N673" s="57">
        <f t="shared" si="120"/>
        <v>0</v>
      </c>
      <c r="O673" s="38">
        <f t="shared" si="121"/>
        <v>484238</v>
      </c>
      <c r="P673" s="38">
        <f t="shared" si="122"/>
        <v>484238</v>
      </c>
      <c r="Q673" s="12" t="s">
        <v>2061</v>
      </c>
      <c r="AE673" s="35">
        <f t="shared" si="123"/>
        <v>180626</v>
      </c>
    </row>
    <row r="674" spans="1:31" ht="23.1" customHeight="1" x14ac:dyDescent="0.15">
      <c r="A674" s="13" t="s">
        <v>2062</v>
      </c>
      <c r="B674" s="13" t="s">
        <v>3050</v>
      </c>
      <c r="C674" s="13" t="s">
        <v>2063</v>
      </c>
      <c r="D674" s="12" t="s">
        <v>565</v>
      </c>
      <c r="E674" s="12" t="s">
        <v>566</v>
      </c>
      <c r="F674" s="31" t="s">
        <v>166</v>
      </c>
      <c r="G674" s="15">
        <v>12</v>
      </c>
      <c r="H674" s="38">
        <f>일대목차!I126</f>
        <v>257</v>
      </c>
      <c r="I674" s="57">
        <f t="shared" si="118"/>
        <v>3084</v>
      </c>
      <c r="J674" s="38">
        <v>12</v>
      </c>
      <c r="K674" s="38">
        <f>일대목차!L126</f>
        <v>358</v>
      </c>
      <c r="L674" s="57">
        <f t="shared" si="119"/>
        <v>4296</v>
      </c>
      <c r="M674" s="38">
        <f>일대목차!N126</f>
        <v>0</v>
      </c>
      <c r="N674" s="57">
        <f t="shared" si="120"/>
        <v>0</v>
      </c>
      <c r="O674" s="38">
        <f t="shared" si="121"/>
        <v>615</v>
      </c>
      <c r="P674" s="38">
        <f t="shared" si="122"/>
        <v>7380</v>
      </c>
      <c r="Q674" s="12" t="s">
        <v>2064</v>
      </c>
      <c r="AE674" s="35">
        <f t="shared" si="123"/>
        <v>4296</v>
      </c>
    </row>
    <row r="675" spans="1:31" ht="23.1" customHeight="1" x14ac:dyDescent="0.15">
      <c r="A675" s="13" t="s">
        <v>2065</v>
      </c>
      <c r="B675" s="13" t="s">
        <v>3050</v>
      </c>
      <c r="C675" s="13" t="s">
        <v>2066</v>
      </c>
      <c r="D675" s="12" t="s">
        <v>568</v>
      </c>
      <c r="E675" s="12" t="s">
        <v>566</v>
      </c>
      <c r="F675" s="31" t="s">
        <v>166</v>
      </c>
      <c r="G675" s="15">
        <v>60</v>
      </c>
      <c r="H675" s="38">
        <f>일대목차!I127</f>
        <v>457</v>
      </c>
      <c r="I675" s="57">
        <f t="shared" si="118"/>
        <v>27420</v>
      </c>
      <c r="J675" s="38">
        <v>60</v>
      </c>
      <c r="K675" s="38">
        <f>일대목차!L127</f>
        <v>358</v>
      </c>
      <c r="L675" s="57">
        <f t="shared" si="119"/>
        <v>21480</v>
      </c>
      <c r="M675" s="38">
        <f>일대목차!N127</f>
        <v>0</v>
      </c>
      <c r="N675" s="57">
        <f t="shared" si="120"/>
        <v>0</v>
      </c>
      <c r="O675" s="38">
        <f t="shared" si="121"/>
        <v>815</v>
      </c>
      <c r="P675" s="38">
        <f t="shared" si="122"/>
        <v>48900</v>
      </c>
      <c r="Q675" s="12" t="s">
        <v>2067</v>
      </c>
      <c r="AE675" s="35">
        <f t="shared" si="123"/>
        <v>21480</v>
      </c>
    </row>
    <row r="676" spans="1:31" ht="23.1" customHeight="1" x14ac:dyDescent="0.15">
      <c r="A676" s="13" t="s">
        <v>2068</v>
      </c>
      <c r="B676" s="13" t="s">
        <v>3050</v>
      </c>
      <c r="C676" s="13" t="s">
        <v>2069</v>
      </c>
      <c r="D676" s="12" t="s">
        <v>576</v>
      </c>
      <c r="E676" s="12" t="s">
        <v>577</v>
      </c>
      <c r="F676" s="31" t="s">
        <v>578</v>
      </c>
      <c r="G676" s="15">
        <v>6</v>
      </c>
      <c r="H676" s="38">
        <f>일대목차!I128</f>
        <v>183234</v>
      </c>
      <c r="I676" s="57">
        <f t="shared" si="118"/>
        <v>1099404</v>
      </c>
      <c r="J676" s="38">
        <v>6</v>
      </c>
      <c r="K676" s="38">
        <f>일대목차!L128</f>
        <v>209733</v>
      </c>
      <c r="L676" s="57">
        <f t="shared" si="119"/>
        <v>1258398</v>
      </c>
      <c r="M676" s="38">
        <f>일대목차!N128</f>
        <v>0</v>
      </c>
      <c r="N676" s="57">
        <f t="shared" si="120"/>
        <v>0</v>
      </c>
      <c r="O676" s="38">
        <f t="shared" si="121"/>
        <v>392967</v>
      </c>
      <c r="P676" s="38">
        <f t="shared" si="122"/>
        <v>2357802</v>
      </c>
      <c r="Q676" s="12" t="s">
        <v>2070</v>
      </c>
      <c r="AE676" s="35">
        <f t="shared" si="123"/>
        <v>1258398</v>
      </c>
    </row>
    <row r="677" spans="1:31" ht="23.1" customHeight="1" x14ac:dyDescent="0.15">
      <c r="A677" s="13" t="s">
        <v>2074</v>
      </c>
      <c r="B677" s="13" t="s">
        <v>3050</v>
      </c>
      <c r="C677" s="13" t="s">
        <v>2075</v>
      </c>
      <c r="D677" s="12" t="s">
        <v>583</v>
      </c>
      <c r="E677" s="12" t="s">
        <v>590</v>
      </c>
      <c r="F677" s="31" t="s">
        <v>200</v>
      </c>
      <c r="G677" s="15">
        <v>8</v>
      </c>
      <c r="H677" s="38">
        <f>일대목차!I130</f>
        <v>1718</v>
      </c>
      <c r="I677" s="57">
        <f t="shared" si="118"/>
        <v>13744</v>
      </c>
      <c r="J677" s="38">
        <v>8</v>
      </c>
      <c r="K677" s="38">
        <f>일대목차!L130</f>
        <v>51463</v>
      </c>
      <c r="L677" s="57">
        <f t="shared" si="119"/>
        <v>411704</v>
      </c>
      <c r="M677" s="38">
        <f>일대목차!N130</f>
        <v>0</v>
      </c>
      <c r="N677" s="57">
        <f t="shared" si="120"/>
        <v>0</v>
      </c>
      <c r="O677" s="38">
        <f t="shared" si="121"/>
        <v>53181</v>
      </c>
      <c r="P677" s="38">
        <f t="shared" si="122"/>
        <v>425448</v>
      </c>
      <c r="Q677" s="12" t="s">
        <v>2076</v>
      </c>
      <c r="AE677" s="35">
        <f t="shared" si="123"/>
        <v>411704</v>
      </c>
    </row>
    <row r="678" spans="1:31" ht="23.1" customHeight="1" x14ac:dyDescent="0.15">
      <c r="A678" s="13" t="s">
        <v>2077</v>
      </c>
      <c r="B678" s="13" t="s">
        <v>3050</v>
      </c>
      <c r="C678" s="13" t="s">
        <v>2078</v>
      </c>
      <c r="D678" s="12" t="s">
        <v>583</v>
      </c>
      <c r="E678" s="12" t="s">
        <v>592</v>
      </c>
      <c r="F678" s="31" t="s">
        <v>200</v>
      </c>
      <c r="G678" s="15">
        <v>16</v>
      </c>
      <c r="H678" s="38">
        <f>일대목차!I131</f>
        <v>4633</v>
      </c>
      <c r="I678" s="57">
        <f t="shared" si="118"/>
        <v>74128</v>
      </c>
      <c r="J678" s="38">
        <v>16</v>
      </c>
      <c r="K678" s="38">
        <f>일대목차!L131</f>
        <v>84312</v>
      </c>
      <c r="L678" s="57">
        <f t="shared" si="119"/>
        <v>1348992</v>
      </c>
      <c r="M678" s="38">
        <f>일대목차!N131</f>
        <v>0</v>
      </c>
      <c r="N678" s="57">
        <f t="shared" si="120"/>
        <v>0</v>
      </c>
      <c r="O678" s="38">
        <f t="shared" si="121"/>
        <v>88945</v>
      </c>
      <c r="P678" s="38">
        <f t="shared" si="122"/>
        <v>1423120</v>
      </c>
      <c r="Q678" s="12" t="s">
        <v>2079</v>
      </c>
      <c r="AE678" s="35">
        <f t="shared" si="123"/>
        <v>1348992</v>
      </c>
    </row>
    <row r="679" spans="1:31" ht="23.1" customHeight="1" x14ac:dyDescent="0.15">
      <c r="A679" s="13" t="s">
        <v>2080</v>
      </c>
      <c r="B679" s="13" t="s">
        <v>3050</v>
      </c>
      <c r="C679" s="13" t="s">
        <v>2081</v>
      </c>
      <c r="D679" s="12" t="s">
        <v>595</v>
      </c>
      <c r="E679" s="12" t="s">
        <v>596</v>
      </c>
      <c r="F679" s="31" t="s">
        <v>200</v>
      </c>
      <c r="G679" s="15">
        <v>2</v>
      </c>
      <c r="H679" s="38">
        <f>일대목차!I132</f>
        <v>718</v>
      </c>
      <c r="I679" s="57">
        <f t="shared" si="118"/>
        <v>1436</v>
      </c>
      <c r="J679" s="38">
        <v>2</v>
      </c>
      <c r="K679" s="38">
        <f>일대목차!L132</f>
        <v>29563</v>
      </c>
      <c r="L679" s="57">
        <f t="shared" si="119"/>
        <v>59126</v>
      </c>
      <c r="M679" s="38">
        <f>일대목차!N132</f>
        <v>0</v>
      </c>
      <c r="N679" s="57">
        <f t="shared" si="120"/>
        <v>0</v>
      </c>
      <c r="O679" s="38">
        <f t="shared" si="121"/>
        <v>30281</v>
      </c>
      <c r="P679" s="38">
        <f t="shared" si="122"/>
        <v>60562</v>
      </c>
      <c r="Q679" s="12" t="s">
        <v>2082</v>
      </c>
      <c r="AE679" s="35">
        <f t="shared" si="123"/>
        <v>59126</v>
      </c>
    </row>
    <row r="680" spans="1:31" ht="23.1" customHeight="1" x14ac:dyDescent="0.15">
      <c r="A680" s="13" t="s">
        <v>2086</v>
      </c>
      <c r="B680" s="13" t="s">
        <v>3050</v>
      </c>
      <c r="C680" s="13" t="s">
        <v>2087</v>
      </c>
      <c r="D680" s="12" t="s">
        <v>595</v>
      </c>
      <c r="E680" s="12" t="s">
        <v>600</v>
      </c>
      <c r="F680" s="31" t="s">
        <v>200</v>
      </c>
      <c r="G680" s="15">
        <v>2</v>
      </c>
      <c r="H680" s="38">
        <f>일대목차!I134</f>
        <v>1030</v>
      </c>
      <c r="I680" s="57">
        <f t="shared" si="118"/>
        <v>2060</v>
      </c>
      <c r="J680" s="38">
        <v>2</v>
      </c>
      <c r="K680" s="38">
        <f>일대목차!L134</f>
        <v>39418</v>
      </c>
      <c r="L680" s="57">
        <f t="shared" si="119"/>
        <v>78836</v>
      </c>
      <c r="M680" s="38">
        <f>일대목차!N134</f>
        <v>0</v>
      </c>
      <c r="N680" s="57">
        <f t="shared" si="120"/>
        <v>0</v>
      </c>
      <c r="O680" s="38">
        <f t="shared" si="121"/>
        <v>40448</v>
      </c>
      <c r="P680" s="38">
        <f t="shared" si="122"/>
        <v>80896</v>
      </c>
      <c r="Q680" s="12" t="s">
        <v>2088</v>
      </c>
      <c r="AE680" s="35">
        <f t="shared" si="123"/>
        <v>78836</v>
      </c>
    </row>
    <row r="681" spans="1:31" ht="23.1" customHeight="1" x14ac:dyDescent="0.15">
      <c r="A681" s="13" t="s">
        <v>2092</v>
      </c>
      <c r="B681" s="13" t="s">
        <v>3050</v>
      </c>
      <c r="C681" s="13" t="s">
        <v>2093</v>
      </c>
      <c r="D681" s="12" t="s">
        <v>595</v>
      </c>
      <c r="E681" s="12" t="s">
        <v>604</v>
      </c>
      <c r="F681" s="31" t="s">
        <v>200</v>
      </c>
      <c r="G681" s="15">
        <v>21</v>
      </c>
      <c r="H681" s="38">
        <f>일대목차!I136</f>
        <v>1952</v>
      </c>
      <c r="I681" s="57">
        <f t="shared" si="118"/>
        <v>40992</v>
      </c>
      <c r="J681" s="38">
        <v>21</v>
      </c>
      <c r="K681" s="38">
        <f>일대목차!L136</f>
        <v>54748</v>
      </c>
      <c r="L681" s="57">
        <f t="shared" si="119"/>
        <v>1149708</v>
      </c>
      <c r="M681" s="38">
        <f>일대목차!N136</f>
        <v>0</v>
      </c>
      <c r="N681" s="57">
        <f t="shared" si="120"/>
        <v>0</v>
      </c>
      <c r="O681" s="38">
        <f t="shared" si="121"/>
        <v>56700</v>
      </c>
      <c r="P681" s="38">
        <f t="shared" si="122"/>
        <v>1190700</v>
      </c>
      <c r="Q681" s="12" t="s">
        <v>2094</v>
      </c>
      <c r="AE681" s="35">
        <f t="shared" si="123"/>
        <v>1149708</v>
      </c>
    </row>
    <row r="682" spans="1:31" ht="23.1" customHeight="1" x14ac:dyDescent="0.15">
      <c r="A682" s="13" t="s">
        <v>2095</v>
      </c>
      <c r="B682" s="13" t="s">
        <v>3050</v>
      </c>
      <c r="C682" s="13" t="s">
        <v>2096</v>
      </c>
      <c r="D682" s="12" t="s">
        <v>595</v>
      </c>
      <c r="E682" s="12" t="s">
        <v>606</v>
      </c>
      <c r="F682" s="31" t="s">
        <v>200</v>
      </c>
      <c r="G682" s="15">
        <v>4</v>
      </c>
      <c r="H682" s="38">
        <f>일대목차!I137</f>
        <v>3351</v>
      </c>
      <c r="I682" s="57">
        <f t="shared" si="118"/>
        <v>13404</v>
      </c>
      <c r="J682" s="38">
        <v>4</v>
      </c>
      <c r="K682" s="38">
        <f>일대목차!L137</f>
        <v>62412</v>
      </c>
      <c r="L682" s="57">
        <f t="shared" si="119"/>
        <v>249648</v>
      </c>
      <c r="M682" s="38">
        <f>일대목차!N137</f>
        <v>0</v>
      </c>
      <c r="N682" s="57">
        <f t="shared" si="120"/>
        <v>0</v>
      </c>
      <c r="O682" s="38">
        <f t="shared" si="121"/>
        <v>65763</v>
      </c>
      <c r="P682" s="38">
        <f t="shared" si="122"/>
        <v>263052</v>
      </c>
      <c r="Q682" s="12" t="s">
        <v>2097</v>
      </c>
      <c r="AE682" s="35">
        <f t="shared" si="123"/>
        <v>249648</v>
      </c>
    </row>
    <row r="683" spans="1:31" ht="23.1" customHeight="1" x14ac:dyDescent="0.15">
      <c r="A683" s="13" t="s">
        <v>1696</v>
      </c>
      <c r="B683" s="13" t="s">
        <v>3050</v>
      </c>
      <c r="C683" s="13" t="s">
        <v>1697</v>
      </c>
      <c r="D683" s="12" t="s">
        <v>1674</v>
      </c>
      <c r="E683" s="12" t="s">
        <v>1699</v>
      </c>
      <c r="F683" s="31" t="s">
        <v>792</v>
      </c>
      <c r="G683" s="15">
        <v>7</v>
      </c>
      <c r="H683" s="38">
        <f>일대목차!I12</f>
        <v>19866</v>
      </c>
      <c r="I683" s="57">
        <f t="shared" si="118"/>
        <v>139062</v>
      </c>
      <c r="J683" s="38">
        <v>7</v>
      </c>
      <c r="K683" s="38">
        <f>일대목차!L12</f>
        <v>9852</v>
      </c>
      <c r="L683" s="57">
        <f t="shared" si="119"/>
        <v>68964</v>
      </c>
      <c r="M683" s="38">
        <f>일대목차!N12</f>
        <v>0</v>
      </c>
      <c r="N683" s="57">
        <f t="shared" si="120"/>
        <v>0</v>
      </c>
      <c r="O683" s="38">
        <f t="shared" si="121"/>
        <v>29718</v>
      </c>
      <c r="P683" s="38">
        <f t="shared" si="122"/>
        <v>208026</v>
      </c>
      <c r="Q683" s="12" t="s">
        <v>1698</v>
      </c>
      <c r="AE683" s="35">
        <f t="shared" si="123"/>
        <v>68964</v>
      </c>
    </row>
    <row r="684" spans="1:31" ht="23.1" customHeight="1" x14ac:dyDescent="0.15">
      <c r="A684" s="13" t="s">
        <v>1734</v>
      </c>
      <c r="B684" s="13" t="s">
        <v>3050</v>
      </c>
      <c r="C684" s="13" t="s">
        <v>1735</v>
      </c>
      <c r="D684" s="12" t="s">
        <v>1737</v>
      </c>
      <c r="E684" s="12" t="s">
        <v>620</v>
      </c>
      <c r="F684" s="31" t="s">
        <v>792</v>
      </c>
      <c r="G684" s="15">
        <v>1</v>
      </c>
      <c r="H684" s="38">
        <f>일대목차!I21</f>
        <v>785665</v>
      </c>
      <c r="I684" s="57">
        <f t="shared" si="118"/>
        <v>785665</v>
      </c>
      <c r="J684" s="38">
        <v>1</v>
      </c>
      <c r="K684" s="38">
        <f>일대목차!L21</f>
        <v>1574291</v>
      </c>
      <c r="L684" s="57">
        <f t="shared" si="119"/>
        <v>1574291</v>
      </c>
      <c r="M684" s="38">
        <f>일대목차!N21</f>
        <v>54822</v>
      </c>
      <c r="N684" s="57">
        <f t="shared" si="120"/>
        <v>54822</v>
      </c>
      <c r="O684" s="38">
        <f t="shared" si="121"/>
        <v>2414778</v>
      </c>
      <c r="P684" s="38">
        <f t="shared" si="122"/>
        <v>2414778</v>
      </c>
      <c r="Q684" s="12" t="s">
        <v>1736</v>
      </c>
      <c r="AE684" s="35">
        <f t="shared" si="123"/>
        <v>1574291</v>
      </c>
    </row>
    <row r="685" spans="1:31" ht="23.1" customHeight="1" x14ac:dyDescent="0.15">
      <c r="A685" s="13" t="s">
        <v>1738</v>
      </c>
      <c r="B685" s="13" t="s">
        <v>3050</v>
      </c>
      <c r="C685" s="13" t="s">
        <v>1739</v>
      </c>
      <c r="D685" s="12" t="s">
        <v>1737</v>
      </c>
      <c r="E685" s="12" t="s">
        <v>623</v>
      </c>
      <c r="F685" s="31" t="s">
        <v>792</v>
      </c>
      <c r="G685" s="15">
        <v>1</v>
      </c>
      <c r="H685" s="38">
        <f>일대목차!I22</f>
        <v>922035</v>
      </c>
      <c r="I685" s="57">
        <f t="shared" si="118"/>
        <v>922035</v>
      </c>
      <c r="J685" s="38">
        <v>1</v>
      </c>
      <c r="K685" s="38">
        <f>일대목차!L22</f>
        <v>1843024</v>
      </c>
      <c r="L685" s="57">
        <f t="shared" si="119"/>
        <v>1843024</v>
      </c>
      <c r="M685" s="38">
        <f>일대목차!N22</f>
        <v>59838</v>
      </c>
      <c r="N685" s="57">
        <f t="shared" si="120"/>
        <v>59838</v>
      </c>
      <c r="O685" s="38">
        <f t="shared" si="121"/>
        <v>2824897</v>
      </c>
      <c r="P685" s="38">
        <f t="shared" si="122"/>
        <v>2824897</v>
      </c>
      <c r="Q685" s="12" t="s">
        <v>1740</v>
      </c>
      <c r="AE685" s="35">
        <f t="shared" si="123"/>
        <v>1843024</v>
      </c>
    </row>
    <row r="686" spans="1:31" ht="23.1" customHeight="1" x14ac:dyDescent="0.15">
      <c r="A686" s="13" t="s">
        <v>1741</v>
      </c>
      <c r="B686" s="13" t="s">
        <v>3050</v>
      </c>
      <c r="C686" s="13" t="s">
        <v>1742</v>
      </c>
      <c r="D686" s="12" t="s">
        <v>1744</v>
      </c>
      <c r="E686" s="12" t="s">
        <v>1745</v>
      </c>
      <c r="F686" s="31" t="s">
        <v>792</v>
      </c>
      <c r="G686" s="15">
        <v>2</v>
      </c>
      <c r="H686" s="38">
        <f>일대목차!I23</f>
        <v>32327</v>
      </c>
      <c r="I686" s="57">
        <f t="shared" si="118"/>
        <v>64654</v>
      </c>
      <c r="J686" s="38">
        <v>2</v>
      </c>
      <c r="K686" s="38">
        <f>일대목차!L23</f>
        <v>125021</v>
      </c>
      <c r="L686" s="57">
        <f t="shared" si="119"/>
        <v>250042</v>
      </c>
      <c r="M686" s="38">
        <f>일대목차!N23</f>
        <v>1254</v>
      </c>
      <c r="N686" s="57">
        <f t="shared" si="120"/>
        <v>2508</v>
      </c>
      <c r="O686" s="38">
        <f t="shared" si="121"/>
        <v>158602</v>
      </c>
      <c r="P686" s="38">
        <f t="shared" si="122"/>
        <v>317204</v>
      </c>
      <c r="Q686" s="12" t="s">
        <v>1743</v>
      </c>
      <c r="AE686" s="35">
        <f t="shared" si="123"/>
        <v>250042</v>
      </c>
    </row>
    <row r="687" spans="1:31" ht="23.1" customHeight="1" x14ac:dyDescent="0.15">
      <c r="A687" s="13" t="s">
        <v>1750</v>
      </c>
      <c r="B687" s="13" t="s">
        <v>3050</v>
      </c>
      <c r="C687" s="13" t="s">
        <v>1751</v>
      </c>
      <c r="D687" s="12" t="s">
        <v>1749</v>
      </c>
      <c r="E687" s="12" t="s">
        <v>238</v>
      </c>
      <c r="F687" s="31" t="s">
        <v>792</v>
      </c>
      <c r="G687" s="15">
        <v>1</v>
      </c>
      <c r="H687" s="38">
        <f>일대목차!I25</f>
        <v>38656</v>
      </c>
      <c r="I687" s="57">
        <f t="shared" ref="I687:I704" si="125">TRUNC(G687*H687)</f>
        <v>38656</v>
      </c>
      <c r="J687" s="38">
        <v>1</v>
      </c>
      <c r="K687" s="38">
        <f>일대목차!L25</f>
        <v>80874</v>
      </c>
      <c r="L687" s="57">
        <f t="shared" ref="L687:L704" si="126">TRUNC(G687*K687)</f>
        <v>80874</v>
      </c>
      <c r="M687" s="38">
        <f>일대목차!N25</f>
        <v>0</v>
      </c>
      <c r="N687" s="57">
        <f t="shared" ref="N687:N704" si="127">TRUNC(G687*M687)</f>
        <v>0</v>
      </c>
      <c r="O687" s="38">
        <f t="shared" ref="O687:O705" si="128">IF((H687+K687+M687)=0, "", (H687+K687+M687))</f>
        <v>119530</v>
      </c>
      <c r="P687" s="38">
        <f t="shared" ref="P687:P704" si="129">SUM(I687,L687,N687)</f>
        <v>119530</v>
      </c>
      <c r="Q687" s="12" t="s">
        <v>1752</v>
      </c>
      <c r="AE687" s="35">
        <f t="shared" si="123"/>
        <v>80874</v>
      </c>
    </row>
    <row r="688" spans="1:31" ht="23.1" customHeight="1" x14ac:dyDescent="0.15">
      <c r="A688" s="13" t="s">
        <v>1753</v>
      </c>
      <c r="B688" s="13" t="s">
        <v>3050</v>
      </c>
      <c r="C688" s="13" t="s">
        <v>1754</v>
      </c>
      <c r="D688" s="12" t="s">
        <v>1749</v>
      </c>
      <c r="E688" s="12" t="s">
        <v>240</v>
      </c>
      <c r="F688" s="31" t="s">
        <v>792</v>
      </c>
      <c r="G688" s="15">
        <v>2</v>
      </c>
      <c r="H688" s="38">
        <f>일대목차!I26</f>
        <v>68241</v>
      </c>
      <c r="I688" s="57">
        <f t="shared" si="125"/>
        <v>136482</v>
      </c>
      <c r="J688" s="38">
        <v>2</v>
      </c>
      <c r="K688" s="38">
        <f>일대목차!L26</f>
        <v>80874</v>
      </c>
      <c r="L688" s="57">
        <f t="shared" si="126"/>
        <v>161748</v>
      </c>
      <c r="M688" s="38">
        <f>일대목차!N26</f>
        <v>0</v>
      </c>
      <c r="N688" s="57">
        <f t="shared" si="127"/>
        <v>0</v>
      </c>
      <c r="O688" s="38">
        <f t="shared" si="128"/>
        <v>149115</v>
      </c>
      <c r="P688" s="38">
        <f t="shared" si="129"/>
        <v>298230</v>
      </c>
      <c r="Q688" s="12" t="s">
        <v>1755</v>
      </c>
      <c r="AE688" s="35">
        <f t="shared" si="123"/>
        <v>161748</v>
      </c>
    </row>
    <row r="689" spans="1:31" ht="23.1" customHeight="1" x14ac:dyDescent="0.15">
      <c r="A689" s="13" t="s">
        <v>1662</v>
      </c>
      <c r="B689" s="13" t="s">
        <v>3050</v>
      </c>
      <c r="C689" s="13" t="s">
        <v>1663</v>
      </c>
      <c r="D689" s="12" t="s">
        <v>1665</v>
      </c>
      <c r="E689" s="12" t="s">
        <v>1666</v>
      </c>
      <c r="F689" s="31" t="s">
        <v>980</v>
      </c>
      <c r="G689" s="15">
        <v>54</v>
      </c>
      <c r="H689" s="38">
        <f>일대목차!I4</f>
        <v>341</v>
      </c>
      <c r="I689" s="57">
        <f t="shared" si="125"/>
        <v>18414</v>
      </c>
      <c r="J689" s="38">
        <v>54</v>
      </c>
      <c r="K689" s="38">
        <f>일대목차!L4</f>
        <v>7929</v>
      </c>
      <c r="L689" s="57">
        <f t="shared" si="126"/>
        <v>428166</v>
      </c>
      <c r="M689" s="38">
        <f>일대목차!N4</f>
        <v>418</v>
      </c>
      <c r="N689" s="57">
        <f t="shared" si="127"/>
        <v>22572</v>
      </c>
      <c r="O689" s="38">
        <f t="shared" si="128"/>
        <v>8688</v>
      </c>
      <c r="P689" s="38">
        <f t="shared" si="129"/>
        <v>469152</v>
      </c>
      <c r="Q689" s="12" t="s">
        <v>1664</v>
      </c>
      <c r="AE689" s="35">
        <f t="shared" si="123"/>
        <v>428166</v>
      </c>
    </row>
    <row r="690" spans="1:31" ht="23.1" customHeight="1" x14ac:dyDescent="0.15">
      <c r="A690" s="13" t="s">
        <v>1667</v>
      </c>
      <c r="B690" s="13" t="s">
        <v>3050</v>
      </c>
      <c r="C690" s="13" t="s">
        <v>1668</v>
      </c>
      <c r="D690" s="12" t="s">
        <v>1670</v>
      </c>
      <c r="E690" s="12" t="s">
        <v>1666</v>
      </c>
      <c r="F690" s="31" t="s">
        <v>980</v>
      </c>
      <c r="G690" s="15">
        <v>54</v>
      </c>
      <c r="H690" s="38">
        <f>일대목차!I5</f>
        <v>341</v>
      </c>
      <c r="I690" s="57">
        <f t="shared" si="125"/>
        <v>18414</v>
      </c>
      <c r="J690" s="38">
        <v>54</v>
      </c>
      <c r="K690" s="38">
        <f>일대목차!L5</f>
        <v>4488</v>
      </c>
      <c r="L690" s="57">
        <f t="shared" si="126"/>
        <v>242352</v>
      </c>
      <c r="M690" s="38">
        <f>일대목차!N5</f>
        <v>418</v>
      </c>
      <c r="N690" s="57">
        <f t="shared" si="127"/>
        <v>22572</v>
      </c>
      <c r="O690" s="38">
        <f t="shared" si="128"/>
        <v>5247</v>
      </c>
      <c r="P690" s="38">
        <f t="shared" si="129"/>
        <v>283338</v>
      </c>
      <c r="Q690" s="12" t="s">
        <v>1669</v>
      </c>
      <c r="AE690" s="35">
        <f t="shared" si="123"/>
        <v>242352</v>
      </c>
    </row>
    <row r="691" spans="1:31" ht="23.1" customHeight="1" x14ac:dyDescent="0.15">
      <c r="A691" s="13" t="s">
        <v>2119</v>
      </c>
      <c r="B691" s="13" t="s">
        <v>3050</v>
      </c>
      <c r="C691" s="13" t="s">
        <v>2120</v>
      </c>
      <c r="D691" s="12" t="s">
        <v>656</v>
      </c>
      <c r="E691" s="12" t="s">
        <v>670</v>
      </c>
      <c r="F691" s="31" t="s">
        <v>166</v>
      </c>
      <c r="G691" s="15">
        <v>11</v>
      </c>
      <c r="H691" s="38">
        <f>일대목차!I145</f>
        <v>15746</v>
      </c>
      <c r="I691" s="57">
        <f t="shared" si="125"/>
        <v>173206</v>
      </c>
      <c r="J691" s="38">
        <v>11</v>
      </c>
      <c r="K691" s="38">
        <f>일대목차!L145</f>
        <v>82759</v>
      </c>
      <c r="L691" s="57">
        <f t="shared" si="126"/>
        <v>910349</v>
      </c>
      <c r="M691" s="38">
        <f>일대목차!N145</f>
        <v>0</v>
      </c>
      <c r="N691" s="57">
        <f t="shared" si="127"/>
        <v>0</v>
      </c>
      <c r="O691" s="38">
        <f t="shared" si="128"/>
        <v>98505</v>
      </c>
      <c r="P691" s="38">
        <f t="shared" si="129"/>
        <v>1083555</v>
      </c>
      <c r="Q691" s="12" t="s">
        <v>2121</v>
      </c>
      <c r="AB691" s="35">
        <f>I691</f>
        <v>173206</v>
      </c>
      <c r="AC691" s="35">
        <f>G691*H691</f>
        <v>173206</v>
      </c>
      <c r="AE691" s="35">
        <f t="shared" si="123"/>
        <v>910349</v>
      </c>
    </row>
    <row r="692" spans="1:31" ht="23.1" customHeight="1" x14ac:dyDescent="0.15">
      <c r="A692" s="13" t="s">
        <v>1213</v>
      </c>
      <c r="B692" s="13" t="s">
        <v>3050</v>
      </c>
      <c r="C692" s="13" t="s">
        <v>684</v>
      </c>
      <c r="D692" s="12" t="s">
        <v>672</v>
      </c>
      <c r="E692" s="12" t="s">
        <v>685</v>
      </c>
      <c r="F692" s="31" t="s">
        <v>200</v>
      </c>
      <c r="G692" s="15">
        <v>3</v>
      </c>
      <c r="H692" s="38">
        <f>합산자재!H189</f>
        <v>4442</v>
      </c>
      <c r="I692" s="57">
        <f t="shared" si="125"/>
        <v>13326</v>
      </c>
      <c r="J692" s="38">
        <v>3</v>
      </c>
      <c r="K692" s="38">
        <f>합산자재!I189</f>
        <v>0</v>
      </c>
      <c r="L692" s="57">
        <f t="shared" si="126"/>
        <v>0</v>
      </c>
      <c r="M692" s="38">
        <f>합산자재!J189</f>
        <v>0</v>
      </c>
      <c r="N692" s="57">
        <f t="shared" si="127"/>
        <v>0</v>
      </c>
      <c r="O692" s="38">
        <f t="shared" si="128"/>
        <v>4442</v>
      </c>
      <c r="P692" s="38">
        <f t="shared" si="129"/>
        <v>13326</v>
      </c>
      <c r="Q692" s="12"/>
    </row>
    <row r="693" spans="1:31" ht="23.1" customHeight="1" x14ac:dyDescent="0.15">
      <c r="A693" s="13" t="s">
        <v>1220</v>
      </c>
      <c r="B693" s="13" t="s">
        <v>3050</v>
      </c>
      <c r="C693" s="13" t="s">
        <v>698</v>
      </c>
      <c r="D693" s="12" t="s">
        <v>672</v>
      </c>
      <c r="E693" s="12" t="s">
        <v>699</v>
      </c>
      <c r="F693" s="31" t="s">
        <v>200</v>
      </c>
      <c r="G693" s="15">
        <v>2</v>
      </c>
      <c r="H693" s="38">
        <f>합산자재!H196</f>
        <v>5002</v>
      </c>
      <c r="I693" s="57">
        <f t="shared" si="125"/>
        <v>10004</v>
      </c>
      <c r="J693" s="38">
        <v>2</v>
      </c>
      <c r="K693" s="38">
        <f>합산자재!I196</f>
        <v>0</v>
      </c>
      <c r="L693" s="57">
        <f t="shared" si="126"/>
        <v>0</v>
      </c>
      <c r="M693" s="38">
        <f>합산자재!J196</f>
        <v>0</v>
      </c>
      <c r="N693" s="57">
        <f t="shared" si="127"/>
        <v>0</v>
      </c>
      <c r="O693" s="38">
        <f t="shared" si="128"/>
        <v>5002</v>
      </c>
      <c r="P693" s="38">
        <f t="shared" si="129"/>
        <v>10004</v>
      </c>
      <c r="Q693" s="12"/>
    </row>
    <row r="694" spans="1:31" ht="23.1" customHeight="1" x14ac:dyDescent="0.15">
      <c r="A694" s="13" t="s">
        <v>1225</v>
      </c>
      <c r="B694" s="13" t="s">
        <v>3050</v>
      </c>
      <c r="C694" s="13" t="s">
        <v>705</v>
      </c>
      <c r="D694" s="12" t="s">
        <v>701</v>
      </c>
      <c r="E694" s="12" t="s">
        <v>670</v>
      </c>
      <c r="F694" s="31" t="s">
        <v>200</v>
      </c>
      <c r="G694" s="15">
        <v>1</v>
      </c>
      <c r="H694" s="38">
        <f>합산자재!H201</f>
        <v>16888</v>
      </c>
      <c r="I694" s="57">
        <f t="shared" si="125"/>
        <v>16888</v>
      </c>
      <c r="J694" s="38">
        <v>1</v>
      </c>
      <c r="K694" s="38">
        <f>합산자재!I201</f>
        <v>0</v>
      </c>
      <c r="L694" s="57">
        <f t="shared" si="126"/>
        <v>0</v>
      </c>
      <c r="M694" s="38">
        <f>합산자재!J201</f>
        <v>0</v>
      </c>
      <c r="N694" s="57">
        <f t="shared" si="127"/>
        <v>0</v>
      </c>
      <c r="O694" s="38">
        <f t="shared" si="128"/>
        <v>16888</v>
      </c>
      <c r="P694" s="38">
        <f t="shared" si="129"/>
        <v>16888</v>
      </c>
      <c r="Q694" s="12"/>
    </row>
    <row r="695" spans="1:31" ht="23.1" customHeight="1" x14ac:dyDescent="0.15">
      <c r="A695" s="13" t="s">
        <v>1247</v>
      </c>
      <c r="B695" s="13" t="s">
        <v>3050</v>
      </c>
      <c r="C695" s="13" t="s">
        <v>706</v>
      </c>
      <c r="D695" s="12" t="s">
        <v>739</v>
      </c>
      <c r="E695" s="12"/>
      <c r="F695" s="31" t="s">
        <v>740</v>
      </c>
      <c r="G695" s="15">
        <v>1</v>
      </c>
      <c r="H695" s="38">
        <f>합산자재!H223</f>
        <v>14300000</v>
      </c>
      <c r="I695" s="57">
        <f t="shared" si="125"/>
        <v>14300000</v>
      </c>
      <c r="J695" s="38">
        <v>1</v>
      </c>
      <c r="K695" s="38">
        <f>합산자재!I223</f>
        <v>0</v>
      </c>
      <c r="L695" s="57">
        <f t="shared" si="126"/>
        <v>0</v>
      </c>
      <c r="M695" s="38">
        <f>합산자재!J223</f>
        <v>0</v>
      </c>
      <c r="N695" s="57">
        <f t="shared" si="127"/>
        <v>0</v>
      </c>
      <c r="O695" s="38">
        <f t="shared" si="128"/>
        <v>14300000</v>
      </c>
      <c r="P695" s="38">
        <f t="shared" si="129"/>
        <v>14300000</v>
      </c>
      <c r="Q695" s="12"/>
    </row>
    <row r="696" spans="1:31" ht="23.1" customHeight="1" x14ac:dyDescent="0.15">
      <c r="A696" s="13" t="s">
        <v>1248</v>
      </c>
      <c r="B696" s="13" t="s">
        <v>3050</v>
      </c>
      <c r="C696" s="13" t="s">
        <v>706</v>
      </c>
      <c r="D696" s="12" t="s">
        <v>744</v>
      </c>
      <c r="E696" s="12"/>
      <c r="F696" s="31" t="s">
        <v>740</v>
      </c>
      <c r="G696" s="15">
        <v>1</v>
      </c>
      <c r="H696" s="38">
        <f>합산자재!H224</f>
        <v>13500000</v>
      </c>
      <c r="I696" s="57">
        <f t="shared" si="125"/>
        <v>13500000</v>
      </c>
      <c r="J696" s="38">
        <v>1</v>
      </c>
      <c r="K696" s="38">
        <f>합산자재!I224</f>
        <v>0</v>
      </c>
      <c r="L696" s="57">
        <f t="shared" si="126"/>
        <v>0</v>
      </c>
      <c r="M696" s="38">
        <f>합산자재!J224</f>
        <v>0</v>
      </c>
      <c r="N696" s="57">
        <f t="shared" si="127"/>
        <v>0</v>
      </c>
      <c r="O696" s="38">
        <f t="shared" si="128"/>
        <v>13500000</v>
      </c>
      <c r="P696" s="38">
        <f t="shared" si="129"/>
        <v>13500000</v>
      </c>
      <c r="Q696" s="12"/>
    </row>
    <row r="697" spans="1:31" ht="23.1" customHeight="1" x14ac:dyDescent="0.15">
      <c r="A697" s="13" t="s">
        <v>1297</v>
      </c>
      <c r="B697" s="13" t="s">
        <v>3050</v>
      </c>
      <c r="C697" s="13" t="s">
        <v>843</v>
      </c>
      <c r="D697" s="12" t="s">
        <v>844</v>
      </c>
      <c r="E697" s="12" t="s">
        <v>845</v>
      </c>
      <c r="F697" s="31" t="s">
        <v>710</v>
      </c>
      <c r="G697" s="15">
        <v>1</v>
      </c>
      <c r="H697" s="38"/>
      <c r="I697" s="57">
        <f t="shared" si="125"/>
        <v>0</v>
      </c>
      <c r="J697" s="38">
        <v>1</v>
      </c>
      <c r="K697" s="38">
        <f>합산자재!I273</f>
        <v>0</v>
      </c>
      <c r="L697" s="57">
        <f t="shared" si="126"/>
        <v>0</v>
      </c>
      <c r="M697" s="38">
        <f>합산자재!J273</f>
        <v>0</v>
      </c>
      <c r="N697" s="57">
        <f t="shared" si="127"/>
        <v>0</v>
      </c>
      <c r="O697" s="38" t="str">
        <f t="shared" si="128"/>
        <v/>
      </c>
      <c r="P697" s="38">
        <f t="shared" si="129"/>
        <v>0</v>
      </c>
      <c r="Q697" s="12" t="s">
        <v>2378</v>
      </c>
    </row>
    <row r="698" spans="1:31" ht="23.1" customHeight="1" x14ac:dyDescent="0.15">
      <c r="A698" s="13" t="s">
        <v>1298</v>
      </c>
      <c r="B698" s="13" t="s">
        <v>3050</v>
      </c>
      <c r="C698" s="13" t="s">
        <v>846</v>
      </c>
      <c r="D698" s="12" t="s">
        <v>847</v>
      </c>
      <c r="E698" s="12" t="s">
        <v>746</v>
      </c>
      <c r="F698" s="31" t="s">
        <v>559</v>
      </c>
      <c r="G698" s="15">
        <v>1</v>
      </c>
      <c r="H698" s="38"/>
      <c r="I698" s="57">
        <f t="shared" si="125"/>
        <v>0</v>
      </c>
      <c r="J698" s="38">
        <v>1</v>
      </c>
      <c r="K698" s="38">
        <f>합산자재!I274</f>
        <v>0</v>
      </c>
      <c r="L698" s="57">
        <f t="shared" si="126"/>
        <v>0</v>
      </c>
      <c r="M698" s="38">
        <f>합산자재!J274</f>
        <v>0</v>
      </c>
      <c r="N698" s="57">
        <f t="shared" si="127"/>
        <v>0</v>
      </c>
      <c r="O698" s="38" t="str">
        <f t="shared" si="128"/>
        <v/>
      </c>
      <c r="P698" s="38">
        <f t="shared" si="129"/>
        <v>0</v>
      </c>
      <c r="Q698" s="12" t="s">
        <v>2378</v>
      </c>
    </row>
    <row r="699" spans="1:31" ht="23.1" customHeight="1" x14ac:dyDescent="0.15">
      <c r="A699" s="13" t="s">
        <v>1299</v>
      </c>
      <c r="B699" s="13" t="s">
        <v>3050</v>
      </c>
      <c r="C699" s="13" t="s">
        <v>848</v>
      </c>
      <c r="D699" s="12" t="s">
        <v>847</v>
      </c>
      <c r="E699" s="12" t="s">
        <v>748</v>
      </c>
      <c r="F699" s="31" t="s">
        <v>559</v>
      </c>
      <c r="G699" s="15">
        <v>1</v>
      </c>
      <c r="H699" s="38"/>
      <c r="I699" s="57">
        <f t="shared" si="125"/>
        <v>0</v>
      </c>
      <c r="J699" s="38">
        <v>1</v>
      </c>
      <c r="K699" s="38">
        <f>합산자재!I275</f>
        <v>0</v>
      </c>
      <c r="L699" s="57">
        <f t="shared" si="126"/>
        <v>0</v>
      </c>
      <c r="M699" s="38">
        <f>합산자재!J275</f>
        <v>0</v>
      </c>
      <c r="N699" s="57">
        <f t="shared" si="127"/>
        <v>0</v>
      </c>
      <c r="O699" s="38" t="str">
        <f t="shared" si="128"/>
        <v/>
      </c>
      <c r="P699" s="38">
        <f t="shared" si="129"/>
        <v>0</v>
      </c>
      <c r="Q699" s="12" t="s">
        <v>2378</v>
      </c>
    </row>
    <row r="700" spans="1:31" ht="23.1" customHeight="1" x14ac:dyDescent="0.15">
      <c r="A700" s="13" t="s">
        <v>1304</v>
      </c>
      <c r="B700" s="13" t="s">
        <v>3050</v>
      </c>
      <c r="C700" s="13" t="s">
        <v>853</v>
      </c>
      <c r="D700" s="12" t="s">
        <v>847</v>
      </c>
      <c r="E700" s="12" t="s">
        <v>749</v>
      </c>
      <c r="F700" s="31" t="s">
        <v>559</v>
      </c>
      <c r="G700" s="15">
        <v>1</v>
      </c>
      <c r="H700" s="38"/>
      <c r="I700" s="57">
        <f t="shared" si="125"/>
        <v>0</v>
      </c>
      <c r="J700" s="38">
        <v>1</v>
      </c>
      <c r="K700" s="38">
        <f>합산자재!I280</f>
        <v>0</v>
      </c>
      <c r="L700" s="57">
        <f t="shared" si="126"/>
        <v>0</v>
      </c>
      <c r="M700" s="38">
        <f>합산자재!J280</f>
        <v>0</v>
      </c>
      <c r="N700" s="57">
        <f t="shared" si="127"/>
        <v>0</v>
      </c>
      <c r="O700" s="38" t="str">
        <f t="shared" si="128"/>
        <v/>
      </c>
      <c r="P700" s="38">
        <f t="shared" si="129"/>
        <v>0</v>
      </c>
      <c r="Q700" s="12" t="s">
        <v>2378</v>
      </c>
    </row>
    <row r="701" spans="1:31" ht="23.1" customHeight="1" x14ac:dyDescent="0.15">
      <c r="A701" s="13" t="s">
        <v>1303</v>
      </c>
      <c r="B701" s="13" t="s">
        <v>3050</v>
      </c>
      <c r="C701" s="13" t="s">
        <v>852</v>
      </c>
      <c r="D701" s="12" t="s">
        <v>847</v>
      </c>
      <c r="E701" s="12" t="s">
        <v>750</v>
      </c>
      <c r="F701" s="31" t="s">
        <v>559</v>
      </c>
      <c r="G701" s="15">
        <v>1</v>
      </c>
      <c r="H701" s="38"/>
      <c r="I701" s="57">
        <f t="shared" si="125"/>
        <v>0</v>
      </c>
      <c r="J701" s="38">
        <v>1</v>
      </c>
      <c r="K701" s="38">
        <f>합산자재!I279</f>
        <v>0</v>
      </c>
      <c r="L701" s="57">
        <f t="shared" si="126"/>
        <v>0</v>
      </c>
      <c r="M701" s="38">
        <f>합산자재!J279</f>
        <v>0</v>
      </c>
      <c r="N701" s="57">
        <f t="shared" si="127"/>
        <v>0</v>
      </c>
      <c r="O701" s="38" t="str">
        <f t="shared" si="128"/>
        <v/>
      </c>
      <c r="P701" s="38">
        <f t="shared" si="129"/>
        <v>0</v>
      </c>
      <c r="Q701" s="12" t="s">
        <v>2378</v>
      </c>
    </row>
    <row r="702" spans="1:31" ht="23.1" customHeight="1" x14ac:dyDescent="0.15">
      <c r="A702" s="13" t="s">
        <v>1300</v>
      </c>
      <c r="B702" s="13" t="s">
        <v>3050</v>
      </c>
      <c r="C702" s="13" t="s">
        <v>849</v>
      </c>
      <c r="D702" s="12" t="s">
        <v>847</v>
      </c>
      <c r="E702" s="12" t="s">
        <v>751</v>
      </c>
      <c r="F702" s="31" t="s">
        <v>559</v>
      </c>
      <c r="G702" s="15">
        <v>1</v>
      </c>
      <c r="H702" s="38"/>
      <c r="I702" s="57">
        <f t="shared" si="125"/>
        <v>0</v>
      </c>
      <c r="J702" s="38">
        <v>1</v>
      </c>
      <c r="K702" s="38">
        <f>합산자재!I276</f>
        <v>0</v>
      </c>
      <c r="L702" s="57">
        <f t="shared" si="126"/>
        <v>0</v>
      </c>
      <c r="M702" s="38">
        <f>합산자재!J276</f>
        <v>0</v>
      </c>
      <c r="N702" s="57">
        <f t="shared" si="127"/>
        <v>0</v>
      </c>
      <c r="O702" s="38" t="str">
        <f t="shared" si="128"/>
        <v/>
      </c>
      <c r="P702" s="38">
        <f t="shared" si="129"/>
        <v>0</v>
      </c>
      <c r="Q702" s="12" t="s">
        <v>2378</v>
      </c>
    </row>
    <row r="703" spans="1:31" ht="23.1" customHeight="1" x14ac:dyDescent="0.15">
      <c r="A703" s="13" t="s">
        <v>1301</v>
      </c>
      <c r="B703" s="13" t="s">
        <v>3050</v>
      </c>
      <c r="C703" s="13" t="s">
        <v>850</v>
      </c>
      <c r="D703" s="12" t="s">
        <v>847</v>
      </c>
      <c r="E703" s="12" t="s">
        <v>752</v>
      </c>
      <c r="F703" s="31" t="s">
        <v>559</v>
      </c>
      <c r="G703" s="15">
        <v>1</v>
      </c>
      <c r="H703" s="38"/>
      <c r="I703" s="57">
        <f t="shared" si="125"/>
        <v>0</v>
      </c>
      <c r="J703" s="38">
        <v>1</v>
      </c>
      <c r="K703" s="38">
        <f>합산자재!I277</f>
        <v>0</v>
      </c>
      <c r="L703" s="57">
        <f t="shared" si="126"/>
        <v>0</v>
      </c>
      <c r="M703" s="38">
        <f>합산자재!J277</f>
        <v>0</v>
      </c>
      <c r="N703" s="57">
        <f t="shared" si="127"/>
        <v>0</v>
      </c>
      <c r="O703" s="38" t="str">
        <f t="shared" si="128"/>
        <v/>
      </c>
      <c r="P703" s="38">
        <f t="shared" si="129"/>
        <v>0</v>
      </c>
      <c r="Q703" s="12" t="s">
        <v>2378</v>
      </c>
    </row>
    <row r="704" spans="1:31" ht="23.1" customHeight="1" x14ac:dyDescent="0.15">
      <c r="A704" s="13" t="s">
        <v>1302</v>
      </c>
      <c r="B704" s="13" t="s">
        <v>3050</v>
      </c>
      <c r="C704" s="13" t="s">
        <v>851</v>
      </c>
      <c r="D704" s="12" t="s">
        <v>847</v>
      </c>
      <c r="E704" s="12" t="s">
        <v>753</v>
      </c>
      <c r="F704" s="31" t="s">
        <v>559</v>
      </c>
      <c r="G704" s="15">
        <v>1</v>
      </c>
      <c r="H704" s="38"/>
      <c r="I704" s="57">
        <f t="shared" si="125"/>
        <v>0</v>
      </c>
      <c r="J704" s="38">
        <v>1</v>
      </c>
      <c r="K704" s="38">
        <f>합산자재!I278</f>
        <v>0</v>
      </c>
      <c r="L704" s="57">
        <f t="shared" si="126"/>
        <v>0</v>
      </c>
      <c r="M704" s="38">
        <f>합산자재!J278</f>
        <v>0</v>
      </c>
      <c r="N704" s="57">
        <f t="shared" si="127"/>
        <v>0</v>
      </c>
      <c r="O704" s="38" t="str">
        <f t="shared" si="128"/>
        <v/>
      </c>
      <c r="P704" s="38">
        <f t="shared" si="129"/>
        <v>0</v>
      </c>
      <c r="Q704" s="12" t="s">
        <v>2378</v>
      </c>
    </row>
    <row r="705" spans="1:31" ht="23.1" customHeight="1" x14ac:dyDescent="0.15">
      <c r="B705" s="13" t="s">
        <v>2360</v>
      </c>
      <c r="D705" s="12" t="s">
        <v>2361</v>
      </c>
      <c r="E705" s="12"/>
      <c r="F705" s="31"/>
      <c r="G705" s="15"/>
      <c r="H705" s="38"/>
      <c r="I705" s="57">
        <f>TRUNC(SUM(I654:I704))</f>
        <v>55118035</v>
      </c>
      <c r="J705" s="38"/>
      <c r="K705" s="38"/>
      <c r="L705" s="57">
        <f>TRUNC(SUM(L654:L704))</f>
        <v>34723280</v>
      </c>
      <c r="M705" s="38"/>
      <c r="N705" s="57">
        <f>TRUNC(SUM(N654:N704))</f>
        <v>162312</v>
      </c>
      <c r="O705" s="38" t="str">
        <f t="shared" si="128"/>
        <v/>
      </c>
      <c r="P705" s="38">
        <f>TRUNC(SUM(P654:P704))</f>
        <v>90003627</v>
      </c>
      <c r="Q705" s="12"/>
      <c r="AE705" s="35">
        <f>TRUNC(SUM(AE654:AE704))</f>
        <v>34723280</v>
      </c>
    </row>
    <row r="706" spans="1:31" ht="23.1" customHeight="1" x14ac:dyDescent="0.15">
      <c r="B706" s="13" t="s">
        <v>1448</v>
      </c>
      <c r="D706" s="170" t="s">
        <v>3184</v>
      </c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2"/>
    </row>
    <row r="707" spans="1:31" ht="23.1" customHeight="1" x14ac:dyDescent="0.15">
      <c r="A707" s="13" t="s">
        <v>1909</v>
      </c>
      <c r="B707" s="13" t="s">
        <v>3051</v>
      </c>
      <c r="C707" s="13" t="s">
        <v>1910</v>
      </c>
      <c r="D707" s="12" t="s">
        <v>408</v>
      </c>
      <c r="E707" s="12" t="s">
        <v>409</v>
      </c>
      <c r="F707" s="31" t="s">
        <v>166</v>
      </c>
      <c r="G707" s="15">
        <v>31</v>
      </c>
      <c r="H707" s="38">
        <f>일대목차!I75</f>
        <v>1066</v>
      </c>
      <c r="I707" s="57">
        <f t="shared" ref="I707:I754" si="130">TRUNC(G707*H707)</f>
        <v>33046</v>
      </c>
      <c r="J707" s="38">
        <v>31</v>
      </c>
      <c r="K707" s="38">
        <f>일대목차!L75</f>
        <v>2463</v>
      </c>
      <c r="L707" s="57">
        <f t="shared" ref="L707:L754" si="131">TRUNC(G707*K707)</f>
        <v>76353</v>
      </c>
      <c r="M707" s="38">
        <f>일대목차!N75</f>
        <v>0</v>
      </c>
      <c r="N707" s="57">
        <f t="shared" ref="N707:N754" si="132">TRUNC(G707*M707)</f>
        <v>0</v>
      </c>
      <c r="O707" s="38">
        <f t="shared" ref="O707:O754" si="133">IF((H707+K707+M707)=0, "", (H707+K707+M707))</f>
        <v>3529</v>
      </c>
      <c r="P707" s="38">
        <f t="shared" ref="P707:P754" si="134">SUM(I707,L707,N707)</f>
        <v>109399</v>
      </c>
      <c r="Q707" s="12" t="s">
        <v>1911</v>
      </c>
      <c r="AC707" s="35">
        <f t="shared" ref="AC707:AC719" si="135">G707*H707</f>
        <v>33046</v>
      </c>
      <c r="AE707" s="35">
        <f t="shared" ref="AE707:AE733" si="136">L707</f>
        <v>76353</v>
      </c>
    </row>
    <row r="708" spans="1:31" ht="23.1" customHeight="1" x14ac:dyDescent="0.15">
      <c r="A708" s="13" t="s">
        <v>1912</v>
      </c>
      <c r="B708" s="13" t="s">
        <v>3051</v>
      </c>
      <c r="C708" s="13" t="s">
        <v>1913</v>
      </c>
      <c r="D708" s="12" t="s">
        <v>408</v>
      </c>
      <c r="E708" s="12" t="s">
        <v>413</v>
      </c>
      <c r="F708" s="31" t="s">
        <v>166</v>
      </c>
      <c r="G708" s="15">
        <v>10</v>
      </c>
      <c r="H708" s="38">
        <f>일대목차!I76</f>
        <v>1183</v>
      </c>
      <c r="I708" s="57">
        <f t="shared" si="130"/>
        <v>11830</v>
      </c>
      <c r="J708" s="38">
        <v>10</v>
      </c>
      <c r="K708" s="38">
        <f>일대목차!L76</f>
        <v>2463</v>
      </c>
      <c r="L708" s="57">
        <f t="shared" si="131"/>
        <v>24630</v>
      </c>
      <c r="M708" s="38">
        <f>일대목차!N76</f>
        <v>0</v>
      </c>
      <c r="N708" s="57">
        <f t="shared" si="132"/>
        <v>0</v>
      </c>
      <c r="O708" s="38">
        <f t="shared" si="133"/>
        <v>3646</v>
      </c>
      <c r="P708" s="38">
        <f t="shared" si="134"/>
        <v>36460</v>
      </c>
      <c r="Q708" s="12" t="s">
        <v>1914</v>
      </c>
      <c r="AC708" s="35">
        <f t="shared" si="135"/>
        <v>11830</v>
      </c>
      <c r="AE708" s="35">
        <f t="shared" si="136"/>
        <v>24630</v>
      </c>
    </row>
    <row r="709" spans="1:31" ht="23.1" customHeight="1" x14ac:dyDescent="0.15">
      <c r="A709" s="13" t="s">
        <v>1915</v>
      </c>
      <c r="B709" s="13" t="s">
        <v>3051</v>
      </c>
      <c r="C709" s="13" t="s">
        <v>1916</v>
      </c>
      <c r="D709" s="12" t="s">
        <v>408</v>
      </c>
      <c r="E709" s="12" t="s">
        <v>415</v>
      </c>
      <c r="F709" s="31" t="s">
        <v>166</v>
      </c>
      <c r="G709" s="15">
        <v>137</v>
      </c>
      <c r="H709" s="38">
        <f>일대목차!I77</f>
        <v>2106</v>
      </c>
      <c r="I709" s="57">
        <f t="shared" si="130"/>
        <v>288522</v>
      </c>
      <c r="J709" s="38">
        <v>137</v>
      </c>
      <c r="K709" s="38">
        <f>일대목차!L77</f>
        <v>2463</v>
      </c>
      <c r="L709" s="57">
        <f t="shared" si="131"/>
        <v>337431</v>
      </c>
      <c r="M709" s="38">
        <f>일대목차!N77</f>
        <v>0</v>
      </c>
      <c r="N709" s="57">
        <f t="shared" si="132"/>
        <v>0</v>
      </c>
      <c r="O709" s="38">
        <f t="shared" si="133"/>
        <v>4569</v>
      </c>
      <c r="P709" s="38">
        <f t="shared" si="134"/>
        <v>625953</v>
      </c>
      <c r="Q709" s="12" t="s">
        <v>1917</v>
      </c>
      <c r="AC709" s="35">
        <f t="shared" si="135"/>
        <v>288522</v>
      </c>
      <c r="AE709" s="35">
        <f t="shared" si="136"/>
        <v>337431</v>
      </c>
    </row>
    <row r="710" spans="1:31" ht="23.1" customHeight="1" x14ac:dyDescent="0.15">
      <c r="A710" s="13" t="s">
        <v>1918</v>
      </c>
      <c r="B710" s="13" t="s">
        <v>3051</v>
      </c>
      <c r="C710" s="13" t="s">
        <v>1919</v>
      </c>
      <c r="D710" s="12" t="s">
        <v>408</v>
      </c>
      <c r="E710" s="12" t="s">
        <v>417</v>
      </c>
      <c r="F710" s="31" t="s">
        <v>166</v>
      </c>
      <c r="G710" s="15">
        <v>26</v>
      </c>
      <c r="H710" s="38">
        <f>일대목차!I78</f>
        <v>2658</v>
      </c>
      <c r="I710" s="57">
        <f t="shared" si="130"/>
        <v>69108</v>
      </c>
      <c r="J710" s="38">
        <v>26</v>
      </c>
      <c r="K710" s="38">
        <f>일대목차!L78</f>
        <v>2873</v>
      </c>
      <c r="L710" s="57">
        <f t="shared" si="131"/>
        <v>74698</v>
      </c>
      <c r="M710" s="38">
        <f>일대목차!N78</f>
        <v>0</v>
      </c>
      <c r="N710" s="57">
        <f t="shared" si="132"/>
        <v>0</v>
      </c>
      <c r="O710" s="38">
        <f t="shared" si="133"/>
        <v>5531</v>
      </c>
      <c r="P710" s="38">
        <f t="shared" si="134"/>
        <v>143806</v>
      </c>
      <c r="Q710" s="12" t="s">
        <v>1920</v>
      </c>
      <c r="AC710" s="35">
        <f t="shared" si="135"/>
        <v>69108</v>
      </c>
      <c r="AE710" s="35">
        <f t="shared" si="136"/>
        <v>74698</v>
      </c>
    </row>
    <row r="711" spans="1:31" ht="23.1" customHeight="1" x14ac:dyDescent="0.15">
      <c r="A711" s="13" t="s">
        <v>1921</v>
      </c>
      <c r="B711" s="13" t="s">
        <v>3051</v>
      </c>
      <c r="C711" s="13" t="s">
        <v>1922</v>
      </c>
      <c r="D711" s="12" t="s">
        <v>408</v>
      </c>
      <c r="E711" s="12" t="s">
        <v>419</v>
      </c>
      <c r="F711" s="31" t="s">
        <v>166</v>
      </c>
      <c r="G711" s="15">
        <v>8</v>
      </c>
      <c r="H711" s="38">
        <f>일대목차!I79</f>
        <v>4233</v>
      </c>
      <c r="I711" s="57">
        <f t="shared" si="130"/>
        <v>33864</v>
      </c>
      <c r="J711" s="38">
        <v>8</v>
      </c>
      <c r="K711" s="38">
        <f>일대목차!L79</f>
        <v>2873</v>
      </c>
      <c r="L711" s="57">
        <f t="shared" si="131"/>
        <v>22984</v>
      </c>
      <c r="M711" s="38">
        <f>일대목차!N79</f>
        <v>0</v>
      </c>
      <c r="N711" s="57">
        <f t="shared" si="132"/>
        <v>0</v>
      </c>
      <c r="O711" s="38">
        <f t="shared" si="133"/>
        <v>7106</v>
      </c>
      <c r="P711" s="38">
        <f t="shared" si="134"/>
        <v>56848</v>
      </c>
      <c r="Q711" s="12" t="s">
        <v>1923</v>
      </c>
      <c r="AC711" s="35">
        <f t="shared" si="135"/>
        <v>33864</v>
      </c>
      <c r="AE711" s="35">
        <f t="shared" si="136"/>
        <v>22984</v>
      </c>
    </row>
    <row r="712" spans="1:31" ht="23.1" customHeight="1" x14ac:dyDescent="0.15">
      <c r="A712" s="13" t="s">
        <v>1945</v>
      </c>
      <c r="B712" s="13" t="s">
        <v>3051</v>
      </c>
      <c r="C712" s="13" t="s">
        <v>1946</v>
      </c>
      <c r="D712" s="12" t="s">
        <v>440</v>
      </c>
      <c r="E712" s="12" t="s">
        <v>441</v>
      </c>
      <c r="F712" s="31" t="s">
        <v>166</v>
      </c>
      <c r="G712" s="15">
        <v>176</v>
      </c>
      <c r="H712" s="38">
        <f>일대목차!I87</f>
        <v>9299</v>
      </c>
      <c r="I712" s="57">
        <f t="shared" si="130"/>
        <v>1636624</v>
      </c>
      <c r="J712" s="38">
        <v>176</v>
      </c>
      <c r="K712" s="38">
        <f>일대목차!L87</f>
        <v>11101</v>
      </c>
      <c r="L712" s="57">
        <f t="shared" si="131"/>
        <v>1953776</v>
      </c>
      <c r="M712" s="38">
        <f>일대목차!N87</f>
        <v>0</v>
      </c>
      <c r="N712" s="57">
        <f t="shared" si="132"/>
        <v>0</v>
      </c>
      <c r="O712" s="38">
        <f t="shared" si="133"/>
        <v>20400</v>
      </c>
      <c r="P712" s="38">
        <f t="shared" si="134"/>
        <v>3590400</v>
      </c>
      <c r="Q712" s="12" t="s">
        <v>1947</v>
      </c>
      <c r="AC712" s="35">
        <f t="shared" si="135"/>
        <v>1636624</v>
      </c>
      <c r="AE712" s="35">
        <f t="shared" si="136"/>
        <v>1953776</v>
      </c>
    </row>
    <row r="713" spans="1:31" ht="23.1" customHeight="1" x14ac:dyDescent="0.15">
      <c r="A713" s="13" t="s">
        <v>1951</v>
      </c>
      <c r="B713" s="13" t="s">
        <v>3051</v>
      </c>
      <c r="C713" s="13" t="s">
        <v>1952</v>
      </c>
      <c r="D713" s="12" t="s">
        <v>445</v>
      </c>
      <c r="E713" s="12" t="s">
        <v>446</v>
      </c>
      <c r="F713" s="31" t="s">
        <v>166</v>
      </c>
      <c r="G713" s="15">
        <v>9</v>
      </c>
      <c r="H713" s="38">
        <f>일대목차!I89</f>
        <v>2308</v>
      </c>
      <c r="I713" s="57">
        <f t="shared" si="130"/>
        <v>20772</v>
      </c>
      <c r="J713" s="38">
        <v>9</v>
      </c>
      <c r="K713" s="38">
        <f>일대목차!L89</f>
        <v>4866</v>
      </c>
      <c r="L713" s="57">
        <f t="shared" si="131"/>
        <v>43794</v>
      </c>
      <c r="M713" s="38">
        <f>일대목차!N89</f>
        <v>0</v>
      </c>
      <c r="N713" s="57">
        <f t="shared" si="132"/>
        <v>0</v>
      </c>
      <c r="O713" s="38">
        <f t="shared" si="133"/>
        <v>7174</v>
      </c>
      <c r="P713" s="38">
        <f t="shared" si="134"/>
        <v>64566</v>
      </c>
      <c r="Q713" s="12" t="s">
        <v>1953</v>
      </c>
      <c r="AC713" s="35">
        <f t="shared" si="135"/>
        <v>20772</v>
      </c>
      <c r="AE713" s="35">
        <f t="shared" si="136"/>
        <v>43794</v>
      </c>
    </row>
    <row r="714" spans="1:31" ht="23.1" customHeight="1" x14ac:dyDescent="0.15">
      <c r="A714" s="13" t="s">
        <v>1966</v>
      </c>
      <c r="B714" s="13" t="s">
        <v>3051</v>
      </c>
      <c r="C714" s="13" t="s">
        <v>1967</v>
      </c>
      <c r="D714" s="12" t="s">
        <v>445</v>
      </c>
      <c r="E714" s="12" t="s">
        <v>456</v>
      </c>
      <c r="F714" s="31" t="s">
        <v>166</v>
      </c>
      <c r="G714" s="15">
        <v>18</v>
      </c>
      <c r="H714" s="38">
        <f>일대목차!I94</f>
        <v>5347</v>
      </c>
      <c r="I714" s="57">
        <f t="shared" si="130"/>
        <v>96246</v>
      </c>
      <c r="J714" s="38">
        <v>18</v>
      </c>
      <c r="K714" s="38">
        <f>일대목차!L94</f>
        <v>10341</v>
      </c>
      <c r="L714" s="57">
        <f t="shared" si="131"/>
        <v>186138</v>
      </c>
      <c r="M714" s="38">
        <f>일대목차!N94</f>
        <v>0</v>
      </c>
      <c r="N714" s="57">
        <f t="shared" si="132"/>
        <v>0</v>
      </c>
      <c r="O714" s="38">
        <f t="shared" si="133"/>
        <v>15688</v>
      </c>
      <c r="P714" s="38">
        <f t="shared" si="134"/>
        <v>282384</v>
      </c>
      <c r="Q714" s="12" t="s">
        <v>1968</v>
      </c>
      <c r="AC714" s="35">
        <f t="shared" si="135"/>
        <v>96246</v>
      </c>
      <c r="AE714" s="35">
        <f t="shared" si="136"/>
        <v>186138</v>
      </c>
    </row>
    <row r="715" spans="1:31" ht="23.1" customHeight="1" x14ac:dyDescent="0.15">
      <c r="A715" s="13" t="s">
        <v>1969</v>
      </c>
      <c r="B715" s="13" t="s">
        <v>3051</v>
      </c>
      <c r="C715" s="13" t="s">
        <v>1970</v>
      </c>
      <c r="D715" s="12" t="s">
        <v>445</v>
      </c>
      <c r="E715" s="12" t="s">
        <v>458</v>
      </c>
      <c r="F715" s="31" t="s">
        <v>166</v>
      </c>
      <c r="G715" s="15">
        <v>173</v>
      </c>
      <c r="H715" s="38">
        <f>일대목차!I95</f>
        <v>8341</v>
      </c>
      <c r="I715" s="57">
        <f t="shared" si="130"/>
        <v>1442993</v>
      </c>
      <c r="J715" s="38">
        <v>173</v>
      </c>
      <c r="K715" s="38">
        <f>일대목차!L95</f>
        <v>14903</v>
      </c>
      <c r="L715" s="57">
        <f t="shared" si="131"/>
        <v>2578219</v>
      </c>
      <c r="M715" s="38">
        <f>일대목차!N95</f>
        <v>0</v>
      </c>
      <c r="N715" s="57">
        <f t="shared" si="132"/>
        <v>0</v>
      </c>
      <c r="O715" s="38">
        <f t="shared" si="133"/>
        <v>23244</v>
      </c>
      <c r="P715" s="38">
        <f t="shared" si="134"/>
        <v>4021212</v>
      </c>
      <c r="Q715" s="12" t="s">
        <v>1971</v>
      </c>
      <c r="AC715" s="35">
        <f t="shared" si="135"/>
        <v>1442993</v>
      </c>
      <c r="AE715" s="35">
        <f t="shared" si="136"/>
        <v>2578219</v>
      </c>
    </row>
    <row r="716" spans="1:31" ht="23.1" customHeight="1" x14ac:dyDescent="0.15">
      <c r="A716" s="13" t="s">
        <v>1972</v>
      </c>
      <c r="B716" s="13" t="s">
        <v>3051</v>
      </c>
      <c r="C716" s="13" t="s">
        <v>1973</v>
      </c>
      <c r="D716" s="12" t="s">
        <v>445</v>
      </c>
      <c r="E716" s="12" t="s">
        <v>460</v>
      </c>
      <c r="F716" s="31" t="s">
        <v>166</v>
      </c>
      <c r="G716" s="15">
        <v>4</v>
      </c>
      <c r="H716" s="38">
        <f>일대목차!I96</f>
        <v>13750</v>
      </c>
      <c r="I716" s="57">
        <f t="shared" si="130"/>
        <v>55000</v>
      </c>
      <c r="J716" s="38">
        <v>4</v>
      </c>
      <c r="K716" s="38">
        <f>일대목차!L96</f>
        <v>18188</v>
      </c>
      <c r="L716" s="57">
        <f t="shared" si="131"/>
        <v>72752</v>
      </c>
      <c r="M716" s="38">
        <f>일대목차!N96</f>
        <v>0</v>
      </c>
      <c r="N716" s="57">
        <f t="shared" si="132"/>
        <v>0</v>
      </c>
      <c r="O716" s="38">
        <f t="shared" si="133"/>
        <v>31938</v>
      </c>
      <c r="P716" s="38">
        <f t="shared" si="134"/>
        <v>127752</v>
      </c>
      <c r="Q716" s="12" t="s">
        <v>1974</v>
      </c>
      <c r="AC716" s="35">
        <f t="shared" si="135"/>
        <v>55000</v>
      </c>
      <c r="AE716" s="35">
        <f t="shared" si="136"/>
        <v>72752</v>
      </c>
    </row>
    <row r="717" spans="1:31" ht="23.1" customHeight="1" x14ac:dyDescent="0.15">
      <c r="A717" s="13" t="s">
        <v>1978</v>
      </c>
      <c r="B717" s="13" t="s">
        <v>3051</v>
      </c>
      <c r="C717" s="13" t="s">
        <v>1979</v>
      </c>
      <c r="D717" s="12" t="s">
        <v>445</v>
      </c>
      <c r="E717" s="12" t="s">
        <v>464</v>
      </c>
      <c r="F717" s="31" t="s">
        <v>166</v>
      </c>
      <c r="G717" s="15">
        <v>75</v>
      </c>
      <c r="H717" s="38">
        <f>일대목차!I98</f>
        <v>21899</v>
      </c>
      <c r="I717" s="57">
        <f t="shared" si="130"/>
        <v>1642425</v>
      </c>
      <c r="J717" s="38">
        <v>75</v>
      </c>
      <c r="K717" s="38">
        <f>일대목차!L98</f>
        <v>28469</v>
      </c>
      <c r="L717" s="57">
        <f t="shared" si="131"/>
        <v>2135175</v>
      </c>
      <c r="M717" s="38">
        <f>일대목차!N98</f>
        <v>0</v>
      </c>
      <c r="N717" s="57">
        <f t="shared" si="132"/>
        <v>0</v>
      </c>
      <c r="O717" s="38">
        <f t="shared" si="133"/>
        <v>50368</v>
      </c>
      <c r="P717" s="38">
        <f t="shared" si="134"/>
        <v>3777600</v>
      </c>
      <c r="Q717" s="12" t="s">
        <v>1980</v>
      </c>
      <c r="AC717" s="35">
        <f t="shared" si="135"/>
        <v>1642425</v>
      </c>
      <c r="AE717" s="35">
        <f t="shared" si="136"/>
        <v>2135175</v>
      </c>
    </row>
    <row r="718" spans="1:31" ht="23.1" customHeight="1" x14ac:dyDescent="0.15">
      <c r="A718" s="13" t="s">
        <v>1984</v>
      </c>
      <c r="B718" s="13" t="s">
        <v>3051</v>
      </c>
      <c r="C718" s="13" t="s">
        <v>1985</v>
      </c>
      <c r="D718" s="12" t="s">
        <v>466</v>
      </c>
      <c r="E718" s="12" t="s">
        <v>473</v>
      </c>
      <c r="F718" s="31" t="s">
        <v>166</v>
      </c>
      <c r="G718" s="15">
        <v>22</v>
      </c>
      <c r="H718" s="38">
        <f>일대목차!I100</f>
        <v>3573</v>
      </c>
      <c r="I718" s="57">
        <f t="shared" si="130"/>
        <v>78606</v>
      </c>
      <c r="J718" s="38">
        <v>22</v>
      </c>
      <c r="K718" s="38">
        <f>일대목차!L100</f>
        <v>4866</v>
      </c>
      <c r="L718" s="57">
        <f t="shared" si="131"/>
        <v>107052</v>
      </c>
      <c r="M718" s="38">
        <f>일대목차!N100</f>
        <v>0</v>
      </c>
      <c r="N718" s="57">
        <f t="shared" si="132"/>
        <v>0</v>
      </c>
      <c r="O718" s="38">
        <f t="shared" si="133"/>
        <v>8439</v>
      </c>
      <c r="P718" s="38">
        <f t="shared" si="134"/>
        <v>185658</v>
      </c>
      <c r="Q718" s="12" t="s">
        <v>1986</v>
      </c>
      <c r="AC718" s="35">
        <f t="shared" si="135"/>
        <v>78606</v>
      </c>
      <c r="AE718" s="35">
        <f t="shared" si="136"/>
        <v>107052</v>
      </c>
    </row>
    <row r="719" spans="1:31" ht="23.1" customHeight="1" x14ac:dyDescent="0.15">
      <c r="A719" s="13" t="s">
        <v>2002</v>
      </c>
      <c r="B719" s="13" t="s">
        <v>3051</v>
      </c>
      <c r="C719" s="13" t="s">
        <v>2003</v>
      </c>
      <c r="D719" s="12" t="s">
        <v>466</v>
      </c>
      <c r="E719" s="12" t="s">
        <v>485</v>
      </c>
      <c r="F719" s="31" t="s">
        <v>166</v>
      </c>
      <c r="G719" s="15">
        <v>43</v>
      </c>
      <c r="H719" s="38">
        <f>일대목차!I106</f>
        <v>31333</v>
      </c>
      <c r="I719" s="57">
        <f t="shared" si="130"/>
        <v>1347319</v>
      </c>
      <c r="J719" s="38">
        <v>43</v>
      </c>
      <c r="K719" s="38">
        <f>일대목차!L106</f>
        <v>28469</v>
      </c>
      <c r="L719" s="57">
        <f t="shared" si="131"/>
        <v>1224167</v>
      </c>
      <c r="M719" s="38">
        <f>일대목차!N106</f>
        <v>0</v>
      </c>
      <c r="N719" s="57">
        <f t="shared" si="132"/>
        <v>0</v>
      </c>
      <c r="O719" s="38">
        <f t="shared" si="133"/>
        <v>59802</v>
      </c>
      <c r="P719" s="38">
        <f t="shared" si="134"/>
        <v>2571486</v>
      </c>
      <c r="Q719" s="12" t="s">
        <v>2004</v>
      </c>
      <c r="AC719" s="35">
        <f t="shared" si="135"/>
        <v>1347319</v>
      </c>
      <c r="AE719" s="35">
        <f t="shared" si="136"/>
        <v>1224167</v>
      </c>
    </row>
    <row r="720" spans="1:31" ht="23.1" customHeight="1" x14ac:dyDescent="0.15">
      <c r="A720" s="13" t="s">
        <v>2071</v>
      </c>
      <c r="B720" s="13" t="s">
        <v>3051</v>
      </c>
      <c r="C720" s="13" t="s">
        <v>2072</v>
      </c>
      <c r="D720" s="12" t="s">
        <v>583</v>
      </c>
      <c r="E720" s="12" t="s">
        <v>584</v>
      </c>
      <c r="F720" s="31" t="s">
        <v>200</v>
      </c>
      <c r="G720" s="15">
        <v>8</v>
      </c>
      <c r="H720" s="38">
        <f>일대목차!I129</f>
        <v>1321</v>
      </c>
      <c r="I720" s="57">
        <f t="shared" si="130"/>
        <v>10568</v>
      </c>
      <c r="J720" s="38">
        <v>8</v>
      </c>
      <c r="K720" s="38">
        <f>일대목차!L129</f>
        <v>43798</v>
      </c>
      <c r="L720" s="57">
        <f t="shared" si="131"/>
        <v>350384</v>
      </c>
      <c r="M720" s="38">
        <f>일대목차!N129</f>
        <v>0</v>
      </c>
      <c r="N720" s="57">
        <f t="shared" si="132"/>
        <v>0</v>
      </c>
      <c r="O720" s="38">
        <f t="shared" si="133"/>
        <v>45119</v>
      </c>
      <c r="P720" s="38">
        <f t="shared" si="134"/>
        <v>360952</v>
      </c>
      <c r="Q720" s="12" t="s">
        <v>2073</v>
      </c>
      <c r="AE720" s="35">
        <f t="shared" si="136"/>
        <v>350384</v>
      </c>
    </row>
    <row r="721" spans="1:31" ht="23.1" customHeight="1" x14ac:dyDescent="0.15">
      <c r="A721" s="13" t="s">
        <v>2080</v>
      </c>
      <c r="B721" s="13" t="s">
        <v>3051</v>
      </c>
      <c r="C721" s="13" t="s">
        <v>2081</v>
      </c>
      <c r="D721" s="12" t="s">
        <v>595</v>
      </c>
      <c r="E721" s="12" t="s">
        <v>596</v>
      </c>
      <c r="F721" s="31" t="s">
        <v>200</v>
      </c>
      <c r="G721" s="15">
        <v>6</v>
      </c>
      <c r="H721" s="38">
        <f>일대목차!I132</f>
        <v>718</v>
      </c>
      <c r="I721" s="57">
        <f t="shared" si="130"/>
        <v>4308</v>
      </c>
      <c r="J721" s="38">
        <v>6</v>
      </c>
      <c r="K721" s="38">
        <f>일대목차!L132</f>
        <v>29563</v>
      </c>
      <c r="L721" s="57">
        <f t="shared" si="131"/>
        <v>177378</v>
      </c>
      <c r="M721" s="38">
        <f>일대목차!N132</f>
        <v>0</v>
      </c>
      <c r="N721" s="57">
        <f t="shared" si="132"/>
        <v>0</v>
      </c>
      <c r="O721" s="38">
        <f t="shared" si="133"/>
        <v>30281</v>
      </c>
      <c r="P721" s="38">
        <f t="shared" si="134"/>
        <v>181686</v>
      </c>
      <c r="Q721" s="12" t="s">
        <v>2082</v>
      </c>
      <c r="AE721" s="35">
        <f t="shared" si="136"/>
        <v>177378</v>
      </c>
    </row>
    <row r="722" spans="1:31" ht="23.1" customHeight="1" x14ac:dyDescent="0.15">
      <c r="A722" s="13" t="s">
        <v>2083</v>
      </c>
      <c r="B722" s="13" t="s">
        <v>3051</v>
      </c>
      <c r="C722" s="13" t="s">
        <v>2084</v>
      </c>
      <c r="D722" s="12" t="s">
        <v>595</v>
      </c>
      <c r="E722" s="12" t="s">
        <v>598</v>
      </c>
      <c r="F722" s="31" t="s">
        <v>200</v>
      </c>
      <c r="G722" s="15">
        <v>2</v>
      </c>
      <c r="H722" s="38">
        <f>일대목차!I133</f>
        <v>909</v>
      </c>
      <c r="I722" s="57">
        <f t="shared" si="130"/>
        <v>1818</v>
      </c>
      <c r="J722" s="38">
        <v>2</v>
      </c>
      <c r="K722" s="38">
        <f>일대목차!L133</f>
        <v>36133</v>
      </c>
      <c r="L722" s="57">
        <f t="shared" si="131"/>
        <v>72266</v>
      </c>
      <c r="M722" s="38">
        <f>일대목차!N133</f>
        <v>0</v>
      </c>
      <c r="N722" s="57">
        <f t="shared" si="132"/>
        <v>0</v>
      </c>
      <c r="O722" s="38">
        <f t="shared" si="133"/>
        <v>37042</v>
      </c>
      <c r="P722" s="38">
        <f t="shared" si="134"/>
        <v>74084</v>
      </c>
      <c r="Q722" s="12" t="s">
        <v>2085</v>
      </c>
      <c r="AE722" s="35">
        <f t="shared" si="136"/>
        <v>72266</v>
      </c>
    </row>
    <row r="723" spans="1:31" ht="23.1" customHeight="1" x14ac:dyDescent="0.15">
      <c r="A723" s="13" t="s">
        <v>2086</v>
      </c>
      <c r="B723" s="13" t="s">
        <v>3051</v>
      </c>
      <c r="C723" s="13" t="s">
        <v>2087</v>
      </c>
      <c r="D723" s="12" t="s">
        <v>595</v>
      </c>
      <c r="E723" s="12" t="s">
        <v>600</v>
      </c>
      <c r="F723" s="31" t="s">
        <v>200</v>
      </c>
      <c r="G723" s="15">
        <v>16</v>
      </c>
      <c r="H723" s="38">
        <f>일대목차!I134</f>
        <v>1030</v>
      </c>
      <c r="I723" s="57">
        <f t="shared" si="130"/>
        <v>16480</v>
      </c>
      <c r="J723" s="38">
        <v>16</v>
      </c>
      <c r="K723" s="38">
        <f>일대목차!L134</f>
        <v>39418</v>
      </c>
      <c r="L723" s="57">
        <f t="shared" si="131"/>
        <v>630688</v>
      </c>
      <c r="M723" s="38">
        <f>일대목차!N134</f>
        <v>0</v>
      </c>
      <c r="N723" s="57">
        <f t="shared" si="132"/>
        <v>0</v>
      </c>
      <c r="O723" s="38">
        <f t="shared" si="133"/>
        <v>40448</v>
      </c>
      <c r="P723" s="38">
        <f t="shared" si="134"/>
        <v>647168</v>
      </c>
      <c r="Q723" s="12" t="s">
        <v>2088</v>
      </c>
      <c r="AE723" s="35">
        <f t="shared" si="136"/>
        <v>630688</v>
      </c>
    </row>
    <row r="724" spans="1:31" ht="23.1" customHeight="1" x14ac:dyDescent="0.15">
      <c r="A724" s="13" t="s">
        <v>1676</v>
      </c>
      <c r="B724" s="13" t="s">
        <v>3051</v>
      </c>
      <c r="C724" s="13" t="s">
        <v>1677</v>
      </c>
      <c r="D724" s="12" t="s">
        <v>1674</v>
      </c>
      <c r="E724" s="12" t="s">
        <v>1679</v>
      </c>
      <c r="F724" s="31" t="s">
        <v>792</v>
      </c>
      <c r="G724" s="15">
        <v>17</v>
      </c>
      <c r="H724" s="38">
        <f>일대목차!I7</f>
        <v>19539</v>
      </c>
      <c r="I724" s="57">
        <f t="shared" si="130"/>
        <v>332163</v>
      </c>
      <c r="J724" s="38">
        <v>17</v>
      </c>
      <c r="K724" s="38">
        <f>일대목차!L7</f>
        <v>9852</v>
      </c>
      <c r="L724" s="57">
        <f t="shared" si="131"/>
        <v>167484</v>
      </c>
      <c r="M724" s="38">
        <f>일대목차!N7</f>
        <v>0</v>
      </c>
      <c r="N724" s="57">
        <f t="shared" si="132"/>
        <v>0</v>
      </c>
      <c r="O724" s="38">
        <f t="shared" si="133"/>
        <v>29391</v>
      </c>
      <c r="P724" s="38">
        <f t="shared" si="134"/>
        <v>499647</v>
      </c>
      <c r="Q724" s="12" t="s">
        <v>1678</v>
      </c>
      <c r="AE724" s="35">
        <f t="shared" si="136"/>
        <v>167484</v>
      </c>
    </row>
    <row r="725" spans="1:31" ht="23.1" customHeight="1" x14ac:dyDescent="0.15">
      <c r="A725" s="13" t="s">
        <v>1684</v>
      </c>
      <c r="B725" s="13" t="s">
        <v>3051</v>
      </c>
      <c r="C725" s="13" t="s">
        <v>1685</v>
      </c>
      <c r="D725" s="12" t="s">
        <v>1674</v>
      </c>
      <c r="E725" s="12" t="s">
        <v>1687</v>
      </c>
      <c r="F725" s="31" t="s">
        <v>792</v>
      </c>
      <c r="G725" s="15">
        <v>4</v>
      </c>
      <c r="H725" s="38">
        <f>일대목차!I9</f>
        <v>19585</v>
      </c>
      <c r="I725" s="57">
        <f t="shared" si="130"/>
        <v>78340</v>
      </c>
      <c r="J725" s="38">
        <v>4</v>
      </c>
      <c r="K725" s="38">
        <f>일대목차!L9</f>
        <v>9852</v>
      </c>
      <c r="L725" s="57">
        <f t="shared" si="131"/>
        <v>39408</v>
      </c>
      <c r="M725" s="38">
        <f>일대목차!N9</f>
        <v>0</v>
      </c>
      <c r="N725" s="57">
        <f t="shared" si="132"/>
        <v>0</v>
      </c>
      <c r="O725" s="38">
        <f t="shared" si="133"/>
        <v>29437</v>
      </c>
      <c r="P725" s="38">
        <f t="shared" si="134"/>
        <v>117748</v>
      </c>
      <c r="Q725" s="12" t="s">
        <v>1686</v>
      </c>
      <c r="AE725" s="35">
        <f t="shared" si="136"/>
        <v>39408</v>
      </c>
    </row>
    <row r="726" spans="1:31" ht="23.1" customHeight="1" x14ac:dyDescent="0.15">
      <c r="A726" s="13" t="s">
        <v>1688</v>
      </c>
      <c r="B726" s="13" t="s">
        <v>3051</v>
      </c>
      <c r="C726" s="13" t="s">
        <v>1689</v>
      </c>
      <c r="D726" s="12" t="s">
        <v>1674</v>
      </c>
      <c r="E726" s="12" t="s">
        <v>1691</v>
      </c>
      <c r="F726" s="31" t="s">
        <v>792</v>
      </c>
      <c r="G726" s="15">
        <v>83</v>
      </c>
      <c r="H726" s="38">
        <f>일대목차!I10</f>
        <v>19622</v>
      </c>
      <c r="I726" s="57">
        <f t="shared" si="130"/>
        <v>1628626</v>
      </c>
      <c r="J726" s="38">
        <v>83</v>
      </c>
      <c r="K726" s="38">
        <f>일대목차!L10</f>
        <v>9852</v>
      </c>
      <c r="L726" s="57">
        <f t="shared" si="131"/>
        <v>817716</v>
      </c>
      <c r="M726" s="38">
        <f>일대목차!N10</f>
        <v>0</v>
      </c>
      <c r="N726" s="57">
        <f t="shared" si="132"/>
        <v>0</v>
      </c>
      <c r="O726" s="38">
        <f t="shared" si="133"/>
        <v>29474</v>
      </c>
      <c r="P726" s="38">
        <f t="shared" si="134"/>
        <v>2446342</v>
      </c>
      <c r="Q726" s="12" t="s">
        <v>1690</v>
      </c>
      <c r="AE726" s="35">
        <f t="shared" si="136"/>
        <v>817716</v>
      </c>
    </row>
    <row r="727" spans="1:31" ht="23.1" customHeight="1" x14ac:dyDescent="0.15">
      <c r="A727" s="13" t="s">
        <v>1692</v>
      </c>
      <c r="B727" s="13" t="s">
        <v>3051</v>
      </c>
      <c r="C727" s="13" t="s">
        <v>1693</v>
      </c>
      <c r="D727" s="12" t="s">
        <v>1674</v>
      </c>
      <c r="E727" s="12" t="s">
        <v>1695</v>
      </c>
      <c r="F727" s="31" t="s">
        <v>792</v>
      </c>
      <c r="G727" s="15">
        <v>9</v>
      </c>
      <c r="H727" s="38">
        <f>일대목차!I11</f>
        <v>19816</v>
      </c>
      <c r="I727" s="57">
        <f t="shared" si="130"/>
        <v>178344</v>
      </c>
      <c r="J727" s="38">
        <v>9</v>
      </c>
      <c r="K727" s="38">
        <f>일대목차!L11</f>
        <v>9852</v>
      </c>
      <c r="L727" s="57">
        <f t="shared" si="131"/>
        <v>88668</v>
      </c>
      <c r="M727" s="38">
        <f>일대목차!N11</f>
        <v>0</v>
      </c>
      <c r="N727" s="57">
        <f t="shared" si="132"/>
        <v>0</v>
      </c>
      <c r="O727" s="38">
        <f t="shared" si="133"/>
        <v>29668</v>
      </c>
      <c r="P727" s="38">
        <f t="shared" si="134"/>
        <v>267012</v>
      </c>
      <c r="Q727" s="12" t="s">
        <v>1694</v>
      </c>
      <c r="AE727" s="35">
        <f t="shared" si="136"/>
        <v>88668</v>
      </c>
    </row>
    <row r="728" spans="1:31" ht="23.1" customHeight="1" x14ac:dyDescent="0.15">
      <c r="A728" s="13" t="s">
        <v>1696</v>
      </c>
      <c r="B728" s="13" t="s">
        <v>3051</v>
      </c>
      <c r="C728" s="13" t="s">
        <v>1697</v>
      </c>
      <c r="D728" s="12" t="s">
        <v>1674</v>
      </c>
      <c r="E728" s="12" t="s">
        <v>1699</v>
      </c>
      <c r="F728" s="31" t="s">
        <v>792</v>
      </c>
      <c r="G728" s="15">
        <v>6</v>
      </c>
      <c r="H728" s="38">
        <f>일대목차!I12</f>
        <v>19866</v>
      </c>
      <c r="I728" s="57">
        <f t="shared" si="130"/>
        <v>119196</v>
      </c>
      <c r="J728" s="38">
        <v>6</v>
      </c>
      <c r="K728" s="38">
        <f>일대목차!L12</f>
        <v>9852</v>
      </c>
      <c r="L728" s="57">
        <f t="shared" si="131"/>
        <v>59112</v>
      </c>
      <c r="M728" s="38">
        <f>일대목차!N12</f>
        <v>0</v>
      </c>
      <c r="N728" s="57">
        <f t="shared" si="132"/>
        <v>0</v>
      </c>
      <c r="O728" s="38">
        <f t="shared" si="133"/>
        <v>29718</v>
      </c>
      <c r="P728" s="38">
        <f t="shared" si="134"/>
        <v>178308</v>
      </c>
      <c r="Q728" s="12" t="s">
        <v>1698</v>
      </c>
      <c r="AE728" s="35">
        <f t="shared" si="136"/>
        <v>59112</v>
      </c>
    </row>
    <row r="729" spans="1:31" ht="23.1" customHeight="1" x14ac:dyDescent="0.15">
      <c r="A729" s="13" t="s">
        <v>2104</v>
      </c>
      <c r="B729" s="13" t="s">
        <v>3051</v>
      </c>
      <c r="C729" s="13" t="s">
        <v>2105</v>
      </c>
      <c r="D729" s="12" t="s">
        <v>656</v>
      </c>
      <c r="E729" s="12" t="s">
        <v>660</v>
      </c>
      <c r="F729" s="31" t="s">
        <v>166</v>
      </c>
      <c r="G729" s="15">
        <v>25</v>
      </c>
      <c r="H729" s="38">
        <f>일대목차!I140</f>
        <v>3942</v>
      </c>
      <c r="I729" s="57">
        <f t="shared" si="130"/>
        <v>98550</v>
      </c>
      <c r="J729" s="38">
        <v>25</v>
      </c>
      <c r="K729" s="38">
        <f>일대목차!L140</f>
        <v>17734</v>
      </c>
      <c r="L729" s="57">
        <f t="shared" si="131"/>
        <v>443350</v>
      </c>
      <c r="M729" s="38">
        <f>일대목차!N140</f>
        <v>0</v>
      </c>
      <c r="N729" s="57">
        <f t="shared" si="132"/>
        <v>0</v>
      </c>
      <c r="O729" s="38">
        <f t="shared" si="133"/>
        <v>21676</v>
      </c>
      <c r="P729" s="38">
        <f t="shared" si="134"/>
        <v>541900</v>
      </c>
      <c r="Q729" s="12" t="s">
        <v>2106</v>
      </c>
      <c r="AB729" s="35">
        <f>I729</f>
        <v>98550</v>
      </c>
      <c r="AC729" s="35">
        <f>G729*H729</f>
        <v>98550</v>
      </c>
      <c r="AE729" s="35">
        <f t="shared" si="136"/>
        <v>443350</v>
      </c>
    </row>
    <row r="730" spans="1:31" ht="23.1" customHeight="1" x14ac:dyDescent="0.15">
      <c r="A730" s="13" t="s">
        <v>2110</v>
      </c>
      <c r="B730" s="13" t="s">
        <v>3051</v>
      </c>
      <c r="C730" s="13" t="s">
        <v>2111</v>
      </c>
      <c r="D730" s="12" t="s">
        <v>656</v>
      </c>
      <c r="E730" s="12" t="s">
        <v>664</v>
      </c>
      <c r="F730" s="31" t="s">
        <v>166</v>
      </c>
      <c r="G730" s="15">
        <v>6</v>
      </c>
      <c r="H730" s="38">
        <f>일대목차!I142</f>
        <v>6369</v>
      </c>
      <c r="I730" s="57">
        <f t="shared" si="130"/>
        <v>38214</v>
      </c>
      <c r="J730" s="38">
        <v>6</v>
      </c>
      <c r="K730" s="38">
        <f>일대목차!L142</f>
        <v>29557</v>
      </c>
      <c r="L730" s="57">
        <f t="shared" si="131"/>
        <v>177342</v>
      </c>
      <c r="M730" s="38">
        <f>일대목차!N142</f>
        <v>0</v>
      </c>
      <c r="N730" s="57">
        <f t="shared" si="132"/>
        <v>0</v>
      </c>
      <c r="O730" s="38">
        <f t="shared" si="133"/>
        <v>35926</v>
      </c>
      <c r="P730" s="38">
        <f t="shared" si="134"/>
        <v>215556</v>
      </c>
      <c r="Q730" s="12" t="s">
        <v>2112</v>
      </c>
      <c r="AB730" s="35">
        <f>I730</f>
        <v>38214</v>
      </c>
      <c r="AC730" s="35">
        <f>G730*H730</f>
        <v>38214</v>
      </c>
      <c r="AE730" s="35">
        <f t="shared" si="136"/>
        <v>177342</v>
      </c>
    </row>
    <row r="731" spans="1:31" ht="23.1" customHeight="1" x14ac:dyDescent="0.15">
      <c r="A731" s="13" t="s">
        <v>2113</v>
      </c>
      <c r="B731" s="13" t="s">
        <v>3051</v>
      </c>
      <c r="C731" s="13" t="s">
        <v>2114</v>
      </c>
      <c r="D731" s="12" t="s">
        <v>656</v>
      </c>
      <c r="E731" s="12" t="s">
        <v>666</v>
      </c>
      <c r="F731" s="31" t="s">
        <v>166</v>
      </c>
      <c r="G731" s="15">
        <v>124</v>
      </c>
      <c r="H731" s="38">
        <f>일대목차!I143</f>
        <v>8442</v>
      </c>
      <c r="I731" s="57">
        <f t="shared" si="130"/>
        <v>1046808</v>
      </c>
      <c r="J731" s="38">
        <v>124</v>
      </c>
      <c r="K731" s="38">
        <f>일대목차!L143</f>
        <v>38424</v>
      </c>
      <c r="L731" s="57">
        <f t="shared" si="131"/>
        <v>4764576</v>
      </c>
      <c r="M731" s="38">
        <f>일대목차!N143</f>
        <v>0</v>
      </c>
      <c r="N731" s="57">
        <f t="shared" si="132"/>
        <v>0</v>
      </c>
      <c r="O731" s="38">
        <f t="shared" si="133"/>
        <v>46866</v>
      </c>
      <c r="P731" s="38">
        <f t="shared" si="134"/>
        <v>5811384</v>
      </c>
      <c r="Q731" s="12" t="s">
        <v>2115</v>
      </c>
      <c r="AB731" s="35">
        <f>I731</f>
        <v>1046808</v>
      </c>
      <c r="AC731" s="35">
        <f>G731*H731</f>
        <v>1046808</v>
      </c>
      <c r="AE731" s="35">
        <f t="shared" si="136"/>
        <v>4764576</v>
      </c>
    </row>
    <row r="732" spans="1:31" ht="23.1" customHeight="1" x14ac:dyDescent="0.15">
      <c r="A732" s="13" t="s">
        <v>2116</v>
      </c>
      <c r="B732" s="13" t="s">
        <v>3051</v>
      </c>
      <c r="C732" s="13" t="s">
        <v>2117</v>
      </c>
      <c r="D732" s="12" t="s">
        <v>656</v>
      </c>
      <c r="E732" s="12" t="s">
        <v>668</v>
      </c>
      <c r="F732" s="31" t="s">
        <v>166</v>
      </c>
      <c r="G732" s="15">
        <v>13</v>
      </c>
      <c r="H732" s="38">
        <f>일대목차!I144</f>
        <v>11759</v>
      </c>
      <c r="I732" s="57">
        <f t="shared" si="130"/>
        <v>152867</v>
      </c>
      <c r="J732" s="38">
        <v>13</v>
      </c>
      <c r="K732" s="38">
        <f>일대목차!L144</f>
        <v>56158</v>
      </c>
      <c r="L732" s="57">
        <f t="shared" si="131"/>
        <v>730054</v>
      </c>
      <c r="M732" s="38">
        <f>일대목차!N144</f>
        <v>0</v>
      </c>
      <c r="N732" s="57">
        <f t="shared" si="132"/>
        <v>0</v>
      </c>
      <c r="O732" s="38">
        <f t="shared" si="133"/>
        <v>67917</v>
      </c>
      <c r="P732" s="38">
        <f t="shared" si="134"/>
        <v>882921</v>
      </c>
      <c r="Q732" s="12" t="s">
        <v>2118</v>
      </c>
      <c r="AB732" s="35">
        <f>I732</f>
        <v>152867</v>
      </c>
      <c r="AC732" s="35">
        <f>G732*H732</f>
        <v>152867</v>
      </c>
      <c r="AE732" s="35">
        <f t="shared" si="136"/>
        <v>730054</v>
      </c>
    </row>
    <row r="733" spans="1:31" ht="23.1" customHeight="1" x14ac:dyDescent="0.15">
      <c r="A733" s="13" t="s">
        <v>2119</v>
      </c>
      <c r="B733" s="13" t="s">
        <v>3051</v>
      </c>
      <c r="C733" s="13" t="s">
        <v>2120</v>
      </c>
      <c r="D733" s="12" t="s">
        <v>656</v>
      </c>
      <c r="E733" s="12" t="s">
        <v>670</v>
      </c>
      <c r="F733" s="31" t="s">
        <v>166</v>
      </c>
      <c r="G733" s="15">
        <v>9</v>
      </c>
      <c r="H733" s="38">
        <f>일대목차!I145</f>
        <v>15746</v>
      </c>
      <c r="I733" s="57">
        <f t="shared" si="130"/>
        <v>141714</v>
      </c>
      <c r="J733" s="38">
        <v>9</v>
      </c>
      <c r="K733" s="38">
        <f>일대목차!L145</f>
        <v>82759</v>
      </c>
      <c r="L733" s="57">
        <f t="shared" si="131"/>
        <v>744831</v>
      </c>
      <c r="M733" s="38">
        <f>일대목차!N145</f>
        <v>0</v>
      </c>
      <c r="N733" s="57">
        <f t="shared" si="132"/>
        <v>0</v>
      </c>
      <c r="O733" s="38">
        <f t="shared" si="133"/>
        <v>98505</v>
      </c>
      <c r="P733" s="38">
        <f t="shared" si="134"/>
        <v>886545</v>
      </c>
      <c r="Q733" s="12" t="s">
        <v>2121</v>
      </c>
      <c r="AB733" s="35">
        <f>I733</f>
        <v>141714</v>
      </c>
      <c r="AC733" s="35">
        <f>G733*H733</f>
        <v>141714</v>
      </c>
      <c r="AE733" s="35">
        <f t="shared" si="136"/>
        <v>744831</v>
      </c>
    </row>
    <row r="734" spans="1:31" ht="23.1" customHeight="1" x14ac:dyDescent="0.15">
      <c r="A734" s="13" t="s">
        <v>1208</v>
      </c>
      <c r="B734" s="13" t="s">
        <v>3051</v>
      </c>
      <c r="C734" s="13" t="s">
        <v>674</v>
      </c>
      <c r="D734" s="12" t="s">
        <v>672</v>
      </c>
      <c r="E734" s="12" t="s">
        <v>675</v>
      </c>
      <c r="F734" s="31" t="s">
        <v>200</v>
      </c>
      <c r="G734" s="15">
        <v>7</v>
      </c>
      <c r="H734" s="38">
        <f>합산자재!H184</f>
        <v>1014</v>
      </c>
      <c r="I734" s="57">
        <f t="shared" si="130"/>
        <v>7098</v>
      </c>
      <c r="J734" s="38">
        <v>7</v>
      </c>
      <c r="K734" s="38">
        <f>합산자재!I184</f>
        <v>0</v>
      </c>
      <c r="L734" s="57">
        <f t="shared" si="131"/>
        <v>0</v>
      </c>
      <c r="M734" s="38">
        <f>합산자재!J184</f>
        <v>0</v>
      </c>
      <c r="N734" s="57">
        <f t="shared" si="132"/>
        <v>0</v>
      </c>
      <c r="O734" s="38">
        <f t="shared" si="133"/>
        <v>1014</v>
      </c>
      <c r="P734" s="38">
        <f t="shared" si="134"/>
        <v>7098</v>
      </c>
      <c r="Q734" s="12"/>
    </row>
    <row r="735" spans="1:31" ht="23.1" customHeight="1" x14ac:dyDescent="0.15">
      <c r="A735" s="13" t="s">
        <v>1210</v>
      </c>
      <c r="B735" s="13" t="s">
        <v>3051</v>
      </c>
      <c r="C735" s="13" t="s">
        <v>678</v>
      </c>
      <c r="D735" s="12" t="s">
        <v>672</v>
      </c>
      <c r="E735" s="12" t="s">
        <v>679</v>
      </c>
      <c r="F735" s="31" t="s">
        <v>200</v>
      </c>
      <c r="G735" s="15">
        <v>1</v>
      </c>
      <c r="H735" s="38">
        <f>합산자재!H186</f>
        <v>1811</v>
      </c>
      <c r="I735" s="57">
        <f t="shared" si="130"/>
        <v>1811</v>
      </c>
      <c r="J735" s="38">
        <v>1</v>
      </c>
      <c r="K735" s="38">
        <f>합산자재!I186</f>
        <v>0</v>
      </c>
      <c r="L735" s="57">
        <f t="shared" si="131"/>
        <v>0</v>
      </c>
      <c r="M735" s="38">
        <f>합산자재!J186</f>
        <v>0</v>
      </c>
      <c r="N735" s="57">
        <f t="shared" si="132"/>
        <v>0</v>
      </c>
      <c r="O735" s="38">
        <f t="shared" si="133"/>
        <v>1811</v>
      </c>
      <c r="P735" s="38">
        <f t="shared" si="134"/>
        <v>1811</v>
      </c>
      <c r="Q735" s="12"/>
    </row>
    <row r="736" spans="1:31" ht="23.1" customHeight="1" x14ac:dyDescent="0.15">
      <c r="A736" s="13" t="s">
        <v>1211</v>
      </c>
      <c r="B736" s="13" t="s">
        <v>3051</v>
      </c>
      <c r="C736" s="13" t="s">
        <v>680</v>
      </c>
      <c r="D736" s="12" t="s">
        <v>672</v>
      </c>
      <c r="E736" s="12" t="s">
        <v>681</v>
      </c>
      <c r="F736" s="31" t="s">
        <v>200</v>
      </c>
      <c r="G736" s="15">
        <v>34</v>
      </c>
      <c r="H736" s="38">
        <f>합산자재!H187</f>
        <v>2721</v>
      </c>
      <c r="I736" s="57">
        <f t="shared" si="130"/>
        <v>92514</v>
      </c>
      <c r="J736" s="38">
        <v>34</v>
      </c>
      <c r="K736" s="38">
        <f>합산자재!I187</f>
        <v>0</v>
      </c>
      <c r="L736" s="57">
        <f t="shared" si="131"/>
        <v>0</v>
      </c>
      <c r="M736" s="38">
        <f>합산자재!J187</f>
        <v>0</v>
      </c>
      <c r="N736" s="57">
        <f t="shared" si="132"/>
        <v>0</v>
      </c>
      <c r="O736" s="38">
        <f t="shared" si="133"/>
        <v>2721</v>
      </c>
      <c r="P736" s="38">
        <f t="shared" si="134"/>
        <v>92514</v>
      </c>
      <c r="Q736" s="12"/>
    </row>
    <row r="737" spans="1:31" ht="23.1" customHeight="1" x14ac:dyDescent="0.15">
      <c r="A737" s="13" t="s">
        <v>1212</v>
      </c>
      <c r="B737" s="13" t="s">
        <v>3051</v>
      </c>
      <c r="C737" s="13" t="s">
        <v>682</v>
      </c>
      <c r="D737" s="12" t="s">
        <v>672</v>
      </c>
      <c r="E737" s="12" t="s">
        <v>683</v>
      </c>
      <c r="F737" s="31" t="s">
        <v>200</v>
      </c>
      <c r="G737" s="15">
        <v>3</v>
      </c>
      <c r="H737" s="38">
        <f>합산자재!H188</f>
        <v>3586</v>
      </c>
      <c r="I737" s="57">
        <f t="shared" si="130"/>
        <v>10758</v>
      </c>
      <c r="J737" s="38">
        <v>3</v>
      </c>
      <c r="K737" s="38">
        <f>합산자재!I188</f>
        <v>0</v>
      </c>
      <c r="L737" s="57">
        <f t="shared" si="131"/>
        <v>0</v>
      </c>
      <c r="M737" s="38">
        <f>합산자재!J188</f>
        <v>0</v>
      </c>
      <c r="N737" s="57">
        <f t="shared" si="132"/>
        <v>0</v>
      </c>
      <c r="O737" s="38">
        <f t="shared" si="133"/>
        <v>3586</v>
      </c>
      <c r="P737" s="38">
        <f t="shared" si="134"/>
        <v>10758</v>
      </c>
      <c r="Q737" s="12"/>
    </row>
    <row r="738" spans="1:31" ht="23.1" customHeight="1" x14ac:dyDescent="0.15">
      <c r="A738" s="13" t="s">
        <v>1213</v>
      </c>
      <c r="B738" s="13" t="s">
        <v>3051</v>
      </c>
      <c r="C738" s="13" t="s">
        <v>684</v>
      </c>
      <c r="D738" s="12" t="s">
        <v>672</v>
      </c>
      <c r="E738" s="12" t="s">
        <v>685</v>
      </c>
      <c r="F738" s="31" t="s">
        <v>200</v>
      </c>
      <c r="G738" s="15">
        <v>2</v>
      </c>
      <c r="H738" s="38">
        <f>합산자재!H189</f>
        <v>4442</v>
      </c>
      <c r="I738" s="57">
        <f t="shared" si="130"/>
        <v>8884</v>
      </c>
      <c r="J738" s="38">
        <v>2</v>
      </c>
      <c r="K738" s="38">
        <f>합산자재!I189</f>
        <v>0</v>
      </c>
      <c r="L738" s="57">
        <f t="shared" si="131"/>
        <v>0</v>
      </c>
      <c r="M738" s="38">
        <f>합산자재!J189</f>
        <v>0</v>
      </c>
      <c r="N738" s="57">
        <f t="shared" si="132"/>
        <v>0</v>
      </c>
      <c r="O738" s="38">
        <f t="shared" si="133"/>
        <v>4442</v>
      </c>
      <c r="P738" s="38">
        <f t="shared" si="134"/>
        <v>8884</v>
      </c>
      <c r="Q738" s="12"/>
    </row>
    <row r="739" spans="1:31" ht="23.1" customHeight="1" x14ac:dyDescent="0.15">
      <c r="A739" s="13" t="s">
        <v>1215</v>
      </c>
      <c r="B739" s="13" t="s">
        <v>3051</v>
      </c>
      <c r="C739" s="13" t="s">
        <v>688</v>
      </c>
      <c r="D739" s="12" t="s">
        <v>672</v>
      </c>
      <c r="E739" s="12" t="s">
        <v>689</v>
      </c>
      <c r="F739" s="31" t="s">
        <v>200</v>
      </c>
      <c r="G739" s="15">
        <v>4</v>
      </c>
      <c r="H739" s="38">
        <f>합산자재!H191</f>
        <v>1258</v>
      </c>
      <c r="I739" s="57">
        <f t="shared" si="130"/>
        <v>5032</v>
      </c>
      <c r="J739" s="38">
        <v>4</v>
      </c>
      <c r="K739" s="38">
        <f>합산자재!I191</f>
        <v>0</v>
      </c>
      <c r="L739" s="57">
        <f t="shared" si="131"/>
        <v>0</v>
      </c>
      <c r="M739" s="38">
        <f>합산자재!J191</f>
        <v>0</v>
      </c>
      <c r="N739" s="57">
        <f t="shared" si="132"/>
        <v>0</v>
      </c>
      <c r="O739" s="38">
        <f t="shared" si="133"/>
        <v>1258</v>
      </c>
      <c r="P739" s="38">
        <f t="shared" si="134"/>
        <v>5032</v>
      </c>
      <c r="Q739" s="12"/>
    </row>
    <row r="740" spans="1:31" ht="23.1" customHeight="1" x14ac:dyDescent="0.15">
      <c r="A740" s="13" t="s">
        <v>1217</v>
      </c>
      <c r="B740" s="13" t="s">
        <v>3051</v>
      </c>
      <c r="C740" s="13" t="s">
        <v>692</v>
      </c>
      <c r="D740" s="12" t="s">
        <v>672</v>
      </c>
      <c r="E740" s="12" t="s">
        <v>693</v>
      </c>
      <c r="F740" s="31" t="s">
        <v>200</v>
      </c>
      <c r="G740" s="15">
        <v>2</v>
      </c>
      <c r="H740" s="38">
        <f>합산자재!H193</f>
        <v>1983</v>
      </c>
      <c r="I740" s="57">
        <f t="shared" si="130"/>
        <v>3966</v>
      </c>
      <c r="J740" s="38">
        <v>2</v>
      </c>
      <c r="K740" s="38">
        <f>합산자재!I193</f>
        <v>0</v>
      </c>
      <c r="L740" s="57">
        <f t="shared" si="131"/>
        <v>0</v>
      </c>
      <c r="M740" s="38">
        <f>합산자재!J193</f>
        <v>0</v>
      </c>
      <c r="N740" s="57">
        <f t="shared" si="132"/>
        <v>0</v>
      </c>
      <c r="O740" s="38">
        <f t="shared" si="133"/>
        <v>1983</v>
      </c>
      <c r="P740" s="38">
        <f t="shared" si="134"/>
        <v>3966</v>
      </c>
      <c r="Q740" s="12"/>
    </row>
    <row r="741" spans="1:31" ht="23.1" customHeight="1" x14ac:dyDescent="0.15">
      <c r="A741" s="13" t="s">
        <v>1218</v>
      </c>
      <c r="B741" s="13" t="s">
        <v>3051</v>
      </c>
      <c r="C741" s="13" t="s">
        <v>694</v>
      </c>
      <c r="D741" s="12" t="s">
        <v>672</v>
      </c>
      <c r="E741" s="12" t="s">
        <v>695</v>
      </c>
      <c r="F741" s="31" t="s">
        <v>200</v>
      </c>
      <c r="G741" s="15">
        <v>8</v>
      </c>
      <c r="H741" s="38">
        <f>합산자재!H194</f>
        <v>2981</v>
      </c>
      <c r="I741" s="57">
        <f t="shared" si="130"/>
        <v>23848</v>
      </c>
      <c r="J741" s="38">
        <v>8</v>
      </c>
      <c r="K741" s="38">
        <f>합산자재!I194</f>
        <v>0</v>
      </c>
      <c r="L741" s="57">
        <f t="shared" si="131"/>
        <v>0</v>
      </c>
      <c r="M741" s="38">
        <f>합산자재!J194</f>
        <v>0</v>
      </c>
      <c r="N741" s="57">
        <f t="shared" si="132"/>
        <v>0</v>
      </c>
      <c r="O741" s="38">
        <f t="shared" si="133"/>
        <v>2981</v>
      </c>
      <c r="P741" s="38">
        <f t="shared" si="134"/>
        <v>23848</v>
      </c>
      <c r="Q741" s="12"/>
    </row>
    <row r="742" spans="1:31" ht="23.1" customHeight="1" x14ac:dyDescent="0.15">
      <c r="A742" s="13" t="s">
        <v>1219</v>
      </c>
      <c r="B742" s="13" t="s">
        <v>3051</v>
      </c>
      <c r="C742" s="13" t="s">
        <v>696</v>
      </c>
      <c r="D742" s="12" t="s">
        <v>672</v>
      </c>
      <c r="E742" s="12" t="s">
        <v>697</v>
      </c>
      <c r="F742" s="31" t="s">
        <v>200</v>
      </c>
      <c r="G742" s="15">
        <v>2</v>
      </c>
      <c r="H742" s="38">
        <f>합산자재!H195</f>
        <v>3800</v>
      </c>
      <c r="I742" s="57">
        <f t="shared" si="130"/>
        <v>7600</v>
      </c>
      <c r="J742" s="38">
        <v>2</v>
      </c>
      <c r="K742" s="38">
        <f>합산자재!I195</f>
        <v>0</v>
      </c>
      <c r="L742" s="57">
        <f t="shared" si="131"/>
        <v>0</v>
      </c>
      <c r="M742" s="38">
        <f>합산자재!J195</f>
        <v>0</v>
      </c>
      <c r="N742" s="57">
        <f t="shared" si="132"/>
        <v>0</v>
      </c>
      <c r="O742" s="38">
        <f t="shared" si="133"/>
        <v>3800</v>
      </c>
      <c r="P742" s="38">
        <f t="shared" si="134"/>
        <v>7600</v>
      </c>
      <c r="Q742" s="12"/>
    </row>
    <row r="743" spans="1:31" ht="23.1" customHeight="1" x14ac:dyDescent="0.15">
      <c r="A743" s="13" t="s">
        <v>1220</v>
      </c>
      <c r="B743" s="13" t="s">
        <v>3051</v>
      </c>
      <c r="C743" s="13" t="s">
        <v>698</v>
      </c>
      <c r="D743" s="12" t="s">
        <v>672</v>
      </c>
      <c r="E743" s="12" t="s">
        <v>699</v>
      </c>
      <c r="F743" s="31" t="s">
        <v>200</v>
      </c>
      <c r="G743" s="15">
        <v>4</v>
      </c>
      <c r="H743" s="38">
        <f>합산자재!H196</f>
        <v>5002</v>
      </c>
      <c r="I743" s="57">
        <f t="shared" si="130"/>
        <v>20008</v>
      </c>
      <c r="J743" s="38">
        <v>4</v>
      </c>
      <c r="K743" s="38">
        <f>합산자재!I196</f>
        <v>0</v>
      </c>
      <c r="L743" s="57">
        <f t="shared" si="131"/>
        <v>0</v>
      </c>
      <c r="M743" s="38">
        <f>합산자재!J196</f>
        <v>0</v>
      </c>
      <c r="N743" s="57">
        <f t="shared" si="132"/>
        <v>0</v>
      </c>
      <c r="O743" s="38">
        <f t="shared" si="133"/>
        <v>5002</v>
      </c>
      <c r="P743" s="38">
        <f t="shared" si="134"/>
        <v>20008</v>
      </c>
      <c r="Q743" s="12"/>
    </row>
    <row r="744" spans="1:31" ht="23.1" customHeight="1" x14ac:dyDescent="0.15">
      <c r="A744" s="13" t="s">
        <v>1222</v>
      </c>
      <c r="B744" s="13" t="s">
        <v>3051</v>
      </c>
      <c r="C744" s="13" t="s">
        <v>702</v>
      </c>
      <c r="D744" s="12" t="s">
        <v>701</v>
      </c>
      <c r="E744" s="12" t="s">
        <v>664</v>
      </c>
      <c r="F744" s="31" t="s">
        <v>200</v>
      </c>
      <c r="G744" s="15">
        <v>1</v>
      </c>
      <c r="H744" s="38">
        <f>합산자재!H198</f>
        <v>4640</v>
      </c>
      <c r="I744" s="57">
        <f t="shared" si="130"/>
        <v>4640</v>
      </c>
      <c r="J744" s="38">
        <v>1</v>
      </c>
      <c r="K744" s="38">
        <f>합산자재!I198</f>
        <v>0</v>
      </c>
      <c r="L744" s="57">
        <f t="shared" si="131"/>
        <v>0</v>
      </c>
      <c r="M744" s="38">
        <f>합산자재!J198</f>
        <v>0</v>
      </c>
      <c r="N744" s="57">
        <f t="shared" si="132"/>
        <v>0</v>
      </c>
      <c r="O744" s="38">
        <f t="shared" si="133"/>
        <v>4640</v>
      </c>
      <c r="P744" s="38">
        <f t="shared" si="134"/>
        <v>4640</v>
      </c>
      <c r="Q744" s="12"/>
    </row>
    <row r="745" spans="1:31" ht="23.1" customHeight="1" x14ac:dyDescent="0.15">
      <c r="A745" s="13" t="s">
        <v>1223</v>
      </c>
      <c r="B745" s="13" t="s">
        <v>3051</v>
      </c>
      <c r="C745" s="13" t="s">
        <v>703</v>
      </c>
      <c r="D745" s="12" t="s">
        <v>701</v>
      </c>
      <c r="E745" s="12" t="s">
        <v>666</v>
      </c>
      <c r="F745" s="31" t="s">
        <v>200</v>
      </c>
      <c r="G745" s="15">
        <v>9</v>
      </c>
      <c r="H745" s="38">
        <f>합산자재!H199</f>
        <v>6705</v>
      </c>
      <c r="I745" s="57">
        <f t="shared" si="130"/>
        <v>60345</v>
      </c>
      <c r="J745" s="38">
        <v>9</v>
      </c>
      <c r="K745" s="38">
        <f>합산자재!I199</f>
        <v>0</v>
      </c>
      <c r="L745" s="57">
        <f t="shared" si="131"/>
        <v>0</v>
      </c>
      <c r="M745" s="38">
        <f>합산자재!J199</f>
        <v>0</v>
      </c>
      <c r="N745" s="57">
        <f t="shared" si="132"/>
        <v>0</v>
      </c>
      <c r="O745" s="38">
        <f t="shared" si="133"/>
        <v>6705</v>
      </c>
      <c r="P745" s="38">
        <f t="shared" si="134"/>
        <v>60345</v>
      </c>
      <c r="Q745" s="12"/>
    </row>
    <row r="746" spans="1:31" ht="23.1" customHeight="1" x14ac:dyDescent="0.15">
      <c r="A746" s="13" t="s">
        <v>1224</v>
      </c>
      <c r="B746" s="13" t="s">
        <v>3051</v>
      </c>
      <c r="C746" s="13" t="s">
        <v>704</v>
      </c>
      <c r="D746" s="12" t="s">
        <v>701</v>
      </c>
      <c r="E746" s="12" t="s">
        <v>668</v>
      </c>
      <c r="F746" s="31" t="s">
        <v>200</v>
      </c>
      <c r="G746" s="15">
        <v>4</v>
      </c>
      <c r="H746" s="38">
        <f>합산자재!H200</f>
        <v>10240</v>
      </c>
      <c r="I746" s="57">
        <f t="shared" si="130"/>
        <v>40960</v>
      </c>
      <c r="J746" s="38">
        <v>4</v>
      </c>
      <c r="K746" s="38">
        <f>합산자재!I200</f>
        <v>0</v>
      </c>
      <c r="L746" s="57">
        <f t="shared" si="131"/>
        <v>0</v>
      </c>
      <c r="M746" s="38">
        <f>합산자재!J200</f>
        <v>0</v>
      </c>
      <c r="N746" s="57">
        <f t="shared" si="132"/>
        <v>0</v>
      </c>
      <c r="O746" s="38">
        <f t="shared" si="133"/>
        <v>10240</v>
      </c>
      <c r="P746" s="38">
        <f t="shared" si="134"/>
        <v>40960</v>
      </c>
      <c r="Q746" s="12"/>
    </row>
    <row r="747" spans="1:31" ht="23.1" customHeight="1" x14ac:dyDescent="0.15">
      <c r="A747" s="13" t="s">
        <v>1225</v>
      </c>
      <c r="B747" s="13" t="s">
        <v>3051</v>
      </c>
      <c r="C747" s="13" t="s">
        <v>705</v>
      </c>
      <c r="D747" s="12" t="s">
        <v>701</v>
      </c>
      <c r="E747" s="12" t="s">
        <v>670</v>
      </c>
      <c r="F747" s="31" t="s">
        <v>200</v>
      </c>
      <c r="G747" s="15">
        <v>2</v>
      </c>
      <c r="H747" s="38">
        <f>합산자재!H201</f>
        <v>16888</v>
      </c>
      <c r="I747" s="57">
        <f t="shared" si="130"/>
        <v>33776</v>
      </c>
      <c r="J747" s="38">
        <v>2</v>
      </c>
      <c r="K747" s="38">
        <f>합산자재!I201</f>
        <v>0</v>
      </c>
      <c r="L747" s="57">
        <f t="shared" si="131"/>
        <v>0</v>
      </c>
      <c r="M747" s="38">
        <f>합산자재!J201</f>
        <v>0</v>
      </c>
      <c r="N747" s="57">
        <f t="shared" si="132"/>
        <v>0</v>
      </c>
      <c r="O747" s="38">
        <f t="shared" si="133"/>
        <v>16888</v>
      </c>
      <c r="P747" s="38">
        <f t="shared" si="134"/>
        <v>33776</v>
      </c>
      <c r="Q747" s="12"/>
    </row>
    <row r="748" spans="1:31" ht="23.1" customHeight="1" x14ac:dyDescent="0.15">
      <c r="A748" s="13" t="s">
        <v>2263</v>
      </c>
      <c r="B748" s="13" t="s">
        <v>3051</v>
      </c>
      <c r="C748" s="13" t="s">
        <v>2264</v>
      </c>
      <c r="D748" s="12" t="s">
        <v>858</v>
      </c>
      <c r="E748" s="12" t="s">
        <v>907</v>
      </c>
      <c r="F748" s="31" t="s">
        <v>559</v>
      </c>
      <c r="G748" s="15">
        <v>1</v>
      </c>
      <c r="H748" s="38">
        <f>일대목차!I193</f>
        <v>6732</v>
      </c>
      <c r="I748" s="57">
        <f t="shared" si="130"/>
        <v>6732</v>
      </c>
      <c r="J748" s="38">
        <v>1</v>
      </c>
      <c r="K748" s="38">
        <f>일대목차!L193</f>
        <v>336621</v>
      </c>
      <c r="L748" s="57">
        <f t="shared" si="131"/>
        <v>336621</v>
      </c>
      <c r="M748" s="38">
        <f>일대목차!N193</f>
        <v>0</v>
      </c>
      <c r="N748" s="57">
        <f t="shared" si="132"/>
        <v>0</v>
      </c>
      <c r="O748" s="38">
        <f t="shared" si="133"/>
        <v>343353</v>
      </c>
      <c r="P748" s="38">
        <f t="shared" si="134"/>
        <v>343353</v>
      </c>
      <c r="Q748" s="12" t="s">
        <v>2265</v>
      </c>
      <c r="AE748" s="35">
        <f t="shared" ref="AE748:AE754" si="137">L748</f>
        <v>336621</v>
      </c>
    </row>
    <row r="749" spans="1:31" ht="23.1" customHeight="1" x14ac:dyDescent="0.15">
      <c r="A749" s="13" t="s">
        <v>2260</v>
      </c>
      <c r="B749" s="13" t="s">
        <v>3051</v>
      </c>
      <c r="C749" s="13" t="s">
        <v>2261</v>
      </c>
      <c r="D749" s="12" t="s">
        <v>858</v>
      </c>
      <c r="E749" s="12" t="s">
        <v>905</v>
      </c>
      <c r="F749" s="31" t="s">
        <v>559</v>
      </c>
      <c r="G749" s="15">
        <v>1</v>
      </c>
      <c r="H749" s="38">
        <f>일대목차!I192</f>
        <v>6732</v>
      </c>
      <c r="I749" s="57">
        <f t="shared" si="130"/>
        <v>6732</v>
      </c>
      <c r="J749" s="38">
        <v>1</v>
      </c>
      <c r="K749" s="38">
        <f>일대목차!L192</f>
        <v>336621</v>
      </c>
      <c r="L749" s="57">
        <f t="shared" si="131"/>
        <v>336621</v>
      </c>
      <c r="M749" s="38">
        <f>일대목차!N192</f>
        <v>0</v>
      </c>
      <c r="N749" s="57">
        <f t="shared" si="132"/>
        <v>0</v>
      </c>
      <c r="O749" s="38">
        <f t="shared" si="133"/>
        <v>343353</v>
      </c>
      <c r="P749" s="38">
        <f t="shared" si="134"/>
        <v>343353</v>
      </c>
      <c r="Q749" s="12" t="s">
        <v>2262</v>
      </c>
      <c r="AE749" s="35">
        <f t="shared" si="137"/>
        <v>336621</v>
      </c>
    </row>
    <row r="750" spans="1:31" ht="23.1" customHeight="1" x14ac:dyDescent="0.15">
      <c r="A750" s="13" t="s">
        <v>2266</v>
      </c>
      <c r="B750" s="13" t="s">
        <v>3051</v>
      </c>
      <c r="C750" s="13" t="s">
        <v>2267</v>
      </c>
      <c r="D750" s="12" t="s">
        <v>858</v>
      </c>
      <c r="E750" s="12" t="s">
        <v>909</v>
      </c>
      <c r="F750" s="31" t="s">
        <v>559</v>
      </c>
      <c r="G750" s="15">
        <v>1</v>
      </c>
      <c r="H750" s="38">
        <f>일대목차!I194</f>
        <v>6732</v>
      </c>
      <c r="I750" s="57">
        <f t="shared" si="130"/>
        <v>6732</v>
      </c>
      <c r="J750" s="38">
        <v>1</v>
      </c>
      <c r="K750" s="38">
        <f>일대목차!L194</f>
        <v>336621</v>
      </c>
      <c r="L750" s="57">
        <f t="shared" si="131"/>
        <v>336621</v>
      </c>
      <c r="M750" s="38">
        <f>일대목차!N194</f>
        <v>0</v>
      </c>
      <c r="N750" s="57">
        <f t="shared" si="132"/>
        <v>0</v>
      </c>
      <c r="O750" s="38">
        <f t="shared" si="133"/>
        <v>343353</v>
      </c>
      <c r="P750" s="38">
        <f t="shared" si="134"/>
        <v>343353</v>
      </c>
      <c r="Q750" s="12" t="s">
        <v>2268</v>
      </c>
      <c r="AE750" s="35">
        <f t="shared" si="137"/>
        <v>336621</v>
      </c>
    </row>
    <row r="751" spans="1:31" ht="23.1" customHeight="1" x14ac:dyDescent="0.15">
      <c r="A751" s="13" t="s">
        <v>2254</v>
      </c>
      <c r="B751" s="13" t="s">
        <v>3051</v>
      </c>
      <c r="C751" s="13" t="s">
        <v>2255</v>
      </c>
      <c r="D751" s="12" t="s">
        <v>858</v>
      </c>
      <c r="E751" s="12" t="s">
        <v>901</v>
      </c>
      <c r="F751" s="31" t="s">
        <v>559</v>
      </c>
      <c r="G751" s="15">
        <v>1</v>
      </c>
      <c r="H751" s="38">
        <f>일대목차!I190</f>
        <v>6732</v>
      </c>
      <c r="I751" s="57">
        <f t="shared" si="130"/>
        <v>6732</v>
      </c>
      <c r="J751" s="38">
        <v>1</v>
      </c>
      <c r="K751" s="38">
        <f>일대목차!L190</f>
        <v>336621</v>
      </c>
      <c r="L751" s="57">
        <f t="shared" si="131"/>
        <v>336621</v>
      </c>
      <c r="M751" s="38">
        <f>일대목차!N190</f>
        <v>0</v>
      </c>
      <c r="N751" s="57">
        <f t="shared" si="132"/>
        <v>0</v>
      </c>
      <c r="O751" s="38">
        <f t="shared" si="133"/>
        <v>343353</v>
      </c>
      <c r="P751" s="38">
        <f t="shared" si="134"/>
        <v>343353</v>
      </c>
      <c r="Q751" s="12" t="s">
        <v>2256</v>
      </c>
      <c r="AE751" s="35">
        <f t="shared" si="137"/>
        <v>336621</v>
      </c>
    </row>
    <row r="752" spans="1:31" ht="23.1" customHeight="1" x14ac:dyDescent="0.15">
      <c r="A752" s="13" t="s">
        <v>2257</v>
      </c>
      <c r="B752" s="13" t="s">
        <v>3051</v>
      </c>
      <c r="C752" s="13" t="s">
        <v>2258</v>
      </c>
      <c r="D752" s="12" t="s">
        <v>858</v>
      </c>
      <c r="E752" s="12" t="s">
        <v>903</v>
      </c>
      <c r="F752" s="31" t="s">
        <v>559</v>
      </c>
      <c r="G752" s="15">
        <v>1</v>
      </c>
      <c r="H752" s="38">
        <f>일대목차!I191</f>
        <v>6732</v>
      </c>
      <c r="I752" s="57">
        <f t="shared" si="130"/>
        <v>6732</v>
      </c>
      <c r="J752" s="38">
        <v>1</v>
      </c>
      <c r="K752" s="38">
        <f>일대목차!L191</f>
        <v>336621</v>
      </c>
      <c r="L752" s="57">
        <f t="shared" si="131"/>
        <v>336621</v>
      </c>
      <c r="M752" s="38">
        <f>일대목차!N191</f>
        <v>0</v>
      </c>
      <c r="N752" s="57">
        <f t="shared" si="132"/>
        <v>0</v>
      </c>
      <c r="O752" s="38">
        <f t="shared" si="133"/>
        <v>343353</v>
      </c>
      <c r="P752" s="38">
        <f t="shared" si="134"/>
        <v>343353</v>
      </c>
      <c r="Q752" s="12" t="s">
        <v>2259</v>
      </c>
      <c r="AE752" s="35">
        <f t="shared" si="137"/>
        <v>336621</v>
      </c>
    </row>
    <row r="753" spans="1:31" ht="23.1" customHeight="1" x14ac:dyDescent="0.15">
      <c r="A753" s="13" t="s">
        <v>2206</v>
      </c>
      <c r="B753" s="13" t="s">
        <v>3051</v>
      </c>
      <c r="C753" s="13" t="s">
        <v>2207</v>
      </c>
      <c r="D753" s="12" t="s">
        <v>858</v>
      </c>
      <c r="E753" s="12" t="s">
        <v>869</v>
      </c>
      <c r="F753" s="31" t="s">
        <v>559</v>
      </c>
      <c r="G753" s="15">
        <v>1</v>
      </c>
      <c r="H753" s="38">
        <f>일대목차!I174</f>
        <v>6732</v>
      </c>
      <c r="I753" s="57">
        <f t="shared" si="130"/>
        <v>6732</v>
      </c>
      <c r="J753" s="38">
        <v>1</v>
      </c>
      <c r="K753" s="38">
        <f>일대목차!L174</f>
        <v>336621</v>
      </c>
      <c r="L753" s="57">
        <f t="shared" si="131"/>
        <v>336621</v>
      </c>
      <c r="M753" s="38">
        <f>일대목차!N174</f>
        <v>0</v>
      </c>
      <c r="N753" s="57">
        <f t="shared" si="132"/>
        <v>0</v>
      </c>
      <c r="O753" s="38">
        <f t="shared" si="133"/>
        <v>343353</v>
      </c>
      <c r="P753" s="38">
        <f t="shared" si="134"/>
        <v>343353</v>
      </c>
      <c r="Q753" s="12" t="s">
        <v>2208</v>
      </c>
      <c r="AE753" s="35">
        <f t="shared" si="137"/>
        <v>336621</v>
      </c>
    </row>
    <row r="754" spans="1:31" ht="23.1" customHeight="1" x14ac:dyDescent="0.15">
      <c r="A754" s="13" t="s">
        <v>2215</v>
      </c>
      <c r="B754" s="13" t="s">
        <v>3051</v>
      </c>
      <c r="C754" s="13" t="s">
        <v>2216</v>
      </c>
      <c r="D754" s="12" t="s">
        <v>858</v>
      </c>
      <c r="E754" s="12" t="s">
        <v>875</v>
      </c>
      <c r="F754" s="31" t="s">
        <v>559</v>
      </c>
      <c r="G754" s="15">
        <v>1</v>
      </c>
      <c r="H754" s="38">
        <f>일대목차!I177</f>
        <v>6732</v>
      </c>
      <c r="I754" s="57">
        <f t="shared" si="130"/>
        <v>6732</v>
      </c>
      <c r="J754" s="38">
        <v>1</v>
      </c>
      <c r="K754" s="38">
        <f>일대목차!L177</f>
        <v>336621</v>
      </c>
      <c r="L754" s="57">
        <f t="shared" si="131"/>
        <v>336621</v>
      </c>
      <c r="M754" s="38">
        <f>일대목차!N177</f>
        <v>0</v>
      </c>
      <c r="N754" s="57">
        <f t="shared" si="132"/>
        <v>0</v>
      </c>
      <c r="O754" s="38">
        <f t="shared" si="133"/>
        <v>343353</v>
      </c>
      <c r="P754" s="38">
        <f t="shared" si="134"/>
        <v>343353</v>
      </c>
      <c r="Q754" s="12" t="s">
        <v>2217</v>
      </c>
      <c r="AE754" s="35">
        <f t="shared" si="137"/>
        <v>336621</v>
      </c>
    </row>
    <row r="755" spans="1:31" ht="23.1" customHeight="1" x14ac:dyDescent="0.15">
      <c r="D755" s="12"/>
      <c r="E755" s="12"/>
      <c r="F755" s="31"/>
      <c r="G755" s="15"/>
      <c r="H755" s="38"/>
      <c r="I755" s="57"/>
      <c r="J755" s="38"/>
      <c r="K755" s="38"/>
      <c r="L755" s="57"/>
      <c r="M755" s="38"/>
      <c r="N755" s="57"/>
      <c r="O755" s="38"/>
      <c r="P755" s="38"/>
      <c r="Q755" s="12"/>
      <c r="AE755" s="35">
        <f>TRUNC(SUM(AE706:AE754))</f>
        <v>20456773</v>
      </c>
    </row>
    <row r="756" spans="1:31" ht="23.1" customHeight="1" x14ac:dyDescent="0.15">
      <c r="D756" s="12"/>
      <c r="E756" s="12"/>
      <c r="F756" s="31"/>
      <c r="G756" s="15"/>
      <c r="H756" s="38"/>
      <c r="I756" s="57"/>
      <c r="J756" s="38"/>
      <c r="K756" s="38"/>
      <c r="L756" s="57"/>
      <c r="M756" s="38"/>
      <c r="N756" s="57"/>
      <c r="O756" s="38"/>
      <c r="P756" s="38"/>
      <c r="Q756" s="12"/>
    </row>
    <row r="757" spans="1:31" ht="23.1" customHeight="1" x14ac:dyDescent="0.15">
      <c r="B757" s="13" t="s">
        <v>2360</v>
      </c>
      <c r="D757" s="12" t="s">
        <v>2361</v>
      </c>
      <c r="E757" s="12"/>
      <c r="F757" s="31"/>
      <c r="G757" s="15"/>
      <c r="H757" s="38"/>
      <c r="I757" s="57">
        <f>TRUNC(SUM(I706:I756))</f>
        <v>10972715</v>
      </c>
      <c r="J757" s="38"/>
      <c r="K757" s="38"/>
      <c r="L757" s="57">
        <f>TRUNC(SUM(L706:L756))</f>
        <v>20456773</v>
      </c>
      <c r="M757" s="38"/>
      <c r="N757" s="57">
        <f>TRUNC(SUM(N706:N756))</f>
        <v>0</v>
      </c>
      <c r="O757" s="38" t="str">
        <f>IF((H757+K757+M757)=0, "", (H757+K757+M757))</f>
        <v/>
      </c>
      <c r="P757" s="38">
        <f>TRUNC(SUM(P706:P756))</f>
        <v>31429488</v>
      </c>
      <c r="Q757" s="12"/>
    </row>
    <row r="758" spans="1:31" ht="23.1" customHeight="1" x14ac:dyDescent="0.15">
      <c r="B758" s="13" t="s">
        <v>1448</v>
      </c>
      <c r="D758" s="170" t="s">
        <v>3185</v>
      </c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2"/>
    </row>
    <row r="759" spans="1:31" ht="23.1" customHeight="1" x14ac:dyDescent="0.15">
      <c r="A759" s="13" t="s">
        <v>1793</v>
      </c>
      <c r="B759" s="13" t="s">
        <v>3052</v>
      </c>
      <c r="C759" s="13" t="s">
        <v>1794</v>
      </c>
      <c r="D759" s="12" t="s">
        <v>178</v>
      </c>
      <c r="E759" s="12" t="s">
        <v>179</v>
      </c>
      <c r="F759" s="31" t="s">
        <v>166</v>
      </c>
      <c r="G759" s="15">
        <v>123</v>
      </c>
      <c r="H759" s="38">
        <f>일대목차!I37</f>
        <v>449</v>
      </c>
      <c r="I759" s="57">
        <f t="shared" ref="I759:I790" si="138">TRUNC(G759*H759)</f>
        <v>55227</v>
      </c>
      <c r="J759" s="38">
        <v>123</v>
      </c>
      <c r="K759" s="38">
        <f>일대목차!L37</f>
        <v>9852</v>
      </c>
      <c r="L759" s="57">
        <f t="shared" ref="L759:L790" si="139">TRUNC(G759*K759)</f>
        <v>1211796</v>
      </c>
      <c r="M759" s="38">
        <f>일대목차!N37</f>
        <v>0</v>
      </c>
      <c r="N759" s="57">
        <f t="shared" ref="N759:N790" si="140">TRUNC(G759*M759)</f>
        <v>0</v>
      </c>
      <c r="O759" s="38">
        <f t="shared" ref="O759:O790" si="141">IF((H759+K759+M759)=0, "", (H759+K759+M759))</f>
        <v>10301</v>
      </c>
      <c r="P759" s="38">
        <f t="shared" ref="P759:P790" si="142">SUM(I759,L759,N759)</f>
        <v>1267023</v>
      </c>
      <c r="Q759" s="12" t="s">
        <v>1795</v>
      </c>
      <c r="AA759" s="35">
        <f>I759</f>
        <v>55227</v>
      </c>
      <c r="AC759" s="35">
        <f>G759*H759</f>
        <v>55227</v>
      </c>
      <c r="AE759" s="35">
        <f>L759</f>
        <v>1211796</v>
      </c>
    </row>
    <row r="760" spans="1:31" ht="23.1" customHeight="1" x14ac:dyDescent="0.15">
      <c r="A760" s="13" t="s">
        <v>1803</v>
      </c>
      <c r="B760" s="13" t="s">
        <v>3052</v>
      </c>
      <c r="C760" s="13" t="s">
        <v>1804</v>
      </c>
      <c r="D760" s="12" t="s">
        <v>186</v>
      </c>
      <c r="E760" s="12" t="s">
        <v>190</v>
      </c>
      <c r="F760" s="31" t="s">
        <v>166</v>
      </c>
      <c r="G760" s="15">
        <v>18</v>
      </c>
      <c r="H760" s="38">
        <f>일대목차!I40</f>
        <v>737</v>
      </c>
      <c r="I760" s="57">
        <f t="shared" si="138"/>
        <v>13266</v>
      </c>
      <c r="J760" s="38">
        <v>18</v>
      </c>
      <c r="K760" s="38">
        <f>일대목차!L40</f>
        <v>6001</v>
      </c>
      <c r="L760" s="57">
        <f t="shared" si="139"/>
        <v>108018</v>
      </c>
      <c r="M760" s="38">
        <f>일대목차!N40</f>
        <v>0</v>
      </c>
      <c r="N760" s="57">
        <f t="shared" si="140"/>
        <v>0</v>
      </c>
      <c r="O760" s="38">
        <f t="shared" si="141"/>
        <v>6738</v>
      </c>
      <c r="P760" s="38">
        <f t="shared" si="142"/>
        <v>121284</v>
      </c>
      <c r="Q760" s="12" t="s">
        <v>1805</v>
      </c>
      <c r="AB760" s="35">
        <f>I760</f>
        <v>13266</v>
      </c>
      <c r="AC760" s="35">
        <f>G760*H760</f>
        <v>13266</v>
      </c>
      <c r="AE760" s="35">
        <f>L760</f>
        <v>108018</v>
      </c>
    </row>
    <row r="761" spans="1:31" ht="23.1" customHeight="1" x14ac:dyDescent="0.15">
      <c r="A761" s="13" t="s">
        <v>1806</v>
      </c>
      <c r="B761" s="13" t="s">
        <v>3052</v>
      </c>
      <c r="C761" s="13" t="s">
        <v>1807</v>
      </c>
      <c r="D761" s="12" t="s">
        <v>186</v>
      </c>
      <c r="E761" s="12" t="s">
        <v>193</v>
      </c>
      <c r="F761" s="31" t="s">
        <v>166</v>
      </c>
      <c r="G761" s="15">
        <v>11</v>
      </c>
      <c r="H761" s="38">
        <f>일대목차!I41</f>
        <v>1318</v>
      </c>
      <c r="I761" s="57">
        <f t="shared" si="138"/>
        <v>14498</v>
      </c>
      <c r="J761" s="38">
        <v>11</v>
      </c>
      <c r="K761" s="38">
        <f>일대목차!L41</f>
        <v>7520</v>
      </c>
      <c r="L761" s="57">
        <f t="shared" si="139"/>
        <v>82720</v>
      </c>
      <c r="M761" s="38">
        <f>일대목차!N41</f>
        <v>0</v>
      </c>
      <c r="N761" s="57">
        <f t="shared" si="140"/>
        <v>0</v>
      </c>
      <c r="O761" s="38">
        <f t="shared" si="141"/>
        <v>8838</v>
      </c>
      <c r="P761" s="38">
        <f t="shared" si="142"/>
        <v>97218</v>
      </c>
      <c r="Q761" s="12" t="s">
        <v>1808</v>
      </c>
      <c r="AB761" s="35">
        <f>I761</f>
        <v>14498</v>
      </c>
      <c r="AC761" s="35">
        <f>G761*H761</f>
        <v>14498</v>
      </c>
      <c r="AE761" s="35">
        <f>L761</f>
        <v>82720</v>
      </c>
    </row>
    <row r="762" spans="1:31" ht="23.1" customHeight="1" x14ac:dyDescent="0.15">
      <c r="A762" s="13" t="s">
        <v>1041</v>
      </c>
      <c r="B762" s="13" t="s">
        <v>3052</v>
      </c>
      <c r="C762" s="13" t="s">
        <v>207</v>
      </c>
      <c r="D762" s="12" t="s">
        <v>198</v>
      </c>
      <c r="E762" s="12" t="s">
        <v>208</v>
      </c>
      <c r="F762" s="31" t="s">
        <v>200</v>
      </c>
      <c r="G762" s="15">
        <v>16</v>
      </c>
      <c r="H762" s="38">
        <f>합산자재!H17</f>
        <v>1300</v>
      </c>
      <c r="I762" s="57">
        <f t="shared" si="138"/>
        <v>20800</v>
      </c>
      <c r="J762" s="38">
        <v>16</v>
      </c>
      <c r="K762" s="38">
        <f>합산자재!I17</f>
        <v>0</v>
      </c>
      <c r="L762" s="57">
        <f t="shared" si="139"/>
        <v>0</v>
      </c>
      <c r="M762" s="38">
        <f>합산자재!J17</f>
        <v>0</v>
      </c>
      <c r="N762" s="57">
        <f t="shared" si="140"/>
        <v>0</v>
      </c>
      <c r="O762" s="38">
        <f t="shared" si="141"/>
        <v>1300</v>
      </c>
      <c r="P762" s="38">
        <f t="shared" si="142"/>
        <v>20800</v>
      </c>
      <c r="Q762" s="12"/>
    </row>
    <row r="763" spans="1:31" ht="23.1" customHeight="1" x14ac:dyDescent="0.15">
      <c r="A763" s="13" t="s">
        <v>1042</v>
      </c>
      <c r="B763" s="13" t="s">
        <v>3052</v>
      </c>
      <c r="C763" s="13" t="s">
        <v>209</v>
      </c>
      <c r="D763" s="12" t="s">
        <v>198</v>
      </c>
      <c r="E763" s="12" t="s">
        <v>210</v>
      </c>
      <c r="F763" s="31" t="s">
        <v>200</v>
      </c>
      <c r="G763" s="15">
        <v>18</v>
      </c>
      <c r="H763" s="38">
        <f>합산자재!H18</f>
        <v>1900</v>
      </c>
      <c r="I763" s="57">
        <f t="shared" si="138"/>
        <v>34200</v>
      </c>
      <c r="J763" s="38">
        <v>18</v>
      </c>
      <c r="K763" s="38">
        <f>합산자재!I18</f>
        <v>0</v>
      </c>
      <c r="L763" s="57">
        <f t="shared" si="139"/>
        <v>0</v>
      </c>
      <c r="M763" s="38">
        <f>합산자재!J18</f>
        <v>0</v>
      </c>
      <c r="N763" s="57">
        <f t="shared" si="140"/>
        <v>0</v>
      </c>
      <c r="O763" s="38">
        <f t="shared" si="141"/>
        <v>1900</v>
      </c>
      <c r="P763" s="38">
        <f t="shared" si="142"/>
        <v>34200</v>
      </c>
      <c r="Q763" s="12"/>
    </row>
    <row r="764" spans="1:31" ht="23.1" customHeight="1" x14ac:dyDescent="0.15">
      <c r="A764" s="13" t="s">
        <v>1043</v>
      </c>
      <c r="B764" s="13" t="s">
        <v>3052</v>
      </c>
      <c r="C764" s="13" t="s">
        <v>211</v>
      </c>
      <c r="D764" s="12" t="s">
        <v>198</v>
      </c>
      <c r="E764" s="12" t="s">
        <v>212</v>
      </c>
      <c r="F764" s="31" t="s">
        <v>200</v>
      </c>
      <c r="G764" s="15">
        <v>4</v>
      </c>
      <c r="H764" s="38">
        <f>합산자재!H19</f>
        <v>2750</v>
      </c>
      <c r="I764" s="57">
        <f t="shared" si="138"/>
        <v>11000</v>
      </c>
      <c r="J764" s="38">
        <v>4</v>
      </c>
      <c r="K764" s="38">
        <f>합산자재!I19</f>
        <v>0</v>
      </c>
      <c r="L764" s="57">
        <f t="shared" si="139"/>
        <v>0</v>
      </c>
      <c r="M764" s="38">
        <f>합산자재!J19</f>
        <v>0</v>
      </c>
      <c r="N764" s="57">
        <f t="shared" si="140"/>
        <v>0</v>
      </c>
      <c r="O764" s="38">
        <f t="shared" si="141"/>
        <v>2750</v>
      </c>
      <c r="P764" s="38">
        <f t="shared" si="142"/>
        <v>11000</v>
      </c>
      <c r="Q764" s="12"/>
    </row>
    <row r="765" spans="1:31" ht="23.1" customHeight="1" x14ac:dyDescent="0.15">
      <c r="A765" s="13" t="s">
        <v>1044</v>
      </c>
      <c r="B765" s="13" t="s">
        <v>3052</v>
      </c>
      <c r="C765" s="13" t="s">
        <v>213</v>
      </c>
      <c r="D765" s="12" t="s">
        <v>198</v>
      </c>
      <c r="E765" s="12" t="s">
        <v>214</v>
      </c>
      <c r="F765" s="31" t="s">
        <v>200</v>
      </c>
      <c r="G765" s="15">
        <v>4</v>
      </c>
      <c r="H765" s="38">
        <f>합산자재!H20</f>
        <v>3740</v>
      </c>
      <c r="I765" s="57">
        <f t="shared" si="138"/>
        <v>14960</v>
      </c>
      <c r="J765" s="38">
        <v>4</v>
      </c>
      <c r="K765" s="38">
        <f>합산자재!I20</f>
        <v>0</v>
      </c>
      <c r="L765" s="57">
        <f t="shared" si="139"/>
        <v>0</v>
      </c>
      <c r="M765" s="38">
        <f>합산자재!J20</f>
        <v>0</v>
      </c>
      <c r="N765" s="57">
        <f t="shared" si="140"/>
        <v>0</v>
      </c>
      <c r="O765" s="38">
        <f t="shared" si="141"/>
        <v>3740</v>
      </c>
      <c r="P765" s="38">
        <f t="shared" si="142"/>
        <v>14960</v>
      </c>
      <c r="Q765" s="12"/>
    </row>
    <row r="766" spans="1:31" ht="23.1" customHeight="1" x14ac:dyDescent="0.15">
      <c r="A766" s="13" t="s">
        <v>1821</v>
      </c>
      <c r="B766" s="13" t="s">
        <v>3052</v>
      </c>
      <c r="C766" s="13" t="s">
        <v>1822</v>
      </c>
      <c r="D766" s="12" t="s">
        <v>198</v>
      </c>
      <c r="E766" s="12" t="s">
        <v>222</v>
      </c>
      <c r="F766" s="31" t="s">
        <v>166</v>
      </c>
      <c r="G766" s="15">
        <v>16</v>
      </c>
      <c r="H766" s="38">
        <f>일대목차!I46</f>
        <v>2499</v>
      </c>
      <c r="I766" s="57">
        <f t="shared" si="138"/>
        <v>39984</v>
      </c>
      <c r="J766" s="38">
        <v>16</v>
      </c>
      <c r="K766" s="38">
        <f>일대목차!L46</f>
        <v>17734</v>
      </c>
      <c r="L766" s="57">
        <f t="shared" si="139"/>
        <v>283744</v>
      </c>
      <c r="M766" s="38">
        <f>일대목차!N46</f>
        <v>0</v>
      </c>
      <c r="N766" s="57">
        <f t="shared" si="140"/>
        <v>0</v>
      </c>
      <c r="O766" s="38">
        <f t="shared" si="141"/>
        <v>20233</v>
      </c>
      <c r="P766" s="38">
        <f t="shared" si="142"/>
        <v>323728</v>
      </c>
      <c r="Q766" s="12" t="s">
        <v>1823</v>
      </c>
      <c r="AC766" s="35">
        <f>G766*H766</f>
        <v>39984</v>
      </c>
      <c r="AE766" s="35">
        <f t="shared" ref="AE766:AE800" si="143">L766</f>
        <v>283744</v>
      </c>
    </row>
    <row r="767" spans="1:31" ht="23.1" customHeight="1" x14ac:dyDescent="0.15">
      <c r="A767" s="13" t="s">
        <v>1824</v>
      </c>
      <c r="B767" s="13" t="s">
        <v>3052</v>
      </c>
      <c r="C767" s="13" t="s">
        <v>1825</v>
      </c>
      <c r="D767" s="12" t="s">
        <v>198</v>
      </c>
      <c r="E767" s="12" t="s">
        <v>224</v>
      </c>
      <c r="F767" s="31" t="s">
        <v>166</v>
      </c>
      <c r="G767" s="15">
        <v>18</v>
      </c>
      <c r="H767" s="38">
        <f>일대목차!I47</f>
        <v>3409</v>
      </c>
      <c r="I767" s="57">
        <f t="shared" si="138"/>
        <v>61362</v>
      </c>
      <c r="J767" s="38">
        <v>18</v>
      </c>
      <c r="K767" s="38">
        <f>일대목차!L47</f>
        <v>21428</v>
      </c>
      <c r="L767" s="57">
        <f t="shared" si="139"/>
        <v>385704</v>
      </c>
      <c r="M767" s="38">
        <f>일대목차!N47</f>
        <v>0</v>
      </c>
      <c r="N767" s="57">
        <f t="shared" si="140"/>
        <v>0</v>
      </c>
      <c r="O767" s="38">
        <f t="shared" si="141"/>
        <v>24837</v>
      </c>
      <c r="P767" s="38">
        <f t="shared" si="142"/>
        <v>447066</v>
      </c>
      <c r="Q767" s="12" t="s">
        <v>1826</v>
      </c>
      <c r="AC767" s="35">
        <f>G767*H767</f>
        <v>61362</v>
      </c>
      <c r="AE767" s="35">
        <f t="shared" si="143"/>
        <v>385704</v>
      </c>
    </row>
    <row r="768" spans="1:31" ht="23.1" customHeight="1" x14ac:dyDescent="0.15">
      <c r="A768" s="13" t="s">
        <v>1827</v>
      </c>
      <c r="B768" s="13" t="s">
        <v>3052</v>
      </c>
      <c r="C768" s="13" t="s">
        <v>1828</v>
      </c>
      <c r="D768" s="12" t="s">
        <v>198</v>
      </c>
      <c r="E768" s="12" t="s">
        <v>226</v>
      </c>
      <c r="F768" s="31" t="s">
        <v>166</v>
      </c>
      <c r="G768" s="15">
        <v>8</v>
      </c>
      <c r="H768" s="38">
        <f>일대목차!I48</f>
        <v>4439</v>
      </c>
      <c r="I768" s="57">
        <f t="shared" si="138"/>
        <v>35512</v>
      </c>
      <c r="J768" s="38">
        <v>8</v>
      </c>
      <c r="K768" s="38">
        <f>일대목차!L48</f>
        <v>25616</v>
      </c>
      <c r="L768" s="57">
        <f t="shared" si="139"/>
        <v>204928</v>
      </c>
      <c r="M768" s="38">
        <f>일대목차!N48</f>
        <v>0</v>
      </c>
      <c r="N768" s="57">
        <f t="shared" si="140"/>
        <v>0</v>
      </c>
      <c r="O768" s="38">
        <f t="shared" si="141"/>
        <v>30055</v>
      </c>
      <c r="P768" s="38">
        <f t="shared" si="142"/>
        <v>240440</v>
      </c>
      <c r="Q768" s="12" t="s">
        <v>1829</v>
      </c>
      <c r="AC768" s="35">
        <f>G768*H768</f>
        <v>35512</v>
      </c>
      <c r="AE768" s="35">
        <f t="shared" si="143"/>
        <v>204928</v>
      </c>
    </row>
    <row r="769" spans="1:31" ht="23.1" customHeight="1" x14ac:dyDescent="0.15">
      <c r="A769" s="13" t="s">
        <v>1836</v>
      </c>
      <c r="B769" s="13" t="s">
        <v>3052</v>
      </c>
      <c r="C769" s="13" t="s">
        <v>1837</v>
      </c>
      <c r="D769" s="12" t="s">
        <v>260</v>
      </c>
      <c r="E769" s="12" t="s">
        <v>267</v>
      </c>
      <c r="F769" s="31" t="s">
        <v>200</v>
      </c>
      <c r="G769" s="15">
        <v>4</v>
      </c>
      <c r="H769" s="38">
        <f>일대목차!I51</f>
        <v>1321</v>
      </c>
      <c r="I769" s="57">
        <f t="shared" si="138"/>
        <v>5284</v>
      </c>
      <c r="J769" s="38">
        <v>4</v>
      </c>
      <c r="K769" s="38">
        <f>일대목차!L51</f>
        <v>29557</v>
      </c>
      <c r="L769" s="57">
        <f t="shared" si="139"/>
        <v>118228</v>
      </c>
      <c r="M769" s="38">
        <f>일대목차!N51</f>
        <v>0</v>
      </c>
      <c r="N769" s="57">
        <f t="shared" si="140"/>
        <v>0</v>
      </c>
      <c r="O769" s="38">
        <f t="shared" si="141"/>
        <v>30878</v>
      </c>
      <c r="P769" s="38">
        <f t="shared" si="142"/>
        <v>123512</v>
      </c>
      <c r="Q769" s="12" t="s">
        <v>1838</v>
      </c>
      <c r="AE769" s="35">
        <f t="shared" si="143"/>
        <v>118228</v>
      </c>
    </row>
    <row r="770" spans="1:31" ht="23.1" customHeight="1" x14ac:dyDescent="0.15">
      <c r="A770" s="13" t="s">
        <v>1839</v>
      </c>
      <c r="B770" s="13" t="s">
        <v>3052</v>
      </c>
      <c r="C770" s="13" t="s">
        <v>1840</v>
      </c>
      <c r="D770" s="12" t="s">
        <v>269</v>
      </c>
      <c r="E770" s="12" t="s">
        <v>270</v>
      </c>
      <c r="F770" s="31" t="s">
        <v>200</v>
      </c>
      <c r="G770" s="15">
        <v>2</v>
      </c>
      <c r="H770" s="38">
        <f>일대목차!I52</f>
        <v>1577</v>
      </c>
      <c r="I770" s="57">
        <f t="shared" si="138"/>
        <v>3154</v>
      </c>
      <c r="J770" s="38">
        <v>2</v>
      </c>
      <c r="K770" s="38">
        <f>일대목차!L52</f>
        <v>49261</v>
      </c>
      <c r="L770" s="57">
        <f t="shared" si="139"/>
        <v>98522</v>
      </c>
      <c r="M770" s="38">
        <f>일대목차!N52</f>
        <v>0</v>
      </c>
      <c r="N770" s="57">
        <f t="shared" si="140"/>
        <v>0</v>
      </c>
      <c r="O770" s="38">
        <f t="shared" si="141"/>
        <v>50838</v>
      </c>
      <c r="P770" s="38">
        <f t="shared" si="142"/>
        <v>101676</v>
      </c>
      <c r="Q770" s="12" t="s">
        <v>1841</v>
      </c>
      <c r="AE770" s="35">
        <f t="shared" si="143"/>
        <v>98522</v>
      </c>
    </row>
    <row r="771" spans="1:31" ht="23.1" customHeight="1" x14ac:dyDescent="0.15">
      <c r="A771" s="13" t="s">
        <v>1857</v>
      </c>
      <c r="B771" s="13" t="s">
        <v>3052</v>
      </c>
      <c r="C771" s="13" t="s">
        <v>1858</v>
      </c>
      <c r="D771" s="12" t="s">
        <v>291</v>
      </c>
      <c r="E771" s="12" t="s">
        <v>294</v>
      </c>
      <c r="F771" s="31" t="s">
        <v>200</v>
      </c>
      <c r="G771" s="15">
        <v>21</v>
      </c>
      <c r="H771" s="38">
        <f>일대목차!I58</f>
        <v>5563</v>
      </c>
      <c r="I771" s="57">
        <f t="shared" si="138"/>
        <v>116823</v>
      </c>
      <c r="J771" s="38">
        <v>21</v>
      </c>
      <c r="K771" s="38">
        <f>일대목차!L58</f>
        <v>135469</v>
      </c>
      <c r="L771" s="57">
        <f t="shared" si="139"/>
        <v>2844849</v>
      </c>
      <c r="M771" s="38">
        <f>일대목차!N58</f>
        <v>0</v>
      </c>
      <c r="N771" s="57">
        <f t="shared" si="140"/>
        <v>0</v>
      </c>
      <c r="O771" s="38">
        <f t="shared" si="141"/>
        <v>141032</v>
      </c>
      <c r="P771" s="38">
        <f t="shared" si="142"/>
        <v>2961672</v>
      </c>
      <c r="Q771" s="12" t="s">
        <v>1859</v>
      </c>
      <c r="AE771" s="35">
        <f t="shared" si="143"/>
        <v>2844849</v>
      </c>
    </row>
    <row r="772" spans="1:31" ht="23.1" customHeight="1" x14ac:dyDescent="0.15">
      <c r="A772" s="13" t="s">
        <v>1903</v>
      </c>
      <c r="B772" s="13" t="s">
        <v>3052</v>
      </c>
      <c r="C772" s="13" t="s">
        <v>1904</v>
      </c>
      <c r="D772" s="12" t="s">
        <v>397</v>
      </c>
      <c r="E772" s="12" t="s">
        <v>404</v>
      </c>
      <c r="F772" s="31" t="s">
        <v>166</v>
      </c>
      <c r="G772" s="15">
        <v>391</v>
      </c>
      <c r="H772" s="38">
        <f>일대목차!I73</f>
        <v>590</v>
      </c>
      <c r="I772" s="57">
        <f t="shared" si="138"/>
        <v>230690</v>
      </c>
      <c r="J772" s="38">
        <v>391</v>
      </c>
      <c r="K772" s="38">
        <f>일대목차!L73</f>
        <v>2353</v>
      </c>
      <c r="L772" s="57">
        <f t="shared" si="139"/>
        <v>920023</v>
      </c>
      <c r="M772" s="38">
        <f>일대목차!N73</f>
        <v>0</v>
      </c>
      <c r="N772" s="57">
        <f t="shared" si="140"/>
        <v>0</v>
      </c>
      <c r="O772" s="38">
        <f t="shared" si="141"/>
        <v>2943</v>
      </c>
      <c r="P772" s="38">
        <f t="shared" si="142"/>
        <v>1150713</v>
      </c>
      <c r="Q772" s="12" t="s">
        <v>1905</v>
      </c>
      <c r="AC772" s="35">
        <f t="shared" ref="AC772:AC781" si="144">G772*H772</f>
        <v>230690</v>
      </c>
      <c r="AE772" s="35">
        <f t="shared" si="143"/>
        <v>920023</v>
      </c>
    </row>
    <row r="773" spans="1:31" ht="23.1" customHeight="1" x14ac:dyDescent="0.15">
      <c r="A773" s="13" t="s">
        <v>1909</v>
      </c>
      <c r="B773" s="13" t="s">
        <v>3052</v>
      </c>
      <c r="C773" s="13" t="s">
        <v>1910</v>
      </c>
      <c r="D773" s="12" t="s">
        <v>408</v>
      </c>
      <c r="E773" s="12" t="s">
        <v>409</v>
      </c>
      <c r="F773" s="31" t="s">
        <v>166</v>
      </c>
      <c r="G773" s="15">
        <v>132</v>
      </c>
      <c r="H773" s="38">
        <f>일대목차!I75</f>
        <v>1066</v>
      </c>
      <c r="I773" s="57">
        <f t="shared" si="138"/>
        <v>140712</v>
      </c>
      <c r="J773" s="38">
        <v>132</v>
      </c>
      <c r="K773" s="38">
        <f>일대목차!L75</f>
        <v>2463</v>
      </c>
      <c r="L773" s="57">
        <f t="shared" si="139"/>
        <v>325116</v>
      </c>
      <c r="M773" s="38">
        <f>일대목차!N75</f>
        <v>0</v>
      </c>
      <c r="N773" s="57">
        <f t="shared" si="140"/>
        <v>0</v>
      </c>
      <c r="O773" s="38">
        <f t="shared" si="141"/>
        <v>3529</v>
      </c>
      <c r="P773" s="38">
        <f t="shared" si="142"/>
        <v>465828</v>
      </c>
      <c r="Q773" s="12" t="s">
        <v>1911</v>
      </c>
      <c r="AC773" s="35">
        <f t="shared" si="144"/>
        <v>140712</v>
      </c>
      <c r="AE773" s="35">
        <f t="shared" si="143"/>
        <v>325116</v>
      </c>
    </row>
    <row r="774" spans="1:31" ht="23.1" customHeight="1" x14ac:dyDescent="0.15">
      <c r="A774" s="13" t="s">
        <v>1912</v>
      </c>
      <c r="B774" s="13" t="s">
        <v>3052</v>
      </c>
      <c r="C774" s="13" t="s">
        <v>1913</v>
      </c>
      <c r="D774" s="12" t="s">
        <v>408</v>
      </c>
      <c r="E774" s="12" t="s">
        <v>413</v>
      </c>
      <c r="F774" s="31" t="s">
        <v>166</v>
      </c>
      <c r="G774" s="15">
        <v>154</v>
      </c>
      <c r="H774" s="38">
        <f>일대목차!I76</f>
        <v>1183</v>
      </c>
      <c r="I774" s="57">
        <f t="shared" si="138"/>
        <v>182182</v>
      </c>
      <c r="J774" s="38">
        <v>154</v>
      </c>
      <c r="K774" s="38">
        <f>일대목차!L76</f>
        <v>2463</v>
      </c>
      <c r="L774" s="57">
        <f t="shared" si="139"/>
        <v>379302</v>
      </c>
      <c r="M774" s="38">
        <f>일대목차!N76</f>
        <v>0</v>
      </c>
      <c r="N774" s="57">
        <f t="shared" si="140"/>
        <v>0</v>
      </c>
      <c r="O774" s="38">
        <f t="shared" si="141"/>
        <v>3646</v>
      </c>
      <c r="P774" s="38">
        <f t="shared" si="142"/>
        <v>561484</v>
      </c>
      <c r="Q774" s="12" t="s">
        <v>1914</v>
      </c>
      <c r="AC774" s="35">
        <f t="shared" si="144"/>
        <v>182182</v>
      </c>
      <c r="AE774" s="35">
        <f t="shared" si="143"/>
        <v>379302</v>
      </c>
    </row>
    <row r="775" spans="1:31" ht="23.1" customHeight="1" x14ac:dyDescent="0.15">
      <c r="A775" s="13" t="s">
        <v>1918</v>
      </c>
      <c r="B775" s="13" t="s">
        <v>3052</v>
      </c>
      <c r="C775" s="13" t="s">
        <v>1919</v>
      </c>
      <c r="D775" s="12" t="s">
        <v>408</v>
      </c>
      <c r="E775" s="12" t="s">
        <v>417</v>
      </c>
      <c r="F775" s="31" t="s">
        <v>166</v>
      </c>
      <c r="G775" s="15">
        <v>75</v>
      </c>
      <c r="H775" s="38">
        <f>일대목차!I78</f>
        <v>2658</v>
      </c>
      <c r="I775" s="57">
        <f t="shared" si="138"/>
        <v>199350</v>
      </c>
      <c r="J775" s="38">
        <v>75</v>
      </c>
      <c r="K775" s="38">
        <f>일대목차!L78</f>
        <v>2873</v>
      </c>
      <c r="L775" s="57">
        <f t="shared" si="139"/>
        <v>215475</v>
      </c>
      <c r="M775" s="38">
        <f>일대목차!N78</f>
        <v>0</v>
      </c>
      <c r="N775" s="57">
        <f t="shared" si="140"/>
        <v>0</v>
      </c>
      <c r="O775" s="38">
        <f t="shared" si="141"/>
        <v>5531</v>
      </c>
      <c r="P775" s="38">
        <f t="shared" si="142"/>
        <v>414825</v>
      </c>
      <c r="Q775" s="12" t="s">
        <v>1920</v>
      </c>
      <c r="AC775" s="35">
        <f t="shared" si="144"/>
        <v>199350</v>
      </c>
      <c r="AE775" s="35">
        <f t="shared" si="143"/>
        <v>215475</v>
      </c>
    </row>
    <row r="776" spans="1:31" ht="23.1" customHeight="1" x14ac:dyDescent="0.15">
      <c r="A776" s="13" t="s">
        <v>1960</v>
      </c>
      <c r="B776" s="13" t="s">
        <v>3052</v>
      </c>
      <c r="C776" s="13" t="s">
        <v>1961</v>
      </c>
      <c r="D776" s="12" t="s">
        <v>445</v>
      </c>
      <c r="E776" s="12" t="s">
        <v>452</v>
      </c>
      <c r="F776" s="31" t="s">
        <v>166</v>
      </c>
      <c r="G776" s="15">
        <v>177</v>
      </c>
      <c r="H776" s="38">
        <f>일대목차!I92</f>
        <v>3073</v>
      </c>
      <c r="I776" s="57">
        <f t="shared" si="138"/>
        <v>543921</v>
      </c>
      <c r="J776" s="38">
        <v>177</v>
      </c>
      <c r="K776" s="38">
        <f>일대목차!L92</f>
        <v>6691</v>
      </c>
      <c r="L776" s="57">
        <f t="shared" si="139"/>
        <v>1184307</v>
      </c>
      <c r="M776" s="38">
        <f>일대목차!N92</f>
        <v>0</v>
      </c>
      <c r="N776" s="57">
        <f t="shared" si="140"/>
        <v>0</v>
      </c>
      <c r="O776" s="38">
        <f t="shared" si="141"/>
        <v>9764</v>
      </c>
      <c r="P776" s="38">
        <f t="shared" si="142"/>
        <v>1728228</v>
      </c>
      <c r="Q776" s="12" t="s">
        <v>1962</v>
      </c>
      <c r="AC776" s="35">
        <f t="shared" si="144"/>
        <v>543921</v>
      </c>
      <c r="AE776" s="35">
        <f t="shared" si="143"/>
        <v>1184307</v>
      </c>
    </row>
    <row r="777" spans="1:31" ht="23.1" customHeight="1" x14ac:dyDescent="0.15">
      <c r="A777" s="13" t="s">
        <v>1963</v>
      </c>
      <c r="B777" s="13" t="s">
        <v>3052</v>
      </c>
      <c r="C777" s="13" t="s">
        <v>1964</v>
      </c>
      <c r="D777" s="12" t="s">
        <v>445</v>
      </c>
      <c r="E777" s="12" t="s">
        <v>454</v>
      </c>
      <c r="F777" s="31" t="s">
        <v>166</v>
      </c>
      <c r="G777" s="15">
        <v>143</v>
      </c>
      <c r="H777" s="38">
        <f>일대목차!I93</f>
        <v>4155</v>
      </c>
      <c r="I777" s="57">
        <f t="shared" si="138"/>
        <v>594165</v>
      </c>
      <c r="J777" s="38">
        <v>143</v>
      </c>
      <c r="K777" s="38">
        <f>일대목차!L93</f>
        <v>7908</v>
      </c>
      <c r="L777" s="57">
        <f t="shared" si="139"/>
        <v>1130844</v>
      </c>
      <c r="M777" s="38">
        <f>일대목차!N93</f>
        <v>0</v>
      </c>
      <c r="N777" s="57">
        <f t="shared" si="140"/>
        <v>0</v>
      </c>
      <c r="O777" s="38">
        <f t="shared" si="141"/>
        <v>12063</v>
      </c>
      <c r="P777" s="38">
        <f t="shared" si="142"/>
        <v>1725009</v>
      </c>
      <c r="Q777" s="12" t="s">
        <v>1965</v>
      </c>
      <c r="AC777" s="35">
        <f t="shared" si="144"/>
        <v>594165</v>
      </c>
      <c r="AE777" s="35">
        <f t="shared" si="143"/>
        <v>1130844</v>
      </c>
    </row>
    <row r="778" spans="1:31" ht="23.1" customHeight="1" x14ac:dyDescent="0.15">
      <c r="A778" s="13" t="s">
        <v>1966</v>
      </c>
      <c r="B778" s="13" t="s">
        <v>3052</v>
      </c>
      <c r="C778" s="13" t="s">
        <v>1967</v>
      </c>
      <c r="D778" s="12" t="s">
        <v>445</v>
      </c>
      <c r="E778" s="12" t="s">
        <v>456</v>
      </c>
      <c r="F778" s="31" t="s">
        <v>166</v>
      </c>
      <c r="G778" s="15">
        <v>26</v>
      </c>
      <c r="H778" s="38">
        <f>일대목차!I94</f>
        <v>5347</v>
      </c>
      <c r="I778" s="57">
        <f t="shared" si="138"/>
        <v>139022</v>
      </c>
      <c r="J778" s="38">
        <v>26</v>
      </c>
      <c r="K778" s="38">
        <f>일대목차!L94</f>
        <v>10341</v>
      </c>
      <c r="L778" s="57">
        <f t="shared" si="139"/>
        <v>268866</v>
      </c>
      <c r="M778" s="38">
        <f>일대목차!N94</f>
        <v>0</v>
      </c>
      <c r="N778" s="57">
        <f t="shared" si="140"/>
        <v>0</v>
      </c>
      <c r="O778" s="38">
        <f t="shared" si="141"/>
        <v>15688</v>
      </c>
      <c r="P778" s="38">
        <f t="shared" si="142"/>
        <v>407888</v>
      </c>
      <c r="Q778" s="12" t="s">
        <v>1968</v>
      </c>
      <c r="AC778" s="35">
        <f t="shared" si="144"/>
        <v>139022</v>
      </c>
      <c r="AE778" s="35">
        <f t="shared" si="143"/>
        <v>268866</v>
      </c>
    </row>
    <row r="779" spans="1:31" ht="23.1" customHeight="1" x14ac:dyDescent="0.15">
      <c r="A779" s="13" t="s">
        <v>1987</v>
      </c>
      <c r="B779" s="13" t="s">
        <v>3052</v>
      </c>
      <c r="C779" s="13" t="s">
        <v>1988</v>
      </c>
      <c r="D779" s="12" t="s">
        <v>466</v>
      </c>
      <c r="E779" s="12" t="s">
        <v>475</v>
      </c>
      <c r="F779" s="31" t="s">
        <v>166</v>
      </c>
      <c r="G779" s="15">
        <v>46</v>
      </c>
      <c r="H779" s="38">
        <f>일대목차!I101</f>
        <v>5926</v>
      </c>
      <c r="I779" s="57">
        <f t="shared" si="138"/>
        <v>272596</v>
      </c>
      <c r="J779" s="38">
        <v>46</v>
      </c>
      <c r="K779" s="38">
        <f>일대목차!L101</f>
        <v>7908</v>
      </c>
      <c r="L779" s="57">
        <f t="shared" si="139"/>
        <v>363768</v>
      </c>
      <c r="M779" s="38">
        <f>일대목차!N101</f>
        <v>0</v>
      </c>
      <c r="N779" s="57">
        <f t="shared" si="140"/>
        <v>0</v>
      </c>
      <c r="O779" s="38">
        <f t="shared" si="141"/>
        <v>13834</v>
      </c>
      <c r="P779" s="38">
        <f t="shared" si="142"/>
        <v>636364</v>
      </c>
      <c r="Q779" s="12" t="s">
        <v>1989</v>
      </c>
      <c r="AC779" s="35">
        <f t="shared" si="144"/>
        <v>272596</v>
      </c>
      <c r="AE779" s="35">
        <f t="shared" si="143"/>
        <v>363768</v>
      </c>
    </row>
    <row r="780" spans="1:31" ht="23.1" customHeight="1" x14ac:dyDescent="0.15">
      <c r="A780" s="13" t="s">
        <v>1993</v>
      </c>
      <c r="B780" s="13" t="s">
        <v>3052</v>
      </c>
      <c r="C780" s="13" t="s">
        <v>1994</v>
      </c>
      <c r="D780" s="12" t="s">
        <v>466</v>
      </c>
      <c r="E780" s="12" t="s">
        <v>479</v>
      </c>
      <c r="F780" s="31" t="s">
        <v>166</v>
      </c>
      <c r="G780" s="15">
        <v>58</v>
      </c>
      <c r="H780" s="38">
        <f>일대목차!I103</f>
        <v>11081</v>
      </c>
      <c r="I780" s="57">
        <f t="shared" si="138"/>
        <v>642698</v>
      </c>
      <c r="J780" s="38">
        <v>58</v>
      </c>
      <c r="K780" s="38">
        <f>일대목차!L103</f>
        <v>13991</v>
      </c>
      <c r="L780" s="57">
        <f t="shared" si="139"/>
        <v>811478</v>
      </c>
      <c r="M780" s="38">
        <f>일대목차!N103</f>
        <v>0</v>
      </c>
      <c r="N780" s="57">
        <f t="shared" si="140"/>
        <v>0</v>
      </c>
      <c r="O780" s="38">
        <f t="shared" si="141"/>
        <v>25072</v>
      </c>
      <c r="P780" s="38">
        <f t="shared" si="142"/>
        <v>1454176</v>
      </c>
      <c r="Q780" s="12" t="s">
        <v>1995</v>
      </c>
      <c r="AC780" s="35">
        <f t="shared" si="144"/>
        <v>642698</v>
      </c>
      <c r="AE780" s="35">
        <f t="shared" si="143"/>
        <v>811478</v>
      </c>
    </row>
    <row r="781" spans="1:31" ht="23.1" customHeight="1" x14ac:dyDescent="0.15">
      <c r="A781" s="13" t="s">
        <v>1996</v>
      </c>
      <c r="B781" s="13" t="s">
        <v>3052</v>
      </c>
      <c r="C781" s="13" t="s">
        <v>1997</v>
      </c>
      <c r="D781" s="12" t="s">
        <v>466</v>
      </c>
      <c r="E781" s="12" t="s">
        <v>481</v>
      </c>
      <c r="F781" s="31" t="s">
        <v>166</v>
      </c>
      <c r="G781" s="15">
        <v>75</v>
      </c>
      <c r="H781" s="38">
        <f>일대목차!I104</f>
        <v>16801</v>
      </c>
      <c r="I781" s="57">
        <f t="shared" si="138"/>
        <v>1260075</v>
      </c>
      <c r="J781" s="38">
        <v>75</v>
      </c>
      <c r="K781" s="38">
        <f>일대목차!L104</f>
        <v>18249</v>
      </c>
      <c r="L781" s="57">
        <f t="shared" si="139"/>
        <v>1368675</v>
      </c>
      <c r="M781" s="38">
        <f>일대목차!N104</f>
        <v>0</v>
      </c>
      <c r="N781" s="57">
        <f t="shared" si="140"/>
        <v>0</v>
      </c>
      <c r="O781" s="38">
        <f t="shared" si="141"/>
        <v>35050</v>
      </c>
      <c r="P781" s="38">
        <f t="shared" si="142"/>
        <v>2628750</v>
      </c>
      <c r="Q781" s="12" t="s">
        <v>1998</v>
      </c>
      <c r="AC781" s="35">
        <f t="shared" si="144"/>
        <v>1260075</v>
      </c>
      <c r="AE781" s="35">
        <f t="shared" si="143"/>
        <v>1368675</v>
      </c>
    </row>
    <row r="782" spans="1:31" ht="23.1" customHeight="1" x14ac:dyDescent="0.15">
      <c r="A782" s="13" t="s">
        <v>2026</v>
      </c>
      <c r="B782" s="13" t="s">
        <v>3052</v>
      </c>
      <c r="C782" s="13" t="s">
        <v>2027</v>
      </c>
      <c r="D782" s="12" t="s">
        <v>519</v>
      </c>
      <c r="E782" s="12" t="s">
        <v>520</v>
      </c>
      <c r="F782" s="31" t="s">
        <v>200</v>
      </c>
      <c r="G782" s="15">
        <v>4</v>
      </c>
      <c r="H782" s="38">
        <f>일대목차!I114</f>
        <v>2347</v>
      </c>
      <c r="I782" s="57">
        <f t="shared" si="138"/>
        <v>9388</v>
      </c>
      <c r="J782" s="38">
        <v>4</v>
      </c>
      <c r="K782" s="38">
        <f>일대목차!L114</f>
        <v>26272</v>
      </c>
      <c r="L782" s="57">
        <f t="shared" si="139"/>
        <v>105088</v>
      </c>
      <c r="M782" s="38">
        <f>일대목차!N114</f>
        <v>0</v>
      </c>
      <c r="N782" s="57">
        <f t="shared" si="140"/>
        <v>0</v>
      </c>
      <c r="O782" s="38">
        <f t="shared" si="141"/>
        <v>28619</v>
      </c>
      <c r="P782" s="38">
        <f t="shared" si="142"/>
        <v>114476</v>
      </c>
      <c r="Q782" s="12" t="s">
        <v>2028</v>
      </c>
      <c r="AE782" s="35">
        <f t="shared" si="143"/>
        <v>105088</v>
      </c>
    </row>
    <row r="783" spans="1:31" ht="23.1" customHeight="1" x14ac:dyDescent="0.15">
      <c r="A783" s="13" t="s">
        <v>2035</v>
      </c>
      <c r="B783" s="13" t="s">
        <v>3052</v>
      </c>
      <c r="C783" s="13" t="s">
        <v>2036</v>
      </c>
      <c r="D783" s="12" t="s">
        <v>519</v>
      </c>
      <c r="E783" s="12" t="s">
        <v>529</v>
      </c>
      <c r="F783" s="31" t="s">
        <v>200</v>
      </c>
      <c r="G783" s="15">
        <v>2</v>
      </c>
      <c r="H783" s="38">
        <f>일대목차!I117</f>
        <v>1822</v>
      </c>
      <c r="I783" s="57">
        <f t="shared" si="138"/>
        <v>3644</v>
      </c>
      <c r="J783" s="38">
        <v>2</v>
      </c>
      <c r="K783" s="38">
        <f>일대목차!L117</f>
        <v>21894</v>
      </c>
      <c r="L783" s="57">
        <f t="shared" si="139"/>
        <v>43788</v>
      </c>
      <c r="M783" s="38">
        <f>일대목차!N117</f>
        <v>0</v>
      </c>
      <c r="N783" s="57">
        <f t="shared" si="140"/>
        <v>0</v>
      </c>
      <c r="O783" s="38">
        <f t="shared" si="141"/>
        <v>23716</v>
      </c>
      <c r="P783" s="38">
        <f t="shared" si="142"/>
        <v>47432</v>
      </c>
      <c r="Q783" s="12" t="s">
        <v>2037</v>
      </c>
      <c r="AE783" s="35">
        <f t="shared" si="143"/>
        <v>43788</v>
      </c>
    </row>
    <row r="784" spans="1:31" ht="23.1" customHeight="1" x14ac:dyDescent="0.15">
      <c r="A784" s="13" t="s">
        <v>2062</v>
      </c>
      <c r="B784" s="13" t="s">
        <v>3052</v>
      </c>
      <c r="C784" s="13" t="s">
        <v>2063</v>
      </c>
      <c r="D784" s="12" t="s">
        <v>565</v>
      </c>
      <c r="E784" s="12" t="s">
        <v>566</v>
      </c>
      <c r="F784" s="31" t="s">
        <v>166</v>
      </c>
      <c r="G784" s="15">
        <v>10</v>
      </c>
      <c r="H784" s="38">
        <f>일대목차!I126</f>
        <v>257</v>
      </c>
      <c r="I784" s="57">
        <f t="shared" si="138"/>
        <v>2570</v>
      </c>
      <c r="J784" s="38">
        <v>10</v>
      </c>
      <c r="K784" s="38">
        <f>일대목차!L126</f>
        <v>358</v>
      </c>
      <c r="L784" s="57">
        <f t="shared" si="139"/>
        <v>3580</v>
      </c>
      <c r="M784" s="38">
        <f>일대목차!N126</f>
        <v>0</v>
      </c>
      <c r="N784" s="57">
        <f t="shared" si="140"/>
        <v>0</v>
      </c>
      <c r="O784" s="38">
        <f t="shared" si="141"/>
        <v>615</v>
      </c>
      <c r="P784" s="38">
        <f t="shared" si="142"/>
        <v>6150</v>
      </c>
      <c r="Q784" s="12" t="s">
        <v>2064</v>
      </c>
      <c r="AE784" s="35">
        <f t="shared" si="143"/>
        <v>3580</v>
      </c>
    </row>
    <row r="785" spans="1:31" ht="23.1" customHeight="1" x14ac:dyDescent="0.15">
      <c r="A785" s="13" t="s">
        <v>2080</v>
      </c>
      <c r="B785" s="13" t="s">
        <v>3052</v>
      </c>
      <c r="C785" s="13" t="s">
        <v>2081</v>
      </c>
      <c r="D785" s="12" t="s">
        <v>595</v>
      </c>
      <c r="E785" s="12" t="s">
        <v>596</v>
      </c>
      <c r="F785" s="31" t="s">
        <v>200</v>
      </c>
      <c r="G785" s="15">
        <v>20</v>
      </c>
      <c r="H785" s="38">
        <f>일대목차!I132</f>
        <v>718</v>
      </c>
      <c r="I785" s="57">
        <f t="shared" si="138"/>
        <v>14360</v>
      </c>
      <c r="J785" s="38">
        <v>20</v>
      </c>
      <c r="K785" s="38">
        <f>일대목차!L132</f>
        <v>29563</v>
      </c>
      <c r="L785" s="57">
        <f t="shared" si="139"/>
        <v>591260</v>
      </c>
      <c r="M785" s="38">
        <f>일대목차!N132</f>
        <v>0</v>
      </c>
      <c r="N785" s="57">
        <f t="shared" si="140"/>
        <v>0</v>
      </c>
      <c r="O785" s="38">
        <f t="shared" si="141"/>
        <v>30281</v>
      </c>
      <c r="P785" s="38">
        <f t="shared" si="142"/>
        <v>605620</v>
      </c>
      <c r="Q785" s="12" t="s">
        <v>2082</v>
      </c>
      <c r="AE785" s="35">
        <f t="shared" si="143"/>
        <v>591260</v>
      </c>
    </row>
    <row r="786" spans="1:31" ht="23.1" customHeight="1" x14ac:dyDescent="0.15">
      <c r="A786" s="13" t="s">
        <v>2083</v>
      </c>
      <c r="B786" s="13" t="s">
        <v>3052</v>
      </c>
      <c r="C786" s="13" t="s">
        <v>2084</v>
      </c>
      <c r="D786" s="12" t="s">
        <v>595</v>
      </c>
      <c r="E786" s="12" t="s">
        <v>598</v>
      </c>
      <c r="F786" s="31" t="s">
        <v>200</v>
      </c>
      <c r="G786" s="15">
        <v>24</v>
      </c>
      <c r="H786" s="38">
        <f>일대목차!I133</f>
        <v>909</v>
      </c>
      <c r="I786" s="57">
        <f t="shared" si="138"/>
        <v>21816</v>
      </c>
      <c r="J786" s="38">
        <v>24</v>
      </c>
      <c r="K786" s="38">
        <f>일대목차!L133</f>
        <v>36133</v>
      </c>
      <c r="L786" s="57">
        <f t="shared" si="139"/>
        <v>867192</v>
      </c>
      <c r="M786" s="38">
        <f>일대목차!N133</f>
        <v>0</v>
      </c>
      <c r="N786" s="57">
        <f t="shared" si="140"/>
        <v>0</v>
      </c>
      <c r="O786" s="38">
        <f t="shared" si="141"/>
        <v>37042</v>
      </c>
      <c r="P786" s="38">
        <f t="shared" si="142"/>
        <v>889008</v>
      </c>
      <c r="Q786" s="12" t="s">
        <v>2085</v>
      </c>
      <c r="AE786" s="35">
        <f t="shared" si="143"/>
        <v>867192</v>
      </c>
    </row>
    <row r="787" spans="1:31" ht="23.1" customHeight="1" x14ac:dyDescent="0.15">
      <c r="A787" s="13" t="s">
        <v>1680</v>
      </c>
      <c r="B787" s="13" t="s">
        <v>3052</v>
      </c>
      <c r="C787" s="13" t="s">
        <v>1681</v>
      </c>
      <c r="D787" s="12" t="s">
        <v>1674</v>
      </c>
      <c r="E787" s="12" t="s">
        <v>1683</v>
      </c>
      <c r="F787" s="31" t="s">
        <v>792</v>
      </c>
      <c r="G787" s="15">
        <v>67</v>
      </c>
      <c r="H787" s="38">
        <f>일대목차!I8</f>
        <v>19561</v>
      </c>
      <c r="I787" s="57">
        <f t="shared" si="138"/>
        <v>1310587</v>
      </c>
      <c r="J787" s="38">
        <v>67</v>
      </c>
      <c r="K787" s="38">
        <f>일대목차!L8</f>
        <v>9852</v>
      </c>
      <c r="L787" s="57">
        <f t="shared" si="139"/>
        <v>660084</v>
      </c>
      <c r="M787" s="38">
        <f>일대목차!N8</f>
        <v>0</v>
      </c>
      <c r="N787" s="57">
        <f t="shared" si="140"/>
        <v>0</v>
      </c>
      <c r="O787" s="38">
        <f t="shared" si="141"/>
        <v>29413</v>
      </c>
      <c r="P787" s="38">
        <f t="shared" si="142"/>
        <v>1970671</v>
      </c>
      <c r="Q787" s="12" t="s">
        <v>1682</v>
      </c>
      <c r="AE787" s="35">
        <f t="shared" si="143"/>
        <v>660084</v>
      </c>
    </row>
    <row r="788" spans="1:31" ht="23.1" customHeight="1" x14ac:dyDescent="0.15">
      <c r="A788" s="13" t="s">
        <v>1684</v>
      </c>
      <c r="B788" s="13" t="s">
        <v>3052</v>
      </c>
      <c r="C788" s="13" t="s">
        <v>1685</v>
      </c>
      <c r="D788" s="12" t="s">
        <v>1674</v>
      </c>
      <c r="E788" s="12" t="s">
        <v>1687</v>
      </c>
      <c r="F788" s="31" t="s">
        <v>792</v>
      </c>
      <c r="G788" s="15">
        <v>80</v>
      </c>
      <c r="H788" s="38">
        <f>일대목차!I9</f>
        <v>19585</v>
      </c>
      <c r="I788" s="57">
        <f t="shared" si="138"/>
        <v>1566800</v>
      </c>
      <c r="J788" s="38">
        <v>80</v>
      </c>
      <c r="K788" s="38">
        <f>일대목차!L9</f>
        <v>9852</v>
      </c>
      <c r="L788" s="57">
        <f t="shared" si="139"/>
        <v>788160</v>
      </c>
      <c r="M788" s="38">
        <f>일대목차!N9</f>
        <v>0</v>
      </c>
      <c r="N788" s="57">
        <f t="shared" si="140"/>
        <v>0</v>
      </c>
      <c r="O788" s="38">
        <f t="shared" si="141"/>
        <v>29437</v>
      </c>
      <c r="P788" s="38">
        <f t="shared" si="142"/>
        <v>2354960</v>
      </c>
      <c r="Q788" s="12" t="s">
        <v>1686</v>
      </c>
      <c r="AE788" s="35">
        <f t="shared" si="143"/>
        <v>788160</v>
      </c>
    </row>
    <row r="789" spans="1:31" ht="23.1" customHeight="1" x14ac:dyDescent="0.15">
      <c r="A789" s="13" t="s">
        <v>1688</v>
      </c>
      <c r="B789" s="13" t="s">
        <v>3052</v>
      </c>
      <c r="C789" s="13" t="s">
        <v>1689</v>
      </c>
      <c r="D789" s="12" t="s">
        <v>1674</v>
      </c>
      <c r="E789" s="12" t="s">
        <v>1691</v>
      </c>
      <c r="F789" s="31" t="s">
        <v>792</v>
      </c>
      <c r="G789" s="15">
        <v>20</v>
      </c>
      <c r="H789" s="38">
        <f>일대목차!I10</f>
        <v>19622</v>
      </c>
      <c r="I789" s="57">
        <f t="shared" si="138"/>
        <v>392440</v>
      </c>
      <c r="J789" s="38">
        <v>20</v>
      </c>
      <c r="K789" s="38">
        <f>일대목차!L10</f>
        <v>9852</v>
      </c>
      <c r="L789" s="57">
        <f t="shared" si="139"/>
        <v>197040</v>
      </c>
      <c r="M789" s="38">
        <f>일대목차!N10</f>
        <v>0</v>
      </c>
      <c r="N789" s="57">
        <f t="shared" si="140"/>
        <v>0</v>
      </c>
      <c r="O789" s="38">
        <f t="shared" si="141"/>
        <v>29474</v>
      </c>
      <c r="P789" s="38">
        <f t="shared" si="142"/>
        <v>589480</v>
      </c>
      <c r="Q789" s="12" t="s">
        <v>1690</v>
      </c>
      <c r="AE789" s="35">
        <f t="shared" si="143"/>
        <v>197040</v>
      </c>
    </row>
    <row r="790" spans="1:31" ht="23.1" customHeight="1" x14ac:dyDescent="0.15">
      <c r="A790" s="13" t="s">
        <v>1692</v>
      </c>
      <c r="B790" s="13" t="s">
        <v>3052</v>
      </c>
      <c r="C790" s="13" t="s">
        <v>1693</v>
      </c>
      <c r="D790" s="12" t="s">
        <v>1674</v>
      </c>
      <c r="E790" s="12" t="s">
        <v>1695</v>
      </c>
      <c r="F790" s="31" t="s">
        <v>792</v>
      </c>
      <c r="G790" s="15">
        <v>20</v>
      </c>
      <c r="H790" s="38">
        <f>일대목차!I11</f>
        <v>19816</v>
      </c>
      <c r="I790" s="57">
        <f t="shared" si="138"/>
        <v>396320</v>
      </c>
      <c r="J790" s="38">
        <v>20</v>
      </c>
      <c r="K790" s="38">
        <f>일대목차!L11</f>
        <v>9852</v>
      </c>
      <c r="L790" s="57">
        <f t="shared" si="139"/>
        <v>197040</v>
      </c>
      <c r="M790" s="38">
        <f>일대목차!N11</f>
        <v>0</v>
      </c>
      <c r="N790" s="57">
        <f t="shared" si="140"/>
        <v>0</v>
      </c>
      <c r="O790" s="38">
        <f t="shared" si="141"/>
        <v>29668</v>
      </c>
      <c r="P790" s="38">
        <f t="shared" si="142"/>
        <v>593360</v>
      </c>
      <c r="Q790" s="12" t="s">
        <v>1694</v>
      </c>
      <c r="AE790" s="35">
        <f t="shared" si="143"/>
        <v>197040</v>
      </c>
    </row>
    <row r="791" spans="1:31" ht="23.1" customHeight="1" x14ac:dyDescent="0.15">
      <c r="A791" s="13" t="s">
        <v>1717</v>
      </c>
      <c r="B791" s="13" t="s">
        <v>3052</v>
      </c>
      <c r="C791" s="13" t="s">
        <v>1718</v>
      </c>
      <c r="D791" s="12" t="s">
        <v>1720</v>
      </c>
      <c r="E791" s="12" t="s">
        <v>1721</v>
      </c>
      <c r="F791" s="31" t="s">
        <v>792</v>
      </c>
      <c r="G791" s="15">
        <v>7</v>
      </c>
      <c r="H791" s="38">
        <f>일대목차!I17</f>
        <v>41309</v>
      </c>
      <c r="I791" s="57">
        <f t="shared" ref="I791:I812" si="145">TRUNC(G791*H791)</f>
        <v>289163</v>
      </c>
      <c r="J791" s="38">
        <v>7</v>
      </c>
      <c r="K791" s="38">
        <f>일대목차!L17</f>
        <v>251781</v>
      </c>
      <c r="L791" s="57">
        <f t="shared" ref="L791:L812" si="146">TRUNC(G791*K791)</f>
        <v>1762467</v>
      </c>
      <c r="M791" s="38">
        <f>일대목차!N17</f>
        <v>0</v>
      </c>
      <c r="N791" s="57">
        <f t="shared" ref="N791:N812" si="147">TRUNC(G791*M791)</f>
        <v>0</v>
      </c>
      <c r="O791" s="38">
        <f t="shared" ref="O791:O812" si="148">IF((H791+K791+M791)=0, "", (H791+K791+M791))</f>
        <v>293090</v>
      </c>
      <c r="P791" s="38">
        <f t="shared" ref="P791:P812" si="149">SUM(I791,L791,N791)</f>
        <v>2051630</v>
      </c>
      <c r="Q791" s="12" t="s">
        <v>1719</v>
      </c>
      <c r="AE791" s="35">
        <f t="shared" si="143"/>
        <v>1762467</v>
      </c>
    </row>
    <row r="792" spans="1:31" ht="23.1" customHeight="1" x14ac:dyDescent="0.15">
      <c r="A792" s="13" t="s">
        <v>1722</v>
      </c>
      <c r="B792" s="13" t="s">
        <v>3052</v>
      </c>
      <c r="C792" s="13" t="s">
        <v>1723</v>
      </c>
      <c r="D792" s="12" t="s">
        <v>1720</v>
      </c>
      <c r="E792" s="12" t="s">
        <v>1725</v>
      </c>
      <c r="F792" s="31" t="s">
        <v>792</v>
      </c>
      <c r="G792" s="15">
        <v>9</v>
      </c>
      <c r="H792" s="38">
        <f>일대목차!I18</f>
        <v>41357</v>
      </c>
      <c r="I792" s="57">
        <f t="shared" si="145"/>
        <v>372213</v>
      </c>
      <c r="J792" s="38">
        <v>9</v>
      </c>
      <c r="K792" s="38">
        <f>일대목차!L18</f>
        <v>251781</v>
      </c>
      <c r="L792" s="57">
        <f t="shared" si="146"/>
        <v>2266029</v>
      </c>
      <c r="M792" s="38">
        <f>일대목차!N18</f>
        <v>0</v>
      </c>
      <c r="N792" s="57">
        <f t="shared" si="147"/>
        <v>0</v>
      </c>
      <c r="O792" s="38">
        <f t="shared" si="148"/>
        <v>293138</v>
      </c>
      <c r="P792" s="38">
        <f t="shared" si="149"/>
        <v>2638242</v>
      </c>
      <c r="Q792" s="12" t="s">
        <v>1724</v>
      </c>
      <c r="AE792" s="35">
        <f t="shared" si="143"/>
        <v>2266029</v>
      </c>
    </row>
    <row r="793" spans="1:31" ht="23.1" customHeight="1" x14ac:dyDescent="0.15">
      <c r="A793" s="13" t="s">
        <v>1726</v>
      </c>
      <c r="B793" s="13" t="s">
        <v>3052</v>
      </c>
      <c r="C793" s="13" t="s">
        <v>1727</v>
      </c>
      <c r="D793" s="12" t="s">
        <v>1720</v>
      </c>
      <c r="E793" s="12" t="s">
        <v>1729</v>
      </c>
      <c r="F793" s="31" t="s">
        <v>792</v>
      </c>
      <c r="G793" s="15">
        <v>2</v>
      </c>
      <c r="H793" s="38">
        <f>일대목차!I19</f>
        <v>41395</v>
      </c>
      <c r="I793" s="57">
        <f t="shared" si="145"/>
        <v>82790</v>
      </c>
      <c r="J793" s="38">
        <v>2</v>
      </c>
      <c r="K793" s="38">
        <f>일대목차!L19</f>
        <v>251781</v>
      </c>
      <c r="L793" s="57">
        <f t="shared" si="146"/>
        <v>503562</v>
      </c>
      <c r="M793" s="38">
        <f>일대목차!N19</f>
        <v>0</v>
      </c>
      <c r="N793" s="57">
        <f t="shared" si="147"/>
        <v>0</v>
      </c>
      <c r="O793" s="38">
        <f t="shared" si="148"/>
        <v>293176</v>
      </c>
      <c r="P793" s="38">
        <f t="shared" si="149"/>
        <v>586352</v>
      </c>
      <c r="Q793" s="12" t="s">
        <v>1728</v>
      </c>
      <c r="AE793" s="35">
        <f t="shared" si="143"/>
        <v>503562</v>
      </c>
    </row>
    <row r="794" spans="1:31" ht="23.1" customHeight="1" x14ac:dyDescent="0.15">
      <c r="A794" s="13" t="s">
        <v>1730</v>
      </c>
      <c r="B794" s="13" t="s">
        <v>3052</v>
      </c>
      <c r="C794" s="13" t="s">
        <v>1731</v>
      </c>
      <c r="D794" s="12" t="s">
        <v>1720</v>
      </c>
      <c r="E794" s="12" t="s">
        <v>1733</v>
      </c>
      <c r="F794" s="31" t="s">
        <v>792</v>
      </c>
      <c r="G794" s="15">
        <v>2</v>
      </c>
      <c r="H794" s="38">
        <f>일대목차!I20</f>
        <v>41422</v>
      </c>
      <c r="I794" s="57">
        <f t="shared" si="145"/>
        <v>82844</v>
      </c>
      <c r="J794" s="38">
        <v>2</v>
      </c>
      <c r="K794" s="38">
        <f>일대목차!L20</f>
        <v>251781</v>
      </c>
      <c r="L794" s="57">
        <f t="shared" si="146"/>
        <v>503562</v>
      </c>
      <c r="M794" s="38">
        <f>일대목차!N20</f>
        <v>0</v>
      </c>
      <c r="N794" s="57">
        <f t="shared" si="147"/>
        <v>0</v>
      </c>
      <c r="O794" s="38">
        <f t="shared" si="148"/>
        <v>293203</v>
      </c>
      <c r="P794" s="38">
        <f t="shared" si="149"/>
        <v>586406</v>
      </c>
      <c r="Q794" s="12" t="s">
        <v>1732</v>
      </c>
      <c r="AE794" s="35">
        <f t="shared" si="143"/>
        <v>503562</v>
      </c>
    </row>
    <row r="795" spans="1:31" ht="23.1" customHeight="1" x14ac:dyDescent="0.15">
      <c r="A795" s="13" t="s">
        <v>1662</v>
      </c>
      <c r="B795" s="13" t="s">
        <v>3052</v>
      </c>
      <c r="C795" s="13" t="s">
        <v>1663</v>
      </c>
      <c r="D795" s="12" t="s">
        <v>1665</v>
      </c>
      <c r="E795" s="12" t="s">
        <v>1666</v>
      </c>
      <c r="F795" s="31" t="s">
        <v>980</v>
      </c>
      <c r="G795" s="15">
        <v>3.15</v>
      </c>
      <c r="H795" s="38">
        <f>일대목차!I4</f>
        <v>341</v>
      </c>
      <c r="I795" s="57">
        <f t="shared" si="145"/>
        <v>1074</v>
      </c>
      <c r="J795" s="38">
        <v>3.15</v>
      </c>
      <c r="K795" s="38">
        <f>일대목차!L4</f>
        <v>7929</v>
      </c>
      <c r="L795" s="57">
        <f t="shared" si="146"/>
        <v>24976</v>
      </c>
      <c r="M795" s="38">
        <f>일대목차!N4</f>
        <v>418</v>
      </c>
      <c r="N795" s="57">
        <f t="shared" si="147"/>
        <v>1316</v>
      </c>
      <c r="O795" s="38">
        <f t="shared" si="148"/>
        <v>8688</v>
      </c>
      <c r="P795" s="38">
        <f t="shared" si="149"/>
        <v>27366</v>
      </c>
      <c r="Q795" s="12" t="s">
        <v>1664</v>
      </c>
      <c r="AE795" s="35">
        <f t="shared" si="143"/>
        <v>24976</v>
      </c>
    </row>
    <row r="796" spans="1:31" ht="23.1" customHeight="1" x14ac:dyDescent="0.15">
      <c r="A796" s="13" t="s">
        <v>1667</v>
      </c>
      <c r="B796" s="13" t="s">
        <v>3052</v>
      </c>
      <c r="C796" s="13" t="s">
        <v>1668</v>
      </c>
      <c r="D796" s="12" t="s">
        <v>1670</v>
      </c>
      <c r="E796" s="12" t="s">
        <v>1666</v>
      </c>
      <c r="F796" s="31" t="s">
        <v>980</v>
      </c>
      <c r="G796" s="15">
        <v>3.15</v>
      </c>
      <c r="H796" s="38">
        <f>일대목차!I5</f>
        <v>341</v>
      </c>
      <c r="I796" s="57">
        <f t="shared" si="145"/>
        <v>1074</v>
      </c>
      <c r="J796" s="38">
        <v>3.15</v>
      </c>
      <c r="K796" s="38">
        <f>일대목차!L5</f>
        <v>4488</v>
      </c>
      <c r="L796" s="57">
        <f t="shared" si="146"/>
        <v>14137</v>
      </c>
      <c r="M796" s="38">
        <f>일대목차!N5</f>
        <v>418</v>
      </c>
      <c r="N796" s="57">
        <f t="shared" si="147"/>
        <v>1316</v>
      </c>
      <c r="O796" s="38">
        <f t="shared" si="148"/>
        <v>5247</v>
      </c>
      <c r="P796" s="38">
        <f t="shared" si="149"/>
        <v>16527</v>
      </c>
      <c r="Q796" s="12" t="s">
        <v>1669</v>
      </c>
      <c r="AE796" s="35">
        <f t="shared" si="143"/>
        <v>14137</v>
      </c>
    </row>
    <row r="797" spans="1:31" ht="23.1" customHeight="1" x14ac:dyDescent="0.15">
      <c r="A797" s="13" t="s">
        <v>2107</v>
      </c>
      <c r="B797" s="13" t="s">
        <v>3052</v>
      </c>
      <c r="C797" s="13" t="s">
        <v>2108</v>
      </c>
      <c r="D797" s="12" t="s">
        <v>656</v>
      </c>
      <c r="E797" s="12" t="s">
        <v>662</v>
      </c>
      <c r="F797" s="31" t="s">
        <v>166</v>
      </c>
      <c r="G797" s="15">
        <v>101</v>
      </c>
      <c r="H797" s="38">
        <f>일대목차!I141</f>
        <v>5334</v>
      </c>
      <c r="I797" s="57">
        <f t="shared" si="145"/>
        <v>538734</v>
      </c>
      <c r="J797" s="38">
        <v>101</v>
      </c>
      <c r="K797" s="38">
        <f>일대목차!L141</f>
        <v>23645</v>
      </c>
      <c r="L797" s="57">
        <f t="shared" si="146"/>
        <v>2388145</v>
      </c>
      <c r="M797" s="38">
        <f>일대목차!N141</f>
        <v>0</v>
      </c>
      <c r="N797" s="57">
        <f t="shared" si="147"/>
        <v>0</v>
      </c>
      <c r="O797" s="38">
        <f t="shared" si="148"/>
        <v>28979</v>
      </c>
      <c r="P797" s="38">
        <f t="shared" si="149"/>
        <v>2926879</v>
      </c>
      <c r="Q797" s="12" t="s">
        <v>2109</v>
      </c>
      <c r="AB797" s="35">
        <f>I797</f>
        <v>538734</v>
      </c>
      <c r="AC797" s="35">
        <f>G797*H797</f>
        <v>538734</v>
      </c>
      <c r="AE797" s="35">
        <f t="shared" si="143"/>
        <v>2388145</v>
      </c>
    </row>
    <row r="798" spans="1:31" ht="23.1" customHeight="1" x14ac:dyDescent="0.15">
      <c r="A798" s="13" t="s">
        <v>2110</v>
      </c>
      <c r="B798" s="13" t="s">
        <v>3052</v>
      </c>
      <c r="C798" s="13" t="s">
        <v>2111</v>
      </c>
      <c r="D798" s="12" t="s">
        <v>656</v>
      </c>
      <c r="E798" s="12" t="s">
        <v>664</v>
      </c>
      <c r="F798" s="31" t="s">
        <v>166</v>
      </c>
      <c r="G798" s="15">
        <v>119</v>
      </c>
      <c r="H798" s="38">
        <f>일대목차!I142</f>
        <v>6369</v>
      </c>
      <c r="I798" s="57">
        <f t="shared" si="145"/>
        <v>757911</v>
      </c>
      <c r="J798" s="38">
        <v>119</v>
      </c>
      <c r="K798" s="38">
        <f>일대목차!L142</f>
        <v>29557</v>
      </c>
      <c r="L798" s="57">
        <f t="shared" si="146"/>
        <v>3517283</v>
      </c>
      <c r="M798" s="38">
        <f>일대목차!N142</f>
        <v>0</v>
      </c>
      <c r="N798" s="57">
        <f t="shared" si="147"/>
        <v>0</v>
      </c>
      <c r="O798" s="38">
        <f t="shared" si="148"/>
        <v>35926</v>
      </c>
      <c r="P798" s="38">
        <f t="shared" si="149"/>
        <v>4275194</v>
      </c>
      <c r="Q798" s="12" t="s">
        <v>2112</v>
      </c>
      <c r="AB798" s="35">
        <f>I798</f>
        <v>757911</v>
      </c>
      <c r="AC798" s="35">
        <f>G798*H798</f>
        <v>757911</v>
      </c>
      <c r="AE798" s="35">
        <f t="shared" si="143"/>
        <v>3517283</v>
      </c>
    </row>
    <row r="799" spans="1:31" ht="23.1" customHeight="1" x14ac:dyDescent="0.15">
      <c r="A799" s="13" t="s">
        <v>2113</v>
      </c>
      <c r="B799" s="13" t="s">
        <v>3052</v>
      </c>
      <c r="C799" s="13" t="s">
        <v>2114</v>
      </c>
      <c r="D799" s="12" t="s">
        <v>656</v>
      </c>
      <c r="E799" s="12" t="s">
        <v>666</v>
      </c>
      <c r="F799" s="31" t="s">
        <v>166</v>
      </c>
      <c r="G799" s="15">
        <v>29</v>
      </c>
      <c r="H799" s="38">
        <f>일대목차!I143</f>
        <v>8442</v>
      </c>
      <c r="I799" s="57">
        <f t="shared" si="145"/>
        <v>244818</v>
      </c>
      <c r="J799" s="38">
        <v>29</v>
      </c>
      <c r="K799" s="38">
        <f>일대목차!L143</f>
        <v>38424</v>
      </c>
      <c r="L799" s="57">
        <f t="shared" si="146"/>
        <v>1114296</v>
      </c>
      <c r="M799" s="38">
        <f>일대목차!N143</f>
        <v>0</v>
      </c>
      <c r="N799" s="57">
        <f t="shared" si="147"/>
        <v>0</v>
      </c>
      <c r="O799" s="38">
        <f t="shared" si="148"/>
        <v>46866</v>
      </c>
      <c r="P799" s="38">
        <f t="shared" si="149"/>
        <v>1359114</v>
      </c>
      <c r="Q799" s="12" t="s">
        <v>2115</v>
      </c>
      <c r="AB799" s="35">
        <f>I799</f>
        <v>244818</v>
      </c>
      <c r="AC799" s="35">
        <f>G799*H799</f>
        <v>244818</v>
      </c>
      <c r="AE799" s="35">
        <f t="shared" si="143"/>
        <v>1114296</v>
      </c>
    </row>
    <row r="800" spans="1:31" ht="23.1" customHeight="1" x14ac:dyDescent="0.15">
      <c r="A800" s="13" t="s">
        <v>2116</v>
      </c>
      <c r="B800" s="13" t="s">
        <v>3052</v>
      </c>
      <c r="C800" s="13" t="s">
        <v>2117</v>
      </c>
      <c r="D800" s="12" t="s">
        <v>656</v>
      </c>
      <c r="E800" s="12" t="s">
        <v>668</v>
      </c>
      <c r="F800" s="31" t="s">
        <v>166</v>
      </c>
      <c r="G800" s="15">
        <v>29</v>
      </c>
      <c r="H800" s="38">
        <f>일대목차!I144</f>
        <v>11759</v>
      </c>
      <c r="I800" s="57">
        <f t="shared" si="145"/>
        <v>341011</v>
      </c>
      <c r="J800" s="38">
        <v>29</v>
      </c>
      <c r="K800" s="38">
        <f>일대목차!L144</f>
        <v>56158</v>
      </c>
      <c r="L800" s="57">
        <f t="shared" si="146"/>
        <v>1628582</v>
      </c>
      <c r="M800" s="38">
        <f>일대목차!N144</f>
        <v>0</v>
      </c>
      <c r="N800" s="57">
        <f t="shared" si="147"/>
        <v>0</v>
      </c>
      <c r="O800" s="38">
        <f t="shared" si="148"/>
        <v>67917</v>
      </c>
      <c r="P800" s="38">
        <f t="shared" si="149"/>
        <v>1969593</v>
      </c>
      <c r="Q800" s="12" t="s">
        <v>2118</v>
      </c>
      <c r="AB800" s="35">
        <f>I800</f>
        <v>341011</v>
      </c>
      <c r="AC800" s="35">
        <f>G800*H800</f>
        <v>341011</v>
      </c>
      <c r="AE800" s="35">
        <f t="shared" si="143"/>
        <v>1628582</v>
      </c>
    </row>
    <row r="801" spans="1:31" ht="23.1" customHeight="1" x14ac:dyDescent="0.15">
      <c r="A801" s="13" t="s">
        <v>1209</v>
      </c>
      <c r="B801" s="13" t="s">
        <v>3052</v>
      </c>
      <c r="C801" s="13" t="s">
        <v>676</v>
      </c>
      <c r="D801" s="12" t="s">
        <v>672</v>
      </c>
      <c r="E801" s="12" t="s">
        <v>677</v>
      </c>
      <c r="F801" s="31" t="s">
        <v>200</v>
      </c>
      <c r="G801" s="15">
        <v>27</v>
      </c>
      <c r="H801" s="38">
        <f>합산자재!H185</f>
        <v>1246</v>
      </c>
      <c r="I801" s="57">
        <f t="shared" si="145"/>
        <v>33642</v>
      </c>
      <c r="J801" s="38">
        <v>27</v>
      </c>
      <c r="K801" s="38">
        <f>합산자재!I185</f>
        <v>0</v>
      </c>
      <c r="L801" s="57">
        <f t="shared" si="146"/>
        <v>0</v>
      </c>
      <c r="M801" s="38">
        <f>합산자재!J185</f>
        <v>0</v>
      </c>
      <c r="N801" s="57">
        <f t="shared" si="147"/>
        <v>0</v>
      </c>
      <c r="O801" s="38">
        <f t="shared" si="148"/>
        <v>1246</v>
      </c>
      <c r="P801" s="38">
        <f t="shared" si="149"/>
        <v>33642</v>
      </c>
      <c r="Q801" s="12"/>
    </row>
    <row r="802" spans="1:31" ht="23.1" customHeight="1" x14ac:dyDescent="0.15">
      <c r="A802" s="13" t="s">
        <v>1210</v>
      </c>
      <c r="B802" s="13" t="s">
        <v>3052</v>
      </c>
      <c r="C802" s="13" t="s">
        <v>678</v>
      </c>
      <c r="D802" s="12" t="s">
        <v>672</v>
      </c>
      <c r="E802" s="12" t="s">
        <v>679</v>
      </c>
      <c r="F802" s="31" t="s">
        <v>200</v>
      </c>
      <c r="G802" s="15">
        <v>32</v>
      </c>
      <c r="H802" s="38">
        <f>합산자재!H186</f>
        <v>1811</v>
      </c>
      <c r="I802" s="57">
        <f t="shared" si="145"/>
        <v>57952</v>
      </c>
      <c r="J802" s="38">
        <v>32</v>
      </c>
      <c r="K802" s="38">
        <f>합산자재!I186</f>
        <v>0</v>
      </c>
      <c r="L802" s="57">
        <f t="shared" si="146"/>
        <v>0</v>
      </c>
      <c r="M802" s="38">
        <f>합산자재!J186</f>
        <v>0</v>
      </c>
      <c r="N802" s="57">
        <f t="shared" si="147"/>
        <v>0</v>
      </c>
      <c r="O802" s="38">
        <f t="shared" si="148"/>
        <v>1811</v>
      </c>
      <c r="P802" s="38">
        <f t="shared" si="149"/>
        <v>57952</v>
      </c>
      <c r="Q802" s="12"/>
    </row>
    <row r="803" spans="1:31" ht="23.1" customHeight="1" x14ac:dyDescent="0.15">
      <c r="A803" s="13" t="s">
        <v>1211</v>
      </c>
      <c r="B803" s="13" t="s">
        <v>3052</v>
      </c>
      <c r="C803" s="13" t="s">
        <v>680</v>
      </c>
      <c r="D803" s="12" t="s">
        <v>672</v>
      </c>
      <c r="E803" s="12" t="s">
        <v>681</v>
      </c>
      <c r="F803" s="31" t="s">
        <v>200</v>
      </c>
      <c r="G803" s="15">
        <v>8</v>
      </c>
      <c r="H803" s="38">
        <f>합산자재!H187</f>
        <v>2721</v>
      </c>
      <c r="I803" s="57">
        <f t="shared" si="145"/>
        <v>21768</v>
      </c>
      <c r="J803" s="38">
        <v>8</v>
      </c>
      <c r="K803" s="38">
        <f>합산자재!I187</f>
        <v>0</v>
      </c>
      <c r="L803" s="57">
        <f t="shared" si="146"/>
        <v>0</v>
      </c>
      <c r="M803" s="38">
        <f>합산자재!J187</f>
        <v>0</v>
      </c>
      <c r="N803" s="57">
        <f t="shared" si="147"/>
        <v>0</v>
      </c>
      <c r="O803" s="38">
        <f t="shared" si="148"/>
        <v>2721</v>
      </c>
      <c r="P803" s="38">
        <f t="shared" si="149"/>
        <v>21768</v>
      </c>
      <c r="Q803" s="12"/>
    </row>
    <row r="804" spans="1:31" ht="23.1" customHeight="1" x14ac:dyDescent="0.15">
      <c r="A804" s="13" t="s">
        <v>1212</v>
      </c>
      <c r="B804" s="13" t="s">
        <v>3052</v>
      </c>
      <c r="C804" s="13" t="s">
        <v>682</v>
      </c>
      <c r="D804" s="12" t="s">
        <v>672</v>
      </c>
      <c r="E804" s="12" t="s">
        <v>683</v>
      </c>
      <c r="F804" s="31" t="s">
        <v>200</v>
      </c>
      <c r="G804" s="15">
        <v>8</v>
      </c>
      <c r="H804" s="38">
        <f>합산자재!H188</f>
        <v>3586</v>
      </c>
      <c r="I804" s="57">
        <f t="shared" si="145"/>
        <v>28688</v>
      </c>
      <c r="J804" s="38">
        <v>8</v>
      </c>
      <c r="K804" s="38">
        <f>합산자재!I188</f>
        <v>0</v>
      </c>
      <c r="L804" s="57">
        <f t="shared" si="146"/>
        <v>0</v>
      </c>
      <c r="M804" s="38">
        <f>합산자재!J188</f>
        <v>0</v>
      </c>
      <c r="N804" s="57">
        <f t="shared" si="147"/>
        <v>0</v>
      </c>
      <c r="O804" s="38">
        <f t="shared" si="148"/>
        <v>3586</v>
      </c>
      <c r="P804" s="38">
        <f t="shared" si="149"/>
        <v>28688</v>
      </c>
      <c r="Q804" s="12"/>
    </row>
    <row r="805" spans="1:31" ht="23.1" customHeight="1" x14ac:dyDescent="0.15">
      <c r="A805" s="13" t="s">
        <v>1216</v>
      </c>
      <c r="B805" s="13" t="s">
        <v>3052</v>
      </c>
      <c r="C805" s="13" t="s">
        <v>690</v>
      </c>
      <c r="D805" s="12" t="s">
        <v>672</v>
      </c>
      <c r="E805" s="12" t="s">
        <v>691</v>
      </c>
      <c r="F805" s="31" t="s">
        <v>200</v>
      </c>
      <c r="G805" s="15">
        <v>20</v>
      </c>
      <c r="H805" s="38">
        <f>합산자재!H192</f>
        <v>1513</v>
      </c>
      <c r="I805" s="57">
        <f t="shared" si="145"/>
        <v>30260</v>
      </c>
      <c r="J805" s="38">
        <v>20</v>
      </c>
      <c r="K805" s="38">
        <f>합산자재!I192</f>
        <v>0</v>
      </c>
      <c r="L805" s="57">
        <f t="shared" si="146"/>
        <v>0</v>
      </c>
      <c r="M805" s="38">
        <f>합산자재!J192</f>
        <v>0</v>
      </c>
      <c r="N805" s="57">
        <f t="shared" si="147"/>
        <v>0</v>
      </c>
      <c r="O805" s="38">
        <f t="shared" si="148"/>
        <v>1513</v>
      </c>
      <c r="P805" s="38">
        <f t="shared" si="149"/>
        <v>30260</v>
      </c>
      <c r="Q805" s="12"/>
    </row>
    <row r="806" spans="1:31" ht="23.1" customHeight="1" x14ac:dyDescent="0.15">
      <c r="A806" s="13" t="s">
        <v>1217</v>
      </c>
      <c r="B806" s="13" t="s">
        <v>3052</v>
      </c>
      <c r="C806" s="13" t="s">
        <v>692</v>
      </c>
      <c r="D806" s="12" t="s">
        <v>672</v>
      </c>
      <c r="E806" s="12" t="s">
        <v>693</v>
      </c>
      <c r="F806" s="31" t="s">
        <v>200</v>
      </c>
      <c r="G806" s="15">
        <v>28</v>
      </c>
      <c r="H806" s="38">
        <f>합산자재!H193</f>
        <v>1983</v>
      </c>
      <c r="I806" s="57">
        <f t="shared" si="145"/>
        <v>55524</v>
      </c>
      <c r="J806" s="38">
        <v>28</v>
      </c>
      <c r="K806" s="38">
        <f>합산자재!I193</f>
        <v>0</v>
      </c>
      <c r="L806" s="57">
        <f t="shared" si="146"/>
        <v>0</v>
      </c>
      <c r="M806" s="38">
        <f>합산자재!J193</f>
        <v>0</v>
      </c>
      <c r="N806" s="57">
        <f t="shared" si="147"/>
        <v>0</v>
      </c>
      <c r="O806" s="38">
        <f t="shared" si="148"/>
        <v>1983</v>
      </c>
      <c r="P806" s="38">
        <f t="shared" si="149"/>
        <v>55524</v>
      </c>
      <c r="Q806" s="12"/>
    </row>
    <row r="807" spans="1:31" ht="23.1" customHeight="1" x14ac:dyDescent="0.15">
      <c r="A807" s="13" t="s">
        <v>1218</v>
      </c>
      <c r="B807" s="13" t="s">
        <v>3052</v>
      </c>
      <c r="C807" s="13" t="s">
        <v>694</v>
      </c>
      <c r="D807" s="12" t="s">
        <v>672</v>
      </c>
      <c r="E807" s="12" t="s">
        <v>695</v>
      </c>
      <c r="F807" s="31" t="s">
        <v>200</v>
      </c>
      <c r="G807" s="15">
        <v>8</v>
      </c>
      <c r="H807" s="38">
        <f>합산자재!H194</f>
        <v>2981</v>
      </c>
      <c r="I807" s="57">
        <f t="shared" si="145"/>
        <v>23848</v>
      </c>
      <c r="J807" s="38">
        <v>8</v>
      </c>
      <c r="K807" s="38">
        <f>합산자재!I194</f>
        <v>0</v>
      </c>
      <c r="L807" s="57">
        <f t="shared" si="146"/>
        <v>0</v>
      </c>
      <c r="M807" s="38">
        <f>합산자재!J194</f>
        <v>0</v>
      </c>
      <c r="N807" s="57">
        <f t="shared" si="147"/>
        <v>0</v>
      </c>
      <c r="O807" s="38">
        <f t="shared" si="148"/>
        <v>2981</v>
      </c>
      <c r="P807" s="38">
        <f t="shared" si="149"/>
        <v>23848</v>
      </c>
      <c r="Q807" s="12"/>
    </row>
    <row r="808" spans="1:31" ht="23.1" customHeight="1" x14ac:dyDescent="0.15">
      <c r="A808" s="13" t="s">
        <v>1219</v>
      </c>
      <c r="B808" s="13" t="s">
        <v>3052</v>
      </c>
      <c r="C808" s="13" t="s">
        <v>696</v>
      </c>
      <c r="D808" s="12" t="s">
        <v>672</v>
      </c>
      <c r="E808" s="12" t="s">
        <v>697</v>
      </c>
      <c r="F808" s="31" t="s">
        <v>200</v>
      </c>
      <c r="G808" s="15">
        <v>8</v>
      </c>
      <c r="H808" s="38">
        <f>합산자재!H195</f>
        <v>3800</v>
      </c>
      <c r="I808" s="57">
        <f t="shared" si="145"/>
        <v>30400</v>
      </c>
      <c r="J808" s="38">
        <v>8</v>
      </c>
      <c r="K808" s="38">
        <f>합산자재!I195</f>
        <v>0</v>
      </c>
      <c r="L808" s="57">
        <f t="shared" si="146"/>
        <v>0</v>
      </c>
      <c r="M808" s="38">
        <f>합산자재!J195</f>
        <v>0</v>
      </c>
      <c r="N808" s="57">
        <f t="shared" si="147"/>
        <v>0</v>
      </c>
      <c r="O808" s="38">
        <f t="shared" si="148"/>
        <v>3800</v>
      </c>
      <c r="P808" s="38">
        <f t="shared" si="149"/>
        <v>30400</v>
      </c>
      <c r="Q808" s="12"/>
    </row>
    <row r="809" spans="1:31" ht="23.1" customHeight="1" x14ac:dyDescent="0.15">
      <c r="A809" s="13" t="s">
        <v>1221</v>
      </c>
      <c r="B809" s="13" t="s">
        <v>3052</v>
      </c>
      <c r="C809" s="13" t="s">
        <v>700</v>
      </c>
      <c r="D809" s="12" t="s">
        <v>701</v>
      </c>
      <c r="E809" s="12" t="s">
        <v>662</v>
      </c>
      <c r="F809" s="31" t="s">
        <v>200</v>
      </c>
      <c r="G809" s="15">
        <v>24</v>
      </c>
      <c r="H809" s="38">
        <f>합산자재!H197</f>
        <v>3467</v>
      </c>
      <c r="I809" s="57">
        <f t="shared" si="145"/>
        <v>83208</v>
      </c>
      <c r="J809" s="38">
        <v>24</v>
      </c>
      <c r="K809" s="38">
        <f>합산자재!I197</f>
        <v>0</v>
      </c>
      <c r="L809" s="57">
        <f t="shared" si="146"/>
        <v>0</v>
      </c>
      <c r="M809" s="38">
        <f>합산자재!J197</f>
        <v>0</v>
      </c>
      <c r="N809" s="57">
        <f t="shared" si="147"/>
        <v>0</v>
      </c>
      <c r="O809" s="38">
        <f t="shared" si="148"/>
        <v>3467</v>
      </c>
      <c r="P809" s="38">
        <f t="shared" si="149"/>
        <v>83208</v>
      </c>
      <c r="Q809" s="12"/>
    </row>
    <row r="810" spans="1:31" ht="23.1" customHeight="1" x14ac:dyDescent="0.15">
      <c r="A810" s="13" t="s">
        <v>1222</v>
      </c>
      <c r="B810" s="13" t="s">
        <v>3052</v>
      </c>
      <c r="C810" s="13" t="s">
        <v>702</v>
      </c>
      <c r="D810" s="12" t="s">
        <v>701</v>
      </c>
      <c r="E810" s="12" t="s">
        <v>664</v>
      </c>
      <c r="F810" s="31" t="s">
        <v>200</v>
      </c>
      <c r="G810" s="15">
        <v>26</v>
      </c>
      <c r="H810" s="38">
        <f>합산자재!H198</f>
        <v>4640</v>
      </c>
      <c r="I810" s="57">
        <f t="shared" si="145"/>
        <v>120640</v>
      </c>
      <c r="J810" s="38">
        <v>26</v>
      </c>
      <c r="K810" s="38">
        <f>합산자재!I198</f>
        <v>0</v>
      </c>
      <c r="L810" s="57">
        <f t="shared" si="146"/>
        <v>0</v>
      </c>
      <c r="M810" s="38">
        <f>합산자재!J198</f>
        <v>0</v>
      </c>
      <c r="N810" s="57">
        <f t="shared" si="147"/>
        <v>0</v>
      </c>
      <c r="O810" s="38">
        <f t="shared" si="148"/>
        <v>4640</v>
      </c>
      <c r="P810" s="38">
        <f t="shared" si="149"/>
        <v>120640</v>
      </c>
      <c r="Q810" s="12"/>
    </row>
    <row r="811" spans="1:31" ht="23.1" customHeight="1" x14ac:dyDescent="0.15">
      <c r="A811" s="13" t="s">
        <v>1223</v>
      </c>
      <c r="B811" s="13" t="s">
        <v>3052</v>
      </c>
      <c r="C811" s="13" t="s">
        <v>703</v>
      </c>
      <c r="D811" s="12" t="s">
        <v>701</v>
      </c>
      <c r="E811" s="12" t="s">
        <v>666</v>
      </c>
      <c r="F811" s="31" t="s">
        <v>200</v>
      </c>
      <c r="G811" s="15">
        <v>7</v>
      </c>
      <c r="H811" s="38">
        <f>합산자재!H199</f>
        <v>6705</v>
      </c>
      <c r="I811" s="57">
        <f t="shared" si="145"/>
        <v>46935</v>
      </c>
      <c r="J811" s="38">
        <v>7</v>
      </c>
      <c r="K811" s="38">
        <f>합산자재!I199</f>
        <v>0</v>
      </c>
      <c r="L811" s="57">
        <f t="shared" si="146"/>
        <v>0</v>
      </c>
      <c r="M811" s="38">
        <f>합산자재!J199</f>
        <v>0</v>
      </c>
      <c r="N811" s="57">
        <f t="shared" si="147"/>
        <v>0</v>
      </c>
      <c r="O811" s="38">
        <f t="shared" si="148"/>
        <v>6705</v>
      </c>
      <c r="P811" s="38">
        <f t="shared" si="149"/>
        <v>46935</v>
      </c>
      <c r="Q811" s="12"/>
    </row>
    <row r="812" spans="1:31" ht="23.1" customHeight="1" x14ac:dyDescent="0.15">
      <c r="A812" s="13" t="s">
        <v>1224</v>
      </c>
      <c r="B812" s="13" t="s">
        <v>3052</v>
      </c>
      <c r="C812" s="13" t="s">
        <v>704</v>
      </c>
      <c r="D812" s="12" t="s">
        <v>701</v>
      </c>
      <c r="E812" s="12" t="s">
        <v>668</v>
      </c>
      <c r="F812" s="31" t="s">
        <v>200</v>
      </c>
      <c r="G812" s="15">
        <v>7</v>
      </c>
      <c r="H812" s="38">
        <f>합산자재!H200</f>
        <v>10240</v>
      </c>
      <c r="I812" s="57">
        <f t="shared" si="145"/>
        <v>71680</v>
      </c>
      <c r="J812" s="38">
        <v>7</v>
      </c>
      <c r="K812" s="38">
        <f>합산자재!I200</f>
        <v>0</v>
      </c>
      <c r="L812" s="57">
        <f t="shared" si="146"/>
        <v>0</v>
      </c>
      <c r="M812" s="38">
        <f>합산자재!J200</f>
        <v>0</v>
      </c>
      <c r="N812" s="57">
        <f t="shared" si="147"/>
        <v>0</v>
      </c>
      <c r="O812" s="38">
        <f t="shared" si="148"/>
        <v>10240</v>
      </c>
      <c r="P812" s="38">
        <f t="shared" si="149"/>
        <v>71680</v>
      </c>
      <c r="Q812" s="12"/>
    </row>
    <row r="813" spans="1:31" ht="23.1" customHeight="1" x14ac:dyDescent="0.15">
      <c r="D813" s="12"/>
      <c r="E813" s="12"/>
      <c r="F813" s="31"/>
      <c r="G813" s="15"/>
      <c r="H813" s="38"/>
      <c r="I813" s="57"/>
      <c r="J813" s="38"/>
      <c r="K813" s="38"/>
      <c r="L813" s="57"/>
      <c r="M813" s="38"/>
      <c r="N813" s="57"/>
      <c r="O813" s="38"/>
      <c r="P813" s="38"/>
      <c r="Q813" s="12"/>
      <c r="AE813" s="35">
        <f>TRUNC(SUM(AE758:AE812))</f>
        <v>29482634</v>
      </c>
    </row>
    <row r="814" spans="1:31" ht="23.1" customHeight="1" x14ac:dyDescent="0.15">
      <c r="D814" s="12"/>
      <c r="E814" s="12"/>
      <c r="F814" s="31"/>
      <c r="G814" s="15"/>
      <c r="H814" s="38"/>
      <c r="I814" s="57"/>
      <c r="J814" s="38"/>
      <c r="K814" s="38"/>
      <c r="L814" s="57"/>
      <c r="M814" s="38"/>
      <c r="N814" s="57"/>
      <c r="O814" s="38"/>
      <c r="P814" s="38"/>
      <c r="Q814" s="12"/>
    </row>
    <row r="815" spans="1:31" ht="23.1" customHeight="1" x14ac:dyDescent="0.15">
      <c r="D815" s="12"/>
      <c r="E815" s="12"/>
      <c r="F815" s="31"/>
      <c r="G815" s="15"/>
      <c r="H815" s="38"/>
      <c r="I815" s="57"/>
      <c r="J815" s="38"/>
      <c r="K815" s="38"/>
      <c r="L815" s="57"/>
      <c r="M815" s="38"/>
      <c r="N815" s="57"/>
      <c r="O815" s="38"/>
      <c r="P815" s="38"/>
      <c r="Q815" s="12"/>
    </row>
    <row r="816" spans="1:31" ht="23.1" customHeight="1" x14ac:dyDescent="0.15">
      <c r="D816" s="12"/>
      <c r="E816" s="12"/>
      <c r="F816" s="31"/>
      <c r="G816" s="15"/>
      <c r="H816" s="38"/>
      <c r="I816" s="57"/>
      <c r="J816" s="38"/>
      <c r="K816" s="38"/>
      <c r="L816" s="57"/>
      <c r="M816" s="38"/>
      <c r="N816" s="57"/>
      <c r="O816" s="38"/>
      <c r="P816" s="38"/>
      <c r="Q816" s="12"/>
    </row>
    <row r="817" spans="4:17" ht="23.1" customHeight="1" x14ac:dyDescent="0.15">
      <c r="D817" s="12"/>
      <c r="E817" s="12"/>
      <c r="F817" s="31"/>
      <c r="G817" s="15"/>
      <c r="H817" s="38"/>
      <c r="I817" s="57"/>
      <c r="J817" s="38"/>
      <c r="K817" s="38"/>
      <c r="L817" s="57"/>
      <c r="M817" s="38"/>
      <c r="N817" s="57"/>
      <c r="O817" s="38"/>
      <c r="P817" s="38"/>
      <c r="Q817" s="12"/>
    </row>
    <row r="818" spans="4:17" ht="23.1" customHeight="1" x14ac:dyDescent="0.15">
      <c r="D818" s="12"/>
      <c r="E818" s="12"/>
      <c r="F818" s="31"/>
      <c r="G818" s="15"/>
      <c r="H818" s="38"/>
      <c r="I818" s="57"/>
      <c r="J818" s="38"/>
      <c r="K818" s="38"/>
      <c r="L818" s="57"/>
      <c r="M818" s="38"/>
      <c r="N818" s="57"/>
      <c r="O818" s="38"/>
      <c r="P818" s="38"/>
      <c r="Q818" s="12"/>
    </row>
    <row r="819" spans="4:17" ht="23.1" customHeight="1" x14ac:dyDescent="0.15">
      <c r="D819" s="12"/>
      <c r="E819" s="12"/>
      <c r="F819" s="31"/>
      <c r="G819" s="15"/>
      <c r="H819" s="38"/>
      <c r="I819" s="57"/>
      <c r="J819" s="38"/>
      <c r="K819" s="38"/>
      <c r="L819" s="57"/>
      <c r="M819" s="38"/>
      <c r="N819" s="57"/>
      <c r="O819" s="38"/>
      <c r="P819" s="38"/>
      <c r="Q819" s="12"/>
    </row>
    <row r="820" spans="4:17" ht="23.1" customHeight="1" x14ac:dyDescent="0.15">
      <c r="D820" s="12"/>
      <c r="E820" s="12"/>
      <c r="F820" s="31"/>
      <c r="G820" s="15"/>
      <c r="H820" s="38"/>
      <c r="I820" s="57"/>
      <c r="J820" s="38"/>
      <c r="K820" s="38"/>
      <c r="L820" s="57"/>
      <c r="M820" s="38"/>
      <c r="N820" s="57"/>
      <c r="O820" s="38"/>
      <c r="P820" s="38"/>
      <c r="Q820" s="12"/>
    </row>
    <row r="821" spans="4:17" ht="23.1" customHeight="1" x14ac:dyDescent="0.15">
      <c r="D821" s="12"/>
      <c r="E821" s="12"/>
      <c r="F821" s="31"/>
      <c r="G821" s="15"/>
      <c r="H821" s="38"/>
      <c r="I821" s="57"/>
      <c r="J821" s="38"/>
      <c r="K821" s="38"/>
      <c r="L821" s="57"/>
      <c r="M821" s="38"/>
      <c r="N821" s="57"/>
      <c r="O821" s="38"/>
      <c r="P821" s="38"/>
      <c r="Q821" s="12"/>
    </row>
    <row r="822" spans="4:17" ht="23.1" customHeight="1" x14ac:dyDescent="0.15">
      <c r="D822" s="12"/>
      <c r="E822" s="12"/>
      <c r="F822" s="31"/>
      <c r="G822" s="15"/>
      <c r="H822" s="38"/>
      <c r="I822" s="57"/>
      <c r="J822" s="38"/>
      <c r="K822" s="38"/>
      <c r="L822" s="57"/>
      <c r="M822" s="38"/>
      <c r="N822" s="57"/>
      <c r="O822" s="38"/>
      <c r="P822" s="38"/>
      <c r="Q822" s="12"/>
    </row>
    <row r="823" spans="4:17" ht="23.1" customHeight="1" x14ac:dyDescent="0.15">
      <c r="D823" s="12"/>
      <c r="E823" s="12"/>
      <c r="F823" s="31"/>
      <c r="G823" s="15"/>
      <c r="H823" s="38"/>
      <c r="I823" s="57"/>
      <c r="J823" s="38"/>
      <c r="K823" s="38"/>
      <c r="L823" s="57"/>
      <c r="M823" s="38"/>
      <c r="N823" s="57"/>
      <c r="O823" s="38"/>
      <c r="P823" s="38"/>
      <c r="Q823" s="12"/>
    </row>
    <row r="824" spans="4:17" ht="23.1" customHeight="1" x14ac:dyDescent="0.15">
      <c r="D824" s="12"/>
      <c r="E824" s="12"/>
      <c r="F824" s="31"/>
      <c r="G824" s="15"/>
      <c r="H824" s="38"/>
      <c r="I824" s="57"/>
      <c r="J824" s="38"/>
      <c r="K824" s="38"/>
      <c r="L824" s="57"/>
      <c r="M824" s="38"/>
      <c r="N824" s="57"/>
      <c r="O824" s="38"/>
      <c r="P824" s="38"/>
      <c r="Q824" s="12"/>
    </row>
    <row r="825" spans="4:17" ht="23.1" customHeight="1" x14ac:dyDescent="0.15">
      <c r="D825" s="12"/>
      <c r="E825" s="12"/>
      <c r="F825" s="31"/>
      <c r="G825" s="15"/>
      <c r="H825" s="38"/>
      <c r="I825" s="57"/>
      <c r="J825" s="38"/>
      <c r="K825" s="38"/>
      <c r="L825" s="57"/>
      <c r="M825" s="38"/>
      <c r="N825" s="57"/>
      <c r="O825" s="38"/>
      <c r="P825" s="38"/>
      <c r="Q825" s="12"/>
    </row>
    <row r="826" spans="4:17" ht="23.1" customHeight="1" x14ac:dyDescent="0.15">
      <c r="D826" s="12"/>
      <c r="E826" s="12"/>
      <c r="F826" s="31"/>
      <c r="G826" s="15"/>
      <c r="H826" s="38"/>
      <c r="I826" s="57"/>
      <c r="J826" s="38"/>
      <c r="K826" s="38"/>
      <c r="L826" s="57"/>
      <c r="M826" s="38"/>
      <c r="N826" s="57"/>
      <c r="O826" s="38"/>
      <c r="P826" s="38"/>
      <c r="Q826" s="12"/>
    </row>
    <row r="827" spans="4:17" ht="23.1" customHeight="1" x14ac:dyDescent="0.15">
      <c r="D827" s="12"/>
      <c r="E827" s="12"/>
      <c r="F827" s="31"/>
      <c r="G827" s="15"/>
      <c r="H827" s="38"/>
      <c r="I827" s="57"/>
      <c r="J827" s="38"/>
      <c r="K827" s="38"/>
      <c r="L827" s="57"/>
      <c r="M827" s="38"/>
      <c r="N827" s="57"/>
      <c r="O827" s="38"/>
      <c r="P827" s="38"/>
      <c r="Q827" s="12"/>
    </row>
    <row r="828" spans="4:17" ht="23.1" customHeight="1" x14ac:dyDescent="0.15">
      <c r="D828" s="12"/>
      <c r="E828" s="12"/>
      <c r="F828" s="31"/>
      <c r="G828" s="15"/>
      <c r="H828" s="38"/>
      <c r="I828" s="57"/>
      <c r="J828" s="38"/>
      <c r="K828" s="38"/>
      <c r="L828" s="57"/>
      <c r="M828" s="38"/>
      <c r="N828" s="57"/>
      <c r="O828" s="38"/>
      <c r="P828" s="38"/>
      <c r="Q828" s="12"/>
    </row>
    <row r="829" spans="4:17" ht="23.1" customHeight="1" x14ac:dyDescent="0.15">
      <c r="D829" s="12"/>
      <c r="E829" s="12"/>
      <c r="F829" s="31"/>
      <c r="G829" s="15"/>
      <c r="H829" s="38"/>
      <c r="I829" s="57"/>
      <c r="J829" s="38"/>
      <c r="K829" s="38"/>
      <c r="L829" s="57"/>
      <c r="M829" s="38"/>
      <c r="N829" s="57"/>
      <c r="O829" s="38"/>
      <c r="P829" s="38"/>
      <c r="Q829" s="12"/>
    </row>
    <row r="830" spans="4:17" ht="23.1" customHeight="1" x14ac:dyDescent="0.15">
      <c r="D830" s="12"/>
      <c r="E830" s="12"/>
      <c r="F830" s="31"/>
      <c r="G830" s="15"/>
      <c r="H830" s="38"/>
      <c r="I830" s="57"/>
      <c r="J830" s="38"/>
      <c r="K830" s="38"/>
      <c r="L830" s="57"/>
      <c r="M830" s="38"/>
      <c r="N830" s="57"/>
      <c r="O830" s="38"/>
      <c r="P830" s="38"/>
      <c r="Q830" s="12"/>
    </row>
    <row r="831" spans="4:17" ht="23.1" customHeight="1" x14ac:dyDescent="0.15">
      <c r="D831" s="12"/>
      <c r="E831" s="12"/>
      <c r="F831" s="31"/>
      <c r="G831" s="15"/>
      <c r="H831" s="38"/>
      <c r="I831" s="57"/>
      <c r="J831" s="38"/>
      <c r="K831" s="38"/>
      <c r="L831" s="57"/>
      <c r="M831" s="38"/>
      <c r="N831" s="57"/>
      <c r="O831" s="38"/>
      <c r="P831" s="38"/>
      <c r="Q831" s="12"/>
    </row>
    <row r="832" spans="4:17" ht="23.1" customHeight="1" x14ac:dyDescent="0.15">
      <c r="D832" s="12"/>
      <c r="E832" s="12"/>
      <c r="F832" s="31"/>
      <c r="G832" s="15"/>
      <c r="H832" s="38"/>
      <c r="I832" s="57"/>
      <c r="J832" s="38"/>
      <c r="K832" s="38"/>
      <c r="L832" s="57"/>
      <c r="M832" s="38"/>
      <c r="N832" s="57"/>
      <c r="O832" s="38"/>
      <c r="P832" s="38"/>
      <c r="Q832" s="12"/>
    </row>
    <row r="833" spans="1:31" ht="23.1" customHeight="1" x14ac:dyDescent="0.15">
      <c r="D833" s="12"/>
      <c r="E833" s="12"/>
      <c r="F833" s="31"/>
      <c r="G833" s="15"/>
      <c r="H833" s="38"/>
      <c r="I833" s="57"/>
      <c r="J833" s="38"/>
      <c r="K833" s="38"/>
      <c r="L833" s="57"/>
      <c r="M833" s="38"/>
      <c r="N833" s="57"/>
      <c r="O833" s="38"/>
      <c r="P833" s="38"/>
      <c r="Q833" s="12"/>
    </row>
    <row r="834" spans="1:31" ht="23.1" customHeight="1" x14ac:dyDescent="0.15">
      <c r="D834" s="12"/>
      <c r="E834" s="12"/>
      <c r="F834" s="31"/>
      <c r="G834" s="15"/>
      <c r="H834" s="38"/>
      <c r="I834" s="57"/>
      <c r="J834" s="38"/>
      <c r="K834" s="38"/>
      <c r="L834" s="57"/>
      <c r="M834" s="38"/>
      <c r="N834" s="57"/>
      <c r="O834" s="38"/>
      <c r="P834" s="38"/>
      <c r="Q834" s="12"/>
    </row>
    <row r="835" spans="1:31" ht="23.1" customHeight="1" x14ac:dyDescent="0.15">
      <c r="B835" s="13" t="s">
        <v>2360</v>
      </c>
      <c r="D835" s="12" t="s">
        <v>2361</v>
      </c>
      <c r="E835" s="12"/>
      <c r="F835" s="31"/>
      <c r="G835" s="15"/>
      <c r="H835" s="38"/>
      <c r="I835" s="57">
        <f>TRUNC(SUM(I758:I834))</f>
        <v>11665583</v>
      </c>
      <c r="J835" s="38"/>
      <c r="K835" s="38"/>
      <c r="L835" s="57">
        <f>TRUNC(SUM(L758:L834))</f>
        <v>29482634</v>
      </c>
      <c r="M835" s="38"/>
      <c r="N835" s="57">
        <f>TRUNC(SUM(N758:N834))</f>
        <v>2632</v>
      </c>
      <c r="O835" s="38" t="str">
        <f>IF((H835+K835+M835)=0, "", (H835+K835+M835))</f>
        <v/>
      </c>
      <c r="P835" s="38">
        <f>TRUNC(SUM(P758:P834))</f>
        <v>41150849</v>
      </c>
      <c r="Q835" s="12"/>
    </row>
    <row r="836" spans="1:31" ht="23.1" customHeight="1" x14ac:dyDescent="0.15">
      <c r="B836" s="13" t="s">
        <v>1448</v>
      </c>
      <c r="D836" s="170" t="s">
        <v>3186</v>
      </c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2"/>
    </row>
    <row r="837" spans="1:31" ht="23.1" customHeight="1" x14ac:dyDescent="0.15">
      <c r="A837" s="13" t="s">
        <v>1793</v>
      </c>
      <c r="B837" s="13" t="s">
        <v>3053</v>
      </c>
      <c r="C837" s="13" t="s">
        <v>1794</v>
      </c>
      <c r="D837" s="12" t="s">
        <v>178</v>
      </c>
      <c r="E837" s="12" t="s">
        <v>179</v>
      </c>
      <c r="F837" s="31" t="s">
        <v>166</v>
      </c>
      <c r="G837" s="15">
        <v>570</v>
      </c>
      <c r="H837" s="38">
        <f>일대목차!I37</f>
        <v>449</v>
      </c>
      <c r="I837" s="57">
        <f t="shared" ref="I837:I870" si="150">TRUNC(G837*H837)</f>
        <v>255930</v>
      </c>
      <c r="J837" s="38">
        <v>570</v>
      </c>
      <c r="K837" s="38">
        <f>일대목차!L37</f>
        <v>9852</v>
      </c>
      <c r="L837" s="57">
        <f t="shared" ref="L837:L870" si="151">TRUNC(G837*K837)</f>
        <v>5615640</v>
      </c>
      <c r="M837" s="38">
        <f>일대목차!N37</f>
        <v>0</v>
      </c>
      <c r="N837" s="57">
        <f t="shared" ref="N837:N870" si="152">TRUNC(G837*M837)</f>
        <v>0</v>
      </c>
      <c r="O837" s="38">
        <f t="shared" ref="O837:O870" si="153">IF((H837+K837+M837)=0, "", (H837+K837+M837))</f>
        <v>10301</v>
      </c>
      <c r="P837" s="38">
        <f t="shared" ref="P837:P870" si="154">SUM(I837,L837,N837)</f>
        <v>5871570</v>
      </c>
      <c r="Q837" s="12" t="s">
        <v>1795</v>
      </c>
      <c r="AA837" s="35">
        <f>I837</f>
        <v>255930</v>
      </c>
      <c r="AC837" s="35">
        <f>G837*H837</f>
        <v>255930</v>
      </c>
      <c r="AE837" s="35">
        <f>L837</f>
        <v>5615640</v>
      </c>
    </row>
    <row r="838" spans="1:31" ht="23.1" customHeight="1" x14ac:dyDescent="0.15">
      <c r="A838" s="13" t="s">
        <v>1797</v>
      </c>
      <c r="B838" s="13" t="s">
        <v>3053</v>
      </c>
      <c r="C838" s="13" t="s">
        <v>1798</v>
      </c>
      <c r="D838" s="12" t="s">
        <v>178</v>
      </c>
      <c r="E838" s="12" t="s">
        <v>184</v>
      </c>
      <c r="F838" s="31" t="s">
        <v>166</v>
      </c>
      <c r="G838" s="15">
        <v>143</v>
      </c>
      <c r="H838" s="38">
        <f>일대목차!I38</f>
        <v>615</v>
      </c>
      <c r="I838" s="57">
        <f t="shared" si="150"/>
        <v>87945</v>
      </c>
      <c r="J838" s="38">
        <v>143</v>
      </c>
      <c r="K838" s="38">
        <f>일대목차!L38</f>
        <v>11822</v>
      </c>
      <c r="L838" s="57">
        <f t="shared" si="151"/>
        <v>1690546</v>
      </c>
      <c r="M838" s="38">
        <f>일대목차!N38</f>
        <v>0</v>
      </c>
      <c r="N838" s="57">
        <f t="shared" si="152"/>
        <v>0</v>
      </c>
      <c r="O838" s="38">
        <f t="shared" si="153"/>
        <v>12437</v>
      </c>
      <c r="P838" s="38">
        <f t="shared" si="154"/>
        <v>1778491</v>
      </c>
      <c r="Q838" s="12" t="s">
        <v>1799</v>
      </c>
      <c r="AA838" s="35">
        <f>I838</f>
        <v>87945</v>
      </c>
      <c r="AC838" s="35">
        <f>G838*H838</f>
        <v>87945</v>
      </c>
      <c r="AE838" s="35">
        <f>L838</f>
        <v>1690546</v>
      </c>
    </row>
    <row r="839" spans="1:31" ht="23.1" customHeight="1" x14ac:dyDescent="0.15">
      <c r="A839" s="13" t="s">
        <v>1038</v>
      </c>
      <c r="B839" s="13" t="s">
        <v>3053</v>
      </c>
      <c r="C839" s="13" t="s">
        <v>197</v>
      </c>
      <c r="D839" s="12" t="s">
        <v>198</v>
      </c>
      <c r="E839" s="12" t="s">
        <v>199</v>
      </c>
      <c r="F839" s="31" t="s">
        <v>200</v>
      </c>
      <c r="G839" s="15">
        <v>162</v>
      </c>
      <c r="H839" s="38">
        <f>합산자재!H14</f>
        <v>340</v>
      </c>
      <c r="I839" s="57">
        <f t="shared" si="150"/>
        <v>55080</v>
      </c>
      <c r="J839" s="38">
        <v>162</v>
      </c>
      <c r="K839" s="38">
        <f>합산자재!I14</f>
        <v>0</v>
      </c>
      <c r="L839" s="57">
        <f t="shared" si="151"/>
        <v>0</v>
      </c>
      <c r="M839" s="38">
        <f>합산자재!J14</f>
        <v>0</v>
      </c>
      <c r="N839" s="57">
        <f t="shared" si="152"/>
        <v>0</v>
      </c>
      <c r="O839" s="38">
        <f t="shared" si="153"/>
        <v>340</v>
      </c>
      <c r="P839" s="38">
        <f t="shared" si="154"/>
        <v>55080</v>
      </c>
      <c r="Q839" s="12"/>
    </row>
    <row r="840" spans="1:31" ht="23.1" customHeight="1" x14ac:dyDescent="0.15">
      <c r="A840" s="13" t="s">
        <v>1812</v>
      </c>
      <c r="B840" s="13" t="s">
        <v>3053</v>
      </c>
      <c r="C840" s="13" t="s">
        <v>1813</v>
      </c>
      <c r="D840" s="12" t="s">
        <v>198</v>
      </c>
      <c r="E840" s="12" t="s">
        <v>216</v>
      </c>
      <c r="F840" s="31" t="s">
        <v>166</v>
      </c>
      <c r="G840" s="15">
        <v>118</v>
      </c>
      <c r="H840" s="38">
        <f>일대목차!I43</f>
        <v>691</v>
      </c>
      <c r="I840" s="57">
        <f t="shared" si="150"/>
        <v>81538</v>
      </c>
      <c r="J840" s="38">
        <v>118</v>
      </c>
      <c r="K840" s="38">
        <f>일대목차!L43</f>
        <v>10837</v>
      </c>
      <c r="L840" s="57">
        <f t="shared" si="151"/>
        <v>1278766</v>
      </c>
      <c r="M840" s="38">
        <f>일대목차!N43</f>
        <v>0</v>
      </c>
      <c r="N840" s="57">
        <f t="shared" si="152"/>
        <v>0</v>
      </c>
      <c r="O840" s="38">
        <f t="shared" si="153"/>
        <v>11528</v>
      </c>
      <c r="P840" s="38">
        <f t="shared" si="154"/>
        <v>1360304</v>
      </c>
      <c r="Q840" s="12" t="s">
        <v>1814</v>
      </c>
      <c r="AC840" s="35">
        <f>G840*H840</f>
        <v>81538</v>
      </c>
      <c r="AE840" s="35">
        <f>L840</f>
        <v>1278766</v>
      </c>
    </row>
    <row r="841" spans="1:31" ht="23.1" customHeight="1" x14ac:dyDescent="0.15">
      <c r="A841" s="13" t="s">
        <v>1833</v>
      </c>
      <c r="B841" s="13" t="s">
        <v>3053</v>
      </c>
      <c r="C841" s="13" t="s">
        <v>1834</v>
      </c>
      <c r="D841" s="12" t="s">
        <v>260</v>
      </c>
      <c r="E841" s="12" t="s">
        <v>261</v>
      </c>
      <c r="F841" s="31" t="s">
        <v>200</v>
      </c>
      <c r="G841" s="15">
        <v>70</v>
      </c>
      <c r="H841" s="38">
        <f>일대목차!I50</f>
        <v>1218</v>
      </c>
      <c r="I841" s="57">
        <f t="shared" si="150"/>
        <v>85260</v>
      </c>
      <c r="J841" s="38">
        <v>70</v>
      </c>
      <c r="K841" s="38">
        <f>일대목차!L50</f>
        <v>29557</v>
      </c>
      <c r="L841" s="57">
        <f t="shared" si="151"/>
        <v>2068990</v>
      </c>
      <c r="M841" s="38">
        <f>일대목차!N50</f>
        <v>0</v>
      </c>
      <c r="N841" s="57">
        <f t="shared" si="152"/>
        <v>0</v>
      </c>
      <c r="O841" s="38">
        <f t="shared" si="153"/>
        <v>30775</v>
      </c>
      <c r="P841" s="38">
        <f t="shared" si="154"/>
        <v>2154250</v>
      </c>
      <c r="Q841" s="12" t="s">
        <v>1835</v>
      </c>
      <c r="AE841" s="35">
        <f>L841</f>
        <v>2068990</v>
      </c>
    </row>
    <row r="842" spans="1:31" ht="23.1" customHeight="1" x14ac:dyDescent="0.15">
      <c r="A842" s="13" t="s">
        <v>1836</v>
      </c>
      <c r="B842" s="13" t="s">
        <v>3053</v>
      </c>
      <c r="C842" s="13" t="s">
        <v>1837</v>
      </c>
      <c r="D842" s="12" t="s">
        <v>260</v>
      </c>
      <c r="E842" s="12" t="s">
        <v>267</v>
      </c>
      <c r="F842" s="31" t="s">
        <v>200</v>
      </c>
      <c r="G842" s="15">
        <v>53</v>
      </c>
      <c r="H842" s="38">
        <f>일대목차!I51</f>
        <v>1321</v>
      </c>
      <c r="I842" s="57">
        <f t="shared" si="150"/>
        <v>70013</v>
      </c>
      <c r="J842" s="38">
        <v>53</v>
      </c>
      <c r="K842" s="38">
        <f>일대목차!L51</f>
        <v>29557</v>
      </c>
      <c r="L842" s="57">
        <f t="shared" si="151"/>
        <v>1566521</v>
      </c>
      <c r="M842" s="38">
        <f>일대목차!N51</f>
        <v>0</v>
      </c>
      <c r="N842" s="57">
        <f t="shared" si="152"/>
        <v>0</v>
      </c>
      <c r="O842" s="38">
        <f t="shared" si="153"/>
        <v>30878</v>
      </c>
      <c r="P842" s="38">
        <f t="shared" si="154"/>
        <v>1636534</v>
      </c>
      <c r="Q842" s="12" t="s">
        <v>1838</v>
      </c>
      <c r="AE842" s="35">
        <f>L842</f>
        <v>1566521</v>
      </c>
    </row>
    <row r="843" spans="1:31" ht="23.1" customHeight="1" x14ac:dyDescent="0.15">
      <c r="A843" s="13" t="s">
        <v>1839</v>
      </c>
      <c r="B843" s="13" t="s">
        <v>3053</v>
      </c>
      <c r="C843" s="13" t="s">
        <v>1840</v>
      </c>
      <c r="D843" s="12" t="s">
        <v>269</v>
      </c>
      <c r="E843" s="12" t="s">
        <v>270</v>
      </c>
      <c r="F843" s="31" t="s">
        <v>200</v>
      </c>
      <c r="G843" s="15">
        <v>14</v>
      </c>
      <c r="H843" s="38">
        <f>일대목차!I52</f>
        <v>1577</v>
      </c>
      <c r="I843" s="57">
        <f t="shared" si="150"/>
        <v>22078</v>
      </c>
      <c r="J843" s="38">
        <v>14</v>
      </c>
      <c r="K843" s="38">
        <f>일대목차!L52</f>
        <v>49261</v>
      </c>
      <c r="L843" s="57">
        <f t="shared" si="151"/>
        <v>689654</v>
      </c>
      <c r="M843" s="38">
        <f>일대목차!N52</f>
        <v>0</v>
      </c>
      <c r="N843" s="57">
        <f t="shared" si="152"/>
        <v>0</v>
      </c>
      <c r="O843" s="38">
        <f t="shared" si="153"/>
        <v>50838</v>
      </c>
      <c r="P843" s="38">
        <f t="shared" si="154"/>
        <v>711732</v>
      </c>
      <c r="Q843" s="12" t="s">
        <v>1841</v>
      </c>
      <c r="AE843" s="35">
        <f>L843</f>
        <v>689654</v>
      </c>
    </row>
    <row r="844" spans="1:31" ht="23.1" customHeight="1" x14ac:dyDescent="0.15">
      <c r="A844" s="13" t="s">
        <v>1842</v>
      </c>
      <c r="B844" s="13" t="s">
        <v>3053</v>
      </c>
      <c r="C844" s="13" t="s">
        <v>1843</v>
      </c>
      <c r="D844" s="12" t="s">
        <v>269</v>
      </c>
      <c r="E844" s="12" t="s">
        <v>272</v>
      </c>
      <c r="F844" s="31" t="s">
        <v>200</v>
      </c>
      <c r="G844" s="15">
        <v>20</v>
      </c>
      <c r="H844" s="38">
        <f>일대목차!I53</f>
        <v>1711</v>
      </c>
      <c r="I844" s="57">
        <f t="shared" si="150"/>
        <v>34220</v>
      </c>
      <c r="J844" s="38">
        <v>20</v>
      </c>
      <c r="K844" s="38">
        <f>일대목차!L53</f>
        <v>49261</v>
      </c>
      <c r="L844" s="57">
        <f t="shared" si="151"/>
        <v>985220</v>
      </c>
      <c r="M844" s="38">
        <f>일대목차!N53</f>
        <v>0</v>
      </c>
      <c r="N844" s="57">
        <f t="shared" si="152"/>
        <v>0</v>
      </c>
      <c r="O844" s="38">
        <f t="shared" si="153"/>
        <v>50972</v>
      </c>
      <c r="P844" s="38">
        <f t="shared" si="154"/>
        <v>1019440</v>
      </c>
      <c r="Q844" s="12" t="s">
        <v>1844</v>
      </c>
      <c r="AE844" s="35">
        <f>L844</f>
        <v>985220</v>
      </c>
    </row>
    <row r="845" spans="1:31" ht="23.1" customHeight="1" x14ac:dyDescent="0.15">
      <c r="A845" s="13" t="s">
        <v>1069</v>
      </c>
      <c r="B845" s="13" t="s">
        <v>3053</v>
      </c>
      <c r="C845" s="13" t="s">
        <v>276</v>
      </c>
      <c r="D845" s="12" t="s">
        <v>277</v>
      </c>
      <c r="E845" s="12" t="s">
        <v>278</v>
      </c>
      <c r="F845" s="31" t="s">
        <v>200</v>
      </c>
      <c r="G845" s="15">
        <v>66</v>
      </c>
      <c r="H845" s="38">
        <f>합산자재!H45</f>
        <v>282</v>
      </c>
      <c r="I845" s="57">
        <f t="shared" si="150"/>
        <v>18612</v>
      </c>
      <c r="J845" s="38">
        <v>66</v>
      </c>
      <c r="K845" s="38">
        <f>합산자재!I45</f>
        <v>0</v>
      </c>
      <c r="L845" s="57">
        <f t="shared" si="151"/>
        <v>0</v>
      </c>
      <c r="M845" s="38">
        <f>합산자재!J45</f>
        <v>0</v>
      </c>
      <c r="N845" s="57">
        <f t="shared" si="152"/>
        <v>0</v>
      </c>
      <c r="O845" s="38">
        <f t="shared" si="153"/>
        <v>282</v>
      </c>
      <c r="P845" s="38">
        <f t="shared" si="154"/>
        <v>18612</v>
      </c>
      <c r="Q845" s="12"/>
    </row>
    <row r="846" spans="1:31" ht="23.1" customHeight="1" x14ac:dyDescent="0.15">
      <c r="A846" s="13" t="s">
        <v>1070</v>
      </c>
      <c r="B846" s="13" t="s">
        <v>3053</v>
      </c>
      <c r="C846" s="13" t="s">
        <v>279</v>
      </c>
      <c r="D846" s="12" t="s">
        <v>277</v>
      </c>
      <c r="E846" s="12" t="s">
        <v>280</v>
      </c>
      <c r="F846" s="31" t="s">
        <v>200</v>
      </c>
      <c r="G846" s="15">
        <v>43</v>
      </c>
      <c r="H846" s="38">
        <f>합산자재!H46</f>
        <v>293</v>
      </c>
      <c r="I846" s="57">
        <f t="shared" si="150"/>
        <v>12599</v>
      </c>
      <c r="J846" s="38">
        <v>43</v>
      </c>
      <c r="K846" s="38">
        <f>합산자재!I46</f>
        <v>0</v>
      </c>
      <c r="L846" s="57">
        <f t="shared" si="151"/>
        <v>0</v>
      </c>
      <c r="M846" s="38">
        <f>합산자재!J46</f>
        <v>0</v>
      </c>
      <c r="N846" s="57">
        <f t="shared" si="152"/>
        <v>0</v>
      </c>
      <c r="O846" s="38">
        <f t="shared" si="153"/>
        <v>293</v>
      </c>
      <c r="P846" s="38">
        <f t="shared" si="154"/>
        <v>12599</v>
      </c>
      <c r="Q846" s="12"/>
    </row>
    <row r="847" spans="1:31" ht="23.1" customHeight="1" x14ac:dyDescent="0.15">
      <c r="A847" s="13" t="s">
        <v>1863</v>
      </c>
      <c r="B847" s="13" t="s">
        <v>3053</v>
      </c>
      <c r="C847" s="13" t="s">
        <v>1864</v>
      </c>
      <c r="D847" s="12" t="s">
        <v>298</v>
      </c>
      <c r="E847" s="12" t="s">
        <v>299</v>
      </c>
      <c r="F847" s="31" t="s">
        <v>166</v>
      </c>
      <c r="G847" s="15">
        <v>265</v>
      </c>
      <c r="H847" s="38">
        <f>일대목차!I60</f>
        <v>3718</v>
      </c>
      <c r="I847" s="57">
        <f t="shared" si="150"/>
        <v>985270</v>
      </c>
      <c r="J847" s="38">
        <v>265</v>
      </c>
      <c r="K847" s="38">
        <f>일대목차!L60</f>
        <v>54735</v>
      </c>
      <c r="L847" s="57">
        <f t="shared" si="151"/>
        <v>14504775</v>
      </c>
      <c r="M847" s="38">
        <f>일대목차!N60</f>
        <v>0</v>
      </c>
      <c r="N847" s="57">
        <f t="shared" si="152"/>
        <v>0</v>
      </c>
      <c r="O847" s="38">
        <f t="shared" si="153"/>
        <v>58453</v>
      </c>
      <c r="P847" s="38">
        <f t="shared" si="154"/>
        <v>15490045</v>
      </c>
      <c r="Q847" s="12" t="s">
        <v>1865</v>
      </c>
      <c r="AE847" s="35">
        <f>L847</f>
        <v>14504775</v>
      </c>
    </row>
    <row r="848" spans="1:31" ht="23.1" customHeight="1" x14ac:dyDescent="0.15">
      <c r="A848" s="13" t="s">
        <v>1078</v>
      </c>
      <c r="B848" s="13" t="s">
        <v>3053</v>
      </c>
      <c r="C848" s="13" t="s">
        <v>302</v>
      </c>
      <c r="D848" s="12" t="s">
        <v>298</v>
      </c>
      <c r="E848" s="12" t="s">
        <v>303</v>
      </c>
      <c r="F848" s="31" t="s">
        <v>166</v>
      </c>
      <c r="G848" s="15">
        <v>265</v>
      </c>
      <c r="H848" s="38">
        <f>합산자재!H54</f>
        <v>881</v>
      </c>
      <c r="I848" s="57">
        <f t="shared" si="150"/>
        <v>233465</v>
      </c>
      <c r="J848" s="38">
        <v>265.5</v>
      </c>
      <c r="K848" s="38">
        <f>합산자재!I54</f>
        <v>0</v>
      </c>
      <c r="L848" s="57">
        <f t="shared" si="151"/>
        <v>0</v>
      </c>
      <c r="M848" s="38">
        <f>합산자재!J54</f>
        <v>0</v>
      </c>
      <c r="N848" s="57">
        <f t="shared" si="152"/>
        <v>0</v>
      </c>
      <c r="O848" s="38">
        <f t="shared" si="153"/>
        <v>881</v>
      </c>
      <c r="P848" s="38">
        <f t="shared" si="154"/>
        <v>233465</v>
      </c>
      <c r="Q848" s="12"/>
    </row>
    <row r="849" spans="1:31" ht="23.1" customHeight="1" x14ac:dyDescent="0.15">
      <c r="A849" s="13" t="s">
        <v>1079</v>
      </c>
      <c r="B849" s="13" t="s">
        <v>3053</v>
      </c>
      <c r="C849" s="13" t="s">
        <v>304</v>
      </c>
      <c r="D849" s="12" t="s">
        <v>298</v>
      </c>
      <c r="E849" s="12" t="s">
        <v>305</v>
      </c>
      <c r="F849" s="31" t="s">
        <v>200</v>
      </c>
      <c r="G849" s="15">
        <v>88</v>
      </c>
      <c r="H849" s="38">
        <f>합산자재!H55</f>
        <v>511</v>
      </c>
      <c r="I849" s="57">
        <f t="shared" si="150"/>
        <v>44968</v>
      </c>
      <c r="J849" s="38">
        <v>88</v>
      </c>
      <c r="K849" s="38">
        <f>합산자재!I55</f>
        <v>0</v>
      </c>
      <c r="L849" s="57">
        <f t="shared" si="151"/>
        <v>0</v>
      </c>
      <c r="M849" s="38">
        <f>합산자재!J55</f>
        <v>0</v>
      </c>
      <c r="N849" s="57">
        <f t="shared" si="152"/>
        <v>0</v>
      </c>
      <c r="O849" s="38">
        <f t="shared" si="153"/>
        <v>511</v>
      </c>
      <c r="P849" s="38">
        <f t="shared" si="154"/>
        <v>44968</v>
      </c>
      <c r="Q849" s="12"/>
    </row>
    <row r="850" spans="1:31" ht="23.1" customHeight="1" x14ac:dyDescent="0.15">
      <c r="A850" s="13" t="s">
        <v>1080</v>
      </c>
      <c r="B850" s="13" t="s">
        <v>3053</v>
      </c>
      <c r="C850" s="13" t="s">
        <v>306</v>
      </c>
      <c r="D850" s="12" t="s">
        <v>298</v>
      </c>
      <c r="E850" s="12" t="s">
        <v>307</v>
      </c>
      <c r="F850" s="31" t="s">
        <v>200</v>
      </c>
      <c r="G850" s="15">
        <v>12</v>
      </c>
      <c r="H850" s="38">
        <f>합산자재!H56</f>
        <v>387</v>
      </c>
      <c r="I850" s="57">
        <f t="shared" si="150"/>
        <v>4644</v>
      </c>
      <c r="J850" s="38">
        <v>12</v>
      </c>
      <c r="K850" s="38">
        <f>합산자재!I56</f>
        <v>0</v>
      </c>
      <c r="L850" s="57">
        <f t="shared" si="151"/>
        <v>0</v>
      </c>
      <c r="M850" s="38">
        <f>합산자재!J56</f>
        <v>0</v>
      </c>
      <c r="N850" s="57">
        <f t="shared" si="152"/>
        <v>0</v>
      </c>
      <c r="O850" s="38">
        <f t="shared" si="153"/>
        <v>387</v>
      </c>
      <c r="P850" s="38">
        <f t="shared" si="154"/>
        <v>4644</v>
      </c>
      <c r="Q850" s="12"/>
    </row>
    <row r="851" spans="1:31" ht="23.1" customHeight="1" x14ac:dyDescent="0.15">
      <c r="A851" s="13" t="s">
        <v>1081</v>
      </c>
      <c r="B851" s="13" t="s">
        <v>3053</v>
      </c>
      <c r="C851" s="13" t="s">
        <v>308</v>
      </c>
      <c r="D851" s="12" t="s">
        <v>298</v>
      </c>
      <c r="E851" s="12" t="s">
        <v>309</v>
      </c>
      <c r="F851" s="31" t="s">
        <v>200</v>
      </c>
      <c r="G851" s="15">
        <v>176</v>
      </c>
      <c r="H851" s="38">
        <f>합산자재!H57</f>
        <v>432</v>
      </c>
      <c r="I851" s="57">
        <f t="shared" si="150"/>
        <v>76032</v>
      </c>
      <c r="J851" s="38">
        <v>176</v>
      </c>
      <c r="K851" s="38">
        <f>합산자재!I57</f>
        <v>0</v>
      </c>
      <c r="L851" s="57">
        <f t="shared" si="151"/>
        <v>0</v>
      </c>
      <c r="M851" s="38">
        <f>합산자재!J57</f>
        <v>0</v>
      </c>
      <c r="N851" s="57">
        <f t="shared" si="152"/>
        <v>0</v>
      </c>
      <c r="O851" s="38">
        <f t="shared" si="153"/>
        <v>432</v>
      </c>
      <c r="P851" s="38">
        <f t="shared" si="154"/>
        <v>76032</v>
      </c>
      <c r="Q851" s="12"/>
    </row>
    <row r="852" spans="1:31" ht="23.1" customHeight="1" x14ac:dyDescent="0.15">
      <c r="A852" s="13" t="s">
        <v>1867</v>
      </c>
      <c r="B852" s="13" t="s">
        <v>3053</v>
      </c>
      <c r="C852" s="13" t="s">
        <v>1868</v>
      </c>
      <c r="D852" s="12" t="s">
        <v>298</v>
      </c>
      <c r="E852" s="12" t="s">
        <v>311</v>
      </c>
      <c r="F852" s="31" t="s">
        <v>200</v>
      </c>
      <c r="G852" s="15">
        <v>7</v>
      </c>
      <c r="H852" s="38">
        <f>일대목차!I61</f>
        <v>1198</v>
      </c>
      <c r="I852" s="57">
        <f t="shared" si="150"/>
        <v>8386</v>
      </c>
      <c r="J852" s="38">
        <v>7</v>
      </c>
      <c r="K852" s="38">
        <f>일대목차!L61</f>
        <v>10947</v>
      </c>
      <c r="L852" s="57">
        <f t="shared" si="151"/>
        <v>76629</v>
      </c>
      <c r="M852" s="38">
        <f>일대목차!N61</f>
        <v>0</v>
      </c>
      <c r="N852" s="57">
        <f t="shared" si="152"/>
        <v>0</v>
      </c>
      <c r="O852" s="38">
        <f t="shared" si="153"/>
        <v>12145</v>
      </c>
      <c r="P852" s="38">
        <f t="shared" si="154"/>
        <v>85015</v>
      </c>
      <c r="Q852" s="12" t="s">
        <v>1869</v>
      </c>
      <c r="AE852" s="35">
        <f>L852</f>
        <v>76629</v>
      </c>
    </row>
    <row r="853" spans="1:31" ht="23.1" customHeight="1" x14ac:dyDescent="0.15">
      <c r="A853" s="13" t="s">
        <v>1083</v>
      </c>
      <c r="B853" s="13" t="s">
        <v>3053</v>
      </c>
      <c r="C853" s="13" t="s">
        <v>312</v>
      </c>
      <c r="D853" s="12" t="s">
        <v>298</v>
      </c>
      <c r="E853" s="12" t="s">
        <v>313</v>
      </c>
      <c r="F853" s="31" t="s">
        <v>200</v>
      </c>
      <c r="G853" s="15">
        <v>110</v>
      </c>
      <c r="H853" s="38">
        <f>합산자재!H59</f>
        <v>360</v>
      </c>
      <c r="I853" s="57">
        <f t="shared" si="150"/>
        <v>39600</v>
      </c>
      <c r="J853" s="38">
        <v>110</v>
      </c>
      <c r="K853" s="38">
        <f>합산자재!I59</f>
        <v>0</v>
      </c>
      <c r="L853" s="57">
        <f t="shared" si="151"/>
        <v>0</v>
      </c>
      <c r="M853" s="38">
        <f>합산자재!J59</f>
        <v>0</v>
      </c>
      <c r="N853" s="57">
        <f t="shared" si="152"/>
        <v>0</v>
      </c>
      <c r="O853" s="38">
        <f t="shared" si="153"/>
        <v>360</v>
      </c>
      <c r="P853" s="38">
        <f t="shared" si="154"/>
        <v>39600</v>
      </c>
      <c r="Q853" s="12"/>
    </row>
    <row r="854" spans="1:31" ht="23.1" customHeight="1" x14ac:dyDescent="0.15">
      <c r="A854" s="13" t="s">
        <v>1870</v>
      </c>
      <c r="B854" s="13" t="s">
        <v>3053</v>
      </c>
      <c r="C854" s="13" t="s">
        <v>1871</v>
      </c>
      <c r="D854" s="12" t="s">
        <v>298</v>
      </c>
      <c r="E854" s="12" t="s">
        <v>315</v>
      </c>
      <c r="F854" s="31" t="s">
        <v>200</v>
      </c>
      <c r="G854" s="15">
        <v>21</v>
      </c>
      <c r="H854" s="38">
        <f>일대목차!I62</f>
        <v>2552</v>
      </c>
      <c r="I854" s="57">
        <f t="shared" si="150"/>
        <v>53592</v>
      </c>
      <c r="J854" s="38">
        <v>21</v>
      </c>
      <c r="K854" s="38">
        <f>일대목차!L62</f>
        <v>10947</v>
      </c>
      <c r="L854" s="57">
        <f t="shared" si="151"/>
        <v>229887</v>
      </c>
      <c r="M854" s="38">
        <f>일대목차!N62</f>
        <v>0</v>
      </c>
      <c r="N854" s="57">
        <f t="shared" si="152"/>
        <v>0</v>
      </c>
      <c r="O854" s="38">
        <f t="shared" si="153"/>
        <v>13499</v>
      </c>
      <c r="P854" s="38">
        <f t="shared" si="154"/>
        <v>283479</v>
      </c>
      <c r="Q854" s="12" t="s">
        <v>1872</v>
      </c>
      <c r="AE854" s="35">
        <f t="shared" ref="AE854:AE870" si="155">L854</f>
        <v>229887</v>
      </c>
    </row>
    <row r="855" spans="1:31" ht="23.1" customHeight="1" x14ac:dyDescent="0.15">
      <c r="A855" s="13" t="s">
        <v>1900</v>
      </c>
      <c r="B855" s="13" t="s">
        <v>3053</v>
      </c>
      <c r="C855" s="13" t="s">
        <v>1901</v>
      </c>
      <c r="D855" s="12" t="s">
        <v>397</v>
      </c>
      <c r="E855" s="12" t="s">
        <v>398</v>
      </c>
      <c r="F855" s="31" t="s">
        <v>166</v>
      </c>
      <c r="G855" s="15">
        <v>5</v>
      </c>
      <c r="H855" s="38">
        <f>일대목차!I72</f>
        <v>411</v>
      </c>
      <c r="I855" s="57">
        <f t="shared" si="150"/>
        <v>2055</v>
      </c>
      <c r="J855" s="38">
        <v>5</v>
      </c>
      <c r="K855" s="38">
        <f>일대목차!L72</f>
        <v>2353</v>
      </c>
      <c r="L855" s="57">
        <f t="shared" si="151"/>
        <v>11765</v>
      </c>
      <c r="M855" s="38">
        <f>일대목차!N72</f>
        <v>0</v>
      </c>
      <c r="N855" s="57">
        <f t="shared" si="152"/>
        <v>0</v>
      </c>
      <c r="O855" s="38">
        <f t="shared" si="153"/>
        <v>2764</v>
      </c>
      <c r="P855" s="38">
        <f t="shared" si="154"/>
        <v>13820</v>
      </c>
      <c r="Q855" s="12" t="s">
        <v>1902</v>
      </c>
      <c r="AC855" s="35">
        <f>G855*H855</f>
        <v>2055</v>
      </c>
      <c r="AE855" s="35">
        <f t="shared" si="155"/>
        <v>11765</v>
      </c>
    </row>
    <row r="856" spans="1:31" ht="23.1" customHeight="1" x14ac:dyDescent="0.15">
      <c r="A856" s="13" t="s">
        <v>1903</v>
      </c>
      <c r="B856" s="13" t="s">
        <v>3053</v>
      </c>
      <c r="C856" s="13" t="s">
        <v>1904</v>
      </c>
      <c r="D856" s="12" t="s">
        <v>397</v>
      </c>
      <c r="E856" s="12" t="s">
        <v>404</v>
      </c>
      <c r="F856" s="31" t="s">
        <v>166</v>
      </c>
      <c r="G856" s="15">
        <v>4208</v>
      </c>
      <c r="H856" s="38">
        <f>일대목차!I73</f>
        <v>590</v>
      </c>
      <c r="I856" s="57">
        <f t="shared" si="150"/>
        <v>2482720</v>
      </c>
      <c r="J856" s="38">
        <v>4208</v>
      </c>
      <c r="K856" s="38">
        <f>일대목차!L73</f>
        <v>2353</v>
      </c>
      <c r="L856" s="57">
        <f t="shared" si="151"/>
        <v>9901424</v>
      </c>
      <c r="M856" s="38">
        <f>일대목차!N73</f>
        <v>0</v>
      </c>
      <c r="N856" s="57">
        <f t="shared" si="152"/>
        <v>0</v>
      </c>
      <c r="O856" s="38">
        <f t="shared" si="153"/>
        <v>2943</v>
      </c>
      <c r="P856" s="38">
        <f t="shared" si="154"/>
        <v>12384144</v>
      </c>
      <c r="Q856" s="12" t="s">
        <v>1905</v>
      </c>
      <c r="AC856" s="35">
        <f>G856*H856</f>
        <v>2482720</v>
      </c>
      <c r="AE856" s="35">
        <f t="shared" si="155"/>
        <v>9901424</v>
      </c>
    </row>
    <row r="857" spans="1:31" ht="23.1" customHeight="1" x14ac:dyDescent="0.15">
      <c r="A857" s="13" t="s">
        <v>2017</v>
      </c>
      <c r="B857" s="13" t="s">
        <v>3053</v>
      </c>
      <c r="C857" s="13" t="s">
        <v>2018</v>
      </c>
      <c r="D857" s="12" t="s">
        <v>508</v>
      </c>
      <c r="E857" s="12" t="s">
        <v>509</v>
      </c>
      <c r="F857" s="31" t="s">
        <v>200</v>
      </c>
      <c r="G857" s="15">
        <v>6</v>
      </c>
      <c r="H857" s="38">
        <f>일대목차!I111</f>
        <v>1789</v>
      </c>
      <c r="I857" s="57">
        <f t="shared" si="150"/>
        <v>10734</v>
      </c>
      <c r="J857" s="38">
        <v>6</v>
      </c>
      <c r="K857" s="38">
        <f>일대목차!L111</f>
        <v>23262</v>
      </c>
      <c r="L857" s="57">
        <f t="shared" si="151"/>
        <v>139572</v>
      </c>
      <c r="M857" s="38">
        <f>일대목차!N111</f>
        <v>0</v>
      </c>
      <c r="N857" s="57">
        <f t="shared" si="152"/>
        <v>0</v>
      </c>
      <c r="O857" s="38">
        <f t="shared" si="153"/>
        <v>25051</v>
      </c>
      <c r="P857" s="38">
        <f t="shared" si="154"/>
        <v>150306</v>
      </c>
      <c r="Q857" s="12" t="s">
        <v>2019</v>
      </c>
      <c r="AE857" s="35">
        <f t="shared" si="155"/>
        <v>139572</v>
      </c>
    </row>
    <row r="858" spans="1:31" ht="23.1" customHeight="1" x14ac:dyDescent="0.15">
      <c r="A858" s="13" t="s">
        <v>2020</v>
      </c>
      <c r="B858" s="13" t="s">
        <v>3053</v>
      </c>
      <c r="C858" s="13" t="s">
        <v>2021</v>
      </c>
      <c r="D858" s="12" t="s">
        <v>508</v>
      </c>
      <c r="E858" s="12" t="s">
        <v>515</v>
      </c>
      <c r="F858" s="31" t="s">
        <v>200</v>
      </c>
      <c r="G858" s="15">
        <v>5</v>
      </c>
      <c r="H858" s="38">
        <f>일대목차!I112</f>
        <v>2318</v>
      </c>
      <c r="I858" s="57">
        <f t="shared" si="150"/>
        <v>11590</v>
      </c>
      <c r="J858" s="38">
        <v>5</v>
      </c>
      <c r="K858" s="38">
        <f>일대목차!L112</f>
        <v>23262</v>
      </c>
      <c r="L858" s="57">
        <f t="shared" si="151"/>
        <v>116310</v>
      </c>
      <c r="M858" s="38">
        <f>일대목차!N112</f>
        <v>0</v>
      </c>
      <c r="N858" s="57">
        <f t="shared" si="152"/>
        <v>0</v>
      </c>
      <c r="O858" s="38">
        <f t="shared" si="153"/>
        <v>25580</v>
      </c>
      <c r="P858" s="38">
        <f t="shared" si="154"/>
        <v>127900</v>
      </c>
      <c r="Q858" s="12" t="s">
        <v>2022</v>
      </c>
      <c r="AE858" s="35">
        <f t="shared" si="155"/>
        <v>116310</v>
      </c>
    </row>
    <row r="859" spans="1:31" ht="23.1" customHeight="1" x14ac:dyDescent="0.15">
      <c r="A859" s="13" t="s">
        <v>2023</v>
      </c>
      <c r="B859" s="13" t="s">
        <v>3053</v>
      </c>
      <c r="C859" s="13" t="s">
        <v>2024</v>
      </c>
      <c r="D859" s="12" t="s">
        <v>508</v>
      </c>
      <c r="E859" s="12" t="s">
        <v>517</v>
      </c>
      <c r="F859" s="31" t="s">
        <v>200</v>
      </c>
      <c r="G859" s="15">
        <v>3</v>
      </c>
      <c r="H859" s="38">
        <f>일대목차!I113</f>
        <v>2860</v>
      </c>
      <c r="I859" s="57">
        <f t="shared" si="150"/>
        <v>8580</v>
      </c>
      <c r="J859" s="38">
        <v>3</v>
      </c>
      <c r="K859" s="38">
        <f>일대목차!L113</f>
        <v>23262</v>
      </c>
      <c r="L859" s="57">
        <f t="shared" si="151"/>
        <v>69786</v>
      </c>
      <c r="M859" s="38">
        <f>일대목차!N113</f>
        <v>0</v>
      </c>
      <c r="N859" s="57">
        <f t="shared" si="152"/>
        <v>0</v>
      </c>
      <c r="O859" s="38">
        <f t="shared" si="153"/>
        <v>26122</v>
      </c>
      <c r="P859" s="38">
        <f t="shared" si="154"/>
        <v>78366</v>
      </c>
      <c r="Q859" s="12" t="s">
        <v>2025</v>
      </c>
      <c r="AE859" s="35">
        <f t="shared" si="155"/>
        <v>69786</v>
      </c>
    </row>
    <row r="860" spans="1:31" ht="23.1" customHeight="1" x14ac:dyDescent="0.15">
      <c r="A860" s="13" t="s">
        <v>2032</v>
      </c>
      <c r="B860" s="13" t="s">
        <v>3053</v>
      </c>
      <c r="C860" s="13" t="s">
        <v>2033</v>
      </c>
      <c r="D860" s="12" t="s">
        <v>519</v>
      </c>
      <c r="E860" s="12" t="s">
        <v>526</v>
      </c>
      <c r="F860" s="31" t="s">
        <v>200</v>
      </c>
      <c r="G860" s="15">
        <v>2</v>
      </c>
      <c r="H860" s="38">
        <f>일대목차!I116</f>
        <v>1372</v>
      </c>
      <c r="I860" s="57">
        <f t="shared" si="150"/>
        <v>2744</v>
      </c>
      <c r="J860" s="38">
        <v>2</v>
      </c>
      <c r="K860" s="38">
        <f>일대목차!L116</f>
        <v>21894</v>
      </c>
      <c r="L860" s="57">
        <f t="shared" si="151"/>
        <v>43788</v>
      </c>
      <c r="M860" s="38">
        <f>일대목차!N116</f>
        <v>0</v>
      </c>
      <c r="N860" s="57">
        <f t="shared" si="152"/>
        <v>0</v>
      </c>
      <c r="O860" s="38">
        <f t="shared" si="153"/>
        <v>23266</v>
      </c>
      <c r="P860" s="38">
        <f t="shared" si="154"/>
        <v>46532</v>
      </c>
      <c r="Q860" s="12" t="s">
        <v>2034</v>
      </c>
      <c r="AE860" s="35">
        <f t="shared" si="155"/>
        <v>43788</v>
      </c>
    </row>
    <row r="861" spans="1:31" ht="23.1" customHeight="1" x14ac:dyDescent="0.15">
      <c r="A861" s="13" t="s">
        <v>1764</v>
      </c>
      <c r="B861" s="13" t="s">
        <v>3053</v>
      </c>
      <c r="C861" s="13" t="s">
        <v>1765</v>
      </c>
      <c r="D861" s="12" t="s">
        <v>1767</v>
      </c>
      <c r="E861" s="12"/>
      <c r="F861" s="31" t="s">
        <v>554</v>
      </c>
      <c r="G861" s="15">
        <v>70</v>
      </c>
      <c r="H861" s="38">
        <f>일대목차!I29</f>
        <v>224</v>
      </c>
      <c r="I861" s="57">
        <f t="shared" si="150"/>
        <v>15680</v>
      </c>
      <c r="J861" s="38">
        <v>70</v>
      </c>
      <c r="K861" s="38">
        <f>일대목차!L29</f>
        <v>11220</v>
      </c>
      <c r="L861" s="57">
        <f t="shared" si="151"/>
        <v>785400</v>
      </c>
      <c r="M861" s="38">
        <f>일대목차!N29</f>
        <v>0</v>
      </c>
      <c r="N861" s="57">
        <f t="shared" si="152"/>
        <v>0</v>
      </c>
      <c r="O861" s="38">
        <f t="shared" si="153"/>
        <v>11444</v>
      </c>
      <c r="P861" s="38">
        <f t="shared" si="154"/>
        <v>801080</v>
      </c>
      <c r="Q861" s="12" t="s">
        <v>1766</v>
      </c>
      <c r="AE861" s="35">
        <f t="shared" si="155"/>
        <v>785400</v>
      </c>
    </row>
    <row r="862" spans="1:31" ht="23.1" customHeight="1" x14ac:dyDescent="0.15">
      <c r="A862" s="13" t="s">
        <v>2125</v>
      </c>
      <c r="B862" s="13" t="s">
        <v>3053</v>
      </c>
      <c r="C862" s="13" t="s">
        <v>2126</v>
      </c>
      <c r="D862" s="12" t="s">
        <v>708</v>
      </c>
      <c r="E862" s="12" t="s">
        <v>709</v>
      </c>
      <c r="F862" s="31" t="s">
        <v>710</v>
      </c>
      <c r="G862" s="15">
        <v>2</v>
      </c>
      <c r="H862" s="38">
        <f>일대목차!I147</f>
        <v>51313</v>
      </c>
      <c r="I862" s="57">
        <f t="shared" si="150"/>
        <v>102626</v>
      </c>
      <c r="J862" s="38">
        <v>2</v>
      </c>
      <c r="K862" s="38">
        <f>일대목차!L147</f>
        <v>65682</v>
      </c>
      <c r="L862" s="57">
        <f t="shared" si="151"/>
        <v>131364</v>
      </c>
      <c r="M862" s="38">
        <f>일대목차!N147</f>
        <v>0</v>
      </c>
      <c r="N862" s="57">
        <f t="shared" si="152"/>
        <v>0</v>
      </c>
      <c r="O862" s="38">
        <f t="shared" si="153"/>
        <v>116995</v>
      </c>
      <c r="P862" s="38">
        <f t="shared" si="154"/>
        <v>233990</v>
      </c>
      <c r="Q862" s="12" t="s">
        <v>2127</v>
      </c>
      <c r="AE862" s="35">
        <f t="shared" si="155"/>
        <v>131364</v>
      </c>
    </row>
    <row r="863" spans="1:31" ht="23.1" customHeight="1" x14ac:dyDescent="0.15">
      <c r="A863" s="13" t="s">
        <v>2275</v>
      </c>
      <c r="B863" s="13" t="s">
        <v>3053</v>
      </c>
      <c r="C863" s="13" t="s">
        <v>2276</v>
      </c>
      <c r="D863" s="12" t="s">
        <v>931</v>
      </c>
      <c r="E863" s="12" t="s">
        <v>932</v>
      </c>
      <c r="F863" s="31" t="s">
        <v>710</v>
      </c>
      <c r="G863" s="15">
        <v>8</v>
      </c>
      <c r="H863" s="38">
        <f>일대목차!I197</f>
        <v>1226</v>
      </c>
      <c r="I863" s="57">
        <f t="shared" si="150"/>
        <v>9808</v>
      </c>
      <c r="J863" s="38">
        <v>8</v>
      </c>
      <c r="K863" s="38">
        <f>일대목차!L197</f>
        <v>61303</v>
      </c>
      <c r="L863" s="57">
        <f t="shared" si="151"/>
        <v>490424</v>
      </c>
      <c r="M863" s="38">
        <f>일대목차!N197</f>
        <v>0</v>
      </c>
      <c r="N863" s="57">
        <f t="shared" si="152"/>
        <v>0</v>
      </c>
      <c r="O863" s="38">
        <f t="shared" si="153"/>
        <v>62529</v>
      </c>
      <c r="P863" s="38">
        <f t="shared" si="154"/>
        <v>500232</v>
      </c>
      <c r="Q863" s="12" t="s">
        <v>2277</v>
      </c>
      <c r="AE863" s="35">
        <f t="shared" si="155"/>
        <v>490424</v>
      </c>
    </row>
    <row r="864" spans="1:31" ht="23.1" customHeight="1" x14ac:dyDescent="0.15">
      <c r="A864" s="13" t="s">
        <v>2278</v>
      </c>
      <c r="B864" s="13" t="s">
        <v>3053</v>
      </c>
      <c r="C864" s="13" t="s">
        <v>2279</v>
      </c>
      <c r="D864" s="12" t="s">
        <v>934</v>
      </c>
      <c r="E864" s="12" t="s">
        <v>935</v>
      </c>
      <c r="F864" s="31" t="s">
        <v>710</v>
      </c>
      <c r="G864" s="15">
        <v>55</v>
      </c>
      <c r="H864" s="38">
        <f>일대목차!I198</f>
        <v>1083</v>
      </c>
      <c r="I864" s="57">
        <f t="shared" si="150"/>
        <v>59565</v>
      </c>
      <c r="J864" s="38">
        <v>55</v>
      </c>
      <c r="K864" s="38">
        <f>일대목차!L198</f>
        <v>54187</v>
      </c>
      <c r="L864" s="57">
        <f t="shared" si="151"/>
        <v>2980285</v>
      </c>
      <c r="M864" s="38">
        <f>일대목차!N198</f>
        <v>0</v>
      </c>
      <c r="N864" s="57">
        <f t="shared" si="152"/>
        <v>0</v>
      </c>
      <c r="O864" s="38">
        <f t="shared" si="153"/>
        <v>55270</v>
      </c>
      <c r="P864" s="38">
        <f t="shared" si="154"/>
        <v>3039850</v>
      </c>
      <c r="Q864" s="12" t="s">
        <v>2280</v>
      </c>
      <c r="AE864" s="35">
        <f t="shared" si="155"/>
        <v>2980285</v>
      </c>
    </row>
    <row r="865" spans="1:31" ht="23.1" customHeight="1" x14ac:dyDescent="0.15">
      <c r="A865" s="13" t="s">
        <v>2281</v>
      </c>
      <c r="B865" s="13" t="s">
        <v>3053</v>
      </c>
      <c r="C865" s="13" t="s">
        <v>2282</v>
      </c>
      <c r="D865" s="12" t="s">
        <v>937</v>
      </c>
      <c r="E865" s="12" t="s">
        <v>938</v>
      </c>
      <c r="F865" s="31" t="s">
        <v>710</v>
      </c>
      <c r="G865" s="15">
        <v>18</v>
      </c>
      <c r="H865" s="38">
        <f>일대목차!I199</f>
        <v>1138</v>
      </c>
      <c r="I865" s="57">
        <f t="shared" si="150"/>
        <v>20484</v>
      </c>
      <c r="J865" s="38">
        <v>18</v>
      </c>
      <c r="K865" s="38">
        <f>일대목차!L199</f>
        <v>56924</v>
      </c>
      <c r="L865" s="57">
        <f t="shared" si="151"/>
        <v>1024632</v>
      </c>
      <c r="M865" s="38">
        <f>일대목차!N199</f>
        <v>0</v>
      </c>
      <c r="N865" s="57">
        <f t="shared" si="152"/>
        <v>0</v>
      </c>
      <c r="O865" s="38">
        <f t="shared" si="153"/>
        <v>58062</v>
      </c>
      <c r="P865" s="38">
        <f t="shared" si="154"/>
        <v>1045116</v>
      </c>
      <c r="Q865" s="12" t="s">
        <v>2283</v>
      </c>
      <c r="AE865" s="35">
        <f t="shared" si="155"/>
        <v>1024632</v>
      </c>
    </row>
    <row r="866" spans="1:31" ht="23.1" customHeight="1" x14ac:dyDescent="0.15">
      <c r="A866" s="13" t="s">
        <v>2284</v>
      </c>
      <c r="B866" s="13" t="s">
        <v>3053</v>
      </c>
      <c r="C866" s="13" t="s">
        <v>2285</v>
      </c>
      <c r="D866" s="12" t="s">
        <v>940</v>
      </c>
      <c r="E866" s="12" t="s">
        <v>755</v>
      </c>
      <c r="F866" s="31" t="s">
        <v>710</v>
      </c>
      <c r="G866" s="15">
        <v>2</v>
      </c>
      <c r="H866" s="38">
        <f>일대목차!I200</f>
        <v>1291</v>
      </c>
      <c r="I866" s="57">
        <f t="shared" si="150"/>
        <v>2582</v>
      </c>
      <c r="J866" s="38">
        <v>2</v>
      </c>
      <c r="K866" s="38">
        <f>일대목차!L200</f>
        <v>64587</v>
      </c>
      <c r="L866" s="57">
        <f t="shared" si="151"/>
        <v>129174</v>
      </c>
      <c r="M866" s="38">
        <f>일대목차!N200</f>
        <v>0</v>
      </c>
      <c r="N866" s="57">
        <f t="shared" si="152"/>
        <v>0</v>
      </c>
      <c r="O866" s="38">
        <f t="shared" si="153"/>
        <v>65878</v>
      </c>
      <c r="P866" s="38">
        <f t="shared" si="154"/>
        <v>131756</v>
      </c>
      <c r="Q866" s="12" t="s">
        <v>2286</v>
      </c>
      <c r="AE866" s="35">
        <f t="shared" si="155"/>
        <v>129174</v>
      </c>
    </row>
    <row r="867" spans="1:31" ht="23.1" customHeight="1" x14ac:dyDescent="0.15">
      <c r="A867" s="13" t="s">
        <v>2287</v>
      </c>
      <c r="B867" s="13" t="s">
        <v>3053</v>
      </c>
      <c r="C867" s="13" t="s">
        <v>2288</v>
      </c>
      <c r="D867" s="12" t="s">
        <v>942</v>
      </c>
      <c r="E867" s="12" t="s">
        <v>760</v>
      </c>
      <c r="F867" s="31" t="s">
        <v>710</v>
      </c>
      <c r="G867" s="15">
        <v>63</v>
      </c>
      <c r="H867" s="38">
        <f>일대목차!I201</f>
        <v>760</v>
      </c>
      <c r="I867" s="57">
        <f t="shared" si="150"/>
        <v>47880</v>
      </c>
      <c r="J867" s="38">
        <v>63</v>
      </c>
      <c r="K867" s="38">
        <f>일대목차!L201</f>
        <v>38040</v>
      </c>
      <c r="L867" s="57">
        <f t="shared" si="151"/>
        <v>2396520</v>
      </c>
      <c r="M867" s="38">
        <f>일대목차!N201</f>
        <v>0</v>
      </c>
      <c r="N867" s="57">
        <f t="shared" si="152"/>
        <v>0</v>
      </c>
      <c r="O867" s="38">
        <f t="shared" si="153"/>
        <v>38800</v>
      </c>
      <c r="P867" s="38">
        <f t="shared" si="154"/>
        <v>2444400</v>
      </c>
      <c r="Q867" s="12" t="s">
        <v>2289</v>
      </c>
      <c r="AE867" s="35">
        <f t="shared" si="155"/>
        <v>2396520</v>
      </c>
    </row>
    <row r="868" spans="1:31" ht="23.1" customHeight="1" x14ac:dyDescent="0.15">
      <c r="A868" s="13" t="s">
        <v>2290</v>
      </c>
      <c r="B868" s="13" t="s">
        <v>3053</v>
      </c>
      <c r="C868" s="13" t="s">
        <v>2291</v>
      </c>
      <c r="D868" s="12" t="s">
        <v>944</v>
      </c>
      <c r="E868" s="12" t="s">
        <v>762</v>
      </c>
      <c r="F868" s="31" t="s">
        <v>710</v>
      </c>
      <c r="G868" s="15">
        <v>7</v>
      </c>
      <c r="H868" s="38">
        <f>일대목차!I202</f>
        <v>760</v>
      </c>
      <c r="I868" s="57">
        <f t="shared" si="150"/>
        <v>5320</v>
      </c>
      <c r="J868" s="38">
        <v>7</v>
      </c>
      <c r="K868" s="38">
        <f>일대목차!L202</f>
        <v>38040</v>
      </c>
      <c r="L868" s="57">
        <f t="shared" si="151"/>
        <v>266280</v>
      </c>
      <c r="M868" s="38">
        <f>일대목차!N202</f>
        <v>0</v>
      </c>
      <c r="N868" s="57">
        <f t="shared" si="152"/>
        <v>0</v>
      </c>
      <c r="O868" s="38">
        <f t="shared" si="153"/>
        <v>38800</v>
      </c>
      <c r="P868" s="38">
        <f t="shared" si="154"/>
        <v>271600</v>
      </c>
      <c r="Q868" s="12" t="s">
        <v>2292</v>
      </c>
      <c r="AE868" s="35">
        <f t="shared" si="155"/>
        <v>266280</v>
      </c>
    </row>
    <row r="869" spans="1:31" ht="23.1" customHeight="1" x14ac:dyDescent="0.15">
      <c r="A869" s="13" t="s">
        <v>2293</v>
      </c>
      <c r="B869" s="13" t="s">
        <v>3053</v>
      </c>
      <c r="C869" s="13" t="s">
        <v>2294</v>
      </c>
      <c r="D869" s="12" t="s">
        <v>946</v>
      </c>
      <c r="E869" s="12" t="s">
        <v>947</v>
      </c>
      <c r="F869" s="31" t="s">
        <v>710</v>
      </c>
      <c r="G869" s="15">
        <v>8</v>
      </c>
      <c r="H869" s="38">
        <f>일대목차!I203</f>
        <v>574</v>
      </c>
      <c r="I869" s="57">
        <f t="shared" si="150"/>
        <v>4592</v>
      </c>
      <c r="J869" s="38">
        <v>8</v>
      </c>
      <c r="K869" s="38">
        <f>일대목차!L203</f>
        <v>28735</v>
      </c>
      <c r="L869" s="57">
        <f t="shared" si="151"/>
        <v>229880</v>
      </c>
      <c r="M869" s="38">
        <f>일대목차!N203</f>
        <v>0</v>
      </c>
      <c r="N869" s="57">
        <f t="shared" si="152"/>
        <v>0</v>
      </c>
      <c r="O869" s="38">
        <f t="shared" si="153"/>
        <v>29309</v>
      </c>
      <c r="P869" s="38">
        <f t="shared" si="154"/>
        <v>234472</v>
      </c>
      <c r="Q869" s="12" t="s">
        <v>2295</v>
      </c>
      <c r="AE869" s="35">
        <f t="shared" si="155"/>
        <v>229880</v>
      </c>
    </row>
    <row r="870" spans="1:31" ht="23.1" customHeight="1" x14ac:dyDescent="0.15">
      <c r="A870" s="13" t="s">
        <v>2305</v>
      </c>
      <c r="B870" s="13" t="s">
        <v>3053</v>
      </c>
      <c r="C870" s="13" t="s">
        <v>2306</v>
      </c>
      <c r="D870" s="12" t="s">
        <v>959</v>
      </c>
      <c r="E870" s="12" t="s">
        <v>764</v>
      </c>
      <c r="F870" s="31" t="s">
        <v>710</v>
      </c>
      <c r="G870" s="15">
        <v>26</v>
      </c>
      <c r="H870" s="38">
        <f>일대목차!I207</f>
        <v>574</v>
      </c>
      <c r="I870" s="57">
        <f t="shared" si="150"/>
        <v>14924</v>
      </c>
      <c r="J870" s="38">
        <v>26</v>
      </c>
      <c r="K870" s="38">
        <f>일대목차!L207</f>
        <v>28735</v>
      </c>
      <c r="L870" s="57">
        <f t="shared" si="151"/>
        <v>747110</v>
      </c>
      <c r="M870" s="38">
        <f>일대목차!N207</f>
        <v>0</v>
      </c>
      <c r="N870" s="57">
        <f t="shared" si="152"/>
        <v>0</v>
      </c>
      <c r="O870" s="38">
        <f t="shared" si="153"/>
        <v>29309</v>
      </c>
      <c r="P870" s="38">
        <f t="shared" si="154"/>
        <v>762034</v>
      </c>
      <c r="Q870" s="12" t="s">
        <v>2307</v>
      </c>
      <c r="AE870" s="35">
        <f t="shared" si="155"/>
        <v>747110</v>
      </c>
    </row>
    <row r="871" spans="1:31" ht="23.1" customHeight="1" x14ac:dyDescent="0.15">
      <c r="D871" s="12"/>
      <c r="E871" s="12"/>
      <c r="F871" s="31"/>
      <c r="G871" s="15"/>
      <c r="H871" s="38"/>
      <c r="I871" s="57"/>
      <c r="J871" s="38"/>
      <c r="K871" s="38"/>
      <c r="L871" s="57"/>
      <c r="M871" s="38"/>
      <c r="N871" s="57"/>
      <c r="O871" s="38"/>
      <c r="P871" s="38"/>
      <c r="Q871" s="12"/>
      <c r="AE871" s="35">
        <f>TRUNC(SUM(AE836:AE870))</f>
        <v>48170342</v>
      </c>
    </row>
    <row r="872" spans="1:31" ht="23.1" customHeight="1" x14ac:dyDescent="0.15">
      <c r="D872" s="12"/>
      <c r="E872" s="12"/>
      <c r="F872" s="31"/>
      <c r="G872" s="15"/>
      <c r="H872" s="38"/>
      <c r="I872" s="57"/>
      <c r="J872" s="38"/>
      <c r="K872" s="38"/>
      <c r="L872" s="57"/>
      <c r="M872" s="38"/>
      <c r="N872" s="57"/>
      <c r="O872" s="38"/>
      <c r="P872" s="38"/>
      <c r="Q872" s="12"/>
    </row>
    <row r="873" spans="1:31" ht="23.1" customHeight="1" x14ac:dyDescent="0.15">
      <c r="D873" s="12"/>
      <c r="E873" s="12"/>
      <c r="F873" s="31"/>
      <c r="G873" s="15"/>
      <c r="H873" s="38"/>
      <c r="I873" s="57"/>
      <c r="J873" s="38"/>
      <c r="K873" s="38"/>
      <c r="L873" s="57"/>
      <c r="M873" s="38"/>
      <c r="N873" s="57"/>
      <c r="O873" s="38"/>
      <c r="P873" s="38"/>
      <c r="Q873" s="12"/>
    </row>
    <row r="874" spans="1:31" ht="23.1" customHeight="1" x14ac:dyDescent="0.15">
      <c r="D874" s="12"/>
      <c r="E874" s="12"/>
      <c r="F874" s="31"/>
      <c r="G874" s="15"/>
      <c r="H874" s="38"/>
      <c r="I874" s="57"/>
      <c r="J874" s="38"/>
      <c r="K874" s="38"/>
      <c r="L874" s="57"/>
      <c r="M874" s="38"/>
      <c r="N874" s="57"/>
      <c r="O874" s="38"/>
      <c r="P874" s="38"/>
      <c r="Q874" s="12"/>
    </row>
    <row r="875" spans="1:31" ht="23.1" customHeight="1" x14ac:dyDescent="0.15">
      <c r="D875" s="12"/>
      <c r="E875" s="12"/>
      <c r="F875" s="31"/>
      <c r="G875" s="15"/>
      <c r="H875" s="38"/>
      <c r="I875" s="57"/>
      <c r="J875" s="38"/>
      <c r="K875" s="38"/>
      <c r="L875" s="57"/>
      <c r="M875" s="38"/>
      <c r="N875" s="57"/>
      <c r="O875" s="38"/>
      <c r="P875" s="38"/>
      <c r="Q875" s="12"/>
    </row>
    <row r="876" spans="1:31" ht="23.1" customHeight="1" x14ac:dyDescent="0.15">
      <c r="D876" s="12"/>
      <c r="E876" s="12"/>
      <c r="F876" s="31"/>
      <c r="G876" s="15"/>
      <c r="H876" s="38"/>
      <c r="I876" s="57"/>
      <c r="J876" s="38"/>
      <c r="K876" s="38"/>
      <c r="L876" s="57"/>
      <c r="M876" s="38"/>
      <c r="N876" s="57"/>
      <c r="O876" s="38"/>
      <c r="P876" s="38"/>
      <c r="Q876" s="12"/>
    </row>
    <row r="877" spans="1:31" ht="23.1" customHeight="1" x14ac:dyDescent="0.15">
      <c r="D877" s="12"/>
      <c r="E877" s="12"/>
      <c r="F877" s="31"/>
      <c r="G877" s="15"/>
      <c r="H877" s="38"/>
      <c r="I877" s="57"/>
      <c r="J877" s="38"/>
      <c r="K877" s="38"/>
      <c r="L877" s="57"/>
      <c r="M877" s="38"/>
      <c r="N877" s="57"/>
      <c r="O877" s="38"/>
      <c r="P877" s="38"/>
      <c r="Q877" s="12"/>
    </row>
    <row r="878" spans="1:31" ht="23.1" customHeight="1" x14ac:dyDescent="0.15">
      <c r="D878" s="12"/>
      <c r="E878" s="12"/>
      <c r="F878" s="31"/>
      <c r="G878" s="15"/>
      <c r="H878" s="38"/>
      <c r="I878" s="57"/>
      <c r="J878" s="38"/>
      <c r="K878" s="38"/>
      <c r="L878" s="57"/>
      <c r="M878" s="38"/>
      <c r="N878" s="57"/>
      <c r="O878" s="38"/>
      <c r="P878" s="38"/>
      <c r="Q878" s="12"/>
    </row>
    <row r="879" spans="1:31" ht="23.1" customHeight="1" x14ac:dyDescent="0.15">
      <c r="D879" s="12"/>
      <c r="E879" s="12"/>
      <c r="F879" s="31"/>
      <c r="G879" s="15"/>
      <c r="H879" s="38"/>
      <c r="I879" s="57"/>
      <c r="J879" s="38"/>
      <c r="K879" s="38"/>
      <c r="L879" s="57"/>
      <c r="M879" s="38"/>
      <c r="N879" s="57"/>
      <c r="O879" s="38"/>
      <c r="P879" s="38"/>
      <c r="Q879" s="12"/>
    </row>
    <row r="880" spans="1:31" ht="23.1" customHeight="1" x14ac:dyDescent="0.15">
      <c r="D880" s="12"/>
      <c r="E880" s="12"/>
      <c r="F880" s="31"/>
      <c r="G880" s="15"/>
      <c r="H880" s="38"/>
      <c r="I880" s="57"/>
      <c r="J880" s="38"/>
      <c r="K880" s="38"/>
      <c r="L880" s="57"/>
      <c r="M880" s="38"/>
      <c r="N880" s="57"/>
      <c r="O880" s="38"/>
      <c r="P880" s="38"/>
      <c r="Q880" s="12"/>
    </row>
    <row r="881" spans="1:31" ht="23.1" customHeight="1" x14ac:dyDescent="0.15">
      <c r="D881" s="12"/>
      <c r="E881" s="12"/>
      <c r="F881" s="31"/>
      <c r="G881" s="15"/>
      <c r="H881" s="38"/>
      <c r="I881" s="57"/>
      <c r="J881" s="38"/>
      <c r="K881" s="38"/>
      <c r="L881" s="57"/>
      <c r="M881" s="38"/>
      <c r="N881" s="57"/>
      <c r="O881" s="38"/>
      <c r="P881" s="38"/>
      <c r="Q881" s="12"/>
    </row>
    <row r="882" spans="1:31" ht="23.1" customHeight="1" x14ac:dyDescent="0.15">
      <c r="D882" s="12"/>
      <c r="E882" s="12"/>
      <c r="F882" s="31"/>
      <c r="G882" s="15"/>
      <c r="H882" s="38"/>
      <c r="I882" s="57"/>
      <c r="J882" s="38"/>
      <c r="K882" s="38"/>
      <c r="L882" s="57"/>
      <c r="M882" s="38"/>
      <c r="N882" s="57"/>
      <c r="O882" s="38"/>
      <c r="P882" s="38"/>
      <c r="Q882" s="12"/>
    </row>
    <row r="883" spans="1:31" ht="23.1" customHeight="1" x14ac:dyDescent="0.15">
      <c r="D883" s="12"/>
      <c r="E883" s="12"/>
      <c r="F883" s="31"/>
      <c r="G883" s="15"/>
      <c r="H883" s="38"/>
      <c r="I883" s="57"/>
      <c r="J883" s="38"/>
      <c r="K883" s="38"/>
      <c r="L883" s="57"/>
      <c r="M883" s="38"/>
      <c r="N883" s="57"/>
      <c r="O883" s="38"/>
      <c r="P883" s="38"/>
      <c r="Q883" s="12"/>
    </row>
    <row r="884" spans="1:31" ht="23.1" customHeight="1" x14ac:dyDescent="0.15">
      <c r="D884" s="12"/>
      <c r="E884" s="12"/>
      <c r="F884" s="31"/>
      <c r="G884" s="15"/>
      <c r="H884" s="38"/>
      <c r="I884" s="57"/>
      <c r="J884" s="38"/>
      <c r="K884" s="38"/>
      <c r="L884" s="57"/>
      <c r="M884" s="38"/>
      <c r="N884" s="57"/>
      <c r="O884" s="38"/>
      <c r="P884" s="38"/>
      <c r="Q884" s="12"/>
    </row>
    <row r="885" spans="1:31" ht="23.1" customHeight="1" x14ac:dyDescent="0.15">
      <c r="D885" s="12"/>
      <c r="E885" s="12"/>
      <c r="F885" s="31"/>
      <c r="G885" s="15"/>
      <c r="H885" s="38"/>
      <c r="I885" s="57"/>
      <c r="J885" s="38"/>
      <c r="K885" s="38"/>
      <c r="L885" s="57"/>
      <c r="M885" s="38"/>
      <c r="N885" s="57"/>
      <c r="O885" s="38"/>
      <c r="P885" s="38"/>
      <c r="Q885" s="12"/>
    </row>
    <row r="886" spans="1:31" ht="23.1" customHeight="1" x14ac:dyDescent="0.15">
      <c r="D886" s="12"/>
      <c r="E886" s="12"/>
      <c r="F886" s="31"/>
      <c r="G886" s="15"/>
      <c r="H886" s="38"/>
      <c r="I886" s="57"/>
      <c r="J886" s="38"/>
      <c r="K886" s="38"/>
      <c r="L886" s="57"/>
      <c r="M886" s="38"/>
      <c r="N886" s="57"/>
      <c r="O886" s="38"/>
      <c r="P886" s="38"/>
      <c r="Q886" s="12"/>
    </row>
    <row r="887" spans="1:31" ht="23.1" customHeight="1" x14ac:dyDescent="0.15">
      <c r="B887" s="13" t="s">
        <v>2360</v>
      </c>
      <c r="D887" s="12" t="s">
        <v>2361</v>
      </c>
      <c r="E887" s="12"/>
      <c r="F887" s="31"/>
      <c r="G887" s="15"/>
      <c r="H887" s="38"/>
      <c r="I887" s="57">
        <f>TRUNC(SUM(I836:I886))</f>
        <v>4971116</v>
      </c>
      <c r="J887" s="38"/>
      <c r="K887" s="38"/>
      <c r="L887" s="57">
        <f>TRUNC(SUM(L836:L886))</f>
        <v>48170342</v>
      </c>
      <c r="M887" s="38"/>
      <c r="N887" s="57">
        <f>TRUNC(SUM(N836:N886))</f>
        <v>0</v>
      </c>
      <c r="O887" s="38" t="str">
        <f>IF((H887+K887+M887)=0, "", (H887+K887+M887))</f>
        <v/>
      </c>
      <c r="P887" s="38">
        <f>TRUNC(SUM(P836:P886))</f>
        <v>53141458</v>
      </c>
      <c r="Q887" s="12"/>
    </row>
    <row r="888" spans="1:31" ht="23.1" customHeight="1" x14ac:dyDescent="0.15">
      <c r="B888" s="13" t="s">
        <v>1448</v>
      </c>
      <c r="D888" s="170" t="s">
        <v>3187</v>
      </c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2"/>
    </row>
    <row r="889" spans="1:31" ht="23.1" customHeight="1" x14ac:dyDescent="0.15">
      <c r="A889" s="13" t="s">
        <v>1793</v>
      </c>
      <c r="B889" s="13" t="s">
        <v>3054</v>
      </c>
      <c r="C889" s="13" t="s">
        <v>1794</v>
      </c>
      <c r="D889" s="12" t="s">
        <v>178</v>
      </c>
      <c r="E889" s="12" t="s">
        <v>179</v>
      </c>
      <c r="F889" s="31" t="s">
        <v>166</v>
      </c>
      <c r="G889" s="15">
        <v>347</v>
      </c>
      <c r="H889" s="38">
        <f>일대목차!I37</f>
        <v>449</v>
      </c>
      <c r="I889" s="57">
        <f t="shared" ref="I889:I904" si="156">TRUNC(G889*H889)</f>
        <v>155803</v>
      </c>
      <c r="J889" s="38">
        <v>347</v>
      </c>
      <c r="K889" s="38">
        <f>일대목차!L37</f>
        <v>9852</v>
      </c>
      <c r="L889" s="57">
        <f t="shared" ref="L889:L904" si="157">TRUNC(G889*K889)</f>
        <v>3418644</v>
      </c>
      <c r="M889" s="38">
        <f>일대목차!N37</f>
        <v>0</v>
      </c>
      <c r="N889" s="57">
        <f t="shared" ref="N889:N904" si="158">TRUNC(G889*M889)</f>
        <v>0</v>
      </c>
      <c r="O889" s="38">
        <f t="shared" ref="O889:O904" si="159">IF((H889+K889+M889)=0, "", (H889+K889+M889))</f>
        <v>10301</v>
      </c>
      <c r="P889" s="38">
        <f t="shared" ref="P889:P904" si="160">SUM(I889,L889,N889)</f>
        <v>3574447</v>
      </c>
      <c r="Q889" s="12" t="s">
        <v>1795</v>
      </c>
      <c r="AA889" s="35">
        <f>I889</f>
        <v>155803</v>
      </c>
      <c r="AC889" s="35">
        <f>G889*H889</f>
        <v>155803</v>
      </c>
      <c r="AE889" s="35">
        <f>L889</f>
        <v>3418644</v>
      </c>
    </row>
    <row r="890" spans="1:31" ht="23.1" customHeight="1" x14ac:dyDescent="0.15">
      <c r="A890" s="13" t="s">
        <v>1836</v>
      </c>
      <c r="B890" s="13" t="s">
        <v>3054</v>
      </c>
      <c r="C890" s="13" t="s">
        <v>1837</v>
      </c>
      <c r="D890" s="12" t="s">
        <v>260</v>
      </c>
      <c r="E890" s="12" t="s">
        <v>267</v>
      </c>
      <c r="F890" s="31" t="s">
        <v>200</v>
      </c>
      <c r="G890" s="15">
        <v>5</v>
      </c>
      <c r="H890" s="38">
        <f>일대목차!I51</f>
        <v>1321</v>
      </c>
      <c r="I890" s="57">
        <f t="shared" si="156"/>
        <v>6605</v>
      </c>
      <c r="J890" s="38">
        <v>5</v>
      </c>
      <c r="K890" s="38">
        <f>일대목차!L51</f>
        <v>29557</v>
      </c>
      <c r="L890" s="57">
        <f t="shared" si="157"/>
        <v>147785</v>
      </c>
      <c r="M890" s="38">
        <f>일대목차!N51</f>
        <v>0</v>
      </c>
      <c r="N890" s="57">
        <f t="shared" si="158"/>
        <v>0</v>
      </c>
      <c r="O890" s="38">
        <f t="shared" si="159"/>
        <v>30878</v>
      </c>
      <c r="P890" s="38">
        <f t="shared" si="160"/>
        <v>154390</v>
      </c>
      <c r="Q890" s="12" t="s">
        <v>1838</v>
      </c>
      <c r="AE890" s="35">
        <f>L890</f>
        <v>147785</v>
      </c>
    </row>
    <row r="891" spans="1:31" ht="23.1" customHeight="1" x14ac:dyDescent="0.15">
      <c r="A891" s="13" t="s">
        <v>1839</v>
      </c>
      <c r="B891" s="13" t="s">
        <v>3054</v>
      </c>
      <c r="C891" s="13" t="s">
        <v>1840</v>
      </c>
      <c r="D891" s="12" t="s">
        <v>269</v>
      </c>
      <c r="E891" s="12" t="s">
        <v>270</v>
      </c>
      <c r="F891" s="31" t="s">
        <v>200</v>
      </c>
      <c r="G891" s="15">
        <v>11</v>
      </c>
      <c r="H891" s="38">
        <f>일대목차!I52</f>
        <v>1577</v>
      </c>
      <c r="I891" s="57">
        <f t="shared" si="156"/>
        <v>17347</v>
      </c>
      <c r="J891" s="38">
        <v>11</v>
      </c>
      <c r="K891" s="38">
        <f>일대목차!L52</f>
        <v>49261</v>
      </c>
      <c r="L891" s="57">
        <f t="shared" si="157"/>
        <v>541871</v>
      </c>
      <c r="M891" s="38">
        <f>일대목차!N52</f>
        <v>0</v>
      </c>
      <c r="N891" s="57">
        <f t="shared" si="158"/>
        <v>0</v>
      </c>
      <c r="O891" s="38">
        <f t="shared" si="159"/>
        <v>50838</v>
      </c>
      <c r="P891" s="38">
        <f t="shared" si="160"/>
        <v>559218</v>
      </c>
      <c r="Q891" s="12" t="s">
        <v>1841</v>
      </c>
      <c r="AE891" s="35">
        <f>L891</f>
        <v>541871</v>
      </c>
    </row>
    <row r="892" spans="1:31" ht="23.1" customHeight="1" x14ac:dyDescent="0.15">
      <c r="A892" s="13" t="s">
        <v>1842</v>
      </c>
      <c r="B892" s="13" t="s">
        <v>3054</v>
      </c>
      <c r="C892" s="13" t="s">
        <v>1843</v>
      </c>
      <c r="D892" s="12" t="s">
        <v>269</v>
      </c>
      <c r="E892" s="12" t="s">
        <v>272</v>
      </c>
      <c r="F892" s="31" t="s">
        <v>200</v>
      </c>
      <c r="G892" s="15">
        <v>4</v>
      </c>
      <c r="H892" s="38">
        <f>일대목차!I53</f>
        <v>1711</v>
      </c>
      <c r="I892" s="57">
        <f t="shared" si="156"/>
        <v>6844</v>
      </c>
      <c r="J892" s="38">
        <v>4</v>
      </c>
      <c r="K892" s="38">
        <f>일대목차!L53</f>
        <v>49261</v>
      </c>
      <c r="L892" s="57">
        <f t="shared" si="157"/>
        <v>197044</v>
      </c>
      <c r="M892" s="38">
        <f>일대목차!N53</f>
        <v>0</v>
      </c>
      <c r="N892" s="57">
        <f t="shared" si="158"/>
        <v>0</v>
      </c>
      <c r="O892" s="38">
        <f t="shared" si="159"/>
        <v>50972</v>
      </c>
      <c r="P892" s="38">
        <f t="shared" si="160"/>
        <v>203888</v>
      </c>
      <c r="Q892" s="12" t="s">
        <v>1844</v>
      </c>
      <c r="AE892" s="35">
        <f>L892</f>
        <v>197044</v>
      </c>
    </row>
    <row r="893" spans="1:31" ht="23.1" customHeight="1" x14ac:dyDescent="0.15">
      <c r="A893" s="13" t="s">
        <v>1070</v>
      </c>
      <c r="B893" s="13" t="s">
        <v>3054</v>
      </c>
      <c r="C893" s="13" t="s">
        <v>279</v>
      </c>
      <c r="D893" s="12" t="s">
        <v>277</v>
      </c>
      <c r="E893" s="12" t="s">
        <v>280</v>
      </c>
      <c r="F893" s="31" t="s">
        <v>200</v>
      </c>
      <c r="G893" s="15">
        <v>5</v>
      </c>
      <c r="H893" s="38">
        <f>합산자재!H46</f>
        <v>293</v>
      </c>
      <c r="I893" s="57">
        <f t="shared" si="156"/>
        <v>1465</v>
      </c>
      <c r="J893" s="38">
        <v>5</v>
      </c>
      <c r="K893" s="38">
        <f>합산자재!I46</f>
        <v>0</v>
      </c>
      <c r="L893" s="57">
        <f t="shared" si="157"/>
        <v>0</v>
      </c>
      <c r="M893" s="38">
        <f>합산자재!J46</f>
        <v>0</v>
      </c>
      <c r="N893" s="57">
        <f t="shared" si="158"/>
        <v>0</v>
      </c>
      <c r="O893" s="38">
        <f t="shared" si="159"/>
        <v>293</v>
      </c>
      <c r="P893" s="38">
        <f t="shared" si="160"/>
        <v>1465</v>
      </c>
      <c r="Q893" s="12"/>
    </row>
    <row r="894" spans="1:31" ht="23.1" customHeight="1" x14ac:dyDescent="0.15">
      <c r="A894" s="13" t="s">
        <v>1071</v>
      </c>
      <c r="B894" s="13" t="s">
        <v>3054</v>
      </c>
      <c r="C894" s="13" t="s">
        <v>281</v>
      </c>
      <c r="D894" s="12" t="s">
        <v>277</v>
      </c>
      <c r="E894" s="12" t="s">
        <v>282</v>
      </c>
      <c r="F894" s="31" t="s">
        <v>200</v>
      </c>
      <c r="G894" s="15">
        <v>4</v>
      </c>
      <c r="H894" s="38">
        <f>합산자재!H47</f>
        <v>283</v>
      </c>
      <c r="I894" s="57">
        <f t="shared" si="156"/>
        <v>1132</v>
      </c>
      <c r="J894" s="38">
        <v>4</v>
      </c>
      <c r="K894" s="38">
        <f>합산자재!I47</f>
        <v>0</v>
      </c>
      <c r="L894" s="57">
        <f t="shared" si="157"/>
        <v>0</v>
      </c>
      <c r="M894" s="38">
        <f>합산자재!J47</f>
        <v>0</v>
      </c>
      <c r="N894" s="57">
        <f t="shared" si="158"/>
        <v>0</v>
      </c>
      <c r="O894" s="38">
        <f t="shared" si="159"/>
        <v>283</v>
      </c>
      <c r="P894" s="38">
        <f t="shared" si="160"/>
        <v>1132</v>
      </c>
      <c r="Q894" s="12"/>
    </row>
    <row r="895" spans="1:31" ht="23.1" customHeight="1" x14ac:dyDescent="0.15">
      <c r="A895" s="13" t="s">
        <v>1903</v>
      </c>
      <c r="B895" s="13" t="s">
        <v>3054</v>
      </c>
      <c r="C895" s="13" t="s">
        <v>1904</v>
      </c>
      <c r="D895" s="12" t="s">
        <v>397</v>
      </c>
      <c r="E895" s="12" t="s">
        <v>404</v>
      </c>
      <c r="F895" s="31" t="s">
        <v>166</v>
      </c>
      <c r="G895" s="15">
        <v>1120</v>
      </c>
      <c r="H895" s="38">
        <f>일대목차!I73</f>
        <v>590</v>
      </c>
      <c r="I895" s="57">
        <f t="shared" si="156"/>
        <v>660800</v>
      </c>
      <c r="J895" s="38">
        <v>1120</v>
      </c>
      <c r="K895" s="38">
        <f>일대목차!L73</f>
        <v>2353</v>
      </c>
      <c r="L895" s="57">
        <f t="shared" si="157"/>
        <v>2635360</v>
      </c>
      <c r="M895" s="38">
        <f>일대목차!N73</f>
        <v>0</v>
      </c>
      <c r="N895" s="57">
        <f t="shared" si="158"/>
        <v>0</v>
      </c>
      <c r="O895" s="38">
        <f t="shared" si="159"/>
        <v>2943</v>
      </c>
      <c r="P895" s="38">
        <f t="shared" si="160"/>
        <v>3296160</v>
      </c>
      <c r="Q895" s="12" t="s">
        <v>1905</v>
      </c>
      <c r="AC895" s="35">
        <f>G895*H895</f>
        <v>660800</v>
      </c>
      <c r="AE895" s="35">
        <f t="shared" ref="AE895:AE901" si="161">L895</f>
        <v>2635360</v>
      </c>
    </row>
    <row r="896" spans="1:31" ht="23.1" customHeight="1" x14ac:dyDescent="0.15">
      <c r="A896" s="13" t="s">
        <v>1909</v>
      </c>
      <c r="B896" s="13" t="s">
        <v>3054</v>
      </c>
      <c r="C896" s="13" t="s">
        <v>1910</v>
      </c>
      <c r="D896" s="12" t="s">
        <v>408</v>
      </c>
      <c r="E896" s="12" t="s">
        <v>409</v>
      </c>
      <c r="F896" s="31" t="s">
        <v>166</v>
      </c>
      <c r="G896" s="15">
        <v>35</v>
      </c>
      <c r="H896" s="38">
        <f>일대목차!I75</f>
        <v>1066</v>
      </c>
      <c r="I896" s="57">
        <f t="shared" si="156"/>
        <v>37310</v>
      </c>
      <c r="J896" s="38">
        <v>35</v>
      </c>
      <c r="K896" s="38">
        <f>일대목차!L75</f>
        <v>2463</v>
      </c>
      <c r="L896" s="57">
        <f t="shared" si="157"/>
        <v>86205</v>
      </c>
      <c r="M896" s="38">
        <f>일대목차!N75</f>
        <v>0</v>
      </c>
      <c r="N896" s="57">
        <f t="shared" si="158"/>
        <v>0</v>
      </c>
      <c r="O896" s="38">
        <f t="shared" si="159"/>
        <v>3529</v>
      </c>
      <c r="P896" s="38">
        <f t="shared" si="160"/>
        <v>123515</v>
      </c>
      <c r="Q896" s="12" t="s">
        <v>1911</v>
      </c>
      <c r="AC896" s="35">
        <f>G896*H896</f>
        <v>37310</v>
      </c>
      <c r="AE896" s="35">
        <f t="shared" si="161"/>
        <v>86205</v>
      </c>
    </row>
    <row r="897" spans="1:31" ht="23.1" customHeight="1" x14ac:dyDescent="0.15">
      <c r="A897" s="13" t="s">
        <v>1984</v>
      </c>
      <c r="B897" s="13" t="s">
        <v>3054</v>
      </c>
      <c r="C897" s="13" t="s">
        <v>1985</v>
      </c>
      <c r="D897" s="12" t="s">
        <v>466</v>
      </c>
      <c r="E897" s="12" t="s">
        <v>473</v>
      </c>
      <c r="F897" s="31" t="s">
        <v>166</v>
      </c>
      <c r="G897" s="15">
        <v>35</v>
      </c>
      <c r="H897" s="38">
        <f>일대목차!I100</f>
        <v>3573</v>
      </c>
      <c r="I897" s="57">
        <f t="shared" si="156"/>
        <v>125055</v>
      </c>
      <c r="J897" s="38">
        <v>35</v>
      </c>
      <c r="K897" s="38">
        <f>일대목차!L100</f>
        <v>4866</v>
      </c>
      <c r="L897" s="57">
        <f t="shared" si="157"/>
        <v>170310</v>
      </c>
      <c r="M897" s="38">
        <f>일대목차!N100</f>
        <v>0</v>
      </c>
      <c r="N897" s="57">
        <f t="shared" si="158"/>
        <v>0</v>
      </c>
      <c r="O897" s="38">
        <f t="shared" si="159"/>
        <v>8439</v>
      </c>
      <c r="P897" s="38">
        <f t="shared" si="160"/>
        <v>295365</v>
      </c>
      <c r="Q897" s="12" t="s">
        <v>1986</v>
      </c>
      <c r="AC897" s="35">
        <f>G897*H897</f>
        <v>125055</v>
      </c>
      <c r="AE897" s="35">
        <f t="shared" si="161"/>
        <v>170310</v>
      </c>
    </row>
    <row r="898" spans="1:31" ht="23.1" customHeight="1" x14ac:dyDescent="0.15">
      <c r="A898" s="13" t="s">
        <v>2029</v>
      </c>
      <c r="B898" s="13" t="s">
        <v>3054</v>
      </c>
      <c r="C898" s="13" t="s">
        <v>2030</v>
      </c>
      <c r="D898" s="12" t="s">
        <v>523</v>
      </c>
      <c r="E898" s="12" t="s">
        <v>524</v>
      </c>
      <c r="F898" s="31" t="s">
        <v>200</v>
      </c>
      <c r="G898" s="15">
        <v>4</v>
      </c>
      <c r="H898" s="38">
        <f>일대목차!I115</f>
        <v>42637</v>
      </c>
      <c r="I898" s="57">
        <f t="shared" si="156"/>
        <v>170548</v>
      </c>
      <c r="J898" s="38">
        <v>4</v>
      </c>
      <c r="K898" s="38">
        <f>일대목차!L115</f>
        <v>21894</v>
      </c>
      <c r="L898" s="57">
        <f t="shared" si="157"/>
        <v>87576</v>
      </c>
      <c r="M898" s="38">
        <f>일대목차!N115</f>
        <v>0</v>
      </c>
      <c r="N898" s="57">
        <f t="shared" si="158"/>
        <v>0</v>
      </c>
      <c r="O898" s="38">
        <f t="shared" si="159"/>
        <v>64531</v>
      </c>
      <c r="P898" s="38">
        <f t="shared" si="160"/>
        <v>258124</v>
      </c>
      <c r="Q898" s="12" t="s">
        <v>2031</v>
      </c>
      <c r="AE898" s="35">
        <f t="shared" si="161"/>
        <v>87576</v>
      </c>
    </row>
    <row r="899" spans="1:31" ht="23.1" customHeight="1" x14ac:dyDescent="0.15">
      <c r="A899" s="13" t="s">
        <v>2035</v>
      </c>
      <c r="B899" s="13" t="s">
        <v>3054</v>
      </c>
      <c r="C899" s="13" t="s">
        <v>2036</v>
      </c>
      <c r="D899" s="12" t="s">
        <v>519</v>
      </c>
      <c r="E899" s="12" t="s">
        <v>529</v>
      </c>
      <c r="F899" s="31" t="s">
        <v>200</v>
      </c>
      <c r="G899" s="15">
        <v>11</v>
      </c>
      <c r="H899" s="38">
        <f>일대목차!I117</f>
        <v>1822</v>
      </c>
      <c r="I899" s="57">
        <f t="shared" si="156"/>
        <v>20042</v>
      </c>
      <c r="J899" s="38">
        <v>11</v>
      </c>
      <c r="K899" s="38">
        <f>일대목차!L117</f>
        <v>21894</v>
      </c>
      <c r="L899" s="57">
        <f t="shared" si="157"/>
        <v>240834</v>
      </c>
      <c r="M899" s="38">
        <f>일대목차!N117</f>
        <v>0</v>
      </c>
      <c r="N899" s="57">
        <f t="shared" si="158"/>
        <v>0</v>
      </c>
      <c r="O899" s="38">
        <f t="shared" si="159"/>
        <v>23716</v>
      </c>
      <c r="P899" s="38">
        <f t="shared" si="160"/>
        <v>260876</v>
      </c>
      <c r="Q899" s="12" t="s">
        <v>2037</v>
      </c>
      <c r="AE899" s="35">
        <f t="shared" si="161"/>
        <v>240834</v>
      </c>
    </row>
    <row r="900" spans="1:31" ht="23.1" customHeight="1" x14ac:dyDescent="0.15">
      <c r="A900" s="13" t="s">
        <v>1680</v>
      </c>
      <c r="B900" s="13" t="s">
        <v>3054</v>
      </c>
      <c r="C900" s="13" t="s">
        <v>1681</v>
      </c>
      <c r="D900" s="12" t="s">
        <v>1674</v>
      </c>
      <c r="E900" s="12" t="s">
        <v>1683</v>
      </c>
      <c r="F900" s="31" t="s">
        <v>792</v>
      </c>
      <c r="G900" s="15">
        <v>22</v>
      </c>
      <c r="H900" s="38">
        <f>일대목차!I8</f>
        <v>19561</v>
      </c>
      <c r="I900" s="57">
        <f t="shared" si="156"/>
        <v>430342</v>
      </c>
      <c r="J900" s="38">
        <v>22</v>
      </c>
      <c r="K900" s="38">
        <f>일대목차!L8</f>
        <v>9852</v>
      </c>
      <c r="L900" s="57">
        <f t="shared" si="157"/>
        <v>216744</v>
      </c>
      <c r="M900" s="38">
        <f>일대목차!N8</f>
        <v>0</v>
      </c>
      <c r="N900" s="57">
        <f t="shared" si="158"/>
        <v>0</v>
      </c>
      <c r="O900" s="38">
        <f t="shared" si="159"/>
        <v>29413</v>
      </c>
      <c r="P900" s="38">
        <f t="shared" si="160"/>
        <v>647086</v>
      </c>
      <c r="Q900" s="12" t="s">
        <v>1682</v>
      </c>
      <c r="AE900" s="35">
        <f t="shared" si="161"/>
        <v>216744</v>
      </c>
    </row>
    <row r="901" spans="1:31" ht="23.1" customHeight="1" x14ac:dyDescent="0.15">
      <c r="A901" s="13" t="s">
        <v>2107</v>
      </c>
      <c r="B901" s="13" t="s">
        <v>3054</v>
      </c>
      <c r="C901" s="13" t="s">
        <v>2108</v>
      </c>
      <c r="D901" s="12" t="s">
        <v>656</v>
      </c>
      <c r="E901" s="12" t="s">
        <v>662</v>
      </c>
      <c r="F901" s="31" t="s">
        <v>166</v>
      </c>
      <c r="G901" s="15">
        <v>33</v>
      </c>
      <c r="H901" s="38">
        <f>일대목차!I141</f>
        <v>5334</v>
      </c>
      <c r="I901" s="57">
        <f t="shared" si="156"/>
        <v>176022</v>
      </c>
      <c r="J901" s="38">
        <v>33</v>
      </c>
      <c r="K901" s="38">
        <f>일대목차!L141</f>
        <v>23645</v>
      </c>
      <c r="L901" s="57">
        <f t="shared" si="157"/>
        <v>780285</v>
      </c>
      <c r="M901" s="38">
        <f>일대목차!N141</f>
        <v>0</v>
      </c>
      <c r="N901" s="57">
        <f t="shared" si="158"/>
        <v>0</v>
      </c>
      <c r="O901" s="38">
        <f t="shared" si="159"/>
        <v>28979</v>
      </c>
      <c r="P901" s="38">
        <f t="shared" si="160"/>
        <v>956307</v>
      </c>
      <c r="Q901" s="12" t="s">
        <v>2109</v>
      </c>
      <c r="AB901" s="35">
        <f>I901</f>
        <v>176022</v>
      </c>
      <c r="AC901" s="35">
        <f>G901*H901</f>
        <v>176022</v>
      </c>
      <c r="AE901" s="35">
        <f t="shared" si="161"/>
        <v>780285</v>
      </c>
    </row>
    <row r="902" spans="1:31" ht="23.1" customHeight="1" x14ac:dyDescent="0.15">
      <c r="A902" s="13" t="s">
        <v>1209</v>
      </c>
      <c r="B902" s="13" t="s">
        <v>3054</v>
      </c>
      <c r="C902" s="13" t="s">
        <v>676</v>
      </c>
      <c r="D902" s="12" t="s">
        <v>672</v>
      </c>
      <c r="E902" s="12" t="s">
        <v>677</v>
      </c>
      <c r="F902" s="31" t="s">
        <v>200</v>
      </c>
      <c r="G902" s="15">
        <v>9</v>
      </c>
      <c r="H902" s="38">
        <f>합산자재!H185</f>
        <v>1246</v>
      </c>
      <c r="I902" s="57">
        <f t="shared" si="156"/>
        <v>11214</v>
      </c>
      <c r="J902" s="38">
        <v>9</v>
      </c>
      <c r="K902" s="38">
        <f>합산자재!I185</f>
        <v>0</v>
      </c>
      <c r="L902" s="57">
        <f t="shared" si="157"/>
        <v>0</v>
      </c>
      <c r="M902" s="38">
        <f>합산자재!J185</f>
        <v>0</v>
      </c>
      <c r="N902" s="57">
        <f t="shared" si="158"/>
        <v>0</v>
      </c>
      <c r="O902" s="38">
        <f t="shared" si="159"/>
        <v>1246</v>
      </c>
      <c r="P902" s="38">
        <f t="shared" si="160"/>
        <v>11214</v>
      </c>
      <c r="Q902" s="12"/>
    </row>
    <row r="903" spans="1:31" ht="23.1" customHeight="1" x14ac:dyDescent="0.15">
      <c r="A903" s="13" t="s">
        <v>1216</v>
      </c>
      <c r="B903" s="13" t="s">
        <v>3054</v>
      </c>
      <c r="C903" s="13" t="s">
        <v>690</v>
      </c>
      <c r="D903" s="12" t="s">
        <v>672</v>
      </c>
      <c r="E903" s="12" t="s">
        <v>691</v>
      </c>
      <c r="F903" s="31" t="s">
        <v>200</v>
      </c>
      <c r="G903" s="15">
        <v>2</v>
      </c>
      <c r="H903" s="38">
        <f>합산자재!H192</f>
        <v>1513</v>
      </c>
      <c r="I903" s="57">
        <f t="shared" si="156"/>
        <v>3026</v>
      </c>
      <c r="J903" s="38">
        <v>2</v>
      </c>
      <c r="K903" s="38">
        <f>합산자재!I192</f>
        <v>0</v>
      </c>
      <c r="L903" s="57">
        <f t="shared" si="157"/>
        <v>0</v>
      </c>
      <c r="M903" s="38">
        <f>합산자재!J192</f>
        <v>0</v>
      </c>
      <c r="N903" s="57">
        <f t="shared" si="158"/>
        <v>0</v>
      </c>
      <c r="O903" s="38">
        <f t="shared" si="159"/>
        <v>1513</v>
      </c>
      <c r="P903" s="38">
        <f t="shared" si="160"/>
        <v>3026</v>
      </c>
      <c r="Q903" s="12"/>
    </row>
    <row r="904" spans="1:31" ht="23.1" customHeight="1" x14ac:dyDescent="0.15">
      <c r="A904" s="13" t="s">
        <v>1221</v>
      </c>
      <c r="B904" s="13" t="s">
        <v>3054</v>
      </c>
      <c r="C904" s="13" t="s">
        <v>700</v>
      </c>
      <c r="D904" s="12" t="s">
        <v>701</v>
      </c>
      <c r="E904" s="12" t="s">
        <v>662</v>
      </c>
      <c r="F904" s="31" t="s">
        <v>200</v>
      </c>
      <c r="G904" s="15">
        <v>3</v>
      </c>
      <c r="H904" s="38">
        <f>합산자재!H197</f>
        <v>3467</v>
      </c>
      <c r="I904" s="57">
        <f t="shared" si="156"/>
        <v>10401</v>
      </c>
      <c r="J904" s="38">
        <v>3</v>
      </c>
      <c r="K904" s="38">
        <f>합산자재!I197</f>
        <v>0</v>
      </c>
      <c r="L904" s="57">
        <f t="shared" si="157"/>
        <v>0</v>
      </c>
      <c r="M904" s="38">
        <f>합산자재!J197</f>
        <v>0</v>
      </c>
      <c r="N904" s="57">
        <f t="shared" si="158"/>
        <v>0</v>
      </c>
      <c r="O904" s="38">
        <f t="shared" si="159"/>
        <v>3467</v>
      </c>
      <c r="P904" s="38">
        <f t="shared" si="160"/>
        <v>10401</v>
      </c>
      <c r="Q904" s="12"/>
    </row>
    <row r="905" spans="1:31" ht="23.1" customHeight="1" x14ac:dyDescent="0.15">
      <c r="D905" s="12"/>
      <c r="E905" s="12"/>
      <c r="F905" s="31"/>
      <c r="G905" s="15"/>
      <c r="H905" s="38"/>
      <c r="I905" s="57"/>
      <c r="J905" s="38"/>
      <c r="K905" s="38"/>
      <c r="L905" s="57"/>
      <c r="M905" s="38"/>
      <c r="N905" s="57"/>
      <c r="O905" s="38"/>
      <c r="P905" s="38"/>
      <c r="Q905" s="12"/>
      <c r="AE905" s="35">
        <f>TRUNC(SUM(AE888:AE904))</f>
        <v>8522658</v>
      </c>
    </row>
    <row r="906" spans="1:31" ht="23.1" customHeight="1" x14ac:dyDescent="0.15">
      <c r="D906" s="12"/>
      <c r="E906" s="12"/>
      <c r="F906" s="31"/>
      <c r="G906" s="15"/>
      <c r="H906" s="38"/>
      <c r="I906" s="57"/>
      <c r="J906" s="38"/>
      <c r="K906" s="38"/>
      <c r="L906" s="57"/>
      <c r="M906" s="38"/>
      <c r="N906" s="57"/>
      <c r="O906" s="38"/>
      <c r="P906" s="38"/>
      <c r="Q906" s="12"/>
    </row>
    <row r="907" spans="1:31" ht="23.1" customHeight="1" x14ac:dyDescent="0.15">
      <c r="D907" s="12"/>
      <c r="E907" s="12"/>
      <c r="F907" s="31"/>
      <c r="G907" s="15"/>
      <c r="H907" s="38"/>
      <c r="I907" s="57"/>
      <c r="J907" s="38"/>
      <c r="K907" s="38"/>
      <c r="L907" s="57"/>
      <c r="M907" s="38"/>
      <c r="N907" s="57"/>
      <c r="O907" s="38"/>
      <c r="P907" s="38"/>
      <c r="Q907" s="12"/>
    </row>
    <row r="908" spans="1:31" ht="23.1" customHeight="1" x14ac:dyDescent="0.15">
      <c r="D908" s="12"/>
      <c r="E908" s="12"/>
      <c r="F908" s="31"/>
      <c r="G908" s="15"/>
      <c r="H908" s="38"/>
      <c r="I908" s="57"/>
      <c r="J908" s="38"/>
      <c r="K908" s="38"/>
      <c r="L908" s="57"/>
      <c r="M908" s="38"/>
      <c r="N908" s="57"/>
      <c r="O908" s="38"/>
      <c r="P908" s="38"/>
      <c r="Q908" s="12"/>
    </row>
    <row r="909" spans="1:31" ht="23.1" customHeight="1" x14ac:dyDescent="0.15">
      <c r="D909" s="12"/>
      <c r="E909" s="12"/>
      <c r="F909" s="31"/>
      <c r="G909" s="15"/>
      <c r="H909" s="38"/>
      <c r="I909" s="57"/>
      <c r="J909" s="38"/>
      <c r="K909" s="38"/>
      <c r="L909" s="57"/>
      <c r="M909" s="38"/>
      <c r="N909" s="57"/>
      <c r="O909" s="38"/>
      <c r="P909" s="38"/>
      <c r="Q909" s="12"/>
    </row>
    <row r="910" spans="1:31" ht="23.1" customHeight="1" x14ac:dyDescent="0.15">
      <c r="D910" s="12"/>
      <c r="E910" s="12"/>
      <c r="F910" s="31"/>
      <c r="G910" s="15"/>
      <c r="H910" s="38"/>
      <c r="I910" s="57"/>
      <c r="J910" s="38"/>
      <c r="K910" s="38"/>
      <c r="L910" s="57"/>
      <c r="M910" s="38"/>
      <c r="N910" s="57"/>
      <c r="O910" s="38"/>
      <c r="P910" s="38"/>
      <c r="Q910" s="12"/>
    </row>
    <row r="911" spans="1:31" ht="23.1" customHeight="1" x14ac:dyDescent="0.15">
      <c r="D911" s="12"/>
      <c r="E911" s="12"/>
      <c r="F911" s="31"/>
      <c r="G911" s="15"/>
      <c r="H911" s="38"/>
      <c r="I911" s="57"/>
      <c r="J911" s="38"/>
      <c r="K911" s="38"/>
      <c r="L911" s="57"/>
      <c r="M911" s="38"/>
      <c r="N911" s="57"/>
      <c r="O911" s="38"/>
      <c r="P911" s="38"/>
      <c r="Q911" s="12"/>
    </row>
    <row r="912" spans="1:31" ht="23.1" customHeight="1" x14ac:dyDescent="0.15">
      <c r="D912" s="12"/>
      <c r="E912" s="12"/>
      <c r="F912" s="31"/>
      <c r="G912" s="15"/>
      <c r="H912" s="38"/>
      <c r="I912" s="57"/>
      <c r="J912" s="38"/>
      <c r="K912" s="38"/>
      <c r="L912" s="57"/>
      <c r="M912" s="38"/>
      <c r="N912" s="57"/>
      <c r="O912" s="38"/>
      <c r="P912" s="38"/>
      <c r="Q912" s="12"/>
    </row>
    <row r="913" spans="1:31" ht="23.1" customHeight="1" x14ac:dyDescent="0.15">
      <c r="B913" s="13" t="s">
        <v>2360</v>
      </c>
      <c r="D913" s="12" t="s">
        <v>2361</v>
      </c>
      <c r="E913" s="12"/>
      <c r="F913" s="31"/>
      <c r="G913" s="15"/>
      <c r="H913" s="38"/>
      <c r="I913" s="57">
        <f>TRUNC(SUM(I888:I912))</f>
        <v>1833956</v>
      </c>
      <c r="J913" s="38"/>
      <c r="K913" s="38"/>
      <c r="L913" s="57">
        <f>TRUNC(SUM(L888:L912))</f>
        <v>8522658</v>
      </c>
      <c r="M913" s="38"/>
      <c r="N913" s="57">
        <f>TRUNC(SUM(N888:N912))</f>
        <v>0</v>
      </c>
      <c r="O913" s="38" t="str">
        <f>IF((H913+K913+M913)=0, "", (H913+K913+M913))</f>
        <v/>
      </c>
      <c r="P913" s="38">
        <f>TRUNC(SUM(P888:P912))</f>
        <v>10356614</v>
      </c>
      <c r="Q913" s="12"/>
    </row>
    <row r="914" spans="1:31" ht="23.1" customHeight="1" x14ac:dyDescent="0.15">
      <c r="B914" s="13" t="s">
        <v>1448</v>
      </c>
      <c r="D914" s="170" t="s">
        <v>3188</v>
      </c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2"/>
    </row>
    <row r="915" spans="1:31" ht="23.1" customHeight="1" x14ac:dyDescent="0.15">
      <c r="A915" s="13" t="s">
        <v>1939</v>
      </c>
      <c r="B915" s="13" t="s">
        <v>3055</v>
      </c>
      <c r="C915" s="13" t="s">
        <v>1940</v>
      </c>
      <c r="D915" s="12" t="s">
        <v>431</v>
      </c>
      <c r="E915" s="12" t="s">
        <v>423</v>
      </c>
      <c r="F915" s="31" t="s">
        <v>166</v>
      </c>
      <c r="G915" s="15">
        <v>1001</v>
      </c>
      <c r="H915" s="38">
        <f>일대목차!I85</f>
        <v>8374</v>
      </c>
      <c r="I915" s="57">
        <f>TRUNC(G915*H915)</f>
        <v>8382374</v>
      </c>
      <c r="J915" s="38">
        <v>1001</v>
      </c>
      <c r="K915" s="38">
        <f>일대목차!L85</f>
        <v>2189</v>
      </c>
      <c r="L915" s="57">
        <f>TRUNC(G915*K915)</f>
        <v>2191189</v>
      </c>
      <c r="M915" s="38">
        <f>일대목차!N85</f>
        <v>0</v>
      </c>
      <c r="N915" s="57">
        <f>TRUNC(G915*M915)</f>
        <v>0</v>
      </c>
      <c r="O915" s="38">
        <f>IF((H915+K915+M915)=0, "", (H915+K915+M915))</f>
        <v>10563</v>
      </c>
      <c r="P915" s="38">
        <f>SUM(I915,L915,N915)</f>
        <v>10573563</v>
      </c>
      <c r="Q915" s="12" t="s">
        <v>1941</v>
      </c>
      <c r="AC915" s="35">
        <f>G915*H915</f>
        <v>8382374</v>
      </c>
      <c r="AE915" s="35">
        <f>L915</f>
        <v>2191189</v>
      </c>
    </row>
    <row r="916" spans="1:31" ht="23.1" customHeight="1" x14ac:dyDescent="0.15">
      <c r="A916" s="13" t="s">
        <v>2044</v>
      </c>
      <c r="B916" s="13" t="s">
        <v>3055</v>
      </c>
      <c r="C916" s="13" t="s">
        <v>2045</v>
      </c>
      <c r="D916" s="12" t="s">
        <v>534</v>
      </c>
      <c r="E916" s="12" t="s">
        <v>540</v>
      </c>
      <c r="F916" s="31" t="s">
        <v>200</v>
      </c>
      <c r="G916" s="15">
        <v>22</v>
      </c>
      <c r="H916" s="38">
        <f>일대목차!I120</f>
        <v>5900</v>
      </c>
      <c r="I916" s="57">
        <f>TRUNC(G916*H916)</f>
        <v>129800</v>
      </c>
      <c r="J916" s="38">
        <v>22</v>
      </c>
      <c r="K916" s="38">
        <f>일대목차!L120</f>
        <v>43869</v>
      </c>
      <c r="L916" s="57">
        <f>TRUNC(G916*K916)</f>
        <v>965118</v>
      </c>
      <c r="M916" s="38">
        <f>일대목차!N120</f>
        <v>0</v>
      </c>
      <c r="N916" s="57">
        <f>TRUNC(G916*M916)</f>
        <v>0</v>
      </c>
      <c r="O916" s="38">
        <f>IF((H916+K916+M916)=0, "", (H916+K916+M916))</f>
        <v>49769</v>
      </c>
      <c r="P916" s="38">
        <f>SUM(I916,L916,N916)</f>
        <v>1094918</v>
      </c>
      <c r="Q916" s="12" t="s">
        <v>2046</v>
      </c>
      <c r="AE916" s="35">
        <f>L916</f>
        <v>965118</v>
      </c>
    </row>
    <row r="917" spans="1:31" ht="23.1" customHeight="1" x14ac:dyDescent="0.15">
      <c r="A917" s="13" t="s">
        <v>1167</v>
      </c>
      <c r="B917" s="13" t="s">
        <v>3055</v>
      </c>
      <c r="C917" s="13" t="s">
        <v>544</v>
      </c>
      <c r="D917" s="12" t="s">
        <v>545</v>
      </c>
      <c r="E917" s="12" t="s">
        <v>546</v>
      </c>
      <c r="F917" s="31" t="s">
        <v>200</v>
      </c>
      <c r="G917" s="15">
        <v>250</v>
      </c>
      <c r="H917" s="38">
        <f>합산자재!H143</f>
        <v>10035</v>
      </c>
      <c r="I917" s="57">
        <f>TRUNC(G917*H917)</f>
        <v>2508750</v>
      </c>
      <c r="J917" s="38">
        <v>250</v>
      </c>
      <c r="K917" s="38">
        <f>합산자재!I143</f>
        <v>0</v>
      </c>
      <c r="L917" s="57">
        <f>TRUNC(G917*K917)</f>
        <v>0</v>
      </c>
      <c r="M917" s="38">
        <f>합산자재!J143</f>
        <v>0</v>
      </c>
      <c r="N917" s="57">
        <f>TRUNC(G917*M917)</f>
        <v>0</v>
      </c>
      <c r="O917" s="38">
        <f>IF((H917+K917+M917)=0, "", (H917+K917+M917))</f>
        <v>10035</v>
      </c>
      <c r="P917" s="38">
        <f>SUM(I917,L917,N917)</f>
        <v>2508750</v>
      </c>
      <c r="Q917" s="12"/>
    </row>
    <row r="918" spans="1:31" ht="23.1" customHeight="1" x14ac:dyDescent="0.15">
      <c r="A918" s="13" t="s">
        <v>2053</v>
      </c>
      <c r="B918" s="13" t="s">
        <v>3055</v>
      </c>
      <c r="C918" s="13" t="s">
        <v>2054</v>
      </c>
      <c r="D918" s="12" t="s">
        <v>552</v>
      </c>
      <c r="E918" s="12" t="s">
        <v>553</v>
      </c>
      <c r="F918" s="31" t="s">
        <v>554</v>
      </c>
      <c r="G918" s="15">
        <v>8</v>
      </c>
      <c r="H918" s="38">
        <f>일대목차!I123</f>
        <v>10558</v>
      </c>
      <c r="I918" s="57">
        <f>TRUNC(G918*H918)</f>
        <v>84464</v>
      </c>
      <c r="J918" s="38">
        <v>8</v>
      </c>
      <c r="K918" s="38">
        <f>일대목차!L123</f>
        <v>27914</v>
      </c>
      <c r="L918" s="57">
        <f>TRUNC(G918*K918)</f>
        <v>223312</v>
      </c>
      <c r="M918" s="38">
        <f>일대목차!N123</f>
        <v>0</v>
      </c>
      <c r="N918" s="57">
        <f>TRUNC(G918*M918)</f>
        <v>0</v>
      </c>
      <c r="O918" s="38">
        <f>IF((H918+K918+M918)=0, "", (H918+K918+M918))</f>
        <v>38472</v>
      </c>
      <c r="P918" s="38">
        <f>SUM(I918,L918,N918)</f>
        <v>307776</v>
      </c>
      <c r="Q918" s="12" t="s">
        <v>2055</v>
      </c>
      <c r="AE918" s="35">
        <f>L918</f>
        <v>223312</v>
      </c>
    </row>
    <row r="919" spans="1:31" ht="23.1" customHeight="1" x14ac:dyDescent="0.15">
      <c r="A919" s="13" t="s">
        <v>2098</v>
      </c>
      <c r="B919" s="13" t="s">
        <v>3055</v>
      </c>
      <c r="C919" s="13" t="s">
        <v>2099</v>
      </c>
      <c r="D919" s="12" t="s">
        <v>608</v>
      </c>
      <c r="E919" s="12" t="s">
        <v>609</v>
      </c>
      <c r="F919" s="31" t="s">
        <v>200</v>
      </c>
      <c r="G919" s="15">
        <v>184</v>
      </c>
      <c r="H919" s="38">
        <f>일대목차!I138</f>
        <v>2775</v>
      </c>
      <c r="I919" s="57">
        <f>TRUNC(G919*H919)</f>
        <v>510600</v>
      </c>
      <c r="J919" s="38">
        <v>184</v>
      </c>
      <c r="K919" s="38">
        <f>일대목차!L138</f>
        <v>43798</v>
      </c>
      <c r="L919" s="57">
        <f>TRUNC(G919*K919)</f>
        <v>8058832</v>
      </c>
      <c r="M919" s="38">
        <f>일대목차!N138</f>
        <v>0</v>
      </c>
      <c r="N919" s="57">
        <f>TRUNC(G919*M919)</f>
        <v>0</v>
      </c>
      <c r="O919" s="38">
        <f>IF((H919+K919+M919)=0, "", (H919+K919+M919))</f>
        <v>46573</v>
      </c>
      <c r="P919" s="38">
        <f>SUM(I919,L919,N919)</f>
        <v>8569432</v>
      </c>
      <c r="Q919" s="12" t="s">
        <v>2100</v>
      </c>
      <c r="AE919" s="35">
        <f>L919</f>
        <v>8058832</v>
      </c>
    </row>
    <row r="920" spans="1:31" ht="23.1" customHeight="1" x14ac:dyDescent="0.15">
      <c r="D920" s="12"/>
      <c r="E920" s="12"/>
      <c r="F920" s="31"/>
      <c r="G920" s="15"/>
      <c r="H920" s="38"/>
      <c r="I920" s="57"/>
      <c r="J920" s="38"/>
      <c r="K920" s="38"/>
      <c r="L920" s="57"/>
      <c r="M920" s="38"/>
      <c r="N920" s="57"/>
      <c r="O920" s="38"/>
      <c r="P920" s="38"/>
      <c r="Q920" s="12"/>
      <c r="AE920" s="35">
        <f>TRUNC(SUM(AE914:AE919))</f>
        <v>11438451</v>
      </c>
    </row>
    <row r="921" spans="1:31" ht="23.1" customHeight="1" x14ac:dyDescent="0.15">
      <c r="D921" s="12"/>
      <c r="E921" s="12"/>
      <c r="F921" s="31"/>
      <c r="G921" s="15"/>
      <c r="H921" s="38"/>
      <c r="I921" s="57"/>
      <c r="J921" s="38"/>
      <c r="K921" s="38"/>
      <c r="L921" s="57"/>
      <c r="M921" s="38"/>
      <c r="N921" s="57"/>
      <c r="O921" s="38"/>
      <c r="P921" s="38"/>
      <c r="Q921" s="12"/>
    </row>
    <row r="922" spans="1:31" ht="23.1" customHeight="1" x14ac:dyDescent="0.15">
      <c r="D922" s="12"/>
      <c r="E922" s="12"/>
      <c r="F922" s="31"/>
      <c r="G922" s="15"/>
      <c r="H922" s="38"/>
      <c r="I922" s="57"/>
      <c r="J922" s="38"/>
      <c r="K922" s="38"/>
      <c r="L922" s="57"/>
      <c r="M922" s="38"/>
      <c r="N922" s="57"/>
      <c r="O922" s="38"/>
      <c r="P922" s="38"/>
      <c r="Q922" s="12"/>
    </row>
    <row r="923" spans="1:31" ht="23.1" customHeight="1" x14ac:dyDescent="0.15">
      <c r="D923" s="12"/>
      <c r="E923" s="12"/>
      <c r="F923" s="31"/>
      <c r="G923" s="15"/>
      <c r="H923" s="38"/>
      <c r="I923" s="57"/>
      <c r="J923" s="38"/>
      <c r="K923" s="38"/>
      <c r="L923" s="57"/>
      <c r="M923" s="38"/>
      <c r="N923" s="57"/>
      <c r="O923" s="38"/>
      <c r="P923" s="38"/>
      <c r="Q923" s="12"/>
    </row>
    <row r="924" spans="1:31" ht="23.1" customHeight="1" x14ac:dyDescent="0.15">
      <c r="D924" s="12"/>
      <c r="E924" s="12"/>
      <c r="F924" s="31"/>
      <c r="G924" s="15"/>
      <c r="H924" s="38"/>
      <c r="I924" s="57"/>
      <c r="J924" s="38"/>
      <c r="K924" s="38"/>
      <c r="L924" s="57"/>
      <c r="M924" s="38"/>
      <c r="N924" s="57"/>
      <c r="O924" s="38"/>
      <c r="P924" s="38"/>
      <c r="Q924" s="12"/>
    </row>
    <row r="925" spans="1:31" ht="23.1" customHeight="1" x14ac:dyDescent="0.15">
      <c r="D925" s="12"/>
      <c r="E925" s="12"/>
      <c r="F925" s="31"/>
      <c r="G925" s="15"/>
      <c r="H925" s="38"/>
      <c r="I925" s="57"/>
      <c r="J925" s="38"/>
      <c r="K925" s="38"/>
      <c r="L925" s="57"/>
      <c r="M925" s="38"/>
      <c r="N925" s="57"/>
      <c r="O925" s="38"/>
      <c r="P925" s="38"/>
      <c r="Q925" s="12"/>
    </row>
    <row r="926" spans="1:31" ht="23.1" customHeight="1" x14ac:dyDescent="0.15">
      <c r="D926" s="12"/>
      <c r="E926" s="12"/>
      <c r="F926" s="31"/>
      <c r="G926" s="15"/>
      <c r="H926" s="38"/>
      <c r="I926" s="57"/>
      <c r="J926" s="38"/>
      <c r="K926" s="38"/>
      <c r="L926" s="57"/>
      <c r="M926" s="38"/>
      <c r="N926" s="57"/>
      <c r="O926" s="38"/>
      <c r="P926" s="38"/>
      <c r="Q926" s="12"/>
    </row>
    <row r="927" spans="1:31" ht="23.1" customHeight="1" x14ac:dyDescent="0.15">
      <c r="D927" s="12"/>
      <c r="E927" s="12"/>
      <c r="F927" s="31"/>
      <c r="G927" s="15"/>
      <c r="H927" s="38"/>
      <c r="I927" s="57"/>
      <c r="J927" s="38"/>
      <c r="K927" s="38"/>
      <c r="L927" s="57"/>
      <c r="M927" s="38"/>
      <c r="N927" s="57"/>
      <c r="O927" s="38"/>
      <c r="P927" s="38"/>
      <c r="Q927" s="12"/>
    </row>
    <row r="928" spans="1:31" ht="23.1" customHeight="1" x14ac:dyDescent="0.15">
      <c r="D928" s="12"/>
      <c r="E928" s="12"/>
      <c r="F928" s="31"/>
      <c r="G928" s="15"/>
      <c r="H928" s="38"/>
      <c r="I928" s="57"/>
      <c r="J928" s="38"/>
      <c r="K928" s="38"/>
      <c r="L928" s="57"/>
      <c r="M928" s="38"/>
      <c r="N928" s="57"/>
      <c r="O928" s="38"/>
      <c r="P928" s="38"/>
      <c r="Q928" s="12"/>
    </row>
    <row r="929" spans="1:31" ht="23.1" customHeight="1" x14ac:dyDescent="0.15">
      <c r="D929" s="12"/>
      <c r="E929" s="12"/>
      <c r="F929" s="31"/>
      <c r="G929" s="15"/>
      <c r="H929" s="38"/>
      <c r="I929" s="57"/>
      <c r="J929" s="38"/>
      <c r="K929" s="38"/>
      <c r="L929" s="57"/>
      <c r="M929" s="38"/>
      <c r="N929" s="57"/>
      <c r="O929" s="38"/>
      <c r="P929" s="38"/>
      <c r="Q929" s="12"/>
    </row>
    <row r="930" spans="1:31" ht="23.1" customHeight="1" x14ac:dyDescent="0.15">
      <c r="D930" s="12"/>
      <c r="E930" s="12"/>
      <c r="F930" s="31"/>
      <c r="G930" s="15"/>
      <c r="H930" s="38"/>
      <c r="I930" s="57"/>
      <c r="J930" s="38"/>
      <c r="K930" s="38"/>
      <c r="L930" s="57"/>
      <c r="M930" s="38"/>
      <c r="N930" s="57"/>
      <c r="O930" s="38"/>
      <c r="P930" s="38"/>
      <c r="Q930" s="12"/>
    </row>
    <row r="931" spans="1:31" ht="23.1" customHeight="1" x14ac:dyDescent="0.15">
      <c r="D931" s="12"/>
      <c r="E931" s="12"/>
      <c r="F931" s="31"/>
      <c r="G931" s="15"/>
      <c r="H931" s="38"/>
      <c r="I931" s="57"/>
      <c r="J931" s="38"/>
      <c r="K931" s="38"/>
      <c r="L931" s="57"/>
      <c r="M931" s="38"/>
      <c r="N931" s="57"/>
      <c r="O931" s="38"/>
      <c r="P931" s="38"/>
      <c r="Q931" s="12"/>
    </row>
    <row r="932" spans="1:31" ht="23.1" customHeight="1" x14ac:dyDescent="0.15">
      <c r="D932" s="12"/>
      <c r="E932" s="12"/>
      <c r="F932" s="31"/>
      <c r="G932" s="15"/>
      <c r="H932" s="38"/>
      <c r="I932" s="57"/>
      <c r="J932" s="38"/>
      <c r="K932" s="38"/>
      <c r="L932" s="57"/>
      <c r="M932" s="38"/>
      <c r="N932" s="57"/>
      <c r="O932" s="38"/>
      <c r="P932" s="38"/>
      <c r="Q932" s="12"/>
    </row>
    <row r="933" spans="1:31" ht="23.1" customHeight="1" x14ac:dyDescent="0.15">
      <c r="D933" s="12"/>
      <c r="E933" s="12"/>
      <c r="F933" s="31"/>
      <c r="G933" s="15"/>
      <c r="H933" s="38"/>
      <c r="I933" s="57"/>
      <c r="J933" s="38"/>
      <c r="K933" s="38"/>
      <c r="L933" s="57"/>
      <c r="M933" s="38"/>
      <c r="N933" s="57"/>
      <c r="O933" s="38"/>
      <c r="P933" s="38"/>
      <c r="Q933" s="12"/>
    </row>
    <row r="934" spans="1:31" ht="23.1" customHeight="1" x14ac:dyDescent="0.15">
      <c r="D934" s="12"/>
      <c r="E934" s="12"/>
      <c r="F934" s="31"/>
      <c r="G934" s="15"/>
      <c r="H934" s="38"/>
      <c r="I934" s="57"/>
      <c r="J934" s="38"/>
      <c r="K934" s="38"/>
      <c r="L934" s="57"/>
      <c r="M934" s="38"/>
      <c r="N934" s="57"/>
      <c r="O934" s="38"/>
      <c r="P934" s="38"/>
      <c r="Q934" s="12"/>
    </row>
    <row r="935" spans="1:31" ht="23.1" customHeight="1" x14ac:dyDescent="0.15">
      <c r="D935" s="12"/>
      <c r="E935" s="12"/>
      <c r="F935" s="31"/>
      <c r="G935" s="15"/>
      <c r="H935" s="38"/>
      <c r="I935" s="57"/>
      <c r="J935" s="38"/>
      <c r="K935" s="38"/>
      <c r="L935" s="57"/>
      <c r="M935" s="38"/>
      <c r="N935" s="57"/>
      <c r="O935" s="38"/>
      <c r="P935" s="38"/>
      <c r="Q935" s="12"/>
    </row>
    <row r="936" spans="1:31" ht="23.1" customHeight="1" x14ac:dyDescent="0.15">
      <c r="D936" s="12"/>
      <c r="E936" s="12"/>
      <c r="F936" s="31"/>
      <c r="G936" s="15"/>
      <c r="H936" s="38"/>
      <c r="I936" s="57"/>
      <c r="J936" s="38"/>
      <c r="K936" s="38"/>
      <c r="L936" s="57"/>
      <c r="M936" s="38"/>
      <c r="N936" s="57"/>
      <c r="O936" s="38"/>
      <c r="P936" s="38"/>
      <c r="Q936" s="12"/>
    </row>
    <row r="937" spans="1:31" ht="23.1" customHeight="1" x14ac:dyDescent="0.15">
      <c r="D937" s="12"/>
      <c r="E937" s="12"/>
      <c r="F937" s="31"/>
      <c r="G937" s="15"/>
      <c r="H937" s="38"/>
      <c r="I937" s="57"/>
      <c r="J937" s="38"/>
      <c r="K937" s="38"/>
      <c r="L937" s="57"/>
      <c r="M937" s="38"/>
      <c r="N937" s="57"/>
      <c r="O937" s="38"/>
      <c r="P937" s="38"/>
      <c r="Q937" s="12"/>
    </row>
    <row r="938" spans="1:31" ht="23.1" customHeight="1" x14ac:dyDescent="0.15">
      <c r="D938" s="12"/>
      <c r="E938" s="12"/>
      <c r="F938" s="31"/>
      <c r="G938" s="15"/>
      <c r="H938" s="38"/>
      <c r="I938" s="57"/>
      <c r="J938" s="38"/>
      <c r="K938" s="38"/>
      <c r="L938" s="57"/>
      <c r="M938" s="38"/>
      <c r="N938" s="57"/>
      <c r="O938" s="38"/>
      <c r="P938" s="38"/>
      <c r="Q938" s="12"/>
    </row>
    <row r="939" spans="1:31" ht="23.1" customHeight="1" x14ac:dyDescent="0.15">
      <c r="B939" s="13" t="s">
        <v>2360</v>
      </c>
      <c r="D939" s="12" t="s">
        <v>2361</v>
      </c>
      <c r="E939" s="12"/>
      <c r="F939" s="31"/>
      <c r="G939" s="15"/>
      <c r="H939" s="38"/>
      <c r="I939" s="57">
        <f>TRUNC(SUM(I914:I938))</f>
        <v>11615988</v>
      </c>
      <c r="J939" s="38"/>
      <c r="K939" s="38"/>
      <c r="L939" s="57">
        <f>TRUNC(SUM(L914:L938))</f>
        <v>11438451</v>
      </c>
      <c r="M939" s="38"/>
      <c r="N939" s="57">
        <f>TRUNC(SUM(N914:N938))</f>
        <v>0</v>
      </c>
      <c r="O939" s="38" t="str">
        <f>IF((H939+K939+M939)=0, "", (H939+K939+M939))</f>
        <v/>
      </c>
      <c r="P939" s="38">
        <f>TRUNC(SUM(P914:P938))</f>
        <v>23054439</v>
      </c>
      <c r="Q939" s="12"/>
    </row>
    <row r="940" spans="1:31" ht="23.1" customHeight="1" x14ac:dyDescent="0.15">
      <c r="B940" s="13" t="s">
        <v>1448</v>
      </c>
      <c r="D940" s="170" t="s">
        <v>3189</v>
      </c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2"/>
    </row>
    <row r="941" spans="1:31" ht="23.1" customHeight="1" x14ac:dyDescent="0.15">
      <c r="A941" s="13" t="s">
        <v>1873</v>
      </c>
      <c r="B941" s="13" t="s">
        <v>3056</v>
      </c>
      <c r="C941" s="13" t="s">
        <v>1874</v>
      </c>
      <c r="D941" s="12" t="s">
        <v>317</v>
      </c>
      <c r="E941" s="12" t="s">
        <v>318</v>
      </c>
      <c r="F941" s="31" t="s">
        <v>166</v>
      </c>
      <c r="G941" s="15">
        <v>92</v>
      </c>
      <c r="H941" s="38">
        <f>일대목차!I63</f>
        <v>34904</v>
      </c>
      <c r="I941" s="57">
        <f t="shared" ref="I941:I962" si="162">TRUNC(G941*H941)</f>
        <v>3211168</v>
      </c>
      <c r="J941" s="38">
        <v>92</v>
      </c>
      <c r="K941" s="38">
        <f>일대목차!L63</f>
        <v>131364</v>
      </c>
      <c r="L941" s="57">
        <f t="shared" ref="L941:L962" si="163">TRUNC(G941*K941)</f>
        <v>12085488</v>
      </c>
      <c r="M941" s="38">
        <f>일대목차!N63</f>
        <v>0</v>
      </c>
      <c r="N941" s="57">
        <f t="shared" ref="N941:N962" si="164">TRUNC(G941*M941)</f>
        <v>0</v>
      </c>
      <c r="O941" s="38">
        <f t="shared" ref="O941:O962" si="165">IF((H941+K941+M941)=0, "", (H941+K941+M941))</f>
        <v>166268</v>
      </c>
      <c r="P941" s="38">
        <f t="shared" ref="P941:P962" si="166">SUM(I941,L941,N941)</f>
        <v>15296656</v>
      </c>
      <c r="Q941" s="12" t="s">
        <v>1875</v>
      </c>
      <c r="AE941" s="35">
        <f>L941</f>
        <v>12085488</v>
      </c>
    </row>
    <row r="942" spans="1:31" ht="23.1" customHeight="1" x14ac:dyDescent="0.15">
      <c r="A942" s="13" t="s">
        <v>1876</v>
      </c>
      <c r="B942" s="13" t="s">
        <v>3056</v>
      </c>
      <c r="C942" s="13" t="s">
        <v>1877</v>
      </c>
      <c r="D942" s="12" t="s">
        <v>322</v>
      </c>
      <c r="E942" s="12" t="s">
        <v>323</v>
      </c>
      <c r="F942" s="31" t="s">
        <v>200</v>
      </c>
      <c r="G942" s="15">
        <v>3</v>
      </c>
      <c r="H942" s="38">
        <f>일대목차!I64</f>
        <v>48857</v>
      </c>
      <c r="I942" s="57">
        <f t="shared" si="162"/>
        <v>146571</v>
      </c>
      <c r="J942" s="38">
        <v>3</v>
      </c>
      <c r="K942" s="38">
        <f>일대목차!L64</f>
        <v>131364</v>
      </c>
      <c r="L942" s="57">
        <f t="shared" si="163"/>
        <v>394092</v>
      </c>
      <c r="M942" s="38">
        <f>일대목차!N64</f>
        <v>0</v>
      </c>
      <c r="N942" s="57">
        <f t="shared" si="164"/>
        <v>0</v>
      </c>
      <c r="O942" s="38">
        <f t="shared" si="165"/>
        <v>180221</v>
      </c>
      <c r="P942" s="38">
        <f t="shared" si="166"/>
        <v>540663</v>
      </c>
      <c r="Q942" s="12" t="s">
        <v>1878</v>
      </c>
      <c r="AE942" s="35">
        <f>L942</f>
        <v>394092</v>
      </c>
    </row>
    <row r="943" spans="1:31" ht="23.1" customHeight="1" x14ac:dyDescent="0.15">
      <c r="A943" s="13" t="s">
        <v>1879</v>
      </c>
      <c r="B943" s="13" t="s">
        <v>3056</v>
      </c>
      <c r="C943" s="13" t="s">
        <v>1880</v>
      </c>
      <c r="D943" s="12" t="s">
        <v>322</v>
      </c>
      <c r="E943" s="12" t="s">
        <v>325</v>
      </c>
      <c r="F943" s="31" t="s">
        <v>200</v>
      </c>
      <c r="G943" s="15">
        <v>1</v>
      </c>
      <c r="H943" s="38">
        <f>일대목차!I65</f>
        <v>48857</v>
      </c>
      <c r="I943" s="57">
        <f t="shared" si="162"/>
        <v>48857</v>
      </c>
      <c r="J943" s="38">
        <v>1</v>
      </c>
      <c r="K943" s="38">
        <f>일대목차!L65</f>
        <v>131364</v>
      </c>
      <c r="L943" s="57">
        <f t="shared" si="163"/>
        <v>131364</v>
      </c>
      <c r="M943" s="38">
        <f>일대목차!N65</f>
        <v>0</v>
      </c>
      <c r="N943" s="57">
        <f t="shared" si="164"/>
        <v>0</v>
      </c>
      <c r="O943" s="38">
        <f t="shared" si="165"/>
        <v>180221</v>
      </c>
      <c r="P943" s="38">
        <f t="shared" si="166"/>
        <v>180221</v>
      </c>
      <c r="Q943" s="12" t="s">
        <v>1881</v>
      </c>
      <c r="AE943" s="35">
        <f>L943</f>
        <v>131364</v>
      </c>
    </row>
    <row r="944" spans="1:31" ht="23.1" customHeight="1" x14ac:dyDescent="0.15">
      <c r="A944" s="13" t="s">
        <v>1088</v>
      </c>
      <c r="B944" s="13" t="s">
        <v>3056</v>
      </c>
      <c r="C944" s="13" t="s">
        <v>326</v>
      </c>
      <c r="D944" s="12" t="s">
        <v>322</v>
      </c>
      <c r="E944" s="12" t="s">
        <v>327</v>
      </c>
      <c r="F944" s="31" t="s">
        <v>200</v>
      </c>
      <c r="G944" s="15">
        <v>83</v>
      </c>
      <c r="H944" s="38">
        <f>합산자재!H64</f>
        <v>754</v>
      </c>
      <c r="I944" s="57">
        <f t="shared" si="162"/>
        <v>62582</v>
      </c>
      <c r="J944" s="38">
        <v>83</v>
      </c>
      <c r="K944" s="38">
        <f>합산자재!I64</f>
        <v>0</v>
      </c>
      <c r="L944" s="57">
        <f t="shared" si="163"/>
        <v>0</v>
      </c>
      <c r="M944" s="38">
        <f>합산자재!J64</f>
        <v>0</v>
      </c>
      <c r="N944" s="57">
        <f t="shared" si="164"/>
        <v>0</v>
      </c>
      <c r="O944" s="38">
        <f t="shared" si="165"/>
        <v>754</v>
      </c>
      <c r="P944" s="38">
        <f t="shared" si="166"/>
        <v>62582</v>
      </c>
      <c r="Q944" s="12"/>
    </row>
    <row r="945" spans="1:31" ht="23.1" customHeight="1" x14ac:dyDescent="0.15">
      <c r="A945" s="13" t="s">
        <v>1089</v>
      </c>
      <c r="B945" s="13" t="s">
        <v>3056</v>
      </c>
      <c r="C945" s="13" t="s">
        <v>329</v>
      </c>
      <c r="D945" s="12" t="s">
        <v>322</v>
      </c>
      <c r="E945" s="12" t="s">
        <v>330</v>
      </c>
      <c r="F945" s="31" t="s">
        <v>200</v>
      </c>
      <c r="G945" s="15">
        <v>4830</v>
      </c>
      <c r="H945" s="38">
        <f>합산자재!H65</f>
        <v>55</v>
      </c>
      <c r="I945" s="57">
        <f t="shared" si="162"/>
        <v>265650</v>
      </c>
      <c r="J945" s="38">
        <v>4830</v>
      </c>
      <c r="K945" s="38">
        <f>합산자재!I65</f>
        <v>0</v>
      </c>
      <c r="L945" s="57">
        <f t="shared" si="163"/>
        <v>0</v>
      </c>
      <c r="M945" s="38">
        <f>합산자재!J65</f>
        <v>0</v>
      </c>
      <c r="N945" s="57">
        <f t="shared" si="164"/>
        <v>0</v>
      </c>
      <c r="O945" s="38">
        <f t="shared" si="165"/>
        <v>55</v>
      </c>
      <c r="P945" s="38">
        <f t="shared" si="166"/>
        <v>265650</v>
      </c>
      <c r="Q945" s="12"/>
    </row>
    <row r="946" spans="1:31" ht="23.1" customHeight="1" x14ac:dyDescent="0.15">
      <c r="A946" s="13" t="s">
        <v>1090</v>
      </c>
      <c r="B946" s="13" t="s">
        <v>3056</v>
      </c>
      <c r="C946" s="13" t="s">
        <v>331</v>
      </c>
      <c r="D946" s="12" t="s">
        <v>322</v>
      </c>
      <c r="E946" s="12" t="s">
        <v>332</v>
      </c>
      <c r="F946" s="31" t="s">
        <v>200</v>
      </c>
      <c r="G946" s="15">
        <v>241</v>
      </c>
      <c r="H946" s="38">
        <f>합산자재!H66</f>
        <v>2760</v>
      </c>
      <c r="I946" s="57">
        <f t="shared" si="162"/>
        <v>665160</v>
      </c>
      <c r="J946" s="38">
        <v>241</v>
      </c>
      <c r="K946" s="38">
        <f>합산자재!I66</f>
        <v>0</v>
      </c>
      <c r="L946" s="57">
        <f t="shared" si="163"/>
        <v>0</v>
      </c>
      <c r="M946" s="38">
        <f>합산자재!J66</f>
        <v>0</v>
      </c>
      <c r="N946" s="57">
        <f t="shared" si="164"/>
        <v>0</v>
      </c>
      <c r="O946" s="38">
        <f t="shared" si="165"/>
        <v>2760</v>
      </c>
      <c r="P946" s="38">
        <f t="shared" si="166"/>
        <v>665160</v>
      </c>
      <c r="Q946" s="12"/>
    </row>
    <row r="947" spans="1:31" ht="23.1" customHeight="1" x14ac:dyDescent="0.15">
      <c r="A947" s="13" t="s">
        <v>1092</v>
      </c>
      <c r="B947" s="13" t="s">
        <v>3056</v>
      </c>
      <c r="C947" s="13" t="s">
        <v>335</v>
      </c>
      <c r="D947" s="12" t="s">
        <v>322</v>
      </c>
      <c r="E947" s="12" t="s">
        <v>336</v>
      </c>
      <c r="F947" s="31" t="s">
        <v>200</v>
      </c>
      <c r="G947" s="15">
        <v>742</v>
      </c>
      <c r="H947" s="38">
        <f>합산자재!H68</f>
        <v>320</v>
      </c>
      <c r="I947" s="57">
        <f t="shared" si="162"/>
        <v>237440</v>
      </c>
      <c r="J947" s="38">
        <v>742</v>
      </c>
      <c r="K947" s="38">
        <f>합산자재!I68</f>
        <v>0</v>
      </c>
      <c r="L947" s="57">
        <f t="shared" si="163"/>
        <v>0</v>
      </c>
      <c r="M947" s="38">
        <f>합산자재!J68</f>
        <v>0</v>
      </c>
      <c r="N947" s="57">
        <f t="shared" si="164"/>
        <v>0</v>
      </c>
      <c r="O947" s="38">
        <f t="shared" si="165"/>
        <v>320</v>
      </c>
      <c r="P947" s="38">
        <f t="shared" si="166"/>
        <v>237440</v>
      </c>
      <c r="Q947" s="12"/>
    </row>
    <row r="948" spans="1:31" ht="23.1" customHeight="1" x14ac:dyDescent="0.15">
      <c r="A948" s="13" t="s">
        <v>1882</v>
      </c>
      <c r="B948" s="13" t="s">
        <v>3056</v>
      </c>
      <c r="C948" s="13" t="s">
        <v>1883</v>
      </c>
      <c r="D948" s="12" t="s">
        <v>317</v>
      </c>
      <c r="E948" s="12" t="s">
        <v>342</v>
      </c>
      <c r="F948" s="31" t="s">
        <v>166</v>
      </c>
      <c r="G948" s="15">
        <v>444</v>
      </c>
      <c r="H948" s="38">
        <f>일대목차!I66</f>
        <v>12499</v>
      </c>
      <c r="I948" s="57">
        <f t="shared" si="162"/>
        <v>5549556</v>
      </c>
      <c r="J948" s="38">
        <v>444</v>
      </c>
      <c r="K948" s="38">
        <f>일대목차!L66</f>
        <v>43788</v>
      </c>
      <c r="L948" s="57">
        <f t="shared" si="163"/>
        <v>19441872</v>
      </c>
      <c r="M948" s="38">
        <f>일대목차!N66</f>
        <v>0</v>
      </c>
      <c r="N948" s="57">
        <f t="shared" si="164"/>
        <v>0</v>
      </c>
      <c r="O948" s="38">
        <f t="shared" si="165"/>
        <v>56287</v>
      </c>
      <c r="P948" s="38">
        <f t="shared" si="166"/>
        <v>24991428</v>
      </c>
      <c r="Q948" s="12" t="s">
        <v>1884</v>
      </c>
      <c r="AE948" s="35">
        <f>L948</f>
        <v>19441872</v>
      </c>
    </row>
    <row r="949" spans="1:31" ht="23.1" customHeight="1" x14ac:dyDescent="0.15">
      <c r="A949" s="13" t="s">
        <v>1885</v>
      </c>
      <c r="B949" s="13" t="s">
        <v>3056</v>
      </c>
      <c r="C949" s="13" t="s">
        <v>1886</v>
      </c>
      <c r="D949" s="12" t="s">
        <v>322</v>
      </c>
      <c r="E949" s="12" t="s">
        <v>344</v>
      </c>
      <c r="F949" s="31" t="s">
        <v>200</v>
      </c>
      <c r="G949" s="15">
        <v>4</v>
      </c>
      <c r="H949" s="38">
        <f>일대목차!I67</f>
        <v>13785</v>
      </c>
      <c r="I949" s="57">
        <f t="shared" si="162"/>
        <v>55140</v>
      </c>
      <c r="J949" s="38">
        <v>4</v>
      </c>
      <c r="K949" s="38">
        <f>일대목차!L67</f>
        <v>43788</v>
      </c>
      <c r="L949" s="57">
        <f t="shared" si="163"/>
        <v>175152</v>
      </c>
      <c r="M949" s="38">
        <f>일대목차!N67</f>
        <v>0</v>
      </c>
      <c r="N949" s="57">
        <f t="shared" si="164"/>
        <v>0</v>
      </c>
      <c r="O949" s="38">
        <f t="shared" si="165"/>
        <v>57573</v>
      </c>
      <c r="P949" s="38">
        <f t="shared" si="166"/>
        <v>230292</v>
      </c>
      <c r="Q949" s="12" t="s">
        <v>1887</v>
      </c>
      <c r="AE949" s="35">
        <f>L949</f>
        <v>175152</v>
      </c>
    </row>
    <row r="950" spans="1:31" ht="23.1" customHeight="1" x14ac:dyDescent="0.15">
      <c r="A950" s="13" t="s">
        <v>1888</v>
      </c>
      <c r="B950" s="13" t="s">
        <v>3056</v>
      </c>
      <c r="C950" s="13" t="s">
        <v>1889</v>
      </c>
      <c r="D950" s="12" t="s">
        <v>322</v>
      </c>
      <c r="E950" s="12" t="s">
        <v>346</v>
      </c>
      <c r="F950" s="31" t="s">
        <v>200</v>
      </c>
      <c r="G950" s="15">
        <v>24</v>
      </c>
      <c r="H950" s="38">
        <f>일대목차!I68</f>
        <v>19075</v>
      </c>
      <c r="I950" s="57">
        <f t="shared" si="162"/>
        <v>457800</v>
      </c>
      <c r="J950" s="38">
        <v>24</v>
      </c>
      <c r="K950" s="38">
        <f>일대목차!L68</f>
        <v>43788</v>
      </c>
      <c r="L950" s="57">
        <f t="shared" si="163"/>
        <v>1050912</v>
      </c>
      <c r="M950" s="38">
        <f>일대목차!N68</f>
        <v>0</v>
      </c>
      <c r="N950" s="57">
        <f t="shared" si="164"/>
        <v>0</v>
      </c>
      <c r="O950" s="38">
        <f t="shared" si="165"/>
        <v>62863</v>
      </c>
      <c r="P950" s="38">
        <f t="shared" si="166"/>
        <v>1508712</v>
      </c>
      <c r="Q950" s="12" t="s">
        <v>1890</v>
      </c>
      <c r="AE950" s="35">
        <f>L950</f>
        <v>1050912</v>
      </c>
    </row>
    <row r="951" spans="1:31" ht="23.1" customHeight="1" x14ac:dyDescent="0.15">
      <c r="A951" s="13" t="s">
        <v>1098</v>
      </c>
      <c r="B951" s="13" t="s">
        <v>3056</v>
      </c>
      <c r="C951" s="13" t="s">
        <v>347</v>
      </c>
      <c r="D951" s="12" t="s">
        <v>322</v>
      </c>
      <c r="E951" s="12" t="s">
        <v>348</v>
      </c>
      <c r="F951" s="31" t="s">
        <v>200</v>
      </c>
      <c r="G951" s="15">
        <v>395</v>
      </c>
      <c r="H951" s="38">
        <f>합산자재!H74</f>
        <v>1800</v>
      </c>
      <c r="I951" s="57">
        <f t="shared" si="162"/>
        <v>711000</v>
      </c>
      <c r="J951" s="38">
        <v>395</v>
      </c>
      <c r="K951" s="38">
        <f>합산자재!I74</f>
        <v>0</v>
      </c>
      <c r="L951" s="57">
        <f t="shared" si="163"/>
        <v>0</v>
      </c>
      <c r="M951" s="38">
        <f>합산자재!J74</f>
        <v>0</v>
      </c>
      <c r="N951" s="57">
        <f t="shared" si="164"/>
        <v>0</v>
      </c>
      <c r="O951" s="38">
        <f t="shared" si="165"/>
        <v>1800</v>
      </c>
      <c r="P951" s="38">
        <f t="shared" si="166"/>
        <v>711000</v>
      </c>
      <c r="Q951" s="12"/>
    </row>
    <row r="952" spans="1:31" ht="23.1" customHeight="1" x14ac:dyDescent="0.15">
      <c r="A952" s="13" t="s">
        <v>1891</v>
      </c>
      <c r="B952" s="13" t="s">
        <v>3056</v>
      </c>
      <c r="C952" s="13" t="s">
        <v>1892</v>
      </c>
      <c r="D952" s="12" t="s">
        <v>351</v>
      </c>
      <c r="E952" s="12" t="s">
        <v>352</v>
      </c>
      <c r="F952" s="31" t="s">
        <v>166</v>
      </c>
      <c r="G952" s="15">
        <v>18</v>
      </c>
      <c r="H952" s="38">
        <f>일대목차!I69</f>
        <v>16311</v>
      </c>
      <c r="I952" s="57">
        <f t="shared" si="162"/>
        <v>293598</v>
      </c>
      <c r="J952" s="38">
        <v>18</v>
      </c>
      <c r="K952" s="38">
        <f>일대목차!L69</f>
        <v>123154</v>
      </c>
      <c r="L952" s="57">
        <f t="shared" si="163"/>
        <v>2216772</v>
      </c>
      <c r="M952" s="38">
        <f>일대목차!N69</f>
        <v>0</v>
      </c>
      <c r="N952" s="57">
        <f t="shared" si="164"/>
        <v>0</v>
      </c>
      <c r="O952" s="38">
        <f t="shared" si="165"/>
        <v>139465</v>
      </c>
      <c r="P952" s="38">
        <f t="shared" si="166"/>
        <v>2510370</v>
      </c>
      <c r="Q952" s="12" t="s">
        <v>1893</v>
      </c>
      <c r="AE952" s="35">
        <f t="shared" ref="AE952:AE962" si="167">L952</f>
        <v>2216772</v>
      </c>
    </row>
    <row r="953" spans="1:31" ht="23.1" customHeight="1" x14ac:dyDescent="0.15">
      <c r="A953" s="13" t="s">
        <v>1894</v>
      </c>
      <c r="B953" s="13" t="s">
        <v>3056</v>
      </c>
      <c r="C953" s="13" t="s">
        <v>1895</v>
      </c>
      <c r="D953" s="12" t="s">
        <v>354</v>
      </c>
      <c r="E953" s="12" t="s">
        <v>355</v>
      </c>
      <c r="F953" s="31" t="s">
        <v>200</v>
      </c>
      <c r="G953" s="15">
        <v>1</v>
      </c>
      <c r="H953" s="38">
        <f>일대목차!I70</f>
        <v>20560</v>
      </c>
      <c r="I953" s="57">
        <f t="shared" si="162"/>
        <v>20560</v>
      </c>
      <c r="J953" s="38">
        <v>1</v>
      </c>
      <c r="K953" s="38">
        <f>일대목차!L70</f>
        <v>123154</v>
      </c>
      <c r="L953" s="57">
        <f t="shared" si="163"/>
        <v>123154</v>
      </c>
      <c r="M953" s="38">
        <f>일대목차!N70</f>
        <v>0</v>
      </c>
      <c r="N953" s="57">
        <f t="shared" si="164"/>
        <v>0</v>
      </c>
      <c r="O953" s="38">
        <f t="shared" si="165"/>
        <v>143714</v>
      </c>
      <c r="P953" s="38">
        <f t="shared" si="166"/>
        <v>143714</v>
      </c>
      <c r="Q953" s="12" t="s">
        <v>1896</v>
      </c>
      <c r="AE953" s="35">
        <f t="shared" si="167"/>
        <v>123154</v>
      </c>
    </row>
    <row r="954" spans="1:31" ht="23.1" customHeight="1" x14ac:dyDescent="0.15">
      <c r="A954" s="13" t="s">
        <v>1897</v>
      </c>
      <c r="B954" s="13" t="s">
        <v>3056</v>
      </c>
      <c r="C954" s="13" t="s">
        <v>1898</v>
      </c>
      <c r="D954" s="12" t="s">
        <v>354</v>
      </c>
      <c r="E954" s="12" t="s">
        <v>357</v>
      </c>
      <c r="F954" s="31" t="s">
        <v>200</v>
      </c>
      <c r="G954" s="15">
        <v>1</v>
      </c>
      <c r="H954" s="38">
        <f>일대목차!I71</f>
        <v>20560</v>
      </c>
      <c r="I954" s="57">
        <f t="shared" si="162"/>
        <v>20560</v>
      </c>
      <c r="J954" s="38">
        <v>1</v>
      </c>
      <c r="K954" s="38">
        <f>일대목차!L71</f>
        <v>123154</v>
      </c>
      <c r="L954" s="57">
        <f t="shared" si="163"/>
        <v>123154</v>
      </c>
      <c r="M954" s="38">
        <f>일대목차!N71</f>
        <v>0</v>
      </c>
      <c r="N954" s="57">
        <f t="shared" si="164"/>
        <v>0</v>
      </c>
      <c r="O954" s="38">
        <f t="shared" si="165"/>
        <v>143714</v>
      </c>
      <c r="P954" s="38">
        <f t="shared" si="166"/>
        <v>143714</v>
      </c>
      <c r="Q954" s="12" t="s">
        <v>1899</v>
      </c>
      <c r="AE954" s="35">
        <f t="shared" si="167"/>
        <v>123154</v>
      </c>
    </row>
    <row r="955" spans="1:31" ht="23.1" customHeight="1" x14ac:dyDescent="0.15">
      <c r="A955" s="13" t="s">
        <v>1933</v>
      </c>
      <c r="B955" s="13" t="s">
        <v>3056</v>
      </c>
      <c r="C955" s="13" t="s">
        <v>1934</v>
      </c>
      <c r="D955" s="12" t="s">
        <v>408</v>
      </c>
      <c r="E955" s="12" t="s">
        <v>427</v>
      </c>
      <c r="F955" s="31" t="s">
        <v>166</v>
      </c>
      <c r="G955" s="15">
        <v>554</v>
      </c>
      <c r="H955" s="38">
        <f>일대목차!I83</f>
        <v>14906</v>
      </c>
      <c r="I955" s="57">
        <f t="shared" si="162"/>
        <v>8257924</v>
      </c>
      <c r="J955" s="38">
        <v>554</v>
      </c>
      <c r="K955" s="38">
        <f>일대목차!L83</f>
        <v>3284</v>
      </c>
      <c r="L955" s="57">
        <f t="shared" si="163"/>
        <v>1819336</v>
      </c>
      <c r="M955" s="38">
        <f>일대목차!N83</f>
        <v>0</v>
      </c>
      <c r="N955" s="57">
        <f t="shared" si="164"/>
        <v>0</v>
      </c>
      <c r="O955" s="38">
        <f t="shared" si="165"/>
        <v>18190</v>
      </c>
      <c r="P955" s="38">
        <f t="shared" si="166"/>
        <v>10077260</v>
      </c>
      <c r="Q955" s="12" t="s">
        <v>1935</v>
      </c>
      <c r="AC955" s="35">
        <f>G955*H955</f>
        <v>8257924</v>
      </c>
      <c r="AE955" s="35">
        <f t="shared" si="167"/>
        <v>1819336</v>
      </c>
    </row>
    <row r="956" spans="1:31" ht="23.1" customHeight="1" x14ac:dyDescent="0.15">
      <c r="A956" s="13" t="s">
        <v>1700</v>
      </c>
      <c r="B956" s="13" t="s">
        <v>3056</v>
      </c>
      <c r="C956" s="13" t="s">
        <v>1701</v>
      </c>
      <c r="D956" s="12" t="s">
        <v>1703</v>
      </c>
      <c r="E956" s="12" t="s">
        <v>1704</v>
      </c>
      <c r="F956" s="31" t="s">
        <v>792</v>
      </c>
      <c r="G956" s="15">
        <v>12</v>
      </c>
      <c r="H956" s="38">
        <f>일대목차!I13</f>
        <v>40646</v>
      </c>
      <c r="I956" s="57">
        <f t="shared" si="162"/>
        <v>487752</v>
      </c>
      <c r="J956" s="38">
        <v>12</v>
      </c>
      <c r="K956" s="38">
        <f>일대목차!L13</f>
        <v>19704</v>
      </c>
      <c r="L956" s="57">
        <f t="shared" si="163"/>
        <v>236448</v>
      </c>
      <c r="M956" s="38">
        <f>일대목차!N13</f>
        <v>0</v>
      </c>
      <c r="N956" s="57">
        <f t="shared" si="164"/>
        <v>0</v>
      </c>
      <c r="O956" s="38">
        <f t="shared" si="165"/>
        <v>60350</v>
      </c>
      <c r="P956" s="38">
        <f t="shared" si="166"/>
        <v>724200</v>
      </c>
      <c r="Q956" s="12" t="s">
        <v>1702</v>
      </c>
      <c r="AE956" s="35">
        <f t="shared" si="167"/>
        <v>236448</v>
      </c>
    </row>
    <row r="957" spans="1:31" ht="23.1" customHeight="1" x14ac:dyDescent="0.15">
      <c r="A957" s="13" t="s">
        <v>1705</v>
      </c>
      <c r="B957" s="13" t="s">
        <v>3056</v>
      </c>
      <c r="C957" s="13" t="s">
        <v>1706</v>
      </c>
      <c r="D957" s="12" t="s">
        <v>1703</v>
      </c>
      <c r="E957" s="12" t="s">
        <v>1708</v>
      </c>
      <c r="F957" s="31" t="s">
        <v>792</v>
      </c>
      <c r="G957" s="15">
        <v>295</v>
      </c>
      <c r="H957" s="38">
        <f>일대목차!I14</f>
        <v>41036</v>
      </c>
      <c r="I957" s="57">
        <f t="shared" si="162"/>
        <v>12105620</v>
      </c>
      <c r="J957" s="38">
        <v>295</v>
      </c>
      <c r="K957" s="38">
        <f>일대목차!L14</f>
        <v>19704</v>
      </c>
      <c r="L957" s="57">
        <f t="shared" si="163"/>
        <v>5812680</v>
      </c>
      <c r="M957" s="38">
        <f>일대목차!N14</f>
        <v>0</v>
      </c>
      <c r="N957" s="57">
        <f t="shared" si="164"/>
        <v>0</v>
      </c>
      <c r="O957" s="38">
        <f t="shared" si="165"/>
        <v>60740</v>
      </c>
      <c r="P957" s="38">
        <f t="shared" si="166"/>
        <v>17918300</v>
      </c>
      <c r="Q957" s="12" t="s">
        <v>1707</v>
      </c>
      <c r="AE957" s="35">
        <f t="shared" si="167"/>
        <v>5812680</v>
      </c>
    </row>
    <row r="958" spans="1:31" ht="23.1" customHeight="1" x14ac:dyDescent="0.15">
      <c r="A958" s="13" t="s">
        <v>1709</v>
      </c>
      <c r="B958" s="13" t="s">
        <v>3056</v>
      </c>
      <c r="C958" s="13" t="s">
        <v>1710</v>
      </c>
      <c r="D958" s="12" t="s">
        <v>1703</v>
      </c>
      <c r="E958" s="12" t="s">
        <v>1712</v>
      </c>
      <c r="F958" s="31" t="s">
        <v>792</v>
      </c>
      <c r="G958" s="15">
        <v>38</v>
      </c>
      <c r="H958" s="38">
        <f>일대목차!I15</f>
        <v>42986</v>
      </c>
      <c r="I958" s="57">
        <f t="shared" si="162"/>
        <v>1633468</v>
      </c>
      <c r="J958" s="38">
        <v>38</v>
      </c>
      <c r="K958" s="38">
        <f>일대목차!L15</f>
        <v>19704</v>
      </c>
      <c r="L958" s="57">
        <f t="shared" si="163"/>
        <v>748752</v>
      </c>
      <c r="M958" s="38">
        <f>일대목차!N15</f>
        <v>0</v>
      </c>
      <c r="N958" s="57">
        <f t="shared" si="164"/>
        <v>0</v>
      </c>
      <c r="O958" s="38">
        <f t="shared" si="165"/>
        <v>62690</v>
      </c>
      <c r="P958" s="38">
        <f t="shared" si="166"/>
        <v>2382220</v>
      </c>
      <c r="Q958" s="12" t="s">
        <v>1711</v>
      </c>
      <c r="AE958" s="35">
        <f t="shared" si="167"/>
        <v>748752</v>
      </c>
    </row>
    <row r="959" spans="1:31" ht="23.1" customHeight="1" x14ac:dyDescent="0.15">
      <c r="A959" s="13" t="s">
        <v>1713</v>
      </c>
      <c r="B959" s="13" t="s">
        <v>3056</v>
      </c>
      <c r="C959" s="13" t="s">
        <v>1714</v>
      </c>
      <c r="D959" s="12" t="s">
        <v>1716</v>
      </c>
      <c r="E959" s="12" t="s">
        <v>1712</v>
      </c>
      <c r="F959" s="31" t="s">
        <v>792</v>
      </c>
      <c r="G959" s="15">
        <v>21</v>
      </c>
      <c r="H959" s="38">
        <f>일대목차!I16</f>
        <v>41332</v>
      </c>
      <c r="I959" s="57">
        <f t="shared" si="162"/>
        <v>867972</v>
      </c>
      <c r="J959" s="38">
        <v>21</v>
      </c>
      <c r="K959" s="38">
        <f>일대목차!L16</f>
        <v>19704</v>
      </c>
      <c r="L959" s="57">
        <f t="shared" si="163"/>
        <v>413784</v>
      </c>
      <c r="M959" s="38">
        <f>일대목차!N16</f>
        <v>0</v>
      </c>
      <c r="N959" s="57">
        <f t="shared" si="164"/>
        <v>0</v>
      </c>
      <c r="O959" s="38">
        <f t="shared" si="165"/>
        <v>61036</v>
      </c>
      <c r="P959" s="38">
        <f t="shared" si="166"/>
        <v>1281756</v>
      </c>
      <c r="Q959" s="12" t="s">
        <v>1715</v>
      </c>
      <c r="AE959" s="35">
        <f t="shared" si="167"/>
        <v>413784</v>
      </c>
    </row>
    <row r="960" spans="1:31" ht="23.1" customHeight="1" x14ac:dyDescent="0.15">
      <c r="A960" s="13" t="s">
        <v>1768</v>
      </c>
      <c r="B960" s="13" t="s">
        <v>3056</v>
      </c>
      <c r="C960" s="13" t="s">
        <v>1769</v>
      </c>
      <c r="D960" s="12" t="s">
        <v>1771</v>
      </c>
      <c r="E960" s="12" t="s">
        <v>1772</v>
      </c>
      <c r="F960" s="31" t="s">
        <v>554</v>
      </c>
      <c r="G960" s="15">
        <v>1</v>
      </c>
      <c r="H960" s="38">
        <f>일대목차!I30</f>
        <v>20109</v>
      </c>
      <c r="I960" s="57">
        <f t="shared" si="162"/>
        <v>20109</v>
      </c>
      <c r="J960" s="38">
        <v>1</v>
      </c>
      <c r="K960" s="38">
        <f>일대목차!L30</f>
        <v>42187</v>
      </c>
      <c r="L960" s="57">
        <f t="shared" si="163"/>
        <v>42187</v>
      </c>
      <c r="M960" s="38">
        <f>일대목차!N30</f>
        <v>0</v>
      </c>
      <c r="N960" s="57">
        <f t="shared" si="164"/>
        <v>0</v>
      </c>
      <c r="O960" s="38">
        <f t="shared" si="165"/>
        <v>62296</v>
      </c>
      <c r="P960" s="38">
        <f t="shared" si="166"/>
        <v>62296</v>
      </c>
      <c r="Q960" s="12" t="s">
        <v>1770</v>
      </c>
      <c r="AE960" s="35">
        <f t="shared" si="167"/>
        <v>42187</v>
      </c>
    </row>
    <row r="961" spans="1:31" ht="23.1" customHeight="1" x14ac:dyDescent="0.15">
      <c r="A961" s="13" t="s">
        <v>1773</v>
      </c>
      <c r="B961" s="13" t="s">
        <v>3056</v>
      </c>
      <c r="C961" s="13" t="s">
        <v>1774</v>
      </c>
      <c r="D961" s="12" t="s">
        <v>1771</v>
      </c>
      <c r="E961" s="12" t="s">
        <v>1776</v>
      </c>
      <c r="F961" s="31" t="s">
        <v>554</v>
      </c>
      <c r="G961" s="15">
        <v>8</v>
      </c>
      <c r="H961" s="38">
        <f>일대목차!I31</f>
        <v>30034</v>
      </c>
      <c r="I961" s="57">
        <f t="shared" si="162"/>
        <v>240272</v>
      </c>
      <c r="J961" s="38">
        <v>8</v>
      </c>
      <c r="K961" s="38">
        <f>일대목차!L31</f>
        <v>63006</v>
      </c>
      <c r="L961" s="57">
        <f t="shared" si="163"/>
        <v>504048</v>
      </c>
      <c r="M961" s="38">
        <f>일대목차!N31</f>
        <v>0</v>
      </c>
      <c r="N961" s="57">
        <f t="shared" si="164"/>
        <v>0</v>
      </c>
      <c r="O961" s="38">
        <f t="shared" si="165"/>
        <v>93040</v>
      </c>
      <c r="P961" s="38">
        <f t="shared" si="166"/>
        <v>744320</v>
      </c>
      <c r="Q961" s="12" t="s">
        <v>1775</v>
      </c>
      <c r="AE961" s="35">
        <f t="shared" si="167"/>
        <v>504048</v>
      </c>
    </row>
    <row r="962" spans="1:31" ht="23.1" customHeight="1" x14ac:dyDescent="0.15">
      <c r="A962" s="13" t="s">
        <v>1777</v>
      </c>
      <c r="B962" s="13" t="s">
        <v>3056</v>
      </c>
      <c r="C962" s="13" t="s">
        <v>1778</v>
      </c>
      <c r="D962" s="12" t="s">
        <v>1771</v>
      </c>
      <c r="E962" s="12" t="s">
        <v>1780</v>
      </c>
      <c r="F962" s="31" t="s">
        <v>554</v>
      </c>
      <c r="G962" s="15">
        <v>12</v>
      </c>
      <c r="H962" s="38">
        <f>일대목차!I32</f>
        <v>80178</v>
      </c>
      <c r="I962" s="57">
        <f t="shared" si="162"/>
        <v>962136</v>
      </c>
      <c r="J962" s="38">
        <v>12</v>
      </c>
      <c r="K962" s="38">
        <f>일대목차!L32</f>
        <v>168201</v>
      </c>
      <c r="L962" s="57">
        <f t="shared" si="163"/>
        <v>2018412</v>
      </c>
      <c r="M962" s="38">
        <f>일대목차!N32</f>
        <v>0</v>
      </c>
      <c r="N962" s="57">
        <f t="shared" si="164"/>
        <v>0</v>
      </c>
      <c r="O962" s="38">
        <f t="shared" si="165"/>
        <v>248379</v>
      </c>
      <c r="P962" s="38">
        <f t="shared" si="166"/>
        <v>2980548</v>
      </c>
      <c r="Q962" s="12" t="s">
        <v>1779</v>
      </c>
      <c r="AE962" s="35">
        <f t="shared" si="167"/>
        <v>2018412</v>
      </c>
    </row>
    <row r="963" spans="1:31" ht="23.1" customHeight="1" x14ac:dyDescent="0.15">
      <c r="D963" s="12"/>
      <c r="E963" s="12"/>
      <c r="F963" s="31"/>
      <c r="G963" s="15"/>
      <c r="H963" s="38"/>
      <c r="I963" s="57"/>
      <c r="J963" s="38"/>
      <c r="K963" s="38"/>
      <c r="L963" s="57"/>
      <c r="M963" s="38"/>
      <c r="N963" s="57"/>
      <c r="O963" s="38"/>
      <c r="P963" s="38"/>
      <c r="Q963" s="12"/>
      <c r="AE963" s="35">
        <f>TRUNC(SUM(AE940:AE962))</f>
        <v>47337607</v>
      </c>
    </row>
    <row r="964" spans="1:31" ht="23.1" customHeight="1" x14ac:dyDescent="0.15">
      <c r="D964" s="12"/>
      <c r="E964" s="12"/>
      <c r="F964" s="31"/>
      <c r="G964" s="15"/>
      <c r="H964" s="38"/>
      <c r="I964" s="57"/>
      <c r="J964" s="38"/>
      <c r="K964" s="38"/>
      <c r="L964" s="57"/>
      <c r="M964" s="38"/>
      <c r="N964" s="57"/>
      <c r="O964" s="38"/>
      <c r="P964" s="38"/>
      <c r="Q964" s="12"/>
    </row>
    <row r="965" spans="1:31" ht="23.1" customHeight="1" x14ac:dyDescent="0.15">
      <c r="B965" s="13" t="s">
        <v>2360</v>
      </c>
      <c r="D965" s="12" t="s">
        <v>2361</v>
      </c>
      <c r="E965" s="12"/>
      <c r="F965" s="31"/>
      <c r="G965" s="15"/>
      <c r="H965" s="38"/>
      <c r="I965" s="57">
        <f>TRUNC(SUM(I940:I964))</f>
        <v>36320895</v>
      </c>
      <c r="J965" s="38"/>
      <c r="K965" s="38"/>
      <c r="L965" s="57">
        <f>TRUNC(SUM(L940:L964))</f>
        <v>47337607</v>
      </c>
      <c r="M965" s="38"/>
      <c r="N965" s="57">
        <f>TRUNC(SUM(N940:N964))</f>
        <v>0</v>
      </c>
      <c r="O965" s="38" t="str">
        <f>IF((H965+K965+M965)=0, "", (H965+K965+M965))</f>
        <v/>
      </c>
      <c r="P965" s="38">
        <f>TRUNC(SUM(P940:P964))</f>
        <v>83658502</v>
      </c>
      <c r="Q965" s="12"/>
    </row>
    <row r="966" spans="1:31" ht="23.1" customHeight="1" x14ac:dyDescent="0.15">
      <c r="B966" s="13" t="s">
        <v>1448</v>
      </c>
      <c r="D966" s="170" t="s">
        <v>3190</v>
      </c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2"/>
    </row>
    <row r="967" spans="1:31" ht="23.1" customHeight="1" x14ac:dyDescent="0.15">
      <c r="A967" s="13" t="s">
        <v>1857</v>
      </c>
      <c r="B967" s="13" t="s">
        <v>3057</v>
      </c>
      <c r="C967" s="13" t="s">
        <v>1858</v>
      </c>
      <c r="D967" s="12" t="s">
        <v>291</v>
      </c>
      <c r="E967" s="12" t="s">
        <v>294</v>
      </c>
      <c r="F967" s="31" t="s">
        <v>200</v>
      </c>
      <c r="G967" s="15">
        <v>4</v>
      </c>
      <c r="H967" s="38">
        <f>일대목차!I58</f>
        <v>5563</v>
      </c>
      <c r="I967" s="57">
        <f t="shared" ref="I967:I979" si="168">TRUNC(G967*H967)</f>
        <v>22252</v>
      </c>
      <c r="J967" s="38">
        <v>4</v>
      </c>
      <c r="K967" s="38">
        <f>일대목차!L58</f>
        <v>135469</v>
      </c>
      <c r="L967" s="57">
        <f t="shared" ref="L967:L979" si="169">TRUNC(G967*K967)</f>
        <v>541876</v>
      </c>
      <c r="M967" s="38">
        <f>일대목차!N58</f>
        <v>0</v>
      </c>
      <c r="N967" s="57">
        <f t="shared" ref="N967:N979" si="170">TRUNC(G967*M967)</f>
        <v>0</v>
      </c>
      <c r="O967" s="38">
        <f t="shared" ref="O967:O979" si="171">IF((H967+K967+M967)=0, "", (H967+K967+M967))</f>
        <v>141032</v>
      </c>
      <c r="P967" s="38">
        <f t="shared" ref="P967:P979" si="172">SUM(I967,L967,N967)</f>
        <v>564128</v>
      </c>
      <c r="Q967" s="12" t="s">
        <v>1859</v>
      </c>
      <c r="AE967" s="35">
        <f t="shared" ref="AE967:AE973" si="173">L967</f>
        <v>541876</v>
      </c>
    </row>
    <row r="968" spans="1:31" ht="23.1" customHeight="1" x14ac:dyDescent="0.15">
      <c r="A968" s="13" t="s">
        <v>1960</v>
      </c>
      <c r="B968" s="13" t="s">
        <v>3057</v>
      </c>
      <c r="C968" s="13" t="s">
        <v>1961</v>
      </c>
      <c r="D968" s="12" t="s">
        <v>445</v>
      </c>
      <c r="E968" s="12" t="s">
        <v>452</v>
      </c>
      <c r="F968" s="31" t="s">
        <v>166</v>
      </c>
      <c r="G968" s="15">
        <v>20</v>
      </c>
      <c r="H968" s="38">
        <f>일대목차!I92</f>
        <v>3073</v>
      </c>
      <c r="I968" s="57">
        <f t="shared" si="168"/>
        <v>61460</v>
      </c>
      <c r="J968" s="38">
        <v>20</v>
      </c>
      <c r="K968" s="38">
        <f>일대목차!L92</f>
        <v>6691</v>
      </c>
      <c r="L968" s="57">
        <f t="shared" si="169"/>
        <v>133820</v>
      </c>
      <c r="M968" s="38">
        <f>일대목차!N92</f>
        <v>0</v>
      </c>
      <c r="N968" s="57">
        <f t="shared" si="170"/>
        <v>0</v>
      </c>
      <c r="O968" s="38">
        <f t="shared" si="171"/>
        <v>9764</v>
      </c>
      <c r="P968" s="38">
        <f t="shared" si="172"/>
        <v>195280</v>
      </c>
      <c r="Q968" s="12" t="s">
        <v>1962</v>
      </c>
      <c r="AC968" s="35">
        <f>G968*H968</f>
        <v>61460</v>
      </c>
      <c r="AE968" s="35">
        <f t="shared" si="173"/>
        <v>133820</v>
      </c>
    </row>
    <row r="969" spans="1:31" ht="23.1" customHeight="1" x14ac:dyDescent="0.15">
      <c r="A969" s="13" t="s">
        <v>2011</v>
      </c>
      <c r="B969" s="13" t="s">
        <v>3057</v>
      </c>
      <c r="C969" s="13" t="s">
        <v>2012</v>
      </c>
      <c r="D969" s="12" t="s">
        <v>499</v>
      </c>
      <c r="E969" s="12" t="s">
        <v>500</v>
      </c>
      <c r="F969" s="31" t="s">
        <v>166</v>
      </c>
      <c r="G969" s="15">
        <v>35</v>
      </c>
      <c r="H969" s="38">
        <f>일대목차!I109</f>
        <v>560</v>
      </c>
      <c r="I969" s="57">
        <f t="shared" si="168"/>
        <v>19600</v>
      </c>
      <c r="J969" s="38">
        <v>35</v>
      </c>
      <c r="K969" s="38">
        <f>일대목차!L109</f>
        <v>6543</v>
      </c>
      <c r="L969" s="57">
        <f t="shared" si="169"/>
        <v>229005</v>
      </c>
      <c r="M969" s="38">
        <f>일대목차!N109</f>
        <v>0</v>
      </c>
      <c r="N969" s="57">
        <f t="shared" si="170"/>
        <v>0</v>
      </c>
      <c r="O969" s="38">
        <f t="shared" si="171"/>
        <v>7103</v>
      </c>
      <c r="P969" s="38">
        <f t="shared" si="172"/>
        <v>248605</v>
      </c>
      <c r="Q969" s="12" t="s">
        <v>2013</v>
      </c>
      <c r="AC969" s="35">
        <f>G969*H969</f>
        <v>19600</v>
      </c>
      <c r="AE969" s="35">
        <f t="shared" si="173"/>
        <v>229005</v>
      </c>
    </row>
    <row r="970" spans="1:31" ht="23.1" customHeight="1" x14ac:dyDescent="0.15">
      <c r="A970" s="13" t="s">
        <v>1671</v>
      </c>
      <c r="B970" s="13" t="s">
        <v>3057</v>
      </c>
      <c r="C970" s="13" t="s">
        <v>1672</v>
      </c>
      <c r="D970" s="12" t="s">
        <v>1674</v>
      </c>
      <c r="E970" s="12" t="s">
        <v>1675</v>
      </c>
      <c r="F970" s="31" t="s">
        <v>792</v>
      </c>
      <c r="G970" s="15">
        <v>70</v>
      </c>
      <c r="H970" s="38">
        <f>일대목차!I6</f>
        <v>19534</v>
      </c>
      <c r="I970" s="57">
        <f t="shared" si="168"/>
        <v>1367380</v>
      </c>
      <c r="J970" s="38">
        <v>70</v>
      </c>
      <c r="K970" s="38">
        <f>일대목차!L6</f>
        <v>9852</v>
      </c>
      <c r="L970" s="57">
        <f t="shared" si="169"/>
        <v>689640</v>
      </c>
      <c r="M970" s="38">
        <f>일대목차!N6</f>
        <v>0</v>
      </c>
      <c r="N970" s="57">
        <f t="shared" si="170"/>
        <v>0</v>
      </c>
      <c r="O970" s="38">
        <f t="shared" si="171"/>
        <v>29386</v>
      </c>
      <c r="P970" s="38">
        <f t="shared" si="172"/>
        <v>2057020</v>
      </c>
      <c r="Q970" s="12" t="s">
        <v>1673</v>
      </c>
      <c r="AE970" s="35">
        <f t="shared" si="173"/>
        <v>689640</v>
      </c>
    </row>
    <row r="971" spans="1:31" ht="23.1" customHeight="1" x14ac:dyDescent="0.15">
      <c r="A971" s="13" t="s">
        <v>1676</v>
      </c>
      <c r="B971" s="13" t="s">
        <v>3057</v>
      </c>
      <c r="C971" s="13" t="s">
        <v>1677</v>
      </c>
      <c r="D971" s="12" t="s">
        <v>1674</v>
      </c>
      <c r="E971" s="12" t="s">
        <v>1679</v>
      </c>
      <c r="F971" s="31" t="s">
        <v>792</v>
      </c>
      <c r="G971" s="15">
        <v>10</v>
      </c>
      <c r="H971" s="38">
        <f>일대목차!I7</f>
        <v>19539</v>
      </c>
      <c r="I971" s="57">
        <f t="shared" si="168"/>
        <v>195390</v>
      </c>
      <c r="J971" s="38">
        <v>10</v>
      </c>
      <c r="K971" s="38">
        <f>일대목차!L7</f>
        <v>9852</v>
      </c>
      <c r="L971" s="57">
        <f t="shared" si="169"/>
        <v>98520</v>
      </c>
      <c r="M971" s="38">
        <f>일대목차!N7</f>
        <v>0</v>
      </c>
      <c r="N971" s="57">
        <f t="shared" si="170"/>
        <v>0</v>
      </c>
      <c r="O971" s="38">
        <f t="shared" si="171"/>
        <v>29391</v>
      </c>
      <c r="P971" s="38">
        <f t="shared" si="172"/>
        <v>293910</v>
      </c>
      <c r="Q971" s="12" t="s">
        <v>1678</v>
      </c>
      <c r="AE971" s="35">
        <f t="shared" si="173"/>
        <v>98520</v>
      </c>
    </row>
    <row r="972" spans="1:31" ht="23.1" customHeight="1" x14ac:dyDescent="0.15">
      <c r="A972" s="13" t="s">
        <v>2101</v>
      </c>
      <c r="B972" s="13" t="s">
        <v>3057</v>
      </c>
      <c r="C972" s="13" t="s">
        <v>2102</v>
      </c>
      <c r="D972" s="12" t="s">
        <v>656</v>
      </c>
      <c r="E972" s="12" t="s">
        <v>657</v>
      </c>
      <c r="F972" s="31" t="s">
        <v>166</v>
      </c>
      <c r="G972" s="15">
        <v>105</v>
      </c>
      <c r="H972" s="38">
        <f>일대목차!I139</f>
        <v>3045</v>
      </c>
      <c r="I972" s="57">
        <f t="shared" si="168"/>
        <v>319725</v>
      </c>
      <c r="J972" s="38">
        <v>105</v>
      </c>
      <c r="K972" s="38">
        <f>일대목차!L139</f>
        <v>14778</v>
      </c>
      <c r="L972" s="57">
        <f t="shared" si="169"/>
        <v>1551690</v>
      </c>
      <c r="M972" s="38">
        <f>일대목차!N139</f>
        <v>0</v>
      </c>
      <c r="N972" s="57">
        <f t="shared" si="170"/>
        <v>0</v>
      </c>
      <c r="O972" s="38">
        <f t="shared" si="171"/>
        <v>17823</v>
      </c>
      <c r="P972" s="38">
        <f t="shared" si="172"/>
        <v>1871415</v>
      </c>
      <c r="Q972" s="12" t="s">
        <v>2103</v>
      </c>
      <c r="AB972" s="35">
        <f>I972</f>
        <v>319725</v>
      </c>
      <c r="AC972" s="35">
        <f>G972*H972</f>
        <v>319725</v>
      </c>
      <c r="AE972" s="35">
        <f t="shared" si="173"/>
        <v>1551690</v>
      </c>
    </row>
    <row r="973" spans="1:31" ht="23.1" customHeight="1" x14ac:dyDescent="0.15">
      <c r="A973" s="13" t="s">
        <v>2104</v>
      </c>
      <c r="B973" s="13" t="s">
        <v>3057</v>
      </c>
      <c r="C973" s="13" t="s">
        <v>2105</v>
      </c>
      <c r="D973" s="12" t="s">
        <v>656</v>
      </c>
      <c r="E973" s="12" t="s">
        <v>660</v>
      </c>
      <c r="F973" s="31" t="s">
        <v>166</v>
      </c>
      <c r="G973" s="15">
        <v>15</v>
      </c>
      <c r="H973" s="38">
        <f>일대목차!I140</f>
        <v>3942</v>
      </c>
      <c r="I973" s="57">
        <f t="shared" si="168"/>
        <v>59130</v>
      </c>
      <c r="J973" s="38">
        <v>15</v>
      </c>
      <c r="K973" s="38">
        <f>일대목차!L140</f>
        <v>17734</v>
      </c>
      <c r="L973" s="57">
        <f t="shared" si="169"/>
        <v>266010</v>
      </c>
      <c r="M973" s="38">
        <f>일대목차!N140</f>
        <v>0</v>
      </c>
      <c r="N973" s="57">
        <f t="shared" si="170"/>
        <v>0</v>
      </c>
      <c r="O973" s="38">
        <f t="shared" si="171"/>
        <v>21676</v>
      </c>
      <c r="P973" s="38">
        <f t="shared" si="172"/>
        <v>325140</v>
      </c>
      <c r="Q973" s="12" t="s">
        <v>2106</v>
      </c>
      <c r="AB973" s="35">
        <f>I973</f>
        <v>59130</v>
      </c>
      <c r="AC973" s="35">
        <f>G973*H973</f>
        <v>59130</v>
      </c>
      <c r="AE973" s="35">
        <f t="shared" si="173"/>
        <v>266010</v>
      </c>
    </row>
    <row r="974" spans="1:31" ht="23.1" customHeight="1" x14ac:dyDescent="0.15">
      <c r="A974" s="13" t="s">
        <v>1207</v>
      </c>
      <c r="B974" s="13" t="s">
        <v>3057</v>
      </c>
      <c r="C974" s="13" t="s">
        <v>671</v>
      </c>
      <c r="D974" s="12" t="s">
        <v>672</v>
      </c>
      <c r="E974" s="12" t="s">
        <v>673</v>
      </c>
      <c r="F974" s="31" t="s">
        <v>200</v>
      </c>
      <c r="G974" s="15">
        <v>29</v>
      </c>
      <c r="H974" s="38">
        <f>합산자재!H183</f>
        <v>830</v>
      </c>
      <c r="I974" s="57">
        <f t="shared" si="168"/>
        <v>24070</v>
      </c>
      <c r="J974" s="38">
        <v>29</v>
      </c>
      <c r="K974" s="38">
        <f>합산자재!I183</f>
        <v>0</v>
      </c>
      <c r="L974" s="57">
        <f t="shared" si="169"/>
        <v>0</v>
      </c>
      <c r="M974" s="38">
        <f>합산자재!J183</f>
        <v>0</v>
      </c>
      <c r="N974" s="57">
        <f t="shared" si="170"/>
        <v>0</v>
      </c>
      <c r="O974" s="38">
        <f t="shared" si="171"/>
        <v>830</v>
      </c>
      <c r="P974" s="38">
        <f t="shared" si="172"/>
        <v>24070</v>
      </c>
      <c r="Q974" s="12"/>
    </row>
    <row r="975" spans="1:31" ht="23.1" customHeight="1" x14ac:dyDescent="0.15">
      <c r="A975" s="13" t="s">
        <v>1208</v>
      </c>
      <c r="B975" s="13" t="s">
        <v>3057</v>
      </c>
      <c r="C975" s="13" t="s">
        <v>674</v>
      </c>
      <c r="D975" s="12" t="s">
        <v>672</v>
      </c>
      <c r="E975" s="12" t="s">
        <v>675</v>
      </c>
      <c r="F975" s="31" t="s">
        <v>200</v>
      </c>
      <c r="G975" s="15">
        <v>4</v>
      </c>
      <c r="H975" s="38">
        <f>합산자재!H184</f>
        <v>1014</v>
      </c>
      <c r="I975" s="57">
        <f t="shared" si="168"/>
        <v>4056</v>
      </c>
      <c r="J975" s="38">
        <v>4</v>
      </c>
      <c r="K975" s="38">
        <f>합산자재!I184</f>
        <v>0</v>
      </c>
      <c r="L975" s="57">
        <f t="shared" si="169"/>
        <v>0</v>
      </c>
      <c r="M975" s="38">
        <f>합산자재!J184</f>
        <v>0</v>
      </c>
      <c r="N975" s="57">
        <f t="shared" si="170"/>
        <v>0</v>
      </c>
      <c r="O975" s="38">
        <f t="shared" si="171"/>
        <v>1014</v>
      </c>
      <c r="P975" s="38">
        <f t="shared" si="172"/>
        <v>4056</v>
      </c>
      <c r="Q975" s="12"/>
    </row>
    <row r="976" spans="1:31" ht="23.1" customHeight="1" x14ac:dyDescent="0.15">
      <c r="A976" s="13" t="s">
        <v>1214</v>
      </c>
      <c r="B976" s="13" t="s">
        <v>3057</v>
      </c>
      <c r="C976" s="13" t="s">
        <v>686</v>
      </c>
      <c r="D976" s="12" t="s">
        <v>672</v>
      </c>
      <c r="E976" s="12" t="s">
        <v>687</v>
      </c>
      <c r="F976" s="31" t="s">
        <v>200</v>
      </c>
      <c r="G976" s="15">
        <v>6</v>
      </c>
      <c r="H976" s="38">
        <f>합산자재!H190</f>
        <v>1087</v>
      </c>
      <c r="I976" s="57">
        <f t="shared" si="168"/>
        <v>6522</v>
      </c>
      <c r="J976" s="38">
        <v>6</v>
      </c>
      <c r="K976" s="38">
        <f>합산자재!I190</f>
        <v>0</v>
      </c>
      <c r="L976" s="57">
        <f t="shared" si="169"/>
        <v>0</v>
      </c>
      <c r="M976" s="38">
        <f>합산자재!J190</f>
        <v>0</v>
      </c>
      <c r="N976" s="57">
        <f t="shared" si="170"/>
        <v>0</v>
      </c>
      <c r="O976" s="38">
        <f t="shared" si="171"/>
        <v>1087</v>
      </c>
      <c r="P976" s="38">
        <f t="shared" si="172"/>
        <v>6522</v>
      </c>
      <c r="Q976" s="12"/>
    </row>
    <row r="977" spans="1:31" ht="23.1" customHeight="1" x14ac:dyDescent="0.15">
      <c r="A977" s="13" t="s">
        <v>1215</v>
      </c>
      <c r="B977" s="13" t="s">
        <v>3057</v>
      </c>
      <c r="C977" s="13" t="s">
        <v>688</v>
      </c>
      <c r="D977" s="12" t="s">
        <v>672</v>
      </c>
      <c r="E977" s="12" t="s">
        <v>689</v>
      </c>
      <c r="F977" s="31" t="s">
        <v>200</v>
      </c>
      <c r="G977" s="15">
        <v>2</v>
      </c>
      <c r="H977" s="38">
        <f>합산자재!H191</f>
        <v>1258</v>
      </c>
      <c r="I977" s="57">
        <f t="shared" si="168"/>
        <v>2516</v>
      </c>
      <c r="J977" s="38">
        <v>2</v>
      </c>
      <c r="K977" s="38">
        <f>합산자재!I191</f>
        <v>0</v>
      </c>
      <c r="L977" s="57">
        <f t="shared" si="169"/>
        <v>0</v>
      </c>
      <c r="M977" s="38">
        <f>합산자재!J191</f>
        <v>0</v>
      </c>
      <c r="N977" s="57">
        <f t="shared" si="170"/>
        <v>0</v>
      </c>
      <c r="O977" s="38">
        <f t="shared" si="171"/>
        <v>1258</v>
      </c>
      <c r="P977" s="38">
        <f t="shared" si="172"/>
        <v>2516</v>
      </c>
      <c r="Q977" s="12"/>
    </row>
    <row r="978" spans="1:31" ht="23.1" customHeight="1" x14ac:dyDescent="0.15">
      <c r="A978" s="13" t="s">
        <v>2188</v>
      </c>
      <c r="B978" s="13" t="s">
        <v>3057</v>
      </c>
      <c r="C978" s="13" t="s">
        <v>2189</v>
      </c>
      <c r="D978" s="12" t="s">
        <v>796</v>
      </c>
      <c r="E978" s="12" t="s">
        <v>797</v>
      </c>
      <c r="F978" s="31" t="s">
        <v>166</v>
      </c>
      <c r="G978" s="15">
        <v>85</v>
      </c>
      <c r="H978" s="38">
        <f>일대목차!I168</f>
        <v>908</v>
      </c>
      <c r="I978" s="57">
        <f t="shared" si="168"/>
        <v>77180</v>
      </c>
      <c r="J978" s="38">
        <v>85</v>
      </c>
      <c r="K978" s="38">
        <f>일대목차!L168</f>
        <v>8898</v>
      </c>
      <c r="L978" s="57">
        <f t="shared" si="169"/>
        <v>756330</v>
      </c>
      <c r="M978" s="38">
        <f>일대목차!N168</f>
        <v>0</v>
      </c>
      <c r="N978" s="57">
        <f t="shared" si="170"/>
        <v>0</v>
      </c>
      <c r="O978" s="38">
        <f t="shared" si="171"/>
        <v>9806</v>
      </c>
      <c r="P978" s="38">
        <f t="shared" si="172"/>
        <v>833510</v>
      </c>
      <c r="Q978" s="12" t="s">
        <v>2190</v>
      </c>
      <c r="AC978" s="35">
        <f>G978*H978</f>
        <v>77180</v>
      </c>
      <c r="AE978" s="35">
        <f>L978</f>
        <v>756330</v>
      </c>
    </row>
    <row r="979" spans="1:31" ht="23.1" customHeight="1" x14ac:dyDescent="0.15">
      <c r="A979" s="13" t="s">
        <v>1334</v>
      </c>
      <c r="B979" s="13" t="s">
        <v>3057</v>
      </c>
      <c r="C979" s="13" t="s">
        <v>914</v>
      </c>
      <c r="D979" s="12" t="s">
        <v>915</v>
      </c>
      <c r="E979" s="12"/>
      <c r="F979" s="31" t="s">
        <v>792</v>
      </c>
      <c r="G979" s="15">
        <v>1</v>
      </c>
      <c r="H979" s="38"/>
      <c r="I979" s="57">
        <f t="shared" si="168"/>
        <v>0</v>
      </c>
      <c r="J979" s="38">
        <v>1</v>
      </c>
      <c r="K979" s="38">
        <f>합산자재!I310</f>
        <v>0</v>
      </c>
      <c r="L979" s="57">
        <f t="shared" si="169"/>
        <v>0</v>
      </c>
      <c r="M979" s="38">
        <f>합산자재!J310</f>
        <v>0</v>
      </c>
      <c r="N979" s="57">
        <f t="shared" si="170"/>
        <v>0</v>
      </c>
      <c r="O979" s="38" t="str">
        <f t="shared" si="171"/>
        <v/>
      </c>
      <c r="P979" s="38">
        <f t="shared" si="172"/>
        <v>0</v>
      </c>
      <c r="Q979" s="12" t="s">
        <v>2378</v>
      </c>
    </row>
    <row r="980" spans="1:31" ht="23.1" customHeight="1" x14ac:dyDescent="0.15">
      <c r="D980" s="12"/>
      <c r="E980" s="12"/>
      <c r="F980" s="31"/>
      <c r="G980" s="15"/>
      <c r="H980" s="38"/>
      <c r="I980" s="57"/>
      <c r="J980" s="38"/>
      <c r="K980" s="38"/>
      <c r="L980" s="57"/>
      <c r="M980" s="38"/>
      <c r="N980" s="57"/>
      <c r="O980" s="38"/>
      <c r="P980" s="38"/>
      <c r="Q980" s="12"/>
      <c r="AE980" s="35">
        <f>TRUNC(SUM(AE966:AE979))</f>
        <v>4266891</v>
      </c>
    </row>
    <row r="981" spans="1:31" ht="23.1" customHeight="1" x14ac:dyDescent="0.15">
      <c r="D981" s="12"/>
      <c r="E981" s="12"/>
      <c r="F981" s="31"/>
      <c r="G981" s="15"/>
      <c r="H981" s="38"/>
      <c r="I981" s="57"/>
      <c r="J981" s="38"/>
      <c r="K981" s="38"/>
      <c r="L981" s="57"/>
      <c r="M981" s="38"/>
      <c r="N981" s="57"/>
      <c r="O981" s="38"/>
      <c r="P981" s="38"/>
      <c r="Q981" s="12"/>
    </row>
    <row r="982" spans="1:31" ht="23.1" customHeight="1" x14ac:dyDescent="0.15">
      <c r="D982" s="12"/>
      <c r="E982" s="12"/>
      <c r="F982" s="31"/>
      <c r="G982" s="15"/>
      <c r="H982" s="38"/>
      <c r="I982" s="57"/>
      <c r="J982" s="38"/>
      <c r="K982" s="38"/>
      <c r="L982" s="57"/>
      <c r="M982" s="38"/>
      <c r="N982" s="57"/>
      <c r="O982" s="38"/>
      <c r="P982" s="38"/>
      <c r="Q982" s="12"/>
    </row>
    <row r="983" spans="1:31" ht="23.1" customHeight="1" x14ac:dyDescent="0.15">
      <c r="D983" s="12"/>
      <c r="E983" s="12"/>
      <c r="F983" s="31"/>
      <c r="G983" s="15"/>
      <c r="H983" s="38"/>
      <c r="I983" s="57"/>
      <c r="J983" s="38"/>
      <c r="K983" s="38"/>
      <c r="L983" s="57"/>
      <c r="M983" s="38"/>
      <c r="N983" s="57"/>
      <c r="O983" s="38"/>
      <c r="P983" s="38"/>
      <c r="Q983" s="12"/>
    </row>
    <row r="984" spans="1:31" ht="23.1" customHeight="1" x14ac:dyDescent="0.15">
      <c r="D984" s="12"/>
      <c r="E984" s="12"/>
      <c r="F984" s="31"/>
      <c r="G984" s="15"/>
      <c r="H984" s="38"/>
      <c r="I984" s="57"/>
      <c r="J984" s="38"/>
      <c r="K984" s="38"/>
      <c r="L984" s="57"/>
      <c r="M984" s="38"/>
      <c r="N984" s="57"/>
      <c r="O984" s="38"/>
      <c r="P984" s="38"/>
      <c r="Q984" s="12"/>
    </row>
    <row r="985" spans="1:31" ht="23.1" customHeight="1" x14ac:dyDescent="0.15">
      <c r="D985" s="12"/>
      <c r="E985" s="12"/>
      <c r="F985" s="31"/>
      <c r="G985" s="15"/>
      <c r="H985" s="38"/>
      <c r="I985" s="57"/>
      <c r="J985" s="38"/>
      <c r="K985" s="38"/>
      <c r="L985" s="57"/>
      <c r="M985" s="38"/>
      <c r="N985" s="57"/>
      <c r="O985" s="38"/>
      <c r="P985" s="38"/>
      <c r="Q985" s="12"/>
    </row>
    <row r="986" spans="1:31" ht="23.1" customHeight="1" x14ac:dyDescent="0.15">
      <c r="D986" s="12"/>
      <c r="E986" s="12"/>
      <c r="F986" s="31"/>
      <c r="G986" s="15"/>
      <c r="H986" s="38"/>
      <c r="I986" s="57"/>
      <c r="J986" s="38"/>
      <c r="K986" s="38"/>
      <c r="L986" s="57"/>
      <c r="M986" s="38"/>
      <c r="N986" s="57"/>
      <c r="O986" s="38"/>
      <c r="P986" s="38"/>
      <c r="Q986" s="12"/>
    </row>
    <row r="987" spans="1:31" ht="23.1" customHeight="1" x14ac:dyDescent="0.15">
      <c r="D987" s="12"/>
      <c r="E987" s="12"/>
      <c r="F987" s="31"/>
      <c r="G987" s="15"/>
      <c r="H987" s="38"/>
      <c r="I987" s="57"/>
      <c r="J987" s="38"/>
      <c r="K987" s="38"/>
      <c r="L987" s="57"/>
      <c r="M987" s="38"/>
      <c r="N987" s="57"/>
      <c r="O987" s="38"/>
      <c r="P987" s="38"/>
      <c r="Q987" s="12"/>
    </row>
    <row r="988" spans="1:31" ht="23.1" customHeight="1" x14ac:dyDescent="0.15">
      <c r="D988" s="12"/>
      <c r="E988" s="12"/>
      <c r="F988" s="31"/>
      <c r="G988" s="15"/>
      <c r="H988" s="38"/>
      <c r="I988" s="57"/>
      <c r="J988" s="38"/>
      <c r="K988" s="38"/>
      <c r="L988" s="57"/>
      <c r="M988" s="38"/>
      <c r="N988" s="57"/>
      <c r="O988" s="38"/>
      <c r="P988" s="38"/>
      <c r="Q988" s="12"/>
    </row>
    <row r="989" spans="1:31" ht="23.1" customHeight="1" x14ac:dyDescent="0.15">
      <c r="D989" s="12"/>
      <c r="E989" s="12"/>
      <c r="F989" s="31"/>
      <c r="G989" s="15"/>
      <c r="H989" s="38"/>
      <c r="I989" s="57"/>
      <c r="J989" s="38"/>
      <c r="K989" s="38"/>
      <c r="L989" s="57"/>
      <c r="M989" s="38"/>
      <c r="N989" s="57"/>
      <c r="O989" s="38"/>
      <c r="P989" s="38"/>
      <c r="Q989" s="12"/>
    </row>
    <row r="990" spans="1:31" ht="23.1" customHeight="1" x14ac:dyDescent="0.15">
      <c r="D990" s="12"/>
      <c r="E990" s="12"/>
      <c r="F990" s="31"/>
      <c r="G990" s="15"/>
      <c r="H990" s="38"/>
      <c r="I990" s="57"/>
      <c r="J990" s="38"/>
      <c r="K990" s="38"/>
      <c r="L990" s="57"/>
      <c r="M990" s="38"/>
      <c r="N990" s="57"/>
      <c r="O990" s="38"/>
      <c r="P990" s="38"/>
      <c r="Q990" s="12"/>
    </row>
    <row r="991" spans="1:31" ht="23.1" customHeight="1" x14ac:dyDescent="0.15">
      <c r="B991" s="13" t="s">
        <v>2360</v>
      </c>
      <c r="D991" s="12" t="s">
        <v>2361</v>
      </c>
      <c r="E991" s="12"/>
      <c r="F991" s="31"/>
      <c r="G991" s="15"/>
      <c r="H991" s="38"/>
      <c r="I991" s="57">
        <f>TRUNC(SUM(I966:I990))</f>
        <v>2159281</v>
      </c>
      <c r="J991" s="38"/>
      <c r="K991" s="38"/>
      <c r="L991" s="57">
        <f>TRUNC(SUM(L966:L990))</f>
        <v>4266891</v>
      </c>
      <c r="M991" s="38"/>
      <c r="N991" s="57">
        <f>TRUNC(SUM(N966:N990))</f>
        <v>0</v>
      </c>
      <c r="O991" s="38" t="str">
        <f>IF((H991+K991+M991)=0, "", (H991+K991+M991))</f>
        <v/>
      </c>
      <c r="P991" s="38">
        <f>TRUNC(SUM(P966:P990))</f>
        <v>6426172</v>
      </c>
      <c r="Q991" s="12"/>
    </row>
    <row r="992" spans="1:31" ht="23.1" customHeight="1" x14ac:dyDescent="0.15">
      <c r="B992" s="13" t="s">
        <v>1448</v>
      </c>
      <c r="D992" s="170" t="s">
        <v>3191</v>
      </c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2"/>
    </row>
    <row r="993" spans="1:17" ht="23.1" customHeight="1" x14ac:dyDescent="0.15">
      <c r="A993" s="13" t="s">
        <v>3058</v>
      </c>
      <c r="B993" s="13" t="s">
        <v>3059</v>
      </c>
      <c r="C993" s="13" t="s">
        <v>706</v>
      </c>
      <c r="D993" s="12" t="s">
        <v>3060</v>
      </c>
      <c r="E993" s="12" t="s">
        <v>932</v>
      </c>
      <c r="F993" s="31" t="s">
        <v>710</v>
      </c>
      <c r="G993" s="15">
        <v>10</v>
      </c>
      <c r="H993" s="38">
        <v>120000</v>
      </c>
      <c r="I993" s="57">
        <f t="shared" ref="I993:I1014" si="174">TRUNC(G993*H993)</f>
        <v>1200000</v>
      </c>
      <c r="J993" s="38">
        <v>10</v>
      </c>
      <c r="K993" s="38"/>
      <c r="L993" s="57">
        <f t="shared" ref="L993:L1014" si="175">TRUNC(G993*K993)</f>
        <v>0</v>
      </c>
      <c r="M993" s="38"/>
      <c r="N993" s="57">
        <f t="shared" ref="N993:N1014" si="176">TRUNC(G993*M993)</f>
        <v>0</v>
      </c>
      <c r="O993" s="38">
        <f t="shared" ref="O993:O1014" si="177">IF((H993+K993+M993)=0, "", (H993+K993+M993))</f>
        <v>120000</v>
      </c>
      <c r="P993" s="38">
        <f t="shared" ref="P993:P1014" si="178">SUM(I993,L993,N993)</f>
        <v>1200000</v>
      </c>
      <c r="Q993" s="12" t="s">
        <v>3061</v>
      </c>
    </row>
    <row r="994" spans="1:17" ht="23.1" customHeight="1" x14ac:dyDescent="0.15">
      <c r="A994" s="13" t="s">
        <v>3062</v>
      </c>
      <c r="B994" s="13" t="s">
        <v>3059</v>
      </c>
      <c r="C994" s="13" t="s">
        <v>706</v>
      </c>
      <c r="D994" s="12" t="s">
        <v>3063</v>
      </c>
      <c r="E994" s="12" t="s">
        <v>935</v>
      </c>
      <c r="F994" s="31" t="s">
        <v>710</v>
      </c>
      <c r="G994" s="15">
        <v>55</v>
      </c>
      <c r="H994" s="38">
        <v>83000</v>
      </c>
      <c r="I994" s="57">
        <f t="shared" si="174"/>
        <v>4565000</v>
      </c>
      <c r="J994" s="38">
        <v>55</v>
      </c>
      <c r="K994" s="38"/>
      <c r="L994" s="57">
        <f t="shared" si="175"/>
        <v>0</v>
      </c>
      <c r="M994" s="38"/>
      <c r="N994" s="57">
        <f t="shared" si="176"/>
        <v>0</v>
      </c>
      <c r="O994" s="38">
        <f t="shared" si="177"/>
        <v>83000</v>
      </c>
      <c r="P994" s="38">
        <f t="shared" si="178"/>
        <v>4565000</v>
      </c>
      <c r="Q994" s="12" t="s">
        <v>3064</v>
      </c>
    </row>
    <row r="995" spans="1:17" ht="23.1" customHeight="1" x14ac:dyDescent="0.15">
      <c r="A995" s="13" t="s">
        <v>3065</v>
      </c>
      <c r="B995" s="13" t="s">
        <v>3059</v>
      </c>
      <c r="C995" s="13" t="s">
        <v>706</v>
      </c>
      <c r="D995" s="12" t="s">
        <v>3066</v>
      </c>
      <c r="E995" s="12" t="s">
        <v>938</v>
      </c>
      <c r="F995" s="31" t="s">
        <v>710</v>
      </c>
      <c r="G995" s="15">
        <v>18</v>
      </c>
      <c r="H995" s="38">
        <v>160000</v>
      </c>
      <c r="I995" s="57">
        <f t="shared" si="174"/>
        <v>2880000</v>
      </c>
      <c r="J995" s="38">
        <v>18</v>
      </c>
      <c r="K995" s="38"/>
      <c r="L995" s="57">
        <f t="shared" si="175"/>
        <v>0</v>
      </c>
      <c r="M995" s="38"/>
      <c r="N995" s="57">
        <f t="shared" si="176"/>
        <v>0</v>
      </c>
      <c r="O995" s="38">
        <f t="shared" si="177"/>
        <v>160000</v>
      </c>
      <c r="P995" s="38">
        <f t="shared" si="178"/>
        <v>2880000</v>
      </c>
      <c r="Q995" s="12" t="s">
        <v>3067</v>
      </c>
    </row>
    <row r="996" spans="1:17" ht="23.1" customHeight="1" x14ac:dyDescent="0.15">
      <c r="A996" s="13" t="s">
        <v>1256</v>
      </c>
      <c r="B996" s="13" t="s">
        <v>3059</v>
      </c>
      <c r="C996" s="13" t="s">
        <v>706</v>
      </c>
      <c r="D996" s="12" t="s">
        <v>754</v>
      </c>
      <c r="E996" s="12" t="s">
        <v>755</v>
      </c>
      <c r="F996" s="31" t="s">
        <v>710</v>
      </c>
      <c r="G996" s="15">
        <v>2</v>
      </c>
      <c r="H996" s="38">
        <f>합산자재!H232</f>
        <v>88000</v>
      </c>
      <c r="I996" s="57">
        <f t="shared" si="174"/>
        <v>176000</v>
      </c>
      <c r="J996" s="38">
        <v>2</v>
      </c>
      <c r="K996" s="38">
        <f>합산자재!I232</f>
        <v>0</v>
      </c>
      <c r="L996" s="57">
        <f t="shared" si="175"/>
        <v>0</v>
      </c>
      <c r="M996" s="38">
        <f>합산자재!J232</f>
        <v>0</v>
      </c>
      <c r="N996" s="57">
        <f t="shared" si="176"/>
        <v>0</v>
      </c>
      <c r="O996" s="38">
        <f t="shared" si="177"/>
        <v>88000</v>
      </c>
      <c r="P996" s="38">
        <f t="shared" si="178"/>
        <v>176000</v>
      </c>
      <c r="Q996" s="12" t="s">
        <v>3068</v>
      </c>
    </row>
    <row r="997" spans="1:17" ht="23.1" customHeight="1" x14ac:dyDescent="0.15">
      <c r="A997" s="13" t="s">
        <v>1257</v>
      </c>
      <c r="B997" s="13" t="s">
        <v>3059</v>
      </c>
      <c r="C997" s="13" t="s">
        <v>706</v>
      </c>
      <c r="D997" s="12" t="s">
        <v>759</v>
      </c>
      <c r="E997" s="12" t="s">
        <v>760</v>
      </c>
      <c r="F997" s="31" t="s">
        <v>710</v>
      </c>
      <c r="G997" s="15">
        <v>63</v>
      </c>
      <c r="H997" s="38">
        <f>합산자재!H233</f>
        <v>40000</v>
      </c>
      <c r="I997" s="57">
        <f t="shared" si="174"/>
        <v>2520000</v>
      </c>
      <c r="J997" s="38">
        <v>63</v>
      </c>
      <c r="K997" s="38">
        <f>합산자재!I233</f>
        <v>0</v>
      </c>
      <c r="L997" s="57">
        <f t="shared" si="175"/>
        <v>0</v>
      </c>
      <c r="M997" s="38">
        <f>합산자재!J233</f>
        <v>0</v>
      </c>
      <c r="N997" s="57">
        <f t="shared" si="176"/>
        <v>0</v>
      </c>
      <c r="O997" s="38">
        <f t="shared" si="177"/>
        <v>40000</v>
      </c>
      <c r="P997" s="38">
        <f t="shared" si="178"/>
        <v>2520000</v>
      </c>
      <c r="Q997" s="12" t="s">
        <v>3069</v>
      </c>
    </row>
    <row r="998" spans="1:17" ht="23.1" customHeight="1" x14ac:dyDescent="0.15">
      <c r="A998" s="13" t="s">
        <v>1258</v>
      </c>
      <c r="B998" s="13" t="s">
        <v>3059</v>
      </c>
      <c r="C998" s="13" t="s">
        <v>706</v>
      </c>
      <c r="D998" s="12" t="s">
        <v>761</v>
      </c>
      <c r="E998" s="12" t="s">
        <v>762</v>
      </c>
      <c r="F998" s="31" t="s">
        <v>710</v>
      </c>
      <c r="G998" s="15">
        <v>7</v>
      </c>
      <c r="H998" s="38">
        <f>합산자재!H234</f>
        <v>40000</v>
      </c>
      <c r="I998" s="57">
        <f t="shared" si="174"/>
        <v>280000</v>
      </c>
      <c r="J998" s="38">
        <v>7</v>
      </c>
      <c r="K998" s="38">
        <f>합산자재!I234</f>
        <v>0</v>
      </c>
      <c r="L998" s="57">
        <f t="shared" si="175"/>
        <v>0</v>
      </c>
      <c r="M998" s="38">
        <f>합산자재!J234</f>
        <v>0</v>
      </c>
      <c r="N998" s="57">
        <f t="shared" si="176"/>
        <v>0</v>
      </c>
      <c r="O998" s="38">
        <f t="shared" si="177"/>
        <v>40000</v>
      </c>
      <c r="P998" s="38">
        <f t="shared" si="178"/>
        <v>280000</v>
      </c>
      <c r="Q998" s="12" t="s">
        <v>3069</v>
      </c>
    </row>
    <row r="999" spans="1:17" ht="23.1" customHeight="1" x14ac:dyDescent="0.15">
      <c r="A999" s="13" t="s">
        <v>3070</v>
      </c>
      <c r="B999" s="13" t="s">
        <v>3059</v>
      </c>
      <c r="C999" s="13" t="s">
        <v>706</v>
      </c>
      <c r="D999" s="12" t="s">
        <v>3071</v>
      </c>
      <c r="E999" s="12" t="s">
        <v>947</v>
      </c>
      <c r="F999" s="31" t="s">
        <v>710</v>
      </c>
      <c r="G999" s="15">
        <v>46</v>
      </c>
      <c r="H999" s="38">
        <v>55000</v>
      </c>
      <c r="I999" s="57">
        <f t="shared" si="174"/>
        <v>2530000</v>
      </c>
      <c r="J999" s="38">
        <v>46</v>
      </c>
      <c r="K999" s="38"/>
      <c r="L999" s="57">
        <f t="shared" si="175"/>
        <v>0</v>
      </c>
      <c r="M999" s="38"/>
      <c r="N999" s="57">
        <f t="shared" si="176"/>
        <v>0</v>
      </c>
      <c r="O999" s="38">
        <f t="shared" si="177"/>
        <v>55000</v>
      </c>
      <c r="P999" s="38">
        <f t="shared" si="178"/>
        <v>2530000</v>
      </c>
      <c r="Q999" s="12" t="s">
        <v>3072</v>
      </c>
    </row>
    <row r="1000" spans="1:17" ht="23.1" customHeight="1" x14ac:dyDescent="0.15">
      <c r="A1000" s="13" t="s">
        <v>3073</v>
      </c>
      <c r="B1000" s="13" t="s">
        <v>3059</v>
      </c>
      <c r="C1000" s="13" t="s">
        <v>706</v>
      </c>
      <c r="D1000" s="12" t="s">
        <v>3074</v>
      </c>
      <c r="E1000" s="12" t="s">
        <v>950</v>
      </c>
      <c r="F1000" s="31" t="s">
        <v>710</v>
      </c>
      <c r="G1000" s="15">
        <v>9</v>
      </c>
      <c r="H1000" s="38">
        <v>60000</v>
      </c>
      <c r="I1000" s="57">
        <f t="shared" si="174"/>
        <v>540000</v>
      </c>
      <c r="J1000" s="38">
        <v>9</v>
      </c>
      <c r="K1000" s="38"/>
      <c r="L1000" s="57">
        <f t="shared" si="175"/>
        <v>0</v>
      </c>
      <c r="M1000" s="38"/>
      <c r="N1000" s="57">
        <f t="shared" si="176"/>
        <v>0</v>
      </c>
      <c r="O1000" s="38">
        <f t="shared" si="177"/>
        <v>60000</v>
      </c>
      <c r="P1000" s="38">
        <f t="shared" si="178"/>
        <v>540000</v>
      </c>
      <c r="Q1000" s="12" t="s">
        <v>3075</v>
      </c>
    </row>
    <row r="1001" spans="1:17" ht="23.1" customHeight="1" x14ac:dyDescent="0.15">
      <c r="A1001" s="13" t="s">
        <v>1259</v>
      </c>
      <c r="B1001" s="13" t="s">
        <v>3059</v>
      </c>
      <c r="C1001" s="13" t="s">
        <v>706</v>
      </c>
      <c r="D1001" s="12" t="s">
        <v>763</v>
      </c>
      <c r="E1001" s="12" t="s">
        <v>764</v>
      </c>
      <c r="F1001" s="31" t="s">
        <v>710</v>
      </c>
      <c r="G1001" s="15">
        <v>122</v>
      </c>
      <c r="H1001" s="38">
        <f>합산자재!H235</f>
        <v>55000</v>
      </c>
      <c r="I1001" s="57">
        <f t="shared" si="174"/>
        <v>6710000</v>
      </c>
      <c r="J1001" s="38">
        <v>96</v>
      </c>
      <c r="K1001" s="38">
        <f>합산자재!I235</f>
        <v>0</v>
      </c>
      <c r="L1001" s="57">
        <f t="shared" si="175"/>
        <v>0</v>
      </c>
      <c r="M1001" s="38">
        <f>합산자재!J235</f>
        <v>0</v>
      </c>
      <c r="N1001" s="57">
        <f t="shared" si="176"/>
        <v>0</v>
      </c>
      <c r="O1001" s="38">
        <f t="shared" si="177"/>
        <v>55000</v>
      </c>
      <c r="P1001" s="38">
        <f t="shared" si="178"/>
        <v>6710000</v>
      </c>
      <c r="Q1001" s="12"/>
    </row>
    <row r="1002" spans="1:17" ht="23.1" customHeight="1" x14ac:dyDescent="0.15">
      <c r="A1002" s="13" t="s">
        <v>1260</v>
      </c>
      <c r="B1002" s="13" t="s">
        <v>3059</v>
      </c>
      <c r="C1002" s="13" t="s">
        <v>706</v>
      </c>
      <c r="D1002" s="12" t="s">
        <v>763</v>
      </c>
      <c r="E1002" s="12" t="s">
        <v>765</v>
      </c>
      <c r="F1002" s="31" t="s">
        <v>710</v>
      </c>
      <c r="G1002" s="15">
        <v>42</v>
      </c>
      <c r="H1002" s="38">
        <f>합산자재!H236</f>
        <v>55000</v>
      </c>
      <c r="I1002" s="57">
        <f t="shared" si="174"/>
        <v>2310000</v>
      </c>
      <c r="J1002" s="38">
        <v>42</v>
      </c>
      <c r="K1002" s="38">
        <f>합산자재!I236</f>
        <v>0</v>
      </c>
      <c r="L1002" s="57">
        <f t="shared" si="175"/>
        <v>0</v>
      </c>
      <c r="M1002" s="38">
        <f>합산자재!J236</f>
        <v>0</v>
      </c>
      <c r="N1002" s="57">
        <f t="shared" si="176"/>
        <v>0</v>
      </c>
      <c r="O1002" s="38">
        <f t="shared" si="177"/>
        <v>55000</v>
      </c>
      <c r="P1002" s="38">
        <f t="shared" si="178"/>
        <v>2310000</v>
      </c>
      <c r="Q1002" s="12"/>
    </row>
    <row r="1003" spans="1:17" ht="23.1" customHeight="1" x14ac:dyDescent="0.15">
      <c r="A1003" s="13" t="s">
        <v>3076</v>
      </c>
      <c r="B1003" s="13" t="s">
        <v>3059</v>
      </c>
      <c r="C1003" s="13" t="s">
        <v>706</v>
      </c>
      <c r="D1003" s="12" t="s">
        <v>3077</v>
      </c>
      <c r="E1003" s="12" t="s">
        <v>953</v>
      </c>
      <c r="F1003" s="31" t="s">
        <v>710</v>
      </c>
      <c r="G1003" s="15">
        <v>9</v>
      </c>
      <c r="H1003" s="38">
        <v>300000</v>
      </c>
      <c r="I1003" s="57">
        <f t="shared" si="174"/>
        <v>2700000</v>
      </c>
      <c r="J1003" s="38">
        <v>9</v>
      </c>
      <c r="K1003" s="38"/>
      <c r="L1003" s="57">
        <f t="shared" si="175"/>
        <v>0</v>
      </c>
      <c r="M1003" s="38"/>
      <c r="N1003" s="57">
        <f t="shared" si="176"/>
        <v>0</v>
      </c>
      <c r="O1003" s="38">
        <f t="shared" si="177"/>
        <v>300000</v>
      </c>
      <c r="P1003" s="38">
        <f t="shared" si="178"/>
        <v>2700000</v>
      </c>
      <c r="Q1003" s="12" t="s">
        <v>3078</v>
      </c>
    </row>
    <row r="1004" spans="1:17" ht="23.1" customHeight="1" x14ac:dyDescent="0.15">
      <c r="A1004" s="13" t="s">
        <v>3079</v>
      </c>
      <c r="B1004" s="13" t="s">
        <v>3059</v>
      </c>
      <c r="C1004" s="13" t="s">
        <v>706</v>
      </c>
      <c r="D1004" s="12" t="s">
        <v>3077</v>
      </c>
      <c r="E1004" s="12" t="s">
        <v>957</v>
      </c>
      <c r="F1004" s="31" t="s">
        <v>710</v>
      </c>
      <c r="G1004" s="15">
        <v>9</v>
      </c>
      <c r="H1004" s="38">
        <v>870000</v>
      </c>
      <c r="I1004" s="57">
        <f t="shared" si="174"/>
        <v>7830000</v>
      </c>
      <c r="J1004" s="38">
        <v>9</v>
      </c>
      <c r="K1004" s="38"/>
      <c r="L1004" s="57">
        <f t="shared" si="175"/>
        <v>0</v>
      </c>
      <c r="M1004" s="38"/>
      <c r="N1004" s="57">
        <f t="shared" si="176"/>
        <v>0</v>
      </c>
      <c r="O1004" s="38">
        <f t="shared" si="177"/>
        <v>870000</v>
      </c>
      <c r="P1004" s="38">
        <f t="shared" si="178"/>
        <v>7830000</v>
      </c>
      <c r="Q1004" s="12" t="s">
        <v>3080</v>
      </c>
    </row>
    <row r="1005" spans="1:17" ht="23.1" customHeight="1" x14ac:dyDescent="0.15">
      <c r="A1005" s="13" t="s">
        <v>3081</v>
      </c>
      <c r="B1005" s="13" t="s">
        <v>3059</v>
      </c>
      <c r="C1005" s="13" t="s">
        <v>706</v>
      </c>
      <c r="D1005" s="12" t="s">
        <v>3077</v>
      </c>
      <c r="E1005" s="12" t="s">
        <v>955</v>
      </c>
      <c r="F1005" s="31" t="s">
        <v>710</v>
      </c>
      <c r="G1005" s="15">
        <v>9</v>
      </c>
      <c r="H1005" s="38">
        <v>36000</v>
      </c>
      <c r="I1005" s="57">
        <f t="shared" si="174"/>
        <v>324000</v>
      </c>
      <c r="J1005" s="38">
        <v>9</v>
      </c>
      <c r="K1005" s="38"/>
      <c r="L1005" s="57">
        <f t="shared" si="175"/>
        <v>0</v>
      </c>
      <c r="M1005" s="38"/>
      <c r="N1005" s="57">
        <f t="shared" si="176"/>
        <v>0</v>
      </c>
      <c r="O1005" s="38">
        <f t="shared" si="177"/>
        <v>36000</v>
      </c>
      <c r="P1005" s="38">
        <f t="shared" si="178"/>
        <v>324000</v>
      </c>
      <c r="Q1005" s="12" t="s">
        <v>3082</v>
      </c>
    </row>
    <row r="1006" spans="1:17" ht="23.1" customHeight="1" x14ac:dyDescent="0.15">
      <c r="A1006" s="13" t="s">
        <v>3083</v>
      </c>
      <c r="B1006" s="13" t="s">
        <v>3059</v>
      </c>
      <c r="C1006" s="13" t="s">
        <v>706</v>
      </c>
      <c r="D1006" s="12" t="s">
        <v>766</v>
      </c>
      <c r="E1006" s="12" t="s">
        <v>976</v>
      </c>
      <c r="F1006" s="31" t="s">
        <v>710</v>
      </c>
      <c r="G1006" s="15">
        <v>200</v>
      </c>
      <c r="H1006" s="38">
        <v>88000</v>
      </c>
      <c r="I1006" s="57">
        <f t="shared" si="174"/>
        <v>17600000</v>
      </c>
      <c r="J1006" s="38">
        <v>200</v>
      </c>
      <c r="K1006" s="38"/>
      <c r="L1006" s="57">
        <f t="shared" si="175"/>
        <v>0</v>
      </c>
      <c r="M1006" s="38"/>
      <c r="N1006" s="57">
        <f t="shared" si="176"/>
        <v>0</v>
      </c>
      <c r="O1006" s="38">
        <f t="shared" si="177"/>
        <v>88000</v>
      </c>
      <c r="P1006" s="38">
        <f t="shared" si="178"/>
        <v>17600000</v>
      </c>
      <c r="Q1006" s="12" t="s">
        <v>3084</v>
      </c>
    </row>
    <row r="1007" spans="1:17" ht="23.1" customHeight="1" x14ac:dyDescent="0.15">
      <c r="A1007" s="13" t="s">
        <v>3085</v>
      </c>
      <c r="B1007" s="13" t="s">
        <v>3059</v>
      </c>
      <c r="C1007" s="13" t="s">
        <v>706</v>
      </c>
      <c r="D1007" s="12" t="s">
        <v>766</v>
      </c>
      <c r="E1007" s="12" t="s">
        <v>974</v>
      </c>
      <c r="F1007" s="31" t="s">
        <v>710</v>
      </c>
      <c r="G1007" s="15">
        <v>80</v>
      </c>
      <c r="H1007" s="38">
        <v>105000</v>
      </c>
      <c r="I1007" s="57">
        <f t="shared" si="174"/>
        <v>8400000</v>
      </c>
      <c r="J1007" s="38">
        <v>80</v>
      </c>
      <c r="K1007" s="38"/>
      <c r="L1007" s="57">
        <f t="shared" si="175"/>
        <v>0</v>
      </c>
      <c r="M1007" s="38"/>
      <c r="N1007" s="57">
        <f t="shared" si="176"/>
        <v>0</v>
      </c>
      <c r="O1007" s="38">
        <f t="shared" si="177"/>
        <v>105000</v>
      </c>
      <c r="P1007" s="38">
        <f t="shared" si="178"/>
        <v>8400000</v>
      </c>
      <c r="Q1007" s="12" t="s">
        <v>3086</v>
      </c>
    </row>
    <row r="1008" spans="1:17" ht="23.1" customHeight="1" x14ac:dyDescent="0.15">
      <c r="A1008" s="13" t="s">
        <v>3087</v>
      </c>
      <c r="B1008" s="13" t="s">
        <v>3059</v>
      </c>
      <c r="C1008" s="13" t="s">
        <v>706</v>
      </c>
      <c r="D1008" s="12" t="s">
        <v>766</v>
      </c>
      <c r="E1008" s="12" t="s">
        <v>972</v>
      </c>
      <c r="F1008" s="31" t="s">
        <v>710</v>
      </c>
      <c r="G1008" s="15">
        <v>80</v>
      </c>
      <c r="H1008" s="38">
        <v>70000</v>
      </c>
      <c r="I1008" s="57">
        <f t="shared" si="174"/>
        <v>5600000</v>
      </c>
      <c r="J1008" s="38">
        <v>80</v>
      </c>
      <c r="K1008" s="38"/>
      <c r="L1008" s="57">
        <f t="shared" si="175"/>
        <v>0</v>
      </c>
      <c r="M1008" s="38"/>
      <c r="N1008" s="57">
        <f t="shared" si="176"/>
        <v>0</v>
      </c>
      <c r="O1008" s="38">
        <f t="shared" si="177"/>
        <v>70000</v>
      </c>
      <c r="P1008" s="38">
        <f t="shared" si="178"/>
        <v>5600000</v>
      </c>
      <c r="Q1008" s="12" t="s">
        <v>3088</v>
      </c>
    </row>
    <row r="1009" spans="1:31" ht="23.1" customHeight="1" x14ac:dyDescent="0.15">
      <c r="A1009" s="13" t="s">
        <v>3089</v>
      </c>
      <c r="B1009" s="13" t="s">
        <v>3059</v>
      </c>
      <c r="C1009" s="13" t="s">
        <v>706</v>
      </c>
      <c r="D1009" s="12" t="s">
        <v>766</v>
      </c>
      <c r="E1009" s="12" t="s">
        <v>970</v>
      </c>
      <c r="F1009" s="31" t="s">
        <v>710</v>
      </c>
      <c r="G1009" s="15">
        <v>80</v>
      </c>
      <c r="H1009" s="38">
        <v>55000</v>
      </c>
      <c r="I1009" s="57">
        <f t="shared" si="174"/>
        <v>4400000</v>
      </c>
      <c r="J1009" s="38">
        <v>80</v>
      </c>
      <c r="K1009" s="38"/>
      <c r="L1009" s="57">
        <f t="shared" si="175"/>
        <v>0</v>
      </c>
      <c r="M1009" s="38"/>
      <c r="N1009" s="57">
        <f t="shared" si="176"/>
        <v>0</v>
      </c>
      <c r="O1009" s="38">
        <f t="shared" si="177"/>
        <v>55000</v>
      </c>
      <c r="P1009" s="38">
        <f t="shared" si="178"/>
        <v>4400000</v>
      </c>
      <c r="Q1009" s="12" t="s">
        <v>3072</v>
      </c>
    </row>
    <row r="1010" spans="1:31" ht="23.1" customHeight="1" x14ac:dyDescent="0.15">
      <c r="A1010" s="13" t="s">
        <v>3090</v>
      </c>
      <c r="B1010" s="13" t="s">
        <v>3059</v>
      </c>
      <c r="C1010" s="13" t="s">
        <v>706</v>
      </c>
      <c r="D1010" s="12" t="s">
        <v>766</v>
      </c>
      <c r="E1010" s="12" t="s">
        <v>967</v>
      </c>
      <c r="F1010" s="31" t="s">
        <v>710</v>
      </c>
      <c r="G1010" s="15">
        <v>140</v>
      </c>
      <c r="H1010" s="38">
        <v>50000</v>
      </c>
      <c r="I1010" s="57">
        <f t="shared" si="174"/>
        <v>7000000</v>
      </c>
      <c r="J1010" s="38">
        <v>140</v>
      </c>
      <c r="K1010" s="38"/>
      <c r="L1010" s="57">
        <f t="shared" si="175"/>
        <v>0</v>
      </c>
      <c r="M1010" s="38"/>
      <c r="N1010" s="57">
        <f t="shared" si="176"/>
        <v>0</v>
      </c>
      <c r="O1010" s="38">
        <f t="shared" si="177"/>
        <v>50000</v>
      </c>
      <c r="P1010" s="38">
        <f t="shared" si="178"/>
        <v>7000000</v>
      </c>
      <c r="Q1010" s="12" t="s">
        <v>3091</v>
      </c>
    </row>
    <row r="1011" spans="1:31" ht="23.1" customHeight="1" x14ac:dyDescent="0.15">
      <c r="A1011" s="13" t="s">
        <v>3092</v>
      </c>
      <c r="B1011" s="13" t="s">
        <v>3059</v>
      </c>
      <c r="C1011" s="13" t="s">
        <v>706</v>
      </c>
      <c r="D1011" s="12" t="s">
        <v>766</v>
      </c>
      <c r="E1011" s="12" t="s">
        <v>965</v>
      </c>
      <c r="F1011" s="31" t="s">
        <v>710</v>
      </c>
      <c r="G1011" s="15">
        <v>60</v>
      </c>
      <c r="H1011" s="38">
        <v>50000</v>
      </c>
      <c r="I1011" s="57">
        <f t="shared" si="174"/>
        <v>3000000</v>
      </c>
      <c r="J1011" s="38">
        <v>60</v>
      </c>
      <c r="K1011" s="38"/>
      <c r="L1011" s="57">
        <f t="shared" si="175"/>
        <v>0</v>
      </c>
      <c r="M1011" s="38"/>
      <c r="N1011" s="57">
        <f t="shared" si="176"/>
        <v>0</v>
      </c>
      <c r="O1011" s="38">
        <f t="shared" si="177"/>
        <v>50000</v>
      </c>
      <c r="P1011" s="38">
        <f t="shared" si="178"/>
        <v>3000000</v>
      </c>
      <c r="Q1011" s="12" t="s">
        <v>3091</v>
      </c>
    </row>
    <row r="1012" spans="1:31" ht="23.1" customHeight="1" x14ac:dyDescent="0.15">
      <c r="A1012" s="13" t="s">
        <v>3093</v>
      </c>
      <c r="B1012" s="13" t="s">
        <v>3059</v>
      </c>
      <c r="C1012" s="13" t="s">
        <v>706</v>
      </c>
      <c r="D1012" s="12" t="s">
        <v>766</v>
      </c>
      <c r="E1012" s="12" t="s">
        <v>963</v>
      </c>
      <c r="F1012" s="31" t="s">
        <v>710</v>
      </c>
      <c r="G1012" s="15">
        <v>80</v>
      </c>
      <c r="H1012" s="38">
        <v>50000</v>
      </c>
      <c r="I1012" s="57">
        <f t="shared" si="174"/>
        <v>4000000</v>
      </c>
      <c r="J1012" s="38">
        <v>80</v>
      </c>
      <c r="K1012" s="38"/>
      <c r="L1012" s="57">
        <f t="shared" si="175"/>
        <v>0</v>
      </c>
      <c r="M1012" s="38"/>
      <c r="N1012" s="57">
        <f t="shared" si="176"/>
        <v>0</v>
      </c>
      <c r="O1012" s="38">
        <f t="shared" si="177"/>
        <v>50000</v>
      </c>
      <c r="P1012" s="38">
        <f t="shared" si="178"/>
        <v>4000000</v>
      </c>
      <c r="Q1012" s="12" t="s">
        <v>3091</v>
      </c>
    </row>
    <row r="1013" spans="1:31" ht="23.1" customHeight="1" x14ac:dyDescent="0.15">
      <c r="A1013" s="13" t="s">
        <v>1261</v>
      </c>
      <c r="B1013" s="13" t="s">
        <v>3059</v>
      </c>
      <c r="C1013" s="13" t="s">
        <v>706</v>
      </c>
      <c r="D1013" s="12" t="s">
        <v>766</v>
      </c>
      <c r="E1013" s="12" t="s">
        <v>767</v>
      </c>
      <c r="F1013" s="31" t="s">
        <v>710</v>
      </c>
      <c r="G1013" s="15">
        <v>76</v>
      </c>
      <c r="H1013" s="38">
        <f>합산자재!H237</f>
        <v>50000</v>
      </c>
      <c r="I1013" s="57">
        <f t="shared" si="174"/>
        <v>3800000</v>
      </c>
      <c r="J1013" s="38">
        <v>76</v>
      </c>
      <c r="K1013" s="38">
        <f>합산자재!I237</f>
        <v>0</v>
      </c>
      <c r="L1013" s="57">
        <f t="shared" si="175"/>
        <v>0</v>
      </c>
      <c r="M1013" s="38">
        <f>합산자재!J237</f>
        <v>0</v>
      </c>
      <c r="N1013" s="57">
        <f t="shared" si="176"/>
        <v>0</v>
      </c>
      <c r="O1013" s="38">
        <f t="shared" si="177"/>
        <v>50000</v>
      </c>
      <c r="P1013" s="38">
        <f t="shared" si="178"/>
        <v>3800000</v>
      </c>
      <c r="Q1013" s="12"/>
    </row>
    <row r="1014" spans="1:31" ht="23.1" customHeight="1" x14ac:dyDescent="0.15">
      <c r="A1014" s="13" t="s">
        <v>1335</v>
      </c>
      <c r="B1014" s="13" t="s">
        <v>3059</v>
      </c>
      <c r="C1014" s="13" t="s">
        <v>917</v>
      </c>
      <c r="D1014" s="12" t="s">
        <v>918</v>
      </c>
      <c r="E1014" s="12" t="s">
        <v>919</v>
      </c>
      <c r="F1014" s="31" t="s">
        <v>792</v>
      </c>
      <c r="G1014" s="15">
        <v>1</v>
      </c>
      <c r="H1014" s="38">
        <f>합산자재!H311</f>
        <v>477171</v>
      </c>
      <c r="I1014" s="57">
        <f t="shared" si="174"/>
        <v>477171</v>
      </c>
      <c r="J1014" s="38">
        <v>1</v>
      </c>
      <c r="K1014" s="38">
        <f>합산자재!I311</f>
        <v>0</v>
      </c>
      <c r="L1014" s="57">
        <f t="shared" si="175"/>
        <v>0</v>
      </c>
      <c r="M1014" s="38">
        <f>합산자재!J311</f>
        <v>0</v>
      </c>
      <c r="N1014" s="57">
        <f t="shared" si="176"/>
        <v>0</v>
      </c>
      <c r="O1014" s="38">
        <f t="shared" si="177"/>
        <v>477171</v>
      </c>
      <c r="P1014" s="38">
        <f t="shared" si="178"/>
        <v>477171</v>
      </c>
      <c r="Q1014" s="12"/>
    </row>
    <row r="1015" spans="1:31" ht="23.1" customHeight="1" x14ac:dyDescent="0.15">
      <c r="D1015" s="12"/>
      <c r="E1015" s="12"/>
      <c r="F1015" s="31"/>
      <c r="G1015" s="15"/>
      <c r="H1015" s="38"/>
      <c r="I1015" s="57"/>
      <c r="J1015" s="38"/>
      <c r="K1015" s="38"/>
      <c r="L1015" s="57"/>
      <c r="M1015" s="38"/>
      <c r="N1015" s="57"/>
      <c r="O1015" s="38"/>
      <c r="P1015" s="38"/>
      <c r="Q1015" s="12"/>
      <c r="AE1015" s="35">
        <f>TRUNC(SUM(AE992:AE1014))</f>
        <v>0</v>
      </c>
    </row>
    <row r="1016" spans="1:31" ht="23.1" customHeight="1" x14ac:dyDescent="0.15">
      <c r="D1016" s="12"/>
      <c r="E1016" s="12"/>
      <c r="F1016" s="31"/>
      <c r="G1016" s="15"/>
      <c r="H1016" s="38"/>
      <c r="I1016" s="57"/>
      <c r="J1016" s="38"/>
      <c r="K1016" s="38"/>
      <c r="L1016" s="57"/>
      <c r="M1016" s="38"/>
      <c r="N1016" s="57"/>
      <c r="O1016" s="38"/>
      <c r="P1016" s="38"/>
      <c r="Q1016" s="12"/>
    </row>
    <row r="1017" spans="1:31" ht="23.1" customHeight="1" x14ac:dyDescent="0.15">
      <c r="B1017" s="13" t="s">
        <v>2360</v>
      </c>
      <c r="D1017" s="12" t="s">
        <v>2361</v>
      </c>
      <c r="E1017" s="12"/>
      <c r="F1017" s="31"/>
      <c r="G1017" s="15"/>
      <c r="H1017" s="38"/>
      <c r="I1017" s="57">
        <f>TRUNC(SUM(I992:I1016))</f>
        <v>88842171</v>
      </c>
      <c r="J1017" s="38"/>
      <c r="K1017" s="38"/>
      <c r="L1017" s="57">
        <f>TRUNC(SUM(L992:L1016))</f>
        <v>0</v>
      </c>
      <c r="M1017" s="38"/>
      <c r="N1017" s="57">
        <f>TRUNC(SUM(N992:N1016))</f>
        <v>0</v>
      </c>
      <c r="O1017" s="38" t="str">
        <f>IF((H1017+K1017+M1017)=0, "", (H1017+K1017+M1017))</f>
        <v/>
      </c>
      <c r="P1017" s="38">
        <f>TRUNC(SUM(P992:P1016))</f>
        <v>88842171</v>
      </c>
      <c r="Q1017" s="12"/>
    </row>
    <row r="1018" spans="1:31" ht="23.1" customHeight="1" x14ac:dyDescent="0.15">
      <c r="B1018" s="13" t="s">
        <v>1448</v>
      </c>
      <c r="D1018" s="170" t="s">
        <v>3192</v>
      </c>
      <c r="E1018" s="171"/>
      <c r="F1018" s="171"/>
      <c r="G1018" s="171"/>
      <c r="H1018" s="171"/>
      <c r="I1018" s="171"/>
      <c r="J1018" s="171"/>
      <c r="K1018" s="171"/>
      <c r="L1018" s="171"/>
      <c r="M1018" s="171"/>
      <c r="N1018" s="171"/>
      <c r="O1018" s="171"/>
      <c r="P1018" s="171"/>
      <c r="Q1018" s="172"/>
    </row>
    <row r="1019" spans="1:31" ht="23.1" customHeight="1" x14ac:dyDescent="0.15">
      <c r="A1019" s="13" t="s">
        <v>3094</v>
      </c>
      <c r="B1019" s="13" t="s">
        <v>3095</v>
      </c>
      <c r="C1019" s="13" t="s">
        <v>706</v>
      </c>
      <c r="D1019" s="12" t="s">
        <v>3096</v>
      </c>
      <c r="E1019" s="12" t="s">
        <v>907</v>
      </c>
      <c r="F1019" s="31" t="s">
        <v>559</v>
      </c>
      <c r="G1019" s="15">
        <v>1</v>
      </c>
      <c r="H1019" s="38">
        <v>9988000</v>
      </c>
      <c r="I1019" s="57">
        <f t="shared" ref="I1019:I1047" si="179">TRUNC(G1019*H1019)</f>
        <v>9988000</v>
      </c>
      <c r="J1019" s="38">
        <v>1</v>
      </c>
      <c r="K1019" s="38"/>
      <c r="L1019" s="57">
        <f t="shared" ref="L1019:L1047" si="180">TRUNC(G1019*K1019)</f>
        <v>0</v>
      </c>
      <c r="M1019" s="38"/>
      <c r="N1019" s="57">
        <f t="shared" ref="N1019:N1047" si="181">TRUNC(G1019*M1019)</f>
        <v>0</v>
      </c>
      <c r="O1019" s="38">
        <f t="shared" ref="O1019:O1047" si="182">IF((H1019+K1019+M1019)=0, "", (H1019+K1019+M1019))</f>
        <v>9988000</v>
      </c>
      <c r="P1019" s="38">
        <f t="shared" ref="P1019:P1047" si="183">SUM(I1019,L1019,N1019)</f>
        <v>9988000</v>
      </c>
      <c r="Q1019" s="12" t="s">
        <v>3097</v>
      </c>
    </row>
    <row r="1020" spans="1:31" ht="23.1" customHeight="1" x14ac:dyDescent="0.15">
      <c r="A1020" s="13" t="s">
        <v>3098</v>
      </c>
      <c r="B1020" s="13" t="s">
        <v>3095</v>
      </c>
      <c r="C1020" s="13" t="s">
        <v>706</v>
      </c>
      <c r="D1020" s="12" t="s">
        <v>3096</v>
      </c>
      <c r="E1020" s="12" t="s">
        <v>911</v>
      </c>
      <c r="F1020" s="31" t="s">
        <v>559</v>
      </c>
      <c r="G1020" s="15">
        <v>1</v>
      </c>
      <c r="H1020" s="38">
        <v>5193000</v>
      </c>
      <c r="I1020" s="57">
        <f t="shared" si="179"/>
        <v>5193000</v>
      </c>
      <c r="J1020" s="38">
        <v>1</v>
      </c>
      <c r="K1020" s="38"/>
      <c r="L1020" s="57">
        <f t="shared" si="180"/>
        <v>0</v>
      </c>
      <c r="M1020" s="38"/>
      <c r="N1020" s="57">
        <f t="shared" si="181"/>
        <v>0</v>
      </c>
      <c r="O1020" s="38">
        <f t="shared" si="182"/>
        <v>5193000</v>
      </c>
      <c r="P1020" s="38">
        <f t="shared" si="183"/>
        <v>5193000</v>
      </c>
      <c r="Q1020" s="12" t="s">
        <v>3099</v>
      </c>
    </row>
    <row r="1021" spans="1:31" ht="23.1" customHeight="1" x14ac:dyDescent="0.15">
      <c r="A1021" s="13" t="s">
        <v>3100</v>
      </c>
      <c r="B1021" s="13" t="s">
        <v>3095</v>
      </c>
      <c r="C1021" s="13" t="s">
        <v>706</v>
      </c>
      <c r="D1021" s="12" t="s">
        <v>3096</v>
      </c>
      <c r="E1021" s="12" t="s">
        <v>905</v>
      </c>
      <c r="F1021" s="31" t="s">
        <v>559</v>
      </c>
      <c r="G1021" s="15">
        <v>1</v>
      </c>
      <c r="H1021" s="38">
        <v>9988000</v>
      </c>
      <c r="I1021" s="57">
        <f t="shared" si="179"/>
        <v>9988000</v>
      </c>
      <c r="J1021" s="38">
        <v>1</v>
      </c>
      <c r="K1021" s="38"/>
      <c r="L1021" s="57">
        <f t="shared" si="180"/>
        <v>0</v>
      </c>
      <c r="M1021" s="38"/>
      <c r="N1021" s="57">
        <f t="shared" si="181"/>
        <v>0</v>
      </c>
      <c r="O1021" s="38">
        <f t="shared" si="182"/>
        <v>9988000</v>
      </c>
      <c r="P1021" s="38">
        <f t="shared" si="183"/>
        <v>9988000</v>
      </c>
      <c r="Q1021" s="12" t="s">
        <v>3097</v>
      </c>
    </row>
    <row r="1022" spans="1:31" ht="23.1" customHeight="1" x14ac:dyDescent="0.15">
      <c r="A1022" s="13" t="s">
        <v>3101</v>
      </c>
      <c r="B1022" s="13" t="s">
        <v>3095</v>
      </c>
      <c r="C1022" s="13" t="s">
        <v>706</v>
      </c>
      <c r="D1022" s="12" t="s">
        <v>3096</v>
      </c>
      <c r="E1022" s="12" t="s">
        <v>909</v>
      </c>
      <c r="F1022" s="31" t="s">
        <v>559</v>
      </c>
      <c r="G1022" s="15">
        <v>1</v>
      </c>
      <c r="H1022" s="38">
        <v>4887000</v>
      </c>
      <c r="I1022" s="57">
        <f t="shared" si="179"/>
        <v>4887000</v>
      </c>
      <c r="J1022" s="38">
        <v>1</v>
      </c>
      <c r="K1022" s="38"/>
      <c r="L1022" s="57">
        <f t="shared" si="180"/>
        <v>0</v>
      </c>
      <c r="M1022" s="38"/>
      <c r="N1022" s="57">
        <f t="shared" si="181"/>
        <v>0</v>
      </c>
      <c r="O1022" s="38">
        <f t="shared" si="182"/>
        <v>4887000</v>
      </c>
      <c r="P1022" s="38">
        <f t="shared" si="183"/>
        <v>4887000</v>
      </c>
      <c r="Q1022" s="12" t="s">
        <v>3102</v>
      </c>
    </row>
    <row r="1023" spans="1:31" ht="23.1" customHeight="1" x14ac:dyDescent="0.15">
      <c r="A1023" s="13" t="s">
        <v>3103</v>
      </c>
      <c r="B1023" s="13" t="s">
        <v>3095</v>
      </c>
      <c r="C1023" s="13" t="s">
        <v>706</v>
      </c>
      <c r="D1023" s="12" t="s">
        <v>3096</v>
      </c>
      <c r="E1023" s="12" t="s">
        <v>901</v>
      </c>
      <c r="F1023" s="31" t="s">
        <v>559</v>
      </c>
      <c r="G1023" s="15">
        <v>1</v>
      </c>
      <c r="H1023" s="38">
        <v>7413000</v>
      </c>
      <c r="I1023" s="57">
        <f t="shared" si="179"/>
        <v>7413000</v>
      </c>
      <c r="J1023" s="38">
        <v>1</v>
      </c>
      <c r="K1023" s="38"/>
      <c r="L1023" s="57">
        <f t="shared" si="180"/>
        <v>0</v>
      </c>
      <c r="M1023" s="38"/>
      <c r="N1023" s="57">
        <f t="shared" si="181"/>
        <v>0</v>
      </c>
      <c r="O1023" s="38">
        <f t="shared" si="182"/>
        <v>7413000</v>
      </c>
      <c r="P1023" s="38">
        <f t="shared" si="183"/>
        <v>7413000</v>
      </c>
      <c r="Q1023" s="12" t="s">
        <v>3104</v>
      </c>
    </row>
    <row r="1024" spans="1:31" ht="23.1" customHeight="1" x14ac:dyDescent="0.15">
      <c r="A1024" s="13" t="s">
        <v>3105</v>
      </c>
      <c r="B1024" s="13" t="s">
        <v>3095</v>
      </c>
      <c r="C1024" s="13" t="s">
        <v>706</v>
      </c>
      <c r="D1024" s="12" t="s">
        <v>3096</v>
      </c>
      <c r="E1024" s="12" t="s">
        <v>903</v>
      </c>
      <c r="F1024" s="31" t="s">
        <v>559</v>
      </c>
      <c r="G1024" s="15">
        <v>1</v>
      </c>
      <c r="H1024" s="38">
        <v>7413000</v>
      </c>
      <c r="I1024" s="57">
        <f t="shared" si="179"/>
        <v>7413000</v>
      </c>
      <c r="J1024" s="38">
        <v>1</v>
      </c>
      <c r="K1024" s="38"/>
      <c r="L1024" s="57">
        <f t="shared" si="180"/>
        <v>0</v>
      </c>
      <c r="M1024" s="38"/>
      <c r="N1024" s="57">
        <f t="shared" si="181"/>
        <v>0</v>
      </c>
      <c r="O1024" s="38">
        <f t="shared" si="182"/>
        <v>7413000</v>
      </c>
      <c r="P1024" s="38">
        <f t="shared" si="183"/>
        <v>7413000</v>
      </c>
      <c r="Q1024" s="12" t="s">
        <v>3104</v>
      </c>
    </row>
    <row r="1025" spans="1:17" ht="23.1" customHeight="1" x14ac:dyDescent="0.15">
      <c r="A1025" s="13" t="s">
        <v>3106</v>
      </c>
      <c r="B1025" s="13" t="s">
        <v>3095</v>
      </c>
      <c r="C1025" s="13" t="s">
        <v>706</v>
      </c>
      <c r="D1025" s="12" t="s">
        <v>3096</v>
      </c>
      <c r="E1025" s="12" t="s">
        <v>879</v>
      </c>
      <c r="F1025" s="31" t="s">
        <v>559</v>
      </c>
      <c r="G1025" s="15">
        <v>1</v>
      </c>
      <c r="H1025" s="38">
        <v>2833000</v>
      </c>
      <c r="I1025" s="57">
        <f t="shared" si="179"/>
        <v>2833000</v>
      </c>
      <c r="J1025" s="38">
        <v>1</v>
      </c>
      <c r="K1025" s="38"/>
      <c r="L1025" s="57">
        <f t="shared" si="180"/>
        <v>0</v>
      </c>
      <c r="M1025" s="38"/>
      <c r="N1025" s="57">
        <f t="shared" si="181"/>
        <v>0</v>
      </c>
      <c r="O1025" s="38">
        <f t="shared" si="182"/>
        <v>2833000</v>
      </c>
      <c r="P1025" s="38">
        <f t="shared" si="183"/>
        <v>2833000</v>
      </c>
      <c r="Q1025" s="12" t="s">
        <v>3107</v>
      </c>
    </row>
    <row r="1026" spans="1:17" ht="23.1" customHeight="1" x14ac:dyDescent="0.15">
      <c r="A1026" s="13" t="s">
        <v>3108</v>
      </c>
      <c r="B1026" s="13" t="s">
        <v>3095</v>
      </c>
      <c r="C1026" s="13" t="s">
        <v>706</v>
      </c>
      <c r="D1026" s="12" t="s">
        <v>3096</v>
      </c>
      <c r="E1026" s="12" t="s">
        <v>881</v>
      </c>
      <c r="F1026" s="31" t="s">
        <v>559</v>
      </c>
      <c r="G1026" s="15">
        <v>1</v>
      </c>
      <c r="H1026" s="38">
        <v>4521000</v>
      </c>
      <c r="I1026" s="57">
        <f t="shared" si="179"/>
        <v>4521000</v>
      </c>
      <c r="J1026" s="38">
        <v>1</v>
      </c>
      <c r="K1026" s="38"/>
      <c r="L1026" s="57">
        <f t="shared" si="180"/>
        <v>0</v>
      </c>
      <c r="M1026" s="38"/>
      <c r="N1026" s="57">
        <f t="shared" si="181"/>
        <v>0</v>
      </c>
      <c r="O1026" s="38">
        <f t="shared" si="182"/>
        <v>4521000</v>
      </c>
      <c r="P1026" s="38">
        <f t="shared" si="183"/>
        <v>4521000</v>
      </c>
      <c r="Q1026" s="12" t="s">
        <v>3109</v>
      </c>
    </row>
    <row r="1027" spans="1:17" ht="23.1" customHeight="1" x14ac:dyDescent="0.15">
      <c r="A1027" s="13" t="s">
        <v>3110</v>
      </c>
      <c r="B1027" s="13" t="s">
        <v>3095</v>
      </c>
      <c r="C1027" s="13" t="s">
        <v>706</v>
      </c>
      <c r="D1027" s="12" t="s">
        <v>3096</v>
      </c>
      <c r="E1027" s="12" t="s">
        <v>883</v>
      </c>
      <c r="F1027" s="31" t="s">
        <v>559</v>
      </c>
      <c r="G1027" s="15">
        <v>1</v>
      </c>
      <c r="H1027" s="38">
        <v>3838000</v>
      </c>
      <c r="I1027" s="57">
        <f t="shared" si="179"/>
        <v>3838000</v>
      </c>
      <c r="J1027" s="38">
        <v>1</v>
      </c>
      <c r="K1027" s="38"/>
      <c r="L1027" s="57">
        <f t="shared" si="180"/>
        <v>0</v>
      </c>
      <c r="M1027" s="38"/>
      <c r="N1027" s="57">
        <f t="shared" si="181"/>
        <v>0</v>
      </c>
      <c r="O1027" s="38">
        <f t="shared" si="182"/>
        <v>3838000</v>
      </c>
      <c r="P1027" s="38">
        <f t="shared" si="183"/>
        <v>3838000</v>
      </c>
      <c r="Q1027" s="12" t="s">
        <v>3111</v>
      </c>
    </row>
    <row r="1028" spans="1:17" ht="23.1" customHeight="1" x14ac:dyDescent="0.15">
      <c r="A1028" s="13" t="s">
        <v>3112</v>
      </c>
      <c r="B1028" s="13" t="s">
        <v>3095</v>
      </c>
      <c r="C1028" s="13" t="s">
        <v>706</v>
      </c>
      <c r="D1028" s="12" t="s">
        <v>3096</v>
      </c>
      <c r="E1028" s="12" t="s">
        <v>885</v>
      </c>
      <c r="F1028" s="31" t="s">
        <v>559</v>
      </c>
      <c r="G1028" s="15">
        <v>1</v>
      </c>
      <c r="H1028" s="38">
        <v>4521000</v>
      </c>
      <c r="I1028" s="57">
        <f t="shared" si="179"/>
        <v>4521000</v>
      </c>
      <c r="J1028" s="38">
        <v>1</v>
      </c>
      <c r="K1028" s="38"/>
      <c r="L1028" s="57">
        <f t="shared" si="180"/>
        <v>0</v>
      </c>
      <c r="M1028" s="38"/>
      <c r="N1028" s="57">
        <f t="shared" si="181"/>
        <v>0</v>
      </c>
      <c r="O1028" s="38">
        <f t="shared" si="182"/>
        <v>4521000</v>
      </c>
      <c r="P1028" s="38">
        <f t="shared" si="183"/>
        <v>4521000</v>
      </c>
      <c r="Q1028" s="12" t="s">
        <v>3109</v>
      </c>
    </row>
    <row r="1029" spans="1:17" ht="23.1" customHeight="1" x14ac:dyDescent="0.15">
      <c r="A1029" s="13" t="s">
        <v>3113</v>
      </c>
      <c r="B1029" s="13" t="s">
        <v>3095</v>
      </c>
      <c r="C1029" s="13" t="s">
        <v>706</v>
      </c>
      <c r="D1029" s="12" t="s">
        <v>3096</v>
      </c>
      <c r="E1029" s="12" t="s">
        <v>887</v>
      </c>
      <c r="F1029" s="31" t="s">
        <v>559</v>
      </c>
      <c r="G1029" s="15">
        <v>1</v>
      </c>
      <c r="H1029" s="38">
        <v>3455000</v>
      </c>
      <c r="I1029" s="57">
        <f t="shared" si="179"/>
        <v>3455000</v>
      </c>
      <c r="J1029" s="38">
        <v>1</v>
      </c>
      <c r="K1029" s="38"/>
      <c r="L1029" s="57">
        <f t="shared" si="180"/>
        <v>0</v>
      </c>
      <c r="M1029" s="38"/>
      <c r="N1029" s="57">
        <f t="shared" si="181"/>
        <v>0</v>
      </c>
      <c r="O1029" s="38">
        <f t="shared" si="182"/>
        <v>3455000</v>
      </c>
      <c r="P1029" s="38">
        <f t="shared" si="183"/>
        <v>3455000</v>
      </c>
      <c r="Q1029" s="12" t="s">
        <v>3114</v>
      </c>
    </row>
    <row r="1030" spans="1:17" ht="23.1" customHeight="1" x14ac:dyDescent="0.15">
      <c r="A1030" s="13" t="s">
        <v>3115</v>
      </c>
      <c r="B1030" s="13" t="s">
        <v>3095</v>
      </c>
      <c r="C1030" s="13" t="s">
        <v>706</v>
      </c>
      <c r="D1030" s="12" t="s">
        <v>3096</v>
      </c>
      <c r="E1030" s="12" t="s">
        <v>889</v>
      </c>
      <c r="F1030" s="31" t="s">
        <v>559</v>
      </c>
      <c r="G1030" s="15">
        <v>1</v>
      </c>
      <c r="H1030" s="38">
        <v>4128000</v>
      </c>
      <c r="I1030" s="57">
        <f t="shared" si="179"/>
        <v>4128000</v>
      </c>
      <c r="J1030" s="38">
        <v>1</v>
      </c>
      <c r="K1030" s="38"/>
      <c r="L1030" s="57">
        <f t="shared" si="180"/>
        <v>0</v>
      </c>
      <c r="M1030" s="38"/>
      <c r="N1030" s="57">
        <f t="shared" si="181"/>
        <v>0</v>
      </c>
      <c r="O1030" s="38">
        <f t="shared" si="182"/>
        <v>4128000</v>
      </c>
      <c r="P1030" s="38">
        <f t="shared" si="183"/>
        <v>4128000</v>
      </c>
      <c r="Q1030" s="12" t="s">
        <v>3116</v>
      </c>
    </row>
    <row r="1031" spans="1:17" ht="23.1" customHeight="1" x14ac:dyDescent="0.15">
      <c r="A1031" s="13" t="s">
        <v>3117</v>
      </c>
      <c r="B1031" s="13" t="s">
        <v>3095</v>
      </c>
      <c r="C1031" s="13" t="s">
        <v>706</v>
      </c>
      <c r="D1031" s="12" t="s">
        <v>3096</v>
      </c>
      <c r="E1031" s="12" t="s">
        <v>891</v>
      </c>
      <c r="F1031" s="31" t="s">
        <v>559</v>
      </c>
      <c r="G1031" s="15">
        <v>1</v>
      </c>
      <c r="H1031" s="38">
        <v>1920000</v>
      </c>
      <c r="I1031" s="57">
        <f t="shared" si="179"/>
        <v>1920000</v>
      </c>
      <c r="J1031" s="38">
        <v>1</v>
      </c>
      <c r="K1031" s="38"/>
      <c r="L1031" s="57">
        <f t="shared" si="180"/>
        <v>0</v>
      </c>
      <c r="M1031" s="38"/>
      <c r="N1031" s="57">
        <f t="shared" si="181"/>
        <v>0</v>
      </c>
      <c r="O1031" s="38">
        <f t="shared" si="182"/>
        <v>1920000</v>
      </c>
      <c r="P1031" s="38">
        <f t="shared" si="183"/>
        <v>1920000</v>
      </c>
      <c r="Q1031" s="12" t="s">
        <v>3118</v>
      </c>
    </row>
    <row r="1032" spans="1:17" ht="23.1" customHeight="1" x14ac:dyDescent="0.15">
      <c r="A1032" s="13" t="s">
        <v>3119</v>
      </c>
      <c r="B1032" s="13" t="s">
        <v>3095</v>
      </c>
      <c r="C1032" s="13" t="s">
        <v>706</v>
      </c>
      <c r="D1032" s="12" t="s">
        <v>3096</v>
      </c>
      <c r="E1032" s="12" t="s">
        <v>893</v>
      </c>
      <c r="F1032" s="31" t="s">
        <v>559</v>
      </c>
      <c r="G1032" s="15">
        <v>1</v>
      </c>
      <c r="H1032" s="38">
        <v>2805000</v>
      </c>
      <c r="I1032" s="57">
        <f t="shared" si="179"/>
        <v>2805000</v>
      </c>
      <c r="J1032" s="38">
        <v>1</v>
      </c>
      <c r="K1032" s="38"/>
      <c r="L1032" s="57">
        <f t="shared" si="180"/>
        <v>0</v>
      </c>
      <c r="M1032" s="38"/>
      <c r="N1032" s="57">
        <f t="shared" si="181"/>
        <v>0</v>
      </c>
      <c r="O1032" s="38">
        <f t="shared" si="182"/>
        <v>2805000</v>
      </c>
      <c r="P1032" s="38">
        <f t="shared" si="183"/>
        <v>2805000</v>
      </c>
      <c r="Q1032" s="12" t="s">
        <v>3120</v>
      </c>
    </row>
    <row r="1033" spans="1:17" ht="23.1" customHeight="1" x14ac:dyDescent="0.15">
      <c r="A1033" s="13" t="s">
        <v>3121</v>
      </c>
      <c r="B1033" s="13" t="s">
        <v>3095</v>
      </c>
      <c r="C1033" s="13" t="s">
        <v>706</v>
      </c>
      <c r="D1033" s="12" t="s">
        <v>3096</v>
      </c>
      <c r="E1033" s="12" t="s">
        <v>895</v>
      </c>
      <c r="F1033" s="31" t="s">
        <v>559</v>
      </c>
      <c r="G1033" s="15">
        <v>1</v>
      </c>
      <c r="H1033" s="38">
        <v>1559000</v>
      </c>
      <c r="I1033" s="57">
        <f t="shared" si="179"/>
        <v>1559000</v>
      </c>
      <c r="J1033" s="38">
        <v>1</v>
      </c>
      <c r="K1033" s="38"/>
      <c r="L1033" s="57">
        <f t="shared" si="180"/>
        <v>0</v>
      </c>
      <c r="M1033" s="38"/>
      <c r="N1033" s="57">
        <f t="shared" si="181"/>
        <v>0</v>
      </c>
      <c r="O1033" s="38">
        <f t="shared" si="182"/>
        <v>1559000</v>
      </c>
      <c r="P1033" s="38">
        <f t="shared" si="183"/>
        <v>1559000</v>
      </c>
      <c r="Q1033" s="12" t="s">
        <v>3122</v>
      </c>
    </row>
    <row r="1034" spans="1:17" ht="23.1" customHeight="1" x14ac:dyDescent="0.15">
      <c r="A1034" s="13" t="s">
        <v>3123</v>
      </c>
      <c r="B1034" s="13" t="s">
        <v>3095</v>
      </c>
      <c r="C1034" s="13" t="s">
        <v>706</v>
      </c>
      <c r="D1034" s="12" t="s">
        <v>3096</v>
      </c>
      <c r="E1034" s="12" t="s">
        <v>877</v>
      </c>
      <c r="F1034" s="31" t="s">
        <v>559</v>
      </c>
      <c r="G1034" s="15">
        <v>1</v>
      </c>
      <c r="H1034" s="38">
        <v>1559000</v>
      </c>
      <c r="I1034" s="57">
        <f t="shared" si="179"/>
        <v>1559000</v>
      </c>
      <c r="J1034" s="38">
        <v>1</v>
      </c>
      <c r="K1034" s="38"/>
      <c r="L1034" s="57">
        <f t="shared" si="180"/>
        <v>0</v>
      </c>
      <c r="M1034" s="38"/>
      <c r="N1034" s="57">
        <f t="shared" si="181"/>
        <v>0</v>
      </c>
      <c r="O1034" s="38">
        <f t="shared" si="182"/>
        <v>1559000</v>
      </c>
      <c r="P1034" s="38">
        <f t="shared" si="183"/>
        <v>1559000</v>
      </c>
      <c r="Q1034" s="12" t="s">
        <v>3122</v>
      </c>
    </row>
    <row r="1035" spans="1:17" ht="23.1" customHeight="1" x14ac:dyDescent="0.15">
      <c r="A1035" s="13" t="s">
        <v>3124</v>
      </c>
      <c r="B1035" s="13" t="s">
        <v>3095</v>
      </c>
      <c r="C1035" s="13" t="s">
        <v>706</v>
      </c>
      <c r="D1035" s="12" t="s">
        <v>3096</v>
      </c>
      <c r="E1035" s="12" t="s">
        <v>869</v>
      </c>
      <c r="F1035" s="31" t="s">
        <v>559</v>
      </c>
      <c r="G1035" s="15">
        <v>1</v>
      </c>
      <c r="H1035" s="38">
        <v>4521000</v>
      </c>
      <c r="I1035" s="57">
        <f t="shared" si="179"/>
        <v>4521000</v>
      </c>
      <c r="J1035" s="38">
        <v>1</v>
      </c>
      <c r="K1035" s="38"/>
      <c r="L1035" s="57">
        <f t="shared" si="180"/>
        <v>0</v>
      </c>
      <c r="M1035" s="38"/>
      <c r="N1035" s="57">
        <f t="shared" si="181"/>
        <v>0</v>
      </c>
      <c r="O1035" s="38">
        <f t="shared" si="182"/>
        <v>4521000</v>
      </c>
      <c r="P1035" s="38">
        <f t="shared" si="183"/>
        <v>4521000</v>
      </c>
      <c r="Q1035" s="12" t="s">
        <v>3109</v>
      </c>
    </row>
    <row r="1036" spans="1:17" ht="23.1" customHeight="1" x14ac:dyDescent="0.15">
      <c r="A1036" s="13" t="s">
        <v>3125</v>
      </c>
      <c r="B1036" s="13" t="s">
        <v>3095</v>
      </c>
      <c r="C1036" s="13" t="s">
        <v>706</v>
      </c>
      <c r="D1036" s="12" t="s">
        <v>3096</v>
      </c>
      <c r="E1036" s="12" t="s">
        <v>863</v>
      </c>
      <c r="F1036" s="31" t="s">
        <v>559</v>
      </c>
      <c r="G1036" s="15">
        <v>1</v>
      </c>
      <c r="H1036" s="38">
        <v>3484000</v>
      </c>
      <c r="I1036" s="57">
        <f t="shared" si="179"/>
        <v>3484000</v>
      </c>
      <c r="J1036" s="38">
        <v>1</v>
      </c>
      <c r="K1036" s="38"/>
      <c r="L1036" s="57">
        <f t="shared" si="180"/>
        <v>0</v>
      </c>
      <c r="M1036" s="38"/>
      <c r="N1036" s="57">
        <f t="shared" si="181"/>
        <v>0</v>
      </c>
      <c r="O1036" s="38">
        <f t="shared" si="182"/>
        <v>3484000</v>
      </c>
      <c r="P1036" s="38">
        <f t="shared" si="183"/>
        <v>3484000</v>
      </c>
      <c r="Q1036" s="12" t="s">
        <v>3126</v>
      </c>
    </row>
    <row r="1037" spans="1:17" ht="23.1" customHeight="1" x14ac:dyDescent="0.15">
      <c r="A1037" s="13" t="s">
        <v>3127</v>
      </c>
      <c r="B1037" s="13" t="s">
        <v>3095</v>
      </c>
      <c r="C1037" s="13" t="s">
        <v>706</v>
      </c>
      <c r="D1037" s="12" t="s">
        <v>3096</v>
      </c>
      <c r="E1037" s="12" t="s">
        <v>865</v>
      </c>
      <c r="F1037" s="31" t="s">
        <v>559</v>
      </c>
      <c r="G1037" s="15">
        <v>1</v>
      </c>
      <c r="H1037" s="38">
        <v>2342000</v>
      </c>
      <c r="I1037" s="57">
        <f t="shared" si="179"/>
        <v>2342000</v>
      </c>
      <c r="J1037" s="38">
        <v>1</v>
      </c>
      <c r="K1037" s="38"/>
      <c r="L1037" s="57">
        <f t="shared" si="180"/>
        <v>0</v>
      </c>
      <c r="M1037" s="38"/>
      <c r="N1037" s="57">
        <f t="shared" si="181"/>
        <v>0</v>
      </c>
      <c r="O1037" s="38">
        <f t="shared" si="182"/>
        <v>2342000</v>
      </c>
      <c r="P1037" s="38">
        <f t="shared" si="183"/>
        <v>2342000</v>
      </c>
      <c r="Q1037" s="12" t="s">
        <v>3128</v>
      </c>
    </row>
    <row r="1038" spans="1:17" ht="23.1" customHeight="1" x14ac:dyDescent="0.15">
      <c r="A1038" s="13" t="s">
        <v>3129</v>
      </c>
      <c r="B1038" s="13" t="s">
        <v>3095</v>
      </c>
      <c r="C1038" s="13" t="s">
        <v>706</v>
      </c>
      <c r="D1038" s="12" t="s">
        <v>3096</v>
      </c>
      <c r="E1038" s="12" t="s">
        <v>867</v>
      </c>
      <c r="F1038" s="31" t="s">
        <v>559</v>
      </c>
      <c r="G1038" s="15">
        <v>1</v>
      </c>
      <c r="H1038" s="38">
        <v>2901000</v>
      </c>
      <c r="I1038" s="57">
        <f t="shared" si="179"/>
        <v>2901000</v>
      </c>
      <c r="J1038" s="38">
        <v>1</v>
      </c>
      <c r="K1038" s="38"/>
      <c r="L1038" s="57">
        <f t="shared" si="180"/>
        <v>0</v>
      </c>
      <c r="M1038" s="38"/>
      <c r="N1038" s="57">
        <f t="shared" si="181"/>
        <v>0</v>
      </c>
      <c r="O1038" s="38">
        <f t="shared" si="182"/>
        <v>2901000</v>
      </c>
      <c r="P1038" s="38">
        <f t="shared" si="183"/>
        <v>2901000</v>
      </c>
      <c r="Q1038" s="12" t="s">
        <v>3130</v>
      </c>
    </row>
    <row r="1039" spans="1:17" ht="23.1" customHeight="1" x14ac:dyDescent="0.15">
      <c r="A1039" s="13" t="s">
        <v>3131</v>
      </c>
      <c r="B1039" s="13" t="s">
        <v>3095</v>
      </c>
      <c r="C1039" s="13" t="s">
        <v>706</v>
      </c>
      <c r="D1039" s="12" t="s">
        <v>3096</v>
      </c>
      <c r="E1039" s="12" t="s">
        <v>873</v>
      </c>
      <c r="F1039" s="31" t="s">
        <v>559</v>
      </c>
      <c r="G1039" s="15">
        <v>1</v>
      </c>
      <c r="H1039" s="38">
        <v>3779000</v>
      </c>
      <c r="I1039" s="57">
        <f t="shared" si="179"/>
        <v>3779000</v>
      </c>
      <c r="J1039" s="38">
        <v>1</v>
      </c>
      <c r="K1039" s="38"/>
      <c r="L1039" s="57">
        <f t="shared" si="180"/>
        <v>0</v>
      </c>
      <c r="M1039" s="38"/>
      <c r="N1039" s="57">
        <f t="shared" si="181"/>
        <v>0</v>
      </c>
      <c r="O1039" s="38">
        <f t="shared" si="182"/>
        <v>3779000</v>
      </c>
      <c r="P1039" s="38">
        <f t="shared" si="183"/>
        <v>3779000</v>
      </c>
      <c r="Q1039" s="12" t="s">
        <v>3132</v>
      </c>
    </row>
    <row r="1040" spans="1:17" ht="23.1" customHeight="1" x14ac:dyDescent="0.15">
      <c r="A1040" s="13" t="s">
        <v>3133</v>
      </c>
      <c r="B1040" s="13" t="s">
        <v>3095</v>
      </c>
      <c r="C1040" s="13" t="s">
        <v>706</v>
      </c>
      <c r="D1040" s="12" t="s">
        <v>3096</v>
      </c>
      <c r="E1040" s="12" t="s">
        <v>871</v>
      </c>
      <c r="F1040" s="31" t="s">
        <v>559</v>
      </c>
      <c r="G1040" s="15">
        <v>1</v>
      </c>
      <c r="H1040" s="38">
        <v>2497000</v>
      </c>
      <c r="I1040" s="57">
        <f t="shared" si="179"/>
        <v>2497000</v>
      </c>
      <c r="J1040" s="38">
        <v>1</v>
      </c>
      <c r="K1040" s="38"/>
      <c r="L1040" s="57">
        <f t="shared" si="180"/>
        <v>0</v>
      </c>
      <c r="M1040" s="38"/>
      <c r="N1040" s="57">
        <f t="shared" si="181"/>
        <v>0</v>
      </c>
      <c r="O1040" s="38">
        <f t="shared" si="182"/>
        <v>2497000</v>
      </c>
      <c r="P1040" s="38">
        <f t="shared" si="183"/>
        <v>2497000</v>
      </c>
      <c r="Q1040" s="12" t="s">
        <v>3134</v>
      </c>
    </row>
    <row r="1041" spans="1:31" ht="23.1" customHeight="1" x14ac:dyDescent="0.15">
      <c r="A1041" s="13" t="s">
        <v>3135</v>
      </c>
      <c r="B1041" s="13" t="s">
        <v>3095</v>
      </c>
      <c r="C1041" s="13" t="s">
        <v>706</v>
      </c>
      <c r="D1041" s="12" t="s">
        <v>3096</v>
      </c>
      <c r="E1041" s="12" t="s">
        <v>875</v>
      </c>
      <c r="F1041" s="31" t="s">
        <v>559</v>
      </c>
      <c r="G1041" s="15">
        <v>1</v>
      </c>
      <c r="H1041" s="38">
        <v>1920000</v>
      </c>
      <c r="I1041" s="57">
        <f t="shared" si="179"/>
        <v>1920000</v>
      </c>
      <c r="J1041" s="38">
        <v>1</v>
      </c>
      <c r="K1041" s="38"/>
      <c r="L1041" s="57">
        <f t="shared" si="180"/>
        <v>0</v>
      </c>
      <c r="M1041" s="38"/>
      <c r="N1041" s="57">
        <f t="shared" si="181"/>
        <v>0</v>
      </c>
      <c r="O1041" s="38">
        <f t="shared" si="182"/>
        <v>1920000</v>
      </c>
      <c r="P1041" s="38">
        <f t="shared" si="183"/>
        <v>1920000</v>
      </c>
      <c r="Q1041" s="12" t="s">
        <v>3118</v>
      </c>
    </row>
    <row r="1042" spans="1:31" ht="23.1" customHeight="1" x14ac:dyDescent="0.15">
      <c r="A1042" s="13" t="s">
        <v>3136</v>
      </c>
      <c r="B1042" s="13" t="s">
        <v>3095</v>
      </c>
      <c r="C1042" s="13" t="s">
        <v>706</v>
      </c>
      <c r="D1042" s="12" t="s">
        <v>3096</v>
      </c>
      <c r="E1042" s="12" t="s">
        <v>899</v>
      </c>
      <c r="F1042" s="31" t="s">
        <v>559</v>
      </c>
      <c r="G1042" s="15">
        <v>1</v>
      </c>
      <c r="H1042" s="38">
        <v>2575000</v>
      </c>
      <c r="I1042" s="57">
        <f t="shared" si="179"/>
        <v>2575000</v>
      </c>
      <c r="J1042" s="38">
        <v>1</v>
      </c>
      <c r="K1042" s="38"/>
      <c r="L1042" s="57">
        <f t="shared" si="180"/>
        <v>0</v>
      </c>
      <c r="M1042" s="38"/>
      <c r="N1042" s="57">
        <f t="shared" si="181"/>
        <v>0</v>
      </c>
      <c r="O1042" s="38">
        <f t="shared" si="182"/>
        <v>2575000</v>
      </c>
      <c r="P1042" s="38">
        <f t="shared" si="183"/>
        <v>2575000</v>
      </c>
      <c r="Q1042" s="12" t="s">
        <v>3137</v>
      </c>
    </row>
    <row r="1043" spans="1:31" ht="23.1" customHeight="1" x14ac:dyDescent="0.15">
      <c r="A1043" s="13" t="s">
        <v>3138</v>
      </c>
      <c r="B1043" s="13" t="s">
        <v>3095</v>
      </c>
      <c r="C1043" s="13" t="s">
        <v>706</v>
      </c>
      <c r="D1043" s="12" t="s">
        <v>3096</v>
      </c>
      <c r="E1043" s="12" t="s">
        <v>897</v>
      </c>
      <c r="F1043" s="31" t="s">
        <v>559</v>
      </c>
      <c r="G1043" s="15">
        <v>1</v>
      </c>
      <c r="H1043" s="38">
        <v>3291000</v>
      </c>
      <c r="I1043" s="57">
        <f t="shared" si="179"/>
        <v>3291000</v>
      </c>
      <c r="J1043" s="38">
        <v>1</v>
      </c>
      <c r="K1043" s="38"/>
      <c r="L1043" s="57">
        <f t="shared" si="180"/>
        <v>0</v>
      </c>
      <c r="M1043" s="38"/>
      <c r="N1043" s="57">
        <f t="shared" si="181"/>
        <v>0</v>
      </c>
      <c r="O1043" s="38">
        <f t="shared" si="182"/>
        <v>3291000</v>
      </c>
      <c r="P1043" s="38">
        <f t="shared" si="183"/>
        <v>3291000</v>
      </c>
      <c r="Q1043" s="12" t="s">
        <v>3139</v>
      </c>
    </row>
    <row r="1044" spans="1:31" ht="23.1" customHeight="1" x14ac:dyDescent="0.15">
      <c r="A1044" s="13" t="s">
        <v>3140</v>
      </c>
      <c r="B1044" s="13" t="s">
        <v>3095</v>
      </c>
      <c r="C1044" s="13" t="s">
        <v>706</v>
      </c>
      <c r="D1044" s="12" t="s">
        <v>3096</v>
      </c>
      <c r="E1044" s="12" t="s">
        <v>913</v>
      </c>
      <c r="F1044" s="31" t="s">
        <v>559</v>
      </c>
      <c r="G1044" s="15">
        <v>1</v>
      </c>
      <c r="H1044" s="38">
        <v>1920000</v>
      </c>
      <c r="I1044" s="57">
        <f t="shared" si="179"/>
        <v>1920000</v>
      </c>
      <c r="J1044" s="38">
        <v>1</v>
      </c>
      <c r="K1044" s="38"/>
      <c r="L1044" s="57">
        <f t="shared" si="180"/>
        <v>0</v>
      </c>
      <c r="M1044" s="38"/>
      <c r="N1044" s="57">
        <f t="shared" si="181"/>
        <v>0</v>
      </c>
      <c r="O1044" s="38">
        <f t="shared" si="182"/>
        <v>1920000</v>
      </c>
      <c r="P1044" s="38">
        <f t="shared" si="183"/>
        <v>1920000</v>
      </c>
      <c r="Q1044" s="12" t="s">
        <v>3118</v>
      </c>
    </row>
    <row r="1045" spans="1:31" ht="23.1" customHeight="1" x14ac:dyDescent="0.15">
      <c r="A1045" s="13" t="s">
        <v>3141</v>
      </c>
      <c r="B1045" s="13" t="s">
        <v>3095</v>
      </c>
      <c r="C1045" s="13" t="s">
        <v>706</v>
      </c>
      <c r="D1045" s="12" t="s">
        <v>3096</v>
      </c>
      <c r="E1045" s="12" t="s">
        <v>859</v>
      </c>
      <c r="F1045" s="31" t="s">
        <v>559</v>
      </c>
      <c r="G1045" s="15">
        <v>1</v>
      </c>
      <c r="H1045" s="38">
        <v>2604000</v>
      </c>
      <c r="I1045" s="57">
        <f t="shared" si="179"/>
        <v>2604000</v>
      </c>
      <c r="J1045" s="38">
        <v>1</v>
      </c>
      <c r="K1045" s="38"/>
      <c r="L1045" s="57">
        <f t="shared" si="180"/>
        <v>0</v>
      </c>
      <c r="M1045" s="38"/>
      <c r="N1045" s="57">
        <f t="shared" si="181"/>
        <v>0</v>
      </c>
      <c r="O1045" s="38">
        <f t="shared" si="182"/>
        <v>2604000</v>
      </c>
      <c r="P1045" s="38">
        <f t="shared" si="183"/>
        <v>2604000</v>
      </c>
      <c r="Q1045" s="12" t="s">
        <v>3142</v>
      </c>
    </row>
    <row r="1046" spans="1:31" ht="23.1" customHeight="1" x14ac:dyDescent="0.15">
      <c r="A1046" s="13" t="s">
        <v>3143</v>
      </c>
      <c r="B1046" s="13" t="s">
        <v>3095</v>
      </c>
      <c r="C1046" s="13" t="s">
        <v>706</v>
      </c>
      <c r="D1046" s="12" t="s">
        <v>3096</v>
      </c>
      <c r="E1046" s="12" t="s">
        <v>861</v>
      </c>
      <c r="F1046" s="31" t="s">
        <v>559</v>
      </c>
      <c r="G1046" s="15">
        <v>1</v>
      </c>
      <c r="H1046" s="38">
        <v>4521000</v>
      </c>
      <c r="I1046" s="57">
        <f t="shared" si="179"/>
        <v>4521000</v>
      </c>
      <c r="J1046" s="38">
        <v>1</v>
      </c>
      <c r="K1046" s="38"/>
      <c r="L1046" s="57">
        <f t="shared" si="180"/>
        <v>0</v>
      </c>
      <c r="M1046" s="38"/>
      <c r="N1046" s="57">
        <f t="shared" si="181"/>
        <v>0</v>
      </c>
      <c r="O1046" s="38">
        <f t="shared" si="182"/>
        <v>4521000</v>
      </c>
      <c r="P1046" s="38">
        <f t="shared" si="183"/>
        <v>4521000</v>
      </c>
      <c r="Q1046" s="12" t="s">
        <v>3109</v>
      </c>
    </row>
    <row r="1047" spans="1:31" ht="23.1" customHeight="1" x14ac:dyDescent="0.15">
      <c r="A1047" s="13" t="s">
        <v>1336</v>
      </c>
      <c r="B1047" s="13" t="s">
        <v>3095</v>
      </c>
      <c r="C1047" s="13" t="s">
        <v>920</v>
      </c>
      <c r="D1047" s="12" t="s">
        <v>921</v>
      </c>
      <c r="E1047" s="12" t="s">
        <v>919</v>
      </c>
      <c r="F1047" s="31" t="s">
        <v>792</v>
      </c>
      <c r="G1047" s="15">
        <v>1</v>
      </c>
      <c r="H1047" s="38">
        <f>합산자재!H312</f>
        <v>606830</v>
      </c>
      <c r="I1047" s="57">
        <f t="shared" si="179"/>
        <v>606830</v>
      </c>
      <c r="J1047" s="38">
        <v>1</v>
      </c>
      <c r="K1047" s="38">
        <f>합산자재!I312</f>
        <v>0</v>
      </c>
      <c r="L1047" s="57">
        <f t="shared" si="180"/>
        <v>0</v>
      </c>
      <c r="M1047" s="38">
        <f>합산자재!J312</f>
        <v>0</v>
      </c>
      <c r="N1047" s="57">
        <f t="shared" si="181"/>
        <v>0</v>
      </c>
      <c r="O1047" s="38">
        <f t="shared" si="182"/>
        <v>606830</v>
      </c>
      <c r="P1047" s="38">
        <f t="shared" si="183"/>
        <v>606830</v>
      </c>
      <c r="Q1047" s="12"/>
    </row>
    <row r="1048" spans="1:31" ht="23.1" customHeight="1" x14ac:dyDescent="0.15">
      <c r="D1048" s="12"/>
      <c r="E1048" s="12"/>
      <c r="F1048" s="31"/>
      <c r="G1048" s="15"/>
      <c r="H1048" s="38"/>
      <c r="I1048" s="57"/>
      <c r="J1048" s="38"/>
      <c r="K1048" s="38"/>
      <c r="L1048" s="57"/>
      <c r="M1048" s="38"/>
      <c r="N1048" s="57"/>
      <c r="O1048" s="38"/>
      <c r="P1048" s="38"/>
      <c r="Q1048" s="12"/>
      <c r="AE1048" s="35">
        <f>TRUNC(SUM(AE1018:AE1047))</f>
        <v>0</v>
      </c>
    </row>
    <row r="1049" spans="1:31" ht="23.1" customHeight="1" x14ac:dyDescent="0.15">
      <c r="D1049" s="12"/>
      <c r="E1049" s="12"/>
      <c r="F1049" s="31"/>
      <c r="G1049" s="15"/>
      <c r="H1049" s="38"/>
      <c r="I1049" s="57"/>
      <c r="J1049" s="38"/>
      <c r="K1049" s="38"/>
      <c r="L1049" s="57"/>
      <c r="M1049" s="38"/>
      <c r="N1049" s="57"/>
      <c r="O1049" s="38"/>
      <c r="P1049" s="38"/>
      <c r="Q1049" s="12"/>
    </row>
    <row r="1050" spans="1:31" ht="23.1" customHeight="1" x14ac:dyDescent="0.15">
      <c r="D1050" s="12"/>
      <c r="E1050" s="12"/>
      <c r="F1050" s="31"/>
      <c r="G1050" s="15"/>
      <c r="H1050" s="38"/>
      <c r="I1050" s="57"/>
      <c r="J1050" s="38"/>
      <c r="K1050" s="38"/>
      <c r="L1050" s="57"/>
      <c r="M1050" s="38"/>
      <c r="N1050" s="57"/>
      <c r="O1050" s="38"/>
      <c r="P1050" s="38"/>
      <c r="Q1050" s="12"/>
    </row>
    <row r="1051" spans="1:31" ht="23.1" customHeight="1" x14ac:dyDescent="0.15">
      <c r="D1051" s="12"/>
      <c r="E1051" s="12"/>
      <c r="F1051" s="31"/>
      <c r="G1051" s="15"/>
      <c r="H1051" s="38"/>
      <c r="I1051" s="57"/>
      <c r="J1051" s="38"/>
      <c r="K1051" s="38"/>
      <c r="L1051" s="57"/>
      <c r="M1051" s="38"/>
      <c r="N1051" s="57"/>
      <c r="O1051" s="38"/>
      <c r="P1051" s="38"/>
      <c r="Q1051" s="12"/>
    </row>
    <row r="1052" spans="1:31" ht="23.1" customHeight="1" x14ac:dyDescent="0.15">
      <c r="D1052" s="12"/>
      <c r="E1052" s="12"/>
      <c r="F1052" s="31"/>
      <c r="G1052" s="15"/>
      <c r="H1052" s="38"/>
      <c r="I1052" s="57"/>
      <c r="J1052" s="38"/>
      <c r="K1052" s="38"/>
      <c r="L1052" s="57"/>
      <c r="M1052" s="38"/>
      <c r="N1052" s="57"/>
      <c r="O1052" s="38"/>
      <c r="P1052" s="38"/>
      <c r="Q1052" s="12"/>
    </row>
    <row r="1053" spans="1:31" ht="23.1" customHeight="1" x14ac:dyDescent="0.15">
      <c r="D1053" s="12"/>
      <c r="E1053" s="12"/>
      <c r="F1053" s="31"/>
      <c r="G1053" s="15"/>
      <c r="H1053" s="38"/>
      <c r="I1053" s="57"/>
      <c r="J1053" s="38"/>
      <c r="K1053" s="38"/>
      <c r="L1053" s="57"/>
      <c r="M1053" s="38"/>
      <c r="N1053" s="57"/>
      <c r="O1053" s="38"/>
      <c r="P1053" s="38"/>
      <c r="Q1053" s="12"/>
    </row>
    <row r="1054" spans="1:31" ht="23.1" customHeight="1" x14ac:dyDescent="0.15">
      <c r="D1054" s="12"/>
      <c r="E1054" s="12"/>
      <c r="F1054" s="31"/>
      <c r="G1054" s="15"/>
      <c r="H1054" s="38"/>
      <c r="I1054" s="57"/>
      <c r="J1054" s="38"/>
      <c r="K1054" s="38"/>
      <c r="L1054" s="57"/>
      <c r="M1054" s="38"/>
      <c r="N1054" s="57"/>
      <c r="O1054" s="38"/>
      <c r="P1054" s="38"/>
      <c r="Q1054" s="12"/>
    </row>
    <row r="1055" spans="1:31" ht="23.1" customHeight="1" x14ac:dyDescent="0.15">
      <c r="D1055" s="12"/>
      <c r="E1055" s="12"/>
      <c r="F1055" s="31"/>
      <c r="G1055" s="15"/>
      <c r="H1055" s="38"/>
      <c r="I1055" s="57"/>
      <c r="J1055" s="38"/>
      <c r="K1055" s="38"/>
      <c r="L1055" s="57"/>
      <c r="M1055" s="38"/>
      <c r="N1055" s="57"/>
      <c r="O1055" s="38"/>
      <c r="P1055" s="38"/>
      <c r="Q1055" s="12"/>
    </row>
    <row r="1056" spans="1:31" ht="23.1" customHeight="1" x14ac:dyDescent="0.15">
      <c r="D1056" s="12"/>
      <c r="E1056" s="12"/>
      <c r="F1056" s="31"/>
      <c r="G1056" s="15"/>
      <c r="H1056" s="38"/>
      <c r="I1056" s="57"/>
      <c r="J1056" s="38"/>
      <c r="K1056" s="38"/>
      <c r="L1056" s="57"/>
      <c r="M1056" s="38"/>
      <c r="N1056" s="57"/>
      <c r="O1056" s="38"/>
      <c r="P1056" s="38"/>
      <c r="Q1056" s="12"/>
    </row>
    <row r="1057" spans="1:17" ht="23.1" customHeight="1" x14ac:dyDescent="0.15">
      <c r="D1057" s="12"/>
      <c r="E1057" s="12"/>
      <c r="F1057" s="31"/>
      <c r="G1057" s="15"/>
      <c r="H1057" s="38"/>
      <c r="I1057" s="57"/>
      <c r="J1057" s="38"/>
      <c r="K1057" s="38"/>
      <c r="L1057" s="57"/>
      <c r="M1057" s="38"/>
      <c r="N1057" s="57"/>
      <c r="O1057" s="38"/>
      <c r="P1057" s="38"/>
      <c r="Q1057" s="12"/>
    </row>
    <row r="1058" spans="1:17" ht="23.1" customHeight="1" x14ac:dyDescent="0.15">
      <c r="D1058" s="12"/>
      <c r="E1058" s="12"/>
      <c r="F1058" s="31"/>
      <c r="G1058" s="15"/>
      <c r="H1058" s="38"/>
      <c r="I1058" s="57"/>
      <c r="J1058" s="38"/>
      <c r="K1058" s="38"/>
      <c r="L1058" s="57"/>
      <c r="M1058" s="38"/>
      <c r="N1058" s="57"/>
      <c r="O1058" s="38"/>
      <c r="P1058" s="38"/>
      <c r="Q1058" s="12"/>
    </row>
    <row r="1059" spans="1:17" ht="23.1" customHeight="1" x14ac:dyDescent="0.15">
      <c r="D1059" s="12"/>
      <c r="E1059" s="12"/>
      <c r="F1059" s="31"/>
      <c r="G1059" s="15"/>
      <c r="H1059" s="38"/>
      <c r="I1059" s="57"/>
      <c r="J1059" s="38"/>
      <c r="K1059" s="38"/>
      <c r="L1059" s="57"/>
      <c r="M1059" s="38"/>
      <c r="N1059" s="57"/>
      <c r="O1059" s="38"/>
      <c r="P1059" s="38"/>
      <c r="Q1059" s="12"/>
    </row>
    <row r="1060" spans="1:17" ht="23.1" customHeight="1" x14ac:dyDescent="0.15">
      <c r="D1060" s="12"/>
      <c r="E1060" s="12"/>
      <c r="F1060" s="31"/>
      <c r="G1060" s="15"/>
      <c r="H1060" s="38"/>
      <c r="I1060" s="57"/>
      <c r="J1060" s="38"/>
      <c r="K1060" s="38"/>
      <c r="L1060" s="57"/>
      <c r="M1060" s="38"/>
      <c r="N1060" s="57"/>
      <c r="O1060" s="38"/>
      <c r="P1060" s="38"/>
      <c r="Q1060" s="12"/>
    </row>
    <row r="1061" spans="1:17" ht="23.1" customHeight="1" x14ac:dyDescent="0.15">
      <c r="D1061" s="12"/>
      <c r="E1061" s="12"/>
      <c r="F1061" s="31"/>
      <c r="G1061" s="15"/>
      <c r="H1061" s="38"/>
      <c r="I1061" s="57"/>
      <c r="J1061" s="38"/>
      <c r="K1061" s="38"/>
      <c r="L1061" s="57"/>
      <c r="M1061" s="38"/>
      <c r="N1061" s="57"/>
      <c r="O1061" s="38"/>
      <c r="P1061" s="38"/>
      <c r="Q1061" s="12"/>
    </row>
    <row r="1062" spans="1:17" ht="23.1" customHeight="1" x14ac:dyDescent="0.15">
      <c r="D1062" s="12"/>
      <c r="E1062" s="12"/>
      <c r="F1062" s="31"/>
      <c r="G1062" s="15"/>
      <c r="H1062" s="38"/>
      <c r="I1062" s="57"/>
      <c r="J1062" s="38"/>
      <c r="K1062" s="38"/>
      <c r="L1062" s="57"/>
      <c r="M1062" s="38"/>
      <c r="N1062" s="57"/>
      <c r="O1062" s="38"/>
      <c r="P1062" s="38"/>
      <c r="Q1062" s="12"/>
    </row>
    <row r="1063" spans="1:17" ht="23.1" customHeight="1" x14ac:dyDescent="0.15">
      <c r="D1063" s="12"/>
      <c r="E1063" s="12"/>
      <c r="F1063" s="31"/>
      <c r="G1063" s="15"/>
      <c r="H1063" s="38"/>
      <c r="I1063" s="57"/>
      <c r="J1063" s="38"/>
      <c r="K1063" s="38"/>
      <c r="L1063" s="57"/>
      <c r="M1063" s="38"/>
      <c r="N1063" s="57"/>
      <c r="O1063" s="38"/>
      <c r="P1063" s="38"/>
      <c r="Q1063" s="12"/>
    </row>
    <row r="1064" spans="1:17" ht="23.1" customHeight="1" x14ac:dyDescent="0.15">
      <c r="D1064" s="12"/>
      <c r="E1064" s="12"/>
      <c r="F1064" s="31"/>
      <c r="G1064" s="15"/>
      <c r="H1064" s="38"/>
      <c r="I1064" s="57"/>
      <c r="J1064" s="38"/>
      <c r="K1064" s="38"/>
      <c r="L1064" s="57"/>
      <c r="M1064" s="38"/>
      <c r="N1064" s="57"/>
      <c r="O1064" s="38"/>
      <c r="P1064" s="38"/>
      <c r="Q1064" s="12"/>
    </row>
    <row r="1065" spans="1:17" ht="23.1" customHeight="1" x14ac:dyDescent="0.15">
      <c r="D1065" s="12"/>
      <c r="E1065" s="12"/>
      <c r="F1065" s="31"/>
      <c r="G1065" s="15"/>
      <c r="H1065" s="38"/>
      <c r="I1065" s="57"/>
      <c r="J1065" s="38"/>
      <c r="K1065" s="38"/>
      <c r="L1065" s="57"/>
      <c r="M1065" s="38"/>
      <c r="N1065" s="57"/>
      <c r="O1065" s="38"/>
      <c r="P1065" s="38"/>
      <c r="Q1065" s="12"/>
    </row>
    <row r="1066" spans="1:17" ht="23.1" customHeight="1" x14ac:dyDescent="0.15">
      <c r="D1066" s="12"/>
      <c r="E1066" s="12"/>
      <c r="F1066" s="31"/>
      <c r="G1066" s="15"/>
      <c r="H1066" s="38"/>
      <c r="I1066" s="57"/>
      <c r="J1066" s="38"/>
      <c r="K1066" s="38"/>
      <c r="L1066" s="57"/>
      <c r="M1066" s="38"/>
      <c r="N1066" s="57"/>
      <c r="O1066" s="38"/>
      <c r="P1066" s="38"/>
      <c r="Q1066" s="12"/>
    </row>
    <row r="1067" spans="1:17" ht="23.1" customHeight="1" x14ac:dyDescent="0.15">
      <c r="D1067" s="12"/>
      <c r="E1067" s="12"/>
      <c r="F1067" s="31"/>
      <c r="G1067" s="15"/>
      <c r="H1067" s="38"/>
      <c r="I1067" s="57"/>
      <c r="J1067" s="38"/>
      <c r="K1067" s="38"/>
      <c r="L1067" s="57"/>
      <c r="M1067" s="38"/>
      <c r="N1067" s="57"/>
      <c r="O1067" s="38"/>
      <c r="P1067" s="38"/>
      <c r="Q1067" s="12"/>
    </row>
    <row r="1068" spans="1:17" ht="23.1" customHeight="1" x14ac:dyDescent="0.15">
      <c r="D1068" s="12"/>
      <c r="E1068" s="12"/>
      <c r="F1068" s="31"/>
      <c r="G1068" s="15"/>
      <c r="H1068" s="38"/>
      <c r="I1068" s="57"/>
      <c r="J1068" s="38"/>
      <c r="K1068" s="38"/>
      <c r="L1068" s="57"/>
      <c r="M1068" s="38"/>
      <c r="N1068" s="57"/>
      <c r="O1068" s="38"/>
      <c r="P1068" s="38"/>
      <c r="Q1068" s="12"/>
    </row>
    <row r="1069" spans="1:17" ht="23.1" customHeight="1" x14ac:dyDescent="0.15">
      <c r="B1069" s="13" t="s">
        <v>2360</v>
      </c>
      <c r="D1069" s="12" t="s">
        <v>2361</v>
      </c>
      <c r="E1069" s="12"/>
      <c r="F1069" s="31"/>
      <c r="G1069" s="15"/>
      <c r="H1069" s="38"/>
      <c r="I1069" s="57">
        <f>TRUNC(SUM(I1018:I1068))</f>
        <v>112982830</v>
      </c>
      <c r="J1069" s="38"/>
      <c r="K1069" s="38"/>
      <c r="L1069" s="57">
        <f>TRUNC(SUM(L1018:L1068))</f>
        <v>0</v>
      </c>
      <c r="M1069" s="38"/>
      <c r="N1069" s="57">
        <f>TRUNC(SUM(N1018:N1068))</f>
        <v>0</v>
      </c>
      <c r="O1069" s="38" t="str">
        <f>IF((H1069+K1069+M1069)=0, "", (H1069+K1069+M1069))</f>
        <v/>
      </c>
      <c r="P1069" s="38">
        <f>TRUNC(SUM(P1018:P1068))</f>
        <v>112982830</v>
      </c>
      <c r="Q1069" s="12"/>
    </row>
    <row r="1070" spans="1:17" ht="23.1" customHeight="1" x14ac:dyDescent="0.15">
      <c r="B1070" s="13" t="s">
        <v>1448</v>
      </c>
      <c r="D1070" s="170" t="s">
        <v>3193</v>
      </c>
      <c r="E1070" s="171"/>
      <c r="F1070" s="171"/>
      <c r="G1070" s="171"/>
      <c r="H1070" s="171"/>
      <c r="I1070" s="171"/>
      <c r="J1070" s="171"/>
      <c r="K1070" s="171"/>
      <c r="L1070" s="171"/>
      <c r="M1070" s="171"/>
      <c r="N1070" s="171"/>
      <c r="O1070" s="171"/>
      <c r="P1070" s="171"/>
      <c r="Q1070" s="172"/>
    </row>
    <row r="1071" spans="1:17" ht="23.1" customHeight="1" x14ac:dyDescent="0.15">
      <c r="A1071" s="13" t="s">
        <v>1249</v>
      </c>
      <c r="B1071" s="13" t="s">
        <v>3144</v>
      </c>
      <c r="C1071" s="13" t="s">
        <v>706</v>
      </c>
      <c r="D1071" s="12" t="s">
        <v>745</v>
      </c>
      <c r="E1071" s="12" t="s">
        <v>746</v>
      </c>
      <c r="F1071" s="31" t="s">
        <v>559</v>
      </c>
      <c r="G1071" s="15">
        <v>1</v>
      </c>
      <c r="H1071" s="38">
        <f>합산자재!H225</f>
        <v>15623000</v>
      </c>
      <c r="I1071" s="57">
        <f t="shared" ref="I1071:I1078" si="184">TRUNC(G1071*H1071)</f>
        <v>15623000</v>
      </c>
      <c r="J1071" s="38">
        <v>1</v>
      </c>
      <c r="K1071" s="38">
        <f>합산자재!I225</f>
        <v>0</v>
      </c>
      <c r="L1071" s="57">
        <f t="shared" ref="L1071:L1078" si="185">TRUNC(G1071*K1071)</f>
        <v>0</v>
      </c>
      <c r="M1071" s="38">
        <f>합산자재!J225</f>
        <v>0</v>
      </c>
      <c r="N1071" s="57">
        <f t="shared" ref="N1071:N1078" si="186">TRUNC(G1071*M1071)</f>
        <v>0</v>
      </c>
      <c r="O1071" s="38">
        <f t="shared" ref="O1071:O1078" si="187">IF((H1071+K1071+M1071)=0, "", (H1071+K1071+M1071))</f>
        <v>15623000</v>
      </c>
      <c r="P1071" s="38">
        <f t="shared" ref="P1071:P1078" si="188">SUM(I1071,L1071,N1071)</f>
        <v>15623000</v>
      </c>
      <c r="Q1071" s="12" t="s">
        <v>3253</v>
      </c>
    </row>
    <row r="1072" spans="1:17" ht="23.1" customHeight="1" x14ac:dyDescent="0.15">
      <c r="A1072" s="13" t="s">
        <v>1250</v>
      </c>
      <c r="B1072" s="13" t="s">
        <v>3144</v>
      </c>
      <c r="C1072" s="13" t="s">
        <v>706</v>
      </c>
      <c r="D1072" s="12" t="s">
        <v>745</v>
      </c>
      <c r="E1072" s="12" t="s">
        <v>748</v>
      </c>
      <c r="F1072" s="31" t="s">
        <v>559</v>
      </c>
      <c r="G1072" s="15">
        <v>1</v>
      </c>
      <c r="H1072" s="38">
        <f>합산자재!H226</f>
        <v>18819000</v>
      </c>
      <c r="I1072" s="57">
        <f t="shared" si="184"/>
        <v>18819000</v>
      </c>
      <c r="J1072" s="38">
        <v>1</v>
      </c>
      <c r="K1072" s="38">
        <f>합산자재!I226</f>
        <v>0</v>
      </c>
      <c r="L1072" s="57">
        <f t="shared" si="185"/>
        <v>0</v>
      </c>
      <c r="M1072" s="38">
        <f>합산자재!J226</f>
        <v>0</v>
      </c>
      <c r="N1072" s="57">
        <f t="shared" si="186"/>
        <v>0</v>
      </c>
      <c r="O1072" s="38">
        <f t="shared" si="187"/>
        <v>18819000</v>
      </c>
      <c r="P1072" s="38">
        <f t="shared" si="188"/>
        <v>18819000</v>
      </c>
      <c r="Q1072" s="12" t="s">
        <v>3254</v>
      </c>
    </row>
    <row r="1073" spans="1:31" ht="23.1" customHeight="1" x14ac:dyDescent="0.15">
      <c r="A1073" s="13" t="s">
        <v>1251</v>
      </c>
      <c r="B1073" s="13" t="s">
        <v>3144</v>
      </c>
      <c r="C1073" s="13" t="s">
        <v>706</v>
      </c>
      <c r="D1073" s="12" t="s">
        <v>745</v>
      </c>
      <c r="E1073" s="12" t="s">
        <v>749</v>
      </c>
      <c r="F1073" s="31" t="s">
        <v>559</v>
      </c>
      <c r="G1073" s="15">
        <v>1</v>
      </c>
      <c r="H1073" s="38">
        <f>합산자재!H227</f>
        <v>41612000</v>
      </c>
      <c r="I1073" s="57">
        <f t="shared" si="184"/>
        <v>41612000</v>
      </c>
      <c r="J1073" s="38">
        <v>1</v>
      </c>
      <c r="K1073" s="38">
        <f>합산자재!I227</f>
        <v>0</v>
      </c>
      <c r="L1073" s="57">
        <f t="shared" si="185"/>
        <v>0</v>
      </c>
      <c r="M1073" s="38">
        <f>합산자재!J227</f>
        <v>0</v>
      </c>
      <c r="N1073" s="57">
        <f t="shared" si="186"/>
        <v>0</v>
      </c>
      <c r="O1073" s="38">
        <f t="shared" si="187"/>
        <v>41612000</v>
      </c>
      <c r="P1073" s="38">
        <f t="shared" si="188"/>
        <v>41612000</v>
      </c>
      <c r="Q1073" s="12" t="s">
        <v>3255</v>
      </c>
    </row>
    <row r="1074" spans="1:31" ht="23.1" customHeight="1" x14ac:dyDescent="0.15">
      <c r="A1074" s="13" t="s">
        <v>1252</v>
      </c>
      <c r="B1074" s="13" t="s">
        <v>3144</v>
      </c>
      <c r="C1074" s="13" t="s">
        <v>706</v>
      </c>
      <c r="D1074" s="12" t="s">
        <v>745</v>
      </c>
      <c r="E1074" s="12" t="s">
        <v>750</v>
      </c>
      <c r="F1074" s="31" t="s">
        <v>559</v>
      </c>
      <c r="G1074" s="15">
        <v>1</v>
      </c>
      <c r="H1074" s="38">
        <f>합산자재!H228</f>
        <v>26977000</v>
      </c>
      <c r="I1074" s="57">
        <f t="shared" si="184"/>
        <v>26977000</v>
      </c>
      <c r="J1074" s="38">
        <v>1</v>
      </c>
      <c r="K1074" s="38">
        <f>합산자재!I228</f>
        <v>0</v>
      </c>
      <c r="L1074" s="57">
        <f t="shared" si="185"/>
        <v>0</v>
      </c>
      <c r="M1074" s="38">
        <f>합산자재!J228</f>
        <v>0</v>
      </c>
      <c r="N1074" s="57">
        <f t="shared" si="186"/>
        <v>0</v>
      </c>
      <c r="O1074" s="38">
        <f t="shared" si="187"/>
        <v>26977000</v>
      </c>
      <c r="P1074" s="38">
        <f t="shared" si="188"/>
        <v>26977000</v>
      </c>
      <c r="Q1074" s="12" t="s">
        <v>3256</v>
      </c>
    </row>
    <row r="1075" spans="1:31" ht="23.1" customHeight="1" x14ac:dyDescent="0.15">
      <c r="A1075" s="13" t="s">
        <v>1253</v>
      </c>
      <c r="B1075" s="13" t="s">
        <v>3144</v>
      </c>
      <c r="C1075" s="13" t="s">
        <v>706</v>
      </c>
      <c r="D1075" s="12" t="s">
        <v>745</v>
      </c>
      <c r="E1075" s="12" t="s">
        <v>751</v>
      </c>
      <c r="F1075" s="31" t="s">
        <v>559</v>
      </c>
      <c r="G1075" s="15">
        <v>1</v>
      </c>
      <c r="H1075" s="38">
        <f>합산자재!H229</f>
        <v>17281000</v>
      </c>
      <c r="I1075" s="57">
        <f t="shared" si="184"/>
        <v>17281000</v>
      </c>
      <c r="J1075" s="38">
        <v>1</v>
      </c>
      <c r="K1075" s="38">
        <f>합산자재!I229</f>
        <v>0</v>
      </c>
      <c r="L1075" s="57">
        <f t="shared" si="185"/>
        <v>0</v>
      </c>
      <c r="M1075" s="38">
        <f>합산자재!J229</f>
        <v>0</v>
      </c>
      <c r="N1075" s="57">
        <f t="shared" si="186"/>
        <v>0</v>
      </c>
      <c r="O1075" s="38">
        <f t="shared" si="187"/>
        <v>17281000</v>
      </c>
      <c r="P1075" s="38">
        <f t="shared" si="188"/>
        <v>17281000</v>
      </c>
      <c r="Q1075" s="12" t="s">
        <v>3257</v>
      </c>
    </row>
    <row r="1076" spans="1:31" ht="23.1" customHeight="1" x14ac:dyDescent="0.15">
      <c r="A1076" s="13" t="s">
        <v>1254</v>
      </c>
      <c r="B1076" s="13" t="s">
        <v>3144</v>
      </c>
      <c r="C1076" s="13" t="s">
        <v>706</v>
      </c>
      <c r="D1076" s="12" t="s">
        <v>745</v>
      </c>
      <c r="E1076" s="12" t="s">
        <v>752</v>
      </c>
      <c r="F1076" s="31" t="s">
        <v>559</v>
      </c>
      <c r="G1076" s="15">
        <v>1</v>
      </c>
      <c r="H1076" s="38">
        <f>합산자재!H230</f>
        <v>20643000</v>
      </c>
      <c r="I1076" s="57">
        <f t="shared" si="184"/>
        <v>20643000</v>
      </c>
      <c r="J1076" s="38">
        <v>1</v>
      </c>
      <c r="K1076" s="38">
        <f>합산자재!I230</f>
        <v>0</v>
      </c>
      <c r="L1076" s="57">
        <f t="shared" si="185"/>
        <v>0</v>
      </c>
      <c r="M1076" s="38">
        <f>합산자재!J230</f>
        <v>0</v>
      </c>
      <c r="N1076" s="57">
        <f t="shared" si="186"/>
        <v>0</v>
      </c>
      <c r="O1076" s="38">
        <f t="shared" si="187"/>
        <v>20643000</v>
      </c>
      <c r="P1076" s="38">
        <f t="shared" si="188"/>
        <v>20643000</v>
      </c>
      <c r="Q1076" s="12" t="s">
        <v>3258</v>
      </c>
    </row>
    <row r="1077" spans="1:31" ht="23.1" customHeight="1" x14ac:dyDescent="0.15">
      <c r="A1077" s="13" t="s">
        <v>1255</v>
      </c>
      <c r="B1077" s="13" t="s">
        <v>3144</v>
      </c>
      <c r="C1077" s="13" t="s">
        <v>706</v>
      </c>
      <c r="D1077" s="12" t="s">
        <v>745</v>
      </c>
      <c r="E1077" s="12" t="s">
        <v>753</v>
      </c>
      <c r="F1077" s="31" t="s">
        <v>559</v>
      </c>
      <c r="G1077" s="15">
        <v>1</v>
      </c>
      <c r="H1077" s="38">
        <f>합산자재!H231</f>
        <v>17281000</v>
      </c>
      <c r="I1077" s="57">
        <f t="shared" si="184"/>
        <v>17281000</v>
      </c>
      <c r="J1077" s="38">
        <v>1</v>
      </c>
      <c r="K1077" s="38">
        <f>합산자재!I231</f>
        <v>0</v>
      </c>
      <c r="L1077" s="57">
        <f t="shared" si="185"/>
        <v>0</v>
      </c>
      <c r="M1077" s="38">
        <f>합산자재!J231</f>
        <v>0</v>
      </c>
      <c r="N1077" s="57">
        <f t="shared" si="186"/>
        <v>0</v>
      </c>
      <c r="O1077" s="38">
        <f t="shared" si="187"/>
        <v>17281000</v>
      </c>
      <c r="P1077" s="38">
        <f t="shared" si="188"/>
        <v>17281000</v>
      </c>
      <c r="Q1077" s="12" t="s">
        <v>3257</v>
      </c>
    </row>
    <row r="1078" spans="1:31" ht="23.1" customHeight="1" x14ac:dyDescent="0.15">
      <c r="A1078" s="13" t="s">
        <v>1337</v>
      </c>
      <c r="B1078" s="13" t="s">
        <v>3144</v>
      </c>
      <c r="C1078" s="13" t="s">
        <v>922</v>
      </c>
      <c r="D1078" s="12" t="s">
        <v>923</v>
      </c>
      <c r="E1078" s="12" t="s">
        <v>919</v>
      </c>
      <c r="F1078" s="31" t="s">
        <v>792</v>
      </c>
      <c r="G1078" s="15">
        <v>1</v>
      </c>
      <c r="H1078" s="38">
        <f>합산자재!H313</f>
        <v>854474</v>
      </c>
      <c r="I1078" s="57">
        <f t="shared" si="184"/>
        <v>854474</v>
      </c>
      <c r="J1078" s="38">
        <v>1</v>
      </c>
      <c r="K1078" s="38">
        <f>합산자재!I313</f>
        <v>0</v>
      </c>
      <c r="L1078" s="57">
        <f t="shared" si="185"/>
        <v>0</v>
      </c>
      <c r="M1078" s="38">
        <f>합산자재!J313</f>
        <v>0</v>
      </c>
      <c r="N1078" s="57">
        <f t="shared" si="186"/>
        <v>0</v>
      </c>
      <c r="O1078" s="38">
        <f t="shared" si="187"/>
        <v>854474</v>
      </c>
      <c r="P1078" s="38">
        <f t="shared" si="188"/>
        <v>854474</v>
      </c>
      <c r="Q1078" s="12"/>
    </row>
    <row r="1079" spans="1:31" ht="23.1" customHeight="1" x14ac:dyDescent="0.15">
      <c r="D1079" s="12"/>
      <c r="E1079" s="12"/>
      <c r="F1079" s="31"/>
      <c r="G1079" s="15"/>
      <c r="H1079" s="38"/>
      <c r="I1079" s="57"/>
      <c r="J1079" s="38"/>
      <c r="K1079" s="38"/>
      <c r="L1079" s="57"/>
      <c r="M1079" s="38"/>
      <c r="N1079" s="57"/>
      <c r="O1079" s="38"/>
      <c r="P1079" s="38"/>
      <c r="Q1079" s="12"/>
      <c r="AE1079" s="35">
        <f>TRUNC(SUM(AE1070:AE1078))</f>
        <v>0</v>
      </c>
    </row>
    <row r="1080" spans="1:31" ht="23.1" customHeight="1" x14ac:dyDescent="0.15">
      <c r="D1080" s="12"/>
      <c r="E1080" s="12"/>
      <c r="F1080" s="31"/>
      <c r="G1080" s="15"/>
      <c r="H1080" s="38"/>
      <c r="I1080" s="57"/>
      <c r="J1080" s="38"/>
      <c r="K1080" s="38"/>
      <c r="L1080" s="57"/>
      <c r="M1080" s="38"/>
      <c r="N1080" s="57"/>
      <c r="O1080" s="38"/>
      <c r="P1080" s="38"/>
      <c r="Q1080" s="12"/>
    </row>
    <row r="1081" spans="1:31" ht="23.1" customHeight="1" x14ac:dyDescent="0.15">
      <c r="D1081" s="12"/>
      <c r="E1081" s="12"/>
      <c r="F1081" s="31"/>
      <c r="G1081" s="15"/>
      <c r="H1081" s="38"/>
      <c r="I1081" s="57"/>
      <c r="J1081" s="38"/>
      <c r="K1081" s="38"/>
      <c r="L1081" s="57"/>
      <c r="M1081" s="38"/>
      <c r="N1081" s="57"/>
      <c r="O1081" s="38"/>
      <c r="P1081" s="38"/>
      <c r="Q1081" s="12"/>
    </row>
    <row r="1082" spans="1:31" ht="23.1" customHeight="1" x14ac:dyDescent="0.15">
      <c r="D1082" s="12"/>
      <c r="E1082" s="12"/>
      <c r="F1082" s="31"/>
      <c r="G1082" s="15"/>
      <c r="H1082" s="38"/>
      <c r="I1082" s="57"/>
      <c r="J1082" s="38"/>
      <c r="K1082" s="38"/>
      <c r="L1082" s="57"/>
      <c r="M1082" s="38"/>
      <c r="N1082" s="57"/>
      <c r="O1082" s="38"/>
      <c r="P1082" s="38"/>
      <c r="Q1082" s="12"/>
    </row>
    <row r="1083" spans="1:31" ht="23.1" customHeight="1" x14ac:dyDescent="0.15">
      <c r="D1083" s="12"/>
      <c r="E1083" s="12"/>
      <c r="F1083" s="31"/>
      <c r="G1083" s="15"/>
      <c r="H1083" s="38"/>
      <c r="I1083" s="57"/>
      <c r="J1083" s="38"/>
      <c r="K1083" s="38"/>
      <c r="L1083" s="57"/>
      <c r="M1083" s="38"/>
      <c r="N1083" s="57"/>
      <c r="O1083" s="38"/>
      <c r="P1083" s="38"/>
      <c r="Q1083" s="12"/>
    </row>
    <row r="1084" spans="1:31" ht="23.1" customHeight="1" x14ac:dyDescent="0.15">
      <c r="D1084" s="12"/>
      <c r="E1084" s="12"/>
      <c r="F1084" s="31"/>
      <c r="G1084" s="15"/>
      <c r="H1084" s="38"/>
      <c r="I1084" s="57"/>
      <c r="J1084" s="38"/>
      <c r="K1084" s="38"/>
      <c r="L1084" s="57"/>
      <c r="M1084" s="38"/>
      <c r="N1084" s="57"/>
      <c r="O1084" s="38"/>
      <c r="P1084" s="38"/>
      <c r="Q1084" s="12"/>
    </row>
    <row r="1085" spans="1:31" ht="23.1" customHeight="1" x14ac:dyDescent="0.15">
      <c r="D1085" s="12"/>
      <c r="E1085" s="12"/>
      <c r="F1085" s="31"/>
      <c r="G1085" s="15"/>
      <c r="H1085" s="38"/>
      <c r="I1085" s="57"/>
      <c r="J1085" s="38"/>
      <c r="K1085" s="38"/>
      <c r="L1085" s="57"/>
      <c r="M1085" s="38"/>
      <c r="N1085" s="57"/>
      <c r="O1085" s="38"/>
      <c r="P1085" s="38"/>
      <c r="Q1085" s="12"/>
    </row>
    <row r="1086" spans="1:31" ht="23.1" customHeight="1" x14ac:dyDescent="0.15">
      <c r="D1086" s="12"/>
      <c r="E1086" s="12"/>
      <c r="F1086" s="31"/>
      <c r="G1086" s="15"/>
      <c r="H1086" s="38"/>
      <c r="I1086" s="57"/>
      <c r="J1086" s="38"/>
      <c r="K1086" s="38"/>
      <c r="L1086" s="57"/>
      <c r="M1086" s="38"/>
      <c r="N1086" s="57"/>
      <c r="O1086" s="38"/>
      <c r="P1086" s="38"/>
      <c r="Q1086" s="12"/>
    </row>
    <row r="1087" spans="1:31" ht="23.1" customHeight="1" x14ac:dyDescent="0.15">
      <c r="D1087" s="12"/>
      <c r="E1087" s="12"/>
      <c r="F1087" s="31"/>
      <c r="G1087" s="15"/>
      <c r="H1087" s="38"/>
      <c r="I1087" s="57"/>
      <c r="J1087" s="38"/>
      <c r="K1087" s="38"/>
      <c r="L1087" s="57"/>
      <c r="M1087" s="38"/>
      <c r="N1087" s="57"/>
      <c r="O1087" s="38"/>
      <c r="P1087" s="38"/>
      <c r="Q1087" s="12"/>
    </row>
    <row r="1088" spans="1:31" ht="23.1" customHeight="1" x14ac:dyDescent="0.15">
      <c r="D1088" s="12"/>
      <c r="E1088" s="12"/>
      <c r="F1088" s="31"/>
      <c r="G1088" s="15"/>
      <c r="H1088" s="38"/>
      <c r="I1088" s="57"/>
      <c r="J1088" s="38"/>
      <c r="K1088" s="38"/>
      <c r="L1088" s="57"/>
      <c r="M1088" s="38"/>
      <c r="N1088" s="57"/>
      <c r="O1088" s="38"/>
      <c r="P1088" s="38"/>
      <c r="Q1088" s="12"/>
    </row>
    <row r="1089" spans="1:31" ht="23.1" customHeight="1" x14ac:dyDescent="0.15">
      <c r="D1089" s="12"/>
      <c r="E1089" s="12"/>
      <c r="F1089" s="31"/>
      <c r="G1089" s="15"/>
      <c r="H1089" s="38"/>
      <c r="I1089" s="57"/>
      <c r="J1089" s="38"/>
      <c r="K1089" s="38"/>
      <c r="L1089" s="57"/>
      <c r="M1089" s="38"/>
      <c r="N1089" s="57"/>
      <c r="O1089" s="38"/>
      <c r="P1089" s="38"/>
      <c r="Q1089" s="12"/>
    </row>
    <row r="1090" spans="1:31" ht="23.1" customHeight="1" x14ac:dyDescent="0.15">
      <c r="D1090" s="12"/>
      <c r="E1090" s="12"/>
      <c r="F1090" s="31"/>
      <c r="G1090" s="15"/>
      <c r="H1090" s="38"/>
      <c r="I1090" s="57"/>
      <c r="J1090" s="38"/>
      <c r="K1090" s="38"/>
      <c r="L1090" s="57"/>
      <c r="M1090" s="38"/>
      <c r="N1090" s="57"/>
      <c r="O1090" s="38"/>
      <c r="P1090" s="38"/>
      <c r="Q1090" s="12"/>
    </row>
    <row r="1091" spans="1:31" ht="23.1" customHeight="1" x14ac:dyDescent="0.15">
      <c r="D1091" s="12"/>
      <c r="E1091" s="12"/>
      <c r="F1091" s="31"/>
      <c r="G1091" s="15"/>
      <c r="H1091" s="38"/>
      <c r="I1091" s="57"/>
      <c r="J1091" s="38"/>
      <c r="K1091" s="38"/>
      <c r="L1091" s="57"/>
      <c r="M1091" s="38"/>
      <c r="N1091" s="57"/>
      <c r="O1091" s="38"/>
      <c r="P1091" s="38"/>
      <c r="Q1091" s="12"/>
    </row>
    <row r="1092" spans="1:31" ht="23.1" customHeight="1" x14ac:dyDescent="0.15">
      <c r="D1092" s="12"/>
      <c r="E1092" s="12"/>
      <c r="F1092" s="31"/>
      <c r="G1092" s="15"/>
      <c r="H1092" s="38"/>
      <c r="I1092" s="57"/>
      <c r="J1092" s="38"/>
      <c r="K1092" s="38"/>
      <c r="L1092" s="57"/>
      <c r="M1092" s="38"/>
      <c r="N1092" s="57"/>
      <c r="O1092" s="38"/>
      <c r="P1092" s="38"/>
      <c r="Q1092" s="12"/>
    </row>
    <row r="1093" spans="1:31" ht="23.1" customHeight="1" x14ac:dyDescent="0.15">
      <c r="D1093" s="12"/>
      <c r="E1093" s="12"/>
      <c r="F1093" s="31"/>
      <c r="G1093" s="15"/>
      <c r="H1093" s="38"/>
      <c r="I1093" s="57"/>
      <c r="J1093" s="38"/>
      <c r="K1093" s="38"/>
      <c r="L1093" s="57"/>
      <c r="M1093" s="38"/>
      <c r="N1093" s="57"/>
      <c r="O1093" s="38"/>
      <c r="P1093" s="38"/>
      <c r="Q1093" s="12"/>
    </row>
    <row r="1094" spans="1:31" ht="23.1" customHeight="1" x14ac:dyDescent="0.15">
      <c r="D1094" s="12"/>
      <c r="E1094" s="12"/>
      <c r="F1094" s="31"/>
      <c r="G1094" s="15"/>
      <c r="H1094" s="38"/>
      <c r="I1094" s="57"/>
      <c r="J1094" s="38"/>
      <c r="K1094" s="38"/>
      <c r="L1094" s="57"/>
      <c r="M1094" s="38"/>
      <c r="N1094" s="57"/>
      <c r="O1094" s="38"/>
      <c r="P1094" s="38"/>
      <c r="Q1094" s="12"/>
    </row>
    <row r="1095" spans="1:31" ht="23.1" customHeight="1" x14ac:dyDescent="0.15">
      <c r="B1095" s="13" t="s">
        <v>2360</v>
      </c>
      <c r="D1095" s="12" t="s">
        <v>2361</v>
      </c>
      <c r="E1095" s="12"/>
      <c r="F1095" s="31"/>
      <c r="G1095" s="15"/>
      <c r="H1095" s="38"/>
      <c r="I1095" s="57">
        <f>TRUNC(SUM(I1070:I1094))</f>
        <v>159090474</v>
      </c>
      <c r="J1095" s="38"/>
      <c r="K1095" s="38"/>
      <c r="L1095" s="57">
        <f>TRUNC(SUM(L1070:L1094))</f>
        <v>0</v>
      </c>
      <c r="M1095" s="38"/>
      <c r="N1095" s="57">
        <f>TRUNC(SUM(N1070:N1094))</f>
        <v>0</v>
      </c>
      <c r="O1095" s="38" t="str">
        <f>IF((H1095+K1095+M1095)=0, "", (H1095+K1095+M1095))</f>
        <v/>
      </c>
      <c r="P1095" s="38">
        <f>TRUNC(SUM(P1070:P1094))</f>
        <v>159090474</v>
      </c>
      <c r="Q1095" s="12"/>
    </row>
    <row r="1096" spans="1:31" ht="23.1" customHeight="1" x14ac:dyDescent="0.15">
      <c r="B1096" s="13" t="s">
        <v>1448</v>
      </c>
      <c r="D1096" s="170" t="s">
        <v>3194</v>
      </c>
      <c r="E1096" s="171"/>
      <c r="F1096" s="171"/>
      <c r="G1096" s="171"/>
      <c r="H1096" s="171"/>
      <c r="I1096" s="171"/>
      <c r="J1096" s="171"/>
      <c r="K1096" s="171"/>
      <c r="L1096" s="171"/>
      <c r="M1096" s="171"/>
      <c r="N1096" s="171"/>
      <c r="O1096" s="171"/>
      <c r="P1096" s="171"/>
      <c r="Q1096" s="172"/>
    </row>
    <row r="1097" spans="1:31" ht="23.1" customHeight="1" x14ac:dyDescent="0.15">
      <c r="A1097" s="13" t="s">
        <v>3145</v>
      </c>
      <c r="B1097" s="13" t="s">
        <v>3146</v>
      </c>
      <c r="C1097" s="13" t="s">
        <v>706</v>
      </c>
      <c r="D1097" s="12" t="s">
        <v>3147</v>
      </c>
      <c r="E1097" s="12" t="s">
        <v>845</v>
      </c>
      <c r="F1097" s="31" t="s">
        <v>710</v>
      </c>
      <c r="G1097" s="15">
        <v>1</v>
      </c>
      <c r="H1097" s="38">
        <v>56400000</v>
      </c>
      <c r="I1097" s="57">
        <f>TRUNC(G1097*H1097)</f>
        <v>56400000</v>
      </c>
      <c r="J1097" s="38">
        <v>1</v>
      </c>
      <c r="K1097" s="38"/>
      <c r="L1097" s="57">
        <f>TRUNC(G1097*K1097)</f>
        <v>0</v>
      </c>
      <c r="M1097" s="38"/>
      <c r="N1097" s="57">
        <f>TRUNC(G1097*M1097)</f>
        <v>0</v>
      </c>
      <c r="O1097" s="38">
        <f>IF((H1097+K1097+M1097)=0, "", (H1097+K1097+M1097))</f>
        <v>56400000</v>
      </c>
      <c r="P1097" s="38">
        <f>SUM(I1097,L1097,N1097)</f>
        <v>56400000</v>
      </c>
      <c r="Q1097" s="12" t="s">
        <v>3148</v>
      </c>
    </row>
    <row r="1098" spans="1:31" ht="23.1" customHeight="1" x14ac:dyDescent="0.15">
      <c r="A1098" s="13" t="s">
        <v>1338</v>
      </c>
      <c r="B1098" s="13" t="s">
        <v>3146</v>
      </c>
      <c r="C1098" s="13" t="s">
        <v>924</v>
      </c>
      <c r="D1098" s="12" t="s">
        <v>925</v>
      </c>
      <c r="E1098" s="12" t="s">
        <v>919</v>
      </c>
      <c r="F1098" s="31" t="s">
        <v>792</v>
      </c>
      <c r="G1098" s="15">
        <v>1</v>
      </c>
      <c r="H1098" s="38">
        <f>합산자재!H314</f>
        <v>304560</v>
      </c>
      <c r="I1098" s="57">
        <f>TRUNC(G1098*H1098)</f>
        <v>304560</v>
      </c>
      <c r="J1098" s="38">
        <v>1</v>
      </c>
      <c r="K1098" s="38">
        <f>합산자재!I314</f>
        <v>0</v>
      </c>
      <c r="L1098" s="57">
        <f>TRUNC(G1098*K1098)</f>
        <v>0</v>
      </c>
      <c r="M1098" s="38">
        <f>합산자재!J314</f>
        <v>0</v>
      </c>
      <c r="N1098" s="57">
        <f>TRUNC(G1098*M1098)</f>
        <v>0</v>
      </c>
      <c r="O1098" s="38">
        <f>IF((H1098+K1098+M1098)=0, "", (H1098+K1098+M1098))</f>
        <v>304560</v>
      </c>
      <c r="P1098" s="38">
        <f>SUM(I1098,L1098,N1098)</f>
        <v>304560</v>
      </c>
      <c r="Q1098" s="12"/>
    </row>
    <row r="1099" spans="1:31" ht="23.1" customHeight="1" x14ac:dyDescent="0.15">
      <c r="D1099" s="12"/>
      <c r="E1099" s="12"/>
      <c r="F1099" s="31"/>
      <c r="G1099" s="15"/>
      <c r="H1099" s="38"/>
      <c r="I1099" s="57"/>
      <c r="J1099" s="38"/>
      <c r="K1099" s="38"/>
      <c r="L1099" s="57"/>
      <c r="M1099" s="38"/>
      <c r="N1099" s="57"/>
      <c r="O1099" s="38"/>
      <c r="P1099" s="38"/>
      <c r="Q1099" s="12"/>
      <c r="AE1099" s="35">
        <f>TRUNC(SUM(AE1096:AE1098))</f>
        <v>0</v>
      </c>
    </row>
    <row r="1100" spans="1:31" ht="23.1" customHeight="1" x14ac:dyDescent="0.15">
      <c r="D1100" s="12"/>
      <c r="E1100" s="12"/>
      <c r="F1100" s="31"/>
      <c r="G1100" s="15"/>
      <c r="H1100" s="38"/>
      <c r="I1100" s="57"/>
      <c r="J1100" s="38"/>
      <c r="K1100" s="38"/>
      <c r="L1100" s="57"/>
      <c r="M1100" s="38"/>
      <c r="N1100" s="57"/>
      <c r="O1100" s="38"/>
      <c r="P1100" s="38"/>
      <c r="Q1100" s="12"/>
    </row>
    <row r="1101" spans="1:31" ht="23.1" customHeight="1" x14ac:dyDescent="0.15">
      <c r="D1101" s="12"/>
      <c r="E1101" s="12"/>
      <c r="F1101" s="31"/>
      <c r="G1101" s="15"/>
      <c r="H1101" s="38"/>
      <c r="I1101" s="57"/>
      <c r="J1101" s="38"/>
      <c r="K1101" s="38"/>
      <c r="L1101" s="57"/>
      <c r="M1101" s="38"/>
      <c r="N1101" s="57"/>
      <c r="O1101" s="38"/>
      <c r="P1101" s="38"/>
      <c r="Q1101" s="12"/>
    </row>
    <row r="1102" spans="1:31" ht="23.1" customHeight="1" x14ac:dyDescent="0.15">
      <c r="D1102" s="12"/>
      <c r="E1102" s="12"/>
      <c r="F1102" s="31"/>
      <c r="G1102" s="15"/>
      <c r="H1102" s="38"/>
      <c r="I1102" s="57"/>
      <c r="J1102" s="38"/>
      <c r="K1102" s="38"/>
      <c r="L1102" s="57"/>
      <c r="M1102" s="38"/>
      <c r="N1102" s="57"/>
      <c r="O1102" s="38"/>
      <c r="P1102" s="38"/>
      <c r="Q1102" s="12"/>
    </row>
    <row r="1103" spans="1:31" ht="23.1" customHeight="1" x14ac:dyDescent="0.15">
      <c r="D1103" s="12"/>
      <c r="E1103" s="12"/>
      <c r="F1103" s="31"/>
      <c r="G1103" s="15"/>
      <c r="H1103" s="38"/>
      <c r="I1103" s="57"/>
      <c r="J1103" s="38"/>
      <c r="K1103" s="38"/>
      <c r="L1103" s="57"/>
      <c r="M1103" s="38"/>
      <c r="N1103" s="57"/>
      <c r="O1103" s="38"/>
      <c r="P1103" s="38"/>
      <c r="Q1103" s="12"/>
    </row>
    <row r="1104" spans="1:31" ht="23.1" customHeight="1" x14ac:dyDescent="0.15">
      <c r="D1104" s="12"/>
      <c r="E1104" s="12"/>
      <c r="F1104" s="31"/>
      <c r="G1104" s="15"/>
      <c r="H1104" s="38"/>
      <c r="I1104" s="57"/>
      <c r="J1104" s="38"/>
      <c r="K1104" s="38"/>
      <c r="L1104" s="57"/>
      <c r="M1104" s="38"/>
      <c r="N1104" s="57"/>
      <c r="O1104" s="38"/>
      <c r="P1104" s="38"/>
      <c r="Q1104" s="12"/>
    </row>
    <row r="1105" spans="4:17" ht="23.1" customHeight="1" x14ac:dyDescent="0.15">
      <c r="D1105" s="12"/>
      <c r="E1105" s="12"/>
      <c r="F1105" s="31"/>
      <c r="G1105" s="15"/>
      <c r="H1105" s="38"/>
      <c r="I1105" s="57"/>
      <c r="J1105" s="38"/>
      <c r="K1105" s="38"/>
      <c r="L1105" s="57"/>
      <c r="M1105" s="38"/>
      <c r="N1105" s="57"/>
      <c r="O1105" s="38"/>
      <c r="P1105" s="38"/>
      <c r="Q1105" s="12"/>
    </row>
    <row r="1106" spans="4:17" ht="23.1" customHeight="1" x14ac:dyDescent="0.15">
      <c r="D1106" s="12"/>
      <c r="E1106" s="12"/>
      <c r="F1106" s="31"/>
      <c r="G1106" s="15"/>
      <c r="H1106" s="38"/>
      <c r="I1106" s="57"/>
      <c r="J1106" s="38"/>
      <c r="K1106" s="38"/>
      <c r="L1106" s="57"/>
      <c r="M1106" s="38"/>
      <c r="N1106" s="57"/>
      <c r="O1106" s="38"/>
      <c r="P1106" s="38"/>
      <c r="Q1106" s="12"/>
    </row>
    <row r="1107" spans="4:17" ht="23.1" customHeight="1" x14ac:dyDescent="0.15">
      <c r="D1107" s="12"/>
      <c r="E1107" s="12"/>
      <c r="F1107" s="31"/>
      <c r="G1107" s="15"/>
      <c r="H1107" s="38"/>
      <c r="I1107" s="57"/>
      <c r="J1107" s="38"/>
      <c r="K1107" s="38"/>
      <c r="L1107" s="57"/>
      <c r="M1107" s="38"/>
      <c r="N1107" s="57"/>
      <c r="O1107" s="38"/>
      <c r="P1107" s="38"/>
      <c r="Q1107" s="12"/>
    </row>
    <row r="1108" spans="4:17" ht="23.1" customHeight="1" x14ac:dyDescent="0.15">
      <c r="D1108" s="12"/>
      <c r="E1108" s="12"/>
      <c r="F1108" s="31"/>
      <c r="G1108" s="15"/>
      <c r="H1108" s="38"/>
      <c r="I1108" s="57"/>
      <c r="J1108" s="38"/>
      <c r="K1108" s="38"/>
      <c r="L1108" s="57"/>
      <c r="M1108" s="38"/>
      <c r="N1108" s="57"/>
      <c r="O1108" s="38"/>
      <c r="P1108" s="38"/>
      <c r="Q1108" s="12"/>
    </row>
    <row r="1109" spans="4:17" ht="23.1" customHeight="1" x14ac:dyDescent="0.15">
      <c r="D1109" s="12"/>
      <c r="E1109" s="12"/>
      <c r="F1109" s="31"/>
      <c r="G1109" s="15"/>
      <c r="H1109" s="38"/>
      <c r="I1109" s="57"/>
      <c r="J1109" s="38"/>
      <c r="K1109" s="38"/>
      <c r="L1109" s="57"/>
      <c r="M1109" s="38"/>
      <c r="N1109" s="57"/>
      <c r="O1109" s="38"/>
      <c r="P1109" s="38"/>
      <c r="Q1109" s="12"/>
    </row>
    <row r="1110" spans="4:17" ht="23.1" customHeight="1" x14ac:dyDescent="0.15">
      <c r="D1110" s="12"/>
      <c r="E1110" s="12"/>
      <c r="F1110" s="31"/>
      <c r="G1110" s="15"/>
      <c r="H1110" s="38"/>
      <c r="I1110" s="57"/>
      <c r="J1110" s="38"/>
      <c r="K1110" s="38"/>
      <c r="L1110" s="57"/>
      <c r="M1110" s="38"/>
      <c r="N1110" s="57"/>
      <c r="O1110" s="38"/>
      <c r="P1110" s="38"/>
      <c r="Q1110" s="12"/>
    </row>
    <row r="1111" spans="4:17" ht="23.1" customHeight="1" x14ac:dyDescent="0.15">
      <c r="D1111" s="12"/>
      <c r="E1111" s="12"/>
      <c r="F1111" s="31"/>
      <c r="G1111" s="15"/>
      <c r="H1111" s="38"/>
      <c r="I1111" s="57"/>
      <c r="J1111" s="38"/>
      <c r="K1111" s="38"/>
      <c r="L1111" s="57"/>
      <c r="M1111" s="38"/>
      <c r="N1111" s="57"/>
      <c r="O1111" s="38"/>
      <c r="P1111" s="38"/>
      <c r="Q1111" s="12"/>
    </row>
    <row r="1112" spans="4:17" ht="23.1" customHeight="1" x14ac:dyDescent="0.15">
      <c r="D1112" s="12"/>
      <c r="E1112" s="12"/>
      <c r="F1112" s="31"/>
      <c r="G1112" s="15"/>
      <c r="H1112" s="38"/>
      <c r="I1112" s="57"/>
      <c r="J1112" s="38"/>
      <c r="K1112" s="38"/>
      <c r="L1112" s="57"/>
      <c r="M1112" s="38"/>
      <c r="N1112" s="57"/>
      <c r="O1112" s="38"/>
      <c r="P1112" s="38"/>
      <c r="Q1112" s="12"/>
    </row>
    <row r="1113" spans="4:17" ht="23.1" customHeight="1" x14ac:dyDescent="0.15">
      <c r="D1113" s="12"/>
      <c r="E1113" s="12"/>
      <c r="F1113" s="31"/>
      <c r="G1113" s="15"/>
      <c r="H1113" s="38"/>
      <c r="I1113" s="57"/>
      <c r="J1113" s="38"/>
      <c r="K1113" s="38"/>
      <c r="L1113" s="57"/>
      <c r="M1113" s="38"/>
      <c r="N1113" s="57"/>
      <c r="O1113" s="38"/>
      <c r="P1113" s="38"/>
      <c r="Q1113" s="12"/>
    </row>
    <row r="1114" spans="4:17" ht="23.1" customHeight="1" x14ac:dyDescent="0.15">
      <c r="D1114" s="12"/>
      <c r="E1114" s="12"/>
      <c r="F1114" s="31"/>
      <c r="G1114" s="15"/>
      <c r="H1114" s="38"/>
      <c r="I1114" s="57"/>
      <c r="J1114" s="38"/>
      <c r="K1114" s="38"/>
      <c r="L1114" s="57"/>
      <c r="M1114" s="38"/>
      <c r="N1114" s="57"/>
      <c r="O1114" s="38"/>
      <c r="P1114" s="38"/>
      <c r="Q1114" s="12"/>
    </row>
    <row r="1115" spans="4:17" ht="23.1" customHeight="1" x14ac:dyDescent="0.15">
      <c r="D1115" s="12"/>
      <c r="E1115" s="12"/>
      <c r="F1115" s="31"/>
      <c r="G1115" s="15"/>
      <c r="H1115" s="38"/>
      <c r="I1115" s="57"/>
      <c r="J1115" s="38"/>
      <c r="K1115" s="38"/>
      <c r="L1115" s="57"/>
      <c r="M1115" s="38"/>
      <c r="N1115" s="57"/>
      <c r="O1115" s="38"/>
      <c r="P1115" s="38"/>
      <c r="Q1115" s="12"/>
    </row>
    <row r="1116" spans="4:17" ht="23.1" customHeight="1" x14ac:dyDescent="0.15">
      <c r="D1116" s="12"/>
      <c r="E1116" s="12"/>
      <c r="F1116" s="31"/>
      <c r="G1116" s="15"/>
      <c r="H1116" s="38"/>
      <c r="I1116" s="57"/>
      <c r="J1116" s="38"/>
      <c r="K1116" s="38"/>
      <c r="L1116" s="57"/>
      <c r="M1116" s="38"/>
      <c r="N1116" s="57"/>
      <c r="O1116" s="38"/>
      <c r="P1116" s="38"/>
      <c r="Q1116" s="12"/>
    </row>
    <row r="1117" spans="4:17" ht="23.1" customHeight="1" x14ac:dyDescent="0.15">
      <c r="D1117" s="12"/>
      <c r="E1117" s="12"/>
      <c r="F1117" s="31"/>
      <c r="G1117" s="15"/>
      <c r="H1117" s="38"/>
      <c r="I1117" s="57"/>
      <c r="J1117" s="38"/>
      <c r="K1117" s="38"/>
      <c r="L1117" s="57"/>
      <c r="M1117" s="38"/>
      <c r="N1117" s="57"/>
      <c r="O1117" s="38"/>
      <c r="P1117" s="38"/>
      <c r="Q1117" s="12"/>
    </row>
    <row r="1118" spans="4:17" ht="23.1" customHeight="1" x14ac:dyDescent="0.15">
      <c r="D1118" s="12"/>
      <c r="E1118" s="12"/>
      <c r="F1118" s="31"/>
      <c r="G1118" s="15"/>
      <c r="H1118" s="38"/>
      <c r="I1118" s="57"/>
      <c r="J1118" s="38"/>
      <c r="K1118" s="38"/>
      <c r="L1118" s="57"/>
      <c r="M1118" s="38"/>
      <c r="N1118" s="57"/>
      <c r="O1118" s="38"/>
      <c r="P1118" s="38"/>
      <c r="Q1118" s="12"/>
    </row>
    <row r="1119" spans="4:17" ht="23.1" customHeight="1" x14ac:dyDescent="0.15">
      <c r="D1119" s="12"/>
      <c r="E1119" s="12"/>
      <c r="F1119" s="31"/>
      <c r="G1119" s="15"/>
      <c r="H1119" s="38"/>
      <c r="I1119" s="57"/>
      <c r="J1119" s="38"/>
      <c r="K1119" s="38"/>
      <c r="L1119" s="57"/>
      <c r="M1119" s="38"/>
      <c r="N1119" s="57"/>
      <c r="O1119" s="38"/>
      <c r="P1119" s="38"/>
      <c r="Q1119" s="12"/>
    </row>
    <row r="1120" spans="4:17" ht="23.1" customHeight="1" x14ac:dyDescent="0.15">
      <c r="D1120" s="12"/>
      <c r="E1120" s="12"/>
      <c r="F1120" s="31"/>
      <c r="G1120" s="15"/>
      <c r="H1120" s="38"/>
      <c r="I1120" s="57"/>
      <c r="J1120" s="38"/>
      <c r="K1120" s="38"/>
      <c r="L1120" s="57"/>
      <c r="M1120" s="38"/>
      <c r="N1120" s="57"/>
      <c r="O1120" s="38"/>
      <c r="P1120" s="38"/>
      <c r="Q1120" s="12"/>
    </row>
    <row r="1121" spans="1:31" ht="23.1" customHeight="1" x14ac:dyDescent="0.15">
      <c r="B1121" s="13" t="s">
        <v>2360</v>
      </c>
      <c r="D1121" s="12" t="s">
        <v>2361</v>
      </c>
      <c r="E1121" s="12"/>
      <c r="F1121" s="31"/>
      <c r="G1121" s="15"/>
      <c r="H1121" s="38"/>
      <c r="I1121" s="57">
        <f>TRUNC(SUM(I1096:I1120))</f>
        <v>56704560</v>
      </c>
      <c r="J1121" s="38"/>
      <c r="K1121" s="38"/>
      <c r="L1121" s="57">
        <f>TRUNC(SUM(L1096:L1120))</f>
        <v>0</v>
      </c>
      <c r="M1121" s="38"/>
      <c r="N1121" s="57">
        <f>TRUNC(SUM(N1096:N1120))</f>
        <v>0</v>
      </c>
      <c r="O1121" s="38" t="str">
        <f>IF((H1121+K1121+M1121)=0, "", (H1121+K1121+M1121))</f>
        <v/>
      </c>
      <c r="P1121" s="38">
        <f>TRUNC(SUM(P1096:P1120))</f>
        <v>56704560</v>
      </c>
      <c r="Q1121" s="12"/>
    </row>
    <row r="1122" spans="1:31" ht="23.1" customHeight="1" x14ac:dyDescent="0.15">
      <c r="B1122" s="13" t="s">
        <v>1448</v>
      </c>
      <c r="D1122" s="170" t="s">
        <v>3195</v>
      </c>
      <c r="E1122" s="171"/>
      <c r="F1122" s="171"/>
      <c r="G1122" s="171"/>
      <c r="H1122" s="171"/>
      <c r="I1122" s="171"/>
      <c r="J1122" s="171"/>
      <c r="K1122" s="171"/>
      <c r="L1122" s="171"/>
      <c r="M1122" s="171"/>
      <c r="N1122" s="171"/>
      <c r="O1122" s="171"/>
      <c r="P1122" s="171"/>
      <c r="Q1122" s="172"/>
    </row>
    <row r="1123" spans="1:31" ht="23.1" customHeight="1" x14ac:dyDescent="0.15">
      <c r="A1123" s="13" t="s">
        <v>1262</v>
      </c>
      <c r="B1123" s="13" t="s">
        <v>3149</v>
      </c>
      <c r="C1123" s="13" t="s">
        <v>706</v>
      </c>
      <c r="D1123" s="12" t="s">
        <v>768</v>
      </c>
      <c r="E1123" s="12" t="s">
        <v>769</v>
      </c>
      <c r="F1123" s="31" t="s">
        <v>289</v>
      </c>
      <c r="G1123" s="15">
        <v>1</v>
      </c>
      <c r="H1123" s="38">
        <f>합산자재!H238</f>
        <v>70570000</v>
      </c>
      <c r="I1123" s="57">
        <f>TRUNC(G1123*H1123)</f>
        <v>70570000</v>
      </c>
      <c r="J1123" s="38">
        <v>1</v>
      </c>
      <c r="K1123" s="38">
        <f>합산자재!I238</f>
        <v>0</v>
      </c>
      <c r="L1123" s="57">
        <f>TRUNC(G1123*K1123)</f>
        <v>0</v>
      </c>
      <c r="M1123" s="38">
        <f>합산자재!J238</f>
        <v>0</v>
      </c>
      <c r="N1123" s="57">
        <f>TRUNC(G1123*M1123)</f>
        <v>0</v>
      </c>
      <c r="O1123" s="38">
        <f>IF((H1123+K1123+M1123)=0, "", (H1123+K1123+M1123))</f>
        <v>70570000</v>
      </c>
      <c r="P1123" s="38">
        <f>SUM(I1123,L1123,N1123)</f>
        <v>70570000</v>
      </c>
      <c r="Q1123" s="12" t="s">
        <v>3150</v>
      </c>
    </row>
    <row r="1124" spans="1:31" ht="23.1" customHeight="1" x14ac:dyDescent="0.15">
      <c r="A1124" s="13" t="s">
        <v>1263</v>
      </c>
      <c r="B1124" s="13" t="s">
        <v>3149</v>
      </c>
      <c r="C1124" s="13" t="s">
        <v>706</v>
      </c>
      <c r="D1124" s="12" t="s">
        <v>771</v>
      </c>
      <c r="E1124" s="12" t="s">
        <v>772</v>
      </c>
      <c r="F1124" s="31" t="s">
        <v>289</v>
      </c>
      <c r="G1124" s="15">
        <v>1</v>
      </c>
      <c r="H1124" s="38">
        <f>합산자재!H239</f>
        <v>62134000</v>
      </c>
      <c r="I1124" s="57">
        <f>TRUNC(G1124*H1124)</f>
        <v>62134000</v>
      </c>
      <c r="J1124" s="38">
        <v>1</v>
      </c>
      <c r="K1124" s="38">
        <f>합산자재!I239</f>
        <v>0</v>
      </c>
      <c r="L1124" s="57">
        <f>TRUNC(G1124*K1124)</f>
        <v>0</v>
      </c>
      <c r="M1124" s="38">
        <f>합산자재!J239</f>
        <v>0</v>
      </c>
      <c r="N1124" s="57">
        <f>TRUNC(G1124*M1124)</f>
        <v>0</v>
      </c>
      <c r="O1124" s="38">
        <f>IF((H1124+K1124+M1124)=0, "", (H1124+K1124+M1124))</f>
        <v>62134000</v>
      </c>
      <c r="P1124" s="38">
        <f>SUM(I1124,L1124,N1124)</f>
        <v>62134000</v>
      </c>
      <c r="Q1124" s="12" t="s">
        <v>3151</v>
      </c>
    </row>
    <row r="1125" spans="1:31" ht="23.1" customHeight="1" x14ac:dyDescent="0.15">
      <c r="A1125" s="13" t="s">
        <v>1264</v>
      </c>
      <c r="B1125" s="13" t="s">
        <v>3149</v>
      </c>
      <c r="C1125" s="13" t="s">
        <v>706</v>
      </c>
      <c r="D1125" s="12" t="s">
        <v>773</v>
      </c>
      <c r="E1125" s="12" t="s">
        <v>774</v>
      </c>
      <c r="F1125" s="31" t="s">
        <v>289</v>
      </c>
      <c r="G1125" s="15">
        <v>1</v>
      </c>
      <c r="H1125" s="38">
        <f>합산자재!H240</f>
        <v>5290000</v>
      </c>
      <c r="I1125" s="57">
        <f>TRUNC(G1125*H1125)</f>
        <v>5290000</v>
      </c>
      <c r="J1125" s="38">
        <v>1</v>
      </c>
      <c r="K1125" s="38">
        <f>합산자재!I240</f>
        <v>0</v>
      </c>
      <c r="L1125" s="57">
        <f>TRUNC(G1125*K1125)</f>
        <v>0</v>
      </c>
      <c r="M1125" s="38">
        <f>합산자재!J240</f>
        <v>0</v>
      </c>
      <c r="N1125" s="57">
        <f>TRUNC(G1125*M1125)</f>
        <v>0</v>
      </c>
      <c r="O1125" s="38">
        <f>IF((H1125+K1125+M1125)=0, "", (H1125+K1125+M1125))</f>
        <v>5290000</v>
      </c>
      <c r="P1125" s="38">
        <f>SUM(I1125,L1125,N1125)</f>
        <v>5290000</v>
      </c>
      <c r="Q1125" s="12" t="s">
        <v>3152</v>
      </c>
    </row>
    <row r="1126" spans="1:31" ht="23.1" customHeight="1" x14ac:dyDescent="0.15">
      <c r="A1126" s="13" t="s">
        <v>1339</v>
      </c>
      <c r="B1126" s="13" t="s">
        <v>3149</v>
      </c>
      <c r="C1126" s="13" t="s">
        <v>926</v>
      </c>
      <c r="D1126" s="12" t="s">
        <v>927</v>
      </c>
      <c r="E1126" s="12" t="s">
        <v>919</v>
      </c>
      <c r="F1126" s="31" t="s">
        <v>792</v>
      </c>
      <c r="G1126" s="15">
        <v>1</v>
      </c>
      <c r="H1126" s="38">
        <f>합산자재!H315</f>
        <v>745167</v>
      </c>
      <c r="I1126" s="57">
        <f>TRUNC(G1126*H1126)</f>
        <v>745167</v>
      </c>
      <c r="J1126" s="38">
        <v>1</v>
      </c>
      <c r="K1126" s="38">
        <f>합산자재!I315</f>
        <v>0</v>
      </c>
      <c r="L1126" s="57">
        <f>TRUNC(G1126*K1126)</f>
        <v>0</v>
      </c>
      <c r="M1126" s="38">
        <f>합산자재!J315</f>
        <v>0</v>
      </c>
      <c r="N1126" s="57">
        <f>TRUNC(G1126*M1126)</f>
        <v>0</v>
      </c>
      <c r="O1126" s="38">
        <f>IF((H1126+K1126+M1126)=0, "", (H1126+K1126+M1126))</f>
        <v>745167</v>
      </c>
      <c r="P1126" s="38">
        <f>SUM(I1126,L1126,N1126)</f>
        <v>745167</v>
      </c>
      <c r="Q1126" s="12"/>
    </row>
    <row r="1127" spans="1:31" ht="23.1" customHeight="1" x14ac:dyDescent="0.15">
      <c r="D1127" s="12"/>
      <c r="E1127" s="12"/>
      <c r="F1127" s="31"/>
      <c r="G1127" s="15"/>
      <c r="H1127" s="38"/>
      <c r="I1127" s="57"/>
      <c r="J1127" s="38"/>
      <c r="K1127" s="38"/>
      <c r="L1127" s="57"/>
      <c r="M1127" s="38"/>
      <c r="N1127" s="57"/>
      <c r="O1127" s="38"/>
      <c r="P1127" s="38"/>
      <c r="Q1127" s="12"/>
      <c r="AE1127" s="35">
        <f>TRUNC(SUM(AE1122:AE1126))</f>
        <v>0</v>
      </c>
    </row>
    <row r="1128" spans="1:31" ht="23.1" customHeight="1" x14ac:dyDescent="0.15">
      <c r="D1128" s="12"/>
      <c r="E1128" s="12"/>
      <c r="F1128" s="31"/>
      <c r="G1128" s="15"/>
      <c r="H1128" s="38"/>
      <c r="I1128" s="57"/>
      <c r="J1128" s="38"/>
      <c r="K1128" s="38"/>
      <c r="L1128" s="57"/>
      <c r="M1128" s="38"/>
      <c r="N1128" s="57"/>
      <c r="O1128" s="38"/>
      <c r="P1128" s="38"/>
      <c r="Q1128" s="12"/>
    </row>
    <row r="1129" spans="1:31" ht="23.1" customHeight="1" x14ac:dyDescent="0.15">
      <c r="D1129" s="12"/>
      <c r="E1129" s="12"/>
      <c r="F1129" s="31"/>
      <c r="G1129" s="15"/>
      <c r="H1129" s="38"/>
      <c r="I1129" s="57"/>
      <c r="J1129" s="38"/>
      <c r="K1129" s="38"/>
      <c r="L1129" s="57"/>
      <c r="M1129" s="38"/>
      <c r="N1129" s="57"/>
      <c r="O1129" s="38"/>
      <c r="P1129" s="38"/>
      <c r="Q1129" s="12"/>
    </row>
    <row r="1130" spans="1:31" ht="23.1" customHeight="1" x14ac:dyDescent="0.15">
      <c r="D1130" s="12"/>
      <c r="E1130" s="12"/>
      <c r="F1130" s="31"/>
      <c r="G1130" s="15"/>
      <c r="H1130" s="38"/>
      <c r="I1130" s="57"/>
      <c r="J1130" s="38"/>
      <c r="K1130" s="38"/>
      <c r="L1130" s="57"/>
      <c r="M1130" s="38"/>
      <c r="N1130" s="57"/>
      <c r="O1130" s="38"/>
      <c r="P1130" s="38"/>
      <c r="Q1130" s="12"/>
    </row>
    <row r="1131" spans="1:31" ht="23.1" customHeight="1" x14ac:dyDescent="0.15">
      <c r="D1131" s="12"/>
      <c r="E1131" s="12"/>
      <c r="F1131" s="31"/>
      <c r="G1131" s="15"/>
      <c r="H1131" s="38"/>
      <c r="I1131" s="57"/>
      <c r="J1131" s="38"/>
      <c r="K1131" s="38"/>
      <c r="L1131" s="57"/>
      <c r="M1131" s="38"/>
      <c r="N1131" s="57"/>
      <c r="O1131" s="38"/>
      <c r="P1131" s="38"/>
      <c r="Q1131" s="12"/>
    </row>
    <row r="1132" spans="1:31" ht="23.1" customHeight="1" x14ac:dyDescent="0.15">
      <c r="D1132" s="12"/>
      <c r="E1132" s="12"/>
      <c r="F1132" s="31"/>
      <c r="G1132" s="15"/>
      <c r="H1132" s="38"/>
      <c r="I1132" s="57"/>
      <c r="J1132" s="38"/>
      <c r="K1132" s="38"/>
      <c r="L1132" s="57"/>
      <c r="M1132" s="38"/>
      <c r="N1132" s="57"/>
      <c r="O1132" s="38"/>
      <c r="P1132" s="38"/>
      <c r="Q1132" s="12"/>
    </row>
    <row r="1133" spans="1:31" ht="23.1" customHeight="1" x14ac:dyDescent="0.15">
      <c r="D1133" s="12"/>
      <c r="E1133" s="12"/>
      <c r="F1133" s="31"/>
      <c r="G1133" s="15"/>
      <c r="H1133" s="38"/>
      <c r="I1133" s="57"/>
      <c r="J1133" s="38"/>
      <c r="K1133" s="38"/>
      <c r="L1133" s="57"/>
      <c r="M1133" s="38"/>
      <c r="N1133" s="57"/>
      <c r="O1133" s="38"/>
      <c r="P1133" s="38"/>
      <c r="Q1133" s="12"/>
    </row>
    <row r="1134" spans="1:31" ht="23.1" customHeight="1" x14ac:dyDescent="0.15">
      <c r="D1134" s="12"/>
      <c r="E1134" s="12"/>
      <c r="F1134" s="31"/>
      <c r="G1134" s="15"/>
      <c r="H1134" s="38"/>
      <c r="I1134" s="57"/>
      <c r="J1134" s="38"/>
      <c r="K1134" s="38"/>
      <c r="L1134" s="57"/>
      <c r="M1134" s="38"/>
      <c r="N1134" s="57"/>
      <c r="O1134" s="38"/>
      <c r="P1134" s="38"/>
      <c r="Q1134" s="12"/>
    </row>
    <row r="1135" spans="1:31" ht="23.1" customHeight="1" x14ac:dyDescent="0.15">
      <c r="D1135" s="12"/>
      <c r="E1135" s="12"/>
      <c r="F1135" s="31"/>
      <c r="G1135" s="15"/>
      <c r="H1135" s="38"/>
      <c r="I1135" s="57"/>
      <c r="J1135" s="38"/>
      <c r="K1135" s="38"/>
      <c r="L1135" s="57"/>
      <c r="M1135" s="38"/>
      <c r="N1135" s="57"/>
      <c r="O1135" s="38"/>
      <c r="P1135" s="38"/>
      <c r="Q1135" s="12"/>
    </row>
    <row r="1136" spans="1:31" ht="23.1" customHeight="1" x14ac:dyDescent="0.15">
      <c r="D1136" s="12"/>
      <c r="E1136" s="12"/>
      <c r="F1136" s="31"/>
      <c r="G1136" s="15"/>
      <c r="H1136" s="38"/>
      <c r="I1136" s="57"/>
      <c r="J1136" s="38"/>
      <c r="K1136" s="38"/>
      <c r="L1136" s="57"/>
      <c r="M1136" s="38"/>
      <c r="N1136" s="57"/>
      <c r="O1136" s="38"/>
      <c r="P1136" s="38"/>
      <c r="Q1136" s="12"/>
    </row>
    <row r="1137" spans="1:17" ht="23.1" customHeight="1" x14ac:dyDescent="0.15">
      <c r="D1137" s="12"/>
      <c r="E1137" s="12"/>
      <c r="F1137" s="31"/>
      <c r="G1137" s="15"/>
      <c r="H1137" s="38"/>
      <c r="I1137" s="57"/>
      <c r="J1137" s="38"/>
      <c r="K1137" s="38"/>
      <c r="L1137" s="57"/>
      <c r="M1137" s="38"/>
      <c r="N1137" s="57"/>
      <c r="O1137" s="38"/>
      <c r="P1137" s="38"/>
      <c r="Q1137" s="12"/>
    </row>
    <row r="1138" spans="1:17" ht="23.1" customHeight="1" x14ac:dyDescent="0.15">
      <c r="D1138" s="12"/>
      <c r="E1138" s="12"/>
      <c r="F1138" s="31"/>
      <c r="G1138" s="15"/>
      <c r="H1138" s="38"/>
      <c r="I1138" s="57"/>
      <c r="J1138" s="38"/>
      <c r="K1138" s="38"/>
      <c r="L1138" s="57"/>
      <c r="M1138" s="38"/>
      <c r="N1138" s="57"/>
      <c r="O1138" s="38"/>
      <c r="P1138" s="38"/>
      <c r="Q1138" s="12"/>
    </row>
    <row r="1139" spans="1:17" ht="23.1" customHeight="1" x14ac:dyDescent="0.15">
      <c r="D1139" s="12"/>
      <c r="E1139" s="12"/>
      <c r="F1139" s="31"/>
      <c r="G1139" s="15"/>
      <c r="H1139" s="38"/>
      <c r="I1139" s="57"/>
      <c r="J1139" s="38"/>
      <c r="K1139" s="38"/>
      <c r="L1139" s="57"/>
      <c r="M1139" s="38"/>
      <c r="N1139" s="57"/>
      <c r="O1139" s="38"/>
      <c r="P1139" s="38"/>
      <c r="Q1139" s="12"/>
    </row>
    <row r="1140" spans="1:17" ht="23.1" customHeight="1" x14ac:dyDescent="0.15">
      <c r="D1140" s="12"/>
      <c r="E1140" s="12"/>
      <c r="F1140" s="31"/>
      <c r="G1140" s="15"/>
      <c r="H1140" s="38"/>
      <c r="I1140" s="57"/>
      <c r="J1140" s="38"/>
      <c r="K1140" s="38"/>
      <c r="L1140" s="57"/>
      <c r="M1140" s="38"/>
      <c r="N1140" s="57"/>
      <c r="O1140" s="38"/>
      <c r="P1140" s="38"/>
      <c r="Q1140" s="12"/>
    </row>
    <row r="1141" spans="1:17" ht="23.1" customHeight="1" x14ac:dyDescent="0.15">
      <c r="D1141" s="12"/>
      <c r="E1141" s="12"/>
      <c r="F1141" s="31"/>
      <c r="G1141" s="15"/>
      <c r="H1141" s="38"/>
      <c r="I1141" s="57"/>
      <c r="J1141" s="38"/>
      <c r="K1141" s="38"/>
      <c r="L1141" s="57"/>
      <c r="M1141" s="38"/>
      <c r="N1141" s="57"/>
      <c r="O1141" s="38"/>
      <c r="P1141" s="38"/>
      <c r="Q1141" s="12"/>
    </row>
    <row r="1142" spans="1:17" ht="23.1" customHeight="1" x14ac:dyDescent="0.15">
      <c r="D1142" s="12"/>
      <c r="E1142" s="12"/>
      <c r="F1142" s="31"/>
      <c r="G1142" s="15"/>
      <c r="H1142" s="38"/>
      <c r="I1142" s="57"/>
      <c r="J1142" s="38"/>
      <c r="K1142" s="38"/>
      <c r="L1142" s="57"/>
      <c r="M1142" s="38"/>
      <c r="N1142" s="57"/>
      <c r="O1142" s="38"/>
      <c r="P1142" s="38"/>
      <c r="Q1142" s="12"/>
    </row>
    <row r="1143" spans="1:17" ht="23.1" customHeight="1" x14ac:dyDescent="0.15">
      <c r="D1143" s="12"/>
      <c r="E1143" s="12"/>
      <c r="F1143" s="31"/>
      <c r="G1143" s="15"/>
      <c r="H1143" s="38"/>
      <c r="I1143" s="57"/>
      <c r="J1143" s="38"/>
      <c r="K1143" s="38"/>
      <c r="L1143" s="57"/>
      <c r="M1143" s="38"/>
      <c r="N1143" s="57"/>
      <c r="O1143" s="38"/>
      <c r="P1143" s="38"/>
      <c r="Q1143" s="12"/>
    </row>
    <row r="1144" spans="1:17" ht="23.1" customHeight="1" x14ac:dyDescent="0.15">
      <c r="D1144" s="12"/>
      <c r="E1144" s="12"/>
      <c r="F1144" s="31"/>
      <c r="G1144" s="15"/>
      <c r="H1144" s="38"/>
      <c r="I1144" s="57"/>
      <c r="J1144" s="38"/>
      <c r="K1144" s="38"/>
      <c r="L1144" s="57"/>
      <c r="M1144" s="38"/>
      <c r="N1144" s="57"/>
      <c r="O1144" s="38"/>
      <c r="P1144" s="38"/>
      <c r="Q1144" s="12"/>
    </row>
    <row r="1145" spans="1:17" ht="23.1" customHeight="1" x14ac:dyDescent="0.15">
      <c r="D1145" s="12"/>
      <c r="E1145" s="12"/>
      <c r="F1145" s="31"/>
      <c r="G1145" s="15"/>
      <c r="H1145" s="38"/>
      <c r="I1145" s="57"/>
      <c r="J1145" s="38"/>
      <c r="K1145" s="38"/>
      <c r="L1145" s="57"/>
      <c r="M1145" s="38"/>
      <c r="N1145" s="57"/>
      <c r="O1145" s="38"/>
      <c r="P1145" s="38"/>
      <c r="Q1145" s="12"/>
    </row>
    <row r="1146" spans="1:17" ht="23.1" customHeight="1" x14ac:dyDescent="0.15">
      <c r="D1146" s="12"/>
      <c r="E1146" s="12"/>
      <c r="F1146" s="31"/>
      <c r="G1146" s="15"/>
      <c r="H1146" s="38"/>
      <c r="I1146" s="57"/>
      <c r="J1146" s="38"/>
      <c r="K1146" s="38"/>
      <c r="L1146" s="57"/>
      <c r="M1146" s="38"/>
      <c r="N1146" s="57"/>
      <c r="O1146" s="38"/>
      <c r="P1146" s="38"/>
      <c r="Q1146" s="12"/>
    </row>
    <row r="1147" spans="1:17" ht="23.1" customHeight="1" x14ac:dyDescent="0.15">
      <c r="B1147" s="13" t="s">
        <v>2360</v>
      </c>
      <c r="D1147" s="12" t="s">
        <v>2361</v>
      </c>
      <c r="E1147" s="12"/>
      <c r="F1147" s="31"/>
      <c r="G1147" s="15"/>
      <c r="H1147" s="38"/>
      <c r="I1147" s="57">
        <f>TRUNC(SUM(I1122:I1146))</f>
        <v>138739167</v>
      </c>
      <c r="J1147" s="38"/>
      <c r="K1147" s="38"/>
      <c r="L1147" s="57">
        <f>TRUNC(SUM(L1122:L1146))</f>
        <v>0</v>
      </c>
      <c r="M1147" s="38"/>
      <c r="N1147" s="57">
        <f>TRUNC(SUM(N1122:N1146))</f>
        <v>0</v>
      </c>
      <c r="O1147" s="38" t="str">
        <f>IF((H1147+K1147+M1147)=0, "", (H1147+K1147+M1147))</f>
        <v/>
      </c>
      <c r="P1147" s="38">
        <f>TRUNC(SUM(P1122:P1146))</f>
        <v>138739167</v>
      </c>
      <c r="Q1147" s="12"/>
    </row>
    <row r="1148" spans="1:17" ht="23.1" customHeight="1" x14ac:dyDescent="0.15">
      <c r="B1148" s="13" t="s">
        <v>1448</v>
      </c>
      <c r="D1148" s="170" t="s">
        <v>3196</v>
      </c>
      <c r="E1148" s="171"/>
      <c r="F1148" s="171"/>
      <c r="G1148" s="171"/>
      <c r="H1148" s="171"/>
      <c r="I1148" s="171"/>
      <c r="J1148" s="171"/>
      <c r="K1148" s="171"/>
      <c r="L1148" s="171"/>
      <c r="M1148" s="171"/>
      <c r="N1148" s="171"/>
      <c r="O1148" s="171"/>
      <c r="P1148" s="171"/>
      <c r="Q1148" s="172"/>
    </row>
    <row r="1149" spans="1:17" ht="23.1" customHeight="1" x14ac:dyDescent="0.15">
      <c r="A1149" s="13" t="s">
        <v>3153</v>
      </c>
      <c r="B1149" s="13" t="s">
        <v>3154</v>
      </c>
      <c r="C1149" s="13" t="s">
        <v>706</v>
      </c>
      <c r="D1149" s="12" t="s">
        <v>3155</v>
      </c>
      <c r="E1149" s="12"/>
      <c r="F1149" s="31" t="s">
        <v>792</v>
      </c>
      <c r="G1149" s="15">
        <v>1</v>
      </c>
      <c r="H1149" s="38">
        <v>63093305</v>
      </c>
      <c r="I1149" s="57">
        <f t="shared" ref="I1149:I1171" si="189">TRUNC(G1149*H1149)</f>
        <v>63093305</v>
      </c>
      <c r="J1149" s="38">
        <v>1</v>
      </c>
      <c r="K1149" s="38"/>
      <c r="L1149" s="57">
        <f t="shared" ref="L1149:L1168" si="190">TRUNC(G1149*K1149)</f>
        <v>0</v>
      </c>
      <c r="M1149" s="38"/>
      <c r="N1149" s="57">
        <f t="shared" ref="N1149:N1171" si="191">TRUNC(G1149*M1149)</f>
        <v>0</v>
      </c>
      <c r="O1149" s="38">
        <f t="shared" ref="O1149:O1171" si="192">IF((H1149+K1149+M1149)=0, "", (H1149+K1149+M1149))</f>
        <v>63093305</v>
      </c>
      <c r="P1149" s="38">
        <f t="shared" ref="P1149:P1171" si="193">SUM(I1149,L1149,N1149)</f>
        <v>63093305</v>
      </c>
      <c r="Q1149" s="12" t="s">
        <v>3156</v>
      </c>
    </row>
    <row r="1150" spans="1:17" ht="23.1" customHeight="1" x14ac:dyDescent="0.15">
      <c r="A1150" s="13" t="s">
        <v>3157</v>
      </c>
      <c r="B1150" s="13" t="s">
        <v>3154</v>
      </c>
      <c r="C1150" s="13" t="s">
        <v>3158</v>
      </c>
      <c r="D1150" s="12" t="s">
        <v>3159</v>
      </c>
      <c r="E1150" s="12"/>
      <c r="F1150" s="31"/>
      <c r="G1150" s="15"/>
      <c r="H1150" s="38"/>
      <c r="I1150" s="57">
        <f t="shared" si="189"/>
        <v>0</v>
      </c>
      <c r="J1150" s="38"/>
      <c r="K1150" s="38"/>
      <c r="L1150" s="57">
        <f t="shared" si="190"/>
        <v>0</v>
      </c>
      <c r="M1150" s="38"/>
      <c r="N1150" s="57">
        <f t="shared" si="191"/>
        <v>0</v>
      </c>
      <c r="O1150" s="38" t="str">
        <f t="shared" si="192"/>
        <v/>
      </c>
      <c r="P1150" s="38">
        <f t="shared" si="193"/>
        <v>0</v>
      </c>
      <c r="Q1150" s="12"/>
    </row>
    <row r="1151" spans="1:17" ht="23.1" customHeight="1" x14ac:dyDescent="0.15">
      <c r="A1151" s="13" t="s">
        <v>1277</v>
      </c>
      <c r="B1151" s="13" t="s">
        <v>3154</v>
      </c>
      <c r="C1151" s="13" t="s">
        <v>706</v>
      </c>
      <c r="D1151" s="12" t="s">
        <v>799</v>
      </c>
      <c r="E1151" s="12" t="s">
        <v>800</v>
      </c>
      <c r="F1151" s="31" t="s">
        <v>289</v>
      </c>
      <c r="G1151" s="15">
        <v>1</v>
      </c>
      <c r="H1151" s="38">
        <f>합산자재!H253</f>
        <v>0</v>
      </c>
      <c r="I1151" s="57">
        <f t="shared" si="189"/>
        <v>0</v>
      </c>
      <c r="J1151" s="38">
        <v>1</v>
      </c>
      <c r="K1151" s="38">
        <f>합산자재!I253</f>
        <v>0</v>
      </c>
      <c r="L1151" s="57">
        <f t="shared" si="190"/>
        <v>0</v>
      </c>
      <c r="M1151" s="38">
        <f>합산자재!J253</f>
        <v>0</v>
      </c>
      <c r="N1151" s="57">
        <f t="shared" si="191"/>
        <v>0</v>
      </c>
      <c r="O1151" s="38" t="str">
        <f t="shared" si="192"/>
        <v/>
      </c>
      <c r="P1151" s="38">
        <f t="shared" si="193"/>
        <v>0</v>
      </c>
      <c r="Q1151" s="12"/>
    </row>
    <row r="1152" spans="1:17" ht="23.1" customHeight="1" x14ac:dyDescent="0.15">
      <c r="A1152" s="13" t="s">
        <v>1278</v>
      </c>
      <c r="B1152" s="13" t="s">
        <v>3154</v>
      </c>
      <c r="C1152" s="13" t="s">
        <v>706</v>
      </c>
      <c r="D1152" s="12" t="s">
        <v>801</v>
      </c>
      <c r="E1152" s="12" t="s">
        <v>802</v>
      </c>
      <c r="F1152" s="31" t="s">
        <v>289</v>
      </c>
      <c r="G1152" s="15">
        <v>1</v>
      </c>
      <c r="H1152" s="38">
        <f>합산자재!H254</f>
        <v>0</v>
      </c>
      <c r="I1152" s="57">
        <f t="shared" si="189"/>
        <v>0</v>
      </c>
      <c r="J1152" s="38">
        <v>1</v>
      </c>
      <c r="K1152" s="38">
        <f>합산자재!I254</f>
        <v>0</v>
      </c>
      <c r="L1152" s="57">
        <f t="shared" si="190"/>
        <v>0</v>
      </c>
      <c r="M1152" s="38">
        <f>합산자재!J254</f>
        <v>0</v>
      </c>
      <c r="N1152" s="57">
        <f t="shared" si="191"/>
        <v>0</v>
      </c>
      <c r="O1152" s="38" t="str">
        <f t="shared" si="192"/>
        <v/>
      </c>
      <c r="P1152" s="38">
        <f t="shared" si="193"/>
        <v>0</v>
      </c>
      <c r="Q1152" s="12"/>
    </row>
    <row r="1153" spans="1:17" ht="23.1" customHeight="1" x14ac:dyDescent="0.15">
      <c r="A1153" s="13" t="s">
        <v>1279</v>
      </c>
      <c r="B1153" s="13" t="s">
        <v>3154</v>
      </c>
      <c r="C1153" s="13" t="s">
        <v>706</v>
      </c>
      <c r="D1153" s="12" t="s">
        <v>803</v>
      </c>
      <c r="E1153" s="12" t="s">
        <v>804</v>
      </c>
      <c r="F1153" s="31" t="s">
        <v>289</v>
      </c>
      <c r="G1153" s="15">
        <v>1</v>
      </c>
      <c r="H1153" s="38">
        <f>합산자재!H255</f>
        <v>0</v>
      </c>
      <c r="I1153" s="57">
        <f t="shared" si="189"/>
        <v>0</v>
      </c>
      <c r="J1153" s="38">
        <v>1</v>
      </c>
      <c r="K1153" s="38">
        <f>합산자재!I255</f>
        <v>0</v>
      </c>
      <c r="L1153" s="57">
        <f t="shared" si="190"/>
        <v>0</v>
      </c>
      <c r="M1153" s="38">
        <f>합산자재!J255</f>
        <v>0</v>
      </c>
      <c r="N1153" s="57">
        <f t="shared" si="191"/>
        <v>0</v>
      </c>
      <c r="O1153" s="38" t="str">
        <f t="shared" si="192"/>
        <v/>
      </c>
      <c r="P1153" s="38">
        <f t="shared" si="193"/>
        <v>0</v>
      </c>
      <c r="Q1153" s="12"/>
    </row>
    <row r="1154" spans="1:17" ht="23.1" customHeight="1" x14ac:dyDescent="0.15">
      <c r="A1154" s="13" t="s">
        <v>1280</v>
      </c>
      <c r="B1154" s="13" t="s">
        <v>3154</v>
      </c>
      <c r="C1154" s="13" t="s">
        <v>706</v>
      </c>
      <c r="D1154" s="12" t="s">
        <v>805</v>
      </c>
      <c r="E1154" s="12" t="s">
        <v>806</v>
      </c>
      <c r="F1154" s="31" t="s">
        <v>289</v>
      </c>
      <c r="G1154" s="15">
        <v>1</v>
      </c>
      <c r="H1154" s="38">
        <f>합산자재!H256</f>
        <v>0</v>
      </c>
      <c r="I1154" s="57">
        <f t="shared" si="189"/>
        <v>0</v>
      </c>
      <c r="J1154" s="38">
        <v>1</v>
      </c>
      <c r="K1154" s="38">
        <f>합산자재!I256</f>
        <v>0</v>
      </c>
      <c r="L1154" s="57">
        <f t="shared" si="190"/>
        <v>0</v>
      </c>
      <c r="M1154" s="38">
        <f>합산자재!J256</f>
        <v>0</v>
      </c>
      <c r="N1154" s="57">
        <f t="shared" si="191"/>
        <v>0</v>
      </c>
      <c r="O1154" s="38" t="str">
        <f t="shared" si="192"/>
        <v/>
      </c>
      <c r="P1154" s="38">
        <f t="shared" si="193"/>
        <v>0</v>
      </c>
      <c r="Q1154" s="12"/>
    </row>
    <row r="1155" spans="1:17" ht="23.1" customHeight="1" x14ac:dyDescent="0.15">
      <c r="A1155" s="13" t="s">
        <v>1281</v>
      </c>
      <c r="B1155" s="13" t="s">
        <v>3154</v>
      </c>
      <c r="C1155" s="13" t="s">
        <v>706</v>
      </c>
      <c r="D1155" s="12" t="s">
        <v>807</v>
      </c>
      <c r="E1155" s="12" t="s">
        <v>808</v>
      </c>
      <c r="F1155" s="31" t="s">
        <v>289</v>
      </c>
      <c r="G1155" s="15">
        <v>1</v>
      </c>
      <c r="H1155" s="38">
        <f>합산자재!H257</f>
        <v>0</v>
      </c>
      <c r="I1155" s="57">
        <f t="shared" si="189"/>
        <v>0</v>
      </c>
      <c r="J1155" s="38">
        <v>1</v>
      </c>
      <c r="K1155" s="38">
        <f>합산자재!I257</f>
        <v>0</v>
      </c>
      <c r="L1155" s="57">
        <f t="shared" si="190"/>
        <v>0</v>
      </c>
      <c r="M1155" s="38">
        <f>합산자재!J257</f>
        <v>0</v>
      </c>
      <c r="N1155" s="57">
        <f t="shared" si="191"/>
        <v>0</v>
      </c>
      <c r="O1155" s="38" t="str">
        <f t="shared" si="192"/>
        <v/>
      </c>
      <c r="P1155" s="38">
        <f t="shared" si="193"/>
        <v>0</v>
      </c>
      <c r="Q1155" s="12"/>
    </row>
    <row r="1156" spans="1:17" ht="23.1" customHeight="1" x14ac:dyDescent="0.15">
      <c r="A1156" s="13" t="s">
        <v>1282</v>
      </c>
      <c r="B1156" s="13" t="s">
        <v>3154</v>
      </c>
      <c r="C1156" s="13" t="s">
        <v>706</v>
      </c>
      <c r="D1156" s="12" t="s">
        <v>809</v>
      </c>
      <c r="E1156" s="12" t="s">
        <v>810</v>
      </c>
      <c r="F1156" s="31" t="s">
        <v>289</v>
      </c>
      <c r="G1156" s="15">
        <v>1</v>
      </c>
      <c r="H1156" s="38">
        <f>합산자재!H258</f>
        <v>0</v>
      </c>
      <c r="I1156" s="57">
        <f t="shared" si="189"/>
        <v>0</v>
      </c>
      <c r="J1156" s="38">
        <v>1</v>
      </c>
      <c r="K1156" s="38">
        <f>합산자재!I258</f>
        <v>0</v>
      </c>
      <c r="L1156" s="57">
        <f t="shared" si="190"/>
        <v>0</v>
      </c>
      <c r="M1156" s="38">
        <f>합산자재!J258</f>
        <v>0</v>
      </c>
      <c r="N1156" s="57">
        <f t="shared" si="191"/>
        <v>0</v>
      </c>
      <c r="O1156" s="38" t="str">
        <f t="shared" si="192"/>
        <v/>
      </c>
      <c r="P1156" s="38">
        <f t="shared" si="193"/>
        <v>0</v>
      </c>
      <c r="Q1156" s="12"/>
    </row>
    <row r="1157" spans="1:17" ht="23.1" customHeight="1" x14ac:dyDescent="0.15">
      <c r="A1157" s="13" t="s">
        <v>1283</v>
      </c>
      <c r="B1157" s="13" t="s">
        <v>3154</v>
      </c>
      <c r="C1157" s="13" t="s">
        <v>706</v>
      </c>
      <c r="D1157" s="12" t="s">
        <v>811</v>
      </c>
      <c r="E1157" s="12" t="s">
        <v>812</v>
      </c>
      <c r="F1157" s="31" t="s">
        <v>289</v>
      </c>
      <c r="G1157" s="15">
        <v>1</v>
      </c>
      <c r="H1157" s="38">
        <f>합산자재!H259</f>
        <v>0</v>
      </c>
      <c r="I1157" s="57">
        <f t="shared" si="189"/>
        <v>0</v>
      </c>
      <c r="J1157" s="38">
        <v>1</v>
      </c>
      <c r="K1157" s="38">
        <f>합산자재!I259</f>
        <v>0</v>
      </c>
      <c r="L1157" s="57">
        <f t="shared" si="190"/>
        <v>0</v>
      </c>
      <c r="M1157" s="38">
        <f>합산자재!J259</f>
        <v>0</v>
      </c>
      <c r="N1157" s="57">
        <f t="shared" si="191"/>
        <v>0</v>
      </c>
      <c r="O1157" s="38" t="str">
        <f t="shared" si="192"/>
        <v/>
      </c>
      <c r="P1157" s="38">
        <f t="shared" si="193"/>
        <v>0</v>
      </c>
      <c r="Q1157" s="12"/>
    </row>
    <row r="1158" spans="1:17" ht="23.1" customHeight="1" x14ac:dyDescent="0.15">
      <c r="A1158" s="13" t="s">
        <v>1284</v>
      </c>
      <c r="B1158" s="13" t="s">
        <v>3154</v>
      </c>
      <c r="C1158" s="13" t="s">
        <v>706</v>
      </c>
      <c r="D1158" s="12" t="s">
        <v>813</v>
      </c>
      <c r="E1158" s="12" t="s">
        <v>814</v>
      </c>
      <c r="F1158" s="31" t="s">
        <v>289</v>
      </c>
      <c r="G1158" s="15">
        <v>1</v>
      </c>
      <c r="H1158" s="38">
        <f>합산자재!H260</f>
        <v>0</v>
      </c>
      <c r="I1158" s="57">
        <f t="shared" si="189"/>
        <v>0</v>
      </c>
      <c r="J1158" s="38">
        <v>1</v>
      </c>
      <c r="K1158" s="38">
        <f>합산자재!I260</f>
        <v>0</v>
      </c>
      <c r="L1158" s="57">
        <f t="shared" si="190"/>
        <v>0</v>
      </c>
      <c r="M1158" s="38">
        <f>합산자재!J260</f>
        <v>0</v>
      </c>
      <c r="N1158" s="57">
        <f t="shared" si="191"/>
        <v>0</v>
      </c>
      <c r="O1158" s="38" t="str">
        <f t="shared" si="192"/>
        <v/>
      </c>
      <c r="P1158" s="38">
        <f t="shared" si="193"/>
        <v>0</v>
      </c>
      <c r="Q1158" s="12"/>
    </row>
    <row r="1159" spans="1:17" ht="23.1" customHeight="1" x14ac:dyDescent="0.15">
      <c r="A1159" s="13" t="s">
        <v>1285</v>
      </c>
      <c r="B1159" s="13" t="s">
        <v>3154</v>
      </c>
      <c r="C1159" s="13" t="s">
        <v>706</v>
      </c>
      <c r="D1159" s="12" t="s">
        <v>815</v>
      </c>
      <c r="E1159" s="12"/>
      <c r="F1159" s="31" t="s">
        <v>710</v>
      </c>
      <c r="G1159" s="15">
        <v>1</v>
      </c>
      <c r="H1159" s="38">
        <f>합산자재!H261</f>
        <v>0</v>
      </c>
      <c r="I1159" s="57">
        <f t="shared" si="189"/>
        <v>0</v>
      </c>
      <c r="J1159" s="38">
        <v>1</v>
      </c>
      <c r="K1159" s="38">
        <f>합산자재!I261</f>
        <v>0</v>
      </c>
      <c r="L1159" s="57">
        <f t="shared" si="190"/>
        <v>0</v>
      </c>
      <c r="M1159" s="38">
        <f>합산자재!J261</f>
        <v>0</v>
      </c>
      <c r="N1159" s="57">
        <f t="shared" si="191"/>
        <v>0</v>
      </c>
      <c r="O1159" s="38" t="str">
        <f t="shared" si="192"/>
        <v/>
      </c>
      <c r="P1159" s="38">
        <f t="shared" si="193"/>
        <v>0</v>
      </c>
      <c r="Q1159" s="12"/>
    </row>
    <row r="1160" spans="1:17" ht="23.1" customHeight="1" x14ac:dyDescent="0.15">
      <c r="A1160" s="13" t="s">
        <v>1286</v>
      </c>
      <c r="B1160" s="13" t="s">
        <v>3154</v>
      </c>
      <c r="C1160" s="13" t="s">
        <v>706</v>
      </c>
      <c r="D1160" s="12" t="s">
        <v>816</v>
      </c>
      <c r="E1160" s="12" t="s">
        <v>817</v>
      </c>
      <c r="F1160" s="31" t="s">
        <v>710</v>
      </c>
      <c r="G1160" s="15">
        <v>1</v>
      </c>
      <c r="H1160" s="38">
        <f>합산자재!H262</f>
        <v>0</v>
      </c>
      <c r="I1160" s="57">
        <f t="shared" si="189"/>
        <v>0</v>
      </c>
      <c r="J1160" s="38">
        <v>1</v>
      </c>
      <c r="K1160" s="38">
        <f>합산자재!I262</f>
        <v>0</v>
      </c>
      <c r="L1160" s="57">
        <f t="shared" si="190"/>
        <v>0</v>
      </c>
      <c r="M1160" s="38">
        <f>합산자재!J262</f>
        <v>0</v>
      </c>
      <c r="N1160" s="57">
        <f t="shared" si="191"/>
        <v>0</v>
      </c>
      <c r="O1160" s="38" t="str">
        <f t="shared" si="192"/>
        <v/>
      </c>
      <c r="P1160" s="38">
        <f t="shared" si="193"/>
        <v>0</v>
      </c>
      <c r="Q1160" s="12"/>
    </row>
    <row r="1161" spans="1:17" ht="23.1" customHeight="1" x14ac:dyDescent="0.15">
      <c r="A1161" s="13" t="s">
        <v>3160</v>
      </c>
      <c r="B1161" s="13" t="s">
        <v>3154</v>
      </c>
      <c r="C1161" s="13" t="s">
        <v>3161</v>
      </c>
      <c r="D1161" s="12" t="s">
        <v>3162</v>
      </c>
      <c r="E1161" s="12"/>
      <c r="F1161" s="31"/>
      <c r="G1161" s="15"/>
      <c r="H1161" s="38"/>
      <c r="I1161" s="57">
        <f t="shared" si="189"/>
        <v>0</v>
      </c>
      <c r="J1161" s="38"/>
      <c r="K1161" s="38"/>
      <c r="L1161" s="57">
        <f t="shared" si="190"/>
        <v>0</v>
      </c>
      <c r="M1161" s="38"/>
      <c r="N1161" s="57">
        <f t="shared" si="191"/>
        <v>0</v>
      </c>
      <c r="O1161" s="38" t="str">
        <f t="shared" si="192"/>
        <v/>
      </c>
      <c r="P1161" s="38">
        <f t="shared" si="193"/>
        <v>0</v>
      </c>
      <c r="Q1161" s="12"/>
    </row>
    <row r="1162" spans="1:17" ht="23.1" customHeight="1" x14ac:dyDescent="0.15">
      <c r="A1162" s="13" t="s">
        <v>1287</v>
      </c>
      <c r="B1162" s="13" t="s">
        <v>3154</v>
      </c>
      <c r="C1162" s="13" t="s">
        <v>706</v>
      </c>
      <c r="D1162" s="12" t="s">
        <v>818</v>
      </c>
      <c r="E1162" s="12" t="s">
        <v>819</v>
      </c>
      <c r="F1162" s="31" t="s">
        <v>289</v>
      </c>
      <c r="G1162" s="15">
        <v>1</v>
      </c>
      <c r="H1162" s="38">
        <f>합산자재!H263</f>
        <v>0</v>
      </c>
      <c r="I1162" s="57">
        <f t="shared" si="189"/>
        <v>0</v>
      </c>
      <c r="J1162" s="38">
        <v>1</v>
      </c>
      <c r="K1162" s="38">
        <f>합산자재!I263</f>
        <v>0</v>
      </c>
      <c r="L1162" s="57">
        <f t="shared" si="190"/>
        <v>0</v>
      </c>
      <c r="M1162" s="38">
        <f>합산자재!J263</f>
        <v>0</v>
      </c>
      <c r="N1162" s="57">
        <f t="shared" si="191"/>
        <v>0</v>
      </c>
      <c r="O1162" s="38" t="str">
        <f t="shared" si="192"/>
        <v/>
      </c>
      <c r="P1162" s="38">
        <f t="shared" si="193"/>
        <v>0</v>
      </c>
      <c r="Q1162" s="12"/>
    </row>
    <row r="1163" spans="1:17" ht="23.1" customHeight="1" x14ac:dyDescent="0.15">
      <c r="A1163" s="13" t="s">
        <v>1288</v>
      </c>
      <c r="B1163" s="13" t="s">
        <v>3154</v>
      </c>
      <c r="C1163" s="13" t="s">
        <v>706</v>
      </c>
      <c r="D1163" s="12" t="s">
        <v>820</v>
      </c>
      <c r="E1163" s="12" t="s">
        <v>821</v>
      </c>
      <c r="F1163" s="31" t="s">
        <v>289</v>
      </c>
      <c r="G1163" s="15">
        <v>2</v>
      </c>
      <c r="H1163" s="38">
        <f>합산자재!H264</f>
        <v>0</v>
      </c>
      <c r="I1163" s="57">
        <f t="shared" si="189"/>
        <v>0</v>
      </c>
      <c r="J1163" s="38">
        <v>1</v>
      </c>
      <c r="K1163" s="38">
        <f>합산자재!I264</f>
        <v>0</v>
      </c>
      <c r="L1163" s="57">
        <f t="shared" si="190"/>
        <v>0</v>
      </c>
      <c r="M1163" s="38">
        <f>합산자재!J264</f>
        <v>0</v>
      </c>
      <c r="N1163" s="57">
        <f t="shared" si="191"/>
        <v>0</v>
      </c>
      <c r="O1163" s="38" t="str">
        <f t="shared" si="192"/>
        <v/>
      </c>
      <c r="P1163" s="38">
        <f t="shared" si="193"/>
        <v>0</v>
      </c>
      <c r="Q1163" s="12"/>
    </row>
    <row r="1164" spans="1:17" ht="23.1" customHeight="1" x14ac:dyDescent="0.15">
      <c r="A1164" s="13" t="s">
        <v>1289</v>
      </c>
      <c r="B1164" s="13" t="s">
        <v>3154</v>
      </c>
      <c r="C1164" s="13" t="s">
        <v>706</v>
      </c>
      <c r="D1164" s="12" t="s">
        <v>822</v>
      </c>
      <c r="E1164" s="12" t="s">
        <v>823</v>
      </c>
      <c r="F1164" s="31" t="s">
        <v>792</v>
      </c>
      <c r="G1164" s="15">
        <v>1</v>
      </c>
      <c r="H1164" s="38">
        <f>합산자재!H265</f>
        <v>0</v>
      </c>
      <c r="I1164" s="57">
        <f t="shared" si="189"/>
        <v>0</v>
      </c>
      <c r="J1164" s="38">
        <v>1</v>
      </c>
      <c r="K1164" s="38">
        <f>합산자재!I265</f>
        <v>0</v>
      </c>
      <c r="L1164" s="57">
        <f t="shared" si="190"/>
        <v>0</v>
      </c>
      <c r="M1164" s="38">
        <f>합산자재!J265</f>
        <v>0</v>
      </c>
      <c r="N1164" s="57">
        <f t="shared" si="191"/>
        <v>0</v>
      </c>
      <c r="O1164" s="38" t="str">
        <f t="shared" si="192"/>
        <v/>
      </c>
      <c r="P1164" s="38">
        <f t="shared" si="193"/>
        <v>0</v>
      </c>
      <c r="Q1164" s="12"/>
    </row>
    <row r="1165" spans="1:17" ht="23.1" customHeight="1" x14ac:dyDescent="0.15">
      <c r="A1165" s="13" t="s">
        <v>3163</v>
      </c>
      <c r="B1165" s="13" t="s">
        <v>3154</v>
      </c>
      <c r="C1165" s="13" t="s">
        <v>3164</v>
      </c>
      <c r="D1165" s="12" t="s">
        <v>3165</v>
      </c>
      <c r="E1165" s="12"/>
      <c r="F1165" s="31"/>
      <c r="G1165" s="15"/>
      <c r="H1165" s="38"/>
      <c r="I1165" s="57">
        <f t="shared" si="189"/>
        <v>0</v>
      </c>
      <c r="J1165" s="38"/>
      <c r="K1165" s="38"/>
      <c r="L1165" s="57">
        <f t="shared" si="190"/>
        <v>0</v>
      </c>
      <c r="M1165" s="38"/>
      <c r="N1165" s="57">
        <f t="shared" si="191"/>
        <v>0</v>
      </c>
      <c r="O1165" s="38" t="str">
        <f t="shared" si="192"/>
        <v/>
      </c>
      <c r="P1165" s="38">
        <f t="shared" si="193"/>
        <v>0</v>
      </c>
      <c r="Q1165" s="12"/>
    </row>
    <row r="1166" spans="1:17" ht="23.1" customHeight="1" x14ac:dyDescent="0.15">
      <c r="A1166" s="13" t="s">
        <v>1290</v>
      </c>
      <c r="B1166" s="13" t="s">
        <v>3154</v>
      </c>
      <c r="C1166" s="13" t="s">
        <v>706</v>
      </c>
      <c r="D1166" s="12" t="s">
        <v>824</v>
      </c>
      <c r="E1166" s="12" t="s">
        <v>825</v>
      </c>
      <c r="F1166" s="31" t="s">
        <v>826</v>
      </c>
      <c r="G1166" s="15">
        <v>330</v>
      </c>
      <c r="H1166" s="38">
        <f>합산자재!H266</f>
        <v>0</v>
      </c>
      <c r="I1166" s="57">
        <f t="shared" si="189"/>
        <v>0</v>
      </c>
      <c r="J1166" s="38">
        <v>1</v>
      </c>
      <c r="K1166" s="38">
        <f>합산자재!I266</f>
        <v>0</v>
      </c>
      <c r="L1166" s="57">
        <f t="shared" si="190"/>
        <v>0</v>
      </c>
      <c r="M1166" s="38">
        <f>합산자재!J266</f>
        <v>0</v>
      </c>
      <c r="N1166" s="57">
        <f t="shared" si="191"/>
        <v>0</v>
      </c>
      <c r="O1166" s="38" t="str">
        <f t="shared" si="192"/>
        <v/>
      </c>
      <c r="P1166" s="38">
        <f t="shared" si="193"/>
        <v>0</v>
      </c>
      <c r="Q1166" s="12"/>
    </row>
    <row r="1167" spans="1:17" ht="23.1" customHeight="1" x14ac:dyDescent="0.15">
      <c r="A1167" s="13" t="s">
        <v>1291</v>
      </c>
      <c r="B1167" s="13" t="s">
        <v>3154</v>
      </c>
      <c r="C1167" s="13" t="s">
        <v>706</v>
      </c>
      <c r="D1167" s="12" t="s">
        <v>824</v>
      </c>
      <c r="E1167" s="12" t="s">
        <v>827</v>
      </c>
      <c r="F1167" s="31" t="s">
        <v>828</v>
      </c>
      <c r="G1167" s="15">
        <v>1</v>
      </c>
      <c r="H1167" s="38">
        <f>합산자재!H267</f>
        <v>0</v>
      </c>
      <c r="I1167" s="57">
        <f t="shared" si="189"/>
        <v>0</v>
      </c>
      <c r="J1167" s="38">
        <v>1</v>
      </c>
      <c r="K1167" s="38">
        <f>합산자재!I267</f>
        <v>0</v>
      </c>
      <c r="L1167" s="57">
        <f t="shared" si="190"/>
        <v>0</v>
      </c>
      <c r="M1167" s="38">
        <f>합산자재!J267</f>
        <v>0</v>
      </c>
      <c r="N1167" s="57">
        <f t="shared" si="191"/>
        <v>0</v>
      </c>
      <c r="O1167" s="38" t="str">
        <f t="shared" si="192"/>
        <v/>
      </c>
      <c r="P1167" s="38">
        <f t="shared" si="193"/>
        <v>0</v>
      </c>
      <c r="Q1167" s="12"/>
    </row>
    <row r="1168" spans="1:17" ht="23.1" customHeight="1" x14ac:dyDescent="0.15">
      <c r="A1168" s="13" t="s">
        <v>1292</v>
      </c>
      <c r="B1168" s="13" t="s">
        <v>3154</v>
      </c>
      <c r="C1168" s="13" t="s">
        <v>706</v>
      </c>
      <c r="D1168" s="12" t="s">
        <v>824</v>
      </c>
      <c r="E1168" s="12" t="s">
        <v>829</v>
      </c>
      <c r="F1168" s="31" t="s">
        <v>826</v>
      </c>
      <c r="G1168" s="15">
        <v>330</v>
      </c>
      <c r="H1168" s="38">
        <f>합산자재!H268</f>
        <v>0</v>
      </c>
      <c r="I1168" s="57">
        <f t="shared" si="189"/>
        <v>0</v>
      </c>
      <c r="J1168" s="38">
        <v>1</v>
      </c>
      <c r="K1168" s="38">
        <f>합산자재!I268</f>
        <v>0</v>
      </c>
      <c r="L1168" s="57">
        <f t="shared" si="190"/>
        <v>0</v>
      </c>
      <c r="M1168" s="38">
        <f>합산자재!J268</f>
        <v>0</v>
      </c>
      <c r="N1168" s="57">
        <f t="shared" si="191"/>
        <v>0</v>
      </c>
      <c r="O1168" s="38" t="str">
        <f t="shared" si="192"/>
        <v/>
      </c>
      <c r="P1168" s="38">
        <f t="shared" si="193"/>
        <v>0</v>
      </c>
      <c r="Q1168" s="12"/>
    </row>
    <row r="1169" spans="1:31" ht="23.1" customHeight="1" x14ac:dyDescent="0.15">
      <c r="A1169" s="13" t="s">
        <v>1368</v>
      </c>
      <c r="B1169" s="13" t="s">
        <v>3154</v>
      </c>
      <c r="C1169" s="13" t="s">
        <v>990</v>
      </c>
      <c r="D1169" s="12" t="s">
        <v>991</v>
      </c>
      <c r="E1169" s="12"/>
      <c r="F1169" s="31" t="s">
        <v>792</v>
      </c>
      <c r="G1169" s="15">
        <v>1</v>
      </c>
      <c r="H1169" s="38">
        <f>합산자재!H341</f>
        <v>0</v>
      </c>
      <c r="I1169" s="57">
        <f t="shared" si="189"/>
        <v>0</v>
      </c>
      <c r="J1169" s="38">
        <v>1</v>
      </c>
      <c r="K1169" s="38">
        <f>합산자재!I341</f>
        <v>0</v>
      </c>
      <c r="L1169" s="57">
        <f>TRUNC(J1169*K1169)</f>
        <v>0</v>
      </c>
      <c r="M1169" s="38">
        <f>합산자재!J341</f>
        <v>3070332</v>
      </c>
      <c r="N1169" s="57">
        <f t="shared" si="191"/>
        <v>3070332</v>
      </c>
      <c r="O1169" s="38">
        <f t="shared" si="192"/>
        <v>3070332</v>
      </c>
      <c r="P1169" s="38">
        <f t="shared" si="193"/>
        <v>3070332</v>
      </c>
      <c r="Q1169" s="12"/>
    </row>
    <row r="1170" spans="1:31" ht="23.1" customHeight="1" x14ac:dyDescent="0.15">
      <c r="A1170" s="13" t="s">
        <v>1305</v>
      </c>
      <c r="B1170" s="13" t="s">
        <v>3154</v>
      </c>
      <c r="C1170" s="13" t="s">
        <v>854</v>
      </c>
      <c r="D1170" s="12" t="s">
        <v>855</v>
      </c>
      <c r="E1170" s="12" t="s">
        <v>856</v>
      </c>
      <c r="F1170" s="31" t="s">
        <v>792</v>
      </c>
      <c r="G1170" s="15">
        <v>1</v>
      </c>
      <c r="H1170" s="38">
        <f>합산자재!H281</f>
        <v>6616363</v>
      </c>
      <c r="I1170" s="57">
        <f t="shared" si="189"/>
        <v>6616363</v>
      </c>
      <c r="J1170" s="38">
        <v>1</v>
      </c>
      <c r="K1170" s="38">
        <f>합산자재!I281</f>
        <v>0</v>
      </c>
      <c r="L1170" s="57">
        <f>TRUNC(G1170*K1170)</f>
        <v>0</v>
      </c>
      <c r="M1170" s="38">
        <f>합산자재!J281</f>
        <v>0</v>
      </c>
      <c r="N1170" s="57">
        <f t="shared" si="191"/>
        <v>0</v>
      </c>
      <c r="O1170" s="38">
        <f t="shared" si="192"/>
        <v>6616363</v>
      </c>
      <c r="P1170" s="38">
        <f t="shared" si="193"/>
        <v>6616363</v>
      </c>
      <c r="Q1170" s="12"/>
    </row>
    <row r="1171" spans="1:31" ht="23.1" customHeight="1" x14ac:dyDescent="0.15">
      <c r="A1171" s="13" t="s">
        <v>1340</v>
      </c>
      <c r="B1171" s="13" t="s">
        <v>3154</v>
      </c>
      <c r="C1171" s="13" t="s">
        <v>928</v>
      </c>
      <c r="D1171" s="12" t="s">
        <v>929</v>
      </c>
      <c r="E1171" s="12" t="s">
        <v>919</v>
      </c>
      <c r="F1171" s="31" t="s">
        <v>792</v>
      </c>
      <c r="G1171" s="15">
        <v>1</v>
      </c>
      <c r="H1171" s="38">
        <f>합산자재!H316</f>
        <v>393012</v>
      </c>
      <c r="I1171" s="57">
        <f t="shared" si="189"/>
        <v>393012</v>
      </c>
      <c r="J1171" s="38">
        <v>1</v>
      </c>
      <c r="K1171" s="38">
        <f>합산자재!I316</f>
        <v>0</v>
      </c>
      <c r="L1171" s="57">
        <f>TRUNC(G1171*K1171)</f>
        <v>0</v>
      </c>
      <c r="M1171" s="38">
        <f>합산자재!J316</f>
        <v>0</v>
      </c>
      <c r="N1171" s="57">
        <f t="shared" si="191"/>
        <v>0</v>
      </c>
      <c r="O1171" s="38">
        <f t="shared" si="192"/>
        <v>393012</v>
      </c>
      <c r="P1171" s="38">
        <f t="shared" si="193"/>
        <v>393012</v>
      </c>
      <c r="Q1171" s="12"/>
    </row>
    <row r="1172" spans="1:31" ht="23.1" customHeight="1" x14ac:dyDescent="0.15">
      <c r="D1172" s="12"/>
      <c r="E1172" s="12"/>
      <c r="F1172" s="31"/>
      <c r="G1172" s="15"/>
      <c r="H1172" s="38"/>
      <c r="I1172" s="57"/>
      <c r="J1172" s="38"/>
      <c r="K1172" s="38"/>
      <c r="L1172" s="57"/>
      <c r="M1172" s="38"/>
      <c r="N1172" s="57"/>
      <c r="O1172" s="38"/>
      <c r="P1172" s="38"/>
      <c r="Q1172" s="12"/>
      <c r="AE1172" s="35">
        <f>TRUNC(SUM(AE1148:AE1171))</f>
        <v>0</v>
      </c>
    </row>
    <row r="1173" spans="1:31" ht="23.1" customHeight="1" x14ac:dyDescent="0.15">
      <c r="B1173" s="13" t="s">
        <v>2360</v>
      </c>
      <c r="D1173" s="12" t="s">
        <v>2361</v>
      </c>
      <c r="E1173" s="12"/>
      <c r="F1173" s="31"/>
      <c r="G1173" s="15"/>
      <c r="H1173" s="38"/>
      <c r="I1173" s="57">
        <f>TRUNC(SUM(I1148:I1172))</f>
        <v>70102680</v>
      </c>
      <c r="J1173" s="38"/>
      <c r="K1173" s="38"/>
      <c r="L1173" s="57">
        <f>TRUNC(SUM(L1148:L1172))</f>
        <v>0</v>
      </c>
      <c r="M1173" s="38"/>
      <c r="N1173" s="57">
        <f>TRUNC(SUM(N1148:N1172))</f>
        <v>3070332</v>
      </c>
      <c r="O1173" s="38" t="str">
        <f>IF((H1173+K1173+M1173)=0, "", (H1173+K1173+M1173))</f>
        <v/>
      </c>
      <c r="P1173" s="38">
        <f>TRUNC(SUM(P1148:P1172))</f>
        <v>73173012</v>
      </c>
      <c r="Q1173" s="12"/>
    </row>
  </sheetData>
  <mergeCells count="45">
    <mergeCell ref="D1148:Q1148"/>
    <mergeCell ref="D992:Q992"/>
    <mergeCell ref="D1018:Q1018"/>
    <mergeCell ref="D1070:Q1070"/>
    <mergeCell ref="D1096:Q1096"/>
    <mergeCell ref="D1122:Q1122"/>
    <mergeCell ref="D836:Q836"/>
    <mergeCell ref="D888:Q888"/>
    <mergeCell ref="D914:Q914"/>
    <mergeCell ref="D940:Q940"/>
    <mergeCell ref="D966:Q966"/>
    <mergeCell ref="D602:Q602"/>
    <mergeCell ref="D628:Q628"/>
    <mergeCell ref="D654:Q654"/>
    <mergeCell ref="D706:Q706"/>
    <mergeCell ref="D758:Q758"/>
    <mergeCell ref="D420:Q420"/>
    <mergeCell ref="D446:Q446"/>
    <mergeCell ref="D498:Q498"/>
    <mergeCell ref="D550:Q550"/>
    <mergeCell ref="D576:Q576"/>
    <mergeCell ref="D290:Q290"/>
    <mergeCell ref="D316:Q316"/>
    <mergeCell ref="D342:Q342"/>
    <mergeCell ref="D368:Q368"/>
    <mergeCell ref="D394:Q394"/>
    <mergeCell ref="D4:Q4"/>
    <mergeCell ref="D56:Q56"/>
    <mergeCell ref="D108:Q108"/>
    <mergeCell ref="D160:Q160"/>
    <mergeCell ref="D212:Q212"/>
    <mergeCell ref="A2:A3"/>
    <mergeCell ref="B2:B3"/>
    <mergeCell ref="C2:C3"/>
    <mergeCell ref="W1:Y1"/>
    <mergeCell ref="D1:N1"/>
    <mergeCell ref="E2:E3"/>
    <mergeCell ref="D2:D3"/>
    <mergeCell ref="J2:L2"/>
    <mergeCell ref="M2:N2"/>
    <mergeCell ref="G2:G3"/>
    <mergeCell ref="H2:I2"/>
    <mergeCell ref="P2:P3"/>
    <mergeCell ref="F2:F3"/>
    <mergeCell ref="Q2:Q3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7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3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" sqref="C2:C3"/>
    </sheetView>
  </sheetViews>
  <sheetFormatPr defaultRowHeight="23.1" customHeight="1" x14ac:dyDescent="0.15"/>
  <cols>
    <col min="1" max="1" width="9.109375" style="13" hidden="1" customWidth="1"/>
    <col min="2" max="2" width="9.88671875" style="13" hidden="1" customWidth="1"/>
    <col min="3" max="3" width="12.77734375" style="51" customWidth="1"/>
    <col min="4" max="4" width="23.109375" style="51" customWidth="1"/>
    <col min="5" max="5" width="23.77734375" style="51" customWidth="1"/>
    <col min="6" max="6" width="4.6640625" customWidth="1"/>
    <col min="7" max="7" width="6.44140625" hidden="1" customWidth="1"/>
    <col min="8" max="9" width="11.21875" style="39" customWidth="1"/>
    <col min="10" max="10" width="5" style="39" hidden="1" customWidth="1"/>
    <col min="11" max="13" width="11.21875" style="39" customWidth="1"/>
    <col min="14" max="14" width="11.109375" style="39" customWidth="1"/>
    <col min="15" max="15" width="9.77734375" style="39" hidden="1" customWidth="1"/>
    <col min="16" max="16" width="11.21875" style="39" customWidth="1"/>
    <col min="17" max="17" width="12.21875" customWidth="1"/>
  </cols>
  <sheetData>
    <row r="1" spans="1:17" s="2" customFormat="1" ht="23.1" customHeight="1" x14ac:dyDescent="0.15">
      <c r="A1" s="13"/>
      <c r="B1" s="13" t="s">
        <v>2358</v>
      </c>
      <c r="C1" s="174" t="s">
        <v>3261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35"/>
      <c r="P1" s="35"/>
      <c r="Q1" s="13"/>
    </row>
    <row r="2" spans="1:17" s="14" customFormat="1" ht="23.1" customHeight="1" x14ac:dyDescent="0.15">
      <c r="A2" s="167" t="s">
        <v>50</v>
      </c>
      <c r="B2" s="167" t="s">
        <v>34</v>
      </c>
      <c r="C2" s="168" t="s">
        <v>22</v>
      </c>
      <c r="D2" s="168" t="s">
        <v>57</v>
      </c>
      <c r="E2" s="168" t="s">
        <v>58</v>
      </c>
      <c r="F2" s="169" t="s">
        <v>0</v>
      </c>
      <c r="G2" s="176" t="s">
        <v>1</v>
      </c>
      <c r="H2" s="164" t="s">
        <v>29</v>
      </c>
      <c r="I2" s="164"/>
      <c r="J2" s="164" t="s">
        <v>30</v>
      </c>
      <c r="K2" s="164"/>
      <c r="L2" s="164"/>
      <c r="M2" s="164" t="s">
        <v>31</v>
      </c>
      <c r="N2" s="164"/>
      <c r="O2" s="55" t="s">
        <v>12</v>
      </c>
      <c r="P2" s="164" t="s">
        <v>41</v>
      </c>
      <c r="Q2" s="168" t="s">
        <v>33</v>
      </c>
    </row>
    <row r="3" spans="1:17" s="14" customFormat="1" ht="23.1" customHeight="1" x14ac:dyDescent="0.15">
      <c r="A3" s="167"/>
      <c r="B3" s="167"/>
      <c r="C3" s="168"/>
      <c r="D3" s="168"/>
      <c r="E3" s="168"/>
      <c r="F3" s="169"/>
      <c r="G3" s="176"/>
      <c r="H3" s="55" t="s">
        <v>36</v>
      </c>
      <c r="I3" s="55" t="s">
        <v>37</v>
      </c>
      <c r="J3" s="55" t="s">
        <v>1</v>
      </c>
      <c r="K3" s="55" t="s">
        <v>36</v>
      </c>
      <c r="L3" s="55" t="s">
        <v>37</v>
      </c>
      <c r="M3" s="55" t="s">
        <v>38</v>
      </c>
      <c r="N3" s="55" t="s">
        <v>37</v>
      </c>
      <c r="O3" s="55" t="s">
        <v>26</v>
      </c>
      <c r="P3" s="164"/>
      <c r="Q3" s="168"/>
    </row>
    <row r="4" spans="1:17" s="2" customFormat="1" ht="23.1" customHeight="1" x14ac:dyDescent="0.15">
      <c r="A4" s="13" t="s">
        <v>1662</v>
      </c>
      <c r="B4" s="13" t="s">
        <v>1663</v>
      </c>
      <c r="C4" s="3" t="s">
        <v>1664</v>
      </c>
      <c r="D4" s="12" t="s">
        <v>1665</v>
      </c>
      <c r="E4" s="12" t="s">
        <v>1666</v>
      </c>
      <c r="F4" s="31" t="s">
        <v>980</v>
      </c>
      <c r="G4" s="6"/>
      <c r="H4" s="38">
        <f>일위대가!I7</f>
        <v>341</v>
      </c>
      <c r="I4" s="38">
        <f t="shared" ref="I4:I67" si="0">H4</f>
        <v>341</v>
      </c>
      <c r="J4" s="38"/>
      <c r="K4" s="38">
        <f>일위대가!L7</f>
        <v>7929</v>
      </c>
      <c r="L4" s="38">
        <f t="shared" ref="L4:L67" si="1">K4</f>
        <v>7929</v>
      </c>
      <c r="M4" s="38">
        <f>일위대가!N7</f>
        <v>418</v>
      </c>
      <c r="N4" s="38">
        <f t="shared" ref="N4:N67" si="2">M4</f>
        <v>418</v>
      </c>
      <c r="O4" s="38">
        <f t="shared" ref="O4:O67" si="3">IF((H4+K4+M4)=0, "", (H4+K4+M4))</f>
        <v>8688</v>
      </c>
      <c r="P4" s="38">
        <f t="shared" ref="P4:P67" si="4">SUM(I4,L4,N4)</f>
        <v>8688</v>
      </c>
      <c r="Q4" s="12" t="s">
        <v>40</v>
      </c>
    </row>
    <row r="5" spans="1:17" s="2" customFormat="1" ht="23.1" customHeight="1" x14ac:dyDescent="0.15">
      <c r="A5" s="13" t="s">
        <v>1667</v>
      </c>
      <c r="B5" s="13" t="s">
        <v>1668</v>
      </c>
      <c r="C5" s="3" t="s">
        <v>1669</v>
      </c>
      <c r="D5" s="12" t="s">
        <v>1670</v>
      </c>
      <c r="E5" s="12" t="s">
        <v>1666</v>
      </c>
      <c r="F5" s="31" t="s">
        <v>980</v>
      </c>
      <c r="G5" s="6"/>
      <c r="H5" s="38">
        <f>일위대가!I12</f>
        <v>341</v>
      </c>
      <c r="I5" s="38">
        <f t="shared" si="0"/>
        <v>341</v>
      </c>
      <c r="J5" s="38"/>
      <c r="K5" s="38">
        <f>일위대가!L12</f>
        <v>4488</v>
      </c>
      <c r="L5" s="38">
        <f t="shared" si="1"/>
        <v>4488</v>
      </c>
      <c r="M5" s="38">
        <f>일위대가!N12</f>
        <v>418</v>
      </c>
      <c r="N5" s="38">
        <f t="shared" si="2"/>
        <v>418</v>
      </c>
      <c r="O5" s="38">
        <f t="shared" si="3"/>
        <v>5247</v>
      </c>
      <c r="P5" s="38">
        <f t="shared" si="4"/>
        <v>5247</v>
      </c>
      <c r="Q5" s="12" t="s">
        <v>2</v>
      </c>
    </row>
    <row r="6" spans="1:17" s="2" customFormat="1" ht="23.1" customHeight="1" x14ac:dyDescent="0.15">
      <c r="A6" s="13" t="s">
        <v>1671</v>
      </c>
      <c r="B6" s="13" t="s">
        <v>1672</v>
      </c>
      <c r="C6" s="3" t="s">
        <v>1673</v>
      </c>
      <c r="D6" s="12" t="s">
        <v>1674</v>
      </c>
      <c r="E6" s="12" t="s">
        <v>1675</v>
      </c>
      <c r="F6" s="31" t="s">
        <v>792</v>
      </c>
      <c r="G6" s="6"/>
      <c r="H6" s="38">
        <f>일위대가!I22</f>
        <v>19534</v>
      </c>
      <c r="I6" s="38">
        <f t="shared" si="0"/>
        <v>19534</v>
      </c>
      <c r="J6" s="38"/>
      <c r="K6" s="38">
        <f>일위대가!L22</f>
        <v>9852</v>
      </c>
      <c r="L6" s="38">
        <f t="shared" si="1"/>
        <v>9852</v>
      </c>
      <c r="M6" s="38">
        <f>일위대가!N22</f>
        <v>0</v>
      </c>
      <c r="N6" s="38">
        <f t="shared" si="2"/>
        <v>0</v>
      </c>
      <c r="O6" s="38">
        <f t="shared" si="3"/>
        <v>29386</v>
      </c>
      <c r="P6" s="38">
        <f t="shared" si="4"/>
        <v>29386</v>
      </c>
      <c r="Q6" s="12"/>
    </row>
    <row r="7" spans="1:17" s="2" customFormat="1" ht="23.1" customHeight="1" x14ac:dyDescent="0.15">
      <c r="A7" s="13" t="s">
        <v>1676</v>
      </c>
      <c r="B7" s="13" t="s">
        <v>1677</v>
      </c>
      <c r="C7" s="3" t="s">
        <v>1678</v>
      </c>
      <c r="D7" s="12" t="s">
        <v>1674</v>
      </c>
      <c r="E7" s="12" t="s">
        <v>1679</v>
      </c>
      <c r="F7" s="31" t="s">
        <v>792</v>
      </c>
      <c r="G7" s="6"/>
      <c r="H7" s="38">
        <f>일위대가!I32</f>
        <v>19539</v>
      </c>
      <c r="I7" s="38">
        <f t="shared" si="0"/>
        <v>19539</v>
      </c>
      <c r="J7" s="38"/>
      <c r="K7" s="38">
        <f>일위대가!L32</f>
        <v>9852</v>
      </c>
      <c r="L7" s="38">
        <f t="shared" si="1"/>
        <v>9852</v>
      </c>
      <c r="M7" s="38">
        <f>일위대가!N32</f>
        <v>0</v>
      </c>
      <c r="N7" s="38">
        <f t="shared" si="2"/>
        <v>0</v>
      </c>
      <c r="O7" s="38">
        <f t="shared" si="3"/>
        <v>29391</v>
      </c>
      <c r="P7" s="38">
        <f t="shared" si="4"/>
        <v>29391</v>
      </c>
      <c r="Q7" s="12"/>
    </row>
    <row r="8" spans="1:17" s="2" customFormat="1" ht="23.1" customHeight="1" x14ac:dyDescent="0.15">
      <c r="A8" s="13" t="s">
        <v>1680</v>
      </c>
      <c r="B8" s="13" t="s">
        <v>1681</v>
      </c>
      <c r="C8" s="3" t="s">
        <v>1682</v>
      </c>
      <c r="D8" s="12" t="s">
        <v>1674</v>
      </c>
      <c r="E8" s="12" t="s">
        <v>1683</v>
      </c>
      <c r="F8" s="31" t="s">
        <v>792</v>
      </c>
      <c r="G8" s="6"/>
      <c r="H8" s="38">
        <f>일위대가!I42</f>
        <v>19561</v>
      </c>
      <c r="I8" s="38">
        <f t="shared" si="0"/>
        <v>19561</v>
      </c>
      <c r="J8" s="38"/>
      <c r="K8" s="38">
        <f>일위대가!L42</f>
        <v>9852</v>
      </c>
      <c r="L8" s="38">
        <f t="shared" si="1"/>
        <v>9852</v>
      </c>
      <c r="M8" s="38">
        <f>일위대가!N42</f>
        <v>0</v>
      </c>
      <c r="N8" s="38">
        <f t="shared" si="2"/>
        <v>0</v>
      </c>
      <c r="O8" s="38">
        <f t="shared" si="3"/>
        <v>29413</v>
      </c>
      <c r="P8" s="38">
        <f t="shared" si="4"/>
        <v>29413</v>
      </c>
      <c r="Q8" s="12"/>
    </row>
    <row r="9" spans="1:17" s="2" customFormat="1" ht="23.1" customHeight="1" x14ac:dyDescent="0.15">
      <c r="A9" s="13" t="s">
        <v>1684</v>
      </c>
      <c r="B9" s="13" t="s">
        <v>1685</v>
      </c>
      <c r="C9" s="3" t="s">
        <v>1686</v>
      </c>
      <c r="D9" s="12" t="s">
        <v>1674</v>
      </c>
      <c r="E9" s="12" t="s">
        <v>1687</v>
      </c>
      <c r="F9" s="31" t="s">
        <v>792</v>
      </c>
      <c r="G9" s="6"/>
      <c r="H9" s="38">
        <f>일위대가!I52</f>
        <v>19585</v>
      </c>
      <c r="I9" s="38">
        <f t="shared" si="0"/>
        <v>19585</v>
      </c>
      <c r="J9" s="38"/>
      <c r="K9" s="38">
        <f>일위대가!L52</f>
        <v>9852</v>
      </c>
      <c r="L9" s="38">
        <f t="shared" si="1"/>
        <v>9852</v>
      </c>
      <c r="M9" s="38">
        <f>일위대가!N52</f>
        <v>0</v>
      </c>
      <c r="N9" s="38">
        <f t="shared" si="2"/>
        <v>0</v>
      </c>
      <c r="O9" s="38">
        <f t="shared" si="3"/>
        <v>29437</v>
      </c>
      <c r="P9" s="38">
        <f t="shared" si="4"/>
        <v>29437</v>
      </c>
      <c r="Q9" s="12"/>
    </row>
    <row r="10" spans="1:17" s="2" customFormat="1" ht="23.1" customHeight="1" x14ac:dyDescent="0.15">
      <c r="A10" s="13" t="s">
        <v>1688</v>
      </c>
      <c r="B10" s="13" t="s">
        <v>1689</v>
      </c>
      <c r="C10" s="3" t="s">
        <v>1690</v>
      </c>
      <c r="D10" s="12" t="s">
        <v>1674</v>
      </c>
      <c r="E10" s="12" t="s">
        <v>1691</v>
      </c>
      <c r="F10" s="31" t="s">
        <v>792</v>
      </c>
      <c r="G10" s="6"/>
      <c r="H10" s="38">
        <f>일위대가!I62</f>
        <v>19622</v>
      </c>
      <c r="I10" s="38">
        <f t="shared" si="0"/>
        <v>19622</v>
      </c>
      <c r="J10" s="38"/>
      <c r="K10" s="38">
        <f>일위대가!L62</f>
        <v>9852</v>
      </c>
      <c r="L10" s="38">
        <f t="shared" si="1"/>
        <v>9852</v>
      </c>
      <c r="M10" s="38">
        <f>일위대가!N62</f>
        <v>0</v>
      </c>
      <c r="N10" s="38">
        <f t="shared" si="2"/>
        <v>0</v>
      </c>
      <c r="O10" s="38">
        <f t="shared" si="3"/>
        <v>29474</v>
      </c>
      <c r="P10" s="38">
        <f t="shared" si="4"/>
        <v>29474</v>
      </c>
      <c r="Q10" s="12"/>
    </row>
    <row r="11" spans="1:17" s="2" customFormat="1" ht="23.1" customHeight="1" x14ac:dyDescent="0.15">
      <c r="A11" s="13" t="s">
        <v>1692</v>
      </c>
      <c r="B11" s="13" t="s">
        <v>1693</v>
      </c>
      <c r="C11" s="3" t="s">
        <v>1694</v>
      </c>
      <c r="D11" s="12" t="s">
        <v>1674</v>
      </c>
      <c r="E11" s="12" t="s">
        <v>1695</v>
      </c>
      <c r="F11" s="31" t="s">
        <v>792</v>
      </c>
      <c r="G11" s="6"/>
      <c r="H11" s="38">
        <f>일위대가!I72</f>
        <v>19816</v>
      </c>
      <c r="I11" s="38">
        <f t="shared" si="0"/>
        <v>19816</v>
      </c>
      <c r="J11" s="38"/>
      <c r="K11" s="38">
        <f>일위대가!L72</f>
        <v>9852</v>
      </c>
      <c r="L11" s="38">
        <f t="shared" si="1"/>
        <v>9852</v>
      </c>
      <c r="M11" s="38">
        <f>일위대가!N72</f>
        <v>0</v>
      </c>
      <c r="N11" s="38">
        <f t="shared" si="2"/>
        <v>0</v>
      </c>
      <c r="O11" s="38">
        <f t="shared" si="3"/>
        <v>29668</v>
      </c>
      <c r="P11" s="38">
        <f t="shared" si="4"/>
        <v>29668</v>
      </c>
      <c r="Q11" s="12"/>
    </row>
    <row r="12" spans="1:17" s="2" customFormat="1" ht="23.1" customHeight="1" x14ac:dyDescent="0.15">
      <c r="A12" s="13" t="s">
        <v>1696</v>
      </c>
      <c r="B12" s="13" t="s">
        <v>1697</v>
      </c>
      <c r="C12" s="3" t="s">
        <v>1698</v>
      </c>
      <c r="D12" s="12" t="s">
        <v>1674</v>
      </c>
      <c r="E12" s="12" t="s">
        <v>1699</v>
      </c>
      <c r="F12" s="31" t="s">
        <v>792</v>
      </c>
      <c r="G12" s="6"/>
      <c r="H12" s="38">
        <f>일위대가!I82</f>
        <v>19866</v>
      </c>
      <c r="I12" s="38">
        <f t="shared" si="0"/>
        <v>19866</v>
      </c>
      <c r="J12" s="38"/>
      <c r="K12" s="38">
        <f>일위대가!L82</f>
        <v>9852</v>
      </c>
      <c r="L12" s="38">
        <f t="shared" si="1"/>
        <v>9852</v>
      </c>
      <c r="M12" s="38">
        <f>일위대가!N82</f>
        <v>0</v>
      </c>
      <c r="N12" s="38">
        <f t="shared" si="2"/>
        <v>0</v>
      </c>
      <c r="O12" s="38">
        <f t="shared" si="3"/>
        <v>29718</v>
      </c>
      <c r="P12" s="38">
        <f t="shared" si="4"/>
        <v>29718</v>
      </c>
      <c r="Q12" s="12"/>
    </row>
    <row r="13" spans="1:17" s="2" customFormat="1" ht="23.1" customHeight="1" x14ac:dyDescent="0.15">
      <c r="A13" s="13" t="s">
        <v>1700</v>
      </c>
      <c r="B13" s="13" t="s">
        <v>1701</v>
      </c>
      <c r="C13" s="3" t="s">
        <v>1702</v>
      </c>
      <c r="D13" s="12" t="s">
        <v>1703</v>
      </c>
      <c r="E13" s="12" t="s">
        <v>1704</v>
      </c>
      <c r="F13" s="31" t="s">
        <v>792</v>
      </c>
      <c r="G13" s="6"/>
      <c r="H13" s="38">
        <f>일위대가!I93</f>
        <v>40646</v>
      </c>
      <c r="I13" s="38">
        <f t="shared" si="0"/>
        <v>40646</v>
      </c>
      <c r="J13" s="38"/>
      <c r="K13" s="38">
        <f>일위대가!L93</f>
        <v>19704</v>
      </c>
      <c r="L13" s="38">
        <f t="shared" si="1"/>
        <v>19704</v>
      </c>
      <c r="M13" s="38">
        <f>일위대가!N93</f>
        <v>0</v>
      </c>
      <c r="N13" s="38">
        <f t="shared" si="2"/>
        <v>0</v>
      </c>
      <c r="O13" s="38">
        <f t="shared" si="3"/>
        <v>60350</v>
      </c>
      <c r="P13" s="38">
        <f t="shared" si="4"/>
        <v>60350</v>
      </c>
      <c r="Q13" s="12"/>
    </row>
    <row r="14" spans="1:17" s="2" customFormat="1" ht="23.1" customHeight="1" x14ac:dyDescent="0.15">
      <c r="A14" s="13" t="s">
        <v>1705</v>
      </c>
      <c r="B14" s="13" t="s">
        <v>1706</v>
      </c>
      <c r="C14" s="3" t="s">
        <v>1707</v>
      </c>
      <c r="D14" s="12" t="s">
        <v>1703</v>
      </c>
      <c r="E14" s="12" t="s">
        <v>1708</v>
      </c>
      <c r="F14" s="31" t="s">
        <v>792</v>
      </c>
      <c r="G14" s="6"/>
      <c r="H14" s="38">
        <f>일위대가!I104</f>
        <v>41036</v>
      </c>
      <c r="I14" s="38">
        <f t="shared" si="0"/>
        <v>41036</v>
      </c>
      <c r="J14" s="38"/>
      <c r="K14" s="38">
        <f>일위대가!L104</f>
        <v>19704</v>
      </c>
      <c r="L14" s="38">
        <f t="shared" si="1"/>
        <v>19704</v>
      </c>
      <c r="M14" s="38">
        <f>일위대가!N104</f>
        <v>0</v>
      </c>
      <c r="N14" s="38">
        <f t="shared" si="2"/>
        <v>0</v>
      </c>
      <c r="O14" s="38">
        <f t="shared" si="3"/>
        <v>60740</v>
      </c>
      <c r="P14" s="38">
        <f t="shared" si="4"/>
        <v>60740</v>
      </c>
      <c r="Q14" s="12"/>
    </row>
    <row r="15" spans="1:17" s="2" customFormat="1" ht="23.1" customHeight="1" x14ac:dyDescent="0.15">
      <c r="A15" s="13" t="s">
        <v>1709</v>
      </c>
      <c r="B15" s="13" t="s">
        <v>1710</v>
      </c>
      <c r="C15" s="3" t="s">
        <v>1711</v>
      </c>
      <c r="D15" s="12" t="s">
        <v>1703</v>
      </c>
      <c r="E15" s="12" t="s">
        <v>1712</v>
      </c>
      <c r="F15" s="31" t="s">
        <v>792</v>
      </c>
      <c r="G15" s="6"/>
      <c r="H15" s="38">
        <f>일위대가!I115</f>
        <v>42986</v>
      </c>
      <c r="I15" s="38">
        <f t="shared" si="0"/>
        <v>42986</v>
      </c>
      <c r="J15" s="38"/>
      <c r="K15" s="38">
        <f>일위대가!L115</f>
        <v>19704</v>
      </c>
      <c r="L15" s="38">
        <f t="shared" si="1"/>
        <v>19704</v>
      </c>
      <c r="M15" s="38">
        <f>일위대가!N115</f>
        <v>0</v>
      </c>
      <c r="N15" s="38">
        <f t="shared" si="2"/>
        <v>0</v>
      </c>
      <c r="O15" s="38">
        <f t="shared" si="3"/>
        <v>62690</v>
      </c>
      <c r="P15" s="38">
        <f t="shared" si="4"/>
        <v>62690</v>
      </c>
      <c r="Q15" s="12"/>
    </row>
    <row r="16" spans="1:17" s="2" customFormat="1" ht="23.1" customHeight="1" x14ac:dyDescent="0.15">
      <c r="A16" s="13" t="s">
        <v>1713</v>
      </c>
      <c r="B16" s="13" t="s">
        <v>1714</v>
      </c>
      <c r="C16" s="3" t="s">
        <v>1715</v>
      </c>
      <c r="D16" s="12" t="s">
        <v>1716</v>
      </c>
      <c r="E16" s="12" t="s">
        <v>1712</v>
      </c>
      <c r="F16" s="31" t="s">
        <v>792</v>
      </c>
      <c r="G16" s="6"/>
      <c r="H16" s="38">
        <f>일위대가!I126</f>
        <v>41332</v>
      </c>
      <c r="I16" s="38">
        <f t="shared" si="0"/>
        <v>41332</v>
      </c>
      <c r="J16" s="38"/>
      <c r="K16" s="38">
        <f>일위대가!L126</f>
        <v>19704</v>
      </c>
      <c r="L16" s="38">
        <f t="shared" si="1"/>
        <v>19704</v>
      </c>
      <c r="M16" s="38">
        <f>일위대가!N126</f>
        <v>0</v>
      </c>
      <c r="N16" s="38">
        <f t="shared" si="2"/>
        <v>0</v>
      </c>
      <c r="O16" s="38">
        <f t="shared" si="3"/>
        <v>61036</v>
      </c>
      <c r="P16" s="38">
        <f t="shared" si="4"/>
        <v>61036</v>
      </c>
      <c r="Q16" s="12"/>
    </row>
    <row r="17" spans="1:17" s="2" customFormat="1" ht="23.1" customHeight="1" x14ac:dyDescent="0.15">
      <c r="A17" s="13" t="s">
        <v>1717</v>
      </c>
      <c r="B17" s="13" t="s">
        <v>1718</v>
      </c>
      <c r="C17" s="3" t="s">
        <v>1719</v>
      </c>
      <c r="D17" s="12" t="s">
        <v>1720</v>
      </c>
      <c r="E17" s="12" t="s">
        <v>1721</v>
      </c>
      <c r="F17" s="31" t="s">
        <v>792</v>
      </c>
      <c r="G17" s="6"/>
      <c r="H17" s="38">
        <f>일위대가!I138</f>
        <v>41309</v>
      </c>
      <c r="I17" s="38">
        <f t="shared" si="0"/>
        <v>41309</v>
      </c>
      <c r="J17" s="38"/>
      <c r="K17" s="38">
        <f>일위대가!L138</f>
        <v>251781</v>
      </c>
      <c r="L17" s="38">
        <f t="shared" si="1"/>
        <v>251781</v>
      </c>
      <c r="M17" s="38">
        <f>일위대가!N138</f>
        <v>0</v>
      </c>
      <c r="N17" s="38">
        <f t="shared" si="2"/>
        <v>0</v>
      </c>
      <c r="O17" s="38">
        <f t="shared" si="3"/>
        <v>293090</v>
      </c>
      <c r="P17" s="38">
        <f t="shared" si="4"/>
        <v>293090</v>
      </c>
      <c r="Q17" s="12"/>
    </row>
    <row r="18" spans="1:17" s="2" customFormat="1" ht="23.1" customHeight="1" x14ac:dyDescent="0.15">
      <c r="A18" s="13" t="s">
        <v>1722</v>
      </c>
      <c r="B18" s="13" t="s">
        <v>1723</v>
      </c>
      <c r="C18" s="3" t="s">
        <v>1724</v>
      </c>
      <c r="D18" s="12" t="s">
        <v>1720</v>
      </c>
      <c r="E18" s="12" t="s">
        <v>1725</v>
      </c>
      <c r="F18" s="31" t="s">
        <v>792</v>
      </c>
      <c r="G18" s="6"/>
      <c r="H18" s="38">
        <f>일위대가!I150</f>
        <v>41357</v>
      </c>
      <c r="I18" s="38">
        <f t="shared" si="0"/>
        <v>41357</v>
      </c>
      <c r="J18" s="38"/>
      <c r="K18" s="38">
        <f>일위대가!L150</f>
        <v>251781</v>
      </c>
      <c r="L18" s="38">
        <f t="shared" si="1"/>
        <v>251781</v>
      </c>
      <c r="M18" s="38">
        <f>일위대가!N150</f>
        <v>0</v>
      </c>
      <c r="N18" s="38">
        <f t="shared" si="2"/>
        <v>0</v>
      </c>
      <c r="O18" s="38">
        <f t="shared" si="3"/>
        <v>293138</v>
      </c>
      <c r="P18" s="38">
        <f t="shared" si="4"/>
        <v>293138</v>
      </c>
      <c r="Q18" s="12"/>
    </row>
    <row r="19" spans="1:17" s="2" customFormat="1" ht="23.1" customHeight="1" x14ac:dyDescent="0.15">
      <c r="A19" s="13" t="s">
        <v>1726</v>
      </c>
      <c r="B19" s="13" t="s">
        <v>1727</v>
      </c>
      <c r="C19" s="3" t="s">
        <v>1728</v>
      </c>
      <c r="D19" s="12" t="s">
        <v>1720</v>
      </c>
      <c r="E19" s="12" t="s">
        <v>1729</v>
      </c>
      <c r="F19" s="31" t="s">
        <v>792</v>
      </c>
      <c r="G19" s="6"/>
      <c r="H19" s="38">
        <f>일위대가!I162</f>
        <v>41395</v>
      </c>
      <c r="I19" s="38">
        <f t="shared" si="0"/>
        <v>41395</v>
      </c>
      <c r="J19" s="38"/>
      <c r="K19" s="38">
        <f>일위대가!L162</f>
        <v>251781</v>
      </c>
      <c r="L19" s="38">
        <f t="shared" si="1"/>
        <v>251781</v>
      </c>
      <c r="M19" s="38">
        <f>일위대가!N162</f>
        <v>0</v>
      </c>
      <c r="N19" s="38">
        <f t="shared" si="2"/>
        <v>0</v>
      </c>
      <c r="O19" s="38">
        <f t="shared" si="3"/>
        <v>293176</v>
      </c>
      <c r="P19" s="38">
        <f t="shared" si="4"/>
        <v>293176</v>
      </c>
      <c r="Q19" s="12"/>
    </row>
    <row r="20" spans="1:17" s="2" customFormat="1" ht="23.1" customHeight="1" x14ac:dyDescent="0.15">
      <c r="A20" s="13" t="s">
        <v>1730</v>
      </c>
      <c r="B20" s="13" t="s">
        <v>1731</v>
      </c>
      <c r="C20" s="3" t="s">
        <v>1732</v>
      </c>
      <c r="D20" s="12" t="s">
        <v>1720</v>
      </c>
      <c r="E20" s="12" t="s">
        <v>1733</v>
      </c>
      <c r="F20" s="31" t="s">
        <v>792</v>
      </c>
      <c r="G20" s="6"/>
      <c r="H20" s="38">
        <f>일위대가!I174</f>
        <v>41422</v>
      </c>
      <c r="I20" s="38">
        <f t="shared" si="0"/>
        <v>41422</v>
      </c>
      <c r="J20" s="38"/>
      <c r="K20" s="38">
        <f>일위대가!L174</f>
        <v>251781</v>
      </c>
      <c r="L20" s="38">
        <f t="shared" si="1"/>
        <v>251781</v>
      </c>
      <c r="M20" s="38">
        <f>일위대가!N174</f>
        <v>0</v>
      </c>
      <c r="N20" s="38">
        <f t="shared" si="2"/>
        <v>0</v>
      </c>
      <c r="O20" s="38">
        <f t="shared" si="3"/>
        <v>293203</v>
      </c>
      <c r="P20" s="38">
        <f t="shared" si="4"/>
        <v>293203</v>
      </c>
      <c r="Q20" s="12"/>
    </row>
    <row r="21" spans="1:17" s="2" customFormat="1" ht="23.1" customHeight="1" x14ac:dyDescent="0.15">
      <c r="A21" s="13" t="s">
        <v>1734</v>
      </c>
      <c r="B21" s="13" t="s">
        <v>1735</v>
      </c>
      <c r="C21" s="3" t="s">
        <v>1736</v>
      </c>
      <c r="D21" s="12" t="s">
        <v>1737</v>
      </c>
      <c r="E21" s="12" t="s">
        <v>620</v>
      </c>
      <c r="F21" s="31" t="s">
        <v>792</v>
      </c>
      <c r="G21" s="6"/>
      <c r="H21" s="38">
        <f>일위대가!I198</f>
        <v>785665</v>
      </c>
      <c r="I21" s="38">
        <f t="shared" si="0"/>
        <v>785665</v>
      </c>
      <c r="J21" s="38"/>
      <c r="K21" s="38">
        <f>일위대가!L198</f>
        <v>1574291</v>
      </c>
      <c r="L21" s="38">
        <f t="shared" si="1"/>
        <v>1574291</v>
      </c>
      <c r="M21" s="38">
        <f>일위대가!N198</f>
        <v>54822</v>
      </c>
      <c r="N21" s="38">
        <f t="shared" si="2"/>
        <v>54822</v>
      </c>
      <c r="O21" s="38">
        <f t="shared" si="3"/>
        <v>2414778</v>
      </c>
      <c r="P21" s="38">
        <f t="shared" si="4"/>
        <v>2414778</v>
      </c>
      <c r="Q21" s="12"/>
    </row>
    <row r="22" spans="1:17" s="2" customFormat="1" ht="23.1" customHeight="1" x14ac:dyDescent="0.15">
      <c r="A22" s="13" t="s">
        <v>1738</v>
      </c>
      <c r="B22" s="13" t="s">
        <v>1739</v>
      </c>
      <c r="C22" s="3" t="s">
        <v>1740</v>
      </c>
      <c r="D22" s="12" t="s">
        <v>1737</v>
      </c>
      <c r="E22" s="12" t="s">
        <v>623</v>
      </c>
      <c r="F22" s="31" t="s">
        <v>792</v>
      </c>
      <c r="G22" s="6"/>
      <c r="H22" s="38">
        <f>일위대가!I217</f>
        <v>922035</v>
      </c>
      <c r="I22" s="38">
        <f t="shared" si="0"/>
        <v>922035</v>
      </c>
      <c r="J22" s="38"/>
      <c r="K22" s="38">
        <f>일위대가!L217</f>
        <v>1843024</v>
      </c>
      <c r="L22" s="38">
        <f t="shared" si="1"/>
        <v>1843024</v>
      </c>
      <c r="M22" s="38">
        <f>일위대가!N217</f>
        <v>59838</v>
      </c>
      <c r="N22" s="38">
        <f t="shared" si="2"/>
        <v>59838</v>
      </c>
      <c r="O22" s="38">
        <f t="shared" si="3"/>
        <v>2824897</v>
      </c>
      <c r="P22" s="38">
        <f t="shared" si="4"/>
        <v>2824897</v>
      </c>
      <c r="Q22" s="12"/>
    </row>
    <row r="23" spans="1:17" s="2" customFormat="1" ht="23.1" customHeight="1" x14ac:dyDescent="0.15">
      <c r="A23" s="13" t="s">
        <v>1741</v>
      </c>
      <c r="B23" s="13" t="s">
        <v>1742</v>
      </c>
      <c r="C23" s="3" t="s">
        <v>1743</v>
      </c>
      <c r="D23" s="12" t="s">
        <v>1744</v>
      </c>
      <c r="E23" s="12" t="s">
        <v>1745</v>
      </c>
      <c r="F23" s="31" t="s">
        <v>792</v>
      </c>
      <c r="G23" s="6"/>
      <c r="H23" s="38">
        <f>일위대가!I229</f>
        <v>32327</v>
      </c>
      <c r="I23" s="38">
        <f t="shared" si="0"/>
        <v>32327</v>
      </c>
      <c r="J23" s="38"/>
      <c r="K23" s="38">
        <f>일위대가!L229</f>
        <v>125021</v>
      </c>
      <c r="L23" s="38">
        <f t="shared" si="1"/>
        <v>125021</v>
      </c>
      <c r="M23" s="38">
        <f>일위대가!N229</f>
        <v>1254</v>
      </c>
      <c r="N23" s="38">
        <f t="shared" si="2"/>
        <v>1254</v>
      </c>
      <c r="O23" s="38">
        <f t="shared" si="3"/>
        <v>158602</v>
      </c>
      <c r="P23" s="38">
        <f t="shared" si="4"/>
        <v>158602</v>
      </c>
      <c r="Q23" s="12"/>
    </row>
    <row r="24" spans="1:17" s="2" customFormat="1" ht="23.1" customHeight="1" x14ac:dyDescent="0.15">
      <c r="A24" s="13" t="s">
        <v>1746</v>
      </c>
      <c r="B24" s="13" t="s">
        <v>1747</v>
      </c>
      <c r="C24" s="3" t="s">
        <v>1748</v>
      </c>
      <c r="D24" s="12" t="s">
        <v>1749</v>
      </c>
      <c r="E24" s="12" t="s">
        <v>236</v>
      </c>
      <c r="F24" s="31" t="s">
        <v>792</v>
      </c>
      <c r="G24" s="6"/>
      <c r="H24" s="38">
        <f>일위대가!I239</f>
        <v>36750</v>
      </c>
      <c r="I24" s="38">
        <f t="shared" si="0"/>
        <v>36750</v>
      </c>
      <c r="J24" s="38"/>
      <c r="K24" s="38">
        <f>일위대가!L239</f>
        <v>80874</v>
      </c>
      <c r="L24" s="38">
        <f t="shared" si="1"/>
        <v>80874</v>
      </c>
      <c r="M24" s="38">
        <f>일위대가!N239</f>
        <v>0</v>
      </c>
      <c r="N24" s="38">
        <f t="shared" si="2"/>
        <v>0</v>
      </c>
      <c r="O24" s="38">
        <f t="shared" si="3"/>
        <v>117624</v>
      </c>
      <c r="P24" s="38">
        <f t="shared" si="4"/>
        <v>117624</v>
      </c>
      <c r="Q24" s="12"/>
    </row>
    <row r="25" spans="1:17" s="2" customFormat="1" ht="23.1" customHeight="1" x14ac:dyDescent="0.15">
      <c r="A25" s="13" t="s">
        <v>1750</v>
      </c>
      <c r="B25" s="13" t="s">
        <v>1751</v>
      </c>
      <c r="C25" s="3" t="s">
        <v>1752</v>
      </c>
      <c r="D25" s="12" t="s">
        <v>1749</v>
      </c>
      <c r="E25" s="12" t="s">
        <v>238</v>
      </c>
      <c r="F25" s="31" t="s">
        <v>792</v>
      </c>
      <c r="G25" s="6"/>
      <c r="H25" s="38">
        <f>일위대가!I249</f>
        <v>38656</v>
      </c>
      <c r="I25" s="38">
        <f t="shared" si="0"/>
        <v>38656</v>
      </c>
      <c r="J25" s="38"/>
      <c r="K25" s="38">
        <f>일위대가!L249</f>
        <v>80874</v>
      </c>
      <c r="L25" s="38">
        <f t="shared" si="1"/>
        <v>80874</v>
      </c>
      <c r="M25" s="38">
        <f>일위대가!N249</f>
        <v>0</v>
      </c>
      <c r="N25" s="38">
        <f t="shared" si="2"/>
        <v>0</v>
      </c>
      <c r="O25" s="38">
        <f t="shared" si="3"/>
        <v>119530</v>
      </c>
      <c r="P25" s="38">
        <f t="shared" si="4"/>
        <v>119530</v>
      </c>
      <c r="Q25" s="12"/>
    </row>
    <row r="26" spans="1:17" s="2" customFormat="1" ht="23.1" customHeight="1" x14ac:dyDescent="0.15">
      <c r="A26" s="13" t="s">
        <v>1753</v>
      </c>
      <c r="B26" s="13" t="s">
        <v>1754</v>
      </c>
      <c r="C26" s="3" t="s">
        <v>1755</v>
      </c>
      <c r="D26" s="12" t="s">
        <v>1749</v>
      </c>
      <c r="E26" s="12" t="s">
        <v>240</v>
      </c>
      <c r="F26" s="31" t="s">
        <v>792</v>
      </c>
      <c r="G26" s="6"/>
      <c r="H26" s="38">
        <f>일위대가!I259</f>
        <v>68241</v>
      </c>
      <c r="I26" s="38">
        <f t="shared" si="0"/>
        <v>68241</v>
      </c>
      <c r="J26" s="38"/>
      <c r="K26" s="38">
        <f>일위대가!L259</f>
        <v>80874</v>
      </c>
      <c r="L26" s="38">
        <f t="shared" si="1"/>
        <v>80874</v>
      </c>
      <c r="M26" s="38">
        <f>일위대가!N259</f>
        <v>0</v>
      </c>
      <c r="N26" s="38">
        <f t="shared" si="2"/>
        <v>0</v>
      </c>
      <c r="O26" s="38">
        <f t="shared" si="3"/>
        <v>149115</v>
      </c>
      <c r="P26" s="38">
        <f t="shared" si="4"/>
        <v>149115</v>
      </c>
      <c r="Q26" s="12"/>
    </row>
    <row r="27" spans="1:17" s="2" customFormat="1" ht="23.1" customHeight="1" x14ac:dyDescent="0.15">
      <c r="A27" s="13" t="s">
        <v>1756</v>
      </c>
      <c r="B27" s="13" t="s">
        <v>1757</v>
      </c>
      <c r="C27" s="3" t="s">
        <v>1758</v>
      </c>
      <c r="D27" s="12" t="s">
        <v>1759</v>
      </c>
      <c r="E27" s="12" t="s">
        <v>1407</v>
      </c>
      <c r="F27" s="31" t="s">
        <v>792</v>
      </c>
      <c r="G27" s="6"/>
      <c r="H27" s="38">
        <f>일위대가!I264</f>
        <v>224</v>
      </c>
      <c r="I27" s="38">
        <f t="shared" si="0"/>
        <v>224</v>
      </c>
      <c r="J27" s="38"/>
      <c r="K27" s="38">
        <f>일위대가!L264</f>
        <v>11220</v>
      </c>
      <c r="L27" s="38">
        <f t="shared" si="1"/>
        <v>11220</v>
      </c>
      <c r="M27" s="38">
        <f>일위대가!N264</f>
        <v>0</v>
      </c>
      <c r="N27" s="38">
        <f t="shared" si="2"/>
        <v>0</v>
      </c>
      <c r="O27" s="38">
        <f t="shared" si="3"/>
        <v>11444</v>
      </c>
      <c r="P27" s="38">
        <f t="shared" si="4"/>
        <v>11444</v>
      </c>
      <c r="Q27" s="12"/>
    </row>
    <row r="28" spans="1:17" s="2" customFormat="1" ht="23.1" customHeight="1" x14ac:dyDescent="0.15">
      <c r="A28" s="13" t="s">
        <v>1760</v>
      </c>
      <c r="B28" s="13" t="s">
        <v>1761</v>
      </c>
      <c r="C28" s="3" t="s">
        <v>1762</v>
      </c>
      <c r="D28" s="12" t="s">
        <v>1763</v>
      </c>
      <c r="E28" s="12" t="s">
        <v>1409</v>
      </c>
      <c r="F28" s="31" t="s">
        <v>554</v>
      </c>
      <c r="G28" s="6"/>
      <c r="H28" s="38">
        <f>일위대가!I270</f>
        <v>1696</v>
      </c>
      <c r="I28" s="38">
        <f t="shared" si="0"/>
        <v>1696</v>
      </c>
      <c r="J28" s="38"/>
      <c r="K28" s="38">
        <f>일위대가!L270</f>
        <v>84839</v>
      </c>
      <c r="L28" s="38">
        <f t="shared" si="1"/>
        <v>84839</v>
      </c>
      <c r="M28" s="38">
        <f>일위대가!N270</f>
        <v>37543</v>
      </c>
      <c r="N28" s="38">
        <f t="shared" si="2"/>
        <v>37543</v>
      </c>
      <c r="O28" s="38">
        <f t="shared" si="3"/>
        <v>124078</v>
      </c>
      <c r="P28" s="38">
        <f t="shared" si="4"/>
        <v>124078</v>
      </c>
      <c r="Q28" s="12"/>
    </row>
    <row r="29" spans="1:17" s="2" customFormat="1" ht="23.1" customHeight="1" x14ac:dyDescent="0.15">
      <c r="A29" s="13" t="s">
        <v>1764</v>
      </c>
      <c r="B29" s="13" t="s">
        <v>1765</v>
      </c>
      <c r="C29" s="3" t="s">
        <v>1766</v>
      </c>
      <c r="D29" s="12" t="s">
        <v>1767</v>
      </c>
      <c r="E29" s="12"/>
      <c r="F29" s="31" t="s">
        <v>554</v>
      </c>
      <c r="G29" s="6"/>
      <c r="H29" s="38">
        <f>일위대가!I275</f>
        <v>224</v>
      </c>
      <c r="I29" s="38">
        <f t="shared" si="0"/>
        <v>224</v>
      </c>
      <c r="J29" s="38"/>
      <c r="K29" s="38">
        <f>일위대가!L275</f>
        <v>11220</v>
      </c>
      <c r="L29" s="38">
        <f t="shared" si="1"/>
        <v>11220</v>
      </c>
      <c r="M29" s="38">
        <f>일위대가!N275</f>
        <v>0</v>
      </c>
      <c r="N29" s="38">
        <f t="shared" si="2"/>
        <v>0</v>
      </c>
      <c r="O29" s="38">
        <f t="shared" si="3"/>
        <v>11444</v>
      </c>
      <c r="P29" s="38">
        <f t="shared" si="4"/>
        <v>11444</v>
      </c>
      <c r="Q29" s="12"/>
    </row>
    <row r="30" spans="1:17" s="2" customFormat="1" ht="23.1" customHeight="1" x14ac:dyDescent="0.15">
      <c r="A30" s="13" t="s">
        <v>1768</v>
      </c>
      <c r="B30" s="13" t="s">
        <v>1769</v>
      </c>
      <c r="C30" s="3" t="s">
        <v>1770</v>
      </c>
      <c r="D30" s="12" t="s">
        <v>1771</v>
      </c>
      <c r="E30" s="12" t="s">
        <v>1772</v>
      </c>
      <c r="F30" s="31" t="s">
        <v>554</v>
      </c>
      <c r="G30" s="6"/>
      <c r="H30" s="38">
        <f>일위대가!I281</f>
        <v>20109</v>
      </c>
      <c r="I30" s="38">
        <f t="shared" si="0"/>
        <v>20109</v>
      </c>
      <c r="J30" s="38"/>
      <c r="K30" s="38">
        <f>일위대가!L281</f>
        <v>42187</v>
      </c>
      <c r="L30" s="38">
        <f t="shared" si="1"/>
        <v>42187</v>
      </c>
      <c r="M30" s="38">
        <f>일위대가!N281</f>
        <v>0</v>
      </c>
      <c r="N30" s="38">
        <f t="shared" si="2"/>
        <v>0</v>
      </c>
      <c r="O30" s="38">
        <f t="shared" si="3"/>
        <v>62296</v>
      </c>
      <c r="P30" s="38">
        <f t="shared" si="4"/>
        <v>62296</v>
      </c>
      <c r="Q30" s="12"/>
    </row>
    <row r="31" spans="1:17" s="2" customFormat="1" ht="23.1" customHeight="1" x14ac:dyDescent="0.15">
      <c r="A31" s="13" t="s">
        <v>1773</v>
      </c>
      <c r="B31" s="13" t="s">
        <v>1774</v>
      </c>
      <c r="C31" s="3" t="s">
        <v>1775</v>
      </c>
      <c r="D31" s="12" t="s">
        <v>1771</v>
      </c>
      <c r="E31" s="12" t="s">
        <v>1776</v>
      </c>
      <c r="F31" s="31" t="s">
        <v>554</v>
      </c>
      <c r="G31" s="6"/>
      <c r="H31" s="38">
        <f>일위대가!I287</f>
        <v>30034</v>
      </c>
      <c r="I31" s="38">
        <f t="shared" si="0"/>
        <v>30034</v>
      </c>
      <c r="J31" s="38"/>
      <c r="K31" s="38">
        <f>일위대가!L287</f>
        <v>63006</v>
      </c>
      <c r="L31" s="38">
        <f t="shared" si="1"/>
        <v>63006</v>
      </c>
      <c r="M31" s="38">
        <f>일위대가!N287</f>
        <v>0</v>
      </c>
      <c r="N31" s="38">
        <f t="shared" si="2"/>
        <v>0</v>
      </c>
      <c r="O31" s="38">
        <f t="shared" si="3"/>
        <v>93040</v>
      </c>
      <c r="P31" s="38">
        <f t="shared" si="4"/>
        <v>93040</v>
      </c>
      <c r="Q31" s="12"/>
    </row>
    <row r="32" spans="1:17" s="2" customFormat="1" ht="23.1" customHeight="1" x14ac:dyDescent="0.15">
      <c r="A32" s="13" t="s">
        <v>1777</v>
      </c>
      <c r="B32" s="13" t="s">
        <v>1778</v>
      </c>
      <c r="C32" s="3" t="s">
        <v>1779</v>
      </c>
      <c r="D32" s="12" t="s">
        <v>1771</v>
      </c>
      <c r="E32" s="12" t="s">
        <v>1780</v>
      </c>
      <c r="F32" s="31" t="s">
        <v>554</v>
      </c>
      <c r="G32" s="6"/>
      <c r="H32" s="38">
        <f>일위대가!I293</f>
        <v>80178</v>
      </c>
      <c r="I32" s="38">
        <f t="shared" si="0"/>
        <v>80178</v>
      </c>
      <c r="J32" s="38"/>
      <c r="K32" s="38">
        <f>일위대가!L293</f>
        <v>168201</v>
      </c>
      <c r="L32" s="38">
        <f t="shared" si="1"/>
        <v>168201</v>
      </c>
      <c r="M32" s="38">
        <f>일위대가!N293</f>
        <v>0</v>
      </c>
      <c r="N32" s="38">
        <f t="shared" si="2"/>
        <v>0</v>
      </c>
      <c r="O32" s="38">
        <f t="shared" si="3"/>
        <v>248379</v>
      </c>
      <c r="P32" s="38">
        <f t="shared" si="4"/>
        <v>248379</v>
      </c>
      <c r="Q32" s="12"/>
    </row>
    <row r="33" spans="1:17" s="2" customFormat="1" ht="23.1" customHeight="1" x14ac:dyDescent="0.15">
      <c r="A33" s="13" t="s">
        <v>1781</v>
      </c>
      <c r="B33" s="13" t="s">
        <v>1782</v>
      </c>
      <c r="C33" s="3" t="s">
        <v>1783</v>
      </c>
      <c r="D33" s="12" t="s">
        <v>164</v>
      </c>
      <c r="E33" s="12" t="s">
        <v>165</v>
      </c>
      <c r="F33" s="31" t="s">
        <v>166</v>
      </c>
      <c r="G33" s="6"/>
      <c r="H33" s="38">
        <f>일위대가!I301</f>
        <v>613</v>
      </c>
      <c r="I33" s="38">
        <f t="shared" si="0"/>
        <v>613</v>
      </c>
      <c r="J33" s="38"/>
      <c r="K33" s="38">
        <f>일위대가!L301</f>
        <v>12315</v>
      </c>
      <c r="L33" s="38">
        <f t="shared" si="1"/>
        <v>12315</v>
      </c>
      <c r="M33" s="38">
        <f>일위대가!N301</f>
        <v>0</v>
      </c>
      <c r="N33" s="38">
        <f t="shared" si="2"/>
        <v>0</v>
      </c>
      <c r="O33" s="38">
        <f t="shared" si="3"/>
        <v>12928</v>
      </c>
      <c r="P33" s="38">
        <f t="shared" si="4"/>
        <v>12928</v>
      </c>
      <c r="Q33" s="12"/>
    </row>
    <row r="34" spans="1:17" s="2" customFormat="1" ht="23.1" customHeight="1" x14ac:dyDescent="0.15">
      <c r="A34" s="13" t="s">
        <v>1784</v>
      </c>
      <c r="B34" s="13" t="s">
        <v>1785</v>
      </c>
      <c r="C34" s="3" t="s">
        <v>1786</v>
      </c>
      <c r="D34" s="12" t="s">
        <v>164</v>
      </c>
      <c r="E34" s="12" t="s">
        <v>172</v>
      </c>
      <c r="F34" s="31" t="s">
        <v>166</v>
      </c>
      <c r="G34" s="6"/>
      <c r="H34" s="38">
        <f>일위대가!I309</f>
        <v>1269</v>
      </c>
      <c r="I34" s="38">
        <f t="shared" si="0"/>
        <v>1269</v>
      </c>
      <c r="J34" s="38"/>
      <c r="K34" s="38">
        <f>일위대가!L309</f>
        <v>19704</v>
      </c>
      <c r="L34" s="38">
        <f t="shared" si="1"/>
        <v>19704</v>
      </c>
      <c r="M34" s="38">
        <f>일위대가!N309</f>
        <v>0</v>
      </c>
      <c r="N34" s="38">
        <f t="shared" si="2"/>
        <v>0</v>
      </c>
      <c r="O34" s="38">
        <f t="shared" si="3"/>
        <v>20973</v>
      </c>
      <c r="P34" s="38">
        <f t="shared" si="4"/>
        <v>20973</v>
      </c>
      <c r="Q34" s="12"/>
    </row>
    <row r="35" spans="1:17" s="2" customFormat="1" ht="23.1" customHeight="1" x14ac:dyDescent="0.15">
      <c r="A35" s="13" t="s">
        <v>1787</v>
      </c>
      <c r="B35" s="13" t="s">
        <v>1788</v>
      </c>
      <c r="C35" s="3" t="s">
        <v>1789</v>
      </c>
      <c r="D35" s="12" t="s">
        <v>164</v>
      </c>
      <c r="E35" s="12" t="s">
        <v>174</v>
      </c>
      <c r="F35" s="31" t="s">
        <v>166</v>
      </c>
      <c r="G35" s="6"/>
      <c r="H35" s="38">
        <f>일위대가!I317</f>
        <v>1751</v>
      </c>
      <c r="I35" s="38">
        <f t="shared" si="0"/>
        <v>1751</v>
      </c>
      <c r="J35" s="38"/>
      <c r="K35" s="38">
        <f>일위대가!L317</f>
        <v>24630</v>
      </c>
      <c r="L35" s="38">
        <f t="shared" si="1"/>
        <v>24630</v>
      </c>
      <c r="M35" s="38">
        <f>일위대가!N317</f>
        <v>0</v>
      </c>
      <c r="N35" s="38">
        <f t="shared" si="2"/>
        <v>0</v>
      </c>
      <c r="O35" s="38">
        <f t="shared" si="3"/>
        <v>26381</v>
      </c>
      <c r="P35" s="38">
        <f t="shared" si="4"/>
        <v>26381</v>
      </c>
      <c r="Q35" s="12"/>
    </row>
    <row r="36" spans="1:17" s="2" customFormat="1" ht="23.1" customHeight="1" x14ac:dyDescent="0.15">
      <c r="A36" s="13" t="s">
        <v>1790</v>
      </c>
      <c r="B36" s="13" t="s">
        <v>1791</v>
      </c>
      <c r="C36" s="3" t="s">
        <v>1792</v>
      </c>
      <c r="D36" s="12" t="s">
        <v>164</v>
      </c>
      <c r="E36" s="12" t="s">
        <v>176</v>
      </c>
      <c r="F36" s="31" t="s">
        <v>166</v>
      </c>
      <c r="G36" s="6"/>
      <c r="H36" s="38">
        <f>일위대가!I325</f>
        <v>2196</v>
      </c>
      <c r="I36" s="38">
        <f t="shared" si="0"/>
        <v>2196</v>
      </c>
      <c r="J36" s="38"/>
      <c r="K36" s="38">
        <f>일위대가!L325</f>
        <v>32020</v>
      </c>
      <c r="L36" s="38">
        <f t="shared" si="1"/>
        <v>32020</v>
      </c>
      <c r="M36" s="38">
        <f>일위대가!N325</f>
        <v>0</v>
      </c>
      <c r="N36" s="38">
        <f t="shared" si="2"/>
        <v>0</v>
      </c>
      <c r="O36" s="38">
        <f t="shared" si="3"/>
        <v>34216</v>
      </c>
      <c r="P36" s="38">
        <f t="shared" si="4"/>
        <v>34216</v>
      </c>
      <c r="Q36" s="12"/>
    </row>
    <row r="37" spans="1:17" s="2" customFormat="1" ht="23.1" customHeight="1" x14ac:dyDescent="0.15">
      <c r="A37" s="13" t="s">
        <v>1793</v>
      </c>
      <c r="B37" s="13" t="s">
        <v>1794</v>
      </c>
      <c r="C37" s="3" t="s">
        <v>1795</v>
      </c>
      <c r="D37" s="12" t="s">
        <v>178</v>
      </c>
      <c r="E37" s="12" t="s">
        <v>179</v>
      </c>
      <c r="F37" s="31" t="s">
        <v>1796</v>
      </c>
      <c r="G37" s="6"/>
      <c r="H37" s="38">
        <f>일위대가!I333</f>
        <v>449</v>
      </c>
      <c r="I37" s="38">
        <f t="shared" si="0"/>
        <v>449</v>
      </c>
      <c r="J37" s="38"/>
      <c r="K37" s="38">
        <f>일위대가!L333</f>
        <v>9852</v>
      </c>
      <c r="L37" s="38">
        <f t="shared" si="1"/>
        <v>9852</v>
      </c>
      <c r="M37" s="38">
        <f>일위대가!N333</f>
        <v>0</v>
      </c>
      <c r="N37" s="38">
        <f t="shared" si="2"/>
        <v>0</v>
      </c>
      <c r="O37" s="38">
        <f t="shared" si="3"/>
        <v>10301</v>
      </c>
      <c r="P37" s="38">
        <f t="shared" si="4"/>
        <v>10301</v>
      </c>
      <c r="Q37" s="12"/>
    </row>
    <row r="38" spans="1:17" s="2" customFormat="1" ht="23.1" customHeight="1" x14ac:dyDescent="0.15">
      <c r="A38" s="13" t="s">
        <v>1797</v>
      </c>
      <c r="B38" s="13" t="s">
        <v>1798</v>
      </c>
      <c r="C38" s="3" t="s">
        <v>1799</v>
      </c>
      <c r="D38" s="12" t="s">
        <v>178</v>
      </c>
      <c r="E38" s="12" t="s">
        <v>184</v>
      </c>
      <c r="F38" s="31" t="s">
        <v>1796</v>
      </c>
      <c r="G38" s="6"/>
      <c r="H38" s="38">
        <f>일위대가!I341</f>
        <v>615</v>
      </c>
      <c r="I38" s="38">
        <f t="shared" si="0"/>
        <v>615</v>
      </c>
      <c r="J38" s="38"/>
      <c r="K38" s="38">
        <f>일위대가!L341</f>
        <v>11822</v>
      </c>
      <c r="L38" s="38">
        <f t="shared" si="1"/>
        <v>11822</v>
      </c>
      <c r="M38" s="38">
        <f>일위대가!N341</f>
        <v>0</v>
      </c>
      <c r="N38" s="38">
        <f t="shared" si="2"/>
        <v>0</v>
      </c>
      <c r="O38" s="38">
        <f t="shared" si="3"/>
        <v>12437</v>
      </c>
      <c r="P38" s="38">
        <f t="shared" si="4"/>
        <v>12437</v>
      </c>
      <c r="Q38" s="12"/>
    </row>
    <row r="39" spans="1:17" s="2" customFormat="1" ht="23.1" customHeight="1" x14ac:dyDescent="0.15">
      <c r="A39" s="13" t="s">
        <v>1800</v>
      </c>
      <c r="B39" s="13" t="s">
        <v>1801</v>
      </c>
      <c r="C39" s="3" t="s">
        <v>1802</v>
      </c>
      <c r="D39" s="12" t="s">
        <v>186</v>
      </c>
      <c r="E39" s="12" t="s">
        <v>187</v>
      </c>
      <c r="F39" s="31" t="s">
        <v>166</v>
      </c>
      <c r="G39" s="6"/>
      <c r="H39" s="38">
        <f>일위대가!I350</f>
        <v>502</v>
      </c>
      <c r="I39" s="38">
        <f t="shared" si="0"/>
        <v>502</v>
      </c>
      <c r="J39" s="38"/>
      <c r="K39" s="38">
        <f>일위대가!L350</f>
        <v>4898</v>
      </c>
      <c r="L39" s="38">
        <f t="shared" si="1"/>
        <v>4898</v>
      </c>
      <c r="M39" s="38">
        <f>일위대가!N350</f>
        <v>0</v>
      </c>
      <c r="N39" s="38">
        <f t="shared" si="2"/>
        <v>0</v>
      </c>
      <c r="O39" s="38">
        <f t="shared" si="3"/>
        <v>5400</v>
      </c>
      <c r="P39" s="38">
        <f t="shared" si="4"/>
        <v>5400</v>
      </c>
      <c r="Q39" s="12" t="s">
        <v>40</v>
      </c>
    </row>
    <row r="40" spans="1:17" s="2" customFormat="1" ht="23.1" customHeight="1" x14ac:dyDescent="0.15">
      <c r="A40" s="13" t="s">
        <v>1803</v>
      </c>
      <c r="B40" s="13" t="s">
        <v>1804</v>
      </c>
      <c r="C40" s="3" t="s">
        <v>1805</v>
      </c>
      <c r="D40" s="12" t="s">
        <v>186</v>
      </c>
      <c r="E40" s="12" t="s">
        <v>190</v>
      </c>
      <c r="F40" s="31" t="s">
        <v>166</v>
      </c>
      <c r="G40" s="6"/>
      <c r="H40" s="38">
        <f>일위대가!I359</f>
        <v>737</v>
      </c>
      <c r="I40" s="38">
        <f t="shared" si="0"/>
        <v>737</v>
      </c>
      <c r="J40" s="38"/>
      <c r="K40" s="38">
        <f>일위대가!L359</f>
        <v>6001</v>
      </c>
      <c r="L40" s="38">
        <f t="shared" si="1"/>
        <v>6001</v>
      </c>
      <c r="M40" s="38">
        <f>일위대가!N359</f>
        <v>0</v>
      </c>
      <c r="N40" s="38">
        <f t="shared" si="2"/>
        <v>0</v>
      </c>
      <c r="O40" s="38">
        <f t="shared" si="3"/>
        <v>6738</v>
      </c>
      <c r="P40" s="38">
        <f t="shared" si="4"/>
        <v>6738</v>
      </c>
      <c r="Q40" s="12" t="s">
        <v>2</v>
      </c>
    </row>
    <row r="41" spans="1:17" s="2" customFormat="1" ht="23.1" customHeight="1" x14ac:dyDescent="0.15">
      <c r="A41" s="13" t="s">
        <v>1806</v>
      </c>
      <c r="B41" s="13" t="s">
        <v>1807</v>
      </c>
      <c r="C41" s="3" t="s">
        <v>1808</v>
      </c>
      <c r="D41" s="12" t="s">
        <v>186</v>
      </c>
      <c r="E41" s="12" t="s">
        <v>193</v>
      </c>
      <c r="F41" s="31" t="s">
        <v>166</v>
      </c>
      <c r="G41" s="6"/>
      <c r="H41" s="38">
        <f>일위대가!I368</f>
        <v>1318</v>
      </c>
      <c r="I41" s="38">
        <f t="shared" si="0"/>
        <v>1318</v>
      </c>
      <c r="J41" s="38"/>
      <c r="K41" s="38">
        <f>일위대가!L368</f>
        <v>7520</v>
      </c>
      <c r="L41" s="38">
        <f t="shared" si="1"/>
        <v>7520</v>
      </c>
      <c r="M41" s="38">
        <f>일위대가!N368</f>
        <v>0</v>
      </c>
      <c r="N41" s="38">
        <f t="shared" si="2"/>
        <v>0</v>
      </c>
      <c r="O41" s="38">
        <f t="shared" si="3"/>
        <v>8838</v>
      </c>
      <c r="P41" s="38">
        <f t="shared" si="4"/>
        <v>8838</v>
      </c>
      <c r="Q41" s="12"/>
    </row>
    <row r="42" spans="1:17" s="2" customFormat="1" ht="23.1" customHeight="1" x14ac:dyDescent="0.15">
      <c r="A42" s="13" t="s">
        <v>1809</v>
      </c>
      <c r="B42" s="13" t="s">
        <v>1810</v>
      </c>
      <c r="C42" s="3" t="s">
        <v>1811</v>
      </c>
      <c r="D42" s="12" t="s">
        <v>186</v>
      </c>
      <c r="E42" s="12" t="s">
        <v>196</v>
      </c>
      <c r="F42" s="31" t="s">
        <v>166</v>
      </c>
      <c r="G42" s="6"/>
      <c r="H42" s="38">
        <f>일위대가!I377</f>
        <v>3567</v>
      </c>
      <c r="I42" s="38">
        <f t="shared" si="0"/>
        <v>3567</v>
      </c>
      <c r="J42" s="38"/>
      <c r="K42" s="38">
        <f>일위대가!L377</f>
        <v>13408</v>
      </c>
      <c r="L42" s="38">
        <f t="shared" si="1"/>
        <v>13408</v>
      </c>
      <c r="M42" s="38">
        <f>일위대가!N377</f>
        <v>0</v>
      </c>
      <c r="N42" s="38">
        <f t="shared" si="2"/>
        <v>0</v>
      </c>
      <c r="O42" s="38">
        <f t="shared" si="3"/>
        <v>16975</v>
      </c>
      <c r="P42" s="38">
        <f t="shared" si="4"/>
        <v>16975</v>
      </c>
      <c r="Q42" s="12"/>
    </row>
    <row r="43" spans="1:17" s="2" customFormat="1" ht="23.1" customHeight="1" x14ac:dyDescent="0.15">
      <c r="A43" s="13" t="s">
        <v>1812</v>
      </c>
      <c r="B43" s="13" t="s">
        <v>1813</v>
      </c>
      <c r="C43" s="3" t="s">
        <v>1814</v>
      </c>
      <c r="D43" s="12" t="s">
        <v>198</v>
      </c>
      <c r="E43" s="12" t="s">
        <v>216</v>
      </c>
      <c r="F43" s="31" t="s">
        <v>166</v>
      </c>
      <c r="G43" s="6"/>
      <c r="H43" s="38">
        <f>일위대가!I384</f>
        <v>691</v>
      </c>
      <c r="I43" s="38">
        <f t="shared" si="0"/>
        <v>691</v>
      </c>
      <c r="J43" s="38"/>
      <c r="K43" s="38">
        <f>일위대가!L384</f>
        <v>10837</v>
      </c>
      <c r="L43" s="38">
        <f t="shared" si="1"/>
        <v>10837</v>
      </c>
      <c r="M43" s="38">
        <f>일위대가!N384</f>
        <v>0</v>
      </c>
      <c r="N43" s="38">
        <f t="shared" si="2"/>
        <v>0</v>
      </c>
      <c r="O43" s="38">
        <f t="shared" si="3"/>
        <v>11528</v>
      </c>
      <c r="P43" s="38">
        <f t="shared" si="4"/>
        <v>11528</v>
      </c>
      <c r="Q43" s="12"/>
    </row>
    <row r="44" spans="1:17" s="2" customFormat="1" ht="23.1" customHeight="1" x14ac:dyDescent="0.15">
      <c r="A44" s="13" t="s">
        <v>1815</v>
      </c>
      <c r="B44" s="13" t="s">
        <v>1816</v>
      </c>
      <c r="C44" s="3" t="s">
        <v>1817</v>
      </c>
      <c r="D44" s="12" t="s">
        <v>198</v>
      </c>
      <c r="E44" s="12" t="s">
        <v>218</v>
      </c>
      <c r="F44" s="31" t="s">
        <v>166</v>
      </c>
      <c r="G44" s="6"/>
      <c r="H44" s="38">
        <f>일위대가!I391</f>
        <v>1132</v>
      </c>
      <c r="I44" s="38">
        <f t="shared" si="0"/>
        <v>1132</v>
      </c>
      <c r="J44" s="38"/>
      <c r="K44" s="38">
        <f>일위대가!L391</f>
        <v>17734</v>
      </c>
      <c r="L44" s="38">
        <f t="shared" si="1"/>
        <v>17734</v>
      </c>
      <c r="M44" s="38">
        <f>일위대가!N391</f>
        <v>0</v>
      </c>
      <c r="N44" s="38">
        <f t="shared" si="2"/>
        <v>0</v>
      </c>
      <c r="O44" s="38">
        <f t="shared" si="3"/>
        <v>18866</v>
      </c>
      <c r="P44" s="38">
        <f t="shared" si="4"/>
        <v>18866</v>
      </c>
      <c r="Q44" s="12"/>
    </row>
    <row r="45" spans="1:17" s="2" customFormat="1" ht="23.1" customHeight="1" x14ac:dyDescent="0.15">
      <c r="A45" s="13" t="s">
        <v>1818</v>
      </c>
      <c r="B45" s="13" t="s">
        <v>1819</v>
      </c>
      <c r="C45" s="3" t="s">
        <v>1820</v>
      </c>
      <c r="D45" s="12" t="s">
        <v>198</v>
      </c>
      <c r="E45" s="12" t="s">
        <v>220</v>
      </c>
      <c r="F45" s="31" t="s">
        <v>166</v>
      </c>
      <c r="G45" s="6"/>
      <c r="H45" s="38">
        <f>일위대가!I398</f>
        <v>1367</v>
      </c>
      <c r="I45" s="38">
        <f t="shared" si="0"/>
        <v>1367</v>
      </c>
      <c r="J45" s="38"/>
      <c r="K45" s="38">
        <f>일위대가!L398</f>
        <v>21428</v>
      </c>
      <c r="L45" s="38">
        <f t="shared" si="1"/>
        <v>21428</v>
      </c>
      <c r="M45" s="38">
        <f>일위대가!N398</f>
        <v>0</v>
      </c>
      <c r="N45" s="38">
        <f t="shared" si="2"/>
        <v>0</v>
      </c>
      <c r="O45" s="38">
        <f t="shared" si="3"/>
        <v>22795</v>
      </c>
      <c r="P45" s="38">
        <f t="shared" si="4"/>
        <v>22795</v>
      </c>
      <c r="Q45" s="12"/>
    </row>
    <row r="46" spans="1:17" s="2" customFormat="1" ht="23.1" customHeight="1" x14ac:dyDescent="0.15">
      <c r="A46" s="13" t="s">
        <v>1821</v>
      </c>
      <c r="B46" s="13" t="s">
        <v>1822</v>
      </c>
      <c r="C46" s="3" t="s">
        <v>1823</v>
      </c>
      <c r="D46" s="12" t="s">
        <v>198</v>
      </c>
      <c r="E46" s="12" t="s">
        <v>222</v>
      </c>
      <c r="F46" s="31" t="s">
        <v>166</v>
      </c>
      <c r="G46" s="6"/>
      <c r="H46" s="38">
        <f>일위대가!I405</f>
        <v>2499</v>
      </c>
      <c r="I46" s="38">
        <f t="shared" si="0"/>
        <v>2499</v>
      </c>
      <c r="J46" s="38"/>
      <c r="K46" s="38">
        <f>일위대가!L405</f>
        <v>17734</v>
      </c>
      <c r="L46" s="38">
        <f t="shared" si="1"/>
        <v>17734</v>
      </c>
      <c r="M46" s="38">
        <f>일위대가!N405</f>
        <v>0</v>
      </c>
      <c r="N46" s="38">
        <f t="shared" si="2"/>
        <v>0</v>
      </c>
      <c r="O46" s="38">
        <f t="shared" si="3"/>
        <v>20233</v>
      </c>
      <c r="P46" s="38">
        <f t="shared" si="4"/>
        <v>20233</v>
      </c>
      <c r="Q46" s="12"/>
    </row>
    <row r="47" spans="1:17" s="2" customFormat="1" ht="23.1" customHeight="1" x14ac:dyDescent="0.15">
      <c r="A47" s="13" t="s">
        <v>1824</v>
      </c>
      <c r="B47" s="13" t="s">
        <v>1825</v>
      </c>
      <c r="C47" s="3" t="s">
        <v>1826</v>
      </c>
      <c r="D47" s="12" t="s">
        <v>198</v>
      </c>
      <c r="E47" s="12" t="s">
        <v>224</v>
      </c>
      <c r="F47" s="31" t="s">
        <v>166</v>
      </c>
      <c r="G47" s="6"/>
      <c r="H47" s="38">
        <f>일위대가!I412</f>
        <v>3409</v>
      </c>
      <c r="I47" s="38">
        <f t="shared" si="0"/>
        <v>3409</v>
      </c>
      <c r="J47" s="38"/>
      <c r="K47" s="38">
        <f>일위대가!L412</f>
        <v>21428</v>
      </c>
      <c r="L47" s="38">
        <f t="shared" si="1"/>
        <v>21428</v>
      </c>
      <c r="M47" s="38">
        <f>일위대가!N412</f>
        <v>0</v>
      </c>
      <c r="N47" s="38">
        <f t="shared" si="2"/>
        <v>0</v>
      </c>
      <c r="O47" s="38">
        <f t="shared" si="3"/>
        <v>24837</v>
      </c>
      <c r="P47" s="38">
        <f t="shared" si="4"/>
        <v>24837</v>
      </c>
      <c r="Q47" s="12"/>
    </row>
    <row r="48" spans="1:17" s="2" customFormat="1" ht="23.1" customHeight="1" x14ac:dyDescent="0.15">
      <c r="A48" s="13" t="s">
        <v>1827</v>
      </c>
      <c r="B48" s="13" t="s">
        <v>1828</v>
      </c>
      <c r="C48" s="3" t="s">
        <v>1829</v>
      </c>
      <c r="D48" s="12" t="s">
        <v>198</v>
      </c>
      <c r="E48" s="12" t="s">
        <v>226</v>
      </c>
      <c r="F48" s="31" t="s">
        <v>166</v>
      </c>
      <c r="G48" s="6"/>
      <c r="H48" s="38">
        <f>일위대가!I419</f>
        <v>4439</v>
      </c>
      <c r="I48" s="38">
        <f t="shared" si="0"/>
        <v>4439</v>
      </c>
      <c r="J48" s="38"/>
      <c r="K48" s="38">
        <f>일위대가!L419</f>
        <v>25616</v>
      </c>
      <c r="L48" s="38">
        <f t="shared" si="1"/>
        <v>25616</v>
      </c>
      <c r="M48" s="38">
        <f>일위대가!N419</f>
        <v>0</v>
      </c>
      <c r="N48" s="38">
        <f t="shared" si="2"/>
        <v>0</v>
      </c>
      <c r="O48" s="38">
        <f t="shared" si="3"/>
        <v>30055</v>
      </c>
      <c r="P48" s="38">
        <f t="shared" si="4"/>
        <v>30055</v>
      </c>
      <c r="Q48" s="12"/>
    </row>
    <row r="49" spans="1:33" s="2" customFormat="1" ht="23.1" customHeight="1" x14ac:dyDescent="0.15">
      <c r="A49" s="13" t="s">
        <v>1830</v>
      </c>
      <c r="B49" s="13" t="s">
        <v>1831</v>
      </c>
      <c r="C49" s="3" t="s">
        <v>1832</v>
      </c>
      <c r="D49" s="12" t="s">
        <v>250</v>
      </c>
      <c r="E49" s="12" t="s">
        <v>251</v>
      </c>
      <c r="F49" s="31" t="s">
        <v>200</v>
      </c>
      <c r="G49" s="6"/>
      <c r="H49" s="38">
        <f>일위대가!I425</f>
        <v>3207</v>
      </c>
      <c r="I49" s="38">
        <f t="shared" si="0"/>
        <v>3207</v>
      </c>
      <c r="J49" s="38"/>
      <c r="K49" s="38">
        <f>일위대가!L425</f>
        <v>8210</v>
      </c>
      <c r="L49" s="38">
        <f t="shared" si="1"/>
        <v>8210</v>
      </c>
      <c r="M49" s="38">
        <f>일위대가!N425</f>
        <v>0</v>
      </c>
      <c r="N49" s="38">
        <f t="shared" si="2"/>
        <v>0</v>
      </c>
      <c r="O49" s="38">
        <f t="shared" si="3"/>
        <v>11417</v>
      </c>
      <c r="P49" s="38">
        <f t="shared" si="4"/>
        <v>11417</v>
      </c>
      <c r="Q49" s="12"/>
    </row>
    <row r="50" spans="1:33" s="2" customFormat="1" ht="23.1" customHeight="1" x14ac:dyDescent="0.15">
      <c r="A50" s="13" t="s">
        <v>1833</v>
      </c>
      <c r="B50" s="13" t="s">
        <v>1834</v>
      </c>
      <c r="C50" s="3" t="s">
        <v>1835</v>
      </c>
      <c r="D50" s="12" t="s">
        <v>260</v>
      </c>
      <c r="E50" s="12" t="s">
        <v>261</v>
      </c>
      <c r="F50" s="31" t="s">
        <v>200</v>
      </c>
      <c r="G50" s="6"/>
      <c r="H50" s="38">
        <f>일위대가!I431</f>
        <v>1218</v>
      </c>
      <c r="I50" s="38">
        <f t="shared" si="0"/>
        <v>1218</v>
      </c>
      <c r="J50" s="38"/>
      <c r="K50" s="38">
        <f>일위대가!L431</f>
        <v>29557</v>
      </c>
      <c r="L50" s="38">
        <f t="shared" si="1"/>
        <v>29557</v>
      </c>
      <c r="M50" s="38">
        <f>일위대가!N431</f>
        <v>0</v>
      </c>
      <c r="N50" s="38">
        <f t="shared" si="2"/>
        <v>0</v>
      </c>
      <c r="O50" s="38">
        <f t="shared" si="3"/>
        <v>30775</v>
      </c>
      <c r="P50" s="38">
        <f t="shared" si="4"/>
        <v>30775</v>
      </c>
      <c r="Q50" s="12"/>
    </row>
    <row r="51" spans="1:33" s="2" customFormat="1" ht="23.1" customHeight="1" x14ac:dyDescent="0.15">
      <c r="A51" s="13" t="s">
        <v>1836</v>
      </c>
      <c r="B51" s="13" t="s">
        <v>1837</v>
      </c>
      <c r="C51" s="3" t="s">
        <v>1838</v>
      </c>
      <c r="D51" s="12" t="s">
        <v>260</v>
      </c>
      <c r="E51" s="12" t="s">
        <v>267</v>
      </c>
      <c r="F51" s="31" t="s">
        <v>200</v>
      </c>
      <c r="G51" s="6"/>
      <c r="H51" s="38">
        <f>일위대가!I437</f>
        <v>1321</v>
      </c>
      <c r="I51" s="38">
        <f t="shared" si="0"/>
        <v>1321</v>
      </c>
      <c r="J51" s="38"/>
      <c r="K51" s="38">
        <f>일위대가!L437</f>
        <v>29557</v>
      </c>
      <c r="L51" s="38">
        <f t="shared" si="1"/>
        <v>29557</v>
      </c>
      <c r="M51" s="38">
        <f>일위대가!N437</f>
        <v>0</v>
      </c>
      <c r="N51" s="38">
        <f t="shared" si="2"/>
        <v>0</v>
      </c>
      <c r="O51" s="38">
        <f t="shared" si="3"/>
        <v>30878</v>
      </c>
      <c r="P51" s="38">
        <f t="shared" si="4"/>
        <v>30878</v>
      </c>
      <c r="Q51" s="12"/>
    </row>
    <row r="52" spans="1:33" s="2" customFormat="1" ht="23.1" customHeight="1" x14ac:dyDescent="0.15">
      <c r="A52" s="13" t="s">
        <v>1839</v>
      </c>
      <c r="B52" s="13" t="s">
        <v>1840</v>
      </c>
      <c r="C52" s="3" t="s">
        <v>1841</v>
      </c>
      <c r="D52" s="12" t="s">
        <v>269</v>
      </c>
      <c r="E52" s="12" t="s">
        <v>270</v>
      </c>
      <c r="F52" s="31" t="s">
        <v>200</v>
      </c>
      <c r="G52" s="6"/>
      <c r="H52" s="38">
        <f>일위대가!I443</f>
        <v>1577</v>
      </c>
      <c r="I52" s="38">
        <f t="shared" si="0"/>
        <v>1577</v>
      </c>
      <c r="J52" s="38"/>
      <c r="K52" s="38">
        <f>일위대가!L443</f>
        <v>49261</v>
      </c>
      <c r="L52" s="38">
        <f t="shared" si="1"/>
        <v>49261</v>
      </c>
      <c r="M52" s="38">
        <f>일위대가!N443</f>
        <v>0</v>
      </c>
      <c r="N52" s="38">
        <f t="shared" si="2"/>
        <v>0</v>
      </c>
      <c r="O52" s="38">
        <f t="shared" si="3"/>
        <v>50838</v>
      </c>
      <c r="P52" s="38">
        <f t="shared" si="4"/>
        <v>50838</v>
      </c>
      <c r="Q52" s="12"/>
    </row>
    <row r="53" spans="1:33" s="2" customFormat="1" ht="23.1" customHeight="1" x14ac:dyDescent="0.15">
      <c r="A53" s="13" t="s">
        <v>1842</v>
      </c>
      <c r="B53" s="13" t="s">
        <v>1843</v>
      </c>
      <c r="C53" s="3" t="s">
        <v>1844</v>
      </c>
      <c r="D53" s="12" t="s">
        <v>269</v>
      </c>
      <c r="E53" s="12" t="s">
        <v>272</v>
      </c>
      <c r="F53" s="31" t="s">
        <v>200</v>
      </c>
      <c r="G53" s="6"/>
      <c r="H53" s="38">
        <f>일위대가!I449</f>
        <v>1711</v>
      </c>
      <c r="I53" s="38">
        <f t="shared" si="0"/>
        <v>1711</v>
      </c>
      <c r="J53" s="38"/>
      <c r="K53" s="38">
        <f>일위대가!L449</f>
        <v>49261</v>
      </c>
      <c r="L53" s="38">
        <f t="shared" si="1"/>
        <v>49261</v>
      </c>
      <c r="M53" s="38">
        <f>일위대가!N449</f>
        <v>0</v>
      </c>
      <c r="N53" s="38">
        <f t="shared" si="2"/>
        <v>0</v>
      </c>
      <c r="O53" s="38">
        <f t="shared" si="3"/>
        <v>50972</v>
      </c>
      <c r="P53" s="38">
        <f t="shared" si="4"/>
        <v>50972</v>
      </c>
      <c r="Q53" s="12"/>
    </row>
    <row r="54" spans="1:33" s="2" customFormat="1" ht="23.1" customHeight="1" x14ac:dyDescent="0.15">
      <c r="A54" s="13" t="s">
        <v>1845</v>
      </c>
      <c r="B54" s="13" t="s">
        <v>1846</v>
      </c>
      <c r="C54" s="3" t="s">
        <v>1847</v>
      </c>
      <c r="D54" s="12" t="s">
        <v>274</v>
      </c>
      <c r="E54" s="12" t="s">
        <v>275</v>
      </c>
      <c r="F54" s="31" t="s">
        <v>200</v>
      </c>
      <c r="G54" s="6"/>
      <c r="H54" s="38">
        <f>일위대가!I455</f>
        <v>921</v>
      </c>
      <c r="I54" s="38">
        <f t="shared" si="0"/>
        <v>921</v>
      </c>
      <c r="J54" s="38"/>
      <c r="K54" s="38">
        <f>일위대가!L455</f>
        <v>9852</v>
      </c>
      <c r="L54" s="38">
        <f t="shared" si="1"/>
        <v>9852</v>
      </c>
      <c r="M54" s="38">
        <f>일위대가!N455</f>
        <v>0</v>
      </c>
      <c r="N54" s="38">
        <f t="shared" si="2"/>
        <v>0</v>
      </c>
      <c r="O54" s="38">
        <f t="shared" si="3"/>
        <v>10773</v>
      </c>
      <c r="P54" s="38">
        <f t="shared" si="4"/>
        <v>10773</v>
      </c>
      <c r="Q54" s="12"/>
    </row>
    <row r="55" spans="1:33" s="2" customFormat="1" ht="23.1" customHeight="1" x14ac:dyDescent="0.15">
      <c r="A55" s="13" t="s">
        <v>1848</v>
      </c>
      <c r="B55" s="13" t="s">
        <v>1849</v>
      </c>
      <c r="C55" s="3" t="s">
        <v>1850</v>
      </c>
      <c r="D55" s="12" t="s">
        <v>284</v>
      </c>
      <c r="E55" s="12" t="s">
        <v>285</v>
      </c>
      <c r="F55" s="31" t="s">
        <v>200</v>
      </c>
      <c r="G55" s="6"/>
      <c r="H55" s="38">
        <f>일위대가!I461</f>
        <v>27298</v>
      </c>
      <c r="I55" s="38">
        <f t="shared" si="0"/>
        <v>27298</v>
      </c>
      <c r="J55" s="38"/>
      <c r="K55" s="38">
        <f>일위대가!L461</f>
        <v>172415</v>
      </c>
      <c r="L55" s="38">
        <f t="shared" si="1"/>
        <v>172415</v>
      </c>
      <c r="M55" s="38">
        <f>일위대가!N461</f>
        <v>0</v>
      </c>
      <c r="N55" s="38">
        <f t="shared" si="2"/>
        <v>0</v>
      </c>
      <c r="O55" s="38">
        <f t="shared" si="3"/>
        <v>199713</v>
      </c>
      <c r="P55" s="38">
        <f t="shared" si="4"/>
        <v>199713</v>
      </c>
      <c r="Q55" s="12"/>
    </row>
    <row r="56" spans="1:33" ht="23.1" customHeight="1" x14ac:dyDescent="0.15">
      <c r="A56" s="13" t="s">
        <v>1851</v>
      </c>
      <c r="B56" s="13" t="s">
        <v>1852</v>
      </c>
      <c r="C56" s="3" t="s">
        <v>1853</v>
      </c>
      <c r="D56" s="12" t="s">
        <v>287</v>
      </c>
      <c r="E56" s="12" t="s">
        <v>288</v>
      </c>
      <c r="F56" s="31" t="s">
        <v>289</v>
      </c>
      <c r="G56" s="6"/>
      <c r="H56" s="38">
        <f>일위대가!I467</f>
        <v>2887</v>
      </c>
      <c r="I56" s="38">
        <f t="shared" si="0"/>
        <v>2887</v>
      </c>
      <c r="J56" s="38"/>
      <c r="K56" s="38">
        <f>일위대가!L467</f>
        <v>9852</v>
      </c>
      <c r="L56" s="38">
        <f t="shared" si="1"/>
        <v>9852</v>
      </c>
      <c r="M56" s="38">
        <f>일위대가!N467</f>
        <v>0</v>
      </c>
      <c r="N56" s="38">
        <f t="shared" si="2"/>
        <v>0</v>
      </c>
      <c r="O56" s="38">
        <f t="shared" si="3"/>
        <v>12739</v>
      </c>
      <c r="P56" s="38">
        <f t="shared" si="4"/>
        <v>12739</v>
      </c>
      <c r="Q56" s="12" t="s">
        <v>2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23.1" customHeight="1" x14ac:dyDescent="0.15">
      <c r="A57" s="13" t="s">
        <v>1854</v>
      </c>
      <c r="B57" s="13" t="s">
        <v>1855</v>
      </c>
      <c r="C57" s="3" t="s">
        <v>1856</v>
      </c>
      <c r="D57" s="12" t="s">
        <v>291</v>
      </c>
      <c r="E57" s="12" t="s">
        <v>292</v>
      </c>
      <c r="F57" s="31" t="s">
        <v>200</v>
      </c>
      <c r="G57" s="6"/>
      <c r="H57" s="38">
        <f>일위대가!I473</f>
        <v>3121</v>
      </c>
      <c r="I57" s="38">
        <f t="shared" si="0"/>
        <v>3121</v>
      </c>
      <c r="J57" s="38"/>
      <c r="K57" s="38">
        <f>일위대가!L473</f>
        <v>41872</v>
      </c>
      <c r="L57" s="38">
        <f t="shared" si="1"/>
        <v>41872</v>
      </c>
      <c r="M57" s="38">
        <f>일위대가!N473</f>
        <v>0</v>
      </c>
      <c r="N57" s="38">
        <f t="shared" si="2"/>
        <v>0</v>
      </c>
      <c r="O57" s="38">
        <f t="shared" si="3"/>
        <v>44993</v>
      </c>
      <c r="P57" s="38">
        <f t="shared" si="4"/>
        <v>44993</v>
      </c>
      <c r="Q57" s="1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23.1" customHeight="1" x14ac:dyDescent="0.15">
      <c r="A58" s="13" t="s">
        <v>1857</v>
      </c>
      <c r="B58" s="13" t="s">
        <v>1858</v>
      </c>
      <c r="C58" s="3" t="s">
        <v>1859</v>
      </c>
      <c r="D58" s="12" t="s">
        <v>291</v>
      </c>
      <c r="E58" s="12" t="s">
        <v>294</v>
      </c>
      <c r="F58" s="31" t="s">
        <v>200</v>
      </c>
      <c r="G58" s="6"/>
      <c r="H58" s="38">
        <f>일위대가!I479</f>
        <v>5563</v>
      </c>
      <c r="I58" s="38">
        <f t="shared" si="0"/>
        <v>5563</v>
      </c>
      <c r="J58" s="38"/>
      <c r="K58" s="38">
        <f>일위대가!L479</f>
        <v>135469</v>
      </c>
      <c r="L58" s="38">
        <f t="shared" si="1"/>
        <v>135469</v>
      </c>
      <c r="M58" s="38">
        <f>일위대가!N479</f>
        <v>0</v>
      </c>
      <c r="N58" s="38">
        <f t="shared" si="2"/>
        <v>0</v>
      </c>
      <c r="O58" s="38">
        <f t="shared" si="3"/>
        <v>141032</v>
      </c>
      <c r="P58" s="38">
        <f t="shared" si="4"/>
        <v>141032</v>
      </c>
      <c r="Q58" s="1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23.1" customHeight="1" x14ac:dyDescent="0.15">
      <c r="A59" s="13" t="s">
        <v>1860</v>
      </c>
      <c r="B59" s="13" t="s">
        <v>1861</v>
      </c>
      <c r="C59" s="3" t="s">
        <v>1862</v>
      </c>
      <c r="D59" s="12" t="s">
        <v>291</v>
      </c>
      <c r="E59" s="12" t="s">
        <v>296</v>
      </c>
      <c r="F59" s="31" t="s">
        <v>200</v>
      </c>
      <c r="G59" s="6"/>
      <c r="H59" s="38">
        <f>일위대가!I485</f>
        <v>52202</v>
      </c>
      <c r="I59" s="38">
        <f t="shared" si="0"/>
        <v>52202</v>
      </c>
      <c r="J59" s="38"/>
      <c r="K59" s="38">
        <f>일위대가!L485</f>
        <v>233992</v>
      </c>
      <c r="L59" s="38">
        <f t="shared" si="1"/>
        <v>233992</v>
      </c>
      <c r="M59" s="38">
        <f>일위대가!N485</f>
        <v>0</v>
      </c>
      <c r="N59" s="38">
        <f t="shared" si="2"/>
        <v>0</v>
      </c>
      <c r="O59" s="38">
        <f t="shared" si="3"/>
        <v>286194</v>
      </c>
      <c r="P59" s="38">
        <f t="shared" si="4"/>
        <v>286194</v>
      </c>
      <c r="Q59" s="1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23.1" customHeight="1" x14ac:dyDescent="0.15">
      <c r="A60" s="13" t="s">
        <v>1863</v>
      </c>
      <c r="B60" s="13" t="s">
        <v>1864</v>
      </c>
      <c r="C60" s="3" t="s">
        <v>1865</v>
      </c>
      <c r="D60" s="12" t="s">
        <v>298</v>
      </c>
      <c r="E60" s="12" t="s">
        <v>299</v>
      </c>
      <c r="F60" s="31" t="s">
        <v>1866</v>
      </c>
      <c r="G60" s="6"/>
      <c r="H60" s="38">
        <f>일위대가!I491</f>
        <v>3718</v>
      </c>
      <c r="I60" s="38">
        <f t="shared" si="0"/>
        <v>3718</v>
      </c>
      <c r="J60" s="38"/>
      <c r="K60" s="38">
        <f>일위대가!L491</f>
        <v>54735</v>
      </c>
      <c r="L60" s="38">
        <f t="shared" si="1"/>
        <v>54735</v>
      </c>
      <c r="M60" s="38">
        <f>일위대가!N491</f>
        <v>0</v>
      </c>
      <c r="N60" s="38">
        <f t="shared" si="2"/>
        <v>0</v>
      </c>
      <c r="O60" s="38">
        <f t="shared" si="3"/>
        <v>58453</v>
      </c>
      <c r="P60" s="38">
        <f t="shared" si="4"/>
        <v>58453</v>
      </c>
      <c r="Q60" s="1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23.1" customHeight="1" x14ac:dyDescent="0.15">
      <c r="A61" s="13" t="s">
        <v>1867</v>
      </c>
      <c r="B61" s="13" t="s">
        <v>1868</v>
      </c>
      <c r="C61" s="3" t="s">
        <v>1869</v>
      </c>
      <c r="D61" s="12" t="s">
        <v>298</v>
      </c>
      <c r="E61" s="12" t="s">
        <v>311</v>
      </c>
      <c r="F61" s="31" t="s">
        <v>200</v>
      </c>
      <c r="G61" s="6"/>
      <c r="H61" s="38">
        <f>일위대가!I497</f>
        <v>1198</v>
      </c>
      <c r="I61" s="38">
        <f t="shared" si="0"/>
        <v>1198</v>
      </c>
      <c r="J61" s="38"/>
      <c r="K61" s="38">
        <f>일위대가!L497</f>
        <v>10947</v>
      </c>
      <c r="L61" s="38">
        <f t="shared" si="1"/>
        <v>10947</v>
      </c>
      <c r="M61" s="38">
        <f>일위대가!N497</f>
        <v>0</v>
      </c>
      <c r="N61" s="38">
        <f t="shared" si="2"/>
        <v>0</v>
      </c>
      <c r="O61" s="38">
        <f t="shared" si="3"/>
        <v>12145</v>
      </c>
      <c r="P61" s="38">
        <f t="shared" si="4"/>
        <v>12145</v>
      </c>
      <c r="Q61" s="1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23.1" customHeight="1" x14ac:dyDescent="0.15">
      <c r="A62" s="13" t="s">
        <v>1870</v>
      </c>
      <c r="B62" s="13" t="s">
        <v>1871</v>
      </c>
      <c r="C62" s="3" t="s">
        <v>1872</v>
      </c>
      <c r="D62" s="12" t="s">
        <v>298</v>
      </c>
      <c r="E62" s="12" t="s">
        <v>315</v>
      </c>
      <c r="F62" s="31" t="s">
        <v>200</v>
      </c>
      <c r="G62" s="6"/>
      <c r="H62" s="38">
        <f>일위대가!I503</f>
        <v>2552</v>
      </c>
      <c r="I62" s="38">
        <f t="shared" si="0"/>
        <v>2552</v>
      </c>
      <c r="J62" s="38"/>
      <c r="K62" s="38">
        <f>일위대가!L503</f>
        <v>10947</v>
      </c>
      <c r="L62" s="38">
        <f t="shared" si="1"/>
        <v>10947</v>
      </c>
      <c r="M62" s="38">
        <f>일위대가!N503</f>
        <v>0</v>
      </c>
      <c r="N62" s="38">
        <f t="shared" si="2"/>
        <v>0</v>
      </c>
      <c r="O62" s="38">
        <f t="shared" si="3"/>
        <v>13499</v>
      </c>
      <c r="P62" s="38">
        <f t="shared" si="4"/>
        <v>13499</v>
      </c>
      <c r="Q62" s="1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23.1" customHeight="1" x14ac:dyDescent="0.15">
      <c r="A63" s="13" t="s">
        <v>1873</v>
      </c>
      <c r="B63" s="13" t="s">
        <v>1874</v>
      </c>
      <c r="C63" s="3" t="s">
        <v>1875</v>
      </c>
      <c r="D63" s="12" t="s">
        <v>317</v>
      </c>
      <c r="E63" s="12" t="s">
        <v>318</v>
      </c>
      <c r="F63" s="31" t="s">
        <v>1866</v>
      </c>
      <c r="G63" s="6"/>
      <c r="H63" s="38">
        <f>일위대가!I509</f>
        <v>34904</v>
      </c>
      <c r="I63" s="38">
        <f t="shared" si="0"/>
        <v>34904</v>
      </c>
      <c r="J63" s="38"/>
      <c r="K63" s="38">
        <f>일위대가!L509</f>
        <v>131364</v>
      </c>
      <c r="L63" s="38">
        <f t="shared" si="1"/>
        <v>131364</v>
      </c>
      <c r="M63" s="38">
        <f>일위대가!N509</f>
        <v>0</v>
      </c>
      <c r="N63" s="38">
        <f t="shared" si="2"/>
        <v>0</v>
      </c>
      <c r="O63" s="38">
        <f t="shared" si="3"/>
        <v>166268</v>
      </c>
      <c r="P63" s="38">
        <f t="shared" si="4"/>
        <v>166268</v>
      </c>
      <c r="Q63" s="1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23.1" customHeight="1" x14ac:dyDescent="0.15">
      <c r="A64" s="13" t="s">
        <v>1876</v>
      </c>
      <c r="B64" s="13" t="s">
        <v>1877</v>
      </c>
      <c r="C64" s="3" t="s">
        <v>1878</v>
      </c>
      <c r="D64" s="12" t="s">
        <v>322</v>
      </c>
      <c r="E64" s="12" t="s">
        <v>323</v>
      </c>
      <c r="F64" s="31" t="s">
        <v>200</v>
      </c>
      <c r="G64" s="6"/>
      <c r="H64" s="38">
        <f>일위대가!I515</f>
        <v>48857</v>
      </c>
      <c r="I64" s="38">
        <f t="shared" si="0"/>
        <v>48857</v>
      </c>
      <c r="J64" s="38"/>
      <c r="K64" s="38">
        <f>일위대가!L515</f>
        <v>131364</v>
      </c>
      <c r="L64" s="38">
        <f t="shared" si="1"/>
        <v>131364</v>
      </c>
      <c r="M64" s="38">
        <f>일위대가!N515</f>
        <v>0</v>
      </c>
      <c r="N64" s="38">
        <f t="shared" si="2"/>
        <v>0</v>
      </c>
      <c r="O64" s="38">
        <f t="shared" si="3"/>
        <v>180221</v>
      </c>
      <c r="P64" s="38">
        <f t="shared" si="4"/>
        <v>180221</v>
      </c>
      <c r="Q64" s="1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23.1" customHeight="1" x14ac:dyDescent="0.15">
      <c r="A65" s="13" t="s">
        <v>1879</v>
      </c>
      <c r="B65" s="13" t="s">
        <v>1880</v>
      </c>
      <c r="C65" s="3" t="s">
        <v>1881</v>
      </c>
      <c r="D65" s="12" t="s">
        <v>322</v>
      </c>
      <c r="E65" s="12" t="s">
        <v>325</v>
      </c>
      <c r="F65" s="31" t="s">
        <v>200</v>
      </c>
      <c r="G65" s="6"/>
      <c r="H65" s="38">
        <f>일위대가!I521</f>
        <v>48857</v>
      </c>
      <c r="I65" s="38">
        <f t="shared" si="0"/>
        <v>48857</v>
      </c>
      <c r="J65" s="38"/>
      <c r="K65" s="38">
        <f>일위대가!L521</f>
        <v>131364</v>
      </c>
      <c r="L65" s="38">
        <f t="shared" si="1"/>
        <v>131364</v>
      </c>
      <c r="M65" s="38">
        <f>일위대가!N521</f>
        <v>0</v>
      </c>
      <c r="N65" s="38">
        <f t="shared" si="2"/>
        <v>0</v>
      </c>
      <c r="O65" s="38">
        <f t="shared" si="3"/>
        <v>180221</v>
      </c>
      <c r="P65" s="38">
        <f t="shared" si="4"/>
        <v>180221</v>
      </c>
      <c r="Q65" s="1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23.1" customHeight="1" x14ac:dyDescent="0.15">
      <c r="A66" s="13" t="s">
        <v>1882</v>
      </c>
      <c r="B66" s="13" t="s">
        <v>1883</v>
      </c>
      <c r="C66" s="3" t="s">
        <v>1884</v>
      </c>
      <c r="D66" s="12" t="s">
        <v>317</v>
      </c>
      <c r="E66" s="12" t="s">
        <v>342</v>
      </c>
      <c r="F66" s="31" t="s">
        <v>1866</v>
      </c>
      <c r="G66" s="6"/>
      <c r="H66" s="38">
        <f>일위대가!I527</f>
        <v>12499</v>
      </c>
      <c r="I66" s="38">
        <f t="shared" si="0"/>
        <v>12499</v>
      </c>
      <c r="J66" s="38"/>
      <c r="K66" s="38">
        <f>일위대가!L527</f>
        <v>43788</v>
      </c>
      <c r="L66" s="38">
        <f t="shared" si="1"/>
        <v>43788</v>
      </c>
      <c r="M66" s="38">
        <f>일위대가!N527</f>
        <v>0</v>
      </c>
      <c r="N66" s="38">
        <f t="shared" si="2"/>
        <v>0</v>
      </c>
      <c r="O66" s="38">
        <f t="shared" si="3"/>
        <v>56287</v>
      </c>
      <c r="P66" s="38">
        <f t="shared" si="4"/>
        <v>56287</v>
      </c>
      <c r="Q66" s="1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23.1" customHeight="1" x14ac:dyDescent="0.15">
      <c r="A67" s="13" t="s">
        <v>1885</v>
      </c>
      <c r="B67" s="13" t="s">
        <v>1886</v>
      </c>
      <c r="C67" s="3" t="s">
        <v>1887</v>
      </c>
      <c r="D67" s="12" t="s">
        <v>322</v>
      </c>
      <c r="E67" s="12" t="s">
        <v>344</v>
      </c>
      <c r="F67" s="31" t="s">
        <v>200</v>
      </c>
      <c r="G67" s="6"/>
      <c r="H67" s="38">
        <f>일위대가!I533</f>
        <v>13785</v>
      </c>
      <c r="I67" s="38">
        <f t="shared" si="0"/>
        <v>13785</v>
      </c>
      <c r="J67" s="38"/>
      <c r="K67" s="38">
        <f>일위대가!L533</f>
        <v>43788</v>
      </c>
      <c r="L67" s="38">
        <f t="shared" si="1"/>
        <v>43788</v>
      </c>
      <c r="M67" s="38">
        <f>일위대가!N533</f>
        <v>0</v>
      </c>
      <c r="N67" s="38">
        <f t="shared" si="2"/>
        <v>0</v>
      </c>
      <c r="O67" s="38">
        <f t="shared" si="3"/>
        <v>57573</v>
      </c>
      <c r="P67" s="38">
        <f t="shared" si="4"/>
        <v>57573</v>
      </c>
      <c r="Q67" s="1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23.1" customHeight="1" x14ac:dyDescent="0.15">
      <c r="A68" s="13" t="s">
        <v>1888</v>
      </c>
      <c r="B68" s="13" t="s">
        <v>1889</v>
      </c>
      <c r="C68" s="3" t="s">
        <v>1890</v>
      </c>
      <c r="D68" s="12" t="s">
        <v>322</v>
      </c>
      <c r="E68" s="12" t="s">
        <v>346</v>
      </c>
      <c r="F68" s="31" t="s">
        <v>200</v>
      </c>
      <c r="G68" s="6"/>
      <c r="H68" s="38">
        <f>일위대가!I539</f>
        <v>19075</v>
      </c>
      <c r="I68" s="38">
        <f t="shared" ref="I68:I131" si="5">H68</f>
        <v>19075</v>
      </c>
      <c r="J68" s="38"/>
      <c r="K68" s="38">
        <f>일위대가!L539</f>
        <v>43788</v>
      </c>
      <c r="L68" s="38">
        <f t="shared" ref="L68:L131" si="6">K68</f>
        <v>43788</v>
      </c>
      <c r="M68" s="38">
        <f>일위대가!N539</f>
        <v>0</v>
      </c>
      <c r="N68" s="38">
        <f t="shared" ref="N68:N131" si="7">M68</f>
        <v>0</v>
      </c>
      <c r="O68" s="38">
        <f t="shared" ref="O68:O131" si="8">IF((H68+K68+M68)=0, "", (H68+K68+M68))</f>
        <v>62863</v>
      </c>
      <c r="P68" s="38">
        <f t="shared" ref="P68:P131" si="9">SUM(I68,L68,N68)</f>
        <v>62863</v>
      </c>
      <c r="Q68" s="1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23.1" customHeight="1" x14ac:dyDescent="0.15">
      <c r="A69" s="13" t="s">
        <v>1891</v>
      </c>
      <c r="B69" s="13" t="s">
        <v>1892</v>
      </c>
      <c r="C69" s="3" t="s">
        <v>1893</v>
      </c>
      <c r="D69" s="12" t="s">
        <v>351</v>
      </c>
      <c r="E69" s="12" t="s">
        <v>352</v>
      </c>
      <c r="F69" s="31" t="s">
        <v>1866</v>
      </c>
      <c r="G69" s="6"/>
      <c r="H69" s="38">
        <f>일위대가!I545</f>
        <v>16311</v>
      </c>
      <c r="I69" s="38">
        <f t="shared" si="5"/>
        <v>16311</v>
      </c>
      <c r="J69" s="38"/>
      <c r="K69" s="38">
        <f>일위대가!L545</f>
        <v>123154</v>
      </c>
      <c r="L69" s="38">
        <f t="shared" si="6"/>
        <v>123154</v>
      </c>
      <c r="M69" s="38">
        <f>일위대가!N545</f>
        <v>0</v>
      </c>
      <c r="N69" s="38">
        <f t="shared" si="7"/>
        <v>0</v>
      </c>
      <c r="O69" s="38">
        <f t="shared" si="8"/>
        <v>139465</v>
      </c>
      <c r="P69" s="38">
        <f t="shared" si="9"/>
        <v>139465</v>
      </c>
      <c r="Q69" s="1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23.1" customHeight="1" x14ac:dyDescent="0.15">
      <c r="A70" s="13" t="s">
        <v>1894</v>
      </c>
      <c r="B70" s="13" t="s">
        <v>1895</v>
      </c>
      <c r="C70" s="3" t="s">
        <v>1896</v>
      </c>
      <c r="D70" s="12" t="s">
        <v>354</v>
      </c>
      <c r="E70" s="12" t="s">
        <v>355</v>
      </c>
      <c r="F70" s="31" t="s">
        <v>200</v>
      </c>
      <c r="G70" s="6"/>
      <c r="H70" s="38">
        <f>일위대가!I551</f>
        <v>20560</v>
      </c>
      <c r="I70" s="38">
        <f t="shared" si="5"/>
        <v>20560</v>
      </c>
      <c r="J70" s="38"/>
      <c r="K70" s="38">
        <f>일위대가!L551</f>
        <v>123154</v>
      </c>
      <c r="L70" s="38">
        <f t="shared" si="6"/>
        <v>123154</v>
      </c>
      <c r="M70" s="38">
        <f>일위대가!N551</f>
        <v>0</v>
      </c>
      <c r="N70" s="38">
        <f t="shared" si="7"/>
        <v>0</v>
      </c>
      <c r="O70" s="38">
        <f t="shared" si="8"/>
        <v>143714</v>
      </c>
      <c r="P70" s="38">
        <f t="shared" si="9"/>
        <v>143714</v>
      </c>
      <c r="Q70" s="1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23.1" customHeight="1" x14ac:dyDescent="0.15">
      <c r="A71" s="13" t="s">
        <v>1897</v>
      </c>
      <c r="B71" s="13" t="s">
        <v>1898</v>
      </c>
      <c r="C71" s="3" t="s">
        <v>1899</v>
      </c>
      <c r="D71" s="12" t="s">
        <v>354</v>
      </c>
      <c r="E71" s="12" t="s">
        <v>357</v>
      </c>
      <c r="F71" s="31" t="s">
        <v>200</v>
      </c>
      <c r="G71" s="6"/>
      <c r="H71" s="38">
        <f>일위대가!I557</f>
        <v>20560</v>
      </c>
      <c r="I71" s="38">
        <f t="shared" si="5"/>
        <v>20560</v>
      </c>
      <c r="J71" s="38"/>
      <c r="K71" s="38">
        <f>일위대가!L557</f>
        <v>123154</v>
      </c>
      <c r="L71" s="38">
        <f t="shared" si="6"/>
        <v>123154</v>
      </c>
      <c r="M71" s="38">
        <f>일위대가!N557</f>
        <v>0</v>
      </c>
      <c r="N71" s="38">
        <f t="shared" si="7"/>
        <v>0</v>
      </c>
      <c r="O71" s="38">
        <f t="shared" si="8"/>
        <v>143714</v>
      </c>
      <c r="P71" s="38">
        <f t="shared" si="9"/>
        <v>143714</v>
      </c>
      <c r="Q71" s="1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23.1" customHeight="1" x14ac:dyDescent="0.15">
      <c r="A72" s="13" t="s">
        <v>1900</v>
      </c>
      <c r="B72" s="13" t="s">
        <v>1901</v>
      </c>
      <c r="C72" s="3" t="s">
        <v>1902</v>
      </c>
      <c r="D72" s="12" t="s">
        <v>397</v>
      </c>
      <c r="E72" s="12" t="s">
        <v>398</v>
      </c>
      <c r="F72" s="31" t="s">
        <v>166</v>
      </c>
      <c r="G72" s="6"/>
      <c r="H72" s="38">
        <f>일위대가!I564</f>
        <v>411</v>
      </c>
      <c r="I72" s="38">
        <f t="shared" si="5"/>
        <v>411</v>
      </c>
      <c r="J72" s="38"/>
      <c r="K72" s="38">
        <f>일위대가!L564</f>
        <v>2353</v>
      </c>
      <c r="L72" s="38">
        <f t="shared" si="6"/>
        <v>2353</v>
      </c>
      <c r="M72" s="38">
        <f>일위대가!N564</f>
        <v>0</v>
      </c>
      <c r="N72" s="38">
        <f t="shared" si="7"/>
        <v>0</v>
      </c>
      <c r="O72" s="38">
        <f t="shared" si="8"/>
        <v>2764</v>
      </c>
      <c r="P72" s="38">
        <f t="shared" si="9"/>
        <v>2764</v>
      </c>
      <c r="Q72" s="1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23.1" customHeight="1" x14ac:dyDescent="0.15">
      <c r="A73" s="13" t="s">
        <v>1903</v>
      </c>
      <c r="B73" s="13" t="s">
        <v>1904</v>
      </c>
      <c r="C73" s="3" t="s">
        <v>1905</v>
      </c>
      <c r="D73" s="12" t="s">
        <v>397</v>
      </c>
      <c r="E73" s="12" t="s">
        <v>404</v>
      </c>
      <c r="F73" s="31" t="s">
        <v>166</v>
      </c>
      <c r="G73" s="6"/>
      <c r="H73" s="38">
        <f>일위대가!I571</f>
        <v>590</v>
      </c>
      <c r="I73" s="38">
        <f t="shared" si="5"/>
        <v>590</v>
      </c>
      <c r="J73" s="38"/>
      <c r="K73" s="38">
        <f>일위대가!L571</f>
        <v>2353</v>
      </c>
      <c r="L73" s="38">
        <f t="shared" si="6"/>
        <v>2353</v>
      </c>
      <c r="M73" s="38">
        <f>일위대가!N571</f>
        <v>0</v>
      </c>
      <c r="N73" s="38">
        <f t="shared" si="7"/>
        <v>0</v>
      </c>
      <c r="O73" s="38">
        <f t="shared" si="8"/>
        <v>2943</v>
      </c>
      <c r="P73" s="38">
        <f t="shared" si="9"/>
        <v>2943</v>
      </c>
      <c r="Q73" s="1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23.1" customHeight="1" x14ac:dyDescent="0.15">
      <c r="A74" s="13" t="s">
        <v>1906</v>
      </c>
      <c r="B74" s="13" t="s">
        <v>1907</v>
      </c>
      <c r="C74" s="3" t="s">
        <v>1908</v>
      </c>
      <c r="D74" s="12" t="s">
        <v>397</v>
      </c>
      <c r="E74" s="12" t="s">
        <v>406</v>
      </c>
      <c r="F74" s="31" t="s">
        <v>166</v>
      </c>
      <c r="G74" s="6"/>
      <c r="H74" s="38">
        <f>일위대가!I578</f>
        <v>879</v>
      </c>
      <c r="I74" s="38">
        <f t="shared" si="5"/>
        <v>879</v>
      </c>
      <c r="J74" s="38"/>
      <c r="K74" s="38">
        <f>일위대가!L578</f>
        <v>2353</v>
      </c>
      <c r="L74" s="38">
        <f t="shared" si="6"/>
        <v>2353</v>
      </c>
      <c r="M74" s="38">
        <f>일위대가!N578</f>
        <v>0</v>
      </c>
      <c r="N74" s="38">
        <f t="shared" si="7"/>
        <v>0</v>
      </c>
      <c r="O74" s="38">
        <f t="shared" si="8"/>
        <v>3232</v>
      </c>
      <c r="P74" s="38">
        <f t="shared" si="9"/>
        <v>3232</v>
      </c>
      <c r="Q74" s="1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23.1" customHeight="1" x14ac:dyDescent="0.15">
      <c r="A75" s="13" t="s">
        <v>1909</v>
      </c>
      <c r="B75" s="13" t="s">
        <v>1910</v>
      </c>
      <c r="C75" s="3" t="s">
        <v>1911</v>
      </c>
      <c r="D75" s="12" t="s">
        <v>408</v>
      </c>
      <c r="E75" s="12" t="s">
        <v>409</v>
      </c>
      <c r="F75" s="31" t="s">
        <v>166</v>
      </c>
      <c r="G75" s="6"/>
      <c r="H75" s="38">
        <f>일위대가!I585</f>
        <v>1066</v>
      </c>
      <c r="I75" s="38">
        <f t="shared" si="5"/>
        <v>1066</v>
      </c>
      <c r="J75" s="38"/>
      <c r="K75" s="38">
        <f>일위대가!L585</f>
        <v>2463</v>
      </c>
      <c r="L75" s="38">
        <f t="shared" si="6"/>
        <v>2463</v>
      </c>
      <c r="M75" s="38">
        <f>일위대가!N585</f>
        <v>0</v>
      </c>
      <c r="N75" s="38">
        <f t="shared" si="7"/>
        <v>0</v>
      </c>
      <c r="O75" s="38">
        <f t="shared" si="8"/>
        <v>3529</v>
      </c>
      <c r="P75" s="38">
        <f t="shared" si="9"/>
        <v>3529</v>
      </c>
      <c r="Q75" s="1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23.1" customHeight="1" x14ac:dyDescent="0.15">
      <c r="A76" s="13" t="s">
        <v>1912</v>
      </c>
      <c r="B76" s="13" t="s">
        <v>1913</v>
      </c>
      <c r="C76" s="3" t="s">
        <v>1914</v>
      </c>
      <c r="D76" s="12" t="s">
        <v>408</v>
      </c>
      <c r="E76" s="12" t="s">
        <v>413</v>
      </c>
      <c r="F76" s="31" t="s">
        <v>166</v>
      </c>
      <c r="G76" s="6"/>
      <c r="H76" s="38">
        <f>일위대가!I592</f>
        <v>1183</v>
      </c>
      <c r="I76" s="38">
        <f t="shared" si="5"/>
        <v>1183</v>
      </c>
      <c r="J76" s="38"/>
      <c r="K76" s="38">
        <f>일위대가!L592</f>
        <v>2463</v>
      </c>
      <c r="L76" s="38">
        <f t="shared" si="6"/>
        <v>2463</v>
      </c>
      <c r="M76" s="38">
        <f>일위대가!N592</f>
        <v>0</v>
      </c>
      <c r="N76" s="38">
        <f t="shared" si="7"/>
        <v>0</v>
      </c>
      <c r="O76" s="38">
        <f t="shared" si="8"/>
        <v>3646</v>
      </c>
      <c r="P76" s="38">
        <f t="shared" si="9"/>
        <v>3646</v>
      </c>
      <c r="Q76" s="1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23.1" customHeight="1" x14ac:dyDescent="0.15">
      <c r="A77" s="13" t="s">
        <v>1915</v>
      </c>
      <c r="B77" s="13" t="s">
        <v>1916</v>
      </c>
      <c r="C77" s="3" t="s">
        <v>1917</v>
      </c>
      <c r="D77" s="12" t="s">
        <v>408</v>
      </c>
      <c r="E77" s="12" t="s">
        <v>415</v>
      </c>
      <c r="F77" s="31" t="s">
        <v>166</v>
      </c>
      <c r="G77" s="6"/>
      <c r="H77" s="38">
        <f>일위대가!I599</f>
        <v>2106</v>
      </c>
      <c r="I77" s="38">
        <f t="shared" si="5"/>
        <v>2106</v>
      </c>
      <c r="J77" s="38"/>
      <c r="K77" s="38">
        <f>일위대가!L599</f>
        <v>2463</v>
      </c>
      <c r="L77" s="38">
        <f t="shared" si="6"/>
        <v>2463</v>
      </c>
      <c r="M77" s="38">
        <f>일위대가!N599</f>
        <v>0</v>
      </c>
      <c r="N77" s="38">
        <f t="shared" si="7"/>
        <v>0</v>
      </c>
      <c r="O77" s="38">
        <f t="shared" si="8"/>
        <v>4569</v>
      </c>
      <c r="P77" s="38">
        <f t="shared" si="9"/>
        <v>4569</v>
      </c>
      <c r="Q77" s="1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23.1" customHeight="1" x14ac:dyDescent="0.15">
      <c r="A78" s="13" t="s">
        <v>1918</v>
      </c>
      <c r="B78" s="13" t="s">
        <v>1919</v>
      </c>
      <c r="C78" s="3" t="s">
        <v>1920</v>
      </c>
      <c r="D78" s="12" t="s">
        <v>408</v>
      </c>
      <c r="E78" s="12" t="s">
        <v>417</v>
      </c>
      <c r="F78" s="31" t="s">
        <v>166</v>
      </c>
      <c r="G78" s="6"/>
      <c r="H78" s="38">
        <f>일위대가!I606</f>
        <v>2658</v>
      </c>
      <c r="I78" s="38">
        <f t="shared" si="5"/>
        <v>2658</v>
      </c>
      <c r="J78" s="38"/>
      <c r="K78" s="38">
        <f>일위대가!L606</f>
        <v>2873</v>
      </c>
      <c r="L78" s="38">
        <f t="shared" si="6"/>
        <v>2873</v>
      </c>
      <c r="M78" s="38">
        <f>일위대가!N606</f>
        <v>0</v>
      </c>
      <c r="N78" s="38">
        <f t="shared" si="7"/>
        <v>0</v>
      </c>
      <c r="O78" s="38">
        <f t="shared" si="8"/>
        <v>5531</v>
      </c>
      <c r="P78" s="38">
        <f t="shared" si="9"/>
        <v>5531</v>
      </c>
      <c r="Q78" s="1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23.1" customHeight="1" x14ac:dyDescent="0.15">
      <c r="A79" s="13" t="s">
        <v>1921</v>
      </c>
      <c r="B79" s="13" t="s">
        <v>1922</v>
      </c>
      <c r="C79" s="3" t="s">
        <v>1923</v>
      </c>
      <c r="D79" s="12" t="s">
        <v>408</v>
      </c>
      <c r="E79" s="12" t="s">
        <v>419</v>
      </c>
      <c r="F79" s="31" t="s">
        <v>166</v>
      </c>
      <c r="G79" s="6"/>
      <c r="H79" s="38">
        <f>일위대가!I613</f>
        <v>4233</v>
      </c>
      <c r="I79" s="38">
        <f t="shared" si="5"/>
        <v>4233</v>
      </c>
      <c r="J79" s="38"/>
      <c r="K79" s="38">
        <f>일위대가!L613</f>
        <v>2873</v>
      </c>
      <c r="L79" s="38">
        <f t="shared" si="6"/>
        <v>2873</v>
      </c>
      <c r="M79" s="38">
        <f>일위대가!N613</f>
        <v>0</v>
      </c>
      <c r="N79" s="38">
        <f t="shared" si="7"/>
        <v>0</v>
      </c>
      <c r="O79" s="38">
        <f t="shared" si="8"/>
        <v>7106</v>
      </c>
      <c r="P79" s="38">
        <f t="shared" si="9"/>
        <v>7106</v>
      </c>
      <c r="Q79" s="1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23.1" customHeight="1" x14ac:dyDescent="0.15">
      <c r="A80" s="13" t="s">
        <v>1924</v>
      </c>
      <c r="B80" s="13" t="s">
        <v>1925</v>
      </c>
      <c r="C80" s="3" t="s">
        <v>1926</v>
      </c>
      <c r="D80" s="12" t="s">
        <v>408</v>
      </c>
      <c r="E80" s="12" t="s">
        <v>421</v>
      </c>
      <c r="F80" s="31" t="s">
        <v>166</v>
      </c>
      <c r="G80" s="6"/>
      <c r="H80" s="38">
        <f>일위대가!I620</f>
        <v>5972</v>
      </c>
      <c r="I80" s="38">
        <f t="shared" si="5"/>
        <v>5972</v>
      </c>
      <c r="J80" s="38"/>
      <c r="K80" s="38">
        <f>일위대가!L620</f>
        <v>2873</v>
      </c>
      <c r="L80" s="38">
        <f t="shared" si="6"/>
        <v>2873</v>
      </c>
      <c r="M80" s="38">
        <f>일위대가!N620</f>
        <v>0</v>
      </c>
      <c r="N80" s="38">
        <f t="shared" si="7"/>
        <v>0</v>
      </c>
      <c r="O80" s="38">
        <f t="shared" si="8"/>
        <v>8845</v>
      </c>
      <c r="P80" s="38">
        <f t="shared" si="9"/>
        <v>8845</v>
      </c>
      <c r="Q80" s="1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23.1" customHeight="1" x14ac:dyDescent="0.15">
      <c r="A81" s="13" t="s">
        <v>1927</v>
      </c>
      <c r="B81" s="13" t="s">
        <v>1928</v>
      </c>
      <c r="C81" s="3" t="s">
        <v>1929</v>
      </c>
      <c r="D81" s="12" t="s">
        <v>408</v>
      </c>
      <c r="E81" s="12" t="s">
        <v>423</v>
      </c>
      <c r="F81" s="31" t="s">
        <v>166</v>
      </c>
      <c r="G81" s="6"/>
      <c r="H81" s="38">
        <f>일위대가!I627</f>
        <v>7856</v>
      </c>
      <c r="I81" s="38">
        <f t="shared" si="5"/>
        <v>7856</v>
      </c>
      <c r="J81" s="38"/>
      <c r="K81" s="38">
        <f>일위대가!L627</f>
        <v>3284</v>
      </c>
      <c r="L81" s="38">
        <f t="shared" si="6"/>
        <v>3284</v>
      </c>
      <c r="M81" s="38">
        <f>일위대가!N627</f>
        <v>0</v>
      </c>
      <c r="N81" s="38">
        <f t="shared" si="7"/>
        <v>0</v>
      </c>
      <c r="O81" s="38">
        <f t="shared" si="8"/>
        <v>11140</v>
      </c>
      <c r="P81" s="38">
        <f t="shared" si="9"/>
        <v>11140</v>
      </c>
      <c r="Q81" s="1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23.1" customHeight="1" x14ac:dyDescent="0.15">
      <c r="A82" s="13" t="s">
        <v>1930</v>
      </c>
      <c r="B82" s="13" t="s">
        <v>1931</v>
      </c>
      <c r="C82" s="3" t="s">
        <v>1932</v>
      </c>
      <c r="D82" s="12" t="s">
        <v>408</v>
      </c>
      <c r="E82" s="12" t="s">
        <v>425</v>
      </c>
      <c r="F82" s="31" t="s">
        <v>166</v>
      </c>
      <c r="G82" s="6"/>
      <c r="H82" s="38">
        <f>일위대가!I634</f>
        <v>11129</v>
      </c>
      <c r="I82" s="38">
        <f t="shared" si="5"/>
        <v>11129</v>
      </c>
      <c r="J82" s="38"/>
      <c r="K82" s="38">
        <f>일위대가!L634</f>
        <v>3284</v>
      </c>
      <c r="L82" s="38">
        <f t="shared" si="6"/>
        <v>3284</v>
      </c>
      <c r="M82" s="38">
        <f>일위대가!N634</f>
        <v>0</v>
      </c>
      <c r="N82" s="38">
        <f t="shared" si="7"/>
        <v>0</v>
      </c>
      <c r="O82" s="38">
        <f t="shared" si="8"/>
        <v>14413</v>
      </c>
      <c r="P82" s="38">
        <f t="shared" si="9"/>
        <v>14413</v>
      </c>
      <c r="Q82" s="12" t="s">
        <v>2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23.1" customHeight="1" x14ac:dyDescent="0.15">
      <c r="A83" s="13" t="s">
        <v>1933</v>
      </c>
      <c r="B83" s="13" t="s">
        <v>1934</v>
      </c>
      <c r="C83" s="3" t="s">
        <v>1935</v>
      </c>
      <c r="D83" s="12" t="s">
        <v>408</v>
      </c>
      <c r="E83" s="12" t="s">
        <v>427</v>
      </c>
      <c r="F83" s="31" t="s">
        <v>166</v>
      </c>
      <c r="G83" s="6"/>
      <c r="H83" s="38">
        <f>일위대가!I641</f>
        <v>14906</v>
      </c>
      <c r="I83" s="38">
        <f t="shared" si="5"/>
        <v>14906</v>
      </c>
      <c r="J83" s="38"/>
      <c r="K83" s="38">
        <f>일위대가!L641</f>
        <v>3284</v>
      </c>
      <c r="L83" s="38">
        <f t="shared" si="6"/>
        <v>3284</v>
      </c>
      <c r="M83" s="38">
        <f>일위대가!N641</f>
        <v>0</v>
      </c>
      <c r="N83" s="38">
        <f t="shared" si="7"/>
        <v>0</v>
      </c>
      <c r="O83" s="38">
        <f t="shared" si="8"/>
        <v>18190</v>
      </c>
      <c r="P83" s="38">
        <f t="shared" si="9"/>
        <v>18190</v>
      </c>
      <c r="Q83" s="1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23.1" customHeight="1" x14ac:dyDescent="0.15">
      <c r="A84" s="13" t="s">
        <v>1936</v>
      </c>
      <c r="B84" s="13" t="s">
        <v>1937</v>
      </c>
      <c r="C84" s="3" t="s">
        <v>1938</v>
      </c>
      <c r="D84" s="12" t="s">
        <v>408</v>
      </c>
      <c r="E84" s="12" t="s">
        <v>429</v>
      </c>
      <c r="F84" s="31" t="s">
        <v>166</v>
      </c>
      <c r="G84" s="6"/>
      <c r="H84" s="38">
        <f>일위대가!I648</f>
        <v>18751</v>
      </c>
      <c r="I84" s="38">
        <f t="shared" si="5"/>
        <v>18751</v>
      </c>
      <c r="J84" s="38"/>
      <c r="K84" s="38">
        <f>일위대가!L648</f>
        <v>4515</v>
      </c>
      <c r="L84" s="38">
        <f t="shared" si="6"/>
        <v>4515</v>
      </c>
      <c r="M84" s="38">
        <f>일위대가!N648</f>
        <v>0</v>
      </c>
      <c r="N84" s="38">
        <f t="shared" si="7"/>
        <v>0</v>
      </c>
      <c r="O84" s="38">
        <f t="shared" si="8"/>
        <v>23266</v>
      </c>
      <c r="P84" s="38">
        <f t="shared" si="9"/>
        <v>23266</v>
      </c>
      <c r="Q84" s="1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23.1" customHeight="1" x14ac:dyDescent="0.15">
      <c r="A85" s="13" t="s">
        <v>1939</v>
      </c>
      <c r="B85" s="13" t="s">
        <v>1940</v>
      </c>
      <c r="C85" s="3" t="s">
        <v>1941</v>
      </c>
      <c r="D85" s="12" t="s">
        <v>431</v>
      </c>
      <c r="E85" s="12" t="s">
        <v>423</v>
      </c>
      <c r="F85" s="31" t="s">
        <v>166</v>
      </c>
      <c r="G85" s="6"/>
      <c r="H85" s="38">
        <f>일위대가!I655</f>
        <v>8374</v>
      </c>
      <c r="I85" s="38">
        <f t="shared" si="5"/>
        <v>8374</v>
      </c>
      <c r="J85" s="38"/>
      <c r="K85" s="38">
        <f>일위대가!L655</f>
        <v>2189</v>
      </c>
      <c r="L85" s="38">
        <f t="shared" si="6"/>
        <v>2189</v>
      </c>
      <c r="M85" s="38">
        <f>일위대가!N655</f>
        <v>0</v>
      </c>
      <c r="N85" s="38">
        <f t="shared" si="7"/>
        <v>0</v>
      </c>
      <c r="O85" s="38">
        <f t="shared" si="8"/>
        <v>10563</v>
      </c>
      <c r="P85" s="38">
        <f t="shared" si="9"/>
        <v>10563</v>
      </c>
      <c r="Q85" s="1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23.1" customHeight="1" x14ac:dyDescent="0.15">
      <c r="A86" s="13" t="s">
        <v>1942</v>
      </c>
      <c r="B86" s="13" t="s">
        <v>1943</v>
      </c>
      <c r="C86" s="3" t="s">
        <v>1944</v>
      </c>
      <c r="D86" s="12" t="s">
        <v>435</v>
      </c>
      <c r="E86" s="12" t="s">
        <v>436</v>
      </c>
      <c r="F86" s="31" t="s">
        <v>166</v>
      </c>
      <c r="G86" s="6"/>
      <c r="H86" s="38">
        <f>일위대가!I662</f>
        <v>13057</v>
      </c>
      <c r="I86" s="38">
        <f t="shared" si="5"/>
        <v>13057</v>
      </c>
      <c r="J86" s="38"/>
      <c r="K86" s="38">
        <f>일위대가!L662</f>
        <v>15603</v>
      </c>
      <c r="L86" s="38">
        <f t="shared" si="6"/>
        <v>15603</v>
      </c>
      <c r="M86" s="38">
        <f>일위대가!N662</f>
        <v>0</v>
      </c>
      <c r="N86" s="38">
        <f t="shared" si="7"/>
        <v>0</v>
      </c>
      <c r="O86" s="38">
        <f t="shared" si="8"/>
        <v>28660</v>
      </c>
      <c r="P86" s="38">
        <f t="shared" si="9"/>
        <v>28660</v>
      </c>
      <c r="Q86" s="1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23.1" customHeight="1" x14ac:dyDescent="0.15">
      <c r="A87" s="13" t="s">
        <v>1945</v>
      </c>
      <c r="B87" s="13" t="s">
        <v>1946</v>
      </c>
      <c r="C87" s="3" t="s">
        <v>1947</v>
      </c>
      <c r="D87" s="12" t="s">
        <v>440</v>
      </c>
      <c r="E87" s="12" t="s">
        <v>441</v>
      </c>
      <c r="F87" s="31" t="s">
        <v>166</v>
      </c>
      <c r="G87" s="6"/>
      <c r="H87" s="38">
        <f>일위대가!I669</f>
        <v>9299</v>
      </c>
      <c r="I87" s="38">
        <f t="shared" si="5"/>
        <v>9299</v>
      </c>
      <c r="J87" s="38"/>
      <c r="K87" s="38">
        <f>일위대가!L669</f>
        <v>11101</v>
      </c>
      <c r="L87" s="38">
        <f t="shared" si="6"/>
        <v>11101</v>
      </c>
      <c r="M87" s="38">
        <f>일위대가!N669</f>
        <v>0</v>
      </c>
      <c r="N87" s="38">
        <f t="shared" si="7"/>
        <v>0</v>
      </c>
      <c r="O87" s="38">
        <f t="shared" si="8"/>
        <v>20400</v>
      </c>
      <c r="P87" s="38">
        <f t="shared" si="9"/>
        <v>20400</v>
      </c>
      <c r="Q87" s="1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23.1" customHeight="1" x14ac:dyDescent="0.15">
      <c r="A88" s="13" t="s">
        <v>1948</v>
      </c>
      <c r="B88" s="13" t="s">
        <v>1949</v>
      </c>
      <c r="C88" s="3" t="s">
        <v>1950</v>
      </c>
      <c r="D88" s="12" t="s">
        <v>440</v>
      </c>
      <c r="E88" s="12" t="s">
        <v>436</v>
      </c>
      <c r="F88" s="31" t="s">
        <v>166</v>
      </c>
      <c r="G88" s="6"/>
      <c r="H88" s="38">
        <f>일위대가!I676</f>
        <v>13040</v>
      </c>
      <c r="I88" s="38">
        <f t="shared" si="5"/>
        <v>13040</v>
      </c>
      <c r="J88" s="38"/>
      <c r="K88" s="38">
        <f>일위대가!L676</f>
        <v>14721</v>
      </c>
      <c r="L88" s="38">
        <f t="shared" si="6"/>
        <v>14721</v>
      </c>
      <c r="M88" s="38">
        <f>일위대가!N676</f>
        <v>0</v>
      </c>
      <c r="N88" s="38">
        <f t="shared" si="7"/>
        <v>0</v>
      </c>
      <c r="O88" s="38">
        <f t="shared" si="8"/>
        <v>27761</v>
      </c>
      <c r="P88" s="38">
        <f t="shared" si="9"/>
        <v>27761</v>
      </c>
      <c r="Q88" s="1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23.1" customHeight="1" x14ac:dyDescent="0.15">
      <c r="A89" s="13" t="s">
        <v>1951</v>
      </c>
      <c r="B89" s="13" t="s">
        <v>1952</v>
      </c>
      <c r="C89" s="3" t="s">
        <v>1953</v>
      </c>
      <c r="D89" s="12" t="s">
        <v>445</v>
      </c>
      <c r="E89" s="12" t="s">
        <v>446</v>
      </c>
      <c r="F89" s="31" t="s">
        <v>166</v>
      </c>
      <c r="G89" s="6"/>
      <c r="H89" s="38">
        <f>일위대가!I683</f>
        <v>2308</v>
      </c>
      <c r="I89" s="38">
        <f t="shared" si="5"/>
        <v>2308</v>
      </c>
      <c r="J89" s="38"/>
      <c r="K89" s="38">
        <f>일위대가!L683</f>
        <v>4866</v>
      </c>
      <c r="L89" s="38">
        <f t="shared" si="6"/>
        <v>4866</v>
      </c>
      <c r="M89" s="38">
        <f>일위대가!N683</f>
        <v>0</v>
      </c>
      <c r="N89" s="38">
        <f t="shared" si="7"/>
        <v>0</v>
      </c>
      <c r="O89" s="38">
        <f t="shared" si="8"/>
        <v>7174</v>
      </c>
      <c r="P89" s="38">
        <f t="shared" si="9"/>
        <v>7174</v>
      </c>
      <c r="Q89" s="1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23.1" customHeight="1" x14ac:dyDescent="0.15">
      <c r="A90" s="13" t="s">
        <v>1954</v>
      </c>
      <c r="B90" s="13" t="s">
        <v>1955</v>
      </c>
      <c r="C90" s="3" t="s">
        <v>1956</v>
      </c>
      <c r="D90" s="12" t="s">
        <v>445</v>
      </c>
      <c r="E90" s="12" t="s">
        <v>448</v>
      </c>
      <c r="F90" s="31" t="s">
        <v>166</v>
      </c>
      <c r="G90" s="6"/>
      <c r="H90" s="38">
        <f>일위대가!I690</f>
        <v>3020</v>
      </c>
      <c r="I90" s="38">
        <f t="shared" si="5"/>
        <v>3020</v>
      </c>
      <c r="J90" s="38"/>
      <c r="K90" s="38">
        <f>일위대가!L690</f>
        <v>5474</v>
      </c>
      <c r="L90" s="38">
        <f t="shared" si="6"/>
        <v>5474</v>
      </c>
      <c r="M90" s="38">
        <f>일위대가!N690</f>
        <v>0</v>
      </c>
      <c r="N90" s="38">
        <f t="shared" si="7"/>
        <v>0</v>
      </c>
      <c r="O90" s="38">
        <f t="shared" si="8"/>
        <v>8494</v>
      </c>
      <c r="P90" s="38">
        <f t="shared" si="9"/>
        <v>8494</v>
      </c>
      <c r="Q90" s="1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23.1" customHeight="1" x14ac:dyDescent="0.15">
      <c r="A91" s="13" t="s">
        <v>1957</v>
      </c>
      <c r="B91" s="13" t="s">
        <v>1958</v>
      </c>
      <c r="C91" s="3" t="s">
        <v>1959</v>
      </c>
      <c r="D91" s="12" t="s">
        <v>445</v>
      </c>
      <c r="E91" s="12" t="s">
        <v>450</v>
      </c>
      <c r="F91" s="31" t="s">
        <v>166</v>
      </c>
      <c r="G91" s="6"/>
      <c r="H91" s="38">
        <f>일위대가!I697</f>
        <v>4458</v>
      </c>
      <c r="I91" s="38">
        <f t="shared" si="5"/>
        <v>4458</v>
      </c>
      <c r="J91" s="38"/>
      <c r="K91" s="38">
        <f>일위대가!L697</f>
        <v>7603</v>
      </c>
      <c r="L91" s="38">
        <f t="shared" si="6"/>
        <v>7603</v>
      </c>
      <c r="M91" s="38">
        <f>일위대가!N697</f>
        <v>0</v>
      </c>
      <c r="N91" s="38">
        <f t="shared" si="7"/>
        <v>0</v>
      </c>
      <c r="O91" s="38">
        <f t="shared" si="8"/>
        <v>12061</v>
      </c>
      <c r="P91" s="38">
        <f t="shared" si="9"/>
        <v>12061</v>
      </c>
      <c r="Q91" s="1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23.1" customHeight="1" x14ac:dyDescent="0.15">
      <c r="A92" s="13" t="s">
        <v>1960</v>
      </c>
      <c r="B92" s="13" t="s">
        <v>1961</v>
      </c>
      <c r="C92" s="3" t="s">
        <v>1962</v>
      </c>
      <c r="D92" s="12" t="s">
        <v>445</v>
      </c>
      <c r="E92" s="12" t="s">
        <v>452</v>
      </c>
      <c r="F92" s="31" t="s">
        <v>166</v>
      </c>
      <c r="G92" s="6"/>
      <c r="H92" s="38">
        <f>일위대가!I704</f>
        <v>3073</v>
      </c>
      <c r="I92" s="38">
        <f t="shared" si="5"/>
        <v>3073</v>
      </c>
      <c r="J92" s="38"/>
      <c r="K92" s="38">
        <f>일위대가!L704</f>
        <v>6691</v>
      </c>
      <c r="L92" s="38">
        <f t="shared" si="6"/>
        <v>6691</v>
      </c>
      <c r="M92" s="38">
        <f>일위대가!N704</f>
        <v>0</v>
      </c>
      <c r="N92" s="38">
        <f t="shared" si="7"/>
        <v>0</v>
      </c>
      <c r="O92" s="38">
        <f t="shared" si="8"/>
        <v>9764</v>
      </c>
      <c r="P92" s="38">
        <f t="shared" si="9"/>
        <v>9764</v>
      </c>
      <c r="Q92" s="1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23.1" customHeight="1" x14ac:dyDescent="0.15">
      <c r="A93" s="13" t="s">
        <v>1963</v>
      </c>
      <c r="B93" s="13" t="s">
        <v>1964</v>
      </c>
      <c r="C93" s="3" t="s">
        <v>1965</v>
      </c>
      <c r="D93" s="12" t="s">
        <v>445</v>
      </c>
      <c r="E93" s="12" t="s">
        <v>454</v>
      </c>
      <c r="F93" s="31" t="s">
        <v>166</v>
      </c>
      <c r="G93" s="6"/>
      <c r="H93" s="38">
        <f>일위대가!I711</f>
        <v>4155</v>
      </c>
      <c r="I93" s="38">
        <f t="shared" si="5"/>
        <v>4155</v>
      </c>
      <c r="J93" s="38"/>
      <c r="K93" s="38">
        <f>일위대가!L711</f>
        <v>7908</v>
      </c>
      <c r="L93" s="38">
        <f t="shared" si="6"/>
        <v>7908</v>
      </c>
      <c r="M93" s="38">
        <f>일위대가!N711</f>
        <v>0</v>
      </c>
      <c r="N93" s="38">
        <f t="shared" si="7"/>
        <v>0</v>
      </c>
      <c r="O93" s="38">
        <f t="shared" si="8"/>
        <v>12063</v>
      </c>
      <c r="P93" s="38">
        <f t="shared" si="9"/>
        <v>12063</v>
      </c>
      <c r="Q93" s="1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23.1" customHeight="1" x14ac:dyDescent="0.15">
      <c r="A94" s="13" t="s">
        <v>1966</v>
      </c>
      <c r="B94" s="13" t="s">
        <v>1967</v>
      </c>
      <c r="C94" s="3" t="s">
        <v>1968</v>
      </c>
      <c r="D94" s="12" t="s">
        <v>445</v>
      </c>
      <c r="E94" s="12" t="s">
        <v>456</v>
      </c>
      <c r="F94" s="31" t="s">
        <v>166</v>
      </c>
      <c r="G94" s="6"/>
      <c r="H94" s="38">
        <f>일위대가!I718</f>
        <v>5347</v>
      </c>
      <c r="I94" s="38">
        <f t="shared" si="5"/>
        <v>5347</v>
      </c>
      <c r="J94" s="38"/>
      <c r="K94" s="38">
        <f>일위대가!L718</f>
        <v>10341</v>
      </c>
      <c r="L94" s="38">
        <f t="shared" si="6"/>
        <v>10341</v>
      </c>
      <c r="M94" s="38">
        <f>일위대가!N718</f>
        <v>0</v>
      </c>
      <c r="N94" s="38">
        <f t="shared" si="7"/>
        <v>0</v>
      </c>
      <c r="O94" s="38">
        <f t="shared" si="8"/>
        <v>15688</v>
      </c>
      <c r="P94" s="38">
        <f t="shared" si="9"/>
        <v>15688</v>
      </c>
      <c r="Q94" s="1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23.1" customHeight="1" x14ac:dyDescent="0.15">
      <c r="A95" s="13" t="s">
        <v>1969</v>
      </c>
      <c r="B95" s="13" t="s">
        <v>1970</v>
      </c>
      <c r="C95" s="3" t="s">
        <v>1971</v>
      </c>
      <c r="D95" s="12" t="s">
        <v>445</v>
      </c>
      <c r="E95" s="12" t="s">
        <v>458</v>
      </c>
      <c r="F95" s="31" t="s">
        <v>166</v>
      </c>
      <c r="G95" s="6"/>
      <c r="H95" s="38">
        <f>일위대가!I725</f>
        <v>8341</v>
      </c>
      <c r="I95" s="38">
        <f t="shared" si="5"/>
        <v>8341</v>
      </c>
      <c r="J95" s="38"/>
      <c r="K95" s="38">
        <f>일위대가!L725</f>
        <v>14903</v>
      </c>
      <c r="L95" s="38">
        <f t="shared" si="6"/>
        <v>14903</v>
      </c>
      <c r="M95" s="38">
        <f>일위대가!N725</f>
        <v>0</v>
      </c>
      <c r="N95" s="38">
        <f t="shared" si="7"/>
        <v>0</v>
      </c>
      <c r="O95" s="38">
        <f t="shared" si="8"/>
        <v>23244</v>
      </c>
      <c r="P95" s="38">
        <f t="shared" si="9"/>
        <v>23244</v>
      </c>
      <c r="Q95" s="1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23.1" customHeight="1" x14ac:dyDescent="0.15">
      <c r="A96" s="13" t="s">
        <v>1972</v>
      </c>
      <c r="B96" s="13" t="s">
        <v>1973</v>
      </c>
      <c r="C96" s="3" t="s">
        <v>1974</v>
      </c>
      <c r="D96" s="12" t="s">
        <v>445</v>
      </c>
      <c r="E96" s="12" t="s">
        <v>460</v>
      </c>
      <c r="F96" s="31" t="s">
        <v>166</v>
      </c>
      <c r="G96" s="6"/>
      <c r="H96" s="38">
        <f>일위대가!I732</f>
        <v>13750</v>
      </c>
      <c r="I96" s="38">
        <f t="shared" si="5"/>
        <v>13750</v>
      </c>
      <c r="J96" s="38"/>
      <c r="K96" s="38">
        <f>일위대가!L732</f>
        <v>18188</v>
      </c>
      <c r="L96" s="38">
        <f t="shared" si="6"/>
        <v>18188</v>
      </c>
      <c r="M96" s="38">
        <f>일위대가!N732</f>
        <v>0</v>
      </c>
      <c r="N96" s="38">
        <f t="shared" si="7"/>
        <v>0</v>
      </c>
      <c r="O96" s="38">
        <f t="shared" si="8"/>
        <v>31938</v>
      </c>
      <c r="P96" s="38">
        <f t="shared" si="9"/>
        <v>31938</v>
      </c>
      <c r="Q96" s="1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23.1" customHeight="1" x14ac:dyDescent="0.15">
      <c r="A97" s="13" t="s">
        <v>1975</v>
      </c>
      <c r="B97" s="13" t="s">
        <v>1976</v>
      </c>
      <c r="C97" s="3" t="s">
        <v>1977</v>
      </c>
      <c r="D97" s="12" t="s">
        <v>445</v>
      </c>
      <c r="E97" s="12" t="s">
        <v>462</v>
      </c>
      <c r="F97" s="31" t="s">
        <v>166</v>
      </c>
      <c r="G97" s="6"/>
      <c r="H97" s="38">
        <f>일위대가!I739</f>
        <v>21124</v>
      </c>
      <c r="I97" s="38">
        <f t="shared" si="5"/>
        <v>21124</v>
      </c>
      <c r="J97" s="38"/>
      <c r="K97" s="38">
        <f>일위대가!L739</f>
        <v>23724</v>
      </c>
      <c r="L97" s="38">
        <f t="shared" si="6"/>
        <v>23724</v>
      </c>
      <c r="M97" s="38">
        <f>일위대가!N739</f>
        <v>0</v>
      </c>
      <c r="N97" s="38">
        <f t="shared" si="7"/>
        <v>0</v>
      </c>
      <c r="O97" s="38">
        <f t="shared" si="8"/>
        <v>44848</v>
      </c>
      <c r="P97" s="38">
        <f t="shared" si="9"/>
        <v>44848</v>
      </c>
      <c r="Q97" s="1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23.1" customHeight="1" x14ac:dyDescent="0.15">
      <c r="A98" s="13" t="s">
        <v>1978</v>
      </c>
      <c r="B98" s="13" t="s">
        <v>1979</v>
      </c>
      <c r="C98" s="3" t="s">
        <v>1980</v>
      </c>
      <c r="D98" s="12" t="s">
        <v>445</v>
      </c>
      <c r="E98" s="12" t="s">
        <v>464</v>
      </c>
      <c r="F98" s="31" t="s">
        <v>166</v>
      </c>
      <c r="G98" s="6"/>
      <c r="H98" s="38">
        <f>일위대가!I746</f>
        <v>21899</v>
      </c>
      <c r="I98" s="38">
        <f t="shared" si="5"/>
        <v>21899</v>
      </c>
      <c r="J98" s="38"/>
      <c r="K98" s="38">
        <f>일위대가!L746</f>
        <v>28469</v>
      </c>
      <c r="L98" s="38">
        <f t="shared" si="6"/>
        <v>28469</v>
      </c>
      <c r="M98" s="38">
        <f>일위대가!N746</f>
        <v>0</v>
      </c>
      <c r="N98" s="38">
        <f t="shared" si="7"/>
        <v>0</v>
      </c>
      <c r="O98" s="38">
        <f t="shared" si="8"/>
        <v>50368</v>
      </c>
      <c r="P98" s="38">
        <f t="shared" si="9"/>
        <v>50368</v>
      </c>
      <c r="Q98" s="1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23.1" customHeight="1" x14ac:dyDescent="0.15">
      <c r="A99" s="13" t="s">
        <v>1981</v>
      </c>
      <c r="B99" s="13" t="s">
        <v>1982</v>
      </c>
      <c r="C99" s="3" t="s">
        <v>1983</v>
      </c>
      <c r="D99" s="12" t="s">
        <v>466</v>
      </c>
      <c r="E99" s="12" t="s">
        <v>467</v>
      </c>
      <c r="F99" s="31" t="s">
        <v>166</v>
      </c>
      <c r="G99" s="6"/>
      <c r="H99" s="38">
        <f>일위대가!I753</f>
        <v>40058</v>
      </c>
      <c r="I99" s="38">
        <f t="shared" si="5"/>
        <v>40058</v>
      </c>
      <c r="J99" s="38"/>
      <c r="K99" s="38">
        <f>일위대가!L753</f>
        <v>35160</v>
      </c>
      <c r="L99" s="38">
        <f t="shared" si="6"/>
        <v>35160</v>
      </c>
      <c r="M99" s="38">
        <f>일위대가!N753</f>
        <v>0</v>
      </c>
      <c r="N99" s="38">
        <f t="shared" si="7"/>
        <v>0</v>
      </c>
      <c r="O99" s="38">
        <f t="shared" si="8"/>
        <v>75218</v>
      </c>
      <c r="P99" s="38">
        <f t="shared" si="9"/>
        <v>75218</v>
      </c>
      <c r="Q99" s="1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23.1" customHeight="1" x14ac:dyDescent="0.15">
      <c r="A100" s="13" t="s">
        <v>1984</v>
      </c>
      <c r="B100" s="13" t="s">
        <v>1985</v>
      </c>
      <c r="C100" s="3" t="s">
        <v>1986</v>
      </c>
      <c r="D100" s="12" t="s">
        <v>466</v>
      </c>
      <c r="E100" s="12" t="s">
        <v>473</v>
      </c>
      <c r="F100" s="31" t="s">
        <v>166</v>
      </c>
      <c r="G100" s="6"/>
      <c r="H100" s="38">
        <f>일위대가!I760</f>
        <v>3573</v>
      </c>
      <c r="I100" s="38">
        <f t="shared" si="5"/>
        <v>3573</v>
      </c>
      <c r="J100" s="38"/>
      <c r="K100" s="38">
        <f>일위대가!L760</f>
        <v>4866</v>
      </c>
      <c r="L100" s="38">
        <f t="shared" si="6"/>
        <v>4866</v>
      </c>
      <c r="M100" s="38">
        <f>일위대가!N760</f>
        <v>0</v>
      </c>
      <c r="N100" s="38">
        <f t="shared" si="7"/>
        <v>0</v>
      </c>
      <c r="O100" s="38">
        <f t="shared" si="8"/>
        <v>8439</v>
      </c>
      <c r="P100" s="38">
        <f t="shared" si="9"/>
        <v>8439</v>
      </c>
      <c r="Q100" s="1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23.1" customHeight="1" x14ac:dyDescent="0.15">
      <c r="A101" s="13" t="s">
        <v>1987</v>
      </c>
      <c r="B101" s="13" t="s">
        <v>1988</v>
      </c>
      <c r="C101" s="3" t="s">
        <v>1989</v>
      </c>
      <c r="D101" s="12" t="s">
        <v>466</v>
      </c>
      <c r="E101" s="12" t="s">
        <v>475</v>
      </c>
      <c r="F101" s="31" t="s">
        <v>166</v>
      </c>
      <c r="G101" s="6"/>
      <c r="H101" s="38">
        <f>일위대가!I767</f>
        <v>5926</v>
      </c>
      <c r="I101" s="38">
        <f t="shared" si="5"/>
        <v>5926</v>
      </c>
      <c r="J101" s="38"/>
      <c r="K101" s="38">
        <f>일위대가!L767</f>
        <v>7908</v>
      </c>
      <c r="L101" s="38">
        <f t="shared" si="6"/>
        <v>7908</v>
      </c>
      <c r="M101" s="38">
        <f>일위대가!N767</f>
        <v>0</v>
      </c>
      <c r="N101" s="38">
        <f t="shared" si="7"/>
        <v>0</v>
      </c>
      <c r="O101" s="38">
        <f t="shared" si="8"/>
        <v>13834</v>
      </c>
      <c r="P101" s="38">
        <f t="shared" si="9"/>
        <v>13834</v>
      </c>
      <c r="Q101" s="1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23.1" customHeight="1" x14ac:dyDescent="0.15">
      <c r="A102" s="13" t="s">
        <v>1990</v>
      </c>
      <c r="B102" s="13" t="s">
        <v>1991</v>
      </c>
      <c r="C102" s="3" t="s">
        <v>1992</v>
      </c>
      <c r="D102" s="12" t="s">
        <v>466</v>
      </c>
      <c r="E102" s="12" t="s">
        <v>477</v>
      </c>
      <c r="F102" s="31" t="s">
        <v>166</v>
      </c>
      <c r="G102" s="6"/>
      <c r="H102" s="38">
        <f>일위대가!I774</f>
        <v>8753</v>
      </c>
      <c r="I102" s="38">
        <f t="shared" si="5"/>
        <v>8753</v>
      </c>
      <c r="J102" s="38"/>
      <c r="K102" s="38">
        <f>일위대가!L774</f>
        <v>10949</v>
      </c>
      <c r="L102" s="38">
        <f t="shared" si="6"/>
        <v>10949</v>
      </c>
      <c r="M102" s="38">
        <f>일위대가!N774</f>
        <v>0</v>
      </c>
      <c r="N102" s="38">
        <f t="shared" si="7"/>
        <v>0</v>
      </c>
      <c r="O102" s="38">
        <f t="shared" si="8"/>
        <v>19702</v>
      </c>
      <c r="P102" s="38">
        <f t="shared" si="9"/>
        <v>19702</v>
      </c>
      <c r="Q102" s="1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23.1" customHeight="1" x14ac:dyDescent="0.15">
      <c r="A103" s="13" t="s">
        <v>1993</v>
      </c>
      <c r="B103" s="13" t="s">
        <v>1994</v>
      </c>
      <c r="C103" s="3" t="s">
        <v>1995</v>
      </c>
      <c r="D103" s="12" t="s">
        <v>466</v>
      </c>
      <c r="E103" s="12" t="s">
        <v>479</v>
      </c>
      <c r="F103" s="31" t="s">
        <v>166</v>
      </c>
      <c r="G103" s="6"/>
      <c r="H103" s="38">
        <f>일위대가!I781</f>
        <v>11081</v>
      </c>
      <c r="I103" s="38">
        <f t="shared" si="5"/>
        <v>11081</v>
      </c>
      <c r="J103" s="38"/>
      <c r="K103" s="38">
        <f>일위대가!L781</f>
        <v>13991</v>
      </c>
      <c r="L103" s="38">
        <f t="shared" si="6"/>
        <v>13991</v>
      </c>
      <c r="M103" s="38">
        <f>일위대가!N781</f>
        <v>0</v>
      </c>
      <c r="N103" s="38">
        <f t="shared" si="7"/>
        <v>0</v>
      </c>
      <c r="O103" s="38">
        <f t="shared" si="8"/>
        <v>25072</v>
      </c>
      <c r="P103" s="38">
        <f t="shared" si="9"/>
        <v>25072</v>
      </c>
      <c r="Q103" s="1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23.1" customHeight="1" x14ac:dyDescent="0.15">
      <c r="A104" s="13" t="s">
        <v>1996</v>
      </c>
      <c r="B104" s="13" t="s">
        <v>1997</v>
      </c>
      <c r="C104" s="3" t="s">
        <v>1998</v>
      </c>
      <c r="D104" s="12" t="s">
        <v>466</v>
      </c>
      <c r="E104" s="12" t="s">
        <v>481</v>
      </c>
      <c r="F104" s="31" t="s">
        <v>166</v>
      </c>
      <c r="G104" s="6"/>
      <c r="H104" s="38">
        <f>일위대가!I788</f>
        <v>16801</v>
      </c>
      <c r="I104" s="38">
        <f t="shared" si="5"/>
        <v>16801</v>
      </c>
      <c r="J104" s="38"/>
      <c r="K104" s="38">
        <f>일위대가!L788</f>
        <v>18249</v>
      </c>
      <c r="L104" s="38">
        <f t="shared" si="6"/>
        <v>18249</v>
      </c>
      <c r="M104" s="38">
        <f>일위대가!N788</f>
        <v>0</v>
      </c>
      <c r="N104" s="38">
        <f t="shared" si="7"/>
        <v>0</v>
      </c>
      <c r="O104" s="38">
        <f t="shared" si="8"/>
        <v>35050</v>
      </c>
      <c r="P104" s="38">
        <f t="shared" si="9"/>
        <v>35050</v>
      </c>
      <c r="Q104" s="1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23.1" customHeight="1" x14ac:dyDescent="0.15">
      <c r="A105" s="13" t="s">
        <v>1999</v>
      </c>
      <c r="B105" s="13" t="s">
        <v>2000</v>
      </c>
      <c r="C105" s="3" t="s">
        <v>2001</v>
      </c>
      <c r="D105" s="12" t="s">
        <v>466</v>
      </c>
      <c r="E105" s="12" t="s">
        <v>483</v>
      </c>
      <c r="F105" s="31" t="s">
        <v>166</v>
      </c>
      <c r="G105" s="6"/>
      <c r="H105" s="38">
        <f>일위대가!I795</f>
        <v>14715</v>
      </c>
      <c r="I105" s="38">
        <f t="shared" si="5"/>
        <v>14715</v>
      </c>
      <c r="J105" s="38"/>
      <c r="K105" s="38">
        <f>일위대가!L795</f>
        <v>18188</v>
      </c>
      <c r="L105" s="38">
        <f t="shared" si="6"/>
        <v>18188</v>
      </c>
      <c r="M105" s="38">
        <f>일위대가!N795</f>
        <v>0</v>
      </c>
      <c r="N105" s="38">
        <f t="shared" si="7"/>
        <v>0</v>
      </c>
      <c r="O105" s="38">
        <f t="shared" si="8"/>
        <v>32903</v>
      </c>
      <c r="P105" s="38">
        <f t="shared" si="9"/>
        <v>32903</v>
      </c>
      <c r="Q105" s="1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23.1" customHeight="1" x14ac:dyDescent="0.15">
      <c r="A106" s="13" t="s">
        <v>2002</v>
      </c>
      <c r="B106" s="13" t="s">
        <v>2003</v>
      </c>
      <c r="C106" s="3" t="s">
        <v>2004</v>
      </c>
      <c r="D106" s="12" t="s">
        <v>466</v>
      </c>
      <c r="E106" s="12" t="s">
        <v>485</v>
      </c>
      <c r="F106" s="31" t="s">
        <v>166</v>
      </c>
      <c r="G106" s="6"/>
      <c r="H106" s="38">
        <f>일위대가!I802</f>
        <v>31333</v>
      </c>
      <c r="I106" s="38">
        <f t="shared" si="5"/>
        <v>31333</v>
      </c>
      <c r="J106" s="38"/>
      <c r="K106" s="38">
        <f>일위대가!L802</f>
        <v>28469</v>
      </c>
      <c r="L106" s="38">
        <f t="shared" si="6"/>
        <v>28469</v>
      </c>
      <c r="M106" s="38">
        <f>일위대가!N802</f>
        <v>0</v>
      </c>
      <c r="N106" s="38">
        <f t="shared" si="7"/>
        <v>0</v>
      </c>
      <c r="O106" s="38">
        <f t="shared" si="8"/>
        <v>59802</v>
      </c>
      <c r="P106" s="38">
        <f t="shared" si="9"/>
        <v>59802</v>
      </c>
      <c r="Q106" s="1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23.1" customHeight="1" x14ac:dyDescent="0.15">
      <c r="A107" s="13" t="s">
        <v>2005</v>
      </c>
      <c r="B107" s="13" t="s">
        <v>2006</v>
      </c>
      <c r="C107" s="3" t="s">
        <v>2007</v>
      </c>
      <c r="D107" s="12" t="s">
        <v>487</v>
      </c>
      <c r="E107" s="12" t="s">
        <v>488</v>
      </c>
      <c r="F107" s="31" t="s">
        <v>166</v>
      </c>
      <c r="G107" s="6"/>
      <c r="H107" s="38">
        <f>일위대가!I809</f>
        <v>1648</v>
      </c>
      <c r="I107" s="38">
        <f t="shared" si="5"/>
        <v>1648</v>
      </c>
      <c r="J107" s="38"/>
      <c r="K107" s="38">
        <f>일위대가!L809</f>
        <v>5109</v>
      </c>
      <c r="L107" s="38">
        <f t="shared" si="6"/>
        <v>5109</v>
      </c>
      <c r="M107" s="38">
        <f>일위대가!N809</f>
        <v>0</v>
      </c>
      <c r="N107" s="38">
        <f t="shared" si="7"/>
        <v>0</v>
      </c>
      <c r="O107" s="38">
        <f t="shared" si="8"/>
        <v>6757</v>
      </c>
      <c r="P107" s="38">
        <f t="shared" si="9"/>
        <v>6757</v>
      </c>
      <c r="Q107" s="1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23.1" customHeight="1" x14ac:dyDescent="0.15">
      <c r="A108" s="13" t="s">
        <v>2008</v>
      </c>
      <c r="B108" s="13" t="s">
        <v>2009</v>
      </c>
      <c r="C108" s="3" t="s">
        <v>2010</v>
      </c>
      <c r="D108" s="12" t="s">
        <v>493</v>
      </c>
      <c r="E108" s="12" t="s">
        <v>494</v>
      </c>
      <c r="F108" s="31" t="s">
        <v>166</v>
      </c>
      <c r="G108" s="6"/>
      <c r="H108" s="38">
        <f>일위대가!I817</f>
        <v>18479</v>
      </c>
      <c r="I108" s="38">
        <f t="shared" si="5"/>
        <v>18479</v>
      </c>
      <c r="J108" s="38"/>
      <c r="K108" s="38">
        <f>일위대가!L817</f>
        <v>6371</v>
      </c>
      <c r="L108" s="38">
        <f t="shared" si="6"/>
        <v>6371</v>
      </c>
      <c r="M108" s="38">
        <f>일위대가!N817</f>
        <v>0</v>
      </c>
      <c r="N108" s="38">
        <f t="shared" si="7"/>
        <v>0</v>
      </c>
      <c r="O108" s="38">
        <f t="shared" si="8"/>
        <v>24850</v>
      </c>
      <c r="P108" s="38">
        <f t="shared" si="9"/>
        <v>24850</v>
      </c>
      <c r="Q108" s="12" t="s">
        <v>2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23.1" customHeight="1" x14ac:dyDescent="0.15">
      <c r="A109" s="13" t="s">
        <v>2011</v>
      </c>
      <c r="B109" s="13" t="s">
        <v>2012</v>
      </c>
      <c r="C109" s="3" t="s">
        <v>2013</v>
      </c>
      <c r="D109" s="12" t="s">
        <v>499</v>
      </c>
      <c r="E109" s="12" t="s">
        <v>500</v>
      </c>
      <c r="F109" s="31" t="s">
        <v>166</v>
      </c>
      <c r="G109" s="6"/>
      <c r="H109" s="38">
        <f>일위대가!I824</f>
        <v>560</v>
      </c>
      <c r="I109" s="38">
        <f t="shared" si="5"/>
        <v>560</v>
      </c>
      <c r="J109" s="38"/>
      <c r="K109" s="38">
        <f>일위대가!L824</f>
        <v>6543</v>
      </c>
      <c r="L109" s="38">
        <f t="shared" si="6"/>
        <v>6543</v>
      </c>
      <c r="M109" s="38">
        <f>일위대가!N824</f>
        <v>0</v>
      </c>
      <c r="N109" s="38">
        <f t="shared" si="7"/>
        <v>0</v>
      </c>
      <c r="O109" s="38">
        <f t="shared" si="8"/>
        <v>7103</v>
      </c>
      <c r="P109" s="38">
        <f t="shared" si="9"/>
        <v>7103</v>
      </c>
      <c r="Q109" s="1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23.1" customHeight="1" x14ac:dyDescent="0.15">
      <c r="A110" s="13" t="s">
        <v>2014</v>
      </c>
      <c r="B110" s="13" t="s">
        <v>2015</v>
      </c>
      <c r="C110" s="3" t="s">
        <v>2016</v>
      </c>
      <c r="D110" s="12" t="s">
        <v>505</v>
      </c>
      <c r="E110" s="12" t="s">
        <v>506</v>
      </c>
      <c r="F110" s="31" t="s">
        <v>166</v>
      </c>
      <c r="G110" s="6"/>
      <c r="H110" s="38">
        <f>일위대가!I831</f>
        <v>1769</v>
      </c>
      <c r="I110" s="38">
        <f t="shared" si="5"/>
        <v>1769</v>
      </c>
      <c r="J110" s="38"/>
      <c r="K110" s="38">
        <f>일위대가!L831</f>
        <v>7852</v>
      </c>
      <c r="L110" s="38">
        <f t="shared" si="6"/>
        <v>7852</v>
      </c>
      <c r="M110" s="38">
        <f>일위대가!N831</f>
        <v>0</v>
      </c>
      <c r="N110" s="38">
        <f t="shared" si="7"/>
        <v>0</v>
      </c>
      <c r="O110" s="38">
        <f t="shared" si="8"/>
        <v>9621</v>
      </c>
      <c r="P110" s="38">
        <f t="shared" si="9"/>
        <v>9621</v>
      </c>
      <c r="Q110" s="1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23.1" customHeight="1" x14ac:dyDescent="0.15">
      <c r="A111" s="13" t="s">
        <v>2017</v>
      </c>
      <c r="B111" s="13" t="s">
        <v>2018</v>
      </c>
      <c r="C111" s="3" t="s">
        <v>2019</v>
      </c>
      <c r="D111" s="12" t="s">
        <v>508</v>
      </c>
      <c r="E111" s="12" t="s">
        <v>509</v>
      </c>
      <c r="F111" s="31" t="s">
        <v>200</v>
      </c>
      <c r="G111" s="6"/>
      <c r="H111" s="38">
        <f>일위대가!I837</f>
        <v>1789</v>
      </c>
      <c r="I111" s="38">
        <f t="shared" si="5"/>
        <v>1789</v>
      </c>
      <c r="J111" s="38"/>
      <c r="K111" s="38">
        <f>일위대가!L837</f>
        <v>23262</v>
      </c>
      <c r="L111" s="38">
        <f t="shared" si="6"/>
        <v>23262</v>
      </c>
      <c r="M111" s="38">
        <f>일위대가!N837</f>
        <v>0</v>
      </c>
      <c r="N111" s="38">
        <f t="shared" si="7"/>
        <v>0</v>
      </c>
      <c r="O111" s="38">
        <f t="shared" si="8"/>
        <v>25051</v>
      </c>
      <c r="P111" s="38">
        <f t="shared" si="9"/>
        <v>25051</v>
      </c>
      <c r="Q111" s="1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23.1" customHeight="1" x14ac:dyDescent="0.15">
      <c r="A112" s="13" t="s">
        <v>2020</v>
      </c>
      <c r="B112" s="13" t="s">
        <v>2021</v>
      </c>
      <c r="C112" s="3" t="s">
        <v>2022</v>
      </c>
      <c r="D112" s="12" t="s">
        <v>508</v>
      </c>
      <c r="E112" s="12" t="s">
        <v>515</v>
      </c>
      <c r="F112" s="31" t="s">
        <v>200</v>
      </c>
      <c r="G112" s="6"/>
      <c r="H112" s="38">
        <f>일위대가!I843</f>
        <v>2318</v>
      </c>
      <c r="I112" s="38">
        <f t="shared" si="5"/>
        <v>2318</v>
      </c>
      <c r="J112" s="38"/>
      <c r="K112" s="38">
        <f>일위대가!L843</f>
        <v>23262</v>
      </c>
      <c r="L112" s="38">
        <f t="shared" si="6"/>
        <v>23262</v>
      </c>
      <c r="M112" s="38">
        <f>일위대가!N843</f>
        <v>0</v>
      </c>
      <c r="N112" s="38">
        <f t="shared" si="7"/>
        <v>0</v>
      </c>
      <c r="O112" s="38">
        <f t="shared" si="8"/>
        <v>25580</v>
      </c>
      <c r="P112" s="38">
        <f t="shared" si="9"/>
        <v>25580</v>
      </c>
      <c r="Q112" s="1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23.1" customHeight="1" x14ac:dyDescent="0.15">
      <c r="A113" s="13" t="s">
        <v>2023</v>
      </c>
      <c r="B113" s="13" t="s">
        <v>2024</v>
      </c>
      <c r="C113" s="3" t="s">
        <v>2025</v>
      </c>
      <c r="D113" s="12" t="s">
        <v>508</v>
      </c>
      <c r="E113" s="12" t="s">
        <v>517</v>
      </c>
      <c r="F113" s="31" t="s">
        <v>200</v>
      </c>
      <c r="G113" s="6"/>
      <c r="H113" s="38">
        <f>일위대가!I849</f>
        <v>2860</v>
      </c>
      <c r="I113" s="38">
        <f t="shared" si="5"/>
        <v>2860</v>
      </c>
      <c r="J113" s="38"/>
      <c r="K113" s="38">
        <f>일위대가!L849</f>
        <v>23262</v>
      </c>
      <c r="L113" s="38">
        <f t="shared" si="6"/>
        <v>23262</v>
      </c>
      <c r="M113" s="38">
        <f>일위대가!N849</f>
        <v>0</v>
      </c>
      <c r="N113" s="38">
        <f t="shared" si="7"/>
        <v>0</v>
      </c>
      <c r="O113" s="38">
        <f t="shared" si="8"/>
        <v>26122</v>
      </c>
      <c r="P113" s="38">
        <f t="shared" si="9"/>
        <v>26122</v>
      </c>
      <c r="Q113" s="1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23.1" customHeight="1" x14ac:dyDescent="0.15">
      <c r="A114" s="13" t="s">
        <v>2026</v>
      </c>
      <c r="B114" s="13" t="s">
        <v>2027</v>
      </c>
      <c r="C114" s="3" t="s">
        <v>2028</v>
      </c>
      <c r="D114" s="12" t="s">
        <v>519</v>
      </c>
      <c r="E114" s="12" t="s">
        <v>520</v>
      </c>
      <c r="F114" s="31" t="s">
        <v>200</v>
      </c>
      <c r="G114" s="6"/>
      <c r="H114" s="38">
        <f>일위대가!I855</f>
        <v>2347</v>
      </c>
      <c r="I114" s="38">
        <f t="shared" si="5"/>
        <v>2347</v>
      </c>
      <c r="J114" s="38"/>
      <c r="K114" s="38">
        <f>일위대가!L855</f>
        <v>26272</v>
      </c>
      <c r="L114" s="38">
        <f t="shared" si="6"/>
        <v>26272</v>
      </c>
      <c r="M114" s="38">
        <f>일위대가!N855</f>
        <v>0</v>
      </c>
      <c r="N114" s="38">
        <f t="shared" si="7"/>
        <v>0</v>
      </c>
      <c r="O114" s="38">
        <f t="shared" si="8"/>
        <v>28619</v>
      </c>
      <c r="P114" s="38">
        <f t="shared" si="9"/>
        <v>28619</v>
      </c>
      <c r="Q114" s="1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23.1" customHeight="1" x14ac:dyDescent="0.15">
      <c r="A115" s="13" t="s">
        <v>2029</v>
      </c>
      <c r="B115" s="13" t="s">
        <v>2030</v>
      </c>
      <c r="C115" s="3" t="s">
        <v>2031</v>
      </c>
      <c r="D115" s="12" t="s">
        <v>523</v>
      </c>
      <c r="E115" s="12" t="s">
        <v>524</v>
      </c>
      <c r="F115" s="31" t="s">
        <v>200</v>
      </c>
      <c r="G115" s="6"/>
      <c r="H115" s="38">
        <f>일위대가!I861</f>
        <v>42637</v>
      </c>
      <c r="I115" s="38">
        <f t="shared" si="5"/>
        <v>42637</v>
      </c>
      <c r="J115" s="38"/>
      <c r="K115" s="38">
        <f>일위대가!L861</f>
        <v>21894</v>
      </c>
      <c r="L115" s="38">
        <f t="shared" si="6"/>
        <v>21894</v>
      </c>
      <c r="M115" s="38">
        <f>일위대가!N861</f>
        <v>0</v>
      </c>
      <c r="N115" s="38">
        <f t="shared" si="7"/>
        <v>0</v>
      </c>
      <c r="O115" s="38">
        <f t="shared" si="8"/>
        <v>64531</v>
      </c>
      <c r="P115" s="38">
        <f t="shared" si="9"/>
        <v>64531</v>
      </c>
      <c r="Q115" s="1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23.1" customHeight="1" x14ac:dyDescent="0.15">
      <c r="A116" s="13" t="s">
        <v>2032</v>
      </c>
      <c r="B116" s="13" t="s">
        <v>2033</v>
      </c>
      <c r="C116" s="3" t="s">
        <v>2034</v>
      </c>
      <c r="D116" s="12" t="s">
        <v>519</v>
      </c>
      <c r="E116" s="12" t="s">
        <v>526</v>
      </c>
      <c r="F116" s="31" t="s">
        <v>200</v>
      </c>
      <c r="G116" s="6"/>
      <c r="H116" s="38">
        <f>일위대가!I867</f>
        <v>1372</v>
      </c>
      <c r="I116" s="38">
        <f t="shared" si="5"/>
        <v>1372</v>
      </c>
      <c r="J116" s="38"/>
      <c r="K116" s="38">
        <f>일위대가!L867</f>
        <v>21894</v>
      </c>
      <c r="L116" s="38">
        <f t="shared" si="6"/>
        <v>21894</v>
      </c>
      <c r="M116" s="38">
        <f>일위대가!N867</f>
        <v>0</v>
      </c>
      <c r="N116" s="38">
        <f t="shared" si="7"/>
        <v>0</v>
      </c>
      <c r="O116" s="38">
        <f t="shared" si="8"/>
        <v>23266</v>
      </c>
      <c r="P116" s="38">
        <f t="shared" si="9"/>
        <v>23266</v>
      </c>
      <c r="Q116" s="1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23.1" customHeight="1" x14ac:dyDescent="0.15">
      <c r="A117" s="13" t="s">
        <v>2035</v>
      </c>
      <c r="B117" s="13" t="s">
        <v>2036</v>
      </c>
      <c r="C117" s="3" t="s">
        <v>2037</v>
      </c>
      <c r="D117" s="12" t="s">
        <v>519</v>
      </c>
      <c r="E117" s="12" t="s">
        <v>529</v>
      </c>
      <c r="F117" s="31" t="s">
        <v>200</v>
      </c>
      <c r="G117" s="6"/>
      <c r="H117" s="38">
        <f>일위대가!I873</f>
        <v>1822</v>
      </c>
      <c r="I117" s="38">
        <f t="shared" si="5"/>
        <v>1822</v>
      </c>
      <c r="J117" s="38"/>
      <c r="K117" s="38">
        <f>일위대가!L873</f>
        <v>21894</v>
      </c>
      <c r="L117" s="38">
        <f t="shared" si="6"/>
        <v>21894</v>
      </c>
      <c r="M117" s="38">
        <f>일위대가!N873</f>
        <v>0</v>
      </c>
      <c r="N117" s="38">
        <f t="shared" si="7"/>
        <v>0</v>
      </c>
      <c r="O117" s="38">
        <f t="shared" si="8"/>
        <v>23716</v>
      </c>
      <c r="P117" s="38">
        <f t="shared" si="9"/>
        <v>23716</v>
      </c>
      <c r="Q117" s="1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23.1" customHeight="1" x14ac:dyDescent="0.15">
      <c r="A118" s="13" t="s">
        <v>2038</v>
      </c>
      <c r="B118" s="13" t="s">
        <v>2039</v>
      </c>
      <c r="C118" s="3" t="s">
        <v>2040</v>
      </c>
      <c r="D118" s="12" t="s">
        <v>531</v>
      </c>
      <c r="E118" s="12" t="s">
        <v>526</v>
      </c>
      <c r="F118" s="31" t="s">
        <v>200</v>
      </c>
      <c r="G118" s="6"/>
      <c r="H118" s="38">
        <f>일위대가!I879</f>
        <v>2474</v>
      </c>
      <c r="I118" s="38">
        <f t="shared" si="5"/>
        <v>2474</v>
      </c>
      <c r="J118" s="38"/>
      <c r="K118" s="38">
        <f>일위대가!L879</f>
        <v>21894</v>
      </c>
      <c r="L118" s="38">
        <f t="shared" si="6"/>
        <v>21894</v>
      </c>
      <c r="M118" s="38">
        <f>일위대가!N879</f>
        <v>0</v>
      </c>
      <c r="N118" s="38">
        <f t="shared" si="7"/>
        <v>0</v>
      </c>
      <c r="O118" s="38">
        <f t="shared" si="8"/>
        <v>24368</v>
      </c>
      <c r="P118" s="38">
        <f t="shared" si="9"/>
        <v>24368</v>
      </c>
      <c r="Q118" s="1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23.1" customHeight="1" x14ac:dyDescent="0.15">
      <c r="A119" s="13" t="s">
        <v>2041</v>
      </c>
      <c r="B119" s="13" t="s">
        <v>2042</v>
      </c>
      <c r="C119" s="3" t="s">
        <v>2043</v>
      </c>
      <c r="D119" s="12" t="s">
        <v>531</v>
      </c>
      <c r="E119" s="12" t="s">
        <v>529</v>
      </c>
      <c r="F119" s="31" t="s">
        <v>200</v>
      </c>
      <c r="G119" s="6"/>
      <c r="H119" s="38">
        <f>일위대가!I885</f>
        <v>2560</v>
      </c>
      <c r="I119" s="38">
        <f t="shared" si="5"/>
        <v>2560</v>
      </c>
      <c r="J119" s="38"/>
      <c r="K119" s="38">
        <f>일위대가!L885</f>
        <v>21894</v>
      </c>
      <c r="L119" s="38">
        <f t="shared" si="6"/>
        <v>21894</v>
      </c>
      <c r="M119" s="38">
        <f>일위대가!N885</f>
        <v>0</v>
      </c>
      <c r="N119" s="38">
        <f t="shared" si="7"/>
        <v>0</v>
      </c>
      <c r="O119" s="38">
        <f t="shared" si="8"/>
        <v>24454</v>
      </c>
      <c r="P119" s="38">
        <f t="shared" si="9"/>
        <v>24454</v>
      </c>
      <c r="Q119" s="1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23.1" customHeight="1" x14ac:dyDescent="0.15">
      <c r="A120" s="13" t="s">
        <v>2044</v>
      </c>
      <c r="B120" s="13" t="s">
        <v>2045</v>
      </c>
      <c r="C120" s="3" t="s">
        <v>2046</v>
      </c>
      <c r="D120" s="12" t="s">
        <v>534</v>
      </c>
      <c r="E120" s="12" t="s">
        <v>540</v>
      </c>
      <c r="F120" s="31" t="s">
        <v>200</v>
      </c>
      <c r="G120" s="6"/>
      <c r="H120" s="38">
        <f>일위대가!I892</f>
        <v>5900</v>
      </c>
      <c r="I120" s="38">
        <f t="shared" si="5"/>
        <v>5900</v>
      </c>
      <c r="J120" s="38"/>
      <c r="K120" s="38">
        <f>일위대가!L892</f>
        <v>43869</v>
      </c>
      <c r="L120" s="38">
        <f t="shared" si="6"/>
        <v>43869</v>
      </c>
      <c r="M120" s="38">
        <f>일위대가!N892</f>
        <v>0</v>
      </c>
      <c r="N120" s="38">
        <f t="shared" si="7"/>
        <v>0</v>
      </c>
      <c r="O120" s="38">
        <f t="shared" si="8"/>
        <v>49769</v>
      </c>
      <c r="P120" s="38">
        <f t="shared" si="9"/>
        <v>49769</v>
      </c>
      <c r="Q120" s="1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23.1" customHeight="1" x14ac:dyDescent="0.15">
      <c r="A121" s="13" t="s">
        <v>2047</v>
      </c>
      <c r="B121" s="13" t="s">
        <v>2048</v>
      </c>
      <c r="C121" s="3" t="s">
        <v>2049</v>
      </c>
      <c r="D121" s="12" t="s">
        <v>542</v>
      </c>
      <c r="E121" s="12" t="s">
        <v>543</v>
      </c>
      <c r="F121" s="31" t="s">
        <v>200</v>
      </c>
      <c r="G121" s="6"/>
      <c r="H121" s="38">
        <f>일위대가!I899</f>
        <v>2183</v>
      </c>
      <c r="I121" s="38">
        <f t="shared" si="5"/>
        <v>2183</v>
      </c>
      <c r="J121" s="38"/>
      <c r="K121" s="38">
        <f>일위대가!L899</f>
        <v>43869</v>
      </c>
      <c r="L121" s="38">
        <f t="shared" si="6"/>
        <v>43869</v>
      </c>
      <c r="M121" s="38">
        <f>일위대가!N899</f>
        <v>0</v>
      </c>
      <c r="N121" s="38">
        <f t="shared" si="7"/>
        <v>0</v>
      </c>
      <c r="O121" s="38">
        <f t="shared" si="8"/>
        <v>46052</v>
      </c>
      <c r="P121" s="38">
        <f t="shared" si="9"/>
        <v>46052</v>
      </c>
      <c r="Q121" s="1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23.1" customHeight="1" x14ac:dyDescent="0.15">
      <c r="A122" s="13" t="s">
        <v>2050</v>
      </c>
      <c r="B122" s="13" t="s">
        <v>2051</v>
      </c>
      <c r="C122" s="3" t="s">
        <v>2052</v>
      </c>
      <c r="D122" s="12" t="s">
        <v>548</v>
      </c>
      <c r="E122" s="12" t="s">
        <v>549</v>
      </c>
      <c r="F122" s="31" t="s">
        <v>200</v>
      </c>
      <c r="G122" s="6"/>
      <c r="H122" s="38">
        <f>일위대가!I905</f>
        <v>47477</v>
      </c>
      <c r="I122" s="38">
        <f t="shared" si="5"/>
        <v>47477</v>
      </c>
      <c r="J122" s="38"/>
      <c r="K122" s="38">
        <f>일위대가!L905</f>
        <v>273878</v>
      </c>
      <c r="L122" s="38">
        <f t="shared" si="6"/>
        <v>273878</v>
      </c>
      <c r="M122" s="38">
        <f>일위대가!N905</f>
        <v>0</v>
      </c>
      <c r="N122" s="38">
        <f t="shared" si="7"/>
        <v>0</v>
      </c>
      <c r="O122" s="38">
        <f t="shared" si="8"/>
        <v>321355</v>
      </c>
      <c r="P122" s="38">
        <f t="shared" si="9"/>
        <v>321355</v>
      </c>
      <c r="Q122" s="1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23.1" customHeight="1" x14ac:dyDescent="0.15">
      <c r="A123" s="13" t="s">
        <v>2053</v>
      </c>
      <c r="B123" s="13" t="s">
        <v>2054</v>
      </c>
      <c r="C123" s="3" t="s">
        <v>2055</v>
      </c>
      <c r="D123" s="12" t="s">
        <v>552</v>
      </c>
      <c r="E123" s="12" t="s">
        <v>553</v>
      </c>
      <c r="F123" s="31" t="s">
        <v>554</v>
      </c>
      <c r="G123" s="6"/>
      <c r="H123" s="38">
        <f>일위대가!I911</f>
        <v>10558</v>
      </c>
      <c r="I123" s="38">
        <f t="shared" si="5"/>
        <v>10558</v>
      </c>
      <c r="J123" s="38"/>
      <c r="K123" s="38">
        <f>일위대가!L911</f>
        <v>27914</v>
      </c>
      <c r="L123" s="38">
        <f t="shared" si="6"/>
        <v>27914</v>
      </c>
      <c r="M123" s="38">
        <f>일위대가!N911</f>
        <v>0</v>
      </c>
      <c r="N123" s="38">
        <f t="shared" si="7"/>
        <v>0</v>
      </c>
      <c r="O123" s="38">
        <f t="shared" si="8"/>
        <v>38472</v>
      </c>
      <c r="P123" s="38">
        <f t="shared" si="9"/>
        <v>38472</v>
      </c>
      <c r="Q123" s="1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23.1" customHeight="1" x14ac:dyDescent="0.15">
      <c r="A124" s="13" t="s">
        <v>2056</v>
      </c>
      <c r="B124" s="13" t="s">
        <v>2057</v>
      </c>
      <c r="C124" s="3" t="s">
        <v>2058</v>
      </c>
      <c r="D124" s="12" t="s">
        <v>557</v>
      </c>
      <c r="E124" s="12" t="s">
        <v>558</v>
      </c>
      <c r="F124" s="31" t="s">
        <v>559</v>
      </c>
      <c r="G124" s="6"/>
      <c r="H124" s="38">
        <f>일위대가!I917</f>
        <v>117652</v>
      </c>
      <c r="I124" s="38">
        <f t="shared" si="5"/>
        <v>117652</v>
      </c>
      <c r="J124" s="38"/>
      <c r="K124" s="38">
        <f>일위대가!L917</f>
        <v>180626</v>
      </c>
      <c r="L124" s="38">
        <f t="shared" si="6"/>
        <v>180626</v>
      </c>
      <c r="M124" s="38">
        <f>일위대가!N917</f>
        <v>0</v>
      </c>
      <c r="N124" s="38">
        <f t="shared" si="7"/>
        <v>0</v>
      </c>
      <c r="O124" s="38">
        <f t="shared" si="8"/>
        <v>298278</v>
      </c>
      <c r="P124" s="38">
        <f t="shared" si="9"/>
        <v>298278</v>
      </c>
      <c r="Q124" s="1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23.1" customHeight="1" x14ac:dyDescent="0.15">
      <c r="A125" s="13" t="s">
        <v>2059</v>
      </c>
      <c r="B125" s="13" t="s">
        <v>2060</v>
      </c>
      <c r="C125" s="3" t="s">
        <v>2061</v>
      </c>
      <c r="D125" s="12" t="s">
        <v>557</v>
      </c>
      <c r="E125" s="12" t="s">
        <v>562</v>
      </c>
      <c r="F125" s="31" t="s">
        <v>559</v>
      </c>
      <c r="G125" s="6"/>
      <c r="H125" s="38">
        <f>일위대가!I923</f>
        <v>303612</v>
      </c>
      <c r="I125" s="38">
        <f t="shared" si="5"/>
        <v>303612</v>
      </c>
      <c r="J125" s="38"/>
      <c r="K125" s="38">
        <f>일위대가!L923</f>
        <v>180626</v>
      </c>
      <c r="L125" s="38">
        <f t="shared" si="6"/>
        <v>180626</v>
      </c>
      <c r="M125" s="38">
        <f>일위대가!N923</f>
        <v>0</v>
      </c>
      <c r="N125" s="38">
        <f t="shared" si="7"/>
        <v>0</v>
      </c>
      <c r="O125" s="38">
        <f t="shared" si="8"/>
        <v>484238</v>
      </c>
      <c r="P125" s="38">
        <f t="shared" si="9"/>
        <v>484238</v>
      </c>
      <c r="Q125" s="1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23.1" customHeight="1" x14ac:dyDescent="0.15">
      <c r="A126" s="13" t="s">
        <v>2062</v>
      </c>
      <c r="B126" s="13" t="s">
        <v>2063</v>
      </c>
      <c r="C126" s="3" t="s">
        <v>2064</v>
      </c>
      <c r="D126" s="12" t="s">
        <v>565</v>
      </c>
      <c r="E126" s="12" t="s">
        <v>566</v>
      </c>
      <c r="F126" s="31" t="s">
        <v>1866</v>
      </c>
      <c r="G126" s="6"/>
      <c r="H126" s="38">
        <f>일위대가!I930</f>
        <v>257</v>
      </c>
      <c r="I126" s="38">
        <f t="shared" si="5"/>
        <v>257</v>
      </c>
      <c r="J126" s="38"/>
      <c r="K126" s="38">
        <f>일위대가!L930</f>
        <v>358</v>
      </c>
      <c r="L126" s="38">
        <f t="shared" si="6"/>
        <v>358</v>
      </c>
      <c r="M126" s="38">
        <f>일위대가!N930</f>
        <v>0</v>
      </c>
      <c r="N126" s="38">
        <f t="shared" si="7"/>
        <v>0</v>
      </c>
      <c r="O126" s="38">
        <f t="shared" si="8"/>
        <v>615</v>
      </c>
      <c r="P126" s="38">
        <f t="shared" si="9"/>
        <v>615</v>
      </c>
      <c r="Q126" s="1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23.1" customHeight="1" x14ac:dyDescent="0.15">
      <c r="A127" s="13" t="s">
        <v>2065</v>
      </c>
      <c r="B127" s="13" t="s">
        <v>2066</v>
      </c>
      <c r="C127" s="3" t="s">
        <v>2067</v>
      </c>
      <c r="D127" s="12" t="s">
        <v>568</v>
      </c>
      <c r="E127" s="12" t="s">
        <v>566</v>
      </c>
      <c r="F127" s="31" t="s">
        <v>1866</v>
      </c>
      <c r="G127" s="6"/>
      <c r="H127" s="38">
        <f>일위대가!I937</f>
        <v>457</v>
      </c>
      <c r="I127" s="38">
        <f t="shared" si="5"/>
        <v>457</v>
      </c>
      <c r="J127" s="38"/>
      <c r="K127" s="38">
        <f>일위대가!L937</f>
        <v>358</v>
      </c>
      <c r="L127" s="38">
        <f t="shared" si="6"/>
        <v>358</v>
      </c>
      <c r="M127" s="38">
        <f>일위대가!N937</f>
        <v>0</v>
      </c>
      <c r="N127" s="38">
        <f t="shared" si="7"/>
        <v>0</v>
      </c>
      <c r="O127" s="38">
        <f t="shared" si="8"/>
        <v>815</v>
      </c>
      <c r="P127" s="38">
        <f t="shared" si="9"/>
        <v>815</v>
      </c>
      <c r="Q127" s="1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23.1" customHeight="1" x14ac:dyDescent="0.15">
      <c r="A128" s="13" t="s">
        <v>2068</v>
      </c>
      <c r="B128" s="13" t="s">
        <v>2069</v>
      </c>
      <c r="C128" s="3" t="s">
        <v>2070</v>
      </c>
      <c r="D128" s="12" t="s">
        <v>576</v>
      </c>
      <c r="E128" s="12" t="s">
        <v>577</v>
      </c>
      <c r="F128" s="31" t="s">
        <v>578</v>
      </c>
      <c r="G128" s="6"/>
      <c r="H128" s="38">
        <f>일위대가!I943</f>
        <v>183234</v>
      </c>
      <c r="I128" s="38">
        <f t="shared" si="5"/>
        <v>183234</v>
      </c>
      <c r="J128" s="38"/>
      <c r="K128" s="38">
        <f>일위대가!L943</f>
        <v>209733</v>
      </c>
      <c r="L128" s="38">
        <f t="shared" si="6"/>
        <v>209733</v>
      </c>
      <c r="M128" s="38">
        <f>일위대가!N943</f>
        <v>0</v>
      </c>
      <c r="N128" s="38">
        <f t="shared" si="7"/>
        <v>0</v>
      </c>
      <c r="O128" s="38">
        <f t="shared" si="8"/>
        <v>392967</v>
      </c>
      <c r="P128" s="38">
        <f t="shared" si="9"/>
        <v>392967</v>
      </c>
      <c r="Q128" s="1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23.1" customHeight="1" x14ac:dyDescent="0.15">
      <c r="A129" s="13" t="s">
        <v>2071</v>
      </c>
      <c r="B129" s="13" t="s">
        <v>2072</v>
      </c>
      <c r="C129" s="3" t="s">
        <v>2073</v>
      </c>
      <c r="D129" s="12" t="s">
        <v>583</v>
      </c>
      <c r="E129" s="12" t="s">
        <v>584</v>
      </c>
      <c r="F129" s="31" t="s">
        <v>200</v>
      </c>
      <c r="G129" s="6"/>
      <c r="H129" s="38">
        <f>일위대가!I949</f>
        <v>1321</v>
      </c>
      <c r="I129" s="38">
        <f t="shared" si="5"/>
        <v>1321</v>
      </c>
      <c r="J129" s="38"/>
      <c r="K129" s="38">
        <f>일위대가!L949</f>
        <v>43798</v>
      </c>
      <c r="L129" s="38">
        <f t="shared" si="6"/>
        <v>43798</v>
      </c>
      <c r="M129" s="38">
        <f>일위대가!N949</f>
        <v>0</v>
      </c>
      <c r="N129" s="38">
        <f t="shared" si="7"/>
        <v>0</v>
      </c>
      <c r="O129" s="38">
        <f t="shared" si="8"/>
        <v>45119</v>
      </c>
      <c r="P129" s="38">
        <f t="shared" si="9"/>
        <v>45119</v>
      </c>
      <c r="Q129" s="1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23.1" customHeight="1" x14ac:dyDescent="0.15">
      <c r="A130" s="13" t="s">
        <v>2074</v>
      </c>
      <c r="B130" s="13" t="s">
        <v>2075</v>
      </c>
      <c r="C130" s="3" t="s">
        <v>2076</v>
      </c>
      <c r="D130" s="12" t="s">
        <v>583</v>
      </c>
      <c r="E130" s="12" t="s">
        <v>590</v>
      </c>
      <c r="F130" s="31" t="s">
        <v>200</v>
      </c>
      <c r="G130" s="6"/>
      <c r="H130" s="38">
        <f>일위대가!I955</f>
        <v>1718</v>
      </c>
      <c r="I130" s="38">
        <f t="shared" si="5"/>
        <v>1718</v>
      </c>
      <c r="J130" s="38"/>
      <c r="K130" s="38">
        <f>일위대가!L955</f>
        <v>51463</v>
      </c>
      <c r="L130" s="38">
        <f t="shared" si="6"/>
        <v>51463</v>
      </c>
      <c r="M130" s="38">
        <f>일위대가!N955</f>
        <v>0</v>
      </c>
      <c r="N130" s="38">
        <f t="shared" si="7"/>
        <v>0</v>
      </c>
      <c r="O130" s="38">
        <f t="shared" si="8"/>
        <v>53181</v>
      </c>
      <c r="P130" s="38">
        <f t="shared" si="9"/>
        <v>53181</v>
      </c>
      <c r="Q130" s="1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23.1" customHeight="1" x14ac:dyDescent="0.15">
      <c r="A131" s="13" t="s">
        <v>2077</v>
      </c>
      <c r="B131" s="13" t="s">
        <v>2078</v>
      </c>
      <c r="C131" s="3" t="s">
        <v>2079</v>
      </c>
      <c r="D131" s="12" t="s">
        <v>583</v>
      </c>
      <c r="E131" s="12" t="s">
        <v>592</v>
      </c>
      <c r="F131" s="31" t="s">
        <v>200</v>
      </c>
      <c r="G131" s="6"/>
      <c r="H131" s="38">
        <f>일위대가!I961</f>
        <v>4633</v>
      </c>
      <c r="I131" s="38">
        <f t="shared" si="5"/>
        <v>4633</v>
      </c>
      <c r="J131" s="38"/>
      <c r="K131" s="38">
        <f>일위대가!L961</f>
        <v>84312</v>
      </c>
      <c r="L131" s="38">
        <f t="shared" si="6"/>
        <v>84312</v>
      </c>
      <c r="M131" s="38">
        <f>일위대가!N961</f>
        <v>0</v>
      </c>
      <c r="N131" s="38">
        <f t="shared" si="7"/>
        <v>0</v>
      </c>
      <c r="O131" s="38">
        <f t="shared" si="8"/>
        <v>88945</v>
      </c>
      <c r="P131" s="38">
        <f t="shared" si="9"/>
        <v>88945</v>
      </c>
      <c r="Q131" s="1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23.1" customHeight="1" x14ac:dyDescent="0.15">
      <c r="A132" s="13" t="s">
        <v>2080</v>
      </c>
      <c r="B132" s="13" t="s">
        <v>2081</v>
      </c>
      <c r="C132" s="3" t="s">
        <v>2082</v>
      </c>
      <c r="D132" s="12" t="s">
        <v>595</v>
      </c>
      <c r="E132" s="12" t="s">
        <v>596</v>
      </c>
      <c r="F132" s="31" t="s">
        <v>200</v>
      </c>
      <c r="G132" s="6"/>
      <c r="H132" s="38">
        <f>일위대가!I967</f>
        <v>718</v>
      </c>
      <c r="I132" s="38">
        <f t="shared" ref="I132:I195" si="10">H132</f>
        <v>718</v>
      </c>
      <c r="J132" s="38"/>
      <c r="K132" s="38">
        <f>일위대가!L967</f>
        <v>29563</v>
      </c>
      <c r="L132" s="38">
        <f t="shared" ref="L132:L195" si="11">K132</f>
        <v>29563</v>
      </c>
      <c r="M132" s="38">
        <f>일위대가!N967</f>
        <v>0</v>
      </c>
      <c r="N132" s="38">
        <f t="shared" ref="N132:N195" si="12">M132</f>
        <v>0</v>
      </c>
      <c r="O132" s="38">
        <f t="shared" ref="O132:O195" si="13">IF((H132+K132+M132)=0, "", (H132+K132+M132))</f>
        <v>30281</v>
      </c>
      <c r="P132" s="38">
        <f t="shared" ref="P132:P195" si="14">SUM(I132,L132,N132)</f>
        <v>30281</v>
      </c>
      <c r="Q132" s="1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23.1" customHeight="1" x14ac:dyDescent="0.15">
      <c r="A133" s="13" t="s">
        <v>2083</v>
      </c>
      <c r="B133" s="13" t="s">
        <v>2084</v>
      </c>
      <c r="C133" s="3" t="s">
        <v>2085</v>
      </c>
      <c r="D133" s="12" t="s">
        <v>595</v>
      </c>
      <c r="E133" s="12" t="s">
        <v>598</v>
      </c>
      <c r="F133" s="31" t="s">
        <v>200</v>
      </c>
      <c r="G133" s="6"/>
      <c r="H133" s="38">
        <f>일위대가!I973</f>
        <v>909</v>
      </c>
      <c r="I133" s="38">
        <f t="shared" si="10"/>
        <v>909</v>
      </c>
      <c r="J133" s="38"/>
      <c r="K133" s="38">
        <f>일위대가!L973</f>
        <v>36133</v>
      </c>
      <c r="L133" s="38">
        <f t="shared" si="11"/>
        <v>36133</v>
      </c>
      <c r="M133" s="38">
        <f>일위대가!N973</f>
        <v>0</v>
      </c>
      <c r="N133" s="38">
        <f t="shared" si="12"/>
        <v>0</v>
      </c>
      <c r="O133" s="38">
        <f t="shared" si="13"/>
        <v>37042</v>
      </c>
      <c r="P133" s="38">
        <f t="shared" si="14"/>
        <v>37042</v>
      </c>
      <c r="Q133" s="1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23.1" customHeight="1" x14ac:dyDescent="0.15">
      <c r="A134" s="13" t="s">
        <v>2086</v>
      </c>
      <c r="B134" s="13" t="s">
        <v>2087</v>
      </c>
      <c r="C134" s="3" t="s">
        <v>2088</v>
      </c>
      <c r="D134" s="12" t="s">
        <v>595</v>
      </c>
      <c r="E134" s="12" t="s">
        <v>600</v>
      </c>
      <c r="F134" s="31" t="s">
        <v>200</v>
      </c>
      <c r="G134" s="6"/>
      <c r="H134" s="38">
        <f>일위대가!I979</f>
        <v>1030</v>
      </c>
      <c r="I134" s="38">
        <f t="shared" si="10"/>
        <v>1030</v>
      </c>
      <c r="J134" s="38"/>
      <c r="K134" s="38">
        <f>일위대가!L979</f>
        <v>39418</v>
      </c>
      <c r="L134" s="38">
        <f t="shared" si="11"/>
        <v>39418</v>
      </c>
      <c r="M134" s="38">
        <f>일위대가!N979</f>
        <v>0</v>
      </c>
      <c r="N134" s="38">
        <f t="shared" si="12"/>
        <v>0</v>
      </c>
      <c r="O134" s="38">
        <f t="shared" si="13"/>
        <v>40448</v>
      </c>
      <c r="P134" s="38">
        <f t="shared" si="14"/>
        <v>40448</v>
      </c>
      <c r="Q134" s="12" t="s">
        <v>2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23.1" customHeight="1" x14ac:dyDescent="0.15">
      <c r="A135" s="13" t="s">
        <v>2089</v>
      </c>
      <c r="B135" s="13" t="s">
        <v>2090</v>
      </c>
      <c r="C135" s="3" t="s">
        <v>2091</v>
      </c>
      <c r="D135" s="12" t="s">
        <v>595</v>
      </c>
      <c r="E135" s="12" t="s">
        <v>602</v>
      </c>
      <c r="F135" s="31" t="s">
        <v>200</v>
      </c>
      <c r="G135" s="6"/>
      <c r="H135" s="38">
        <f>일위대가!I985</f>
        <v>1278</v>
      </c>
      <c r="I135" s="38">
        <f t="shared" si="10"/>
        <v>1278</v>
      </c>
      <c r="J135" s="38"/>
      <c r="K135" s="38">
        <f>일위대가!L985</f>
        <v>43798</v>
      </c>
      <c r="L135" s="38">
        <f t="shared" si="11"/>
        <v>43798</v>
      </c>
      <c r="M135" s="38">
        <f>일위대가!N985</f>
        <v>0</v>
      </c>
      <c r="N135" s="38">
        <f t="shared" si="12"/>
        <v>0</v>
      </c>
      <c r="O135" s="38">
        <f t="shared" si="13"/>
        <v>45076</v>
      </c>
      <c r="P135" s="38">
        <f t="shared" si="14"/>
        <v>45076</v>
      </c>
      <c r="Q135" s="1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23.1" customHeight="1" x14ac:dyDescent="0.15">
      <c r="A136" s="13" t="s">
        <v>2092</v>
      </c>
      <c r="B136" s="13" t="s">
        <v>2093</v>
      </c>
      <c r="C136" s="3" t="s">
        <v>2094</v>
      </c>
      <c r="D136" s="12" t="s">
        <v>595</v>
      </c>
      <c r="E136" s="12" t="s">
        <v>604</v>
      </c>
      <c r="F136" s="31" t="s">
        <v>200</v>
      </c>
      <c r="G136" s="6"/>
      <c r="H136" s="38">
        <f>일위대가!I991</f>
        <v>1952</v>
      </c>
      <c r="I136" s="38">
        <f t="shared" si="10"/>
        <v>1952</v>
      </c>
      <c r="J136" s="38"/>
      <c r="K136" s="38">
        <f>일위대가!L991</f>
        <v>54748</v>
      </c>
      <c r="L136" s="38">
        <f t="shared" si="11"/>
        <v>54748</v>
      </c>
      <c r="M136" s="38">
        <f>일위대가!N991</f>
        <v>0</v>
      </c>
      <c r="N136" s="38">
        <f t="shared" si="12"/>
        <v>0</v>
      </c>
      <c r="O136" s="38">
        <f t="shared" si="13"/>
        <v>56700</v>
      </c>
      <c r="P136" s="38">
        <f t="shared" si="14"/>
        <v>56700</v>
      </c>
      <c r="Q136" s="1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23.1" customHeight="1" x14ac:dyDescent="0.15">
      <c r="A137" s="13" t="s">
        <v>2095</v>
      </c>
      <c r="B137" s="13" t="s">
        <v>2096</v>
      </c>
      <c r="C137" s="3" t="s">
        <v>2097</v>
      </c>
      <c r="D137" s="12" t="s">
        <v>595</v>
      </c>
      <c r="E137" s="12" t="s">
        <v>606</v>
      </c>
      <c r="F137" s="31" t="s">
        <v>200</v>
      </c>
      <c r="G137" s="6"/>
      <c r="H137" s="38">
        <f>일위대가!I997</f>
        <v>3351</v>
      </c>
      <c r="I137" s="38">
        <f t="shared" si="10"/>
        <v>3351</v>
      </c>
      <c r="J137" s="38"/>
      <c r="K137" s="38">
        <f>일위대가!L997</f>
        <v>62412</v>
      </c>
      <c r="L137" s="38">
        <f t="shared" si="11"/>
        <v>62412</v>
      </c>
      <c r="M137" s="38">
        <f>일위대가!N997</f>
        <v>0</v>
      </c>
      <c r="N137" s="38">
        <f t="shared" si="12"/>
        <v>0</v>
      </c>
      <c r="O137" s="38">
        <f t="shared" si="13"/>
        <v>65763</v>
      </c>
      <c r="P137" s="38">
        <f t="shared" si="14"/>
        <v>65763</v>
      </c>
      <c r="Q137" s="1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23.1" customHeight="1" x14ac:dyDescent="0.15">
      <c r="A138" s="13" t="s">
        <v>2098</v>
      </c>
      <c r="B138" s="13" t="s">
        <v>2099</v>
      </c>
      <c r="C138" s="3" t="s">
        <v>2100</v>
      </c>
      <c r="D138" s="12" t="s">
        <v>608</v>
      </c>
      <c r="E138" s="12" t="s">
        <v>609</v>
      </c>
      <c r="F138" s="31" t="s">
        <v>200</v>
      </c>
      <c r="G138" s="6"/>
      <c r="H138" s="38">
        <f>일위대가!I1003</f>
        <v>2775</v>
      </c>
      <c r="I138" s="38">
        <f t="shared" si="10"/>
        <v>2775</v>
      </c>
      <c r="J138" s="38"/>
      <c r="K138" s="38">
        <f>일위대가!L1003</f>
        <v>43798</v>
      </c>
      <c r="L138" s="38">
        <f t="shared" si="11"/>
        <v>43798</v>
      </c>
      <c r="M138" s="38">
        <f>일위대가!N1003</f>
        <v>0</v>
      </c>
      <c r="N138" s="38">
        <f t="shared" si="12"/>
        <v>0</v>
      </c>
      <c r="O138" s="38">
        <f t="shared" si="13"/>
        <v>46573</v>
      </c>
      <c r="P138" s="38">
        <f t="shared" si="14"/>
        <v>46573</v>
      </c>
      <c r="Q138" s="1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23.1" customHeight="1" x14ac:dyDescent="0.15">
      <c r="A139" s="13" t="s">
        <v>2101</v>
      </c>
      <c r="B139" s="13" t="s">
        <v>2102</v>
      </c>
      <c r="C139" s="3" t="s">
        <v>2103</v>
      </c>
      <c r="D139" s="12" t="s">
        <v>656</v>
      </c>
      <c r="E139" s="12" t="s">
        <v>657</v>
      </c>
      <c r="F139" s="31" t="s">
        <v>166</v>
      </c>
      <c r="G139" s="6"/>
      <c r="H139" s="38">
        <f>일위대가!I1011</f>
        <v>3045</v>
      </c>
      <c r="I139" s="38">
        <f t="shared" si="10"/>
        <v>3045</v>
      </c>
      <c r="J139" s="38"/>
      <c r="K139" s="38">
        <f>일위대가!L1011</f>
        <v>14778</v>
      </c>
      <c r="L139" s="38">
        <f t="shared" si="11"/>
        <v>14778</v>
      </c>
      <c r="M139" s="38">
        <f>일위대가!N1011</f>
        <v>0</v>
      </c>
      <c r="N139" s="38">
        <f t="shared" si="12"/>
        <v>0</v>
      </c>
      <c r="O139" s="38">
        <f t="shared" si="13"/>
        <v>17823</v>
      </c>
      <c r="P139" s="38">
        <f t="shared" si="14"/>
        <v>17823</v>
      </c>
      <c r="Q139" s="1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23.1" customHeight="1" x14ac:dyDescent="0.15">
      <c r="A140" s="13" t="s">
        <v>2104</v>
      </c>
      <c r="B140" s="13" t="s">
        <v>2105</v>
      </c>
      <c r="C140" s="3" t="s">
        <v>2106</v>
      </c>
      <c r="D140" s="12" t="s">
        <v>656</v>
      </c>
      <c r="E140" s="12" t="s">
        <v>660</v>
      </c>
      <c r="F140" s="31" t="s">
        <v>166</v>
      </c>
      <c r="G140" s="6"/>
      <c r="H140" s="38">
        <f>일위대가!I1019</f>
        <v>3942</v>
      </c>
      <c r="I140" s="38">
        <f t="shared" si="10"/>
        <v>3942</v>
      </c>
      <c r="J140" s="38"/>
      <c r="K140" s="38">
        <f>일위대가!L1019</f>
        <v>17734</v>
      </c>
      <c r="L140" s="38">
        <f t="shared" si="11"/>
        <v>17734</v>
      </c>
      <c r="M140" s="38">
        <f>일위대가!N1019</f>
        <v>0</v>
      </c>
      <c r="N140" s="38">
        <f t="shared" si="12"/>
        <v>0</v>
      </c>
      <c r="O140" s="38">
        <f t="shared" si="13"/>
        <v>21676</v>
      </c>
      <c r="P140" s="38">
        <f t="shared" si="14"/>
        <v>21676</v>
      </c>
      <c r="Q140" s="1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23.1" customHeight="1" x14ac:dyDescent="0.15">
      <c r="A141" s="13" t="s">
        <v>2107</v>
      </c>
      <c r="B141" s="13" t="s">
        <v>2108</v>
      </c>
      <c r="C141" s="3" t="s">
        <v>2109</v>
      </c>
      <c r="D141" s="12" t="s">
        <v>656</v>
      </c>
      <c r="E141" s="12" t="s">
        <v>662</v>
      </c>
      <c r="F141" s="31" t="s">
        <v>166</v>
      </c>
      <c r="G141" s="6"/>
      <c r="H141" s="38">
        <f>일위대가!I1027</f>
        <v>5334</v>
      </c>
      <c r="I141" s="38">
        <f t="shared" si="10"/>
        <v>5334</v>
      </c>
      <c r="J141" s="38"/>
      <c r="K141" s="38">
        <f>일위대가!L1027</f>
        <v>23645</v>
      </c>
      <c r="L141" s="38">
        <f t="shared" si="11"/>
        <v>23645</v>
      </c>
      <c r="M141" s="38">
        <f>일위대가!N1027</f>
        <v>0</v>
      </c>
      <c r="N141" s="38">
        <f t="shared" si="12"/>
        <v>0</v>
      </c>
      <c r="O141" s="38">
        <f t="shared" si="13"/>
        <v>28979</v>
      </c>
      <c r="P141" s="38">
        <f t="shared" si="14"/>
        <v>28979</v>
      </c>
      <c r="Q141" s="1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23.1" customHeight="1" x14ac:dyDescent="0.15">
      <c r="A142" s="13" t="s">
        <v>2110</v>
      </c>
      <c r="B142" s="13" t="s">
        <v>2111</v>
      </c>
      <c r="C142" s="3" t="s">
        <v>2112</v>
      </c>
      <c r="D142" s="12" t="s">
        <v>656</v>
      </c>
      <c r="E142" s="12" t="s">
        <v>664</v>
      </c>
      <c r="F142" s="31" t="s">
        <v>166</v>
      </c>
      <c r="G142" s="6"/>
      <c r="H142" s="38">
        <f>일위대가!I1035</f>
        <v>6369</v>
      </c>
      <c r="I142" s="38">
        <f t="shared" si="10"/>
        <v>6369</v>
      </c>
      <c r="J142" s="38"/>
      <c r="K142" s="38">
        <f>일위대가!L1035</f>
        <v>29557</v>
      </c>
      <c r="L142" s="38">
        <f t="shared" si="11"/>
        <v>29557</v>
      </c>
      <c r="M142" s="38">
        <f>일위대가!N1035</f>
        <v>0</v>
      </c>
      <c r="N142" s="38">
        <f t="shared" si="12"/>
        <v>0</v>
      </c>
      <c r="O142" s="38">
        <f t="shared" si="13"/>
        <v>35926</v>
      </c>
      <c r="P142" s="38">
        <f t="shared" si="14"/>
        <v>35926</v>
      </c>
      <c r="Q142" s="1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23.1" customHeight="1" x14ac:dyDescent="0.15">
      <c r="A143" s="13" t="s">
        <v>2113</v>
      </c>
      <c r="B143" s="13" t="s">
        <v>2114</v>
      </c>
      <c r="C143" s="3" t="s">
        <v>2115</v>
      </c>
      <c r="D143" s="12" t="s">
        <v>656</v>
      </c>
      <c r="E143" s="12" t="s">
        <v>666</v>
      </c>
      <c r="F143" s="31" t="s">
        <v>166</v>
      </c>
      <c r="G143" s="6"/>
      <c r="H143" s="38">
        <f>일위대가!I1043</f>
        <v>8442</v>
      </c>
      <c r="I143" s="38">
        <f t="shared" si="10"/>
        <v>8442</v>
      </c>
      <c r="J143" s="38"/>
      <c r="K143" s="38">
        <f>일위대가!L1043</f>
        <v>38424</v>
      </c>
      <c r="L143" s="38">
        <f t="shared" si="11"/>
        <v>38424</v>
      </c>
      <c r="M143" s="38">
        <f>일위대가!N1043</f>
        <v>0</v>
      </c>
      <c r="N143" s="38">
        <f t="shared" si="12"/>
        <v>0</v>
      </c>
      <c r="O143" s="38">
        <f t="shared" si="13"/>
        <v>46866</v>
      </c>
      <c r="P143" s="38">
        <f t="shared" si="14"/>
        <v>46866</v>
      </c>
      <c r="Q143" s="1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23.1" customHeight="1" x14ac:dyDescent="0.15">
      <c r="A144" s="13" t="s">
        <v>2116</v>
      </c>
      <c r="B144" s="13" t="s">
        <v>2117</v>
      </c>
      <c r="C144" s="3" t="s">
        <v>2118</v>
      </c>
      <c r="D144" s="12" t="s">
        <v>656</v>
      </c>
      <c r="E144" s="12" t="s">
        <v>668</v>
      </c>
      <c r="F144" s="31" t="s">
        <v>166</v>
      </c>
      <c r="G144" s="6"/>
      <c r="H144" s="38">
        <f>일위대가!I1051</f>
        <v>11759</v>
      </c>
      <c r="I144" s="38">
        <f t="shared" si="10"/>
        <v>11759</v>
      </c>
      <c r="J144" s="38"/>
      <c r="K144" s="38">
        <f>일위대가!L1051</f>
        <v>56158</v>
      </c>
      <c r="L144" s="38">
        <f t="shared" si="11"/>
        <v>56158</v>
      </c>
      <c r="M144" s="38">
        <f>일위대가!N1051</f>
        <v>0</v>
      </c>
      <c r="N144" s="38">
        <f t="shared" si="12"/>
        <v>0</v>
      </c>
      <c r="O144" s="38">
        <f t="shared" si="13"/>
        <v>67917</v>
      </c>
      <c r="P144" s="38">
        <f t="shared" si="14"/>
        <v>67917</v>
      </c>
      <c r="Q144" s="1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23.1" customHeight="1" x14ac:dyDescent="0.15">
      <c r="A145" s="13" t="s">
        <v>2119</v>
      </c>
      <c r="B145" s="13" t="s">
        <v>2120</v>
      </c>
      <c r="C145" s="3" t="s">
        <v>2121</v>
      </c>
      <c r="D145" s="12" t="s">
        <v>656</v>
      </c>
      <c r="E145" s="12" t="s">
        <v>670</v>
      </c>
      <c r="F145" s="31" t="s">
        <v>166</v>
      </c>
      <c r="G145" s="6"/>
      <c r="H145" s="38">
        <f>일위대가!I1059</f>
        <v>15746</v>
      </c>
      <c r="I145" s="38">
        <f t="shared" si="10"/>
        <v>15746</v>
      </c>
      <c r="J145" s="38"/>
      <c r="K145" s="38">
        <f>일위대가!L1059</f>
        <v>82759</v>
      </c>
      <c r="L145" s="38">
        <f t="shared" si="11"/>
        <v>82759</v>
      </c>
      <c r="M145" s="38">
        <f>일위대가!N1059</f>
        <v>0</v>
      </c>
      <c r="N145" s="38">
        <f t="shared" si="12"/>
        <v>0</v>
      </c>
      <c r="O145" s="38">
        <f t="shared" si="13"/>
        <v>98505</v>
      </c>
      <c r="P145" s="38">
        <f t="shared" si="14"/>
        <v>98505</v>
      </c>
      <c r="Q145" s="1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23.1" customHeight="1" x14ac:dyDescent="0.15">
      <c r="A146" s="13" t="s">
        <v>2122</v>
      </c>
      <c r="B146" s="13" t="s">
        <v>2123</v>
      </c>
      <c r="C146" s="3" t="s">
        <v>2124</v>
      </c>
      <c r="D146" s="12" t="s">
        <v>707</v>
      </c>
      <c r="E146" s="12"/>
      <c r="F146" s="31" t="s">
        <v>200</v>
      </c>
      <c r="G146" s="6"/>
      <c r="H146" s="38">
        <f>일위대가!I1065</f>
        <v>50727</v>
      </c>
      <c r="I146" s="38">
        <f t="shared" si="10"/>
        <v>50727</v>
      </c>
      <c r="J146" s="38"/>
      <c r="K146" s="38">
        <f>일위대가!L1065</f>
        <v>36398</v>
      </c>
      <c r="L146" s="38">
        <f t="shared" si="11"/>
        <v>36398</v>
      </c>
      <c r="M146" s="38">
        <f>일위대가!N1065</f>
        <v>0</v>
      </c>
      <c r="N146" s="38">
        <f t="shared" si="12"/>
        <v>0</v>
      </c>
      <c r="O146" s="38">
        <f t="shared" si="13"/>
        <v>87125</v>
      </c>
      <c r="P146" s="38">
        <f t="shared" si="14"/>
        <v>87125</v>
      </c>
      <c r="Q146" s="1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23.1" customHeight="1" x14ac:dyDescent="0.15">
      <c r="A147" s="13" t="s">
        <v>2125</v>
      </c>
      <c r="B147" s="13" t="s">
        <v>2126</v>
      </c>
      <c r="C147" s="3" t="s">
        <v>2127</v>
      </c>
      <c r="D147" s="12" t="s">
        <v>708</v>
      </c>
      <c r="E147" s="12" t="s">
        <v>709</v>
      </c>
      <c r="F147" s="31" t="s">
        <v>710</v>
      </c>
      <c r="G147" s="6"/>
      <c r="H147" s="38">
        <f>일위대가!I1071</f>
        <v>51313</v>
      </c>
      <c r="I147" s="38">
        <f t="shared" si="10"/>
        <v>51313</v>
      </c>
      <c r="J147" s="38"/>
      <c r="K147" s="38">
        <f>일위대가!L1071</f>
        <v>65682</v>
      </c>
      <c r="L147" s="38">
        <f t="shared" si="11"/>
        <v>65682</v>
      </c>
      <c r="M147" s="38">
        <f>일위대가!N1071</f>
        <v>0</v>
      </c>
      <c r="N147" s="38">
        <f t="shared" si="12"/>
        <v>0</v>
      </c>
      <c r="O147" s="38">
        <f t="shared" si="13"/>
        <v>116995</v>
      </c>
      <c r="P147" s="38">
        <f t="shared" si="14"/>
        <v>116995</v>
      </c>
      <c r="Q147" s="1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23.1" customHeight="1" x14ac:dyDescent="0.15">
      <c r="A148" s="13" t="s">
        <v>2128</v>
      </c>
      <c r="B148" s="13" t="s">
        <v>2129</v>
      </c>
      <c r="C148" s="3" t="s">
        <v>2130</v>
      </c>
      <c r="D148" s="12" t="s">
        <v>712</v>
      </c>
      <c r="E148" s="12" t="s">
        <v>713</v>
      </c>
      <c r="F148" s="31" t="s">
        <v>289</v>
      </c>
      <c r="G148" s="6"/>
      <c r="H148" s="38">
        <f>일위대가!I1077</f>
        <v>10530</v>
      </c>
      <c r="I148" s="38">
        <f t="shared" si="10"/>
        <v>10530</v>
      </c>
      <c r="J148" s="38"/>
      <c r="K148" s="38">
        <f>일위대가!L1077</f>
        <v>26546</v>
      </c>
      <c r="L148" s="38">
        <f t="shared" si="11"/>
        <v>26546</v>
      </c>
      <c r="M148" s="38">
        <f>일위대가!N1077</f>
        <v>0</v>
      </c>
      <c r="N148" s="38">
        <f t="shared" si="12"/>
        <v>0</v>
      </c>
      <c r="O148" s="38">
        <f t="shared" si="13"/>
        <v>37076</v>
      </c>
      <c r="P148" s="38">
        <f t="shared" si="14"/>
        <v>37076</v>
      </c>
      <c r="Q148" s="1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23.1" customHeight="1" x14ac:dyDescent="0.15">
      <c r="A149" s="13" t="s">
        <v>2131</v>
      </c>
      <c r="B149" s="13" t="s">
        <v>2132</v>
      </c>
      <c r="C149" s="3" t="s">
        <v>2133</v>
      </c>
      <c r="D149" s="12" t="s">
        <v>715</v>
      </c>
      <c r="E149" s="12"/>
      <c r="F149" s="31" t="s">
        <v>559</v>
      </c>
      <c r="G149" s="6"/>
      <c r="H149" s="38">
        <f>일위대가!I1083</f>
        <v>140412</v>
      </c>
      <c r="I149" s="38">
        <f t="shared" si="10"/>
        <v>140412</v>
      </c>
      <c r="J149" s="38"/>
      <c r="K149" s="38">
        <f>일위대가!L1083</f>
        <v>180626</v>
      </c>
      <c r="L149" s="38">
        <f t="shared" si="11"/>
        <v>180626</v>
      </c>
      <c r="M149" s="38">
        <f>일위대가!N1083</f>
        <v>0</v>
      </c>
      <c r="N149" s="38">
        <f t="shared" si="12"/>
        <v>0</v>
      </c>
      <c r="O149" s="38">
        <f t="shared" si="13"/>
        <v>321038</v>
      </c>
      <c r="P149" s="38">
        <f t="shared" si="14"/>
        <v>321038</v>
      </c>
      <c r="Q149" s="1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23.1" customHeight="1" x14ac:dyDescent="0.15">
      <c r="A150" s="13" t="s">
        <v>2134</v>
      </c>
      <c r="B150" s="13" t="s">
        <v>2135</v>
      </c>
      <c r="C150" s="3" t="s">
        <v>2136</v>
      </c>
      <c r="D150" s="12" t="s">
        <v>716</v>
      </c>
      <c r="E150" s="12" t="s">
        <v>717</v>
      </c>
      <c r="F150" s="31" t="s">
        <v>200</v>
      </c>
      <c r="G150" s="6"/>
      <c r="H150" s="38">
        <f>일위대가!I1089</f>
        <v>45437</v>
      </c>
      <c r="I150" s="38">
        <f t="shared" si="10"/>
        <v>45437</v>
      </c>
      <c r="J150" s="38"/>
      <c r="K150" s="38">
        <f>일위대가!L1089</f>
        <v>21894</v>
      </c>
      <c r="L150" s="38">
        <f t="shared" si="11"/>
        <v>21894</v>
      </c>
      <c r="M150" s="38">
        <f>일위대가!N1089</f>
        <v>0</v>
      </c>
      <c r="N150" s="38">
        <f t="shared" si="12"/>
        <v>0</v>
      </c>
      <c r="O150" s="38">
        <f t="shared" si="13"/>
        <v>67331</v>
      </c>
      <c r="P150" s="38">
        <f t="shared" si="14"/>
        <v>67331</v>
      </c>
      <c r="Q150" s="1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23.1" customHeight="1" x14ac:dyDescent="0.15">
      <c r="A151" s="13" t="s">
        <v>2137</v>
      </c>
      <c r="B151" s="13" t="s">
        <v>2138</v>
      </c>
      <c r="C151" s="3" t="s">
        <v>2139</v>
      </c>
      <c r="D151" s="12" t="s">
        <v>716</v>
      </c>
      <c r="E151" s="12" t="s">
        <v>718</v>
      </c>
      <c r="F151" s="31" t="s">
        <v>200</v>
      </c>
      <c r="G151" s="6"/>
      <c r="H151" s="38">
        <f>일위대가!I1095</f>
        <v>45437</v>
      </c>
      <c r="I151" s="38">
        <f t="shared" si="10"/>
        <v>45437</v>
      </c>
      <c r="J151" s="38"/>
      <c r="K151" s="38">
        <f>일위대가!L1095</f>
        <v>21894</v>
      </c>
      <c r="L151" s="38">
        <f t="shared" si="11"/>
        <v>21894</v>
      </c>
      <c r="M151" s="38">
        <f>일위대가!N1095</f>
        <v>0</v>
      </c>
      <c r="N151" s="38">
        <f t="shared" si="12"/>
        <v>0</v>
      </c>
      <c r="O151" s="38">
        <f t="shared" si="13"/>
        <v>67331</v>
      </c>
      <c r="P151" s="38">
        <f t="shared" si="14"/>
        <v>67331</v>
      </c>
      <c r="Q151" s="1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23.1" customHeight="1" x14ac:dyDescent="0.15">
      <c r="A152" s="13" t="s">
        <v>2140</v>
      </c>
      <c r="B152" s="13" t="s">
        <v>2141</v>
      </c>
      <c r="C152" s="3" t="s">
        <v>2142</v>
      </c>
      <c r="D152" s="12" t="s">
        <v>716</v>
      </c>
      <c r="E152" s="12" t="s">
        <v>719</v>
      </c>
      <c r="F152" s="31" t="s">
        <v>200</v>
      </c>
      <c r="G152" s="6"/>
      <c r="H152" s="38">
        <f>일위대가!I1101</f>
        <v>35437</v>
      </c>
      <c r="I152" s="38">
        <f t="shared" si="10"/>
        <v>35437</v>
      </c>
      <c r="J152" s="38"/>
      <c r="K152" s="38">
        <f>일위대가!L1101</f>
        <v>21894</v>
      </c>
      <c r="L152" s="38">
        <f t="shared" si="11"/>
        <v>21894</v>
      </c>
      <c r="M152" s="38">
        <f>일위대가!N1101</f>
        <v>0</v>
      </c>
      <c r="N152" s="38">
        <f t="shared" si="12"/>
        <v>0</v>
      </c>
      <c r="O152" s="38">
        <f t="shared" si="13"/>
        <v>57331</v>
      </c>
      <c r="P152" s="38">
        <f t="shared" si="14"/>
        <v>57331</v>
      </c>
      <c r="Q152" s="1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23.1" customHeight="1" x14ac:dyDescent="0.15">
      <c r="A153" s="13" t="s">
        <v>2143</v>
      </c>
      <c r="B153" s="13" t="s">
        <v>2144</v>
      </c>
      <c r="C153" s="3" t="s">
        <v>2145</v>
      </c>
      <c r="D153" s="12" t="s">
        <v>720</v>
      </c>
      <c r="E153" s="12" t="s">
        <v>717</v>
      </c>
      <c r="F153" s="31" t="s">
        <v>200</v>
      </c>
      <c r="G153" s="6"/>
      <c r="H153" s="38">
        <f>일위대가!I1107</f>
        <v>5485</v>
      </c>
      <c r="I153" s="38">
        <f t="shared" si="10"/>
        <v>5485</v>
      </c>
      <c r="J153" s="38"/>
      <c r="K153" s="38">
        <f>일위대가!L1107</f>
        <v>49261</v>
      </c>
      <c r="L153" s="38">
        <f t="shared" si="11"/>
        <v>49261</v>
      </c>
      <c r="M153" s="38">
        <f>일위대가!N1107</f>
        <v>0</v>
      </c>
      <c r="N153" s="38">
        <f t="shared" si="12"/>
        <v>0</v>
      </c>
      <c r="O153" s="38">
        <f t="shared" si="13"/>
        <v>54746</v>
      </c>
      <c r="P153" s="38">
        <f t="shared" si="14"/>
        <v>54746</v>
      </c>
      <c r="Q153" s="1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23.1" customHeight="1" x14ac:dyDescent="0.15">
      <c r="A154" s="13" t="s">
        <v>2146</v>
      </c>
      <c r="B154" s="13" t="s">
        <v>2147</v>
      </c>
      <c r="C154" s="3" t="s">
        <v>2148</v>
      </c>
      <c r="D154" s="12" t="s">
        <v>720</v>
      </c>
      <c r="E154" s="12" t="s">
        <v>718</v>
      </c>
      <c r="F154" s="31" t="s">
        <v>200</v>
      </c>
      <c r="G154" s="6"/>
      <c r="H154" s="38">
        <f>일위대가!I1113</f>
        <v>4825</v>
      </c>
      <c r="I154" s="38">
        <f t="shared" si="10"/>
        <v>4825</v>
      </c>
      <c r="J154" s="38"/>
      <c r="K154" s="38">
        <f>일위대가!L1113</f>
        <v>49261</v>
      </c>
      <c r="L154" s="38">
        <f t="shared" si="11"/>
        <v>49261</v>
      </c>
      <c r="M154" s="38">
        <f>일위대가!N1113</f>
        <v>0</v>
      </c>
      <c r="N154" s="38">
        <f t="shared" si="12"/>
        <v>0</v>
      </c>
      <c r="O154" s="38">
        <f t="shared" si="13"/>
        <v>54086</v>
      </c>
      <c r="P154" s="38">
        <f t="shared" si="14"/>
        <v>54086</v>
      </c>
      <c r="Q154" s="1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23.1" customHeight="1" x14ac:dyDescent="0.15">
      <c r="A155" s="13" t="s">
        <v>2149</v>
      </c>
      <c r="B155" s="13" t="s">
        <v>2150</v>
      </c>
      <c r="C155" s="3" t="s">
        <v>2151</v>
      </c>
      <c r="D155" s="12" t="s">
        <v>720</v>
      </c>
      <c r="E155" s="12" t="s">
        <v>719</v>
      </c>
      <c r="F155" s="31" t="s">
        <v>200</v>
      </c>
      <c r="G155" s="6"/>
      <c r="H155" s="38">
        <f>일위대가!I1119</f>
        <v>4985</v>
      </c>
      <c r="I155" s="38">
        <f t="shared" si="10"/>
        <v>4985</v>
      </c>
      <c r="J155" s="38"/>
      <c r="K155" s="38">
        <f>일위대가!L1119</f>
        <v>49261</v>
      </c>
      <c r="L155" s="38">
        <f t="shared" si="11"/>
        <v>49261</v>
      </c>
      <c r="M155" s="38">
        <f>일위대가!N1119</f>
        <v>0</v>
      </c>
      <c r="N155" s="38">
        <f t="shared" si="12"/>
        <v>0</v>
      </c>
      <c r="O155" s="38">
        <f t="shared" si="13"/>
        <v>54246</v>
      </c>
      <c r="P155" s="38">
        <f t="shared" si="14"/>
        <v>54246</v>
      </c>
      <c r="Q155" s="1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23.1" customHeight="1" x14ac:dyDescent="0.15">
      <c r="A156" s="13" t="s">
        <v>2152</v>
      </c>
      <c r="B156" s="13" t="s">
        <v>2153</v>
      </c>
      <c r="C156" s="3" t="s">
        <v>2154</v>
      </c>
      <c r="D156" s="12" t="s">
        <v>722</v>
      </c>
      <c r="E156" s="12" t="s">
        <v>717</v>
      </c>
      <c r="F156" s="31" t="s">
        <v>200</v>
      </c>
      <c r="G156" s="6"/>
      <c r="H156" s="38">
        <f>일위대가!I1125</f>
        <v>2485</v>
      </c>
      <c r="I156" s="38">
        <f t="shared" si="10"/>
        <v>2485</v>
      </c>
      <c r="J156" s="38"/>
      <c r="K156" s="38">
        <f>일위대가!L1125</f>
        <v>49261</v>
      </c>
      <c r="L156" s="38">
        <f t="shared" si="11"/>
        <v>49261</v>
      </c>
      <c r="M156" s="38">
        <f>일위대가!N1125</f>
        <v>0</v>
      </c>
      <c r="N156" s="38">
        <f t="shared" si="12"/>
        <v>0</v>
      </c>
      <c r="O156" s="38">
        <f t="shared" si="13"/>
        <v>51746</v>
      </c>
      <c r="P156" s="38">
        <f t="shared" si="14"/>
        <v>51746</v>
      </c>
      <c r="Q156" s="1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23.1" customHeight="1" x14ac:dyDescent="0.15">
      <c r="A157" s="13" t="s">
        <v>2155</v>
      </c>
      <c r="B157" s="13" t="s">
        <v>2156</v>
      </c>
      <c r="C157" s="3" t="s">
        <v>2157</v>
      </c>
      <c r="D157" s="12" t="s">
        <v>722</v>
      </c>
      <c r="E157" s="12" t="s">
        <v>719</v>
      </c>
      <c r="F157" s="31" t="s">
        <v>200</v>
      </c>
      <c r="G157" s="6"/>
      <c r="H157" s="38">
        <f>일위대가!I1131</f>
        <v>2485</v>
      </c>
      <c r="I157" s="38">
        <f t="shared" si="10"/>
        <v>2485</v>
      </c>
      <c r="J157" s="38"/>
      <c r="K157" s="38">
        <f>일위대가!L1131</f>
        <v>49261</v>
      </c>
      <c r="L157" s="38">
        <f t="shared" si="11"/>
        <v>49261</v>
      </c>
      <c r="M157" s="38">
        <f>일위대가!N1131</f>
        <v>0</v>
      </c>
      <c r="N157" s="38">
        <f t="shared" si="12"/>
        <v>0</v>
      </c>
      <c r="O157" s="38">
        <f t="shared" si="13"/>
        <v>51746</v>
      </c>
      <c r="P157" s="38">
        <f t="shared" si="14"/>
        <v>51746</v>
      </c>
      <c r="Q157" s="1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23.1" customHeight="1" x14ac:dyDescent="0.15">
      <c r="A158" s="13" t="s">
        <v>2158</v>
      </c>
      <c r="B158" s="13" t="s">
        <v>2159</v>
      </c>
      <c r="C158" s="3" t="s">
        <v>2160</v>
      </c>
      <c r="D158" s="12" t="s">
        <v>519</v>
      </c>
      <c r="E158" s="12" t="s">
        <v>723</v>
      </c>
      <c r="F158" s="31" t="s">
        <v>200</v>
      </c>
      <c r="G158" s="6"/>
      <c r="H158" s="38">
        <f>일위대가!I1137</f>
        <v>1782</v>
      </c>
      <c r="I158" s="38">
        <f t="shared" si="10"/>
        <v>1782</v>
      </c>
      <c r="J158" s="38"/>
      <c r="K158" s="38">
        <f>일위대가!L1137</f>
        <v>21894</v>
      </c>
      <c r="L158" s="38">
        <f t="shared" si="11"/>
        <v>21894</v>
      </c>
      <c r="M158" s="38">
        <f>일위대가!N1137</f>
        <v>0</v>
      </c>
      <c r="N158" s="38">
        <f t="shared" si="12"/>
        <v>0</v>
      </c>
      <c r="O158" s="38">
        <f t="shared" si="13"/>
        <v>23676</v>
      </c>
      <c r="P158" s="38">
        <f t="shared" si="14"/>
        <v>23676</v>
      </c>
      <c r="Q158" s="1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23.1" customHeight="1" x14ac:dyDescent="0.15">
      <c r="A159" s="13" t="s">
        <v>2161</v>
      </c>
      <c r="B159" s="13" t="s">
        <v>2162</v>
      </c>
      <c r="C159" s="3" t="s">
        <v>2163</v>
      </c>
      <c r="D159" s="12" t="s">
        <v>724</v>
      </c>
      <c r="E159" s="12" t="s">
        <v>725</v>
      </c>
      <c r="F159" s="31" t="s">
        <v>200</v>
      </c>
      <c r="G159" s="6"/>
      <c r="H159" s="38">
        <f>일위대가!I1143</f>
        <v>2285</v>
      </c>
      <c r="I159" s="38">
        <f t="shared" si="10"/>
        <v>2285</v>
      </c>
      <c r="J159" s="38"/>
      <c r="K159" s="38">
        <f>일위대가!L1143</f>
        <v>49261</v>
      </c>
      <c r="L159" s="38">
        <f t="shared" si="11"/>
        <v>49261</v>
      </c>
      <c r="M159" s="38">
        <f>일위대가!N1143</f>
        <v>0</v>
      </c>
      <c r="N159" s="38">
        <f t="shared" si="12"/>
        <v>0</v>
      </c>
      <c r="O159" s="38">
        <f t="shared" si="13"/>
        <v>51546</v>
      </c>
      <c r="P159" s="38">
        <f t="shared" si="14"/>
        <v>51546</v>
      </c>
      <c r="Q159" s="1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23.1" customHeight="1" x14ac:dyDescent="0.15">
      <c r="A160" s="13" t="s">
        <v>2164</v>
      </c>
      <c r="B160" s="13" t="s">
        <v>2165</v>
      </c>
      <c r="C160" s="3" t="s">
        <v>2166</v>
      </c>
      <c r="D160" s="12" t="s">
        <v>724</v>
      </c>
      <c r="E160" s="12" t="s">
        <v>726</v>
      </c>
      <c r="F160" s="31" t="s">
        <v>200</v>
      </c>
      <c r="G160" s="6"/>
      <c r="H160" s="38">
        <f>일위대가!I1149</f>
        <v>2485</v>
      </c>
      <c r="I160" s="38">
        <f t="shared" si="10"/>
        <v>2485</v>
      </c>
      <c r="J160" s="38"/>
      <c r="K160" s="38">
        <f>일위대가!L1149</f>
        <v>49261</v>
      </c>
      <c r="L160" s="38">
        <f t="shared" si="11"/>
        <v>49261</v>
      </c>
      <c r="M160" s="38">
        <f>일위대가!N1149</f>
        <v>0</v>
      </c>
      <c r="N160" s="38">
        <f t="shared" si="12"/>
        <v>0</v>
      </c>
      <c r="O160" s="38">
        <f t="shared" si="13"/>
        <v>51746</v>
      </c>
      <c r="P160" s="38">
        <f t="shared" si="14"/>
        <v>51746</v>
      </c>
      <c r="Q160" s="12" t="s">
        <v>2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23.1" customHeight="1" x14ac:dyDescent="0.15">
      <c r="A161" s="13" t="s">
        <v>2167</v>
      </c>
      <c r="B161" s="13" t="s">
        <v>2168</v>
      </c>
      <c r="C161" s="3" t="s">
        <v>2169</v>
      </c>
      <c r="D161" s="12" t="s">
        <v>728</v>
      </c>
      <c r="E161" s="12" t="s">
        <v>729</v>
      </c>
      <c r="F161" s="31" t="s">
        <v>1866</v>
      </c>
      <c r="G161" s="6"/>
      <c r="H161" s="38">
        <f>일위대가!I1156</f>
        <v>7132</v>
      </c>
      <c r="I161" s="38">
        <f t="shared" si="10"/>
        <v>7132</v>
      </c>
      <c r="J161" s="38"/>
      <c r="K161" s="38">
        <f>일위대가!L1156</f>
        <v>6646</v>
      </c>
      <c r="L161" s="38">
        <f t="shared" si="11"/>
        <v>6646</v>
      </c>
      <c r="M161" s="38">
        <f>일위대가!N1156</f>
        <v>0</v>
      </c>
      <c r="N161" s="38">
        <f t="shared" si="12"/>
        <v>0</v>
      </c>
      <c r="O161" s="38">
        <f t="shared" si="13"/>
        <v>13778</v>
      </c>
      <c r="P161" s="38">
        <f t="shared" si="14"/>
        <v>13778</v>
      </c>
      <c r="Q161" s="1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23.1" customHeight="1" x14ac:dyDescent="0.15">
      <c r="A162" s="13" t="s">
        <v>2170</v>
      </c>
      <c r="B162" s="13" t="s">
        <v>2171</v>
      </c>
      <c r="C162" s="3" t="s">
        <v>2172</v>
      </c>
      <c r="D162" s="12" t="s">
        <v>732</v>
      </c>
      <c r="E162" s="12"/>
      <c r="F162" s="31" t="s">
        <v>289</v>
      </c>
      <c r="G162" s="6"/>
      <c r="H162" s="38">
        <f>일위대가!I1162</f>
        <v>13530</v>
      </c>
      <c r="I162" s="38">
        <f t="shared" si="10"/>
        <v>13530</v>
      </c>
      <c r="J162" s="38"/>
      <c r="K162" s="38">
        <f>일위대가!L1162</f>
        <v>26546</v>
      </c>
      <c r="L162" s="38">
        <f t="shared" si="11"/>
        <v>26546</v>
      </c>
      <c r="M162" s="38">
        <f>일위대가!N1162</f>
        <v>0</v>
      </c>
      <c r="N162" s="38">
        <f t="shared" si="12"/>
        <v>0</v>
      </c>
      <c r="O162" s="38">
        <f t="shared" si="13"/>
        <v>40076</v>
      </c>
      <c r="P162" s="38">
        <f t="shared" si="14"/>
        <v>40076</v>
      </c>
      <c r="Q162" s="1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23.1" customHeight="1" x14ac:dyDescent="0.15">
      <c r="A163" s="13" t="s">
        <v>2173</v>
      </c>
      <c r="B163" s="13" t="s">
        <v>2174</v>
      </c>
      <c r="C163" s="3" t="s">
        <v>2175</v>
      </c>
      <c r="D163" s="12" t="s">
        <v>736</v>
      </c>
      <c r="E163" s="12" t="s">
        <v>737</v>
      </c>
      <c r="F163" s="31" t="s">
        <v>559</v>
      </c>
      <c r="G163" s="6"/>
      <c r="H163" s="38">
        <f>일위대가!I1168</f>
        <v>205221</v>
      </c>
      <c r="I163" s="38">
        <f t="shared" si="10"/>
        <v>205221</v>
      </c>
      <c r="J163" s="38"/>
      <c r="K163" s="38">
        <f>일위대가!L1168</f>
        <v>243571</v>
      </c>
      <c r="L163" s="38">
        <f t="shared" si="11"/>
        <v>243571</v>
      </c>
      <c r="M163" s="38">
        <f>일위대가!N1168</f>
        <v>0</v>
      </c>
      <c r="N163" s="38">
        <f t="shared" si="12"/>
        <v>0</v>
      </c>
      <c r="O163" s="38">
        <f t="shared" si="13"/>
        <v>448792</v>
      </c>
      <c r="P163" s="38">
        <f t="shared" si="14"/>
        <v>448792</v>
      </c>
      <c r="Q163" s="1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23.1" customHeight="1" x14ac:dyDescent="0.15">
      <c r="A164" s="13" t="s">
        <v>2176</v>
      </c>
      <c r="B164" s="13" t="s">
        <v>2177</v>
      </c>
      <c r="C164" s="3" t="s">
        <v>2178</v>
      </c>
      <c r="D164" s="12" t="s">
        <v>754</v>
      </c>
      <c r="E164" s="12" t="s">
        <v>755</v>
      </c>
      <c r="F164" s="31" t="s">
        <v>710</v>
      </c>
      <c r="G164" s="6"/>
      <c r="H164" s="38">
        <f>일위대가!I1174</f>
        <v>89291</v>
      </c>
      <c r="I164" s="38">
        <f t="shared" si="10"/>
        <v>89291</v>
      </c>
      <c r="J164" s="38"/>
      <c r="K164" s="38">
        <f>일위대가!L1174</f>
        <v>64587</v>
      </c>
      <c r="L164" s="38">
        <f t="shared" si="11"/>
        <v>64587</v>
      </c>
      <c r="M164" s="38">
        <f>일위대가!N1174</f>
        <v>0</v>
      </c>
      <c r="N164" s="38">
        <f t="shared" si="12"/>
        <v>0</v>
      </c>
      <c r="O164" s="38">
        <f t="shared" si="13"/>
        <v>153878</v>
      </c>
      <c r="P164" s="38">
        <f t="shared" si="14"/>
        <v>153878</v>
      </c>
      <c r="Q164" s="1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23.1" customHeight="1" x14ac:dyDescent="0.15">
      <c r="A165" s="13" t="s">
        <v>2179</v>
      </c>
      <c r="B165" s="13" t="s">
        <v>2180</v>
      </c>
      <c r="C165" s="3" t="s">
        <v>2181</v>
      </c>
      <c r="D165" s="12" t="s">
        <v>759</v>
      </c>
      <c r="E165" s="12" t="s">
        <v>760</v>
      </c>
      <c r="F165" s="31" t="s">
        <v>710</v>
      </c>
      <c r="G165" s="6"/>
      <c r="H165" s="38">
        <f>일위대가!I1180</f>
        <v>40760</v>
      </c>
      <c r="I165" s="38">
        <f t="shared" si="10"/>
        <v>40760</v>
      </c>
      <c r="J165" s="38"/>
      <c r="K165" s="38">
        <f>일위대가!L1180</f>
        <v>38040</v>
      </c>
      <c r="L165" s="38">
        <f t="shared" si="11"/>
        <v>38040</v>
      </c>
      <c r="M165" s="38">
        <f>일위대가!N1180</f>
        <v>0</v>
      </c>
      <c r="N165" s="38">
        <f t="shared" si="12"/>
        <v>0</v>
      </c>
      <c r="O165" s="38">
        <f t="shared" si="13"/>
        <v>78800</v>
      </c>
      <c r="P165" s="38">
        <f t="shared" si="14"/>
        <v>78800</v>
      </c>
      <c r="Q165" s="1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23.1" customHeight="1" x14ac:dyDescent="0.15">
      <c r="A166" s="13" t="s">
        <v>2182</v>
      </c>
      <c r="B166" s="13" t="s">
        <v>2183</v>
      </c>
      <c r="C166" s="3" t="s">
        <v>2184</v>
      </c>
      <c r="D166" s="12" t="s">
        <v>761</v>
      </c>
      <c r="E166" s="12" t="s">
        <v>762</v>
      </c>
      <c r="F166" s="31" t="s">
        <v>710</v>
      </c>
      <c r="G166" s="6"/>
      <c r="H166" s="38">
        <f>일위대가!I1186</f>
        <v>40760</v>
      </c>
      <c r="I166" s="38">
        <f t="shared" si="10"/>
        <v>40760</v>
      </c>
      <c r="J166" s="38"/>
      <c r="K166" s="38">
        <f>일위대가!L1186</f>
        <v>38040</v>
      </c>
      <c r="L166" s="38">
        <f t="shared" si="11"/>
        <v>38040</v>
      </c>
      <c r="M166" s="38">
        <f>일위대가!N1186</f>
        <v>0</v>
      </c>
      <c r="N166" s="38">
        <f t="shared" si="12"/>
        <v>0</v>
      </c>
      <c r="O166" s="38">
        <f t="shared" si="13"/>
        <v>78800</v>
      </c>
      <c r="P166" s="38">
        <f t="shared" si="14"/>
        <v>78800</v>
      </c>
      <c r="Q166" s="1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23.1" customHeight="1" x14ac:dyDescent="0.15">
      <c r="A167" s="13" t="s">
        <v>2185</v>
      </c>
      <c r="B167" s="13" t="s">
        <v>2186</v>
      </c>
      <c r="C167" s="3" t="s">
        <v>2187</v>
      </c>
      <c r="D167" s="12" t="s">
        <v>775</v>
      </c>
      <c r="E167" s="12"/>
      <c r="F167" s="31" t="s">
        <v>289</v>
      </c>
      <c r="G167" s="6"/>
      <c r="H167" s="38">
        <f>일위대가!I1192</f>
        <v>3647</v>
      </c>
      <c r="I167" s="38">
        <f t="shared" si="10"/>
        <v>3647</v>
      </c>
      <c r="J167" s="38"/>
      <c r="K167" s="38">
        <f>일위대가!L1192</f>
        <v>7389</v>
      </c>
      <c r="L167" s="38">
        <f t="shared" si="11"/>
        <v>7389</v>
      </c>
      <c r="M167" s="38">
        <f>일위대가!N1192</f>
        <v>0</v>
      </c>
      <c r="N167" s="38">
        <f t="shared" si="12"/>
        <v>0</v>
      </c>
      <c r="O167" s="38">
        <f t="shared" si="13"/>
        <v>11036</v>
      </c>
      <c r="P167" s="38">
        <f t="shared" si="14"/>
        <v>11036</v>
      </c>
      <c r="Q167" s="1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23.1" customHeight="1" x14ac:dyDescent="0.15">
      <c r="A168" s="13" t="s">
        <v>2188</v>
      </c>
      <c r="B168" s="13" t="s">
        <v>2189</v>
      </c>
      <c r="C168" s="3" t="s">
        <v>2190</v>
      </c>
      <c r="D168" s="12" t="s">
        <v>796</v>
      </c>
      <c r="E168" s="12" t="s">
        <v>797</v>
      </c>
      <c r="F168" s="31" t="s">
        <v>166</v>
      </c>
      <c r="G168" s="6"/>
      <c r="H168" s="38">
        <f>일위대가!I1199</f>
        <v>908</v>
      </c>
      <c r="I168" s="38">
        <f t="shared" si="10"/>
        <v>908</v>
      </c>
      <c r="J168" s="38"/>
      <c r="K168" s="38">
        <f>일위대가!L1199</f>
        <v>8898</v>
      </c>
      <c r="L168" s="38">
        <f t="shared" si="11"/>
        <v>8898</v>
      </c>
      <c r="M168" s="38">
        <f>일위대가!N1199</f>
        <v>0</v>
      </c>
      <c r="N168" s="38">
        <f t="shared" si="12"/>
        <v>0</v>
      </c>
      <c r="O168" s="38">
        <f t="shared" si="13"/>
        <v>9806</v>
      </c>
      <c r="P168" s="38">
        <f t="shared" si="14"/>
        <v>9806</v>
      </c>
      <c r="Q168" s="1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23.1" customHeight="1" x14ac:dyDescent="0.15">
      <c r="A169" s="13" t="s">
        <v>2191</v>
      </c>
      <c r="B169" s="13" t="s">
        <v>2192</v>
      </c>
      <c r="C169" s="3" t="s">
        <v>2193</v>
      </c>
      <c r="D169" s="12" t="s">
        <v>858</v>
      </c>
      <c r="E169" s="12" t="s">
        <v>859</v>
      </c>
      <c r="F169" s="31" t="s">
        <v>559</v>
      </c>
      <c r="G169" s="6"/>
      <c r="H169" s="38">
        <f>일위대가!I1205</f>
        <v>6732</v>
      </c>
      <c r="I169" s="38">
        <f t="shared" si="10"/>
        <v>6732</v>
      </c>
      <c r="J169" s="38"/>
      <c r="K169" s="38">
        <f>일위대가!L1205</f>
        <v>336621</v>
      </c>
      <c r="L169" s="38">
        <f t="shared" si="11"/>
        <v>336621</v>
      </c>
      <c r="M169" s="38">
        <f>일위대가!N1205</f>
        <v>0</v>
      </c>
      <c r="N169" s="38">
        <f t="shared" si="12"/>
        <v>0</v>
      </c>
      <c r="O169" s="38">
        <f t="shared" si="13"/>
        <v>343353</v>
      </c>
      <c r="P169" s="38">
        <f t="shared" si="14"/>
        <v>343353</v>
      </c>
      <c r="Q169" s="1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23.1" customHeight="1" x14ac:dyDescent="0.15">
      <c r="A170" s="13" t="s">
        <v>2194</v>
      </c>
      <c r="B170" s="13" t="s">
        <v>2195</v>
      </c>
      <c r="C170" s="3" t="s">
        <v>2196</v>
      </c>
      <c r="D170" s="12" t="s">
        <v>858</v>
      </c>
      <c r="E170" s="12" t="s">
        <v>861</v>
      </c>
      <c r="F170" s="31" t="s">
        <v>559</v>
      </c>
      <c r="G170" s="6"/>
      <c r="H170" s="38">
        <f>일위대가!I1211</f>
        <v>6732</v>
      </c>
      <c r="I170" s="38">
        <f t="shared" si="10"/>
        <v>6732</v>
      </c>
      <c r="J170" s="38"/>
      <c r="K170" s="38">
        <f>일위대가!L1211</f>
        <v>336621</v>
      </c>
      <c r="L170" s="38">
        <f t="shared" si="11"/>
        <v>336621</v>
      </c>
      <c r="M170" s="38">
        <f>일위대가!N1211</f>
        <v>0</v>
      </c>
      <c r="N170" s="38">
        <f t="shared" si="12"/>
        <v>0</v>
      </c>
      <c r="O170" s="38">
        <f t="shared" si="13"/>
        <v>343353</v>
      </c>
      <c r="P170" s="38">
        <f t="shared" si="14"/>
        <v>343353</v>
      </c>
      <c r="Q170" s="1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23.1" customHeight="1" x14ac:dyDescent="0.15">
      <c r="A171" s="13" t="s">
        <v>2197</v>
      </c>
      <c r="B171" s="13" t="s">
        <v>2198</v>
      </c>
      <c r="C171" s="3" t="s">
        <v>2199</v>
      </c>
      <c r="D171" s="12" t="s">
        <v>858</v>
      </c>
      <c r="E171" s="12" t="s">
        <v>863</v>
      </c>
      <c r="F171" s="31" t="s">
        <v>559</v>
      </c>
      <c r="G171" s="6"/>
      <c r="H171" s="38">
        <f>일위대가!I1217</f>
        <v>6732</v>
      </c>
      <c r="I171" s="38">
        <f t="shared" si="10"/>
        <v>6732</v>
      </c>
      <c r="J171" s="38"/>
      <c r="K171" s="38">
        <f>일위대가!L1217</f>
        <v>336621</v>
      </c>
      <c r="L171" s="38">
        <f t="shared" si="11"/>
        <v>336621</v>
      </c>
      <c r="M171" s="38">
        <f>일위대가!N1217</f>
        <v>0</v>
      </c>
      <c r="N171" s="38">
        <f t="shared" si="12"/>
        <v>0</v>
      </c>
      <c r="O171" s="38">
        <f t="shared" si="13"/>
        <v>343353</v>
      </c>
      <c r="P171" s="38">
        <f t="shared" si="14"/>
        <v>343353</v>
      </c>
      <c r="Q171" s="1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23.1" customHeight="1" x14ac:dyDescent="0.15">
      <c r="A172" s="13" t="s">
        <v>2200</v>
      </c>
      <c r="B172" s="13" t="s">
        <v>2201</v>
      </c>
      <c r="C172" s="3" t="s">
        <v>2202</v>
      </c>
      <c r="D172" s="12" t="s">
        <v>858</v>
      </c>
      <c r="E172" s="12" t="s">
        <v>865</v>
      </c>
      <c r="F172" s="31" t="s">
        <v>559</v>
      </c>
      <c r="G172" s="6"/>
      <c r="H172" s="38">
        <f>일위대가!I1223</f>
        <v>6732</v>
      </c>
      <c r="I172" s="38">
        <f t="shared" si="10"/>
        <v>6732</v>
      </c>
      <c r="J172" s="38"/>
      <c r="K172" s="38">
        <f>일위대가!L1223</f>
        <v>336621</v>
      </c>
      <c r="L172" s="38">
        <f t="shared" si="11"/>
        <v>336621</v>
      </c>
      <c r="M172" s="38">
        <f>일위대가!N1223</f>
        <v>0</v>
      </c>
      <c r="N172" s="38">
        <f t="shared" si="12"/>
        <v>0</v>
      </c>
      <c r="O172" s="38">
        <f t="shared" si="13"/>
        <v>343353</v>
      </c>
      <c r="P172" s="38">
        <f t="shared" si="14"/>
        <v>343353</v>
      </c>
      <c r="Q172" s="1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23.1" customHeight="1" x14ac:dyDescent="0.15">
      <c r="A173" s="13" t="s">
        <v>2203</v>
      </c>
      <c r="B173" s="13" t="s">
        <v>2204</v>
      </c>
      <c r="C173" s="3" t="s">
        <v>2205</v>
      </c>
      <c r="D173" s="12" t="s">
        <v>858</v>
      </c>
      <c r="E173" s="12" t="s">
        <v>867</v>
      </c>
      <c r="F173" s="31" t="s">
        <v>559</v>
      </c>
      <c r="G173" s="6"/>
      <c r="H173" s="38">
        <f>일위대가!I1229</f>
        <v>6732</v>
      </c>
      <c r="I173" s="38">
        <f t="shared" si="10"/>
        <v>6732</v>
      </c>
      <c r="J173" s="38"/>
      <c r="K173" s="38">
        <f>일위대가!L1229</f>
        <v>336621</v>
      </c>
      <c r="L173" s="38">
        <f t="shared" si="11"/>
        <v>336621</v>
      </c>
      <c r="M173" s="38">
        <f>일위대가!N1229</f>
        <v>0</v>
      </c>
      <c r="N173" s="38">
        <f t="shared" si="12"/>
        <v>0</v>
      </c>
      <c r="O173" s="38">
        <f t="shared" si="13"/>
        <v>343353</v>
      </c>
      <c r="P173" s="38">
        <f t="shared" si="14"/>
        <v>343353</v>
      </c>
      <c r="Q173" s="1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23.1" customHeight="1" x14ac:dyDescent="0.15">
      <c r="A174" s="13" t="s">
        <v>2206</v>
      </c>
      <c r="B174" s="13" t="s">
        <v>2207</v>
      </c>
      <c r="C174" s="3" t="s">
        <v>2208</v>
      </c>
      <c r="D174" s="12" t="s">
        <v>858</v>
      </c>
      <c r="E174" s="12" t="s">
        <v>869</v>
      </c>
      <c r="F174" s="31" t="s">
        <v>559</v>
      </c>
      <c r="G174" s="6"/>
      <c r="H174" s="38">
        <f>일위대가!I1235</f>
        <v>6732</v>
      </c>
      <c r="I174" s="38">
        <f t="shared" si="10"/>
        <v>6732</v>
      </c>
      <c r="J174" s="38"/>
      <c r="K174" s="38">
        <f>일위대가!L1235</f>
        <v>336621</v>
      </c>
      <c r="L174" s="38">
        <f t="shared" si="11"/>
        <v>336621</v>
      </c>
      <c r="M174" s="38">
        <f>일위대가!N1235</f>
        <v>0</v>
      </c>
      <c r="N174" s="38">
        <f t="shared" si="12"/>
        <v>0</v>
      </c>
      <c r="O174" s="38">
        <f t="shared" si="13"/>
        <v>343353</v>
      </c>
      <c r="P174" s="38">
        <f t="shared" si="14"/>
        <v>343353</v>
      </c>
      <c r="Q174" s="1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23.1" customHeight="1" x14ac:dyDescent="0.15">
      <c r="A175" s="13" t="s">
        <v>2209</v>
      </c>
      <c r="B175" s="13" t="s">
        <v>2210</v>
      </c>
      <c r="C175" s="3" t="s">
        <v>2211</v>
      </c>
      <c r="D175" s="12" t="s">
        <v>858</v>
      </c>
      <c r="E175" s="12" t="s">
        <v>871</v>
      </c>
      <c r="F175" s="31" t="s">
        <v>559</v>
      </c>
      <c r="G175" s="6"/>
      <c r="H175" s="38">
        <f>일위대가!I1241</f>
        <v>6732</v>
      </c>
      <c r="I175" s="38">
        <f t="shared" si="10"/>
        <v>6732</v>
      </c>
      <c r="J175" s="38"/>
      <c r="K175" s="38">
        <f>일위대가!L1241</f>
        <v>336621</v>
      </c>
      <c r="L175" s="38">
        <f t="shared" si="11"/>
        <v>336621</v>
      </c>
      <c r="M175" s="38">
        <f>일위대가!N1241</f>
        <v>0</v>
      </c>
      <c r="N175" s="38">
        <f t="shared" si="12"/>
        <v>0</v>
      </c>
      <c r="O175" s="38">
        <f t="shared" si="13"/>
        <v>343353</v>
      </c>
      <c r="P175" s="38">
        <f t="shared" si="14"/>
        <v>343353</v>
      </c>
      <c r="Q175" s="1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23.1" customHeight="1" x14ac:dyDescent="0.15">
      <c r="A176" s="13" t="s">
        <v>2212</v>
      </c>
      <c r="B176" s="13" t="s">
        <v>2213</v>
      </c>
      <c r="C176" s="3" t="s">
        <v>2214</v>
      </c>
      <c r="D176" s="12" t="s">
        <v>858</v>
      </c>
      <c r="E176" s="12" t="s">
        <v>873</v>
      </c>
      <c r="F176" s="31" t="s">
        <v>559</v>
      </c>
      <c r="G176" s="6"/>
      <c r="H176" s="38">
        <f>일위대가!I1247</f>
        <v>6732</v>
      </c>
      <c r="I176" s="38">
        <f t="shared" si="10"/>
        <v>6732</v>
      </c>
      <c r="J176" s="38"/>
      <c r="K176" s="38">
        <f>일위대가!L1247</f>
        <v>336621</v>
      </c>
      <c r="L176" s="38">
        <f t="shared" si="11"/>
        <v>336621</v>
      </c>
      <c r="M176" s="38">
        <f>일위대가!N1247</f>
        <v>0</v>
      </c>
      <c r="N176" s="38">
        <f t="shared" si="12"/>
        <v>0</v>
      </c>
      <c r="O176" s="38">
        <f t="shared" si="13"/>
        <v>343353</v>
      </c>
      <c r="P176" s="38">
        <f t="shared" si="14"/>
        <v>343353</v>
      </c>
      <c r="Q176" s="1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23.1" customHeight="1" x14ac:dyDescent="0.15">
      <c r="A177" s="13" t="s">
        <v>2215</v>
      </c>
      <c r="B177" s="13" t="s">
        <v>2216</v>
      </c>
      <c r="C177" s="3" t="s">
        <v>2217</v>
      </c>
      <c r="D177" s="12" t="s">
        <v>858</v>
      </c>
      <c r="E177" s="12" t="s">
        <v>875</v>
      </c>
      <c r="F177" s="31" t="s">
        <v>559</v>
      </c>
      <c r="G177" s="6"/>
      <c r="H177" s="38">
        <f>일위대가!I1253</f>
        <v>6732</v>
      </c>
      <c r="I177" s="38">
        <f t="shared" si="10"/>
        <v>6732</v>
      </c>
      <c r="J177" s="38"/>
      <c r="K177" s="38">
        <f>일위대가!L1253</f>
        <v>336621</v>
      </c>
      <c r="L177" s="38">
        <f t="shared" si="11"/>
        <v>336621</v>
      </c>
      <c r="M177" s="38">
        <f>일위대가!N1253</f>
        <v>0</v>
      </c>
      <c r="N177" s="38">
        <f t="shared" si="12"/>
        <v>0</v>
      </c>
      <c r="O177" s="38">
        <f t="shared" si="13"/>
        <v>343353</v>
      </c>
      <c r="P177" s="38">
        <f t="shared" si="14"/>
        <v>343353</v>
      </c>
      <c r="Q177" s="1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23.1" customHeight="1" x14ac:dyDescent="0.15">
      <c r="A178" s="13" t="s">
        <v>2218</v>
      </c>
      <c r="B178" s="13" t="s">
        <v>2219</v>
      </c>
      <c r="C178" s="3" t="s">
        <v>2220</v>
      </c>
      <c r="D178" s="12" t="s">
        <v>858</v>
      </c>
      <c r="E178" s="12" t="s">
        <v>877</v>
      </c>
      <c r="F178" s="31" t="s">
        <v>559</v>
      </c>
      <c r="G178" s="6"/>
      <c r="H178" s="38">
        <f>일위대가!I1259</f>
        <v>6732</v>
      </c>
      <c r="I178" s="38">
        <f t="shared" si="10"/>
        <v>6732</v>
      </c>
      <c r="J178" s="38"/>
      <c r="K178" s="38">
        <f>일위대가!L1259</f>
        <v>336621</v>
      </c>
      <c r="L178" s="38">
        <f t="shared" si="11"/>
        <v>336621</v>
      </c>
      <c r="M178" s="38">
        <f>일위대가!N1259</f>
        <v>0</v>
      </c>
      <c r="N178" s="38">
        <f t="shared" si="12"/>
        <v>0</v>
      </c>
      <c r="O178" s="38">
        <f t="shared" si="13"/>
        <v>343353</v>
      </c>
      <c r="P178" s="38">
        <f t="shared" si="14"/>
        <v>343353</v>
      </c>
      <c r="Q178" s="1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23.1" customHeight="1" x14ac:dyDescent="0.15">
      <c r="A179" s="13" t="s">
        <v>2221</v>
      </c>
      <c r="B179" s="13" t="s">
        <v>2222</v>
      </c>
      <c r="C179" s="3" t="s">
        <v>2223</v>
      </c>
      <c r="D179" s="12" t="s">
        <v>858</v>
      </c>
      <c r="E179" s="12" t="s">
        <v>879</v>
      </c>
      <c r="F179" s="31" t="s">
        <v>559</v>
      </c>
      <c r="G179" s="6"/>
      <c r="H179" s="38">
        <f>일위대가!I1265</f>
        <v>6732</v>
      </c>
      <c r="I179" s="38">
        <f t="shared" si="10"/>
        <v>6732</v>
      </c>
      <c r="J179" s="38"/>
      <c r="K179" s="38">
        <f>일위대가!L1265</f>
        <v>336621</v>
      </c>
      <c r="L179" s="38">
        <f t="shared" si="11"/>
        <v>336621</v>
      </c>
      <c r="M179" s="38">
        <f>일위대가!N1265</f>
        <v>0</v>
      </c>
      <c r="N179" s="38">
        <f t="shared" si="12"/>
        <v>0</v>
      </c>
      <c r="O179" s="38">
        <f t="shared" si="13"/>
        <v>343353</v>
      </c>
      <c r="P179" s="38">
        <f t="shared" si="14"/>
        <v>343353</v>
      </c>
      <c r="Q179" s="1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23.1" customHeight="1" x14ac:dyDescent="0.15">
      <c r="A180" s="13" t="s">
        <v>2224</v>
      </c>
      <c r="B180" s="13" t="s">
        <v>2225</v>
      </c>
      <c r="C180" s="3" t="s">
        <v>2226</v>
      </c>
      <c r="D180" s="12" t="s">
        <v>858</v>
      </c>
      <c r="E180" s="12" t="s">
        <v>881</v>
      </c>
      <c r="F180" s="31" t="s">
        <v>559</v>
      </c>
      <c r="G180" s="6"/>
      <c r="H180" s="38">
        <f>일위대가!I1271</f>
        <v>6732</v>
      </c>
      <c r="I180" s="38">
        <f t="shared" si="10"/>
        <v>6732</v>
      </c>
      <c r="J180" s="38"/>
      <c r="K180" s="38">
        <f>일위대가!L1271</f>
        <v>336621</v>
      </c>
      <c r="L180" s="38">
        <f t="shared" si="11"/>
        <v>336621</v>
      </c>
      <c r="M180" s="38">
        <f>일위대가!N1271</f>
        <v>0</v>
      </c>
      <c r="N180" s="38">
        <f t="shared" si="12"/>
        <v>0</v>
      </c>
      <c r="O180" s="38">
        <f t="shared" si="13"/>
        <v>343353</v>
      </c>
      <c r="P180" s="38">
        <f t="shared" si="14"/>
        <v>343353</v>
      </c>
      <c r="Q180" s="1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23.1" customHeight="1" x14ac:dyDescent="0.15">
      <c r="A181" s="13" t="s">
        <v>2227</v>
      </c>
      <c r="B181" s="13" t="s">
        <v>2228</v>
      </c>
      <c r="C181" s="3" t="s">
        <v>2229</v>
      </c>
      <c r="D181" s="12" t="s">
        <v>858</v>
      </c>
      <c r="E181" s="12" t="s">
        <v>883</v>
      </c>
      <c r="F181" s="31" t="s">
        <v>559</v>
      </c>
      <c r="G181" s="6"/>
      <c r="H181" s="38">
        <f>일위대가!I1277</f>
        <v>6732</v>
      </c>
      <c r="I181" s="38">
        <f t="shared" si="10"/>
        <v>6732</v>
      </c>
      <c r="J181" s="38"/>
      <c r="K181" s="38">
        <f>일위대가!L1277</f>
        <v>336621</v>
      </c>
      <c r="L181" s="38">
        <f t="shared" si="11"/>
        <v>336621</v>
      </c>
      <c r="M181" s="38">
        <f>일위대가!N1277</f>
        <v>0</v>
      </c>
      <c r="N181" s="38">
        <f t="shared" si="12"/>
        <v>0</v>
      </c>
      <c r="O181" s="38">
        <f t="shared" si="13"/>
        <v>343353</v>
      </c>
      <c r="P181" s="38">
        <f t="shared" si="14"/>
        <v>343353</v>
      </c>
      <c r="Q181" s="1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23.1" customHeight="1" x14ac:dyDescent="0.15">
      <c r="A182" s="13" t="s">
        <v>2230</v>
      </c>
      <c r="B182" s="13" t="s">
        <v>2231</v>
      </c>
      <c r="C182" s="3" t="s">
        <v>2232</v>
      </c>
      <c r="D182" s="12" t="s">
        <v>858</v>
      </c>
      <c r="E182" s="12" t="s">
        <v>885</v>
      </c>
      <c r="F182" s="31" t="s">
        <v>559</v>
      </c>
      <c r="G182" s="6"/>
      <c r="H182" s="38">
        <f>일위대가!I1283</f>
        <v>6732</v>
      </c>
      <c r="I182" s="38">
        <f t="shared" si="10"/>
        <v>6732</v>
      </c>
      <c r="J182" s="38"/>
      <c r="K182" s="38">
        <f>일위대가!L1283</f>
        <v>336621</v>
      </c>
      <c r="L182" s="38">
        <f t="shared" si="11"/>
        <v>336621</v>
      </c>
      <c r="M182" s="38">
        <f>일위대가!N1283</f>
        <v>0</v>
      </c>
      <c r="N182" s="38">
        <f t="shared" si="12"/>
        <v>0</v>
      </c>
      <c r="O182" s="38">
        <f t="shared" si="13"/>
        <v>343353</v>
      </c>
      <c r="P182" s="38">
        <f t="shared" si="14"/>
        <v>343353</v>
      </c>
      <c r="Q182" s="1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23.1" customHeight="1" x14ac:dyDescent="0.15">
      <c r="A183" s="13" t="s">
        <v>2233</v>
      </c>
      <c r="B183" s="13" t="s">
        <v>2234</v>
      </c>
      <c r="C183" s="3" t="s">
        <v>2235</v>
      </c>
      <c r="D183" s="12" t="s">
        <v>858</v>
      </c>
      <c r="E183" s="12" t="s">
        <v>887</v>
      </c>
      <c r="F183" s="31" t="s">
        <v>559</v>
      </c>
      <c r="G183" s="6"/>
      <c r="H183" s="38">
        <f>일위대가!I1289</f>
        <v>6732</v>
      </c>
      <c r="I183" s="38">
        <f t="shared" si="10"/>
        <v>6732</v>
      </c>
      <c r="J183" s="38"/>
      <c r="K183" s="38">
        <f>일위대가!L1289</f>
        <v>336621</v>
      </c>
      <c r="L183" s="38">
        <f t="shared" si="11"/>
        <v>336621</v>
      </c>
      <c r="M183" s="38">
        <f>일위대가!N1289</f>
        <v>0</v>
      </c>
      <c r="N183" s="38">
        <f t="shared" si="12"/>
        <v>0</v>
      </c>
      <c r="O183" s="38">
        <f t="shared" si="13"/>
        <v>343353</v>
      </c>
      <c r="P183" s="38">
        <f t="shared" si="14"/>
        <v>343353</v>
      </c>
      <c r="Q183" s="1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23.1" customHeight="1" x14ac:dyDescent="0.15">
      <c r="A184" s="13" t="s">
        <v>2236</v>
      </c>
      <c r="B184" s="13" t="s">
        <v>2237</v>
      </c>
      <c r="C184" s="3" t="s">
        <v>2238</v>
      </c>
      <c r="D184" s="12" t="s">
        <v>858</v>
      </c>
      <c r="E184" s="12" t="s">
        <v>889</v>
      </c>
      <c r="F184" s="31" t="s">
        <v>559</v>
      </c>
      <c r="G184" s="6"/>
      <c r="H184" s="38">
        <f>일위대가!I1295</f>
        <v>6732</v>
      </c>
      <c r="I184" s="38">
        <f t="shared" si="10"/>
        <v>6732</v>
      </c>
      <c r="J184" s="38"/>
      <c r="K184" s="38">
        <f>일위대가!L1295</f>
        <v>336621</v>
      </c>
      <c r="L184" s="38">
        <f t="shared" si="11"/>
        <v>336621</v>
      </c>
      <c r="M184" s="38">
        <f>일위대가!N1295</f>
        <v>0</v>
      </c>
      <c r="N184" s="38">
        <f t="shared" si="12"/>
        <v>0</v>
      </c>
      <c r="O184" s="38">
        <f t="shared" si="13"/>
        <v>343353</v>
      </c>
      <c r="P184" s="38">
        <f t="shared" si="14"/>
        <v>343353</v>
      </c>
      <c r="Q184" s="1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23.1" customHeight="1" x14ac:dyDescent="0.15">
      <c r="A185" s="13" t="s">
        <v>2239</v>
      </c>
      <c r="B185" s="13" t="s">
        <v>2240</v>
      </c>
      <c r="C185" s="3" t="s">
        <v>2241</v>
      </c>
      <c r="D185" s="12" t="s">
        <v>858</v>
      </c>
      <c r="E185" s="12" t="s">
        <v>891</v>
      </c>
      <c r="F185" s="31" t="s">
        <v>559</v>
      </c>
      <c r="G185" s="6"/>
      <c r="H185" s="38">
        <f>일위대가!I1301</f>
        <v>6732</v>
      </c>
      <c r="I185" s="38">
        <f t="shared" si="10"/>
        <v>6732</v>
      </c>
      <c r="J185" s="38"/>
      <c r="K185" s="38">
        <f>일위대가!L1301</f>
        <v>336621</v>
      </c>
      <c r="L185" s="38">
        <f t="shared" si="11"/>
        <v>336621</v>
      </c>
      <c r="M185" s="38">
        <f>일위대가!N1301</f>
        <v>0</v>
      </c>
      <c r="N185" s="38">
        <f t="shared" si="12"/>
        <v>0</v>
      </c>
      <c r="O185" s="38">
        <f t="shared" si="13"/>
        <v>343353</v>
      </c>
      <c r="P185" s="38">
        <f t="shared" si="14"/>
        <v>343353</v>
      </c>
      <c r="Q185" s="1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23.1" customHeight="1" x14ac:dyDescent="0.15">
      <c r="A186" s="13" t="s">
        <v>2242</v>
      </c>
      <c r="B186" s="13" t="s">
        <v>2243</v>
      </c>
      <c r="C186" s="3" t="s">
        <v>2244</v>
      </c>
      <c r="D186" s="12" t="s">
        <v>858</v>
      </c>
      <c r="E186" s="12" t="s">
        <v>893</v>
      </c>
      <c r="F186" s="31" t="s">
        <v>559</v>
      </c>
      <c r="G186" s="6"/>
      <c r="H186" s="38">
        <f>일위대가!I1307</f>
        <v>6732</v>
      </c>
      <c r="I186" s="38">
        <f t="shared" si="10"/>
        <v>6732</v>
      </c>
      <c r="J186" s="38"/>
      <c r="K186" s="38">
        <f>일위대가!L1307</f>
        <v>336621</v>
      </c>
      <c r="L186" s="38">
        <f t="shared" si="11"/>
        <v>336621</v>
      </c>
      <c r="M186" s="38">
        <f>일위대가!N1307</f>
        <v>0</v>
      </c>
      <c r="N186" s="38">
        <f t="shared" si="12"/>
        <v>0</v>
      </c>
      <c r="O186" s="38">
        <f t="shared" si="13"/>
        <v>343353</v>
      </c>
      <c r="P186" s="38">
        <f t="shared" si="14"/>
        <v>343353</v>
      </c>
      <c r="Q186" s="12" t="s">
        <v>2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23.1" customHeight="1" x14ac:dyDescent="0.15">
      <c r="A187" s="13" t="s">
        <v>2245</v>
      </c>
      <c r="B187" s="13" t="s">
        <v>2246</v>
      </c>
      <c r="C187" s="3" t="s">
        <v>2247</v>
      </c>
      <c r="D187" s="12" t="s">
        <v>858</v>
      </c>
      <c r="E187" s="12" t="s">
        <v>895</v>
      </c>
      <c r="F187" s="31" t="s">
        <v>559</v>
      </c>
      <c r="G187" s="6"/>
      <c r="H187" s="38">
        <f>일위대가!I1313</f>
        <v>6732</v>
      </c>
      <c r="I187" s="38">
        <f t="shared" si="10"/>
        <v>6732</v>
      </c>
      <c r="J187" s="38"/>
      <c r="K187" s="38">
        <f>일위대가!L1313</f>
        <v>336621</v>
      </c>
      <c r="L187" s="38">
        <f t="shared" si="11"/>
        <v>336621</v>
      </c>
      <c r="M187" s="38">
        <f>일위대가!N1313</f>
        <v>0</v>
      </c>
      <c r="N187" s="38">
        <f t="shared" si="12"/>
        <v>0</v>
      </c>
      <c r="O187" s="38">
        <f t="shared" si="13"/>
        <v>343353</v>
      </c>
      <c r="P187" s="38">
        <f t="shared" si="14"/>
        <v>343353</v>
      </c>
      <c r="Q187" s="1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23.1" customHeight="1" x14ac:dyDescent="0.15">
      <c r="A188" s="13" t="s">
        <v>2248</v>
      </c>
      <c r="B188" s="13" t="s">
        <v>2249</v>
      </c>
      <c r="C188" s="3" t="s">
        <v>2250</v>
      </c>
      <c r="D188" s="12" t="s">
        <v>858</v>
      </c>
      <c r="E188" s="12" t="s">
        <v>897</v>
      </c>
      <c r="F188" s="31" t="s">
        <v>559</v>
      </c>
      <c r="G188" s="6"/>
      <c r="H188" s="38">
        <f>일위대가!I1319</f>
        <v>6732</v>
      </c>
      <c r="I188" s="38">
        <f t="shared" si="10"/>
        <v>6732</v>
      </c>
      <c r="J188" s="38"/>
      <c r="K188" s="38">
        <f>일위대가!L1319</f>
        <v>336621</v>
      </c>
      <c r="L188" s="38">
        <f t="shared" si="11"/>
        <v>336621</v>
      </c>
      <c r="M188" s="38">
        <f>일위대가!N1319</f>
        <v>0</v>
      </c>
      <c r="N188" s="38">
        <f t="shared" si="12"/>
        <v>0</v>
      </c>
      <c r="O188" s="38">
        <f t="shared" si="13"/>
        <v>343353</v>
      </c>
      <c r="P188" s="38">
        <f t="shared" si="14"/>
        <v>343353</v>
      </c>
      <c r="Q188" s="1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23.1" customHeight="1" x14ac:dyDescent="0.15">
      <c r="A189" s="13" t="s">
        <v>2251</v>
      </c>
      <c r="B189" s="13" t="s">
        <v>2252</v>
      </c>
      <c r="C189" s="3" t="s">
        <v>2253</v>
      </c>
      <c r="D189" s="12" t="s">
        <v>858</v>
      </c>
      <c r="E189" s="12" t="s">
        <v>899</v>
      </c>
      <c r="F189" s="31" t="s">
        <v>559</v>
      </c>
      <c r="G189" s="6"/>
      <c r="H189" s="38">
        <f>일위대가!I1325</f>
        <v>6732</v>
      </c>
      <c r="I189" s="38">
        <f t="shared" si="10"/>
        <v>6732</v>
      </c>
      <c r="J189" s="38"/>
      <c r="K189" s="38">
        <f>일위대가!L1325</f>
        <v>336621</v>
      </c>
      <c r="L189" s="38">
        <f t="shared" si="11"/>
        <v>336621</v>
      </c>
      <c r="M189" s="38">
        <f>일위대가!N1325</f>
        <v>0</v>
      </c>
      <c r="N189" s="38">
        <f t="shared" si="12"/>
        <v>0</v>
      </c>
      <c r="O189" s="38">
        <f t="shared" si="13"/>
        <v>343353</v>
      </c>
      <c r="P189" s="38">
        <f t="shared" si="14"/>
        <v>343353</v>
      </c>
      <c r="Q189" s="1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23.1" customHeight="1" x14ac:dyDescent="0.15">
      <c r="A190" s="13" t="s">
        <v>2254</v>
      </c>
      <c r="B190" s="13" t="s">
        <v>2255</v>
      </c>
      <c r="C190" s="3" t="s">
        <v>2256</v>
      </c>
      <c r="D190" s="12" t="s">
        <v>858</v>
      </c>
      <c r="E190" s="12" t="s">
        <v>901</v>
      </c>
      <c r="F190" s="31" t="s">
        <v>559</v>
      </c>
      <c r="G190" s="6"/>
      <c r="H190" s="38">
        <f>일위대가!I1331</f>
        <v>6732</v>
      </c>
      <c r="I190" s="38">
        <f t="shared" si="10"/>
        <v>6732</v>
      </c>
      <c r="J190" s="38"/>
      <c r="K190" s="38">
        <f>일위대가!L1331</f>
        <v>336621</v>
      </c>
      <c r="L190" s="38">
        <f t="shared" si="11"/>
        <v>336621</v>
      </c>
      <c r="M190" s="38">
        <f>일위대가!N1331</f>
        <v>0</v>
      </c>
      <c r="N190" s="38">
        <f t="shared" si="12"/>
        <v>0</v>
      </c>
      <c r="O190" s="38">
        <f t="shared" si="13"/>
        <v>343353</v>
      </c>
      <c r="P190" s="38">
        <f t="shared" si="14"/>
        <v>343353</v>
      </c>
      <c r="Q190" s="1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23.1" customHeight="1" x14ac:dyDescent="0.15">
      <c r="A191" s="13" t="s">
        <v>2257</v>
      </c>
      <c r="B191" s="13" t="s">
        <v>2258</v>
      </c>
      <c r="C191" s="3" t="s">
        <v>2259</v>
      </c>
      <c r="D191" s="12" t="s">
        <v>858</v>
      </c>
      <c r="E191" s="12" t="s">
        <v>903</v>
      </c>
      <c r="F191" s="31" t="s">
        <v>559</v>
      </c>
      <c r="G191" s="6"/>
      <c r="H191" s="38">
        <f>일위대가!I1337</f>
        <v>6732</v>
      </c>
      <c r="I191" s="38">
        <f t="shared" si="10"/>
        <v>6732</v>
      </c>
      <c r="J191" s="38"/>
      <c r="K191" s="38">
        <f>일위대가!L1337</f>
        <v>336621</v>
      </c>
      <c r="L191" s="38">
        <f t="shared" si="11"/>
        <v>336621</v>
      </c>
      <c r="M191" s="38">
        <f>일위대가!N1337</f>
        <v>0</v>
      </c>
      <c r="N191" s="38">
        <f t="shared" si="12"/>
        <v>0</v>
      </c>
      <c r="O191" s="38">
        <f t="shared" si="13"/>
        <v>343353</v>
      </c>
      <c r="P191" s="38">
        <f t="shared" si="14"/>
        <v>343353</v>
      </c>
      <c r="Q191" s="1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23.1" customHeight="1" x14ac:dyDescent="0.15">
      <c r="A192" s="13" t="s">
        <v>2260</v>
      </c>
      <c r="B192" s="13" t="s">
        <v>2261</v>
      </c>
      <c r="C192" s="3" t="s">
        <v>2262</v>
      </c>
      <c r="D192" s="12" t="s">
        <v>858</v>
      </c>
      <c r="E192" s="12" t="s">
        <v>905</v>
      </c>
      <c r="F192" s="31" t="s">
        <v>559</v>
      </c>
      <c r="G192" s="6"/>
      <c r="H192" s="38">
        <f>일위대가!I1343</f>
        <v>6732</v>
      </c>
      <c r="I192" s="38">
        <f t="shared" si="10"/>
        <v>6732</v>
      </c>
      <c r="J192" s="38"/>
      <c r="K192" s="38">
        <f>일위대가!L1343</f>
        <v>336621</v>
      </c>
      <c r="L192" s="38">
        <f t="shared" si="11"/>
        <v>336621</v>
      </c>
      <c r="M192" s="38">
        <f>일위대가!N1343</f>
        <v>0</v>
      </c>
      <c r="N192" s="38">
        <f t="shared" si="12"/>
        <v>0</v>
      </c>
      <c r="O192" s="38">
        <f t="shared" si="13"/>
        <v>343353</v>
      </c>
      <c r="P192" s="38">
        <f t="shared" si="14"/>
        <v>343353</v>
      </c>
      <c r="Q192" s="1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23.1" customHeight="1" x14ac:dyDescent="0.15">
      <c r="A193" s="13" t="s">
        <v>2263</v>
      </c>
      <c r="B193" s="13" t="s">
        <v>2264</v>
      </c>
      <c r="C193" s="3" t="s">
        <v>2265</v>
      </c>
      <c r="D193" s="12" t="s">
        <v>858</v>
      </c>
      <c r="E193" s="12" t="s">
        <v>907</v>
      </c>
      <c r="F193" s="31" t="s">
        <v>559</v>
      </c>
      <c r="G193" s="6"/>
      <c r="H193" s="38">
        <f>일위대가!I1349</f>
        <v>6732</v>
      </c>
      <c r="I193" s="38">
        <f t="shared" si="10"/>
        <v>6732</v>
      </c>
      <c r="J193" s="38"/>
      <c r="K193" s="38">
        <f>일위대가!L1349</f>
        <v>336621</v>
      </c>
      <c r="L193" s="38">
        <f t="shared" si="11"/>
        <v>336621</v>
      </c>
      <c r="M193" s="38">
        <f>일위대가!N1349</f>
        <v>0</v>
      </c>
      <c r="N193" s="38">
        <f t="shared" si="12"/>
        <v>0</v>
      </c>
      <c r="O193" s="38">
        <f t="shared" si="13"/>
        <v>343353</v>
      </c>
      <c r="P193" s="38">
        <f t="shared" si="14"/>
        <v>343353</v>
      </c>
      <c r="Q193" s="1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23.1" customHeight="1" x14ac:dyDescent="0.15">
      <c r="A194" s="13" t="s">
        <v>2266</v>
      </c>
      <c r="B194" s="13" t="s">
        <v>2267</v>
      </c>
      <c r="C194" s="3" t="s">
        <v>2268</v>
      </c>
      <c r="D194" s="12" t="s">
        <v>858</v>
      </c>
      <c r="E194" s="12" t="s">
        <v>909</v>
      </c>
      <c r="F194" s="31" t="s">
        <v>559</v>
      </c>
      <c r="G194" s="6"/>
      <c r="H194" s="38">
        <f>일위대가!I1355</f>
        <v>6732</v>
      </c>
      <c r="I194" s="38">
        <f t="shared" si="10"/>
        <v>6732</v>
      </c>
      <c r="J194" s="38"/>
      <c r="K194" s="38">
        <f>일위대가!L1355</f>
        <v>336621</v>
      </c>
      <c r="L194" s="38">
        <f t="shared" si="11"/>
        <v>336621</v>
      </c>
      <c r="M194" s="38">
        <f>일위대가!N1355</f>
        <v>0</v>
      </c>
      <c r="N194" s="38">
        <f t="shared" si="12"/>
        <v>0</v>
      </c>
      <c r="O194" s="38">
        <f t="shared" si="13"/>
        <v>343353</v>
      </c>
      <c r="P194" s="38">
        <f t="shared" si="14"/>
        <v>343353</v>
      </c>
      <c r="Q194" s="1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23.1" customHeight="1" x14ac:dyDescent="0.15">
      <c r="A195" s="13" t="s">
        <v>2269</v>
      </c>
      <c r="B195" s="13" t="s">
        <v>2270</v>
      </c>
      <c r="C195" s="3" t="s">
        <v>2271</v>
      </c>
      <c r="D195" s="12" t="s">
        <v>858</v>
      </c>
      <c r="E195" s="12" t="s">
        <v>911</v>
      </c>
      <c r="F195" s="31" t="s">
        <v>559</v>
      </c>
      <c r="G195" s="6"/>
      <c r="H195" s="38">
        <f>일위대가!I1361</f>
        <v>6732</v>
      </c>
      <c r="I195" s="38">
        <f t="shared" si="10"/>
        <v>6732</v>
      </c>
      <c r="J195" s="38"/>
      <c r="K195" s="38">
        <f>일위대가!L1361</f>
        <v>336621</v>
      </c>
      <c r="L195" s="38">
        <f t="shared" si="11"/>
        <v>336621</v>
      </c>
      <c r="M195" s="38">
        <f>일위대가!N1361</f>
        <v>0</v>
      </c>
      <c r="N195" s="38">
        <f t="shared" si="12"/>
        <v>0</v>
      </c>
      <c r="O195" s="38">
        <f t="shared" si="13"/>
        <v>343353</v>
      </c>
      <c r="P195" s="38">
        <f t="shared" si="14"/>
        <v>343353</v>
      </c>
      <c r="Q195" s="1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23.1" customHeight="1" x14ac:dyDescent="0.15">
      <c r="A196" s="13" t="s">
        <v>2272</v>
      </c>
      <c r="B196" s="13" t="s">
        <v>2273</v>
      </c>
      <c r="C196" s="3" t="s">
        <v>2274</v>
      </c>
      <c r="D196" s="12" t="s">
        <v>858</v>
      </c>
      <c r="E196" s="12" t="s">
        <v>913</v>
      </c>
      <c r="F196" s="31" t="s">
        <v>559</v>
      </c>
      <c r="G196" s="6"/>
      <c r="H196" s="38">
        <f>일위대가!I1367</f>
        <v>6732</v>
      </c>
      <c r="I196" s="38">
        <f t="shared" ref="I196:I220" si="15">H196</f>
        <v>6732</v>
      </c>
      <c r="J196" s="38"/>
      <c r="K196" s="38">
        <f>일위대가!L1367</f>
        <v>336621</v>
      </c>
      <c r="L196" s="38">
        <f t="shared" ref="L196:L220" si="16">K196</f>
        <v>336621</v>
      </c>
      <c r="M196" s="38">
        <f>일위대가!N1367</f>
        <v>0</v>
      </c>
      <c r="N196" s="38">
        <f t="shared" ref="N196:N220" si="17">M196</f>
        <v>0</v>
      </c>
      <c r="O196" s="38">
        <f t="shared" ref="O196:O220" si="18">IF((H196+K196+M196)=0, "", (H196+K196+M196))</f>
        <v>343353</v>
      </c>
      <c r="P196" s="38">
        <f t="shared" ref="P196:P220" si="19">SUM(I196,L196,N196)</f>
        <v>343353</v>
      </c>
      <c r="Q196" s="1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23.1" customHeight="1" x14ac:dyDescent="0.15">
      <c r="A197" s="13" t="s">
        <v>2275</v>
      </c>
      <c r="B197" s="13" t="s">
        <v>2276</v>
      </c>
      <c r="C197" s="3" t="s">
        <v>2277</v>
      </c>
      <c r="D197" s="12" t="s">
        <v>931</v>
      </c>
      <c r="E197" s="12" t="s">
        <v>932</v>
      </c>
      <c r="F197" s="31" t="s">
        <v>710</v>
      </c>
      <c r="G197" s="6"/>
      <c r="H197" s="38">
        <f>일위대가!I1373</f>
        <v>1226</v>
      </c>
      <c r="I197" s="38">
        <f t="shared" si="15"/>
        <v>1226</v>
      </c>
      <c r="J197" s="38"/>
      <c r="K197" s="38">
        <f>일위대가!L1373</f>
        <v>61303</v>
      </c>
      <c r="L197" s="38">
        <f t="shared" si="16"/>
        <v>61303</v>
      </c>
      <c r="M197" s="38">
        <f>일위대가!N1373</f>
        <v>0</v>
      </c>
      <c r="N197" s="38">
        <f t="shared" si="17"/>
        <v>0</v>
      </c>
      <c r="O197" s="38">
        <f t="shared" si="18"/>
        <v>62529</v>
      </c>
      <c r="P197" s="38">
        <f t="shared" si="19"/>
        <v>62529</v>
      </c>
      <c r="Q197" s="1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23.1" customHeight="1" x14ac:dyDescent="0.15">
      <c r="A198" s="13" t="s">
        <v>2278</v>
      </c>
      <c r="B198" s="13" t="s">
        <v>2279</v>
      </c>
      <c r="C198" s="3" t="s">
        <v>2280</v>
      </c>
      <c r="D198" s="12" t="s">
        <v>934</v>
      </c>
      <c r="E198" s="12" t="s">
        <v>935</v>
      </c>
      <c r="F198" s="31" t="s">
        <v>710</v>
      </c>
      <c r="G198" s="6"/>
      <c r="H198" s="38">
        <f>일위대가!I1379</f>
        <v>1083</v>
      </c>
      <c r="I198" s="38">
        <f t="shared" si="15"/>
        <v>1083</v>
      </c>
      <c r="J198" s="38"/>
      <c r="K198" s="38">
        <f>일위대가!L1379</f>
        <v>54187</v>
      </c>
      <c r="L198" s="38">
        <f t="shared" si="16"/>
        <v>54187</v>
      </c>
      <c r="M198" s="38">
        <f>일위대가!N1379</f>
        <v>0</v>
      </c>
      <c r="N198" s="38">
        <f t="shared" si="17"/>
        <v>0</v>
      </c>
      <c r="O198" s="38">
        <f t="shared" si="18"/>
        <v>55270</v>
      </c>
      <c r="P198" s="38">
        <f t="shared" si="19"/>
        <v>55270</v>
      </c>
      <c r="Q198" s="1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23.1" customHeight="1" x14ac:dyDescent="0.15">
      <c r="A199" s="13" t="s">
        <v>2281</v>
      </c>
      <c r="B199" s="13" t="s">
        <v>2282</v>
      </c>
      <c r="C199" s="3" t="s">
        <v>2283</v>
      </c>
      <c r="D199" s="12" t="s">
        <v>937</v>
      </c>
      <c r="E199" s="12" t="s">
        <v>938</v>
      </c>
      <c r="F199" s="31" t="s">
        <v>710</v>
      </c>
      <c r="G199" s="6"/>
      <c r="H199" s="38">
        <f>일위대가!I1385</f>
        <v>1138</v>
      </c>
      <c r="I199" s="38">
        <f t="shared" si="15"/>
        <v>1138</v>
      </c>
      <c r="J199" s="38"/>
      <c r="K199" s="38">
        <f>일위대가!L1385</f>
        <v>56924</v>
      </c>
      <c r="L199" s="38">
        <f t="shared" si="16"/>
        <v>56924</v>
      </c>
      <c r="M199" s="38">
        <f>일위대가!N1385</f>
        <v>0</v>
      </c>
      <c r="N199" s="38">
        <f t="shared" si="17"/>
        <v>0</v>
      </c>
      <c r="O199" s="38">
        <f t="shared" si="18"/>
        <v>58062</v>
      </c>
      <c r="P199" s="38">
        <f t="shared" si="19"/>
        <v>58062</v>
      </c>
      <c r="Q199" s="1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23.1" customHeight="1" x14ac:dyDescent="0.15">
      <c r="A200" s="13" t="s">
        <v>2284</v>
      </c>
      <c r="B200" s="13" t="s">
        <v>2285</v>
      </c>
      <c r="C200" s="3" t="s">
        <v>2286</v>
      </c>
      <c r="D200" s="12" t="s">
        <v>940</v>
      </c>
      <c r="E200" s="12" t="s">
        <v>755</v>
      </c>
      <c r="F200" s="31" t="s">
        <v>710</v>
      </c>
      <c r="G200" s="6"/>
      <c r="H200" s="38">
        <f>일위대가!I1391</f>
        <v>1291</v>
      </c>
      <c r="I200" s="38">
        <f t="shared" si="15"/>
        <v>1291</v>
      </c>
      <c r="J200" s="38"/>
      <c r="K200" s="38">
        <f>일위대가!L1391</f>
        <v>64587</v>
      </c>
      <c r="L200" s="38">
        <f t="shared" si="16"/>
        <v>64587</v>
      </c>
      <c r="M200" s="38">
        <f>일위대가!N1391</f>
        <v>0</v>
      </c>
      <c r="N200" s="38">
        <f t="shared" si="17"/>
        <v>0</v>
      </c>
      <c r="O200" s="38">
        <f t="shared" si="18"/>
        <v>65878</v>
      </c>
      <c r="P200" s="38">
        <f t="shared" si="19"/>
        <v>65878</v>
      </c>
      <c r="Q200" s="1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23.1" customHeight="1" x14ac:dyDescent="0.15">
      <c r="A201" s="13" t="s">
        <v>2287</v>
      </c>
      <c r="B201" s="13" t="s">
        <v>2288</v>
      </c>
      <c r="C201" s="3" t="s">
        <v>2289</v>
      </c>
      <c r="D201" s="12" t="s">
        <v>942</v>
      </c>
      <c r="E201" s="12" t="s">
        <v>760</v>
      </c>
      <c r="F201" s="31" t="s">
        <v>710</v>
      </c>
      <c r="G201" s="6"/>
      <c r="H201" s="38">
        <f>일위대가!I1397</f>
        <v>760</v>
      </c>
      <c r="I201" s="38">
        <f t="shared" si="15"/>
        <v>760</v>
      </c>
      <c r="J201" s="38"/>
      <c r="K201" s="38">
        <f>일위대가!L1397</f>
        <v>38040</v>
      </c>
      <c r="L201" s="38">
        <f t="shared" si="16"/>
        <v>38040</v>
      </c>
      <c r="M201" s="38">
        <f>일위대가!N1397</f>
        <v>0</v>
      </c>
      <c r="N201" s="38">
        <f t="shared" si="17"/>
        <v>0</v>
      </c>
      <c r="O201" s="38">
        <f t="shared" si="18"/>
        <v>38800</v>
      </c>
      <c r="P201" s="38">
        <f t="shared" si="19"/>
        <v>38800</v>
      </c>
      <c r="Q201" s="1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23.1" customHeight="1" x14ac:dyDescent="0.15">
      <c r="A202" s="13" t="s">
        <v>2290</v>
      </c>
      <c r="B202" s="13" t="s">
        <v>2291</v>
      </c>
      <c r="C202" s="3" t="s">
        <v>2292</v>
      </c>
      <c r="D202" s="12" t="s">
        <v>944</v>
      </c>
      <c r="E202" s="12" t="s">
        <v>762</v>
      </c>
      <c r="F202" s="31" t="s">
        <v>710</v>
      </c>
      <c r="G202" s="6"/>
      <c r="H202" s="38">
        <f>일위대가!I1403</f>
        <v>760</v>
      </c>
      <c r="I202" s="38">
        <f t="shared" si="15"/>
        <v>760</v>
      </c>
      <c r="J202" s="38"/>
      <c r="K202" s="38">
        <f>일위대가!L1403</f>
        <v>38040</v>
      </c>
      <c r="L202" s="38">
        <f t="shared" si="16"/>
        <v>38040</v>
      </c>
      <c r="M202" s="38">
        <f>일위대가!N1403</f>
        <v>0</v>
      </c>
      <c r="N202" s="38">
        <f t="shared" si="17"/>
        <v>0</v>
      </c>
      <c r="O202" s="38">
        <f t="shared" si="18"/>
        <v>38800</v>
      </c>
      <c r="P202" s="38">
        <f t="shared" si="19"/>
        <v>38800</v>
      </c>
      <c r="Q202" s="1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23.1" customHeight="1" x14ac:dyDescent="0.15">
      <c r="A203" s="13" t="s">
        <v>2293</v>
      </c>
      <c r="B203" s="13" t="s">
        <v>2294</v>
      </c>
      <c r="C203" s="3" t="s">
        <v>2295</v>
      </c>
      <c r="D203" s="12" t="s">
        <v>946</v>
      </c>
      <c r="E203" s="12" t="s">
        <v>947</v>
      </c>
      <c r="F203" s="31" t="s">
        <v>710</v>
      </c>
      <c r="G203" s="6"/>
      <c r="H203" s="38">
        <f>일위대가!I1409</f>
        <v>574</v>
      </c>
      <c r="I203" s="38">
        <f t="shared" si="15"/>
        <v>574</v>
      </c>
      <c r="J203" s="38"/>
      <c r="K203" s="38">
        <f>일위대가!L1409</f>
        <v>28735</v>
      </c>
      <c r="L203" s="38">
        <f t="shared" si="16"/>
        <v>28735</v>
      </c>
      <c r="M203" s="38">
        <f>일위대가!N1409</f>
        <v>0</v>
      </c>
      <c r="N203" s="38">
        <f t="shared" si="17"/>
        <v>0</v>
      </c>
      <c r="O203" s="38">
        <f t="shared" si="18"/>
        <v>29309</v>
      </c>
      <c r="P203" s="38">
        <f t="shared" si="19"/>
        <v>29309</v>
      </c>
      <c r="Q203" s="1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23.1" customHeight="1" x14ac:dyDescent="0.15">
      <c r="A204" s="13" t="s">
        <v>2296</v>
      </c>
      <c r="B204" s="13" t="s">
        <v>2297</v>
      </c>
      <c r="C204" s="3" t="s">
        <v>2298</v>
      </c>
      <c r="D204" s="12" t="s">
        <v>949</v>
      </c>
      <c r="E204" s="12" t="s">
        <v>950</v>
      </c>
      <c r="F204" s="31" t="s">
        <v>710</v>
      </c>
      <c r="G204" s="6"/>
      <c r="H204" s="38">
        <f>일위대가!I1415</f>
        <v>574</v>
      </c>
      <c r="I204" s="38">
        <f t="shared" si="15"/>
        <v>574</v>
      </c>
      <c r="J204" s="38"/>
      <c r="K204" s="38">
        <f>일위대가!L1415</f>
        <v>28735</v>
      </c>
      <c r="L204" s="38">
        <f t="shared" si="16"/>
        <v>28735</v>
      </c>
      <c r="M204" s="38">
        <f>일위대가!N1415</f>
        <v>0</v>
      </c>
      <c r="N204" s="38">
        <f t="shared" si="17"/>
        <v>0</v>
      </c>
      <c r="O204" s="38">
        <f t="shared" si="18"/>
        <v>29309</v>
      </c>
      <c r="P204" s="38">
        <f t="shared" si="19"/>
        <v>29309</v>
      </c>
      <c r="Q204" s="1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23.1" customHeight="1" x14ac:dyDescent="0.15">
      <c r="A205" s="13" t="s">
        <v>2299</v>
      </c>
      <c r="B205" s="13" t="s">
        <v>2300</v>
      </c>
      <c r="C205" s="3" t="s">
        <v>2301</v>
      </c>
      <c r="D205" s="12" t="s">
        <v>952</v>
      </c>
      <c r="E205" s="12" t="s">
        <v>953</v>
      </c>
      <c r="F205" s="31" t="s">
        <v>710</v>
      </c>
      <c r="G205" s="6"/>
      <c r="H205" s="38">
        <f>일위대가!I1419</f>
        <v>0</v>
      </c>
      <c r="I205" s="38">
        <f t="shared" si="15"/>
        <v>0</v>
      </c>
      <c r="J205" s="38"/>
      <c r="K205" s="38">
        <f>일위대가!L1419</f>
        <v>0</v>
      </c>
      <c r="L205" s="38">
        <f t="shared" si="16"/>
        <v>0</v>
      </c>
      <c r="M205" s="38">
        <f>일위대가!N1419</f>
        <v>0</v>
      </c>
      <c r="N205" s="38">
        <f t="shared" si="17"/>
        <v>0</v>
      </c>
      <c r="O205" s="38" t="str">
        <f t="shared" si="18"/>
        <v/>
      </c>
      <c r="P205" s="38">
        <f t="shared" si="19"/>
        <v>0</v>
      </c>
      <c r="Q205" s="1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23.1" customHeight="1" x14ac:dyDescent="0.15">
      <c r="A206" s="13" t="s">
        <v>2302</v>
      </c>
      <c r="B206" s="13" t="s">
        <v>2303</v>
      </c>
      <c r="C206" s="3" t="s">
        <v>2304</v>
      </c>
      <c r="D206" s="12" t="s">
        <v>959</v>
      </c>
      <c r="E206" s="12" t="s">
        <v>765</v>
      </c>
      <c r="F206" s="31" t="s">
        <v>710</v>
      </c>
      <c r="G206" s="6"/>
      <c r="H206" s="38">
        <f>일위대가!I1425</f>
        <v>574</v>
      </c>
      <c r="I206" s="38">
        <f t="shared" si="15"/>
        <v>574</v>
      </c>
      <c r="J206" s="38"/>
      <c r="K206" s="38">
        <f>일위대가!L1425</f>
        <v>28735</v>
      </c>
      <c r="L206" s="38">
        <f t="shared" si="16"/>
        <v>28735</v>
      </c>
      <c r="M206" s="38">
        <f>일위대가!N1425</f>
        <v>0</v>
      </c>
      <c r="N206" s="38">
        <f t="shared" si="17"/>
        <v>0</v>
      </c>
      <c r="O206" s="38">
        <f t="shared" si="18"/>
        <v>29309</v>
      </c>
      <c r="P206" s="38">
        <f t="shared" si="19"/>
        <v>29309</v>
      </c>
      <c r="Q206" s="1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23.1" customHeight="1" x14ac:dyDescent="0.15">
      <c r="A207" s="13" t="s">
        <v>2305</v>
      </c>
      <c r="B207" s="13" t="s">
        <v>2306</v>
      </c>
      <c r="C207" s="3" t="s">
        <v>2307</v>
      </c>
      <c r="D207" s="12" t="s">
        <v>959</v>
      </c>
      <c r="E207" s="12" t="s">
        <v>764</v>
      </c>
      <c r="F207" s="31" t="s">
        <v>710</v>
      </c>
      <c r="G207" s="6"/>
      <c r="H207" s="38">
        <f>일위대가!I1431</f>
        <v>574</v>
      </c>
      <c r="I207" s="38">
        <f t="shared" si="15"/>
        <v>574</v>
      </c>
      <c r="J207" s="38"/>
      <c r="K207" s="38">
        <f>일위대가!L1431</f>
        <v>28735</v>
      </c>
      <c r="L207" s="38">
        <f t="shared" si="16"/>
        <v>28735</v>
      </c>
      <c r="M207" s="38">
        <f>일위대가!N1431</f>
        <v>0</v>
      </c>
      <c r="N207" s="38">
        <f t="shared" si="17"/>
        <v>0</v>
      </c>
      <c r="O207" s="38">
        <f t="shared" si="18"/>
        <v>29309</v>
      </c>
      <c r="P207" s="38">
        <f t="shared" si="19"/>
        <v>29309</v>
      </c>
      <c r="Q207" s="1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23.1" customHeight="1" x14ac:dyDescent="0.15">
      <c r="A208" s="13" t="s">
        <v>2308</v>
      </c>
      <c r="B208" s="13" t="s">
        <v>2309</v>
      </c>
      <c r="C208" s="3" t="s">
        <v>2310</v>
      </c>
      <c r="D208" s="12" t="s">
        <v>962</v>
      </c>
      <c r="E208" s="12" t="s">
        <v>963</v>
      </c>
      <c r="F208" s="31" t="s">
        <v>710</v>
      </c>
      <c r="G208" s="6"/>
      <c r="H208" s="38">
        <f>일위대가!I1437</f>
        <v>760</v>
      </c>
      <c r="I208" s="38">
        <f t="shared" si="15"/>
        <v>760</v>
      </c>
      <c r="J208" s="38"/>
      <c r="K208" s="38">
        <f>일위대가!L1437</f>
        <v>38040</v>
      </c>
      <c r="L208" s="38">
        <f t="shared" si="16"/>
        <v>38040</v>
      </c>
      <c r="M208" s="38">
        <f>일위대가!N1437</f>
        <v>0</v>
      </c>
      <c r="N208" s="38">
        <f t="shared" si="17"/>
        <v>0</v>
      </c>
      <c r="O208" s="38">
        <f t="shared" si="18"/>
        <v>38800</v>
      </c>
      <c r="P208" s="38">
        <f t="shared" si="19"/>
        <v>38800</v>
      </c>
      <c r="Q208" s="1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23.1" customHeight="1" x14ac:dyDescent="0.15">
      <c r="A209" s="13" t="s">
        <v>2311</v>
      </c>
      <c r="B209" s="13" t="s">
        <v>2312</v>
      </c>
      <c r="C209" s="3" t="s">
        <v>2313</v>
      </c>
      <c r="D209" s="12" t="s">
        <v>962</v>
      </c>
      <c r="E209" s="12" t="s">
        <v>965</v>
      </c>
      <c r="F209" s="31" t="s">
        <v>710</v>
      </c>
      <c r="G209" s="6"/>
      <c r="H209" s="38">
        <f>일위대가!I1443</f>
        <v>760</v>
      </c>
      <c r="I209" s="38">
        <f t="shared" si="15"/>
        <v>760</v>
      </c>
      <c r="J209" s="38"/>
      <c r="K209" s="38">
        <f>일위대가!L1443</f>
        <v>38040</v>
      </c>
      <c r="L209" s="38">
        <f t="shared" si="16"/>
        <v>38040</v>
      </c>
      <c r="M209" s="38">
        <f>일위대가!N1443</f>
        <v>0</v>
      </c>
      <c r="N209" s="38">
        <f t="shared" si="17"/>
        <v>0</v>
      </c>
      <c r="O209" s="38">
        <f t="shared" si="18"/>
        <v>38800</v>
      </c>
      <c r="P209" s="38">
        <f t="shared" si="19"/>
        <v>38800</v>
      </c>
      <c r="Q209" s="1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23.1" customHeight="1" x14ac:dyDescent="0.15">
      <c r="A210" s="13" t="s">
        <v>2314</v>
      </c>
      <c r="B210" s="13" t="s">
        <v>2315</v>
      </c>
      <c r="C210" s="3" t="s">
        <v>2316</v>
      </c>
      <c r="D210" s="12" t="s">
        <v>962</v>
      </c>
      <c r="E210" s="12" t="s">
        <v>967</v>
      </c>
      <c r="F210" s="31" t="s">
        <v>710</v>
      </c>
      <c r="G210" s="6"/>
      <c r="H210" s="38">
        <f>일위대가!I1449</f>
        <v>574</v>
      </c>
      <c r="I210" s="38">
        <f t="shared" si="15"/>
        <v>574</v>
      </c>
      <c r="J210" s="38"/>
      <c r="K210" s="38">
        <f>일위대가!L1449</f>
        <v>28735</v>
      </c>
      <c r="L210" s="38">
        <f t="shared" si="16"/>
        <v>28735</v>
      </c>
      <c r="M210" s="38">
        <f>일위대가!N1449</f>
        <v>0</v>
      </c>
      <c r="N210" s="38">
        <f t="shared" si="17"/>
        <v>0</v>
      </c>
      <c r="O210" s="38">
        <f t="shared" si="18"/>
        <v>29309</v>
      </c>
      <c r="P210" s="38">
        <f t="shared" si="19"/>
        <v>29309</v>
      </c>
      <c r="Q210" s="1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23.1" customHeight="1" x14ac:dyDescent="0.15">
      <c r="A211" s="13" t="s">
        <v>2317</v>
      </c>
      <c r="B211" s="13" t="s">
        <v>2318</v>
      </c>
      <c r="C211" s="3" t="s">
        <v>2319</v>
      </c>
      <c r="D211" s="12" t="s">
        <v>962</v>
      </c>
      <c r="E211" s="12" t="s">
        <v>767</v>
      </c>
      <c r="F211" s="31" t="s">
        <v>710</v>
      </c>
      <c r="G211" s="6"/>
      <c r="H211" s="38">
        <f>일위대가!I1455</f>
        <v>760</v>
      </c>
      <c r="I211" s="38">
        <f t="shared" si="15"/>
        <v>760</v>
      </c>
      <c r="J211" s="38"/>
      <c r="K211" s="38">
        <f>일위대가!L1455</f>
        <v>38040</v>
      </c>
      <c r="L211" s="38">
        <f t="shared" si="16"/>
        <v>38040</v>
      </c>
      <c r="M211" s="38">
        <f>일위대가!N1455</f>
        <v>0</v>
      </c>
      <c r="N211" s="38">
        <f t="shared" si="17"/>
        <v>0</v>
      </c>
      <c r="O211" s="38">
        <f t="shared" si="18"/>
        <v>38800</v>
      </c>
      <c r="P211" s="38">
        <f t="shared" si="19"/>
        <v>38800</v>
      </c>
      <c r="Q211" s="1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23.1" customHeight="1" x14ac:dyDescent="0.15">
      <c r="A212" s="13" t="s">
        <v>2320</v>
      </c>
      <c r="B212" s="13" t="s">
        <v>2321</v>
      </c>
      <c r="C212" s="3" t="s">
        <v>2322</v>
      </c>
      <c r="D212" s="12" t="s">
        <v>962</v>
      </c>
      <c r="E212" s="12" t="s">
        <v>970</v>
      </c>
      <c r="F212" s="31" t="s">
        <v>710</v>
      </c>
      <c r="G212" s="6"/>
      <c r="H212" s="38">
        <f>일위대가!I1461</f>
        <v>574</v>
      </c>
      <c r="I212" s="38">
        <f t="shared" si="15"/>
        <v>574</v>
      </c>
      <c r="J212" s="38"/>
      <c r="K212" s="38">
        <f>일위대가!L1461</f>
        <v>28735</v>
      </c>
      <c r="L212" s="38">
        <f t="shared" si="16"/>
        <v>28735</v>
      </c>
      <c r="M212" s="38">
        <f>일위대가!N1461</f>
        <v>0</v>
      </c>
      <c r="N212" s="38">
        <f t="shared" si="17"/>
        <v>0</v>
      </c>
      <c r="O212" s="38">
        <f t="shared" si="18"/>
        <v>29309</v>
      </c>
      <c r="P212" s="38">
        <f t="shared" si="19"/>
        <v>29309</v>
      </c>
      <c r="Q212" s="12" t="s">
        <v>2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23.1" customHeight="1" x14ac:dyDescent="0.15">
      <c r="A213" s="13" t="s">
        <v>2323</v>
      </c>
      <c r="B213" s="13" t="s">
        <v>2324</v>
      </c>
      <c r="C213" s="3" t="s">
        <v>2325</v>
      </c>
      <c r="D213" s="12" t="s">
        <v>962</v>
      </c>
      <c r="E213" s="12" t="s">
        <v>972</v>
      </c>
      <c r="F213" s="31" t="s">
        <v>710</v>
      </c>
      <c r="G213" s="6"/>
      <c r="H213" s="38">
        <f>일위대가!I1467</f>
        <v>1187</v>
      </c>
      <c r="I213" s="38">
        <f t="shared" si="15"/>
        <v>1187</v>
      </c>
      <c r="J213" s="38"/>
      <c r="K213" s="38">
        <f>일위대가!L1467</f>
        <v>59387</v>
      </c>
      <c r="L213" s="38">
        <f t="shared" si="16"/>
        <v>59387</v>
      </c>
      <c r="M213" s="38">
        <f>일위대가!N1467</f>
        <v>0</v>
      </c>
      <c r="N213" s="38">
        <f t="shared" si="17"/>
        <v>0</v>
      </c>
      <c r="O213" s="38">
        <f t="shared" si="18"/>
        <v>60574</v>
      </c>
      <c r="P213" s="38">
        <f t="shared" si="19"/>
        <v>60574</v>
      </c>
      <c r="Q213" s="1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23.1" customHeight="1" x14ac:dyDescent="0.15">
      <c r="A214" s="13" t="s">
        <v>2326</v>
      </c>
      <c r="B214" s="13" t="s">
        <v>2327</v>
      </c>
      <c r="C214" s="3" t="s">
        <v>2328</v>
      </c>
      <c r="D214" s="12" t="s">
        <v>962</v>
      </c>
      <c r="E214" s="12" t="s">
        <v>974</v>
      </c>
      <c r="F214" s="31" t="s">
        <v>710</v>
      </c>
      <c r="G214" s="6"/>
      <c r="H214" s="38">
        <f>일위대가!I1473</f>
        <v>1083</v>
      </c>
      <c r="I214" s="38">
        <f t="shared" si="15"/>
        <v>1083</v>
      </c>
      <c r="J214" s="38"/>
      <c r="K214" s="38">
        <f>일위대가!L1473</f>
        <v>54187</v>
      </c>
      <c r="L214" s="38">
        <f t="shared" si="16"/>
        <v>54187</v>
      </c>
      <c r="M214" s="38">
        <f>일위대가!N1473</f>
        <v>0</v>
      </c>
      <c r="N214" s="38">
        <f t="shared" si="17"/>
        <v>0</v>
      </c>
      <c r="O214" s="38">
        <f t="shared" si="18"/>
        <v>55270</v>
      </c>
      <c r="P214" s="38">
        <f t="shared" si="19"/>
        <v>55270</v>
      </c>
      <c r="Q214" s="1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23.1" customHeight="1" x14ac:dyDescent="0.15">
      <c r="A215" s="13" t="s">
        <v>2329</v>
      </c>
      <c r="B215" s="13" t="s">
        <v>2330</v>
      </c>
      <c r="C215" s="3" t="s">
        <v>2331</v>
      </c>
      <c r="D215" s="12" t="s">
        <v>962</v>
      </c>
      <c r="E215" s="12" t="s">
        <v>976</v>
      </c>
      <c r="F215" s="31" t="s">
        <v>710</v>
      </c>
      <c r="G215" s="6"/>
      <c r="H215" s="38">
        <f>일위대가!I1479</f>
        <v>1247</v>
      </c>
      <c r="I215" s="38">
        <f t="shared" si="15"/>
        <v>1247</v>
      </c>
      <c r="J215" s="38"/>
      <c r="K215" s="38">
        <f>일위대가!L1479</f>
        <v>62398</v>
      </c>
      <c r="L215" s="38">
        <f t="shared" si="16"/>
        <v>62398</v>
      </c>
      <c r="M215" s="38">
        <f>일위대가!N1479</f>
        <v>0</v>
      </c>
      <c r="N215" s="38">
        <f t="shared" si="17"/>
        <v>0</v>
      </c>
      <c r="O215" s="38">
        <f t="shared" si="18"/>
        <v>63645</v>
      </c>
      <c r="P215" s="38">
        <f t="shared" si="19"/>
        <v>63645</v>
      </c>
      <c r="Q215" s="1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23.1" customHeight="1" x14ac:dyDescent="0.15">
      <c r="A216" s="13" t="s">
        <v>2332</v>
      </c>
      <c r="B216" s="13" t="s">
        <v>2333</v>
      </c>
      <c r="C216" s="3" t="s">
        <v>2334</v>
      </c>
      <c r="D216" s="12" t="s">
        <v>2335</v>
      </c>
      <c r="E216" s="12" t="s">
        <v>2336</v>
      </c>
      <c r="F216" s="31" t="s">
        <v>2337</v>
      </c>
      <c r="G216" s="6"/>
      <c r="H216" s="38">
        <f>일위대가!I1483</f>
        <v>0</v>
      </c>
      <c r="I216" s="38">
        <f t="shared" si="15"/>
        <v>0</v>
      </c>
      <c r="J216" s="38"/>
      <c r="K216" s="38">
        <f>일위대가!L1483</f>
        <v>34413</v>
      </c>
      <c r="L216" s="38">
        <f t="shared" si="16"/>
        <v>34413</v>
      </c>
      <c r="M216" s="38">
        <f>일위대가!N1483</f>
        <v>0</v>
      </c>
      <c r="N216" s="38">
        <f t="shared" si="17"/>
        <v>0</v>
      </c>
      <c r="O216" s="38">
        <f t="shared" si="18"/>
        <v>34413</v>
      </c>
      <c r="P216" s="38">
        <f t="shared" si="19"/>
        <v>34413</v>
      </c>
      <c r="Q216" s="1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23.1" customHeight="1" x14ac:dyDescent="0.15">
      <c r="A217" s="13" t="s">
        <v>2338</v>
      </c>
      <c r="B217" s="13" t="s">
        <v>2339</v>
      </c>
      <c r="C217" s="3" t="s">
        <v>2340</v>
      </c>
      <c r="D217" s="12" t="s">
        <v>2341</v>
      </c>
      <c r="E217" s="12" t="s">
        <v>2336</v>
      </c>
      <c r="F217" s="31" t="s">
        <v>2337</v>
      </c>
      <c r="G217" s="6"/>
      <c r="H217" s="38">
        <f>일위대가!I1487</f>
        <v>0</v>
      </c>
      <c r="I217" s="38">
        <f t="shared" si="15"/>
        <v>0</v>
      </c>
      <c r="J217" s="38"/>
      <c r="K217" s="38">
        <f>일위대가!L1487</f>
        <v>17206</v>
      </c>
      <c r="L217" s="38">
        <f t="shared" si="16"/>
        <v>17206</v>
      </c>
      <c r="M217" s="38">
        <f>일위대가!N1487</f>
        <v>0</v>
      </c>
      <c r="N217" s="38">
        <f t="shared" si="17"/>
        <v>0</v>
      </c>
      <c r="O217" s="38">
        <f t="shared" si="18"/>
        <v>17206</v>
      </c>
      <c r="P217" s="38">
        <f t="shared" si="19"/>
        <v>17206</v>
      </c>
      <c r="Q217" s="1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23.1" customHeight="1" x14ac:dyDescent="0.15">
      <c r="A218" s="13" t="s">
        <v>2342</v>
      </c>
      <c r="B218" s="13" t="s">
        <v>2343</v>
      </c>
      <c r="C218" s="3" t="s">
        <v>2344</v>
      </c>
      <c r="D218" s="12" t="s">
        <v>2345</v>
      </c>
      <c r="E218" s="12" t="s">
        <v>2346</v>
      </c>
      <c r="F218" s="31" t="s">
        <v>2337</v>
      </c>
      <c r="G218" s="6"/>
      <c r="H218" s="38">
        <f>일위대가!I1491</f>
        <v>0</v>
      </c>
      <c r="I218" s="38">
        <f t="shared" si="15"/>
        <v>0</v>
      </c>
      <c r="J218" s="38"/>
      <c r="K218" s="38">
        <f>일위대가!L1491</f>
        <v>34413</v>
      </c>
      <c r="L218" s="38">
        <f t="shared" si="16"/>
        <v>34413</v>
      </c>
      <c r="M218" s="38">
        <f>일위대가!N1491</f>
        <v>0</v>
      </c>
      <c r="N218" s="38">
        <f t="shared" si="17"/>
        <v>0</v>
      </c>
      <c r="O218" s="38">
        <f t="shared" si="18"/>
        <v>34413</v>
      </c>
      <c r="P218" s="38">
        <f t="shared" si="19"/>
        <v>34413</v>
      </c>
      <c r="Q218" s="1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23.1" customHeight="1" x14ac:dyDescent="0.15">
      <c r="A219" s="13" t="s">
        <v>2347</v>
      </c>
      <c r="B219" s="13" t="s">
        <v>2348</v>
      </c>
      <c r="C219" s="3" t="s">
        <v>2349</v>
      </c>
      <c r="D219" s="12" t="s">
        <v>2350</v>
      </c>
      <c r="E219" s="12" t="s">
        <v>2351</v>
      </c>
      <c r="F219" s="31" t="s">
        <v>980</v>
      </c>
      <c r="G219" s="6"/>
      <c r="H219" s="38">
        <f>일위대가!I1496</f>
        <v>3785</v>
      </c>
      <c r="I219" s="38">
        <f t="shared" si="15"/>
        <v>3785</v>
      </c>
      <c r="J219" s="38"/>
      <c r="K219" s="38">
        <f>일위대가!L1496</f>
        <v>189274</v>
      </c>
      <c r="L219" s="38">
        <f t="shared" si="16"/>
        <v>189274</v>
      </c>
      <c r="M219" s="38">
        <f>일위대가!N1496</f>
        <v>0</v>
      </c>
      <c r="N219" s="38">
        <f t="shared" si="17"/>
        <v>0</v>
      </c>
      <c r="O219" s="38">
        <f t="shared" si="18"/>
        <v>193059</v>
      </c>
      <c r="P219" s="38">
        <f t="shared" si="19"/>
        <v>193059</v>
      </c>
      <c r="Q219" s="1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23.1" customHeight="1" x14ac:dyDescent="0.15">
      <c r="A220" s="13" t="s">
        <v>2352</v>
      </c>
      <c r="B220" s="13" t="s">
        <v>2353</v>
      </c>
      <c r="C220" s="3" t="s">
        <v>2354</v>
      </c>
      <c r="D220" s="12" t="s">
        <v>2355</v>
      </c>
      <c r="E220" s="12" t="s">
        <v>2356</v>
      </c>
      <c r="F220" s="31" t="s">
        <v>2357</v>
      </c>
      <c r="G220" s="6"/>
      <c r="H220" s="38">
        <f>일위대가!I1504</f>
        <v>0</v>
      </c>
      <c r="I220" s="38">
        <f t="shared" si="15"/>
        <v>0</v>
      </c>
      <c r="J220" s="38"/>
      <c r="K220" s="38">
        <f>일위대가!L1504</f>
        <v>0</v>
      </c>
      <c r="L220" s="38">
        <f t="shared" si="16"/>
        <v>0</v>
      </c>
      <c r="M220" s="38">
        <f>일위대가!N1504</f>
        <v>68260</v>
      </c>
      <c r="N220" s="38">
        <f t="shared" si="17"/>
        <v>68260</v>
      </c>
      <c r="O220" s="38">
        <f t="shared" si="18"/>
        <v>68260</v>
      </c>
      <c r="P220" s="38">
        <f t="shared" si="19"/>
        <v>68260</v>
      </c>
      <c r="Q220" s="1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23.1" customHeight="1" x14ac:dyDescent="0.15">
      <c r="C221" s="3"/>
      <c r="D221" s="12"/>
      <c r="E221" s="12"/>
      <c r="F221" s="31"/>
      <c r="G221" s="6"/>
      <c r="H221" s="38"/>
      <c r="I221" s="38"/>
      <c r="J221" s="38"/>
      <c r="K221" s="38"/>
      <c r="L221" s="38"/>
      <c r="M221" s="38"/>
      <c r="N221" s="38"/>
      <c r="O221" s="38"/>
      <c r="P221" s="38"/>
      <c r="Q221" s="1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23.1" customHeight="1" x14ac:dyDescent="0.15">
      <c r="C222" s="3"/>
      <c r="D222" s="12"/>
      <c r="E222" s="12"/>
      <c r="F222" s="31"/>
      <c r="G222" s="6"/>
      <c r="H222" s="38"/>
      <c r="I222" s="38"/>
      <c r="J222" s="38"/>
      <c r="K222" s="38"/>
      <c r="L222" s="38"/>
      <c r="M222" s="38"/>
      <c r="N222" s="38"/>
      <c r="O222" s="38"/>
      <c r="P222" s="38"/>
      <c r="Q222" s="1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23.1" customHeight="1" x14ac:dyDescent="0.15">
      <c r="C223" s="3"/>
      <c r="D223" s="12"/>
      <c r="E223" s="12"/>
      <c r="F223" s="31"/>
      <c r="G223" s="6"/>
      <c r="H223" s="38"/>
      <c r="I223" s="38"/>
      <c r="J223" s="38"/>
      <c r="K223" s="38"/>
      <c r="L223" s="38"/>
      <c r="M223" s="38"/>
      <c r="N223" s="38"/>
      <c r="O223" s="38"/>
      <c r="P223" s="38"/>
      <c r="Q223" s="1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23.1" customHeight="1" x14ac:dyDescent="0.15">
      <c r="C224" s="3"/>
      <c r="D224" s="12"/>
      <c r="E224" s="12"/>
      <c r="F224" s="31"/>
      <c r="G224" s="6"/>
      <c r="H224" s="38"/>
      <c r="I224" s="38"/>
      <c r="J224" s="38"/>
      <c r="K224" s="38"/>
      <c r="L224" s="38"/>
      <c r="M224" s="38"/>
      <c r="N224" s="38"/>
      <c r="O224" s="38"/>
      <c r="P224" s="38"/>
      <c r="Q224" s="1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3:33" ht="23.1" customHeight="1" x14ac:dyDescent="0.15">
      <c r="C225" s="3"/>
      <c r="D225" s="12"/>
      <c r="E225" s="12"/>
      <c r="F225" s="31"/>
      <c r="G225" s="6"/>
      <c r="H225" s="38"/>
      <c r="I225" s="38"/>
      <c r="J225" s="38"/>
      <c r="K225" s="38"/>
      <c r="L225" s="38"/>
      <c r="M225" s="38"/>
      <c r="N225" s="38"/>
      <c r="O225" s="38"/>
      <c r="P225" s="38"/>
      <c r="Q225" s="1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3:33" ht="23.1" customHeight="1" x14ac:dyDescent="0.15">
      <c r="C226" s="3"/>
      <c r="D226" s="12"/>
      <c r="E226" s="12"/>
      <c r="F226" s="31"/>
      <c r="G226" s="6"/>
      <c r="H226" s="38"/>
      <c r="I226" s="38"/>
      <c r="J226" s="38"/>
      <c r="K226" s="38"/>
      <c r="L226" s="38"/>
      <c r="M226" s="38"/>
      <c r="N226" s="38"/>
      <c r="O226" s="38"/>
      <c r="P226" s="38"/>
      <c r="Q226" s="1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3:33" ht="23.1" customHeight="1" x14ac:dyDescent="0.15">
      <c r="C227" s="3"/>
      <c r="D227" s="12"/>
      <c r="E227" s="12"/>
      <c r="F227" s="31"/>
      <c r="G227" s="6"/>
      <c r="H227" s="38"/>
      <c r="I227" s="38"/>
      <c r="J227" s="38"/>
      <c r="K227" s="38"/>
      <c r="L227" s="38"/>
      <c r="M227" s="38"/>
      <c r="N227" s="38"/>
      <c r="O227" s="38"/>
      <c r="P227" s="38"/>
      <c r="Q227" s="1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3:33" ht="23.1" customHeight="1" x14ac:dyDescent="0.15">
      <c r="C228" s="3"/>
      <c r="D228" s="12"/>
      <c r="E228" s="12"/>
      <c r="F228" s="31"/>
      <c r="G228" s="6"/>
      <c r="H228" s="38"/>
      <c r="I228" s="38"/>
      <c r="J228" s="38"/>
      <c r="K228" s="38"/>
      <c r="L228" s="38"/>
      <c r="M228" s="38"/>
      <c r="N228" s="38"/>
      <c r="O228" s="38"/>
      <c r="P228" s="38"/>
      <c r="Q228" s="1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3:33" ht="23.1" customHeight="1" x14ac:dyDescent="0.15">
      <c r="C229" s="3"/>
      <c r="D229" s="12"/>
      <c r="E229" s="12"/>
      <c r="F229" s="31"/>
      <c r="G229" s="6"/>
      <c r="H229" s="38"/>
      <c r="I229" s="38"/>
      <c r="J229" s="38"/>
      <c r="K229" s="38"/>
      <c r="L229" s="38"/>
      <c r="M229" s="38"/>
      <c r="N229" s="38"/>
      <c r="O229" s="38"/>
      <c r="P229" s="38"/>
      <c r="Q229" s="1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3:33" ht="23.1" customHeight="1" x14ac:dyDescent="0.15">
      <c r="C230" s="3"/>
      <c r="D230" s="12"/>
      <c r="E230" s="12"/>
      <c r="F230" s="31"/>
      <c r="G230" s="6"/>
      <c r="H230" s="38"/>
      <c r="I230" s="38"/>
      <c r="J230" s="38"/>
      <c r="K230" s="38"/>
      <c r="L230" s="38"/>
      <c r="M230" s="38"/>
      <c r="N230" s="38"/>
      <c r="O230" s="38"/>
      <c r="P230" s="38"/>
      <c r="Q230" s="1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3:33" ht="23.1" customHeight="1" x14ac:dyDescent="0.15">
      <c r="C231" s="3"/>
      <c r="D231" s="12"/>
      <c r="E231" s="12"/>
      <c r="F231" s="31"/>
      <c r="G231" s="6"/>
      <c r="H231" s="38"/>
      <c r="I231" s="38"/>
      <c r="J231" s="38"/>
      <c r="K231" s="38"/>
      <c r="L231" s="38"/>
      <c r="M231" s="38"/>
      <c r="N231" s="38"/>
      <c r="O231" s="38"/>
      <c r="P231" s="38"/>
      <c r="Q231" s="1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3:33" ht="23.1" customHeight="1" x14ac:dyDescent="0.15">
      <c r="C232" s="3"/>
      <c r="D232" s="12"/>
      <c r="E232" s="12"/>
      <c r="F232" s="31"/>
      <c r="G232" s="6"/>
      <c r="H232" s="38"/>
      <c r="I232" s="38"/>
      <c r="J232" s="38"/>
      <c r="K232" s="38"/>
      <c r="L232" s="38"/>
      <c r="M232" s="38"/>
      <c r="N232" s="38"/>
      <c r="O232" s="38"/>
      <c r="P232" s="38"/>
      <c r="Q232" s="1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3:33" ht="23.1" customHeight="1" x14ac:dyDescent="0.15">
      <c r="C233" s="3"/>
      <c r="D233" s="12"/>
      <c r="E233" s="12"/>
      <c r="F233" s="31"/>
      <c r="G233" s="6"/>
      <c r="H233" s="38"/>
      <c r="I233" s="38"/>
      <c r="J233" s="38"/>
      <c r="K233" s="38"/>
      <c r="L233" s="38"/>
      <c r="M233" s="38"/>
      <c r="N233" s="38"/>
      <c r="O233" s="38"/>
      <c r="P233" s="38"/>
      <c r="Q233" s="1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3:33" ht="23.1" customHeight="1" x14ac:dyDescent="0.15">
      <c r="C234" s="3"/>
      <c r="D234" s="12"/>
      <c r="E234" s="12"/>
      <c r="F234" s="31"/>
      <c r="G234" s="6"/>
      <c r="H234" s="38"/>
      <c r="I234" s="38"/>
      <c r="J234" s="38"/>
      <c r="K234" s="38"/>
      <c r="L234" s="38"/>
      <c r="M234" s="38"/>
      <c r="N234" s="38"/>
      <c r="O234" s="38"/>
      <c r="P234" s="38"/>
      <c r="Q234" s="1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3:33" ht="23.1" customHeight="1" x14ac:dyDescent="0.15">
      <c r="C235" s="3"/>
      <c r="D235" s="12"/>
      <c r="E235" s="12"/>
      <c r="F235" s="31"/>
      <c r="G235" s="6"/>
      <c r="H235" s="38"/>
      <c r="I235" s="38"/>
      <c r="J235" s="38"/>
      <c r="K235" s="38"/>
      <c r="L235" s="38"/>
      <c r="M235" s="38"/>
      <c r="N235" s="38"/>
      <c r="O235" s="38"/>
      <c r="P235" s="38"/>
      <c r="Q235" s="1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3:33" ht="23.1" customHeight="1" x14ac:dyDescent="0.15">
      <c r="C236" s="3"/>
      <c r="D236" s="12"/>
      <c r="E236" s="12"/>
      <c r="F236" s="31"/>
      <c r="G236" s="6"/>
      <c r="H236" s="38"/>
      <c r="I236" s="38"/>
      <c r="J236" s="38"/>
      <c r="K236" s="38"/>
      <c r="L236" s="38"/>
      <c r="M236" s="38"/>
      <c r="N236" s="38"/>
      <c r="O236" s="38"/>
      <c r="P236" s="38"/>
      <c r="Q236" s="1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3:33" ht="23.1" customHeight="1" x14ac:dyDescent="0.15">
      <c r="C237" s="3"/>
      <c r="D237" s="12"/>
      <c r="E237" s="12"/>
      <c r="F237" s="31"/>
      <c r="G237" s="6"/>
      <c r="H237" s="38"/>
      <c r="I237" s="38"/>
      <c r="J237" s="38"/>
      <c r="K237" s="38"/>
      <c r="L237" s="38"/>
      <c r="M237" s="38"/>
      <c r="N237" s="38"/>
      <c r="O237" s="38"/>
      <c r="P237" s="38"/>
      <c r="Q237" s="1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</sheetData>
  <mergeCells count="13">
    <mergeCell ref="A2:A3"/>
    <mergeCell ref="B2:B3"/>
    <mergeCell ref="C2:C3"/>
    <mergeCell ref="D2:D3"/>
    <mergeCell ref="E2:E3"/>
    <mergeCell ref="C1:N1"/>
    <mergeCell ref="M2:N2"/>
    <mergeCell ref="J2:L2"/>
    <mergeCell ref="Q2:Q3"/>
    <mergeCell ref="P2:P3"/>
    <mergeCell ref="F2:F3"/>
    <mergeCell ref="G2:G3"/>
    <mergeCell ref="H2:I2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75" orientation="landscape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11"/>
  <sheetViews>
    <sheetView topLeftCell="D1" workbookViewId="0">
      <pane ySplit="3" topLeftCell="A298" activePane="bottomLeft" state="frozen"/>
      <selection activeCell="D1" sqref="D1"/>
      <selection pane="bottomLeft" activeCell="D2" sqref="D2:D3"/>
    </sheetView>
  </sheetViews>
  <sheetFormatPr defaultRowHeight="23.25" customHeight="1" x14ac:dyDescent="0.15"/>
  <cols>
    <col min="1" max="1" width="11.5546875" style="13" hidden="1" customWidth="1"/>
    <col min="2" max="2" width="10.77734375" style="13" hidden="1" customWidth="1"/>
    <col min="3" max="3" width="11.109375" style="1" hidden="1" customWidth="1"/>
    <col min="4" max="4" width="24.33203125" style="13" customWidth="1"/>
    <col min="5" max="5" width="25.33203125" style="13" customWidth="1"/>
    <col min="6" max="6" width="4.21875" style="30" customWidth="1"/>
    <col min="7" max="7" width="8.33203125" style="2" customWidth="1"/>
    <col min="8" max="8" width="11.88671875" style="2" customWidth="1"/>
    <col min="9" max="9" width="12.44140625" style="2" customWidth="1"/>
    <col min="10" max="10" width="6.6640625" style="2" customWidth="1"/>
    <col min="11" max="12" width="11.44140625" style="2" customWidth="1"/>
    <col min="13" max="13" width="6.33203125" style="2" customWidth="1"/>
    <col min="14" max="14" width="8.5546875" style="2" customWidth="1"/>
    <col min="15" max="15" width="9.109375" style="2" hidden="1" customWidth="1"/>
    <col min="16" max="16" width="11" style="2" customWidth="1"/>
    <col min="17" max="17" width="11.5546875" style="13" customWidth="1"/>
    <col min="18" max="16384" width="8.88671875" style="2"/>
  </cols>
  <sheetData>
    <row r="1" spans="1:31" ht="23.25" customHeight="1" x14ac:dyDescent="0.15">
      <c r="A1" s="60"/>
      <c r="B1" s="13" t="s">
        <v>3032</v>
      </c>
      <c r="D1" s="177" t="s">
        <v>3262</v>
      </c>
      <c r="E1" s="175"/>
      <c r="F1" s="175"/>
      <c r="G1" s="175"/>
      <c r="H1" s="175"/>
      <c r="I1" s="175"/>
      <c r="J1" s="175"/>
      <c r="K1" s="175"/>
      <c r="L1" s="175"/>
      <c r="M1" s="175"/>
      <c r="N1" s="175"/>
      <c r="W1" s="173" t="s">
        <v>63</v>
      </c>
      <c r="X1" s="173"/>
      <c r="Y1" s="173"/>
      <c r="Z1" s="30"/>
      <c r="AA1" s="30" t="s">
        <v>68</v>
      </c>
      <c r="AB1" s="30"/>
      <c r="AC1" s="30"/>
      <c r="AD1" s="30"/>
      <c r="AE1" s="30"/>
    </row>
    <row r="2" spans="1:31" s="14" customFormat="1" ht="23.25" customHeight="1" x14ac:dyDescent="0.15">
      <c r="A2" s="167" t="s">
        <v>51</v>
      </c>
      <c r="B2" s="167" t="s">
        <v>85</v>
      </c>
      <c r="C2" s="167" t="s">
        <v>52</v>
      </c>
      <c r="D2" s="168" t="s">
        <v>57</v>
      </c>
      <c r="E2" s="168" t="s">
        <v>58</v>
      </c>
      <c r="F2" s="169" t="s">
        <v>0</v>
      </c>
      <c r="G2" s="169" t="s">
        <v>1</v>
      </c>
      <c r="H2" s="169" t="s">
        <v>29</v>
      </c>
      <c r="I2" s="169"/>
      <c r="J2" s="169" t="s">
        <v>30</v>
      </c>
      <c r="K2" s="169"/>
      <c r="L2" s="169"/>
      <c r="M2" s="169" t="s">
        <v>31</v>
      </c>
      <c r="N2" s="169"/>
      <c r="O2" s="28"/>
      <c r="P2" s="169" t="s">
        <v>12</v>
      </c>
      <c r="Q2" s="168" t="s">
        <v>33</v>
      </c>
      <c r="W2" s="14" t="s">
        <v>64</v>
      </c>
      <c r="X2" s="14" t="s">
        <v>65</v>
      </c>
      <c r="Y2" s="14" t="s">
        <v>66</v>
      </c>
      <c r="Z2" s="14" t="s">
        <v>67</v>
      </c>
      <c r="AA2" s="40" t="s">
        <v>95</v>
      </c>
      <c r="AB2" s="40" t="s">
        <v>94</v>
      </c>
      <c r="AC2" s="40" t="s">
        <v>69</v>
      </c>
      <c r="AD2" s="40" t="s">
        <v>71</v>
      </c>
      <c r="AE2" s="40" t="s">
        <v>70</v>
      </c>
    </row>
    <row r="3" spans="1:31" s="14" customFormat="1" ht="23.25" customHeight="1" x14ac:dyDescent="0.15">
      <c r="A3" s="167"/>
      <c r="B3" s="167"/>
      <c r="C3" s="167"/>
      <c r="D3" s="168"/>
      <c r="E3" s="168"/>
      <c r="F3" s="169"/>
      <c r="G3" s="169"/>
      <c r="H3" s="28" t="s">
        <v>36</v>
      </c>
      <c r="I3" s="28" t="s">
        <v>37</v>
      </c>
      <c r="J3" s="28" t="s">
        <v>1</v>
      </c>
      <c r="K3" s="28" t="s">
        <v>36</v>
      </c>
      <c r="L3" s="28" t="s">
        <v>37</v>
      </c>
      <c r="M3" s="28" t="s">
        <v>38</v>
      </c>
      <c r="N3" s="28" t="s">
        <v>37</v>
      </c>
      <c r="O3" s="28" t="s">
        <v>53</v>
      </c>
      <c r="P3" s="169"/>
      <c r="Q3" s="168"/>
      <c r="W3" s="2"/>
      <c r="X3" s="2"/>
      <c r="Y3" s="2"/>
      <c r="Z3" s="2"/>
      <c r="AA3" s="35"/>
      <c r="AB3" s="35"/>
      <c r="AC3" s="35"/>
      <c r="AD3" s="35">
        <v>1</v>
      </c>
      <c r="AE3" s="35">
        <v>1</v>
      </c>
    </row>
    <row r="4" spans="1:31" ht="23.25" customHeight="1" x14ac:dyDescent="0.15">
      <c r="A4" s="13" t="s">
        <v>2381</v>
      </c>
      <c r="B4" s="13" t="s">
        <v>2382</v>
      </c>
      <c r="C4" s="1" t="s">
        <v>2383</v>
      </c>
      <c r="D4" s="170" t="s">
        <v>2380</v>
      </c>
      <c r="E4" s="172"/>
      <c r="F4" s="31"/>
      <c r="G4" s="15"/>
      <c r="H4" s="15"/>
      <c r="I4" s="53"/>
      <c r="J4" s="15"/>
      <c r="K4" s="15"/>
      <c r="L4" s="53"/>
      <c r="M4" s="15"/>
      <c r="N4" s="53"/>
      <c r="O4" s="15"/>
      <c r="P4" s="15"/>
      <c r="Q4" s="12"/>
    </row>
    <row r="5" spans="1:31" ht="23.25" customHeight="1" x14ac:dyDescent="0.15">
      <c r="A5" s="13" t="s">
        <v>2332</v>
      </c>
      <c r="B5" s="13" t="s">
        <v>1664</v>
      </c>
      <c r="C5" s="1" t="s">
        <v>2333</v>
      </c>
      <c r="D5" s="12" t="s">
        <v>2335</v>
      </c>
      <c r="E5" s="12" t="s">
        <v>2336</v>
      </c>
      <c r="F5" s="31" t="s">
        <v>2337</v>
      </c>
      <c r="G5" s="15">
        <v>0.2</v>
      </c>
      <c r="H5" s="15">
        <f>일대목차!H216</f>
        <v>0</v>
      </c>
      <c r="I5" s="53" t="str">
        <f>IF(G5*H5&lt;&gt;0, TRUNC(G5*H5, 1), "")</f>
        <v/>
      </c>
      <c r="J5" s="15">
        <v>0.2</v>
      </c>
      <c r="K5" s="15">
        <f>일대목차!K216</f>
        <v>34413</v>
      </c>
      <c r="L5" s="53">
        <f>IF(G5*K5&lt;&gt;0, TRUNC(G5*K5, 1), "")</f>
        <v>6882.6</v>
      </c>
      <c r="M5" s="15">
        <f>일대목차!M216</f>
        <v>0</v>
      </c>
      <c r="N5" s="53" t="str">
        <f>IF(G5*M5&lt;&gt;0, TRUNC(G5*M5, 1), "")</f>
        <v/>
      </c>
      <c r="O5" s="15">
        <f>IF((H5+K5+M5)=0, "", (H5+K5+M5))</f>
        <v>34413</v>
      </c>
      <c r="P5" s="15">
        <f>IF(SUM(I5,L5,N5)&lt;&gt;0,SUM(I5,L5,N5),"")</f>
        <v>6882.6</v>
      </c>
      <c r="Q5" s="12" t="s">
        <v>2334</v>
      </c>
      <c r="R5" s="2" t="s">
        <v>2359</v>
      </c>
    </row>
    <row r="6" spans="1:31" ht="23.25" customHeight="1" x14ac:dyDescent="0.15">
      <c r="A6" s="13" t="s">
        <v>1362</v>
      </c>
      <c r="B6" s="13" t="s">
        <v>1664</v>
      </c>
      <c r="C6" s="1" t="s">
        <v>977</v>
      </c>
      <c r="D6" s="12" t="s">
        <v>978</v>
      </c>
      <c r="E6" s="12" t="s">
        <v>979</v>
      </c>
      <c r="F6" s="31" t="s">
        <v>980</v>
      </c>
      <c r="G6" s="15">
        <v>0.8</v>
      </c>
      <c r="H6" s="15">
        <f>합산자재!H338</f>
        <v>427</v>
      </c>
      <c r="I6" s="53">
        <f>IF(G6*H6&lt;&gt;0, TRUNC(G6*H6, 1), "")</f>
        <v>341.6</v>
      </c>
      <c r="J6" s="15">
        <v>0.8</v>
      </c>
      <c r="K6" s="15">
        <f>합산자재!I338</f>
        <v>1309</v>
      </c>
      <c r="L6" s="53">
        <f>IF(G6*K6&lt;&gt;0, TRUNC(G6*K6, 1), "")</f>
        <v>1047.2</v>
      </c>
      <c r="M6" s="15">
        <f>합산자재!J338</f>
        <v>523</v>
      </c>
      <c r="N6" s="53">
        <f>IF(G6*M6&lt;&gt;0, TRUNC(G6*M6, 1), "")</f>
        <v>418.4</v>
      </c>
      <c r="O6" s="15">
        <f>IF((H6+K6+M6)=0, "", (H6+K6+M6))</f>
        <v>2259</v>
      </c>
      <c r="P6" s="15">
        <f>IF(SUM(I6,L6,N6)&lt;&gt;0,SUM(I6,L6,N6),"")</f>
        <v>1807.2000000000003</v>
      </c>
      <c r="Q6" s="12" t="s">
        <v>1363</v>
      </c>
      <c r="R6" s="2" t="s">
        <v>2359</v>
      </c>
    </row>
    <row r="7" spans="1:31" ht="23.25" customHeight="1" x14ac:dyDescent="0.15">
      <c r="B7" s="13" t="s">
        <v>2360</v>
      </c>
      <c r="D7" s="12" t="s">
        <v>2361</v>
      </c>
      <c r="E7" s="12"/>
      <c r="F7" s="31"/>
      <c r="G7" s="15"/>
      <c r="H7" s="15"/>
      <c r="I7" s="53">
        <f>TRUNC(SUM(I4:I6))</f>
        <v>341</v>
      </c>
      <c r="J7" s="15"/>
      <c r="K7" s="15"/>
      <c r="L7" s="53">
        <f>TRUNC(SUM(L4:L6))</f>
        <v>7929</v>
      </c>
      <c r="M7" s="15"/>
      <c r="N7" s="53">
        <f>TRUNC(SUM(N4:N6))</f>
        <v>418</v>
      </c>
      <c r="O7" s="15" t="str">
        <f>IF((H7+K7+M7)=0, "", (H7+K7+M7))</f>
        <v/>
      </c>
      <c r="P7" s="15">
        <f>IF(SUM(I7,L7,N7)&lt;&gt;0,SUM(I7,L7,N7),"")</f>
        <v>8688</v>
      </c>
      <c r="Q7" s="12"/>
    </row>
    <row r="8" spans="1:31" ht="23.25" customHeight="1" x14ac:dyDescent="0.15">
      <c r="D8" s="12"/>
      <c r="E8" s="12"/>
      <c r="F8" s="31"/>
      <c r="G8" s="15"/>
      <c r="H8" s="15"/>
      <c r="I8" s="53"/>
      <c r="J8" s="15"/>
      <c r="K8" s="15"/>
      <c r="L8" s="53"/>
      <c r="M8" s="15"/>
      <c r="N8" s="53"/>
      <c r="O8" s="15"/>
      <c r="P8" s="15"/>
      <c r="Q8" s="12"/>
    </row>
    <row r="9" spans="1:31" ht="23.25" customHeight="1" x14ac:dyDescent="0.15">
      <c r="A9" s="13" t="s">
        <v>2385</v>
      </c>
      <c r="B9" s="13" t="s">
        <v>2382</v>
      </c>
      <c r="C9" s="1" t="s">
        <v>2386</v>
      </c>
      <c r="D9" s="170" t="s">
        <v>2384</v>
      </c>
      <c r="E9" s="172"/>
      <c r="F9" s="31"/>
      <c r="G9" s="15"/>
      <c r="H9" s="15"/>
      <c r="I9" s="53"/>
      <c r="J9" s="15"/>
      <c r="K9" s="15"/>
      <c r="L9" s="53"/>
      <c r="M9" s="15"/>
      <c r="N9" s="53"/>
      <c r="O9" s="15"/>
      <c r="P9" s="15"/>
      <c r="Q9" s="12"/>
    </row>
    <row r="10" spans="1:31" ht="23.25" customHeight="1" x14ac:dyDescent="0.15">
      <c r="A10" s="13" t="s">
        <v>2338</v>
      </c>
      <c r="B10" s="13" t="s">
        <v>1669</v>
      </c>
      <c r="C10" s="1" t="s">
        <v>2339</v>
      </c>
      <c r="D10" s="12" t="s">
        <v>2341</v>
      </c>
      <c r="E10" s="12" t="s">
        <v>2336</v>
      </c>
      <c r="F10" s="31" t="s">
        <v>2337</v>
      </c>
      <c r="G10" s="15">
        <v>0.2</v>
      </c>
      <c r="H10" s="15">
        <f>일대목차!H217</f>
        <v>0</v>
      </c>
      <c r="I10" s="53" t="str">
        <f>IF(G10*H10&lt;&gt;0, TRUNC(G10*H10, 1), "")</f>
        <v/>
      </c>
      <c r="J10" s="15">
        <v>0.2</v>
      </c>
      <c r="K10" s="15">
        <f>일대목차!K217</f>
        <v>17206</v>
      </c>
      <c r="L10" s="53">
        <f>IF(G10*K10&lt;&gt;0, TRUNC(G10*K10, 1), "")</f>
        <v>3441.2</v>
      </c>
      <c r="M10" s="15">
        <f>일대목차!M217</f>
        <v>0</v>
      </c>
      <c r="N10" s="53" t="str">
        <f>IF(G10*M10&lt;&gt;0, TRUNC(G10*M10, 1), "")</f>
        <v/>
      </c>
      <c r="O10" s="15">
        <f>IF((H10+K10+M10)=0, "", (H10+K10+M10))</f>
        <v>17206</v>
      </c>
      <c r="P10" s="15">
        <f>IF(SUM(I10,L10,N10)&lt;&gt;0,SUM(I10,L10,N10),"")</f>
        <v>3441.2</v>
      </c>
      <c r="Q10" s="12" t="s">
        <v>2340</v>
      </c>
      <c r="R10" s="2" t="s">
        <v>2359</v>
      </c>
    </row>
    <row r="11" spans="1:31" ht="23.25" customHeight="1" x14ac:dyDescent="0.15">
      <c r="A11" s="13" t="s">
        <v>1364</v>
      </c>
      <c r="B11" s="13" t="s">
        <v>1669</v>
      </c>
      <c r="C11" s="1" t="s">
        <v>984</v>
      </c>
      <c r="D11" s="12" t="s">
        <v>985</v>
      </c>
      <c r="E11" s="12" t="s">
        <v>979</v>
      </c>
      <c r="F11" s="31" t="s">
        <v>980</v>
      </c>
      <c r="G11" s="15">
        <v>0.8</v>
      </c>
      <c r="H11" s="15">
        <f>합산자재!H339</f>
        <v>427</v>
      </c>
      <c r="I11" s="53">
        <f>IF(G11*H11&lt;&gt;0, TRUNC(G11*H11, 1), "")</f>
        <v>341.6</v>
      </c>
      <c r="J11" s="15">
        <v>0.8</v>
      </c>
      <c r="K11" s="15">
        <f>합산자재!I339</f>
        <v>1309</v>
      </c>
      <c r="L11" s="53">
        <f>IF(G11*K11&lt;&gt;0, TRUNC(G11*K11, 1), "")</f>
        <v>1047.2</v>
      </c>
      <c r="M11" s="15">
        <f>합산자재!J339</f>
        <v>523</v>
      </c>
      <c r="N11" s="53">
        <f>IF(G11*M11&lt;&gt;0, TRUNC(G11*M11, 1), "")</f>
        <v>418.4</v>
      </c>
      <c r="O11" s="15">
        <f>IF((H11+K11+M11)=0, "", (H11+K11+M11))</f>
        <v>2259</v>
      </c>
      <c r="P11" s="15">
        <f>IF(SUM(I11,L11,N11)&lt;&gt;0,SUM(I11,L11,N11),"")</f>
        <v>1807.2000000000003</v>
      </c>
      <c r="Q11" s="12" t="s">
        <v>1365</v>
      </c>
      <c r="R11" s="2" t="s">
        <v>2359</v>
      </c>
    </row>
    <row r="12" spans="1:31" ht="23.25" customHeight="1" x14ac:dyDescent="0.15">
      <c r="B12" s="13" t="s">
        <v>2360</v>
      </c>
      <c r="D12" s="12" t="s">
        <v>2361</v>
      </c>
      <c r="E12" s="12"/>
      <c r="F12" s="31"/>
      <c r="G12" s="15"/>
      <c r="H12" s="15"/>
      <c r="I12" s="53">
        <f>TRUNC(SUM(I9:I11))</f>
        <v>341</v>
      </c>
      <c r="J12" s="15"/>
      <c r="K12" s="15"/>
      <c r="L12" s="53">
        <f>TRUNC(SUM(L9:L11))</f>
        <v>4488</v>
      </c>
      <c r="M12" s="15"/>
      <c r="N12" s="53">
        <f>TRUNC(SUM(N9:N11))</f>
        <v>418</v>
      </c>
      <c r="O12" s="15" t="str">
        <f>IF((H12+K12+M12)=0, "", (H12+K12+M12))</f>
        <v/>
      </c>
      <c r="P12" s="15">
        <f>IF(SUM(I12,L12,N12)&lt;&gt;0,SUM(I12,L12,N12),"")</f>
        <v>5247</v>
      </c>
      <c r="Q12" s="12"/>
    </row>
    <row r="13" spans="1:31" ht="23.25" customHeight="1" x14ac:dyDescent="0.15">
      <c r="D13" s="12"/>
      <c r="E13" s="12"/>
      <c r="F13" s="31"/>
      <c r="G13" s="15"/>
      <c r="H13" s="15"/>
      <c r="I13" s="53"/>
      <c r="J13" s="15"/>
      <c r="K13" s="15"/>
      <c r="L13" s="53"/>
      <c r="M13" s="15"/>
      <c r="N13" s="53"/>
      <c r="O13" s="15"/>
      <c r="P13" s="15"/>
      <c r="Q13" s="12"/>
    </row>
    <row r="14" spans="1:31" ht="23.25" customHeight="1" x14ac:dyDescent="0.15">
      <c r="A14" s="13" t="s">
        <v>2388</v>
      </c>
      <c r="B14" s="13" t="s">
        <v>2382</v>
      </c>
      <c r="C14" s="1" t="s">
        <v>2389</v>
      </c>
      <c r="D14" s="170" t="s">
        <v>2387</v>
      </c>
      <c r="E14" s="172"/>
      <c r="F14" s="31"/>
      <c r="G14" s="15"/>
      <c r="H14" s="15"/>
      <c r="I14" s="53"/>
      <c r="J14" s="15"/>
      <c r="K14" s="15"/>
      <c r="L14" s="53"/>
      <c r="M14" s="15"/>
      <c r="N14" s="53"/>
      <c r="O14" s="15"/>
      <c r="P14" s="15"/>
      <c r="Q14" s="12"/>
    </row>
    <row r="15" spans="1:31" ht="23.25" customHeight="1" x14ac:dyDescent="0.15">
      <c r="A15" s="13" t="s">
        <v>1106</v>
      </c>
      <c r="B15" s="13" t="s">
        <v>1673</v>
      </c>
      <c r="C15" s="1" t="s">
        <v>368</v>
      </c>
      <c r="D15" s="12" t="s">
        <v>359</v>
      </c>
      <c r="E15" s="12" t="s">
        <v>369</v>
      </c>
      <c r="F15" s="31" t="s">
        <v>200</v>
      </c>
      <c r="G15" s="15">
        <v>1</v>
      </c>
      <c r="H15" s="15">
        <f>합산자재!H82</f>
        <v>343</v>
      </c>
      <c r="I15" s="53">
        <f t="shared" ref="I15:I21" si="0">IF(G15*H15&lt;&gt;0, TRUNC(G15*H15, 1), "")</f>
        <v>343</v>
      </c>
      <c r="J15" s="15">
        <v>1</v>
      </c>
      <c r="K15" s="15">
        <f>합산자재!I82</f>
        <v>0</v>
      </c>
      <c r="L15" s="53" t="str">
        <f t="shared" ref="L15:L21" si="1">IF(G15*K15&lt;&gt;0, TRUNC(G15*K15, 1), "")</f>
        <v/>
      </c>
      <c r="M15" s="15">
        <f>합산자재!J82</f>
        <v>0</v>
      </c>
      <c r="N15" s="53" t="str">
        <f t="shared" ref="N15:N21" si="2">IF(G15*M15&lt;&gt;0, TRUNC(G15*M15, 1), "")</f>
        <v/>
      </c>
      <c r="O15" s="15">
        <f t="shared" ref="O15:O22" si="3">IF((H15+K15+M15)=0, "", (H15+K15+M15))</f>
        <v>343</v>
      </c>
      <c r="P15" s="15">
        <f t="shared" ref="P15:P22" si="4">IF(SUM(I15,L15,N15)&lt;&gt;0,SUM(I15,L15,N15),"")</f>
        <v>343</v>
      </c>
      <c r="Q15" s="12"/>
    </row>
    <row r="16" spans="1:31" ht="23.25" customHeight="1" x14ac:dyDescent="0.15">
      <c r="A16" s="13" t="s">
        <v>1115</v>
      </c>
      <c r="B16" s="13" t="s">
        <v>1673</v>
      </c>
      <c r="C16" s="1" t="s">
        <v>391</v>
      </c>
      <c r="D16" s="12" t="s">
        <v>392</v>
      </c>
      <c r="E16" s="12" t="s">
        <v>393</v>
      </c>
      <c r="F16" s="31" t="s">
        <v>200</v>
      </c>
      <c r="G16" s="15">
        <v>1</v>
      </c>
      <c r="H16" s="15">
        <f>합산자재!H91</f>
        <v>920</v>
      </c>
      <c r="I16" s="53">
        <f t="shared" si="0"/>
        <v>920</v>
      </c>
      <c r="J16" s="15">
        <v>1</v>
      </c>
      <c r="K16" s="15">
        <f>합산자재!I91</f>
        <v>0</v>
      </c>
      <c r="L16" s="53" t="str">
        <f t="shared" si="1"/>
        <v/>
      </c>
      <c r="M16" s="15">
        <f>합산자재!J91</f>
        <v>0</v>
      </c>
      <c r="N16" s="53" t="str">
        <f t="shared" si="2"/>
        <v/>
      </c>
      <c r="O16" s="15">
        <f t="shared" si="3"/>
        <v>920</v>
      </c>
      <c r="P16" s="15">
        <f t="shared" si="4"/>
        <v>920</v>
      </c>
      <c r="Q16" s="12"/>
    </row>
    <row r="17" spans="1:17" ht="23.25" customHeight="1" x14ac:dyDescent="0.15">
      <c r="A17" s="13" t="s">
        <v>1114</v>
      </c>
      <c r="B17" s="13" t="s">
        <v>1673</v>
      </c>
      <c r="C17" s="1" t="s">
        <v>387</v>
      </c>
      <c r="D17" s="12" t="s">
        <v>388</v>
      </c>
      <c r="E17" s="12" t="s">
        <v>389</v>
      </c>
      <c r="F17" s="31" t="s">
        <v>200</v>
      </c>
      <c r="G17" s="15">
        <v>1</v>
      </c>
      <c r="H17" s="15">
        <f>합산자재!H90</f>
        <v>18000</v>
      </c>
      <c r="I17" s="53">
        <f t="shared" si="0"/>
        <v>18000</v>
      </c>
      <c r="J17" s="15">
        <v>1</v>
      </c>
      <c r="K17" s="15">
        <f>합산자재!I90</f>
        <v>0</v>
      </c>
      <c r="L17" s="53" t="str">
        <f t="shared" si="1"/>
        <v/>
      </c>
      <c r="M17" s="15">
        <f>합산자재!J90</f>
        <v>0</v>
      </c>
      <c r="N17" s="53" t="str">
        <f t="shared" si="2"/>
        <v/>
      </c>
      <c r="O17" s="15">
        <f t="shared" si="3"/>
        <v>18000</v>
      </c>
      <c r="P17" s="15">
        <f t="shared" si="4"/>
        <v>18000</v>
      </c>
      <c r="Q17" s="12"/>
    </row>
    <row r="18" spans="1:17" ht="23.25" customHeight="1" x14ac:dyDescent="0.15">
      <c r="A18" s="13" t="s">
        <v>1197</v>
      </c>
      <c r="B18" s="13" t="s">
        <v>1673</v>
      </c>
      <c r="C18" s="1" t="s">
        <v>646</v>
      </c>
      <c r="D18" s="12" t="s">
        <v>643</v>
      </c>
      <c r="E18" s="12" t="s">
        <v>639</v>
      </c>
      <c r="F18" s="31" t="s">
        <v>289</v>
      </c>
      <c r="G18" s="15">
        <v>2</v>
      </c>
      <c r="H18" s="15">
        <f>합산자재!H173</f>
        <v>28</v>
      </c>
      <c r="I18" s="53">
        <f t="shared" si="0"/>
        <v>56</v>
      </c>
      <c r="J18" s="15">
        <v>2</v>
      </c>
      <c r="K18" s="15">
        <f>합산자재!I173</f>
        <v>0</v>
      </c>
      <c r="L18" s="53" t="str">
        <f t="shared" si="1"/>
        <v/>
      </c>
      <c r="M18" s="15">
        <f>합산자재!J173</f>
        <v>0</v>
      </c>
      <c r="N18" s="53" t="str">
        <f t="shared" si="2"/>
        <v/>
      </c>
      <c r="O18" s="15">
        <f t="shared" si="3"/>
        <v>28</v>
      </c>
      <c r="P18" s="15">
        <f t="shared" si="4"/>
        <v>56</v>
      </c>
      <c r="Q18" s="12"/>
    </row>
    <row r="19" spans="1:17" ht="23.25" customHeight="1" x14ac:dyDescent="0.15">
      <c r="A19" s="13" t="s">
        <v>1198</v>
      </c>
      <c r="B19" s="13" t="s">
        <v>1673</v>
      </c>
      <c r="C19" s="1" t="s">
        <v>647</v>
      </c>
      <c r="D19" s="12" t="s">
        <v>648</v>
      </c>
      <c r="E19" s="12" t="s">
        <v>649</v>
      </c>
      <c r="F19" s="31" t="s">
        <v>289</v>
      </c>
      <c r="G19" s="15">
        <v>2</v>
      </c>
      <c r="H19" s="15">
        <f>합산자재!H174</f>
        <v>9</v>
      </c>
      <c r="I19" s="53">
        <f t="shared" si="0"/>
        <v>18</v>
      </c>
      <c r="J19" s="15">
        <v>2</v>
      </c>
      <c r="K19" s="15">
        <f>합산자재!I174</f>
        <v>0</v>
      </c>
      <c r="L19" s="53" t="str">
        <f t="shared" si="1"/>
        <v/>
      </c>
      <c r="M19" s="15">
        <f>합산자재!J174</f>
        <v>0</v>
      </c>
      <c r="N19" s="53" t="str">
        <f t="shared" si="2"/>
        <v/>
      </c>
      <c r="O19" s="15">
        <f t="shared" si="3"/>
        <v>9</v>
      </c>
      <c r="P19" s="15">
        <f t="shared" si="4"/>
        <v>18</v>
      </c>
      <c r="Q19" s="12"/>
    </row>
    <row r="20" spans="1:17" ht="23.25" customHeight="1" x14ac:dyDescent="0.15">
      <c r="A20" s="13" t="s">
        <v>1372</v>
      </c>
      <c r="B20" s="13" t="s">
        <v>1673</v>
      </c>
      <c r="C20" s="1" t="s">
        <v>1002</v>
      </c>
      <c r="D20" s="12" t="s">
        <v>1003</v>
      </c>
      <c r="E20" s="12" t="s">
        <v>1004</v>
      </c>
      <c r="F20" s="31" t="s">
        <v>999</v>
      </c>
      <c r="G20" s="15">
        <f>일위노임!G6</f>
        <v>3.5999999999999997E-2</v>
      </c>
      <c r="H20" s="15">
        <f>합산자재!H345</f>
        <v>0</v>
      </c>
      <c r="I20" s="53" t="str">
        <f t="shared" si="0"/>
        <v/>
      </c>
      <c r="J20" s="15">
        <v>3.5999999999999997E-2</v>
      </c>
      <c r="K20" s="15">
        <f>합산자재!I345</f>
        <v>273676</v>
      </c>
      <c r="L20" s="53">
        <f t="shared" si="1"/>
        <v>9852.2999999999993</v>
      </c>
      <c r="M20" s="15">
        <f>합산자재!J345</f>
        <v>0</v>
      </c>
      <c r="N20" s="53" t="str">
        <f t="shared" si="2"/>
        <v/>
      </c>
      <c r="O20" s="15">
        <f t="shared" si="3"/>
        <v>273676</v>
      </c>
      <c r="P20" s="15">
        <f t="shared" si="4"/>
        <v>9852.2999999999993</v>
      </c>
      <c r="Q20" s="12"/>
    </row>
    <row r="21" spans="1:17" ht="23.25" customHeight="1" x14ac:dyDescent="0.15">
      <c r="A21" s="13" t="s">
        <v>2362</v>
      </c>
      <c r="B21" s="13" t="s">
        <v>1673</v>
      </c>
      <c r="C21" s="1" t="s">
        <v>2363</v>
      </c>
      <c r="D21" s="12" t="s">
        <v>2364</v>
      </c>
      <c r="E21" s="12" t="s">
        <v>2365</v>
      </c>
      <c r="F21" s="31" t="s">
        <v>792</v>
      </c>
      <c r="G21" s="15">
        <v>1</v>
      </c>
      <c r="H21" s="15">
        <v>197</v>
      </c>
      <c r="I21" s="53">
        <f t="shared" si="0"/>
        <v>197</v>
      </c>
      <c r="J21" s="15">
        <v>1</v>
      </c>
      <c r="K21" s="15"/>
      <c r="L21" s="53" t="str">
        <f t="shared" si="1"/>
        <v/>
      </c>
      <c r="M21" s="15"/>
      <c r="N21" s="53" t="str">
        <f t="shared" si="2"/>
        <v/>
      </c>
      <c r="O21" s="15">
        <f t="shared" si="3"/>
        <v>197</v>
      </c>
      <c r="P21" s="15">
        <f t="shared" si="4"/>
        <v>197</v>
      </c>
      <c r="Q21" s="12"/>
    </row>
    <row r="22" spans="1:17" ht="23.25" customHeight="1" x14ac:dyDescent="0.15">
      <c r="B22" s="13" t="s">
        <v>2360</v>
      </c>
      <c r="D22" s="12" t="s">
        <v>2361</v>
      </c>
      <c r="E22" s="12"/>
      <c r="F22" s="31"/>
      <c r="G22" s="15"/>
      <c r="H22" s="15"/>
      <c r="I22" s="53">
        <f>TRUNC(SUM(I14:I21))</f>
        <v>19534</v>
      </c>
      <c r="J22" s="15"/>
      <c r="K22" s="15"/>
      <c r="L22" s="53">
        <f>TRUNC(SUM(L14:L21))</f>
        <v>9852</v>
      </c>
      <c r="M22" s="15"/>
      <c r="N22" s="53">
        <f>TRUNC(SUM(N14:N21))</f>
        <v>0</v>
      </c>
      <c r="O22" s="15" t="str">
        <f t="shared" si="3"/>
        <v/>
      </c>
      <c r="P22" s="15">
        <f t="shared" si="4"/>
        <v>29386</v>
      </c>
      <c r="Q22" s="12"/>
    </row>
    <row r="23" spans="1:17" ht="23.25" customHeight="1" x14ac:dyDescent="0.15">
      <c r="D23" s="12"/>
      <c r="E23" s="12"/>
      <c r="F23" s="31"/>
      <c r="G23" s="15"/>
      <c r="H23" s="15"/>
      <c r="I23" s="53"/>
      <c r="J23" s="15"/>
      <c r="K23" s="15"/>
      <c r="L23" s="53"/>
      <c r="M23" s="15"/>
      <c r="N23" s="53"/>
      <c r="O23" s="15"/>
      <c r="P23" s="15"/>
      <c r="Q23" s="12"/>
    </row>
    <row r="24" spans="1:17" ht="23.25" customHeight="1" x14ac:dyDescent="0.15">
      <c r="A24" s="13" t="s">
        <v>2391</v>
      </c>
      <c r="B24" s="13" t="s">
        <v>2382</v>
      </c>
      <c r="C24" s="1" t="s">
        <v>2392</v>
      </c>
      <c r="D24" s="170" t="s">
        <v>2390</v>
      </c>
      <c r="E24" s="172"/>
      <c r="F24" s="31"/>
      <c r="G24" s="15"/>
      <c r="H24" s="15"/>
      <c r="I24" s="53"/>
      <c r="J24" s="15"/>
      <c r="K24" s="15"/>
      <c r="L24" s="53"/>
      <c r="M24" s="15"/>
      <c r="N24" s="53"/>
      <c r="O24" s="15"/>
      <c r="P24" s="15"/>
      <c r="Q24" s="12"/>
    </row>
    <row r="25" spans="1:17" ht="23.25" customHeight="1" x14ac:dyDescent="0.15">
      <c r="A25" s="13" t="s">
        <v>1107</v>
      </c>
      <c r="B25" s="13" t="s">
        <v>1678</v>
      </c>
      <c r="C25" s="1" t="s">
        <v>372</v>
      </c>
      <c r="D25" s="12" t="s">
        <v>359</v>
      </c>
      <c r="E25" s="12" t="s">
        <v>373</v>
      </c>
      <c r="F25" s="31" t="s">
        <v>200</v>
      </c>
      <c r="G25" s="15">
        <v>1</v>
      </c>
      <c r="H25" s="15">
        <f>합산자재!H83</f>
        <v>348</v>
      </c>
      <c r="I25" s="53">
        <f t="shared" ref="I25:I31" si="5">IF(G25*H25&lt;&gt;0, TRUNC(G25*H25, 1), "")</f>
        <v>348</v>
      </c>
      <c r="J25" s="15">
        <v>1</v>
      </c>
      <c r="K25" s="15">
        <f>합산자재!I83</f>
        <v>0</v>
      </c>
      <c r="L25" s="53" t="str">
        <f t="shared" ref="L25:L31" si="6">IF(G25*K25&lt;&gt;0, TRUNC(G25*K25, 1), "")</f>
        <v/>
      </c>
      <c r="M25" s="15">
        <f>합산자재!J83</f>
        <v>0</v>
      </c>
      <c r="N25" s="53" t="str">
        <f t="shared" ref="N25:N31" si="7">IF(G25*M25&lt;&gt;0, TRUNC(G25*M25, 1), "")</f>
        <v/>
      </c>
      <c r="O25" s="15">
        <f t="shared" ref="O25:O32" si="8">IF((H25+K25+M25)=0, "", (H25+K25+M25))</f>
        <v>348</v>
      </c>
      <c r="P25" s="15">
        <f t="shared" ref="P25:P32" si="9">IF(SUM(I25,L25,N25)&lt;&gt;0,SUM(I25,L25,N25),"")</f>
        <v>348</v>
      </c>
      <c r="Q25" s="12"/>
    </row>
    <row r="26" spans="1:17" ht="23.25" customHeight="1" x14ac:dyDescent="0.15">
      <c r="A26" s="13" t="s">
        <v>1115</v>
      </c>
      <c r="B26" s="13" t="s">
        <v>1678</v>
      </c>
      <c r="C26" s="1" t="s">
        <v>391</v>
      </c>
      <c r="D26" s="12" t="s">
        <v>392</v>
      </c>
      <c r="E26" s="12" t="s">
        <v>393</v>
      </c>
      <c r="F26" s="31" t="s">
        <v>200</v>
      </c>
      <c r="G26" s="15">
        <v>1</v>
      </c>
      <c r="H26" s="15">
        <f>합산자재!H91</f>
        <v>920</v>
      </c>
      <c r="I26" s="53">
        <f t="shared" si="5"/>
        <v>920</v>
      </c>
      <c r="J26" s="15">
        <v>1</v>
      </c>
      <c r="K26" s="15">
        <f>합산자재!I91</f>
        <v>0</v>
      </c>
      <c r="L26" s="53" t="str">
        <f t="shared" si="6"/>
        <v/>
      </c>
      <c r="M26" s="15">
        <f>합산자재!J91</f>
        <v>0</v>
      </c>
      <c r="N26" s="53" t="str">
        <f t="shared" si="7"/>
        <v/>
      </c>
      <c r="O26" s="15">
        <f t="shared" si="8"/>
        <v>920</v>
      </c>
      <c r="P26" s="15">
        <f t="shared" si="9"/>
        <v>920</v>
      </c>
      <c r="Q26" s="12"/>
    </row>
    <row r="27" spans="1:17" ht="23.25" customHeight="1" x14ac:dyDescent="0.15">
      <c r="A27" s="13" t="s">
        <v>1114</v>
      </c>
      <c r="B27" s="13" t="s">
        <v>1678</v>
      </c>
      <c r="C27" s="1" t="s">
        <v>387</v>
      </c>
      <c r="D27" s="12" t="s">
        <v>388</v>
      </c>
      <c r="E27" s="12" t="s">
        <v>389</v>
      </c>
      <c r="F27" s="31" t="s">
        <v>200</v>
      </c>
      <c r="G27" s="15">
        <v>1</v>
      </c>
      <c r="H27" s="15">
        <f>합산자재!H90</f>
        <v>18000</v>
      </c>
      <c r="I27" s="53">
        <f t="shared" si="5"/>
        <v>18000</v>
      </c>
      <c r="J27" s="15">
        <v>1</v>
      </c>
      <c r="K27" s="15">
        <f>합산자재!I90</f>
        <v>0</v>
      </c>
      <c r="L27" s="53" t="str">
        <f t="shared" si="6"/>
        <v/>
      </c>
      <c r="M27" s="15">
        <f>합산자재!J90</f>
        <v>0</v>
      </c>
      <c r="N27" s="53" t="str">
        <f t="shared" si="7"/>
        <v/>
      </c>
      <c r="O27" s="15">
        <f t="shared" si="8"/>
        <v>18000</v>
      </c>
      <c r="P27" s="15">
        <f t="shared" si="9"/>
        <v>18000</v>
      </c>
      <c r="Q27" s="12"/>
    </row>
    <row r="28" spans="1:17" ht="23.25" customHeight="1" x14ac:dyDescent="0.15">
      <c r="A28" s="13" t="s">
        <v>1197</v>
      </c>
      <c r="B28" s="13" t="s">
        <v>1678</v>
      </c>
      <c r="C28" s="1" t="s">
        <v>646</v>
      </c>
      <c r="D28" s="12" t="s">
        <v>643</v>
      </c>
      <c r="E28" s="12" t="s">
        <v>639</v>
      </c>
      <c r="F28" s="31" t="s">
        <v>289</v>
      </c>
      <c r="G28" s="15">
        <v>2</v>
      </c>
      <c r="H28" s="15">
        <f>합산자재!H173</f>
        <v>28</v>
      </c>
      <c r="I28" s="53">
        <f t="shared" si="5"/>
        <v>56</v>
      </c>
      <c r="J28" s="15">
        <v>2</v>
      </c>
      <c r="K28" s="15">
        <f>합산자재!I173</f>
        <v>0</v>
      </c>
      <c r="L28" s="53" t="str">
        <f t="shared" si="6"/>
        <v/>
      </c>
      <c r="M28" s="15">
        <f>합산자재!J173</f>
        <v>0</v>
      </c>
      <c r="N28" s="53" t="str">
        <f t="shared" si="7"/>
        <v/>
      </c>
      <c r="O28" s="15">
        <f t="shared" si="8"/>
        <v>28</v>
      </c>
      <c r="P28" s="15">
        <f t="shared" si="9"/>
        <v>56</v>
      </c>
      <c r="Q28" s="12"/>
    </row>
    <row r="29" spans="1:17" ht="23.25" customHeight="1" x14ac:dyDescent="0.15">
      <c r="A29" s="13" t="s">
        <v>1198</v>
      </c>
      <c r="B29" s="13" t="s">
        <v>1678</v>
      </c>
      <c r="C29" s="1" t="s">
        <v>647</v>
      </c>
      <c r="D29" s="12" t="s">
        <v>648</v>
      </c>
      <c r="E29" s="12" t="s">
        <v>649</v>
      </c>
      <c r="F29" s="31" t="s">
        <v>289</v>
      </c>
      <c r="G29" s="15">
        <v>2</v>
      </c>
      <c r="H29" s="15">
        <f>합산자재!H174</f>
        <v>9</v>
      </c>
      <c r="I29" s="53">
        <f t="shared" si="5"/>
        <v>18</v>
      </c>
      <c r="J29" s="15">
        <v>2</v>
      </c>
      <c r="K29" s="15">
        <f>합산자재!I174</f>
        <v>0</v>
      </c>
      <c r="L29" s="53" t="str">
        <f t="shared" si="6"/>
        <v/>
      </c>
      <c r="M29" s="15">
        <f>합산자재!J174</f>
        <v>0</v>
      </c>
      <c r="N29" s="53" t="str">
        <f t="shared" si="7"/>
        <v/>
      </c>
      <c r="O29" s="15">
        <f t="shared" si="8"/>
        <v>9</v>
      </c>
      <c r="P29" s="15">
        <f t="shared" si="9"/>
        <v>18</v>
      </c>
      <c r="Q29" s="12"/>
    </row>
    <row r="30" spans="1:17" ht="23.25" customHeight="1" x14ac:dyDescent="0.15">
      <c r="A30" s="13" t="s">
        <v>1372</v>
      </c>
      <c r="B30" s="13" t="s">
        <v>1678</v>
      </c>
      <c r="C30" s="1" t="s">
        <v>1002</v>
      </c>
      <c r="D30" s="12" t="s">
        <v>1003</v>
      </c>
      <c r="E30" s="12" t="s">
        <v>1004</v>
      </c>
      <c r="F30" s="31" t="s">
        <v>999</v>
      </c>
      <c r="G30" s="15">
        <f>일위노임!G9</f>
        <v>3.5999999999999997E-2</v>
      </c>
      <c r="H30" s="15">
        <f>합산자재!H345</f>
        <v>0</v>
      </c>
      <c r="I30" s="53" t="str">
        <f t="shared" si="5"/>
        <v/>
      </c>
      <c r="J30" s="15">
        <v>3.5999999999999997E-2</v>
      </c>
      <c r="K30" s="15">
        <f>합산자재!I345</f>
        <v>273676</v>
      </c>
      <c r="L30" s="53">
        <f t="shared" si="6"/>
        <v>9852.2999999999993</v>
      </c>
      <c r="M30" s="15">
        <f>합산자재!J345</f>
        <v>0</v>
      </c>
      <c r="N30" s="53" t="str">
        <f t="shared" si="7"/>
        <v/>
      </c>
      <c r="O30" s="15">
        <f t="shared" si="8"/>
        <v>273676</v>
      </c>
      <c r="P30" s="15">
        <f t="shared" si="9"/>
        <v>9852.2999999999993</v>
      </c>
      <c r="Q30" s="12"/>
    </row>
    <row r="31" spans="1:17" ht="23.25" customHeight="1" x14ac:dyDescent="0.15">
      <c r="A31" s="13" t="s">
        <v>2362</v>
      </c>
      <c r="B31" s="13" t="s">
        <v>1678</v>
      </c>
      <c r="C31" s="1" t="s">
        <v>2363</v>
      </c>
      <c r="D31" s="12" t="s">
        <v>2364</v>
      </c>
      <c r="E31" s="12" t="s">
        <v>2365</v>
      </c>
      <c r="F31" s="31" t="s">
        <v>792</v>
      </c>
      <c r="G31" s="15">
        <v>1</v>
      </c>
      <c r="H31" s="15">
        <v>197</v>
      </c>
      <c r="I31" s="53">
        <f t="shared" si="5"/>
        <v>197</v>
      </c>
      <c r="J31" s="15">
        <v>1</v>
      </c>
      <c r="K31" s="15"/>
      <c r="L31" s="53" t="str">
        <f t="shared" si="6"/>
        <v/>
      </c>
      <c r="M31" s="15"/>
      <c r="N31" s="53" t="str">
        <f t="shared" si="7"/>
        <v/>
      </c>
      <c r="O31" s="15">
        <f t="shared" si="8"/>
        <v>197</v>
      </c>
      <c r="P31" s="15">
        <f t="shared" si="9"/>
        <v>197</v>
      </c>
      <c r="Q31" s="12"/>
    </row>
    <row r="32" spans="1:17" ht="23.25" customHeight="1" x14ac:dyDescent="0.15">
      <c r="B32" s="13" t="s">
        <v>2360</v>
      </c>
      <c r="D32" s="12" t="s">
        <v>2361</v>
      </c>
      <c r="E32" s="12"/>
      <c r="F32" s="31"/>
      <c r="G32" s="15"/>
      <c r="H32" s="15"/>
      <c r="I32" s="53">
        <f>TRUNC(SUM(I24:I31))</f>
        <v>19539</v>
      </c>
      <c r="J32" s="15"/>
      <c r="K32" s="15"/>
      <c r="L32" s="53">
        <f>TRUNC(SUM(L24:L31))</f>
        <v>9852</v>
      </c>
      <c r="M32" s="15"/>
      <c r="N32" s="53">
        <f>TRUNC(SUM(N24:N31))</f>
        <v>0</v>
      </c>
      <c r="O32" s="15" t="str">
        <f t="shared" si="8"/>
        <v/>
      </c>
      <c r="P32" s="15">
        <f t="shared" si="9"/>
        <v>29391</v>
      </c>
      <c r="Q32" s="12"/>
    </row>
    <row r="33" spans="1:17" ht="23.25" customHeight="1" x14ac:dyDescent="0.15">
      <c r="D33" s="12"/>
      <c r="E33" s="12"/>
      <c r="F33" s="31"/>
      <c r="G33" s="15"/>
      <c r="H33" s="15"/>
      <c r="I33" s="53"/>
      <c r="J33" s="15"/>
      <c r="K33" s="15"/>
      <c r="L33" s="53"/>
      <c r="M33" s="15"/>
      <c r="N33" s="53"/>
      <c r="O33" s="15"/>
      <c r="P33" s="15"/>
      <c r="Q33" s="12"/>
    </row>
    <row r="34" spans="1:17" ht="23.25" customHeight="1" x14ac:dyDescent="0.15">
      <c r="A34" s="13" t="s">
        <v>2394</v>
      </c>
      <c r="B34" s="13" t="s">
        <v>2382</v>
      </c>
      <c r="C34" s="1" t="s">
        <v>2395</v>
      </c>
      <c r="D34" s="170" t="s">
        <v>2393</v>
      </c>
      <c r="E34" s="172"/>
      <c r="F34" s="31"/>
      <c r="G34" s="15"/>
      <c r="H34" s="15"/>
      <c r="I34" s="53"/>
      <c r="J34" s="15"/>
      <c r="K34" s="15"/>
      <c r="L34" s="53"/>
      <c r="M34" s="15"/>
      <c r="N34" s="53"/>
      <c r="O34" s="15"/>
      <c r="P34" s="15"/>
      <c r="Q34" s="12"/>
    </row>
    <row r="35" spans="1:17" ht="23.25" customHeight="1" x14ac:dyDescent="0.15">
      <c r="A35" s="13" t="s">
        <v>1108</v>
      </c>
      <c r="B35" s="13" t="s">
        <v>1682</v>
      </c>
      <c r="C35" s="1" t="s">
        <v>374</v>
      </c>
      <c r="D35" s="12" t="s">
        <v>359</v>
      </c>
      <c r="E35" s="12" t="s">
        <v>375</v>
      </c>
      <c r="F35" s="31" t="s">
        <v>200</v>
      </c>
      <c r="G35" s="15">
        <v>1</v>
      </c>
      <c r="H35" s="15">
        <f>합산자재!H84</f>
        <v>370</v>
      </c>
      <c r="I35" s="53">
        <f t="shared" ref="I35:I41" si="10">IF(G35*H35&lt;&gt;0, TRUNC(G35*H35, 1), "")</f>
        <v>370</v>
      </c>
      <c r="J35" s="15">
        <v>1</v>
      </c>
      <c r="K35" s="15">
        <f>합산자재!I84</f>
        <v>0</v>
      </c>
      <c r="L35" s="53" t="str">
        <f t="shared" ref="L35:L41" si="11">IF(G35*K35&lt;&gt;0, TRUNC(G35*K35, 1), "")</f>
        <v/>
      </c>
      <c r="M35" s="15">
        <f>합산자재!J84</f>
        <v>0</v>
      </c>
      <c r="N35" s="53" t="str">
        <f t="shared" ref="N35:N41" si="12">IF(G35*M35&lt;&gt;0, TRUNC(G35*M35, 1), "")</f>
        <v/>
      </c>
      <c r="O35" s="15">
        <f t="shared" ref="O35:O42" si="13">IF((H35+K35+M35)=0, "", (H35+K35+M35))</f>
        <v>370</v>
      </c>
      <c r="P35" s="15">
        <f t="shared" ref="P35:P42" si="14">IF(SUM(I35,L35,N35)&lt;&gt;0,SUM(I35,L35,N35),"")</f>
        <v>370</v>
      </c>
      <c r="Q35" s="12"/>
    </row>
    <row r="36" spans="1:17" ht="23.25" customHeight="1" x14ac:dyDescent="0.15">
      <c r="A36" s="13" t="s">
        <v>1115</v>
      </c>
      <c r="B36" s="13" t="s">
        <v>1682</v>
      </c>
      <c r="C36" s="1" t="s">
        <v>391</v>
      </c>
      <c r="D36" s="12" t="s">
        <v>392</v>
      </c>
      <c r="E36" s="12" t="s">
        <v>393</v>
      </c>
      <c r="F36" s="31" t="s">
        <v>200</v>
      </c>
      <c r="G36" s="15">
        <v>1</v>
      </c>
      <c r="H36" s="15">
        <f>합산자재!H91</f>
        <v>920</v>
      </c>
      <c r="I36" s="53">
        <f t="shared" si="10"/>
        <v>920</v>
      </c>
      <c r="J36" s="15">
        <v>1</v>
      </c>
      <c r="K36" s="15">
        <f>합산자재!I91</f>
        <v>0</v>
      </c>
      <c r="L36" s="53" t="str">
        <f t="shared" si="11"/>
        <v/>
      </c>
      <c r="M36" s="15">
        <f>합산자재!J91</f>
        <v>0</v>
      </c>
      <c r="N36" s="53" t="str">
        <f t="shared" si="12"/>
        <v/>
      </c>
      <c r="O36" s="15">
        <f t="shared" si="13"/>
        <v>920</v>
      </c>
      <c r="P36" s="15">
        <f t="shared" si="14"/>
        <v>920</v>
      </c>
      <c r="Q36" s="12"/>
    </row>
    <row r="37" spans="1:17" ht="23.25" customHeight="1" x14ac:dyDescent="0.15">
      <c r="A37" s="13" t="s">
        <v>1114</v>
      </c>
      <c r="B37" s="13" t="s">
        <v>1682</v>
      </c>
      <c r="C37" s="1" t="s">
        <v>387</v>
      </c>
      <c r="D37" s="12" t="s">
        <v>388</v>
      </c>
      <c r="E37" s="12" t="s">
        <v>389</v>
      </c>
      <c r="F37" s="31" t="s">
        <v>200</v>
      </c>
      <c r="G37" s="15">
        <v>1</v>
      </c>
      <c r="H37" s="15">
        <f>합산자재!H90</f>
        <v>18000</v>
      </c>
      <c r="I37" s="53">
        <f t="shared" si="10"/>
        <v>18000</v>
      </c>
      <c r="J37" s="15">
        <v>1</v>
      </c>
      <c r="K37" s="15">
        <f>합산자재!I90</f>
        <v>0</v>
      </c>
      <c r="L37" s="53" t="str">
        <f t="shared" si="11"/>
        <v/>
      </c>
      <c r="M37" s="15">
        <f>합산자재!J90</f>
        <v>0</v>
      </c>
      <c r="N37" s="53" t="str">
        <f t="shared" si="12"/>
        <v/>
      </c>
      <c r="O37" s="15">
        <f t="shared" si="13"/>
        <v>18000</v>
      </c>
      <c r="P37" s="15">
        <f t="shared" si="14"/>
        <v>18000</v>
      </c>
      <c r="Q37" s="12"/>
    </row>
    <row r="38" spans="1:17" ht="23.25" customHeight="1" x14ac:dyDescent="0.15">
      <c r="A38" s="13" t="s">
        <v>1197</v>
      </c>
      <c r="B38" s="13" t="s">
        <v>1682</v>
      </c>
      <c r="C38" s="1" t="s">
        <v>646</v>
      </c>
      <c r="D38" s="12" t="s">
        <v>643</v>
      </c>
      <c r="E38" s="12" t="s">
        <v>639</v>
      </c>
      <c r="F38" s="31" t="s">
        <v>289</v>
      </c>
      <c r="G38" s="15">
        <v>2</v>
      </c>
      <c r="H38" s="15">
        <f>합산자재!H173</f>
        <v>28</v>
      </c>
      <c r="I38" s="53">
        <f t="shared" si="10"/>
        <v>56</v>
      </c>
      <c r="J38" s="15">
        <v>2</v>
      </c>
      <c r="K38" s="15">
        <f>합산자재!I173</f>
        <v>0</v>
      </c>
      <c r="L38" s="53" t="str">
        <f t="shared" si="11"/>
        <v/>
      </c>
      <c r="M38" s="15">
        <f>합산자재!J173</f>
        <v>0</v>
      </c>
      <c r="N38" s="53" t="str">
        <f t="shared" si="12"/>
        <v/>
      </c>
      <c r="O38" s="15">
        <f t="shared" si="13"/>
        <v>28</v>
      </c>
      <c r="P38" s="15">
        <f t="shared" si="14"/>
        <v>56</v>
      </c>
      <c r="Q38" s="12"/>
    </row>
    <row r="39" spans="1:17" ht="23.25" customHeight="1" x14ac:dyDescent="0.15">
      <c r="A39" s="13" t="s">
        <v>1198</v>
      </c>
      <c r="B39" s="13" t="s">
        <v>1682</v>
      </c>
      <c r="C39" s="1" t="s">
        <v>647</v>
      </c>
      <c r="D39" s="12" t="s">
        <v>648</v>
      </c>
      <c r="E39" s="12" t="s">
        <v>649</v>
      </c>
      <c r="F39" s="31" t="s">
        <v>289</v>
      </c>
      <c r="G39" s="15">
        <v>2</v>
      </c>
      <c r="H39" s="15">
        <f>합산자재!H174</f>
        <v>9</v>
      </c>
      <c r="I39" s="53">
        <f t="shared" si="10"/>
        <v>18</v>
      </c>
      <c r="J39" s="15">
        <v>2</v>
      </c>
      <c r="K39" s="15">
        <f>합산자재!I174</f>
        <v>0</v>
      </c>
      <c r="L39" s="53" t="str">
        <f t="shared" si="11"/>
        <v/>
      </c>
      <c r="M39" s="15">
        <f>합산자재!J174</f>
        <v>0</v>
      </c>
      <c r="N39" s="53" t="str">
        <f t="shared" si="12"/>
        <v/>
      </c>
      <c r="O39" s="15">
        <f t="shared" si="13"/>
        <v>9</v>
      </c>
      <c r="P39" s="15">
        <f t="shared" si="14"/>
        <v>18</v>
      </c>
      <c r="Q39" s="12"/>
    </row>
    <row r="40" spans="1:17" ht="23.25" customHeight="1" x14ac:dyDescent="0.15">
      <c r="A40" s="13" t="s">
        <v>1372</v>
      </c>
      <c r="B40" s="13" t="s">
        <v>1682</v>
      </c>
      <c r="C40" s="1" t="s">
        <v>1002</v>
      </c>
      <c r="D40" s="12" t="s">
        <v>1003</v>
      </c>
      <c r="E40" s="12" t="s">
        <v>1004</v>
      </c>
      <c r="F40" s="31" t="s">
        <v>999</v>
      </c>
      <c r="G40" s="15">
        <f>일위노임!G12</f>
        <v>3.5999999999999997E-2</v>
      </c>
      <c r="H40" s="15">
        <f>합산자재!H345</f>
        <v>0</v>
      </c>
      <c r="I40" s="53" t="str">
        <f t="shared" si="10"/>
        <v/>
      </c>
      <c r="J40" s="15">
        <v>3.5999999999999997E-2</v>
      </c>
      <c r="K40" s="15">
        <f>합산자재!I345</f>
        <v>273676</v>
      </c>
      <c r="L40" s="53">
        <f t="shared" si="11"/>
        <v>9852.2999999999993</v>
      </c>
      <c r="M40" s="15">
        <f>합산자재!J345</f>
        <v>0</v>
      </c>
      <c r="N40" s="53" t="str">
        <f t="shared" si="12"/>
        <v/>
      </c>
      <c r="O40" s="15">
        <f t="shared" si="13"/>
        <v>273676</v>
      </c>
      <c r="P40" s="15">
        <f t="shared" si="14"/>
        <v>9852.2999999999993</v>
      </c>
      <c r="Q40" s="12"/>
    </row>
    <row r="41" spans="1:17" ht="23.25" customHeight="1" x14ac:dyDescent="0.15">
      <c r="A41" s="13" t="s">
        <v>2362</v>
      </c>
      <c r="B41" s="13" t="s">
        <v>1682</v>
      </c>
      <c r="C41" s="1" t="s">
        <v>2363</v>
      </c>
      <c r="D41" s="12" t="s">
        <v>2364</v>
      </c>
      <c r="E41" s="12" t="s">
        <v>2365</v>
      </c>
      <c r="F41" s="31" t="s">
        <v>792</v>
      </c>
      <c r="G41" s="15">
        <v>1</v>
      </c>
      <c r="H41" s="15">
        <v>197</v>
      </c>
      <c r="I41" s="53">
        <f t="shared" si="10"/>
        <v>197</v>
      </c>
      <c r="J41" s="15">
        <v>1</v>
      </c>
      <c r="K41" s="15"/>
      <c r="L41" s="53" t="str">
        <f t="shared" si="11"/>
        <v/>
      </c>
      <c r="M41" s="15"/>
      <c r="N41" s="53" t="str">
        <f t="shared" si="12"/>
        <v/>
      </c>
      <c r="O41" s="15">
        <f t="shared" si="13"/>
        <v>197</v>
      </c>
      <c r="P41" s="15">
        <f t="shared" si="14"/>
        <v>197</v>
      </c>
      <c r="Q41" s="12"/>
    </row>
    <row r="42" spans="1:17" ht="23.25" customHeight="1" x14ac:dyDescent="0.15">
      <c r="B42" s="13" t="s">
        <v>2360</v>
      </c>
      <c r="D42" s="12" t="s">
        <v>2361</v>
      </c>
      <c r="E42" s="12"/>
      <c r="F42" s="31"/>
      <c r="G42" s="15"/>
      <c r="H42" s="15"/>
      <c r="I42" s="53">
        <f>TRUNC(SUM(I34:I41))</f>
        <v>19561</v>
      </c>
      <c r="J42" s="15"/>
      <c r="K42" s="15"/>
      <c r="L42" s="53">
        <f>TRUNC(SUM(L34:L41))</f>
        <v>9852</v>
      </c>
      <c r="M42" s="15"/>
      <c r="N42" s="53">
        <f>TRUNC(SUM(N34:N41))</f>
        <v>0</v>
      </c>
      <c r="O42" s="15" t="str">
        <f t="shared" si="13"/>
        <v/>
      </c>
      <c r="P42" s="15">
        <f t="shared" si="14"/>
        <v>29413</v>
      </c>
      <c r="Q42" s="12"/>
    </row>
    <row r="43" spans="1:17" ht="23.25" customHeight="1" x14ac:dyDescent="0.15">
      <c r="D43" s="12"/>
      <c r="E43" s="12"/>
      <c r="F43" s="31"/>
      <c r="G43" s="15"/>
      <c r="H43" s="15"/>
      <c r="I43" s="53"/>
      <c r="J43" s="15"/>
      <c r="K43" s="15"/>
      <c r="L43" s="53"/>
      <c r="M43" s="15"/>
      <c r="N43" s="53"/>
      <c r="O43" s="15"/>
      <c r="P43" s="15"/>
      <c r="Q43" s="12"/>
    </row>
    <row r="44" spans="1:17" ht="23.25" customHeight="1" x14ac:dyDescent="0.15">
      <c r="A44" s="13" t="s">
        <v>2397</v>
      </c>
      <c r="B44" s="13" t="s">
        <v>2382</v>
      </c>
      <c r="C44" s="1" t="s">
        <v>2398</v>
      </c>
      <c r="D44" s="170" t="s">
        <v>2396</v>
      </c>
      <c r="E44" s="172"/>
      <c r="F44" s="31"/>
      <c r="G44" s="15"/>
      <c r="H44" s="15"/>
      <c r="I44" s="53"/>
      <c r="J44" s="15"/>
      <c r="K44" s="15"/>
      <c r="L44" s="53"/>
      <c r="M44" s="15"/>
      <c r="N44" s="53"/>
      <c r="O44" s="15"/>
      <c r="P44" s="15"/>
      <c r="Q44" s="12"/>
    </row>
    <row r="45" spans="1:17" ht="23.25" customHeight="1" x14ac:dyDescent="0.15">
      <c r="A45" s="13" t="s">
        <v>1109</v>
      </c>
      <c r="B45" s="13" t="s">
        <v>1686</v>
      </c>
      <c r="C45" s="1" t="s">
        <v>376</v>
      </c>
      <c r="D45" s="12" t="s">
        <v>359</v>
      </c>
      <c r="E45" s="12" t="s">
        <v>377</v>
      </c>
      <c r="F45" s="31" t="s">
        <v>200</v>
      </c>
      <c r="G45" s="15">
        <v>1</v>
      </c>
      <c r="H45" s="15">
        <f>합산자재!H85</f>
        <v>394</v>
      </c>
      <c r="I45" s="53">
        <f t="shared" ref="I45:I51" si="15">IF(G45*H45&lt;&gt;0, TRUNC(G45*H45, 1), "")</f>
        <v>394</v>
      </c>
      <c r="J45" s="15">
        <v>1</v>
      </c>
      <c r="K45" s="15">
        <f>합산자재!I85</f>
        <v>0</v>
      </c>
      <c r="L45" s="53" t="str">
        <f t="shared" ref="L45:L51" si="16">IF(G45*K45&lt;&gt;0, TRUNC(G45*K45, 1), "")</f>
        <v/>
      </c>
      <c r="M45" s="15">
        <f>합산자재!J85</f>
        <v>0</v>
      </c>
      <c r="N45" s="53" t="str">
        <f t="shared" ref="N45:N51" si="17">IF(G45*M45&lt;&gt;0, TRUNC(G45*M45, 1), "")</f>
        <v/>
      </c>
      <c r="O45" s="15">
        <f t="shared" ref="O45:O52" si="18">IF((H45+K45+M45)=0, "", (H45+K45+M45))</f>
        <v>394</v>
      </c>
      <c r="P45" s="15">
        <f t="shared" ref="P45:P52" si="19">IF(SUM(I45,L45,N45)&lt;&gt;0,SUM(I45,L45,N45),"")</f>
        <v>394</v>
      </c>
      <c r="Q45" s="12"/>
    </row>
    <row r="46" spans="1:17" ht="23.25" customHeight="1" x14ac:dyDescent="0.15">
      <c r="A46" s="13" t="s">
        <v>1115</v>
      </c>
      <c r="B46" s="13" t="s">
        <v>1686</v>
      </c>
      <c r="C46" s="1" t="s">
        <v>391</v>
      </c>
      <c r="D46" s="12" t="s">
        <v>392</v>
      </c>
      <c r="E46" s="12" t="s">
        <v>393</v>
      </c>
      <c r="F46" s="31" t="s">
        <v>200</v>
      </c>
      <c r="G46" s="15">
        <v>1</v>
      </c>
      <c r="H46" s="15">
        <f>합산자재!H91</f>
        <v>920</v>
      </c>
      <c r="I46" s="53">
        <f t="shared" si="15"/>
        <v>920</v>
      </c>
      <c r="J46" s="15">
        <v>1</v>
      </c>
      <c r="K46" s="15">
        <f>합산자재!I91</f>
        <v>0</v>
      </c>
      <c r="L46" s="53" t="str">
        <f t="shared" si="16"/>
        <v/>
      </c>
      <c r="M46" s="15">
        <f>합산자재!J91</f>
        <v>0</v>
      </c>
      <c r="N46" s="53" t="str">
        <f t="shared" si="17"/>
        <v/>
      </c>
      <c r="O46" s="15">
        <f t="shared" si="18"/>
        <v>920</v>
      </c>
      <c r="P46" s="15">
        <f t="shared" si="19"/>
        <v>920</v>
      </c>
      <c r="Q46" s="12"/>
    </row>
    <row r="47" spans="1:17" ht="23.25" customHeight="1" x14ac:dyDescent="0.15">
      <c r="A47" s="13" t="s">
        <v>1114</v>
      </c>
      <c r="B47" s="13" t="s">
        <v>1686</v>
      </c>
      <c r="C47" s="1" t="s">
        <v>387</v>
      </c>
      <c r="D47" s="12" t="s">
        <v>388</v>
      </c>
      <c r="E47" s="12" t="s">
        <v>389</v>
      </c>
      <c r="F47" s="31" t="s">
        <v>200</v>
      </c>
      <c r="G47" s="15">
        <v>1</v>
      </c>
      <c r="H47" s="15">
        <f>합산자재!H90</f>
        <v>18000</v>
      </c>
      <c r="I47" s="53">
        <f t="shared" si="15"/>
        <v>18000</v>
      </c>
      <c r="J47" s="15">
        <v>1</v>
      </c>
      <c r="K47" s="15">
        <f>합산자재!I90</f>
        <v>0</v>
      </c>
      <c r="L47" s="53" t="str">
        <f t="shared" si="16"/>
        <v/>
      </c>
      <c r="M47" s="15">
        <f>합산자재!J90</f>
        <v>0</v>
      </c>
      <c r="N47" s="53" t="str">
        <f t="shared" si="17"/>
        <v/>
      </c>
      <c r="O47" s="15">
        <f t="shared" si="18"/>
        <v>18000</v>
      </c>
      <c r="P47" s="15">
        <f t="shared" si="19"/>
        <v>18000</v>
      </c>
      <c r="Q47" s="12"/>
    </row>
    <row r="48" spans="1:17" ht="23.25" customHeight="1" x14ac:dyDescent="0.15">
      <c r="A48" s="13" t="s">
        <v>1197</v>
      </c>
      <c r="B48" s="13" t="s">
        <v>1686</v>
      </c>
      <c r="C48" s="1" t="s">
        <v>646</v>
      </c>
      <c r="D48" s="12" t="s">
        <v>643</v>
      </c>
      <c r="E48" s="12" t="s">
        <v>639</v>
      </c>
      <c r="F48" s="31" t="s">
        <v>289</v>
      </c>
      <c r="G48" s="15">
        <v>2</v>
      </c>
      <c r="H48" s="15">
        <f>합산자재!H173</f>
        <v>28</v>
      </c>
      <c r="I48" s="53">
        <f t="shared" si="15"/>
        <v>56</v>
      </c>
      <c r="J48" s="15">
        <v>2</v>
      </c>
      <c r="K48" s="15">
        <f>합산자재!I173</f>
        <v>0</v>
      </c>
      <c r="L48" s="53" t="str">
        <f t="shared" si="16"/>
        <v/>
      </c>
      <c r="M48" s="15">
        <f>합산자재!J173</f>
        <v>0</v>
      </c>
      <c r="N48" s="53" t="str">
        <f t="shared" si="17"/>
        <v/>
      </c>
      <c r="O48" s="15">
        <f t="shared" si="18"/>
        <v>28</v>
      </c>
      <c r="P48" s="15">
        <f t="shared" si="19"/>
        <v>56</v>
      </c>
      <c r="Q48" s="12"/>
    </row>
    <row r="49" spans="1:17" ht="23.25" customHeight="1" x14ac:dyDescent="0.15">
      <c r="A49" s="13" t="s">
        <v>1198</v>
      </c>
      <c r="B49" s="13" t="s">
        <v>1686</v>
      </c>
      <c r="C49" s="1" t="s">
        <v>647</v>
      </c>
      <c r="D49" s="12" t="s">
        <v>648</v>
      </c>
      <c r="E49" s="12" t="s">
        <v>649</v>
      </c>
      <c r="F49" s="31" t="s">
        <v>289</v>
      </c>
      <c r="G49" s="15">
        <v>2</v>
      </c>
      <c r="H49" s="15">
        <f>합산자재!H174</f>
        <v>9</v>
      </c>
      <c r="I49" s="53">
        <f t="shared" si="15"/>
        <v>18</v>
      </c>
      <c r="J49" s="15">
        <v>2</v>
      </c>
      <c r="K49" s="15">
        <f>합산자재!I174</f>
        <v>0</v>
      </c>
      <c r="L49" s="53" t="str">
        <f t="shared" si="16"/>
        <v/>
      </c>
      <c r="M49" s="15">
        <f>합산자재!J174</f>
        <v>0</v>
      </c>
      <c r="N49" s="53" t="str">
        <f t="shared" si="17"/>
        <v/>
      </c>
      <c r="O49" s="15">
        <f t="shared" si="18"/>
        <v>9</v>
      </c>
      <c r="P49" s="15">
        <f t="shared" si="19"/>
        <v>18</v>
      </c>
      <c r="Q49" s="12"/>
    </row>
    <row r="50" spans="1:17" ht="23.25" customHeight="1" x14ac:dyDescent="0.15">
      <c r="A50" s="13" t="s">
        <v>1372</v>
      </c>
      <c r="B50" s="13" t="s">
        <v>1686</v>
      </c>
      <c r="C50" s="1" t="s">
        <v>1002</v>
      </c>
      <c r="D50" s="12" t="s">
        <v>1003</v>
      </c>
      <c r="E50" s="12" t="s">
        <v>1004</v>
      </c>
      <c r="F50" s="31" t="s">
        <v>999</v>
      </c>
      <c r="G50" s="15">
        <f>일위노임!G15</f>
        <v>3.5999999999999997E-2</v>
      </c>
      <c r="H50" s="15">
        <f>합산자재!H345</f>
        <v>0</v>
      </c>
      <c r="I50" s="53" t="str">
        <f t="shared" si="15"/>
        <v/>
      </c>
      <c r="J50" s="15">
        <v>3.5999999999999997E-2</v>
      </c>
      <c r="K50" s="15">
        <f>합산자재!I345</f>
        <v>273676</v>
      </c>
      <c r="L50" s="53">
        <f t="shared" si="16"/>
        <v>9852.2999999999993</v>
      </c>
      <c r="M50" s="15">
        <f>합산자재!J345</f>
        <v>0</v>
      </c>
      <c r="N50" s="53" t="str">
        <f t="shared" si="17"/>
        <v/>
      </c>
      <c r="O50" s="15">
        <f t="shared" si="18"/>
        <v>273676</v>
      </c>
      <c r="P50" s="15">
        <f t="shared" si="19"/>
        <v>9852.2999999999993</v>
      </c>
      <c r="Q50" s="12"/>
    </row>
    <row r="51" spans="1:17" ht="23.25" customHeight="1" x14ac:dyDescent="0.15">
      <c r="A51" s="13" t="s">
        <v>2362</v>
      </c>
      <c r="B51" s="13" t="s">
        <v>1686</v>
      </c>
      <c r="C51" s="1" t="s">
        <v>2363</v>
      </c>
      <c r="D51" s="12" t="s">
        <v>2364</v>
      </c>
      <c r="E51" s="12" t="s">
        <v>2365</v>
      </c>
      <c r="F51" s="31" t="s">
        <v>792</v>
      </c>
      <c r="G51" s="15">
        <v>1</v>
      </c>
      <c r="H51" s="15">
        <v>197</v>
      </c>
      <c r="I51" s="53">
        <f t="shared" si="15"/>
        <v>197</v>
      </c>
      <c r="J51" s="15">
        <v>1</v>
      </c>
      <c r="K51" s="15"/>
      <c r="L51" s="53" t="str">
        <f t="shared" si="16"/>
        <v/>
      </c>
      <c r="M51" s="15"/>
      <c r="N51" s="53" t="str">
        <f t="shared" si="17"/>
        <v/>
      </c>
      <c r="O51" s="15">
        <f t="shared" si="18"/>
        <v>197</v>
      </c>
      <c r="P51" s="15">
        <f t="shared" si="19"/>
        <v>197</v>
      </c>
      <c r="Q51" s="12"/>
    </row>
    <row r="52" spans="1:17" ht="23.25" customHeight="1" x14ac:dyDescent="0.15">
      <c r="B52" s="13" t="s">
        <v>2360</v>
      </c>
      <c r="D52" s="12" t="s">
        <v>2361</v>
      </c>
      <c r="E52" s="12"/>
      <c r="F52" s="31"/>
      <c r="G52" s="15"/>
      <c r="H52" s="15"/>
      <c r="I52" s="53">
        <f>TRUNC(SUM(I44:I51))</f>
        <v>19585</v>
      </c>
      <c r="J52" s="15"/>
      <c r="K52" s="15"/>
      <c r="L52" s="53">
        <f>TRUNC(SUM(L44:L51))</f>
        <v>9852</v>
      </c>
      <c r="M52" s="15"/>
      <c r="N52" s="53">
        <f>TRUNC(SUM(N44:N51))</f>
        <v>0</v>
      </c>
      <c r="O52" s="15" t="str">
        <f t="shared" si="18"/>
        <v/>
      </c>
      <c r="P52" s="15">
        <f t="shared" si="19"/>
        <v>29437</v>
      </c>
      <c r="Q52" s="12"/>
    </row>
    <row r="53" spans="1:17" ht="23.25" customHeight="1" x14ac:dyDescent="0.15">
      <c r="D53" s="12"/>
      <c r="E53" s="12"/>
      <c r="F53" s="31"/>
      <c r="G53" s="15"/>
      <c r="H53" s="15"/>
      <c r="I53" s="53"/>
      <c r="J53" s="15"/>
      <c r="K53" s="15"/>
      <c r="L53" s="53"/>
      <c r="M53" s="15"/>
      <c r="N53" s="53"/>
      <c r="O53" s="15"/>
      <c r="P53" s="15"/>
      <c r="Q53" s="12"/>
    </row>
    <row r="54" spans="1:17" ht="23.25" customHeight="1" x14ac:dyDescent="0.15">
      <c r="A54" s="13" t="s">
        <v>2400</v>
      </c>
      <c r="B54" s="13" t="s">
        <v>2382</v>
      </c>
      <c r="C54" s="1" t="s">
        <v>2401</v>
      </c>
      <c r="D54" s="170" t="s">
        <v>2399</v>
      </c>
      <c r="E54" s="172"/>
      <c r="F54" s="31"/>
      <c r="G54" s="15"/>
      <c r="H54" s="15"/>
      <c r="I54" s="53"/>
      <c r="J54" s="15"/>
      <c r="K54" s="15"/>
      <c r="L54" s="53"/>
      <c r="M54" s="15"/>
      <c r="N54" s="53"/>
      <c r="O54" s="15"/>
      <c r="P54" s="15"/>
      <c r="Q54" s="12"/>
    </row>
    <row r="55" spans="1:17" ht="23.25" customHeight="1" x14ac:dyDescent="0.15">
      <c r="A55" s="13" t="s">
        <v>1110</v>
      </c>
      <c r="B55" s="13" t="s">
        <v>1690</v>
      </c>
      <c r="C55" s="1" t="s">
        <v>378</v>
      </c>
      <c r="D55" s="12" t="s">
        <v>359</v>
      </c>
      <c r="E55" s="12" t="s">
        <v>379</v>
      </c>
      <c r="F55" s="31" t="s">
        <v>200</v>
      </c>
      <c r="G55" s="15">
        <v>1</v>
      </c>
      <c r="H55" s="15">
        <f>합산자재!H86</f>
        <v>431</v>
      </c>
      <c r="I55" s="53">
        <f t="shared" ref="I55:I61" si="20">IF(G55*H55&lt;&gt;0, TRUNC(G55*H55, 1), "")</f>
        <v>431</v>
      </c>
      <c r="J55" s="15">
        <v>1</v>
      </c>
      <c r="K55" s="15">
        <f>합산자재!I86</f>
        <v>0</v>
      </c>
      <c r="L55" s="53" t="str">
        <f t="shared" ref="L55:L61" si="21">IF(G55*K55&lt;&gt;0, TRUNC(G55*K55, 1), "")</f>
        <v/>
      </c>
      <c r="M55" s="15">
        <f>합산자재!J86</f>
        <v>0</v>
      </c>
      <c r="N55" s="53" t="str">
        <f t="shared" ref="N55:N61" si="22">IF(G55*M55&lt;&gt;0, TRUNC(G55*M55, 1), "")</f>
        <v/>
      </c>
      <c r="O55" s="15">
        <f t="shared" ref="O55:O62" si="23">IF((H55+K55+M55)=0, "", (H55+K55+M55))</f>
        <v>431</v>
      </c>
      <c r="P55" s="15">
        <f t="shared" ref="P55:P62" si="24">IF(SUM(I55,L55,N55)&lt;&gt;0,SUM(I55,L55,N55),"")</f>
        <v>431</v>
      </c>
      <c r="Q55" s="12"/>
    </row>
    <row r="56" spans="1:17" ht="23.25" customHeight="1" x14ac:dyDescent="0.15">
      <c r="A56" s="13" t="s">
        <v>1115</v>
      </c>
      <c r="B56" s="13" t="s">
        <v>1690</v>
      </c>
      <c r="C56" s="1" t="s">
        <v>391</v>
      </c>
      <c r="D56" s="12" t="s">
        <v>392</v>
      </c>
      <c r="E56" s="12" t="s">
        <v>393</v>
      </c>
      <c r="F56" s="31" t="s">
        <v>200</v>
      </c>
      <c r="G56" s="15">
        <v>1</v>
      </c>
      <c r="H56" s="15">
        <f>합산자재!H91</f>
        <v>920</v>
      </c>
      <c r="I56" s="53">
        <f t="shared" si="20"/>
        <v>920</v>
      </c>
      <c r="J56" s="15">
        <v>1</v>
      </c>
      <c r="K56" s="15">
        <f>합산자재!I91</f>
        <v>0</v>
      </c>
      <c r="L56" s="53" t="str">
        <f t="shared" si="21"/>
        <v/>
      </c>
      <c r="M56" s="15">
        <f>합산자재!J91</f>
        <v>0</v>
      </c>
      <c r="N56" s="53" t="str">
        <f t="shared" si="22"/>
        <v/>
      </c>
      <c r="O56" s="15">
        <f t="shared" si="23"/>
        <v>920</v>
      </c>
      <c r="P56" s="15">
        <f t="shared" si="24"/>
        <v>920</v>
      </c>
      <c r="Q56" s="12"/>
    </row>
    <row r="57" spans="1:17" ht="23.25" customHeight="1" x14ac:dyDescent="0.15">
      <c r="A57" s="13" t="s">
        <v>1114</v>
      </c>
      <c r="B57" s="13" t="s">
        <v>1690</v>
      </c>
      <c r="C57" s="1" t="s">
        <v>387</v>
      </c>
      <c r="D57" s="12" t="s">
        <v>388</v>
      </c>
      <c r="E57" s="12" t="s">
        <v>389</v>
      </c>
      <c r="F57" s="31" t="s">
        <v>200</v>
      </c>
      <c r="G57" s="15">
        <v>1</v>
      </c>
      <c r="H57" s="15">
        <f>합산자재!H90</f>
        <v>18000</v>
      </c>
      <c r="I57" s="53">
        <f t="shared" si="20"/>
        <v>18000</v>
      </c>
      <c r="J57" s="15">
        <v>1</v>
      </c>
      <c r="K57" s="15">
        <f>합산자재!I90</f>
        <v>0</v>
      </c>
      <c r="L57" s="53" t="str">
        <f t="shared" si="21"/>
        <v/>
      </c>
      <c r="M57" s="15">
        <f>합산자재!J90</f>
        <v>0</v>
      </c>
      <c r="N57" s="53" t="str">
        <f t="shared" si="22"/>
        <v/>
      </c>
      <c r="O57" s="15">
        <f t="shared" si="23"/>
        <v>18000</v>
      </c>
      <c r="P57" s="15">
        <f t="shared" si="24"/>
        <v>18000</v>
      </c>
      <c r="Q57" s="12"/>
    </row>
    <row r="58" spans="1:17" ht="23.25" customHeight="1" x14ac:dyDescent="0.15">
      <c r="A58" s="13" t="s">
        <v>1197</v>
      </c>
      <c r="B58" s="13" t="s">
        <v>1690</v>
      </c>
      <c r="C58" s="1" t="s">
        <v>646</v>
      </c>
      <c r="D58" s="12" t="s">
        <v>643</v>
      </c>
      <c r="E58" s="12" t="s">
        <v>639</v>
      </c>
      <c r="F58" s="31" t="s">
        <v>289</v>
      </c>
      <c r="G58" s="15">
        <v>2</v>
      </c>
      <c r="H58" s="15">
        <f>합산자재!H173</f>
        <v>28</v>
      </c>
      <c r="I58" s="53">
        <f t="shared" si="20"/>
        <v>56</v>
      </c>
      <c r="J58" s="15">
        <v>2</v>
      </c>
      <c r="K58" s="15">
        <f>합산자재!I173</f>
        <v>0</v>
      </c>
      <c r="L58" s="53" t="str">
        <f t="shared" si="21"/>
        <v/>
      </c>
      <c r="M58" s="15">
        <f>합산자재!J173</f>
        <v>0</v>
      </c>
      <c r="N58" s="53" t="str">
        <f t="shared" si="22"/>
        <v/>
      </c>
      <c r="O58" s="15">
        <f t="shared" si="23"/>
        <v>28</v>
      </c>
      <c r="P58" s="15">
        <f t="shared" si="24"/>
        <v>56</v>
      </c>
      <c r="Q58" s="12"/>
    </row>
    <row r="59" spans="1:17" ht="23.25" customHeight="1" x14ac:dyDescent="0.15">
      <c r="A59" s="13" t="s">
        <v>1198</v>
      </c>
      <c r="B59" s="13" t="s">
        <v>1690</v>
      </c>
      <c r="C59" s="1" t="s">
        <v>647</v>
      </c>
      <c r="D59" s="12" t="s">
        <v>648</v>
      </c>
      <c r="E59" s="12" t="s">
        <v>649</v>
      </c>
      <c r="F59" s="31" t="s">
        <v>289</v>
      </c>
      <c r="G59" s="15">
        <v>2</v>
      </c>
      <c r="H59" s="15">
        <f>합산자재!H174</f>
        <v>9</v>
      </c>
      <c r="I59" s="53">
        <f t="shared" si="20"/>
        <v>18</v>
      </c>
      <c r="J59" s="15">
        <v>2</v>
      </c>
      <c r="K59" s="15">
        <f>합산자재!I174</f>
        <v>0</v>
      </c>
      <c r="L59" s="53" t="str">
        <f t="shared" si="21"/>
        <v/>
      </c>
      <c r="M59" s="15">
        <f>합산자재!J174</f>
        <v>0</v>
      </c>
      <c r="N59" s="53" t="str">
        <f t="shared" si="22"/>
        <v/>
      </c>
      <c r="O59" s="15">
        <f t="shared" si="23"/>
        <v>9</v>
      </c>
      <c r="P59" s="15">
        <f t="shared" si="24"/>
        <v>18</v>
      </c>
      <c r="Q59" s="12"/>
    </row>
    <row r="60" spans="1:17" ht="23.25" customHeight="1" x14ac:dyDescent="0.15">
      <c r="A60" s="13" t="s">
        <v>1372</v>
      </c>
      <c r="B60" s="13" t="s">
        <v>1690</v>
      </c>
      <c r="C60" s="1" t="s">
        <v>1002</v>
      </c>
      <c r="D60" s="12" t="s">
        <v>1003</v>
      </c>
      <c r="E60" s="12" t="s">
        <v>1004</v>
      </c>
      <c r="F60" s="31" t="s">
        <v>999</v>
      </c>
      <c r="G60" s="15">
        <f>일위노임!G18</f>
        <v>3.5999999999999997E-2</v>
      </c>
      <c r="H60" s="15">
        <f>합산자재!H345</f>
        <v>0</v>
      </c>
      <c r="I60" s="53" t="str">
        <f t="shared" si="20"/>
        <v/>
      </c>
      <c r="J60" s="15">
        <v>3.5999999999999997E-2</v>
      </c>
      <c r="K60" s="15">
        <f>합산자재!I345</f>
        <v>273676</v>
      </c>
      <c r="L60" s="53">
        <f t="shared" si="21"/>
        <v>9852.2999999999993</v>
      </c>
      <c r="M60" s="15">
        <f>합산자재!J345</f>
        <v>0</v>
      </c>
      <c r="N60" s="53" t="str">
        <f t="shared" si="22"/>
        <v/>
      </c>
      <c r="O60" s="15">
        <f t="shared" si="23"/>
        <v>273676</v>
      </c>
      <c r="P60" s="15">
        <f t="shared" si="24"/>
        <v>9852.2999999999993</v>
      </c>
      <c r="Q60" s="12"/>
    </row>
    <row r="61" spans="1:17" ht="23.25" customHeight="1" x14ac:dyDescent="0.15">
      <c r="A61" s="13" t="s">
        <v>2362</v>
      </c>
      <c r="B61" s="13" t="s">
        <v>1690</v>
      </c>
      <c r="C61" s="1" t="s">
        <v>2363</v>
      </c>
      <c r="D61" s="12" t="s">
        <v>2364</v>
      </c>
      <c r="E61" s="12" t="s">
        <v>2365</v>
      </c>
      <c r="F61" s="31" t="s">
        <v>792</v>
      </c>
      <c r="G61" s="15">
        <v>1</v>
      </c>
      <c r="H61" s="15">
        <v>197</v>
      </c>
      <c r="I61" s="53">
        <f t="shared" si="20"/>
        <v>197</v>
      </c>
      <c r="J61" s="15">
        <v>1</v>
      </c>
      <c r="K61" s="15"/>
      <c r="L61" s="53" t="str">
        <f t="shared" si="21"/>
        <v/>
      </c>
      <c r="M61" s="15"/>
      <c r="N61" s="53" t="str">
        <f t="shared" si="22"/>
        <v/>
      </c>
      <c r="O61" s="15">
        <f t="shared" si="23"/>
        <v>197</v>
      </c>
      <c r="P61" s="15">
        <f t="shared" si="24"/>
        <v>197</v>
      </c>
      <c r="Q61" s="12"/>
    </row>
    <row r="62" spans="1:17" ht="23.25" customHeight="1" x14ac:dyDescent="0.15">
      <c r="B62" s="13" t="s">
        <v>2360</v>
      </c>
      <c r="D62" s="12" t="s">
        <v>2361</v>
      </c>
      <c r="E62" s="12"/>
      <c r="F62" s="31"/>
      <c r="G62" s="15"/>
      <c r="H62" s="15"/>
      <c r="I62" s="53">
        <f>TRUNC(SUM(I54:I61))</f>
        <v>19622</v>
      </c>
      <c r="J62" s="15"/>
      <c r="K62" s="15"/>
      <c r="L62" s="53">
        <f>TRUNC(SUM(L54:L61))</f>
        <v>9852</v>
      </c>
      <c r="M62" s="15"/>
      <c r="N62" s="53">
        <f>TRUNC(SUM(N54:N61))</f>
        <v>0</v>
      </c>
      <c r="O62" s="15" t="str">
        <f t="shared" si="23"/>
        <v/>
      </c>
      <c r="P62" s="15">
        <f t="shared" si="24"/>
        <v>29474</v>
      </c>
      <c r="Q62" s="12"/>
    </row>
    <row r="63" spans="1:17" ht="23.25" customHeight="1" x14ac:dyDescent="0.15">
      <c r="D63" s="12"/>
      <c r="E63" s="12"/>
      <c r="F63" s="31"/>
      <c r="G63" s="15"/>
      <c r="H63" s="15"/>
      <c r="I63" s="53"/>
      <c r="J63" s="15"/>
      <c r="K63" s="15"/>
      <c r="L63" s="53"/>
      <c r="M63" s="15"/>
      <c r="N63" s="53"/>
      <c r="O63" s="15"/>
      <c r="P63" s="15"/>
      <c r="Q63" s="12"/>
    </row>
    <row r="64" spans="1:17" ht="23.25" customHeight="1" x14ac:dyDescent="0.15">
      <c r="A64" s="13" t="s">
        <v>2403</v>
      </c>
      <c r="B64" s="13" t="s">
        <v>2382</v>
      </c>
      <c r="C64" s="1" t="s">
        <v>2404</v>
      </c>
      <c r="D64" s="170" t="s">
        <v>2402</v>
      </c>
      <c r="E64" s="172"/>
      <c r="F64" s="31"/>
      <c r="G64" s="15"/>
      <c r="H64" s="15"/>
      <c r="I64" s="53"/>
      <c r="J64" s="15"/>
      <c r="K64" s="15"/>
      <c r="L64" s="53"/>
      <c r="M64" s="15"/>
      <c r="N64" s="53"/>
      <c r="O64" s="15"/>
      <c r="P64" s="15"/>
      <c r="Q64" s="12"/>
    </row>
    <row r="65" spans="1:17" ht="23.25" customHeight="1" x14ac:dyDescent="0.15">
      <c r="A65" s="13" t="s">
        <v>1111</v>
      </c>
      <c r="B65" s="13" t="s">
        <v>1694</v>
      </c>
      <c r="C65" s="1" t="s">
        <v>380</v>
      </c>
      <c r="D65" s="12" t="s">
        <v>359</v>
      </c>
      <c r="E65" s="12" t="s">
        <v>381</v>
      </c>
      <c r="F65" s="31" t="s">
        <v>200</v>
      </c>
      <c r="G65" s="15">
        <v>1</v>
      </c>
      <c r="H65" s="15">
        <f>합산자재!H87</f>
        <v>625</v>
      </c>
      <c r="I65" s="53">
        <f t="shared" ref="I65:I71" si="25">IF(G65*H65&lt;&gt;0, TRUNC(G65*H65, 1), "")</f>
        <v>625</v>
      </c>
      <c r="J65" s="15">
        <v>1</v>
      </c>
      <c r="K65" s="15">
        <f>합산자재!I87</f>
        <v>0</v>
      </c>
      <c r="L65" s="53" t="str">
        <f t="shared" ref="L65:L71" si="26">IF(G65*K65&lt;&gt;0, TRUNC(G65*K65, 1), "")</f>
        <v/>
      </c>
      <c r="M65" s="15">
        <f>합산자재!J87</f>
        <v>0</v>
      </c>
      <c r="N65" s="53" t="str">
        <f t="shared" ref="N65:N71" si="27">IF(G65*M65&lt;&gt;0, TRUNC(G65*M65, 1), "")</f>
        <v/>
      </c>
      <c r="O65" s="15">
        <f t="shared" ref="O65:O72" si="28">IF((H65+K65+M65)=0, "", (H65+K65+M65))</f>
        <v>625</v>
      </c>
      <c r="P65" s="15">
        <f t="shared" ref="P65:P72" si="29">IF(SUM(I65,L65,N65)&lt;&gt;0,SUM(I65,L65,N65),"")</f>
        <v>625</v>
      </c>
      <c r="Q65" s="12"/>
    </row>
    <row r="66" spans="1:17" ht="23.25" customHeight="1" x14ac:dyDescent="0.15">
      <c r="A66" s="13" t="s">
        <v>1115</v>
      </c>
      <c r="B66" s="13" t="s">
        <v>1694</v>
      </c>
      <c r="C66" s="1" t="s">
        <v>391</v>
      </c>
      <c r="D66" s="12" t="s">
        <v>392</v>
      </c>
      <c r="E66" s="12" t="s">
        <v>393</v>
      </c>
      <c r="F66" s="31" t="s">
        <v>200</v>
      </c>
      <c r="G66" s="15">
        <v>1</v>
      </c>
      <c r="H66" s="15">
        <f>합산자재!H91</f>
        <v>920</v>
      </c>
      <c r="I66" s="53">
        <f t="shared" si="25"/>
        <v>920</v>
      </c>
      <c r="J66" s="15">
        <v>1</v>
      </c>
      <c r="K66" s="15">
        <f>합산자재!I91</f>
        <v>0</v>
      </c>
      <c r="L66" s="53" t="str">
        <f t="shared" si="26"/>
        <v/>
      </c>
      <c r="M66" s="15">
        <f>합산자재!J91</f>
        <v>0</v>
      </c>
      <c r="N66" s="53" t="str">
        <f t="shared" si="27"/>
        <v/>
      </c>
      <c r="O66" s="15">
        <f t="shared" si="28"/>
        <v>920</v>
      </c>
      <c r="P66" s="15">
        <f t="shared" si="29"/>
        <v>920</v>
      </c>
      <c r="Q66" s="12"/>
    </row>
    <row r="67" spans="1:17" ht="23.25" customHeight="1" x14ac:dyDescent="0.15">
      <c r="A67" s="13" t="s">
        <v>1114</v>
      </c>
      <c r="B67" s="13" t="s">
        <v>1694</v>
      </c>
      <c r="C67" s="1" t="s">
        <v>387</v>
      </c>
      <c r="D67" s="12" t="s">
        <v>388</v>
      </c>
      <c r="E67" s="12" t="s">
        <v>389</v>
      </c>
      <c r="F67" s="31" t="s">
        <v>200</v>
      </c>
      <c r="G67" s="15">
        <v>1</v>
      </c>
      <c r="H67" s="15">
        <f>합산자재!H90</f>
        <v>18000</v>
      </c>
      <c r="I67" s="53">
        <f t="shared" si="25"/>
        <v>18000</v>
      </c>
      <c r="J67" s="15">
        <v>1</v>
      </c>
      <c r="K67" s="15">
        <f>합산자재!I90</f>
        <v>0</v>
      </c>
      <c r="L67" s="53" t="str">
        <f t="shared" si="26"/>
        <v/>
      </c>
      <c r="M67" s="15">
        <f>합산자재!J90</f>
        <v>0</v>
      </c>
      <c r="N67" s="53" t="str">
        <f t="shared" si="27"/>
        <v/>
      </c>
      <c r="O67" s="15">
        <f t="shared" si="28"/>
        <v>18000</v>
      </c>
      <c r="P67" s="15">
        <f t="shared" si="29"/>
        <v>18000</v>
      </c>
      <c r="Q67" s="12"/>
    </row>
    <row r="68" spans="1:17" ht="23.25" customHeight="1" x14ac:dyDescent="0.15">
      <c r="A68" s="13" t="s">
        <v>1197</v>
      </c>
      <c r="B68" s="13" t="s">
        <v>1694</v>
      </c>
      <c r="C68" s="1" t="s">
        <v>646</v>
      </c>
      <c r="D68" s="12" t="s">
        <v>643</v>
      </c>
      <c r="E68" s="12" t="s">
        <v>639</v>
      </c>
      <c r="F68" s="31" t="s">
        <v>289</v>
      </c>
      <c r="G68" s="15">
        <v>2</v>
      </c>
      <c r="H68" s="15">
        <f>합산자재!H173</f>
        <v>28</v>
      </c>
      <c r="I68" s="53">
        <f t="shared" si="25"/>
        <v>56</v>
      </c>
      <c r="J68" s="15">
        <v>2</v>
      </c>
      <c r="K68" s="15">
        <f>합산자재!I173</f>
        <v>0</v>
      </c>
      <c r="L68" s="53" t="str">
        <f t="shared" si="26"/>
        <v/>
      </c>
      <c r="M68" s="15">
        <f>합산자재!J173</f>
        <v>0</v>
      </c>
      <c r="N68" s="53" t="str">
        <f t="shared" si="27"/>
        <v/>
      </c>
      <c r="O68" s="15">
        <f t="shared" si="28"/>
        <v>28</v>
      </c>
      <c r="P68" s="15">
        <f t="shared" si="29"/>
        <v>56</v>
      </c>
      <c r="Q68" s="12"/>
    </row>
    <row r="69" spans="1:17" ht="23.25" customHeight="1" x14ac:dyDescent="0.15">
      <c r="A69" s="13" t="s">
        <v>1198</v>
      </c>
      <c r="B69" s="13" t="s">
        <v>1694</v>
      </c>
      <c r="C69" s="1" t="s">
        <v>647</v>
      </c>
      <c r="D69" s="12" t="s">
        <v>648</v>
      </c>
      <c r="E69" s="12" t="s">
        <v>649</v>
      </c>
      <c r="F69" s="31" t="s">
        <v>289</v>
      </c>
      <c r="G69" s="15">
        <v>2</v>
      </c>
      <c r="H69" s="15">
        <f>합산자재!H174</f>
        <v>9</v>
      </c>
      <c r="I69" s="53">
        <f t="shared" si="25"/>
        <v>18</v>
      </c>
      <c r="J69" s="15">
        <v>2</v>
      </c>
      <c r="K69" s="15">
        <f>합산자재!I174</f>
        <v>0</v>
      </c>
      <c r="L69" s="53" t="str">
        <f t="shared" si="26"/>
        <v/>
      </c>
      <c r="M69" s="15">
        <f>합산자재!J174</f>
        <v>0</v>
      </c>
      <c r="N69" s="53" t="str">
        <f t="shared" si="27"/>
        <v/>
      </c>
      <c r="O69" s="15">
        <f t="shared" si="28"/>
        <v>9</v>
      </c>
      <c r="P69" s="15">
        <f t="shared" si="29"/>
        <v>18</v>
      </c>
      <c r="Q69" s="12"/>
    </row>
    <row r="70" spans="1:17" ht="23.25" customHeight="1" x14ac:dyDescent="0.15">
      <c r="A70" s="13" t="s">
        <v>1372</v>
      </c>
      <c r="B70" s="13" t="s">
        <v>1694</v>
      </c>
      <c r="C70" s="1" t="s">
        <v>1002</v>
      </c>
      <c r="D70" s="12" t="s">
        <v>1003</v>
      </c>
      <c r="E70" s="12" t="s">
        <v>1004</v>
      </c>
      <c r="F70" s="31" t="s">
        <v>999</v>
      </c>
      <c r="G70" s="15">
        <f>일위노임!G21</f>
        <v>3.5999999999999997E-2</v>
      </c>
      <c r="H70" s="15">
        <f>합산자재!H345</f>
        <v>0</v>
      </c>
      <c r="I70" s="53" t="str">
        <f t="shared" si="25"/>
        <v/>
      </c>
      <c r="J70" s="15">
        <v>3.5999999999999997E-2</v>
      </c>
      <c r="K70" s="15">
        <f>합산자재!I345</f>
        <v>273676</v>
      </c>
      <c r="L70" s="53">
        <f t="shared" si="26"/>
        <v>9852.2999999999993</v>
      </c>
      <c r="M70" s="15">
        <f>합산자재!J345</f>
        <v>0</v>
      </c>
      <c r="N70" s="53" t="str">
        <f t="shared" si="27"/>
        <v/>
      </c>
      <c r="O70" s="15">
        <f t="shared" si="28"/>
        <v>273676</v>
      </c>
      <c r="P70" s="15">
        <f t="shared" si="29"/>
        <v>9852.2999999999993</v>
      </c>
      <c r="Q70" s="12"/>
    </row>
    <row r="71" spans="1:17" ht="23.25" customHeight="1" x14ac:dyDescent="0.15">
      <c r="A71" s="13" t="s">
        <v>2362</v>
      </c>
      <c r="B71" s="13" t="s">
        <v>1694</v>
      </c>
      <c r="C71" s="1" t="s">
        <v>2363</v>
      </c>
      <c r="D71" s="12" t="s">
        <v>2364</v>
      </c>
      <c r="E71" s="12" t="s">
        <v>2365</v>
      </c>
      <c r="F71" s="31" t="s">
        <v>792</v>
      </c>
      <c r="G71" s="15">
        <v>1</v>
      </c>
      <c r="H71" s="15">
        <v>197</v>
      </c>
      <c r="I71" s="53">
        <f t="shared" si="25"/>
        <v>197</v>
      </c>
      <c r="J71" s="15">
        <v>1</v>
      </c>
      <c r="K71" s="15"/>
      <c r="L71" s="53" t="str">
        <f t="shared" si="26"/>
        <v/>
      </c>
      <c r="M71" s="15"/>
      <c r="N71" s="53" t="str">
        <f t="shared" si="27"/>
        <v/>
      </c>
      <c r="O71" s="15">
        <f t="shared" si="28"/>
        <v>197</v>
      </c>
      <c r="P71" s="15">
        <f t="shared" si="29"/>
        <v>197</v>
      </c>
      <c r="Q71" s="12"/>
    </row>
    <row r="72" spans="1:17" ht="23.25" customHeight="1" x14ac:dyDescent="0.15">
      <c r="B72" s="13" t="s">
        <v>2360</v>
      </c>
      <c r="D72" s="12" t="s">
        <v>2361</v>
      </c>
      <c r="E72" s="12"/>
      <c r="F72" s="31"/>
      <c r="G72" s="15"/>
      <c r="H72" s="15"/>
      <c r="I72" s="53">
        <f>TRUNC(SUM(I64:I71))</f>
        <v>19816</v>
      </c>
      <c r="J72" s="15"/>
      <c r="K72" s="15"/>
      <c r="L72" s="53">
        <f>TRUNC(SUM(L64:L71))</f>
        <v>9852</v>
      </c>
      <c r="M72" s="15"/>
      <c r="N72" s="53">
        <f>TRUNC(SUM(N64:N71))</f>
        <v>0</v>
      </c>
      <c r="O72" s="15" t="str">
        <f t="shared" si="28"/>
        <v/>
      </c>
      <c r="P72" s="15">
        <f t="shared" si="29"/>
        <v>29668</v>
      </c>
      <c r="Q72" s="12"/>
    </row>
    <row r="73" spans="1:17" ht="23.25" customHeight="1" x14ac:dyDescent="0.15">
      <c r="D73" s="12"/>
      <c r="E73" s="12"/>
      <c r="F73" s="31"/>
      <c r="G73" s="15"/>
      <c r="H73" s="15"/>
      <c r="I73" s="53"/>
      <c r="J73" s="15"/>
      <c r="K73" s="15"/>
      <c r="L73" s="53"/>
      <c r="M73" s="15"/>
      <c r="N73" s="53"/>
      <c r="O73" s="15"/>
      <c r="P73" s="15"/>
      <c r="Q73" s="12"/>
    </row>
    <row r="74" spans="1:17" ht="23.25" customHeight="1" x14ac:dyDescent="0.15">
      <c r="A74" s="13" t="s">
        <v>2406</v>
      </c>
      <c r="B74" s="13" t="s">
        <v>2382</v>
      </c>
      <c r="C74" s="1" t="s">
        <v>2407</v>
      </c>
      <c r="D74" s="170" t="s">
        <v>2405</v>
      </c>
      <c r="E74" s="172"/>
      <c r="F74" s="31"/>
      <c r="G74" s="15"/>
      <c r="H74" s="15"/>
      <c r="I74" s="53"/>
      <c r="J74" s="15"/>
      <c r="K74" s="15"/>
      <c r="L74" s="53"/>
      <c r="M74" s="15"/>
      <c r="N74" s="53"/>
      <c r="O74" s="15"/>
      <c r="P74" s="15"/>
      <c r="Q74" s="12"/>
    </row>
    <row r="75" spans="1:17" ht="23.25" customHeight="1" x14ac:dyDescent="0.15">
      <c r="A75" s="13" t="s">
        <v>1112</v>
      </c>
      <c r="B75" s="13" t="s">
        <v>1698</v>
      </c>
      <c r="C75" s="1" t="s">
        <v>382</v>
      </c>
      <c r="D75" s="12" t="s">
        <v>359</v>
      </c>
      <c r="E75" s="12" t="s">
        <v>383</v>
      </c>
      <c r="F75" s="31" t="s">
        <v>200</v>
      </c>
      <c r="G75" s="15">
        <v>1</v>
      </c>
      <c r="H75" s="15">
        <f>합산자재!H88</f>
        <v>675</v>
      </c>
      <c r="I75" s="53">
        <f t="shared" ref="I75:I81" si="30">IF(G75*H75&lt;&gt;0, TRUNC(G75*H75, 1), "")</f>
        <v>675</v>
      </c>
      <c r="J75" s="15">
        <v>1</v>
      </c>
      <c r="K75" s="15">
        <f>합산자재!I88</f>
        <v>0</v>
      </c>
      <c r="L75" s="53" t="str">
        <f t="shared" ref="L75:L81" si="31">IF(G75*K75&lt;&gt;0, TRUNC(G75*K75, 1), "")</f>
        <v/>
      </c>
      <c r="M75" s="15">
        <f>합산자재!J88</f>
        <v>0</v>
      </c>
      <c r="N75" s="53" t="str">
        <f t="shared" ref="N75:N81" si="32">IF(G75*M75&lt;&gt;0, TRUNC(G75*M75, 1), "")</f>
        <v/>
      </c>
      <c r="O75" s="15">
        <f t="shared" ref="O75:O82" si="33">IF((H75+K75+M75)=0, "", (H75+K75+M75))</f>
        <v>675</v>
      </c>
      <c r="P75" s="15">
        <f t="shared" ref="P75:P82" si="34">IF(SUM(I75,L75,N75)&lt;&gt;0,SUM(I75,L75,N75),"")</f>
        <v>675</v>
      </c>
      <c r="Q75" s="12"/>
    </row>
    <row r="76" spans="1:17" ht="23.25" customHeight="1" x14ac:dyDescent="0.15">
      <c r="A76" s="13" t="s">
        <v>1115</v>
      </c>
      <c r="B76" s="13" t="s">
        <v>1698</v>
      </c>
      <c r="C76" s="1" t="s">
        <v>391</v>
      </c>
      <c r="D76" s="12" t="s">
        <v>392</v>
      </c>
      <c r="E76" s="12" t="s">
        <v>393</v>
      </c>
      <c r="F76" s="31" t="s">
        <v>200</v>
      </c>
      <c r="G76" s="15">
        <v>1</v>
      </c>
      <c r="H76" s="15">
        <f>합산자재!H91</f>
        <v>920</v>
      </c>
      <c r="I76" s="53">
        <f t="shared" si="30"/>
        <v>920</v>
      </c>
      <c r="J76" s="15">
        <v>1</v>
      </c>
      <c r="K76" s="15">
        <f>합산자재!I91</f>
        <v>0</v>
      </c>
      <c r="L76" s="53" t="str">
        <f t="shared" si="31"/>
        <v/>
      </c>
      <c r="M76" s="15">
        <f>합산자재!J91</f>
        <v>0</v>
      </c>
      <c r="N76" s="53" t="str">
        <f t="shared" si="32"/>
        <v/>
      </c>
      <c r="O76" s="15">
        <f t="shared" si="33"/>
        <v>920</v>
      </c>
      <c r="P76" s="15">
        <f t="shared" si="34"/>
        <v>920</v>
      </c>
      <c r="Q76" s="12"/>
    </row>
    <row r="77" spans="1:17" ht="23.25" customHeight="1" x14ac:dyDescent="0.15">
      <c r="A77" s="13" t="s">
        <v>1114</v>
      </c>
      <c r="B77" s="13" t="s">
        <v>1698</v>
      </c>
      <c r="C77" s="1" t="s">
        <v>387</v>
      </c>
      <c r="D77" s="12" t="s">
        <v>388</v>
      </c>
      <c r="E77" s="12" t="s">
        <v>389</v>
      </c>
      <c r="F77" s="31" t="s">
        <v>200</v>
      </c>
      <c r="G77" s="15">
        <v>1</v>
      </c>
      <c r="H77" s="15">
        <f>합산자재!H90</f>
        <v>18000</v>
      </c>
      <c r="I77" s="53">
        <f t="shared" si="30"/>
        <v>18000</v>
      </c>
      <c r="J77" s="15">
        <v>1</v>
      </c>
      <c r="K77" s="15">
        <f>합산자재!I90</f>
        <v>0</v>
      </c>
      <c r="L77" s="53" t="str">
        <f t="shared" si="31"/>
        <v/>
      </c>
      <c r="M77" s="15">
        <f>합산자재!J90</f>
        <v>0</v>
      </c>
      <c r="N77" s="53" t="str">
        <f t="shared" si="32"/>
        <v/>
      </c>
      <c r="O77" s="15">
        <f t="shared" si="33"/>
        <v>18000</v>
      </c>
      <c r="P77" s="15">
        <f t="shared" si="34"/>
        <v>18000</v>
      </c>
      <c r="Q77" s="12"/>
    </row>
    <row r="78" spans="1:17" ht="23.25" customHeight="1" x14ac:dyDescent="0.15">
      <c r="A78" s="13" t="s">
        <v>1197</v>
      </c>
      <c r="B78" s="13" t="s">
        <v>1698</v>
      </c>
      <c r="C78" s="1" t="s">
        <v>646</v>
      </c>
      <c r="D78" s="12" t="s">
        <v>643</v>
      </c>
      <c r="E78" s="12" t="s">
        <v>639</v>
      </c>
      <c r="F78" s="31" t="s">
        <v>289</v>
      </c>
      <c r="G78" s="15">
        <v>2</v>
      </c>
      <c r="H78" s="15">
        <f>합산자재!H173</f>
        <v>28</v>
      </c>
      <c r="I78" s="53">
        <f t="shared" si="30"/>
        <v>56</v>
      </c>
      <c r="J78" s="15">
        <v>2</v>
      </c>
      <c r="K78" s="15">
        <f>합산자재!I173</f>
        <v>0</v>
      </c>
      <c r="L78" s="53" t="str">
        <f t="shared" si="31"/>
        <v/>
      </c>
      <c r="M78" s="15">
        <f>합산자재!J173</f>
        <v>0</v>
      </c>
      <c r="N78" s="53" t="str">
        <f t="shared" si="32"/>
        <v/>
      </c>
      <c r="O78" s="15">
        <f t="shared" si="33"/>
        <v>28</v>
      </c>
      <c r="P78" s="15">
        <f t="shared" si="34"/>
        <v>56</v>
      </c>
      <c r="Q78" s="12"/>
    </row>
    <row r="79" spans="1:17" ht="23.25" customHeight="1" x14ac:dyDescent="0.15">
      <c r="A79" s="13" t="s">
        <v>1198</v>
      </c>
      <c r="B79" s="13" t="s">
        <v>1698</v>
      </c>
      <c r="C79" s="1" t="s">
        <v>647</v>
      </c>
      <c r="D79" s="12" t="s">
        <v>648</v>
      </c>
      <c r="E79" s="12" t="s">
        <v>649</v>
      </c>
      <c r="F79" s="31" t="s">
        <v>289</v>
      </c>
      <c r="G79" s="15">
        <v>2</v>
      </c>
      <c r="H79" s="15">
        <f>합산자재!H174</f>
        <v>9</v>
      </c>
      <c r="I79" s="53">
        <f t="shared" si="30"/>
        <v>18</v>
      </c>
      <c r="J79" s="15">
        <v>2</v>
      </c>
      <c r="K79" s="15">
        <f>합산자재!I174</f>
        <v>0</v>
      </c>
      <c r="L79" s="53" t="str">
        <f t="shared" si="31"/>
        <v/>
      </c>
      <c r="M79" s="15">
        <f>합산자재!J174</f>
        <v>0</v>
      </c>
      <c r="N79" s="53" t="str">
        <f t="shared" si="32"/>
        <v/>
      </c>
      <c r="O79" s="15">
        <f t="shared" si="33"/>
        <v>9</v>
      </c>
      <c r="P79" s="15">
        <f t="shared" si="34"/>
        <v>18</v>
      </c>
      <c r="Q79" s="12"/>
    </row>
    <row r="80" spans="1:17" ht="23.25" customHeight="1" x14ac:dyDescent="0.15">
      <c r="A80" s="13" t="s">
        <v>1372</v>
      </c>
      <c r="B80" s="13" t="s">
        <v>1698</v>
      </c>
      <c r="C80" s="1" t="s">
        <v>1002</v>
      </c>
      <c r="D80" s="12" t="s">
        <v>1003</v>
      </c>
      <c r="E80" s="12" t="s">
        <v>1004</v>
      </c>
      <c r="F80" s="31" t="s">
        <v>999</v>
      </c>
      <c r="G80" s="15">
        <f>일위노임!G24</f>
        <v>3.5999999999999997E-2</v>
      </c>
      <c r="H80" s="15">
        <f>합산자재!H345</f>
        <v>0</v>
      </c>
      <c r="I80" s="53" t="str">
        <f t="shared" si="30"/>
        <v/>
      </c>
      <c r="J80" s="15">
        <v>3.5999999999999997E-2</v>
      </c>
      <c r="K80" s="15">
        <f>합산자재!I345</f>
        <v>273676</v>
      </c>
      <c r="L80" s="53">
        <f t="shared" si="31"/>
        <v>9852.2999999999993</v>
      </c>
      <c r="M80" s="15">
        <f>합산자재!J345</f>
        <v>0</v>
      </c>
      <c r="N80" s="53" t="str">
        <f t="shared" si="32"/>
        <v/>
      </c>
      <c r="O80" s="15">
        <f t="shared" si="33"/>
        <v>273676</v>
      </c>
      <c r="P80" s="15">
        <f t="shared" si="34"/>
        <v>9852.2999999999993</v>
      </c>
      <c r="Q80" s="12"/>
    </row>
    <row r="81" spans="1:17" ht="23.25" customHeight="1" x14ac:dyDescent="0.15">
      <c r="A81" s="13" t="s">
        <v>2362</v>
      </c>
      <c r="B81" s="13" t="s">
        <v>1698</v>
      </c>
      <c r="C81" s="1" t="s">
        <v>2363</v>
      </c>
      <c r="D81" s="12" t="s">
        <v>2364</v>
      </c>
      <c r="E81" s="12" t="s">
        <v>2365</v>
      </c>
      <c r="F81" s="31" t="s">
        <v>792</v>
      </c>
      <c r="G81" s="15">
        <v>1</v>
      </c>
      <c r="H81" s="15">
        <v>197</v>
      </c>
      <c r="I81" s="53">
        <f t="shared" si="30"/>
        <v>197</v>
      </c>
      <c r="J81" s="15">
        <v>1</v>
      </c>
      <c r="K81" s="15"/>
      <c r="L81" s="53" t="str">
        <f t="shared" si="31"/>
        <v/>
      </c>
      <c r="M81" s="15"/>
      <c r="N81" s="53" t="str">
        <f t="shared" si="32"/>
        <v/>
      </c>
      <c r="O81" s="15">
        <f t="shared" si="33"/>
        <v>197</v>
      </c>
      <c r="P81" s="15">
        <f t="shared" si="34"/>
        <v>197</v>
      </c>
      <c r="Q81" s="12"/>
    </row>
    <row r="82" spans="1:17" ht="23.25" customHeight="1" x14ac:dyDescent="0.15">
      <c r="B82" s="13" t="s">
        <v>2360</v>
      </c>
      <c r="D82" s="12" t="s">
        <v>2361</v>
      </c>
      <c r="E82" s="12"/>
      <c r="F82" s="31"/>
      <c r="G82" s="15"/>
      <c r="H82" s="15"/>
      <c r="I82" s="53">
        <f>TRUNC(SUM(I74:I81))</f>
        <v>19866</v>
      </c>
      <c r="J82" s="15"/>
      <c r="K82" s="15"/>
      <c r="L82" s="53">
        <f>TRUNC(SUM(L74:L81))</f>
        <v>9852</v>
      </c>
      <c r="M82" s="15"/>
      <c r="N82" s="53">
        <f>TRUNC(SUM(N74:N81))</f>
        <v>0</v>
      </c>
      <c r="O82" s="15" t="str">
        <f t="shared" si="33"/>
        <v/>
      </c>
      <c r="P82" s="15">
        <f t="shared" si="34"/>
        <v>29718</v>
      </c>
      <c r="Q82" s="12"/>
    </row>
    <row r="83" spans="1:17" ht="23.25" customHeight="1" x14ac:dyDescent="0.15">
      <c r="D83" s="12"/>
      <c r="E83" s="12"/>
      <c r="F83" s="31"/>
      <c r="G83" s="15"/>
      <c r="H83" s="15"/>
      <c r="I83" s="53"/>
      <c r="J83" s="15"/>
      <c r="K83" s="15"/>
      <c r="L83" s="53"/>
      <c r="M83" s="15"/>
      <c r="N83" s="53"/>
      <c r="O83" s="15"/>
      <c r="P83" s="15"/>
      <c r="Q83" s="12"/>
    </row>
    <row r="84" spans="1:17" ht="23.25" customHeight="1" x14ac:dyDescent="0.15">
      <c r="A84" s="13" t="s">
        <v>2409</v>
      </c>
      <c r="B84" s="13" t="s">
        <v>2382</v>
      </c>
      <c r="C84" s="1" t="s">
        <v>2410</v>
      </c>
      <c r="D84" s="170" t="s">
        <v>2408</v>
      </c>
      <c r="E84" s="172"/>
      <c r="F84" s="31"/>
      <c r="G84" s="15"/>
      <c r="H84" s="15"/>
      <c r="I84" s="53"/>
      <c r="J84" s="15"/>
      <c r="K84" s="15"/>
      <c r="L84" s="53"/>
      <c r="M84" s="15"/>
      <c r="N84" s="53"/>
      <c r="O84" s="15"/>
      <c r="P84" s="15"/>
      <c r="Q84" s="12"/>
    </row>
    <row r="85" spans="1:17" ht="23.25" customHeight="1" x14ac:dyDescent="0.15">
      <c r="A85" s="13" t="s">
        <v>1094</v>
      </c>
      <c r="B85" s="13" t="s">
        <v>1702</v>
      </c>
      <c r="C85" s="1" t="s">
        <v>339</v>
      </c>
      <c r="D85" s="12" t="s">
        <v>322</v>
      </c>
      <c r="E85" s="12" t="s">
        <v>340</v>
      </c>
      <c r="F85" s="31" t="s">
        <v>166</v>
      </c>
      <c r="G85" s="15">
        <v>0.3</v>
      </c>
      <c r="H85" s="15">
        <f>합산자재!H70</f>
        <v>3900</v>
      </c>
      <c r="I85" s="53">
        <f t="shared" ref="I85:I92" si="35">IF(G85*H85&lt;&gt;0, TRUNC(G85*H85, 1), "")</f>
        <v>1170</v>
      </c>
      <c r="J85" s="15">
        <v>0.3</v>
      </c>
      <c r="K85" s="15">
        <f>합산자재!I70</f>
        <v>0</v>
      </c>
      <c r="L85" s="53" t="str">
        <f t="shared" ref="L85:L92" si="36">IF(G85*K85&lt;&gt;0, TRUNC(G85*K85, 1), "")</f>
        <v/>
      </c>
      <c r="M85" s="15">
        <f>합산자재!J70</f>
        <v>0</v>
      </c>
      <c r="N85" s="53" t="str">
        <f t="shared" ref="N85:N92" si="37">IF(G85*M85&lt;&gt;0, TRUNC(G85*M85, 1), "")</f>
        <v/>
      </c>
      <c r="O85" s="15">
        <f t="shared" ref="O85:O93" si="38">IF((H85+K85+M85)=0, "", (H85+K85+M85))</f>
        <v>3900</v>
      </c>
      <c r="P85" s="15">
        <f t="shared" ref="P85:P93" si="39">IF(SUM(I85,L85,N85)&lt;&gt;0,SUM(I85,L85,N85),"")</f>
        <v>1170</v>
      </c>
      <c r="Q85" s="12"/>
    </row>
    <row r="86" spans="1:17" ht="23.25" customHeight="1" x14ac:dyDescent="0.15">
      <c r="A86" s="13" t="s">
        <v>1115</v>
      </c>
      <c r="B86" s="13" t="s">
        <v>1702</v>
      </c>
      <c r="C86" s="1" t="s">
        <v>391</v>
      </c>
      <c r="D86" s="12" t="s">
        <v>392</v>
      </c>
      <c r="E86" s="12" t="s">
        <v>393</v>
      </c>
      <c r="F86" s="31" t="s">
        <v>200</v>
      </c>
      <c r="G86" s="15">
        <v>2</v>
      </c>
      <c r="H86" s="15">
        <f>합산자재!H91</f>
        <v>920</v>
      </c>
      <c r="I86" s="53">
        <f t="shared" si="35"/>
        <v>1840</v>
      </c>
      <c r="J86" s="15">
        <v>2</v>
      </c>
      <c r="K86" s="15">
        <f>합산자재!I91</f>
        <v>0</v>
      </c>
      <c r="L86" s="53" t="str">
        <f t="shared" si="36"/>
        <v/>
      </c>
      <c r="M86" s="15">
        <f>합산자재!J91</f>
        <v>0</v>
      </c>
      <c r="N86" s="53" t="str">
        <f t="shared" si="37"/>
        <v/>
      </c>
      <c r="O86" s="15">
        <f t="shared" si="38"/>
        <v>920</v>
      </c>
      <c r="P86" s="15">
        <f t="shared" si="39"/>
        <v>1840</v>
      </c>
      <c r="Q86" s="12"/>
    </row>
    <row r="87" spans="1:17" ht="23.25" customHeight="1" x14ac:dyDescent="0.15">
      <c r="A87" s="13" t="s">
        <v>1114</v>
      </c>
      <c r="B87" s="13" t="s">
        <v>1702</v>
      </c>
      <c r="C87" s="1" t="s">
        <v>387</v>
      </c>
      <c r="D87" s="12" t="s">
        <v>388</v>
      </c>
      <c r="E87" s="12" t="s">
        <v>389</v>
      </c>
      <c r="F87" s="31" t="s">
        <v>200</v>
      </c>
      <c r="G87" s="15">
        <v>2</v>
      </c>
      <c r="H87" s="15">
        <f>합산자재!H90</f>
        <v>18000</v>
      </c>
      <c r="I87" s="53">
        <f t="shared" si="35"/>
        <v>36000</v>
      </c>
      <c r="J87" s="15">
        <v>2</v>
      </c>
      <c r="K87" s="15">
        <f>합산자재!I90</f>
        <v>0</v>
      </c>
      <c r="L87" s="53" t="str">
        <f t="shared" si="36"/>
        <v/>
      </c>
      <c r="M87" s="15">
        <f>합산자재!J90</f>
        <v>0</v>
      </c>
      <c r="N87" s="53" t="str">
        <f t="shared" si="37"/>
        <v/>
      </c>
      <c r="O87" s="15">
        <f t="shared" si="38"/>
        <v>18000</v>
      </c>
      <c r="P87" s="15">
        <f t="shared" si="39"/>
        <v>36000</v>
      </c>
      <c r="Q87" s="12"/>
    </row>
    <row r="88" spans="1:17" ht="23.25" customHeight="1" x14ac:dyDescent="0.15">
      <c r="A88" s="13" t="s">
        <v>1197</v>
      </c>
      <c r="B88" s="13" t="s">
        <v>1702</v>
      </c>
      <c r="C88" s="1" t="s">
        <v>646</v>
      </c>
      <c r="D88" s="12" t="s">
        <v>643</v>
      </c>
      <c r="E88" s="12" t="s">
        <v>639</v>
      </c>
      <c r="F88" s="31" t="s">
        <v>289</v>
      </c>
      <c r="G88" s="15">
        <v>4</v>
      </c>
      <c r="H88" s="15">
        <f>합산자재!H173</f>
        <v>28</v>
      </c>
      <c r="I88" s="53">
        <f t="shared" si="35"/>
        <v>112</v>
      </c>
      <c r="J88" s="15">
        <v>4</v>
      </c>
      <c r="K88" s="15">
        <f>합산자재!I173</f>
        <v>0</v>
      </c>
      <c r="L88" s="53" t="str">
        <f t="shared" si="36"/>
        <v/>
      </c>
      <c r="M88" s="15">
        <f>합산자재!J173</f>
        <v>0</v>
      </c>
      <c r="N88" s="53" t="str">
        <f t="shared" si="37"/>
        <v/>
      </c>
      <c r="O88" s="15">
        <f t="shared" si="38"/>
        <v>28</v>
      </c>
      <c r="P88" s="15">
        <f t="shared" si="39"/>
        <v>112</v>
      </c>
      <c r="Q88" s="12"/>
    </row>
    <row r="89" spans="1:17" ht="23.25" customHeight="1" x14ac:dyDescent="0.15">
      <c r="A89" s="13" t="s">
        <v>1198</v>
      </c>
      <c r="B89" s="13" t="s">
        <v>1702</v>
      </c>
      <c r="C89" s="1" t="s">
        <v>647</v>
      </c>
      <c r="D89" s="12" t="s">
        <v>648</v>
      </c>
      <c r="E89" s="12" t="s">
        <v>649</v>
      </c>
      <c r="F89" s="31" t="s">
        <v>289</v>
      </c>
      <c r="G89" s="15">
        <v>4</v>
      </c>
      <c r="H89" s="15">
        <f>합산자재!H174</f>
        <v>9</v>
      </c>
      <c r="I89" s="53">
        <f t="shared" si="35"/>
        <v>36</v>
      </c>
      <c r="J89" s="15">
        <v>4</v>
      </c>
      <c r="K89" s="15">
        <f>합산자재!I174</f>
        <v>0</v>
      </c>
      <c r="L89" s="53" t="str">
        <f t="shared" si="36"/>
        <v/>
      </c>
      <c r="M89" s="15">
        <f>합산자재!J174</f>
        <v>0</v>
      </c>
      <c r="N89" s="53" t="str">
        <f t="shared" si="37"/>
        <v/>
      </c>
      <c r="O89" s="15">
        <f t="shared" si="38"/>
        <v>9</v>
      </c>
      <c r="P89" s="15">
        <f t="shared" si="39"/>
        <v>36</v>
      </c>
      <c r="Q89" s="12"/>
    </row>
    <row r="90" spans="1:17" ht="23.25" customHeight="1" x14ac:dyDescent="0.15">
      <c r="A90" s="13" t="s">
        <v>1091</v>
      </c>
      <c r="B90" s="13" t="s">
        <v>1702</v>
      </c>
      <c r="C90" s="1" t="s">
        <v>333</v>
      </c>
      <c r="D90" s="12" t="s">
        <v>322</v>
      </c>
      <c r="E90" s="12" t="s">
        <v>334</v>
      </c>
      <c r="F90" s="31" t="s">
        <v>200</v>
      </c>
      <c r="G90" s="15">
        <v>2</v>
      </c>
      <c r="H90" s="15">
        <f>합산자재!H67</f>
        <v>547</v>
      </c>
      <c r="I90" s="53">
        <f t="shared" si="35"/>
        <v>1094</v>
      </c>
      <c r="J90" s="15">
        <v>2</v>
      </c>
      <c r="K90" s="15">
        <f>합산자재!I67</f>
        <v>0</v>
      </c>
      <c r="L90" s="53" t="str">
        <f t="shared" si="36"/>
        <v/>
      </c>
      <c r="M90" s="15">
        <f>합산자재!J67</f>
        <v>0</v>
      </c>
      <c r="N90" s="53" t="str">
        <f t="shared" si="37"/>
        <v/>
      </c>
      <c r="O90" s="15">
        <f t="shared" si="38"/>
        <v>547</v>
      </c>
      <c r="P90" s="15">
        <f t="shared" si="39"/>
        <v>1094</v>
      </c>
      <c r="Q90" s="12"/>
    </row>
    <row r="91" spans="1:17" ht="23.25" customHeight="1" x14ac:dyDescent="0.15">
      <c r="A91" s="13" t="s">
        <v>1372</v>
      </c>
      <c r="B91" s="13" t="s">
        <v>1702</v>
      </c>
      <c r="C91" s="1" t="s">
        <v>1002</v>
      </c>
      <c r="D91" s="12" t="s">
        <v>1003</v>
      </c>
      <c r="E91" s="12" t="s">
        <v>1004</v>
      </c>
      <c r="F91" s="31" t="s">
        <v>999</v>
      </c>
      <c r="G91" s="15">
        <f>일위노임!G27</f>
        <v>7.1999999999999995E-2</v>
      </c>
      <c r="H91" s="15">
        <f>합산자재!H345</f>
        <v>0</v>
      </c>
      <c r="I91" s="53" t="str">
        <f t="shared" si="35"/>
        <v/>
      </c>
      <c r="J91" s="15">
        <v>7.1999999999999995E-2</v>
      </c>
      <c r="K91" s="15">
        <f>합산자재!I345</f>
        <v>273676</v>
      </c>
      <c r="L91" s="53">
        <f t="shared" si="36"/>
        <v>19704.599999999999</v>
      </c>
      <c r="M91" s="15">
        <f>합산자재!J345</f>
        <v>0</v>
      </c>
      <c r="N91" s="53" t="str">
        <f t="shared" si="37"/>
        <v/>
      </c>
      <c r="O91" s="15">
        <f t="shared" si="38"/>
        <v>273676</v>
      </c>
      <c r="P91" s="15">
        <f t="shared" si="39"/>
        <v>19704.599999999999</v>
      </c>
      <c r="Q91" s="12"/>
    </row>
    <row r="92" spans="1:17" ht="23.25" customHeight="1" x14ac:dyDescent="0.15">
      <c r="A92" s="13" t="s">
        <v>2362</v>
      </c>
      <c r="B92" s="13" t="s">
        <v>1702</v>
      </c>
      <c r="C92" s="1" t="s">
        <v>2363</v>
      </c>
      <c r="D92" s="12" t="s">
        <v>2364</v>
      </c>
      <c r="E92" s="12" t="s">
        <v>2365</v>
      </c>
      <c r="F92" s="31" t="s">
        <v>792</v>
      </c>
      <c r="G92" s="15">
        <v>1</v>
      </c>
      <c r="H92" s="15">
        <v>394</v>
      </c>
      <c r="I92" s="53">
        <f t="shared" si="35"/>
        <v>394</v>
      </c>
      <c r="J92" s="15">
        <v>1</v>
      </c>
      <c r="K92" s="15"/>
      <c r="L92" s="53" t="str">
        <f t="shared" si="36"/>
        <v/>
      </c>
      <c r="M92" s="15"/>
      <c r="N92" s="53" t="str">
        <f t="shared" si="37"/>
        <v/>
      </c>
      <c r="O92" s="15">
        <f t="shared" si="38"/>
        <v>394</v>
      </c>
      <c r="P92" s="15">
        <f t="shared" si="39"/>
        <v>394</v>
      </c>
      <c r="Q92" s="12"/>
    </row>
    <row r="93" spans="1:17" ht="23.25" customHeight="1" x14ac:dyDescent="0.15">
      <c r="B93" s="13" t="s">
        <v>2360</v>
      </c>
      <c r="D93" s="12" t="s">
        <v>2361</v>
      </c>
      <c r="E93" s="12"/>
      <c r="F93" s="31"/>
      <c r="G93" s="15"/>
      <c r="H93" s="15"/>
      <c r="I93" s="53">
        <f>TRUNC(SUM(I84:I92))</f>
        <v>40646</v>
      </c>
      <c r="J93" s="15"/>
      <c r="K93" s="15"/>
      <c r="L93" s="53">
        <f>TRUNC(SUM(L84:L92))</f>
        <v>19704</v>
      </c>
      <c r="M93" s="15"/>
      <c r="N93" s="53">
        <f>TRUNC(SUM(N84:N92))</f>
        <v>0</v>
      </c>
      <c r="O93" s="15" t="str">
        <f t="shared" si="38"/>
        <v/>
      </c>
      <c r="P93" s="15">
        <f t="shared" si="39"/>
        <v>60350</v>
      </c>
      <c r="Q93" s="12"/>
    </row>
    <row r="94" spans="1:17" ht="23.25" customHeight="1" x14ac:dyDescent="0.15">
      <c r="D94" s="12"/>
      <c r="E94" s="12"/>
      <c r="F94" s="31"/>
      <c r="G94" s="15"/>
      <c r="H94" s="15"/>
      <c r="I94" s="53"/>
      <c r="J94" s="15"/>
      <c r="K94" s="15"/>
      <c r="L94" s="53"/>
      <c r="M94" s="15"/>
      <c r="N94" s="53"/>
      <c r="O94" s="15"/>
      <c r="P94" s="15"/>
      <c r="Q94" s="12"/>
    </row>
    <row r="95" spans="1:17" ht="23.25" customHeight="1" x14ac:dyDescent="0.15">
      <c r="A95" s="13" t="s">
        <v>2412</v>
      </c>
      <c r="B95" s="13" t="s">
        <v>2382</v>
      </c>
      <c r="C95" s="1" t="s">
        <v>2413</v>
      </c>
      <c r="D95" s="170" t="s">
        <v>2411</v>
      </c>
      <c r="E95" s="172"/>
      <c r="F95" s="31"/>
      <c r="G95" s="15"/>
      <c r="H95" s="15"/>
      <c r="I95" s="53"/>
      <c r="J95" s="15"/>
      <c r="K95" s="15"/>
      <c r="L95" s="53"/>
      <c r="M95" s="15"/>
      <c r="N95" s="53"/>
      <c r="O95" s="15"/>
      <c r="P95" s="15"/>
      <c r="Q95" s="12"/>
    </row>
    <row r="96" spans="1:17" ht="23.25" customHeight="1" x14ac:dyDescent="0.15">
      <c r="A96" s="13" t="s">
        <v>1094</v>
      </c>
      <c r="B96" s="13" t="s">
        <v>1707</v>
      </c>
      <c r="C96" s="1" t="s">
        <v>339</v>
      </c>
      <c r="D96" s="12" t="s">
        <v>322</v>
      </c>
      <c r="E96" s="12" t="s">
        <v>340</v>
      </c>
      <c r="F96" s="31" t="s">
        <v>166</v>
      </c>
      <c r="G96" s="15">
        <v>0.4</v>
      </c>
      <c r="H96" s="15">
        <f>합산자재!H70</f>
        <v>3900</v>
      </c>
      <c r="I96" s="53">
        <f t="shared" ref="I96:I103" si="40">IF(G96*H96&lt;&gt;0, TRUNC(G96*H96, 1), "")</f>
        <v>1560</v>
      </c>
      <c r="J96" s="15">
        <v>0.4</v>
      </c>
      <c r="K96" s="15">
        <f>합산자재!I70</f>
        <v>0</v>
      </c>
      <c r="L96" s="53" t="str">
        <f t="shared" ref="L96:L103" si="41">IF(G96*K96&lt;&gt;0, TRUNC(G96*K96, 1), "")</f>
        <v/>
      </c>
      <c r="M96" s="15">
        <f>합산자재!J70</f>
        <v>0</v>
      </c>
      <c r="N96" s="53" t="str">
        <f t="shared" ref="N96:N103" si="42">IF(G96*M96&lt;&gt;0, TRUNC(G96*M96, 1), "")</f>
        <v/>
      </c>
      <c r="O96" s="15">
        <f t="shared" ref="O96:O104" si="43">IF((H96+K96+M96)=0, "", (H96+K96+M96))</f>
        <v>3900</v>
      </c>
      <c r="P96" s="15">
        <f t="shared" ref="P96:P104" si="44">IF(SUM(I96,L96,N96)&lt;&gt;0,SUM(I96,L96,N96),"")</f>
        <v>1560</v>
      </c>
      <c r="Q96" s="12"/>
    </row>
    <row r="97" spans="1:17" ht="23.25" customHeight="1" x14ac:dyDescent="0.15">
      <c r="A97" s="13" t="s">
        <v>1115</v>
      </c>
      <c r="B97" s="13" t="s">
        <v>1707</v>
      </c>
      <c r="C97" s="1" t="s">
        <v>391</v>
      </c>
      <c r="D97" s="12" t="s">
        <v>392</v>
      </c>
      <c r="E97" s="12" t="s">
        <v>393</v>
      </c>
      <c r="F97" s="31" t="s">
        <v>200</v>
      </c>
      <c r="G97" s="15">
        <v>2</v>
      </c>
      <c r="H97" s="15">
        <f>합산자재!H91</f>
        <v>920</v>
      </c>
      <c r="I97" s="53">
        <f t="shared" si="40"/>
        <v>1840</v>
      </c>
      <c r="J97" s="15">
        <v>2</v>
      </c>
      <c r="K97" s="15">
        <f>합산자재!I91</f>
        <v>0</v>
      </c>
      <c r="L97" s="53" t="str">
        <f t="shared" si="41"/>
        <v/>
      </c>
      <c r="M97" s="15">
        <f>합산자재!J91</f>
        <v>0</v>
      </c>
      <c r="N97" s="53" t="str">
        <f t="shared" si="42"/>
        <v/>
      </c>
      <c r="O97" s="15">
        <f t="shared" si="43"/>
        <v>920</v>
      </c>
      <c r="P97" s="15">
        <f t="shared" si="44"/>
        <v>1840</v>
      </c>
      <c r="Q97" s="12"/>
    </row>
    <row r="98" spans="1:17" ht="23.25" customHeight="1" x14ac:dyDescent="0.15">
      <c r="A98" s="13" t="s">
        <v>1114</v>
      </c>
      <c r="B98" s="13" t="s">
        <v>1707</v>
      </c>
      <c r="C98" s="1" t="s">
        <v>387</v>
      </c>
      <c r="D98" s="12" t="s">
        <v>388</v>
      </c>
      <c r="E98" s="12" t="s">
        <v>389</v>
      </c>
      <c r="F98" s="31" t="s">
        <v>200</v>
      </c>
      <c r="G98" s="15">
        <v>2</v>
      </c>
      <c r="H98" s="15">
        <f>합산자재!H90</f>
        <v>18000</v>
      </c>
      <c r="I98" s="53">
        <f t="shared" si="40"/>
        <v>36000</v>
      </c>
      <c r="J98" s="15">
        <v>2</v>
      </c>
      <c r="K98" s="15">
        <f>합산자재!I90</f>
        <v>0</v>
      </c>
      <c r="L98" s="53" t="str">
        <f t="shared" si="41"/>
        <v/>
      </c>
      <c r="M98" s="15">
        <f>합산자재!J90</f>
        <v>0</v>
      </c>
      <c r="N98" s="53" t="str">
        <f t="shared" si="42"/>
        <v/>
      </c>
      <c r="O98" s="15">
        <f t="shared" si="43"/>
        <v>18000</v>
      </c>
      <c r="P98" s="15">
        <f t="shared" si="44"/>
        <v>36000</v>
      </c>
      <c r="Q98" s="12"/>
    </row>
    <row r="99" spans="1:17" ht="23.25" customHeight="1" x14ac:dyDescent="0.15">
      <c r="A99" s="13" t="s">
        <v>1197</v>
      </c>
      <c r="B99" s="13" t="s">
        <v>1707</v>
      </c>
      <c r="C99" s="1" t="s">
        <v>646</v>
      </c>
      <c r="D99" s="12" t="s">
        <v>643</v>
      </c>
      <c r="E99" s="12" t="s">
        <v>639</v>
      </c>
      <c r="F99" s="31" t="s">
        <v>289</v>
      </c>
      <c r="G99" s="15">
        <v>4</v>
      </c>
      <c r="H99" s="15">
        <f>합산자재!H173</f>
        <v>28</v>
      </c>
      <c r="I99" s="53">
        <f t="shared" si="40"/>
        <v>112</v>
      </c>
      <c r="J99" s="15">
        <v>4</v>
      </c>
      <c r="K99" s="15">
        <f>합산자재!I173</f>
        <v>0</v>
      </c>
      <c r="L99" s="53" t="str">
        <f t="shared" si="41"/>
        <v/>
      </c>
      <c r="M99" s="15">
        <f>합산자재!J173</f>
        <v>0</v>
      </c>
      <c r="N99" s="53" t="str">
        <f t="shared" si="42"/>
        <v/>
      </c>
      <c r="O99" s="15">
        <f t="shared" si="43"/>
        <v>28</v>
      </c>
      <c r="P99" s="15">
        <f t="shared" si="44"/>
        <v>112</v>
      </c>
      <c r="Q99" s="12"/>
    </row>
    <row r="100" spans="1:17" ht="23.25" customHeight="1" x14ac:dyDescent="0.15">
      <c r="A100" s="13" t="s">
        <v>1198</v>
      </c>
      <c r="B100" s="13" t="s">
        <v>1707</v>
      </c>
      <c r="C100" s="1" t="s">
        <v>647</v>
      </c>
      <c r="D100" s="12" t="s">
        <v>648</v>
      </c>
      <c r="E100" s="12" t="s">
        <v>649</v>
      </c>
      <c r="F100" s="31" t="s">
        <v>289</v>
      </c>
      <c r="G100" s="15">
        <v>4</v>
      </c>
      <c r="H100" s="15">
        <f>합산자재!H174</f>
        <v>9</v>
      </c>
      <c r="I100" s="53">
        <f t="shared" si="40"/>
        <v>36</v>
      </c>
      <c r="J100" s="15">
        <v>4</v>
      </c>
      <c r="K100" s="15">
        <f>합산자재!I174</f>
        <v>0</v>
      </c>
      <c r="L100" s="53" t="str">
        <f t="shared" si="41"/>
        <v/>
      </c>
      <c r="M100" s="15">
        <f>합산자재!J174</f>
        <v>0</v>
      </c>
      <c r="N100" s="53" t="str">
        <f t="shared" si="42"/>
        <v/>
      </c>
      <c r="O100" s="15">
        <f t="shared" si="43"/>
        <v>9</v>
      </c>
      <c r="P100" s="15">
        <f t="shared" si="44"/>
        <v>36</v>
      </c>
      <c r="Q100" s="12"/>
    </row>
    <row r="101" spans="1:17" ht="23.25" customHeight="1" x14ac:dyDescent="0.15">
      <c r="A101" s="13" t="s">
        <v>1091</v>
      </c>
      <c r="B101" s="13" t="s">
        <v>1707</v>
      </c>
      <c r="C101" s="1" t="s">
        <v>333</v>
      </c>
      <c r="D101" s="12" t="s">
        <v>322</v>
      </c>
      <c r="E101" s="12" t="s">
        <v>334</v>
      </c>
      <c r="F101" s="31" t="s">
        <v>200</v>
      </c>
      <c r="G101" s="15">
        <v>2</v>
      </c>
      <c r="H101" s="15">
        <f>합산자재!H67</f>
        <v>547</v>
      </c>
      <c r="I101" s="53">
        <f t="shared" si="40"/>
        <v>1094</v>
      </c>
      <c r="J101" s="15">
        <v>2</v>
      </c>
      <c r="K101" s="15">
        <f>합산자재!I67</f>
        <v>0</v>
      </c>
      <c r="L101" s="53" t="str">
        <f t="shared" si="41"/>
        <v/>
      </c>
      <c r="M101" s="15">
        <f>합산자재!J67</f>
        <v>0</v>
      </c>
      <c r="N101" s="53" t="str">
        <f t="shared" si="42"/>
        <v/>
      </c>
      <c r="O101" s="15">
        <f t="shared" si="43"/>
        <v>547</v>
      </c>
      <c r="P101" s="15">
        <f t="shared" si="44"/>
        <v>1094</v>
      </c>
      <c r="Q101" s="12"/>
    </row>
    <row r="102" spans="1:17" ht="23.25" customHeight="1" x14ac:dyDescent="0.15">
      <c r="A102" s="13" t="s">
        <v>1372</v>
      </c>
      <c r="B102" s="13" t="s">
        <v>1707</v>
      </c>
      <c r="C102" s="1" t="s">
        <v>1002</v>
      </c>
      <c r="D102" s="12" t="s">
        <v>1003</v>
      </c>
      <c r="E102" s="12" t="s">
        <v>1004</v>
      </c>
      <c r="F102" s="31" t="s">
        <v>999</v>
      </c>
      <c r="G102" s="15">
        <f>일위노임!G30</f>
        <v>7.1999999999999995E-2</v>
      </c>
      <c r="H102" s="15">
        <f>합산자재!H345</f>
        <v>0</v>
      </c>
      <c r="I102" s="53" t="str">
        <f t="shared" si="40"/>
        <v/>
      </c>
      <c r="J102" s="15">
        <v>7.1999999999999995E-2</v>
      </c>
      <c r="K102" s="15">
        <f>합산자재!I345</f>
        <v>273676</v>
      </c>
      <c r="L102" s="53">
        <f t="shared" si="41"/>
        <v>19704.599999999999</v>
      </c>
      <c r="M102" s="15">
        <f>합산자재!J345</f>
        <v>0</v>
      </c>
      <c r="N102" s="53" t="str">
        <f t="shared" si="42"/>
        <v/>
      </c>
      <c r="O102" s="15">
        <f t="shared" si="43"/>
        <v>273676</v>
      </c>
      <c r="P102" s="15">
        <f t="shared" si="44"/>
        <v>19704.599999999999</v>
      </c>
      <c r="Q102" s="12"/>
    </row>
    <row r="103" spans="1:17" ht="23.25" customHeight="1" x14ac:dyDescent="0.15">
      <c r="A103" s="13" t="s">
        <v>2362</v>
      </c>
      <c r="B103" s="13" t="s">
        <v>1707</v>
      </c>
      <c r="C103" s="1" t="s">
        <v>2363</v>
      </c>
      <c r="D103" s="12" t="s">
        <v>2364</v>
      </c>
      <c r="E103" s="12" t="s">
        <v>2365</v>
      </c>
      <c r="F103" s="31" t="s">
        <v>792</v>
      </c>
      <c r="G103" s="15">
        <v>1</v>
      </c>
      <c r="H103" s="15">
        <v>394</v>
      </c>
      <c r="I103" s="53">
        <f t="shared" si="40"/>
        <v>394</v>
      </c>
      <c r="J103" s="15">
        <v>1</v>
      </c>
      <c r="K103" s="15"/>
      <c r="L103" s="53" t="str">
        <f t="shared" si="41"/>
        <v/>
      </c>
      <c r="M103" s="15"/>
      <c r="N103" s="53" t="str">
        <f t="shared" si="42"/>
        <v/>
      </c>
      <c r="O103" s="15">
        <f t="shared" si="43"/>
        <v>394</v>
      </c>
      <c r="P103" s="15">
        <f t="shared" si="44"/>
        <v>394</v>
      </c>
      <c r="Q103" s="12"/>
    </row>
    <row r="104" spans="1:17" ht="23.25" customHeight="1" x14ac:dyDescent="0.15">
      <c r="B104" s="13" t="s">
        <v>2360</v>
      </c>
      <c r="D104" s="12" t="s">
        <v>2361</v>
      </c>
      <c r="E104" s="12"/>
      <c r="F104" s="31"/>
      <c r="G104" s="15"/>
      <c r="H104" s="15"/>
      <c r="I104" s="53">
        <f>TRUNC(SUM(I95:I103))</f>
        <v>41036</v>
      </c>
      <c r="J104" s="15"/>
      <c r="K104" s="15"/>
      <c r="L104" s="53">
        <f>TRUNC(SUM(L95:L103))</f>
        <v>19704</v>
      </c>
      <c r="M104" s="15"/>
      <c r="N104" s="53">
        <f>TRUNC(SUM(N95:N103))</f>
        <v>0</v>
      </c>
      <c r="O104" s="15" t="str">
        <f t="shared" si="43"/>
        <v/>
      </c>
      <c r="P104" s="15">
        <f t="shared" si="44"/>
        <v>60740</v>
      </c>
      <c r="Q104" s="12"/>
    </row>
    <row r="105" spans="1:17" ht="23.25" customHeight="1" x14ac:dyDescent="0.15">
      <c r="D105" s="12"/>
      <c r="E105" s="12"/>
      <c r="F105" s="31"/>
      <c r="G105" s="15"/>
      <c r="H105" s="15"/>
      <c r="I105" s="53"/>
      <c r="J105" s="15"/>
      <c r="K105" s="15"/>
      <c r="L105" s="53"/>
      <c r="M105" s="15"/>
      <c r="N105" s="53"/>
      <c r="O105" s="15"/>
      <c r="P105" s="15"/>
      <c r="Q105" s="12"/>
    </row>
    <row r="106" spans="1:17" ht="23.25" customHeight="1" x14ac:dyDescent="0.15">
      <c r="A106" s="13" t="s">
        <v>2415</v>
      </c>
      <c r="B106" s="13" t="s">
        <v>2382</v>
      </c>
      <c r="C106" s="1" t="s">
        <v>2416</v>
      </c>
      <c r="D106" s="170" t="s">
        <v>2414</v>
      </c>
      <c r="E106" s="172"/>
      <c r="F106" s="31"/>
      <c r="G106" s="15"/>
      <c r="H106" s="15"/>
      <c r="I106" s="53"/>
      <c r="J106" s="15"/>
      <c r="K106" s="15"/>
      <c r="L106" s="53"/>
      <c r="M106" s="15"/>
      <c r="N106" s="53"/>
      <c r="O106" s="15"/>
      <c r="P106" s="15"/>
      <c r="Q106" s="12"/>
    </row>
    <row r="107" spans="1:17" ht="23.25" customHeight="1" x14ac:dyDescent="0.15">
      <c r="A107" s="13" t="s">
        <v>1094</v>
      </c>
      <c r="B107" s="13" t="s">
        <v>1711</v>
      </c>
      <c r="C107" s="1" t="s">
        <v>339</v>
      </c>
      <c r="D107" s="12" t="s">
        <v>322</v>
      </c>
      <c r="E107" s="12" t="s">
        <v>340</v>
      </c>
      <c r="F107" s="31" t="s">
        <v>166</v>
      </c>
      <c r="G107" s="15">
        <v>0.9</v>
      </c>
      <c r="H107" s="15">
        <f>합산자재!H70</f>
        <v>3900</v>
      </c>
      <c r="I107" s="53">
        <f t="shared" ref="I107:I114" si="45">IF(G107*H107&lt;&gt;0, TRUNC(G107*H107, 1), "")</f>
        <v>3510</v>
      </c>
      <c r="J107" s="15">
        <v>0.9</v>
      </c>
      <c r="K107" s="15">
        <f>합산자재!I70</f>
        <v>0</v>
      </c>
      <c r="L107" s="53" t="str">
        <f t="shared" ref="L107:L114" si="46">IF(G107*K107&lt;&gt;0, TRUNC(G107*K107, 1), "")</f>
        <v/>
      </c>
      <c r="M107" s="15">
        <f>합산자재!J70</f>
        <v>0</v>
      </c>
      <c r="N107" s="53" t="str">
        <f t="shared" ref="N107:N114" si="47">IF(G107*M107&lt;&gt;0, TRUNC(G107*M107, 1), "")</f>
        <v/>
      </c>
      <c r="O107" s="15">
        <f t="shared" ref="O107:O115" si="48">IF((H107+K107+M107)=0, "", (H107+K107+M107))</f>
        <v>3900</v>
      </c>
      <c r="P107" s="15">
        <f t="shared" ref="P107:P115" si="49">IF(SUM(I107,L107,N107)&lt;&gt;0,SUM(I107,L107,N107),"")</f>
        <v>3510</v>
      </c>
      <c r="Q107" s="12"/>
    </row>
    <row r="108" spans="1:17" ht="23.25" customHeight="1" x14ac:dyDescent="0.15">
      <c r="A108" s="13" t="s">
        <v>1115</v>
      </c>
      <c r="B108" s="13" t="s">
        <v>1711</v>
      </c>
      <c r="C108" s="1" t="s">
        <v>391</v>
      </c>
      <c r="D108" s="12" t="s">
        <v>392</v>
      </c>
      <c r="E108" s="12" t="s">
        <v>393</v>
      </c>
      <c r="F108" s="31" t="s">
        <v>200</v>
      </c>
      <c r="G108" s="15">
        <v>2</v>
      </c>
      <c r="H108" s="15">
        <f>합산자재!H91</f>
        <v>920</v>
      </c>
      <c r="I108" s="53">
        <f t="shared" si="45"/>
        <v>1840</v>
      </c>
      <c r="J108" s="15">
        <v>2</v>
      </c>
      <c r="K108" s="15">
        <f>합산자재!I91</f>
        <v>0</v>
      </c>
      <c r="L108" s="53" t="str">
        <f t="shared" si="46"/>
        <v/>
      </c>
      <c r="M108" s="15">
        <f>합산자재!J91</f>
        <v>0</v>
      </c>
      <c r="N108" s="53" t="str">
        <f t="shared" si="47"/>
        <v/>
      </c>
      <c r="O108" s="15">
        <f t="shared" si="48"/>
        <v>920</v>
      </c>
      <c r="P108" s="15">
        <f t="shared" si="49"/>
        <v>1840</v>
      </c>
      <c r="Q108" s="12"/>
    </row>
    <row r="109" spans="1:17" ht="23.25" customHeight="1" x14ac:dyDescent="0.15">
      <c r="A109" s="13" t="s">
        <v>1114</v>
      </c>
      <c r="B109" s="13" t="s">
        <v>1711</v>
      </c>
      <c r="C109" s="1" t="s">
        <v>387</v>
      </c>
      <c r="D109" s="12" t="s">
        <v>388</v>
      </c>
      <c r="E109" s="12" t="s">
        <v>389</v>
      </c>
      <c r="F109" s="31" t="s">
        <v>200</v>
      </c>
      <c r="G109" s="15">
        <v>2</v>
      </c>
      <c r="H109" s="15">
        <f>합산자재!H90</f>
        <v>18000</v>
      </c>
      <c r="I109" s="53">
        <f t="shared" si="45"/>
        <v>36000</v>
      </c>
      <c r="J109" s="15">
        <v>2</v>
      </c>
      <c r="K109" s="15">
        <f>합산자재!I90</f>
        <v>0</v>
      </c>
      <c r="L109" s="53" t="str">
        <f t="shared" si="46"/>
        <v/>
      </c>
      <c r="M109" s="15">
        <f>합산자재!J90</f>
        <v>0</v>
      </c>
      <c r="N109" s="53" t="str">
        <f t="shared" si="47"/>
        <v/>
      </c>
      <c r="O109" s="15">
        <f t="shared" si="48"/>
        <v>18000</v>
      </c>
      <c r="P109" s="15">
        <f t="shared" si="49"/>
        <v>36000</v>
      </c>
      <c r="Q109" s="12"/>
    </row>
    <row r="110" spans="1:17" ht="23.25" customHeight="1" x14ac:dyDescent="0.15">
      <c r="A110" s="13" t="s">
        <v>1197</v>
      </c>
      <c r="B110" s="13" t="s">
        <v>1711</v>
      </c>
      <c r="C110" s="1" t="s">
        <v>646</v>
      </c>
      <c r="D110" s="12" t="s">
        <v>643</v>
      </c>
      <c r="E110" s="12" t="s">
        <v>639</v>
      </c>
      <c r="F110" s="31" t="s">
        <v>289</v>
      </c>
      <c r="G110" s="15">
        <v>4</v>
      </c>
      <c r="H110" s="15">
        <f>합산자재!H173</f>
        <v>28</v>
      </c>
      <c r="I110" s="53">
        <f t="shared" si="45"/>
        <v>112</v>
      </c>
      <c r="J110" s="15">
        <v>4</v>
      </c>
      <c r="K110" s="15">
        <f>합산자재!I173</f>
        <v>0</v>
      </c>
      <c r="L110" s="53" t="str">
        <f t="shared" si="46"/>
        <v/>
      </c>
      <c r="M110" s="15">
        <f>합산자재!J173</f>
        <v>0</v>
      </c>
      <c r="N110" s="53" t="str">
        <f t="shared" si="47"/>
        <v/>
      </c>
      <c r="O110" s="15">
        <f t="shared" si="48"/>
        <v>28</v>
      </c>
      <c r="P110" s="15">
        <f t="shared" si="49"/>
        <v>112</v>
      </c>
      <c r="Q110" s="12"/>
    </row>
    <row r="111" spans="1:17" ht="23.25" customHeight="1" x14ac:dyDescent="0.15">
      <c r="A111" s="13" t="s">
        <v>1198</v>
      </c>
      <c r="B111" s="13" t="s">
        <v>1711</v>
      </c>
      <c r="C111" s="1" t="s">
        <v>647</v>
      </c>
      <c r="D111" s="12" t="s">
        <v>648</v>
      </c>
      <c r="E111" s="12" t="s">
        <v>649</v>
      </c>
      <c r="F111" s="31" t="s">
        <v>289</v>
      </c>
      <c r="G111" s="15">
        <v>4</v>
      </c>
      <c r="H111" s="15">
        <f>합산자재!H174</f>
        <v>9</v>
      </c>
      <c r="I111" s="53">
        <f t="shared" si="45"/>
        <v>36</v>
      </c>
      <c r="J111" s="15">
        <v>4</v>
      </c>
      <c r="K111" s="15">
        <f>합산자재!I174</f>
        <v>0</v>
      </c>
      <c r="L111" s="53" t="str">
        <f t="shared" si="46"/>
        <v/>
      </c>
      <c r="M111" s="15">
        <f>합산자재!J174</f>
        <v>0</v>
      </c>
      <c r="N111" s="53" t="str">
        <f t="shared" si="47"/>
        <v/>
      </c>
      <c r="O111" s="15">
        <f t="shared" si="48"/>
        <v>9</v>
      </c>
      <c r="P111" s="15">
        <f t="shared" si="49"/>
        <v>36</v>
      </c>
      <c r="Q111" s="12"/>
    </row>
    <row r="112" spans="1:17" ht="23.25" customHeight="1" x14ac:dyDescent="0.15">
      <c r="A112" s="13" t="s">
        <v>1091</v>
      </c>
      <c r="B112" s="13" t="s">
        <v>1711</v>
      </c>
      <c r="C112" s="1" t="s">
        <v>333</v>
      </c>
      <c r="D112" s="12" t="s">
        <v>322</v>
      </c>
      <c r="E112" s="12" t="s">
        <v>334</v>
      </c>
      <c r="F112" s="31" t="s">
        <v>200</v>
      </c>
      <c r="G112" s="15">
        <v>2</v>
      </c>
      <c r="H112" s="15">
        <f>합산자재!H67</f>
        <v>547</v>
      </c>
      <c r="I112" s="53">
        <f t="shared" si="45"/>
        <v>1094</v>
      </c>
      <c r="J112" s="15">
        <v>2</v>
      </c>
      <c r="K112" s="15">
        <f>합산자재!I67</f>
        <v>0</v>
      </c>
      <c r="L112" s="53" t="str">
        <f t="shared" si="46"/>
        <v/>
      </c>
      <c r="M112" s="15">
        <f>합산자재!J67</f>
        <v>0</v>
      </c>
      <c r="N112" s="53" t="str">
        <f t="shared" si="47"/>
        <v/>
      </c>
      <c r="O112" s="15">
        <f t="shared" si="48"/>
        <v>547</v>
      </c>
      <c r="P112" s="15">
        <f t="shared" si="49"/>
        <v>1094</v>
      </c>
      <c r="Q112" s="12"/>
    </row>
    <row r="113" spans="1:17" ht="23.25" customHeight="1" x14ac:dyDescent="0.15">
      <c r="A113" s="13" t="s">
        <v>1372</v>
      </c>
      <c r="B113" s="13" t="s">
        <v>1711</v>
      </c>
      <c r="C113" s="1" t="s">
        <v>1002</v>
      </c>
      <c r="D113" s="12" t="s">
        <v>1003</v>
      </c>
      <c r="E113" s="12" t="s">
        <v>1004</v>
      </c>
      <c r="F113" s="31" t="s">
        <v>999</v>
      </c>
      <c r="G113" s="15">
        <f>일위노임!G33</f>
        <v>7.1999999999999995E-2</v>
      </c>
      <c r="H113" s="15">
        <f>합산자재!H345</f>
        <v>0</v>
      </c>
      <c r="I113" s="53" t="str">
        <f t="shared" si="45"/>
        <v/>
      </c>
      <c r="J113" s="15">
        <v>7.1999999999999995E-2</v>
      </c>
      <c r="K113" s="15">
        <f>합산자재!I345</f>
        <v>273676</v>
      </c>
      <c r="L113" s="53">
        <f t="shared" si="46"/>
        <v>19704.599999999999</v>
      </c>
      <c r="M113" s="15">
        <f>합산자재!J345</f>
        <v>0</v>
      </c>
      <c r="N113" s="53" t="str">
        <f t="shared" si="47"/>
        <v/>
      </c>
      <c r="O113" s="15">
        <f t="shared" si="48"/>
        <v>273676</v>
      </c>
      <c r="P113" s="15">
        <f t="shared" si="49"/>
        <v>19704.599999999999</v>
      </c>
      <c r="Q113" s="12"/>
    </row>
    <row r="114" spans="1:17" ht="23.25" customHeight="1" x14ac:dyDescent="0.15">
      <c r="A114" s="13" t="s">
        <v>2362</v>
      </c>
      <c r="B114" s="13" t="s">
        <v>1711</v>
      </c>
      <c r="C114" s="1" t="s">
        <v>2363</v>
      </c>
      <c r="D114" s="12" t="s">
        <v>2364</v>
      </c>
      <c r="E114" s="12" t="s">
        <v>2365</v>
      </c>
      <c r="F114" s="31" t="s">
        <v>792</v>
      </c>
      <c r="G114" s="15">
        <v>1</v>
      </c>
      <c r="H114" s="15">
        <v>394</v>
      </c>
      <c r="I114" s="53">
        <f t="shared" si="45"/>
        <v>394</v>
      </c>
      <c r="J114" s="15">
        <v>1</v>
      </c>
      <c r="K114" s="15"/>
      <c r="L114" s="53" t="str">
        <f t="shared" si="46"/>
        <v/>
      </c>
      <c r="M114" s="15"/>
      <c r="N114" s="53" t="str">
        <f t="shared" si="47"/>
        <v/>
      </c>
      <c r="O114" s="15">
        <f t="shared" si="48"/>
        <v>394</v>
      </c>
      <c r="P114" s="15">
        <f t="shared" si="49"/>
        <v>394</v>
      </c>
      <c r="Q114" s="12"/>
    </row>
    <row r="115" spans="1:17" ht="23.25" customHeight="1" x14ac:dyDescent="0.15">
      <c r="B115" s="13" t="s">
        <v>2360</v>
      </c>
      <c r="D115" s="12" t="s">
        <v>2361</v>
      </c>
      <c r="E115" s="12"/>
      <c r="F115" s="31"/>
      <c r="G115" s="15"/>
      <c r="H115" s="15"/>
      <c r="I115" s="53">
        <f>TRUNC(SUM(I106:I114))</f>
        <v>42986</v>
      </c>
      <c r="J115" s="15"/>
      <c r="K115" s="15"/>
      <c r="L115" s="53">
        <f>TRUNC(SUM(L106:L114))</f>
        <v>19704</v>
      </c>
      <c r="M115" s="15"/>
      <c r="N115" s="53">
        <f>TRUNC(SUM(N106:N114))</f>
        <v>0</v>
      </c>
      <c r="O115" s="15" t="str">
        <f t="shared" si="48"/>
        <v/>
      </c>
      <c r="P115" s="15">
        <f t="shared" si="49"/>
        <v>62690</v>
      </c>
      <c r="Q115" s="12"/>
    </row>
    <row r="116" spans="1:17" ht="23.25" customHeight="1" x14ac:dyDescent="0.15">
      <c r="D116" s="12"/>
      <c r="E116" s="12"/>
      <c r="F116" s="31"/>
      <c r="G116" s="15"/>
      <c r="H116" s="15"/>
      <c r="I116" s="53"/>
      <c r="J116" s="15"/>
      <c r="K116" s="15"/>
      <c r="L116" s="53"/>
      <c r="M116" s="15"/>
      <c r="N116" s="53"/>
      <c r="O116" s="15"/>
      <c r="P116" s="15"/>
      <c r="Q116" s="12"/>
    </row>
    <row r="117" spans="1:17" ht="23.25" customHeight="1" x14ac:dyDescent="0.15">
      <c r="A117" s="13" t="s">
        <v>2418</v>
      </c>
      <c r="B117" s="13" t="s">
        <v>2382</v>
      </c>
      <c r="C117" s="1" t="s">
        <v>2419</v>
      </c>
      <c r="D117" s="170" t="s">
        <v>2417</v>
      </c>
      <c r="E117" s="172"/>
      <c r="F117" s="31"/>
      <c r="G117" s="15"/>
      <c r="H117" s="15"/>
      <c r="I117" s="53"/>
      <c r="J117" s="15"/>
      <c r="K117" s="15"/>
      <c r="L117" s="53"/>
      <c r="M117" s="15"/>
      <c r="N117" s="53"/>
      <c r="O117" s="15"/>
      <c r="P117" s="15"/>
      <c r="Q117" s="12"/>
    </row>
    <row r="118" spans="1:17" ht="23.25" customHeight="1" x14ac:dyDescent="0.15">
      <c r="A118" s="13" t="s">
        <v>1094</v>
      </c>
      <c r="B118" s="13" t="s">
        <v>1715</v>
      </c>
      <c r="C118" s="1" t="s">
        <v>339</v>
      </c>
      <c r="D118" s="12" t="s">
        <v>322</v>
      </c>
      <c r="E118" s="12" t="s">
        <v>340</v>
      </c>
      <c r="F118" s="31" t="s">
        <v>166</v>
      </c>
      <c r="G118" s="15">
        <v>0.9</v>
      </c>
      <c r="H118" s="15">
        <f>합산자재!H70</f>
        <v>3900</v>
      </c>
      <c r="I118" s="53">
        <f t="shared" ref="I118:I125" si="50">IF(G118*H118&lt;&gt;0, TRUNC(G118*H118, 1), "")</f>
        <v>3510</v>
      </c>
      <c r="J118" s="15">
        <v>0.9</v>
      </c>
      <c r="K118" s="15">
        <f>합산자재!I70</f>
        <v>0</v>
      </c>
      <c r="L118" s="53" t="str">
        <f t="shared" ref="L118:L125" si="51">IF(G118*K118&lt;&gt;0, TRUNC(G118*K118, 1), "")</f>
        <v/>
      </c>
      <c r="M118" s="15">
        <f>합산자재!J70</f>
        <v>0</v>
      </c>
      <c r="N118" s="53" t="str">
        <f t="shared" ref="N118:N125" si="52">IF(G118*M118&lt;&gt;0, TRUNC(G118*M118, 1), "")</f>
        <v/>
      </c>
      <c r="O118" s="15">
        <f t="shared" ref="O118:O126" si="53">IF((H118+K118+M118)=0, "", (H118+K118+M118))</f>
        <v>3900</v>
      </c>
      <c r="P118" s="15">
        <f t="shared" ref="P118:P126" si="54">IF(SUM(I118,L118,N118)&lt;&gt;0,SUM(I118,L118,N118),"")</f>
        <v>3510</v>
      </c>
      <c r="Q118" s="12"/>
    </row>
    <row r="119" spans="1:17" ht="23.25" customHeight="1" x14ac:dyDescent="0.15">
      <c r="A119" s="13" t="s">
        <v>1114</v>
      </c>
      <c r="B119" s="13" t="s">
        <v>1715</v>
      </c>
      <c r="C119" s="1" t="s">
        <v>387</v>
      </c>
      <c r="D119" s="12" t="s">
        <v>388</v>
      </c>
      <c r="E119" s="12" t="s">
        <v>389</v>
      </c>
      <c r="F119" s="31" t="s">
        <v>200</v>
      </c>
      <c r="G119" s="15">
        <v>2</v>
      </c>
      <c r="H119" s="15">
        <f>합산자재!H90</f>
        <v>18000</v>
      </c>
      <c r="I119" s="53">
        <f t="shared" si="50"/>
        <v>36000</v>
      </c>
      <c r="J119" s="15">
        <v>2</v>
      </c>
      <c r="K119" s="15">
        <f>합산자재!I90</f>
        <v>0</v>
      </c>
      <c r="L119" s="53" t="str">
        <f t="shared" si="51"/>
        <v/>
      </c>
      <c r="M119" s="15">
        <f>합산자재!J90</f>
        <v>0</v>
      </c>
      <c r="N119" s="53" t="str">
        <f t="shared" si="52"/>
        <v/>
      </c>
      <c r="O119" s="15">
        <f t="shared" si="53"/>
        <v>18000</v>
      </c>
      <c r="P119" s="15">
        <f t="shared" si="54"/>
        <v>36000</v>
      </c>
      <c r="Q119" s="12"/>
    </row>
    <row r="120" spans="1:17" ht="23.25" customHeight="1" x14ac:dyDescent="0.15">
      <c r="A120" s="13" t="s">
        <v>1196</v>
      </c>
      <c r="B120" s="13" t="s">
        <v>1715</v>
      </c>
      <c r="C120" s="1" t="s">
        <v>642</v>
      </c>
      <c r="D120" s="12" t="s">
        <v>643</v>
      </c>
      <c r="E120" s="12" t="s">
        <v>644</v>
      </c>
      <c r="F120" s="31" t="s">
        <v>200</v>
      </c>
      <c r="G120" s="15">
        <v>4</v>
      </c>
      <c r="H120" s="15">
        <f>합산자재!H172</f>
        <v>28</v>
      </c>
      <c r="I120" s="53">
        <f t="shared" si="50"/>
        <v>112</v>
      </c>
      <c r="J120" s="15">
        <v>4</v>
      </c>
      <c r="K120" s="15">
        <f>합산자재!I172</f>
        <v>0</v>
      </c>
      <c r="L120" s="53" t="str">
        <f t="shared" si="51"/>
        <v/>
      </c>
      <c r="M120" s="15">
        <f>합산자재!J172</f>
        <v>0</v>
      </c>
      <c r="N120" s="53" t="str">
        <f t="shared" si="52"/>
        <v/>
      </c>
      <c r="O120" s="15">
        <f t="shared" si="53"/>
        <v>28</v>
      </c>
      <c r="P120" s="15">
        <f t="shared" si="54"/>
        <v>112</v>
      </c>
      <c r="Q120" s="12"/>
    </row>
    <row r="121" spans="1:17" ht="23.25" customHeight="1" x14ac:dyDescent="0.15">
      <c r="A121" s="13" t="s">
        <v>1198</v>
      </c>
      <c r="B121" s="13" t="s">
        <v>1715</v>
      </c>
      <c r="C121" s="1" t="s">
        <v>647</v>
      </c>
      <c r="D121" s="12" t="s">
        <v>648</v>
      </c>
      <c r="E121" s="12" t="s">
        <v>649</v>
      </c>
      <c r="F121" s="31" t="s">
        <v>289</v>
      </c>
      <c r="G121" s="15">
        <v>4</v>
      </c>
      <c r="H121" s="15">
        <f>합산자재!H174</f>
        <v>9</v>
      </c>
      <c r="I121" s="53">
        <f t="shared" si="50"/>
        <v>36</v>
      </c>
      <c r="J121" s="15">
        <v>4</v>
      </c>
      <c r="K121" s="15">
        <f>합산자재!I174</f>
        <v>0</v>
      </c>
      <c r="L121" s="53" t="str">
        <f t="shared" si="51"/>
        <v/>
      </c>
      <c r="M121" s="15">
        <f>합산자재!J174</f>
        <v>0</v>
      </c>
      <c r="N121" s="53" t="str">
        <f t="shared" si="52"/>
        <v/>
      </c>
      <c r="O121" s="15">
        <f t="shared" si="53"/>
        <v>9</v>
      </c>
      <c r="P121" s="15">
        <f t="shared" si="54"/>
        <v>36</v>
      </c>
      <c r="Q121" s="12"/>
    </row>
    <row r="122" spans="1:17" ht="23.25" customHeight="1" x14ac:dyDescent="0.15">
      <c r="A122" s="13" t="s">
        <v>1092</v>
      </c>
      <c r="B122" s="13" t="s">
        <v>1715</v>
      </c>
      <c r="C122" s="1" t="s">
        <v>335</v>
      </c>
      <c r="D122" s="12" t="s">
        <v>322</v>
      </c>
      <c r="E122" s="12" t="s">
        <v>336</v>
      </c>
      <c r="F122" s="31" t="s">
        <v>200</v>
      </c>
      <c r="G122" s="15">
        <v>2</v>
      </c>
      <c r="H122" s="15">
        <f>합산자재!H68</f>
        <v>320</v>
      </c>
      <c r="I122" s="53">
        <f t="shared" si="50"/>
        <v>640</v>
      </c>
      <c r="J122" s="15">
        <v>2</v>
      </c>
      <c r="K122" s="15">
        <f>합산자재!I68</f>
        <v>0</v>
      </c>
      <c r="L122" s="53" t="str">
        <f t="shared" si="51"/>
        <v/>
      </c>
      <c r="M122" s="15">
        <f>합산자재!J68</f>
        <v>0</v>
      </c>
      <c r="N122" s="53" t="str">
        <f t="shared" si="52"/>
        <v/>
      </c>
      <c r="O122" s="15">
        <f t="shared" si="53"/>
        <v>320</v>
      </c>
      <c r="P122" s="15">
        <f t="shared" si="54"/>
        <v>640</v>
      </c>
      <c r="Q122" s="12"/>
    </row>
    <row r="123" spans="1:17" ht="23.25" customHeight="1" x14ac:dyDescent="0.15">
      <c r="A123" s="13" t="s">
        <v>1093</v>
      </c>
      <c r="B123" s="13" t="s">
        <v>1715</v>
      </c>
      <c r="C123" s="1" t="s">
        <v>337</v>
      </c>
      <c r="D123" s="12" t="s">
        <v>322</v>
      </c>
      <c r="E123" s="12" t="s">
        <v>338</v>
      </c>
      <c r="F123" s="31" t="s">
        <v>200</v>
      </c>
      <c r="G123" s="15">
        <v>2</v>
      </c>
      <c r="H123" s="15">
        <f>합산자재!H69</f>
        <v>320</v>
      </c>
      <c r="I123" s="53">
        <f t="shared" si="50"/>
        <v>640</v>
      </c>
      <c r="J123" s="15">
        <v>2</v>
      </c>
      <c r="K123" s="15">
        <f>합산자재!I69</f>
        <v>0</v>
      </c>
      <c r="L123" s="53" t="str">
        <f t="shared" si="51"/>
        <v/>
      </c>
      <c r="M123" s="15">
        <f>합산자재!J69</f>
        <v>0</v>
      </c>
      <c r="N123" s="53" t="str">
        <f t="shared" si="52"/>
        <v/>
      </c>
      <c r="O123" s="15">
        <f t="shared" si="53"/>
        <v>320</v>
      </c>
      <c r="P123" s="15">
        <f t="shared" si="54"/>
        <v>640</v>
      </c>
      <c r="Q123" s="12"/>
    </row>
    <row r="124" spans="1:17" ht="23.25" customHeight="1" x14ac:dyDescent="0.15">
      <c r="A124" s="13" t="s">
        <v>1372</v>
      </c>
      <c r="B124" s="13" t="s">
        <v>1715</v>
      </c>
      <c r="C124" s="1" t="s">
        <v>1002</v>
      </c>
      <c r="D124" s="12" t="s">
        <v>1003</v>
      </c>
      <c r="E124" s="12" t="s">
        <v>1004</v>
      </c>
      <c r="F124" s="31" t="s">
        <v>999</v>
      </c>
      <c r="G124" s="15">
        <f>일위노임!G36</f>
        <v>7.1999999999999995E-2</v>
      </c>
      <c r="H124" s="15">
        <f>합산자재!H345</f>
        <v>0</v>
      </c>
      <c r="I124" s="53" t="str">
        <f t="shared" si="50"/>
        <v/>
      </c>
      <c r="J124" s="15">
        <v>7.1999999999999995E-2</v>
      </c>
      <c r="K124" s="15">
        <f>합산자재!I345</f>
        <v>273676</v>
      </c>
      <c r="L124" s="53">
        <f t="shared" si="51"/>
        <v>19704.599999999999</v>
      </c>
      <c r="M124" s="15">
        <f>합산자재!J345</f>
        <v>0</v>
      </c>
      <c r="N124" s="53" t="str">
        <f t="shared" si="52"/>
        <v/>
      </c>
      <c r="O124" s="15">
        <f t="shared" si="53"/>
        <v>273676</v>
      </c>
      <c r="P124" s="15">
        <f t="shared" si="54"/>
        <v>19704.599999999999</v>
      </c>
      <c r="Q124" s="12"/>
    </row>
    <row r="125" spans="1:17" ht="23.25" customHeight="1" x14ac:dyDescent="0.15">
      <c r="A125" s="13" t="s">
        <v>2362</v>
      </c>
      <c r="B125" s="13" t="s">
        <v>1715</v>
      </c>
      <c r="C125" s="1" t="s">
        <v>2363</v>
      </c>
      <c r="D125" s="12" t="s">
        <v>2364</v>
      </c>
      <c r="E125" s="12" t="s">
        <v>2365</v>
      </c>
      <c r="F125" s="31" t="s">
        <v>792</v>
      </c>
      <c r="G125" s="15">
        <v>1</v>
      </c>
      <c r="H125" s="15">
        <v>394</v>
      </c>
      <c r="I125" s="53">
        <f t="shared" si="50"/>
        <v>394</v>
      </c>
      <c r="J125" s="15">
        <v>1</v>
      </c>
      <c r="K125" s="15"/>
      <c r="L125" s="53" t="str">
        <f t="shared" si="51"/>
        <v/>
      </c>
      <c r="M125" s="15"/>
      <c r="N125" s="53" t="str">
        <f t="shared" si="52"/>
        <v/>
      </c>
      <c r="O125" s="15">
        <f t="shared" si="53"/>
        <v>394</v>
      </c>
      <c r="P125" s="15">
        <f t="shared" si="54"/>
        <v>394</v>
      </c>
      <c r="Q125" s="12"/>
    </row>
    <row r="126" spans="1:17" ht="23.25" customHeight="1" x14ac:dyDescent="0.15">
      <c r="B126" s="13" t="s">
        <v>2360</v>
      </c>
      <c r="D126" s="12" t="s">
        <v>2361</v>
      </c>
      <c r="E126" s="12"/>
      <c r="F126" s="31"/>
      <c r="G126" s="15"/>
      <c r="H126" s="15"/>
      <c r="I126" s="53">
        <f>TRUNC(SUM(I117:I125))</f>
        <v>41332</v>
      </c>
      <c r="J126" s="15"/>
      <c r="K126" s="15"/>
      <c r="L126" s="53">
        <f>TRUNC(SUM(L117:L125))</f>
        <v>19704</v>
      </c>
      <c r="M126" s="15"/>
      <c r="N126" s="53">
        <f>TRUNC(SUM(N117:N125))</f>
        <v>0</v>
      </c>
      <c r="O126" s="15" t="str">
        <f t="shared" si="53"/>
        <v/>
      </c>
      <c r="P126" s="15">
        <f t="shared" si="54"/>
        <v>61036</v>
      </c>
      <c r="Q126" s="12"/>
    </row>
    <row r="127" spans="1:17" ht="23.25" customHeight="1" x14ac:dyDescent="0.15">
      <c r="D127" s="12"/>
      <c r="E127" s="12"/>
      <c r="F127" s="31"/>
      <c r="G127" s="15"/>
      <c r="H127" s="15"/>
      <c r="I127" s="53"/>
      <c r="J127" s="15"/>
      <c r="K127" s="15"/>
      <c r="L127" s="53"/>
      <c r="M127" s="15"/>
      <c r="N127" s="53"/>
      <c r="O127" s="15"/>
      <c r="P127" s="15"/>
      <c r="Q127" s="12"/>
    </row>
    <row r="128" spans="1:17" ht="23.25" customHeight="1" x14ac:dyDescent="0.15">
      <c r="A128" s="13" t="s">
        <v>2421</v>
      </c>
      <c r="B128" s="13" t="s">
        <v>2382</v>
      </c>
      <c r="C128" s="1" t="s">
        <v>2422</v>
      </c>
      <c r="D128" s="170" t="s">
        <v>2420</v>
      </c>
      <c r="E128" s="172"/>
      <c r="F128" s="31"/>
      <c r="G128" s="15"/>
      <c r="H128" s="15"/>
      <c r="I128" s="53"/>
      <c r="J128" s="15"/>
      <c r="K128" s="15"/>
      <c r="L128" s="53"/>
      <c r="M128" s="15"/>
      <c r="N128" s="53"/>
      <c r="O128" s="15"/>
      <c r="P128" s="15"/>
      <c r="Q128" s="12"/>
    </row>
    <row r="129" spans="1:17" ht="23.25" customHeight="1" x14ac:dyDescent="0.15">
      <c r="A129" s="13" t="s">
        <v>1194</v>
      </c>
      <c r="B129" s="13" t="s">
        <v>1719</v>
      </c>
      <c r="C129" s="1" t="s">
        <v>633</v>
      </c>
      <c r="D129" s="12" t="s">
        <v>634</v>
      </c>
      <c r="E129" s="12" t="s">
        <v>635</v>
      </c>
      <c r="F129" s="31" t="s">
        <v>631</v>
      </c>
      <c r="G129" s="15">
        <v>1.73</v>
      </c>
      <c r="H129" s="15">
        <f>합산자재!H170</f>
        <v>990</v>
      </c>
      <c r="I129" s="53">
        <f t="shared" ref="I129:I137" si="55">IF(G129*H129&lt;&gt;0, TRUNC(G129*H129, 1), "")</f>
        <v>1712.7</v>
      </c>
      <c r="J129" s="15">
        <v>1.73</v>
      </c>
      <c r="K129" s="15">
        <f>합산자재!I170</f>
        <v>0</v>
      </c>
      <c r="L129" s="53" t="str">
        <f t="shared" ref="L129:L137" si="56">IF(G129*K129&lt;&gt;0, TRUNC(G129*K129, 1), "")</f>
        <v/>
      </c>
      <c r="M129" s="15">
        <f>합산자재!J170</f>
        <v>0</v>
      </c>
      <c r="N129" s="53" t="str">
        <f t="shared" ref="N129:N137" si="57">IF(G129*M129&lt;&gt;0, TRUNC(G129*M129, 1), "")</f>
        <v/>
      </c>
      <c r="O129" s="15">
        <f t="shared" ref="O129:O138" si="58">IF((H129+K129+M129)=0, "", (H129+K129+M129))</f>
        <v>990</v>
      </c>
      <c r="P129" s="15">
        <f t="shared" ref="P129:P138" si="59">IF(SUM(I129,L129,N129)&lt;&gt;0,SUM(I129,L129,N129),"")</f>
        <v>1712.7</v>
      </c>
      <c r="Q129" s="12"/>
    </row>
    <row r="130" spans="1:17" ht="23.25" customHeight="1" x14ac:dyDescent="0.15">
      <c r="A130" s="13" t="s">
        <v>1094</v>
      </c>
      <c r="B130" s="13" t="s">
        <v>1719</v>
      </c>
      <c r="C130" s="1" t="s">
        <v>339</v>
      </c>
      <c r="D130" s="12" t="s">
        <v>322</v>
      </c>
      <c r="E130" s="12" t="s">
        <v>340</v>
      </c>
      <c r="F130" s="31" t="s">
        <v>166</v>
      </c>
      <c r="G130" s="15">
        <v>3.1110000000000002</v>
      </c>
      <c r="H130" s="15">
        <f>합산자재!H70</f>
        <v>3900</v>
      </c>
      <c r="I130" s="53">
        <f t="shared" si="55"/>
        <v>12132.9</v>
      </c>
      <c r="J130" s="15">
        <v>3.1110000000000002</v>
      </c>
      <c r="K130" s="15">
        <f>합산자재!I70</f>
        <v>0</v>
      </c>
      <c r="L130" s="53" t="str">
        <f t="shared" si="56"/>
        <v/>
      </c>
      <c r="M130" s="15">
        <f>합산자재!J70</f>
        <v>0</v>
      </c>
      <c r="N130" s="53" t="str">
        <f t="shared" si="57"/>
        <v/>
      </c>
      <c r="O130" s="15">
        <f t="shared" si="58"/>
        <v>3900</v>
      </c>
      <c r="P130" s="15">
        <f t="shared" si="59"/>
        <v>12132.9</v>
      </c>
      <c r="Q130" s="12"/>
    </row>
    <row r="131" spans="1:17" ht="23.25" customHeight="1" x14ac:dyDescent="0.15">
      <c r="A131" s="13" t="s">
        <v>1193</v>
      </c>
      <c r="B131" s="13" t="s">
        <v>1719</v>
      </c>
      <c r="C131" s="1" t="s">
        <v>628</v>
      </c>
      <c r="D131" s="12" t="s">
        <v>629</v>
      </c>
      <c r="E131" s="12" t="s">
        <v>630</v>
      </c>
      <c r="F131" s="31" t="s">
        <v>631</v>
      </c>
      <c r="G131" s="15">
        <v>5</v>
      </c>
      <c r="H131" s="15">
        <f>합산자재!H169</f>
        <v>925</v>
      </c>
      <c r="I131" s="53">
        <f t="shared" si="55"/>
        <v>4625</v>
      </c>
      <c r="J131" s="15">
        <v>5</v>
      </c>
      <c r="K131" s="15">
        <f>합산자재!I169</f>
        <v>0</v>
      </c>
      <c r="L131" s="53" t="str">
        <f t="shared" si="56"/>
        <v/>
      </c>
      <c r="M131" s="15">
        <f>합산자재!J169</f>
        <v>0</v>
      </c>
      <c r="N131" s="53" t="str">
        <f t="shared" si="57"/>
        <v/>
      </c>
      <c r="O131" s="15">
        <f t="shared" si="58"/>
        <v>925</v>
      </c>
      <c r="P131" s="15">
        <f t="shared" si="59"/>
        <v>4625</v>
      </c>
      <c r="Q131" s="12"/>
    </row>
    <row r="132" spans="1:17" ht="23.25" customHeight="1" x14ac:dyDescent="0.15">
      <c r="A132" s="13" t="s">
        <v>1113</v>
      </c>
      <c r="B132" s="13" t="s">
        <v>1719</v>
      </c>
      <c r="C132" s="1" t="s">
        <v>384</v>
      </c>
      <c r="D132" s="12" t="s">
        <v>385</v>
      </c>
      <c r="E132" s="12" t="s">
        <v>386</v>
      </c>
      <c r="F132" s="31" t="s">
        <v>200</v>
      </c>
      <c r="G132" s="15">
        <v>4</v>
      </c>
      <c r="H132" s="15">
        <f>합산자재!H89</f>
        <v>4360</v>
      </c>
      <c r="I132" s="53">
        <f t="shared" si="55"/>
        <v>17440</v>
      </c>
      <c r="J132" s="15">
        <v>4</v>
      </c>
      <c r="K132" s="15">
        <f>합산자재!I89</f>
        <v>0</v>
      </c>
      <c r="L132" s="53" t="str">
        <f t="shared" si="56"/>
        <v/>
      </c>
      <c r="M132" s="15">
        <f>합산자재!J89</f>
        <v>0</v>
      </c>
      <c r="N132" s="53" t="str">
        <f t="shared" si="57"/>
        <v/>
      </c>
      <c r="O132" s="15">
        <f t="shared" si="58"/>
        <v>4360</v>
      </c>
      <c r="P132" s="15">
        <f t="shared" si="59"/>
        <v>17440</v>
      </c>
      <c r="Q132" s="12"/>
    </row>
    <row r="133" spans="1:17" ht="23.25" customHeight="1" x14ac:dyDescent="0.15">
      <c r="A133" s="13" t="s">
        <v>1195</v>
      </c>
      <c r="B133" s="13" t="s">
        <v>1719</v>
      </c>
      <c r="C133" s="1" t="s">
        <v>637</v>
      </c>
      <c r="D133" s="12" t="s">
        <v>638</v>
      </c>
      <c r="E133" s="12" t="s">
        <v>639</v>
      </c>
      <c r="F133" s="31" t="s">
        <v>200</v>
      </c>
      <c r="G133" s="15">
        <v>2</v>
      </c>
      <c r="H133" s="15">
        <f>합산자재!H171</f>
        <v>66</v>
      </c>
      <c r="I133" s="53">
        <f t="shared" si="55"/>
        <v>132</v>
      </c>
      <c r="J133" s="15">
        <v>2</v>
      </c>
      <c r="K133" s="15">
        <f>합산자재!I171</f>
        <v>0</v>
      </c>
      <c r="L133" s="53" t="str">
        <f t="shared" si="56"/>
        <v/>
      </c>
      <c r="M133" s="15">
        <f>합산자재!J171</f>
        <v>0</v>
      </c>
      <c r="N133" s="53" t="str">
        <f t="shared" si="57"/>
        <v/>
      </c>
      <c r="O133" s="15">
        <f t="shared" si="58"/>
        <v>66</v>
      </c>
      <c r="P133" s="15">
        <f t="shared" si="59"/>
        <v>132</v>
      </c>
      <c r="Q133" s="12"/>
    </row>
    <row r="134" spans="1:17" ht="23.25" customHeight="1" x14ac:dyDescent="0.15">
      <c r="A134" s="13" t="s">
        <v>1197</v>
      </c>
      <c r="B134" s="13" t="s">
        <v>1719</v>
      </c>
      <c r="C134" s="1" t="s">
        <v>646</v>
      </c>
      <c r="D134" s="12" t="s">
        <v>643</v>
      </c>
      <c r="E134" s="12" t="s">
        <v>639</v>
      </c>
      <c r="F134" s="31" t="s">
        <v>289</v>
      </c>
      <c r="G134" s="15">
        <v>2</v>
      </c>
      <c r="H134" s="15">
        <f>합산자재!H173</f>
        <v>28</v>
      </c>
      <c r="I134" s="53">
        <f t="shared" si="55"/>
        <v>56</v>
      </c>
      <c r="J134" s="15">
        <v>2</v>
      </c>
      <c r="K134" s="15">
        <f>합산자재!I173</f>
        <v>0</v>
      </c>
      <c r="L134" s="53" t="str">
        <f t="shared" si="56"/>
        <v/>
      </c>
      <c r="M134" s="15">
        <f>합산자재!J173</f>
        <v>0</v>
      </c>
      <c r="N134" s="53" t="str">
        <f t="shared" si="57"/>
        <v/>
      </c>
      <c r="O134" s="15">
        <f t="shared" si="58"/>
        <v>28</v>
      </c>
      <c r="P134" s="15">
        <f t="shared" si="59"/>
        <v>56</v>
      </c>
      <c r="Q134" s="12"/>
    </row>
    <row r="135" spans="1:17" ht="23.25" customHeight="1" x14ac:dyDescent="0.15">
      <c r="A135" s="13" t="s">
        <v>1102</v>
      </c>
      <c r="B135" s="13" t="s">
        <v>1719</v>
      </c>
      <c r="C135" s="1" t="s">
        <v>358</v>
      </c>
      <c r="D135" s="12" t="s">
        <v>359</v>
      </c>
      <c r="E135" s="12" t="s">
        <v>360</v>
      </c>
      <c r="F135" s="31" t="s">
        <v>200</v>
      </c>
      <c r="G135" s="15">
        <v>1</v>
      </c>
      <c r="H135" s="15">
        <f>합산자재!H78</f>
        <v>175</v>
      </c>
      <c r="I135" s="53">
        <f t="shared" si="55"/>
        <v>175</v>
      </c>
      <c r="J135" s="15">
        <v>1</v>
      </c>
      <c r="K135" s="15">
        <f>합산자재!I78</f>
        <v>0</v>
      </c>
      <c r="L135" s="53" t="str">
        <f t="shared" si="56"/>
        <v/>
      </c>
      <c r="M135" s="15">
        <f>합산자재!J78</f>
        <v>0</v>
      </c>
      <c r="N135" s="53" t="str">
        <f t="shared" si="57"/>
        <v/>
      </c>
      <c r="O135" s="15">
        <f t="shared" si="58"/>
        <v>175</v>
      </c>
      <c r="P135" s="15">
        <f t="shared" si="59"/>
        <v>175</v>
      </c>
      <c r="Q135" s="12"/>
    </row>
    <row r="136" spans="1:17" ht="23.25" customHeight="1" x14ac:dyDescent="0.15">
      <c r="A136" s="13" t="s">
        <v>1372</v>
      </c>
      <c r="B136" s="13" t="s">
        <v>1719</v>
      </c>
      <c r="C136" s="1" t="s">
        <v>1002</v>
      </c>
      <c r="D136" s="12" t="s">
        <v>1003</v>
      </c>
      <c r="E136" s="12" t="s">
        <v>1004</v>
      </c>
      <c r="F136" s="31" t="s">
        <v>999</v>
      </c>
      <c r="G136" s="15">
        <f>일위노임!G39</f>
        <v>0.92</v>
      </c>
      <c r="H136" s="15">
        <f>합산자재!H345</f>
        <v>0</v>
      </c>
      <c r="I136" s="53" t="str">
        <f t="shared" si="55"/>
        <v/>
      </c>
      <c r="J136" s="15">
        <v>0.92</v>
      </c>
      <c r="K136" s="15">
        <f>합산자재!I345</f>
        <v>273676</v>
      </c>
      <c r="L136" s="53">
        <f t="shared" si="56"/>
        <v>251781.9</v>
      </c>
      <c r="M136" s="15">
        <f>합산자재!J345</f>
        <v>0</v>
      </c>
      <c r="N136" s="53" t="str">
        <f t="shared" si="57"/>
        <v/>
      </c>
      <c r="O136" s="15">
        <f t="shared" si="58"/>
        <v>273676</v>
      </c>
      <c r="P136" s="15">
        <f t="shared" si="59"/>
        <v>251781.9</v>
      </c>
      <c r="Q136" s="12"/>
    </row>
    <row r="137" spans="1:17" ht="23.25" customHeight="1" x14ac:dyDescent="0.15">
      <c r="A137" s="13" t="s">
        <v>2362</v>
      </c>
      <c r="B137" s="13" t="s">
        <v>1719</v>
      </c>
      <c r="C137" s="1" t="s">
        <v>2363</v>
      </c>
      <c r="D137" s="12" t="s">
        <v>2364</v>
      </c>
      <c r="E137" s="12" t="s">
        <v>2365</v>
      </c>
      <c r="F137" s="31" t="s">
        <v>792</v>
      </c>
      <c r="G137" s="15">
        <v>1</v>
      </c>
      <c r="H137" s="15">
        <v>5035.6000000000004</v>
      </c>
      <c r="I137" s="53">
        <f t="shared" si="55"/>
        <v>5035.6000000000004</v>
      </c>
      <c r="J137" s="15">
        <v>1</v>
      </c>
      <c r="K137" s="15"/>
      <c r="L137" s="53" t="str">
        <f t="shared" si="56"/>
        <v/>
      </c>
      <c r="M137" s="15"/>
      <c r="N137" s="53" t="str">
        <f t="shared" si="57"/>
        <v/>
      </c>
      <c r="O137" s="15">
        <f t="shared" si="58"/>
        <v>5035.6000000000004</v>
      </c>
      <c r="P137" s="15">
        <f t="shared" si="59"/>
        <v>5035.6000000000004</v>
      </c>
      <c r="Q137" s="12"/>
    </row>
    <row r="138" spans="1:17" ht="23.25" customHeight="1" x14ac:dyDescent="0.15">
      <c r="B138" s="13" t="s">
        <v>2360</v>
      </c>
      <c r="D138" s="12" t="s">
        <v>2361</v>
      </c>
      <c r="E138" s="12"/>
      <c r="F138" s="31"/>
      <c r="G138" s="15"/>
      <c r="H138" s="15"/>
      <c r="I138" s="53">
        <f>TRUNC(SUM(I128:I137))</f>
        <v>41309</v>
      </c>
      <c r="J138" s="15"/>
      <c r="K138" s="15"/>
      <c r="L138" s="53">
        <f>TRUNC(SUM(L128:L137))</f>
        <v>251781</v>
      </c>
      <c r="M138" s="15"/>
      <c r="N138" s="53">
        <f>TRUNC(SUM(N128:N137))</f>
        <v>0</v>
      </c>
      <c r="O138" s="15" t="str">
        <f t="shared" si="58"/>
        <v/>
      </c>
      <c r="P138" s="15">
        <f t="shared" si="59"/>
        <v>293090</v>
      </c>
      <c r="Q138" s="12"/>
    </row>
    <row r="139" spans="1:17" ht="23.25" customHeight="1" x14ac:dyDescent="0.15">
      <c r="D139" s="12"/>
      <c r="E139" s="12"/>
      <c r="F139" s="31"/>
      <c r="G139" s="15"/>
      <c r="H139" s="15"/>
      <c r="I139" s="53"/>
      <c r="J139" s="15"/>
      <c r="K139" s="15"/>
      <c r="L139" s="53"/>
      <c r="M139" s="15"/>
      <c r="N139" s="53"/>
      <c r="O139" s="15"/>
      <c r="P139" s="15"/>
      <c r="Q139" s="12"/>
    </row>
    <row r="140" spans="1:17" ht="23.25" customHeight="1" x14ac:dyDescent="0.15">
      <c r="A140" s="13" t="s">
        <v>2424</v>
      </c>
      <c r="B140" s="13" t="s">
        <v>2382</v>
      </c>
      <c r="C140" s="1" t="s">
        <v>2425</v>
      </c>
      <c r="D140" s="170" t="s">
        <v>2423</v>
      </c>
      <c r="E140" s="172"/>
      <c r="F140" s="31"/>
      <c r="G140" s="15"/>
      <c r="H140" s="15"/>
      <c r="I140" s="53"/>
      <c r="J140" s="15"/>
      <c r="K140" s="15"/>
      <c r="L140" s="53"/>
      <c r="M140" s="15"/>
      <c r="N140" s="53"/>
      <c r="O140" s="15"/>
      <c r="P140" s="15"/>
      <c r="Q140" s="12"/>
    </row>
    <row r="141" spans="1:17" ht="23.25" customHeight="1" x14ac:dyDescent="0.15">
      <c r="A141" s="13" t="s">
        <v>1194</v>
      </c>
      <c r="B141" s="13" t="s">
        <v>1724</v>
      </c>
      <c r="C141" s="1" t="s">
        <v>633</v>
      </c>
      <c r="D141" s="12" t="s">
        <v>634</v>
      </c>
      <c r="E141" s="12" t="s">
        <v>635</v>
      </c>
      <c r="F141" s="31" t="s">
        <v>631</v>
      </c>
      <c r="G141" s="15">
        <v>1.73</v>
      </c>
      <c r="H141" s="15">
        <f>합산자재!H170</f>
        <v>990</v>
      </c>
      <c r="I141" s="53">
        <f t="shared" ref="I141:I149" si="60">IF(G141*H141&lt;&gt;0, TRUNC(G141*H141, 1), "")</f>
        <v>1712.7</v>
      </c>
      <c r="J141" s="15">
        <v>1.73</v>
      </c>
      <c r="K141" s="15">
        <f>합산자재!I170</f>
        <v>0</v>
      </c>
      <c r="L141" s="53" t="str">
        <f t="shared" ref="L141:L149" si="61">IF(G141*K141&lt;&gt;0, TRUNC(G141*K141, 1), "")</f>
        <v/>
      </c>
      <c r="M141" s="15">
        <f>합산자재!J170</f>
        <v>0</v>
      </c>
      <c r="N141" s="53" t="str">
        <f t="shared" ref="N141:N149" si="62">IF(G141*M141&lt;&gt;0, TRUNC(G141*M141, 1), "")</f>
        <v/>
      </c>
      <c r="O141" s="15">
        <f t="shared" ref="O141:O150" si="63">IF((H141+K141+M141)=0, "", (H141+K141+M141))</f>
        <v>990</v>
      </c>
      <c r="P141" s="15">
        <f t="shared" ref="P141:P150" si="64">IF(SUM(I141,L141,N141)&lt;&gt;0,SUM(I141,L141,N141),"")</f>
        <v>1712.7</v>
      </c>
      <c r="Q141" s="12"/>
    </row>
    <row r="142" spans="1:17" ht="23.25" customHeight="1" x14ac:dyDescent="0.15">
      <c r="A142" s="13" t="s">
        <v>1094</v>
      </c>
      <c r="B142" s="13" t="s">
        <v>1724</v>
      </c>
      <c r="C142" s="1" t="s">
        <v>339</v>
      </c>
      <c r="D142" s="12" t="s">
        <v>322</v>
      </c>
      <c r="E142" s="12" t="s">
        <v>340</v>
      </c>
      <c r="F142" s="31" t="s">
        <v>166</v>
      </c>
      <c r="G142" s="15">
        <v>3.1110000000000002</v>
      </c>
      <c r="H142" s="15">
        <f>합산자재!H70</f>
        <v>3900</v>
      </c>
      <c r="I142" s="53">
        <f t="shared" si="60"/>
        <v>12132.9</v>
      </c>
      <c r="J142" s="15">
        <v>3.1110000000000002</v>
      </c>
      <c r="K142" s="15">
        <f>합산자재!I70</f>
        <v>0</v>
      </c>
      <c r="L142" s="53" t="str">
        <f t="shared" si="61"/>
        <v/>
      </c>
      <c r="M142" s="15">
        <f>합산자재!J70</f>
        <v>0</v>
      </c>
      <c r="N142" s="53" t="str">
        <f t="shared" si="62"/>
        <v/>
      </c>
      <c r="O142" s="15">
        <f t="shared" si="63"/>
        <v>3900</v>
      </c>
      <c r="P142" s="15">
        <f t="shared" si="64"/>
        <v>12132.9</v>
      </c>
      <c r="Q142" s="12"/>
    </row>
    <row r="143" spans="1:17" ht="23.25" customHeight="1" x14ac:dyDescent="0.15">
      <c r="A143" s="13" t="s">
        <v>1193</v>
      </c>
      <c r="B143" s="13" t="s">
        <v>1724</v>
      </c>
      <c r="C143" s="1" t="s">
        <v>628</v>
      </c>
      <c r="D143" s="12" t="s">
        <v>629</v>
      </c>
      <c r="E143" s="12" t="s">
        <v>630</v>
      </c>
      <c r="F143" s="31" t="s">
        <v>631</v>
      </c>
      <c r="G143" s="15">
        <v>5</v>
      </c>
      <c r="H143" s="15">
        <f>합산자재!H169</f>
        <v>925</v>
      </c>
      <c r="I143" s="53">
        <f t="shared" si="60"/>
        <v>4625</v>
      </c>
      <c r="J143" s="15">
        <v>5</v>
      </c>
      <c r="K143" s="15">
        <f>합산자재!I169</f>
        <v>0</v>
      </c>
      <c r="L143" s="53" t="str">
        <f t="shared" si="61"/>
        <v/>
      </c>
      <c r="M143" s="15">
        <f>합산자재!J169</f>
        <v>0</v>
      </c>
      <c r="N143" s="53" t="str">
        <f t="shared" si="62"/>
        <v/>
      </c>
      <c r="O143" s="15">
        <f t="shared" si="63"/>
        <v>925</v>
      </c>
      <c r="P143" s="15">
        <f t="shared" si="64"/>
        <v>4625</v>
      </c>
      <c r="Q143" s="12"/>
    </row>
    <row r="144" spans="1:17" ht="23.25" customHeight="1" x14ac:dyDescent="0.15">
      <c r="A144" s="13" t="s">
        <v>1113</v>
      </c>
      <c r="B144" s="13" t="s">
        <v>1724</v>
      </c>
      <c r="C144" s="1" t="s">
        <v>384</v>
      </c>
      <c r="D144" s="12" t="s">
        <v>385</v>
      </c>
      <c r="E144" s="12" t="s">
        <v>386</v>
      </c>
      <c r="F144" s="31" t="s">
        <v>200</v>
      </c>
      <c r="G144" s="15">
        <v>4</v>
      </c>
      <c r="H144" s="15">
        <f>합산자재!H89</f>
        <v>4360</v>
      </c>
      <c r="I144" s="53">
        <f t="shared" si="60"/>
        <v>17440</v>
      </c>
      <c r="J144" s="15">
        <v>4</v>
      </c>
      <c r="K144" s="15">
        <f>합산자재!I89</f>
        <v>0</v>
      </c>
      <c r="L144" s="53" t="str">
        <f t="shared" si="61"/>
        <v/>
      </c>
      <c r="M144" s="15">
        <f>합산자재!J89</f>
        <v>0</v>
      </c>
      <c r="N144" s="53" t="str">
        <f t="shared" si="62"/>
        <v/>
      </c>
      <c r="O144" s="15">
        <f t="shared" si="63"/>
        <v>4360</v>
      </c>
      <c r="P144" s="15">
        <f t="shared" si="64"/>
        <v>17440</v>
      </c>
      <c r="Q144" s="12"/>
    </row>
    <row r="145" spans="1:17" ht="23.25" customHeight="1" x14ac:dyDescent="0.15">
      <c r="A145" s="13" t="s">
        <v>1195</v>
      </c>
      <c r="B145" s="13" t="s">
        <v>1724</v>
      </c>
      <c r="C145" s="1" t="s">
        <v>637</v>
      </c>
      <c r="D145" s="12" t="s">
        <v>638</v>
      </c>
      <c r="E145" s="12" t="s">
        <v>639</v>
      </c>
      <c r="F145" s="31" t="s">
        <v>200</v>
      </c>
      <c r="G145" s="15">
        <v>2</v>
      </c>
      <c r="H145" s="15">
        <f>합산자재!H171</f>
        <v>66</v>
      </c>
      <c r="I145" s="53">
        <f t="shared" si="60"/>
        <v>132</v>
      </c>
      <c r="J145" s="15">
        <v>2</v>
      </c>
      <c r="K145" s="15">
        <f>합산자재!I171</f>
        <v>0</v>
      </c>
      <c r="L145" s="53" t="str">
        <f t="shared" si="61"/>
        <v/>
      </c>
      <c r="M145" s="15">
        <f>합산자재!J171</f>
        <v>0</v>
      </c>
      <c r="N145" s="53" t="str">
        <f t="shared" si="62"/>
        <v/>
      </c>
      <c r="O145" s="15">
        <f t="shared" si="63"/>
        <v>66</v>
      </c>
      <c r="P145" s="15">
        <f t="shared" si="64"/>
        <v>132</v>
      </c>
      <c r="Q145" s="12"/>
    </row>
    <row r="146" spans="1:17" ht="23.25" customHeight="1" x14ac:dyDescent="0.15">
      <c r="A146" s="13" t="s">
        <v>1197</v>
      </c>
      <c r="B146" s="13" t="s">
        <v>1724</v>
      </c>
      <c r="C146" s="1" t="s">
        <v>646</v>
      </c>
      <c r="D146" s="12" t="s">
        <v>643</v>
      </c>
      <c r="E146" s="12" t="s">
        <v>639</v>
      </c>
      <c r="F146" s="31" t="s">
        <v>289</v>
      </c>
      <c r="G146" s="15">
        <v>2</v>
      </c>
      <c r="H146" s="15">
        <f>합산자재!H173</f>
        <v>28</v>
      </c>
      <c r="I146" s="53">
        <f t="shared" si="60"/>
        <v>56</v>
      </c>
      <c r="J146" s="15">
        <v>2</v>
      </c>
      <c r="K146" s="15">
        <f>합산자재!I173</f>
        <v>0</v>
      </c>
      <c r="L146" s="53" t="str">
        <f t="shared" si="61"/>
        <v/>
      </c>
      <c r="M146" s="15">
        <f>합산자재!J173</f>
        <v>0</v>
      </c>
      <c r="N146" s="53" t="str">
        <f t="shared" si="62"/>
        <v/>
      </c>
      <c r="O146" s="15">
        <f t="shared" si="63"/>
        <v>28</v>
      </c>
      <c r="P146" s="15">
        <f t="shared" si="64"/>
        <v>56</v>
      </c>
      <c r="Q146" s="12"/>
    </row>
    <row r="147" spans="1:17" ht="23.25" customHeight="1" x14ac:dyDescent="0.15">
      <c r="A147" s="13" t="s">
        <v>1103</v>
      </c>
      <c r="B147" s="13" t="s">
        <v>1724</v>
      </c>
      <c r="C147" s="1" t="s">
        <v>362</v>
      </c>
      <c r="D147" s="12" t="s">
        <v>359</v>
      </c>
      <c r="E147" s="12" t="s">
        <v>363</v>
      </c>
      <c r="F147" s="31" t="s">
        <v>200</v>
      </c>
      <c r="G147" s="15">
        <v>1</v>
      </c>
      <c r="H147" s="15">
        <f>합산자재!H79</f>
        <v>223</v>
      </c>
      <c r="I147" s="53">
        <f t="shared" si="60"/>
        <v>223</v>
      </c>
      <c r="J147" s="15">
        <v>1</v>
      </c>
      <c r="K147" s="15">
        <f>합산자재!I79</f>
        <v>0</v>
      </c>
      <c r="L147" s="53" t="str">
        <f t="shared" si="61"/>
        <v/>
      </c>
      <c r="M147" s="15">
        <f>합산자재!J79</f>
        <v>0</v>
      </c>
      <c r="N147" s="53" t="str">
        <f t="shared" si="62"/>
        <v/>
      </c>
      <c r="O147" s="15">
        <f t="shared" si="63"/>
        <v>223</v>
      </c>
      <c r="P147" s="15">
        <f t="shared" si="64"/>
        <v>223</v>
      </c>
      <c r="Q147" s="12"/>
    </row>
    <row r="148" spans="1:17" ht="23.25" customHeight="1" x14ac:dyDescent="0.15">
      <c r="A148" s="13" t="s">
        <v>1372</v>
      </c>
      <c r="B148" s="13" t="s">
        <v>1724</v>
      </c>
      <c r="C148" s="1" t="s">
        <v>1002</v>
      </c>
      <c r="D148" s="12" t="s">
        <v>1003</v>
      </c>
      <c r="E148" s="12" t="s">
        <v>1004</v>
      </c>
      <c r="F148" s="31" t="s">
        <v>999</v>
      </c>
      <c r="G148" s="15">
        <f>일위노임!G42</f>
        <v>0.92</v>
      </c>
      <c r="H148" s="15">
        <f>합산자재!H345</f>
        <v>0</v>
      </c>
      <c r="I148" s="53" t="str">
        <f t="shared" si="60"/>
        <v/>
      </c>
      <c r="J148" s="15">
        <v>0.92</v>
      </c>
      <c r="K148" s="15">
        <f>합산자재!I345</f>
        <v>273676</v>
      </c>
      <c r="L148" s="53">
        <f t="shared" si="61"/>
        <v>251781.9</v>
      </c>
      <c r="M148" s="15">
        <f>합산자재!J345</f>
        <v>0</v>
      </c>
      <c r="N148" s="53" t="str">
        <f t="shared" si="62"/>
        <v/>
      </c>
      <c r="O148" s="15">
        <f t="shared" si="63"/>
        <v>273676</v>
      </c>
      <c r="P148" s="15">
        <f t="shared" si="64"/>
        <v>251781.9</v>
      </c>
      <c r="Q148" s="12"/>
    </row>
    <row r="149" spans="1:17" ht="23.25" customHeight="1" x14ac:dyDescent="0.15">
      <c r="A149" s="13" t="s">
        <v>2362</v>
      </c>
      <c r="B149" s="13" t="s">
        <v>1724</v>
      </c>
      <c r="C149" s="1" t="s">
        <v>2363</v>
      </c>
      <c r="D149" s="12" t="s">
        <v>2364</v>
      </c>
      <c r="E149" s="12" t="s">
        <v>2365</v>
      </c>
      <c r="F149" s="31" t="s">
        <v>792</v>
      </c>
      <c r="G149" s="15">
        <v>1</v>
      </c>
      <c r="H149" s="15">
        <v>5035.6000000000004</v>
      </c>
      <c r="I149" s="53">
        <f t="shared" si="60"/>
        <v>5035.6000000000004</v>
      </c>
      <c r="J149" s="15">
        <v>1</v>
      </c>
      <c r="K149" s="15"/>
      <c r="L149" s="53" t="str">
        <f t="shared" si="61"/>
        <v/>
      </c>
      <c r="M149" s="15"/>
      <c r="N149" s="53" t="str">
        <f t="shared" si="62"/>
        <v/>
      </c>
      <c r="O149" s="15">
        <f t="shared" si="63"/>
        <v>5035.6000000000004</v>
      </c>
      <c r="P149" s="15">
        <f t="shared" si="64"/>
        <v>5035.6000000000004</v>
      </c>
      <c r="Q149" s="12"/>
    </row>
    <row r="150" spans="1:17" ht="23.25" customHeight="1" x14ac:dyDescent="0.15">
      <c r="B150" s="13" t="s">
        <v>2360</v>
      </c>
      <c r="D150" s="12" t="s">
        <v>2361</v>
      </c>
      <c r="E150" s="12"/>
      <c r="F150" s="31"/>
      <c r="G150" s="15"/>
      <c r="H150" s="15"/>
      <c r="I150" s="53">
        <f>TRUNC(SUM(I140:I149))</f>
        <v>41357</v>
      </c>
      <c r="J150" s="15"/>
      <c r="K150" s="15"/>
      <c r="L150" s="53">
        <f>TRUNC(SUM(L140:L149))</f>
        <v>251781</v>
      </c>
      <c r="M150" s="15"/>
      <c r="N150" s="53">
        <f>TRUNC(SUM(N140:N149))</f>
        <v>0</v>
      </c>
      <c r="O150" s="15" t="str">
        <f t="shared" si="63"/>
        <v/>
      </c>
      <c r="P150" s="15">
        <f t="shared" si="64"/>
        <v>293138</v>
      </c>
      <c r="Q150" s="12"/>
    </row>
    <row r="151" spans="1:17" ht="23.25" customHeight="1" x14ac:dyDescent="0.15">
      <c r="D151" s="12"/>
      <c r="E151" s="12"/>
      <c r="F151" s="31"/>
      <c r="G151" s="15"/>
      <c r="H151" s="15"/>
      <c r="I151" s="53"/>
      <c r="J151" s="15"/>
      <c r="K151" s="15"/>
      <c r="L151" s="53"/>
      <c r="M151" s="15"/>
      <c r="N151" s="53"/>
      <c r="O151" s="15"/>
      <c r="P151" s="15"/>
      <c r="Q151" s="12"/>
    </row>
    <row r="152" spans="1:17" ht="23.25" customHeight="1" x14ac:dyDescent="0.15">
      <c r="A152" s="13" t="s">
        <v>2427</v>
      </c>
      <c r="B152" s="13" t="s">
        <v>2382</v>
      </c>
      <c r="C152" s="1" t="s">
        <v>2428</v>
      </c>
      <c r="D152" s="170" t="s">
        <v>2426</v>
      </c>
      <c r="E152" s="172"/>
      <c r="F152" s="31"/>
      <c r="G152" s="15"/>
      <c r="H152" s="15"/>
      <c r="I152" s="53"/>
      <c r="J152" s="15"/>
      <c r="K152" s="15"/>
      <c r="L152" s="53"/>
      <c r="M152" s="15"/>
      <c r="N152" s="53"/>
      <c r="O152" s="15"/>
      <c r="P152" s="15"/>
      <c r="Q152" s="12"/>
    </row>
    <row r="153" spans="1:17" ht="23.25" customHeight="1" x14ac:dyDescent="0.15">
      <c r="A153" s="13" t="s">
        <v>1194</v>
      </c>
      <c r="B153" s="13" t="s">
        <v>1728</v>
      </c>
      <c r="C153" s="1" t="s">
        <v>633</v>
      </c>
      <c r="D153" s="12" t="s">
        <v>634</v>
      </c>
      <c r="E153" s="12" t="s">
        <v>635</v>
      </c>
      <c r="F153" s="31" t="s">
        <v>631</v>
      </c>
      <c r="G153" s="15">
        <v>1.73</v>
      </c>
      <c r="H153" s="15">
        <f>합산자재!H170</f>
        <v>990</v>
      </c>
      <c r="I153" s="53">
        <f t="shared" ref="I153:I161" si="65">IF(G153*H153&lt;&gt;0, TRUNC(G153*H153, 1), "")</f>
        <v>1712.7</v>
      </c>
      <c r="J153" s="15">
        <v>1.73</v>
      </c>
      <c r="K153" s="15">
        <f>합산자재!I170</f>
        <v>0</v>
      </c>
      <c r="L153" s="53" t="str">
        <f t="shared" ref="L153:L161" si="66">IF(G153*K153&lt;&gt;0, TRUNC(G153*K153, 1), "")</f>
        <v/>
      </c>
      <c r="M153" s="15">
        <f>합산자재!J170</f>
        <v>0</v>
      </c>
      <c r="N153" s="53" t="str">
        <f t="shared" ref="N153:N161" si="67">IF(G153*M153&lt;&gt;0, TRUNC(G153*M153, 1), "")</f>
        <v/>
      </c>
      <c r="O153" s="15">
        <f t="shared" ref="O153:O162" si="68">IF((H153+K153+M153)=0, "", (H153+K153+M153))</f>
        <v>990</v>
      </c>
      <c r="P153" s="15">
        <f t="shared" ref="P153:P162" si="69">IF(SUM(I153,L153,N153)&lt;&gt;0,SUM(I153,L153,N153),"")</f>
        <v>1712.7</v>
      </c>
      <c r="Q153" s="12"/>
    </row>
    <row r="154" spans="1:17" ht="23.25" customHeight="1" x14ac:dyDescent="0.15">
      <c r="A154" s="13" t="s">
        <v>1094</v>
      </c>
      <c r="B154" s="13" t="s">
        <v>1728</v>
      </c>
      <c r="C154" s="1" t="s">
        <v>339</v>
      </c>
      <c r="D154" s="12" t="s">
        <v>322</v>
      </c>
      <c r="E154" s="12" t="s">
        <v>340</v>
      </c>
      <c r="F154" s="31" t="s">
        <v>166</v>
      </c>
      <c r="G154" s="15">
        <v>3.1110000000000002</v>
      </c>
      <c r="H154" s="15">
        <f>합산자재!H70</f>
        <v>3900</v>
      </c>
      <c r="I154" s="53">
        <f t="shared" si="65"/>
        <v>12132.9</v>
      </c>
      <c r="J154" s="15">
        <v>3.1110000000000002</v>
      </c>
      <c r="K154" s="15">
        <f>합산자재!I70</f>
        <v>0</v>
      </c>
      <c r="L154" s="53" t="str">
        <f t="shared" si="66"/>
        <v/>
      </c>
      <c r="M154" s="15">
        <f>합산자재!J70</f>
        <v>0</v>
      </c>
      <c r="N154" s="53" t="str">
        <f t="shared" si="67"/>
        <v/>
      </c>
      <c r="O154" s="15">
        <f t="shared" si="68"/>
        <v>3900</v>
      </c>
      <c r="P154" s="15">
        <f t="shared" si="69"/>
        <v>12132.9</v>
      </c>
      <c r="Q154" s="12"/>
    </row>
    <row r="155" spans="1:17" ht="23.25" customHeight="1" x14ac:dyDescent="0.15">
      <c r="A155" s="13" t="s">
        <v>1193</v>
      </c>
      <c r="B155" s="13" t="s">
        <v>1728</v>
      </c>
      <c r="C155" s="1" t="s">
        <v>628</v>
      </c>
      <c r="D155" s="12" t="s">
        <v>629</v>
      </c>
      <c r="E155" s="12" t="s">
        <v>630</v>
      </c>
      <c r="F155" s="31" t="s">
        <v>631</v>
      </c>
      <c r="G155" s="15">
        <v>5</v>
      </c>
      <c r="H155" s="15">
        <f>합산자재!H169</f>
        <v>925</v>
      </c>
      <c r="I155" s="53">
        <f t="shared" si="65"/>
        <v>4625</v>
      </c>
      <c r="J155" s="15">
        <v>5</v>
      </c>
      <c r="K155" s="15">
        <f>합산자재!I169</f>
        <v>0</v>
      </c>
      <c r="L155" s="53" t="str">
        <f t="shared" si="66"/>
        <v/>
      </c>
      <c r="M155" s="15">
        <f>합산자재!J169</f>
        <v>0</v>
      </c>
      <c r="N155" s="53" t="str">
        <f t="shared" si="67"/>
        <v/>
      </c>
      <c r="O155" s="15">
        <f t="shared" si="68"/>
        <v>925</v>
      </c>
      <c r="P155" s="15">
        <f t="shared" si="69"/>
        <v>4625</v>
      </c>
      <c r="Q155" s="12"/>
    </row>
    <row r="156" spans="1:17" ht="23.25" customHeight="1" x14ac:dyDescent="0.15">
      <c r="A156" s="13" t="s">
        <v>1113</v>
      </c>
      <c r="B156" s="13" t="s">
        <v>1728</v>
      </c>
      <c r="C156" s="1" t="s">
        <v>384</v>
      </c>
      <c r="D156" s="12" t="s">
        <v>385</v>
      </c>
      <c r="E156" s="12" t="s">
        <v>386</v>
      </c>
      <c r="F156" s="31" t="s">
        <v>200</v>
      </c>
      <c r="G156" s="15">
        <v>4</v>
      </c>
      <c r="H156" s="15">
        <f>합산자재!H89</f>
        <v>4360</v>
      </c>
      <c r="I156" s="53">
        <f t="shared" si="65"/>
        <v>17440</v>
      </c>
      <c r="J156" s="15">
        <v>4</v>
      </c>
      <c r="K156" s="15">
        <f>합산자재!I89</f>
        <v>0</v>
      </c>
      <c r="L156" s="53" t="str">
        <f t="shared" si="66"/>
        <v/>
      </c>
      <c r="M156" s="15">
        <f>합산자재!J89</f>
        <v>0</v>
      </c>
      <c r="N156" s="53" t="str">
        <f t="shared" si="67"/>
        <v/>
      </c>
      <c r="O156" s="15">
        <f t="shared" si="68"/>
        <v>4360</v>
      </c>
      <c r="P156" s="15">
        <f t="shared" si="69"/>
        <v>17440</v>
      </c>
      <c r="Q156" s="12"/>
    </row>
    <row r="157" spans="1:17" ht="23.25" customHeight="1" x14ac:dyDescent="0.15">
      <c r="A157" s="13" t="s">
        <v>1195</v>
      </c>
      <c r="B157" s="13" t="s">
        <v>1728</v>
      </c>
      <c r="C157" s="1" t="s">
        <v>637</v>
      </c>
      <c r="D157" s="12" t="s">
        <v>638</v>
      </c>
      <c r="E157" s="12" t="s">
        <v>639</v>
      </c>
      <c r="F157" s="31" t="s">
        <v>200</v>
      </c>
      <c r="G157" s="15">
        <v>2</v>
      </c>
      <c r="H157" s="15">
        <f>합산자재!H171</f>
        <v>66</v>
      </c>
      <c r="I157" s="53">
        <f t="shared" si="65"/>
        <v>132</v>
      </c>
      <c r="J157" s="15">
        <v>2</v>
      </c>
      <c r="K157" s="15">
        <f>합산자재!I171</f>
        <v>0</v>
      </c>
      <c r="L157" s="53" t="str">
        <f t="shared" si="66"/>
        <v/>
      </c>
      <c r="M157" s="15">
        <f>합산자재!J171</f>
        <v>0</v>
      </c>
      <c r="N157" s="53" t="str">
        <f t="shared" si="67"/>
        <v/>
      </c>
      <c r="O157" s="15">
        <f t="shared" si="68"/>
        <v>66</v>
      </c>
      <c r="P157" s="15">
        <f t="shared" si="69"/>
        <v>132</v>
      </c>
      <c r="Q157" s="12"/>
    </row>
    <row r="158" spans="1:17" ht="23.25" customHeight="1" x14ac:dyDescent="0.15">
      <c r="A158" s="13" t="s">
        <v>1197</v>
      </c>
      <c r="B158" s="13" t="s">
        <v>1728</v>
      </c>
      <c r="C158" s="1" t="s">
        <v>646</v>
      </c>
      <c r="D158" s="12" t="s">
        <v>643</v>
      </c>
      <c r="E158" s="12" t="s">
        <v>639</v>
      </c>
      <c r="F158" s="31" t="s">
        <v>289</v>
      </c>
      <c r="G158" s="15">
        <v>2</v>
      </c>
      <c r="H158" s="15">
        <f>합산자재!H173</f>
        <v>28</v>
      </c>
      <c r="I158" s="53">
        <f t="shared" si="65"/>
        <v>56</v>
      </c>
      <c r="J158" s="15">
        <v>2</v>
      </c>
      <c r="K158" s="15">
        <f>합산자재!I173</f>
        <v>0</v>
      </c>
      <c r="L158" s="53" t="str">
        <f t="shared" si="66"/>
        <v/>
      </c>
      <c r="M158" s="15">
        <f>합산자재!J173</f>
        <v>0</v>
      </c>
      <c r="N158" s="53" t="str">
        <f t="shared" si="67"/>
        <v/>
      </c>
      <c r="O158" s="15">
        <f t="shared" si="68"/>
        <v>28</v>
      </c>
      <c r="P158" s="15">
        <f t="shared" si="69"/>
        <v>56</v>
      </c>
      <c r="Q158" s="12"/>
    </row>
    <row r="159" spans="1:17" ht="23.25" customHeight="1" x14ac:dyDescent="0.15">
      <c r="A159" s="13" t="s">
        <v>1104</v>
      </c>
      <c r="B159" s="13" t="s">
        <v>1728</v>
      </c>
      <c r="C159" s="1" t="s">
        <v>364</v>
      </c>
      <c r="D159" s="12" t="s">
        <v>359</v>
      </c>
      <c r="E159" s="12" t="s">
        <v>365</v>
      </c>
      <c r="F159" s="31" t="s">
        <v>200</v>
      </c>
      <c r="G159" s="15">
        <v>1</v>
      </c>
      <c r="H159" s="15">
        <f>합산자재!H80</f>
        <v>261</v>
      </c>
      <c r="I159" s="53">
        <f t="shared" si="65"/>
        <v>261</v>
      </c>
      <c r="J159" s="15">
        <v>1</v>
      </c>
      <c r="K159" s="15">
        <f>합산자재!I80</f>
        <v>0</v>
      </c>
      <c r="L159" s="53" t="str">
        <f t="shared" si="66"/>
        <v/>
      </c>
      <c r="M159" s="15">
        <f>합산자재!J80</f>
        <v>0</v>
      </c>
      <c r="N159" s="53" t="str">
        <f t="shared" si="67"/>
        <v/>
      </c>
      <c r="O159" s="15">
        <f t="shared" si="68"/>
        <v>261</v>
      </c>
      <c r="P159" s="15">
        <f t="shared" si="69"/>
        <v>261</v>
      </c>
      <c r="Q159" s="12"/>
    </row>
    <row r="160" spans="1:17" ht="23.25" customHeight="1" x14ac:dyDescent="0.15">
      <c r="A160" s="13" t="s">
        <v>1372</v>
      </c>
      <c r="B160" s="13" t="s">
        <v>1728</v>
      </c>
      <c r="C160" s="1" t="s">
        <v>1002</v>
      </c>
      <c r="D160" s="12" t="s">
        <v>1003</v>
      </c>
      <c r="E160" s="12" t="s">
        <v>1004</v>
      </c>
      <c r="F160" s="31" t="s">
        <v>999</v>
      </c>
      <c r="G160" s="15">
        <f>일위노임!G45</f>
        <v>0.92</v>
      </c>
      <c r="H160" s="15">
        <f>합산자재!H345</f>
        <v>0</v>
      </c>
      <c r="I160" s="53" t="str">
        <f t="shared" si="65"/>
        <v/>
      </c>
      <c r="J160" s="15">
        <v>0.92</v>
      </c>
      <c r="K160" s="15">
        <f>합산자재!I345</f>
        <v>273676</v>
      </c>
      <c r="L160" s="53">
        <f t="shared" si="66"/>
        <v>251781.9</v>
      </c>
      <c r="M160" s="15">
        <f>합산자재!J345</f>
        <v>0</v>
      </c>
      <c r="N160" s="53" t="str">
        <f t="shared" si="67"/>
        <v/>
      </c>
      <c r="O160" s="15">
        <f t="shared" si="68"/>
        <v>273676</v>
      </c>
      <c r="P160" s="15">
        <f t="shared" si="69"/>
        <v>251781.9</v>
      </c>
      <c r="Q160" s="12"/>
    </row>
    <row r="161" spans="1:17" ht="23.25" customHeight="1" x14ac:dyDescent="0.15">
      <c r="A161" s="13" t="s">
        <v>2362</v>
      </c>
      <c r="B161" s="13" t="s">
        <v>1728</v>
      </c>
      <c r="C161" s="1" t="s">
        <v>2363</v>
      </c>
      <c r="D161" s="12" t="s">
        <v>2364</v>
      </c>
      <c r="E161" s="12" t="s">
        <v>2365</v>
      </c>
      <c r="F161" s="31" t="s">
        <v>792</v>
      </c>
      <c r="G161" s="15">
        <v>1</v>
      </c>
      <c r="H161" s="15">
        <v>5035.6000000000004</v>
      </c>
      <c r="I161" s="53">
        <f t="shared" si="65"/>
        <v>5035.6000000000004</v>
      </c>
      <c r="J161" s="15">
        <v>1</v>
      </c>
      <c r="K161" s="15"/>
      <c r="L161" s="53" t="str">
        <f t="shared" si="66"/>
        <v/>
      </c>
      <c r="M161" s="15"/>
      <c r="N161" s="53" t="str">
        <f t="shared" si="67"/>
        <v/>
      </c>
      <c r="O161" s="15">
        <f t="shared" si="68"/>
        <v>5035.6000000000004</v>
      </c>
      <c r="P161" s="15">
        <f t="shared" si="69"/>
        <v>5035.6000000000004</v>
      </c>
      <c r="Q161" s="12"/>
    </row>
    <row r="162" spans="1:17" ht="23.25" customHeight="1" x14ac:dyDescent="0.15">
      <c r="B162" s="13" t="s">
        <v>2360</v>
      </c>
      <c r="D162" s="12" t="s">
        <v>2361</v>
      </c>
      <c r="E162" s="12"/>
      <c r="F162" s="31"/>
      <c r="G162" s="15"/>
      <c r="H162" s="15"/>
      <c r="I162" s="53">
        <f>TRUNC(SUM(I152:I161))</f>
        <v>41395</v>
      </c>
      <c r="J162" s="15"/>
      <c r="K162" s="15"/>
      <c r="L162" s="53">
        <f>TRUNC(SUM(L152:L161))</f>
        <v>251781</v>
      </c>
      <c r="M162" s="15"/>
      <c r="N162" s="53">
        <f>TRUNC(SUM(N152:N161))</f>
        <v>0</v>
      </c>
      <c r="O162" s="15" t="str">
        <f t="shared" si="68"/>
        <v/>
      </c>
      <c r="P162" s="15">
        <f t="shared" si="69"/>
        <v>293176</v>
      </c>
      <c r="Q162" s="12"/>
    </row>
    <row r="163" spans="1:17" ht="23.25" customHeight="1" x14ac:dyDescent="0.15">
      <c r="D163" s="12"/>
      <c r="E163" s="12"/>
      <c r="F163" s="31"/>
      <c r="G163" s="15"/>
      <c r="H163" s="15"/>
      <c r="I163" s="53"/>
      <c r="J163" s="15"/>
      <c r="K163" s="15"/>
      <c r="L163" s="53"/>
      <c r="M163" s="15"/>
      <c r="N163" s="53"/>
      <c r="O163" s="15"/>
      <c r="P163" s="15"/>
      <c r="Q163" s="12"/>
    </row>
    <row r="164" spans="1:17" ht="23.25" customHeight="1" x14ac:dyDescent="0.15">
      <c r="A164" s="13" t="s">
        <v>2430</v>
      </c>
      <c r="B164" s="13" t="s">
        <v>2382</v>
      </c>
      <c r="C164" s="1" t="s">
        <v>2431</v>
      </c>
      <c r="D164" s="170" t="s">
        <v>2429</v>
      </c>
      <c r="E164" s="172"/>
      <c r="F164" s="31"/>
      <c r="G164" s="15"/>
      <c r="H164" s="15"/>
      <c r="I164" s="53"/>
      <c r="J164" s="15"/>
      <c r="K164" s="15"/>
      <c r="L164" s="53"/>
      <c r="M164" s="15"/>
      <c r="N164" s="53"/>
      <c r="O164" s="15"/>
      <c r="P164" s="15"/>
      <c r="Q164" s="12"/>
    </row>
    <row r="165" spans="1:17" ht="23.25" customHeight="1" x14ac:dyDescent="0.15">
      <c r="A165" s="13" t="s">
        <v>1194</v>
      </c>
      <c r="B165" s="13" t="s">
        <v>1732</v>
      </c>
      <c r="C165" s="1" t="s">
        <v>633</v>
      </c>
      <c r="D165" s="12" t="s">
        <v>634</v>
      </c>
      <c r="E165" s="12" t="s">
        <v>635</v>
      </c>
      <c r="F165" s="31" t="s">
        <v>631</v>
      </c>
      <c r="G165" s="15">
        <v>1.73</v>
      </c>
      <c r="H165" s="15">
        <f>합산자재!H170</f>
        <v>990</v>
      </c>
      <c r="I165" s="53">
        <f t="shared" ref="I165:I173" si="70">IF(G165*H165&lt;&gt;0, TRUNC(G165*H165, 1), "")</f>
        <v>1712.7</v>
      </c>
      <c r="J165" s="15">
        <v>1.73</v>
      </c>
      <c r="K165" s="15">
        <f>합산자재!I170</f>
        <v>0</v>
      </c>
      <c r="L165" s="53" t="str">
        <f t="shared" ref="L165:L173" si="71">IF(G165*K165&lt;&gt;0, TRUNC(G165*K165, 1), "")</f>
        <v/>
      </c>
      <c r="M165" s="15">
        <f>합산자재!J170</f>
        <v>0</v>
      </c>
      <c r="N165" s="53" t="str">
        <f t="shared" ref="N165:N173" si="72">IF(G165*M165&lt;&gt;0, TRUNC(G165*M165, 1), "")</f>
        <v/>
      </c>
      <c r="O165" s="15">
        <f t="shared" ref="O165:O174" si="73">IF((H165+K165+M165)=0, "", (H165+K165+M165))</f>
        <v>990</v>
      </c>
      <c r="P165" s="15">
        <f t="shared" ref="P165:P174" si="74">IF(SUM(I165,L165,N165)&lt;&gt;0,SUM(I165,L165,N165),"")</f>
        <v>1712.7</v>
      </c>
      <c r="Q165" s="12"/>
    </row>
    <row r="166" spans="1:17" ht="23.25" customHeight="1" x14ac:dyDescent="0.15">
      <c r="A166" s="13" t="s">
        <v>1094</v>
      </c>
      <c r="B166" s="13" t="s">
        <v>1732</v>
      </c>
      <c r="C166" s="1" t="s">
        <v>339</v>
      </c>
      <c r="D166" s="12" t="s">
        <v>322</v>
      </c>
      <c r="E166" s="12" t="s">
        <v>340</v>
      </c>
      <c r="F166" s="31" t="s">
        <v>166</v>
      </c>
      <c r="G166" s="15">
        <v>3.1110000000000002</v>
      </c>
      <c r="H166" s="15">
        <f>합산자재!H70</f>
        <v>3900</v>
      </c>
      <c r="I166" s="53">
        <f t="shared" si="70"/>
        <v>12132.9</v>
      </c>
      <c r="J166" s="15">
        <v>3.1110000000000002</v>
      </c>
      <c r="K166" s="15">
        <f>합산자재!I70</f>
        <v>0</v>
      </c>
      <c r="L166" s="53" t="str">
        <f t="shared" si="71"/>
        <v/>
      </c>
      <c r="M166" s="15">
        <f>합산자재!J70</f>
        <v>0</v>
      </c>
      <c r="N166" s="53" t="str">
        <f t="shared" si="72"/>
        <v/>
      </c>
      <c r="O166" s="15">
        <f t="shared" si="73"/>
        <v>3900</v>
      </c>
      <c r="P166" s="15">
        <f t="shared" si="74"/>
        <v>12132.9</v>
      </c>
      <c r="Q166" s="12"/>
    </row>
    <row r="167" spans="1:17" ht="23.25" customHeight="1" x14ac:dyDescent="0.15">
      <c r="A167" s="13" t="s">
        <v>1193</v>
      </c>
      <c r="B167" s="13" t="s">
        <v>1732</v>
      </c>
      <c r="C167" s="1" t="s">
        <v>628</v>
      </c>
      <c r="D167" s="12" t="s">
        <v>629</v>
      </c>
      <c r="E167" s="12" t="s">
        <v>630</v>
      </c>
      <c r="F167" s="31" t="s">
        <v>631</v>
      </c>
      <c r="G167" s="15">
        <v>5</v>
      </c>
      <c r="H167" s="15">
        <f>합산자재!H169</f>
        <v>925</v>
      </c>
      <c r="I167" s="53">
        <f t="shared" si="70"/>
        <v>4625</v>
      </c>
      <c r="J167" s="15">
        <v>5</v>
      </c>
      <c r="K167" s="15">
        <f>합산자재!I169</f>
        <v>0</v>
      </c>
      <c r="L167" s="53" t="str">
        <f t="shared" si="71"/>
        <v/>
      </c>
      <c r="M167" s="15">
        <f>합산자재!J169</f>
        <v>0</v>
      </c>
      <c r="N167" s="53" t="str">
        <f t="shared" si="72"/>
        <v/>
      </c>
      <c r="O167" s="15">
        <f t="shared" si="73"/>
        <v>925</v>
      </c>
      <c r="P167" s="15">
        <f t="shared" si="74"/>
        <v>4625</v>
      </c>
      <c r="Q167" s="12"/>
    </row>
    <row r="168" spans="1:17" ht="23.25" customHeight="1" x14ac:dyDescent="0.15">
      <c r="A168" s="13" t="s">
        <v>1113</v>
      </c>
      <c r="B168" s="13" t="s">
        <v>1732</v>
      </c>
      <c r="C168" s="1" t="s">
        <v>384</v>
      </c>
      <c r="D168" s="12" t="s">
        <v>385</v>
      </c>
      <c r="E168" s="12" t="s">
        <v>386</v>
      </c>
      <c r="F168" s="31" t="s">
        <v>200</v>
      </c>
      <c r="G168" s="15">
        <v>4</v>
      </c>
      <c r="H168" s="15">
        <f>합산자재!H89</f>
        <v>4360</v>
      </c>
      <c r="I168" s="53">
        <f t="shared" si="70"/>
        <v>17440</v>
      </c>
      <c r="J168" s="15">
        <v>4</v>
      </c>
      <c r="K168" s="15">
        <f>합산자재!I89</f>
        <v>0</v>
      </c>
      <c r="L168" s="53" t="str">
        <f t="shared" si="71"/>
        <v/>
      </c>
      <c r="M168" s="15">
        <f>합산자재!J89</f>
        <v>0</v>
      </c>
      <c r="N168" s="53" t="str">
        <f t="shared" si="72"/>
        <v/>
      </c>
      <c r="O168" s="15">
        <f t="shared" si="73"/>
        <v>4360</v>
      </c>
      <c r="P168" s="15">
        <f t="shared" si="74"/>
        <v>17440</v>
      </c>
      <c r="Q168" s="12"/>
    </row>
    <row r="169" spans="1:17" ht="23.25" customHeight="1" x14ac:dyDescent="0.15">
      <c r="A169" s="13" t="s">
        <v>1195</v>
      </c>
      <c r="B169" s="13" t="s">
        <v>1732</v>
      </c>
      <c r="C169" s="1" t="s">
        <v>637</v>
      </c>
      <c r="D169" s="12" t="s">
        <v>638</v>
      </c>
      <c r="E169" s="12" t="s">
        <v>639</v>
      </c>
      <c r="F169" s="31" t="s">
        <v>200</v>
      </c>
      <c r="G169" s="15">
        <v>2</v>
      </c>
      <c r="H169" s="15">
        <f>합산자재!H171</f>
        <v>66</v>
      </c>
      <c r="I169" s="53">
        <f t="shared" si="70"/>
        <v>132</v>
      </c>
      <c r="J169" s="15">
        <v>2</v>
      </c>
      <c r="K169" s="15">
        <f>합산자재!I171</f>
        <v>0</v>
      </c>
      <c r="L169" s="53" t="str">
        <f t="shared" si="71"/>
        <v/>
      </c>
      <c r="M169" s="15">
        <f>합산자재!J171</f>
        <v>0</v>
      </c>
      <c r="N169" s="53" t="str">
        <f t="shared" si="72"/>
        <v/>
      </c>
      <c r="O169" s="15">
        <f t="shared" si="73"/>
        <v>66</v>
      </c>
      <c r="P169" s="15">
        <f t="shared" si="74"/>
        <v>132</v>
      </c>
      <c r="Q169" s="12"/>
    </row>
    <row r="170" spans="1:17" ht="23.25" customHeight="1" x14ac:dyDescent="0.15">
      <c r="A170" s="13" t="s">
        <v>1197</v>
      </c>
      <c r="B170" s="13" t="s">
        <v>1732</v>
      </c>
      <c r="C170" s="1" t="s">
        <v>646</v>
      </c>
      <c r="D170" s="12" t="s">
        <v>643</v>
      </c>
      <c r="E170" s="12" t="s">
        <v>639</v>
      </c>
      <c r="F170" s="31" t="s">
        <v>289</v>
      </c>
      <c r="G170" s="15">
        <v>2</v>
      </c>
      <c r="H170" s="15">
        <f>합산자재!H173</f>
        <v>28</v>
      </c>
      <c r="I170" s="53">
        <f t="shared" si="70"/>
        <v>56</v>
      </c>
      <c r="J170" s="15">
        <v>2</v>
      </c>
      <c r="K170" s="15">
        <f>합산자재!I173</f>
        <v>0</v>
      </c>
      <c r="L170" s="53" t="str">
        <f t="shared" si="71"/>
        <v/>
      </c>
      <c r="M170" s="15">
        <f>합산자재!J173</f>
        <v>0</v>
      </c>
      <c r="N170" s="53" t="str">
        <f t="shared" si="72"/>
        <v/>
      </c>
      <c r="O170" s="15">
        <f t="shared" si="73"/>
        <v>28</v>
      </c>
      <c r="P170" s="15">
        <f t="shared" si="74"/>
        <v>56</v>
      </c>
      <c r="Q170" s="12"/>
    </row>
    <row r="171" spans="1:17" ht="23.25" customHeight="1" x14ac:dyDescent="0.15">
      <c r="A171" s="13" t="s">
        <v>1105</v>
      </c>
      <c r="B171" s="13" t="s">
        <v>1732</v>
      </c>
      <c r="C171" s="1" t="s">
        <v>366</v>
      </c>
      <c r="D171" s="12" t="s">
        <v>359</v>
      </c>
      <c r="E171" s="12" t="s">
        <v>367</v>
      </c>
      <c r="F171" s="31" t="s">
        <v>200</v>
      </c>
      <c r="G171" s="15">
        <v>1</v>
      </c>
      <c r="H171" s="15">
        <f>합산자재!H81</f>
        <v>288</v>
      </c>
      <c r="I171" s="53">
        <f t="shared" si="70"/>
        <v>288</v>
      </c>
      <c r="J171" s="15">
        <v>1</v>
      </c>
      <c r="K171" s="15">
        <f>합산자재!I81</f>
        <v>0</v>
      </c>
      <c r="L171" s="53" t="str">
        <f t="shared" si="71"/>
        <v/>
      </c>
      <c r="M171" s="15">
        <f>합산자재!J81</f>
        <v>0</v>
      </c>
      <c r="N171" s="53" t="str">
        <f t="shared" si="72"/>
        <v/>
      </c>
      <c r="O171" s="15">
        <f t="shared" si="73"/>
        <v>288</v>
      </c>
      <c r="P171" s="15">
        <f t="shared" si="74"/>
        <v>288</v>
      </c>
      <c r="Q171" s="12"/>
    </row>
    <row r="172" spans="1:17" ht="23.25" customHeight="1" x14ac:dyDescent="0.15">
      <c r="A172" s="13" t="s">
        <v>1372</v>
      </c>
      <c r="B172" s="13" t="s">
        <v>1732</v>
      </c>
      <c r="C172" s="1" t="s">
        <v>1002</v>
      </c>
      <c r="D172" s="12" t="s">
        <v>1003</v>
      </c>
      <c r="E172" s="12" t="s">
        <v>1004</v>
      </c>
      <c r="F172" s="31" t="s">
        <v>999</v>
      </c>
      <c r="G172" s="15">
        <f>일위노임!G48</f>
        <v>0.92</v>
      </c>
      <c r="H172" s="15">
        <f>합산자재!H345</f>
        <v>0</v>
      </c>
      <c r="I172" s="53" t="str">
        <f t="shared" si="70"/>
        <v/>
      </c>
      <c r="J172" s="15">
        <v>0.92</v>
      </c>
      <c r="K172" s="15">
        <f>합산자재!I345</f>
        <v>273676</v>
      </c>
      <c r="L172" s="53">
        <f t="shared" si="71"/>
        <v>251781.9</v>
      </c>
      <c r="M172" s="15">
        <f>합산자재!J345</f>
        <v>0</v>
      </c>
      <c r="N172" s="53" t="str">
        <f t="shared" si="72"/>
        <v/>
      </c>
      <c r="O172" s="15">
        <f t="shared" si="73"/>
        <v>273676</v>
      </c>
      <c r="P172" s="15">
        <f t="shared" si="74"/>
        <v>251781.9</v>
      </c>
      <c r="Q172" s="12"/>
    </row>
    <row r="173" spans="1:17" ht="23.25" customHeight="1" x14ac:dyDescent="0.15">
      <c r="A173" s="13" t="s">
        <v>2362</v>
      </c>
      <c r="B173" s="13" t="s">
        <v>1732</v>
      </c>
      <c r="C173" s="1" t="s">
        <v>2363</v>
      </c>
      <c r="D173" s="12" t="s">
        <v>2364</v>
      </c>
      <c r="E173" s="12" t="s">
        <v>2365</v>
      </c>
      <c r="F173" s="31" t="s">
        <v>792</v>
      </c>
      <c r="G173" s="15">
        <v>1</v>
      </c>
      <c r="H173" s="15">
        <v>5035.6000000000004</v>
      </c>
      <c r="I173" s="53">
        <f t="shared" si="70"/>
        <v>5035.6000000000004</v>
      </c>
      <c r="J173" s="15">
        <v>1</v>
      </c>
      <c r="K173" s="15"/>
      <c r="L173" s="53" t="str">
        <f t="shared" si="71"/>
        <v/>
      </c>
      <c r="M173" s="15"/>
      <c r="N173" s="53" t="str">
        <f t="shared" si="72"/>
        <v/>
      </c>
      <c r="O173" s="15">
        <f t="shared" si="73"/>
        <v>5035.6000000000004</v>
      </c>
      <c r="P173" s="15">
        <f t="shared" si="74"/>
        <v>5035.6000000000004</v>
      </c>
      <c r="Q173" s="12"/>
    </row>
    <row r="174" spans="1:17" ht="23.25" customHeight="1" x14ac:dyDescent="0.15">
      <c r="B174" s="13" t="s">
        <v>2360</v>
      </c>
      <c r="D174" s="12" t="s">
        <v>2361</v>
      </c>
      <c r="E174" s="12"/>
      <c r="F174" s="31"/>
      <c r="G174" s="15"/>
      <c r="H174" s="15"/>
      <c r="I174" s="53">
        <f>TRUNC(SUM(I164:I173))</f>
        <v>41422</v>
      </c>
      <c r="J174" s="15"/>
      <c r="K174" s="15"/>
      <c r="L174" s="53">
        <f>TRUNC(SUM(L164:L173))</f>
        <v>251781</v>
      </c>
      <c r="M174" s="15"/>
      <c r="N174" s="53">
        <f>TRUNC(SUM(N164:N173))</f>
        <v>0</v>
      </c>
      <c r="O174" s="15" t="str">
        <f t="shared" si="73"/>
        <v/>
      </c>
      <c r="P174" s="15">
        <f t="shared" si="74"/>
        <v>293203</v>
      </c>
      <c r="Q174" s="12"/>
    </row>
    <row r="175" spans="1:17" ht="23.25" customHeight="1" x14ac:dyDescent="0.15">
      <c r="D175" s="12"/>
      <c r="E175" s="12"/>
      <c r="F175" s="31"/>
      <c r="G175" s="15"/>
      <c r="H175" s="15"/>
      <c r="I175" s="53"/>
      <c r="J175" s="15"/>
      <c r="K175" s="15"/>
      <c r="L175" s="53"/>
      <c r="M175" s="15"/>
      <c r="N175" s="53"/>
      <c r="O175" s="15"/>
      <c r="P175" s="15"/>
      <c r="Q175" s="12"/>
    </row>
    <row r="176" spans="1:17" ht="23.25" customHeight="1" x14ac:dyDescent="0.15">
      <c r="A176" s="13" t="s">
        <v>2433</v>
      </c>
      <c r="B176" s="13" t="s">
        <v>2382</v>
      </c>
      <c r="C176" s="1" t="s">
        <v>2434</v>
      </c>
      <c r="D176" s="170" t="s">
        <v>2432</v>
      </c>
      <c r="E176" s="172"/>
      <c r="F176" s="31"/>
      <c r="G176" s="15"/>
      <c r="H176" s="15"/>
      <c r="I176" s="53"/>
      <c r="J176" s="15"/>
      <c r="K176" s="15"/>
      <c r="L176" s="53"/>
      <c r="M176" s="15"/>
      <c r="N176" s="53"/>
      <c r="O176" s="15"/>
      <c r="P176" s="15"/>
      <c r="Q176" s="12"/>
    </row>
    <row r="177" spans="1:18" ht="23.25" customHeight="1" x14ac:dyDescent="0.15">
      <c r="A177" s="13" t="s">
        <v>1190</v>
      </c>
      <c r="B177" s="13" t="s">
        <v>1736</v>
      </c>
      <c r="C177" s="1" t="s">
        <v>618</v>
      </c>
      <c r="D177" s="12" t="s">
        <v>619</v>
      </c>
      <c r="E177" s="12" t="s">
        <v>620</v>
      </c>
      <c r="F177" s="31" t="s">
        <v>578</v>
      </c>
      <c r="G177" s="15">
        <v>1</v>
      </c>
      <c r="H177" s="15">
        <f>합산자재!H166</f>
        <v>220000</v>
      </c>
      <c r="I177" s="53">
        <f t="shared" ref="I177:I197" si="75">IF(G177*H177&lt;&gt;0, TRUNC(G177*H177, 1), "")</f>
        <v>220000</v>
      </c>
      <c r="J177" s="15">
        <v>1</v>
      </c>
      <c r="K177" s="15">
        <f>합산자재!I166</f>
        <v>0</v>
      </c>
      <c r="L177" s="53" t="str">
        <f t="shared" ref="L177:L197" si="76">IF(G177*K177&lt;&gt;0, TRUNC(G177*K177, 1), "")</f>
        <v/>
      </c>
      <c r="M177" s="15">
        <f>합산자재!J166</f>
        <v>0</v>
      </c>
      <c r="N177" s="53" t="str">
        <f t="shared" ref="N177:N197" si="77">IF(G177*M177&lt;&gt;0, TRUNC(G177*M177, 1), "")</f>
        <v/>
      </c>
      <c r="O177" s="15">
        <f t="shared" ref="O177:O198" si="78">IF((H177+K177+M177)=0, "", (H177+K177+M177))</f>
        <v>220000</v>
      </c>
      <c r="P177" s="15">
        <f t="shared" ref="P177:P198" si="79">IF(SUM(I177,L177,N177)&lt;&gt;0,SUM(I177,L177,N177),"")</f>
        <v>220000</v>
      </c>
      <c r="Q177" s="12"/>
    </row>
    <row r="178" spans="1:18" ht="23.25" customHeight="1" x14ac:dyDescent="0.15">
      <c r="A178" s="13" t="s">
        <v>1192</v>
      </c>
      <c r="B178" s="13" t="s">
        <v>1736</v>
      </c>
      <c r="C178" s="1" t="s">
        <v>624</v>
      </c>
      <c r="D178" s="12" t="s">
        <v>625</v>
      </c>
      <c r="E178" s="12" t="s">
        <v>626</v>
      </c>
      <c r="F178" s="31" t="s">
        <v>627</v>
      </c>
      <c r="G178" s="15">
        <v>1</v>
      </c>
      <c r="H178" s="15">
        <f>합산자재!H168</f>
        <v>370000</v>
      </c>
      <c r="I178" s="53">
        <f t="shared" si="75"/>
        <v>370000</v>
      </c>
      <c r="J178" s="15">
        <v>1</v>
      </c>
      <c r="K178" s="15">
        <f>합산자재!I168</f>
        <v>0</v>
      </c>
      <c r="L178" s="53" t="str">
        <f t="shared" si="76"/>
        <v/>
      </c>
      <c r="M178" s="15">
        <f>합산자재!J168</f>
        <v>0</v>
      </c>
      <c r="N178" s="53" t="str">
        <f t="shared" si="77"/>
        <v/>
      </c>
      <c r="O178" s="15">
        <f t="shared" si="78"/>
        <v>370000</v>
      </c>
      <c r="P178" s="15">
        <f t="shared" si="79"/>
        <v>370000</v>
      </c>
      <c r="Q178" s="12"/>
    </row>
    <row r="179" spans="1:18" ht="23.25" customHeight="1" x14ac:dyDescent="0.15">
      <c r="A179" s="13" t="s">
        <v>1164</v>
      </c>
      <c r="B179" s="13" t="s">
        <v>1736</v>
      </c>
      <c r="C179" s="1" t="s">
        <v>533</v>
      </c>
      <c r="D179" s="12" t="s">
        <v>534</v>
      </c>
      <c r="E179" s="12" t="s">
        <v>535</v>
      </c>
      <c r="F179" s="31" t="s">
        <v>200</v>
      </c>
      <c r="G179" s="15">
        <v>1</v>
      </c>
      <c r="H179" s="15">
        <f>합산자재!H140</f>
        <v>3318</v>
      </c>
      <c r="I179" s="53">
        <f t="shared" si="75"/>
        <v>3318</v>
      </c>
      <c r="J179" s="15">
        <v>1</v>
      </c>
      <c r="K179" s="15">
        <f>합산자재!I140</f>
        <v>0</v>
      </c>
      <c r="L179" s="53" t="str">
        <f t="shared" si="76"/>
        <v/>
      </c>
      <c r="M179" s="15">
        <f>합산자재!J140</f>
        <v>0</v>
      </c>
      <c r="N179" s="53" t="str">
        <f t="shared" si="77"/>
        <v/>
      </c>
      <c r="O179" s="15">
        <f t="shared" si="78"/>
        <v>3318</v>
      </c>
      <c r="P179" s="15">
        <f t="shared" si="79"/>
        <v>3318</v>
      </c>
      <c r="Q179" s="12"/>
    </row>
    <row r="180" spans="1:18" ht="23.25" customHeight="1" x14ac:dyDescent="0.15">
      <c r="A180" s="13" t="s">
        <v>1124</v>
      </c>
      <c r="B180" s="13" t="s">
        <v>1736</v>
      </c>
      <c r="C180" s="1" t="s">
        <v>420</v>
      </c>
      <c r="D180" s="12" t="s">
        <v>408</v>
      </c>
      <c r="E180" s="12" t="s">
        <v>421</v>
      </c>
      <c r="F180" s="31" t="s">
        <v>166</v>
      </c>
      <c r="G180" s="15">
        <v>5</v>
      </c>
      <c r="H180" s="15">
        <f>합산자재!H100</f>
        <v>5377</v>
      </c>
      <c r="I180" s="53">
        <f t="shared" si="75"/>
        <v>26885</v>
      </c>
      <c r="J180" s="15">
        <v>5</v>
      </c>
      <c r="K180" s="15">
        <f>합산자재!I100</f>
        <v>0</v>
      </c>
      <c r="L180" s="53" t="str">
        <f t="shared" si="76"/>
        <v/>
      </c>
      <c r="M180" s="15">
        <f>합산자재!J100</f>
        <v>0</v>
      </c>
      <c r="N180" s="53" t="str">
        <f t="shared" si="77"/>
        <v/>
      </c>
      <c r="O180" s="15">
        <f t="shared" si="78"/>
        <v>5377</v>
      </c>
      <c r="P180" s="15">
        <f t="shared" si="79"/>
        <v>26885</v>
      </c>
      <c r="Q180" s="12"/>
    </row>
    <row r="181" spans="1:18" ht="23.25" customHeight="1" x14ac:dyDescent="0.15">
      <c r="A181" s="13" t="s">
        <v>1662</v>
      </c>
      <c r="B181" s="13" t="s">
        <v>1736</v>
      </c>
      <c r="C181" s="1" t="s">
        <v>1663</v>
      </c>
      <c r="D181" s="12" t="s">
        <v>1665</v>
      </c>
      <c r="E181" s="12" t="s">
        <v>1666</v>
      </c>
      <c r="F181" s="31" t="s">
        <v>980</v>
      </c>
      <c r="G181" s="15">
        <v>7.92</v>
      </c>
      <c r="H181" s="15">
        <f>일대목차!H4</f>
        <v>341</v>
      </c>
      <c r="I181" s="53">
        <f t="shared" si="75"/>
        <v>2700.7</v>
      </c>
      <c r="J181" s="15">
        <v>7.92</v>
      </c>
      <c r="K181" s="15">
        <f>일대목차!K4</f>
        <v>7929</v>
      </c>
      <c r="L181" s="53">
        <f t="shared" si="76"/>
        <v>62797.599999999999</v>
      </c>
      <c r="M181" s="15">
        <f>일대목차!M4</f>
        <v>418</v>
      </c>
      <c r="N181" s="53">
        <f t="shared" si="77"/>
        <v>3310.5</v>
      </c>
      <c r="O181" s="15">
        <f t="shared" si="78"/>
        <v>8688</v>
      </c>
      <c r="P181" s="15">
        <f t="shared" si="79"/>
        <v>68808.799999999988</v>
      </c>
      <c r="Q181" s="12" t="s">
        <v>1664</v>
      </c>
      <c r="R181" s="2" t="s">
        <v>2359</v>
      </c>
    </row>
    <row r="182" spans="1:18" ht="23.25" customHeight="1" x14ac:dyDescent="0.15">
      <c r="A182" s="13" t="s">
        <v>2342</v>
      </c>
      <c r="B182" s="13" t="s">
        <v>1736</v>
      </c>
      <c r="C182" s="1" t="s">
        <v>2343</v>
      </c>
      <c r="D182" s="12" t="s">
        <v>2345</v>
      </c>
      <c r="E182" s="12" t="s">
        <v>2346</v>
      </c>
      <c r="F182" s="31" t="s">
        <v>2337</v>
      </c>
      <c r="G182" s="15">
        <v>1.97</v>
      </c>
      <c r="H182" s="15">
        <f>일대목차!H218</f>
        <v>0</v>
      </c>
      <c r="I182" s="53" t="str">
        <f t="shared" si="75"/>
        <v/>
      </c>
      <c r="J182" s="15">
        <v>1.97</v>
      </c>
      <c r="K182" s="15">
        <f>일대목차!K218</f>
        <v>34413</v>
      </c>
      <c r="L182" s="53">
        <f t="shared" si="76"/>
        <v>67793.600000000006</v>
      </c>
      <c r="M182" s="15">
        <f>일대목차!M218</f>
        <v>0</v>
      </c>
      <c r="N182" s="53" t="str">
        <f t="shared" si="77"/>
        <v/>
      </c>
      <c r="O182" s="15">
        <f t="shared" si="78"/>
        <v>34413</v>
      </c>
      <c r="P182" s="15">
        <f t="shared" si="79"/>
        <v>67793.600000000006</v>
      </c>
      <c r="Q182" s="12" t="s">
        <v>2344</v>
      </c>
      <c r="R182" s="2" t="s">
        <v>2359</v>
      </c>
    </row>
    <row r="183" spans="1:18" ht="23.25" customHeight="1" x14ac:dyDescent="0.15">
      <c r="A183" s="13" t="s">
        <v>2338</v>
      </c>
      <c r="B183" s="13" t="s">
        <v>1736</v>
      </c>
      <c r="C183" s="1" t="s">
        <v>2339</v>
      </c>
      <c r="D183" s="12" t="s">
        <v>2341</v>
      </c>
      <c r="E183" s="12" t="s">
        <v>2336</v>
      </c>
      <c r="F183" s="31" t="s">
        <v>2337</v>
      </c>
      <c r="G183" s="15">
        <v>5.95</v>
      </c>
      <c r="H183" s="15">
        <f>일대목차!H217</f>
        <v>0</v>
      </c>
      <c r="I183" s="53" t="str">
        <f t="shared" si="75"/>
        <v/>
      </c>
      <c r="J183" s="15">
        <v>5.95</v>
      </c>
      <c r="K183" s="15">
        <f>일대목차!K217</f>
        <v>17206</v>
      </c>
      <c r="L183" s="53">
        <f t="shared" si="76"/>
        <v>102375.7</v>
      </c>
      <c r="M183" s="15">
        <f>일대목차!M217</f>
        <v>0</v>
      </c>
      <c r="N183" s="53" t="str">
        <f t="shared" si="77"/>
        <v/>
      </c>
      <c r="O183" s="15">
        <f t="shared" si="78"/>
        <v>17206</v>
      </c>
      <c r="P183" s="15">
        <f t="shared" si="79"/>
        <v>102375.7</v>
      </c>
      <c r="Q183" s="12" t="s">
        <v>2340</v>
      </c>
      <c r="R183" s="2" t="s">
        <v>2359</v>
      </c>
    </row>
    <row r="184" spans="1:18" ht="23.25" customHeight="1" x14ac:dyDescent="0.15">
      <c r="A184" s="13" t="s">
        <v>2347</v>
      </c>
      <c r="B184" s="13" t="s">
        <v>1736</v>
      </c>
      <c r="C184" s="1" t="s">
        <v>2348</v>
      </c>
      <c r="D184" s="12" t="s">
        <v>2350</v>
      </c>
      <c r="E184" s="12" t="s">
        <v>2351</v>
      </c>
      <c r="F184" s="31" t="s">
        <v>980</v>
      </c>
      <c r="G184" s="15">
        <v>0.97</v>
      </c>
      <c r="H184" s="15">
        <f>일대목차!H219</f>
        <v>3785</v>
      </c>
      <c r="I184" s="53">
        <f t="shared" si="75"/>
        <v>3671.4</v>
      </c>
      <c r="J184" s="15">
        <v>0.97</v>
      </c>
      <c r="K184" s="15">
        <f>일대목차!K219</f>
        <v>189274</v>
      </c>
      <c r="L184" s="53">
        <f t="shared" si="76"/>
        <v>183595.7</v>
      </c>
      <c r="M184" s="15">
        <f>일대목차!M219</f>
        <v>0</v>
      </c>
      <c r="N184" s="53" t="str">
        <f t="shared" si="77"/>
        <v/>
      </c>
      <c r="O184" s="15">
        <f t="shared" si="78"/>
        <v>193059</v>
      </c>
      <c r="P184" s="15">
        <f t="shared" si="79"/>
        <v>187267.1</v>
      </c>
      <c r="Q184" s="12" t="s">
        <v>2349</v>
      </c>
      <c r="R184" s="2" t="s">
        <v>2359</v>
      </c>
    </row>
    <row r="185" spans="1:18" ht="23.25" customHeight="1" x14ac:dyDescent="0.15">
      <c r="A185" s="13" t="s">
        <v>1366</v>
      </c>
      <c r="B185" s="13" t="s">
        <v>1736</v>
      </c>
      <c r="C185" s="1" t="s">
        <v>986</v>
      </c>
      <c r="D185" s="12" t="s">
        <v>987</v>
      </c>
      <c r="E185" s="12" t="s">
        <v>988</v>
      </c>
      <c r="F185" s="31" t="s">
        <v>989</v>
      </c>
      <c r="G185" s="15">
        <v>137</v>
      </c>
      <c r="H185" s="15">
        <f>합산자재!H340</f>
        <v>308</v>
      </c>
      <c r="I185" s="53">
        <f t="shared" si="75"/>
        <v>42196</v>
      </c>
      <c r="J185" s="15">
        <v>137</v>
      </c>
      <c r="K185" s="15">
        <f>합산자재!I340</f>
        <v>825</v>
      </c>
      <c r="L185" s="53">
        <f t="shared" si="76"/>
        <v>113025</v>
      </c>
      <c r="M185" s="15">
        <f>합산자재!J340</f>
        <v>376</v>
      </c>
      <c r="N185" s="53">
        <f t="shared" si="77"/>
        <v>51512</v>
      </c>
      <c r="O185" s="15">
        <f t="shared" si="78"/>
        <v>1509</v>
      </c>
      <c r="P185" s="15">
        <f t="shared" si="79"/>
        <v>206733</v>
      </c>
      <c r="Q185" s="12" t="s">
        <v>1367</v>
      </c>
      <c r="R185" s="2" t="s">
        <v>2359</v>
      </c>
    </row>
    <row r="186" spans="1:18" ht="23.25" customHeight="1" x14ac:dyDescent="0.15">
      <c r="A186" s="13" t="s">
        <v>1175</v>
      </c>
      <c r="B186" s="13" t="s">
        <v>1736</v>
      </c>
      <c r="C186" s="1" t="s">
        <v>572</v>
      </c>
      <c r="D186" s="12" t="s">
        <v>573</v>
      </c>
      <c r="E186" s="12" t="s">
        <v>574</v>
      </c>
      <c r="F186" s="31" t="s">
        <v>289</v>
      </c>
      <c r="G186" s="15">
        <v>2</v>
      </c>
      <c r="H186" s="15">
        <f>합산자재!H151</f>
        <v>10200</v>
      </c>
      <c r="I186" s="53">
        <f t="shared" si="75"/>
        <v>20400</v>
      </c>
      <c r="J186" s="15">
        <v>2</v>
      </c>
      <c r="K186" s="15">
        <f>합산자재!I151</f>
        <v>0</v>
      </c>
      <c r="L186" s="53" t="str">
        <f t="shared" si="76"/>
        <v/>
      </c>
      <c r="M186" s="15">
        <f>합산자재!J151</f>
        <v>0</v>
      </c>
      <c r="N186" s="53" t="str">
        <f t="shared" si="77"/>
        <v/>
      </c>
      <c r="O186" s="15">
        <f t="shared" si="78"/>
        <v>10200</v>
      </c>
      <c r="P186" s="15">
        <f t="shared" si="79"/>
        <v>20400</v>
      </c>
      <c r="Q186" s="12"/>
    </row>
    <row r="187" spans="1:18" ht="23.25" customHeight="1" x14ac:dyDescent="0.15">
      <c r="A187" s="13" t="s">
        <v>1174</v>
      </c>
      <c r="B187" s="13" t="s">
        <v>1736</v>
      </c>
      <c r="C187" s="1" t="s">
        <v>569</v>
      </c>
      <c r="D187" s="12" t="s">
        <v>570</v>
      </c>
      <c r="E187" s="12" t="s">
        <v>571</v>
      </c>
      <c r="F187" s="31" t="s">
        <v>289</v>
      </c>
      <c r="G187" s="15">
        <v>2</v>
      </c>
      <c r="H187" s="15">
        <f>합산자재!H150</f>
        <v>6800</v>
      </c>
      <c r="I187" s="53">
        <f t="shared" si="75"/>
        <v>13600</v>
      </c>
      <c r="J187" s="15">
        <v>2</v>
      </c>
      <c r="K187" s="15">
        <f>합산자재!I150</f>
        <v>0</v>
      </c>
      <c r="L187" s="53" t="str">
        <f t="shared" si="76"/>
        <v/>
      </c>
      <c r="M187" s="15">
        <f>합산자재!J150</f>
        <v>0</v>
      </c>
      <c r="N187" s="53" t="str">
        <f t="shared" si="77"/>
        <v/>
      </c>
      <c r="O187" s="15">
        <f t="shared" si="78"/>
        <v>6800</v>
      </c>
      <c r="P187" s="15">
        <f t="shared" si="79"/>
        <v>13600</v>
      </c>
      <c r="Q187" s="12"/>
    </row>
    <row r="188" spans="1:18" ht="23.25" customHeight="1" x14ac:dyDescent="0.15">
      <c r="A188" s="13" t="s">
        <v>1189</v>
      </c>
      <c r="B188" s="13" t="s">
        <v>1736</v>
      </c>
      <c r="C188" s="1" t="s">
        <v>616</v>
      </c>
      <c r="D188" s="12" t="s">
        <v>614</v>
      </c>
      <c r="E188" s="12" t="s">
        <v>617</v>
      </c>
      <c r="F188" s="31" t="s">
        <v>289</v>
      </c>
      <c r="G188" s="15">
        <v>4</v>
      </c>
      <c r="H188" s="15">
        <f>합산자재!H165</f>
        <v>13500</v>
      </c>
      <c r="I188" s="53">
        <f t="shared" si="75"/>
        <v>54000</v>
      </c>
      <c r="J188" s="15">
        <v>4</v>
      </c>
      <c r="K188" s="15">
        <f>합산자재!I165</f>
        <v>0</v>
      </c>
      <c r="L188" s="53" t="str">
        <f t="shared" si="76"/>
        <v/>
      </c>
      <c r="M188" s="15">
        <f>합산자재!J165</f>
        <v>0</v>
      </c>
      <c r="N188" s="53" t="str">
        <f t="shared" si="77"/>
        <v/>
      </c>
      <c r="O188" s="15">
        <f t="shared" si="78"/>
        <v>13500</v>
      </c>
      <c r="P188" s="15">
        <f t="shared" si="79"/>
        <v>54000</v>
      </c>
      <c r="Q188" s="12"/>
    </row>
    <row r="189" spans="1:18" ht="23.25" customHeight="1" x14ac:dyDescent="0.15">
      <c r="A189" s="13" t="s">
        <v>1188</v>
      </c>
      <c r="B189" s="13" t="s">
        <v>1736</v>
      </c>
      <c r="C189" s="1" t="s">
        <v>613</v>
      </c>
      <c r="D189" s="12" t="s">
        <v>614</v>
      </c>
      <c r="E189" s="12" t="s">
        <v>615</v>
      </c>
      <c r="F189" s="31" t="s">
        <v>289</v>
      </c>
      <c r="G189" s="15">
        <v>4</v>
      </c>
      <c r="H189" s="15">
        <f>합산자재!H164</f>
        <v>2000</v>
      </c>
      <c r="I189" s="53">
        <f t="shared" si="75"/>
        <v>8000</v>
      </c>
      <c r="J189" s="15">
        <v>4</v>
      </c>
      <c r="K189" s="15">
        <f>합산자재!I164</f>
        <v>0</v>
      </c>
      <c r="L189" s="53" t="str">
        <f t="shared" si="76"/>
        <v/>
      </c>
      <c r="M189" s="15">
        <f>합산자재!J164</f>
        <v>0</v>
      </c>
      <c r="N189" s="53" t="str">
        <f t="shared" si="77"/>
        <v/>
      </c>
      <c r="O189" s="15">
        <f t="shared" si="78"/>
        <v>2000</v>
      </c>
      <c r="P189" s="15">
        <f t="shared" si="79"/>
        <v>8000</v>
      </c>
      <c r="Q189" s="12"/>
    </row>
    <row r="190" spans="1:18" ht="23.25" customHeight="1" x14ac:dyDescent="0.15">
      <c r="A190" s="13" t="s">
        <v>1372</v>
      </c>
      <c r="B190" s="13" t="s">
        <v>1736</v>
      </c>
      <c r="C190" s="1" t="s">
        <v>1002</v>
      </c>
      <c r="D190" s="12" t="s">
        <v>1003</v>
      </c>
      <c r="E190" s="12" t="s">
        <v>1004</v>
      </c>
      <c r="F190" s="31" t="s">
        <v>999</v>
      </c>
      <c r="G190" s="15">
        <f>일위노임!G60</f>
        <v>0.14499999999999999</v>
      </c>
      <c r="H190" s="15">
        <f>합산자재!H345</f>
        <v>0</v>
      </c>
      <c r="I190" s="53" t="str">
        <f t="shared" si="75"/>
        <v/>
      </c>
      <c r="J190" s="15">
        <v>0.14499999999999999</v>
      </c>
      <c r="K190" s="15">
        <f>합산자재!I345</f>
        <v>273676</v>
      </c>
      <c r="L190" s="53">
        <f t="shared" si="76"/>
        <v>39683</v>
      </c>
      <c r="M190" s="15">
        <f>합산자재!J345</f>
        <v>0</v>
      </c>
      <c r="N190" s="53" t="str">
        <f t="shared" si="77"/>
        <v/>
      </c>
      <c r="O190" s="15">
        <f t="shared" si="78"/>
        <v>273676</v>
      </c>
      <c r="P190" s="15">
        <f t="shared" si="79"/>
        <v>39683</v>
      </c>
      <c r="Q190" s="12"/>
    </row>
    <row r="191" spans="1:18" ht="23.25" customHeight="1" x14ac:dyDescent="0.15">
      <c r="A191" s="13" t="s">
        <v>1376</v>
      </c>
      <c r="B191" s="13" t="s">
        <v>1736</v>
      </c>
      <c r="C191" s="1" t="s">
        <v>1011</v>
      </c>
      <c r="D191" s="12" t="s">
        <v>1003</v>
      </c>
      <c r="E191" s="12" t="s">
        <v>1012</v>
      </c>
      <c r="F191" s="31" t="s">
        <v>999</v>
      </c>
      <c r="G191" s="15">
        <f>일위노임!G61</f>
        <v>0.44</v>
      </c>
      <c r="H191" s="15">
        <f>합산자재!H349</f>
        <v>0</v>
      </c>
      <c r="I191" s="53" t="str">
        <f t="shared" si="75"/>
        <v/>
      </c>
      <c r="J191" s="15">
        <v>0.44</v>
      </c>
      <c r="K191" s="15">
        <f>합산자재!I349</f>
        <v>414968</v>
      </c>
      <c r="L191" s="53">
        <f t="shared" si="76"/>
        <v>182585.9</v>
      </c>
      <c r="M191" s="15">
        <f>합산자재!J349</f>
        <v>0</v>
      </c>
      <c r="N191" s="53" t="str">
        <f t="shared" si="77"/>
        <v/>
      </c>
      <c r="O191" s="15">
        <f t="shared" si="78"/>
        <v>414968</v>
      </c>
      <c r="P191" s="15">
        <f t="shared" si="79"/>
        <v>182585.9</v>
      </c>
      <c r="Q191" s="12"/>
    </row>
    <row r="192" spans="1:18" ht="23.25" customHeight="1" x14ac:dyDescent="0.15">
      <c r="A192" s="13" t="s">
        <v>1378</v>
      </c>
      <c r="B192" s="13" t="s">
        <v>1736</v>
      </c>
      <c r="C192" s="1" t="s">
        <v>1015</v>
      </c>
      <c r="D192" s="12" t="s">
        <v>1003</v>
      </c>
      <c r="E192" s="12" t="s">
        <v>1016</v>
      </c>
      <c r="F192" s="31" t="s">
        <v>999</v>
      </c>
      <c r="G192" s="15">
        <f>일위노임!G62</f>
        <v>0.78</v>
      </c>
      <c r="H192" s="15">
        <f>합산자재!H351</f>
        <v>0</v>
      </c>
      <c r="I192" s="53" t="str">
        <f t="shared" si="75"/>
        <v/>
      </c>
      <c r="J192" s="15">
        <v>0.78</v>
      </c>
      <c r="K192" s="15">
        <f>합산자재!I351</f>
        <v>408942</v>
      </c>
      <c r="L192" s="53">
        <f t="shared" si="76"/>
        <v>318974.7</v>
      </c>
      <c r="M192" s="15">
        <f>합산자재!J351</f>
        <v>0</v>
      </c>
      <c r="N192" s="53" t="str">
        <f t="shared" si="77"/>
        <v/>
      </c>
      <c r="O192" s="15">
        <f t="shared" si="78"/>
        <v>408942</v>
      </c>
      <c r="P192" s="15">
        <f t="shared" si="79"/>
        <v>318974.7</v>
      </c>
      <c r="Q192" s="12"/>
    </row>
    <row r="193" spans="1:18" ht="23.25" customHeight="1" x14ac:dyDescent="0.15">
      <c r="A193" s="13" t="s">
        <v>1379</v>
      </c>
      <c r="B193" s="13" t="s">
        <v>1736</v>
      </c>
      <c r="C193" s="1" t="s">
        <v>1017</v>
      </c>
      <c r="D193" s="12" t="s">
        <v>1003</v>
      </c>
      <c r="E193" s="12" t="s">
        <v>1018</v>
      </c>
      <c r="F193" s="31" t="s">
        <v>999</v>
      </c>
      <c r="G193" s="15">
        <f>일위노임!G63</f>
        <v>0.69</v>
      </c>
      <c r="H193" s="15">
        <f>합산자재!H352</f>
        <v>0</v>
      </c>
      <c r="I193" s="53" t="str">
        <f t="shared" si="75"/>
        <v/>
      </c>
      <c r="J193" s="15">
        <v>0.69</v>
      </c>
      <c r="K193" s="15">
        <f>합산자재!I352</f>
        <v>172068</v>
      </c>
      <c r="L193" s="53">
        <f t="shared" si="76"/>
        <v>118726.9</v>
      </c>
      <c r="M193" s="15">
        <f>합산자재!J352</f>
        <v>0</v>
      </c>
      <c r="N193" s="53" t="str">
        <f t="shared" si="77"/>
        <v/>
      </c>
      <c r="O193" s="15">
        <f t="shared" si="78"/>
        <v>172068</v>
      </c>
      <c r="P193" s="15">
        <f t="shared" si="79"/>
        <v>118726.9</v>
      </c>
      <c r="Q193" s="12"/>
    </row>
    <row r="194" spans="1:18" ht="23.25" customHeight="1" x14ac:dyDescent="0.15">
      <c r="A194" s="13" t="s">
        <v>1380</v>
      </c>
      <c r="B194" s="13" t="s">
        <v>1736</v>
      </c>
      <c r="C194" s="1" t="s">
        <v>1019</v>
      </c>
      <c r="D194" s="12" t="s">
        <v>1003</v>
      </c>
      <c r="E194" s="12" t="s">
        <v>1020</v>
      </c>
      <c r="F194" s="31" t="s">
        <v>999</v>
      </c>
      <c r="G194" s="15">
        <f>일위노임!G64</f>
        <v>1.33</v>
      </c>
      <c r="H194" s="15">
        <f>합산자재!H353</f>
        <v>0</v>
      </c>
      <c r="I194" s="53" t="str">
        <f t="shared" si="75"/>
        <v/>
      </c>
      <c r="J194" s="15">
        <v>1.33</v>
      </c>
      <c r="K194" s="15">
        <f>합산자재!I353</f>
        <v>226122</v>
      </c>
      <c r="L194" s="53">
        <f t="shared" si="76"/>
        <v>300742.2</v>
      </c>
      <c r="M194" s="15">
        <f>합산자재!J353</f>
        <v>0</v>
      </c>
      <c r="N194" s="53" t="str">
        <f t="shared" si="77"/>
        <v/>
      </c>
      <c r="O194" s="15">
        <f t="shared" si="78"/>
        <v>226122</v>
      </c>
      <c r="P194" s="15">
        <f t="shared" si="79"/>
        <v>300742.2</v>
      </c>
      <c r="Q194" s="12"/>
    </row>
    <row r="195" spans="1:18" ht="23.25" customHeight="1" x14ac:dyDescent="0.15">
      <c r="A195" s="13" t="s">
        <v>1382</v>
      </c>
      <c r="B195" s="13" t="s">
        <v>1736</v>
      </c>
      <c r="C195" s="1" t="s">
        <v>1023</v>
      </c>
      <c r="D195" s="12" t="s">
        <v>1003</v>
      </c>
      <c r="E195" s="12" t="s">
        <v>1024</v>
      </c>
      <c r="F195" s="31" t="s">
        <v>999</v>
      </c>
      <c r="G195" s="15">
        <f>일위노임!G65</f>
        <v>0.05</v>
      </c>
      <c r="H195" s="15">
        <f>합산자재!H355</f>
        <v>0</v>
      </c>
      <c r="I195" s="53" t="str">
        <f t="shared" si="75"/>
        <v/>
      </c>
      <c r="J195" s="15">
        <v>0.05</v>
      </c>
      <c r="K195" s="15">
        <f>합산자재!I355</f>
        <v>211653</v>
      </c>
      <c r="L195" s="53">
        <f t="shared" si="76"/>
        <v>10582.6</v>
      </c>
      <c r="M195" s="15">
        <f>합산자재!J355</f>
        <v>0</v>
      </c>
      <c r="N195" s="53" t="str">
        <f t="shared" si="77"/>
        <v/>
      </c>
      <c r="O195" s="15">
        <f t="shared" si="78"/>
        <v>211653</v>
      </c>
      <c r="P195" s="15">
        <f t="shared" si="79"/>
        <v>10582.6</v>
      </c>
      <c r="Q195" s="12"/>
    </row>
    <row r="196" spans="1:18" ht="23.25" customHeight="1" x14ac:dyDescent="0.15">
      <c r="A196" s="13" t="s">
        <v>1383</v>
      </c>
      <c r="B196" s="13" t="s">
        <v>1736</v>
      </c>
      <c r="C196" s="1" t="s">
        <v>1025</v>
      </c>
      <c r="D196" s="12" t="s">
        <v>1003</v>
      </c>
      <c r="E196" s="12" t="s">
        <v>1026</v>
      </c>
      <c r="F196" s="31" t="s">
        <v>999</v>
      </c>
      <c r="G196" s="15">
        <f>일위노임!G66</f>
        <v>0.34</v>
      </c>
      <c r="H196" s="15">
        <f>합산자재!H356</f>
        <v>0</v>
      </c>
      <c r="I196" s="53" t="str">
        <f t="shared" si="75"/>
        <v/>
      </c>
      <c r="J196" s="15">
        <v>0.34</v>
      </c>
      <c r="K196" s="15">
        <f>합산자재!I356</f>
        <v>215907</v>
      </c>
      <c r="L196" s="53">
        <f t="shared" si="76"/>
        <v>73408.3</v>
      </c>
      <c r="M196" s="15">
        <f>합산자재!J356</f>
        <v>0</v>
      </c>
      <c r="N196" s="53" t="str">
        <f t="shared" si="77"/>
        <v/>
      </c>
      <c r="O196" s="15">
        <f t="shared" si="78"/>
        <v>215907</v>
      </c>
      <c r="P196" s="15">
        <f t="shared" si="79"/>
        <v>73408.3</v>
      </c>
      <c r="Q196" s="12"/>
    </row>
    <row r="197" spans="1:18" ht="23.25" customHeight="1" x14ac:dyDescent="0.15">
      <c r="A197" s="13" t="s">
        <v>2362</v>
      </c>
      <c r="B197" s="13" t="s">
        <v>1736</v>
      </c>
      <c r="C197" s="1" t="s">
        <v>2363</v>
      </c>
      <c r="D197" s="12" t="s">
        <v>2364</v>
      </c>
      <c r="E197" s="12" t="s">
        <v>2365</v>
      </c>
      <c r="F197" s="31" t="s">
        <v>792</v>
      </c>
      <c r="G197" s="15">
        <v>1</v>
      </c>
      <c r="H197" s="15">
        <v>20894</v>
      </c>
      <c r="I197" s="53">
        <f t="shared" si="75"/>
        <v>20894</v>
      </c>
      <c r="J197" s="15">
        <v>1</v>
      </c>
      <c r="K197" s="15"/>
      <c r="L197" s="53" t="str">
        <f t="shared" si="76"/>
        <v/>
      </c>
      <c r="M197" s="15"/>
      <c r="N197" s="53" t="str">
        <f t="shared" si="77"/>
        <v/>
      </c>
      <c r="O197" s="15">
        <f t="shared" si="78"/>
        <v>20894</v>
      </c>
      <c r="P197" s="15">
        <f t="shared" si="79"/>
        <v>20894</v>
      </c>
      <c r="Q197" s="12"/>
    </row>
    <row r="198" spans="1:18" ht="23.25" customHeight="1" x14ac:dyDescent="0.15">
      <c r="B198" s="13" t="s">
        <v>2360</v>
      </c>
      <c r="D198" s="12" t="s">
        <v>2361</v>
      </c>
      <c r="E198" s="12"/>
      <c r="F198" s="31"/>
      <c r="G198" s="15"/>
      <c r="H198" s="15"/>
      <c r="I198" s="53">
        <f>TRUNC(SUM(I176:I197))</f>
        <v>785665</v>
      </c>
      <c r="J198" s="15"/>
      <c r="K198" s="15"/>
      <c r="L198" s="53">
        <f>TRUNC(SUM(L176:L197))</f>
        <v>1574291</v>
      </c>
      <c r="M198" s="15"/>
      <c r="N198" s="53">
        <f>TRUNC(SUM(N176:N197))</f>
        <v>54822</v>
      </c>
      <c r="O198" s="15" t="str">
        <f t="shared" si="78"/>
        <v/>
      </c>
      <c r="P198" s="15">
        <f t="shared" si="79"/>
        <v>2414778</v>
      </c>
      <c r="Q198" s="12"/>
    </row>
    <row r="199" spans="1:18" ht="23.25" customHeight="1" x14ac:dyDescent="0.15">
      <c r="D199" s="12"/>
      <c r="E199" s="12"/>
      <c r="F199" s="31"/>
      <c r="G199" s="15"/>
      <c r="H199" s="15"/>
      <c r="I199" s="53"/>
      <c r="J199" s="15"/>
      <c r="K199" s="15"/>
      <c r="L199" s="53"/>
      <c r="M199" s="15"/>
      <c r="N199" s="53"/>
      <c r="O199" s="15"/>
      <c r="P199" s="15"/>
      <c r="Q199" s="12"/>
    </row>
    <row r="200" spans="1:18" ht="23.25" customHeight="1" x14ac:dyDescent="0.15">
      <c r="A200" s="13" t="s">
        <v>2436</v>
      </c>
      <c r="B200" s="13" t="s">
        <v>2382</v>
      </c>
      <c r="C200" s="1" t="s">
        <v>2437</v>
      </c>
      <c r="D200" s="170" t="s">
        <v>2435</v>
      </c>
      <c r="E200" s="172"/>
      <c r="F200" s="31"/>
      <c r="G200" s="15"/>
      <c r="H200" s="15"/>
      <c r="I200" s="53"/>
      <c r="J200" s="15"/>
      <c r="K200" s="15"/>
      <c r="L200" s="53"/>
      <c r="M200" s="15"/>
      <c r="N200" s="53"/>
      <c r="O200" s="15"/>
      <c r="P200" s="15"/>
      <c r="Q200" s="12"/>
    </row>
    <row r="201" spans="1:18" ht="23.25" customHeight="1" x14ac:dyDescent="0.15">
      <c r="A201" s="13" t="s">
        <v>1191</v>
      </c>
      <c r="B201" s="13" t="s">
        <v>1740</v>
      </c>
      <c r="C201" s="1" t="s">
        <v>622</v>
      </c>
      <c r="D201" s="12" t="s">
        <v>619</v>
      </c>
      <c r="E201" s="12" t="s">
        <v>623</v>
      </c>
      <c r="F201" s="31" t="s">
        <v>578</v>
      </c>
      <c r="G201" s="15">
        <v>1</v>
      </c>
      <c r="H201" s="15">
        <f>합산자재!H167</f>
        <v>450000</v>
      </c>
      <c r="I201" s="53">
        <f t="shared" ref="I201:I216" si="80">IF(G201*H201&lt;&gt;0, TRUNC(G201*H201, 1), "")</f>
        <v>450000</v>
      </c>
      <c r="J201" s="15">
        <v>1</v>
      </c>
      <c r="K201" s="15">
        <f>합산자재!I167</f>
        <v>0</v>
      </c>
      <c r="L201" s="53" t="str">
        <f t="shared" ref="L201:L216" si="81">IF(G201*K201&lt;&gt;0, TRUNC(G201*K201, 1), "")</f>
        <v/>
      </c>
      <c r="M201" s="15">
        <f>합산자재!J167</f>
        <v>0</v>
      </c>
      <c r="N201" s="53" t="str">
        <f t="shared" ref="N201:N216" si="82">IF(G201*M201&lt;&gt;0, TRUNC(G201*M201, 1), "")</f>
        <v/>
      </c>
      <c r="O201" s="15">
        <f t="shared" ref="O201:O217" si="83">IF((H201+K201+M201)=0, "", (H201+K201+M201))</f>
        <v>450000</v>
      </c>
      <c r="P201" s="15">
        <f t="shared" ref="P201:P217" si="84">IF(SUM(I201,L201,N201)&lt;&gt;0,SUM(I201,L201,N201),"")</f>
        <v>450000</v>
      </c>
      <c r="Q201" s="12"/>
    </row>
    <row r="202" spans="1:18" ht="23.25" customHeight="1" x14ac:dyDescent="0.15">
      <c r="A202" s="13" t="s">
        <v>1192</v>
      </c>
      <c r="B202" s="13" t="s">
        <v>1740</v>
      </c>
      <c r="C202" s="1" t="s">
        <v>624</v>
      </c>
      <c r="D202" s="12" t="s">
        <v>625</v>
      </c>
      <c r="E202" s="12" t="s">
        <v>626</v>
      </c>
      <c r="F202" s="31" t="s">
        <v>627</v>
      </c>
      <c r="G202" s="15">
        <v>1</v>
      </c>
      <c r="H202" s="15">
        <f>합산자재!H168</f>
        <v>370000</v>
      </c>
      <c r="I202" s="53">
        <f t="shared" si="80"/>
        <v>370000</v>
      </c>
      <c r="J202" s="15">
        <v>1</v>
      </c>
      <c r="K202" s="15">
        <f>합산자재!I168</f>
        <v>0</v>
      </c>
      <c r="L202" s="53" t="str">
        <f t="shared" si="81"/>
        <v/>
      </c>
      <c r="M202" s="15">
        <f>합산자재!J168</f>
        <v>0</v>
      </c>
      <c r="N202" s="53" t="str">
        <f t="shared" si="82"/>
        <v/>
      </c>
      <c r="O202" s="15">
        <f t="shared" si="83"/>
        <v>370000</v>
      </c>
      <c r="P202" s="15">
        <f t="shared" si="84"/>
        <v>370000</v>
      </c>
      <c r="Q202" s="12"/>
    </row>
    <row r="203" spans="1:18" ht="23.25" customHeight="1" x14ac:dyDescent="0.15">
      <c r="A203" s="13" t="s">
        <v>1164</v>
      </c>
      <c r="B203" s="13" t="s">
        <v>1740</v>
      </c>
      <c r="C203" s="1" t="s">
        <v>533</v>
      </c>
      <c r="D203" s="12" t="s">
        <v>534</v>
      </c>
      <c r="E203" s="12" t="s">
        <v>535</v>
      </c>
      <c r="F203" s="31" t="s">
        <v>200</v>
      </c>
      <c r="G203" s="15">
        <v>1</v>
      </c>
      <c r="H203" s="15">
        <f>합산자재!H140</f>
        <v>3318</v>
      </c>
      <c r="I203" s="53">
        <f t="shared" si="80"/>
        <v>3318</v>
      </c>
      <c r="J203" s="15">
        <v>1</v>
      </c>
      <c r="K203" s="15">
        <f>합산자재!I140</f>
        <v>0</v>
      </c>
      <c r="L203" s="53" t="str">
        <f t="shared" si="81"/>
        <v/>
      </c>
      <c r="M203" s="15">
        <f>합산자재!J140</f>
        <v>0</v>
      </c>
      <c r="N203" s="53" t="str">
        <f t="shared" si="82"/>
        <v/>
      </c>
      <c r="O203" s="15">
        <f t="shared" si="83"/>
        <v>3318</v>
      </c>
      <c r="P203" s="15">
        <f t="shared" si="84"/>
        <v>3318</v>
      </c>
      <c r="Q203" s="12"/>
    </row>
    <row r="204" spans="1:18" ht="23.25" customHeight="1" x14ac:dyDescent="0.15">
      <c r="A204" s="13" t="s">
        <v>1124</v>
      </c>
      <c r="B204" s="13" t="s">
        <v>1740</v>
      </c>
      <c r="C204" s="1" t="s">
        <v>420</v>
      </c>
      <c r="D204" s="12" t="s">
        <v>408</v>
      </c>
      <c r="E204" s="12" t="s">
        <v>421</v>
      </c>
      <c r="F204" s="31" t="s">
        <v>166</v>
      </c>
      <c r="G204" s="15">
        <v>5</v>
      </c>
      <c r="H204" s="15">
        <f>합산자재!H100</f>
        <v>5377</v>
      </c>
      <c r="I204" s="53">
        <f t="shared" si="80"/>
        <v>26885</v>
      </c>
      <c r="J204" s="15">
        <v>5</v>
      </c>
      <c r="K204" s="15">
        <f>합산자재!I100</f>
        <v>0</v>
      </c>
      <c r="L204" s="53" t="str">
        <f t="shared" si="81"/>
        <v/>
      </c>
      <c r="M204" s="15">
        <f>합산자재!J100</f>
        <v>0</v>
      </c>
      <c r="N204" s="53" t="str">
        <f t="shared" si="82"/>
        <v/>
      </c>
      <c r="O204" s="15">
        <f t="shared" si="83"/>
        <v>5377</v>
      </c>
      <c r="P204" s="15">
        <f t="shared" si="84"/>
        <v>26885</v>
      </c>
      <c r="Q204" s="12"/>
    </row>
    <row r="205" spans="1:18" ht="23.25" customHeight="1" x14ac:dyDescent="0.15">
      <c r="A205" s="13" t="s">
        <v>1662</v>
      </c>
      <c r="B205" s="13" t="s">
        <v>1740</v>
      </c>
      <c r="C205" s="1" t="s">
        <v>1663</v>
      </c>
      <c r="D205" s="12" t="s">
        <v>1665</v>
      </c>
      <c r="E205" s="12" t="s">
        <v>1666</v>
      </c>
      <c r="F205" s="31" t="s">
        <v>980</v>
      </c>
      <c r="G205" s="15">
        <v>19.920000000000002</v>
      </c>
      <c r="H205" s="15">
        <f>일대목차!H4</f>
        <v>341</v>
      </c>
      <c r="I205" s="53">
        <f t="shared" si="80"/>
        <v>6792.7</v>
      </c>
      <c r="J205" s="15">
        <v>19.920000000000002</v>
      </c>
      <c r="K205" s="15">
        <f>일대목차!K4</f>
        <v>7929</v>
      </c>
      <c r="L205" s="53">
        <f t="shared" si="81"/>
        <v>157945.60000000001</v>
      </c>
      <c r="M205" s="15">
        <f>일대목차!M4</f>
        <v>418</v>
      </c>
      <c r="N205" s="53">
        <f t="shared" si="82"/>
        <v>8326.5</v>
      </c>
      <c r="O205" s="15">
        <f t="shared" si="83"/>
        <v>8688</v>
      </c>
      <c r="P205" s="15">
        <f t="shared" si="84"/>
        <v>173064.80000000002</v>
      </c>
      <c r="Q205" s="12" t="s">
        <v>1664</v>
      </c>
      <c r="R205" s="2" t="s">
        <v>2359</v>
      </c>
    </row>
    <row r="206" spans="1:18" ht="23.25" customHeight="1" x14ac:dyDescent="0.15">
      <c r="A206" s="13" t="s">
        <v>2342</v>
      </c>
      <c r="B206" s="13" t="s">
        <v>1740</v>
      </c>
      <c r="C206" s="1" t="s">
        <v>2343</v>
      </c>
      <c r="D206" s="12" t="s">
        <v>2345</v>
      </c>
      <c r="E206" s="12" t="s">
        <v>2346</v>
      </c>
      <c r="F206" s="31" t="s">
        <v>2337</v>
      </c>
      <c r="G206" s="15">
        <v>5.0599999999999996</v>
      </c>
      <c r="H206" s="15">
        <f>일대목차!H218</f>
        <v>0</v>
      </c>
      <c r="I206" s="53" t="str">
        <f t="shared" si="80"/>
        <v/>
      </c>
      <c r="J206" s="15">
        <v>5.0599999999999996</v>
      </c>
      <c r="K206" s="15">
        <f>일대목차!K218</f>
        <v>34413</v>
      </c>
      <c r="L206" s="53">
        <f t="shared" si="81"/>
        <v>174129.7</v>
      </c>
      <c r="M206" s="15">
        <f>일대목차!M218</f>
        <v>0</v>
      </c>
      <c r="N206" s="53" t="str">
        <f t="shared" si="82"/>
        <v/>
      </c>
      <c r="O206" s="15">
        <f t="shared" si="83"/>
        <v>34413</v>
      </c>
      <c r="P206" s="15">
        <f t="shared" si="84"/>
        <v>174129.7</v>
      </c>
      <c r="Q206" s="12" t="s">
        <v>2344</v>
      </c>
      <c r="R206" s="2" t="s">
        <v>2359</v>
      </c>
    </row>
    <row r="207" spans="1:18" ht="23.25" customHeight="1" x14ac:dyDescent="0.15">
      <c r="A207" s="13" t="s">
        <v>2338</v>
      </c>
      <c r="B207" s="13" t="s">
        <v>1740</v>
      </c>
      <c r="C207" s="1" t="s">
        <v>2339</v>
      </c>
      <c r="D207" s="12" t="s">
        <v>2341</v>
      </c>
      <c r="E207" s="12" t="s">
        <v>2336</v>
      </c>
      <c r="F207" s="31" t="s">
        <v>2337</v>
      </c>
      <c r="G207" s="15">
        <v>14.86</v>
      </c>
      <c r="H207" s="15">
        <f>일대목차!H217</f>
        <v>0</v>
      </c>
      <c r="I207" s="53" t="str">
        <f t="shared" si="80"/>
        <v/>
      </c>
      <c r="J207" s="15">
        <v>14.86</v>
      </c>
      <c r="K207" s="15">
        <f>일대목차!K217</f>
        <v>17206</v>
      </c>
      <c r="L207" s="53">
        <f t="shared" si="81"/>
        <v>255681.1</v>
      </c>
      <c r="M207" s="15">
        <f>일대목차!M217</f>
        <v>0</v>
      </c>
      <c r="N207" s="53" t="str">
        <f t="shared" si="82"/>
        <v/>
      </c>
      <c r="O207" s="15">
        <f t="shared" si="83"/>
        <v>17206</v>
      </c>
      <c r="P207" s="15">
        <f t="shared" si="84"/>
        <v>255681.1</v>
      </c>
      <c r="Q207" s="12" t="s">
        <v>2340</v>
      </c>
      <c r="R207" s="2" t="s">
        <v>2359</v>
      </c>
    </row>
    <row r="208" spans="1:18" ht="23.25" customHeight="1" x14ac:dyDescent="0.15">
      <c r="A208" s="13" t="s">
        <v>2347</v>
      </c>
      <c r="B208" s="13" t="s">
        <v>1740</v>
      </c>
      <c r="C208" s="1" t="s">
        <v>2348</v>
      </c>
      <c r="D208" s="12" t="s">
        <v>2350</v>
      </c>
      <c r="E208" s="12" t="s">
        <v>2351</v>
      </c>
      <c r="F208" s="31" t="s">
        <v>980</v>
      </c>
      <c r="G208" s="15">
        <v>1.68</v>
      </c>
      <c r="H208" s="15">
        <f>일대목차!H219</f>
        <v>3785</v>
      </c>
      <c r="I208" s="53">
        <f t="shared" si="80"/>
        <v>6358.8</v>
      </c>
      <c r="J208" s="15">
        <v>1.68</v>
      </c>
      <c r="K208" s="15">
        <f>일대목차!K219</f>
        <v>189274</v>
      </c>
      <c r="L208" s="53">
        <f t="shared" si="81"/>
        <v>317980.3</v>
      </c>
      <c r="M208" s="15">
        <f>일대목차!M219</f>
        <v>0</v>
      </c>
      <c r="N208" s="53" t="str">
        <f t="shared" si="82"/>
        <v/>
      </c>
      <c r="O208" s="15">
        <f t="shared" si="83"/>
        <v>193059</v>
      </c>
      <c r="P208" s="15">
        <f t="shared" si="84"/>
        <v>324339.09999999998</v>
      </c>
      <c r="Q208" s="12" t="s">
        <v>2349</v>
      </c>
      <c r="R208" s="2" t="s">
        <v>2359</v>
      </c>
    </row>
    <row r="209" spans="1:18" ht="23.25" customHeight="1" x14ac:dyDescent="0.15">
      <c r="A209" s="13" t="s">
        <v>1366</v>
      </c>
      <c r="B209" s="13" t="s">
        <v>1740</v>
      </c>
      <c r="C209" s="1" t="s">
        <v>986</v>
      </c>
      <c r="D209" s="12" t="s">
        <v>987</v>
      </c>
      <c r="E209" s="12" t="s">
        <v>988</v>
      </c>
      <c r="F209" s="31" t="s">
        <v>989</v>
      </c>
      <c r="G209" s="15">
        <v>137</v>
      </c>
      <c r="H209" s="15">
        <f>합산자재!H340</f>
        <v>308</v>
      </c>
      <c r="I209" s="53">
        <f t="shared" si="80"/>
        <v>42196</v>
      </c>
      <c r="J209" s="15">
        <v>137</v>
      </c>
      <c r="K209" s="15">
        <f>합산자재!I340</f>
        <v>825</v>
      </c>
      <c r="L209" s="53">
        <f t="shared" si="81"/>
        <v>113025</v>
      </c>
      <c r="M209" s="15">
        <f>합산자재!J340</f>
        <v>376</v>
      </c>
      <c r="N209" s="53">
        <f t="shared" si="82"/>
        <v>51512</v>
      </c>
      <c r="O209" s="15">
        <f t="shared" si="83"/>
        <v>1509</v>
      </c>
      <c r="P209" s="15">
        <f t="shared" si="84"/>
        <v>206733</v>
      </c>
      <c r="Q209" s="12" t="s">
        <v>1367</v>
      </c>
      <c r="R209" s="2" t="s">
        <v>2359</v>
      </c>
    </row>
    <row r="210" spans="1:18" ht="23.25" customHeight="1" x14ac:dyDescent="0.15">
      <c r="A210" s="13" t="s">
        <v>1372</v>
      </c>
      <c r="B210" s="13" t="s">
        <v>1740</v>
      </c>
      <c r="C210" s="1" t="s">
        <v>1002</v>
      </c>
      <c r="D210" s="12" t="s">
        <v>1003</v>
      </c>
      <c r="E210" s="12" t="s">
        <v>1004</v>
      </c>
      <c r="F210" s="31" t="s">
        <v>999</v>
      </c>
      <c r="G210" s="15">
        <f>일위노임!G76</f>
        <v>0.14499999999999999</v>
      </c>
      <c r="H210" s="15">
        <f>합산자재!H345</f>
        <v>0</v>
      </c>
      <c r="I210" s="53" t="str">
        <f t="shared" si="80"/>
        <v/>
      </c>
      <c r="J210" s="15">
        <v>0.14499999999999999</v>
      </c>
      <c r="K210" s="15">
        <f>합산자재!I345</f>
        <v>273676</v>
      </c>
      <c r="L210" s="53">
        <f t="shared" si="81"/>
        <v>39683</v>
      </c>
      <c r="M210" s="15">
        <f>합산자재!J345</f>
        <v>0</v>
      </c>
      <c r="N210" s="53" t="str">
        <f t="shared" si="82"/>
        <v/>
      </c>
      <c r="O210" s="15">
        <f t="shared" si="83"/>
        <v>273676</v>
      </c>
      <c r="P210" s="15">
        <f t="shared" si="84"/>
        <v>39683</v>
      </c>
      <c r="Q210" s="12"/>
    </row>
    <row r="211" spans="1:18" ht="23.25" customHeight="1" x14ac:dyDescent="0.15">
      <c r="A211" s="13" t="s">
        <v>1378</v>
      </c>
      <c r="B211" s="13" t="s">
        <v>1740</v>
      </c>
      <c r="C211" s="1" t="s">
        <v>1015</v>
      </c>
      <c r="D211" s="12" t="s">
        <v>1003</v>
      </c>
      <c r="E211" s="12" t="s">
        <v>1016</v>
      </c>
      <c r="F211" s="31" t="s">
        <v>999</v>
      </c>
      <c r="G211" s="15">
        <f>일위노임!G77</f>
        <v>0.78</v>
      </c>
      <c r="H211" s="15">
        <f>합산자재!H351</f>
        <v>0</v>
      </c>
      <c r="I211" s="53" t="str">
        <f t="shared" si="80"/>
        <v/>
      </c>
      <c r="J211" s="15">
        <v>0.78</v>
      </c>
      <c r="K211" s="15">
        <f>합산자재!I351</f>
        <v>408942</v>
      </c>
      <c r="L211" s="53">
        <f t="shared" si="81"/>
        <v>318974.7</v>
      </c>
      <c r="M211" s="15">
        <f>합산자재!J351</f>
        <v>0</v>
      </c>
      <c r="N211" s="53" t="str">
        <f t="shared" si="82"/>
        <v/>
      </c>
      <c r="O211" s="15">
        <f t="shared" si="83"/>
        <v>408942</v>
      </c>
      <c r="P211" s="15">
        <f t="shared" si="84"/>
        <v>318974.7</v>
      </c>
      <c r="Q211" s="12"/>
    </row>
    <row r="212" spans="1:18" ht="23.25" customHeight="1" x14ac:dyDescent="0.15">
      <c r="A212" s="13" t="s">
        <v>1379</v>
      </c>
      <c r="B212" s="13" t="s">
        <v>1740</v>
      </c>
      <c r="C212" s="1" t="s">
        <v>1017</v>
      </c>
      <c r="D212" s="12" t="s">
        <v>1003</v>
      </c>
      <c r="E212" s="12" t="s">
        <v>1018</v>
      </c>
      <c r="F212" s="31" t="s">
        <v>999</v>
      </c>
      <c r="G212" s="15">
        <f>일위노임!G78</f>
        <v>0.47</v>
      </c>
      <c r="H212" s="15">
        <f>합산자재!H352</f>
        <v>0</v>
      </c>
      <c r="I212" s="53" t="str">
        <f t="shared" si="80"/>
        <v/>
      </c>
      <c r="J212" s="15">
        <v>0.47</v>
      </c>
      <c r="K212" s="15">
        <f>합산자재!I352</f>
        <v>172068</v>
      </c>
      <c r="L212" s="53">
        <f t="shared" si="81"/>
        <v>80871.899999999994</v>
      </c>
      <c r="M212" s="15">
        <f>합산자재!J352</f>
        <v>0</v>
      </c>
      <c r="N212" s="53" t="str">
        <f t="shared" si="82"/>
        <v/>
      </c>
      <c r="O212" s="15">
        <f t="shared" si="83"/>
        <v>172068</v>
      </c>
      <c r="P212" s="15">
        <f t="shared" si="84"/>
        <v>80871.899999999994</v>
      </c>
      <c r="Q212" s="12"/>
    </row>
    <row r="213" spans="1:18" ht="23.25" customHeight="1" x14ac:dyDescent="0.15">
      <c r="A213" s="13" t="s">
        <v>1380</v>
      </c>
      <c r="B213" s="13" t="s">
        <v>1740</v>
      </c>
      <c r="C213" s="1" t="s">
        <v>1019</v>
      </c>
      <c r="D213" s="12" t="s">
        <v>1003</v>
      </c>
      <c r="E213" s="12" t="s">
        <v>1020</v>
      </c>
      <c r="F213" s="31" t="s">
        <v>999</v>
      </c>
      <c r="G213" s="15">
        <f>일위노임!G79</f>
        <v>1.33</v>
      </c>
      <c r="H213" s="15">
        <f>합산자재!H353</f>
        <v>0</v>
      </c>
      <c r="I213" s="53" t="str">
        <f t="shared" si="80"/>
        <v/>
      </c>
      <c r="J213" s="15">
        <v>1.33</v>
      </c>
      <c r="K213" s="15">
        <f>합산자재!I353</f>
        <v>226122</v>
      </c>
      <c r="L213" s="53">
        <f t="shared" si="81"/>
        <v>300742.2</v>
      </c>
      <c r="M213" s="15">
        <f>합산자재!J353</f>
        <v>0</v>
      </c>
      <c r="N213" s="53" t="str">
        <f t="shared" si="82"/>
        <v/>
      </c>
      <c r="O213" s="15">
        <f t="shared" si="83"/>
        <v>226122</v>
      </c>
      <c r="P213" s="15">
        <f t="shared" si="84"/>
        <v>300742.2</v>
      </c>
      <c r="Q213" s="12"/>
    </row>
    <row r="214" spans="1:18" ht="23.25" customHeight="1" x14ac:dyDescent="0.15">
      <c r="A214" s="13" t="s">
        <v>1382</v>
      </c>
      <c r="B214" s="13" t="s">
        <v>1740</v>
      </c>
      <c r="C214" s="1" t="s">
        <v>1023</v>
      </c>
      <c r="D214" s="12" t="s">
        <v>1003</v>
      </c>
      <c r="E214" s="12" t="s">
        <v>1024</v>
      </c>
      <c r="F214" s="31" t="s">
        <v>999</v>
      </c>
      <c r="G214" s="15">
        <f>일위노임!G80</f>
        <v>0.05</v>
      </c>
      <c r="H214" s="15">
        <f>합산자재!H355</f>
        <v>0</v>
      </c>
      <c r="I214" s="53" t="str">
        <f t="shared" si="80"/>
        <v/>
      </c>
      <c r="J214" s="15">
        <v>0.05</v>
      </c>
      <c r="K214" s="15">
        <f>합산자재!I355</f>
        <v>211653</v>
      </c>
      <c r="L214" s="53">
        <f t="shared" si="81"/>
        <v>10582.6</v>
      </c>
      <c r="M214" s="15">
        <f>합산자재!J355</f>
        <v>0</v>
      </c>
      <c r="N214" s="53" t="str">
        <f t="shared" si="82"/>
        <v/>
      </c>
      <c r="O214" s="15">
        <f t="shared" si="83"/>
        <v>211653</v>
      </c>
      <c r="P214" s="15">
        <f t="shared" si="84"/>
        <v>10582.6</v>
      </c>
      <c r="Q214" s="12"/>
    </row>
    <row r="215" spans="1:18" ht="23.25" customHeight="1" x14ac:dyDescent="0.15">
      <c r="A215" s="13" t="s">
        <v>1383</v>
      </c>
      <c r="B215" s="13" t="s">
        <v>1740</v>
      </c>
      <c r="C215" s="1" t="s">
        <v>1025</v>
      </c>
      <c r="D215" s="12" t="s">
        <v>1003</v>
      </c>
      <c r="E215" s="12" t="s">
        <v>1026</v>
      </c>
      <c r="F215" s="31" t="s">
        <v>999</v>
      </c>
      <c r="G215" s="15">
        <f>일위노임!G81</f>
        <v>0.34</v>
      </c>
      <c r="H215" s="15">
        <f>합산자재!H356</f>
        <v>0</v>
      </c>
      <c r="I215" s="53" t="str">
        <f t="shared" si="80"/>
        <v/>
      </c>
      <c r="J215" s="15">
        <v>0.34</v>
      </c>
      <c r="K215" s="15">
        <f>합산자재!I356</f>
        <v>215907</v>
      </c>
      <c r="L215" s="53">
        <f t="shared" si="81"/>
        <v>73408.3</v>
      </c>
      <c r="M215" s="15">
        <f>합산자재!J356</f>
        <v>0</v>
      </c>
      <c r="N215" s="53" t="str">
        <f t="shared" si="82"/>
        <v/>
      </c>
      <c r="O215" s="15">
        <f t="shared" si="83"/>
        <v>215907</v>
      </c>
      <c r="P215" s="15">
        <f t="shared" si="84"/>
        <v>73408.3</v>
      </c>
      <c r="Q215" s="12"/>
    </row>
    <row r="216" spans="1:18" ht="23.25" customHeight="1" x14ac:dyDescent="0.15">
      <c r="A216" s="13" t="s">
        <v>2362</v>
      </c>
      <c r="B216" s="13" t="s">
        <v>1740</v>
      </c>
      <c r="C216" s="1" t="s">
        <v>2363</v>
      </c>
      <c r="D216" s="12" t="s">
        <v>2364</v>
      </c>
      <c r="E216" s="12" t="s">
        <v>2365</v>
      </c>
      <c r="F216" s="31" t="s">
        <v>792</v>
      </c>
      <c r="G216" s="15">
        <v>1</v>
      </c>
      <c r="H216" s="15">
        <v>16485.2</v>
      </c>
      <c r="I216" s="53">
        <f t="shared" si="80"/>
        <v>16485.2</v>
      </c>
      <c r="J216" s="15">
        <v>1</v>
      </c>
      <c r="K216" s="15"/>
      <c r="L216" s="53" t="str">
        <f t="shared" si="81"/>
        <v/>
      </c>
      <c r="M216" s="15"/>
      <c r="N216" s="53" t="str">
        <f t="shared" si="82"/>
        <v/>
      </c>
      <c r="O216" s="15">
        <f t="shared" si="83"/>
        <v>16485.2</v>
      </c>
      <c r="P216" s="15">
        <f t="shared" si="84"/>
        <v>16485.2</v>
      </c>
      <c r="Q216" s="12"/>
    </row>
    <row r="217" spans="1:18" ht="23.25" customHeight="1" x14ac:dyDescent="0.15">
      <c r="B217" s="13" t="s">
        <v>2360</v>
      </c>
      <c r="D217" s="12" t="s">
        <v>2361</v>
      </c>
      <c r="E217" s="12"/>
      <c r="F217" s="31"/>
      <c r="G217" s="15"/>
      <c r="H217" s="15"/>
      <c r="I217" s="53">
        <f>TRUNC(SUM(I200:I216))</f>
        <v>922035</v>
      </c>
      <c r="J217" s="15"/>
      <c r="K217" s="15"/>
      <c r="L217" s="53">
        <f>TRUNC(SUM(L200:L216))</f>
        <v>1843024</v>
      </c>
      <c r="M217" s="15"/>
      <c r="N217" s="53">
        <f>TRUNC(SUM(N200:N216))</f>
        <v>59838</v>
      </c>
      <c r="O217" s="15" t="str">
        <f t="shared" si="83"/>
        <v/>
      </c>
      <c r="P217" s="15">
        <f t="shared" si="84"/>
        <v>2824897</v>
      </c>
      <c r="Q217" s="12"/>
    </row>
    <row r="218" spans="1:18" ht="23.25" customHeight="1" x14ac:dyDescent="0.15">
      <c r="D218" s="12"/>
      <c r="E218" s="12"/>
      <c r="F218" s="31"/>
      <c r="G218" s="15"/>
      <c r="H218" s="15"/>
      <c r="I218" s="53"/>
      <c r="J218" s="15"/>
      <c r="K218" s="15"/>
      <c r="L218" s="53"/>
      <c r="M218" s="15"/>
      <c r="N218" s="53"/>
      <c r="O218" s="15"/>
      <c r="P218" s="15"/>
      <c r="Q218" s="12"/>
    </row>
    <row r="219" spans="1:18" ht="23.25" customHeight="1" x14ac:dyDescent="0.15">
      <c r="A219" s="13" t="s">
        <v>2439</v>
      </c>
      <c r="B219" s="13" t="s">
        <v>2382</v>
      </c>
      <c r="C219" s="1" t="s">
        <v>2440</v>
      </c>
      <c r="D219" s="170" t="s">
        <v>2438</v>
      </c>
      <c r="E219" s="172"/>
      <c r="F219" s="31"/>
      <c r="G219" s="15"/>
      <c r="H219" s="15"/>
      <c r="I219" s="53"/>
      <c r="J219" s="15"/>
      <c r="K219" s="15"/>
      <c r="L219" s="53"/>
      <c r="M219" s="15"/>
      <c r="N219" s="53"/>
      <c r="O219" s="15"/>
      <c r="P219" s="15"/>
      <c r="Q219" s="12"/>
    </row>
    <row r="220" spans="1:18" ht="23.25" customHeight="1" x14ac:dyDescent="0.15">
      <c r="A220" s="13" t="s">
        <v>1164</v>
      </c>
      <c r="B220" s="13" t="s">
        <v>1743</v>
      </c>
      <c r="C220" s="1" t="s">
        <v>533</v>
      </c>
      <c r="D220" s="12" t="s">
        <v>534</v>
      </c>
      <c r="E220" s="12" t="s">
        <v>535</v>
      </c>
      <c r="F220" s="31" t="s">
        <v>200</v>
      </c>
      <c r="G220" s="15">
        <v>1</v>
      </c>
      <c r="H220" s="15">
        <f>합산자재!H140</f>
        <v>3318</v>
      </c>
      <c r="I220" s="53">
        <f t="shared" ref="I220:I228" si="85">IF(G220*H220&lt;&gt;0, TRUNC(G220*H220, 1), "")</f>
        <v>3318</v>
      </c>
      <c r="J220" s="15">
        <v>1</v>
      </c>
      <c r="K220" s="15">
        <f>합산자재!I140</f>
        <v>0</v>
      </c>
      <c r="L220" s="53" t="str">
        <f t="shared" ref="L220:L228" si="86">IF(G220*K220&lt;&gt;0, TRUNC(G220*K220, 1), "")</f>
        <v/>
      </c>
      <c r="M220" s="15">
        <f>합산자재!J140</f>
        <v>0</v>
      </c>
      <c r="N220" s="53" t="str">
        <f t="shared" ref="N220:N228" si="87">IF(G220*M220&lt;&gt;0, TRUNC(G220*M220, 1), "")</f>
        <v/>
      </c>
      <c r="O220" s="15">
        <f t="shared" ref="O220:O229" si="88">IF((H220+K220+M220)=0, "", (H220+K220+M220))</f>
        <v>3318</v>
      </c>
      <c r="P220" s="15">
        <f t="shared" ref="P220:P229" si="89">IF(SUM(I220,L220,N220)&lt;&gt;0,SUM(I220,L220,N220),"")</f>
        <v>3318</v>
      </c>
      <c r="Q220" s="12"/>
    </row>
    <row r="221" spans="1:18" ht="23.25" customHeight="1" x14ac:dyDescent="0.15">
      <c r="A221" s="13" t="s">
        <v>1187</v>
      </c>
      <c r="B221" s="13" t="s">
        <v>1743</v>
      </c>
      <c r="C221" s="1" t="s">
        <v>610</v>
      </c>
      <c r="D221" s="12" t="s">
        <v>611</v>
      </c>
      <c r="E221" s="12" t="s">
        <v>612</v>
      </c>
      <c r="F221" s="31" t="s">
        <v>200</v>
      </c>
      <c r="G221" s="15">
        <v>1</v>
      </c>
      <c r="H221" s="15">
        <f>합산자재!H163</f>
        <v>828</v>
      </c>
      <c r="I221" s="53">
        <f t="shared" si="85"/>
        <v>828</v>
      </c>
      <c r="J221" s="15">
        <v>1</v>
      </c>
      <c r="K221" s="15">
        <f>합산자재!I163</f>
        <v>0</v>
      </c>
      <c r="L221" s="53" t="str">
        <f t="shared" si="86"/>
        <v/>
      </c>
      <c r="M221" s="15">
        <f>합산자재!J163</f>
        <v>0</v>
      </c>
      <c r="N221" s="53" t="str">
        <f t="shared" si="87"/>
        <v/>
      </c>
      <c r="O221" s="15">
        <f t="shared" si="88"/>
        <v>828</v>
      </c>
      <c r="P221" s="15">
        <f t="shared" si="89"/>
        <v>828</v>
      </c>
      <c r="Q221" s="12"/>
    </row>
    <row r="222" spans="1:18" ht="23.25" customHeight="1" x14ac:dyDescent="0.15">
      <c r="A222" s="13" t="s">
        <v>1124</v>
      </c>
      <c r="B222" s="13" t="s">
        <v>1743</v>
      </c>
      <c r="C222" s="1" t="s">
        <v>420</v>
      </c>
      <c r="D222" s="12" t="s">
        <v>408</v>
      </c>
      <c r="E222" s="12" t="s">
        <v>421</v>
      </c>
      <c r="F222" s="31" t="s">
        <v>166</v>
      </c>
      <c r="G222" s="15">
        <v>3</v>
      </c>
      <c r="H222" s="15">
        <f>합산자재!H100</f>
        <v>5377</v>
      </c>
      <c r="I222" s="53">
        <f t="shared" si="85"/>
        <v>16131</v>
      </c>
      <c r="J222" s="15">
        <v>3</v>
      </c>
      <c r="K222" s="15">
        <f>합산자재!I100</f>
        <v>0</v>
      </c>
      <c r="L222" s="53" t="str">
        <f t="shared" si="86"/>
        <v/>
      </c>
      <c r="M222" s="15">
        <f>합산자재!J100</f>
        <v>0</v>
      </c>
      <c r="N222" s="53" t="str">
        <f t="shared" si="87"/>
        <v/>
      </c>
      <c r="O222" s="15">
        <f t="shared" si="88"/>
        <v>5377</v>
      </c>
      <c r="P222" s="15">
        <f t="shared" si="89"/>
        <v>16131</v>
      </c>
      <c r="Q222" s="12"/>
    </row>
    <row r="223" spans="1:18" ht="23.25" customHeight="1" x14ac:dyDescent="0.15">
      <c r="A223" s="13" t="s">
        <v>1662</v>
      </c>
      <c r="B223" s="13" t="s">
        <v>1743</v>
      </c>
      <c r="C223" s="1" t="s">
        <v>1663</v>
      </c>
      <c r="D223" s="12" t="s">
        <v>1665</v>
      </c>
      <c r="E223" s="12" t="s">
        <v>1666</v>
      </c>
      <c r="F223" s="31" t="s">
        <v>980</v>
      </c>
      <c r="G223" s="15">
        <v>3</v>
      </c>
      <c r="H223" s="15">
        <f>일대목차!H4</f>
        <v>341</v>
      </c>
      <c r="I223" s="53">
        <f t="shared" si="85"/>
        <v>1023</v>
      </c>
      <c r="J223" s="15">
        <v>3</v>
      </c>
      <c r="K223" s="15">
        <f>일대목차!K4</f>
        <v>7929</v>
      </c>
      <c r="L223" s="53">
        <f t="shared" si="86"/>
        <v>23787</v>
      </c>
      <c r="M223" s="15">
        <f>일대목차!M4</f>
        <v>418</v>
      </c>
      <c r="N223" s="53">
        <f t="shared" si="87"/>
        <v>1254</v>
      </c>
      <c r="O223" s="15">
        <f t="shared" si="88"/>
        <v>8688</v>
      </c>
      <c r="P223" s="15">
        <f t="shared" si="89"/>
        <v>26064</v>
      </c>
      <c r="Q223" s="12" t="s">
        <v>1664</v>
      </c>
      <c r="R223" s="2" t="s">
        <v>2359</v>
      </c>
    </row>
    <row r="224" spans="1:18" ht="23.25" customHeight="1" x14ac:dyDescent="0.15">
      <c r="A224" s="13" t="s">
        <v>2338</v>
      </c>
      <c r="B224" s="13" t="s">
        <v>1743</v>
      </c>
      <c r="C224" s="1" t="s">
        <v>2339</v>
      </c>
      <c r="D224" s="12" t="s">
        <v>2341</v>
      </c>
      <c r="E224" s="12" t="s">
        <v>2336</v>
      </c>
      <c r="F224" s="31" t="s">
        <v>2337</v>
      </c>
      <c r="G224" s="15">
        <v>3</v>
      </c>
      <c r="H224" s="15">
        <f>일대목차!H217</f>
        <v>0</v>
      </c>
      <c r="I224" s="53" t="str">
        <f t="shared" si="85"/>
        <v/>
      </c>
      <c r="J224" s="15">
        <v>3</v>
      </c>
      <c r="K224" s="15">
        <f>일대목차!K217</f>
        <v>17206</v>
      </c>
      <c r="L224" s="53">
        <f t="shared" si="86"/>
        <v>51618</v>
      </c>
      <c r="M224" s="15">
        <f>일대목차!M217</f>
        <v>0</v>
      </c>
      <c r="N224" s="53" t="str">
        <f t="shared" si="87"/>
        <v/>
      </c>
      <c r="O224" s="15">
        <f t="shared" si="88"/>
        <v>17206</v>
      </c>
      <c r="P224" s="15">
        <f t="shared" si="89"/>
        <v>51618</v>
      </c>
      <c r="Q224" s="12" t="s">
        <v>2340</v>
      </c>
      <c r="R224" s="2" t="s">
        <v>2359</v>
      </c>
    </row>
    <row r="225" spans="1:17" ht="23.25" customHeight="1" x14ac:dyDescent="0.15">
      <c r="A225" s="13" t="s">
        <v>1167</v>
      </c>
      <c r="B225" s="13" t="s">
        <v>1743</v>
      </c>
      <c r="C225" s="1" t="s">
        <v>544</v>
      </c>
      <c r="D225" s="12" t="s">
        <v>545</v>
      </c>
      <c r="E225" s="12" t="s">
        <v>546</v>
      </c>
      <c r="F225" s="31" t="s">
        <v>200</v>
      </c>
      <c r="G225" s="15">
        <v>1</v>
      </c>
      <c r="H225" s="15">
        <f>합산자재!H143</f>
        <v>10035</v>
      </c>
      <c r="I225" s="53">
        <f t="shared" si="85"/>
        <v>10035</v>
      </c>
      <c r="J225" s="15">
        <v>1</v>
      </c>
      <c r="K225" s="15">
        <f>합산자재!I143</f>
        <v>0</v>
      </c>
      <c r="L225" s="53" t="str">
        <f t="shared" si="86"/>
        <v/>
      </c>
      <c r="M225" s="15">
        <f>합산자재!J143</f>
        <v>0</v>
      </c>
      <c r="N225" s="53" t="str">
        <f t="shared" si="87"/>
        <v/>
      </c>
      <c r="O225" s="15">
        <f t="shared" si="88"/>
        <v>10035</v>
      </c>
      <c r="P225" s="15">
        <f t="shared" si="89"/>
        <v>10035</v>
      </c>
      <c r="Q225" s="12"/>
    </row>
    <row r="226" spans="1:17" ht="23.25" customHeight="1" x14ac:dyDescent="0.15">
      <c r="A226" s="13" t="s">
        <v>1372</v>
      </c>
      <c r="B226" s="13" t="s">
        <v>1743</v>
      </c>
      <c r="C226" s="1" t="s">
        <v>1002</v>
      </c>
      <c r="D226" s="12" t="s">
        <v>1003</v>
      </c>
      <c r="E226" s="12" t="s">
        <v>1004</v>
      </c>
      <c r="F226" s="31" t="s">
        <v>999</v>
      </c>
      <c r="G226" s="15">
        <f>일위노임!G86</f>
        <v>0.13100000000000001</v>
      </c>
      <c r="H226" s="15">
        <f>합산자재!H345</f>
        <v>0</v>
      </c>
      <c r="I226" s="53" t="str">
        <f t="shared" si="85"/>
        <v/>
      </c>
      <c r="J226" s="15">
        <v>0.13100000000000001</v>
      </c>
      <c r="K226" s="15">
        <f>합산자재!I345</f>
        <v>273676</v>
      </c>
      <c r="L226" s="53">
        <f t="shared" si="86"/>
        <v>35851.5</v>
      </c>
      <c r="M226" s="15">
        <f>합산자재!J345</f>
        <v>0</v>
      </c>
      <c r="N226" s="53" t="str">
        <f t="shared" si="87"/>
        <v/>
      </c>
      <c r="O226" s="15">
        <f t="shared" si="88"/>
        <v>273676</v>
      </c>
      <c r="P226" s="15">
        <f t="shared" si="89"/>
        <v>35851.5</v>
      </c>
      <c r="Q226" s="12"/>
    </row>
    <row r="227" spans="1:17" ht="23.25" customHeight="1" x14ac:dyDescent="0.15">
      <c r="A227" s="13" t="s">
        <v>1379</v>
      </c>
      <c r="B227" s="13" t="s">
        <v>1743</v>
      </c>
      <c r="C227" s="1" t="s">
        <v>1017</v>
      </c>
      <c r="D227" s="12" t="s">
        <v>1003</v>
      </c>
      <c r="E227" s="12" t="s">
        <v>1018</v>
      </c>
      <c r="F227" s="31" t="s">
        <v>999</v>
      </c>
      <c r="G227" s="15">
        <f>일위노임!G87</f>
        <v>0.08</v>
      </c>
      <c r="H227" s="15">
        <f>합산자재!H352</f>
        <v>0</v>
      </c>
      <c r="I227" s="53" t="str">
        <f t="shared" si="85"/>
        <v/>
      </c>
      <c r="J227" s="15">
        <v>0.08</v>
      </c>
      <c r="K227" s="15">
        <f>합산자재!I352</f>
        <v>172068</v>
      </c>
      <c r="L227" s="53">
        <f t="shared" si="86"/>
        <v>13765.4</v>
      </c>
      <c r="M227" s="15">
        <f>합산자재!J352</f>
        <v>0</v>
      </c>
      <c r="N227" s="53" t="str">
        <f t="shared" si="87"/>
        <v/>
      </c>
      <c r="O227" s="15">
        <f t="shared" si="88"/>
        <v>172068</v>
      </c>
      <c r="P227" s="15">
        <f t="shared" si="89"/>
        <v>13765.4</v>
      </c>
      <c r="Q227" s="12"/>
    </row>
    <row r="228" spans="1:17" ht="23.25" customHeight="1" x14ac:dyDescent="0.15">
      <c r="A228" s="13" t="s">
        <v>2362</v>
      </c>
      <c r="B228" s="13" t="s">
        <v>1743</v>
      </c>
      <c r="C228" s="1" t="s">
        <v>2363</v>
      </c>
      <c r="D228" s="12" t="s">
        <v>2364</v>
      </c>
      <c r="E228" s="12" t="s">
        <v>2365</v>
      </c>
      <c r="F228" s="31" t="s">
        <v>792</v>
      </c>
      <c r="G228" s="15">
        <v>1</v>
      </c>
      <c r="H228" s="15">
        <v>992.3</v>
      </c>
      <c r="I228" s="53">
        <f t="shared" si="85"/>
        <v>992.3</v>
      </c>
      <c r="J228" s="15">
        <v>1</v>
      </c>
      <c r="K228" s="15"/>
      <c r="L228" s="53" t="str">
        <f t="shared" si="86"/>
        <v/>
      </c>
      <c r="M228" s="15"/>
      <c r="N228" s="53" t="str">
        <f t="shared" si="87"/>
        <v/>
      </c>
      <c r="O228" s="15">
        <f t="shared" si="88"/>
        <v>992.3</v>
      </c>
      <c r="P228" s="15">
        <f t="shared" si="89"/>
        <v>992.3</v>
      </c>
      <c r="Q228" s="12"/>
    </row>
    <row r="229" spans="1:17" ht="23.25" customHeight="1" x14ac:dyDescent="0.15">
      <c r="B229" s="13" t="s">
        <v>2360</v>
      </c>
      <c r="D229" s="12" t="s">
        <v>2361</v>
      </c>
      <c r="E229" s="12"/>
      <c r="F229" s="31"/>
      <c r="G229" s="15"/>
      <c r="H229" s="15"/>
      <c r="I229" s="53">
        <f>TRUNC(SUM(I219:I228))</f>
        <v>32327</v>
      </c>
      <c r="J229" s="15"/>
      <c r="K229" s="15"/>
      <c r="L229" s="53">
        <f>TRUNC(SUM(L219:L228))</f>
        <v>125021</v>
      </c>
      <c r="M229" s="15"/>
      <c r="N229" s="53">
        <f>TRUNC(SUM(N219:N228))</f>
        <v>1254</v>
      </c>
      <c r="O229" s="15" t="str">
        <f t="shared" si="88"/>
        <v/>
      </c>
      <c r="P229" s="15">
        <f t="shared" si="89"/>
        <v>158602</v>
      </c>
      <c r="Q229" s="12"/>
    </row>
    <row r="230" spans="1:17" ht="23.25" customHeight="1" x14ac:dyDescent="0.15">
      <c r="D230" s="12"/>
      <c r="E230" s="12"/>
      <c r="F230" s="31"/>
      <c r="G230" s="15"/>
      <c r="H230" s="15"/>
      <c r="I230" s="53"/>
      <c r="J230" s="15"/>
      <c r="K230" s="15"/>
      <c r="L230" s="53"/>
      <c r="M230" s="15"/>
      <c r="N230" s="53"/>
      <c r="O230" s="15"/>
      <c r="P230" s="15"/>
      <c r="Q230" s="12"/>
    </row>
    <row r="231" spans="1:17" ht="23.25" customHeight="1" x14ac:dyDescent="0.15">
      <c r="A231" s="13" t="s">
        <v>2442</v>
      </c>
      <c r="B231" s="13" t="s">
        <v>2382</v>
      </c>
      <c r="C231" s="1" t="s">
        <v>2443</v>
      </c>
      <c r="D231" s="170" t="s">
        <v>2441</v>
      </c>
      <c r="E231" s="172"/>
      <c r="F231" s="31"/>
      <c r="G231" s="15"/>
      <c r="H231" s="15"/>
      <c r="I231" s="53"/>
      <c r="J231" s="15"/>
      <c r="K231" s="15"/>
      <c r="L231" s="53"/>
      <c r="M231" s="15"/>
      <c r="N231" s="53"/>
      <c r="O231" s="15"/>
      <c r="P231" s="15"/>
      <c r="Q231" s="12"/>
    </row>
    <row r="232" spans="1:17" ht="23.25" customHeight="1" x14ac:dyDescent="0.15">
      <c r="A232" s="13" t="s">
        <v>1054</v>
      </c>
      <c r="B232" s="13" t="s">
        <v>1748</v>
      </c>
      <c r="C232" s="1" t="s">
        <v>234</v>
      </c>
      <c r="D232" s="12" t="s">
        <v>235</v>
      </c>
      <c r="E232" s="12" t="s">
        <v>236</v>
      </c>
      <c r="F232" s="31" t="s">
        <v>200</v>
      </c>
      <c r="G232" s="15">
        <v>1</v>
      </c>
      <c r="H232" s="15">
        <f>합산자재!H30</f>
        <v>11752</v>
      </c>
      <c r="I232" s="53">
        <f t="shared" ref="I232:I238" si="90">IF(G232*H232&lt;&gt;0, TRUNC(G232*H232, 1), "")</f>
        <v>11752</v>
      </c>
      <c r="J232" s="15">
        <v>1</v>
      </c>
      <c r="K232" s="15">
        <f>합산자재!I30</f>
        <v>0</v>
      </c>
      <c r="L232" s="53" t="str">
        <f t="shared" ref="L232:L238" si="91">IF(G232*K232&lt;&gt;0, TRUNC(G232*K232, 1), "")</f>
        <v/>
      </c>
      <c r="M232" s="15">
        <f>합산자재!J30</f>
        <v>0</v>
      </c>
      <c r="N232" s="53" t="str">
        <f t="shared" ref="N232:N238" si="92">IF(G232*M232&lt;&gt;0, TRUNC(G232*M232, 1), "")</f>
        <v/>
      </c>
      <c r="O232" s="15">
        <f t="shared" ref="O232:O239" si="93">IF((H232+K232+M232)=0, "", (H232+K232+M232))</f>
        <v>11752</v>
      </c>
      <c r="P232" s="15">
        <f t="shared" ref="P232:P239" si="94">IF(SUM(I232,L232,N232)&lt;&gt;0,SUM(I232,L232,N232),"")</f>
        <v>11752</v>
      </c>
      <c r="Q232" s="12"/>
    </row>
    <row r="233" spans="1:17" ht="23.25" customHeight="1" x14ac:dyDescent="0.15">
      <c r="A233" s="13" t="s">
        <v>1057</v>
      </c>
      <c r="B233" s="13" t="s">
        <v>1748</v>
      </c>
      <c r="C233" s="1" t="s">
        <v>241</v>
      </c>
      <c r="D233" s="12" t="s">
        <v>242</v>
      </c>
      <c r="E233" s="12" t="s">
        <v>243</v>
      </c>
      <c r="F233" s="31" t="s">
        <v>200</v>
      </c>
      <c r="G233" s="15">
        <v>1</v>
      </c>
      <c r="H233" s="15">
        <f>합산자재!H33</f>
        <v>2709</v>
      </c>
      <c r="I233" s="53">
        <f t="shared" si="90"/>
        <v>2709</v>
      </c>
      <c r="J233" s="15">
        <v>1</v>
      </c>
      <c r="K233" s="15">
        <f>합산자재!I33</f>
        <v>0</v>
      </c>
      <c r="L233" s="53" t="str">
        <f t="shared" si="91"/>
        <v/>
      </c>
      <c r="M233" s="15">
        <f>합산자재!J33</f>
        <v>0</v>
      </c>
      <c r="N233" s="53" t="str">
        <f t="shared" si="92"/>
        <v/>
      </c>
      <c r="O233" s="15">
        <f t="shared" si="93"/>
        <v>2709</v>
      </c>
      <c r="P233" s="15">
        <f t="shared" si="94"/>
        <v>2709</v>
      </c>
      <c r="Q233" s="12"/>
    </row>
    <row r="234" spans="1:17" ht="23.25" customHeight="1" x14ac:dyDescent="0.15">
      <c r="A234" s="13" t="s">
        <v>1053</v>
      </c>
      <c r="B234" s="13" t="s">
        <v>1748</v>
      </c>
      <c r="C234" s="1" t="s">
        <v>232</v>
      </c>
      <c r="D234" s="12" t="s">
        <v>233</v>
      </c>
      <c r="E234" s="12"/>
      <c r="F234" s="31" t="s">
        <v>200</v>
      </c>
      <c r="G234" s="15">
        <v>1</v>
      </c>
      <c r="H234" s="15">
        <f>합산자재!H29</f>
        <v>2472</v>
      </c>
      <c r="I234" s="53">
        <f t="shared" si="90"/>
        <v>2472</v>
      </c>
      <c r="J234" s="15">
        <v>1</v>
      </c>
      <c r="K234" s="15">
        <f>합산자재!I29</f>
        <v>0</v>
      </c>
      <c r="L234" s="53" t="str">
        <f t="shared" si="91"/>
        <v/>
      </c>
      <c r="M234" s="15">
        <f>합산자재!J29</f>
        <v>0</v>
      </c>
      <c r="N234" s="53" t="str">
        <f t="shared" si="92"/>
        <v/>
      </c>
      <c r="O234" s="15">
        <f t="shared" si="93"/>
        <v>2472</v>
      </c>
      <c r="P234" s="15">
        <f t="shared" si="94"/>
        <v>2472</v>
      </c>
      <c r="Q234" s="12"/>
    </row>
    <row r="235" spans="1:17" ht="23.25" customHeight="1" x14ac:dyDescent="0.15">
      <c r="A235" s="13" t="s">
        <v>1051</v>
      </c>
      <c r="B235" s="13" t="s">
        <v>1748</v>
      </c>
      <c r="C235" s="1" t="s">
        <v>227</v>
      </c>
      <c r="D235" s="12" t="s">
        <v>228</v>
      </c>
      <c r="E235" s="12" t="s">
        <v>229</v>
      </c>
      <c r="F235" s="31" t="s">
        <v>200</v>
      </c>
      <c r="G235" s="15">
        <v>1</v>
      </c>
      <c r="H235" s="15">
        <f>합산자재!H27</f>
        <v>18200</v>
      </c>
      <c r="I235" s="53">
        <f t="shared" si="90"/>
        <v>18200</v>
      </c>
      <c r="J235" s="15">
        <v>1</v>
      </c>
      <c r="K235" s="15">
        <f>합산자재!I27</f>
        <v>0</v>
      </c>
      <c r="L235" s="53" t="str">
        <f t="shared" si="91"/>
        <v/>
      </c>
      <c r="M235" s="15">
        <f>합산자재!J27</f>
        <v>0</v>
      </c>
      <c r="N235" s="53" t="str">
        <f t="shared" si="92"/>
        <v/>
      </c>
      <c r="O235" s="15">
        <f t="shared" si="93"/>
        <v>18200</v>
      </c>
      <c r="P235" s="15">
        <f t="shared" si="94"/>
        <v>18200</v>
      </c>
      <c r="Q235" s="12"/>
    </row>
    <row r="236" spans="1:17" ht="23.25" customHeight="1" x14ac:dyDescent="0.15">
      <c r="A236" s="13" t="s">
        <v>1375</v>
      </c>
      <c r="B236" s="13" t="s">
        <v>1748</v>
      </c>
      <c r="C236" s="1" t="s">
        <v>1009</v>
      </c>
      <c r="D236" s="12" t="s">
        <v>1003</v>
      </c>
      <c r="E236" s="12" t="s">
        <v>1010</v>
      </c>
      <c r="F236" s="31" t="s">
        <v>999</v>
      </c>
      <c r="G236" s="15">
        <f>일위노임!G91</f>
        <v>0.13200000000000001</v>
      </c>
      <c r="H236" s="15">
        <f>합산자재!H348</f>
        <v>0</v>
      </c>
      <c r="I236" s="53" t="str">
        <f t="shared" si="90"/>
        <v/>
      </c>
      <c r="J236" s="15">
        <v>0.13200000000000001</v>
      </c>
      <c r="K236" s="15">
        <f>합산자재!I348</f>
        <v>440616</v>
      </c>
      <c r="L236" s="53">
        <f t="shared" si="91"/>
        <v>58161.3</v>
      </c>
      <c r="M236" s="15">
        <f>합산자재!J348</f>
        <v>0</v>
      </c>
      <c r="N236" s="53" t="str">
        <f t="shared" si="92"/>
        <v/>
      </c>
      <c r="O236" s="15">
        <f t="shared" si="93"/>
        <v>440616</v>
      </c>
      <c r="P236" s="15">
        <f t="shared" si="94"/>
        <v>58161.3</v>
      </c>
      <c r="Q236" s="12"/>
    </row>
    <row r="237" spans="1:17" ht="23.25" customHeight="1" x14ac:dyDescent="0.15">
      <c r="A237" s="13" t="s">
        <v>1379</v>
      </c>
      <c r="B237" s="13" t="s">
        <v>1748</v>
      </c>
      <c r="C237" s="1" t="s">
        <v>1017</v>
      </c>
      <c r="D237" s="12" t="s">
        <v>1003</v>
      </c>
      <c r="E237" s="12" t="s">
        <v>1018</v>
      </c>
      <c r="F237" s="31" t="s">
        <v>999</v>
      </c>
      <c r="G237" s="15">
        <f>일위노임!G92</f>
        <v>0.13200000000000001</v>
      </c>
      <c r="H237" s="15">
        <f>합산자재!H352</f>
        <v>0</v>
      </c>
      <c r="I237" s="53" t="str">
        <f t="shared" si="90"/>
        <v/>
      </c>
      <c r="J237" s="15">
        <v>0.13200000000000001</v>
      </c>
      <c r="K237" s="15">
        <f>합산자재!I352</f>
        <v>172068</v>
      </c>
      <c r="L237" s="53">
        <f t="shared" si="91"/>
        <v>22712.9</v>
      </c>
      <c r="M237" s="15">
        <f>합산자재!J352</f>
        <v>0</v>
      </c>
      <c r="N237" s="53" t="str">
        <f t="shared" si="92"/>
        <v/>
      </c>
      <c r="O237" s="15">
        <f t="shared" si="93"/>
        <v>172068</v>
      </c>
      <c r="P237" s="15">
        <f t="shared" si="94"/>
        <v>22712.9</v>
      </c>
      <c r="Q237" s="12"/>
    </row>
    <row r="238" spans="1:17" ht="23.25" customHeight="1" x14ac:dyDescent="0.15">
      <c r="A238" s="13" t="s">
        <v>2362</v>
      </c>
      <c r="B238" s="13" t="s">
        <v>1748</v>
      </c>
      <c r="C238" s="1" t="s">
        <v>2363</v>
      </c>
      <c r="D238" s="12" t="s">
        <v>2364</v>
      </c>
      <c r="E238" s="12" t="s">
        <v>2365</v>
      </c>
      <c r="F238" s="31" t="s">
        <v>792</v>
      </c>
      <c r="G238" s="15">
        <v>1</v>
      </c>
      <c r="H238" s="15">
        <v>1617.4</v>
      </c>
      <c r="I238" s="53">
        <f t="shared" si="90"/>
        <v>1617.4</v>
      </c>
      <c r="J238" s="15">
        <v>1</v>
      </c>
      <c r="K238" s="15"/>
      <c r="L238" s="53" t="str">
        <f t="shared" si="91"/>
        <v/>
      </c>
      <c r="M238" s="15"/>
      <c r="N238" s="53" t="str">
        <f t="shared" si="92"/>
        <v/>
      </c>
      <c r="O238" s="15">
        <f t="shared" si="93"/>
        <v>1617.4</v>
      </c>
      <c r="P238" s="15">
        <f t="shared" si="94"/>
        <v>1617.4</v>
      </c>
      <c r="Q238" s="12"/>
    </row>
    <row r="239" spans="1:17" ht="23.25" customHeight="1" x14ac:dyDescent="0.15">
      <c r="B239" s="13" t="s">
        <v>2360</v>
      </c>
      <c r="D239" s="12" t="s">
        <v>2361</v>
      </c>
      <c r="E239" s="12"/>
      <c r="F239" s="31"/>
      <c r="G239" s="15"/>
      <c r="H239" s="15"/>
      <c r="I239" s="53">
        <f>TRUNC(SUM(I231:I238))</f>
        <v>36750</v>
      </c>
      <c r="J239" s="15"/>
      <c r="K239" s="15"/>
      <c r="L239" s="53">
        <f>TRUNC(SUM(L231:L238))</f>
        <v>80874</v>
      </c>
      <c r="M239" s="15"/>
      <c r="N239" s="53">
        <f>TRUNC(SUM(N231:N238))</f>
        <v>0</v>
      </c>
      <c r="O239" s="15" t="str">
        <f t="shared" si="93"/>
        <v/>
      </c>
      <c r="P239" s="15">
        <f t="shared" si="94"/>
        <v>117624</v>
      </c>
      <c r="Q239" s="12"/>
    </row>
    <row r="240" spans="1:17" ht="23.25" customHeight="1" x14ac:dyDescent="0.15">
      <c r="D240" s="12"/>
      <c r="E240" s="12"/>
      <c r="F240" s="31"/>
      <c r="G240" s="15"/>
      <c r="H240" s="15"/>
      <c r="I240" s="53"/>
      <c r="J240" s="15"/>
      <c r="K240" s="15"/>
      <c r="L240" s="53"/>
      <c r="M240" s="15"/>
      <c r="N240" s="53"/>
      <c r="O240" s="15"/>
      <c r="P240" s="15"/>
      <c r="Q240" s="12"/>
    </row>
    <row r="241" spans="1:17" ht="23.25" customHeight="1" x14ac:dyDescent="0.15">
      <c r="A241" s="13" t="s">
        <v>2445</v>
      </c>
      <c r="B241" s="13" t="s">
        <v>2382</v>
      </c>
      <c r="C241" s="1" t="s">
        <v>2446</v>
      </c>
      <c r="D241" s="170" t="s">
        <v>2444</v>
      </c>
      <c r="E241" s="172"/>
      <c r="F241" s="31"/>
      <c r="G241" s="15"/>
      <c r="H241" s="15"/>
      <c r="I241" s="53"/>
      <c r="J241" s="15"/>
      <c r="K241" s="15"/>
      <c r="L241" s="53"/>
      <c r="M241" s="15"/>
      <c r="N241" s="53"/>
      <c r="O241" s="15"/>
      <c r="P241" s="15"/>
      <c r="Q241" s="12"/>
    </row>
    <row r="242" spans="1:17" ht="23.25" customHeight="1" x14ac:dyDescent="0.15">
      <c r="A242" s="13" t="s">
        <v>1055</v>
      </c>
      <c r="B242" s="13" t="s">
        <v>1752</v>
      </c>
      <c r="C242" s="1" t="s">
        <v>237</v>
      </c>
      <c r="D242" s="12" t="s">
        <v>235</v>
      </c>
      <c r="E242" s="12" t="s">
        <v>238</v>
      </c>
      <c r="F242" s="31" t="s">
        <v>200</v>
      </c>
      <c r="G242" s="15">
        <v>1</v>
      </c>
      <c r="H242" s="15">
        <f>합산자재!H31</f>
        <v>13389</v>
      </c>
      <c r="I242" s="53">
        <f t="shared" ref="I242:I248" si="95">IF(G242*H242&lt;&gt;0, TRUNC(G242*H242, 1), "")</f>
        <v>13389</v>
      </c>
      <c r="J242" s="15">
        <v>1</v>
      </c>
      <c r="K242" s="15">
        <f>합산자재!I31</f>
        <v>0</v>
      </c>
      <c r="L242" s="53" t="str">
        <f t="shared" ref="L242:L248" si="96">IF(G242*K242&lt;&gt;0, TRUNC(G242*K242, 1), "")</f>
        <v/>
      </c>
      <c r="M242" s="15">
        <f>합산자재!J31</f>
        <v>0</v>
      </c>
      <c r="N242" s="53" t="str">
        <f t="shared" ref="N242:N248" si="97">IF(G242*M242&lt;&gt;0, TRUNC(G242*M242, 1), "")</f>
        <v/>
      </c>
      <c r="O242" s="15">
        <f t="shared" ref="O242:O249" si="98">IF((H242+K242+M242)=0, "", (H242+K242+M242))</f>
        <v>13389</v>
      </c>
      <c r="P242" s="15">
        <f t="shared" ref="P242:P249" si="99">IF(SUM(I242,L242,N242)&lt;&gt;0,SUM(I242,L242,N242),"")</f>
        <v>13389</v>
      </c>
      <c r="Q242" s="12"/>
    </row>
    <row r="243" spans="1:17" ht="23.25" customHeight="1" x14ac:dyDescent="0.15">
      <c r="A243" s="13" t="s">
        <v>1058</v>
      </c>
      <c r="B243" s="13" t="s">
        <v>1752</v>
      </c>
      <c r="C243" s="1" t="s">
        <v>245</v>
      </c>
      <c r="D243" s="12" t="s">
        <v>242</v>
      </c>
      <c r="E243" s="12" t="s">
        <v>246</v>
      </c>
      <c r="F243" s="31" t="s">
        <v>200</v>
      </c>
      <c r="G243" s="15">
        <v>1</v>
      </c>
      <c r="H243" s="15">
        <f>합산자재!H34</f>
        <v>2978</v>
      </c>
      <c r="I243" s="53">
        <f t="shared" si="95"/>
        <v>2978</v>
      </c>
      <c r="J243" s="15">
        <v>1</v>
      </c>
      <c r="K243" s="15">
        <f>합산자재!I34</f>
        <v>0</v>
      </c>
      <c r="L243" s="53" t="str">
        <f t="shared" si="96"/>
        <v/>
      </c>
      <c r="M243" s="15">
        <f>합산자재!J34</f>
        <v>0</v>
      </c>
      <c r="N243" s="53" t="str">
        <f t="shared" si="97"/>
        <v/>
      </c>
      <c r="O243" s="15">
        <f t="shared" si="98"/>
        <v>2978</v>
      </c>
      <c r="P243" s="15">
        <f t="shared" si="99"/>
        <v>2978</v>
      </c>
      <c r="Q243" s="12"/>
    </row>
    <row r="244" spans="1:17" ht="23.25" customHeight="1" x14ac:dyDescent="0.15">
      <c r="A244" s="13" t="s">
        <v>1053</v>
      </c>
      <c r="B244" s="13" t="s">
        <v>1752</v>
      </c>
      <c r="C244" s="1" t="s">
        <v>232</v>
      </c>
      <c r="D244" s="12" t="s">
        <v>233</v>
      </c>
      <c r="E244" s="12"/>
      <c r="F244" s="31" t="s">
        <v>200</v>
      </c>
      <c r="G244" s="15">
        <v>1</v>
      </c>
      <c r="H244" s="15">
        <f>합산자재!H29</f>
        <v>2472</v>
      </c>
      <c r="I244" s="53">
        <f t="shared" si="95"/>
        <v>2472</v>
      </c>
      <c r="J244" s="15">
        <v>1</v>
      </c>
      <c r="K244" s="15">
        <f>합산자재!I29</f>
        <v>0</v>
      </c>
      <c r="L244" s="53" t="str">
        <f t="shared" si="96"/>
        <v/>
      </c>
      <c r="M244" s="15">
        <f>합산자재!J29</f>
        <v>0</v>
      </c>
      <c r="N244" s="53" t="str">
        <f t="shared" si="97"/>
        <v/>
      </c>
      <c r="O244" s="15">
        <f t="shared" si="98"/>
        <v>2472</v>
      </c>
      <c r="P244" s="15">
        <f t="shared" si="99"/>
        <v>2472</v>
      </c>
      <c r="Q244" s="12"/>
    </row>
    <row r="245" spans="1:17" ht="23.25" customHeight="1" x14ac:dyDescent="0.15">
      <c r="A245" s="13" t="s">
        <v>1051</v>
      </c>
      <c r="B245" s="13" t="s">
        <v>1752</v>
      </c>
      <c r="C245" s="1" t="s">
        <v>227</v>
      </c>
      <c r="D245" s="12" t="s">
        <v>228</v>
      </c>
      <c r="E245" s="12" t="s">
        <v>229</v>
      </c>
      <c r="F245" s="31" t="s">
        <v>200</v>
      </c>
      <c r="G245" s="15">
        <v>1</v>
      </c>
      <c r="H245" s="15">
        <f>합산자재!H27</f>
        <v>18200</v>
      </c>
      <c r="I245" s="53">
        <f t="shared" si="95"/>
        <v>18200</v>
      </c>
      <c r="J245" s="15">
        <v>1</v>
      </c>
      <c r="K245" s="15">
        <f>합산자재!I27</f>
        <v>0</v>
      </c>
      <c r="L245" s="53" t="str">
        <f t="shared" si="96"/>
        <v/>
      </c>
      <c r="M245" s="15">
        <f>합산자재!J27</f>
        <v>0</v>
      </c>
      <c r="N245" s="53" t="str">
        <f t="shared" si="97"/>
        <v/>
      </c>
      <c r="O245" s="15">
        <f t="shared" si="98"/>
        <v>18200</v>
      </c>
      <c r="P245" s="15">
        <f t="shared" si="99"/>
        <v>18200</v>
      </c>
      <c r="Q245" s="12"/>
    </row>
    <row r="246" spans="1:17" ht="23.25" customHeight="1" x14ac:dyDescent="0.15">
      <c r="A246" s="13" t="s">
        <v>1375</v>
      </c>
      <c r="B246" s="13" t="s">
        <v>1752</v>
      </c>
      <c r="C246" s="1" t="s">
        <v>1009</v>
      </c>
      <c r="D246" s="12" t="s">
        <v>1003</v>
      </c>
      <c r="E246" s="12" t="s">
        <v>1010</v>
      </c>
      <c r="F246" s="31" t="s">
        <v>999</v>
      </c>
      <c r="G246" s="15">
        <f>일위노임!G96</f>
        <v>0.13200000000000001</v>
      </c>
      <c r="H246" s="15">
        <f>합산자재!H348</f>
        <v>0</v>
      </c>
      <c r="I246" s="53" t="str">
        <f t="shared" si="95"/>
        <v/>
      </c>
      <c r="J246" s="15">
        <v>0.13200000000000001</v>
      </c>
      <c r="K246" s="15">
        <f>합산자재!I348</f>
        <v>440616</v>
      </c>
      <c r="L246" s="53">
        <f t="shared" si="96"/>
        <v>58161.3</v>
      </c>
      <c r="M246" s="15">
        <f>합산자재!J348</f>
        <v>0</v>
      </c>
      <c r="N246" s="53" t="str">
        <f t="shared" si="97"/>
        <v/>
      </c>
      <c r="O246" s="15">
        <f t="shared" si="98"/>
        <v>440616</v>
      </c>
      <c r="P246" s="15">
        <f t="shared" si="99"/>
        <v>58161.3</v>
      </c>
      <c r="Q246" s="12"/>
    </row>
    <row r="247" spans="1:17" ht="23.25" customHeight="1" x14ac:dyDescent="0.15">
      <c r="A247" s="13" t="s">
        <v>1379</v>
      </c>
      <c r="B247" s="13" t="s">
        <v>1752</v>
      </c>
      <c r="C247" s="1" t="s">
        <v>1017</v>
      </c>
      <c r="D247" s="12" t="s">
        <v>1003</v>
      </c>
      <c r="E247" s="12" t="s">
        <v>1018</v>
      </c>
      <c r="F247" s="31" t="s">
        <v>999</v>
      </c>
      <c r="G247" s="15">
        <f>일위노임!G97</f>
        <v>0.13200000000000001</v>
      </c>
      <c r="H247" s="15">
        <f>합산자재!H352</f>
        <v>0</v>
      </c>
      <c r="I247" s="53" t="str">
        <f t="shared" si="95"/>
        <v/>
      </c>
      <c r="J247" s="15">
        <v>0.13200000000000001</v>
      </c>
      <c r="K247" s="15">
        <f>합산자재!I352</f>
        <v>172068</v>
      </c>
      <c r="L247" s="53">
        <f t="shared" si="96"/>
        <v>22712.9</v>
      </c>
      <c r="M247" s="15">
        <f>합산자재!J352</f>
        <v>0</v>
      </c>
      <c r="N247" s="53" t="str">
        <f t="shared" si="97"/>
        <v/>
      </c>
      <c r="O247" s="15">
        <f t="shared" si="98"/>
        <v>172068</v>
      </c>
      <c r="P247" s="15">
        <f t="shared" si="99"/>
        <v>22712.9</v>
      </c>
      <c r="Q247" s="12"/>
    </row>
    <row r="248" spans="1:17" ht="23.25" customHeight="1" x14ac:dyDescent="0.15">
      <c r="A248" s="13" t="s">
        <v>2362</v>
      </c>
      <c r="B248" s="13" t="s">
        <v>1752</v>
      </c>
      <c r="C248" s="1" t="s">
        <v>2363</v>
      </c>
      <c r="D248" s="12" t="s">
        <v>2364</v>
      </c>
      <c r="E248" s="12" t="s">
        <v>2365</v>
      </c>
      <c r="F248" s="31" t="s">
        <v>792</v>
      </c>
      <c r="G248" s="15">
        <v>1</v>
      </c>
      <c r="H248" s="15">
        <v>1617.4</v>
      </c>
      <c r="I248" s="53">
        <f t="shared" si="95"/>
        <v>1617.4</v>
      </c>
      <c r="J248" s="15">
        <v>1</v>
      </c>
      <c r="K248" s="15"/>
      <c r="L248" s="53" t="str">
        <f t="shared" si="96"/>
        <v/>
      </c>
      <c r="M248" s="15"/>
      <c r="N248" s="53" t="str">
        <f t="shared" si="97"/>
        <v/>
      </c>
      <c r="O248" s="15">
        <f t="shared" si="98"/>
        <v>1617.4</v>
      </c>
      <c r="P248" s="15">
        <f t="shared" si="99"/>
        <v>1617.4</v>
      </c>
      <c r="Q248" s="12"/>
    </row>
    <row r="249" spans="1:17" ht="23.25" customHeight="1" x14ac:dyDescent="0.15">
      <c r="B249" s="13" t="s">
        <v>2360</v>
      </c>
      <c r="D249" s="12" t="s">
        <v>2361</v>
      </c>
      <c r="E249" s="12"/>
      <c r="F249" s="31"/>
      <c r="G249" s="15"/>
      <c r="H249" s="15"/>
      <c r="I249" s="53">
        <f>TRUNC(SUM(I241:I248))</f>
        <v>38656</v>
      </c>
      <c r="J249" s="15"/>
      <c r="K249" s="15"/>
      <c r="L249" s="53">
        <f>TRUNC(SUM(L241:L248))</f>
        <v>80874</v>
      </c>
      <c r="M249" s="15"/>
      <c r="N249" s="53">
        <f>TRUNC(SUM(N241:N248))</f>
        <v>0</v>
      </c>
      <c r="O249" s="15" t="str">
        <f t="shared" si="98"/>
        <v/>
      </c>
      <c r="P249" s="15">
        <f t="shared" si="99"/>
        <v>119530</v>
      </c>
      <c r="Q249" s="12"/>
    </row>
    <row r="250" spans="1:17" ht="23.25" customHeight="1" x14ac:dyDescent="0.15">
      <c r="D250" s="12"/>
      <c r="E250" s="12"/>
      <c r="F250" s="31"/>
      <c r="G250" s="15"/>
      <c r="H250" s="15"/>
      <c r="I250" s="53"/>
      <c r="J250" s="15"/>
      <c r="K250" s="15"/>
      <c r="L250" s="53"/>
      <c r="M250" s="15"/>
      <c r="N250" s="53"/>
      <c r="O250" s="15"/>
      <c r="P250" s="15"/>
      <c r="Q250" s="12"/>
    </row>
    <row r="251" spans="1:17" ht="23.25" customHeight="1" x14ac:dyDescent="0.15">
      <c r="A251" s="13" t="s">
        <v>2448</v>
      </c>
      <c r="B251" s="13" t="s">
        <v>2382</v>
      </c>
      <c r="C251" s="1" t="s">
        <v>2449</v>
      </c>
      <c r="D251" s="170" t="s">
        <v>2447</v>
      </c>
      <c r="E251" s="172"/>
      <c r="F251" s="31"/>
      <c r="G251" s="15"/>
      <c r="H251" s="15"/>
      <c r="I251" s="53"/>
      <c r="J251" s="15"/>
      <c r="K251" s="15"/>
      <c r="L251" s="53"/>
      <c r="M251" s="15"/>
      <c r="N251" s="53"/>
      <c r="O251" s="15"/>
      <c r="P251" s="15"/>
      <c r="Q251" s="12"/>
    </row>
    <row r="252" spans="1:17" ht="23.25" customHeight="1" x14ac:dyDescent="0.15">
      <c r="A252" s="13" t="s">
        <v>1056</v>
      </c>
      <c r="B252" s="13" t="s">
        <v>1755</v>
      </c>
      <c r="C252" s="1" t="s">
        <v>239</v>
      </c>
      <c r="D252" s="12" t="s">
        <v>235</v>
      </c>
      <c r="E252" s="12" t="s">
        <v>240</v>
      </c>
      <c r="F252" s="31" t="s">
        <v>200</v>
      </c>
      <c r="G252" s="15">
        <v>1</v>
      </c>
      <c r="H252" s="15">
        <f>합산자재!H32</f>
        <v>27097</v>
      </c>
      <c r="I252" s="53">
        <f t="shared" ref="I252:I258" si="100">IF(G252*H252&lt;&gt;0, TRUNC(G252*H252, 1), "")</f>
        <v>27097</v>
      </c>
      <c r="J252" s="15">
        <v>1</v>
      </c>
      <c r="K252" s="15">
        <f>합산자재!I32</f>
        <v>0</v>
      </c>
      <c r="L252" s="53" t="str">
        <f t="shared" ref="L252:L258" si="101">IF(G252*K252&lt;&gt;0, TRUNC(G252*K252, 1), "")</f>
        <v/>
      </c>
      <c r="M252" s="15">
        <f>합산자재!J32</f>
        <v>0</v>
      </c>
      <c r="N252" s="53" t="str">
        <f t="shared" ref="N252:N258" si="102">IF(G252*M252&lt;&gt;0, TRUNC(G252*M252, 1), "")</f>
        <v/>
      </c>
      <c r="O252" s="15">
        <f t="shared" ref="O252:O259" si="103">IF((H252+K252+M252)=0, "", (H252+K252+M252))</f>
        <v>27097</v>
      </c>
      <c r="P252" s="15">
        <f t="shared" ref="P252:P259" si="104">IF(SUM(I252,L252,N252)&lt;&gt;0,SUM(I252,L252,N252),"")</f>
        <v>27097</v>
      </c>
      <c r="Q252" s="12"/>
    </row>
    <row r="253" spans="1:17" ht="23.25" customHeight="1" x14ac:dyDescent="0.15">
      <c r="A253" s="13" t="s">
        <v>1059</v>
      </c>
      <c r="B253" s="13" t="s">
        <v>1755</v>
      </c>
      <c r="C253" s="1" t="s">
        <v>247</v>
      </c>
      <c r="D253" s="12" t="s">
        <v>242</v>
      </c>
      <c r="E253" s="12" t="s">
        <v>248</v>
      </c>
      <c r="F253" s="31" t="s">
        <v>200</v>
      </c>
      <c r="G253" s="15">
        <v>1</v>
      </c>
      <c r="H253" s="15">
        <f>합산자재!H35</f>
        <v>6773</v>
      </c>
      <c r="I253" s="53">
        <f t="shared" si="100"/>
        <v>6773</v>
      </c>
      <c r="J253" s="15">
        <v>1</v>
      </c>
      <c r="K253" s="15">
        <f>합산자재!I35</f>
        <v>0</v>
      </c>
      <c r="L253" s="53" t="str">
        <f t="shared" si="101"/>
        <v/>
      </c>
      <c r="M253" s="15">
        <f>합산자재!J35</f>
        <v>0</v>
      </c>
      <c r="N253" s="53" t="str">
        <f t="shared" si="102"/>
        <v/>
      </c>
      <c r="O253" s="15">
        <f t="shared" si="103"/>
        <v>6773</v>
      </c>
      <c r="P253" s="15">
        <f t="shared" si="104"/>
        <v>6773</v>
      </c>
      <c r="Q253" s="12"/>
    </row>
    <row r="254" spans="1:17" ht="23.25" customHeight="1" x14ac:dyDescent="0.15">
      <c r="A254" s="13" t="s">
        <v>1053</v>
      </c>
      <c r="B254" s="13" t="s">
        <v>1755</v>
      </c>
      <c r="C254" s="1" t="s">
        <v>232</v>
      </c>
      <c r="D254" s="12" t="s">
        <v>233</v>
      </c>
      <c r="E254" s="12"/>
      <c r="F254" s="31" t="s">
        <v>200</v>
      </c>
      <c r="G254" s="15">
        <v>1</v>
      </c>
      <c r="H254" s="15">
        <f>합산자재!H29</f>
        <v>2472</v>
      </c>
      <c r="I254" s="53">
        <f t="shared" si="100"/>
        <v>2472</v>
      </c>
      <c r="J254" s="15">
        <v>1</v>
      </c>
      <c r="K254" s="15">
        <f>합산자재!I29</f>
        <v>0</v>
      </c>
      <c r="L254" s="53" t="str">
        <f t="shared" si="101"/>
        <v/>
      </c>
      <c r="M254" s="15">
        <f>합산자재!J29</f>
        <v>0</v>
      </c>
      <c r="N254" s="53" t="str">
        <f t="shared" si="102"/>
        <v/>
      </c>
      <c r="O254" s="15">
        <f t="shared" si="103"/>
        <v>2472</v>
      </c>
      <c r="P254" s="15">
        <f t="shared" si="104"/>
        <v>2472</v>
      </c>
      <c r="Q254" s="12"/>
    </row>
    <row r="255" spans="1:17" ht="23.25" customHeight="1" x14ac:dyDescent="0.15">
      <c r="A255" s="13" t="s">
        <v>1052</v>
      </c>
      <c r="B255" s="13" t="s">
        <v>1755</v>
      </c>
      <c r="C255" s="1" t="s">
        <v>230</v>
      </c>
      <c r="D255" s="12" t="s">
        <v>228</v>
      </c>
      <c r="E255" s="12" t="s">
        <v>231</v>
      </c>
      <c r="F255" s="31" t="s">
        <v>200</v>
      </c>
      <c r="G255" s="15">
        <v>1</v>
      </c>
      <c r="H255" s="15">
        <f>합산자재!H28</f>
        <v>30282</v>
      </c>
      <c r="I255" s="53">
        <f t="shared" si="100"/>
        <v>30282</v>
      </c>
      <c r="J255" s="15">
        <v>1</v>
      </c>
      <c r="K255" s="15">
        <f>합산자재!I28</f>
        <v>0</v>
      </c>
      <c r="L255" s="53" t="str">
        <f t="shared" si="101"/>
        <v/>
      </c>
      <c r="M255" s="15">
        <f>합산자재!J28</f>
        <v>0</v>
      </c>
      <c r="N255" s="53" t="str">
        <f t="shared" si="102"/>
        <v/>
      </c>
      <c r="O255" s="15">
        <f t="shared" si="103"/>
        <v>30282</v>
      </c>
      <c r="P255" s="15">
        <f t="shared" si="104"/>
        <v>30282</v>
      </c>
      <c r="Q255" s="12"/>
    </row>
    <row r="256" spans="1:17" ht="23.25" customHeight="1" x14ac:dyDescent="0.15">
      <c r="A256" s="13" t="s">
        <v>1375</v>
      </c>
      <c r="B256" s="13" t="s">
        <v>1755</v>
      </c>
      <c r="C256" s="1" t="s">
        <v>1009</v>
      </c>
      <c r="D256" s="12" t="s">
        <v>1003</v>
      </c>
      <c r="E256" s="12" t="s">
        <v>1010</v>
      </c>
      <c r="F256" s="31" t="s">
        <v>999</v>
      </c>
      <c r="G256" s="15">
        <f>일위노임!G101</f>
        <v>0.13200000000000001</v>
      </c>
      <c r="H256" s="15">
        <f>합산자재!H348</f>
        <v>0</v>
      </c>
      <c r="I256" s="53" t="str">
        <f t="shared" si="100"/>
        <v/>
      </c>
      <c r="J256" s="15">
        <v>0.13200000000000001</v>
      </c>
      <c r="K256" s="15">
        <f>합산자재!I348</f>
        <v>440616</v>
      </c>
      <c r="L256" s="53">
        <f t="shared" si="101"/>
        <v>58161.3</v>
      </c>
      <c r="M256" s="15">
        <f>합산자재!J348</f>
        <v>0</v>
      </c>
      <c r="N256" s="53" t="str">
        <f t="shared" si="102"/>
        <v/>
      </c>
      <c r="O256" s="15">
        <f t="shared" si="103"/>
        <v>440616</v>
      </c>
      <c r="P256" s="15">
        <f t="shared" si="104"/>
        <v>58161.3</v>
      </c>
      <c r="Q256" s="12"/>
    </row>
    <row r="257" spans="1:18" ht="23.25" customHeight="1" x14ac:dyDescent="0.15">
      <c r="A257" s="13" t="s">
        <v>1379</v>
      </c>
      <c r="B257" s="13" t="s">
        <v>1755</v>
      </c>
      <c r="C257" s="1" t="s">
        <v>1017</v>
      </c>
      <c r="D257" s="12" t="s">
        <v>1003</v>
      </c>
      <c r="E257" s="12" t="s">
        <v>1018</v>
      </c>
      <c r="F257" s="31" t="s">
        <v>999</v>
      </c>
      <c r="G257" s="15">
        <f>일위노임!G102</f>
        <v>0.13200000000000001</v>
      </c>
      <c r="H257" s="15">
        <f>합산자재!H352</f>
        <v>0</v>
      </c>
      <c r="I257" s="53" t="str">
        <f t="shared" si="100"/>
        <v/>
      </c>
      <c r="J257" s="15">
        <v>0.13200000000000001</v>
      </c>
      <c r="K257" s="15">
        <f>합산자재!I352</f>
        <v>172068</v>
      </c>
      <c r="L257" s="53">
        <f t="shared" si="101"/>
        <v>22712.9</v>
      </c>
      <c r="M257" s="15">
        <f>합산자재!J352</f>
        <v>0</v>
      </c>
      <c r="N257" s="53" t="str">
        <f t="shared" si="102"/>
        <v/>
      </c>
      <c r="O257" s="15">
        <f t="shared" si="103"/>
        <v>172068</v>
      </c>
      <c r="P257" s="15">
        <f t="shared" si="104"/>
        <v>22712.9</v>
      </c>
      <c r="Q257" s="12"/>
    </row>
    <row r="258" spans="1:18" ht="23.25" customHeight="1" x14ac:dyDescent="0.15">
      <c r="A258" s="13" t="s">
        <v>2362</v>
      </c>
      <c r="B258" s="13" t="s">
        <v>1755</v>
      </c>
      <c r="C258" s="1" t="s">
        <v>2363</v>
      </c>
      <c r="D258" s="12" t="s">
        <v>2364</v>
      </c>
      <c r="E258" s="12" t="s">
        <v>2365</v>
      </c>
      <c r="F258" s="31" t="s">
        <v>792</v>
      </c>
      <c r="G258" s="15">
        <v>1</v>
      </c>
      <c r="H258" s="15">
        <v>1617.4</v>
      </c>
      <c r="I258" s="53">
        <f t="shared" si="100"/>
        <v>1617.4</v>
      </c>
      <c r="J258" s="15">
        <v>1</v>
      </c>
      <c r="K258" s="15"/>
      <c r="L258" s="53" t="str">
        <f t="shared" si="101"/>
        <v/>
      </c>
      <c r="M258" s="15"/>
      <c r="N258" s="53" t="str">
        <f t="shared" si="102"/>
        <v/>
      </c>
      <c r="O258" s="15">
        <f t="shared" si="103"/>
        <v>1617.4</v>
      </c>
      <c r="P258" s="15">
        <f t="shared" si="104"/>
        <v>1617.4</v>
      </c>
      <c r="Q258" s="12"/>
    </row>
    <row r="259" spans="1:18" ht="23.25" customHeight="1" x14ac:dyDescent="0.15">
      <c r="B259" s="13" t="s">
        <v>2360</v>
      </c>
      <c r="D259" s="12" t="s">
        <v>2361</v>
      </c>
      <c r="E259" s="12"/>
      <c r="F259" s="31"/>
      <c r="G259" s="15"/>
      <c r="H259" s="15"/>
      <c r="I259" s="53">
        <f>TRUNC(SUM(I251:I258))</f>
        <v>68241</v>
      </c>
      <c r="J259" s="15"/>
      <c r="K259" s="15"/>
      <c r="L259" s="53">
        <f>TRUNC(SUM(L251:L258))</f>
        <v>80874</v>
      </c>
      <c r="M259" s="15"/>
      <c r="N259" s="53">
        <f>TRUNC(SUM(N251:N258))</f>
        <v>0</v>
      </c>
      <c r="O259" s="15" t="str">
        <f t="shared" si="103"/>
        <v/>
      </c>
      <c r="P259" s="15">
        <f t="shared" si="104"/>
        <v>149115</v>
      </c>
      <c r="Q259" s="12"/>
    </row>
    <row r="260" spans="1:18" ht="23.25" customHeight="1" x14ac:dyDescent="0.15">
      <c r="D260" s="12"/>
      <c r="E260" s="12"/>
      <c r="F260" s="31"/>
      <c r="G260" s="15"/>
      <c r="H260" s="15"/>
      <c r="I260" s="53"/>
      <c r="J260" s="15"/>
      <c r="K260" s="15"/>
      <c r="L260" s="53"/>
      <c r="M260" s="15"/>
      <c r="N260" s="53"/>
      <c r="O260" s="15"/>
      <c r="P260" s="15"/>
      <c r="Q260" s="12"/>
    </row>
    <row r="261" spans="1:18" ht="23.25" customHeight="1" x14ac:dyDescent="0.15">
      <c r="A261" s="13" t="s">
        <v>2451</v>
      </c>
      <c r="B261" s="13" t="s">
        <v>2382</v>
      </c>
      <c r="C261" s="1" t="s">
        <v>2452</v>
      </c>
      <c r="D261" s="170" t="s">
        <v>2450</v>
      </c>
      <c r="E261" s="172"/>
      <c r="F261" s="31"/>
      <c r="G261" s="15"/>
      <c r="H261" s="15"/>
      <c r="I261" s="53"/>
      <c r="J261" s="15"/>
      <c r="K261" s="15"/>
      <c r="L261" s="53"/>
      <c r="M261" s="15"/>
      <c r="N261" s="53"/>
      <c r="O261" s="15"/>
      <c r="P261" s="15"/>
      <c r="Q261" s="12"/>
    </row>
    <row r="262" spans="1:18" ht="23.25" customHeight="1" x14ac:dyDescent="0.15">
      <c r="A262" s="13" t="s">
        <v>1372</v>
      </c>
      <c r="B262" s="13" t="s">
        <v>1758</v>
      </c>
      <c r="C262" s="1" t="s">
        <v>1002</v>
      </c>
      <c r="D262" s="12" t="s">
        <v>1003</v>
      </c>
      <c r="E262" s="12" t="s">
        <v>1004</v>
      </c>
      <c r="F262" s="31" t="s">
        <v>999</v>
      </c>
      <c r="G262" s="15">
        <f>일위노임!G105</f>
        <v>4.1000000000000002E-2</v>
      </c>
      <c r="H262" s="15">
        <f>합산자재!H345</f>
        <v>0</v>
      </c>
      <c r="I262" s="53" t="str">
        <f>IF(G262*H262&lt;&gt;0, TRUNC(G262*H262, 1), "")</f>
        <v/>
      </c>
      <c r="J262" s="15">
        <v>4.1000000000000002E-2</v>
      </c>
      <c r="K262" s="15">
        <f>합산자재!I345</f>
        <v>273676</v>
      </c>
      <c r="L262" s="53">
        <f>IF(G262*K262&lt;&gt;0, TRUNC(G262*K262, 1), "")</f>
        <v>11220.7</v>
      </c>
      <c r="M262" s="15">
        <f>합산자재!J345</f>
        <v>0</v>
      </c>
      <c r="N262" s="53" t="str">
        <f>IF(G262*M262&lt;&gt;0, TRUNC(G262*M262, 1), "")</f>
        <v/>
      </c>
      <c r="O262" s="15">
        <f>IF((H262+K262+M262)=0, "", (H262+K262+M262))</f>
        <v>273676</v>
      </c>
      <c r="P262" s="15">
        <f>IF(SUM(I262,L262,N262)&lt;&gt;0,SUM(I262,L262,N262),"")</f>
        <v>11220.7</v>
      </c>
      <c r="Q262" s="12"/>
    </row>
    <row r="263" spans="1:18" ht="23.25" customHeight="1" x14ac:dyDescent="0.15">
      <c r="A263" s="13" t="s">
        <v>2362</v>
      </c>
      <c r="B263" s="13" t="s">
        <v>1758</v>
      </c>
      <c r="C263" s="1" t="s">
        <v>2363</v>
      </c>
      <c r="D263" s="12" t="s">
        <v>2364</v>
      </c>
      <c r="E263" s="12" t="s">
        <v>2365</v>
      </c>
      <c r="F263" s="31" t="s">
        <v>792</v>
      </c>
      <c r="G263" s="15">
        <v>1</v>
      </c>
      <c r="H263" s="15">
        <v>224.4</v>
      </c>
      <c r="I263" s="53">
        <f>IF(G263*H263&lt;&gt;0, TRUNC(G263*H263, 1), "")</f>
        <v>224.4</v>
      </c>
      <c r="J263" s="15">
        <v>1</v>
      </c>
      <c r="K263" s="15"/>
      <c r="L263" s="53" t="str">
        <f>IF(G263*K263&lt;&gt;0, TRUNC(G263*K263, 1), "")</f>
        <v/>
      </c>
      <c r="M263" s="15"/>
      <c r="N263" s="53" t="str">
        <f>IF(G263*M263&lt;&gt;0, TRUNC(G263*M263, 1), "")</f>
        <v/>
      </c>
      <c r="O263" s="15">
        <f>IF((H263+K263+M263)=0, "", (H263+K263+M263))</f>
        <v>224.4</v>
      </c>
      <c r="P263" s="15">
        <f>IF(SUM(I263,L263,N263)&lt;&gt;0,SUM(I263,L263,N263),"")</f>
        <v>224.4</v>
      </c>
      <c r="Q263" s="12"/>
    </row>
    <row r="264" spans="1:18" ht="23.25" customHeight="1" x14ac:dyDescent="0.15">
      <c r="B264" s="13" t="s">
        <v>2360</v>
      </c>
      <c r="D264" s="12" t="s">
        <v>2361</v>
      </c>
      <c r="E264" s="12"/>
      <c r="F264" s="31"/>
      <c r="G264" s="15"/>
      <c r="H264" s="15"/>
      <c r="I264" s="53">
        <f>TRUNC(SUM(I261:I263))</f>
        <v>224</v>
      </c>
      <c r="J264" s="15"/>
      <c r="K264" s="15"/>
      <c r="L264" s="53">
        <f>TRUNC(SUM(L261:L263))</f>
        <v>11220</v>
      </c>
      <c r="M264" s="15"/>
      <c r="N264" s="53">
        <f>TRUNC(SUM(N261:N263))</f>
        <v>0</v>
      </c>
      <c r="O264" s="15" t="str">
        <f>IF((H264+K264+M264)=0, "", (H264+K264+M264))</f>
        <v/>
      </c>
      <c r="P264" s="15">
        <f>IF(SUM(I264,L264,N264)&lt;&gt;0,SUM(I264,L264,N264),"")</f>
        <v>11444</v>
      </c>
      <c r="Q264" s="12"/>
    </row>
    <row r="265" spans="1:18" ht="23.25" customHeight="1" x14ac:dyDescent="0.15">
      <c r="D265" s="12"/>
      <c r="E265" s="12"/>
      <c r="F265" s="31"/>
      <c r="G265" s="15"/>
      <c r="H265" s="15"/>
      <c r="I265" s="53"/>
      <c r="J265" s="15"/>
      <c r="K265" s="15"/>
      <c r="L265" s="53"/>
      <c r="M265" s="15"/>
      <c r="N265" s="53"/>
      <c r="O265" s="15"/>
      <c r="P265" s="15"/>
      <c r="Q265" s="12"/>
    </row>
    <row r="266" spans="1:18" ht="23.25" customHeight="1" x14ac:dyDescent="0.15">
      <c r="A266" s="13" t="s">
        <v>2454</v>
      </c>
      <c r="B266" s="13" t="s">
        <v>2382</v>
      </c>
      <c r="C266" s="1" t="s">
        <v>2455</v>
      </c>
      <c r="D266" s="170" t="s">
        <v>2453</v>
      </c>
      <c r="E266" s="172"/>
      <c r="F266" s="31"/>
      <c r="G266" s="15"/>
      <c r="H266" s="15"/>
      <c r="I266" s="53"/>
      <c r="J266" s="15"/>
      <c r="K266" s="15"/>
      <c r="L266" s="53"/>
      <c r="M266" s="15"/>
      <c r="N266" s="53"/>
      <c r="O266" s="15"/>
      <c r="P266" s="15"/>
      <c r="Q266" s="12"/>
    </row>
    <row r="267" spans="1:18" ht="23.25" customHeight="1" x14ac:dyDescent="0.15">
      <c r="A267" s="13" t="s">
        <v>2352</v>
      </c>
      <c r="B267" s="13" t="s">
        <v>1762</v>
      </c>
      <c r="C267" s="1" t="s">
        <v>2353</v>
      </c>
      <c r="D267" s="12" t="s">
        <v>2355</v>
      </c>
      <c r="E267" s="12" t="s">
        <v>2356</v>
      </c>
      <c r="F267" s="31" t="s">
        <v>2357</v>
      </c>
      <c r="G267" s="15">
        <v>0.55000000000000004</v>
      </c>
      <c r="H267" s="15">
        <f>일대목차!H220</f>
        <v>0</v>
      </c>
      <c r="I267" s="53" t="str">
        <f>IF(G267*H267&lt;&gt;0, TRUNC(G267*H267, 1), "")</f>
        <v/>
      </c>
      <c r="J267" s="15">
        <v>0.55000000000000004</v>
      </c>
      <c r="K267" s="15">
        <f>일대목차!K220</f>
        <v>0</v>
      </c>
      <c r="L267" s="53" t="str">
        <f>IF(G267*K267&lt;&gt;0, TRUNC(G267*K267, 1), "")</f>
        <v/>
      </c>
      <c r="M267" s="15">
        <f>일대목차!M220</f>
        <v>68260</v>
      </c>
      <c r="N267" s="53">
        <f>IF(G267*M267&lt;&gt;0, TRUNC(G267*M267, 1), "")</f>
        <v>37543</v>
      </c>
      <c r="O267" s="15">
        <f>IF((H267+K267+M267)=0, "", (H267+K267+M267))</f>
        <v>68260</v>
      </c>
      <c r="P267" s="15">
        <f>IF(SUM(I267,L267,N267)&lt;&gt;0,SUM(I267,L267,N267),"")</f>
        <v>37543</v>
      </c>
      <c r="Q267" s="12" t="s">
        <v>2354</v>
      </c>
      <c r="R267" s="2" t="s">
        <v>2359</v>
      </c>
    </row>
    <row r="268" spans="1:18" ht="23.25" customHeight="1" x14ac:dyDescent="0.15">
      <c r="A268" s="13" t="s">
        <v>1372</v>
      </c>
      <c r="B268" s="13" t="s">
        <v>1762</v>
      </c>
      <c r="C268" s="1" t="s">
        <v>1002</v>
      </c>
      <c r="D268" s="12" t="s">
        <v>1003</v>
      </c>
      <c r="E268" s="12" t="s">
        <v>1004</v>
      </c>
      <c r="F268" s="31" t="s">
        <v>999</v>
      </c>
      <c r="G268" s="15">
        <f>일위노임!G108</f>
        <v>0.31</v>
      </c>
      <c r="H268" s="15">
        <f>합산자재!H345</f>
        <v>0</v>
      </c>
      <c r="I268" s="53" t="str">
        <f>IF(G268*H268&lt;&gt;0, TRUNC(G268*H268, 1), "")</f>
        <v/>
      </c>
      <c r="J268" s="15">
        <v>0.31</v>
      </c>
      <c r="K268" s="15">
        <f>합산자재!I345</f>
        <v>273676</v>
      </c>
      <c r="L268" s="53">
        <f>IF(G268*K268&lt;&gt;0, TRUNC(G268*K268, 1), "")</f>
        <v>84839.5</v>
      </c>
      <c r="M268" s="15">
        <f>합산자재!J345</f>
        <v>0</v>
      </c>
      <c r="N268" s="53" t="str">
        <f>IF(G268*M268&lt;&gt;0, TRUNC(G268*M268, 1), "")</f>
        <v/>
      </c>
      <c r="O268" s="15">
        <f>IF((H268+K268+M268)=0, "", (H268+K268+M268))</f>
        <v>273676</v>
      </c>
      <c r="P268" s="15">
        <f>IF(SUM(I268,L268,N268)&lt;&gt;0,SUM(I268,L268,N268),"")</f>
        <v>84839.5</v>
      </c>
      <c r="Q268" s="12"/>
    </row>
    <row r="269" spans="1:18" ht="23.25" customHeight="1" x14ac:dyDescent="0.15">
      <c r="A269" s="13" t="s">
        <v>2362</v>
      </c>
      <c r="B269" s="13" t="s">
        <v>1762</v>
      </c>
      <c r="C269" s="1" t="s">
        <v>2363</v>
      </c>
      <c r="D269" s="12" t="s">
        <v>2364</v>
      </c>
      <c r="E269" s="12" t="s">
        <v>2365</v>
      </c>
      <c r="F269" s="31" t="s">
        <v>792</v>
      </c>
      <c r="G269" s="15">
        <v>1</v>
      </c>
      <c r="H269" s="15">
        <v>1696.7</v>
      </c>
      <c r="I269" s="53">
        <f>IF(G269*H269&lt;&gt;0, TRUNC(G269*H269, 1), "")</f>
        <v>1696.7</v>
      </c>
      <c r="J269" s="15">
        <v>1</v>
      </c>
      <c r="K269" s="15"/>
      <c r="L269" s="53" t="str">
        <f>IF(G269*K269&lt;&gt;0, TRUNC(G269*K269, 1), "")</f>
        <v/>
      </c>
      <c r="M269" s="15"/>
      <c r="N269" s="53" t="str">
        <f>IF(G269*M269&lt;&gt;0, TRUNC(G269*M269, 1), "")</f>
        <v/>
      </c>
      <c r="O269" s="15">
        <f>IF((H269+K269+M269)=0, "", (H269+K269+M269))</f>
        <v>1696.7</v>
      </c>
      <c r="P269" s="15">
        <f>IF(SUM(I269,L269,N269)&lt;&gt;0,SUM(I269,L269,N269),"")</f>
        <v>1696.7</v>
      </c>
      <c r="Q269" s="12"/>
    </row>
    <row r="270" spans="1:18" ht="23.25" customHeight="1" x14ac:dyDescent="0.15">
      <c r="B270" s="13" t="s">
        <v>2360</v>
      </c>
      <c r="D270" s="12" t="s">
        <v>2361</v>
      </c>
      <c r="E270" s="12"/>
      <c r="F270" s="31"/>
      <c r="G270" s="15"/>
      <c r="H270" s="15"/>
      <c r="I270" s="53">
        <f>TRUNC(SUM(I266:I269))</f>
        <v>1696</v>
      </c>
      <c r="J270" s="15"/>
      <c r="K270" s="15"/>
      <c r="L270" s="53">
        <f>TRUNC(SUM(L266:L269))</f>
        <v>84839</v>
      </c>
      <c r="M270" s="15"/>
      <c r="N270" s="53">
        <f>TRUNC(SUM(N266:N269))</f>
        <v>37543</v>
      </c>
      <c r="O270" s="15" t="str">
        <f>IF((H270+K270+M270)=0, "", (H270+K270+M270))</f>
        <v/>
      </c>
      <c r="P270" s="15">
        <f>IF(SUM(I270,L270,N270)&lt;&gt;0,SUM(I270,L270,N270),"")</f>
        <v>124078</v>
      </c>
      <c r="Q270" s="12"/>
    </row>
    <row r="271" spans="1:18" ht="23.25" customHeight="1" x14ac:dyDescent="0.15">
      <c r="D271" s="12"/>
      <c r="E271" s="12"/>
      <c r="F271" s="31"/>
      <c r="G271" s="15"/>
      <c r="H271" s="15"/>
      <c r="I271" s="53"/>
      <c r="J271" s="15"/>
      <c r="K271" s="15"/>
      <c r="L271" s="53"/>
      <c r="M271" s="15"/>
      <c r="N271" s="53"/>
      <c r="O271" s="15"/>
      <c r="P271" s="15"/>
      <c r="Q271" s="12"/>
    </row>
    <row r="272" spans="1:18" ht="23.25" customHeight="1" x14ac:dyDescent="0.15">
      <c r="A272" s="13" t="s">
        <v>2457</v>
      </c>
      <c r="B272" s="13" t="s">
        <v>2382</v>
      </c>
      <c r="C272" s="1" t="s">
        <v>2458</v>
      </c>
      <c r="D272" s="170" t="s">
        <v>2456</v>
      </c>
      <c r="E272" s="172"/>
      <c r="F272" s="31"/>
      <c r="G272" s="15"/>
      <c r="H272" s="15"/>
      <c r="I272" s="53"/>
      <c r="J272" s="15"/>
      <c r="K272" s="15"/>
      <c r="L272" s="53"/>
      <c r="M272" s="15"/>
      <c r="N272" s="53"/>
      <c r="O272" s="15"/>
      <c r="P272" s="15"/>
      <c r="Q272" s="12"/>
    </row>
    <row r="273" spans="1:17" ht="23.25" customHeight="1" x14ac:dyDescent="0.15">
      <c r="A273" s="13" t="s">
        <v>1372</v>
      </c>
      <c r="B273" s="13" t="s">
        <v>1766</v>
      </c>
      <c r="C273" s="1" t="s">
        <v>1002</v>
      </c>
      <c r="D273" s="12" t="s">
        <v>1003</v>
      </c>
      <c r="E273" s="12" t="s">
        <v>1004</v>
      </c>
      <c r="F273" s="31" t="s">
        <v>999</v>
      </c>
      <c r="G273" s="15">
        <f>일위노임!G111</f>
        <v>4.1000000000000002E-2</v>
      </c>
      <c r="H273" s="15">
        <f>합산자재!H345</f>
        <v>0</v>
      </c>
      <c r="I273" s="53" t="str">
        <f>IF(G273*H273&lt;&gt;0, TRUNC(G273*H273, 1), "")</f>
        <v/>
      </c>
      <c r="J273" s="15">
        <v>4.1000000000000002E-2</v>
      </c>
      <c r="K273" s="15">
        <f>합산자재!I345</f>
        <v>273676</v>
      </c>
      <c r="L273" s="53">
        <f>IF(G273*K273&lt;&gt;0, TRUNC(G273*K273, 1), "")</f>
        <v>11220.7</v>
      </c>
      <c r="M273" s="15">
        <f>합산자재!J345</f>
        <v>0</v>
      </c>
      <c r="N273" s="53" t="str">
        <f>IF(G273*M273&lt;&gt;0, TRUNC(G273*M273, 1), "")</f>
        <v/>
      </c>
      <c r="O273" s="15">
        <f>IF((H273+K273+M273)=0, "", (H273+K273+M273))</f>
        <v>273676</v>
      </c>
      <c r="P273" s="15">
        <f>IF(SUM(I273,L273,N273)&lt;&gt;0,SUM(I273,L273,N273),"")</f>
        <v>11220.7</v>
      </c>
      <c r="Q273" s="12"/>
    </row>
    <row r="274" spans="1:17" ht="23.25" customHeight="1" x14ac:dyDescent="0.15">
      <c r="A274" s="13" t="s">
        <v>2362</v>
      </c>
      <c r="B274" s="13" t="s">
        <v>1766</v>
      </c>
      <c r="C274" s="1" t="s">
        <v>2363</v>
      </c>
      <c r="D274" s="12" t="s">
        <v>2364</v>
      </c>
      <c r="E274" s="12" t="s">
        <v>2365</v>
      </c>
      <c r="F274" s="31" t="s">
        <v>792</v>
      </c>
      <c r="G274" s="15">
        <v>1</v>
      </c>
      <c r="H274" s="15">
        <v>224.4</v>
      </c>
      <c r="I274" s="53">
        <f>IF(G274*H274&lt;&gt;0, TRUNC(G274*H274, 1), "")</f>
        <v>224.4</v>
      </c>
      <c r="J274" s="15">
        <v>1</v>
      </c>
      <c r="K274" s="15"/>
      <c r="L274" s="53" t="str">
        <f>IF(G274*K274&lt;&gt;0, TRUNC(G274*K274, 1), "")</f>
        <v/>
      </c>
      <c r="M274" s="15"/>
      <c r="N274" s="53" t="str">
        <f>IF(G274*M274&lt;&gt;0, TRUNC(G274*M274, 1), "")</f>
        <v/>
      </c>
      <c r="O274" s="15">
        <f>IF((H274+K274+M274)=0, "", (H274+K274+M274))</f>
        <v>224.4</v>
      </c>
      <c r="P274" s="15">
        <f>IF(SUM(I274,L274,N274)&lt;&gt;0,SUM(I274,L274,N274),"")</f>
        <v>224.4</v>
      </c>
      <c r="Q274" s="12"/>
    </row>
    <row r="275" spans="1:17" ht="23.25" customHeight="1" x14ac:dyDescent="0.15">
      <c r="B275" s="13" t="s">
        <v>2360</v>
      </c>
      <c r="D275" s="12" t="s">
        <v>2361</v>
      </c>
      <c r="E275" s="12"/>
      <c r="F275" s="31"/>
      <c r="G275" s="15"/>
      <c r="H275" s="15"/>
      <c r="I275" s="53">
        <f>TRUNC(SUM(I272:I274))</f>
        <v>224</v>
      </c>
      <c r="J275" s="15"/>
      <c r="K275" s="15"/>
      <c r="L275" s="53">
        <f>TRUNC(SUM(L272:L274))</f>
        <v>11220</v>
      </c>
      <c r="M275" s="15"/>
      <c r="N275" s="53">
        <f>TRUNC(SUM(N272:N274))</f>
        <v>0</v>
      </c>
      <c r="O275" s="15" t="str">
        <f>IF((H275+K275+M275)=0, "", (H275+K275+M275))</f>
        <v/>
      </c>
      <c r="P275" s="15">
        <f>IF(SUM(I275,L275,N275)&lt;&gt;0,SUM(I275,L275,N275),"")</f>
        <v>11444</v>
      </c>
      <c r="Q275" s="12"/>
    </row>
    <row r="276" spans="1:17" ht="23.25" customHeight="1" x14ac:dyDescent="0.15">
      <c r="D276" s="12"/>
      <c r="E276" s="12"/>
      <c r="F276" s="31"/>
      <c r="G276" s="15"/>
      <c r="H276" s="15"/>
      <c r="I276" s="53"/>
      <c r="J276" s="15"/>
      <c r="K276" s="15"/>
      <c r="L276" s="53"/>
      <c r="M276" s="15"/>
      <c r="N276" s="53"/>
      <c r="O276" s="15"/>
      <c r="P276" s="15"/>
      <c r="Q276" s="12"/>
    </row>
    <row r="277" spans="1:17" ht="23.25" customHeight="1" x14ac:dyDescent="0.15">
      <c r="A277" s="13" t="s">
        <v>2460</v>
      </c>
      <c r="B277" s="13" t="s">
        <v>2382</v>
      </c>
      <c r="C277" s="1" t="s">
        <v>2461</v>
      </c>
      <c r="D277" s="170" t="s">
        <v>2459</v>
      </c>
      <c r="E277" s="172"/>
      <c r="F277" s="31"/>
      <c r="G277" s="15"/>
      <c r="H277" s="15"/>
      <c r="I277" s="53"/>
      <c r="J277" s="15"/>
      <c r="K277" s="15"/>
      <c r="L277" s="53"/>
      <c r="M277" s="15"/>
      <c r="N277" s="53"/>
      <c r="O277" s="15"/>
      <c r="P277" s="15"/>
      <c r="Q277" s="12"/>
    </row>
    <row r="278" spans="1:17" ht="23.25" customHeight="1" x14ac:dyDescent="0.15">
      <c r="A278" s="13" t="s">
        <v>1199</v>
      </c>
      <c r="B278" s="13" t="s">
        <v>1770</v>
      </c>
      <c r="C278" s="1" t="s">
        <v>651</v>
      </c>
      <c r="D278" s="12" t="s">
        <v>652</v>
      </c>
      <c r="E278" s="12" t="s">
        <v>653</v>
      </c>
      <c r="F278" s="31" t="s">
        <v>654</v>
      </c>
      <c r="G278" s="15">
        <v>0.77</v>
      </c>
      <c r="H278" s="15">
        <f>합산자재!H175</f>
        <v>25021</v>
      </c>
      <c r="I278" s="53">
        <f>IF(G278*H278&lt;&gt;0, TRUNC(G278*H278, 1), "")</f>
        <v>19266.099999999999</v>
      </c>
      <c r="J278" s="15">
        <v>0.77</v>
      </c>
      <c r="K278" s="15">
        <f>합산자재!I175</f>
        <v>0</v>
      </c>
      <c r="L278" s="53" t="str">
        <f>IF(G278*K278&lt;&gt;0, TRUNC(G278*K278, 1), "")</f>
        <v/>
      </c>
      <c r="M278" s="15">
        <f>합산자재!J175</f>
        <v>0</v>
      </c>
      <c r="N278" s="53" t="str">
        <f>IF(G278*M278&lt;&gt;0, TRUNC(G278*M278, 1), "")</f>
        <v/>
      </c>
      <c r="O278" s="15">
        <f>IF((H278+K278+M278)=0, "", (H278+K278+M278))</f>
        <v>25021</v>
      </c>
      <c r="P278" s="15">
        <f>IF(SUM(I278,L278,N278)&lt;&gt;0,SUM(I278,L278,N278),"")</f>
        <v>19266.099999999999</v>
      </c>
      <c r="Q278" s="12"/>
    </row>
    <row r="279" spans="1:17" ht="23.25" customHeight="1" x14ac:dyDescent="0.15">
      <c r="A279" s="13" t="s">
        <v>1381</v>
      </c>
      <c r="B279" s="13" t="s">
        <v>1770</v>
      </c>
      <c r="C279" s="1" t="s">
        <v>1021</v>
      </c>
      <c r="D279" s="12" t="s">
        <v>1003</v>
      </c>
      <c r="E279" s="12" t="s">
        <v>1022</v>
      </c>
      <c r="F279" s="31" t="s">
        <v>999</v>
      </c>
      <c r="G279" s="15">
        <f>일위노임!G114</f>
        <v>0.18479999999999999</v>
      </c>
      <c r="H279" s="15">
        <f>합산자재!H354</f>
        <v>0</v>
      </c>
      <c r="I279" s="53" t="str">
        <f>IF(G279*H279&lt;&gt;0, TRUNC(G279*H279, 1), "")</f>
        <v/>
      </c>
      <c r="J279" s="15">
        <v>0.18479999999999999</v>
      </c>
      <c r="K279" s="15">
        <f>합산자재!I354</f>
        <v>228286</v>
      </c>
      <c r="L279" s="53">
        <f>IF(G279*K279&lt;&gt;0, TRUNC(G279*K279, 1), "")</f>
        <v>42187.199999999997</v>
      </c>
      <c r="M279" s="15">
        <f>합산자재!J354</f>
        <v>0</v>
      </c>
      <c r="N279" s="53" t="str">
        <f>IF(G279*M279&lt;&gt;0, TRUNC(G279*M279, 1), "")</f>
        <v/>
      </c>
      <c r="O279" s="15">
        <f>IF((H279+K279+M279)=0, "", (H279+K279+M279))</f>
        <v>228286</v>
      </c>
      <c r="P279" s="15">
        <f>IF(SUM(I279,L279,N279)&lt;&gt;0,SUM(I279,L279,N279),"")</f>
        <v>42187.199999999997</v>
      </c>
      <c r="Q279" s="12"/>
    </row>
    <row r="280" spans="1:17" ht="23.25" customHeight="1" x14ac:dyDescent="0.15">
      <c r="A280" s="13" t="s">
        <v>2362</v>
      </c>
      <c r="B280" s="13" t="s">
        <v>1770</v>
      </c>
      <c r="C280" s="1" t="s">
        <v>2363</v>
      </c>
      <c r="D280" s="12" t="s">
        <v>2364</v>
      </c>
      <c r="E280" s="12" t="s">
        <v>2365</v>
      </c>
      <c r="F280" s="31" t="s">
        <v>792</v>
      </c>
      <c r="G280" s="15">
        <v>1</v>
      </c>
      <c r="H280" s="15">
        <v>843.7</v>
      </c>
      <c r="I280" s="53">
        <f>IF(G280*H280&lt;&gt;0, TRUNC(G280*H280, 1), "")</f>
        <v>843.7</v>
      </c>
      <c r="J280" s="15">
        <v>1</v>
      </c>
      <c r="K280" s="15"/>
      <c r="L280" s="53" t="str">
        <f>IF(G280*K280&lt;&gt;0, TRUNC(G280*K280, 1), "")</f>
        <v/>
      </c>
      <c r="M280" s="15"/>
      <c r="N280" s="53" t="str">
        <f>IF(G280*M280&lt;&gt;0, TRUNC(G280*M280, 1), "")</f>
        <v/>
      </c>
      <c r="O280" s="15">
        <f>IF((H280+K280+M280)=0, "", (H280+K280+M280))</f>
        <v>843.7</v>
      </c>
      <c r="P280" s="15">
        <f>IF(SUM(I280,L280,N280)&lt;&gt;0,SUM(I280,L280,N280),"")</f>
        <v>843.7</v>
      </c>
      <c r="Q280" s="12"/>
    </row>
    <row r="281" spans="1:17" ht="23.25" customHeight="1" x14ac:dyDescent="0.15">
      <c r="B281" s="13" t="s">
        <v>2360</v>
      </c>
      <c r="D281" s="12" t="s">
        <v>2361</v>
      </c>
      <c r="E281" s="12"/>
      <c r="F281" s="31"/>
      <c r="G281" s="15"/>
      <c r="H281" s="15"/>
      <c r="I281" s="53">
        <f>TRUNC(SUM(I277:I280))</f>
        <v>20109</v>
      </c>
      <c r="J281" s="15"/>
      <c r="K281" s="15"/>
      <c r="L281" s="53">
        <f>TRUNC(SUM(L277:L280))</f>
        <v>42187</v>
      </c>
      <c r="M281" s="15"/>
      <c r="N281" s="53">
        <f>TRUNC(SUM(N277:N280))</f>
        <v>0</v>
      </c>
      <c r="O281" s="15" t="str">
        <f>IF((H281+K281+M281)=0, "", (H281+K281+M281))</f>
        <v/>
      </c>
      <c r="P281" s="15">
        <f>IF(SUM(I281,L281,N281)&lt;&gt;0,SUM(I281,L281,N281),"")</f>
        <v>62296</v>
      </c>
      <c r="Q281" s="12"/>
    </row>
    <row r="282" spans="1:17" ht="23.25" customHeight="1" x14ac:dyDescent="0.15">
      <c r="D282" s="12"/>
      <c r="E282" s="12"/>
      <c r="F282" s="31"/>
      <c r="G282" s="15"/>
      <c r="H282" s="15"/>
      <c r="I282" s="53"/>
      <c r="J282" s="15"/>
      <c r="K282" s="15"/>
      <c r="L282" s="53"/>
      <c r="M282" s="15"/>
      <c r="N282" s="53"/>
      <c r="O282" s="15"/>
      <c r="P282" s="15"/>
      <c r="Q282" s="12"/>
    </row>
    <row r="283" spans="1:17" ht="23.25" customHeight="1" x14ac:dyDescent="0.15">
      <c r="A283" s="13" t="s">
        <v>2463</v>
      </c>
      <c r="B283" s="13" t="s">
        <v>2382</v>
      </c>
      <c r="C283" s="1" t="s">
        <v>2464</v>
      </c>
      <c r="D283" s="170" t="s">
        <v>2462</v>
      </c>
      <c r="E283" s="172"/>
      <c r="F283" s="31"/>
      <c r="G283" s="15"/>
      <c r="H283" s="15"/>
      <c r="I283" s="53"/>
      <c r="J283" s="15"/>
      <c r="K283" s="15"/>
      <c r="L283" s="53"/>
      <c r="M283" s="15"/>
      <c r="N283" s="53"/>
      <c r="O283" s="15"/>
      <c r="P283" s="15"/>
      <c r="Q283" s="12"/>
    </row>
    <row r="284" spans="1:17" ht="23.25" customHeight="1" x14ac:dyDescent="0.15">
      <c r="A284" s="13" t="s">
        <v>1199</v>
      </c>
      <c r="B284" s="13" t="s">
        <v>1775</v>
      </c>
      <c r="C284" s="1" t="s">
        <v>651</v>
      </c>
      <c r="D284" s="12" t="s">
        <v>652</v>
      </c>
      <c r="E284" s="12" t="s">
        <v>653</v>
      </c>
      <c r="F284" s="31" t="s">
        <v>654</v>
      </c>
      <c r="G284" s="15">
        <v>1.1499999999999999</v>
      </c>
      <c r="H284" s="15">
        <f>합산자재!H175</f>
        <v>25021</v>
      </c>
      <c r="I284" s="53">
        <f>IF(G284*H284&lt;&gt;0, TRUNC(G284*H284, 1), "")</f>
        <v>28774.1</v>
      </c>
      <c r="J284" s="15">
        <v>1.1499999999999999</v>
      </c>
      <c r="K284" s="15">
        <f>합산자재!I175</f>
        <v>0</v>
      </c>
      <c r="L284" s="53" t="str">
        <f>IF(G284*K284&lt;&gt;0, TRUNC(G284*K284, 1), "")</f>
        <v/>
      </c>
      <c r="M284" s="15">
        <f>합산자재!J175</f>
        <v>0</v>
      </c>
      <c r="N284" s="53" t="str">
        <f>IF(G284*M284&lt;&gt;0, TRUNC(G284*M284, 1), "")</f>
        <v/>
      </c>
      <c r="O284" s="15">
        <f>IF((H284+K284+M284)=0, "", (H284+K284+M284))</f>
        <v>25021</v>
      </c>
      <c r="P284" s="15">
        <f>IF(SUM(I284,L284,N284)&lt;&gt;0,SUM(I284,L284,N284),"")</f>
        <v>28774.1</v>
      </c>
      <c r="Q284" s="12"/>
    </row>
    <row r="285" spans="1:17" ht="23.25" customHeight="1" x14ac:dyDescent="0.15">
      <c r="A285" s="13" t="s">
        <v>1381</v>
      </c>
      <c r="B285" s="13" t="s">
        <v>1775</v>
      </c>
      <c r="C285" s="1" t="s">
        <v>1021</v>
      </c>
      <c r="D285" s="12" t="s">
        <v>1003</v>
      </c>
      <c r="E285" s="12" t="s">
        <v>1022</v>
      </c>
      <c r="F285" s="31" t="s">
        <v>999</v>
      </c>
      <c r="G285" s="15">
        <f>일위노임!G117</f>
        <v>0.27600000000000002</v>
      </c>
      <c r="H285" s="15">
        <f>합산자재!H354</f>
        <v>0</v>
      </c>
      <c r="I285" s="53" t="str">
        <f>IF(G285*H285&lt;&gt;0, TRUNC(G285*H285, 1), "")</f>
        <v/>
      </c>
      <c r="J285" s="15">
        <v>0.27600000000000002</v>
      </c>
      <c r="K285" s="15">
        <f>합산자재!I354</f>
        <v>228286</v>
      </c>
      <c r="L285" s="53">
        <f>IF(G285*K285&lt;&gt;0, TRUNC(G285*K285, 1), "")</f>
        <v>63006.9</v>
      </c>
      <c r="M285" s="15">
        <f>합산자재!J354</f>
        <v>0</v>
      </c>
      <c r="N285" s="53" t="str">
        <f>IF(G285*M285&lt;&gt;0, TRUNC(G285*M285, 1), "")</f>
        <v/>
      </c>
      <c r="O285" s="15">
        <f>IF((H285+K285+M285)=0, "", (H285+K285+M285))</f>
        <v>228286</v>
      </c>
      <c r="P285" s="15">
        <f>IF(SUM(I285,L285,N285)&lt;&gt;0,SUM(I285,L285,N285),"")</f>
        <v>63006.9</v>
      </c>
      <c r="Q285" s="12"/>
    </row>
    <row r="286" spans="1:17" ht="23.25" customHeight="1" x14ac:dyDescent="0.15">
      <c r="A286" s="13" t="s">
        <v>2362</v>
      </c>
      <c r="B286" s="13" t="s">
        <v>1775</v>
      </c>
      <c r="C286" s="1" t="s">
        <v>2363</v>
      </c>
      <c r="D286" s="12" t="s">
        <v>2364</v>
      </c>
      <c r="E286" s="12" t="s">
        <v>2365</v>
      </c>
      <c r="F286" s="31" t="s">
        <v>792</v>
      </c>
      <c r="G286" s="15">
        <v>1</v>
      </c>
      <c r="H286" s="15">
        <v>1260.0999999999999</v>
      </c>
      <c r="I286" s="53">
        <f>IF(G286*H286&lt;&gt;0, TRUNC(G286*H286, 1), "")</f>
        <v>1260.0999999999999</v>
      </c>
      <c r="J286" s="15">
        <v>1</v>
      </c>
      <c r="K286" s="15"/>
      <c r="L286" s="53" t="str">
        <f>IF(G286*K286&lt;&gt;0, TRUNC(G286*K286, 1), "")</f>
        <v/>
      </c>
      <c r="M286" s="15"/>
      <c r="N286" s="53" t="str">
        <f>IF(G286*M286&lt;&gt;0, TRUNC(G286*M286, 1), "")</f>
        <v/>
      </c>
      <c r="O286" s="15">
        <f>IF((H286+K286+M286)=0, "", (H286+K286+M286))</f>
        <v>1260.0999999999999</v>
      </c>
      <c r="P286" s="15">
        <f>IF(SUM(I286,L286,N286)&lt;&gt;0,SUM(I286,L286,N286),"")</f>
        <v>1260.0999999999999</v>
      </c>
      <c r="Q286" s="12"/>
    </row>
    <row r="287" spans="1:17" ht="23.25" customHeight="1" x14ac:dyDescent="0.15">
      <c r="B287" s="13" t="s">
        <v>2360</v>
      </c>
      <c r="D287" s="12" t="s">
        <v>2361</v>
      </c>
      <c r="E287" s="12"/>
      <c r="F287" s="31"/>
      <c r="G287" s="15"/>
      <c r="H287" s="15"/>
      <c r="I287" s="53">
        <f>TRUNC(SUM(I283:I286))</f>
        <v>30034</v>
      </c>
      <c r="J287" s="15"/>
      <c r="K287" s="15"/>
      <c r="L287" s="53">
        <f>TRUNC(SUM(L283:L286))</f>
        <v>63006</v>
      </c>
      <c r="M287" s="15"/>
      <c r="N287" s="53">
        <f>TRUNC(SUM(N283:N286))</f>
        <v>0</v>
      </c>
      <c r="O287" s="15" t="str">
        <f>IF((H287+K287+M287)=0, "", (H287+K287+M287))</f>
        <v/>
      </c>
      <c r="P287" s="15">
        <f>IF(SUM(I287,L287,N287)&lt;&gt;0,SUM(I287,L287,N287),"")</f>
        <v>93040</v>
      </c>
      <c r="Q287" s="12"/>
    </row>
    <row r="288" spans="1:17" ht="23.25" customHeight="1" x14ac:dyDescent="0.15">
      <c r="D288" s="12"/>
      <c r="E288" s="12"/>
      <c r="F288" s="31"/>
      <c r="G288" s="15"/>
      <c r="H288" s="15"/>
      <c r="I288" s="53"/>
      <c r="J288" s="15"/>
      <c r="K288" s="15"/>
      <c r="L288" s="53"/>
      <c r="M288" s="15"/>
      <c r="N288" s="53"/>
      <c r="O288" s="15"/>
      <c r="P288" s="15"/>
      <c r="Q288" s="12"/>
    </row>
    <row r="289" spans="1:18" ht="23.25" customHeight="1" x14ac:dyDescent="0.15">
      <c r="A289" s="13" t="s">
        <v>2466</v>
      </c>
      <c r="B289" s="13" t="s">
        <v>2382</v>
      </c>
      <c r="C289" s="1" t="s">
        <v>2467</v>
      </c>
      <c r="D289" s="170" t="s">
        <v>2465</v>
      </c>
      <c r="E289" s="172"/>
      <c r="F289" s="31"/>
      <c r="G289" s="15"/>
      <c r="H289" s="15"/>
      <c r="I289" s="53"/>
      <c r="J289" s="15"/>
      <c r="K289" s="15"/>
      <c r="L289" s="53"/>
      <c r="M289" s="15"/>
      <c r="N289" s="53"/>
      <c r="O289" s="15"/>
      <c r="P289" s="15"/>
      <c r="Q289" s="12"/>
    </row>
    <row r="290" spans="1:18" ht="23.25" customHeight="1" x14ac:dyDescent="0.15">
      <c r="A290" s="13" t="s">
        <v>1199</v>
      </c>
      <c r="B290" s="13" t="s">
        <v>1779</v>
      </c>
      <c r="C290" s="1" t="s">
        <v>651</v>
      </c>
      <c r="D290" s="12" t="s">
        <v>652</v>
      </c>
      <c r="E290" s="12" t="s">
        <v>653</v>
      </c>
      <c r="F290" s="31" t="s">
        <v>654</v>
      </c>
      <c r="G290" s="15">
        <v>3.07</v>
      </c>
      <c r="H290" s="15">
        <f>합산자재!H175</f>
        <v>25021</v>
      </c>
      <c r="I290" s="53">
        <f>IF(G290*H290&lt;&gt;0, TRUNC(G290*H290, 1), "")</f>
        <v>76814.399999999994</v>
      </c>
      <c r="J290" s="15">
        <v>3.07</v>
      </c>
      <c r="K290" s="15">
        <f>합산자재!I175</f>
        <v>0</v>
      </c>
      <c r="L290" s="53" t="str">
        <f>IF(G290*K290&lt;&gt;0, TRUNC(G290*K290, 1), "")</f>
        <v/>
      </c>
      <c r="M290" s="15">
        <f>합산자재!J175</f>
        <v>0</v>
      </c>
      <c r="N290" s="53" t="str">
        <f>IF(G290*M290&lt;&gt;0, TRUNC(G290*M290, 1), "")</f>
        <v/>
      </c>
      <c r="O290" s="15">
        <f>IF((H290+K290+M290)=0, "", (H290+K290+M290))</f>
        <v>25021</v>
      </c>
      <c r="P290" s="15">
        <f>IF(SUM(I290,L290,N290)&lt;&gt;0,SUM(I290,L290,N290),"")</f>
        <v>76814.399999999994</v>
      </c>
      <c r="Q290" s="12"/>
    </row>
    <row r="291" spans="1:18" ht="23.25" customHeight="1" x14ac:dyDescent="0.15">
      <c r="A291" s="13" t="s">
        <v>1381</v>
      </c>
      <c r="B291" s="13" t="s">
        <v>1779</v>
      </c>
      <c r="C291" s="1" t="s">
        <v>1021</v>
      </c>
      <c r="D291" s="12" t="s">
        <v>1003</v>
      </c>
      <c r="E291" s="12" t="s">
        <v>1022</v>
      </c>
      <c r="F291" s="31" t="s">
        <v>999</v>
      </c>
      <c r="G291" s="15">
        <f>일위노임!G120</f>
        <v>0.73680000000000001</v>
      </c>
      <c r="H291" s="15">
        <f>합산자재!H354</f>
        <v>0</v>
      </c>
      <c r="I291" s="53" t="str">
        <f>IF(G291*H291&lt;&gt;0, TRUNC(G291*H291, 1), "")</f>
        <v/>
      </c>
      <c r="J291" s="15">
        <v>0.73680000000000001</v>
      </c>
      <c r="K291" s="15">
        <f>합산자재!I354</f>
        <v>228286</v>
      </c>
      <c r="L291" s="53">
        <f>IF(G291*K291&lt;&gt;0, TRUNC(G291*K291, 1), "")</f>
        <v>168201.1</v>
      </c>
      <c r="M291" s="15">
        <f>합산자재!J354</f>
        <v>0</v>
      </c>
      <c r="N291" s="53" t="str">
        <f>IF(G291*M291&lt;&gt;0, TRUNC(G291*M291, 1), "")</f>
        <v/>
      </c>
      <c r="O291" s="15">
        <f>IF((H291+K291+M291)=0, "", (H291+K291+M291))</f>
        <v>228286</v>
      </c>
      <c r="P291" s="15">
        <f>IF(SUM(I291,L291,N291)&lt;&gt;0,SUM(I291,L291,N291),"")</f>
        <v>168201.1</v>
      </c>
      <c r="Q291" s="12"/>
    </row>
    <row r="292" spans="1:18" ht="23.25" customHeight="1" x14ac:dyDescent="0.15">
      <c r="A292" s="13" t="s">
        <v>2362</v>
      </c>
      <c r="B292" s="13" t="s">
        <v>1779</v>
      </c>
      <c r="C292" s="1" t="s">
        <v>2363</v>
      </c>
      <c r="D292" s="12" t="s">
        <v>2364</v>
      </c>
      <c r="E292" s="12" t="s">
        <v>2365</v>
      </c>
      <c r="F292" s="31" t="s">
        <v>792</v>
      </c>
      <c r="G292" s="15">
        <v>1</v>
      </c>
      <c r="H292" s="15">
        <v>3364</v>
      </c>
      <c r="I292" s="53">
        <f>IF(G292*H292&lt;&gt;0, TRUNC(G292*H292, 1), "")</f>
        <v>3364</v>
      </c>
      <c r="J292" s="15">
        <v>1</v>
      </c>
      <c r="K292" s="15"/>
      <c r="L292" s="53" t="str">
        <f>IF(G292*K292&lt;&gt;0, TRUNC(G292*K292, 1), "")</f>
        <v/>
      </c>
      <c r="M292" s="15"/>
      <c r="N292" s="53" t="str">
        <f>IF(G292*M292&lt;&gt;0, TRUNC(G292*M292, 1), "")</f>
        <v/>
      </c>
      <c r="O292" s="15">
        <f>IF((H292+K292+M292)=0, "", (H292+K292+M292))</f>
        <v>3364</v>
      </c>
      <c r="P292" s="15">
        <f>IF(SUM(I292,L292,N292)&lt;&gt;0,SUM(I292,L292,N292),"")</f>
        <v>3364</v>
      </c>
      <c r="Q292" s="12"/>
    </row>
    <row r="293" spans="1:18" ht="23.25" customHeight="1" x14ac:dyDescent="0.15">
      <c r="B293" s="13" t="s">
        <v>2360</v>
      </c>
      <c r="D293" s="12" t="s">
        <v>2361</v>
      </c>
      <c r="E293" s="12"/>
      <c r="F293" s="31"/>
      <c r="G293" s="15"/>
      <c r="H293" s="15"/>
      <c r="I293" s="53">
        <f>TRUNC(SUM(I289:I292))</f>
        <v>80178</v>
      </c>
      <c r="J293" s="15"/>
      <c r="K293" s="15"/>
      <c r="L293" s="53">
        <f>TRUNC(SUM(L289:L292))</f>
        <v>168201</v>
      </c>
      <c r="M293" s="15"/>
      <c r="N293" s="53">
        <f>TRUNC(SUM(N289:N292))</f>
        <v>0</v>
      </c>
      <c r="O293" s="15" t="str">
        <f>IF((H293+K293+M293)=0, "", (H293+K293+M293))</f>
        <v/>
      </c>
      <c r="P293" s="15">
        <f>IF(SUM(I293,L293,N293)&lt;&gt;0,SUM(I293,L293,N293),"")</f>
        <v>248379</v>
      </c>
      <c r="Q293" s="12"/>
    </row>
    <row r="294" spans="1:18" ht="23.25" customHeight="1" x14ac:dyDescent="0.15">
      <c r="D294" s="12"/>
      <c r="E294" s="12"/>
      <c r="F294" s="31"/>
      <c r="G294" s="15"/>
      <c r="H294" s="15"/>
      <c r="I294" s="53"/>
      <c r="J294" s="15"/>
      <c r="K294" s="15"/>
      <c r="L294" s="53"/>
      <c r="M294" s="15"/>
      <c r="N294" s="53"/>
      <c r="O294" s="15"/>
      <c r="P294" s="15"/>
      <c r="Q294" s="12"/>
    </row>
    <row r="295" spans="1:18" ht="23.25" customHeight="1" x14ac:dyDescent="0.15">
      <c r="A295" s="13" t="s">
        <v>2469</v>
      </c>
      <c r="B295" s="13" t="s">
        <v>2382</v>
      </c>
      <c r="C295" s="1" t="s">
        <v>2470</v>
      </c>
      <c r="D295" s="170" t="s">
        <v>2468</v>
      </c>
      <c r="E295" s="172"/>
      <c r="F295" s="31"/>
      <c r="G295" s="15"/>
      <c r="H295" s="15"/>
      <c r="I295" s="53"/>
      <c r="J295" s="15"/>
      <c r="K295" s="15"/>
      <c r="L295" s="53"/>
      <c r="M295" s="15"/>
      <c r="N295" s="53"/>
      <c r="O295" s="15"/>
      <c r="P295" s="15"/>
      <c r="Q295" s="12"/>
    </row>
    <row r="296" spans="1:18" ht="23.25" customHeight="1" x14ac:dyDescent="0.15">
      <c r="A296" s="13" t="s">
        <v>1028</v>
      </c>
      <c r="B296" s="13" t="s">
        <v>1783</v>
      </c>
      <c r="C296" s="1" t="s">
        <v>163</v>
      </c>
      <c r="D296" s="12" t="s">
        <v>164</v>
      </c>
      <c r="E296" s="12" t="s">
        <v>165</v>
      </c>
      <c r="F296" s="31" t="s">
        <v>166</v>
      </c>
      <c r="G296" s="15">
        <v>1</v>
      </c>
      <c r="H296" s="15">
        <f>합산자재!H4</f>
        <v>294</v>
      </c>
      <c r="I296" s="53">
        <f>IF(G296*H296&lt;&gt;0, TRUNC(G296*H296, 1), "")</f>
        <v>294</v>
      </c>
      <c r="J296" s="15">
        <v>1</v>
      </c>
      <c r="K296" s="15">
        <f>합산자재!I4</f>
        <v>0</v>
      </c>
      <c r="L296" s="53" t="str">
        <f>IF(G296*K296&lt;&gt;0, TRUNC(G296*K296, 1), "")</f>
        <v/>
      </c>
      <c r="M296" s="15">
        <f>합산자재!J4</f>
        <v>0</v>
      </c>
      <c r="N296" s="53" t="str">
        <f>IF(G296*M296&lt;&gt;0, TRUNC(G296*M296, 1), "")</f>
        <v/>
      </c>
      <c r="O296" s="15">
        <f t="shared" ref="O296:O301" si="105">IF((H296+K296+M296)=0, "", (H296+K296+M296))</f>
        <v>294</v>
      </c>
      <c r="P296" s="15">
        <f t="shared" ref="P296:P301" si="106">IF(SUM(I296,L296,N296)&lt;&gt;0,SUM(I296,L296,N296),"")</f>
        <v>294</v>
      </c>
      <c r="Q296" s="12"/>
      <c r="R296" s="2" t="s">
        <v>2366</v>
      </c>
    </row>
    <row r="297" spans="1:18" ht="23.25" customHeight="1" x14ac:dyDescent="0.15">
      <c r="A297" s="13" t="s">
        <v>1028</v>
      </c>
      <c r="B297" s="13" t="s">
        <v>1783</v>
      </c>
      <c r="C297" s="1" t="s">
        <v>163</v>
      </c>
      <c r="D297" s="12" t="s">
        <v>164</v>
      </c>
      <c r="E297" s="12" t="s">
        <v>165</v>
      </c>
      <c r="F297" s="31" t="s">
        <v>166</v>
      </c>
      <c r="G297" s="15">
        <v>0.1</v>
      </c>
      <c r="H297" s="15">
        <f>합산자재!H4</f>
        <v>294</v>
      </c>
      <c r="I297" s="53">
        <f>IF(G297*H297&lt;&gt;0, TRUNC(G297*H297, 1), "")</f>
        <v>29.4</v>
      </c>
      <c r="J297" s="15">
        <v>0.1</v>
      </c>
      <c r="K297" s="15">
        <f>합산자재!I4</f>
        <v>0</v>
      </c>
      <c r="L297" s="53" t="str">
        <f>IF(G297*K297&lt;&gt;0, TRUNC(G297*K297, 1), "")</f>
        <v/>
      </c>
      <c r="M297" s="15">
        <f>합산자재!J4</f>
        <v>0</v>
      </c>
      <c r="N297" s="53" t="str">
        <f>IF(G297*M297&lt;&gt;0, TRUNC(G297*M297, 1), "")</f>
        <v/>
      </c>
      <c r="O297" s="15">
        <f t="shared" si="105"/>
        <v>294</v>
      </c>
      <c r="P297" s="15">
        <f t="shared" si="106"/>
        <v>29.4</v>
      </c>
      <c r="Q297" s="12"/>
      <c r="R297" s="2" t="s">
        <v>2366</v>
      </c>
    </row>
    <row r="298" spans="1:18" ht="23.25" customHeight="1" x14ac:dyDescent="0.15">
      <c r="A298" s="13" t="s">
        <v>2367</v>
      </c>
      <c r="B298" s="13" t="s">
        <v>1783</v>
      </c>
      <c r="C298" s="1" t="s">
        <v>2368</v>
      </c>
      <c r="D298" s="12" t="s">
        <v>2369</v>
      </c>
      <c r="E298" s="12" t="s">
        <v>2370</v>
      </c>
      <c r="F298" s="31" t="s">
        <v>792</v>
      </c>
      <c r="G298" s="15">
        <v>1</v>
      </c>
      <c r="H298" s="15">
        <v>44.1</v>
      </c>
      <c r="I298" s="53">
        <f>IF(G298*H298&lt;&gt;0, TRUNC(G298*H298, 1), "")</f>
        <v>44.1</v>
      </c>
      <c r="J298" s="15">
        <v>1</v>
      </c>
      <c r="K298" s="15"/>
      <c r="L298" s="53" t="str">
        <f>IF(G298*K298&lt;&gt;0, TRUNC(G298*K298, 1), "")</f>
        <v/>
      </c>
      <c r="M298" s="15"/>
      <c r="N298" s="53" t="str">
        <f>IF(G298*M298&lt;&gt;0, TRUNC(G298*M298, 1), "")</f>
        <v/>
      </c>
      <c r="O298" s="15">
        <f t="shared" si="105"/>
        <v>44.1</v>
      </c>
      <c r="P298" s="15">
        <f t="shared" si="106"/>
        <v>44.1</v>
      </c>
      <c r="Q298" s="12"/>
    </row>
    <row r="299" spans="1:18" ht="23.25" customHeight="1" x14ac:dyDescent="0.15">
      <c r="A299" s="13" t="s">
        <v>1372</v>
      </c>
      <c r="B299" s="13" t="s">
        <v>1783</v>
      </c>
      <c r="C299" s="1" t="s">
        <v>1002</v>
      </c>
      <c r="D299" s="12" t="s">
        <v>1003</v>
      </c>
      <c r="E299" s="12" t="s">
        <v>1004</v>
      </c>
      <c r="F299" s="31" t="s">
        <v>999</v>
      </c>
      <c r="G299" s="15">
        <f>일위노임!G123</f>
        <v>4.4999999999999998E-2</v>
      </c>
      <c r="H299" s="15">
        <f>합산자재!H345</f>
        <v>0</v>
      </c>
      <c r="I299" s="53" t="str">
        <f>IF(G299*H299&lt;&gt;0, TRUNC(G299*H299, 1), "")</f>
        <v/>
      </c>
      <c r="J299" s="15">
        <v>4.4999999999999998E-2</v>
      </c>
      <c r="K299" s="15">
        <f>합산자재!I345</f>
        <v>273676</v>
      </c>
      <c r="L299" s="53">
        <f>IF(G299*K299&lt;&gt;0, TRUNC(G299*K299, 1), "")</f>
        <v>12315.4</v>
      </c>
      <c r="M299" s="15">
        <f>합산자재!J345</f>
        <v>0</v>
      </c>
      <c r="N299" s="53" t="str">
        <f>IF(G299*M299&lt;&gt;0, TRUNC(G299*M299, 1), "")</f>
        <v/>
      </c>
      <c r="O299" s="15">
        <f t="shared" si="105"/>
        <v>273676</v>
      </c>
      <c r="P299" s="15">
        <f t="shared" si="106"/>
        <v>12315.4</v>
      </c>
      <c r="Q299" s="12"/>
    </row>
    <row r="300" spans="1:18" ht="23.25" customHeight="1" x14ac:dyDescent="0.15">
      <c r="A300" s="13" t="s">
        <v>2362</v>
      </c>
      <c r="B300" s="13" t="s">
        <v>1783</v>
      </c>
      <c r="C300" s="1" t="s">
        <v>2363</v>
      </c>
      <c r="D300" s="12" t="s">
        <v>2364</v>
      </c>
      <c r="E300" s="12" t="s">
        <v>2365</v>
      </c>
      <c r="F300" s="31" t="s">
        <v>792</v>
      </c>
      <c r="G300" s="15">
        <v>1</v>
      </c>
      <c r="H300" s="15">
        <v>246.3</v>
      </c>
      <c r="I300" s="53">
        <f>IF(G300*H300&lt;&gt;0, TRUNC(G300*H300, 1), "")</f>
        <v>246.3</v>
      </c>
      <c r="J300" s="15">
        <v>1</v>
      </c>
      <c r="K300" s="15"/>
      <c r="L300" s="53" t="str">
        <f>IF(G300*K300&lt;&gt;0, TRUNC(G300*K300, 1), "")</f>
        <v/>
      </c>
      <c r="M300" s="15"/>
      <c r="N300" s="53" t="str">
        <f>IF(G300*M300&lt;&gt;0, TRUNC(G300*M300, 1), "")</f>
        <v/>
      </c>
      <c r="O300" s="15">
        <f t="shared" si="105"/>
        <v>246.3</v>
      </c>
      <c r="P300" s="15">
        <f t="shared" si="106"/>
        <v>246.3</v>
      </c>
      <c r="Q300" s="12"/>
    </row>
    <row r="301" spans="1:18" ht="23.25" customHeight="1" x14ac:dyDescent="0.15">
      <c r="B301" s="13" t="s">
        <v>2360</v>
      </c>
      <c r="D301" s="12" t="s">
        <v>2361</v>
      </c>
      <c r="E301" s="12"/>
      <c r="F301" s="31"/>
      <c r="G301" s="15"/>
      <c r="H301" s="15"/>
      <c r="I301" s="53">
        <f>TRUNC(SUM(I295:I300))</f>
        <v>613</v>
      </c>
      <c r="J301" s="15"/>
      <c r="K301" s="15"/>
      <c r="L301" s="53">
        <f>TRUNC(SUM(L295:L300))</f>
        <v>12315</v>
      </c>
      <c r="M301" s="15"/>
      <c r="N301" s="53">
        <f>TRUNC(SUM(N295:N300))</f>
        <v>0</v>
      </c>
      <c r="O301" s="15" t="str">
        <f t="shared" si="105"/>
        <v/>
      </c>
      <c r="P301" s="15">
        <f t="shared" si="106"/>
        <v>12928</v>
      </c>
      <c r="Q301" s="12"/>
    </row>
    <row r="302" spans="1:18" ht="23.25" customHeight="1" x14ac:dyDescent="0.15">
      <c r="D302" s="12"/>
      <c r="E302" s="12"/>
      <c r="F302" s="31"/>
      <c r="G302" s="15"/>
      <c r="H302" s="15"/>
      <c r="I302" s="53"/>
      <c r="J302" s="15"/>
      <c r="K302" s="15"/>
      <c r="L302" s="53"/>
      <c r="M302" s="15"/>
      <c r="N302" s="53"/>
      <c r="O302" s="15"/>
      <c r="P302" s="15"/>
      <c r="Q302" s="12"/>
    </row>
    <row r="303" spans="1:18" ht="23.25" customHeight="1" x14ac:dyDescent="0.15">
      <c r="A303" s="13" t="s">
        <v>2472</v>
      </c>
      <c r="B303" s="13" t="s">
        <v>2382</v>
      </c>
      <c r="C303" s="1" t="s">
        <v>2473</v>
      </c>
      <c r="D303" s="170" t="s">
        <v>2471</v>
      </c>
      <c r="E303" s="172"/>
      <c r="F303" s="31"/>
      <c r="G303" s="15"/>
      <c r="H303" s="15"/>
      <c r="I303" s="53"/>
      <c r="J303" s="15"/>
      <c r="K303" s="15"/>
      <c r="L303" s="53"/>
      <c r="M303" s="15"/>
      <c r="N303" s="53"/>
      <c r="O303" s="15"/>
      <c r="P303" s="15"/>
      <c r="Q303" s="12"/>
    </row>
    <row r="304" spans="1:18" ht="23.25" customHeight="1" x14ac:dyDescent="0.15">
      <c r="A304" s="13" t="s">
        <v>1029</v>
      </c>
      <c r="B304" s="13" t="s">
        <v>1786</v>
      </c>
      <c r="C304" s="1" t="s">
        <v>171</v>
      </c>
      <c r="D304" s="12" t="s">
        <v>164</v>
      </c>
      <c r="E304" s="12" t="s">
        <v>172</v>
      </c>
      <c r="F304" s="31" t="s">
        <v>166</v>
      </c>
      <c r="G304" s="15">
        <v>1</v>
      </c>
      <c r="H304" s="15">
        <f>합산자재!H5</f>
        <v>700</v>
      </c>
      <c r="I304" s="53">
        <f>IF(G304*H304&lt;&gt;0, TRUNC(G304*H304, 1), "")</f>
        <v>700</v>
      </c>
      <c r="J304" s="15">
        <v>1</v>
      </c>
      <c r="K304" s="15">
        <f>합산자재!I5</f>
        <v>0</v>
      </c>
      <c r="L304" s="53" t="str">
        <f>IF(G304*K304&lt;&gt;0, TRUNC(G304*K304, 1), "")</f>
        <v/>
      </c>
      <c r="M304" s="15">
        <f>합산자재!J5</f>
        <v>0</v>
      </c>
      <c r="N304" s="53" t="str">
        <f>IF(G304*M304&lt;&gt;0, TRUNC(G304*M304, 1), "")</f>
        <v/>
      </c>
      <c r="O304" s="15">
        <f t="shared" ref="O304:O309" si="107">IF((H304+K304+M304)=0, "", (H304+K304+M304))</f>
        <v>700</v>
      </c>
      <c r="P304" s="15">
        <f t="shared" ref="P304:P309" si="108">IF(SUM(I304,L304,N304)&lt;&gt;0,SUM(I304,L304,N304),"")</f>
        <v>700</v>
      </c>
      <c r="Q304" s="12"/>
      <c r="R304" s="2" t="s">
        <v>2366</v>
      </c>
    </row>
    <row r="305" spans="1:18" ht="23.25" customHeight="1" x14ac:dyDescent="0.15">
      <c r="A305" s="13" t="s">
        <v>1029</v>
      </c>
      <c r="B305" s="13" t="s">
        <v>1786</v>
      </c>
      <c r="C305" s="1" t="s">
        <v>171</v>
      </c>
      <c r="D305" s="12" t="s">
        <v>164</v>
      </c>
      <c r="E305" s="12" t="s">
        <v>172</v>
      </c>
      <c r="F305" s="31" t="s">
        <v>166</v>
      </c>
      <c r="G305" s="15">
        <v>0.1</v>
      </c>
      <c r="H305" s="15">
        <f>합산자재!H5</f>
        <v>700</v>
      </c>
      <c r="I305" s="53">
        <f>IF(G305*H305&lt;&gt;0, TRUNC(G305*H305, 1), "")</f>
        <v>70</v>
      </c>
      <c r="J305" s="15">
        <v>0.1</v>
      </c>
      <c r="K305" s="15">
        <f>합산자재!I5</f>
        <v>0</v>
      </c>
      <c r="L305" s="53" t="str">
        <f>IF(G305*K305&lt;&gt;0, TRUNC(G305*K305, 1), "")</f>
        <v/>
      </c>
      <c r="M305" s="15">
        <f>합산자재!J5</f>
        <v>0</v>
      </c>
      <c r="N305" s="53" t="str">
        <f>IF(G305*M305&lt;&gt;0, TRUNC(G305*M305, 1), "")</f>
        <v/>
      </c>
      <c r="O305" s="15">
        <f t="shared" si="107"/>
        <v>700</v>
      </c>
      <c r="P305" s="15">
        <f t="shared" si="108"/>
        <v>70</v>
      </c>
      <c r="Q305" s="12"/>
      <c r="R305" s="2" t="s">
        <v>2366</v>
      </c>
    </row>
    <row r="306" spans="1:18" ht="23.25" customHeight="1" x14ac:dyDescent="0.15">
      <c r="A306" s="13" t="s">
        <v>2367</v>
      </c>
      <c r="B306" s="13" t="s">
        <v>1786</v>
      </c>
      <c r="C306" s="1" t="s">
        <v>2368</v>
      </c>
      <c r="D306" s="12" t="s">
        <v>2369</v>
      </c>
      <c r="E306" s="12" t="s">
        <v>2370</v>
      </c>
      <c r="F306" s="31" t="s">
        <v>792</v>
      </c>
      <c r="G306" s="15">
        <v>1</v>
      </c>
      <c r="H306" s="15">
        <v>105</v>
      </c>
      <c r="I306" s="53">
        <f>IF(G306*H306&lt;&gt;0, TRUNC(G306*H306, 1), "")</f>
        <v>105</v>
      </c>
      <c r="J306" s="15">
        <v>1</v>
      </c>
      <c r="K306" s="15"/>
      <c r="L306" s="53" t="str">
        <f>IF(G306*K306&lt;&gt;0, TRUNC(G306*K306, 1), "")</f>
        <v/>
      </c>
      <c r="M306" s="15"/>
      <c r="N306" s="53" t="str">
        <f>IF(G306*M306&lt;&gt;0, TRUNC(G306*M306, 1), "")</f>
        <v/>
      </c>
      <c r="O306" s="15">
        <f t="shared" si="107"/>
        <v>105</v>
      </c>
      <c r="P306" s="15">
        <f t="shared" si="108"/>
        <v>105</v>
      </c>
      <c r="Q306" s="12"/>
    </row>
    <row r="307" spans="1:18" ht="23.25" customHeight="1" x14ac:dyDescent="0.15">
      <c r="A307" s="13" t="s">
        <v>1372</v>
      </c>
      <c r="B307" s="13" t="s">
        <v>1786</v>
      </c>
      <c r="C307" s="1" t="s">
        <v>1002</v>
      </c>
      <c r="D307" s="12" t="s">
        <v>1003</v>
      </c>
      <c r="E307" s="12" t="s">
        <v>1004</v>
      </c>
      <c r="F307" s="31" t="s">
        <v>999</v>
      </c>
      <c r="G307" s="15">
        <f>일위노임!G126</f>
        <v>7.1999999999999995E-2</v>
      </c>
      <c r="H307" s="15">
        <f>합산자재!H345</f>
        <v>0</v>
      </c>
      <c r="I307" s="53" t="str">
        <f>IF(G307*H307&lt;&gt;0, TRUNC(G307*H307, 1), "")</f>
        <v/>
      </c>
      <c r="J307" s="15">
        <v>7.1999999999999995E-2</v>
      </c>
      <c r="K307" s="15">
        <f>합산자재!I345</f>
        <v>273676</v>
      </c>
      <c r="L307" s="53">
        <f>IF(G307*K307&lt;&gt;0, TRUNC(G307*K307, 1), "")</f>
        <v>19704.599999999999</v>
      </c>
      <c r="M307" s="15">
        <f>합산자재!J345</f>
        <v>0</v>
      </c>
      <c r="N307" s="53" t="str">
        <f>IF(G307*M307&lt;&gt;0, TRUNC(G307*M307, 1), "")</f>
        <v/>
      </c>
      <c r="O307" s="15">
        <f t="shared" si="107"/>
        <v>273676</v>
      </c>
      <c r="P307" s="15">
        <f t="shared" si="108"/>
        <v>19704.599999999999</v>
      </c>
      <c r="Q307" s="12"/>
    </row>
    <row r="308" spans="1:18" ht="23.25" customHeight="1" x14ac:dyDescent="0.15">
      <c r="A308" s="13" t="s">
        <v>2362</v>
      </c>
      <c r="B308" s="13" t="s">
        <v>1786</v>
      </c>
      <c r="C308" s="1" t="s">
        <v>2363</v>
      </c>
      <c r="D308" s="12" t="s">
        <v>2364</v>
      </c>
      <c r="E308" s="12" t="s">
        <v>2365</v>
      </c>
      <c r="F308" s="31" t="s">
        <v>792</v>
      </c>
      <c r="G308" s="15">
        <v>1</v>
      </c>
      <c r="H308" s="15">
        <v>394</v>
      </c>
      <c r="I308" s="53">
        <f>IF(G308*H308&lt;&gt;0, TRUNC(G308*H308, 1), "")</f>
        <v>394</v>
      </c>
      <c r="J308" s="15">
        <v>1</v>
      </c>
      <c r="K308" s="15"/>
      <c r="L308" s="53" t="str">
        <f>IF(G308*K308&lt;&gt;0, TRUNC(G308*K308, 1), "")</f>
        <v/>
      </c>
      <c r="M308" s="15"/>
      <c r="N308" s="53" t="str">
        <f>IF(G308*M308&lt;&gt;0, TRUNC(G308*M308, 1), "")</f>
        <v/>
      </c>
      <c r="O308" s="15">
        <f t="shared" si="107"/>
        <v>394</v>
      </c>
      <c r="P308" s="15">
        <f t="shared" si="108"/>
        <v>394</v>
      </c>
      <c r="Q308" s="12"/>
    </row>
    <row r="309" spans="1:18" ht="23.25" customHeight="1" x14ac:dyDescent="0.15">
      <c r="B309" s="13" t="s">
        <v>2360</v>
      </c>
      <c r="D309" s="12" t="s">
        <v>2361</v>
      </c>
      <c r="E309" s="12"/>
      <c r="F309" s="31"/>
      <c r="G309" s="15"/>
      <c r="H309" s="15"/>
      <c r="I309" s="53">
        <f>TRUNC(SUM(I303:I308))</f>
        <v>1269</v>
      </c>
      <c r="J309" s="15"/>
      <c r="K309" s="15"/>
      <c r="L309" s="53">
        <f>TRUNC(SUM(L303:L308))</f>
        <v>19704</v>
      </c>
      <c r="M309" s="15"/>
      <c r="N309" s="53">
        <f>TRUNC(SUM(N303:N308))</f>
        <v>0</v>
      </c>
      <c r="O309" s="15" t="str">
        <f t="shared" si="107"/>
        <v/>
      </c>
      <c r="P309" s="15">
        <f t="shared" si="108"/>
        <v>20973</v>
      </c>
      <c r="Q309" s="12"/>
    </row>
    <row r="310" spans="1:18" ht="23.25" customHeight="1" x14ac:dyDescent="0.15">
      <c r="D310" s="12"/>
      <c r="E310" s="12"/>
      <c r="F310" s="31"/>
      <c r="G310" s="15"/>
      <c r="H310" s="15"/>
      <c r="I310" s="53"/>
      <c r="J310" s="15"/>
      <c r="K310" s="15"/>
      <c r="L310" s="53"/>
      <c r="M310" s="15"/>
      <c r="N310" s="53"/>
      <c r="O310" s="15"/>
      <c r="P310" s="15"/>
      <c r="Q310" s="12"/>
    </row>
    <row r="311" spans="1:18" ht="23.25" customHeight="1" x14ac:dyDescent="0.15">
      <c r="A311" s="13" t="s">
        <v>2475</v>
      </c>
      <c r="B311" s="13" t="s">
        <v>2382</v>
      </c>
      <c r="C311" s="1" t="s">
        <v>2476</v>
      </c>
      <c r="D311" s="170" t="s">
        <v>2474</v>
      </c>
      <c r="E311" s="172"/>
      <c r="F311" s="31"/>
      <c r="G311" s="15"/>
      <c r="H311" s="15"/>
      <c r="I311" s="53"/>
      <c r="J311" s="15"/>
      <c r="K311" s="15"/>
      <c r="L311" s="53"/>
      <c r="M311" s="15"/>
      <c r="N311" s="53"/>
      <c r="O311" s="15"/>
      <c r="P311" s="15"/>
      <c r="Q311" s="12"/>
    </row>
    <row r="312" spans="1:18" ht="23.25" customHeight="1" x14ac:dyDescent="0.15">
      <c r="A312" s="13" t="s">
        <v>1030</v>
      </c>
      <c r="B312" s="13" t="s">
        <v>1789</v>
      </c>
      <c r="C312" s="1" t="s">
        <v>173</v>
      </c>
      <c r="D312" s="12" t="s">
        <v>164</v>
      </c>
      <c r="E312" s="12" t="s">
        <v>174</v>
      </c>
      <c r="F312" s="31" t="s">
        <v>166</v>
      </c>
      <c r="G312" s="15">
        <v>1</v>
      </c>
      <c r="H312" s="15">
        <f>합산자재!H6</f>
        <v>1007</v>
      </c>
      <c r="I312" s="53">
        <f>IF(G312*H312&lt;&gt;0, TRUNC(G312*H312, 1), "")</f>
        <v>1007</v>
      </c>
      <c r="J312" s="15">
        <v>1</v>
      </c>
      <c r="K312" s="15">
        <f>합산자재!I6</f>
        <v>0</v>
      </c>
      <c r="L312" s="53" t="str">
        <f>IF(G312*K312&lt;&gt;0, TRUNC(G312*K312, 1), "")</f>
        <v/>
      </c>
      <c r="M312" s="15">
        <f>합산자재!J6</f>
        <v>0</v>
      </c>
      <c r="N312" s="53" t="str">
        <f>IF(G312*M312&lt;&gt;0, TRUNC(G312*M312, 1), "")</f>
        <v/>
      </c>
      <c r="O312" s="15">
        <f t="shared" ref="O312:O317" si="109">IF((H312+K312+M312)=0, "", (H312+K312+M312))</f>
        <v>1007</v>
      </c>
      <c r="P312" s="15">
        <f t="shared" ref="P312:P317" si="110">IF(SUM(I312,L312,N312)&lt;&gt;0,SUM(I312,L312,N312),"")</f>
        <v>1007</v>
      </c>
      <c r="Q312" s="12"/>
      <c r="R312" s="2" t="s">
        <v>2366</v>
      </c>
    </row>
    <row r="313" spans="1:18" ht="23.25" customHeight="1" x14ac:dyDescent="0.15">
      <c r="A313" s="13" t="s">
        <v>1030</v>
      </c>
      <c r="B313" s="13" t="s">
        <v>1789</v>
      </c>
      <c r="C313" s="1" t="s">
        <v>173</v>
      </c>
      <c r="D313" s="12" t="s">
        <v>164</v>
      </c>
      <c r="E313" s="12" t="s">
        <v>174</v>
      </c>
      <c r="F313" s="31" t="s">
        <v>166</v>
      </c>
      <c r="G313" s="15">
        <v>0.1</v>
      </c>
      <c r="H313" s="15">
        <f>합산자재!H6</f>
        <v>1007</v>
      </c>
      <c r="I313" s="53">
        <f>IF(G313*H313&lt;&gt;0, TRUNC(G313*H313, 1), "")</f>
        <v>100.7</v>
      </c>
      <c r="J313" s="15">
        <v>0.1</v>
      </c>
      <c r="K313" s="15">
        <f>합산자재!I6</f>
        <v>0</v>
      </c>
      <c r="L313" s="53" t="str">
        <f>IF(G313*K313&lt;&gt;0, TRUNC(G313*K313, 1), "")</f>
        <v/>
      </c>
      <c r="M313" s="15">
        <f>합산자재!J6</f>
        <v>0</v>
      </c>
      <c r="N313" s="53" t="str">
        <f>IF(G313*M313&lt;&gt;0, TRUNC(G313*M313, 1), "")</f>
        <v/>
      </c>
      <c r="O313" s="15">
        <f t="shared" si="109"/>
        <v>1007</v>
      </c>
      <c r="P313" s="15">
        <f t="shared" si="110"/>
        <v>100.7</v>
      </c>
      <c r="Q313" s="12"/>
      <c r="R313" s="2" t="s">
        <v>2366</v>
      </c>
    </row>
    <row r="314" spans="1:18" ht="23.25" customHeight="1" x14ac:dyDescent="0.15">
      <c r="A314" s="13" t="s">
        <v>2367</v>
      </c>
      <c r="B314" s="13" t="s">
        <v>1789</v>
      </c>
      <c r="C314" s="1" t="s">
        <v>2368</v>
      </c>
      <c r="D314" s="12" t="s">
        <v>2369</v>
      </c>
      <c r="E314" s="12" t="s">
        <v>2370</v>
      </c>
      <c r="F314" s="31" t="s">
        <v>792</v>
      </c>
      <c r="G314" s="15">
        <v>1</v>
      </c>
      <c r="H314" s="15">
        <v>151</v>
      </c>
      <c r="I314" s="53">
        <f>IF(G314*H314&lt;&gt;0, TRUNC(G314*H314, 1), "")</f>
        <v>151</v>
      </c>
      <c r="J314" s="15">
        <v>1</v>
      </c>
      <c r="K314" s="15"/>
      <c r="L314" s="53" t="str">
        <f>IF(G314*K314&lt;&gt;0, TRUNC(G314*K314, 1), "")</f>
        <v/>
      </c>
      <c r="M314" s="15"/>
      <c r="N314" s="53" t="str">
        <f>IF(G314*M314&lt;&gt;0, TRUNC(G314*M314, 1), "")</f>
        <v/>
      </c>
      <c r="O314" s="15">
        <f t="shared" si="109"/>
        <v>151</v>
      </c>
      <c r="P314" s="15">
        <f t="shared" si="110"/>
        <v>151</v>
      </c>
      <c r="Q314" s="12"/>
    </row>
    <row r="315" spans="1:18" ht="23.25" customHeight="1" x14ac:dyDescent="0.15">
      <c r="A315" s="13" t="s">
        <v>1372</v>
      </c>
      <c r="B315" s="13" t="s">
        <v>1789</v>
      </c>
      <c r="C315" s="1" t="s">
        <v>1002</v>
      </c>
      <c r="D315" s="12" t="s">
        <v>1003</v>
      </c>
      <c r="E315" s="12" t="s">
        <v>1004</v>
      </c>
      <c r="F315" s="31" t="s">
        <v>999</v>
      </c>
      <c r="G315" s="15">
        <f>일위노임!G129</f>
        <v>0.09</v>
      </c>
      <c r="H315" s="15">
        <f>합산자재!H345</f>
        <v>0</v>
      </c>
      <c r="I315" s="53" t="str">
        <f>IF(G315*H315&lt;&gt;0, TRUNC(G315*H315, 1), "")</f>
        <v/>
      </c>
      <c r="J315" s="15">
        <v>0.09</v>
      </c>
      <c r="K315" s="15">
        <f>합산자재!I345</f>
        <v>273676</v>
      </c>
      <c r="L315" s="53">
        <f>IF(G315*K315&lt;&gt;0, TRUNC(G315*K315, 1), "")</f>
        <v>24630.799999999999</v>
      </c>
      <c r="M315" s="15">
        <f>합산자재!J345</f>
        <v>0</v>
      </c>
      <c r="N315" s="53" t="str">
        <f>IF(G315*M315&lt;&gt;0, TRUNC(G315*M315, 1), "")</f>
        <v/>
      </c>
      <c r="O315" s="15">
        <f t="shared" si="109"/>
        <v>273676</v>
      </c>
      <c r="P315" s="15">
        <f t="shared" si="110"/>
        <v>24630.799999999999</v>
      </c>
      <c r="Q315" s="12"/>
    </row>
    <row r="316" spans="1:18" ht="23.25" customHeight="1" x14ac:dyDescent="0.15">
      <c r="A316" s="13" t="s">
        <v>2362</v>
      </c>
      <c r="B316" s="13" t="s">
        <v>1789</v>
      </c>
      <c r="C316" s="1" t="s">
        <v>2363</v>
      </c>
      <c r="D316" s="12" t="s">
        <v>2364</v>
      </c>
      <c r="E316" s="12" t="s">
        <v>2365</v>
      </c>
      <c r="F316" s="31" t="s">
        <v>792</v>
      </c>
      <c r="G316" s="15">
        <v>1</v>
      </c>
      <c r="H316" s="15">
        <v>492.6</v>
      </c>
      <c r="I316" s="53">
        <f>IF(G316*H316&lt;&gt;0, TRUNC(G316*H316, 1), "")</f>
        <v>492.6</v>
      </c>
      <c r="J316" s="15">
        <v>1</v>
      </c>
      <c r="K316" s="15"/>
      <c r="L316" s="53" t="str">
        <f>IF(G316*K316&lt;&gt;0, TRUNC(G316*K316, 1), "")</f>
        <v/>
      </c>
      <c r="M316" s="15"/>
      <c r="N316" s="53" t="str">
        <f>IF(G316*M316&lt;&gt;0, TRUNC(G316*M316, 1), "")</f>
        <v/>
      </c>
      <c r="O316" s="15">
        <f t="shared" si="109"/>
        <v>492.6</v>
      </c>
      <c r="P316" s="15">
        <f t="shared" si="110"/>
        <v>492.6</v>
      </c>
      <c r="Q316" s="12"/>
    </row>
    <row r="317" spans="1:18" ht="23.25" customHeight="1" x14ac:dyDescent="0.15">
      <c r="B317" s="13" t="s">
        <v>2360</v>
      </c>
      <c r="D317" s="12" t="s">
        <v>2361</v>
      </c>
      <c r="E317" s="12"/>
      <c r="F317" s="31"/>
      <c r="G317" s="15"/>
      <c r="H317" s="15"/>
      <c r="I317" s="53">
        <f>TRUNC(SUM(I311:I316))</f>
        <v>1751</v>
      </c>
      <c r="J317" s="15"/>
      <c r="K317" s="15"/>
      <c r="L317" s="53">
        <f>TRUNC(SUM(L311:L316))</f>
        <v>24630</v>
      </c>
      <c r="M317" s="15"/>
      <c r="N317" s="53">
        <f>TRUNC(SUM(N311:N316))</f>
        <v>0</v>
      </c>
      <c r="O317" s="15" t="str">
        <f t="shared" si="109"/>
        <v/>
      </c>
      <c r="P317" s="15">
        <f t="shared" si="110"/>
        <v>26381</v>
      </c>
      <c r="Q317" s="12"/>
    </row>
    <row r="318" spans="1:18" ht="23.25" customHeight="1" x14ac:dyDescent="0.15">
      <c r="D318" s="12"/>
      <c r="E318" s="12"/>
      <c r="F318" s="31"/>
      <c r="G318" s="15"/>
      <c r="H318" s="15"/>
      <c r="I318" s="53"/>
      <c r="J318" s="15"/>
      <c r="K318" s="15"/>
      <c r="L318" s="53"/>
      <c r="M318" s="15"/>
      <c r="N318" s="53"/>
      <c r="O318" s="15"/>
      <c r="P318" s="15"/>
      <c r="Q318" s="12"/>
    </row>
    <row r="319" spans="1:18" ht="23.25" customHeight="1" x14ac:dyDescent="0.15">
      <c r="A319" s="13" t="s">
        <v>2478</v>
      </c>
      <c r="B319" s="13" t="s">
        <v>2382</v>
      </c>
      <c r="C319" s="1" t="s">
        <v>2479</v>
      </c>
      <c r="D319" s="170" t="s">
        <v>2477</v>
      </c>
      <c r="E319" s="172"/>
      <c r="F319" s="31"/>
      <c r="G319" s="15"/>
      <c r="H319" s="15"/>
      <c r="I319" s="53"/>
      <c r="J319" s="15"/>
      <c r="K319" s="15"/>
      <c r="L319" s="53"/>
      <c r="M319" s="15"/>
      <c r="N319" s="53"/>
      <c r="O319" s="15"/>
      <c r="P319" s="15"/>
      <c r="Q319" s="12"/>
    </row>
    <row r="320" spans="1:18" ht="23.25" customHeight="1" x14ac:dyDescent="0.15">
      <c r="A320" s="13" t="s">
        <v>1031</v>
      </c>
      <c r="B320" s="13" t="s">
        <v>1792</v>
      </c>
      <c r="C320" s="1" t="s">
        <v>175</v>
      </c>
      <c r="D320" s="12" t="s">
        <v>164</v>
      </c>
      <c r="E320" s="12" t="s">
        <v>176</v>
      </c>
      <c r="F320" s="31" t="s">
        <v>166</v>
      </c>
      <c r="G320" s="15">
        <v>1</v>
      </c>
      <c r="H320" s="15">
        <f>합산자재!H7</f>
        <v>1245</v>
      </c>
      <c r="I320" s="53">
        <f>IF(G320*H320&lt;&gt;0, TRUNC(G320*H320, 1), "")</f>
        <v>1245</v>
      </c>
      <c r="J320" s="15">
        <v>1</v>
      </c>
      <c r="K320" s="15">
        <f>합산자재!I7</f>
        <v>0</v>
      </c>
      <c r="L320" s="53" t="str">
        <f>IF(G320*K320&lt;&gt;0, TRUNC(G320*K320, 1), "")</f>
        <v/>
      </c>
      <c r="M320" s="15">
        <f>합산자재!J7</f>
        <v>0</v>
      </c>
      <c r="N320" s="53" t="str">
        <f>IF(G320*M320&lt;&gt;0, TRUNC(G320*M320, 1), "")</f>
        <v/>
      </c>
      <c r="O320" s="15">
        <f t="shared" ref="O320:O325" si="111">IF((H320+K320+M320)=0, "", (H320+K320+M320))</f>
        <v>1245</v>
      </c>
      <c r="P320" s="15">
        <f t="shared" ref="P320:P325" si="112">IF(SUM(I320,L320,N320)&lt;&gt;0,SUM(I320,L320,N320),"")</f>
        <v>1245</v>
      </c>
      <c r="Q320" s="12"/>
      <c r="R320" s="2" t="s">
        <v>2366</v>
      </c>
    </row>
    <row r="321" spans="1:18" ht="23.25" customHeight="1" x14ac:dyDescent="0.15">
      <c r="A321" s="13" t="s">
        <v>1031</v>
      </c>
      <c r="B321" s="13" t="s">
        <v>1792</v>
      </c>
      <c r="C321" s="1" t="s">
        <v>175</v>
      </c>
      <c r="D321" s="12" t="s">
        <v>164</v>
      </c>
      <c r="E321" s="12" t="s">
        <v>176</v>
      </c>
      <c r="F321" s="31" t="s">
        <v>166</v>
      </c>
      <c r="G321" s="15">
        <v>0.1</v>
      </c>
      <c r="H321" s="15">
        <f>합산자재!H7</f>
        <v>1245</v>
      </c>
      <c r="I321" s="53">
        <f>IF(G321*H321&lt;&gt;0, TRUNC(G321*H321, 1), "")</f>
        <v>124.5</v>
      </c>
      <c r="J321" s="15">
        <v>0.1</v>
      </c>
      <c r="K321" s="15">
        <f>합산자재!I7</f>
        <v>0</v>
      </c>
      <c r="L321" s="53" t="str">
        <f>IF(G321*K321&lt;&gt;0, TRUNC(G321*K321, 1), "")</f>
        <v/>
      </c>
      <c r="M321" s="15">
        <f>합산자재!J7</f>
        <v>0</v>
      </c>
      <c r="N321" s="53" t="str">
        <f>IF(G321*M321&lt;&gt;0, TRUNC(G321*M321, 1), "")</f>
        <v/>
      </c>
      <c r="O321" s="15">
        <f t="shared" si="111"/>
        <v>1245</v>
      </c>
      <c r="P321" s="15">
        <f t="shared" si="112"/>
        <v>124.5</v>
      </c>
      <c r="Q321" s="12"/>
      <c r="R321" s="2" t="s">
        <v>2366</v>
      </c>
    </row>
    <row r="322" spans="1:18" ht="23.25" customHeight="1" x14ac:dyDescent="0.15">
      <c r="A322" s="13" t="s">
        <v>2367</v>
      </c>
      <c r="B322" s="13" t="s">
        <v>1792</v>
      </c>
      <c r="C322" s="1" t="s">
        <v>2368</v>
      </c>
      <c r="D322" s="12" t="s">
        <v>2369</v>
      </c>
      <c r="E322" s="12" t="s">
        <v>2370</v>
      </c>
      <c r="F322" s="31" t="s">
        <v>792</v>
      </c>
      <c r="G322" s="15">
        <v>1</v>
      </c>
      <c r="H322" s="15">
        <v>186.7</v>
      </c>
      <c r="I322" s="53">
        <f>IF(G322*H322&lt;&gt;0, TRUNC(G322*H322, 1), "")</f>
        <v>186.7</v>
      </c>
      <c r="J322" s="15">
        <v>1</v>
      </c>
      <c r="K322" s="15"/>
      <c r="L322" s="53" t="str">
        <f>IF(G322*K322&lt;&gt;0, TRUNC(G322*K322, 1), "")</f>
        <v/>
      </c>
      <c r="M322" s="15"/>
      <c r="N322" s="53" t="str">
        <f>IF(G322*M322&lt;&gt;0, TRUNC(G322*M322, 1), "")</f>
        <v/>
      </c>
      <c r="O322" s="15">
        <f t="shared" si="111"/>
        <v>186.7</v>
      </c>
      <c r="P322" s="15">
        <f t="shared" si="112"/>
        <v>186.7</v>
      </c>
      <c r="Q322" s="12"/>
    </row>
    <row r="323" spans="1:18" ht="23.25" customHeight="1" x14ac:dyDescent="0.15">
      <c r="A323" s="13" t="s">
        <v>1372</v>
      </c>
      <c r="B323" s="13" t="s">
        <v>1792</v>
      </c>
      <c r="C323" s="1" t="s">
        <v>1002</v>
      </c>
      <c r="D323" s="12" t="s">
        <v>1003</v>
      </c>
      <c r="E323" s="12" t="s">
        <v>1004</v>
      </c>
      <c r="F323" s="31" t="s">
        <v>999</v>
      </c>
      <c r="G323" s="15">
        <f>일위노임!G132</f>
        <v>0.11700000000000001</v>
      </c>
      <c r="H323" s="15">
        <f>합산자재!H345</f>
        <v>0</v>
      </c>
      <c r="I323" s="53" t="str">
        <f>IF(G323*H323&lt;&gt;0, TRUNC(G323*H323, 1), "")</f>
        <v/>
      </c>
      <c r="J323" s="15">
        <v>0.11700000000000001</v>
      </c>
      <c r="K323" s="15">
        <f>합산자재!I345</f>
        <v>273676</v>
      </c>
      <c r="L323" s="53">
        <f>IF(G323*K323&lt;&gt;0, TRUNC(G323*K323, 1), "")</f>
        <v>32020</v>
      </c>
      <c r="M323" s="15">
        <f>합산자재!J345</f>
        <v>0</v>
      </c>
      <c r="N323" s="53" t="str">
        <f>IF(G323*M323&lt;&gt;0, TRUNC(G323*M323, 1), "")</f>
        <v/>
      </c>
      <c r="O323" s="15">
        <f t="shared" si="111"/>
        <v>273676</v>
      </c>
      <c r="P323" s="15">
        <f t="shared" si="112"/>
        <v>32020</v>
      </c>
      <c r="Q323" s="12"/>
    </row>
    <row r="324" spans="1:18" ht="23.25" customHeight="1" x14ac:dyDescent="0.15">
      <c r="A324" s="13" t="s">
        <v>2362</v>
      </c>
      <c r="B324" s="13" t="s">
        <v>1792</v>
      </c>
      <c r="C324" s="1" t="s">
        <v>2363</v>
      </c>
      <c r="D324" s="12" t="s">
        <v>2364</v>
      </c>
      <c r="E324" s="12" t="s">
        <v>2365</v>
      </c>
      <c r="F324" s="31" t="s">
        <v>792</v>
      </c>
      <c r="G324" s="15">
        <v>1</v>
      </c>
      <c r="H324" s="15">
        <v>640.4</v>
      </c>
      <c r="I324" s="53">
        <f>IF(G324*H324&lt;&gt;0, TRUNC(G324*H324, 1), "")</f>
        <v>640.4</v>
      </c>
      <c r="J324" s="15">
        <v>1</v>
      </c>
      <c r="K324" s="15"/>
      <c r="L324" s="53" t="str">
        <f>IF(G324*K324&lt;&gt;0, TRUNC(G324*K324, 1), "")</f>
        <v/>
      </c>
      <c r="M324" s="15"/>
      <c r="N324" s="53" t="str">
        <f>IF(G324*M324&lt;&gt;0, TRUNC(G324*M324, 1), "")</f>
        <v/>
      </c>
      <c r="O324" s="15">
        <f t="shared" si="111"/>
        <v>640.4</v>
      </c>
      <c r="P324" s="15">
        <f t="shared" si="112"/>
        <v>640.4</v>
      </c>
      <c r="Q324" s="12"/>
    </row>
    <row r="325" spans="1:18" ht="23.25" customHeight="1" x14ac:dyDescent="0.15">
      <c r="B325" s="13" t="s">
        <v>2360</v>
      </c>
      <c r="D325" s="12" t="s">
        <v>2361</v>
      </c>
      <c r="E325" s="12"/>
      <c r="F325" s="31"/>
      <c r="G325" s="15"/>
      <c r="H325" s="15"/>
      <c r="I325" s="53">
        <f>TRUNC(SUM(I319:I324))</f>
        <v>2196</v>
      </c>
      <c r="J325" s="15"/>
      <c r="K325" s="15"/>
      <c r="L325" s="53">
        <f>TRUNC(SUM(L319:L324))</f>
        <v>32020</v>
      </c>
      <c r="M325" s="15"/>
      <c r="N325" s="53">
        <f>TRUNC(SUM(N319:N324))</f>
        <v>0</v>
      </c>
      <c r="O325" s="15" t="str">
        <f t="shared" si="111"/>
        <v/>
      </c>
      <c r="P325" s="15">
        <f t="shared" si="112"/>
        <v>34216</v>
      </c>
      <c r="Q325" s="12"/>
    </row>
    <row r="326" spans="1:18" ht="23.25" customHeight="1" x14ac:dyDescent="0.15">
      <c r="D326" s="12"/>
      <c r="E326" s="12"/>
      <c r="F326" s="31"/>
      <c r="G326" s="15"/>
      <c r="H326" s="15"/>
      <c r="I326" s="53"/>
      <c r="J326" s="15"/>
      <c r="K326" s="15"/>
      <c r="L326" s="53"/>
      <c r="M326" s="15"/>
      <c r="N326" s="53"/>
      <c r="O326" s="15"/>
      <c r="P326" s="15"/>
      <c r="Q326" s="12"/>
    </row>
    <row r="327" spans="1:18" ht="23.25" customHeight="1" x14ac:dyDescent="0.15">
      <c r="A327" s="13" t="s">
        <v>2481</v>
      </c>
      <c r="B327" s="13" t="s">
        <v>2382</v>
      </c>
      <c r="C327" s="1" t="s">
        <v>2482</v>
      </c>
      <c r="D327" s="170" t="s">
        <v>2480</v>
      </c>
      <c r="E327" s="172"/>
      <c r="F327" s="31"/>
      <c r="G327" s="15"/>
      <c r="H327" s="15"/>
      <c r="I327" s="53"/>
      <c r="J327" s="15"/>
      <c r="K327" s="15"/>
      <c r="L327" s="53"/>
      <c r="M327" s="15"/>
      <c r="N327" s="53"/>
      <c r="O327" s="15"/>
      <c r="P327" s="15"/>
      <c r="Q327" s="12"/>
    </row>
    <row r="328" spans="1:18" ht="23.25" customHeight="1" x14ac:dyDescent="0.15">
      <c r="A328" s="13" t="s">
        <v>1032</v>
      </c>
      <c r="B328" s="13" t="s">
        <v>1795</v>
      </c>
      <c r="C328" s="1" t="s">
        <v>177</v>
      </c>
      <c r="D328" s="12" t="s">
        <v>178</v>
      </c>
      <c r="E328" s="12" t="s">
        <v>179</v>
      </c>
      <c r="F328" s="31" t="s">
        <v>166</v>
      </c>
      <c r="G328" s="15">
        <v>1</v>
      </c>
      <c r="H328" s="15">
        <f>합산자재!H8</f>
        <v>168</v>
      </c>
      <c r="I328" s="53">
        <f>IF(G328*H328&lt;&gt;0, TRUNC(G328*H328, 1), "")</f>
        <v>168</v>
      </c>
      <c r="J328" s="15">
        <v>1</v>
      </c>
      <c r="K328" s="15">
        <f>합산자재!I8</f>
        <v>0</v>
      </c>
      <c r="L328" s="53" t="str">
        <f>IF(G328*K328&lt;&gt;0, TRUNC(G328*K328, 1), "")</f>
        <v/>
      </c>
      <c r="M328" s="15">
        <f>합산자재!J8</f>
        <v>0</v>
      </c>
      <c r="N328" s="53" t="str">
        <f>IF(G328*M328&lt;&gt;0, TRUNC(G328*M328, 1), "")</f>
        <v/>
      </c>
      <c r="O328" s="15">
        <f t="shared" ref="O328:O333" si="113">IF((H328+K328+M328)=0, "", (H328+K328+M328))</f>
        <v>168</v>
      </c>
      <c r="P328" s="15">
        <f t="shared" ref="P328:P333" si="114">IF(SUM(I328,L328,N328)&lt;&gt;0,SUM(I328,L328,N328),"")</f>
        <v>168</v>
      </c>
      <c r="Q328" s="12"/>
      <c r="R328" s="2" t="s">
        <v>2371</v>
      </c>
    </row>
    <row r="329" spans="1:18" ht="23.25" customHeight="1" x14ac:dyDescent="0.15">
      <c r="A329" s="13" t="s">
        <v>1032</v>
      </c>
      <c r="B329" s="13" t="s">
        <v>1795</v>
      </c>
      <c r="C329" s="1" t="s">
        <v>177</v>
      </c>
      <c r="D329" s="12" t="s">
        <v>178</v>
      </c>
      <c r="E329" s="12" t="s">
        <v>179</v>
      </c>
      <c r="F329" s="31" t="s">
        <v>166</v>
      </c>
      <c r="G329" s="15">
        <v>0.1</v>
      </c>
      <c r="H329" s="15">
        <f>합산자재!H8</f>
        <v>168</v>
      </c>
      <c r="I329" s="53">
        <f>IF(G329*H329&lt;&gt;0, TRUNC(G329*H329, 1), "")</f>
        <v>16.8</v>
      </c>
      <c r="J329" s="15">
        <v>0.1</v>
      </c>
      <c r="K329" s="15">
        <f>합산자재!I8</f>
        <v>0</v>
      </c>
      <c r="L329" s="53" t="str">
        <f>IF(G329*K329&lt;&gt;0, TRUNC(G329*K329, 1), "")</f>
        <v/>
      </c>
      <c r="M329" s="15">
        <f>합산자재!J8</f>
        <v>0</v>
      </c>
      <c r="N329" s="53" t="str">
        <f>IF(G329*M329&lt;&gt;0, TRUNC(G329*M329, 1), "")</f>
        <v/>
      </c>
      <c r="O329" s="15">
        <f t="shared" si="113"/>
        <v>168</v>
      </c>
      <c r="P329" s="15">
        <f t="shared" si="114"/>
        <v>16.8</v>
      </c>
      <c r="Q329" s="12"/>
      <c r="R329" s="2" t="s">
        <v>2371</v>
      </c>
    </row>
    <row r="330" spans="1:18" ht="23.25" customHeight="1" x14ac:dyDescent="0.15">
      <c r="A330" s="13" t="s">
        <v>2372</v>
      </c>
      <c r="B330" s="13" t="s">
        <v>1795</v>
      </c>
      <c r="C330" s="1" t="s">
        <v>2373</v>
      </c>
      <c r="D330" s="12" t="s">
        <v>2369</v>
      </c>
      <c r="E330" s="12" t="s">
        <v>2374</v>
      </c>
      <c r="F330" s="31" t="s">
        <v>792</v>
      </c>
      <c r="G330" s="15">
        <v>1</v>
      </c>
      <c r="H330" s="15">
        <v>67.2</v>
      </c>
      <c r="I330" s="53">
        <f>IF(G330*H330&lt;&gt;0, TRUNC(G330*H330, 1), "")</f>
        <v>67.2</v>
      </c>
      <c r="J330" s="15">
        <v>1</v>
      </c>
      <c r="K330" s="15"/>
      <c r="L330" s="53" t="str">
        <f>IF(G330*K330&lt;&gt;0, TRUNC(G330*K330, 1), "")</f>
        <v/>
      </c>
      <c r="M330" s="15"/>
      <c r="N330" s="53" t="str">
        <f>IF(G330*M330&lt;&gt;0, TRUNC(G330*M330, 1), "")</f>
        <v/>
      </c>
      <c r="O330" s="15">
        <f t="shared" si="113"/>
        <v>67.2</v>
      </c>
      <c r="P330" s="15">
        <f t="shared" si="114"/>
        <v>67.2</v>
      </c>
      <c r="Q330" s="12"/>
    </row>
    <row r="331" spans="1:18" ht="23.25" customHeight="1" x14ac:dyDescent="0.15">
      <c r="A331" s="13" t="s">
        <v>1372</v>
      </c>
      <c r="B331" s="13" t="s">
        <v>1795</v>
      </c>
      <c r="C331" s="1" t="s">
        <v>1002</v>
      </c>
      <c r="D331" s="12" t="s">
        <v>1003</v>
      </c>
      <c r="E331" s="12" t="s">
        <v>1004</v>
      </c>
      <c r="F331" s="31" t="s">
        <v>999</v>
      </c>
      <c r="G331" s="15">
        <f>일위노임!G135</f>
        <v>3.5999999999999997E-2</v>
      </c>
      <c r="H331" s="15">
        <f>합산자재!H345</f>
        <v>0</v>
      </c>
      <c r="I331" s="53" t="str">
        <f>IF(G331*H331&lt;&gt;0, TRUNC(G331*H331, 1), "")</f>
        <v/>
      </c>
      <c r="J331" s="15">
        <v>3.5999999999999997E-2</v>
      </c>
      <c r="K331" s="15">
        <f>합산자재!I345</f>
        <v>273676</v>
      </c>
      <c r="L331" s="53">
        <f>IF(G331*K331&lt;&gt;0, TRUNC(G331*K331, 1), "")</f>
        <v>9852.2999999999993</v>
      </c>
      <c r="M331" s="15">
        <f>합산자재!J345</f>
        <v>0</v>
      </c>
      <c r="N331" s="53" t="str">
        <f>IF(G331*M331&lt;&gt;0, TRUNC(G331*M331, 1), "")</f>
        <v/>
      </c>
      <c r="O331" s="15">
        <f t="shared" si="113"/>
        <v>273676</v>
      </c>
      <c r="P331" s="15">
        <f t="shared" si="114"/>
        <v>9852.2999999999993</v>
      </c>
      <c r="Q331" s="12"/>
    </row>
    <row r="332" spans="1:18" ht="23.25" customHeight="1" x14ac:dyDescent="0.15">
      <c r="A332" s="13" t="s">
        <v>2362</v>
      </c>
      <c r="B332" s="13" t="s">
        <v>1795</v>
      </c>
      <c r="C332" s="1" t="s">
        <v>2363</v>
      </c>
      <c r="D332" s="12" t="s">
        <v>2364</v>
      </c>
      <c r="E332" s="12" t="s">
        <v>2365</v>
      </c>
      <c r="F332" s="31" t="s">
        <v>792</v>
      </c>
      <c r="G332" s="15">
        <v>1</v>
      </c>
      <c r="H332" s="15">
        <v>197</v>
      </c>
      <c r="I332" s="53">
        <f>IF(G332*H332&lt;&gt;0, TRUNC(G332*H332, 1), "")</f>
        <v>197</v>
      </c>
      <c r="J332" s="15">
        <v>1</v>
      </c>
      <c r="K332" s="15"/>
      <c r="L332" s="53" t="str">
        <f>IF(G332*K332&lt;&gt;0, TRUNC(G332*K332, 1), "")</f>
        <v/>
      </c>
      <c r="M332" s="15"/>
      <c r="N332" s="53" t="str">
        <f>IF(G332*M332&lt;&gt;0, TRUNC(G332*M332, 1), "")</f>
        <v/>
      </c>
      <c r="O332" s="15">
        <f t="shared" si="113"/>
        <v>197</v>
      </c>
      <c r="P332" s="15">
        <f t="shared" si="114"/>
        <v>197</v>
      </c>
      <c r="Q332" s="12"/>
    </row>
    <row r="333" spans="1:18" ht="23.25" customHeight="1" x14ac:dyDescent="0.15">
      <c r="B333" s="13" t="s">
        <v>2360</v>
      </c>
      <c r="D333" s="12" t="s">
        <v>2361</v>
      </c>
      <c r="E333" s="12"/>
      <c r="F333" s="31"/>
      <c r="G333" s="15"/>
      <c r="H333" s="15"/>
      <c r="I333" s="53">
        <f>TRUNC(SUM(I327:I332))</f>
        <v>449</v>
      </c>
      <c r="J333" s="15"/>
      <c r="K333" s="15"/>
      <c r="L333" s="53">
        <f>TRUNC(SUM(L327:L332))</f>
        <v>9852</v>
      </c>
      <c r="M333" s="15"/>
      <c r="N333" s="53">
        <f>TRUNC(SUM(N327:N332))</f>
        <v>0</v>
      </c>
      <c r="O333" s="15" t="str">
        <f t="shared" si="113"/>
        <v/>
      </c>
      <c r="P333" s="15">
        <f t="shared" si="114"/>
        <v>10301</v>
      </c>
      <c r="Q333" s="12"/>
    </row>
    <row r="334" spans="1:18" ht="23.25" customHeight="1" x14ac:dyDescent="0.15">
      <c r="D334" s="12"/>
      <c r="E334" s="12"/>
      <c r="F334" s="31"/>
      <c r="G334" s="15"/>
      <c r="H334" s="15"/>
      <c r="I334" s="53"/>
      <c r="J334" s="15"/>
      <c r="K334" s="15"/>
      <c r="L334" s="53"/>
      <c r="M334" s="15"/>
      <c r="N334" s="53"/>
      <c r="O334" s="15"/>
      <c r="P334" s="15"/>
      <c r="Q334" s="12"/>
    </row>
    <row r="335" spans="1:18" ht="23.25" customHeight="1" x14ac:dyDescent="0.15">
      <c r="A335" s="13" t="s">
        <v>2484</v>
      </c>
      <c r="B335" s="13" t="s">
        <v>2382</v>
      </c>
      <c r="C335" s="1" t="s">
        <v>2485</v>
      </c>
      <c r="D335" s="170" t="s">
        <v>2483</v>
      </c>
      <c r="E335" s="172"/>
      <c r="F335" s="31"/>
      <c r="G335" s="15"/>
      <c r="H335" s="15"/>
      <c r="I335" s="53"/>
      <c r="J335" s="15"/>
      <c r="K335" s="15"/>
      <c r="L335" s="53"/>
      <c r="M335" s="15"/>
      <c r="N335" s="53"/>
      <c r="O335" s="15"/>
      <c r="P335" s="15"/>
      <c r="Q335" s="12"/>
    </row>
    <row r="336" spans="1:18" ht="23.25" customHeight="1" x14ac:dyDescent="0.15">
      <c r="A336" s="13" t="s">
        <v>1033</v>
      </c>
      <c r="B336" s="13" t="s">
        <v>1799</v>
      </c>
      <c r="C336" s="1" t="s">
        <v>183</v>
      </c>
      <c r="D336" s="12" t="s">
        <v>178</v>
      </c>
      <c r="E336" s="12" t="s">
        <v>184</v>
      </c>
      <c r="F336" s="31" t="s">
        <v>166</v>
      </c>
      <c r="G336" s="15">
        <v>1</v>
      </c>
      <c r="H336" s="15">
        <f>합산자재!H9</f>
        <v>253</v>
      </c>
      <c r="I336" s="53">
        <f>IF(G336*H336&lt;&gt;0, TRUNC(G336*H336, 1), "")</f>
        <v>253</v>
      </c>
      <c r="J336" s="15">
        <v>1</v>
      </c>
      <c r="K336" s="15">
        <f>합산자재!I9</f>
        <v>0</v>
      </c>
      <c r="L336" s="53" t="str">
        <f>IF(G336*K336&lt;&gt;0, TRUNC(G336*K336, 1), "")</f>
        <v/>
      </c>
      <c r="M336" s="15">
        <f>합산자재!J9</f>
        <v>0</v>
      </c>
      <c r="N336" s="53" t="str">
        <f>IF(G336*M336&lt;&gt;0, TRUNC(G336*M336, 1), "")</f>
        <v/>
      </c>
      <c r="O336" s="15">
        <f t="shared" ref="O336:O341" si="115">IF((H336+K336+M336)=0, "", (H336+K336+M336))</f>
        <v>253</v>
      </c>
      <c r="P336" s="15">
        <f t="shared" ref="P336:P341" si="116">IF(SUM(I336,L336,N336)&lt;&gt;0,SUM(I336,L336,N336),"")</f>
        <v>253</v>
      </c>
      <c r="Q336" s="12"/>
      <c r="R336" s="2" t="s">
        <v>2371</v>
      </c>
    </row>
    <row r="337" spans="1:18" ht="23.25" customHeight="1" x14ac:dyDescent="0.15">
      <c r="A337" s="13" t="s">
        <v>1033</v>
      </c>
      <c r="B337" s="13" t="s">
        <v>1799</v>
      </c>
      <c r="C337" s="1" t="s">
        <v>183</v>
      </c>
      <c r="D337" s="12" t="s">
        <v>178</v>
      </c>
      <c r="E337" s="12" t="s">
        <v>184</v>
      </c>
      <c r="F337" s="31" t="s">
        <v>166</v>
      </c>
      <c r="G337" s="15">
        <v>0.1</v>
      </c>
      <c r="H337" s="15">
        <f>합산자재!H9</f>
        <v>253</v>
      </c>
      <c r="I337" s="53">
        <f>IF(G337*H337&lt;&gt;0, TRUNC(G337*H337, 1), "")</f>
        <v>25.3</v>
      </c>
      <c r="J337" s="15">
        <v>0.1</v>
      </c>
      <c r="K337" s="15">
        <f>합산자재!I9</f>
        <v>0</v>
      </c>
      <c r="L337" s="53" t="str">
        <f>IF(G337*K337&lt;&gt;0, TRUNC(G337*K337, 1), "")</f>
        <v/>
      </c>
      <c r="M337" s="15">
        <f>합산자재!J9</f>
        <v>0</v>
      </c>
      <c r="N337" s="53" t="str">
        <f>IF(G337*M337&lt;&gt;0, TRUNC(G337*M337, 1), "")</f>
        <v/>
      </c>
      <c r="O337" s="15">
        <f t="shared" si="115"/>
        <v>253</v>
      </c>
      <c r="P337" s="15">
        <f t="shared" si="116"/>
        <v>25.3</v>
      </c>
      <c r="Q337" s="12"/>
      <c r="R337" s="2" t="s">
        <v>2371</v>
      </c>
    </row>
    <row r="338" spans="1:18" ht="23.25" customHeight="1" x14ac:dyDescent="0.15">
      <c r="A338" s="13" t="s">
        <v>2372</v>
      </c>
      <c r="B338" s="13" t="s">
        <v>1799</v>
      </c>
      <c r="C338" s="1" t="s">
        <v>2373</v>
      </c>
      <c r="D338" s="12" t="s">
        <v>2369</v>
      </c>
      <c r="E338" s="12" t="s">
        <v>2374</v>
      </c>
      <c r="F338" s="31" t="s">
        <v>792</v>
      </c>
      <c r="G338" s="15">
        <v>1</v>
      </c>
      <c r="H338" s="15">
        <v>101.2</v>
      </c>
      <c r="I338" s="53">
        <f>IF(G338*H338&lt;&gt;0, TRUNC(G338*H338, 1), "")</f>
        <v>101.2</v>
      </c>
      <c r="J338" s="15">
        <v>1</v>
      </c>
      <c r="K338" s="15"/>
      <c r="L338" s="53" t="str">
        <f>IF(G338*K338&lt;&gt;0, TRUNC(G338*K338, 1), "")</f>
        <v/>
      </c>
      <c r="M338" s="15"/>
      <c r="N338" s="53" t="str">
        <f>IF(G338*M338&lt;&gt;0, TRUNC(G338*M338, 1), "")</f>
        <v/>
      </c>
      <c r="O338" s="15">
        <f t="shared" si="115"/>
        <v>101.2</v>
      </c>
      <c r="P338" s="15">
        <f t="shared" si="116"/>
        <v>101.2</v>
      </c>
      <c r="Q338" s="12"/>
    </row>
    <row r="339" spans="1:18" ht="23.25" customHeight="1" x14ac:dyDescent="0.15">
      <c r="A339" s="13" t="s">
        <v>1372</v>
      </c>
      <c r="B339" s="13" t="s">
        <v>1799</v>
      </c>
      <c r="C339" s="1" t="s">
        <v>1002</v>
      </c>
      <c r="D339" s="12" t="s">
        <v>1003</v>
      </c>
      <c r="E339" s="12" t="s">
        <v>1004</v>
      </c>
      <c r="F339" s="31" t="s">
        <v>999</v>
      </c>
      <c r="G339" s="15">
        <f>일위노임!G138</f>
        <v>4.3200000000000002E-2</v>
      </c>
      <c r="H339" s="15">
        <f>합산자재!H345</f>
        <v>0</v>
      </c>
      <c r="I339" s="53" t="str">
        <f>IF(G339*H339&lt;&gt;0, TRUNC(G339*H339, 1), "")</f>
        <v/>
      </c>
      <c r="J339" s="15">
        <v>4.3200000000000002E-2</v>
      </c>
      <c r="K339" s="15">
        <f>합산자재!I345</f>
        <v>273676</v>
      </c>
      <c r="L339" s="53">
        <f>IF(G339*K339&lt;&gt;0, TRUNC(G339*K339, 1), "")</f>
        <v>11822.8</v>
      </c>
      <c r="M339" s="15">
        <f>합산자재!J345</f>
        <v>0</v>
      </c>
      <c r="N339" s="53" t="str">
        <f>IF(G339*M339&lt;&gt;0, TRUNC(G339*M339, 1), "")</f>
        <v/>
      </c>
      <c r="O339" s="15">
        <f t="shared" si="115"/>
        <v>273676</v>
      </c>
      <c r="P339" s="15">
        <f t="shared" si="116"/>
        <v>11822.8</v>
      </c>
      <c r="Q339" s="12"/>
    </row>
    <row r="340" spans="1:18" ht="23.25" customHeight="1" x14ac:dyDescent="0.15">
      <c r="A340" s="13" t="s">
        <v>2362</v>
      </c>
      <c r="B340" s="13" t="s">
        <v>1799</v>
      </c>
      <c r="C340" s="1" t="s">
        <v>2363</v>
      </c>
      <c r="D340" s="12" t="s">
        <v>2364</v>
      </c>
      <c r="E340" s="12" t="s">
        <v>2365</v>
      </c>
      <c r="F340" s="31" t="s">
        <v>792</v>
      </c>
      <c r="G340" s="15">
        <v>1</v>
      </c>
      <c r="H340" s="15">
        <v>236.4</v>
      </c>
      <c r="I340" s="53">
        <f>IF(G340*H340&lt;&gt;0, TRUNC(G340*H340, 1), "")</f>
        <v>236.4</v>
      </c>
      <c r="J340" s="15">
        <v>1</v>
      </c>
      <c r="K340" s="15"/>
      <c r="L340" s="53" t="str">
        <f>IF(G340*K340&lt;&gt;0, TRUNC(G340*K340, 1), "")</f>
        <v/>
      </c>
      <c r="M340" s="15"/>
      <c r="N340" s="53" t="str">
        <f>IF(G340*M340&lt;&gt;0, TRUNC(G340*M340, 1), "")</f>
        <v/>
      </c>
      <c r="O340" s="15">
        <f t="shared" si="115"/>
        <v>236.4</v>
      </c>
      <c r="P340" s="15">
        <f t="shared" si="116"/>
        <v>236.4</v>
      </c>
      <c r="Q340" s="12"/>
    </row>
    <row r="341" spans="1:18" ht="23.25" customHeight="1" x14ac:dyDescent="0.15">
      <c r="B341" s="13" t="s">
        <v>2360</v>
      </c>
      <c r="D341" s="12" t="s">
        <v>2361</v>
      </c>
      <c r="E341" s="12"/>
      <c r="F341" s="31"/>
      <c r="G341" s="15"/>
      <c r="H341" s="15"/>
      <c r="I341" s="53">
        <f>TRUNC(SUM(I335:I340))</f>
        <v>615</v>
      </c>
      <c r="J341" s="15"/>
      <c r="K341" s="15"/>
      <c r="L341" s="53">
        <f>TRUNC(SUM(L335:L340))</f>
        <v>11822</v>
      </c>
      <c r="M341" s="15"/>
      <c r="N341" s="53">
        <f>TRUNC(SUM(N335:N340))</f>
        <v>0</v>
      </c>
      <c r="O341" s="15" t="str">
        <f t="shared" si="115"/>
        <v/>
      </c>
      <c r="P341" s="15">
        <f t="shared" si="116"/>
        <v>12437</v>
      </c>
      <c r="Q341" s="12"/>
    </row>
    <row r="342" spans="1:18" ht="23.25" customHeight="1" x14ac:dyDescent="0.15">
      <c r="D342" s="12"/>
      <c r="E342" s="12"/>
      <c r="F342" s="31"/>
      <c r="G342" s="15"/>
      <c r="H342" s="15"/>
      <c r="I342" s="53"/>
      <c r="J342" s="15"/>
      <c r="K342" s="15"/>
      <c r="L342" s="53"/>
      <c r="M342" s="15"/>
      <c r="N342" s="53"/>
      <c r="O342" s="15"/>
      <c r="P342" s="15"/>
      <c r="Q342" s="12"/>
    </row>
    <row r="343" spans="1:18" ht="23.25" customHeight="1" x14ac:dyDescent="0.15">
      <c r="A343" s="13" t="s">
        <v>2487</v>
      </c>
      <c r="B343" s="13" t="s">
        <v>2382</v>
      </c>
      <c r="C343" s="1" t="s">
        <v>2488</v>
      </c>
      <c r="D343" s="170" t="s">
        <v>2486</v>
      </c>
      <c r="E343" s="172"/>
      <c r="F343" s="31"/>
      <c r="G343" s="15"/>
      <c r="H343" s="15"/>
      <c r="I343" s="53"/>
      <c r="J343" s="15"/>
      <c r="K343" s="15"/>
      <c r="L343" s="53"/>
      <c r="M343" s="15"/>
      <c r="N343" s="53"/>
      <c r="O343" s="15"/>
      <c r="P343" s="15"/>
      <c r="Q343" s="12"/>
    </row>
    <row r="344" spans="1:18" ht="23.25" customHeight="1" x14ac:dyDescent="0.15">
      <c r="A344" s="13" t="s">
        <v>1034</v>
      </c>
      <c r="B344" s="13" t="s">
        <v>1802</v>
      </c>
      <c r="C344" s="1" t="s">
        <v>185</v>
      </c>
      <c r="D344" s="12" t="s">
        <v>186</v>
      </c>
      <c r="E344" s="12" t="s">
        <v>187</v>
      </c>
      <c r="F344" s="31" t="s">
        <v>166</v>
      </c>
      <c r="G344" s="15">
        <v>1</v>
      </c>
      <c r="H344" s="15">
        <f>합산자재!H10</f>
        <v>343</v>
      </c>
      <c r="I344" s="53">
        <f t="shared" ref="I344:I349" si="117">IF(G344*H344&lt;&gt;0, TRUNC(G344*H344, 1), "")</f>
        <v>343</v>
      </c>
      <c r="J344" s="15">
        <v>1</v>
      </c>
      <c r="K344" s="15">
        <f>합산자재!I10</f>
        <v>0</v>
      </c>
      <c r="L344" s="53" t="str">
        <f t="shared" ref="L344:L349" si="118">IF(G344*K344&lt;&gt;0, TRUNC(G344*K344, 1), "")</f>
        <v/>
      </c>
      <c r="M344" s="15">
        <f>합산자재!J10</f>
        <v>0</v>
      </c>
      <c r="N344" s="53" t="str">
        <f t="shared" ref="N344:N349" si="119">IF(G344*M344&lt;&gt;0, TRUNC(G344*M344, 1), "")</f>
        <v/>
      </c>
      <c r="O344" s="15">
        <f t="shared" ref="O344:O350" si="120">IF((H344+K344+M344)=0, "", (H344+K344+M344))</f>
        <v>343</v>
      </c>
      <c r="P344" s="15">
        <f t="shared" ref="P344:P350" si="121">IF(SUM(I344,L344,N344)&lt;&gt;0,SUM(I344,L344,N344),"")</f>
        <v>343</v>
      </c>
      <c r="Q344" s="12"/>
      <c r="R344" s="2" t="s">
        <v>2375</v>
      </c>
    </row>
    <row r="345" spans="1:18" ht="23.25" customHeight="1" x14ac:dyDescent="0.15">
      <c r="A345" s="13" t="s">
        <v>1034</v>
      </c>
      <c r="B345" s="13" t="s">
        <v>1802</v>
      </c>
      <c r="C345" s="1" t="s">
        <v>185</v>
      </c>
      <c r="D345" s="12" t="s">
        <v>186</v>
      </c>
      <c r="E345" s="12" t="s">
        <v>187</v>
      </c>
      <c r="F345" s="31" t="s">
        <v>166</v>
      </c>
      <c r="G345" s="15">
        <v>0.03</v>
      </c>
      <c r="H345" s="15">
        <f>합산자재!H10</f>
        <v>343</v>
      </c>
      <c r="I345" s="53">
        <f t="shared" si="117"/>
        <v>10.199999999999999</v>
      </c>
      <c r="J345" s="15">
        <v>0.03</v>
      </c>
      <c r="K345" s="15">
        <f>합산자재!I10</f>
        <v>0</v>
      </c>
      <c r="L345" s="53" t="str">
        <f t="shared" si="118"/>
        <v/>
      </c>
      <c r="M345" s="15">
        <f>합산자재!J10</f>
        <v>0</v>
      </c>
      <c r="N345" s="53" t="str">
        <f t="shared" si="119"/>
        <v/>
      </c>
      <c r="O345" s="15">
        <f t="shared" si="120"/>
        <v>343</v>
      </c>
      <c r="P345" s="15">
        <f t="shared" si="121"/>
        <v>10.199999999999999</v>
      </c>
      <c r="Q345" s="12"/>
      <c r="R345" s="2" t="s">
        <v>2375</v>
      </c>
    </row>
    <row r="346" spans="1:18" ht="23.25" customHeight="1" x14ac:dyDescent="0.15">
      <c r="A346" s="13" t="s">
        <v>2367</v>
      </c>
      <c r="B346" s="13" t="s">
        <v>1802</v>
      </c>
      <c r="C346" s="1" t="s">
        <v>2368</v>
      </c>
      <c r="D346" s="12" t="s">
        <v>2369</v>
      </c>
      <c r="E346" s="12" t="s">
        <v>2370</v>
      </c>
      <c r="F346" s="31" t="s">
        <v>792</v>
      </c>
      <c r="G346" s="15">
        <v>1</v>
      </c>
      <c r="H346" s="15">
        <v>51.4</v>
      </c>
      <c r="I346" s="53">
        <f t="shared" si="117"/>
        <v>51.4</v>
      </c>
      <c r="J346" s="15">
        <v>1</v>
      </c>
      <c r="K346" s="15"/>
      <c r="L346" s="53" t="str">
        <f t="shared" si="118"/>
        <v/>
      </c>
      <c r="M346" s="15"/>
      <c r="N346" s="53" t="str">
        <f t="shared" si="119"/>
        <v/>
      </c>
      <c r="O346" s="15">
        <f t="shared" si="120"/>
        <v>51.4</v>
      </c>
      <c r="P346" s="15">
        <f t="shared" si="121"/>
        <v>51.4</v>
      </c>
      <c r="Q346" s="12"/>
    </row>
    <row r="347" spans="1:18" ht="23.25" customHeight="1" x14ac:dyDescent="0.15">
      <c r="A347" s="13" t="s">
        <v>1376</v>
      </c>
      <c r="B347" s="13" t="s">
        <v>1802</v>
      </c>
      <c r="C347" s="1" t="s">
        <v>1011</v>
      </c>
      <c r="D347" s="12" t="s">
        <v>1003</v>
      </c>
      <c r="E347" s="12" t="s">
        <v>1012</v>
      </c>
      <c r="F347" s="31" t="s">
        <v>999</v>
      </c>
      <c r="G347" s="15">
        <f>일위노임!G142</f>
        <v>6.0000000000000001E-3</v>
      </c>
      <c r="H347" s="15">
        <f>합산자재!H349</f>
        <v>0</v>
      </c>
      <c r="I347" s="53" t="str">
        <f t="shared" si="117"/>
        <v/>
      </c>
      <c r="J347" s="15">
        <v>6.0000000000000001E-3</v>
      </c>
      <c r="K347" s="15">
        <f>합산자재!I349</f>
        <v>414968</v>
      </c>
      <c r="L347" s="53">
        <f t="shared" si="118"/>
        <v>2489.8000000000002</v>
      </c>
      <c r="M347" s="15">
        <f>합산자재!J349</f>
        <v>0</v>
      </c>
      <c r="N347" s="53" t="str">
        <f t="shared" si="119"/>
        <v/>
      </c>
      <c r="O347" s="15">
        <f t="shared" si="120"/>
        <v>414968</v>
      </c>
      <c r="P347" s="15">
        <f t="shared" si="121"/>
        <v>2489.8000000000002</v>
      </c>
      <c r="Q347" s="12"/>
    </row>
    <row r="348" spans="1:18" ht="23.25" customHeight="1" x14ac:dyDescent="0.15">
      <c r="A348" s="13" t="s">
        <v>1379</v>
      </c>
      <c r="B348" s="13" t="s">
        <v>1802</v>
      </c>
      <c r="C348" s="1" t="s">
        <v>1017</v>
      </c>
      <c r="D348" s="12" t="s">
        <v>1003</v>
      </c>
      <c r="E348" s="12" t="s">
        <v>1018</v>
      </c>
      <c r="F348" s="31" t="s">
        <v>999</v>
      </c>
      <c r="G348" s="15">
        <f>일위노임!G143</f>
        <v>1.4E-2</v>
      </c>
      <c r="H348" s="15">
        <f>합산자재!H352</f>
        <v>0</v>
      </c>
      <c r="I348" s="53" t="str">
        <f t="shared" si="117"/>
        <v/>
      </c>
      <c r="J348" s="15">
        <v>1.4E-2</v>
      </c>
      <c r="K348" s="15">
        <f>합산자재!I352</f>
        <v>172068</v>
      </c>
      <c r="L348" s="53">
        <f t="shared" si="118"/>
        <v>2408.9</v>
      </c>
      <c r="M348" s="15">
        <f>합산자재!J352</f>
        <v>0</v>
      </c>
      <c r="N348" s="53" t="str">
        <f t="shared" si="119"/>
        <v/>
      </c>
      <c r="O348" s="15">
        <f t="shared" si="120"/>
        <v>172068</v>
      </c>
      <c r="P348" s="15">
        <f t="shared" si="121"/>
        <v>2408.9</v>
      </c>
      <c r="Q348" s="12"/>
    </row>
    <row r="349" spans="1:18" ht="23.25" customHeight="1" x14ac:dyDescent="0.15">
      <c r="A349" s="13" t="s">
        <v>2362</v>
      </c>
      <c r="B349" s="13" t="s">
        <v>1802</v>
      </c>
      <c r="C349" s="1" t="s">
        <v>2363</v>
      </c>
      <c r="D349" s="12" t="s">
        <v>2364</v>
      </c>
      <c r="E349" s="12" t="s">
        <v>2365</v>
      </c>
      <c r="F349" s="31" t="s">
        <v>792</v>
      </c>
      <c r="G349" s="15">
        <v>1</v>
      </c>
      <c r="H349" s="15">
        <v>97.9</v>
      </c>
      <c r="I349" s="53">
        <f t="shared" si="117"/>
        <v>97.9</v>
      </c>
      <c r="J349" s="15">
        <v>1</v>
      </c>
      <c r="K349" s="15"/>
      <c r="L349" s="53" t="str">
        <f t="shared" si="118"/>
        <v/>
      </c>
      <c r="M349" s="15"/>
      <c r="N349" s="53" t="str">
        <f t="shared" si="119"/>
        <v/>
      </c>
      <c r="O349" s="15">
        <f t="shared" si="120"/>
        <v>97.9</v>
      </c>
      <c r="P349" s="15">
        <f t="shared" si="121"/>
        <v>97.9</v>
      </c>
      <c r="Q349" s="12"/>
    </row>
    <row r="350" spans="1:18" ht="23.25" customHeight="1" x14ac:dyDescent="0.15">
      <c r="B350" s="13" t="s">
        <v>2360</v>
      </c>
      <c r="D350" s="12" t="s">
        <v>2361</v>
      </c>
      <c r="E350" s="12"/>
      <c r="F350" s="31"/>
      <c r="G350" s="15"/>
      <c r="H350" s="15"/>
      <c r="I350" s="53">
        <f>TRUNC(SUM(I343:I349))</f>
        <v>502</v>
      </c>
      <c r="J350" s="15"/>
      <c r="K350" s="15"/>
      <c r="L350" s="53">
        <f>TRUNC(SUM(L343:L349))</f>
        <v>4898</v>
      </c>
      <c r="M350" s="15"/>
      <c r="N350" s="53">
        <f>TRUNC(SUM(N343:N349))</f>
        <v>0</v>
      </c>
      <c r="O350" s="15" t="str">
        <f t="shared" si="120"/>
        <v/>
      </c>
      <c r="P350" s="15">
        <f t="shared" si="121"/>
        <v>5400</v>
      </c>
      <c r="Q350" s="12"/>
    </row>
    <row r="351" spans="1:18" ht="23.25" customHeight="1" x14ac:dyDescent="0.15">
      <c r="D351" s="12"/>
      <c r="E351" s="12"/>
      <c r="F351" s="31"/>
      <c r="G351" s="15"/>
      <c r="H351" s="15"/>
      <c r="I351" s="53"/>
      <c r="J351" s="15"/>
      <c r="K351" s="15"/>
      <c r="L351" s="53"/>
      <c r="M351" s="15"/>
      <c r="N351" s="53"/>
      <c r="O351" s="15"/>
      <c r="P351" s="15"/>
      <c r="Q351" s="12"/>
    </row>
    <row r="352" spans="1:18" ht="23.25" customHeight="1" x14ac:dyDescent="0.15">
      <c r="A352" s="13" t="s">
        <v>2490</v>
      </c>
      <c r="B352" s="13" t="s">
        <v>2382</v>
      </c>
      <c r="C352" s="1" t="s">
        <v>2491</v>
      </c>
      <c r="D352" s="170" t="s">
        <v>2489</v>
      </c>
      <c r="E352" s="172"/>
      <c r="F352" s="31"/>
      <c r="G352" s="15"/>
      <c r="H352" s="15"/>
      <c r="I352" s="53"/>
      <c r="J352" s="15"/>
      <c r="K352" s="15"/>
      <c r="L352" s="53"/>
      <c r="M352" s="15"/>
      <c r="N352" s="53"/>
      <c r="O352" s="15"/>
      <c r="P352" s="15"/>
      <c r="Q352" s="12"/>
    </row>
    <row r="353" spans="1:18" ht="23.25" customHeight="1" x14ac:dyDescent="0.15">
      <c r="A353" s="13" t="s">
        <v>1035</v>
      </c>
      <c r="B353" s="13" t="s">
        <v>1805</v>
      </c>
      <c r="C353" s="1" t="s">
        <v>189</v>
      </c>
      <c r="D353" s="12" t="s">
        <v>186</v>
      </c>
      <c r="E353" s="12" t="s">
        <v>190</v>
      </c>
      <c r="F353" s="31" t="s">
        <v>166</v>
      </c>
      <c r="G353" s="15">
        <v>1</v>
      </c>
      <c r="H353" s="15">
        <f>합산자재!H11</f>
        <v>523</v>
      </c>
      <c r="I353" s="53">
        <f t="shared" ref="I353:I358" si="122">IF(G353*H353&lt;&gt;0, TRUNC(G353*H353, 1), "")</f>
        <v>523</v>
      </c>
      <c r="J353" s="15">
        <v>1</v>
      </c>
      <c r="K353" s="15">
        <f>합산자재!I11</f>
        <v>0</v>
      </c>
      <c r="L353" s="53" t="str">
        <f t="shared" ref="L353:L358" si="123">IF(G353*K353&lt;&gt;0, TRUNC(G353*K353, 1), "")</f>
        <v/>
      </c>
      <c r="M353" s="15">
        <f>합산자재!J11</f>
        <v>0</v>
      </c>
      <c r="N353" s="53" t="str">
        <f t="shared" ref="N353:N358" si="124">IF(G353*M353&lt;&gt;0, TRUNC(G353*M353, 1), "")</f>
        <v/>
      </c>
      <c r="O353" s="15">
        <f t="shared" ref="O353:O359" si="125">IF((H353+K353+M353)=0, "", (H353+K353+M353))</f>
        <v>523</v>
      </c>
      <c r="P353" s="15">
        <f t="shared" ref="P353:P359" si="126">IF(SUM(I353,L353,N353)&lt;&gt;0,SUM(I353,L353,N353),"")</f>
        <v>523</v>
      </c>
      <c r="Q353" s="12"/>
      <c r="R353" s="2" t="s">
        <v>2375</v>
      </c>
    </row>
    <row r="354" spans="1:18" ht="23.25" customHeight="1" x14ac:dyDescent="0.15">
      <c r="A354" s="13" t="s">
        <v>1035</v>
      </c>
      <c r="B354" s="13" t="s">
        <v>1805</v>
      </c>
      <c r="C354" s="1" t="s">
        <v>189</v>
      </c>
      <c r="D354" s="12" t="s">
        <v>186</v>
      </c>
      <c r="E354" s="12" t="s">
        <v>190</v>
      </c>
      <c r="F354" s="31" t="s">
        <v>166</v>
      </c>
      <c r="G354" s="15">
        <v>0.03</v>
      </c>
      <c r="H354" s="15">
        <f>합산자재!H11</f>
        <v>523</v>
      </c>
      <c r="I354" s="53">
        <f t="shared" si="122"/>
        <v>15.6</v>
      </c>
      <c r="J354" s="15">
        <v>0.03</v>
      </c>
      <c r="K354" s="15">
        <f>합산자재!I11</f>
        <v>0</v>
      </c>
      <c r="L354" s="53" t="str">
        <f t="shared" si="123"/>
        <v/>
      </c>
      <c r="M354" s="15">
        <f>합산자재!J11</f>
        <v>0</v>
      </c>
      <c r="N354" s="53" t="str">
        <f t="shared" si="124"/>
        <v/>
      </c>
      <c r="O354" s="15">
        <f t="shared" si="125"/>
        <v>523</v>
      </c>
      <c r="P354" s="15">
        <f t="shared" si="126"/>
        <v>15.6</v>
      </c>
      <c r="Q354" s="12"/>
      <c r="R354" s="2" t="s">
        <v>2375</v>
      </c>
    </row>
    <row r="355" spans="1:18" ht="23.25" customHeight="1" x14ac:dyDescent="0.15">
      <c r="A355" s="13" t="s">
        <v>2367</v>
      </c>
      <c r="B355" s="13" t="s">
        <v>1805</v>
      </c>
      <c r="C355" s="1" t="s">
        <v>2368</v>
      </c>
      <c r="D355" s="12" t="s">
        <v>2369</v>
      </c>
      <c r="E355" s="12" t="s">
        <v>2370</v>
      </c>
      <c r="F355" s="31" t="s">
        <v>792</v>
      </c>
      <c r="G355" s="15">
        <v>1</v>
      </c>
      <c r="H355" s="15">
        <v>78.400000000000006</v>
      </c>
      <c r="I355" s="53">
        <f t="shared" si="122"/>
        <v>78.400000000000006</v>
      </c>
      <c r="J355" s="15">
        <v>1</v>
      </c>
      <c r="K355" s="15"/>
      <c r="L355" s="53" t="str">
        <f t="shared" si="123"/>
        <v/>
      </c>
      <c r="M355" s="15"/>
      <c r="N355" s="53" t="str">
        <f t="shared" si="124"/>
        <v/>
      </c>
      <c r="O355" s="15">
        <f t="shared" si="125"/>
        <v>78.400000000000006</v>
      </c>
      <c r="P355" s="15">
        <f t="shared" si="126"/>
        <v>78.400000000000006</v>
      </c>
      <c r="Q355" s="12"/>
    </row>
    <row r="356" spans="1:18" ht="23.25" customHeight="1" x14ac:dyDescent="0.15">
      <c r="A356" s="13" t="s">
        <v>1376</v>
      </c>
      <c r="B356" s="13" t="s">
        <v>1805</v>
      </c>
      <c r="C356" s="1" t="s">
        <v>1011</v>
      </c>
      <c r="D356" s="12" t="s">
        <v>1003</v>
      </c>
      <c r="E356" s="12" t="s">
        <v>1012</v>
      </c>
      <c r="F356" s="31" t="s">
        <v>999</v>
      </c>
      <c r="G356" s="15">
        <f>일위노임!G147</f>
        <v>7.0000000000000001E-3</v>
      </c>
      <c r="H356" s="15">
        <f>합산자재!H349</f>
        <v>0</v>
      </c>
      <c r="I356" s="53" t="str">
        <f t="shared" si="122"/>
        <v/>
      </c>
      <c r="J356" s="15">
        <v>7.0000000000000001E-3</v>
      </c>
      <c r="K356" s="15">
        <f>합산자재!I349</f>
        <v>414968</v>
      </c>
      <c r="L356" s="53">
        <f t="shared" si="123"/>
        <v>2904.7</v>
      </c>
      <c r="M356" s="15">
        <f>합산자재!J349</f>
        <v>0</v>
      </c>
      <c r="N356" s="53" t="str">
        <f t="shared" si="124"/>
        <v/>
      </c>
      <c r="O356" s="15">
        <f t="shared" si="125"/>
        <v>414968</v>
      </c>
      <c r="P356" s="15">
        <f t="shared" si="126"/>
        <v>2904.7</v>
      </c>
      <c r="Q356" s="12"/>
    </row>
    <row r="357" spans="1:18" ht="23.25" customHeight="1" x14ac:dyDescent="0.15">
      <c r="A357" s="13" t="s">
        <v>1379</v>
      </c>
      <c r="B357" s="13" t="s">
        <v>1805</v>
      </c>
      <c r="C357" s="1" t="s">
        <v>1017</v>
      </c>
      <c r="D357" s="12" t="s">
        <v>1003</v>
      </c>
      <c r="E357" s="12" t="s">
        <v>1018</v>
      </c>
      <c r="F357" s="31" t="s">
        <v>999</v>
      </c>
      <c r="G357" s="15">
        <f>일위노임!G148</f>
        <v>1.7999999999999999E-2</v>
      </c>
      <c r="H357" s="15">
        <f>합산자재!H352</f>
        <v>0</v>
      </c>
      <c r="I357" s="53" t="str">
        <f t="shared" si="122"/>
        <v/>
      </c>
      <c r="J357" s="15">
        <v>1.7999999999999999E-2</v>
      </c>
      <c r="K357" s="15">
        <f>합산자재!I352</f>
        <v>172068</v>
      </c>
      <c r="L357" s="53">
        <f t="shared" si="123"/>
        <v>3097.2</v>
      </c>
      <c r="M357" s="15">
        <f>합산자재!J352</f>
        <v>0</v>
      </c>
      <c r="N357" s="53" t="str">
        <f t="shared" si="124"/>
        <v/>
      </c>
      <c r="O357" s="15">
        <f t="shared" si="125"/>
        <v>172068</v>
      </c>
      <c r="P357" s="15">
        <f t="shared" si="126"/>
        <v>3097.2</v>
      </c>
      <c r="Q357" s="12"/>
    </row>
    <row r="358" spans="1:18" ht="23.25" customHeight="1" x14ac:dyDescent="0.15">
      <c r="A358" s="13" t="s">
        <v>2362</v>
      </c>
      <c r="B358" s="13" t="s">
        <v>1805</v>
      </c>
      <c r="C358" s="1" t="s">
        <v>2363</v>
      </c>
      <c r="D358" s="12" t="s">
        <v>2364</v>
      </c>
      <c r="E358" s="12" t="s">
        <v>2365</v>
      </c>
      <c r="F358" s="31" t="s">
        <v>792</v>
      </c>
      <c r="G358" s="15">
        <v>1</v>
      </c>
      <c r="H358" s="15">
        <v>120</v>
      </c>
      <c r="I358" s="53">
        <f t="shared" si="122"/>
        <v>120</v>
      </c>
      <c r="J358" s="15">
        <v>1</v>
      </c>
      <c r="K358" s="15"/>
      <c r="L358" s="53" t="str">
        <f t="shared" si="123"/>
        <v/>
      </c>
      <c r="M358" s="15"/>
      <c r="N358" s="53" t="str">
        <f t="shared" si="124"/>
        <v/>
      </c>
      <c r="O358" s="15">
        <f t="shared" si="125"/>
        <v>120</v>
      </c>
      <c r="P358" s="15">
        <f t="shared" si="126"/>
        <v>120</v>
      </c>
      <c r="Q358" s="12"/>
    </row>
    <row r="359" spans="1:18" ht="23.25" customHeight="1" x14ac:dyDescent="0.15">
      <c r="B359" s="13" t="s">
        <v>2360</v>
      </c>
      <c r="D359" s="12" t="s">
        <v>2361</v>
      </c>
      <c r="E359" s="12"/>
      <c r="F359" s="31"/>
      <c r="G359" s="15"/>
      <c r="H359" s="15"/>
      <c r="I359" s="53">
        <f>TRUNC(SUM(I352:I358))</f>
        <v>737</v>
      </c>
      <c r="J359" s="15"/>
      <c r="K359" s="15"/>
      <c r="L359" s="53">
        <f>TRUNC(SUM(L352:L358))</f>
        <v>6001</v>
      </c>
      <c r="M359" s="15"/>
      <c r="N359" s="53">
        <f>TRUNC(SUM(N352:N358))</f>
        <v>0</v>
      </c>
      <c r="O359" s="15" t="str">
        <f t="shared" si="125"/>
        <v/>
      </c>
      <c r="P359" s="15">
        <f t="shared" si="126"/>
        <v>6738</v>
      </c>
      <c r="Q359" s="12"/>
    </row>
    <row r="360" spans="1:18" ht="23.25" customHeight="1" x14ac:dyDescent="0.15">
      <c r="D360" s="12"/>
      <c r="E360" s="12"/>
      <c r="F360" s="31"/>
      <c r="G360" s="15"/>
      <c r="H360" s="15"/>
      <c r="I360" s="53"/>
      <c r="J360" s="15"/>
      <c r="K360" s="15"/>
      <c r="L360" s="53"/>
      <c r="M360" s="15"/>
      <c r="N360" s="53"/>
      <c r="O360" s="15"/>
      <c r="P360" s="15"/>
      <c r="Q360" s="12"/>
    </row>
    <row r="361" spans="1:18" ht="23.25" customHeight="1" x14ac:dyDescent="0.15">
      <c r="A361" s="13" t="s">
        <v>2493</v>
      </c>
      <c r="B361" s="13" t="s">
        <v>2382</v>
      </c>
      <c r="C361" s="1" t="s">
        <v>2494</v>
      </c>
      <c r="D361" s="170" t="s">
        <v>2492</v>
      </c>
      <c r="E361" s="172"/>
      <c r="F361" s="31"/>
      <c r="G361" s="15"/>
      <c r="H361" s="15"/>
      <c r="I361" s="53"/>
      <c r="J361" s="15"/>
      <c r="K361" s="15"/>
      <c r="L361" s="53"/>
      <c r="M361" s="15"/>
      <c r="N361" s="53"/>
      <c r="O361" s="15"/>
      <c r="P361" s="15"/>
      <c r="Q361" s="12"/>
    </row>
    <row r="362" spans="1:18" ht="23.25" customHeight="1" x14ac:dyDescent="0.15">
      <c r="A362" s="13" t="s">
        <v>1036</v>
      </c>
      <c r="B362" s="13" t="s">
        <v>1808</v>
      </c>
      <c r="C362" s="1" t="s">
        <v>192</v>
      </c>
      <c r="D362" s="12" t="s">
        <v>186</v>
      </c>
      <c r="E362" s="12" t="s">
        <v>193</v>
      </c>
      <c r="F362" s="31" t="s">
        <v>166</v>
      </c>
      <c r="G362" s="15">
        <v>1</v>
      </c>
      <c r="H362" s="15">
        <f>합산자재!H12</f>
        <v>990</v>
      </c>
      <c r="I362" s="53">
        <f t="shared" ref="I362:I367" si="127">IF(G362*H362&lt;&gt;0, TRUNC(G362*H362, 1), "")</f>
        <v>990</v>
      </c>
      <c r="J362" s="15">
        <v>1</v>
      </c>
      <c r="K362" s="15">
        <f>합산자재!I12</f>
        <v>0</v>
      </c>
      <c r="L362" s="53" t="str">
        <f t="shared" ref="L362:L367" si="128">IF(G362*K362&lt;&gt;0, TRUNC(G362*K362, 1), "")</f>
        <v/>
      </c>
      <c r="M362" s="15">
        <f>합산자재!J12</f>
        <v>0</v>
      </c>
      <c r="N362" s="53" t="str">
        <f t="shared" ref="N362:N367" si="129">IF(G362*M362&lt;&gt;0, TRUNC(G362*M362, 1), "")</f>
        <v/>
      </c>
      <c r="O362" s="15">
        <f t="shared" ref="O362:O368" si="130">IF((H362+K362+M362)=0, "", (H362+K362+M362))</f>
        <v>990</v>
      </c>
      <c r="P362" s="15">
        <f t="shared" ref="P362:P368" si="131">IF(SUM(I362,L362,N362)&lt;&gt;0,SUM(I362,L362,N362),"")</f>
        <v>990</v>
      </c>
      <c r="Q362" s="12"/>
      <c r="R362" s="2" t="s">
        <v>2375</v>
      </c>
    </row>
    <row r="363" spans="1:18" ht="23.25" customHeight="1" x14ac:dyDescent="0.15">
      <c r="A363" s="13" t="s">
        <v>1036</v>
      </c>
      <c r="B363" s="13" t="s">
        <v>1808</v>
      </c>
      <c r="C363" s="1" t="s">
        <v>192</v>
      </c>
      <c r="D363" s="12" t="s">
        <v>186</v>
      </c>
      <c r="E363" s="12" t="s">
        <v>193</v>
      </c>
      <c r="F363" s="31" t="s">
        <v>166</v>
      </c>
      <c r="G363" s="15">
        <v>0.03</v>
      </c>
      <c r="H363" s="15">
        <f>합산자재!H12</f>
        <v>990</v>
      </c>
      <c r="I363" s="53">
        <f t="shared" si="127"/>
        <v>29.7</v>
      </c>
      <c r="J363" s="15">
        <v>0.03</v>
      </c>
      <c r="K363" s="15">
        <f>합산자재!I12</f>
        <v>0</v>
      </c>
      <c r="L363" s="53" t="str">
        <f t="shared" si="128"/>
        <v/>
      </c>
      <c r="M363" s="15">
        <f>합산자재!J12</f>
        <v>0</v>
      </c>
      <c r="N363" s="53" t="str">
        <f t="shared" si="129"/>
        <v/>
      </c>
      <c r="O363" s="15">
        <f t="shared" si="130"/>
        <v>990</v>
      </c>
      <c r="P363" s="15">
        <f t="shared" si="131"/>
        <v>29.7</v>
      </c>
      <c r="Q363" s="12"/>
      <c r="R363" s="2" t="s">
        <v>2375</v>
      </c>
    </row>
    <row r="364" spans="1:18" ht="23.25" customHeight="1" x14ac:dyDescent="0.15">
      <c r="A364" s="13" t="s">
        <v>2367</v>
      </c>
      <c r="B364" s="13" t="s">
        <v>1808</v>
      </c>
      <c r="C364" s="1" t="s">
        <v>2368</v>
      </c>
      <c r="D364" s="12" t="s">
        <v>2369</v>
      </c>
      <c r="E364" s="12" t="s">
        <v>2370</v>
      </c>
      <c r="F364" s="31" t="s">
        <v>792</v>
      </c>
      <c r="G364" s="15">
        <v>1</v>
      </c>
      <c r="H364" s="15">
        <v>148.5</v>
      </c>
      <c r="I364" s="53">
        <f t="shared" si="127"/>
        <v>148.5</v>
      </c>
      <c r="J364" s="15">
        <v>1</v>
      </c>
      <c r="K364" s="15"/>
      <c r="L364" s="53" t="str">
        <f t="shared" si="128"/>
        <v/>
      </c>
      <c r="M364" s="15"/>
      <c r="N364" s="53" t="str">
        <f t="shared" si="129"/>
        <v/>
      </c>
      <c r="O364" s="15">
        <f t="shared" si="130"/>
        <v>148.5</v>
      </c>
      <c r="P364" s="15">
        <f t="shared" si="131"/>
        <v>148.5</v>
      </c>
      <c r="Q364" s="12"/>
    </row>
    <row r="365" spans="1:18" ht="23.25" customHeight="1" x14ac:dyDescent="0.15">
      <c r="A365" s="13" t="s">
        <v>1376</v>
      </c>
      <c r="B365" s="13" t="s">
        <v>1808</v>
      </c>
      <c r="C365" s="1" t="s">
        <v>1011</v>
      </c>
      <c r="D365" s="12" t="s">
        <v>1003</v>
      </c>
      <c r="E365" s="12" t="s">
        <v>1012</v>
      </c>
      <c r="F365" s="31" t="s">
        <v>999</v>
      </c>
      <c r="G365" s="15">
        <f>일위노임!G152</f>
        <v>8.9999999999999993E-3</v>
      </c>
      <c r="H365" s="15">
        <f>합산자재!H349</f>
        <v>0</v>
      </c>
      <c r="I365" s="53" t="str">
        <f t="shared" si="127"/>
        <v/>
      </c>
      <c r="J365" s="15">
        <v>8.9999999999999993E-3</v>
      </c>
      <c r="K365" s="15">
        <f>합산자재!I349</f>
        <v>414968</v>
      </c>
      <c r="L365" s="53">
        <f t="shared" si="128"/>
        <v>3734.7</v>
      </c>
      <c r="M365" s="15">
        <f>합산자재!J349</f>
        <v>0</v>
      </c>
      <c r="N365" s="53" t="str">
        <f t="shared" si="129"/>
        <v/>
      </c>
      <c r="O365" s="15">
        <f t="shared" si="130"/>
        <v>414968</v>
      </c>
      <c r="P365" s="15">
        <f t="shared" si="131"/>
        <v>3734.7</v>
      </c>
      <c r="Q365" s="12"/>
    </row>
    <row r="366" spans="1:18" ht="23.25" customHeight="1" x14ac:dyDescent="0.15">
      <c r="A366" s="13" t="s">
        <v>1379</v>
      </c>
      <c r="B366" s="13" t="s">
        <v>1808</v>
      </c>
      <c r="C366" s="1" t="s">
        <v>1017</v>
      </c>
      <c r="D366" s="12" t="s">
        <v>1003</v>
      </c>
      <c r="E366" s="12" t="s">
        <v>1018</v>
      </c>
      <c r="F366" s="31" t="s">
        <v>999</v>
      </c>
      <c r="G366" s="15">
        <f>일위노임!G153</f>
        <v>2.1999999999999999E-2</v>
      </c>
      <c r="H366" s="15">
        <f>합산자재!H352</f>
        <v>0</v>
      </c>
      <c r="I366" s="53" t="str">
        <f t="shared" si="127"/>
        <v/>
      </c>
      <c r="J366" s="15">
        <v>2.1999999999999999E-2</v>
      </c>
      <c r="K366" s="15">
        <f>합산자재!I352</f>
        <v>172068</v>
      </c>
      <c r="L366" s="53">
        <f t="shared" si="128"/>
        <v>3785.4</v>
      </c>
      <c r="M366" s="15">
        <f>합산자재!J352</f>
        <v>0</v>
      </c>
      <c r="N366" s="53" t="str">
        <f t="shared" si="129"/>
        <v/>
      </c>
      <c r="O366" s="15">
        <f t="shared" si="130"/>
        <v>172068</v>
      </c>
      <c r="P366" s="15">
        <f t="shared" si="131"/>
        <v>3785.4</v>
      </c>
      <c r="Q366" s="12"/>
    </row>
    <row r="367" spans="1:18" ht="23.25" customHeight="1" x14ac:dyDescent="0.15">
      <c r="A367" s="13" t="s">
        <v>2362</v>
      </c>
      <c r="B367" s="13" t="s">
        <v>1808</v>
      </c>
      <c r="C367" s="1" t="s">
        <v>2363</v>
      </c>
      <c r="D367" s="12" t="s">
        <v>2364</v>
      </c>
      <c r="E367" s="12" t="s">
        <v>2365</v>
      </c>
      <c r="F367" s="31" t="s">
        <v>792</v>
      </c>
      <c r="G367" s="15">
        <v>1</v>
      </c>
      <c r="H367" s="15">
        <v>150.4</v>
      </c>
      <c r="I367" s="53">
        <f t="shared" si="127"/>
        <v>150.4</v>
      </c>
      <c r="J367" s="15">
        <v>1</v>
      </c>
      <c r="K367" s="15"/>
      <c r="L367" s="53" t="str">
        <f t="shared" si="128"/>
        <v/>
      </c>
      <c r="M367" s="15"/>
      <c r="N367" s="53" t="str">
        <f t="shared" si="129"/>
        <v/>
      </c>
      <c r="O367" s="15">
        <f t="shared" si="130"/>
        <v>150.4</v>
      </c>
      <c r="P367" s="15">
        <f t="shared" si="131"/>
        <v>150.4</v>
      </c>
      <c r="Q367" s="12"/>
    </row>
    <row r="368" spans="1:18" ht="23.25" customHeight="1" x14ac:dyDescent="0.15">
      <c r="B368" s="13" t="s">
        <v>2360</v>
      </c>
      <c r="D368" s="12" t="s">
        <v>2361</v>
      </c>
      <c r="E368" s="12"/>
      <c r="F368" s="31"/>
      <c r="G368" s="15"/>
      <c r="H368" s="15"/>
      <c r="I368" s="53">
        <f>TRUNC(SUM(I361:I367))</f>
        <v>1318</v>
      </c>
      <c r="J368" s="15"/>
      <c r="K368" s="15"/>
      <c r="L368" s="53">
        <f>TRUNC(SUM(L361:L367))</f>
        <v>7520</v>
      </c>
      <c r="M368" s="15"/>
      <c r="N368" s="53">
        <f>TRUNC(SUM(N361:N367))</f>
        <v>0</v>
      </c>
      <c r="O368" s="15" t="str">
        <f t="shared" si="130"/>
        <v/>
      </c>
      <c r="P368" s="15">
        <f t="shared" si="131"/>
        <v>8838</v>
      </c>
      <c r="Q368" s="12"/>
    </row>
    <row r="369" spans="1:18" ht="23.25" customHeight="1" x14ac:dyDescent="0.15">
      <c r="D369" s="12"/>
      <c r="E369" s="12"/>
      <c r="F369" s="31"/>
      <c r="G369" s="15"/>
      <c r="H369" s="15"/>
      <c r="I369" s="53"/>
      <c r="J369" s="15"/>
      <c r="K369" s="15"/>
      <c r="L369" s="53"/>
      <c r="M369" s="15"/>
      <c r="N369" s="53"/>
      <c r="O369" s="15"/>
      <c r="P369" s="15"/>
      <c r="Q369" s="12"/>
    </row>
    <row r="370" spans="1:18" ht="23.25" customHeight="1" x14ac:dyDescent="0.15">
      <c r="A370" s="13" t="s">
        <v>2496</v>
      </c>
      <c r="B370" s="13" t="s">
        <v>2382</v>
      </c>
      <c r="C370" s="1" t="s">
        <v>2497</v>
      </c>
      <c r="D370" s="170" t="s">
        <v>2495</v>
      </c>
      <c r="E370" s="172"/>
      <c r="F370" s="31"/>
      <c r="G370" s="15"/>
      <c r="H370" s="15"/>
      <c r="I370" s="53"/>
      <c r="J370" s="15"/>
      <c r="K370" s="15"/>
      <c r="L370" s="53"/>
      <c r="M370" s="15"/>
      <c r="N370" s="53"/>
      <c r="O370" s="15"/>
      <c r="P370" s="15"/>
      <c r="Q370" s="12"/>
    </row>
    <row r="371" spans="1:18" ht="23.25" customHeight="1" x14ac:dyDescent="0.15">
      <c r="A371" s="13" t="s">
        <v>1037</v>
      </c>
      <c r="B371" s="13" t="s">
        <v>1811</v>
      </c>
      <c r="C371" s="1" t="s">
        <v>195</v>
      </c>
      <c r="D371" s="12" t="s">
        <v>186</v>
      </c>
      <c r="E371" s="12" t="s">
        <v>196</v>
      </c>
      <c r="F371" s="31" t="s">
        <v>166</v>
      </c>
      <c r="G371" s="15">
        <v>1</v>
      </c>
      <c r="H371" s="15">
        <f>합산자재!H13</f>
        <v>2796</v>
      </c>
      <c r="I371" s="53">
        <f t="shared" ref="I371:I376" si="132">IF(G371*H371&lt;&gt;0, TRUNC(G371*H371, 1), "")</f>
        <v>2796</v>
      </c>
      <c r="J371" s="15">
        <v>1</v>
      </c>
      <c r="K371" s="15">
        <f>합산자재!I13</f>
        <v>0</v>
      </c>
      <c r="L371" s="53" t="str">
        <f t="shared" ref="L371:L376" si="133">IF(G371*K371&lt;&gt;0, TRUNC(G371*K371, 1), "")</f>
        <v/>
      </c>
      <c r="M371" s="15">
        <f>합산자재!J13</f>
        <v>0</v>
      </c>
      <c r="N371" s="53" t="str">
        <f t="shared" ref="N371:N376" si="134">IF(G371*M371&lt;&gt;0, TRUNC(G371*M371, 1), "")</f>
        <v/>
      </c>
      <c r="O371" s="15">
        <f t="shared" ref="O371:O377" si="135">IF((H371+K371+M371)=0, "", (H371+K371+M371))</f>
        <v>2796</v>
      </c>
      <c r="P371" s="15">
        <f t="shared" ref="P371:P377" si="136">IF(SUM(I371,L371,N371)&lt;&gt;0,SUM(I371,L371,N371),"")</f>
        <v>2796</v>
      </c>
      <c r="Q371" s="12"/>
      <c r="R371" s="2" t="s">
        <v>2375</v>
      </c>
    </row>
    <row r="372" spans="1:18" ht="23.25" customHeight="1" x14ac:dyDescent="0.15">
      <c r="A372" s="13" t="s">
        <v>1037</v>
      </c>
      <c r="B372" s="13" t="s">
        <v>1811</v>
      </c>
      <c r="C372" s="1" t="s">
        <v>195</v>
      </c>
      <c r="D372" s="12" t="s">
        <v>186</v>
      </c>
      <c r="E372" s="12" t="s">
        <v>196</v>
      </c>
      <c r="F372" s="31" t="s">
        <v>166</v>
      </c>
      <c r="G372" s="15">
        <v>0.03</v>
      </c>
      <c r="H372" s="15">
        <f>합산자재!H13</f>
        <v>2796</v>
      </c>
      <c r="I372" s="53">
        <f t="shared" si="132"/>
        <v>83.8</v>
      </c>
      <c r="J372" s="15">
        <v>0.03</v>
      </c>
      <c r="K372" s="15">
        <f>합산자재!I13</f>
        <v>0</v>
      </c>
      <c r="L372" s="53" t="str">
        <f t="shared" si="133"/>
        <v/>
      </c>
      <c r="M372" s="15">
        <f>합산자재!J13</f>
        <v>0</v>
      </c>
      <c r="N372" s="53" t="str">
        <f t="shared" si="134"/>
        <v/>
      </c>
      <c r="O372" s="15">
        <f t="shared" si="135"/>
        <v>2796</v>
      </c>
      <c r="P372" s="15">
        <f t="shared" si="136"/>
        <v>83.8</v>
      </c>
      <c r="Q372" s="12"/>
      <c r="R372" s="2" t="s">
        <v>2375</v>
      </c>
    </row>
    <row r="373" spans="1:18" ht="23.25" customHeight="1" x14ac:dyDescent="0.15">
      <c r="A373" s="13" t="s">
        <v>2367</v>
      </c>
      <c r="B373" s="13" t="s">
        <v>1811</v>
      </c>
      <c r="C373" s="1" t="s">
        <v>2368</v>
      </c>
      <c r="D373" s="12" t="s">
        <v>2369</v>
      </c>
      <c r="E373" s="12" t="s">
        <v>2370</v>
      </c>
      <c r="F373" s="31" t="s">
        <v>792</v>
      </c>
      <c r="G373" s="15">
        <v>1</v>
      </c>
      <c r="H373" s="15">
        <v>419.4</v>
      </c>
      <c r="I373" s="53">
        <f t="shared" si="132"/>
        <v>419.4</v>
      </c>
      <c r="J373" s="15">
        <v>1</v>
      </c>
      <c r="K373" s="15"/>
      <c r="L373" s="53" t="str">
        <f t="shared" si="133"/>
        <v/>
      </c>
      <c r="M373" s="15"/>
      <c r="N373" s="53" t="str">
        <f t="shared" si="134"/>
        <v/>
      </c>
      <c r="O373" s="15">
        <f t="shared" si="135"/>
        <v>419.4</v>
      </c>
      <c r="P373" s="15">
        <f t="shared" si="136"/>
        <v>419.4</v>
      </c>
      <c r="Q373" s="12"/>
    </row>
    <row r="374" spans="1:18" ht="23.25" customHeight="1" x14ac:dyDescent="0.15">
      <c r="A374" s="13" t="s">
        <v>1376</v>
      </c>
      <c r="B374" s="13" t="s">
        <v>1811</v>
      </c>
      <c r="C374" s="1" t="s">
        <v>1011</v>
      </c>
      <c r="D374" s="12" t="s">
        <v>1003</v>
      </c>
      <c r="E374" s="12" t="s">
        <v>1012</v>
      </c>
      <c r="F374" s="31" t="s">
        <v>999</v>
      </c>
      <c r="G374" s="15">
        <f>일위노임!G157</f>
        <v>1.44E-2</v>
      </c>
      <c r="H374" s="15">
        <f>합산자재!H349</f>
        <v>0</v>
      </c>
      <c r="I374" s="53" t="str">
        <f t="shared" si="132"/>
        <v/>
      </c>
      <c r="J374" s="15">
        <v>1.44E-2</v>
      </c>
      <c r="K374" s="15">
        <f>합산자재!I349</f>
        <v>414968</v>
      </c>
      <c r="L374" s="53">
        <f t="shared" si="133"/>
        <v>5975.5</v>
      </c>
      <c r="M374" s="15">
        <f>합산자재!J349</f>
        <v>0</v>
      </c>
      <c r="N374" s="53" t="str">
        <f t="shared" si="134"/>
        <v/>
      </c>
      <c r="O374" s="15">
        <f t="shared" si="135"/>
        <v>414968</v>
      </c>
      <c r="P374" s="15">
        <f t="shared" si="136"/>
        <v>5975.5</v>
      </c>
      <c r="Q374" s="12"/>
    </row>
    <row r="375" spans="1:18" ht="23.25" customHeight="1" x14ac:dyDescent="0.15">
      <c r="A375" s="13" t="s">
        <v>1379</v>
      </c>
      <c r="B375" s="13" t="s">
        <v>1811</v>
      </c>
      <c r="C375" s="1" t="s">
        <v>1017</v>
      </c>
      <c r="D375" s="12" t="s">
        <v>1003</v>
      </c>
      <c r="E375" s="12" t="s">
        <v>1018</v>
      </c>
      <c r="F375" s="31" t="s">
        <v>999</v>
      </c>
      <c r="G375" s="15">
        <f>일위노임!G158</f>
        <v>4.3200000000000002E-2</v>
      </c>
      <c r="H375" s="15">
        <f>합산자재!H352</f>
        <v>0</v>
      </c>
      <c r="I375" s="53" t="str">
        <f t="shared" si="132"/>
        <v/>
      </c>
      <c r="J375" s="15">
        <v>4.3200000000000002E-2</v>
      </c>
      <c r="K375" s="15">
        <f>합산자재!I352</f>
        <v>172068</v>
      </c>
      <c r="L375" s="53">
        <f t="shared" si="133"/>
        <v>7433.3</v>
      </c>
      <c r="M375" s="15">
        <f>합산자재!J352</f>
        <v>0</v>
      </c>
      <c r="N375" s="53" t="str">
        <f t="shared" si="134"/>
        <v/>
      </c>
      <c r="O375" s="15">
        <f t="shared" si="135"/>
        <v>172068</v>
      </c>
      <c r="P375" s="15">
        <f t="shared" si="136"/>
        <v>7433.3</v>
      </c>
      <c r="Q375" s="12"/>
    </row>
    <row r="376" spans="1:18" ht="23.25" customHeight="1" x14ac:dyDescent="0.15">
      <c r="A376" s="13" t="s">
        <v>2362</v>
      </c>
      <c r="B376" s="13" t="s">
        <v>1811</v>
      </c>
      <c r="C376" s="1" t="s">
        <v>2363</v>
      </c>
      <c r="D376" s="12" t="s">
        <v>2364</v>
      </c>
      <c r="E376" s="12" t="s">
        <v>2365</v>
      </c>
      <c r="F376" s="31" t="s">
        <v>792</v>
      </c>
      <c r="G376" s="15">
        <v>1</v>
      </c>
      <c r="H376" s="15">
        <v>268.10000000000002</v>
      </c>
      <c r="I376" s="53">
        <f t="shared" si="132"/>
        <v>268.10000000000002</v>
      </c>
      <c r="J376" s="15">
        <v>1</v>
      </c>
      <c r="K376" s="15"/>
      <c r="L376" s="53" t="str">
        <f t="shared" si="133"/>
        <v/>
      </c>
      <c r="M376" s="15"/>
      <c r="N376" s="53" t="str">
        <f t="shared" si="134"/>
        <v/>
      </c>
      <c r="O376" s="15">
        <f t="shared" si="135"/>
        <v>268.10000000000002</v>
      </c>
      <c r="P376" s="15">
        <f t="shared" si="136"/>
        <v>268.10000000000002</v>
      </c>
      <c r="Q376" s="12"/>
    </row>
    <row r="377" spans="1:18" ht="23.25" customHeight="1" x14ac:dyDescent="0.15">
      <c r="B377" s="13" t="s">
        <v>2360</v>
      </c>
      <c r="D377" s="12" t="s">
        <v>2361</v>
      </c>
      <c r="E377" s="12"/>
      <c r="F377" s="31"/>
      <c r="G377" s="15"/>
      <c r="H377" s="15"/>
      <c r="I377" s="53">
        <f>TRUNC(SUM(I370:I376))</f>
        <v>3567</v>
      </c>
      <c r="J377" s="15"/>
      <c r="K377" s="15"/>
      <c r="L377" s="53">
        <f>TRUNC(SUM(L370:L376))</f>
        <v>13408</v>
      </c>
      <c r="M377" s="15"/>
      <c r="N377" s="53">
        <f>TRUNC(SUM(N370:N376))</f>
        <v>0</v>
      </c>
      <c r="O377" s="15" t="str">
        <f t="shared" si="135"/>
        <v/>
      </c>
      <c r="P377" s="15">
        <f t="shared" si="136"/>
        <v>16975</v>
      </c>
      <c r="Q377" s="12"/>
    </row>
    <row r="378" spans="1:18" ht="23.25" customHeight="1" x14ac:dyDescent="0.15">
      <c r="D378" s="12"/>
      <c r="E378" s="12"/>
      <c r="F378" s="31"/>
      <c r="G378" s="15"/>
      <c r="H378" s="15"/>
      <c r="I378" s="53"/>
      <c r="J378" s="15"/>
      <c r="K378" s="15"/>
      <c r="L378" s="53"/>
      <c r="M378" s="15"/>
      <c r="N378" s="53"/>
      <c r="O378" s="15"/>
      <c r="P378" s="15"/>
      <c r="Q378" s="12"/>
    </row>
    <row r="379" spans="1:18" ht="23.25" customHeight="1" x14ac:dyDescent="0.15">
      <c r="A379" s="13" t="s">
        <v>2499</v>
      </c>
      <c r="B379" s="13" t="s">
        <v>2382</v>
      </c>
      <c r="C379" s="1" t="s">
        <v>2500</v>
      </c>
      <c r="D379" s="170" t="s">
        <v>2498</v>
      </c>
      <c r="E379" s="172"/>
      <c r="F379" s="31"/>
      <c r="G379" s="15"/>
      <c r="H379" s="15"/>
      <c r="I379" s="53"/>
      <c r="J379" s="15"/>
      <c r="K379" s="15"/>
      <c r="L379" s="53"/>
      <c r="M379" s="15"/>
      <c r="N379" s="53"/>
      <c r="O379" s="15"/>
      <c r="P379" s="15"/>
      <c r="Q379" s="12"/>
    </row>
    <row r="380" spans="1:18" ht="23.25" customHeight="1" x14ac:dyDescent="0.15">
      <c r="A380" s="13" t="s">
        <v>1045</v>
      </c>
      <c r="B380" s="13" t="s">
        <v>1814</v>
      </c>
      <c r="C380" s="1" t="s">
        <v>215</v>
      </c>
      <c r="D380" s="12" t="s">
        <v>198</v>
      </c>
      <c r="E380" s="12" t="s">
        <v>216</v>
      </c>
      <c r="F380" s="31" t="s">
        <v>166</v>
      </c>
      <c r="G380" s="15">
        <v>1</v>
      </c>
      <c r="H380" s="15">
        <f>합산자재!H21</f>
        <v>432</v>
      </c>
      <c r="I380" s="53">
        <f>IF(G380*H380&lt;&gt;0, TRUNC(G380*H380, 1), "")</f>
        <v>432</v>
      </c>
      <c r="J380" s="15">
        <v>1</v>
      </c>
      <c r="K380" s="15">
        <f>합산자재!I21</f>
        <v>0</v>
      </c>
      <c r="L380" s="53" t="str">
        <f>IF(G380*K380&lt;&gt;0, TRUNC(G380*K380, 1), "")</f>
        <v/>
      </c>
      <c r="M380" s="15">
        <f>합산자재!J21</f>
        <v>0</v>
      </c>
      <c r="N380" s="53" t="str">
        <f>IF(G380*M380&lt;&gt;0, TRUNC(G380*M380, 1), "")</f>
        <v/>
      </c>
      <c r="O380" s="15">
        <f>IF((H380+K380+M380)=0, "", (H380+K380+M380))</f>
        <v>432</v>
      </c>
      <c r="P380" s="15">
        <f>IF(SUM(I380,L380,N380)&lt;&gt;0,SUM(I380,L380,N380),"")</f>
        <v>432</v>
      </c>
      <c r="Q380" s="12"/>
      <c r="R380" s="2" t="s">
        <v>2376</v>
      </c>
    </row>
    <row r="381" spans="1:18" ht="23.25" customHeight="1" x14ac:dyDescent="0.15">
      <c r="A381" s="13" t="s">
        <v>1045</v>
      </c>
      <c r="B381" s="13" t="s">
        <v>1814</v>
      </c>
      <c r="C381" s="1" t="s">
        <v>215</v>
      </c>
      <c r="D381" s="12" t="s">
        <v>198</v>
      </c>
      <c r="E381" s="12" t="s">
        <v>216</v>
      </c>
      <c r="F381" s="31" t="s">
        <v>166</v>
      </c>
      <c r="G381" s="15">
        <v>0.1</v>
      </c>
      <c r="H381" s="15">
        <f>합산자재!H21</f>
        <v>432</v>
      </c>
      <c r="I381" s="53">
        <f>IF(G381*H381&lt;&gt;0, TRUNC(G381*H381, 1), "")</f>
        <v>43.2</v>
      </c>
      <c r="J381" s="15">
        <v>0.1</v>
      </c>
      <c r="K381" s="15">
        <f>합산자재!I21</f>
        <v>0</v>
      </c>
      <c r="L381" s="53" t="str">
        <f>IF(G381*K381&lt;&gt;0, TRUNC(G381*K381, 1), "")</f>
        <v/>
      </c>
      <c r="M381" s="15">
        <f>합산자재!J21</f>
        <v>0</v>
      </c>
      <c r="N381" s="53" t="str">
        <f>IF(G381*M381&lt;&gt;0, TRUNC(G381*M381, 1), "")</f>
        <v/>
      </c>
      <c r="O381" s="15">
        <f>IF((H381+K381+M381)=0, "", (H381+K381+M381))</f>
        <v>432</v>
      </c>
      <c r="P381" s="15">
        <f>IF(SUM(I381,L381,N381)&lt;&gt;0,SUM(I381,L381,N381),"")</f>
        <v>43.2</v>
      </c>
      <c r="Q381" s="12"/>
      <c r="R381" s="2" t="s">
        <v>2376</v>
      </c>
    </row>
    <row r="382" spans="1:18" ht="23.25" customHeight="1" x14ac:dyDescent="0.15">
      <c r="A382" s="13" t="s">
        <v>1372</v>
      </c>
      <c r="B382" s="13" t="s">
        <v>1814</v>
      </c>
      <c r="C382" s="1" t="s">
        <v>1002</v>
      </c>
      <c r="D382" s="12" t="s">
        <v>1003</v>
      </c>
      <c r="E382" s="12" t="s">
        <v>1004</v>
      </c>
      <c r="F382" s="31" t="s">
        <v>999</v>
      </c>
      <c r="G382" s="15">
        <f>일위노임!G161</f>
        <v>3.9600000000000003E-2</v>
      </c>
      <c r="H382" s="15">
        <f>합산자재!H345</f>
        <v>0</v>
      </c>
      <c r="I382" s="53" t="str">
        <f>IF(G382*H382&lt;&gt;0, TRUNC(G382*H382, 1), "")</f>
        <v/>
      </c>
      <c r="J382" s="15">
        <v>3.9600000000000003E-2</v>
      </c>
      <c r="K382" s="15">
        <f>합산자재!I345</f>
        <v>273676</v>
      </c>
      <c r="L382" s="53">
        <f>IF(G382*K382&lt;&gt;0, TRUNC(G382*K382, 1), "")</f>
        <v>10837.5</v>
      </c>
      <c r="M382" s="15">
        <f>합산자재!J345</f>
        <v>0</v>
      </c>
      <c r="N382" s="53" t="str">
        <f>IF(G382*M382&lt;&gt;0, TRUNC(G382*M382, 1), "")</f>
        <v/>
      </c>
      <c r="O382" s="15">
        <f>IF((H382+K382+M382)=0, "", (H382+K382+M382))</f>
        <v>273676</v>
      </c>
      <c r="P382" s="15">
        <f>IF(SUM(I382,L382,N382)&lt;&gt;0,SUM(I382,L382,N382),"")</f>
        <v>10837.5</v>
      </c>
      <c r="Q382" s="12"/>
    </row>
    <row r="383" spans="1:18" ht="23.25" customHeight="1" x14ac:dyDescent="0.15">
      <c r="A383" s="13" t="s">
        <v>2362</v>
      </c>
      <c r="B383" s="13" t="s">
        <v>1814</v>
      </c>
      <c r="C383" s="1" t="s">
        <v>2363</v>
      </c>
      <c r="D383" s="12" t="s">
        <v>2364</v>
      </c>
      <c r="E383" s="12" t="s">
        <v>2365</v>
      </c>
      <c r="F383" s="31" t="s">
        <v>792</v>
      </c>
      <c r="G383" s="15">
        <v>1</v>
      </c>
      <c r="H383" s="15">
        <v>216.7</v>
      </c>
      <c r="I383" s="53">
        <f>IF(G383*H383&lt;&gt;0, TRUNC(G383*H383, 1), "")</f>
        <v>216.7</v>
      </c>
      <c r="J383" s="15">
        <v>1</v>
      </c>
      <c r="K383" s="15"/>
      <c r="L383" s="53" t="str">
        <f>IF(G383*K383&lt;&gt;0, TRUNC(G383*K383, 1), "")</f>
        <v/>
      </c>
      <c r="M383" s="15"/>
      <c r="N383" s="53" t="str">
        <f>IF(G383*M383&lt;&gt;0, TRUNC(G383*M383, 1), "")</f>
        <v/>
      </c>
      <c r="O383" s="15">
        <f>IF((H383+K383+M383)=0, "", (H383+K383+M383))</f>
        <v>216.7</v>
      </c>
      <c r="P383" s="15">
        <f>IF(SUM(I383,L383,N383)&lt;&gt;0,SUM(I383,L383,N383),"")</f>
        <v>216.7</v>
      </c>
      <c r="Q383" s="12"/>
    </row>
    <row r="384" spans="1:18" ht="23.25" customHeight="1" x14ac:dyDescent="0.15">
      <c r="B384" s="13" t="s">
        <v>2360</v>
      </c>
      <c r="D384" s="12" t="s">
        <v>2361</v>
      </c>
      <c r="E384" s="12"/>
      <c r="F384" s="31"/>
      <c r="G384" s="15"/>
      <c r="H384" s="15"/>
      <c r="I384" s="53">
        <f>TRUNC(SUM(I379:I383))</f>
        <v>691</v>
      </c>
      <c r="J384" s="15"/>
      <c r="K384" s="15"/>
      <c r="L384" s="53">
        <f>TRUNC(SUM(L379:L383))</f>
        <v>10837</v>
      </c>
      <c r="M384" s="15"/>
      <c r="N384" s="53">
        <f>TRUNC(SUM(N379:N383))</f>
        <v>0</v>
      </c>
      <c r="O384" s="15" t="str">
        <f>IF((H384+K384+M384)=0, "", (H384+K384+M384))</f>
        <v/>
      </c>
      <c r="P384" s="15">
        <f>IF(SUM(I384,L384,N384)&lt;&gt;0,SUM(I384,L384,N384),"")</f>
        <v>11528</v>
      </c>
      <c r="Q384" s="12"/>
    </row>
    <row r="385" spans="1:18" ht="23.25" customHeight="1" x14ac:dyDescent="0.15">
      <c r="D385" s="12"/>
      <c r="E385" s="12"/>
      <c r="F385" s="31"/>
      <c r="G385" s="15"/>
      <c r="H385" s="15"/>
      <c r="I385" s="53"/>
      <c r="J385" s="15"/>
      <c r="K385" s="15"/>
      <c r="L385" s="53"/>
      <c r="M385" s="15"/>
      <c r="N385" s="53"/>
      <c r="O385" s="15"/>
      <c r="P385" s="15"/>
      <c r="Q385" s="12"/>
    </row>
    <row r="386" spans="1:18" ht="23.25" customHeight="1" x14ac:dyDescent="0.15">
      <c r="A386" s="13" t="s">
        <v>2502</v>
      </c>
      <c r="B386" s="13" t="s">
        <v>2382</v>
      </c>
      <c r="C386" s="1" t="s">
        <v>2503</v>
      </c>
      <c r="D386" s="170" t="s">
        <v>2501</v>
      </c>
      <c r="E386" s="172"/>
      <c r="F386" s="31"/>
      <c r="G386" s="15"/>
      <c r="H386" s="15"/>
      <c r="I386" s="53"/>
      <c r="J386" s="15"/>
      <c r="K386" s="15"/>
      <c r="L386" s="53"/>
      <c r="M386" s="15"/>
      <c r="N386" s="53"/>
      <c r="O386" s="15"/>
      <c r="P386" s="15"/>
      <c r="Q386" s="12"/>
    </row>
    <row r="387" spans="1:18" ht="23.25" customHeight="1" x14ac:dyDescent="0.15">
      <c r="A387" s="13" t="s">
        <v>1046</v>
      </c>
      <c r="B387" s="13" t="s">
        <v>1817</v>
      </c>
      <c r="C387" s="1" t="s">
        <v>217</v>
      </c>
      <c r="D387" s="12" t="s">
        <v>198</v>
      </c>
      <c r="E387" s="12" t="s">
        <v>218</v>
      </c>
      <c r="F387" s="31" t="s">
        <v>166</v>
      </c>
      <c r="G387" s="15">
        <v>1</v>
      </c>
      <c r="H387" s="15">
        <f>합산자재!H22</f>
        <v>707</v>
      </c>
      <c r="I387" s="53">
        <f>IF(G387*H387&lt;&gt;0, TRUNC(G387*H387, 1), "")</f>
        <v>707</v>
      </c>
      <c r="J387" s="15">
        <v>1</v>
      </c>
      <c r="K387" s="15">
        <f>합산자재!I22</f>
        <v>0</v>
      </c>
      <c r="L387" s="53" t="str">
        <f>IF(G387*K387&lt;&gt;0, TRUNC(G387*K387, 1), "")</f>
        <v/>
      </c>
      <c r="M387" s="15">
        <f>합산자재!J22</f>
        <v>0</v>
      </c>
      <c r="N387" s="53" t="str">
        <f>IF(G387*M387&lt;&gt;0, TRUNC(G387*M387, 1), "")</f>
        <v/>
      </c>
      <c r="O387" s="15">
        <f>IF((H387+K387+M387)=0, "", (H387+K387+M387))</f>
        <v>707</v>
      </c>
      <c r="P387" s="15">
        <f>IF(SUM(I387,L387,N387)&lt;&gt;0,SUM(I387,L387,N387),"")</f>
        <v>707</v>
      </c>
      <c r="Q387" s="12"/>
      <c r="R387" s="2" t="s">
        <v>2376</v>
      </c>
    </row>
    <row r="388" spans="1:18" ht="23.25" customHeight="1" x14ac:dyDescent="0.15">
      <c r="A388" s="13" t="s">
        <v>1046</v>
      </c>
      <c r="B388" s="13" t="s">
        <v>1817</v>
      </c>
      <c r="C388" s="1" t="s">
        <v>217</v>
      </c>
      <c r="D388" s="12" t="s">
        <v>198</v>
      </c>
      <c r="E388" s="12" t="s">
        <v>218</v>
      </c>
      <c r="F388" s="31" t="s">
        <v>166</v>
      </c>
      <c r="G388" s="15">
        <v>0.1</v>
      </c>
      <c r="H388" s="15">
        <f>합산자재!H22</f>
        <v>707</v>
      </c>
      <c r="I388" s="53">
        <f>IF(G388*H388&lt;&gt;0, TRUNC(G388*H388, 1), "")</f>
        <v>70.7</v>
      </c>
      <c r="J388" s="15">
        <v>0.1</v>
      </c>
      <c r="K388" s="15">
        <f>합산자재!I22</f>
        <v>0</v>
      </c>
      <c r="L388" s="53" t="str">
        <f>IF(G388*K388&lt;&gt;0, TRUNC(G388*K388, 1), "")</f>
        <v/>
      </c>
      <c r="M388" s="15">
        <f>합산자재!J22</f>
        <v>0</v>
      </c>
      <c r="N388" s="53" t="str">
        <f>IF(G388*M388&lt;&gt;0, TRUNC(G388*M388, 1), "")</f>
        <v/>
      </c>
      <c r="O388" s="15">
        <f>IF((H388+K388+M388)=0, "", (H388+K388+M388))</f>
        <v>707</v>
      </c>
      <c r="P388" s="15">
        <f>IF(SUM(I388,L388,N388)&lt;&gt;0,SUM(I388,L388,N388),"")</f>
        <v>70.7</v>
      </c>
      <c r="Q388" s="12"/>
      <c r="R388" s="2" t="s">
        <v>2376</v>
      </c>
    </row>
    <row r="389" spans="1:18" ht="23.25" customHeight="1" x14ac:dyDescent="0.15">
      <c r="A389" s="13" t="s">
        <v>1372</v>
      </c>
      <c r="B389" s="13" t="s">
        <v>1817</v>
      </c>
      <c r="C389" s="1" t="s">
        <v>1002</v>
      </c>
      <c r="D389" s="12" t="s">
        <v>1003</v>
      </c>
      <c r="E389" s="12" t="s">
        <v>1004</v>
      </c>
      <c r="F389" s="31" t="s">
        <v>999</v>
      </c>
      <c r="G389" s="15">
        <f>일위노임!G164</f>
        <v>6.4799999999999996E-2</v>
      </c>
      <c r="H389" s="15">
        <f>합산자재!H345</f>
        <v>0</v>
      </c>
      <c r="I389" s="53" t="str">
        <f>IF(G389*H389&lt;&gt;0, TRUNC(G389*H389, 1), "")</f>
        <v/>
      </c>
      <c r="J389" s="15">
        <v>6.4799999999999996E-2</v>
      </c>
      <c r="K389" s="15">
        <f>합산자재!I345</f>
        <v>273676</v>
      </c>
      <c r="L389" s="53">
        <f>IF(G389*K389&lt;&gt;0, TRUNC(G389*K389, 1), "")</f>
        <v>17734.2</v>
      </c>
      <c r="M389" s="15">
        <f>합산자재!J345</f>
        <v>0</v>
      </c>
      <c r="N389" s="53" t="str">
        <f>IF(G389*M389&lt;&gt;0, TRUNC(G389*M389, 1), "")</f>
        <v/>
      </c>
      <c r="O389" s="15">
        <f>IF((H389+K389+M389)=0, "", (H389+K389+M389))</f>
        <v>273676</v>
      </c>
      <c r="P389" s="15">
        <f>IF(SUM(I389,L389,N389)&lt;&gt;0,SUM(I389,L389,N389),"")</f>
        <v>17734.2</v>
      </c>
      <c r="Q389" s="12"/>
    </row>
    <row r="390" spans="1:18" ht="23.25" customHeight="1" x14ac:dyDescent="0.15">
      <c r="A390" s="13" t="s">
        <v>2362</v>
      </c>
      <c r="B390" s="13" t="s">
        <v>1817</v>
      </c>
      <c r="C390" s="1" t="s">
        <v>2363</v>
      </c>
      <c r="D390" s="12" t="s">
        <v>2364</v>
      </c>
      <c r="E390" s="12" t="s">
        <v>2365</v>
      </c>
      <c r="F390" s="31" t="s">
        <v>792</v>
      </c>
      <c r="G390" s="15">
        <v>1</v>
      </c>
      <c r="H390" s="15">
        <v>354.6</v>
      </c>
      <c r="I390" s="53">
        <f>IF(G390*H390&lt;&gt;0, TRUNC(G390*H390, 1), "")</f>
        <v>354.6</v>
      </c>
      <c r="J390" s="15">
        <v>1</v>
      </c>
      <c r="K390" s="15"/>
      <c r="L390" s="53" t="str">
        <f>IF(G390*K390&lt;&gt;0, TRUNC(G390*K390, 1), "")</f>
        <v/>
      </c>
      <c r="M390" s="15"/>
      <c r="N390" s="53" t="str">
        <f>IF(G390*M390&lt;&gt;0, TRUNC(G390*M390, 1), "")</f>
        <v/>
      </c>
      <c r="O390" s="15">
        <f>IF((H390+K390+M390)=0, "", (H390+K390+M390))</f>
        <v>354.6</v>
      </c>
      <c r="P390" s="15">
        <f>IF(SUM(I390,L390,N390)&lt;&gt;0,SUM(I390,L390,N390),"")</f>
        <v>354.6</v>
      </c>
      <c r="Q390" s="12"/>
    </row>
    <row r="391" spans="1:18" ht="23.25" customHeight="1" x14ac:dyDescent="0.15">
      <c r="B391" s="13" t="s">
        <v>2360</v>
      </c>
      <c r="D391" s="12" t="s">
        <v>2361</v>
      </c>
      <c r="E391" s="12"/>
      <c r="F391" s="31"/>
      <c r="G391" s="15"/>
      <c r="H391" s="15"/>
      <c r="I391" s="53">
        <f>TRUNC(SUM(I386:I390))</f>
        <v>1132</v>
      </c>
      <c r="J391" s="15"/>
      <c r="K391" s="15"/>
      <c r="L391" s="53">
        <f>TRUNC(SUM(L386:L390))</f>
        <v>17734</v>
      </c>
      <c r="M391" s="15"/>
      <c r="N391" s="53">
        <f>TRUNC(SUM(N386:N390))</f>
        <v>0</v>
      </c>
      <c r="O391" s="15" t="str">
        <f>IF((H391+K391+M391)=0, "", (H391+K391+M391))</f>
        <v/>
      </c>
      <c r="P391" s="15">
        <f>IF(SUM(I391,L391,N391)&lt;&gt;0,SUM(I391,L391,N391),"")</f>
        <v>18866</v>
      </c>
      <c r="Q391" s="12"/>
    </row>
    <row r="392" spans="1:18" ht="23.25" customHeight="1" x14ac:dyDescent="0.15">
      <c r="D392" s="12"/>
      <c r="E392" s="12"/>
      <c r="F392" s="31"/>
      <c r="G392" s="15"/>
      <c r="H392" s="15"/>
      <c r="I392" s="53"/>
      <c r="J392" s="15"/>
      <c r="K392" s="15"/>
      <c r="L392" s="53"/>
      <c r="M392" s="15"/>
      <c r="N392" s="53"/>
      <c r="O392" s="15"/>
      <c r="P392" s="15"/>
      <c r="Q392" s="12"/>
    </row>
    <row r="393" spans="1:18" ht="23.25" customHeight="1" x14ac:dyDescent="0.15">
      <c r="A393" s="13" t="s">
        <v>2505</v>
      </c>
      <c r="B393" s="13" t="s">
        <v>2382</v>
      </c>
      <c r="C393" s="1" t="s">
        <v>2506</v>
      </c>
      <c r="D393" s="170" t="s">
        <v>2504</v>
      </c>
      <c r="E393" s="172"/>
      <c r="F393" s="31"/>
      <c r="G393" s="15"/>
      <c r="H393" s="15"/>
      <c r="I393" s="53"/>
      <c r="J393" s="15"/>
      <c r="K393" s="15"/>
      <c r="L393" s="53"/>
      <c r="M393" s="15"/>
      <c r="N393" s="53"/>
      <c r="O393" s="15"/>
      <c r="P393" s="15"/>
      <c r="Q393" s="12"/>
    </row>
    <row r="394" spans="1:18" ht="23.25" customHeight="1" x14ac:dyDescent="0.15">
      <c r="A394" s="13" t="s">
        <v>1047</v>
      </c>
      <c r="B394" s="13" t="s">
        <v>1820</v>
      </c>
      <c r="C394" s="1" t="s">
        <v>219</v>
      </c>
      <c r="D394" s="12" t="s">
        <v>198</v>
      </c>
      <c r="E394" s="12" t="s">
        <v>220</v>
      </c>
      <c r="F394" s="31" t="s">
        <v>166</v>
      </c>
      <c r="G394" s="15">
        <v>1</v>
      </c>
      <c r="H394" s="15">
        <f>합산자재!H23</f>
        <v>854</v>
      </c>
      <c r="I394" s="53">
        <f>IF(G394*H394&lt;&gt;0, TRUNC(G394*H394, 1), "")</f>
        <v>854</v>
      </c>
      <c r="J394" s="15">
        <v>1</v>
      </c>
      <c r="K394" s="15">
        <f>합산자재!I23</f>
        <v>0</v>
      </c>
      <c r="L394" s="53" t="str">
        <f>IF(G394*K394&lt;&gt;0, TRUNC(G394*K394, 1), "")</f>
        <v/>
      </c>
      <c r="M394" s="15">
        <f>합산자재!J23</f>
        <v>0</v>
      </c>
      <c r="N394" s="53" t="str">
        <f>IF(G394*M394&lt;&gt;0, TRUNC(G394*M394, 1), "")</f>
        <v/>
      </c>
      <c r="O394" s="15">
        <f>IF((H394+K394+M394)=0, "", (H394+K394+M394))</f>
        <v>854</v>
      </c>
      <c r="P394" s="15">
        <f>IF(SUM(I394,L394,N394)&lt;&gt;0,SUM(I394,L394,N394),"")</f>
        <v>854</v>
      </c>
      <c r="Q394" s="12"/>
      <c r="R394" s="2" t="s">
        <v>2376</v>
      </c>
    </row>
    <row r="395" spans="1:18" ht="23.25" customHeight="1" x14ac:dyDescent="0.15">
      <c r="A395" s="13" t="s">
        <v>1047</v>
      </c>
      <c r="B395" s="13" t="s">
        <v>1820</v>
      </c>
      <c r="C395" s="1" t="s">
        <v>219</v>
      </c>
      <c r="D395" s="12" t="s">
        <v>198</v>
      </c>
      <c r="E395" s="12" t="s">
        <v>220</v>
      </c>
      <c r="F395" s="31" t="s">
        <v>166</v>
      </c>
      <c r="G395" s="15">
        <v>0.1</v>
      </c>
      <c r="H395" s="15">
        <f>합산자재!H23</f>
        <v>854</v>
      </c>
      <c r="I395" s="53">
        <f>IF(G395*H395&lt;&gt;0, TRUNC(G395*H395, 1), "")</f>
        <v>85.4</v>
      </c>
      <c r="J395" s="15">
        <v>0.1</v>
      </c>
      <c r="K395" s="15">
        <f>합산자재!I23</f>
        <v>0</v>
      </c>
      <c r="L395" s="53" t="str">
        <f>IF(G395*K395&lt;&gt;0, TRUNC(G395*K395, 1), "")</f>
        <v/>
      </c>
      <c r="M395" s="15">
        <f>합산자재!J23</f>
        <v>0</v>
      </c>
      <c r="N395" s="53" t="str">
        <f>IF(G395*M395&lt;&gt;0, TRUNC(G395*M395, 1), "")</f>
        <v/>
      </c>
      <c r="O395" s="15">
        <f>IF((H395+K395+M395)=0, "", (H395+K395+M395))</f>
        <v>854</v>
      </c>
      <c r="P395" s="15">
        <f>IF(SUM(I395,L395,N395)&lt;&gt;0,SUM(I395,L395,N395),"")</f>
        <v>85.4</v>
      </c>
      <c r="Q395" s="12"/>
      <c r="R395" s="2" t="s">
        <v>2376</v>
      </c>
    </row>
    <row r="396" spans="1:18" ht="23.25" customHeight="1" x14ac:dyDescent="0.15">
      <c r="A396" s="13" t="s">
        <v>1372</v>
      </c>
      <c r="B396" s="13" t="s">
        <v>1820</v>
      </c>
      <c r="C396" s="1" t="s">
        <v>1002</v>
      </c>
      <c r="D396" s="12" t="s">
        <v>1003</v>
      </c>
      <c r="E396" s="12" t="s">
        <v>1004</v>
      </c>
      <c r="F396" s="31" t="s">
        <v>999</v>
      </c>
      <c r="G396" s="15">
        <f>일위노임!G167</f>
        <v>7.8299999999999995E-2</v>
      </c>
      <c r="H396" s="15">
        <f>합산자재!H345</f>
        <v>0</v>
      </c>
      <c r="I396" s="53" t="str">
        <f>IF(G396*H396&lt;&gt;0, TRUNC(G396*H396, 1), "")</f>
        <v/>
      </c>
      <c r="J396" s="15">
        <v>7.8299999999999995E-2</v>
      </c>
      <c r="K396" s="15">
        <f>합산자재!I345</f>
        <v>273676</v>
      </c>
      <c r="L396" s="53">
        <f>IF(G396*K396&lt;&gt;0, TRUNC(G396*K396, 1), "")</f>
        <v>21428.799999999999</v>
      </c>
      <c r="M396" s="15">
        <f>합산자재!J345</f>
        <v>0</v>
      </c>
      <c r="N396" s="53" t="str">
        <f>IF(G396*M396&lt;&gt;0, TRUNC(G396*M396, 1), "")</f>
        <v/>
      </c>
      <c r="O396" s="15">
        <f>IF((H396+K396+M396)=0, "", (H396+K396+M396))</f>
        <v>273676</v>
      </c>
      <c r="P396" s="15">
        <f>IF(SUM(I396,L396,N396)&lt;&gt;0,SUM(I396,L396,N396),"")</f>
        <v>21428.799999999999</v>
      </c>
      <c r="Q396" s="12"/>
    </row>
    <row r="397" spans="1:18" ht="23.25" customHeight="1" x14ac:dyDescent="0.15">
      <c r="A397" s="13" t="s">
        <v>2362</v>
      </c>
      <c r="B397" s="13" t="s">
        <v>1820</v>
      </c>
      <c r="C397" s="1" t="s">
        <v>2363</v>
      </c>
      <c r="D397" s="12" t="s">
        <v>2364</v>
      </c>
      <c r="E397" s="12" t="s">
        <v>2365</v>
      </c>
      <c r="F397" s="31" t="s">
        <v>792</v>
      </c>
      <c r="G397" s="15">
        <v>1</v>
      </c>
      <c r="H397" s="15">
        <v>428.5</v>
      </c>
      <c r="I397" s="53">
        <f>IF(G397*H397&lt;&gt;0, TRUNC(G397*H397, 1), "")</f>
        <v>428.5</v>
      </c>
      <c r="J397" s="15">
        <v>1</v>
      </c>
      <c r="K397" s="15"/>
      <c r="L397" s="53" t="str">
        <f>IF(G397*K397&lt;&gt;0, TRUNC(G397*K397, 1), "")</f>
        <v/>
      </c>
      <c r="M397" s="15"/>
      <c r="N397" s="53" t="str">
        <f>IF(G397*M397&lt;&gt;0, TRUNC(G397*M397, 1), "")</f>
        <v/>
      </c>
      <c r="O397" s="15">
        <f>IF((H397+K397+M397)=0, "", (H397+K397+M397))</f>
        <v>428.5</v>
      </c>
      <c r="P397" s="15">
        <f>IF(SUM(I397,L397,N397)&lt;&gt;0,SUM(I397,L397,N397),"")</f>
        <v>428.5</v>
      </c>
      <c r="Q397" s="12"/>
    </row>
    <row r="398" spans="1:18" ht="23.25" customHeight="1" x14ac:dyDescent="0.15">
      <c r="B398" s="13" t="s">
        <v>2360</v>
      </c>
      <c r="D398" s="12" t="s">
        <v>2361</v>
      </c>
      <c r="E398" s="12"/>
      <c r="F398" s="31"/>
      <c r="G398" s="15"/>
      <c r="H398" s="15"/>
      <c r="I398" s="53">
        <f>TRUNC(SUM(I393:I397))</f>
        <v>1367</v>
      </c>
      <c r="J398" s="15"/>
      <c r="K398" s="15"/>
      <c r="L398" s="53">
        <f>TRUNC(SUM(L393:L397))</f>
        <v>21428</v>
      </c>
      <c r="M398" s="15"/>
      <c r="N398" s="53">
        <f>TRUNC(SUM(N393:N397))</f>
        <v>0</v>
      </c>
      <c r="O398" s="15" t="str">
        <f>IF((H398+K398+M398)=0, "", (H398+K398+M398))</f>
        <v/>
      </c>
      <c r="P398" s="15">
        <f>IF(SUM(I398,L398,N398)&lt;&gt;0,SUM(I398,L398,N398),"")</f>
        <v>22795</v>
      </c>
      <c r="Q398" s="12"/>
    </row>
    <row r="399" spans="1:18" ht="23.25" customHeight="1" x14ac:dyDescent="0.15">
      <c r="D399" s="12"/>
      <c r="E399" s="12"/>
      <c r="F399" s="31"/>
      <c r="G399" s="15"/>
      <c r="H399" s="15"/>
      <c r="I399" s="53"/>
      <c r="J399" s="15"/>
      <c r="K399" s="15"/>
      <c r="L399" s="53"/>
      <c r="M399" s="15"/>
      <c r="N399" s="53"/>
      <c r="O399" s="15"/>
      <c r="P399" s="15"/>
      <c r="Q399" s="12"/>
    </row>
    <row r="400" spans="1:18" ht="23.25" customHeight="1" x14ac:dyDescent="0.15">
      <c r="A400" s="13" t="s">
        <v>2508</v>
      </c>
      <c r="B400" s="13" t="s">
        <v>2382</v>
      </c>
      <c r="C400" s="1" t="s">
        <v>2509</v>
      </c>
      <c r="D400" s="170" t="s">
        <v>2507</v>
      </c>
      <c r="E400" s="172"/>
      <c r="F400" s="31"/>
      <c r="G400" s="15"/>
      <c r="H400" s="15"/>
      <c r="I400" s="53"/>
      <c r="J400" s="15"/>
      <c r="K400" s="15"/>
      <c r="L400" s="53"/>
      <c r="M400" s="15"/>
      <c r="N400" s="53"/>
      <c r="O400" s="15"/>
      <c r="P400" s="15"/>
      <c r="Q400" s="12"/>
    </row>
    <row r="401" spans="1:18" ht="23.25" customHeight="1" x14ac:dyDescent="0.15">
      <c r="A401" s="13" t="s">
        <v>1048</v>
      </c>
      <c r="B401" s="13" t="s">
        <v>1823</v>
      </c>
      <c r="C401" s="1" t="s">
        <v>221</v>
      </c>
      <c r="D401" s="12" t="s">
        <v>198</v>
      </c>
      <c r="E401" s="12" t="s">
        <v>222</v>
      </c>
      <c r="F401" s="31" t="s">
        <v>166</v>
      </c>
      <c r="G401" s="15">
        <v>1</v>
      </c>
      <c r="H401" s="15">
        <f>합산자재!H24</f>
        <v>1950</v>
      </c>
      <c r="I401" s="53">
        <f>IF(G401*H401&lt;&gt;0, TRUNC(G401*H401, 1), "")</f>
        <v>1950</v>
      </c>
      <c r="J401" s="15">
        <v>1</v>
      </c>
      <c r="K401" s="15">
        <f>합산자재!I24</f>
        <v>0</v>
      </c>
      <c r="L401" s="53" t="str">
        <f>IF(G401*K401&lt;&gt;0, TRUNC(G401*K401, 1), "")</f>
        <v/>
      </c>
      <c r="M401" s="15">
        <f>합산자재!J24</f>
        <v>0</v>
      </c>
      <c r="N401" s="53" t="str">
        <f>IF(G401*M401&lt;&gt;0, TRUNC(G401*M401, 1), "")</f>
        <v/>
      </c>
      <c r="O401" s="15">
        <f>IF((H401+K401+M401)=0, "", (H401+K401+M401))</f>
        <v>1950</v>
      </c>
      <c r="P401" s="15">
        <f>IF(SUM(I401,L401,N401)&lt;&gt;0,SUM(I401,L401,N401),"")</f>
        <v>1950</v>
      </c>
      <c r="Q401" s="12"/>
      <c r="R401" s="2" t="s">
        <v>2376</v>
      </c>
    </row>
    <row r="402" spans="1:18" ht="23.25" customHeight="1" x14ac:dyDescent="0.15">
      <c r="A402" s="13" t="s">
        <v>1048</v>
      </c>
      <c r="B402" s="13" t="s">
        <v>1823</v>
      </c>
      <c r="C402" s="1" t="s">
        <v>221</v>
      </c>
      <c r="D402" s="12" t="s">
        <v>198</v>
      </c>
      <c r="E402" s="12" t="s">
        <v>222</v>
      </c>
      <c r="F402" s="31" t="s">
        <v>166</v>
      </c>
      <c r="G402" s="15">
        <v>0.1</v>
      </c>
      <c r="H402" s="15">
        <f>합산자재!H24</f>
        <v>1950</v>
      </c>
      <c r="I402" s="53">
        <f>IF(G402*H402&lt;&gt;0, TRUNC(G402*H402, 1), "")</f>
        <v>195</v>
      </c>
      <c r="J402" s="15">
        <v>0.1</v>
      </c>
      <c r="K402" s="15">
        <f>합산자재!I24</f>
        <v>0</v>
      </c>
      <c r="L402" s="53" t="str">
        <f>IF(G402*K402&lt;&gt;0, TRUNC(G402*K402, 1), "")</f>
        <v/>
      </c>
      <c r="M402" s="15">
        <f>합산자재!J24</f>
        <v>0</v>
      </c>
      <c r="N402" s="53" t="str">
        <f>IF(G402*M402&lt;&gt;0, TRUNC(G402*M402, 1), "")</f>
        <v/>
      </c>
      <c r="O402" s="15">
        <f>IF((H402+K402+M402)=0, "", (H402+K402+M402))</f>
        <v>1950</v>
      </c>
      <c r="P402" s="15">
        <f>IF(SUM(I402,L402,N402)&lt;&gt;0,SUM(I402,L402,N402),"")</f>
        <v>195</v>
      </c>
      <c r="Q402" s="12"/>
      <c r="R402" s="2" t="s">
        <v>2376</v>
      </c>
    </row>
    <row r="403" spans="1:18" ht="23.25" customHeight="1" x14ac:dyDescent="0.15">
      <c r="A403" s="13" t="s">
        <v>1372</v>
      </c>
      <c r="B403" s="13" t="s">
        <v>1823</v>
      </c>
      <c r="C403" s="1" t="s">
        <v>1002</v>
      </c>
      <c r="D403" s="12" t="s">
        <v>1003</v>
      </c>
      <c r="E403" s="12" t="s">
        <v>1004</v>
      </c>
      <c r="F403" s="31" t="s">
        <v>999</v>
      </c>
      <c r="G403" s="15">
        <f>일위노임!G170</f>
        <v>6.4799999999999996E-2</v>
      </c>
      <c r="H403" s="15">
        <f>합산자재!H345</f>
        <v>0</v>
      </c>
      <c r="I403" s="53" t="str">
        <f>IF(G403*H403&lt;&gt;0, TRUNC(G403*H403, 1), "")</f>
        <v/>
      </c>
      <c r="J403" s="15">
        <v>6.4799999999999996E-2</v>
      </c>
      <c r="K403" s="15">
        <f>합산자재!I345</f>
        <v>273676</v>
      </c>
      <c r="L403" s="53">
        <f>IF(G403*K403&lt;&gt;0, TRUNC(G403*K403, 1), "")</f>
        <v>17734.2</v>
      </c>
      <c r="M403" s="15">
        <f>합산자재!J345</f>
        <v>0</v>
      </c>
      <c r="N403" s="53" t="str">
        <f>IF(G403*M403&lt;&gt;0, TRUNC(G403*M403, 1), "")</f>
        <v/>
      </c>
      <c r="O403" s="15">
        <f>IF((H403+K403+M403)=0, "", (H403+K403+M403))</f>
        <v>273676</v>
      </c>
      <c r="P403" s="15">
        <f>IF(SUM(I403,L403,N403)&lt;&gt;0,SUM(I403,L403,N403),"")</f>
        <v>17734.2</v>
      </c>
      <c r="Q403" s="12"/>
    </row>
    <row r="404" spans="1:18" ht="23.25" customHeight="1" x14ac:dyDescent="0.15">
      <c r="A404" s="13" t="s">
        <v>2362</v>
      </c>
      <c r="B404" s="13" t="s">
        <v>1823</v>
      </c>
      <c r="C404" s="1" t="s">
        <v>2363</v>
      </c>
      <c r="D404" s="12" t="s">
        <v>2364</v>
      </c>
      <c r="E404" s="12" t="s">
        <v>2365</v>
      </c>
      <c r="F404" s="31" t="s">
        <v>792</v>
      </c>
      <c r="G404" s="15">
        <v>1</v>
      </c>
      <c r="H404" s="15">
        <v>354.6</v>
      </c>
      <c r="I404" s="53">
        <f>IF(G404*H404&lt;&gt;0, TRUNC(G404*H404, 1), "")</f>
        <v>354.6</v>
      </c>
      <c r="J404" s="15">
        <v>1</v>
      </c>
      <c r="K404" s="15"/>
      <c r="L404" s="53" t="str">
        <f>IF(G404*K404&lt;&gt;0, TRUNC(G404*K404, 1), "")</f>
        <v/>
      </c>
      <c r="M404" s="15"/>
      <c r="N404" s="53" t="str">
        <f>IF(G404*M404&lt;&gt;0, TRUNC(G404*M404, 1), "")</f>
        <v/>
      </c>
      <c r="O404" s="15">
        <f>IF((H404+K404+M404)=0, "", (H404+K404+M404))</f>
        <v>354.6</v>
      </c>
      <c r="P404" s="15">
        <f>IF(SUM(I404,L404,N404)&lt;&gt;0,SUM(I404,L404,N404),"")</f>
        <v>354.6</v>
      </c>
      <c r="Q404" s="12"/>
    </row>
    <row r="405" spans="1:18" ht="23.25" customHeight="1" x14ac:dyDescent="0.15">
      <c r="B405" s="13" t="s">
        <v>2360</v>
      </c>
      <c r="D405" s="12" t="s">
        <v>2361</v>
      </c>
      <c r="E405" s="12"/>
      <c r="F405" s="31"/>
      <c r="G405" s="15"/>
      <c r="H405" s="15"/>
      <c r="I405" s="53">
        <f>TRUNC(SUM(I400:I404))</f>
        <v>2499</v>
      </c>
      <c r="J405" s="15"/>
      <c r="K405" s="15"/>
      <c r="L405" s="53">
        <f>TRUNC(SUM(L400:L404))</f>
        <v>17734</v>
      </c>
      <c r="M405" s="15"/>
      <c r="N405" s="53">
        <f>TRUNC(SUM(N400:N404))</f>
        <v>0</v>
      </c>
      <c r="O405" s="15" t="str">
        <f>IF((H405+K405+M405)=0, "", (H405+K405+M405))</f>
        <v/>
      </c>
      <c r="P405" s="15">
        <f>IF(SUM(I405,L405,N405)&lt;&gt;0,SUM(I405,L405,N405),"")</f>
        <v>20233</v>
      </c>
      <c r="Q405" s="12"/>
    </row>
    <row r="406" spans="1:18" ht="23.25" customHeight="1" x14ac:dyDescent="0.15">
      <c r="D406" s="12"/>
      <c r="E406" s="12"/>
      <c r="F406" s="31"/>
      <c r="G406" s="15"/>
      <c r="H406" s="15"/>
      <c r="I406" s="53"/>
      <c r="J406" s="15"/>
      <c r="K406" s="15"/>
      <c r="L406" s="53"/>
      <c r="M406" s="15"/>
      <c r="N406" s="53"/>
      <c r="O406" s="15"/>
      <c r="P406" s="15"/>
      <c r="Q406" s="12"/>
    </row>
    <row r="407" spans="1:18" ht="23.25" customHeight="1" x14ac:dyDescent="0.15">
      <c r="A407" s="13" t="s">
        <v>2511</v>
      </c>
      <c r="B407" s="13" t="s">
        <v>2382</v>
      </c>
      <c r="C407" s="1" t="s">
        <v>2512</v>
      </c>
      <c r="D407" s="170" t="s">
        <v>2510</v>
      </c>
      <c r="E407" s="172"/>
      <c r="F407" s="31"/>
      <c r="G407" s="15"/>
      <c r="H407" s="15"/>
      <c r="I407" s="53"/>
      <c r="J407" s="15"/>
      <c r="K407" s="15"/>
      <c r="L407" s="53"/>
      <c r="M407" s="15"/>
      <c r="N407" s="53"/>
      <c r="O407" s="15"/>
      <c r="P407" s="15"/>
      <c r="Q407" s="12"/>
    </row>
    <row r="408" spans="1:18" ht="23.25" customHeight="1" x14ac:dyDescent="0.15">
      <c r="A408" s="13" t="s">
        <v>1049</v>
      </c>
      <c r="B408" s="13" t="s">
        <v>1826</v>
      </c>
      <c r="C408" s="1" t="s">
        <v>223</v>
      </c>
      <c r="D408" s="12" t="s">
        <v>198</v>
      </c>
      <c r="E408" s="12" t="s">
        <v>224</v>
      </c>
      <c r="F408" s="31" t="s">
        <v>166</v>
      </c>
      <c r="G408" s="15">
        <v>1</v>
      </c>
      <c r="H408" s="15">
        <f>합산자재!H25</f>
        <v>2710</v>
      </c>
      <c r="I408" s="53">
        <f>IF(G408*H408&lt;&gt;0, TRUNC(G408*H408, 1), "")</f>
        <v>2710</v>
      </c>
      <c r="J408" s="15">
        <v>1</v>
      </c>
      <c r="K408" s="15">
        <f>합산자재!I25</f>
        <v>0</v>
      </c>
      <c r="L408" s="53" t="str">
        <f>IF(G408*K408&lt;&gt;0, TRUNC(G408*K408, 1), "")</f>
        <v/>
      </c>
      <c r="M408" s="15">
        <f>합산자재!J25</f>
        <v>0</v>
      </c>
      <c r="N408" s="53" t="str">
        <f>IF(G408*M408&lt;&gt;0, TRUNC(G408*M408, 1), "")</f>
        <v/>
      </c>
      <c r="O408" s="15">
        <f>IF((H408+K408+M408)=0, "", (H408+K408+M408))</f>
        <v>2710</v>
      </c>
      <c r="P408" s="15">
        <f>IF(SUM(I408,L408,N408)&lt;&gt;0,SUM(I408,L408,N408),"")</f>
        <v>2710</v>
      </c>
      <c r="Q408" s="12"/>
      <c r="R408" s="2" t="s">
        <v>2376</v>
      </c>
    </row>
    <row r="409" spans="1:18" ht="23.25" customHeight="1" x14ac:dyDescent="0.15">
      <c r="A409" s="13" t="s">
        <v>1049</v>
      </c>
      <c r="B409" s="13" t="s">
        <v>1826</v>
      </c>
      <c r="C409" s="1" t="s">
        <v>223</v>
      </c>
      <c r="D409" s="12" t="s">
        <v>198</v>
      </c>
      <c r="E409" s="12" t="s">
        <v>224</v>
      </c>
      <c r="F409" s="31" t="s">
        <v>166</v>
      </c>
      <c r="G409" s="15">
        <v>0.1</v>
      </c>
      <c r="H409" s="15">
        <f>합산자재!H25</f>
        <v>2710</v>
      </c>
      <c r="I409" s="53">
        <f>IF(G409*H409&lt;&gt;0, TRUNC(G409*H409, 1), "")</f>
        <v>271</v>
      </c>
      <c r="J409" s="15">
        <v>0.1</v>
      </c>
      <c r="K409" s="15">
        <f>합산자재!I25</f>
        <v>0</v>
      </c>
      <c r="L409" s="53" t="str">
        <f>IF(G409*K409&lt;&gt;0, TRUNC(G409*K409, 1), "")</f>
        <v/>
      </c>
      <c r="M409" s="15">
        <f>합산자재!J25</f>
        <v>0</v>
      </c>
      <c r="N409" s="53" t="str">
        <f>IF(G409*M409&lt;&gt;0, TRUNC(G409*M409, 1), "")</f>
        <v/>
      </c>
      <c r="O409" s="15">
        <f>IF((H409+K409+M409)=0, "", (H409+K409+M409))</f>
        <v>2710</v>
      </c>
      <c r="P409" s="15">
        <f>IF(SUM(I409,L409,N409)&lt;&gt;0,SUM(I409,L409,N409),"")</f>
        <v>271</v>
      </c>
      <c r="Q409" s="12"/>
      <c r="R409" s="2" t="s">
        <v>2376</v>
      </c>
    </row>
    <row r="410" spans="1:18" ht="23.25" customHeight="1" x14ac:dyDescent="0.15">
      <c r="A410" s="13" t="s">
        <v>1372</v>
      </c>
      <c r="B410" s="13" t="s">
        <v>1826</v>
      </c>
      <c r="C410" s="1" t="s">
        <v>1002</v>
      </c>
      <c r="D410" s="12" t="s">
        <v>1003</v>
      </c>
      <c r="E410" s="12" t="s">
        <v>1004</v>
      </c>
      <c r="F410" s="31" t="s">
        <v>999</v>
      </c>
      <c r="G410" s="15">
        <f>일위노임!G173</f>
        <v>7.8299999999999995E-2</v>
      </c>
      <c r="H410" s="15">
        <f>합산자재!H345</f>
        <v>0</v>
      </c>
      <c r="I410" s="53" t="str">
        <f>IF(G410*H410&lt;&gt;0, TRUNC(G410*H410, 1), "")</f>
        <v/>
      </c>
      <c r="J410" s="15">
        <v>7.8299999999999995E-2</v>
      </c>
      <c r="K410" s="15">
        <f>합산자재!I345</f>
        <v>273676</v>
      </c>
      <c r="L410" s="53">
        <f>IF(G410*K410&lt;&gt;0, TRUNC(G410*K410, 1), "")</f>
        <v>21428.799999999999</v>
      </c>
      <c r="M410" s="15">
        <f>합산자재!J345</f>
        <v>0</v>
      </c>
      <c r="N410" s="53" t="str">
        <f>IF(G410*M410&lt;&gt;0, TRUNC(G410*M410, 1), "")</f>
        <v/>
      </c>
      <c r="O410" s="15">
        <f>IF((H410+K410+M410)=0, "", (H410+K410+M410))</f>
        <v>273676</v>
      </c>
      <c r="P410" s="15">
        <f>IF(SUM(I410,L410,N410)&lt;&gt;0,SUM(I410,L410,N410),"")</f>
        <v>21428.799999999999</v>
      </c>
      <c r="Q410" s="12"/>
    </row>
    <row r="411" spans="1:18" ht="23.25" customHeight="1" x14ac:dyDescent="0.15">
      <c r="A411" s="13" t="s">
        <v>2362</v>
      </c>
      <c r="B411" s="13" t="s">
        <v>1826</v>
      </c>
      <c r="C411" s="1" t="s">
        <v>2363</v>
      </c>
      <c r="D411" s="12" t="s">
        <v>2364</v>
      </c>
      <c r="E411" s="12" t="s">
        <v>2365</v>
      </c>
      <c r="F411" s="31" t="s">
        <v>792</v>
      </c>
      <c r="G411" s="15">
        <v>1</v>
      </c>
      <c r="H411" s="15">
        <v>428.5</v>
      </c>
      <c r="I411" s="53">
        <f>IF(G411*H411&lt;&gt;0, TRUNC(G411*H411, 1), "")</f>
        <v>428.5</v>
      </c>
      <c r="J411" s="15">
        <v>1</v>
      </c>
      <c r="K411" s="15"/>
      <c r="L411" s="53" t="str">
        <f>IF(G411*K411&lt;&gt;0, TRUNC(G411*K411, 1), "")</f>
        <v/>
      </c>
      <c r="M411" s="15"/>
      <c r="N411" s="53" t="str">
        <f>IF(G411*M411&lt;&gt;0, TRUNC(G411*M411, 1), "")</f>
        <v/>
      </c>
      <c r="O411" s="15">
        <f>IF((H411+K411+M411)=0, "", (H411+K411+M411))</f>
        <v>428.5</v>
      </c>
      <c r="P411" s="15">
        <f>IF(SUM(I411,L411,N411)&lt;&gt;0,SUM(I411,L411,N411),"")</f>
        <v>428.5</v>
      </c>
      <c r="Q411" s="12"/>
    </row>
    <row r="412" spans="1:18" ht="23.25" customHeight="1" x14ac:dyDescent="0.15">
      <c r="B412" s="13" t="s">
        <v>2360</v>
      </c>
      <c r="D412" s="12" t="s">
        <v>2361</v>
      </c>
      <c r="E412" s="12"/>
      <c r="F412" s="31"/>
      <c r="G412" s="15"/>
      <c r="H412" s="15"/>
      <c r="I412" s="53">
        <f>TRUNC(SUM(I407:I411))</f>
        <v>3409</v>
      </c>
      <c r="J412" s="15"/>
      <c r="K412" s="15"/>
      <c r="L412" s="53">
        <f>TRUNC(SUM(L407:L411))</f>
        <v>21428</v>
      </c>
      <c r="M412" s="15"/>
      <c r="N412" s="53">
        <f>TRUNC(SUM(N407:N411))</f>
        <v>0</v>
      </c>
      <c r="O412" s="15" t="str">
        <f>IF((H412+K412+M412)=0, "", (H412+K412+M412))</f>
        <v/>
      </c>
      <c r="P412" s="15">
        <f>IF(SUM(I412,L412,N412)&lt;&gt;0,SUM(I412,L412,N412),"")</f>
        <v>24837</v>
      </c>
      <c r="Q412" s="12"/>
    </row>
    <row r="413" spans="1:18" ht="23.25" customHeight="1" x14ac:dyDescent="0.15">
      <c r="D413" s="12"/>
      <c r="E413" s="12"/>
      <c r="F413" s="31"/>
      <c r="G413" s="15"/>
      <c r="H413" s="15"/>
      <c r="I413" s="53"/>
      <c r="J413" s="15"/>
      <c r="K413" s="15"/>
      <c r="L413" s="53"/>
      <c r="M413" s="15"/>
      <c r="N413" s="53"/>
      <c r="O413" s="15"/>
      <c r="P413" s="15"/>
      <c r="Q413" s="12"/>
    </row>
    <row r="414" spans="1:18" ht="23.25" customHeight="1" x14ac:dyDescent="0.15">
      <c r="A414" s="13" t="s">
        <v>2514</v>
      </c>
      <c r="B414" s="13" t="s">
        <v>2382</v>
      </c>
      <c r="C414" s="1" t="s">
        <v>2515</v>
      </c>
      <c r="D414" s="170" t="s">
        <v>2513</v>
      </c>
      <c r="E414" s="172"/>
      <c r="F414" s="31"/>
      <c r="G414" s="15"/>
      <c r="H414" s="15"/>
      <c r="I414" s="53"/>
      <c r="J414" s="15"/>
      <c r="K414" s="15"/>
      <c r="L414" s="53"/>
      <c r="M414" s="15"/>
      <c r="N414" s="53"/>
      <c r="O414" s="15"/>
      <c r="P414" s="15"/>
      <c r="Q414" s="12"/>
    </row>
    <row r="415" spans="1:18" ht="23.25" customHeight="1" x14ac:dyDescent="0.15">
      <c r="A415" s="13" t="s">
        <v>1050</v>
      </c>
      <c r="B415" s="13" t="s">
        <v>1829</v>
      </c>
      <c r="C415" s="1" t="s">
        <v>225</v>
      </c>
      <c r="D415" s="12" t="s">
        <v>198</v>
      </c>
      <c r="E415" s="12" t="s">
        <v>226</v>
      </c>
      <c r="F415" s="31" t="s">
        <v>166</v>
      </c>
      <c r="G415" s="15">
        <v>1</v>
      </c>
      <c r="H415" s="15">
        <f>합산자재!H26</f>
        <v>3570</v>
      </c>
      <c r="I415" s="53">
        <f>IF(G415*H415&lt;&gt;0, TRUNC(G415*H415, 1), "")</f>
        <v>3570</v>
      </c>
      <c r="J415" s="15">
        <v>1</v>
      </c>
      <c r="K415" s="15">
        <f>합산자재!I26</f>
        <v>0</v>
      </c>
      <c r="L415" s="53" t="str">
        <f>IF(G415*K415&lt;&gt;0, TRUNC(G415*K415, 1), "")</f>
        <v/>
      </c>
      <c r="M415" s="15">
        <f>합산자재!J26</f>
        <v>0</v>
      </c>
      <c r="N415" s="53" t="str">
        <f>IF(G415*M415&lt;&gt;0, TRUNC(G415*M415, 1), "")</f>
        <v/>
      </c>
      <c r="O415" s="15">
        <f>IF((H415+K415+M415)=0, "", (H415+K415+M415))</f>
        <v>3570</v>
      </c>
      <c r="P415" s="15">
        <f>IF(SUM(I415,L415,N415)&lt;&gt;0,SUM(I415,L415,N415),"")</f>
        <v>3570</v>
      </c>
      <c r="Q415" s="12"/>
      <c r="R415" s="2" t="s">
        <v>2376</v>
      </c>
    </row>
    <row r="416" spans="1:18" ht="23.25" customHeight="1" x14ac:dyDescent="0.15">
      <c r="A416" s="13" t="s">
        <v>1050</v>
      </c>
      <c r="B416" s="13" t="s">
        <v>1829</v>
      </c>
      <c r="C416" s="1" t="s">
        <v>225</v>
      </c>
      <c r="D416" s="12" t="s">
        <v>198</v>
      </c>
      <c r="E416" s="12" t="s">
        <v>226</v>
      </c>
      <c r="F416" s="31" t="s">
        <v>166</v>
      </c>
      <c r="G416" s="15">
        <v>0.1</v>
      </c>
      <c r="H416" s="15">
        <f>합산자재!H26</f>
        <v>3570</v>
      </c>
      <c r="I416" s="53">
        <f>IF(G416*H416&lt;&gt;0, TRUNC(G416*H416, 1), "")</f>
        <v>357</v>
      </c>
      <c r="J416" s="15">
        <v>0.1</v>
      </c>
      <c r="K416" s="15">
        <f>합산자재!I26</f>
        <v>0</v>
      </c>
      <c r="L416" s="53" t="str">
        <f>IF(G416*K416&lt;&gt;0, TRUNC(G416*K416, 1), "")</f>
        <v/>
      </c>
      <c r="M416" s="15">
        <f>합산자재!J26</f>
        <v>0</v>
      </c>
      <c r="N416" s="53" t="str">
        <f>IF(G416*M416&lt;&gt;0, TRUNC(G416*M416, 1), "")</f>
        <v/>
      </c>
      <c r="O416" s="15">
        <f>IF((H416+K416+M416)=0, "", (H416+K416+M416))</f>
        <v>3570</v>
      </c>
      <c r="P416" s="15">
        <f>IF(SUM(I416,L416,N416)&lt;&gt;0,SUM(I416,L416,N416),"")</f>
        <v>357</v>
      </c>
      <c r="Q416" s="12"/>
      <c r="R416" s="2" t="s">
        <v>2376</v>
      </c>
    </row>
    <row r="417" spans="1:17" ht="23.25" customHeight="1" x14ac:dyDescent="0.15">
      <c r="A417" s="13" t="s">
        <v>1372</v>
      </c>
      <c r="B417" s="13" t="s">
        <v>1829</v>
      </c>
      <c r="C417" s="1" t="s">
        <v>1002</v>
      </c>
      <c r="D417" s="12" t="s">
        <v>1003</v>
      </c>
      <c r="E417" s="12" t="s">
        <v>1004</v>
      </c>
      <c r="F417" s="31" t="s">
        <v>999</v>
      </c>
      <c r="G417" s="15">
        <f>일위노임!G176</f>
        <v>9.3600000000000003E-2</v>
      </c>
      <c r="H417" s="15">
        <f>합산자재!H345</f>
        <v>0</v>
      </c>
      <c r="I417" s="53" t="str">
        <f>IF(G417*H417&lt;&gt;0, TRUNC(G417*H417, 1), "")</f>
        <v/>
      </c>
      <c r="J417" s="15">
        <v>9.3600000000000003E-2</v>
      </c>
      <c r="K417" s="15">
        <f>합산자재!I345</f>
        <v>273676</v>
      </c>
      <c r="L417" s="53">
        <f>IF(G417*K417&lt;&gt;0, TRUNC(G417*K417, 1), "")</f>
        <v>25616</v>
      </c>
      <c r="M417" s="15">
        <f>합산자재!J345</f>
        <v>0</v>
      </c>
      <c r="N417" s="53" t="str">
        <f>IF(G417*M417&lt;&gt;0, TRUNC(G417*M417, 1), "")</f>
        <v/>
      </c>
      <c r="O417" s="15">
        <f>IF((H417+K417+M417)=0, "", (H417+K417+M417))</f>
        <v>273676</v>
      </c>
      <c r="P417" s="15">
        <f>IF(SUM(I417,L417,N417)&lt;&gt;0,SUM(I417,L417,N417),"")</f>
        <v>25616</v>
      </c>
      <c r="Q417" s="12"/>
    </row>
    <row r="418" spans="1:17" ht="23.25" customHeight="1" x14ac:dyDescent="0.15">
      <c r="A418" s="13" t="s">
        <v>2362</v>
      </c>
      <c r="B418" s="13" t="s">
        <v>1829</v>
      </c>
      <c r="C418" s="1" t="s">
        <v>2363</v>
      </c>
      <c r="D418" s="12" t="s">
        <v>2364</v>
      </c>
      <c r="E418" s="12" t="s">
        <v>2365</v>
      </c>
      <c r="F418" s="31" t="s">
        <v>792</v>
      </c>
      <c r="G418" s="15">
        <v>1</v>
      </c>
      <c r="H418" s="15">
        <v>512.29999999999995</v>
      </c>
      <c r="I418" s="53">
        <f>IF(G418*H418&lt;&gt;0, TRUNC(G418*H418, 1), "")</f>
        <v>512.29999999999995</v>
      </c>
      <c r="J418" s="15">
        <v>1</v>
      </c>
      <c r="K418" s="15"/>
      <c r="L418" s="53" t="str">
        <f>IF(G418*K418&lt;&gt;0, TRUNC(G418*K418, 1), "")</f>
        <v/>
      </c>
      <c r="M418" s="15"/>
      <c r="N418" s="53" t="str">
        <f>IF(G418*M418&lt;&gt;0, TRUNC(G418*M418, 1), "")</f>
        <v/>
      </c>
      <c r="O418" s="15">
        <f>IF((H418+K418+M418)=0, "", (H418+K418+M418))</f>
        <v>512.29999999999995</v>
      </c>
      <c r="P418" s="15">
        <f>IF(SUM(I418,L418,N418)&lt;&gt;0,SUM(I418,L418,N418),"")</f>
        <v>512.29999999999995</v>
      </c>
      <c r="Q418" s="12"/>
    </row>
    <row r="419" spans="1:17" ht="23.25" customHeight="1" x14ac:dyDescent="0.15">
      <c r="B419" s="13" t="s">
        <v>2360</v>
      </c>
      <c r="D419" s="12" t="s">
        <v>2361</v>
      </c>
      <c r="E419" s="12"/>
      <c r="F419" s="31"/>
      <c r="G419" s="15"/>
      <c r="H419" s="15"/>
      <c r="I419" s="53">
        <f>TRUNC(SUM(I414:I418))</f>
        <v>4439</v>
      </c>
      <c r="J419" s="15"/>
      <c r="K419" s="15"/>
      <c r="L419" s="53">
        <f>TRUNC(SUM(L414:L418))</f>
        <v>25616</v>
      </c>
      <c r="M419" s="15"/>
      <c r="N419" s="53">
        <f>TRUNC(SUM(N414:N418))</f>
        <v>0</v>
      </c>
      <c r="O419" s="15" t="str">
        <f>IF((H419+K419+M419)=0, "", (H419+K419+M419))</f>
        <v/>
      </c>
      <c r="P419" s="15">
        <f>IF(SUM(I419,L419,N419)&lt;&gt;0,SUM(I419,L419,N419),"")</f>
        <v>30055</v>
      </c>
      <c r="Q419" s="12"/>
    </row>
    <row r="420" spans="1:17" ht="23.25" customHeight="1" x14ac:dyDescent="0.15">
      <c r="D420" s="12"/>
      <c r="E420" s="12"/>
      <c r="F420" s="31"/>
      <c r="G420" s="15"/>
      <c r="H420" s="15"/>
      <c r="I420" s="53"/>
      <c r="J420" s="15"/>
      <c r="K420" s="15"/>
      <c r="L420" s="53"/>
      <c r="M420" s="15"/>
      <c r="N420" s="53"/>
      <c r="O420" s="15"/>
      <c r="P420" s="15"/>
      <c r="Q420" s="12"/>
    </row>
    <row r="421" spans="1:17" ht="23.25" customHeight="1" x14ac:dyDescent="0.15">
      <c r="A421" s="13" t="s">
        <v>2517</v>
      </c>
      <c r="B421" s="13" t="s">
        <v>2382</v>
      </c>
      <c r="C421" s="1" t="s">
        <v>2518</v>
      </c>
      <c r="D421" s="170" t="s">
        <v>2516</v>
      </c>
      <c r="E421" s="172"/>
      <c r="F421" s="31"/>
      <c r="G421" s="15"/>
      <c r="H421" s="15"/>
      <c r="I421" s="53"/>
      <c r="J421" s="15"/>
      <c r="K421" s="15"/>
      <c r="L421" s="53"/>
      <c r="M421" s="15"/>
      <c r="N421" s="53"/>
      <c r="O421" s="15"/>
      <c r="P421" s="15"/>
      <c r="Q421" s="12"/>
    </row>
    <row r="422" spans="1:17" ht="23.25" customHeight="1" x14ac:dyDescent="0.15">
      <c r="A422" s="13" t="s">
        <v>1060</v>
      </c>
      <c r="B422" s="13" t="s">
        <v>1832</v>
      </c>
      <c r="C422" s="1" t="s">
        <v>249</v>
      </c>
      <c r="D422" s="12" t="s">
        <v>250</v>
      </c>
      <c r="E422" s="12" t="s">
        <v>251</v>
      </c>
      <c r="F422" s="31" t="s">
        <v>200</v>
      </c>
      <c r="G422" s="15">
        <v>1</v>
      </c>
      <c r="H422" s="15">
        <f>합산자재!H36</f>
        <v>3043</v>
      </c>
      <c r="I422" s="53">
        <f>IF(G422*H422&lt;&gt;0, TRUNC(G422*H422, 1), "")</f>
        <v>3043</v>
      </c>
      <c r="J422" s="15">
        <v>1</v>
      </c>
      <c r="K422" s="15">
        <f>합산자재!I36</f>
        <v>0</v>
      </c>
      <c r="L422" s="53" t="str">
        <f>IF(G422*K422&lt;&gt;0, TRUNC(G422*K422, 1), "")</f>
        <v/>
      </c>
      <c r="M422" s="15">
        <f>합산자재!J36</f>
        <v>0</v>
      </c>
      <c r="N422" s="53" t="str">
        <f>IF(G422*M422&lt;&gt;0, TRUNC(G422*M422, 1), "")</f>
        <v/>
      </c>
      <c r="O422" s="15">
        <f>IF((H422+K422+M422)=0, "", (H422+K422+M422))</f>
        <v>3043</v>
      </c>
      <c r="P422" s="15">
        <f>IF(SUM(I422,L422,N422)&lt;&gt;0,SUM(I422,L422,N422),"")</f>
        <v>3043</v>
      </c>
      <c r="Q422" s="12"/>
    </row>
    <row r="423" spans="1:17" ht="23.25" customHeight="1" x14ac:dyDescent="0.15">
      <c r="A423" s="13" t="s">
        <v>1372</v>
      </c>
      <c r="B423" s="13" t="s">
        <v>1832</v>
      </c>
      <c r="C423" s="1" t="s">
        <v>1002</v>
      </c>
      <c r="D423" s="12" t="s">
        <v>1003</v>
      </c>
      <c r="E423" s="12" t="s">
        <v>1004</v>
      </c>
      <c r="F423" s="31" t="s">
        <v>999</v>
      </c>
      <c r="G423" s="15">
        <f>일위노임!G179</f>
        <v>0.03</v>
      </c>
      <c r="H423" s="15">
        <f>합산자재!H345</f>
        <v>0</v>
      </c>
      <c r="I423" s="53" t="str">
        <f>IF(G423*H423&lt;&gt;0, TRUNC(G423*H423, 1), "")</f>
        <v/>
      </c>
      <c r="J423" s="15">
        <v>0.03</v>
      </c>
      <c r="K423" s="15">
        <f>합산자재!I345</f>
        <v>273676</v>
      </c>
      <c r="L423" s="53">
        <f>IF(G423*K423&lt;&gt;0, TRUNC(G423*K423, 1), "")</f>
        <v>8210.2000000000007</v>
      </c>
      <c r="M423" s="15">
        <f>합산자재!J345</f>
        <v>0</v>
      </c>
      <c r="N423" s="53" t="str">
        <f>IF(G423*M423&lt;&gt;0, TRUNC(G423*M423, 1), "")</f>
        <v/>
      </c>
      <c r="O423" s="15">
        <f>IF((H423+K423+M423)=0, "", (H423+K423+M423))</f>
        <v>273676</v>
      </c>
      <c r="P423" s="15">
        <f>IF(SUM(I423,L423,N423)&lt;&gt;0,SUM(I423,L423,N423),"")</f>
        <v>8210.2000000000007</v>
      </c>
      <c r="Q423" s="12"/>
    </row>
    <row r="424" spans="1:17" ht="23.25" customHeight="1" x14ac:dyDescent="0.15">
      <c r="A424" s="13" t="s">
        <v>2362</v>
      </c>
      <c r="B424" s="13" t="s">
        <v>1832</v>
      </c>
      <c r="C424" s="1" t="s">
        <v>2363</v>
      </c>
      <c r="D424" s="12" t="s">
        <v>2364</v>
      </c>
      <c r="E424" s="12" t="s">
        <v>2365</v>
      </c>
      <c r="F424" s="31" t="s">
        <v>792</v>
      </c>
      <c r="G424" s="15">
        <v>1</v>
      </c>
      <c r="H424" s="15">
        <v>164.2</v>
      </c>
      <c r="I424" s="53">
        <f>IF(G424*H424&lt;&gt;0, TRUNC(G424*H424, 1), "")</f>
        <v>164.2</v>
      </c>
      <c r="J424" s="15">
        <v>1</v>
      </c>
      <c r="K424" s="15"/>
      <c r="L424" s="53" t="str">
        <f>IF(G424*K424&lt;&gt;0, TRUNC(G424*K424, 1), "")</f>
        <v/>
      </c>
      <c r="M424" s="15"/>
      <c r="N424" s="53" t="str">
        <f>IF(G424*M424&lt;&gt;0, TRUNC(G424*M424, 1), "")</f>
        <v/>
      </c>
      <c r="O424" s="15">
        <f>IF((H424+K424+M424)=0, "", (H424+K424+M424))</f>
        <v>164.2</v>
      </c>
      <c r="P424" s="15">
        <f>IF(SUM(I424,L424,N424)&lt;&gt;0,SUM(I424,L424,N424),"")</f>
        <v>164.2</v>
      </c>
      <c r="Q424" s="12"/>
    </row>
    <row r="425" spans="1:17" ht="23.25" customHeight="1" x14ac:dyDescent="0.15">
      <c r="B425" s="13" t="s">
        <v>2360</v>
      </c>
      <c r="D425" s="12" t="s">
        <v>2361</v>
      </c>
      <c r="E425" s="12"/>
      <c r="F425" s="31"/>
      <c r="G425" s="15"/>
      <c r="H425" s="15"/>
      <c r="I425" s="53">
        <f>TRUNC(SUM(I421:I424))</f>
        <v>3207</v>
      </c>
      <c r="J425" s="15"/>
      <c r="K425" s="15"/>
      <c r="L425" s="53">
        <f>TRUNC(SUM(L421:L424))</f>
        <v>8210</v>
      </c>
      <c r="M425" s="15"/>
      <c r="N425" s="53">
        <f>TRUNC(SUM(N421:N424))</f>
        <v>0</v>
      </c>
      <c r="O425" s="15" t="str">
        <f>IF((H425+K425+M425)=0, "", (H425+K425+M425))</f>
        <v/>
      </c>
      <c r="P425" s="15">
        <f>IF(SUM(I425,L425,N425)&lt;&gt;0,SUM(I425,L425,N425),"")</f>
        <v>11417</v>
      </c>
      <c r="Q425" s="12"/>
    </row>
    <row r="426" spans="1:17" ht="23.25" customHeight="1" x14ac:dyDescent="0.15">
      <c r="D426" s="12"/>
      <c r="E426" s="12"/>
      <c r="F426" s="31"/>
      <c r="G426" s="15"/>
      <c r="H426" s="15"/>
      <c r="I426" s="53"/>
      <c r="J426" s="15"/>
      <c r="K426" s="15"/>
      <c r="L426" s="53"/>
      <c r="M426" s="15"/>
      <c r="N426" s="53"/>
      <c r="O426" s="15"/>
      <c r="P426" s="15"/>
      <c r="Q426" s="12"/>
    </row>
    <row r="427" spans="1:17" ht="23.25" customHeight="1" x14ac:dyDescent="0.15">
      <c r="A427" s="13" t="s">
        <v>2520</v>
      </c>
      <c r="B427" s="13" t="s">
        <v>2382</v>
      </c>
      <c r="C427" s="1" t="s">
        <v>2521</v>
      </c>
      <c r="D427" s="170" t="s">
        <v>2519</v>
      </c>
      <c r="E427" s="172"/>
      <c r="F427" s="31"/>
      <c r="G427" s="15"/>
      <c r="H427" s="15"/>
      <c r="I427" s="53"/>
      <c r="J427" s="15"/>
      <c r="K427" s="15"/>
      <c r="L427" s="53"/>
      <c r="M427" s="15"/>
      <c r="N427" s="53"/>
      <c r="O427" s="15"/>
      <c r="P427" s="15"/>
      <c r="Q427" s="12"/>
    </row>
    <row r="428" spans="1:17" ht="23.25" customHeight="1" x14ac:dyDescent="0.15">
      <c r="A428" s="13" t="s">
        <v>1064</v>
      </c>
      <c r="B428" s="13" t="s">
        <v>1835</v>
      </c>
      <c r="C428" s="1" t="s">
        <v>259</v>
      </c>
      <c r="D428" s="12" t="s">
        <v>260</v>
      </c>
      <c r="E428" s="12" t="s">
        <v>261</v>
      </c>
      <c r="F428" s="31" t="s">
        <v>200</v>
      </c>
      <c r="G428" s="15">
        <v>1</v>
      </c>
      <c r="H428" s="15">
        <f>합산자재!H40</f>
        <v>627</v>
      </c>
      <c r="I428" s="53">
        <f>IF(G428*H428&lt;&gt;0, TRUNC(G428*H428, 1), "")</f>
        <v>627</v>
      </c>
      <c r="J428" s="15">
        <v>1</v>
      </c>
      <c r="K428" s="15">
        <f>합산자재!I40</f>
        <v>0</v>
      </c>
      <c r="L428" s="53" t="str">
        <f>IF(G428*K428&lt;&gt;0, TRUNC(G428*K428, 1), "")</f>
        <v/>
      </c>
      <c r="M428" s="15">
        <f>합산자재!J40</f>
        <v>0</v>
      </c>
      <c r="N428" s="53" t="str">
        <f>IF(G428*M428&lt;&gt;0, TRUNC(G428*M428, 1), "")</f>
        <v/>
      </c>
      <c r="O428" s="15">
        <f>IF((H428+K428+M428)=0, "", (H428+K428+M428))</f>
        <v>627</v>
      </c>
      <c r="P428" s="15">
        <f>IF(SUM(I428,L428,N428)&lt;&gt;0,SUM(I428,L428,N428),"")</f>
        <v>627</v>
      </c>
      <c r="Q428" s="12"/>
    </row>
    <row r="429" spans="1:17" ht="23.25" customHeight="1" x14ac:dyDescent="0.15">
      <c r="A429" s="13" t="s">
        <v>1372</v>
      </c>
      <c r="B429" s="13" t="s">
        <v>1835</v>
      </c>
      <c r="C429" s="1" t="s">
        <v>1002</v>
      </c>
      <c r="D429" s="12" t="s">
        <v>1003</v>
      </c>
      <c r="E429" s="12" t="s">
        <v>1004</v>
      </c>
      <c r="F429" s="31" t="s">
        <v>999</v>
      </c>
      <c r="G429" s="15">
        <f>일위노임!G182</f>
        <v>0.108</v>
      </c>
      <c r="H429" s="15">
        <f>합산자재!H345</f>
        <v>0</v>
      </c>
      <c r="I429" s="53" t="str">
        <f>IF(G429*H429&lt;&gt;0, TRUNC(G429*H429, 1), "")</f>
        <v/>
      </c>
      <c r="J429" s="15">
        <v>0.108</v>
      </c>
      <c r="K429" s="15">
        <f>합산자재!I345</f>
        <v>273676</v>
      </c>
      <c r="L429" s="53">
        <f>IF(G429*K429&lt;&gt;0, TRUNC(G429*K429, 1), "")</f>
        <v>29557</v>
      </c>
      <c r="M429" s="15">
        <f>합산자재!J345</f>
        <v>0</v>
      </c>
      <c r="N429" s="53" t="str">
        <f>IF(G429*M429&lt;&gt;0, TRUNC(G429*M429, 1), "")</f>
        <v/>
      </c>
      <c r="O429" s="15">
        <f>IF((H429+K429+M429)=0, "", (H429+K429+M429))</f>
        <v>273676</v>
      </c>
      <c r="P429" s="15">
        <f>IF(SUM(I429,L429,N429)&lt;&gt;0,SUM(I429,L429,N429),"")</f>
        <v>29557</v>
      </c>
      <c r="Q429" s="12"/>
    </row>
    <row r="430" spans="1:17" ht="23.25" customHeight="1" x14ac:dyDescent="0.15">
      <c r="A430" s="13" t="s">
        <v>2362</v>
      </c>
      <c r="B430" s="13" t="s">
        <v>1835</v>
      </c>
      <c r="C430" s="1" t="s">
        <v>2363</v>
      </c>
      <c r="D430" s="12" t="s">
        <v>2364</v>
      </c>
      <c r="E430" s="12" t="s">
        <v>2365</v>
      </c>
      <c r="F430" s="31" t="s">
        <v>792</v>
      </c>
      <c r="G430" s="15">
        <v>1</v>
      </c>
      <c r="H430" s="15">
        <v>591.1</v>
      </c>
      <c r="I430" s="53">
        <f>IF(G430*H430&lt;&gt;0, TRUNC(G430*H430, 1), "")</f>
        <v>591.1</v>
      </c>
      <c r="J430" s="15">
        <v>1</v>
      </c>
      <c r="K430" s="15"/>
      <c r="L430" s="53" t="str">
        <f>IF(G430*K430&lt;&gt;0, TRUNC(G430*K430, 1), "")</f>
        <v/>
      </c>
      <c r="M430" s="15"/>
      <c r="N430" s="53" t="str">
        <f>IF(G430*M430&lt;&gt;0, TRUNC(G430*M430, 1), "")</f>
        <v/>
      </c>
      <c r="O430" s="15">
        <f>IF((H430+K430+M430)=0, "", (H430+K430+M430))</f>
        <v>591.1</v>
      </c>
      <c r="P430" s="15">
        <f>IF(SUM(I430,L430,N430)&lt;&gt;0,SUM(I430,L430,N430),"")</f>
        <v>591.1</v>
      </c>
      <c r="Q430" s="12"/>
    </row>
    <row r="431" spans="1:17" ht="23.25" customHeight="1" x14ac:dyDescent="0.15">
      <c r="B431" s="13" t="s">
        <v>2360</v>
      </c>
      <c r="D431" s="12" t="s">
        <v>2361</v>
      </c>
      <c r="E431" s="12"/>
      <c r="F431" s="31"/>
      <c r="G431" s="15"/>
      <c r="H431" s="15"/>
      <c r="I431" s="53">
        <f>TRUNC(SUM(I427:I430))</f>
        <v>1218</v>
      </c>
      <c r="J431" s="15"/>
      <c r="K431" s="15"/>
      <c r="L431" s="53">
        <f>TRUNC(SUM(L427:L430))</f>
        <v>29557</v>
      </c>
      <c r="M431" s="15"/>
      <c r="N431" s="53">
        <f>TRUNC(SUM(N427:N430))</f>
        <v>0</v>
      </c>
      <c r="O431" s="15" t="str">
        <f>IF((H431+K431+M431)=0, "", (H431+K431+M431))</f>
        <v/>
      </c>
      <c r="P431" s="15">
        <f>IF(SUM(I431,L431,N431)&lt;&gt;0,SUM(I431,L431,N431),"")</f>
        <v>30775</v>
      </c>
      <c r="Q431" s="12"/>
    </row>
    <row r="432" spans="1:17" ht="23.25" customHeight="1" x14ac:dyDescent="0.15">
      <c r="D432" s="12"/>
      <c r="E432" s="12"/>
      <c r="F432" s="31"/>
      <c r="G432" s="15"/>
      <c r="H432" s="15"/>
      <c r="I432" s="53"/>
      <c r="J432" s="15"/>
      <c r="K432" s="15"/>
      <c r="L432" s="53"/>
      <c r="M432" s="15"/>
      <c r="N432" s="53"/>
      <c r="O432" s="15"/>
      <c r="P432" s="15"/>
      <c r="Q432" s="12"/>
    </row>
    <row r="433" spans="1:17" ht="23.25" customHeight="1" x14ac:dyDescent="0.15">
      <c r="A433" s="13" t="s">
        <v>2523</v>
      </c>
      <c r="B433" s="13" t="s">
        <v>2382</v>
      </c>
      <c r="C433" s="1" t="s">
        <v>2524</v>
      </c>
      <c r="D433" s="170" t="s">
        <v>2522</v>
      </c>
      <c r="E433" s="172"/>
      <c r="F433" s="31"/>
      <c r="G433" s="15"/>
      <c r="H433" s="15"/>
      <c r="I433" s="53"/>
      <c r="J433" s="15"/>
      <c r="K433" s="15"/>
      <c r="L433" s="53"/>
      <c r="M433" s="15"/>
      <c r="N433" s="53"/>
      <c r="O433" s="15"/>
      <c r="P433" s="15"/>
      <c r="Q433" s="12"/>
    </row>
    <row r="434" spans="1:17" ht="23.25" customHeight="1" x14ac:dyDescent="0.15">
      <c r="A434" s="13" t="s">
        <v>1065</v>
      </c>
      <c r="B434" s="13" t="s">
        <v>1838</v>
      </c>
      <c r="C434" s="1" t="s">
        <v>266</v>
      </c>
      <c r="D434" s="12" t="s">
        <v>260</v>
      </c>
      <c r="E434" s="12" t="s">
        <v>267</v>
      </c>
      <c r="F434" s="31" t="s">
        <v>200</v>
      </c>
      <c r="G434" s="15">
        <v>1</v>
      </c>
      <c r="H434" s="15">
        <f>합산자재!H41</f>
        <v>730</v>
      </c>
      <c r="I434" s="53">
        <f>IF(G434*H434&lt;&gt;0, TRUNC(G434*H434, 1), "")</f>
        <v>730</v>
      </c>
      <c r="J434" s="15">
        <v>1</v>
      </c>
      <c r="K434" s="15">
        <f>합산자재!I41</f>
        <v>0</v>
      </c>
      <c r="L434" s="53" t="str">
        <f>IF(G434*K434&lt;&gt;0, TRUNC(G434*K434, 1), "")</f>
        <v/>
      </c>
      <c r="M434" s="15">
        <f>합산자재!J41</f>
        <v>0</v>
      </c>
      <c r="N434" s="53" t="str">
        <f>IF(G434*M434&lt;&gt;0, TRUNC(G434*M434, 1), "")</f>
        <v/>
      </c>
      <c r="O434" s="15">
        <f>IF((H434+K434+M434)=0, "", (H434+K434+M434))</f>
        <v>730</v>
      </c>
      <c r="P434" s="15">
        <f>IF(SUM(I434,L434,N434)&lt;&gt;0,SUM(I434,L434,N434),"")</f>
        <v>730</v>
      </c>
      <c r="Q434" s="12"/>
    </row>
    <row r="435" spans="1:17" ht="23.25" customHeight="1" x14ac:dyDescent="0.15">
      <c r="A435" s="13" t="s">
        <v>1372</v>
      </c>
      <c r="B435" s="13" t="s">
        <v>1838</v>
      </c>
      <c r="C435" s="1" t="s">
        <v>1002</v>
      </c>
      <c r="D435" s="12" t="s">
        <v>1003</v>
      </c>
      <c r="E435" s="12" t="s">
        <v>1004</v>
      </c>
      <c r="F435" s="31" t="s">
        <v>999</v>
      </c>
      <c r="G435" s="15">
        <f>일위노임!G185</f>
        <v>0.108</v>
      </c>
      <c r="H435" s="15">
        <f>합산자재!H345</f>
        <v>0</v>
      </c>
      <c r="I435" s="53" t="str">
        <f>IF(G435*H435&lt;&gt;0, TRUNC(G435*H435, 1), "")</f>
        <v/>
      </c>
      <c r="J435" s="15">
        <v>0.108</v>
      </c>
      <c r="K435" s="15">
        <f>합산자재!I345</f>
        <v>273676</v>
      </c>
      <c r="L435" s="53">
        <f>IF(G435*K435&lt;&gt;0, TRUNC(G435*K435, 1), "")</f>
        <v>29557</v>
      </c>
      <c r="M435" s="15">
        <f>합산자재!J345</f>
        <v>0</v>
      </c>
      <c r="N435" s="53" t="str">
        <f>IF(G435*M435&lt;&gt;0, TRUNC(G435*M435, 1), "")</f>
        <v/>
      </c>
      <c r="O435" s="15">
        <f>IF((H435+K435+M435)=0, "", (H435+K435+M435))</f>
        <v>273676</v>
      </c>
      <c r="P435" s="15">
        <f>IF(SUM(I435,L435,N435)&lt;&gt;0,SUM(I435,L435,N435),"")</f>
        <v>29557</v>
      </c>
      <c r="Q435" s="12"/>
    </row>
    <row r="436" spans="1:17" ht="23.25" customHeight="1" x14ac:dyDescent="0.15">
      <c r="A436" s="13" t="s">
        <v>2362</v>
      </c>
      <c r="B436" s="13" t="s">
        <v>1838</v>
      </c>
      <c r="C436" s="1" t="s">
        <v>2363</v>
      </c>
      <c r="D436" s="12" t="s">
        <v>2364</v>
      </c>
      <c r="E436" s="12" t="s">
        <v>2365</v>
      </c>
      <c r="F436" s="31" t="s">
        <v>792</v>
      </c>
      <c r="G436" s="15">
        <v>1</v>
      </c>
      <c r="H436" s="15">
        <v>591.1</v>
      </c>
      <c r="I436" s="53">
        <f>IF(G436*H436&lt;&gt;0, TRUNC(G436*H436, 1), "")</f>
        <v>591.1</v>
      </c>
      <c r="J436" s="15">
        <v>1</v>
      </c>
      <c r="K436" s="15"/>
      <c r="L436" s="53" t="str">
        <f>IF(G436*K436&lt;&gt;0, TRUNC(G436*K436, 1), "")</f>
        <v/>
      </c>
      <c r="M436" s="15"/>
      <c r="N436" s="53" t="str">
        <f>IF(G436*M436&lt;&gt;0, TRUNC(G436*M436, 1), "")</f>
        <v/>
      </c>
      <c r="O436" s="15">
        <f>IF((H436+K436+M436)=0, "", (H436+K436+M436))</f>
        <v>591.1</v>
      </c>
      <c r="P436" s="15">
        <f>IF(SUM(I436,L436,N436)&lt;&gt;0,SUM(I436,L436,N436),"")</f>
        <v>591.1</v>
      </c>
      <c r="Q436" s="12"/>
    </row>
    <row r="437" spans="1:17" ht="23.25" customHeight="1" x14ac:dyDescent="0.15">
      <c r="B437" s="13" t="s">
        <v>2360</v>
      </c>
      <c r="D437" s="12" t="s">
        <v>2361</v>
      </c>
      <c r="E437" s="12"/>
      <c r="F437" s="31"/>
      <c r="G437" s="15"/>
      <c r="H437" s="15"/>
      <c r="I437" s="53">
        <f>TRUNC(SUM(I433:I436))</f>
        <v>1321</v>
      </c>
      <c r="J437" s="15"/>
      <c r="K437" s="15"/>
      <c r="L437" s="53">
        <f>TRUNC(SUM(L433:L436))</f>
        <v>29557</v>
      </c>
      <c r="M437" s="15"/>
      <c r="N437" s="53">
        <f>TRUNC(SUM(N433:N436))</f>
        <v>0</v>
      </c>
      <c r="O437" s="15" t="str">
        <f>IF((H437+K437+M437)=0, "", (H437+K437+M437))</f>
        <v/>
      </c>
      <c r="P437" s="15">
        <f>IF(SUM(I437,L437,N437)&lt;&gt;0,SUM(I437,L437,N437),"")</f>
        <v>30878</v>
      </c>
      <c r="Q437" s="12"/>
    </row>
    <row r="438" spans="1:17" ht="23.25" customHeight="1" x14ac:dyDescent="0.15">
      <c r="D438" s="12"/>
      <c r="E438" s="12"/>
      <c r="F438" s="31"/>
      <c r="G438" s="15"/>
      <c r="H438" s="15"/>
      <c r="I438" s="53"/>
      <c r="J438" s="15"/>
      <c r="K438" s="15"/>
      <c r="L438" s="53"/>
      <c r="M438" s="15"/>
      <c r="N438" s="53"/>
      <c r="O438" s="15"/>
      <c r="P438" s="15"/>
      <c r="Q438" s="12"/>
    </row>
    <row r="439" spans="1:17" ht="23.25" customHeight="1" x14ac:dyDescent="0.15">
      <c r="A439" s="13" t="s">
        <v>2526</v>
      </c>
      <c r="B439" s="13" t="s">
        <v>2382</v>
      </c>
      <c r="C439" s="1" t="s">
        <v>2527</v>
      </c>
      <c r="D439" s="170" t="s">
        <v>2525</v>
      </c>
      <c r="E439" s="172"/>
      <c r="F439" s="31"/>
      <c r="G439" s="15"/>
      <c r="H439" s="15"/>
      <c r="I439" s="53"/>
      <c r="J439" s="15"/>
      <c r="K439" s="15"/>
      <c r="L439" s="53"/>
      <c r="M439" s="15"/>
      <c r="N439" s="53"/>
      <c r="O439" s="15"/>
      <c r="P439" s="15"/>
      <c r="Q439" s="12"/>
    </row>
    <row r="440" spans="1:17" ht="23.25" customHeight="1" x14ac:dyDescent="0.15">
      <c r="A440" s="13" t="s">
        <v>1066</v>
      </c>
      <c r="B440" s="13" t="s">
        <v>1841</v>
      </c>
      <c r="C440" s="1" t="s">
        <v>268</v>
      </c>
      <c r="D440" s="12" t="s">
        <v>269</v>
      </c>
      <c r="E440" s="12" t="s">
        <v>270</v>
      </c>
      <c r="F440" s="31" t="s">
        <v>200</v>
      </c>
      <c r="G440" s="15">
        <v>1</v>
      </c>
      <c r="H440" s="15">
        <f>합산자재!H42</f>
        <v>592</v>
      </c>
      <c r="I440" s="53">
        <f>IF(G440*H440&lt;&gt;0, TRUNC(G440*H440, 1), "")</f>
        <v>592</v>
      </c>
      <c r="J440" s="15">
        <v>1</v>
      </c>
      <c r="K440" s="15">
        <f>합산자재!I42</f>
        <v>0</v>
      </c>
      <c r="L440" s="53" t="str">
        <f>IF(G440*K440&lt;&gt;0, TRUNC(G440*K440, 1), "")</f>
        <v/>
      </c>
      <c r="M440" s="15">
        <f>합산자재!J42</f>
        <v>0</v>
      </c>
      <c r="N440" s="53" t="str">
        <f>IF(G440*M440&lt;&gt;0, TRUNC(G440*M440, 1), "")</f>
        <v/>
      </c>
      <c r="O440" s="15">
        <f>IF((H440+K440+M440)=0, "", (H440+K440+M440))</f>
        <v>592</v>
      </c>
      <c r="P440" s="15">
        <f>IF(SUM(I440,L440,N440)&lt;&gt;0,SUM(I440,L440,N440),"")</f>
        <v>592</v>
      </c>
      <c r="Q440" s="12"/>
    </row>
    <row r="441" spans="1:17" ht="23.25" customHeight="1" x14ac:dyDescent="0.15">
      <c r="A441" s="13" t="s">
        <v>1372</v>
      </c>
      <c r="B441" s="13" t="s">
        <v>1841</v>
      </c>
      <c r="C441" s="1" t="s">
        <v>1002</v>
      </c>
      <c r="D441" s="12" t="s">
        <v>1003</v>
      </c>
      <c r="E441" s="12" t="s">
        <v>1004</v>
      </c>
      <c r="F441" s="31" t="s">
        <v>999</v>
      </c>
      <c r="G441" s="15">
        <f>일위노임!G188</f>
        <v>0.18</v>
      </c>
      <c r="H441" s="15">
        <f>합산자재!H345</f>
        <v>0</v>
      </c>
      <c r="I441" s="53" t="str">
        <f>IF(G441*H441&lt;&gt;0, TRUNC(G441*H441, 1), "")</f>
        <v/>
      </c>
      <c r="J441" s="15">
        <v>0.18</v>
      </c>
      <c r="K441" s="15">
        <f>합산자재!I345</f>
        <v>273676</v>
      </c>
      <c r="L441" s="53">
        <f>IF(G441*K441&lt;&gt;0, TRUNC(G441*K441, 1), "")</f>
        <v>49261.599999999999</v>
      </c>
      <c r="M441" s="15">
        <f>합산자재!J345</f>
        <v>0</v>
      </c>
      <c r="N441" s="53" t="str">
        <f>IF(G441*M441&lt;&gt;0, TRUNC(G441*M441, 1), "")</f>
        <v/>
      </c>
      <c r="O441" s="15">
        <f>IF((H441+K441+M441)=0, "", (H441+K441+M441))</f>
        <v>273676</v>
      </c>
      <c r="P441" s="15">
        <f>IF(SUM(I441,L441,N441)&lt;&gt;0,SUM(I441,L441,N441),"")</f>
        <v>49261.599999999999</v>
      </c>
      <c r="Q441" s="12"/>
    </row>
    <row r="442" spans="1:17" ht="23.25" customHeight="1" x14ac:dyDescent="0.15">
      <c r="A442" s="13" t="s">
        <v>2362</v>
      </c>
      <c r="B442" s="13" t="s">
        <v>1841</v>
      </c>
      <c r="C442" s="1" t="s">
        <v>2363</v>
      </c>
      <c r="D442" s="12" t="s">
        <v>2364</v>
      </c>
      <c r="E442" s="12" t="s">
        <v>2365</v>
      </c>
      <c r="F442" s="31" t="s">
        <v>792</v>
      </c>
      <c r="G442" s="15">
        <v>1</v>
      </c>
      <c r="H442" s="15">
        <v>985.2</v>
      </c>
      <c r="I442" s="53">
        <f>IF(G442*H442&lt;&gt;0, TRUNC(G442*H442, 1), "")</f>
        <v>985.2</v>
      </c>
      <c r="J442" s="15">
        <v>1</v>
      </c>
      <c r="K442" s="15"/>
      <c r="L442" s="53" t="str">
        <f>IF(G442*K442&lt;&gt;0, TRUNC(G442*K442, 1), "")</f>
        <v/>
      </c>
      <c r="M442" s="15"/>
      <c r="N442" s="53" t="str">
        <f>IF(G442*M442&lt;&gt;0, TRUNC(G442*M442, 1), "")</f>
        <v/>
      </c>
      <c r="O442" s="15">
        <f>IF((H442+K442+M442)=0, "", (H442+K442+M442))</f>
        <v>985.2</v>
      </c>
      <c r="P442" s="15">
        <f>IF(SUM(I442,L442,N442)&lt;&gt;0,SUM(I442,L442,N442),"")</f>
        <v>985.2</v>
      </c>
      <c r="Q442" s="12"/>
    </row>
    <row r="443" spans="1:17" ht="23.25" customHeight="1" x14ac:dyDescent="0.15">
      <c r="B443" s="13" t="s">
        <v>2360</v>
      </c>
      <c r="D443" s="12" t="s">
        <v>2361</v>
      </c>
      <c r="E443" s="12"/>
      <c r="F443" s="31"/>
      <c r="G443" s="15"/>
      <c r="H443" s="15"/>
      <c r="I443" s="53">
        <f>TRUNC(SUM(I439:I442))</f>
        <v>1577</v>
      </c>
      <c r="J443" s="15"/>
      <c r="K443" s="15"/>
      <c r="L443" s="53">
        <f>TRUNC(SUM(L439:L442))</f>
        <v>49261</v>
      </c>
      <c r="M443" s="15"/>
      <c r="N443" s="53">
        <f>TRUNC(SUM(N439:N442))</f>
        <v>0</v>
      </c>
      <c r="O443" s="15" t="str">
        <f>IF((H443+K443+M443)=0, "", (H443+K443+M443))</f>
        <v/>
      </c>
      <c r="P443" s="15">
        <f>IF(SUM(I443,L443,N443)&lt;&gt;0,SUM(I443,L443,N443),"")</f>
        <v>50838</v>
      </c>
      <c r="Q443" s="12"/>
    </row>
    <row r="444" spans="1:17" ht="23.25" customHeight="1" x14ac:dyDescent="0.15">
      <c r="D444" s="12"/>
      <c r="E444" s="12"/>
      <c r="F444" s="31"/>
      <c r="G444" s="15"/>
      <c r="H444" s="15"/>
      <c r="I444" s="53"/>
      <c r="J444" s="15"/>
      <c r="K444" s="15"/>
      <c r="L444" s="53"/>
      <c r="M444" s="15"/>
      <c r="N444" s="53"/>
      <c r="O444" s="15"/>
      <c r="P444" s="15"/>
      <c r="Q444" s="12"/>
    </row>
    <row r="445" spans="1:17" ht="23.25" customHeight="1" x14ac:dyDescent="0.15">
      <c r="A445" s="13" t="s">
        <v>2529</v>
      </c>
      <c r="B445" s="13" t="s">
        <v>2382</v>
      </c>
      <c r="C445" s="1" t="s">
        <v>2530</v>
      </c>
      <c r="D445" s="170" t="s">
        <v>2528</v>
      </c>
      <c r="E445" s="172"/>
      <c r="F445" s="31"/>
      <c r="G445" s="15"/>
      <c r="H445" s="15"/>
      <c r="I445" s="53"/>
      <c r="J445" s="15"/>
      <c r="K445" s="15"/>
      <c r="L445" s="53"/>
      <c r="M445" s="15"/>
      <c r="N445" s="53"/>
      <c r="O445" s="15"/>
      <c r="P445" s="15"/>
      <c r="Q445" s="12"/>
    </row>
    <row r="446" spans="1:17" ht="23.25" customHeight="1" x14ac:dyDescent="0.15">
      <c r="A446" s="13" t="s">
        <v>1067</v>
      </c>
      <c r="B446" s="13" t="s">
        <v>1844</v>
      </c>
      <c r="C446" s="1" t="s">
        <v>271</v>
      </c>
      <c r="D446" s="12" t="s">
        <v>269</v>
      </c>
      <c r="E446" s="12" t="s">
        <v>272</v>
      </c>
      <c r="F446" s="31" t="s">
        <v>200</v>
      </c>
      <c r="G446" s="15">
        <v>1</v>
      </c>
      <c r="H446" s="15">
        <f>합산자재!H43</f>
        <v>726</v>
      </c>
      <c r="I446" s="53">
        <f>IF(G446*H446&lt;&gt;0, TRUNC(G446*H446, 1), "")</f>
        <v>726</v>
      </c>
      <c r="J446" s="15">
        <v>1</v>
      </c>
      <c r="K446" s="15">
        <f>합산자재!I43</f>
        <v>0</v>
      </c>
      <c r="L446" s="53" t="str">
        <f>IF(G446*K446&lt;&gt;0, TRUNC(G446*K446, 1), "")</f>
        <v/>
      </c>
      <c r="M446" s="15">
        <f>합산자재!J43</f>
        <v>0</v>
      </c>
      <c r="N446" s="53" t="str">
        <f>IF(G446*M446&lt;&gt;0, TRUNC(G446*M446, 1), "")</f>
        <v/>
      </c>
      <c r="O446" s="15">
        <f>IF((H446+K446+M446)=0, "", (H446+K446+M446))</f>
        <v>726</v>
      </c>
      <c r="P446" s="15">
        <f>IF(SUM(I446,L446,N446)&lt;&gt;0,SUM(I446,L446,N446),"")</f>
        <v>726</v>
      </c>
      <c r="Q446" s="12"/>
    </row>
    <row r="447" spans="1:17" ht="23.25" customHeight="1" x14ac:dyDescent="0.15">
      <c r="A447" s="13" t="s">
        <v>1372</v>
      </c>
      <c r="B447" s="13" t="s">
        <v>1844</v>
      </c>
      <c r="C447" s="1" t="s">
        <v>1002</v>
      </c>
      <c r="D447" s="12" t="s">
        <v>1003</v>
      </c>
      <c r="E447" s="12" t="s">
        <v>1004</v>
      </c>
      <c r="F447" s="31" t="s">
        <v>999</v>
      </c>
      <c r="G447" s="15">
        <f>일위노임!G191</f>
        <v>0.18</v>
      </c>
      <c r="H447" s="15">
        <f>합산자재!H345</f>
        <v>0</v>
      </c>
      <c r="I447" s="53" t="str">
        <f>IF(G447*H447&lt;&gt;0, TRUNC(G447*H447, 1), "")</f>
        <v/>
      </c>
      <c r="J447" s="15">
        <v>0.18</v>
      </c>
      <c r="K447" s="15">
        <f>합산자재!I345</f>
        <v>273676</v>
      </c>
      <c r="L447" s="53">
        <f>IF(G447*K447&lt;&gt;0, TRUNC(G447*K447, 1), "")</f>
        <v>49261.599999999999</v>
      </c>
      <c r="M447" s="15">
        <f>합산자재!J345</f>
        <v>0</v>
      </c>
      <c r="N447" s="53" t="str">
        <f>IF(G447*M447&lt;&gt;0, TRUNC(G447*M447, 1), "")</f>
        <v/>
      </c>
      <c r="O447" s="15">
        <f>IF((H447+K447+M447)=0, "", (H447+K447+M447))</f>
        <v>273676</v>
      </c>
      <c r="P447" s="15">
        <f>IF(SUM(I447,L447,N447)&lt;&gt;0,SUM(I447,L447,N447),"")</f>
        <v>49261.599999999999</v>
      </c>
      <c r="Q447" s="12"/>
    </row>
    <row r="448" spans="1:17" ht="23.25" customHeight="1" x14ac:dyDescent="0.15">
      <c r="A448" s="13" t="s">
        <v>2362</v>
      </c>
      <c r="B448" s="13" t="s">
        <v>1844</v>
      </c>
      <c r="C448" s="1" t="s">
        <v>2363</v>
      </c>
      <c r="D448" s="12" t="s">
        <v>2364</v>
      </c>
      <c r="E448" s="12" t="s">
        <v>2365</v>
      </c>
      <c r="F448" s="31" t="s">
        <v>792</v>
      </c>
      <c r="G448" s="15">
        <v>1</v>
      </c>
      <c r="H448" s="15">
        <v>985.2</v>
      </c>
      <c r="I448" s="53">
        <f>IF(G448*H448&lt;&gt;0, TRUNC(G448*H448, 1), "")</f>
        <v>985.2</v>
      </c>
      <c r="J448" s="15">
        <v>1</v>
      </c>
      <c r="K448" s="15"/>
      <c r="L448" s="53" t="str">
        <f>IF(G448*K448&lt;&gt;0, TRUNC(G448*K448, 1), "")</f>
        <v/>
      </c>
      <c r="M448" s="15"/>
      <c r="N448" s="53" t="str">
        <f>IF(G448*M448&lt;&gt;0, TRUNC(G448*M448, 1), "")</f>
        <v/>
      </c>
      <c r="O448" s="15">
        <f>IF((H448+K448+M448)=0, "", (H448+K448+M448))</f>
        <v>985.2</v>
      </c>
      <c r="P448" s="15">
        <f>IF(SUM(I448,L448,N448)&lt;&gt;0,SUM(I448,L448,N448),"")</f>
        <v>985.2</v>
      </c>
      <c r="Q448" s="12"/>
    </row>
    <row r="449" spans="1:17" ht="23.25" customHeight="1" x14ac:dyDescent="0.15">
      <c r="B449" s="13" t="s">
        <v>2360</v>
      </c>
      <c r="D449" s="12" t="s">
        <v>2361</v>
      </c>
      <c r="E449" s="12"/>
      <c r="F449" s="31"/>
      <c r="G449" s="15"/>
      <c r="H449" s="15"/>
      <c r="I449" s="53">
        <f>TRUNC(SUM(I445:I448))</f>
        <v>1711</v>
      </c>
      <c r="J449" s="15"/>
      <c r="K449" s="15"/>
      <c r="L449" s="53">
        <f>TRUNC(SUM(L445:L448))</f>
        <v>49261</v>
      </c>
      <c r="M449" s="15"/>
      <c r="N449" s="53">
        <f>TRUNC(SUM(N445:N448))</f>
        <v>0</v>
      </c>
      <c r="O449" s="15" t="str">
        <f>IF((H449+K449+M449)=0, "", (H449+K449+M449))</f>
        <v/>
      </c>
      <c r="P449" s="15">
        <f>IF(SUM(I449,L449,N449)&lt;&gt;0,SUM(I449,L449,N449),"")</f>
        <v>50972</v>
      </c>
      <c r="Q449" s="12"/>
    </row>
    <row r="450" spans="1:17" ht="23.25" customHeight="1" x14ac:dyDescent="0.15">
      <c r="D450" s="12"/>
      <c r="E450" s="12"/>
      <c r="F450" s="31"/>
      <c r="G450" s="15"/>
      <c r="H450" s="15"/>
      <c r="I450" s="53"/>
      <c r="J450" s="15"/>
      <c r="K450" s="15"/>
      <c r="L450" s="53"/>
      <c r="M450" s="15"/>
      <c r="N450" s="53"/>
      <c r="O450" s="15"/>
      <c r="P450" s="15"/>
      <c r="Q450" s="12"/>
    </row>
    <row r="451" spans="1:17" ht="23.25" customHeight="1" x14ac:dyDescent="0.15">
      <c r="A451" s="13" t="s">
        <v>2532</v>
      </c>
      <c r="B451" s="13" t="s">
        <v>2382</v>
      </c>
      <c r="C451" s="1" t="s">
        <v>2533</v>
      </c>
      <c r="D451" s="170" t="s">
        <v>2531</v>
      </c>
      <c r="E451" s="172"/>
      <c r="F451" s="31"/>
      <c r="G451" s="15"/>
      <c r="H451" s="15"/>
      <c r="I451" s="53"/>
      <c r="J451" s="15"/>
      <c r="K451" s="15"/>
      <c r="L451" s="53"/>
      <c r="M451" s="15"/>
      <c r="N451" s="53"/>
      <c r="O451" s="15"/>
      <c r="P451" s="15"/>
      <c r="Q451" s="12"/>
    </row>
    <row r="452" spans="1:17" ht="23.25" customHeight="1" x14ac:dyDescent="0.15">
      <c r="A452" s="13" t="s">
        <v>1068</v>
      </c>
      <c r="B452" s="13" t="s">
        <v>1847</v>
      </c>
      <c r="C452" s="1" t="s">
        <v>273</v>
      </c>
      <c r="D452" s="12" t="s">
        <v>274</v>
      </c>
      <c r="E452" s="12" t="s">
        <v>275</v>
      </c>
      <c r="F452" s="31" t="s">
        <v>200</v>
      </c>
      <c r="G452" s="15">
        <v>1</v>
      </c>
      <c r="H452" s="15">
        <f>합산자재!H44</f>
        <v>724</v>
      </c>
      <c r="I452" s="53">
        <f>IF(G452*H452&lt;&gt;0, TRUNC(G452*H452, 1), "")</f>
        <v>724</v>
      </c>
      <c r="J452" s="15">
        <v>1</v>
      </c>
      <c r="K452" s="15">
        <f>합산자재!I44</f>
        <v>0</v>
      </c>
      <c r="L452" s="53" t="str">
        <f>IF(G452*K452&lt;&gt;0, TRUNC(G452*K452, 1), "")</f>
        <v/>
      </c>
      <c r="M452" s="15">
        <f>합산자재!J44</f>
        <v>0</v>
      </c>
      <c r="N452" s="53" t="str">
        <f>IF(G452*M452&lt;&gt;0, TRUNC(G452*M452, 1), "")</f>
        <v/>
      </c>
      <c r="O452" s="15">
        <f>IF((H452+K452+M452)=0, "", (H452+K452+M452))</f>
        <v>724</v>
      </c>
      <c r="P452" s="15">
        <f>IF(SUM(I452,L452,N452)&lt;&gt;0,SUM(I452,L452,N452),"")</f>
        <v>724</v>
      </c>
      <c r="Q452" s="12"/>
    </row>
    <row r="453" spans="1:17" ht="23.25" customHeight="1" x14ac:dyDescent="0.15">
      <c r="A453" s="13" t="s">
        <v>1372</v>
      </c>
      <c r="B453" s="13" t="s">
        <v>1847</v>
      </c>
      <c r="C453" s="1" t="s">
        <v>1002</v>
      </c>
      <c r="D453" s="12" t="s">
        <v>1003</v>
      </c>
      <c r="E453" s="12" t="s">
        <v>1004</v>
      </c>
      <c r="F453" s="31" t="s">
        <v>999</v>
      </c>
      <c r="G453" s="15">
        <f>일위노임!G194</f>
        <v>3.5999999999999997E-2</v>
      </c>
      <c r="H453" s="15">
        <f>합산자재!H345</f>
        <v>0</v>
      </c>
      <c r="I453" s="53" t="str">
        <f>IF(G453*H453&lt;&gt;0, TRUNC(G453*H453, 1), "")</f>
        <v/>
      </c>
      <c r="J453" s="15">
        <v>3.5999999999999997E-2</v>
      </c>
      <c r="K453" s="15">
        <f>합산자재!I345</f>
        <v>273676</v>
      </c>
      <c r="L453" s="53">
        <f>IF(G453*K453&lt;&gt;0, TRUNC(G453*K453, 1), "")</f>
        <v>9852.2999999999993</v>
      </c>
      <c r="M453" s="15">
        <f>합산자재!J345</f>
        <v>0</v>
      </c>
      <c r="N453" s="53" t="str">
        <f>IF(G453*M453&lt;&gt;0, TRUNC(G453*M453, 1), "")</f>
        <v/>
      </c>
      <c r="O453" s="15">
        <f>IF((H453+K453+M453)=0, "", (H453+K453+M453))</f>
        <v>273676</v>
      </c>
      <c r="P453" s="15">
        <f>IF(SUM(I453,L453,N453)&lt;&gt;0,SUM(I453,L453,N453),"")</f>
        <v>9852.2999999999993</v>
      </c>
      <c r="Q453" s="12"/>
    </row>
    <row r="454" spans="1:17" ht="23.25" customHeight="1" x14ac:dyDescent="0.15">
      <c r="A454" s="13" t="s">
        <v>2362</v>
      </c>
      <c r="B454" s="13" t="s">
        <v>1847</v>
      </c>
      <c r="C454" s="1" t="s">
        <v>2363</v>
      </c>
      <c r="D454" s="12" t="s">
        <v>2364</v>
      </c>
      <c r="E454" s="12" t="s">
        <v>2365</v>
      </c>
      <c r="F454" s="31" t="s">
        <v>792</v>
      </c>
      <c r="G454" s="15">
        <v>1</v>
      </c>
      <c r="H454" s="15">
        <v>197</v>
      </c>
      <c r="I454" s="53">
        <f>IF(G454*H454&lt;&gt;0, TRUNC(G454*H454, 1), "")</f>
        <v>197</v>
      </c>
      <c r="J454" s="15">
        <v>1</v>
      </c>
      <c r="K454" s="15"/>
      <c r="L454" s="53" t="str">
        <f>IF(G454*K454&lt;&gt;0, TRUNC(G454*K454, 1), "")</f>
        <v/>
      </c>
      <c r="M454" s="15"/>
      <c r="N454" s="53" t="str">
        <f>IF(G454*M454&lt;&gt;0, TRUNC(G454*M454, 1), "")</f>
        <v/>
      </c>
      <c r="O454" s="15">
        <f>IF((H454+K454+M454)=0, "", (H454+K454+M454))</f>
        <v>197</v>
      </c>
      <c r="P454" s="15">
        <f>IF(SUM(I454,L454,N454)&lt;&gt;0,SUM(I454,L454,N454),"")</f>
        <v>197</v>
      </c>
      <c r="Q454" s="12"/>
    </row>
    <row r="455" spans="1:17" ht="23.25" customHeight="1" x14ac:dyDescent="0.15">
      <c r="B455" s="13" t="s">
        <v>2360</v>
      </c>
      <c r="D455" s="12" t="s">
        <v>2361</v>
      </c>
      <c r="E455" s="12"/>
      <c r="F455" s="31"/>
      <c r="G455" s="15"/>
      <c r="H455" s="15"/>
      <c r="I455" s="53">
        <f>TRUNC(SUM(I451:I454))</f>
        <v>921</v>
      </c>
      <c r="J455" s="15"/>
      <c r="K455" s="15"/>
      <c r="L455" s="53">
        <f>TRUNC(SUM(L451:L454))</f>
        <v>9852</v>
      </c>
      <c r="M455" s="15"/>
      <c r="N455" s="53">
        <f>TRUNC(SUM(N451:N454))</f>
        <v>0</v>
      </c>
      <c r="O455" s="15" t="str">
        <f>IF((H455+K455+M455)=0, "", (H455+K455+M455))</f>
        <v/>
      </c>
      <c r="P455" s="15">
        <f>IF(SUM(I455,L455,N455)&lt;&gt;0,SUM(I455,L455,N455),"")</f>
        <v>10773</v>
      </c>
      <c r="Q455" s="12"/>
    </row>
    <row r="456" spans="1:17" ht="23.25" customHeight="1" x14ac:dyDescent="0.15">
      <c r="D456" s="12"/>
      <c r="E456" s="12"/>
      <c r="F456" s="31"/>
      <c r="G456" s="15"/>
      <c r="H456" s="15"/>
      <c r="I456" s="53"/>
      <c r="J456" s="15"/>
      <c r="K456" s="15"/>
      <c r="L456" s="53"/>
      <c r="M456" s="15"/>
      <c r="N456" s="53"/>
      <c r="O456" s="15"/>
      <c r="P456" s="15"/>
      <c r="Q456" s="12"/>
    </row>
    <row r="457" spans="1:17" ht="23.25" customHeight="1" x14ac:dyDescent="0.15">
      <c r="A457" s="13" t="s">
        <v>2535</v>
      </c>
      <c r="B457" s="13" t="s">
        <v>2382</v>
      </c>
      <c r="C457" s="1" t="s">
        <v>2536</v>
      </c>
      <c r="D457" s="170" t="s">
        <v>2534</v>
      </c>
      <c r="E457" s="172"/>
      <c r="F457" s="31"/>
      <c r="G457" s="15"/>
      <c r="H457" s="15"/>
      <c r="I457" s="53"/>
      <c r="J457" s="15"/>
      <c r="K457" s="15"/>
      <c r="L457" s="53"/>
      <c r="M457" s="15"/>
      <c r="N457" s="53"/>
      <c r="O457" s="15"/>
      <c r="P457" s="15"/>
      <c r="Q457" s="12"/>
    </row>
    <row r="458" spans="1:17" ht="23.25" customHeight="1" x14ac:dyDescent="0.15">
      <c r="A458" s="13" t="s">
        <v>1072</v>
      </c>
      <c r="B458" s="13" t="s">
        <v>1850</v>
      </c>
      <c r="C458" s="1" t="s">
        <v>283</v>
      </c>
      <c r="D458" s="12" t="s">
        <v>284</v>
      </c>
      <c r="E458" s="12" t="s">
        <v>285</v>
      </c>
      <c r="F458" s="31" t="s">
        <v>200</v>
      </c>
      <c r="G458" s="15">
        <v>1</v>
      </c>
      <c r="H458" s="15">
        <f>합산자재!H48</f>
        <v>23850</v>
      </c>
      <c r="I458" s="53">
        <f>IF(G458*H458&lt;&gt;0, TRUNC(G458*H458, 1), "")</f>
        <v>23850</v>
      </c>
      <c r="J458" s="15">
        <v>1</v>
      </c>
      <c r="K458" s="15">
        <f>합산자재!I48</f>
        <v>0</v>
      </c>
      <c r="L458" s="53" t="str">
        <f>IF(G458*K458&lt;&gt;0, TRUNC(G458*K458, 1), "")</f>
        <v/>
      </c>
      <c r="M458" s="15">
        <f>합산자재!J48</f>
        <v>0</v>
      </c>
      <c r="N458" s="53" t="str">
        <f>IF(G458*M458&lt;&gt;0, TRUNC(G458*M458, 1), "")</f>
        <v/>
      </c>
      <c r="O458" s="15">
        <f>IF((H458+K458+M458)=0, "", (H458+K458+M458))</f>
        <v>23850</v>
      </c>
      <c r="P458" s="15">
        <f>IF(SUM(I458,L458,N458)&lt;&gt;0,SUM(I458,L458,N458),"")</f>
        <v>23850</v>
      </c>
      <c r="Q458" s="12"/>
    </row>
    <row r="459" spans="1:17" ht="23.25" customHeight="1" x14ac:dyDescent="0.15">
      <c r="A459" s="13" t="s">
        <v>1372</v>
      </c>
      <c r="B459" s="13" t="s">
        <v>1850</v>
      </c>
      <c r="C459" s="1" t="s">
        <v>1002</v>
      </c>
      <c r="D459" s="12" t="s">
        <v>1003</v>
      </c>
      <c r="E459" s="12" t="s">
        <v>1004</v>
      </c>
      <c r="F459" s="31" t="s">
        <v>999</v>
      </c>
      <c r="G459" s="15">
        <f>일위노임!G197</f>
        <v>0.63</v>
      </c>
      <c r="H459" s="15">
        <f>합산자재!H345</f>
        <v>0</v>
      </c>
      <c r="I459" s="53" t="str">
        <f>IF(G459*H459&lt;&gt;0, TRUNC(G459*H459, 1), "")</f>
        <v/>
      </c>
      <c r="J459" s="15">
        <v>0.63</v>
      </c>
      <c r="K459" s="15">
        <f>합산자재!I345</f>
        <v>273676</v>
      </c>
      <c r="L459" s="53">
        <f>IF(G459*K459&lt;&gt;0, TRUNC(G459*K459, 1), "")</f>
        <v>172415.8</v>
      </c>
      <c r="M459" s="15">
        <f>합산자재!J345</f>
        <v>0</v>
      </c>
      <c r="N459" s="53" t="str">
        <f>IF(G459*M459&lt;&gt;0, TRUNC(G459*M459, 1), "")</f>
        <v/>
      </c>
      <c r="O459" s="15">
        <f>IF((H459+K459+M459)=0, "", (H459+K459+M459))</f>
        <v>273676</v>
      </c>
      <c r="P459" s="15">
        <f>IF(SUM(I459,L459,N459)&lt;&gt;0,SUM(I459,L459,N459),"")</f>
        <v>172415.8</v>
      </c>
      <c r="Q459" s="12"/>
    </row>
    <row r="460" spans="1:17" ht="23.25" customHeight="1" x14ac:dyDescent="0.15">
      <c r="A460" s="13" t="s">
        <v>2362</v>
      </c>
      <c r="B460" s="13" t="s">
        <v>1850</v>
      </c>
      <c r="C460" s="1" t="s">
        <v>2363</v>
      </c>
      <c r="D460" s="12" t="s">
        <v>2364</v>
      </c>
      <c r="E460" s="12" t="s">
        <v>2365</v>
      </c>
      <c r="F460" s="31" t="s">
        <v>792</v>
      </c>
      <c r="G460" s="15">
        <v>1</v>
      </c>
      <c r="H460" s="15">
        <v>3448.3</v>
      </c>
      <c r="I460" s="53">
        <f>IF(G460*H460&lt;&gt;0, TRUNC(G460*H460, 1), "")</f>
        <v>3448.3</v>
      </c>
      <c r="J460" s="15">
        <v>1</v>
      </c>
      <c r="K460" s="15"/>
      <c r="L460" s="53" t="str">
        <f>IF(G460*K460&lt;&gt;0, TRUNC(G460*K460, 1), "")</f>
        <v/>
      </c>
      <c r="M460" s="15"/>
      <c r="N460" s="53" t="str">
        <f>IF(G460*M460&lt;&gt;0, TRUNC(G460*M460, 1), "")</f>
        <v/>
      </c>
      <c r="O460" s="15">
        <f>IF((H460+K460+M460)=0, "", (H460+K460+M460))</f>
        <v>3448.3</v>
      </c>
      <c r="P460" s="15">
        <f>IF(SUM(I460,L460,N460)&lt;&gt;0,SUM(I460,L460,N460),"")</f>
        <v>3448.3</v>
      </c>
      <c r="Q460" s="12"/>
    </row>
    <row r="461" spans="1:17" ht="23.25" customHeight="1" x14ac:dyDescent="0.15">
      <c r="B461" s="13" t="s">
        <v>2360</v>
      </c>
      <c r="D461" s="12" t="s">
        <v>2361</v>
      </c>
      <c r="E461" s="12"/>
      <c r="F461" s="31"/>
      <c r="G461" s="15"/>
      <c r="H461" s="15"/>
      <c r="I461" s="53">
        <f>TRUNC(SUM(I457:I460))</f>
        <v>27298</v>
      </c>
      <c r="J461" s="15"/>
      <c r="K461" s="15"/>
      <c r="L461" s="53">
        <f>TRUNC(SUM(L457:L460))</f>
        <v>172415</v>
      </c>
      <c r="M461" s="15"/>
      <c r="N461" s="53">
        <f>TRUNC(SUM(N457:N460))</f>
        <v>0</v>
      </c>
      <c r="O461" s="15" t="str">
        <f>IF((H461+K461+M461)=0, "", (H461+K461+M461))</f>
        <v/>
      </c>
      <c r="P461" s="15">
        <f>IF(SUM(I461,L461,N461)&lt;&gt;0,SUM(I461,L461,N461),"")</f>
        <v>199713</v>
      </c>
      <c r="Q461" s="12"/>
    </row>
    <row r="462" spans="1:17" ht="23.25" customHeight="1" x14ac:dyDescent="0.15">
      <c r="D462" s="12"/>
      <c r="E462" s="12"/>
      <c r="F462" s="31"/>
      <c r="G462" s="15"/>
      <c r="H462" s="15"/>
      <c r="I462" s="53"/>
      <c r="J462" s="15"/>
      <c r="K462" s="15"/>
      <c r="L462" s="53"/>
      <c r="M462" s="15"/>
      <c r="N462" s="53"/>
      <c r="O462" s="15"/>
      <c r="P462" s="15"/>
      <c r="Q462" s="12"/>
    </row>
    <row r="463" spans="1:17" ht="23.25" customHeight="1" x14ac:dyDescent="0.15">
      <c r="A463" s="13" t="s">
        <v>2538</v>
      </c>
      <c r="B463" s="13" t="s">
        <v>2382</v>
      </c>
      <c r="C463" s="1" t="s">
        <v>2539</v>
      </c>
      <c r="D463" s="170" t="s">
        <v>2537</v>
      </c>
      <c r="E463" s="172"/>
      <c r="F463" s="31"/>
      <c r="G463" s="15"/>
      <c r="H463" s="15"/>
      <c r="I463" s="53"/>
      <c r="J463" s="15"/>
      <c r="K463" s="15"/>
      <c r="L463" s="53"/>
      <c r="M463" s="15"/>
      <c r="N463" s="53"/>
      <c r="O463" s="15"/>
      <c r="P463" s="15"/>
      <c r="Q463" s="12"/>
    </row>
    <row r="464" spans="1:17" ht="23.25" customHeight="1" x14ac:dyDescent="0.15">
      <c r="A464" s="13" t="s">
        <v>1073</v>
      </c>
      <c r="B464" s="13" t="s">
        <v>1853</v>
      </c>
      <c r="C464" s="1" t="s">
        <v>286</v>
      </c>
      <c r="D464" s="12" t="s">
        <v>287</v>
      </c>
      <c r="E464" s="12" t="s">
        <v>288</v>
      </c>
      <c r="F464" s="31" t="s">
        <v>289</v>
      </c>
      <c r="G464" s="15">
        <v>1</v>
      </c>
      <c r="H464" s="15">
        <f>합산자재!H49</f>
        <v>2690</v>
      </c>
      <c r="I464" s="53">
        <f>IF(G464*H464&lt;&gt;0, TRUNC(G464*H464, 1), "")</f>
        <v>2690</v>
      </c>
      <c r="J464" s="15">
        <v>1</v>
      </c>
      <c r="K464" s="15">
        <f>합산자재!I49</f>
        <v>0</v>
      </c>
      <c r="L464" s="53" t="str">
        <f>IF(G464*K464&lt;&gt;0, TRUNC(G464*K464, 1), "")</f>
        <v/>
      </c>
      <c r="M464" s="15">
        <f>합산자재!J49</f>
        <v>0</v>
      </c>
      <c r="N464" s="53" t="str">
        <f>IF(G464*M464&lt;&gt;0, TRUNC(G464*M464, 1), "")</f>
        <v/>
      </c>
      <c r="O464" s="15">
        <f>IF((H464+K464+M464)=0, "", (H464+K464+M464))</f>
        <v>2690</v>
      </c>
      <c r="P464" s="15">
        <f>IF(SUM(I464,L464,N464)&lt;&gt;0,SUM(I464,L464,N464),"")</f>
        <v>2690</v>
      </c>
      <c r="Q464" s="12"/>
    </row>
    <row r="465" spans="1:17" ht="23.25" customHeight="1" x14ac:dyDescent="0.15">
      <c r="A465" s="13" t="s">
        <v>1372</v>
      </c>
      <c r="B465" s="13" t="s">
        <v>1853</v>
      </c>
      <c r="C465" s="1" t="s">
        <v>1002</v>
      </c>
      <c r="D465" s="12" t="s">
        <v>1003</v>
      </c>
      <c r="E465" s="12" t="s">
        <v>1004</v>
      </c>
      <c r="F465" s="31" t="s">
        <v>999</v>
      </c>
      <c r="G465" s="15">
        <f>일위노임!G200</f>
        <v>3.5999999999999997E-2</v>
      </c>
      <c r="H465" s="15">
        <f>합산자재!H345</f>
        <v>0</v>
      </c>
      <c r="I465" s="53" t="str">
        <f>IF(G465*H465&lt;&gt;0, TRUNC(G465*H465, 1), "")</f>
        <v/>
      </c>
      <c r="J465" s="15">
        <v>3.5999999999999997E-2</v>
      </c>
      <c r="K465" s="15">
        <f>합산자재!I345</f>
        <v>273676</v>
      </c>
      <c r="L465" s="53">
        <f>IF(G465*K465&lt;&gt;0, TRUNC(G465*K465, 1), "")</f>
        <v>9852.2999999999993</v>
      </c>
      <c r="M465" s="15">
        <f>합산자재!J345</f>
        <v>0</v>
      </c>
      <c r="N465" s="53" t="str">
        <f>IF(G465*M465&lt;&gt;0, TRUNC(G465*M465, 1), "")</f>
        <v/>
      </c>
      <c r="O465" s="15">
        <f>IF((H465+K465+M465)=0, "", (H465+K465+M465))</f>
        <v>273676</v>
      </c>
      <c r="P465" s="15">
        <f>IF(SUM(I465,L465,N465)&lt;&gt;0,SUM(I465,L465,N465),"")</f>
        <v>9852.2999999999993</v>
      </c>
      <c r="Q465" s="12"/>
    </row>
    <row r="466" spans="1:17" ht="23.25" customHeight="1" x14ac:dyDescent="0.15">
      <c r="A466" s="13" t="s">
        <v>2362</v>
      </c>
      <c r="B466" s="13" t="s">
        <v>1853</v>
      </c>
      <c r="C466" s="1" t="s">
        <v>2363</v>
      </c>
      <c r="D466" s="12" t="s">
        <v>2364</v>
      </c>
      <c r="E466" s="12" t="s">
        <v>2365</v>
      </c>
      <c r="F466" s="31" t="s">
        <v>792</v>
      </c>
      <c r="G466" s="15">
        <v>1</v>
      </c>
      <c r="H466" s="15">
        <v>197</v>
      </c>
      <c r="I466" s="53">
        <f>IF(G466*H466&lt;&gt;0, TRUNC(G466*H466, 1), "")</f>
        <v>197</v>
      </c>
      <c r="J466" s="15">
        <v>1</v>
      </c>
      <c r="K466" s="15"/>
      <c r="L466" s="53" t="str">
        <f>IF(G466*K466&lt;&gt;0, TRUNC(G466*K466, 1), "")</f>
        <v/>
      </c>
      <c r="M466" s="15"/>
      <c r="N466" s="53" t="str">
        <f>IF(G466*M466&lt;&gt;0, TRUNC(G466*M466, 1), "")</f>
        <v/>
      </c>
      <c r="O466" s="15">
        <f>IF((H466+K466+M466)=0, "", (H466+K466+M466))</f>
        <v>197</v>
      </c>
      <c r="P466" s="15">
        <f>IF(SUM(I466,L466,N466)&lt;&gt;0,SUM(I466,L466,N466),"")</f>
        <v>197</v>
      </c>
      <c r="Q466" s="12"/>
    </row>
    <row r="467" spans="1:17" ht="23.25" customHeight="1" x14ac:dyDescent="0.15">
      <c r="B467" s="13" t="s">
        <v>2360</v>
      </c>
      <c r="D467" s="12" t="s">
        <v>2361</v>
      </c>
      <c r="E467" s="12"/>
      <c r="F467" s="31"/>
      <c r="G467" s="15"/>
      <c r="H467" s="15"/>
      <c r="I467" s="53">
        <f>TRUNC(SUM(I463:I466))</f>
        <v>2887</v>
      </c>
      <c r="J467" s="15"/>
      <c r="K467" s="15"/>
      <c r="L467" s="53">
        <f>TRUNC(SUM(L463:L466))</f>
        <v>9852</v>
      </c>
      <c r="M467" s="15"/>
      <c r="N467" s="53">
        <f>TRUNC(SUM(N463:N466))</f>
        <v>0</v>
      </c>
      <c r="O467" s="15" t="str">
        <f>IF((H467+K467+M467)=0, "", (H467+K467+M467))</f>
        <v/>
      </c>
      <c r="P467" s="15">
        <f>IF(SUM(I467,L467,N467)&lt;&gt;0,SUM(I467,L467,N467),"")</f>
        <v>12739</v>
      </c>
      <c r="Q467" s="12"/>
    </row>
    <row r="468" spans="1:17" ht="23.25" customHeight="1" x14ac:dyDescent="0.15">
      <c r="D468" s="12"/>
      <c r="E468" s="12"/>
      <c r="F468" s="31"/>
      <c r="G468" s="15"/>
      <c r="H468" s="15"/>
      <c r="I468" s="53"/>
      <c r="J468" s="15"/>
      <c r="K468" s="15"/>
      <c r="L468" s="53"/>
      <c r="M468" s="15"/>
      <c r="N468" s="53"/>
      <c r="O468" s="15"/>
      <c r="P468" s="15"/>
      <c r="Q468" s="12"/>
    </row>
    <row r="469" spans="1:17" ht="23.25" customHeight="1" x14ac:dyDescent="0.15">
      <c r="A469" s="13" t="s">
        <v>2541</v>
      </c>
      <c r="B469" s="13" t="s">
        <v>2382</v>
      </c>
      <c r="C469" s="1" t="s">
        <v>2542</v>
      </c>
      <c r="D469" s="170" t="s">
        <v>2540</v>
      </c>
      <c r="E469" s="172"/>
      <c r="F469" s="31"/>
      <c r="G469" s="15"/>
      <c r="H469" s="15"/>
      <c r="I469" s="53"/>
      <c r="J469" s="15"/>
      <c r="K469" s="15"/>
      <c r="L469" s="53"/>
      <c r="M469" s="15"/>
      <c r="N469" s="53"/>
      <c r="O469" s="15"/>
      <c r="P469" s="15"/>
      <c r="Q469" s="12"/>
    </row>
    <row r="470" spans="1:17" ht="23.25" customHeight="1" x14ac:dyDescent="0.15">
      <c r="A470" s="13" t="s">
        <v>1074</v>
      </c>
      <c r="B470" s="13" t="s">
        <v>1856</v>
      </c>
      <c r="C470" s="1" t="s">
        <v>290</v>
      </c>
      <c r="D470" s="12" t="s">
        <v>291</v>
      </c>
      <c r="E470" s="12" t="s">
        <v>292</v>
      </c>
      <c r="F470" s="31" t="s">
        <v>200</v>
      </c>
      <c r="G470" s="15">
        <v>1</v>
      </c>
      <c r="H470" s="15">
        <f>합산자재!H50</f>
        <v>2284</v>
      </c>
      <c r="I470" s="53">
        <f>IF(G470*H470&lt;&gt;0, TRUNC(G470*H470, 1), "")</f>
        <v>2284</v>
      </c>
      <c r="J470" s="15">
        <v>1</v>
      </c>
      <c r="K470" s="15">
        <f>합산자재!I50</f>
        <v>0</v>
      </c>
      <c r="L470" s="53" t="str">
        <f>IF(G470*K470&lt;&gt;0, TRUNC(G470*K470, 1), "")</f>
        <v/>
      </c>
      <c r="M470" s="15">
        <f>합산자재!J50</f>
        <v>0</v>
      </c>
      <c r="N470" s="53" t="str">
        <f>IF(G470*M470&lt;&gt;0, TRUNC(G470*M470, 1), "")</f>
        <v/>
      </c>
      <c r="O470" s="15">
        <f>IF((H470+K470+M470)=0, "", (H470+K470+M470))</f>
        <v>2284</v>
      </c>
      <c r="P470" s="15">
        <f>IF(SUM(I470,L470,N470)&lt;&gt;0,SUM(I470,L470,N470),"")</f>
        <v>2284</v>
      </c>
      <c r="Q470" s="12"/>
    </row>
    <row r="471" spans="1:17" ht="23.25" customHeight="1" x14ac:dyDescent="0.15">
      <c r="A471" s="13" t="s">
        <v>1372</v>
      </c>
      <c r="B471" s="13" t="s">
        <v>1856</v>
      </c>
      <c r="C471" s="1" t="s">
        <v>1002</v>
      </c>
      <c r="D471" s="12" t="s">
        <v>1003</v>
      </c>
      <c r="E471" s="12" t="s">
        <v>1004</v>
      </c>
      <c r="F471" s="31" t="s">
        <v>999</v>
      </c>
      <c r="G471" s="15">
        <f>일위노임!G203</f>
        <v>0.153</v>
      </c>
      <c r="H471" s="15">
        <f>합산자재!H345</f>
        <v>0</v>
      </c>
      <c r="I471" s="53" t="str">
        <f>IF(G471*H471&lt;&gt;0, TRUNC(G471*H471, 1), "")</f>
        <v/>
      </c>
      <c r="J471" s="15">
        <v>0.153</v>
      </c>
      <c r="K471" s="15">
        <f>합산자재!I345</f>
        <v>273676</v>
      </c>
      <c r="L471" s="53">
        <f>IF(G471*K471&lt;&gt;0, TRUNC(G471*K471, 1), "")</f>
        <v>41872.400000000001</v>
      </c>
      <c r="M471" s="15">
        <f>합산자재!J345</f>
        <v>0</v>
      </c>
      <c r="N471" s="53" t="str">
        <f>IF(G471*M471&lt;&gt;0, TRUNC(G471*M471, 1), "")</f>
        <v/>
      </c>
      <c r="O471" s="15">
        <f>IF((H471+K471+M471)=0, "", (H471+K471+M471))</f>
        <v>273676</v>
      </c>
      <c r="P471" s="15">
        <f>IF(SUM(I471,L471,N471)&lt;&gt;0,SUM(I471,L471,N471),"")</f>
        <v>41872.400000000001</v>
      </c>
      <c r="Q471" s="12"/>
    </row>
    <row r="472" spans="1:17" ht="23.25" customHeight="1" x14ac:dyDescent="0.15">
      <c r="A472" s="13" t="s">
        <v>2362</v>
      </c>
      <c r="B472" s="13" t="s">
        <v>1856</v>
      </c>
      <c r="C472" s="1" t="s">
        <v>2363</v>
      </c>
      <c r="D472" s="12" t="s">
        <v>2364</v>
      </c>
      <c r="E472" s="12" t="s">
        <v>2365</v>
      </c>
      <c r="F472" s="31" t="s">
        <v>792</v>
      </c>
      <c r="G472" s="15">
        <v>1</v>
      </c>
      <c r="H472" s="15">
        <v>837.4</v>
      </c>
      <c r="I472" s="53">
        <f>IF(G472*H472&lt;&gt;0, TRUNC(G472*H472, 1), "")</f>
        <v>837.4</v>
      </c>
      <c r="J472" s="15">
        <v>1</v>
      </c>
      <c r="K472" s="15"/>
      <c r="L472" s="53" t="str">
        <f>IF(G472*K472&lt;&gt;0, TRUNC(G472*K472, 1), "")</f>
        <v/>
      </c>
      <c r="M472" s="15"/>
      <c r="N472" s="53" t="str">
        <f>IF(G472*M472&lt;&gt;0, TRUNC(G472*M472, 1), "")</f>
        <v/>
      </c>
      <c r="O472" s="15">
        <f>IF((H472+K472+M472)=0, "", (H472+K472+M472))</f>
        <v>837.4</v>
      </c>
      <c r="P472" s="15">
        <f>IF(SUM(I472,L472,N472)&lt;&gt;0,SUM(I472,L472,N472),"")</f>
        <v>837.4</v>
      </c>
      <c r="Q472" s="12"/>
    </row>
    <row r="473" spans="1:17" ht="23.25" customHeight="1" x14ac:dyDescent="0.15">
      <c r="B473" s="13" t="s">
        <v>2360</v>
      </c>
      <c r="D473" s="12" t="s">
        <v>2361</v>
      </c>
      <c r="E473" s="12"/>
      <c r="F473" s="31"/>
      <c r="G473" s="15"/>
      <c r="H473" s="15"/>
      <c r="I473" s="53">
        <f>TRUNC(SUM(I469:I472))</f>
        <v>3121</v>
      </c>
      <c r="J473" s="15"/>
      <c r="K473" s="15"/>
      <c r="L473" s="53">
        <f>TRUNC(SUM(L469:L472))</f>
        <v>41872</v>
      </c>
      <c r="M473" s="15"/>
      <c r="N473" s="53">
        <f>TRUNC(SUM(N469:N472))</f>
        <v>0</v>
      </c>
      <c r="O473" s="15" t="str">
        <f>IF((H473+K473+M473)=0, "", (H473+K473+M473))</f>
        <v/>
      </c>
      <c r="P473" s="15">
        <f>IF(SUM(I473,L473,N473)&lt;&gt;0,SUM(I473,L473,N473),"")</f>
        <v>44993</v>
      </c>
      <c r="Q473" s="12"/>
    </row>
    <row r="474" spans="1:17" ht="23.25" customHeight="1" x14ac:dyDescent="0.15">
      <c r="D474" s="12"/>
      <c r="E474" s="12"/>
      <c r="F474" s="31"/>
      <c r="G474" s="15"/>
      <c r="H474" s="15"/>
      <c r="I474" s="53"/>
      <c r="J474" s="15"/>
      <c r="K474" s="15"/>
      <c r="L474" s="53"/>
      <c r="M474" s="15"/>
      <c r="N474" s="53"/>
      <c r="O474" s="15"/>
      <c r="P474" s="15"/>
      <c r="Q474" s="12"/>
    </row>
    <row r="475" spans="1:17" ht="23.25" customHeight="1" x14ac:dyDescent="0.15">
      <c r="A475" s="13" t="s">
        <v>2544</v>
      </c>
      <c r="B475" s="13" t="s">
        <v>2382</v>
      </c>
      <c r="C475" s="1" t="s">
        <v>2545</v>
      </c>
      <c r="D475" s="170" t="s">
        <v>2543</v>
      </c>
      <c r="E475" s="172"/>
      <c r="F475" s="31"/>
      <c r="G475" s="15"/>
      <c r="H475" s="15"/>
      <c r="I475" s="53"/>
      <c r="J475" s="15"/>
      <c r="K475" s="15"/>
      <c r="L475" s="53"/>
      <c r="M475" s="15"/>
      <c r="N475" s="53"/>
      <c r="O475" s="15"/>
      <c r="P475" s="15"/>
      <c r="Q475" s="12"/>
    </row>
    <row r="476" spans="1:17" ht="23.25" customHeight="1" x14ac:dyDescent="0.15">
      <c r="A476" s="13" t="s">
        <v>1075</v>
      </c>
      <c r="B476" s="13" t="s">
        <v>1859</v>
      </c>
      <c r="C476" s="1" t="s">
        <v>293</v>
      </c>
      <c r="D476" s="12" t="s">
        <v>291</v>
      </c>
      <c r="E476" s="12" t="s">
        <v>294</v>
      </c>
      <c r="F476" s="31" t="s">
        <v>200</v>
      </c>
      <c r="G476" s="15">
        <v>1</v>
      </c>
      <c r="H476" s="15">
        <f>합산자재!H51</f>
        <v>2854</v>
      </c>
      <c r="I476" s="53">
        <f>IF(G476*H476&lt;&gt;0, TRUNC(G476*H476, 1), "")</f>
        <v>2854</v>
      </c>
      <c r="J476" s="15">
        <v>1</v>
      </c>
      <c r="K476" s="15">
        <f>합산자재!I51</f>
        <v>0</v>
      </c>
      <c r="L476" s="53" t="str">
        <f>IF(G476*K476&lt;&gt;0, TRUNC(G476*K476, 1), "")</f>
        <v/>
      </c>
      <c r="M476" s="15">
        <f>합산자재!J51</f>
        <v>0</v>
      </c>
      <c r="N476" s="53" t="str">
        <f>IF(G476*M476&lt;&gt;0, TRUNC(G476*M476, 1), "")</f>
        <v/>
      </c>
      <c r="O476" s="15">
        <f>IF((H476+K476+M476)=0, "", (H476+K476+M476))</f>
        <v>2854</v>
      </c>
      <c r="P476" s="15">
        <f>IF(SUM(I476,L476,N476)&lt;&gt;0,SUM(I476,L476,N476),"")</f>
        <v>2854</v>
      </c>
      <c r="Q476" s="12"/>
    </row>
    <row r="477" spans="1:17" ht="23.25" customHeight="1" x14ac:dyDescent="0.15">
      <c r="A477" s="13" t="s">
        <v>1372</v>
      </c>
      <c r="B477" s="13" t="s">
        <v>1859</v>
      </c>
      <c r="C477" s="1" t="s">
        <v>1002</v>
      </c>
      <c r="D477" s="12" t="s">
        <v>1003</v>
      </c>
      <c r="E477" s="12" t="s">
        <v>1004</v>
      </c>
      <c r="F477" s="31" t="s">
        <v>999</v>
      </c>
      <c r="G477" s="15">
        <f>일위노임!G206</f>
        <v>0.495</v>
      </c>
      <c r="H477" s="15">
        <f>합산자재!H345</f>
        <v>0</v>
      </c>
      <c r="I477" s="53" t="str">
        <f>IF(G477*H477&lt;&gt;0, TRUNC(G477*H477, 1), "")</f>
        <v/>
      </c>
      <c r="J477" s="15">
        <v>0.495</v>
      </c>
      <c r="K477" s="15">
        <f>합산자재!I345</f>
        <v>273676</v>
      </c>
      <c r="L477" s="53">
        <f>IF(G477*K477&lt;&gt;0, TRUNC(G477*K477, 1), "")</f>
        <v>135469.6</v>
      </c>
      <c r="M477" s="15">
        <f>합산자재!J345</f>
        <v>0</v>
      </c>
      <c r="N477" s="53" t="str">
        <f>IF(G477*M477&lt;&gt;0, TRUNC(G477*M477, 1), "")</f>
        <v/>
      </c>
      <c r="O477" s="15">
        <f>IF((H477+K477+M477)=0, "", (H477+K477+M477))</f>
        <v>273676</v>
      </c>
      <c r="P477" s="15">
        <f>IF(SUM(I477,L477,N477)&lt;&gt;0,SUM(I477,L477,N477),"")</f>
        <v>135469.6</v>
      </c>
      <c r="Q477" s="12"/>
    </row>
    <row r="478" spans="1:17" ht="23.25" customHeight="1" x14ac:dyDescent="0.15">
      <c r="A478" s="13" t="s">
        <v>2362</v>
      </c>
      <c r="B478" s="13" t="s">
        <v>1859</v>
      </c>
      <c r="C478" s="1" t="s">
        <v>2363</v>
      </c>
      <c r="D478" s="12" t="s">
        <v>2364</v>
      </c>
      <c r="E478" s="12" t="s">
        <v>2365</v>
      </c>
      <c r="F478" s="31" t="s">
        <v>792</v>
      </c>
      <c r="G478" s="15">
        <v>1</v>
      </c>
      <c r="H478" s="15">
        <v>2709.3</v>
      </c>
      <c r="I478" s="53">
        <f>IF(G478*H478&lt;&gt;0, TRUNC(G478*H478, 1), "")</f>
        <v>2709.3</v>
      </c>
      <c r="J478" s="15">
        <v>1</v>
      </c>
      <c r="K478" s="15"/>
      <c r="L478" s="53" t="str">
        <f>IF(G478*K478&lt;&gt;0, TRUNC(G478*K478, 1), "")</f>
        <v/>
      </c>
      <c r="M478" s="15"/>
      <c r="N478" s="53" t="str">
        <f>IF(G478*M478&lt;&gt;0, TRUNC(G478*M478, 1), "")</f>
        <v/>
      </c>
      <c r="O478" s="15">
        <f>IF((H478+K478+M478)=0, "", (H478+K478+M478))</f>
        <v>2709.3</v>
      </c>
      <c r="P478" s="15">
        <f>IF(SUM(I478,L478,N478)&lt;&gt;0,SUM(I478,L478,N478),"")</f>
        <v>2709.3</v>
      </c>
      <c r="Q478" s="12"/>
    </row>
    <row r="479" spans="1:17" ht="23.25" customHeight="1" x14ac:dyDescent="0.15">
      <c r="B479" s="13" t="s">
        <v>2360</v>
      </c>
      <c r="D479" s="12" t="s">
        <v>2361</v>
      </c>
      <c r="E479" s="12"/>
      <c r="F479" s="31"/>
      <c r="G479" s="15"/>
      <c r="H479" s="15"/>
      <c r="I479" s="53">
        <f>TRUNC(SUM(I475:I478))</f>
        <v>5563</v>
      </c>
      <c r="J479" s="15"/>
      <c r="K479" s="15"/>
      <c r="L479" s="53">
        <f>TRUNC(SUM(L475:L478))</f>
        <v>135469</v>
      </c>
      <c r="M479" s="15"/>
      <c r="N479" s="53">
        <f>TRUNC(SUM(N475:N478))</f>
        <v>0</v>
      </c>
      <c r="O479" s="15" t="str">
        <f>IF((H479+K479+M479)=0, "", (H479+K479+M479))</f>
        <v/>
      </c>
      <c r="P479" s="15">
        <f>IF(SUM(I479,L479,N479)&lt;&gt;0,SUM(I479,L479,N479),"")</f>
        <v>141032</v>
      </c>
      <c r="Q479" s="12"/>
    </row>
    <row r="480" spans="1:17" ht="23.25" customHeight="1" x14ac:dyDescent="0.15">
      <c r="D480" s="12"/>
      <c r="E480" s="12"/>
      <c r="F480" s="31"/>
      <c r="G480" s="15"/>
      <c r="H480" s="15"/>
      <c r="I480" s="53"/>
      <c r="J480" s="15"/>
      <c r="K480" s="15"/>
      <c r="L480" s="53"/>
      <c r="M480" s="15"/>
      <c r="N480" s="53"/>
      <c r="O480" s="15"/>
      <c r="P480" s="15"/>
      <c r="Q480" s="12"/>
    </row>
    <row r="481" spans="1:17" ht="23.25" customHeight="1" x14ac:dyDescent="0.15">
      <c r="A481" s="13" t="s">
        <v>2547</v>
      </c>
      <c r="B481" s="13" t="s">
        <v>2382</v>
      </c>
      <c r="C481" s="1" t="s">
        <v>2548</v>
      </c>
      <c r="D481" s="170" t="s">
        <v>2546</v>
      </c>
      <c r="E481" s="172"/>
      <c r="F481" s="31"/>
      <c r="G481" s="15"/>
      <c r="H481" s="15"/>
      <c r="I481" s="53"/>
      <c r="J481" s="15"/>
      <c r="K481" s="15"/>
      <c r="L481" s="53"/>
      <c r="M481" s="15"/>
      <c r="N481" s="53"/>
      <c r="O481" s="15"/>
      <c r="P481" s="15"/>
      <c r="Q481" s="12"/>
    </row>
    <row r="482" spans="1:17" ht="23.25" customHeight="1" x14ac:dyDescent="0.15">
      <c r="A482" s="13" t="s">
        <v>1076</v>
      </c>
      <c r="B482" s="13" t="s">
        <v>1862</v>
      </c>
      <c r="C482" s="1" t="s">
        <v>295</v>
      </c>
      <c r="D482" s="12" t="s">
        <v>291</v>
      </c>
      <c r="E482" s="12" t="s">
        <v>296</v>
      </c>
      <c r="F482" s="31" t="s">
        <v>200</v>
      </c>
      <c r="G482" s="15">
        <v>1</v>
      </c>
      <c r="H482" s="15">
        <f>합산자재!H52</f>
        <v>47523</v>
      </c>
      <c r="I482" s="53">
        <f>IF(G482*H482&lt;&gt;0, TRUNC(G482*H482, 1), "")</f>
        <v>47523</v>
      </c>
      <c r="J482" s="15">
        <v>1</v>
      </c>
      <c r="K482" s="15">
        <f>합산자재!I52</f>
        <v>0</v>
      </c>
      <c r="L482" s="53" t="str">
        <f>IF(G482*K482&lt;&gt;0, TRUNC(G482*K482, 1), "")</f>
        <v/>
      </c>
      <c r="M482" s="15">
        <f>합산자재!J52</f>
        <v>0</v>
      </c>
      <c r="N482" s="53" t="str">
        <f>IF(G482*M482&lt;&gt;0, TRUNC(G482*M482, 1), "")</f>
        <v/>
      </c>
      <c r="O482" s="15">
        <f>IF((H482+K482+M482)=0, "", (H482+K482+M482))</f>
        <v>47523</v>
      </c>
      <c r="P482" s="15">
        <f>IF(SUM(I482,L482,N482)&lt;&gt;0,SUM(I482,L482,N482),"")</f>
        <v>47523</v>
      </c>
      <c r="Q482" s="12"/>
    </row>
    <row r="483" spans="1:17" ht="23.25" customHeight="1" x14ac:dyDescent="0.15">
      <c r="A483" s="13" t="s">
        <v>1372</v>
      </c>
      <c r="B483" s="13" t="s">
        <v>1862</v>
      </c>
      <c r="C483" s="1" t="s">
        <v>1002</v>
      </c>
      <c r="D483" s="12" t="s">
        <v>1003</v>
      </c>
      <c r="E483" s="12" t="s">
        <v>1004</v>
      </c>
      <c r="F483" s="31" t="s">
        <v>999</v>
      </c>
      <c r="G483" s="15">
        <f>일위노임!G209</f>
        <v>0.85499999999999998</v>
      </c>
      <c r="H483" s="15">
        <f>합산자재!H345</f>
        <v>0</v>
      </c>
      <c r="I483" s="53" t="str">
        <f>IF(G483*H483&lt;&gt;0, TRUNC(G483*H483, 1), "")</f>
        <v/>
      </c>
      <c r="J483" s="15">
        <v>0.85499999999999998</v>
      </c>
      <c r="K483" s="15">
        <f>합산자재!I345</f>
        <v>273676</v>
      </c>
      <c r="L483" s="53">
        <f>IF(G483*K483&lt;&gt;0, TRUNC(G483*K483, 1), "")</f>
        <v>233992.9</v>
      </c>
      <c r="M483" s="15">
        <f>합산자재!J345</f>
        <v>0</v>
      </c>
      <c r="N483" s="53" t="str">
        <f>IF(G483*M483&lt;&gt;0, TRUNC(G483*M483, 1), "")</f>
        <v/>
      </c>
      <c r="O483" s="15">
        <f>IF((H483+K483+M483)=0, "", (H483+K483+M483))</f>
        <v>273676</v>
      </c>
      <c r="P483" s="15">
        <f>IF(SUM(I483,L483,N483)&lt;&gt;0,SUM(I483,L483,N483),"")</f>
        <v>233992.9</v>
      </c>
      <c r="Q483" s="12"/>
    </row>
    <row r="484" spans="1:17" ht="23.25" customHeight="1" x14ac:dyDescent="0.15">
      <c r="A484" s="13" t="s">
        <v>2362</v>
      </c>
      <c r="B484" s="13" t="s">
        <v>1862</v>
      </c>
      <c r="C484" s="1" t="s">
        <v>2363</v>
      </c>
      <c r="D484" s="12" t="s">
        <v>2364</v>
      </c>
      <c r="E484" s="12" t="s">
        <v>2365</v>
      </c>
      <c r="F484" s="31" t="s">
        <v>792</v>
      </c>
      <c r="G484" s="15">
        <v>1</v>
      </c>
      <c r="H484" s="15">
        <v>4679.8</v>
      </c>
      <c r="I484" s="53">
        <f>IF(G484*H484&lt;&gt;0, TRUNC(G484*H484, 1), "")</f>
        <v>4679.8</v>
      </c>
      <c r="J484" s="15">
        <v>1</v>
      </c>
      <c r="K484" s="15"/>
      <c r="L484" s="53" t="str">
        <f>IF(G484*K484&lt;&gt;0, TRUNC(G484*K484, 1), "")</f>
        <v/>
      </c>
      <c r="M484" s="15"/>
      <c r="N484" s="53" t="str">
        <f>IF(G484*M484&lt;&gt;0, TRUNC(G484*M484, 1), "")</f>
        <v/>
      </c>
      <c r="O484" s="15">
        <f>IF((H484+K484+M484)=0, "", (H484+K484+M484))</f>
        <v>4679.8</v>
      </c>
      <c r="P484" s="15">
        <f>IF(SUM(I484,L484,N484)&lt;&gt;0,SUM(I484,L484,N484),"")</f>
        <v>4679.8</v>
      </c>
      <c r="Q484" s="12"/>
    </row>
    <row r="485" spans="1:17" ht="23.25" customHeight="1" x14ac:dyDescent="0.15">
      <c r="B485" s="13" t="s">
        <v>2360</v>
      </c>
      <c r="D485" s="12" t="s">
        <v>2361</v>
      </c>
      <c r="E485" s="12"/>
      <c r="F485" s="31"/>
      <c r="G485" s="15"/>
      <c r="H485" s="15"/>
      <c r="I485" s="53">
        <f>TRUNC(SUM(I481:I484))</f>
        <v>52202</v>
      </c>
      <c r="J485" s="15"/>
      <c r="K485" s="15"/>
      <c r="L485" s="53">
        <f>TRUNC(SUM(L481:L484))</f>
        <v>233992</v>
      </c>
      <c r="M485" s="15"/>
      <c r="N485" s="53">
        <f>TRUNC(SUM(N481:N484))</f>
        <v>0</v>
      </c>
      <c r="O485" s="15" t="str">
        <f>IF((H485+K485+M485)=0, "", (H485+K485+M485))</f>
        <v/>
      </c>
      <c r="P485" s="15">
        <f>IF(SUM(I485,L485,N485)&lt;&gt;0,SUM(I485,L485,N485),"")</f>
        <v>286194</v>
      </c>
      <c r="Q485" s="12"/>
    </row>
    <row r="486" spans="1:17" ht="23.25" customHeight="1" x14ac:dyDescent="0.15">
      <c r="D486" s="12"/>
      <c r="E486" s="12"/>
      <c r="F486" s="31"/>
      <c r="G486" s="15"/>
      <c r="H486" s="15"/>
      <c r="I486" s="53"/>
      <c r="J486" s="15"/>
      <c r="K486" s="15"/>
      <c r="L486" s="53"/>
      <c r="M486" s="15"/>
      <c r="N486" s="53"/>
      <c r="O486" s="15"/>
      <c r="P486" s="15"/>
      <c r="Q486" s="12"/>
    </row>
    <row r="487" spans="1:17" ht="23.25" customHeight="1" x14ac:dyDescent="0.15">
      <c r="A487" s="13" t="s">
        <v>2550</v>
      </c>
      <c r="B487" s="13" t="s">
        <v>2382</v>
      </c>
      <c r="C487" s="1" t="s">
        <v>2551</v>
      </c>
      <c r="D487" s="170" t="s">
        <v>2549</v>
      </c>
      <c r="E487" s="172"/>
      <c r="F487" s="31"/>
      <c r="G487" s="15"/>
      <c r="H487" s="15"/>
      <c r="I487" s="53"/>
      <c r="J487" s="15"/>
      <c r="K487" s="15"/>
      <c r="L487" s="53"/>
      <c r="M487" s="15"/>
      <c r="N487" s="53"/>
      <c r="O487" s="15"/>
      <c r="P487" s="15"/>
      <c r="Q487" s="12"/>
    </row>
    <row r="488" spans="1:17" ht="23.25" customHeight="1" x14ac:dyDescent="0.15">
      <c r="A488" s="13" t="s">
        <v>1077</v>
      </c>
      <c r="B488" s="13" t="s">
        <v>1865</v>
      </c>
      <c r="C488" s="1" t="s">
        <v>297</v>
      </c>
      <c r="D488" s="12" t="s">
        <v>298</v>
      </c>
      <c r="E488" s="12" t="s">
        <v>299</v>
      </c>
      <c r="F488" s="31" t="s">
        <v>166</v>
      </c>
      <c r="G488" s="15">
        <v>1.05</v>
      </c>
      <c r="H488" s="15">
        <f>합산자재!H53</f>
        <v>2499</v>
      </c>
      <c r="I488" s="53">
        <f>IF(G488*H488&lt;&gt;0, TRUNC(G488*H488, 1), "")</f>
        <v>2623.9</v>
      </c>
      <c r="J488" s="15">
        <v>1</v>
      </c>
      <c r="K488" s="15">
        <f>합산자재!I53</f>
        <v>0</v>
      </c>
      <c r="L488" s="53" t="str">
        <f>IF(G488*K488&lt;&gt;0, TRUNC(G488*K488, 1), "")</f>
        <v/>
      </c>
      <c r="M488" s="15">
        <f>합산자재!J53</f>
        <v>0</v>
      </c>
      <c r="N488" s="53" t="str">
        <f>IF(G488*M488&lt;&gt;0, TRUNC(G488*M488, 1), "")</f>
        <v/>
      </c>
      <c r="O488" s="15">
        <f>IF((H488+K488+M488)=0, "", (H488+K488+M488))</f>
        <v>2499</v>
      </c>
      <c r="P488" s="15">
        <f>IF(SUM(I488,L488,N488)&lt;&gt;0,SUM(I488,L488,N488),"")</f>
        <v>2623.9</v>
      </c>
      <c r="Q488" s="12"/>
    </row>
    <row r="489" spans="1:17" ht="23.25" customHeight="1" x14ac:dyDescent="0.15">
      <c r="A489" s="13" t="s">
        <v>1372</v>
      </c>
      <c r="B489" s="13" t="s">
        <v>1865</v>
      </c>
      <c r="C489" s="1" t="s">
        <v>1002</v>
      </c>
      <c r="D489" s="12" t="s">
        <v>1003</v>
      </c>
      <c r="E489" s="12" t="s">
        <v>1004</v>
      </c>
      <c r="F489" s="31" t="s">
        <v>999</v>
      </c>
      <c r="G489" s="15">
        <f>일위노임!G212</f>
        <v>0.2</v>
      </c>
      <c r="H489" s="15">
        <f>합산자재!H345</f>
        <v>0</v>
      </c>
      <c r="I489" s="53" t="str">
        <f>IF(G489*H489&lt;&gt;0, TRUNC(G489*H489, 1), "")</f>
        <v/>
      </c>
      <c r="J489" s="15">
        <v>0.2</v>
      </c>
      <c r="K489" s="15">
        <f>합산자재!I345</f>
        <v>273676</v>
      </c>
      <c r="L489" s="53">
        <f>IF(G489*K489&lt;&gt;0, TRUNC(G489*K489, 1), "")</f>
        <v>54735.199999999997</v>
      </c>
      <c r="M489" s="15">
        <f>합산자재!J345</f>
        <v>0</v>
      </c>
      <c r="N489" s="53" t="str">
        <f>IF(G489*M489&lt;&gt;0, TRUNC(G489*M489, 1), "")</f>
        <v/>
      </c>
      <c r="O489" s="15">
        <f>IF((H489+K489+M489)=0, "", (H489+K489+M489))</f>
        <v>273676</v>
      </c>
      <c r="P489" s="15">
        <f>IF(SUM(I489,L489,N489)&lt;&gt;0,SUM(I489,L489,N489),"")</f>
        <v>54735.199999999997</v>
      </c>
      <c r="Q489" s="12"/>
    </row>
    <row r="490" spans="1:17" ht="23.25" customHeight="1" x14ac:dyDescent="0.15">
      <c r="A490" s="13" t="s">
        <v>2362</v>
      </c>
      <c r="B490" s="13" t="s">
        <v>1865</v>
      </c>
      <c r="C490" s="1" t="s">
        <v>2363</v>
      </c>
      <c r="D490" s="12" t="s">
        <v>2364</v>
      </c>
      <c r="E490" s="12" t="s">
        <v>2365</v>
      </c>
      <c r="F490" s="31" t="s">
        <v>792</v>
      </c>
      <c r="G490" s="15">
        <v>1</v>
      </c>
      <c r="H490" s="15">
        <v>1094.7</v>
      </c>
      <c r="I490" s="53">
        <f>IF(G490*H490&lt;&gt;0, TRUNC(G490*H490, 1), "")</f>
        <v>1094.7</v>
      </c>
      <c r="J490" s="15">
        <v>1</v>
      </c>
      <c r="K490" s="15"/>
      <c r="L490" s="53" t="str">
        <f>IF(G490*K490&lt;&gt;0, TRUNC(G490*K490, 1), "")</f>
        <v/>
      </c>
      <c r="M490" s="15"/>
      <c r="N490" s="53" t="str">
        <f>IF(G490*M490&lt;&gt;0, TRUNC(G490*M490, 1), "")</f>
        <v/>
      </c>
      <c r="O490" s="15">
        <f>IF((H490+K490+M490)=0, "", (H490+K490+M490))</f>
        <v>1094.7</v>
      </c>
      <c r="P490" s="15">
        <f>IF(SUM(I490,L490,N490)&lt;&gt;0,SUM(I490,L490,N490),"")</f>
        <v>1094.7</v>
      </c>
      <c r="Q490" s="12"/>
    </row>
    <row r="491" spans="1:17" ht="23.25" customHeight="1" x14ac:dyDescent="0.15">
      <c r="B491" s="13" t="s">
        <v>2360</v>
      </c>
      <c r="D491" s="12" t="s">
        <v>2361</v>
      </c>
      <c r="E491" s="12"/>
      <c r="F491" s="31"/>
      <c r="G491" s="15"/>
      <c r="H491" s="15"/>
      <c r="I491" s="53">
        <f>TRUNC(SUM(I487:I490))</f>
        <v>3718</v>
      </c>
      <c r="J491" s="15"/>
      <c r="K491" s="15"/>
      <c r="L491" s="53">
        <f>TRUNC(SUM(L487:L490))</f>
        <v>54735</v>
      </c>
      <c r="M491" s="15"/>
      <c r="N491" s="53">
        <f>TRUNC(SUM(N487:N490))</f>
        <v>0</v>
      </c>
      <c r="O491" s="15" t="str">
        <f>IF((H491+K491+M491)=0, "", (H491+K491+M491))</f>
        <v/>
      </c>
      <c r="P491" s="15">
        <f>IF(SUM(I491,L491,N491)&lt;&gt;0,SUM(I491,L491,N491),"")</f>
        <v>58453</v>
      </c>
      <c r="Q491" s="12"/>
    </row>
    <row r="492" spans="1:17" ht="23.25" customHeight="1" x14ac:dyDescent="0.15">
      <c r="D492" s="12"/>
      <c r="E492" s="12"/>
      <c r="F492" s="31"/>
      <c r="G492" s="15"/>
      <c r="H492" s="15"/>
      <c r="I492" s="53"/>
      <c r="J492" s="15"/>
      <c r="K492" s="15"/>
      <c r="L492" s="53"/>
      <c r="M492" s="15"/>
      <c r="N492" s="53"/>
      <c r="O492" s="15"/>
      <c r="P492" s="15"/>
      <c r="Q492" s="12"/>
    </row>
    <row r="493" spans="1:17" ht="23.25" customHeight="1" x14ac:dyDescent="0.15">
      <c r="A493" s="13" t="s">
        <v>2553</v>
      </c>
      <c r="B493" s="13" t="s">
        <v>2382</v>
      </c>
      <c r="C493" s="1" t="s">
        <v>2554</v>
      </c>
      <c r="D493" s="170" t="s">
        <v>2552</v>
      </c>
      <c r="E493" s="172"/>
      <c r="F493" s="31"/>
      <c r="G493" s="15"/>
      <c r="H493" s="15"/>
      <c r="I493" s="53"/>
      <c r="J493" s="15"/>
      <c r="K493" s="15"/>
      <c r="L493" s="53"/>
      <c r="M493" s="15"/>
      <c r="N493" s="53"/>
      <c r="O493" s="15"/>
      <c r="P493" s="15"/>
      <c r="Q493" s="12"/>
    </row>
    <row r="494" spans="1:17" ht="23.25" customHeight="1" x14ac:dyDescent="0.15">
      <c r="A494" s="13" t="s">
        <v>1082</v>
      </c>
      <c r="B494" s="13" t="s">
        <v>1869</v>
      </c>
      <c r="C494" s="1" t="s">
        <v>310</v>
      </c>
      <c r="D494" s="12" t="s">
        <v>298</v>
      </c>
      <c r="E494" s="12" t="s">
        <v>311</v>
      </c>
      <c r="F494" s="31" t="s">
        <v>200</v>
      </c>
      <c r="G494" s="15">
        <v>1</v>
      </c>
      <c r="H494" s="15">
        <f>합산자재!H58</f>
        <v>980</v>
      </c>
      <c r="I494" s="53">
        <f>IF(G494*H494&lt;&gt;0, TRUNC(G494*H494, 1), "")</f>
        <v>980</v>
      </c>
      <c r="J494" s="15">
        <v>1</v>
      </c>
      <c r="K494" s="15">
        <f>합산자재!I58</f>
        <v>0</v>
      </c>
      <c r="L494" s="53" t="str">
        <f>IF(G494*K494&lt;&gt;0, TRUNC(G494*K494, 1), "")</f>
        <v/>
      </c>
      <c r="M494" s="15">
        <f>합산자재!J58</f>
        <v>0</v>
      </c>
      <c r="N494" s="53" t="str">
        <f>IF(G494*M494&lt;&gt;0, TRUNC(G494*M494, 1), "")</f>
        <v/>
      </c>
      <c r="O494" s="15">
        <f>IF((H494+K494+M494)=0, "", (H494+K494+M494))</f>
        <v>980</v>
      </c>
      <c r="P494" s="15">
        <f>IF(SUM(I494,L494,N494)&lt;&gt;0,SUM(I494,L494,N494),"")</f>
        <v>980</v>
      </c>
      <c r="Q494" s="12"/>
    </row>
    <row r="495" spans="1:17" ht="23.25" customHeight="1" x14ac:dyDescent="0.15">
      <c r="A495" s="13" t="s">
        <v>1372</v>
      </c>
      <c r="B495" s="13" t="s">
        <v>1869</v>
      </c>
      <c r="C495" s="1" t="s">
        <v>1002</v>
      </c>
      <c r="D495" s="12" t="s">
        <v>1003</v>
      </c>
      <c r="E495" s="12" t="s">
        <v>1004</v>
      </c>
      <c r="F495" s="31" t="s">
        <v>999</v>
      </c>
      <c r="G495" s="15">
        <f>일위노임!G215</f>
        <v>0.04</v>
      </c>
      <c r="H495" s="15">
        <f>합산자재!H345</f>
        <v>0</v>
      </c>
      <c r="I495" s="53" t="str">
        <f>IF(G495*H495&lt;&gt;0, TRUNC(G495*H495, 1), "")</f>
        <v/>
      </c>
      <c r="J495" s="15">
        <v>0.04</v>
      </c>
      <c r="K495" s="15">
        <f>합산자재!I345</f>
        <v>273676</v>
      </c>
      <c r="L495" s="53">
        <f>IF(G495*K495&lt;&gt;0, TRUNC(G495*K495, 1), "")</f>
        <v>10947</v>
      </c>
      <c r="M495" s="15">
        <f>합산자재!J345</f>
        <v>0</v>
      </c>
      <c r="N495" s="53" t="str">
        <f>IF(G495*M495&lt;&gt;0, TRUNC(G495*M495, 1), "")</f>
        <v/>
      </c>
      <c r="O495" s="15">
        <f>IF((H495+K495+M495)=0, "", (H495+K495+M495))</f>
        <v>273676</v>
      </c>
      <c r="P495" s="15">
        <f>IF(SUM(I495,L495,N495)&lt;&gt;0,SUM(I495,L495,N495),"")</f>
        <v>10947</v>
      </c>
      <c r="Q495" s="12"/>
    </row>
    <row r="496" spans="1:17" ht="23.25" customHeight="1" x14ac:dyDescent="0.15">
      <c r="A496" s="13" t="s">
        <v>2362</v>
      </c>
      <c r="B496" s="13" t="s">
        <v>1869</v>
      </c>
      <c r="C496" s="1" t="s">
        <v>2363</v>
      </c>
      <c r="D496" s="12" t="s">
        <v>2364</v>
      </c>
      <c r="E496" s="12" t="s">
        <v>2365</v>
      </c>
      <c r="F496" s="31" t="s">
        <v>792</v>
      </c>
      <c r="G496" s="15">
        <v>1</v>
      </c>
      <c r="H496" s="15">
        <v>218.9</v>
      </c>
      <c r="I496" s="53">
        <f>IF(G496*H496&lt;&gt;0, TRUNC(G496*H496, 1), "")</f>
        <v>218.9</v>
      </c>
      <c r="J496" s="15">
        <v>1</v>
      </c>
      <c r="K496" s="15"/>
      <c r="L496" s="53" t="str">
        <f>IF(G496*K496&lt;&gt;0, TRUNC(G496*K496, 1), "")</f>
        <v/>
      </c>
      <c r="M496" s="15"/>
      <c r="N496" s="53" t="str">
        <f>IF(G496*M496&lt;&gt;0, TRUNC(G496*M496, 1), "")</f>
        <v/>
      </c>
      <c r="O496" s="15">
        <f>IF((H496+K496+M496)=0, "", (H496+K496+M496))</f>
        <v>218.9</v>
      </c>
      <c r="P496" s="15">
        <f>IF(SUM(I496,L496,N496)&lt;&gt;0,SUM(I496,L496,N496),"")</f>
        <v>218.9</v>
      </c>
      <c r="Q496" s="12"/>
    </row>
    <row r="497" spans="1:18" ht="23.25" customHeight="1" x14ac:dyDescent="0.15">
      <c r="B497" s="13" t="s">
        <v>2360</v>
      </c>
      <c r="D497" s="12" t="s">
        <v>2361</v>
      </c>
      <c r="E497" s="12"/>
      <c r="F497" s="31"/>
      <c r="G497" s="15"/>
      <c r="H497" s="15"/>
      <c r="I497" s="53">
        <f>TRUNC(SUM(I493:I496))</f>
        <v>1198</v>
      </c>
      <c r="J497" s="15"/>
      <c r="K497" s="15"/>
      <c r="L497" s="53">
        <f>TRUNC(SUM(L493:L496))</f>
        <v>10947</v>
      </c>
      <c r="M497" s="15"/>
      <c r="N497" s="53">
        <f>TRUNC(SUM(N493:N496))</f>
        <v>0</v>
      </c>
      <c r="O497" s="15" t="str">
        <f>IF((H497+K497+M497)=0, "", (H497+K497+M497))</f>
        <v/>
      </c>
      <c r="P497" s="15">
        <f>IF(SUM(I497,L497,N497)&lt;&gt;0,SUM(I497,L497,N497),"")</f>
        <v>12145</v>
      </c>
      <c r="Q497" s="12"/>
    </row>
    <row r="498" spans="1:18" ht="23.25" customHeight="1" x14ac:dyDescent="0.15">
      <c r="D498" s="12"/>
      <c r="E498" s="12"/>
      <c r="F498" s="31"/>
      <c r="G498" s="15"/>
      <c r="H498" s="15"/>
      <c r="I498" s="53"/>
      <c r="J498" s="15"/>
      <c r="K498" s="15"/>
      <c r="L498" s="53"/>
      <c r="M498" s="15"/>
      <c r="N498" s="53"/>
      <c r="O498" s="15"/>
      <c r="P498" s="15"/>
      <c r="Q498" s="12"/>
    </row>
    <row r="499" spans="1:18" ht="23.25" customHeight="1" x14ac:dyDescent="0.15">
      <c r="A499" s="13" t="s">
        <v>2556</v>
      </c>
      <c r="B499" s="13" t="s">
        <v>2382</v>
      </c>
      <c r="C499" s="1" t="s">
        <v>2557</v>
      </c>
      <c r="D499" s="170" t="s">
        <v>2555</v>
      </c>
      <c r="E499" s="172"/>
      <c r="F499" s="31"/>
      <c r="G499" s="15"/>
      <c r="H499" s="15"/>
      <c r="I499" s="53"/>
      <c r="J499" s="15"/>
      <c r="K499" s="15"/>
      <c r="L499" s="53"/>
      <c r="M499" s="15"/>
      <c r="N499" s="53"/>
      <c r="O499" s="15"/>
      <c r="P499" s="15"/>
      <c r="Q499" s="12"/>
    </row>
    <row r="500" spans="1:18" ht="23.25" customHeight="1" x14ac:dyDescent="0.15">
      <c r="A500" s="13" t="s">
        <v>1084</v>
      </c>
      <c r="B500" s="13" t="s">
        <v>1872</v>
      </c>
      <c r="C500" s="1" t="s">
        <v>314</v>
      </c>
      <c r="D500" s="12" t="s">
        <v>298</v>
      </c>
      <c r="E500" s="12" t="s">
        <v>315</v>
      </c>
      <c r="F500" s="31" t="s">
        <v>200</v>
      </c>
      <c r="G500" s="15">
        <v>1</v>
      </c>
      <c r="H500" s="15">
        <f>합산자재!H60</f>
        <v>2334</v>
      </c>
      <c r="I500" s="53">
        <f>IF(G500*H500&lt;&gt;0, TRUNC(G500*H500, 1), "")</f>
        <v>2334</v>
      </c>
      <c r="J500" s="15">
        <v>1</v>
      </c>
      <c r="K500" s="15">
        <f>합산자재!I60</f>
        <v>0</v>
      </c>
      <c r="L500" s="53" t="str">
        <f>IF(G500*K500&lt;&gt;0, TRUNC(G500*K500, 1), "")</f>
        <v/>
      </c>
      <c r="M500" s="15">
        <f>합산자재!J60</f>
        <v>0</v>
      </c>
      <c r="N500" s="53" t="str">
        <f>IF(G500*M500&lt;&gt;0, TRUNC(G500*M500, 1), "")</f>
        <v/>
      </c>
      <c r="O500" s="15">
        <f>IF((H500+K500+M500)=0, "", (H500+K500+M500))</f>
        <v>2334</v>
      </c>
      <c r="P500" s="15">
        <f>IF(SUM(I500,L500,N500)&lt;&gt;0,SUM(I500,L500,N500),"")</f>
        <v>2334</v>
      </c>
      <c r="Q500" s="12"/>
    </row>
    <row r="501" spans="1:18" ht="23.25" customHeight="1" x14ac:dyDescent="0.15">
      <c r="A501" s="13" t="s">
        <v>1372</v>
      </c>
      <c r="B501" s="13" t="s">
        <v>1872</v>
      </c>
      <c r="C501" s="1" t="s">
        <v>1002</v>
      </c>
      <c r="D501" s="12" t="s">
        <v>1003</v>
      </c>
      <c r="E501" s="12" t="s">
        <v>1004</v>
      </c>
      <c r="F501" s="31" t="s">
        <v>999</v>
      </c>
      <c r="G501" s="15">
        <f>일위노임!G218</f>
        <v>0.04</v>
      </c>
      <c r="H501" s="15">
        <f>합산자재!H345</f>
        <v>0</v>
      </c>
      <c r="I501" s="53" t="str">
        <f>IF(G501*H501&lt;&gt;0, TRUNC(G501*H501, 1), "")</f>
        <v/>
      </c>
      <c r="J501" s="15">
        <v>0.04</v>
      </c>
      <c r="K501" s="15">
        <f>합산자재!I345</f>
        <v>273676</v>
      </c>
      <c r="L501" s="53">
        <f>IF(G501*K501&lt;&gt;0, TRUNC(G501*K501, 1), "")</f>
        <v>10947</v>
      </c>
      <c r="M501" s="15">
        <f>합산자재!J345</f>
        <v>0</v>
      </c>
      <c r="N501" s="53" t="str">
        <f>IF(G501*M501&lt;&gt;0, TRUNC(G501*M501, 1), "")</f>
        <v/>
      </c>
      <c r="O501" s="15">
        <f>IF((H501+K501+M501)=0, "", (H501+K501+M501))</f>
        <v>273676</v>
      </c>
      <c r="P501" s="15">
        <f>IF(SUM(I501,L501,N501)&lt;&gt;0,SUM(I501,L501,N501),"")</f>
        <v>10947</v>
      </c>
      <c r="Q501" s="12"/>
    </row>
    <row r="502" spans="1:18" ht="23.25" customHeight="1" x14ac:dyDescent="0.15">
      <c r="A502" s="13" t="s">
        <v>2362</v>
      </c>
      <c r="B502" s="13" t="s">
        <v>1872</v>
      </c>
      <c r="C502" s="1" t="s">
        <v>2363</v>
      </c>
      <c r="D502" s="12" t="s">
        <v>2364</v>
      </c>
      <c r="E502" s="12" t="s">
        <v>2365</v>
      </c>
      <c r="F502" s="31" t="s">
        <v>792</v>
      </c>
      <c r="G502" s="15">
        <v>1</v>
      </c>
      <c r="H502" s="15">
        <v>218.9</v>
      </c>
      <c r="I502" s="53">
        <f>IF(G502*H502&lt;&gt;0, TRUNC(G502*H502, 1), "")</f>
        <v>218.9</v>
      </c>
      <c r="J502" s="15">
        <v>1</v>
      </c>
      <c r="K502" s="15"/>
      <c r="L502" s="53" t="str">
        <f>IF(G502*K502&lt;&gt;0, TRUNC(G502*K502, 1), "")</f>
        <v/>
      </c>
      <c r="M502" s="15"/>
      <c r="N502" s="53" t="str">
        <f>IF(G502*M502&lt;&gt;0, TRUNC(G502*M502, 1), "")</f>
        <v/>
      </c>
      <c r="O502" s="15">
        <f>IF((H502+K502+M502)=0, "", (H502+K502+M502))</f>
        <v>218.9</v>
      </c>
      <c r="P502" s="15">
        <f>IF(SUM(I502,L502,N502)&lt;&gt;0,SUM(I502,L502,N502),"")</f>
        <v>218.9</v>
      </c>
      <c r="Q502" s="12"/>
    </row>
    <row r="503" spans="1:18" ht="23.25" customHeight="1" x14ac:dyDescent="0.15">
      <c r="B503" s="13" t="s">
        <v>2360</v>
      </c>
      <c r="D503" s="12" t="s">
        <v>2361</v>
      </c>
      <c r="E503" s="12"/>
      <c r="F503" s="31"/>
      <c r="G503" s="15"/>
      <c r="H503" s="15"/>
      <c r="I503" s="53">
        <f>TRUNC(SUM(I499:I502))</f>
        <v>2552</v>
      </c>
      <c r="J503" s="15"/>
      <c r="K503" s="15"/>
      <c r="L503" s="53">
        <f>TRUNC(SUM(L499:L502))</f>
        <v>10947</v>
      </c>
      <c r="M503" s="15"/>
      <c r="N503" s="53">
        <f>TRUNC(SUM(N499:N502))</f>
        <v>0</v>
      </c>
      <c r="O503" s="15" t="str">
        <f>IF((H503+K503+M503)=0, "", (H503+K503+M503))</f>
        <v/>
      </c>
      <c r="P503" s="15">
        <f>IF(SUM(I503,L503,N503)&lt;&gt;0,SUM(I503,L503,N503),"")</f>
        <v>13499</v>
      </c>
      <c r="Q503" s="12"/>
    </row>
    <row r="504" spans="1:18" ht="23.25" customHeight="1" x14ac:dyDescent="0.15">
      <c r="D504" s="12"/>
      <c r="E504" s="12"/>
      <c r="F504" s="31"/>
      <c r="G504" s="15"/>
      <c r="H504" s="15"/>
      <c r="I504" s="53"/>
      <c r="J504" s="15"/>
      <c r="K504" s="15"/>
      <c r="L504" s="53"/>
      <c r="M504" s="15"/>
      <c r="N504" s="53"/>
      <c r="O504" s="15"/>
      <c r="P504" s="15"/>
      <c r="Q504" s="12"/>
    </row>
    <row r="505" spans="1:18" ht="23.25" customHeight="1" x14ac:dyDescent="0.15">
      <c r="A505" s="13" t="s">
        <v>2559</v>
      </c>
      <c r="B505" s="13" t="s">
        <v>2382</v>
      </c>
      <c r="C505" s="1" t="s">
        <v>2560</v>
      </c>
      <c r="D505" s="170" t="s">
        <v>2558</v>
      </c>
      <c r="E505" s="172"/>
      <c r="F505" s="31"/>
      <c r="G505" s="15"/>
      <c r="H505" s="15"/>
      <c r="I505" s="53"/>
      <c r="J505" s="15"/>
      <c r="K505" s="15"/>
      <c r="L505" s="53"/>
      <c r="M505" s="15"/>
      <c r="N505" s="53"/>
      <c r="O505" s="15"/>
      <c r="P505" s="15"/>
      <c r="Q505" s="12"/>
    </row>
    <row r="506" spans="1:18" ht="23.25" customHeight="1" x14ac:dyDescent="0.15">
      <c r="A506" s="13" t="s">
        <v>1085</v>
      </c>
      <c r="B506" s="13" t="s">
        <v>1875</v>
      </c>
      <c r="C506" s="1" t="s">
        <v>316</v>
      </c>
      <c r="D506" s="12" t="s">
        <v>317</v>
      </c>
      <c r="E506" s="12" t="s">
        <v>318</v>
      </c>
      <c r="F506" s="31" t="s">
        <v>166</v>
      </c>
      <c r="G506" s="15">
        <v>1.05</v>
      </c>
      <c r="H506" s="15">
        <f>합산자재!H61</f>
        <v>30740</v>
      </c>
      <c r="I506" s="53">
        <f>IF(G506*H506&lt;&gt;0, TRUNC(G506*H506, 1), "")</f>
        <v>32277</v>
      </c>
      <c r="J506" s="15">
        <v>1</v>
      </c>
      <c r="K506" s="15">
        <f>합산자재!I61</f>
        <v>0</v>
      </c>
      <c r="L506" s="53" t="str">
        <f>IF(G506*K506&lt;&gt;0, TRUNC(G506*K506, 1), "")</f>
        <v/>
      </c>
      <c r="M506" s="15">
        <f>합산자재!J61</f>
        <v>0</v>
      </c>
      <c r="N506" s="53" t="str">
        <f>IF(G506*M506&lt;&gt;0, TRUNC(G506*M506, 1), "")</f>
        <v/>
      </c>
      <c r="O506" s="15">
        <f>IF((H506+K506+M506)=0, "", (H506+K506+M506))</f>
        <v>30740</v>
      </c>
      <c r="P506" s="15">
        <f>IF(SUM(I506,L506,N506)&lt;&gt;0,SUM(I506,L506,N506),"")</f>
        <v>32277</v>
      </c>
      <c r="Q506" s="12"/>
      <c r="R506" s="2" t="s">
        <v>2377</v>
      </c>
    </row>
    <row r="507" spans="1:18" ht="23.25" customHeight="1" x14ac:dyDescent="0.15">
      <c r="A507" s="13" t="s">
        <v>1372</v>
      </c>
      <c r="B507" s="13" t="s">
        <v>1875</v>
      </c>
      <c r="C507" s="1" t="s">
        <v>1002</v>
      </c>
      <c r="D507" s="12" t="s">
        <v>1003</v>
      </c>
      <c r="E507" s="12" t="s">
        <v>1004</v>
      </c>
      <c r="F507" s="31" t="s">
        <v>999</v>
      </c>
      <c r="G507" s="15">
        <f>일위노임!G221</f>
        <v>0.48</v>
      </c>
      <c r="H507" s="15">
        <f>합산자재!H345</f>
        <v>0</v>
      </c>
      <c r="I507" s="53" t="str">
        <f>IF(G507*H507&lt;&gt;0, TRUNC(G507*H507, 1), "")</f>
        <v/>
      </c>
      <c r="J507" s="15">
        <v>0.48</v>
      </c>
      <c r="K507" s="15">
        <f>합산자재!I345</f>
        <v>273676</v>
      </c>
      <c r="L507" s="53">
        <f>IF(G507*K507&lt;&gt;0, TRUNC(G507*K507, 1), "")</f>
        <v>131364.4</v>
      </c>
      <c r="M507" s="15">
        <f>합산자재!J345</f>
        <v>0</v>
      </c>
      <c r="N507" s="53" t="str">
        <f>IF(G507*M507&lt;&gt;0, TRUNC(G507*M507, 1), "")</f>
        <v/>
      </c>
      <c r="O507" s="15">
        <f>IF((H507+K507+M507)=0, "", (H507+K507+M507))</f>
        <v>273676</v>
      </c>
      <c r="P507" s="15">
        <f>IF(SUM(I507,L507,N507)&lt;&gt;0,SUM(I507,L507,N507),"")</f>
        <v>131364.4</v>
      </c>
      <c r="Q507" s="12"/>
    </row>
    <row r="508" spans="1:18" ht="23.25" customHeight="1" x14ac:dyDescent="0.15">
      <c r="A508" s="13" t="s">
        <v>2362</v>
      </c>
      <c r="B508" s="13" t="s">
        <v>1875</v>
      </c>
      <c r="C508" s="1" t="s">
        <v>2363</v>
      </c>
      <c r="D508" s="12" t="s">
        <v>2364</v>
      </c>
      <c r="E508" s="12" t="s">
        <v>2365</v>
      </c>
      <c r="F508" s="31" t="s">
        <v>792</v>
      </c>
      <c r="G508" s="15">
        <v>1</v>
      </c>
      <c r="H508" s="15">
        <v>2627.2</v>
      </c>
      <c r="I508" s="53">
        <f>IF(G508*H508&lt;&gt;0, TRUNC(G508*H508, 1), "")</f>
        <v>2627.2</v>
      </c>
      <c r="J508" s="15">
        <v>1</v>
      </c>
      <c r="K508" s="15"/>
      <c r="L508" s="53" t="str">
        <f>IF(G508*K508&lt;&gt;0, TRUNC(G508*K508, 1), "")</f>
        <v/>
      </c>
      <c r="M508" s="15"/>
      <c r="N508" s="53" t="str">
        <f>IF(G508*M508&lt;&gt;0, TRUNC(G508*M508, 1), "")</f>
        <v/>
      </c>
      <c r="O508" s="15">
        <f>IF((H508+K508+M508)=0, "", (H508+K508+M508))</f>
        <v>2627.2</v>
      </c>
      <c r="P508" s="15">
        <f>IF(SUM(I508,L508,N508)&lt;&gt;0,SUM(I508,L508,N508),"")</f>
        <v>2627.2</v>
      </c>
      <c r="Q508" s="12"/>
    </row>
    <row r="509" spans="1:18" ht="23.25" customHeight="1" x14ac:dyDescent="0.15">
      <c r="B509" s="13" t="s">
        <v>2360</v>
      </c>
      <c r="D509" s="12" t="s">
        <v>2361</v>
      </c>
      <c r="E509" s="12"/>
      <c r="F509" s="31"/>
      <c r="G509" s="15"/>
      <c r="H509" s="15"/>
      <c r="I509" s="53">
        <f>TRUNC(SUM(I505:I508))</f>
        <v>34904</v>
      </c>
      <c r="J509" s="15"/>
      <c r="K509" s="15"/>
      <c r="L509" s="53">
        <f>TRUNC(SUM(L505:L508))</f>
        <v>131364</v>
      </c>
      <c r="M509" s="15"/>
      <c r="N509" s="53">
        <f>TRUNC(SUM(N505:N508))</f>
        <v>0</v>
      </c>
      <c r="O509" s="15" t="str">
        <f>IF((H509+K509+M509)=0, "", (H509+K509+M509))</f>
        <v/>
      </c>
      <c r="P509" s="15">
        <f>IF(SUM(I509,L509,N509)&lt;&gt;0,SUM(I509,L509,N509),"")</f>
        <v>166268</v>
      </c>
      <c r="Q509" s="12"/>
    </row>
    <row r="510" spans="1:18" ht="23.25" customHeight="1" x14ac:dyDescent="0.15">
      <c r="D510" s="12"/>
      <c r="E510" s="12"/>
      <c r="F510" s="31"/>
      <c r="G510" s="15"/>
      <c r="H510" s="15"/>
      <c r="I510" s="53"/>
      <c r="J510" s="15"/>
      <c r="K510" s="15"/>
      <c r="L510" s="53"/>
      <c r="M510" s="15"/>
      <c r="N510" s="53"/>
      <c r="O510" s="15"/>
      <c r="P510" s="15"/>
      <c r="Q510" s="12"/>
    </row>
    <row r="511" spans="1:18" ht="23.25" customHeight="1" x14ac:dyDescent="0.15">
      <c r="A511" s="13" t="s">
        <v>2562</v>
      </c>
      <c r="B511" s="13" t="s">
        <v>2382</v>
      </c>
      <c r="C511" s="1" t="s">
        <v>2563</v>
      </c>
      <c r="D511" s="170" t="s">
        <v>2561</v>
      </c>
      <c r="E511" s="172"/>
      <c r="F511" s="31"/>
      <c r="G511" s="15"/>
      <c r="H511" s="15"/>
      <c r="I511" s="53"/>
      <c r="J511" s="15"/>
      <c r="K511" s="15"/>
      <c r="L511" s="53"/>
      <c r="M511" s="15"/>
      <c r="N511" s="53"/>
      <c r="O511" s="15"/>
      <c r="P511" s="15"/>
      <c r="Q511" s="12"/>
    </row>
    <row r="512" spans="1:18" ht="23.25" customHeight="1" x14ac:dyDescent="0.15">
      <c r="A512" s="13" t="s">
        <v>1086</v>
      </c>
      <c r="B512" s="13" t="s">
        <v>1878</v>
      </c>
      <c r="C512" s="1" t="s">
        <v>321</v>
      </c>
      <c r="D512" s="12" t="s">
        <v>322</v>
      </c>
      <c r="E512" s="12" t="s">
        <v>323</v>
      </c>
      <c r="F512" s="31" t="s">
        <v>200</v>
      </c>
      <c r="G512" s="15">
        <v>1</v>
      </c>
      <c r="H512" s="15">
        <f>합산자재!H62</f>
        <v>46230</v>
      </c>
      <c r="I512" s="53">
        <f>IF(G512*H512&lt;&gt;0, TRUNC(G512*H512, 1), "")</f>
        <v>46230</v>
      </c>
      <c r="J512" s="15">
        <v>1</v>
      </c>
      <c r="K512" s="15">
        <f>합산자재!I62</f>
        <v>0</v>
      </c>
      <c r="L512" s="53" t="str">
        <f>IF(G512*K512&lt;&gt;0, TRUNC(G512*K512, 1), "")</f>
        <v/>
      </c>
      <c r="M512" s="15">
        <f>합산자재!J62</f>
        <v>0</v>
      </c>
      <c r="N512" s="53" t="str">
        <f>IF(G512*M512&lt;&gt;0, TRUNC(G512*M512, 1), "")</f>
        <v/>
      </c>
      <c r="O512" s="15">
        <f>IF((H512+K512+M512)=0, "", (H512+K512+M512))</f>
        <v>46230</v>
      </c>
      <c r="P512" s="15">
        <f>IF(SUM(I512,L512,N512)&lt;&gt;0,SUM(I512,L512,N512),"")</f>
        <v>46230</v>
      </c>
      <c r="Q512" s="12"/>
    </row>
    <row r="513" spans="1:18" ht="23.25" customHeight="1" x14ac:dyDescent="0.15">
      <c r="A513" s="13" t="s">
        <v>1372</v>
      </c>
      <c r="B513" s="13" t="s">
        <v>1878</v>
      </c>
      <c r="C513" s="1" t="s">
        <v>1002</v>
      </c>
      <c r="D513" s="12" t="s">
        <v>1003</v>
      </c>
      <c r="E513" s="12" t="s">
        <v>1004</v>
      </c>
      <c r="F513" s="31" t="s">
        <v>999</v>
      </c>
      <c r="G513" s="15">
        <f>일위노임!G224</f>
        <v>0.48</v>
      </c>
      <c r="H513" s="15">
        <f>합산자재!H345</f>
        <v>0</v>
      </c>
      <c r="I513" s="53" t="str">
        <f>IF(G513*H513&lt;&gt;0, TRUNC(G513*H513, 1), "")</f>
        <v/>
      </c>
      <c r="J513" s="15">
        <v>0.48</v>
      </c>
      <c r="K513" s="15">
        <f>합산자재!I345</f>
        <v>273676</v>
      </c>
      <c r="L513" s="53">
        <f>IF(G513*K513&lt;&gt;0, TRUNC(G513*K513, 1), "")</f>
        <v>131364.4</v>
      </c>
      <c r="M513" s="15">
        <f>합산자재!J345</f>
        <v>0</v>
      </c>
      <c r="N513" s="53" t="str">
        <f>IF(G513*M513&lt;&gt;0, TRUNC(G513*M513, 1), "")</f>
        <v/>
      </c>
      <c r="O513" s="15">
        <f>IF((H513+K513+M513)=0, "", (H513+K513+M513))</f>
        <v>273676</v>
      </c>
      <c r="P513" s="15">
        <f>IF(SUM(I513,L513,N513)&lt;&gt;0,SUM(I513,L513,N513),"")</f>
        <v>131364.4</v>
      </c>
      <c r="Q513" s="12"/>
    </row>
    <row r="514" spans="1:18" ht="23.25" customHeight="1" x14ac:dyDescent="0.15">
      <c r="A514" s="13" t="s">
        <v>2362</v>
      </c>
      <c r="B514" s="13" t="s">
        <v>1878</v>
      </c>
      <c r="C514" s="1" t="s">
        <v>2363</v>
      </c>
      <c r="D514" s="12" t="s">
        <v>2364</v>
      </c>
      <c r="E514" s="12" t="s">
        <v>2365</v>
      </c>
      <c r="F514" s="31" t="s">
        <v>792</v>
      </c>
      <c r="G514" s="15">
        <v>1</v>
      </c>
      <c r="H514" s="15">
        <v>2627.2</v>
      </c>
      <c r="I514" s="53">
        <f>IF(G514*H514&lt;&gt;0, TRUNC(G514*H514, 1), "")</f>
        <v>2627.2</v>
      </c>
      <c r="J514" s="15">
        <v>1</v>
      </c>
      <c r="K514" s="15"/>
      <c r="L514" s="53" t="str">
        <f>IF(G514*K514&lt;&gt;0, TRUNC(G514*K514, 1), "")</f>
        <v/>
      </c>
      <c r="M514" s="15"/>
      <c r="N514" s="53" t="str">
        <f>IF(G514*M514&lt;&gt;0, TRUNC(G514*M514, 1), "")</f>
        <v/>
      </c>
      <c r="O514" s="15">
        <f>IF((H514+K514+M514)=0, "", (H514+K514+M514))</f>
        <v>2627.2</v>
      </c>
      <c r="P514" s="15">
        <f>IF(SUM(I514,L514,N514)&lt;&gt;0,SUM(I514,L514,N514),"")</f>
        <v>2627.2</v>
      </c>
      <c r="Q514" s="12"/>
    </row>
    <row r="515" spans="1:18" ht="23.25" customHeight="1" x14ac:dyDescent="0.15">
      <c r="B515" s="13" t="s">
        <v>2360</v>
      </c>
      <c r="D515" s="12" t="s">
        <v>2361</v>
      </c>
      <c r="E515" s="12"/>
      <c r="F515" s="31"/>
      <c r="G515" s="15"/>
      <c r="H515" s="15"/>
      <c r="I515" s="53">
        <f>TRUNC(SUM(I511:I514))</f>
        <v>48857</v>
      </c>
      <c r="J515" s="15"/>
      <c r="K515" s="15"/>
      <c r="L515" s="53">
        <f>TRUNC(SUM(L511:L514))</f>
        <v>131364</v>
      </c>
      <c r="M515" s="15"/>
      <c r="N515" s="53">
        <f>TRUNC(SUM(N511:N514))</f>
        <v>0</v>
      </c>
      <c r="O515" s="15" t="str">
        <f>IF((H515+K515+M515)=0, "", (H515+K515+M515))</f>
        <v/>
      </c>
      <c r="P515" s="15">
        <f>IF(SUM(I515,L515,N515)&lt;&gt;0,SUM(I515,L515,N515),"")</f>
        <v>180221</v>
      </c>
      <c r="Q515" s="12"/>
    </row>
    <row r="516" spans="1:18" ht="23.25" customHeight="1" x14ac:dyDescent="0.15">
      <c r="D516" s="12"/>
      <c r="E516" s="12"/>
      <c r="F516" s="31"/>
      <c r="G516" s="15"/>
      <c r="H516" s="15"/>
      <c r="I516" s="53"/>
      <c r="J516" s="15"/>
      <c r="K516" s="15"/>
      <c r="L516" s="53"/>
      <c r="M516" s="15"/>
      <c r="N516" s="53"/>
      <c r="O516" s="15"/>
      <c r="P516" s="15"/>
      <c r="Q516" s="12"/>
    </row>
    <row r="517" spans="1:18" ht="23.25" customHeight="1" x14ac:dyDescent="0.15">
      <c r="A517" s="13" t="s">
        <v>2565</v>
      </c>
      <c r="B517" s="13" t="s">
        <v>2382</v>
      </c>
      <c r="C517" s="1" t="s">
        <v>2566</v>
      </c>
      <c r="D517" s="170" t="s">
        <v>2564</v>
      </c>
      <c r="E517" s="172"/>
      <c r="F517" s="31"/>
      <c r="G517" s="15"/>
      <c r="H517" s="15"/>
      <c r="I517" s="53"/>
      <c r="J517" s="15"/>
      <c r="K517" s="15"/>
      <c r="L517" s="53"/>
      <c r="M517" s="15"/>
      <c r="N517" s="53"/>
      <c r="O517" s="15"/>
      <c r="P517" s="15"/>
      <c r="Q517" s="12"/>
    </row>
    <row r="518" spans="1:18" ht="23.25" customHeight="1" x14ac:dyDescent="0.15">
      <c r="A518" s="13" t="s">
        <v>1087</v>
      </c>
      <c r="B518" s="13" t="s">
        <v>1881</v>
      </c>
      <c r="C518" s="1" t="s">
        <v>324</v>
      </c>
      <c r="D518" s="12" t="s">
        <v>322</v>
      </c>
      <c r="E518" s="12" t="s">
        <v>325</v>
      </c>
      <c r="F518" s="31" t="s">
        <v>200</v>
      </c>
      <c r="G518" s="15">
        <v>1</v>
      </c>
      <c r="H518" s="15">
        <f>합산자재!H63</f>
        <v>46230</v>
      </c>
      <c r="I518" s="53">
        <f>IF(G518*H518&lt;&gt;0, TRUNC(G518*H518, 1), "")</f>
        <v>46230</v>
      </c>
      <c r="J518" s="15">
        <v>1</v>
      </c>
      <c r="K518" s="15">
        <f>합산자재!I63</f>
        <v>0</v>
      </c>
      <c r="L518" s="53" t="str">
        <f>IF(G518*K518&lt;&gt;0, TRUNC(G518*K518, 1), "")</f>
        <v/>
      </c>
      <c r="M518" s="15">
        <f>합산자재!J63</f>
        <v>0</v>
      </c>
      <c r="N518" s="53" t="str">
        <f>IF(G518*M518&lt;&gt;0, TRUNC(G518*M518, 1), "")</f>
        <v/>
      </c>
      <c r="O518" s="15">
        <f>IF((H518+K518+M518)=0, "", (H518+K518+M518))</f>
        <v>46230</v>
      </c>
      <c r="P518" s="15">
        <f>IF(SUM(I518,L518,N518)&lt;&gt;0,SUM(I518,L518,N518),"")</f>
        <v>46230</v>
      </c>
      <c r="Q518" s="12"/>
    </row>
    <row r="519" spans="1:18" ht="23.25" customHeight="1" x14ac:dyDescent="0.15">
      <c r="A519" s="13" t="s">
        <v>1372</v>
      </c>
      <c r="B519" s="13" t="s">
        <v>1881</v>
      </c>
      <c r="C519" s="1" t="s">
        <v>1002</v>
      </c>
      <c r="D519" s="12" t="s">
        <v>1003</v>
      </c>
      <c r="E519" s="12" t="s">
        <v>1004</v>
      </c>
      <c r="F519" s="31" t="s">
        <v>999</v>
      </c>
      <c r="G519" s="15">
        <f>일위노임!G227</f>
        <v>0.48</v>
      </c>
      <c r="H519" s="15">
        <f>합산자재!H345</f>
        <v>0</v>
      </c>
      <c r="I519" s="53" t="str">
        <f>IF(G519*H519&lt;&gt;0, TRUNC(G519*H519, 1), "")</f>
        <v/>
      </c>
      <c r="J519" s="15">
        <v>0.48</v>
      </c>
      <c r="K519" s="15">
        <f>합산자재!I345</f>
        <v>273676</v>
      </c>
      <c r="L519" s="53">
        <f>IF(G519*K519&lt;&gt;0, TRUNC(G519*K519, 1), "")</f>
        <v>131364.4</v>
      </c>
      <c r="M519" s="15">
        <f>합산자재!J345</f>
        <v>0</v>
      </c>
      <c r="N519" s="53" t="str">
        <f>IF(G519*M519&lt;&gt;0, TRUNC(G519*M519, 1), "")</f>
        <v/>
      </c>
      <c r="O519" s="15">
        <f>IF((H519+K519+M519)=0, "", (H519+K519+M519))</f>
        <v>273676</v>
      </c>
      <c r="P519" s="15">
        <f>IF(SUM(I519,L519,N519)&lt;&gt;0,SUM(I519,L519,N519),"")</f>
        <v>131364.4</v>
      </c>
      <c r="Q519" s="12"/>
    </row>
    <row r="520" spans="1:18" ht="23.25" customHeight="1" x14ac:dyDescent="0.15">
      <c r="A520" s="13" t="s">
        <v>2362</v>
      </c>
      <c r="B520" s="13" t="s">
        <v>1881</v>
      </c>
      <c r="C520" s="1" t="s">
        <v>2363</v>
      </c>
      <c r="D520" s="12" t="s">
        <v>2364</v>
      </c>
      <c r="E520" s="12" t="s">
        <v>2365</v>
      </c>
      <c r="F520" s="31" t="s">
        <v>792</v>
      </c>
      <c r="G520" s="15">
        <v>1</v>
      </c>
      <c r="H520" s="15">
        <v>2627.2</v>
      </c>
      <c r="I520" s="53">
        <f>IF(G520*H520&lt;&gt;0, TRUNC(G520*H520, 1), "")</f>
        <v>2627.2</v>
      </c>
      <c r="J520" s="15">
        <v>1</v>
      </c>
      <c r="K520" s="15"/>
      <c r="L520" s="53" t="str">
        <f>IF(G520*K520&lt;&gt;0, TRUNC(G520*K520, 1), "")</f>
        <v/>
      </c>
      <c r="M520" s="15"/>
      <c r="N520" s="53" t="str">
        <f>IF(G520*M520&lt;&gt;0, TRUNC(G520*M520, 1), "")</f>
        <v/>
      </c>
      <c r="O520" s="15">
        <f>IF((H520+K520+M520)=0, "", (H520+K520+M520))</f>
        <v>2627.2</v>
      </c>
      <c r="P520" s="15">
        <f>IF(SUM(I520,L520,N520)&lt;&gt;0,SUM(I520,L520,N520),"")</f>
        <v>2627.2</v>
      </c>
      <c r="Q520" s="12"/>
    </row>
    <row r="521" spans="1:18" ht="23.25" customHeight="1" x14ac:dyDescent="0.15">
      <c r="B521" s="13" t="s">
        <v>2360</v>
      </c>
      <c r="D521" s="12" t="s">
        <v>2361</v>
      </c>
      <c r="E521" s="12"/>
      <c r="F521" s="31"/>
      <c r="G521" s="15"/>
      <c r="H521" s="15"/>
      <c r="I521" s="53">
        <f>TRUNC(SUM(I517:I520))</f>
        <v>48857</v>
      </c>
      <c r="J521" s="15"/>
      <c r="K521" s="15"/>
      <c r="L521" s="53">
        <f>TRUNC(SUM(L517:L520))</f>
        <v>131364</v>
      </c>
      <c r="M521" s="15"/>
      <c r="N521" s="53">
        <f>TRUNC(SUM(N517:N520))</f>
        <v>0</v>
      </c>
      <c r="O521" s="15" t="str">
        <f>IF((H521+K521+M521)=0, "", (H521+K521+M521))</f>
        <v/>
      </c>
      <c r="P521" s="15">
        <f>IF(SUM(I521,L521,N521)&lt;&gt;0,SUM(I521,L521,N521),"")</f>
        <v>180221</v>
      </c>
      <c r="Q521" s="12"/>
    </row>
    <row r="522" spans="1:18" ht="23.25" customHeight="1" x14ac:dyDescent="0.15">
      <c r="D522" s="12"/>
      <c r="E522" s="12"/>
      <c r="F522" s="31"/>
      <c r="G522" s="15"/>
      <c r="H522" s="15"/>
      <c r="I522" s="53"/>
      <c r="J522" s="15"/>
      <c r="K522" s="15"/>
      <c r="L522" s="53"/>
      <c r="M522" s="15"/>
      <c r="N522" s="53"/>
      <c r="O522" s="15"/>
      <c r="P522" s="15"/>
      <c r="Q522" s="12"/>
    </row>
    <row r="523" spans="1:18" ht="23.25" customHeight="1" x14ac:dyDescent="0.15">
      <c r="A523" s="13" t="s">
        <v>2568</v>
      </c>
      <c r="B523" s="13" t="s">
        <v>2382</v>
      </c>
      <c r="C523" s="1" t="s">
        <v>2569</v>
      </c>
      <c r="D523" s="170" t="s">
        <v>2567</v>
      </c>
      <c r="E523" s="172"/>
      <c r="F523" s="31"/>
      <c r="G523" s="15"/>
      <c r="H523" s="15"/>
      <c r="I523" s="53"/>
      <c r="J523" s="15"/>
      <c r="K523" s="15"/>
      <c r="L523" s="53"/>
      <c r="M523" s="15"/>
      <c r="N523" s="53"/>
      <c r="O523" s="15"/>
      <c r="P523" s="15"/>
      <c r="Q523" s="12"/>
    </row>
    <row r="524" spans="1:18" ht="23.25" customHeight="1" x14ac:dyDescent="0.15">
      <c r="A524" s="13" t="s">
        <v>1095</v>
      </c>
      <c r="B524" s="13" t="s">
        <v>1884</v>
      </c>
      <c r="C524" s="1" t="s">
        <v>341</v>
      </c>
      <c r="D524" s="12" t="s">
        <v>317</v>
      </c>
      <c r="E524" s="12" t="s">
        <v>342</v>
      </c>
      <c r="F524" s="31" t="s">
        <v>166</v>
      </c>
      <c r="G524" s="15">
        <v>1.05</v>
      </c>
      <c r="H524" s="15">
        <f>합산자재!H71</f>
        <v>11070</v>
      </c>
      <c r="I524" s="53">
        <f>IF(G524*H524&lt;&gt;0, TRUNC(G524*H524, 1), "")</f>
        <v>11623.5</v>
      </c>
      <c r="J524" s="15">
        <v>1</v>
      </c>
      <c r="K524" s="15">
        <f>합산자재!I71</f>
        <v>0</v>
      </c>
      <c r="L524" s="53" t="str">
        <f>IF(G524*K524&lt;&gt;0, TRUNC(G524*K524, 1), "")</f>
        <v/>
      </c>
      <c r="M524" s="15">
        <f>합산자재!J71</f>
        <v>0</v>
      </c>
      <c r="N524" s="53" t="str">
        <f>IF(G524*M524&lt;&gt;0, TRUNC(G524*M524, 1), "")</f>
        <v/>
      </c>
      <c r="O524" s="15">
        <f>IF((H524+K524+M524)=0, "", (H524+K524+M524))</f>
        <v>11070</v>
      </c>
      <c r="P524" s="15">
        <f>IF(SUM(I524,L524,N524)&lt;&gt;0,SUM(I524,L524,N524),"")</f>
        <v>11623.5</v>
      </c>
      <c r="Q524" s="12"/>
      <c r="R524" s="2" t="s">
        <v>2377</v>
      </c>
    </row>
    <row r="525" spans="1:18" ht="23.25" customHeight="1" x14ac:dyDescent="0.15">
      <c r="A525" s="13" t="s">
        <v>1372</v>
      </c>
      <c r="B525" s="13" t="s">
        <v>1884</v>
      </c>
      <c r="C525" s="1" t="s">
        <v>1002</v>
      </c>
      <c r="D525" s="12" t="s">
        <v>1003</v>
      </c>
      <c r="E525" s="12" t="s">
        <v>1004</v>
      </c>
      <c r="F525" s="31" t="s">
        <v>999</v>
      </c>
      <c r="G525" s="15">
        <f>일위노임!G230</f>
        <v>0.16</v>
      </c>
      <c r="H525" s="15">
        <f>합산자재!H345</f>
        <v>0</v>
      </c>
      <c r="I525" s="53" t="str">
        <f>IF(G525*H525&lt;&gt;0, TRUNC(G525*H525, 1), "")</f>
        <v/>
      </c>
      <c r="J525" s="15">
        <v>0.16</v>
      </c>
      <c r="K525" s="15">
        <f>합산자재!I345</f>
        <v>273676</v>
      </c>
      <c r="L525" s="53">
        <f>IF(G525*K525&lt;&gt;0, TRUNC(G525*K525, 1), "")</f>
        <v>43788.1</v>
      </c>
      <c r="M525" s="15">
        <f>합산자재!J345</f>
        <v>0</v>
      </c>
      <c r="N525" s="53" t="str">
        <f>IF(G525*M525&lt;&gt;0, TRUNC(G525*M525, 1), "")</f>
        <v/>
      </c>
      <c r="O525" s="15">
        <f>IF((H525+K525+M525)=0, "", (H525+K525+M525))</f>
        <v>273676</v>
      </c>
      <c r="P525" s="15">
        <f>IF(SUM(I525,L525,N525)&lt;&gt;0,SUM(I525,L525,N525),"")</f>
        <v>43788.1</v>
      </c>
      <c r="Q525" s="12"/>
    </row>
    <row r="526" spans="1:18" ht="23.25" customHeight="1" x14ac:dyDescent="0.15">
      <c r="A526" s="13" t="s">
        <v>2362</v>
      </c>
      <c r="B526" s="13" t="s">
        <v>1884</v>
      </c>
      <c r="C526" s="1" t="s">
        <v>2363</v>
      </c>
      <c r="D526" s="12" t="s">
        <v>2364</v>
      </c>
      <c r="E526" s="12" t="s">
        <v>2365</v>
      </c>
      <c r="F526" s="31" t="s">
        <v>792</v>
      </c>
      <c r="G526" s="15">
        <v>1</v>
      </c>
      <c r="H526" s="15">
        <v>875.7</v>
      </c>
      <c r="I526" s="53">
        <f>IF(G526*H526&lt;&gt;0, TRUNC(G526*H526, 1), "")</f>
        <v>875.7</v>
      </c>
      <c r="J526" s="15">
        <v>1</v>
      </c>
      <c r="K526" s="15"/>
      <c r="L526" s="53" t="str">
        <f>IF(G526*K526&lt;&gt;0, TRUNC(G526*K526, 1), "")</f>
        <v/>
      </c>
      <c r="M526" s="15"/>
      <c r="N526" s="53" t="str">
        <f>IF(G526*M526&lt;&gt;0, TRUNC(G526*M526, 1), "")</f>
        <v/>
      </c>
      <c r="O526" s="15">
        <f>IF((H526+K526+M526)=0, "", (H526+K526+M526))</f>
        <v>875.7</v>
      </c>
      <c r="P526" s="15">
        <f>IF(SUM(I526,L526,N526)&lt;&gt;0,SUM(I526,L526,N526),"")</f>
        <v>875.7</v>
      </c>
      <c r="Q526" s="12"/>
    </row>
    <row r="527" spans="1:18" ht="23.25" customHeight="1" x14ac:dyDescent="0.15">
      <c r="B527" s="13" t="s">
        <v>2360</v>
      </c>
      <c r="D527" s="12" t="s">
        <v>2361</v>
      </c>
      <c r="E527" s="12"/>
      <c r="F527" s="31"/>
      <c r="G527" s="15"/>
      <c r="H527" s="15"/>
      <c r="I527" s="53">
        <f>TRUNC(SUM(I523:I526))</f>
        <v>12499</v>
      </c>
      <c r="J527" s="15"/>
      <c r="K527" s="15"/>
      <c r="L527" s="53">
        <f>TRUNC(SUM(L523:L526))</f>
        <v>43788</v>
      </c>
      <c r="M527" s="15"/>
      <c r="N527" s="53">
        <f>TRUNC(SUM(N523:N526))</f>
        <v>0</v>
      </c>
      <c r="O527" s="15" t="str">
        <f>IF((H527+K527+M527)=0, "", (H527+K527+M527))</f>
        <v/>
      </c>
      <c r="P527" s="15">
        <f>IF(SUM(I527,L527,N527)&lt;&gt;0,SUM(I527,L527,N527),"")</f>
        <v>56287</v>
      </c>
      <c r="Q527" s="12"/>
    </row>
    <row r="528" spans="1:18" ht="23.25" customHeight="1" x14ac:dyDescent="0.15">
      <c r="D528" s="12"/>
      <c r="E528" s="12"/>
      <c r="F528" s="31"/>
      <c r="G528" s="15"/>
      <c r="H528" s="15"/>
      <c r="I528" s="53"/>
      <c r="J528" s="15"/>
      <c r="K528" s="15"/>
      <c r="L528" s="53"/>
      <c r="M528" s="15"/>
      <c r="N528" s="53"/>
      <c r="O528" s="15"/>
      <c r="P528" s="15"/>
      <c r="Q528" s="12"/>
    </row>
    <row r="529" spans="1:18" ht="23.25" customHeight="1" x14ac:dyDescent="0.15">
      <c r="A529" s="13" t="s">
        <v>2571</v>
      </c>
      <c r="B529" s="13" t="s">
        <v>2382</v>
      </c>
      <c r="C529" s="1" t="s">
        <v>2572</v>
      </c>
      <c r="D529" s="170" t="s">
        <v>2570</v>
      </c>
      <c r="E529" s="172"/>
      <c r="F529" s="31"/>
      <c r="G529" s="15"/>
      <c r="H529" s="15"/>
      <c r="I529" s="53"/>
      <c r="J529" s="15"/>
      <c r="K529" s="15"/>
      <c r="L529" s="53"/>
      <c r="M529" s="15"/>
      <c r="N529" s="53"/>
      <c r="O529" s="15"/>
      <c r="P529" s="15"/>
      <c r="Q529" s="12"/>
    </row>
    <row r="530" spans="1:18" ht="23.25" customHeight="1" x14ac:dyDescent="0.15">
      <c r="A530" s="13" t="s">
        <v>1096</v>
      </c>
      <c r="B530" s="13" t="s">
        <v>1887</v>
      </c>
      <c r="C530" s="1" t="s">
        <v>343</v>
      </c>
      <c r="D530" s="12" t="s">
        <v>322</v>
      </c>
      <c r="E530" s="12" t="s">
        <v>344</v>
      </c>
      <c r="F530" s="31" t="s">
        <v>200</v>
      </c>
      <c r="G530" s="15">
        <v>1</v>
      </c>
      <c r="H530" s="15">
        <f>합산자재!H72</f>
        <v>12910</v>
      </c>
      <c r="I530" s="53">
        <f>IF(G530*H530&lt;&gt;0, TRUNC(G530*H530, 1), "")</f>
        <v>12910</v>
      </c>
      <c r="J530" s="15">
        <v>1</v>
      </c>
      <c r="K530" s="15">
        <f>합산자재!I72</f>
        <v>0</v>
      </c>
      <c r="L530" s="53" t="str">
        <f>IF(G530*K530&lt;&gt;0, TRUNC(G530*K530, 1), "")</f>
        <v/>
      </c>
      <c r="M530" s="15">
        <f>합산자재!J72</f>
        <v>0</v>
      </c>
      <c r="N530" s="53" t="str">
        <f>IF(G530*M530&lt;&gt;0, TRUNC(G530*M530, 1), "")</f>
        <v/>
      </c>
      <c r="O530" s="15">
        <f>IF((H530+K530+M530)=0, "", (H530+K530+M530))</f>
        <v>12910</v>
      </c>
      <c r="P530" s="15">
        <f>IF(SUM(I530,L530,N530)&lt;&gt;0,SUM(I530,L530,N530),"")</f>
        <v>12910</v>
      </c>
      <c r="Q530" s="12"/>
    </row>
    <row r="531" spans="1:18" ht="23.25" customHeight="1" x14ac:dyDescent="0.15">
      <c r="A531" s="13" t="s">
        <v>1372</v>
      </c>
      <c r="B531" s="13" t="s">
        <v>1887</v>
      </c>
      <c r="C531" s="1" t="s">
        <v>1002</v>
      </c>
      <c r="D531" s="12" t="s">
        <v>1003</v>
      </c>
      <c r="E531" s="12" t="s">
        <v>1004</v>
      </c>
      <c r="F531" s="31" t="s">
        <v>999</v>
      </c>
      <c r="G531" s="15">
        <f>일위노임!G233</f>
        <v>0.16</v>
      </c>
      <c r="H531" s="15">
        <f>합산자재!H345</f>
        <v>0</v>
      </c>
      <c r="I531" s="53" t="str">
        <f>IF(G531*H531&lt;&gt;0, TRUNC(G531*H531, 1), "")</f>
        <v/>
      </c>
      <c r="J531" s="15">
        <v>0.16</v>
      </c>
      <c r="K531" s="15">
        <f>합산자재!I345</f>
        <v>273676</v>
      </c>
      <c r="L531" s="53">
        <f>IF(G531*K531&lt;&gt;0, TRUNC(G531*K531, 1), "")</f>
        <v>43788.1</v>
      </c>
      <c r="M531" s="15">
        <f>합산자재!J345</f>
        <v>0</v>
      </c>
      <c r="N531" s="53" t="str">
        <f>IF(G531*M531&lt;&gt;0, TRUNC(G531*M531, 1), "")</f>
        <v/>
      </c>
      <c r="O531" s="15">
        <f>IF((H531+K531+M531)=0, "", (H531+K531+M531))</f>
        <v>273676</v>
      </c>
      <c r="P531" s="15">
        <f>IF(SUM(I531,L531,N531)&lt;&gt;0,SUM(I531,L531,N531),"")</f>
        <v>43788.1</v>
      </c>
      <c r="Q531" s="12"/>
    </row>
    <row r="532" spans="1:18" ht="23.25" customHeight="1" x14ac:dyDescent="0.15">
      <c r="A532" s="13" t="s">
        <v>2362</v>
      </c>
      <c r="B532" s="13" t="s">
        <v>1887</v>
      </c>
      <c r="C532" s="1" t="s">
        <v>2363</v>
      </c>
      <c r="D532" s="12" t="s">
        <v>2364</v>
      </c>
      <c r="E532" s="12" t="s">
        <v>2365</v>
      </c>
      <c r="F532" s="31" t="s">
        <v>792</v>
      </c>
      <c r="G532" s="15">
        <v>1</v>
      </c>
      <c r="H532" s="15">
        <v>875.7</v>
      </c>
      <c r="I532" s="53">
        <f>IF(G532*H532&lt;&gt;0, TRUNC(G532*H532, 1), "")</f>
        <v>875.7</v>
      </c>
      <c r="J532" s="15">
        <v>1</v>
      </c>
      <c r="K532" s="15"/>
      <c r="L532" s="53" t="str">
        <f>IF(G532*K532&lt;&gt;0, TRUNC(G532*K532, 1), "")</f>
        <v/>
      </c>
      <c r="M532" s="15"/>
      <c r="N532" s="53" t="str">
        <f>IF(G532*M532&lt;&gt;0, TRUNC(G532*M532, 1), "")</f>
        <v/>
      </c>
      <c r="O532" s="15">
        <f>IF((H532+K532+M532)=0, "", (H532+K532+M532))</f>
        <v>875.7</v>
      </c>
      <c r="P532" s="15">
        <f>IF(SUM(I532,L532,N532)&lt;&gt;0,SUM(I532,L532,N532),"")</f>
        <v>875.7</v>
      </c>
      <c r="Q532" s="12"/>
    </row>
    <row r="533" spans="1:18" ht="23.25" customHeight="1" x14ac:dyDescent="0.15">
      <c r="B533" s="13" t="s">
        <v>2360</v>
      </c>
      <c r="D533" s="12" t="s">
        <v>2361</v>
      </c>
      <c r="E533" s="12"/>
      <c r="F533" s="31"/>
      <c r="G533" s="15"/>
      <c r="H533" s="15"/>
      <c r="I533" s="53">
        <f>TRUNC(SUM(I529:I532))</f>
        <v>13785</v>
      </c>
      <c r="J533" s="15"/>
      <c r="K533" s="15"/>
      <c r="L533" s="53">
        <f>TRUNC(SUM(L529:L532))</f>
        <v>43788</v>
      </c>
      <c r="M533" s="15"/>
      <c r="N533" s="53">
        <f>TRUNC(SUM(N529:N532))</f>
        <v>0</v>
      </c>
      <c r="O533" s="15" t="str">
        <f>IF((H533+K533+M533)=0, "", (H533+K533+M533))</f>
        <v/>
      </c>
      <c r="P533" s="15">
        <f>IF(SUM(I533,L533,N533)&lt;&gt;0,SUM(I533,L533,N533),"")</f>
        <v>57573</v>
      </c>
      <c r="Q533" s="12"/>
    </row>
    <row r="534" spans="1:18" ht="23.25" customHeight="1" x14ac:dyDescent="0.15">
      <c r="D534" s="12"/>
      <c r="E534" s="12"/>
      <c r="F534" s="31"/>
      <c r="G534" s="15"/>
      <c r="H534" s="15"/>
      <c r="I534" s="53"/>
      <c r="J534" s="15"/>
      <c r="K534" s="15"/>
      <c r="L534" s="53"/>
      <c r="M534" s="15"/>
      <c r="N534" s="53"/>
      <c r="O534" s="15"/>
      <c r="P534" s="15"/>
      <c r="Q534" s="12"/>
    </row>
    <row r="535" spans="1:18" ht="23.25" customHeight="1" x14ac:dyDescent="0.15">
      <c r="A535" s="13" t="s">
        <v>2574</v>
      </c>
      <c r="B535" s="13" t="s">
        <v>2382</v>
      </c>
      <c r="C535" s="1" t="s">
        <v>2575</v>
      </c>
      <c r="D535" s="170" t="s">
        <v>2573</v>
      </c>
      <c r="E535" s="172"/>
      <c r="F535" s="31"/>
      <c r="G535" s="15"/>
      <c r="H535" s="15"/>
      <c r="I535" s="53"/>
      <c r="J535" s="15"/>
      <c r="K535" s="15"/>
      <c r="L535" s="53"/>
      <c r="M535" s="15"/>
      <c r="N535" s="53"/>
      <c r="O535" s="15"/>
      <c r="P535" s="15"/>
      <c r="Q535" s="12"/>
    </row>
    <row r="536" spans="1:18" ht="23.25" customHeight="1" x14ac:dyDescent="0.15">
      <c r="A536" s="13" t="s">
        <v>1097</v>
      </c>
      <c r="B536" s="13" t="s">
        <v>1890</v>
      </c>
      <c r="C536" s="1" t="s">
        <v>345</v>
      </c>
      <c r="D536" s="12" t="s">
        <v>322</v>
      </c>
      <c r="E536" s="12" t="s">
        <v>346</v>
      </c>
      <c r="F536" s="31" t="s">
        <v>200</v>
      </c>
      <c r="G536" s="15">
        <v>1</v>
      </c>
      <c r="H536" s="15">
        <f>합산자재!H73</f>
        <v>18200</v>
      </c>
      <c r="I536" s="53">
        <f>IF(G536*H536&lt;&gt;0, TRUNC(G536*H536, 1), "")</f>
        <v>18200</v>
      </c>
      <c r="J536" s="15">
        <v>1</v>
      </c>
      <c r="K536" s="15">
        <f>합산자재!I73</f>
        <v>0</v>
      </c>
      <c r="L536" s="53" t="str">
        <f>IF(G536*K536&lt;&gt;0, TRUNC(G536*K536, 1), "")</f>
        <v/>
      </c>
      <c r="M536" s="15">
        <f>합산자재!J73</f>
        <v>0</v>
      </c>
      <c r="N536" s="53" t="str">
        <f>IF(G536*M536&lt;&gt;0, TRUNC(G536*M536, 1), "")</f>
        <v/>
      </c>
      <c r="O536" s="15">
        <f>IF((H536+K536+M536)=0, "", (H536+K536+M536))</f>
        <v>18200</v>
      </c>
      <c r="P536" s="15">
        <f>IF(SUM(I536,L536,N536)&lt;&gt;0,SUM(I536,L536,N536),"")</f>
        <v>18200</v>
      </c>
      <c r="Q536" s="12"/>
    </row>
    <row r="537" spans="1:18" ht="23.25" customHeight="1" x14ac:dyDescent="0.15">
      <c r="A537" s="13" t="s">
        <v>1372</v>
      </c>
      <c r="B537" s="13" t="s">
        <v>1890</v>
      </c>
      <c r="C537" s="1" t="s">
        <v>1002</v>
      </c>
      <c r="D537" s="12" t="s">
        <v>1003</v>
      </c>
      <c r="E537" s="12" t="s">
        <v>1004</v>
      </c>
      <c r="F537" s="31" t="s">
        <v>999</v>
      </c>
      <c r="G537" s="15">
        <f>일위노임!G236</f>
        <v>0.16</v>
      </c>
      <c r="H537" s="15">
        <f>합산자재!H345</f>
        <v>0</v>
      </c>
      <c r="I537" s="53" t="str">
        <f>IF(G537*H537&lt;&gt;0, TRUNC(G537*H537, 1), "")</f>
        <v/>
      </c>
      <c r="J537" s="15">
        <v>0.16</v>
      </c>
      <c r="K537" s="15">
        <f>합산자재!I345</f>
        <v>273676</v>
      </c>
      <c r="L537" s="53">
        <f>IF(G537*K537&lt;&gt;0, TRUNC(G537*K537, 1), "")</f>
        <v>43788.1</v>
      </c>
      <c r="M537" s="15">
        <f>합산자재!J345</f>
        <v>0</v>
      </c>
      <c r="N537" s="53" t="str">
        <f>IF(G537*M537&lt;&gt;0, TRUNC(G537*M537, 1), "")</f>
        <v/>
      </c>
      <c r="O537" s="15">
        <f>IF((H537+K537+M537)=0, "", (H537+K537+M537))</f>
        <v>273676</v>
      </c>
      <c r="P537" s="15">
        <f>IF(SUM(I537,L537,N537)&lt;&gt;0,SUM(I537,L537,N537),"")</f>
        <v>43788.1</v>
      </c>
      <c r="Q537" s="12"/>
    </row>
    <row r="538" spans="1:18" ht="23.25" customHeight="1" x14ac:dyDescent="0.15">
      <c r="A538" s="13" t="s">
        <v>2362</v>
      </c>
      <c r="B538" s="13" t="s">
        <v>1890</v>
      </c>
      <c r="C538" s="1" t="s">
        <v>2363</v>
      </c>
      <c r="D538" s="12" t="s">
        <v>2364</v>
      </c>
      <c r="E538" s="12" t="s">
        <v>2365</v>
      </c>
      <c r="F538" s="31" t="s">
        <v>792</v>
      </c>
      <c r="G538" s="15">
        <v>1</v>
      </c>
      <c r="H538" s="15">
        <v>875.7</v>
      </c>
      <c r="I538" s="53">
        <f>IF(G538*H538&lt;&gt;0, TRUNC(G538*H538, 1), "")</f>
        <v>875.7</v>
      </c>
      <c r="J538" s="15">
        <v>1</v>
      </c>
      <c r="K538" s="15"/>
      <c r="L538" s="53" t="str">
        <f>IF(G538*K538&lt;&gt;0, TRUNC(G538*K538, 1), "")</f>
        <v/>
      </c>
      <c r="M538" s="15"/>
      <c r="N538" s="53" t="str">
        <f>IF(G538*M538&lt;&gt;0, TRUNC(G538*M538, 1), "")</f>
        <v/>
      </c>
      <c r="O538" s="15">
        <f>IF((H538+K538+M538)=0, "", (H538+K538+M538))</f>
        <v>875.7</v>
      </c>
      <c r="P538" s="15">
        <f>IF(SUM(I538,L538,N538)&lt;&gt;0,SUM(I538,L538,N538),"")</f>
        <v>875.7</v>
      </c>
      <c r="Q538" s="12"/>
    </row>
    <row r="539" spans="1:18" ht="23.25" customHeight="1" x14ac:dyDescent="0.15">
      <c r="B539" s="13" t="s">
        <v>2360</v>
      </c>
      <c r="D539" s="12" t="s">
        <v>2361</v>
      </c>
      <c r="E539" s="12"/>
      <c r="F539" s="31"/>
      <c r="G539" s="15"/>
      <c r="H539" s="15"/>
      <c r="I539" s="53">
        <f>TRUNC(SUM(I535:I538))</f>
        <v>19075</v>
      </c>
      <c r="J539" s="15"/>
      <c r="K539" s="15"/>
      <c r="L539" s="53">
        <f>TRUNC(SUM(L535:L538))</f>
        <v>43788</v>
      </c>
      <c r="M539" s="15"/>
      <c r="N539" s="53">
        <f>TRUNC(SUM(N535:N538))</f>
        <v>0</v>
      </c>
      <c r="O539" s="15" t="str">
        <f>IF((H539+K539+M539)=0, "", (H539+K539+M539))</f>
        <v/>
      </c>
      <c r="P539" s="15">
        <f>IF(SUM(I539,L539,N539)&lt;&gt;0,SUM(I539,L539,N539),"")</f>
        <v>62863</v>
      </c>
      <c r="Q539" s="12"/>
    </row>
    <row r="540" spans="1:18" ht="23.25" customHeight="1" x14ac:dyDescent="0.15">
      <c r="D540" s="12"/>
      <c r="E540" s="12"/>
      <c r="F540" s="31"/>
      <c r="G540" s="15"/>
      <c r="H540" s="15"/>
      <c r="I540" s="53"/>
      <c r="J540" s="15"/>
      <c r="K540" s="15"/>
      <c r="L540" s="53"/>
      <c r="M540" s="15"/>
      <c r="N540" s="53"/>
      <c r="O540" s="15"/>
      <c r="P540" s="15"/>
      <c r="Q540" s="12"/>
    </row>
    <row r="541" spans="1:18" ht="23.25" customHeight="1" x14ac:dyDescent="0.15">
      <c r="A541" s="13" t="s">
        <v>2577</v>
      </c>
      <c r="B541" s="13" t="s">
        <v>2382</v>
      </c>
      <c r="C541" s="1" t="s">
        <v>2578</v>
      </c>
      <c r="D541" s="170" t="s">
        <v>2576</v>
      </c>
      <c r="E541" s="172"/>
      <c r="F541" s="31"/>
      <c r="G541" s="15"/>
      <c r="H541" s="15"/>
      <c r="I541" s="53"/>
      <c r="J541" s="15"/>
      <c r="K541" s="15"/>
      <c r="L541" s="53"/>
      <c r="M541" s="15"/>
      <c r="N541" s="53"/>
      <c r="O541" s="15"/>
      <c r="P541" s="15"/>
      <c r="Q541" s="12"/>
    </row>
    <row r="542" spans="1:18" ht="23.25" customHeight="1" x14ac:dyDescent="0.15">
      <c r="A542" s="13" t="s">
        <v>1099</v>
      </c>
      <c r="B542" s="13" t="s">
        <v>1893</v>
      </c>
      <c r="C542" s="1" t="s">
        <v>350</v>
      </c>
      <c r="D542" s="12" t="s">
        <v>351</v>
      </c>
      <c r="E542" s="12" t="s">
        <v>352</v>
      </c>
      <c r="F542" s="31" t="s">
        <v>166</v>
      </c>
      <c r="G542" s="15">
        <v>1.05</v>
      </c>
      <c r="H542" s="15">
        <f>합산자재!H75</f>
        <v>13189</v>
      </c>
      <c r="I542" s="53">
        <f>IF(G542*H542&lt;&gt;0, TRUNC(G542*H542, 1), "")</f>
        <v>13848.4</v>
      </c>
      <c r="J542" s="15">
        <v>1</v>
      </c>
      <c r="K542" s="15">
        <f>합산자재!I75</f>
        <v>0</v>
      </c>
      <c r="L542" s="53" t="str">
        <f>IF(G542*K542&lt;&gt;0, TRUNC(G542*K542, 1), "")</f>
        <v/>
      </c>
      <c r="M542" s="15">
        <f>합산자재!J75</f>
        <v>0</v>
      </c>
      <c r="N542" s="53" t="str">
        <f>IF(G542*M542&lt;&gt;0, TRUNC(G542*M542, 1), "")</f>
        <v/>
      </c>
      <c r="O542" s="15">
        <f>IF((H542+K542+M542)=0, "", (H542+K542+M542))</f>
        <v>13189</v>
      </c>
      <c r="P542" s="15">
        <f>IF(SUM(I542,L542,N542)&lt;&gt;0,SUM(I542,L542,N542),"")</f>
        <v>13848.4</v>
      </c>
      <c r="Q542" s="12"/>
      <c r="R542" s="2" t="s">
        <v>2377</v>
      </c>
    </row>
    <row r="543" spans="1:18" ht="23.25" customHeight="1" x14ac:dyDescent="0.15">
      <c r="A543" s="13" t="s">
        <v>1372</v>
      </c>
      <c r="B543" s="13" t="s">
        <v>1893</v>
      </c>
      <c r="C543" s="1" t="s">
        <v>1002</v>
      </c>
      <c r="D543" s="12" t="s">
        <v>1003</v>
      </c>
      <c r="E543" s="12" t="s">
        <v>1004</v>
      </c>
      <c r="F543" s="31" t="s">
        <v>999</v>
      </c>
      <c r="G543" s="15">
        <f>일위노임!G239</f>
        <v>0.45</v>
      </c>
      <c r="H543" s="15">
        <f>합산자재!H345</f>
        <v>0</v>
      </c>
      <c r="I543" s="53" t="str">
        <f>IF(G543*H543&lt;&gt;0, TRUNC(G543*H543, 1), "")</f>
        <v/>
      </c>
      <c r="J543" s="15">
        <v>0.45</v>
      </c>
      <c r="K543" s="15">
        <f>합산자재!I345</f>
        <v>273676</v>
      </c>
      <c r="L543" s="53">
        <f>IF(G543*K543&lt;&gt;0, TRUNC(G543*K543, 1), "")</f>
        <v>123154.2</v>
      </c>
      <c r="M543" s="15">
        <f>합산자재!J345</f>
        <v>0</v>
      </c>
      <c r="N543" s="53" t="str">
        <f>IF(G543*M543&lt;&gt;0, TRUNC(G543*M543, 1), "")</f>
        <v/>
      </c>
      <c r="O543" s="15">
        <f>IF((H543+K543+M543)=0, "", (H543+K543+M543))</f>
        <v>273676</v>
      </c>
      <c r="P543" s="15">
        <f>IF(SUM(I543,L543,N543)&lt;&gt;0,SUM(I543,L543,N543),"")</f>
        <v>123154.2</v>
      </c>
      <c r="Q543" s="12"/>
    </row>
    <row r="544" spans="1:18" ht="23.25" customHeight="1" x14ac:dyDescent="0.15">
      <c r="A544" s="13" t="s">
        <v>2362</v>
      </c>
      <c r="B544" s="13" t="s">
        <v>1893</v>
      </c>
      <c r="C544" s="1" t="s">
        <v>2363</v>
      </c>
      <c r="D544" s="12" t="s">
        <v>2364</v>
      </c>
      <c r="E544" s="12" t="s">
        <v>2365</v>
      </c>
      <c r="F544" s="31" t="s">
        <v>792</v>
      </c>
      <c r="G544" s="15">
        <v>1</v>
      </c>
      <c r="H544" s="15">
        <v>2463</v>
      </c>
      <c r="I544" s="53">
        <f>IF(G544*H544&lt;&gt;0, TRUNC(G544*H544, 1), "")</f>
        <v>2463</v>
      </c>
      <c r="J544" s="15">
        <v>1</v>
      </c>
      <c r="K544" s="15"/>
      <c r="L544" s="53" t="str">
        <f>IF(G544*K544&lt;&gt;0, TRUNC(G544*K544, 1), "")</f>
        <v/>
      </c>
      <c r="M544" s="15"/>
      <c r="N544" s="53" t="str">
        <f>IF(G544*M544&lt;&gt;0, TRUNC(G544*M544, 1), "")</f>
        <v/>
      </c>
      <c r="O544" s="15">
        <f>IF((H544+K544+M544)=0, "", (H544+K544+M544))</f>
        <v>2463</v>
      </c>
      <c r="P544" s="15">
        <f>IF(SUM(I544,L544,N544)&lt;&gt;0,SUM(I544,L544,N544),"")</f>
        <v>2463</v>
      </c>
      <c r="Q544" s="12"/>
    </row>
    <row r="545" spans="1:17" ht="23.25" customHeight="1" x14ac:dyDescent="0.15">
      <c r="B545" s="13" t="s">
        <v>2360</v>
      </c>
      <c r="D545" s="12" t="s">
        <v>2361</v>
      </c>
      <c r="E545" s="12"/>
      <c r="F545" s="31"/>
      <c r="G545" s="15"/>
      <c r="H545" s="15"/>
      <c r="I545" s="53">
        <f>TRUNC(SUM(I541:I544))</f>
        <v>16311</v>
      </c>
      <c r="J545" s="15"/>
      <c r="K545" s="15"/>
      <c r="L545" s="53">
        <f>TRUNC(SUM(L541:L544))</f>
        <v>123154</v>
      </c>
      <c r="M545" s="15"/>
      <c r="N545" s="53">
        <f>TRUNC(SUM(N541:N544))</f>
        <v>0</v>
      </c>
      <c r="O545" s="15" t="str">
        <f>IF((H545+K545+M545)=0, "", (H545+K545+M545))</f>
        <v/>
      </c>
      <c r="P545" s="15">
        <f>IF(SUM(I545,L545,N545)&lt;&gt;0,SUM(I545,L545,N545),"")</f>
        <v>139465</v>
      </c>
      <c r="Q545" s="12"/>
    </row>
    <row r="546" spans="1:17" ht="23.25" customHeight="1" x14ac:dyDescent="0.15">
      <c r="D546" s="12"/>
      <c r="E546" s="12"/>
      <c r="F546" s="31"/>
      <c r="G546" s="15"/>
      <c r="H546" s="15"/>
      <c r="I546" s="53"/>
      <c r="J546" s="15"/>
      <c r="K546" s="15"/>
      <c r="L546" s="53"/>
      <c r="M546" s="15"/>
      <c r="N546" s="53"/>
      <c r="O546" s="15"/>
      <c r="P546" s="15"/>
      <c r="Q546" s="12"/>
    </row>
    <row r="547" spans="1:17" ht="23.25" customHeight="1" x14ac:dyDescent="0.15">
      <c r="A547" s="13" t="s">
        <v>2580</v>
      </c>
      <c r="B547" s="13" t="s">
        <v>2382</v>
      </c>
      <c r="C547" s="1" t="s">
        <v>2581</v>
      </c>
      <c r="D547" s="170" t="s">
        <v>2579</v>
      </c>
      <c r="E547" s="172"/>
      <c r="F547" s="31"/>
      <c r="G547" s="15"/>
      <c r="H547" s="15"/>
      <c r="I547" s="53"/>
      <c r="J547" s="15"/>
      <c r="K547" s="15"/>
      <c r="L547" s="53"/>
      <c r="M547" s="15"/>
      <c r="N547" s="53"/>
      <c r="O547" s="15"/>
      <c r="P547" s="15"/>
      <c r="Q547" s="12"/>
    </row>
    <row r="548" spans="1:17" ht="23.25" customHeight="1" x14ac:dyDescent="0.15">
      <c r="A548" s="13" t="s">
        <v>1100</v>
      </c>
      <c r="B548" s="13" t="s">
        <v>1896</v>
      </c>
      <c r="C548" s="1" t="s">
        <v>353</v>
      </c>
      <c r="D548" s="12" t="s">
        <v>354</v>
      </c>
      <c r="E548" s="12" t="s">
        <v>355</v>
      </c>
      <c r="F548" s="31" t="s">
        <v>200</v>
      </c>
      <c r="G548" s="15">
        <v>1</v>
      </c>
      <c r="H548" s="15">
        <f>합산자재!H76</f>
        <v>18097</v>
      </c>
      <c r="I548" s="53">
        <f>IF(G548*H548&lt;&gt;0, TRUNC(G548*H548, 1), "")</f>
        <v>18097</v>
      </c>
      <c r="J548" s="15">
        <v>1</v>
      </c>
      <c r="K548" s="15">
        <f>합산자재!I76</f>
        <v>0</v>
      </c>
      <c r="L548" s="53" t="str">
        <f>IF(G548*K548&lt;&gt;0, TRUNC(G548*K548, 1), "")</f>
        <v/>
      </c>
      <c r="M548" s="15">
        <f>합산자재!J76</f>
        <v>0</v>
      </c>
      <c r="N548" s="53" t="str">
        <f>IF(G548*M548&lt;&gt;0, TRUNC(G548*M548, 1), "")</f>
        <v/>
      </c>
      <c r="O548" s="15">
        <f>IF((H548+K548+M548)=0, "", (H548+K548+M548))</f>
        <v>18097</v>
      </c>
      <c r="P548" s="15">
        <f>IF(SUM(I548,L548,N548)&lt;&gt;0,SUM(I548,L548,N548),"")</f>
        <v>18097</v>
      </c>
      <c r="Q548" s="12"/>
    </row>
    <row r="549" spans="1:17" ht="23.25" customHeight="1" x14ac:dyDescent="0.15">
      <c r="A549" s="13" t="s">
        <v>1372</v>
      </c>
      <c r="B549" s="13" t="s">
        <v>1896</v>
      </c>
      <c r="C549" s="1" t="s">
        <v>1002</v>
      </c>
      <c r="D549" s="12" t="s">
        <v>1003</v>
      </c>
      <c r="E549" s="12" t="s">
        <v>1004</v>
      </c>
      <c r="F549" s="31" t="s">
        <v>999</v>
      </c>
      <c r="G549" s="15">
        <f>일위노임!G242</f>
        <v>0.45</v>
      </c>
      <c r="H549" s="15">
        <f>합산자재!H345</f>
        <v>0</v>
      </c>
      <c r="I549" s="53" t="str">
        <f>IF(G549*H549&lt;&gt;0, TRUNC(G549*H549, 1), "")</f>
        <v/>
      </c>
      <c r="J549" s="15">
        <v>0.45</v>
      </c>
      <c r="K549" s="15">
        <f>합산자재!I345</f>
        <v>273676</v>
      </c>
      <c r="L549" s="53">
        <f>IF(G549*K549&lt;&gt;0, TRUNC(G549*K549, 1), "")</f>
        <v>123154.2</v>
      </c>
      <c r="M549" s="15">
        <f>합산자재!J345</f>
        <v>0</v>
      </c>
      <c r="N549" s="53" t="str">
        <f>IF(G549*M549&lt;&gt;0, TRUNC(G549*M549, 1), "")</f>
        <v/>
      </c>
      <c r="O549" s="15">
        <f>IF((H549+K549+M549)=0, "", (H549+K549+M549))</f>
        <v>273676</v>
      </c>
      <c r="P549" s="15">
        <f>IF(SUM(I549,L549,N549)&lt;&gt;0,SUM(I549,L549,N549),"")</f>
        <v>123154.2</v>
      </c>
      <c r="Q549" s="12"/>
    </row>
    <row r="550" spans="1:17" ht="23.25" customHeight="1" x14ac:dyDescent="0.15">
      <c r="A550" s="13" t="s">
        <v>2362</v>
      </c>
      <c r="B550" s="13" t="s">
        <v>1896</v>
      </c>
      <c r="C550" s="1" t="s">
        <v>2363</v>
      </c>
      <c r="D550" s="12" t="s">
        <v>2364</v>
      </c>
      <c r="E550" s="12" t="s">
        <v>2365</v>
      </c>
      <c r="F550" s="31" t="s">
        <v>792</v>
      </c>
      <c r="G550" s="15">
        <v>1</v>
      </c>
      <c r="H550" s="15">
        <v>2463</v>
      </c>
      <c r="I550" s="53">
        <f>IF(G550*H550&lt;&gt;0, TRUNC(G550*H550, 1), "")</f>
        <v>2463</v>
      </c>
      <c r="J550" s="15">
        <v>1</v>
      </c>
      <c r="K550" s="15"/>
      <c r="L550" s="53" t="str">
        <f>IF(G550*K550&lt;&gt;0, TRUNC(G550*K550, 1), "")</f>
        <v/>
      </c>
      <c r="M550" s="15"/>
      <c r="N550" s="53" t="str">
        <f>IF(G550*M550&lt;&gt;0, TRUNC(G550*M550, 1), "")</f>
        <v/>
      </c>
      <c r="O550" s="15">
        <f>IF((H550+K550+M550)=0, "", (H550+K550+M550))</f>
        <v>2463</v>
      </c>
      <c r="P550" s="15">
        <f>IF(SUM(I550,L550,N550)&lt;&gt;0,SUM(I550,L550,N550),"")</f>
        <v>2463</v>
      </c>
      <c r="Q550" s="12"/>
    </row>
    <row r="551" spans="1:17" ht="23.25" customHeight="1" x14ac:dyDescent="0.15">
      <c r="B551" s="13" t="s">
        <v>2360</v>
      </c>
      <c r="D551" s="12" t="s">
        <v>2361</v>
      </c>
      <c r="E551" s="12"/>
      <c r="F551" s="31"/>
      <c r="G551" s="15"/>
      <c r="H551" s="15"/>
      <c r="I551" s="53">
        <f>TRUNC(SUM(I547:I550))</f>
        <v>20560</v>
      </c>
      <c r="J551" s="15"/>
      <c r="K551" s="15"/>
      <c r="L551" s="53">
        <f>TRUNC(SUM(L547:L550))</f>
        <v>123154</v>
      </c>
      <c r="M551" s="15"/>
      <c r="N551" s="53">
        <f>TRUNC(SUM(N547:N550))</f>
        <v>0</v>
      </c>
      <c r="O551" s="15" t="str">
        <f>IF((H551+K551+M551)=0, "", (H551+K551+M551))</f>
        <v/>
      </c>
      <c r="P551" s="15">
        <f>IF(SUM(I551,L551,N551)&lt;&gt;0,SUM(I551,L551,N551),"")</f>
        <v>143714</v>
      </c>
      <c r="Q551" s="12"/>
    </row>
    <row r="552" spans="1:17" ht="23.25" customHeight="1" x14ac:dyDescent="0.15">
      <c r="D552" s="12"/>
      <c r="E552" s="12"/>
      <c r="F552" s="31"/>
      <c r="G552" s="15"/>
      <c r="H552" s="15"/>
      <c r="I552" s="53"/>
      <c r="J552" s="15"/>
      <c r="K552" s="15"/>
      <c r="L552" s="53"/>
      <c r="M552" s="15"/>
      <c r="N552" s="53"/>
      <c r="O552" s="15"/>
      <c r="P552" s="15"/>
      <c r="Q552" s="12"/>
    </row>
    <row r="553" spans="1:17" ht="23.25" customHeight="1" x14ac:dyDescent="0.15">
      <c r="A553" s="13" t="s">
        <v>2583</v>
      </c>
      <c r="B553" s="13" t="s">
        <v>2382</v>
      </c>
      <c r="C553" s="1" t="s">
        <v>2584</v>
      </c>
      <c r="D553" s="170" t="s">
        <v>2582</v>
      </c>
      <c r="E553" s="172"/>
      <c r="F553" s="31"/>
      <c r="G553" s="15"/>
      <c r="H553" s="15"/>
      <c r="I553" s="53"/>
      <c r="J553" s="15"/>
      <c r="K553" s="15"/>
      <c r="L553" s="53"/>
      <c r="M553" s="15"/>
      <c r="N553" s="53"/>
      <c r="O553" s="15"/>
      <c r="P553" s="15"/>
      <c r="Q553" s="12"/>
    </row>
    <row r="554" spans="1:17" ht="23.25" customHeight="1" x14ac:dyDescent="0.15">
      <c r="A554" s="13" t="s">
        <v>1101</v>
      </c>
      <c r="B554" s="13" t="s">
        <v>1899</v>
      </c>
      <c r="C554" s="1" t="s">
        <v>356</v>
      </c>
      <c r="D554" s="12" t="s">
        <v>354</v>
      </c>
      <c r="E554" s="12" t="s">
        <v>357</v>
      </c>
      <c r="F554" s="31" t="s">
        <v>200</v>
      </c>
      <c r="G554" s="15">
        <v>1</v>
      </c>
      <c r="H554" s="15">
        <f>합산자재!H77</f>
        <v>18097</v>
      </c>
      <c r="I554" s="53">
        <f>IF(G554*H554&lt;&gt;0, TRUNC(G554*H554, 1), "")</f>
        <v>18097</v>
      </c>
      <c r="J554" s="15">
        <v>1</v>
      </c>
      <c r="K554" s="15">
        <f>합산자재!I77</f>
        <v>0</v>
      </c>
      <c r="L554" s="53" t="str">
        <f>IF(G554*K554&lt;&gt;0, TRUNC(G554*K554, 1), "")</f>
        <v/>
      </c>
      <c r="M554" s="15">
        <f>합산자재!J77</f>
        <v>0</v>
      </c>
      <c r="N554" s="53" t="str">
        <f>IF(G554*M554&lt;&gt;0, TRUNC(G554*M554, 1), "")</f>
        <v/>
      </c>
      <c r="O554" s="15">
        <f>IF((H554+K554+M554)=0, "", (H554+K554+M554))</f>
        <v>18097</v>
      </c>
      <c r="P554" s="15">
        <f>IF(SUM(I554,L554,N554)&lt;&gt;0,SUM(I554,L554,N554),"")</f>
        <v>18097</v>
      </c>
      <c r="Q554" s="12"/>
    </row>
    <row r="555" spans="1:17" ht="23.25" customHeight="1" x14ac:dyDescent="0.15">
      <c r="A555" s="13" t="s">
        <v>1372</v>
      </c>
      <c r="B555" s="13" t="s">
        <v>1899</v>
      </c>
      <c r="C555" s="1" t="s">
        <v>1002</v>
      </c>
      <c r="D555" s="12" t="s">
        <v>1003</v>
      </c>
      <c r="E555" s="12" t="s">
        <v>1004</v>
      </c>
      <c r="F555" s="31" t="s">
        <v>999</v>
      </c>
      <c r="G555" s="15">
        <f>일위노임!G245</f>
        <v>0.45</v>
      </c>
      <c r="H555" s="15">
        <f>합산자재!H345</f>
        <v>0</v>
      </c>
      <c r="I555" s="53" t="str">
        <f>IF(G555*H555&lt;&gt;0, TRUNC(G555*H555, 1), "")</f>
        <v/>
      </c>
      <c r="J555" s="15">
        <v>0.45</v>
      </c>
      <c r="K555" s="15">
        <f>합산자재!I345</f>
        <v>273676</v>
      </c>
      <c r="L555" s="53">
        <f>IF(G555*K555&lt;&gt;0, TRUNC(G555*K555, 1), "")</f>
        <v>123154.2</v>
      </c>
      <c r="M555" s="15">
        <f>합산자재!J345</f>
        <v>0</v>
      </c>
      <c r="N555" s="53" t="str">
        <f>IF(G555*M555&lt;&gt;0, TRUNC(G555*M555, 1), "")</f>
        <v/>
      </c>
      <c r="O555" s="15">
        <f>IF((H555+K555+M555)=0, "", (H555+K555+M555))</f>
        <v>273676</v>
      </c>
      <c r="P555" s="15">
        <f>IF(SUM(I555,L555,N555)&lt;&gt;0,SUM(I555,L555,N555),"")</f>
        <v>123154.2</v>
      </c>
      <c r="Q555" s="12"/>
    </row>
    <row r="556" spans="1:17" ht="23.25" customHeight="1" x14ac:dyDescent="0.15">
      <c r="A556" s="13" t="s">
        <v>2362</v>
      </c>
      <c r="B556" s="13" t="s">
        <v>1899</v>
      </c>
      <c r="C556" s="1" t="s">
        <v>2363</v>
      </c>
      <c r="D556" s="12" t="s">
        <v>2364</v>
      </c>
      <c r="E556" s="12" t="s">
        <v>2365</v>
      </c>
      <c r="F556" s="31" t="s">
        <v>792</v>
      </c>
      <c r="G556" s="15">
        <v>1</v>
      </c>
      <c r="H556" s="15">
        <v>2463</v>
      </c>
      <c r="I556" s="53">
        <f>IF(G556*H556&lt;&gt;0, TRUNC(G556*H556, 1), "")</f>
        <v>2463</v>
      </c>
      <c r="J556" s="15">
        <v>1</v>
      </c>
      <c r="K556" s="15"/>
      <c r="L556" s="53" t="str">
        <f>IF(G556*K556&lt;&gt;0, TRUNC(G556*K556, 1), "")</f>
        <v/>
      </c>
      <c r="M556" s="15"/>
      <c r="N556" s="53" t="str">
        <f>IF(G556*M556&lt;&gt;0, TRUNC(G556*M556, 1), "")</f>
        <v/>
      </c>
      <c r="O556" s="15">
        <f>IF((H556+K556+M556)=0, "", (H556+K556+M556))</f>
        <v>2463</v>
      </c>
      <c r="P556" s="15">
        <f>IF(SUM(I556,L556,N556)&lt;&gt;0,SUM(I556,L556,N556),"")</f>
        <v>2463</v>
      </c>
      <c r="Q556" s="12"/>
    </row>
    <row r="557" spans="1:17" ht="23.25" customHeight="1" x14ac:dyDescent="0.15">
      <c r="B557" s="13" t="s">
        <v>2360</v>
      </c>
      <c r="D557" s="12" t="s">
        <v>2361</v>
      </c>
      <c r="E557" s="12"/>
      <c r="F557" s="31"/>
      <c r="G557" s="15"/>
      <c r="H557" s="15"/>
      <c r="I557" s="53">
        <f>TRUNC(SUM(I553:I556))</f>
        <v>20560</v>
      </c>
      <c r="J557" s="15"/>
      <c r="K557" s="15"/>
      <c r="L557" s="53">
        <f>TRUNC(SUM(L553:L556))</f>
        <v>123154</v>
      </c>
      <c r="M557" s="15"/>
      <c r="N557" s="53">
        <f>TRUNC(SUM(N553:N556))</f>
        <v>0</v>
      </c>
      <c r="O557" s="15" t="str">
        <f>IF((H557+K557+M557)=0, "", (H557+K557+M557))</f>
        <v/>
      </c>
      <c r="P557" s="15">
        <f>IF(SUM(I557,L557,N557)&lt;&gt;0,SUM(I557,L557,N557),"")</f>
        <v>143714</v>
      </c>
      <c r="Q557" s="12"/>
    </row>
    <row r="558" spans="1:17" ht="23.25" customHeight="1" x14ac:dyDescent="0.15">
      <c r="D558" s="12"/>
      <c r="E558" s="12"/>
      <c r="F558" s="31"/>
      <c r="G558" s="15"/>
      <c r="H558" s="15"/>
      <c r="I558" s="53"/>
      <c r="J558" s="15"/>
      <c r="K558" s="15"/>
      <c r="L558" s="53"/>
      <c r="M558" s="15"/>
      <c r="N558" s="53"/>
      <c r="O558" s="15"/>
      <c r="P558" s="15"/>
      <c r="Q558" s="12"/>
    </row>
    <row r="559" spans="1:17" ht="23.25" customHeight="1" x14ac:dyDescent="0.15">
      <c r="A559" s="13" t="s">
        <v>2586</v>
      </c>
      <c r="B559" s="13" t="s">
        <v>2382</v>
      </c>
      <c r="C559" s="1" t="s">
        <v>2587</v>
      </c>
      <c r="D559" s="170" t="s">
        <v>2585</v>
      </c>
      <c r="E559" s="172"/>
      <c r="F559" s="31"/>
      <c r="G559" s="15"/>
      <c r="H559" s="15"/>
      <c r="I559" s="53"/>
      <c r="J559" s="15"/>
      <c r="K559" s="15"/>
      <c r="L559" s="53"/>
      <c r="M559" s="15"/>
      <c r="N559" s="53"/>
      <c r="O559" s="15"/>
      <c r="P559" s="15"/>
      <c r="Q559" s="12"/>
    </row>
    <row r="560" spans="1:17" ht="23.25" customHeight="1" x14ac:dyDescent="0.15">
      <c r="A560" s="13" t="s">
        <v>1116</v>
      </c>
      <c r="B560" s="13" t="s">
        <v>1902</v>
      </c>
      <c r="C560" s="1" t="s">
        <v>396</v>
      </c>
      <c r="D560" s="12" t="s">
        <v>397</v>
      </c>
      <c r="E560" s="12" t="s">
        <v>398</v>
      </c>
      <c r="F560" s="31" t="s">
        <v>166</v>
      </c>
      <c r="G560" s="15">
        <v>1</v>
      </c>
      <c r="H560" s="15">
        <f>합산자재!H92</f>
        <v>331</v>
      </c>
      <c r="I560" s="53">
        <f>IF(G560*H560&lt;&gt;0, TRUNC(G560*H560, 1), "")</f>
        <v>331</v>
      </c>
      <c r="J560" s="15">
        <v>1</v>
      </c>
      <c r="K560" s="15">
        <f>합산자재!I92</f>
        <v>0</v>
      </c>
      <c r="L560" s="53" t="str">
        <f>IF(G560*K560&lt;&gt;0, TRUNC(G560*K560, 1), "")</f>
        <v/>
      </c>
      <c r="M560" s="15">
        <f>합산자재!J92</f>
        <v>0</v>
      </c>
      <c r="N560" s="53" t="str">
        <f>IF(G560*M560&lt;&gt;0, TRUNC(G560*M560, 1), "")</f>
        <v/>
      </c>
      <c r="O560" s="15">
        <f>IF((H560+K560+M560)=0, "", (H560+K560+M560))</f>
        <v>331</v>
      </c>
      <c r="P560" s="15">
        <f>IF(SUM(I560,L560,N560)&lt;&gt;0,SUM(I560,L560,N560),"")</f>
        <v>331</v>
      </c>
      <c r="Q560" s="12"/>
    </row>
    <row r="561" spans="1:17" ht="23.25" customHeight="1" x14ac:dyDescent="0.15">
      <c r="A561" s="13" t="s">
        <v>1116</v>
      </c>
      <c r="B561" s="13" t="s">
        <v>1902</v>
      </c>
      <c r="C561" s="1" t="s">
        <v>396</v>
      </c>
      <c r="D561" s="12" t="s">
        <v>397</v>
      </c>
      <c r="E561" s="12" t="s">
        <v>398</v>
      </c>
      <c r="F561" s="31" t="s">
        <v>166</v>
      </c>
      <c r="G561" s="15">
        <v>0.1</v>
      </c>
      <c r="H561" s="15">
        <f>합산자재!H92</f>
        <v>331</v>
      </c>
      <c r="I561" s="53">
        <f>IF(G561*H561&lt;&gt;0, TRUNC(G561*H561, 1), "")</f>
        <v>33.1</v>
      </c>
      <c r="J561" s="15">
        <v>0.1</v>
      </c>
      <c r="K561" s="15">
        <f>합산자재!I92</f>
        <v>0</v>
      </c>
      <c r="L561" s="53" t="str">
        <f>IF(G561*K561&lt;&gt;0, TRUNC(G561*K561, 1), "")</f>
        <v/>
      </c>
      <c r="M561" s="15">
        <f>합산자재!J92</f>
        <v>0</v>
      </c>
      <c r="N561" s="53" t="str">
        <f>IF(G561*M561&lt;&gt;0, TRUNC(G561*M561, 1), "")</f>
        <v/>
      </c>
      <c r="O561" s="15">
        <f>IF((H561+K561+M561)=0, "", (H561+K561+M561))</f>
        <v>331</v>
      </c>
      <c r="P561" s="15">
        <f>IF(SUM(I561,L561,N561)&lt;&gt;0,SUM(I561,L561,N561),"")</f>
        <v>33.1</v>
      </c>
      <c r="Q561" s="12"/>
    </row>
    <row r="562" spans="1:17" ht="23.25" customHeight="1" x14ac:dyDescent="0.15">
      <c r="A562" s="13" t="s">
        <v>1372</v>
      </c>
      <c r="B562" s="13" t="s">
        <v>1902</v>
      </c>
      <c r="C562" s="1" t="s">
        <v>1002</v>
      </c>
      <c r="D562" s="12" t="s">
        <v>1003</v>
      </c>
      <c r="E562" s="12" t="s">
        <v>1004</v>
      </c>
      <c r="F562" s="31" t="s">
        <v>999</v>
      </c>
      <c r="G562" s="15">
        <f>일위노임!G248</f>
        <v>8.6E-3</v>
      </c>
      <c r="H562" s="15">
        <f>합산자재!H345</f>
        <v>0</v>
      </c>
      <c r="I562" s="53" t="str">
        <f>IF(G562*H562&lt;&gt;0, TRUNC(G562*H562, 1), "")</f>
        <v/>
      </c>
      <c r="J562" s="15">
        <v>8.6E-3</v>
      </c>
      <c r="K562" s="15">
        <f>합산자재!I345</f>
        <v>273676</v>
      </c>
      <c r="L562" s="53">
        <f>IF(G562*K562&lt;&gt;0, TRUNC(G562*K562, 1), "")</f>
        <v>2353.6</v>
      </c>
      <c r="M562" s="15">
        <f>합산자재!J345</f>
        <v>0</v>
      </c>
      <c r="N562" s="53" t="str">
        <f>IF(G562*M562&lt;&gt;0, TRUNC(G562*M562, 1), "")</f>
        <v/>
      </c>
      <c r="O562" s="15">
        <f>IF((H562+K562+M562)=0, "", (H562+K562+M562))</f>
        <v>273676</v>
      </c>
      <c r="P562" s="15">
        <f>IF(SUM(I562,L562,N562)&lt;&gt;0,SUM(I562,L562,N562),"")</f>
        <v>2353.6</v>
      </c>
      <c r="Q562" s="12"/>
    </row>
    <row r="563" spans="1:17" ht="23.25" customHeight="1" x14ac:dyDescent="0.15">
      <c r="A563" s="13" t="s">
        <v>2362</v>
      </c>
      <c r="B563" s="13" t="s">
        <v>1902</v>
      </c>
      <c r="C563" s="1" t="s">
        <v>2363</v>
      </c>
      <c r="D563" s="12" t="s">
        <v>2364</v>
      </c>
      <c r="E563" s="12" t="s">
        <v>2365</v>
      </c>
      <c r="F563" s="31" t="s">
        <v>792</v>
      </c>
      <c r="G563" s="15">
        <v>1</v>
      </c>
      <c r="H563" s="15">
        <v>47</v>
      </c>
      <c r="I563" s="53">
        <f>IF(G563*H563&lt;&gt;0, TRUNC(G563*H563, 1), "")</f>
        <v>47</v>
      </c>
      <c r="J563" s="15">
        <v>1</v>
      </c>
      <c r="K563" s="15"/>
      <c r="L563" s="53" t="str">
        <f>IF(G563*K563&lt;&gt;0, TRUNC(G563*K563, 1), "")</f>
        <v/>
      </c>
      <c r="M563" s="15"/>
      <c r="N563" s="53" t="str">
        <f>IF(G563*M563&lt;&gt;0, TRUNC(G563*M563, 1), "")</f>
        <v/>
      </c>
      <c r="O563" s="15">
        <f>IF((H563+K563+M563)=0, "", (H563+K563+M563))</f>
        <v>47</v>
      </c>
      <c r="P563" s="15">
        <f>IF(SUM(I563,L563,N563)&lt;&gt;0,SUM(I563,L563,N563),"")</f>
        <v>47</v>
      </c>
      <c r="Q563" s="12"/>
    </row>
    <row r="564" spans="1:17" ht="23.25" customHeight="1" x14ac:dyDescent="0.15">
      <c r="B564" s="13" t="s">
        <v>2360</v>
      </c>
      <c r="D564" s="12" t="s">
        <v>2361</v>
      </c>
      <c r="E564" s="12"/>
      <c r="F564" s="31"/>
      <c r="G564" s="15"/>
      <c r="H564" s="15"/>
      <c r="I564" s="53">
        <f>TRUNC(SUM(I559:I563))</f>
        <v>411</v>
      </c>
      <c r="J564" s="15"/>
      <c r="K564" s="15"/>
      <c r="L564" s="53">
        <f>TRUNC(SUM(L559:L563))</f>
        <v>2353</v>
      </c>
      <c r="M564" s="15"/>
      <c r="N564" s="53">
        <f>TRUNC(SUM(N559:N563))</f>
        <v>0</v>
      </c>
      <c r="O564" s="15" t="str">
        <f>IF((H564+K564+M564)=0, "", (H564+K564+M564))</f>
        <v/>
      </c>
      <c r="P564" s="15">
        <f>IF(SUM(I564,L564,N564)&lt;&gt;0,SUM(I564,L564,N564),"")</f>
        <v>2764</v>
      </c>
      <c r="Q564" s="12"/>
    </row>
    <row r="565" spans="1:17" ht="23.25" customHeight="1" x14ac:dyDescent="0.15">
      <c r="D565" s="12"/>
      <c r="E565" s="12"/>
      <c r="F565" s="31"/>
      <c r="G565" s="15"/>
      <c r="H565" s="15"/>
      <c r="I565" s="53"/>
      <c r="J565" s="15"/>
      <c r="K565" s="15"/>
      <c r="L565" s="53"/>
      <c r="M565" s="15"/>
      <c r="N565" s="53"/>
      <c r="O565" s="15"/>
      <c r="P565" s="15"/>
      <c r="Q565" s="12"/>
    </row>
    <row r="566" spans="1:17" ht="23.25" customHeight="1" x14ac:dyDescent="0.15">
      <c r="A566" s="13" t="s">
        <v>2589</v>
      </c>
      <c r="B566" s="13" t="s">
        <v>2382</v>
      </c>
      <c r="C566" s="1" t="s">
        <v>2590</v>
      </c>
      <c r="D566" s="170" t="s">
        <v>2588</v>
      </c>
      <c r="E566" s="172"/>
      <c r="F566" s="31"/>
      <c r="G566" s="15"/>
      <c r="H566" s="15"/>
      <c r="I566" s="53"/>
      <c r="J566" s="15"/>
      <c r="K566" s="15"/>
      <c r="L566" s="53"/>
      <c r="M566" s="15"/>
      <c r="N566" s="53"/>
      <c r="O566" s="15"/>
      <c r="P566" s="15"/>
      <c r="Q566" s="12"/>
    </row>
    <row r="567" spans="1:17" ht="23.25" customHeight="1" x14ac:dyDescent="0.15">
      <c r="A567" s="13" t="s">
        <v>1117</v>
      </c>
      <c r="B567" s="13" t="s">
        <v>1905</v>
      </c>
      <c r="C567" s="1" t="s">
        <v>403</v>
      </c>
      <c r="D567" s="12" t="s">
        <v>397</v>
      </c>
      <c r="E567" s="12" t="s">
        <v>404</v>
      </c>
      <c r="F567" s="31" t="s">
        <v>166</v>
      </c>
      <c r="G567" s="15">
        <v>1</v>
      </c>
      <c r="H567" s="15">
        <f>합산자재!H93</f>
        <v>494</v>
      </c>
      <c r="I567" s="53">
        <f>IF(G567*H567&lt;&gt;0, TRUNC(G567*H567, 1), "")</f>
        <v>494</v>
      </c>
      <c r="J567" s="15">
        <v>1</v>
      </c>
      <c r="K567" s="15">
        <f>합산자재!I93</f>
        <v>0</v>
      </c>
      <c r="L567" s="53" t="str">
        <f>IF(G567*K567&lt;&gt;0, TRUNC(G567*K567, 1), "")</f>
        <v/>
      </c>
      <c r="M567" s="15">
        <f>합산자재!J93</f>
        <v>0</v>
      </c>
      <c r="N567" s="53" t="str">
        <f>IF(G567*M567&lt;&gt;0, TRUNC(G567*M567, 1), "")</f>
        <v/>
      </c>
      <c r="O567" s="15">
        <f>IF((H567+K567+M567)=0, "", (H567+K567+M567))</f>
        <v>494</v>
      </c>
      <c r="P567" s="15">
        <f>IF(SUM(I567,L567,N567)&lt;&gt;0,SUM(I567,L567,N567),"")</f>
        <v>494</v>
      </c>
      <c r="Q567" s="12"/>
    </row>
    <row r="568" spans="1:17" ht="23.25" customHeight="1" x14ac:dyDescent="0.15">
      <c r="A568" s="13" t="s">
        <v>1117</v>
      </c>
      <c r="B568" s="13" t="s">
        <v>1905</v>
      </c>
      <c r="C568" s="1" t="s">
        <v>403</v>
      </c>
      <c r="D568" s="12" t="s">
        <v>397</v>
      </c>
      <c r="E568" s="12" t="s">
        <v>404</v>
      </c>
      <c r="F568" s="31" t="s">
        <v>166</v>
      </c>
      <c r="G568" s="15">
        <v>0.1</v>
      </c>
      <c r="H568" s="15">
        <f>합산자재!H93</f>
        <v>494</v>
      </c>
      <c r="I568" s="53">
        <f>IF(G568*H568&lt;&gt;0, TRUNC(G568*H568, 1), "")</f>
        <v>49.4</v>
      </c>
      <c r="J568" s="15">
        <v>0.1</v>
      </c>
      <c r="K568" s="15">
        <f>합산자재!I93</f>
        <v>0</v>
      </c>
      <c r="L568" s="53" t="str">
        <f>IF(G568*K568&lt;&gt;0, TRUNC(G568*K568, 1), "")</f>
        <v/>
      </c>
      <c r="M568" s="15">
        <f>합산자재!J93</f>
        <v>0</v>
      </c>
      <c r="N568" s="53" t="str">
        <f>IF(G568*M568&lt;&gt;0, TRUNC(G568*M568, 1), "")</f>
        <v/>
      </c>
      <c r="O568" s="15">
        <f>IF((H568+K568+M568)=0, "", (H568+K568+M568))</f>
        <v>494</v>
      </c>
      <c r="P568" s="15">
        <f>IF(SUM(I568,L568,N568)&lt;&gt;0,SUM(I568,L568,N568),"")</f>
        <v>49.4</v>
      </c>
      <c r="Q568" s="12"/>
    </row>
    <row r="569" spans="1:17" ht="23.25" customHeight="1" x14ac:dyDescent="0.15">
      <c r="A569" s="13" t="s">
        <v>1372</v>
      </c>
      <c r="B569" s="13" t="s">
        <v>1905</v>
      </c>
      <c r="C569" s="1" t="s">
        <v>1002</v>
      </c>
      <c r="D569" s="12" t="s">
        <v>1003</v>
      </c>
      <c r="E569" s="12" t="s">
        <v>1004</v>
      </c>
      <c r="F569" s="31" t="s">
        <v>999</v>
      </c>
      <c r="G569" s="15">
        <f>일위노임!G251</f>
        <v>8.6E-3</v>
      </c>
      <c r="H569" s="15">
        <f>합산자재!H345</f>
        <v>0</v>
      </c>
      <c r="I569" s="53" t="str">
        <f>IF(G569*H569&lt;&gt;0, TRUNC(G569*H569, 1), "")</f>
        <v/>
      </c>
      <c r="J569" s="15">
        <v>8.6E-3</v>
      </c>
      <c r="K569" s="15">
        <f>합산자재!I345</f>
        <v>273676</v>
      </c>
      <c r="L569" s="53">
        <f>IF(G569*K569&lt;&gt;0, TRUNC(G569*K569, 1), "")</f>
        <v>2353.6</v>
      </c>
      <c r="M569" s="15">
        <f>합산자재!J345</f>
        <v>0</v>
      </c>
      <c r="N569" s="53" t="str">
        <f>IF(G569*M569&lt;&gt;0, TRUNC(G569*M569, 1), "")</f>
        <v/>
      </c>
      <c r="O569" s="15">
        <f>IF((H569+K569+M569)=0, "", (H569+K569+M569))</f>
        <v>273676</v>
      </c>
      <c r="P569" s="15">
        <f>IF(SUM(I569,L569,N569)&lt;&gt;0,SUM(I569,L569,N569),"")</f>
        <v>2353.6</v>
      </c>
      <c r="Q569" s="12"/>
    </row>
    <row r="570" spans="1:17" ht="23.25" customHeight="1" x14ac:dyDescent="0.15">
      <c r="A570" s="13" t="s">
        <v>2362</v>
      </c>
      <c r="B570" s="13" t="s">
        <v>1905</v>
      </c>
      <c r="C570" s="1" t="s">
        <v>2363</v>
      </c>
      <c r="D570" s="12" t="s">
        <v>2364</v>
      </c>
      <c r="E570" s="12" t="s">
        <v>2365</v>
      </c>
      <c r="F570" s="31" t="s">
        <v>792</v>
      </c>
      <c r="G570" s="15">
        <v>1</v>
      </c>
      <c r="H570" s="15">
        <v>47</v>
      </c>
      <c r="I570" s="53">
        <f>IF(G570*H570&lt;&gt;0, TRUNC(G570*H570, 1), "")</f>
        <v>47</v>
      </c>
      <c r="J570" s="15">
        <v>1</v>
      </c>
      <c r="K570" s="15"/>
      <c r="L570" s="53" t="str">
        <f>IF(G570*K570&lt;&gt;0, TRUNC(G570*K570, 1), "")</f>
        <v/>
      </c>
      <c r="M570" s="15"/>
      <c r="N570" s="53" t="str">
        <f>IF(G570*M570&lt;&gt;0, TRUNC(G570*M570, 1), "")</f>
        <v/>
      </c>
      <c r="O570" s="15">
        <f>IF((H570+K570+M570)=0, "", (H570+K570+M570))</f>
        <v>47</v>
      </c>
      <c r="P570" s="15">
        <f>IF(SUM(I570,L570,N570)&lt;&gt;0,SUM(I570,L570,N570),"")</f>
        <v>47</v>
      </c>
      <c r="Q570" s="12"/>
    </row>
    <row r="571" spans="1:17" ht="23.25" customHeight="1" x14ac:dyDescent="0.15">
      <c r="B571" s="13" t="s">
        <v>2360</v>
      </c>
      <c r="D571" s="12" t="s">
        <v>2361</v>
      </c>
      <c r="E571" s="12"/>
      <c r="F571" s="31"/>
      <c r="G571" s="15"/>
      <c r="H571" s="15"/>
      <c r="I571" s="53">
        <f>TRUNC(SUM(I566:I570))</f>
        <v>590</v>
      </c>
      <c r="J571" s="15"/>
      <c r="K571" s="15"/>
      <c r="L571" s="53">
        <f>TRUNC(SUM(L566:L570))</f>
        <v>2353</v>
      </c>
      <c r="M571" s="15"/>
      <c r="N571" s="53">
        <f>TRUNC(SUM(N566:N570))</f>
        <v>0</v>
      </c>
      <c r="O571" s="15" t="str">
        <f>IF((H571+K571+M571)=0, "", (H571+K571+M571))</f>
        <v/>
      </c>
      <c r="P571" s="15">
        <f>IF(SUM(I571,L571,N571)&lt;&gt;0,SUM(I571,L571,N571),"")</f>
        <v>2943</v>
      </c>
      <c r="Q571" s="12"/>
    </row>
    <row r="572" spans="1:17" ht="23.25" customHeight="1" x14ac:dyDescent="0.15">
      <c r="D572" s="12"/>
      <c r="E572" s="12"/>
      <c r="F572" s="31"/>
      <c r="G572" s="15"/>
      <c r="H572" s="15"/>
      <c r="I572" s="53"/>
      <c r="J572" s="15"/>
      <c r="K572" s="15"/>
      <c r="L572" s="53"/>
      <c r="M572" s="15"/>
      <c r="N572" s="53"/>
      <c r="O572" s="15"/>
      <c r="P572" s="15"/>
      <c r="Q572" s="12"/>
    </row>
    <row r="573" spans="1:17" ht="23.25" customHeight="1" x14ac:dyDescent="0.15">
      <c r="A573" s="13" t="s">
        <v>2592</v>
      </c>
      <c r="B573" s="13" t="s">
        <v>2382</v>
      </c>
      <c r="C573" s="1" t="s">
        <v>2593</v>
      </c>
      <c r="D573" s="170" t="s">
        <v>2591</v>
      </c>
      <c r="E573" s="172"/>
      <c r="F573" s="31"/>
      <c r="G573" s="15"/>
      <c r="H573" s="15"/>
      <c r="I573" s="53"/>
      <c r="J573" s="15"/>
      <c r="K573" s="15"/>
      <c r="L573" s="53"/>
      <c r="M573" s="15"/>
      <c r="N573" s="53"/>
      <c r="O573" s="15"/>
      <c r="P573" s="15"/>
      <c r="Q573" s="12"/>
    </row>
    <row r="574" spans="1:17" ht="23.25" customHeight="1" x14ac:dyDescent="0.15">
      <c r="A574" s="13" t="s">
        <v>1118</v>
      </c>
      <c r="B574" s="13" t="s">
        <v>1908</v>
      </c>
      <c r="C574" s="1" t="s">
        <v>405</v>
      </c>
      <c r="D574" s="12" t="s">
        <v>397</v>
      </c>
      <c r="E574" s="12" t="s">
        <v>406</v>
      </c>
      <c r="F574" s="31" t="s">
        <v>166</v>
      </c>
      <c r="G574" s="15">
        <v>1</v>
      </c>
      <c r="H574" s="15">
        <f>합산자재!H94</f>
        <v>757</v>
      </c>
      <c r="I574" s="53">
        <f>IF(G574*H574&lt;&gt;0, TRUNC(G574*H574, 1), "")</f>
        <v>757</v>
      </c>
      <c r="J574" s="15">
        <v>1</v>
      </c>
      <c r="K574" s="15">
        <f>합산자재!I94</f>
        <v>0</v>
      </c>
      <c r="L574" s="53" t="str">
        <f>IF(G574*K574&lt;&gt;0, TRUNC(G574*K574, 1), "")</f>
        <v/>
      </c>
      <c r="M574" s="15">
        <f>합산자재!J94</f>
        <v>0</v>
      </c>
      <c r="N574" s="53" t="str">
        <f>IF(G574*M574&lt;&gt;0, TRUNC(G574*M574, 1), "")</f>
        <v/>
      </c>
      <c r="O574" s="15">
        <f>IF((H574+K574+M574)=0, "", (H574+K574+M574))</f>
        <v>757</v>
      </c>
      <c r="P574" s="15">
        <f>IF(SUM(I574,L574,N574)&lt;&gt;0,SUM(I574,L574,N574),"")</f>
        <v>757</v>
      </c>
      <c r="Q574" s="12"/>
    </row>
    <row r="575" spans="1:17" ht="23.25" customHeight="1" x14ac:dyDescent="0.15">
      <c r="A575" s="13" t="s">
        <v>1118</v>
      </c>
      <c r="B575" s="13" t="s">
        <v>1908</v>
      </c>
      <c r="C575" s="1" t="s">
        <v>405</v>
      </c>
      <c r="D575" s="12" t="s">
        <v>397</v>
      </c>
      <c r="E575" s="12" t="s">
        <v>406</v>
      </c>
      <c r="F575" s="31" t="s">
        <v>166</v>
      </c>
      <c r="G575" s="15">
        <v>0.1</v>
      </c>
      <c r="H575" s="15">
        <f>합산자재!H94</f>
        <v>757</v>
      </c>
      <c r="I575" s="53">
        <f>IF(G575*H575&lt;&gt;0, TRUNC(G575*H575, 1), "")</f>
        <v>75.7</v>
      </c>
      <c r="J575" s="15">
        <v>0.1</v>
      </c>
      <c r="K575" s="15">
        <f>합산자재!I94</f>
        <v>0</v>
      </c>
      <c r="L575" s="53" t="str">
        <f>IF(G575*K575&lt;&gt;0, TRUNC(G575*K575, 1), "")</f>
        <v/>
      </c>
      <c r="M575" s="15">
        <f>합산자재!J94</f>
        <v>0</v>
      </c>
      <c r="N575" s="53" t="str">
        <f>IF(G575*M575&lt;&gt;0, TRUNC(G575*M575, 1), "")</f>
        <v/>
      </c>
      <c r="O575" s="15">
        <f>IF((H575+K575+M575)=0, "", (H575+K575+M575))</f>
        <v>757</v>
      </c>
      <c r="P575" s="15">
        <f>IF(SUM(I575,L575,N575)&lt;&gt;0,SUM(I575,L575,N575),"")</f>
        <v>75.7</v>
      </c>
      <c r="Q575" s="12"/>
    </row>
    <row r="576" spans="1:17" ht="23.25" customHeight="1" x14ac:dyDescent="0.15">
      <c r="A576" s="13" t="s">
        <v>1372</v>
      </c>
      <c r="B576" s="13" t="s">
        <v>1908</v>
      </c>
      <c r="C576" s="1" t="s">
        <v>1002</v>
      </c>
      <c r="D576" s="12" t="s">
        <v>1003</v>
      </c>
      <c r="E576" s="12" t="s">
        <v>1004</v>
      </c>
      <c r="F576" s="31" t="s">
        <v>999</v>
      </c>
      <c r="G576" s="15">
        <f>일위노임!G254</f>
        <v>8.6E-3</v>
      </c>
      <c r="H576" s="15">
        <f>합산자재!H345</f>
        <v>0</v>
      </c>
      <c r="I576" s="53" t="str">
        <f>IF(G576*H576&lt;&gt;0, TRUNC(G576*H576, 1), "")</f>
        <v/>
      </c>
      <c r="J576" s="15">
        <v>8.6E-3</v>
      </c>
      <c r="K576" s="15">
        <f>합산자재!I345</f>
        <v>273676</v>
      </c>
      <c r="L576" s="53">
        <f>IF(G576*K576&lt;&gt;0, TRUNC(G576*K576, 1), "")</f>
        <v>2353.6</v>
      </c>
      <c r="M576" s="15">
        <f>합산자재!J345</f>
        <v>0</v>
      </c>
      <c r="N576" s="53" t="str">
        <f>IF(G576*M576&lt;&gt;0, TRUNC(G576*M576, 1), "")</f>
        <v/>
      </c>
      <c r="O576" s="15">
        <f>IF((H576+K576+M576)=0, "", (H576+K576+M576))</f>
        <v>273676</v>
      </c>
      <c r="P576" s="15">
        <f>IF(SUM(I576,L576,N576)&lt;&gt;0,SUM(I576,L576,N576),"")</f>
        <v>2353.6</v>
      </c>
      <c r="Q576" s="12"/>
    </row>
    <row r="577" spans="1:17" ht="23.25" customHeight="1" x14ac:dyDescent="0.15">
      <c r="A577" s="13" t="s">
        <v>2362</v>
      </c>
      <c r="B577" s="13" t="s">
        <v>1908</v>
      </c>
      <c r="C577" s="1" t="s">
        <v>2363</v>
      </c>
      <c r="D577" s="12" t="s">
        <v>2364</v>
      </c>
      <c r="E577" s="12" t="s">
        <v>2365</v>
      </c>
      <c r="F577" s="31" t="s">
        <v>792</v>
      </c>
      <c r="G577" s="15">
        <v>1</v>
      </c>
      <c r="H577" s="15">
        <v>47</v>
      </c>
      <c r="I577" s="53">
        <f>IF(G577*H577&lt;&gt;0, TRUNC(G577*H577, 1), "")</f>
        <v>47</v>
      </c>
      <c r="J577" s="15">
        <v>1</v>
      </c>
      <c r="K577" s="15"/>
      <c r="L577" s="53" t="str">
        <f>IF(G577*K577&lt;&gt;0, TRUNC(G577*K577, 1), "")</f>
        <v/>
      </c>
      <c r="M577" s="15"/>
      <c r="N577" s="53" t="str">
        <f>IF(G577*M577&lt;&gt;0, TRUNC(G577*M577, 1), "")</f>
        <v/>
      </c>
      <c r="O577" s="15">
        <f>IF((H577+K577+M577)=0, "", (H577+K577+M577))</f>
        <v>47</v>
      </c>
      <c r="P577" s="15">
        <f>IF(SUM(I577,L577,N577)&lt;&gt;0,SUM(I577,L577,N577),"")</f>
        <v>47</v>
      </c>
      <c r="Q577" s="12"/>
    </row>
    <row r="578" spans="1:17" ht="23.25" customHeight="1" x14ac:dyDescent="0.15">
      <c r="B578" s="13" t="s">
        <v>2360</v>
      </c>
      <c r="D578" s="12" t="s">
        <v>2361</v>
      </c>
      <c r="E578" s="12"/>
      <c r="F578" s="31"/>
      <c r="G578" s="15"/>
      <c r="H578" s="15"/>
      <c r="I578" s="53">
        <f>TRUNC(SUM(I573:I577))</f>
        <v>879</v>
      </c>
      <c r="J578" s="15"/>
      <c r="K578" s="15"/>
      <c r="L578" s="53">
        <f>TRUNC(SUM(L573:L577))</f>
        <v>2353</v>
      </c>
      <c r="M578" s="15"/>
      <c r="N578" s="53">
        <f>TRUNC(SUM(N573:N577))</f>
        <v>0</v>
      </c>
      <c r="O578" s="15" t="str">
        <f>IF((H578+K578+M578)=0, "", (H578+K578+M578))</f>
        <v/>
      </c>
      <c r="P578" s="15">
        <f>IF(SUM(I578,L578,N578)&lt;&gt;0,SUM(I578,L578,N578),"")</f>
        <v>3232</v>
      </c>
      <c r="Q578" s="12"/>
    </row>
    <row r="579" spans="1:17" ht="23.25" customHeight="1" x14ac:dyDescent="0.15">
      <c r="D579" s="12"/>
      <c r="E579" s="12"/>
      <c r="F579" s="31"/>
      <c r="G579" s="15"/>
      <c r="H579" s="15"/>
      <c r="I579" s="53"/>
      <c r="J579" s="15"/>
      <c r="K579" s="15"/>
      <c r="L579" s="53"/>
      <c r="M579" s="15"/>
      <c r="N579" s="53"/>
      <c r="O579" s="15"/>
      <c r="P579" s="15"/>
      <c r="Q579" s="12"/>
    </row>
    <row r="580" spans="1:17" ht="23.25" customHeight="1" x14ac:dyDescent="0.15">
      <c r="A580" s="13" t="s">
        <v>2595</v>
      </c>
      <c r="B580" s="13" t="s">
        <v>2382</v>
      </c>
      <c r="C580" s="1" t="s">
        <v>2596</v>
      </c>
      <c r="D580" s="170" t="s">
        <v>2594</v>
      </c>
      <c r="E580" s="172"/>
      <c r="F580" s="31"/>
      <c r="G580" s="15"/>
      <c r="H580" s="15"/>
      <c r="I580" s="53"/>
      <c r="J580" s="15"/>
      <c r="K580" s="15"/>
      <c r="L580" s="53"/>
      <c r="M580" s="15"/>
      <c r="N580" s="53"/>
      <c r="O580" s="15"/>
      <c r="P580" s="15"/>
      <c r="Q580" s="12"/>
    </row>
    <row r="581" spans="1:17" ht="23.25" customHeight="1" x14ac:dyDescent="0.15">
      <c r="A581" s="13" t="s">
        <v>1119</v>
      </c>
      <c r="B581" s="13" t="s">
        <v>1911</v>
      </c>
      <c r="C581" s="1" t="s">
        <v>407</v>
      </c>
      <c r="D581" s="12" t="s">
        <v>408</v>
      </c>
      <c r="E581" s="12" t="s">
        <v>409</v>
      </c>
      <c r="F581" s="31" t="s">
        <v>166</v>
      </c>
      <c r="G581" s="15">
        <v>1</v>
      </c>
      <c r="H581" s="15">
        <f>합산자재!H95</f>
        <v>925</v>
      </c>
      <c r="I581" s="53">
        <f>IF(G581*H581&lt;&gt;0, TRUNC(G581*H581, 1), "")</f>
        <v>925</v>
      </c>
      <c r="J581" s="15">
        <v>1</v>
      </c>
      <c r="K581" s="15">
        <f>합산자재!I95</f>
        <v>0</v>
      </c>
      <c r="L581" s="53" t="str">
        <f>IF(G581*K581&lt;&gt;0, TRUNC(G581*K581, 1), "")</f>
        <v/>
      </c>
      <c r="M581" s="15">
        <f>합산자재!J95</f>
        <v>0</v>
      </c>
      <c r="N581" s="53" t="str">
        <f>IF(G581*M581&lt;&gt;0, TRUNC(G581*M581, 1), "")</f>
        <v/>
      </c>
      <c r="O581" s="15">
        <f>IF((H581+K581+M581)=0, "", (H581+K581+M581))</f>
        <v>925</v>
      </c>
      <c r="P581" s="15">
        <f>IF(SUM(I581,L581,N581)&lt;&gt;0,SUM(I581,L581,N581),"")</f>
        <v>925</v>
      </c>
      <c r="Q581" s="12"/>
    </row>
    <row r="582" spans="1:17" ht="23.25" customHeight="1" x14ac:dyDescent="0.15">
      <c r="A582" s="13" t="s">
        <v>1119</v>
      </c>
      <c r="B582" s="13" t="s">
        <v>1911</v>
      </c>
      <c r="C582" s="1" t="s">
        <v>407</v>
      </c>
      <c r="D582" s="12" t="s">
        <v>408</v>
      </c>
      <c r="E582" s="12" t="s">
        <v>409</v>
      </c>
      <c r="F582" s="31" t="s">
        <v>166</v>
      </c>
      <c r="G582" s="15">
        <v>0.1</v>
      </c>
      <c r="H582" s="15">
        <f>합산자재!H95</f>
        <v>925</v>
      </c>
      <c r="I582" s="53">
        <f>IF(G582*H582&lt;&gt;0, TRUNC(G582*H582, 1), "")</f>
        <v>92.5</v>
      </c>
      <c r="J582" s="15">
        <v>0.1</v>
      </c>
      <c r="K582" s="15">
        <f>합산자재!I95</f>
        <v>0</v>
      </c>
      <c r="L582" s="53" t="str">
        <f>IF(G582*K582&lt;&gt;0, TRUNC(G582*K582, 1), "")</f>
        <v/>
      </c>
      <c r="M582" s="15">
        <f>합산자재!J95</f>
        <v>0</v>
      </c>
      <c r="N582" s="53" t="str">
        <f>IF(G582*M582&lt;&gt;0, TRUNC(G582*M582, 1), "")</f>
        <v/>
      </c>
      <c r="O582" s="15">
        <f>IF((H582+K582+M582)=0, "", (H582+K582+M582))</f>
        <v>925</v>
      </c>
      <c r="P582" s="15">
        <f>IF(SUM(I582,L582,N582)&lt;&gt;0,SUM(I582,L582,N582),"")</f>
        <v>92.5</v>
      </c>
      <c r="Q582" s="12"/>
    </row>
    <row r="583" spans="1:17" ht="23.25" customHeight="1" x14ac:dyDescent="0.15">
      <c r="A583" s="13" t="s">
        <v>1372</v>
      </c>
      <c r="B583" s="13" t="s">
        <v>1911</v>
      </c>
      <c r="C583" s="1" t="s">
        <v>1002</v>
      </c>
      <c r="D583" s="12" t="s">
        <v>1003</v>
      </c>
      <c r="E583" s="12" t="s">
        <v>1004</v>
      </c>
      <c r="F583" s="31" t="s">
        <v>999</v>
      </c>
      <c r="G583" s="15">
        <f>일위노임!G257</f>
        <v>8.9999999999999993E-3</v>
      </c>
      <c r="H583" s="15">
        <f>합산자재!H345</f>
        <v>0</v>
      </c>
      <c r="I583" s="53" t="str">
        <f>IF(G583*H583&lt;&gt;0, TRUNC(G583*H583, 1), "")</f>
        <v/>
      </c>
      <c r="J583" s="15">
        <v>8.9999999999999993E-3</v>
      </c>
      <c r="K583" s="15">
        <f>합산자재!I345</f>
        <v>273676</v>
      </c>
      <c r="L583" s="53">
        <f>IF(G583*K583&lt;&gt;0, TRUNC(G583*K583, 1), "")</f>
        <v>2463</v>
      </c>
      <c r="M583" s="15">
        <f>합산자재!J345</f>
        <v>0</v>
      </c>
      <c r="N583" s="53" t="str">
        <f>IF(G583*M583&lt;&gt;0, TRUNC(G583*M583, 1), "")</f>
        <v/>
      </c>
      <c r="O583" s="15">
        <f>IF((H583+K583+M583)=0, "", (H583+K583+M583))</f>
        <v>273676</v>
      </c>
      <c r="P583" s="15">
        <f>IF(SUM(I583,L583,N583)&lt;&gt;0,SUM(I583,L583,N583),"")</f>
        <v>2463</v>
      </c>
      <c r="Q583" s="12"/>
    </row>
    <row r="584" spans="1:17" ht="23.25" customHeight="1" x14ac:dyDescent="0.15">
      <c r="A584" s="13" t="s">
        <v>2362</v>
      </c>
      <c r="B584" s="13" t="s">
        <v>1911</v>
      </c>
      <c r="C584" s="1" t="s">
        <v>2363</v>
      </c>
      <c r="D584" s="12" t="s">
        <v>2364</v>
      </c>
      <c r="E584" s="12" t="s">
        <v>2365</v>
      </c>
      <c r="F584" s="31" t="s">
        <v>792</v>
      </c>
      <c r="G584" s="15">
        <v>1</v>
      </c>
      <c r="H584" s="15">
        <v>49.2</v>
      </c>
      <c r="I584" s="53">
        <f>IF(G584*H584&lt;&gt;0, TRUNC(G584*H584, 1), "")</f>
        <v>49.2</v>
      </c>
      <c r="J584" s="15">
        <v>1</v>
      </c>
      <c r="K584" s="15"/>
      <c r="L584" s="53" t="str">
        <f>IF(G584*K584&lt;&gt;0, TRUNC(G584*K584, 1), "")</f>
        <v/>
      </c>
      <c r="M584" s="15"/>
      <c r="N584" s="53" t="str">
        <f>IF(G584*M584&lt;&gt;0, TRUNC(G584*M584, 1), "")</f>
        <v/>
      </c>
      <c r="O584" s="15">
        <f>IF((H584+K584+M584)=0, "", (H584+K584+M584))</f>
        <v>49.2</v>
      </c>
      <c r="P584" s="15">
        <f>IF(SUM(I584,L584,N584)&lt;&gt;0,SUM(I584,L584,N584),"")</f>
        <v>49.2</v>
      </c>
      <c r="Q584" s="12"/>
    </row>
    <row r="585" spans="1:17" ht="23.25" customHeight="1" x14ac:dyDescent="0.15">
      <c r="B585" s="13" t="s">
        <v>2360</v>
      </c>
      <c r="D585" s="12" t="s">
        <v>2361</v>
      </c>
      <c r="E585" s="12"/>
      <c r="F585" s="31"/>
      <c r="G585" s="15"/>
      <c r="H585" s="15"/>
      <c r="I585" s="53">
        <f>TRUNC(SUM(I580:I584))</f>
        <v>1066</v>
      </c>
      <c r="J585" s="15"/>
      <c r="K585" s="15"/>
      <c r="L585" s="53">
        <f>TRUNC(SUM(L580:L584))</f>
        <v>2463</v>
      </c>
      <c r="M585" s="15"/>
      <c r="N585" s="53">
        <f>TRUNC(SUM(N580:N584))</f>
        <v>0</v>
      </c>
      <c r="O585" s="15" t="str">
        <f>IF((H585+K585+M585)=0, "", (H585+K585+M585))</f>
        <v/>
      </c>
      <c r="P585" s="15">
        <f>IF(SUM(I585,L585,N585)&lt;&gt;0,SUM(I585,L585,N585),"")</f>
        <v>3529</v>
      </c>
      <c r="Q585" s="12"/>
    </row>
    <row r="586" spans="1:17" ht="23.25" customHeight="1" x14ac:dyDescent="0.15">
      <c r="D586" s="12"/>
      <c r="E586" s="12"/>
      <c r="F586" s="31"/>
      <c r="G586" s="15"/>
      <c r="H586" s="15"/>
      <c r="I586" s="53"/>
      <c r="J586" s="15"/>
      <c r="K586" s="15"/>
      <c r="L586" s="53"/>
      <c r="M586" s="15"/>
      <c r="N586" s="53"/>
      <c r="O586" s="15"/>
      <c r="P586" s="15"/>
      <c r="Q586" s="12"/>
    </row>
    <row r="587" spans="1:17" ht="23.25" customHeight="1" x14ac:dyDescent="0.15">
      <c r="A587" s="13" t="s">
        <v>2598</v>
      </c>
      <c r="B587" s="13" t="s">
        <v>2382</v>
      </c>
      <c r="C587" s="1" t="s">
        <v>2599</v>
      </c>
      <c r="D587" s="170" t="s">
        <v>2597</v>
      </c>
      <c r="E587" s="172"/>
      <c r="F587" s="31"/>
      <c r="G587" s="15"/>
      <c r="H587" s="15"/>
      <c r="I587" s="53"/>
      <c r="J587" s="15"/>
      <c r="K587" s="15"/>
      <c r="L587" s="53"/>
      <c r="M587" s="15"/>
      <c r="N587" s="53"/>
      <c r="O587" s="15"/>
      <c r="P587" s="15"/>
      <c r="Q587" s="12"/>
    </row>
    <row r="588" spans="1:17" ht="23.25" customHeight="1" x14ac:dyDescent="0.15">
      <c r="A588" s="13" t="s">
        <v>1120</v>
      </c>
      <c r="B588" s="13" t="s">
        <v>1914</v>
      </c>
      <c r="C588" s="1" t="s">
        <v>412</v>
      </c>
      <c r="D588" s="12" t="s">
        <v>408</v>
      </c>
      <c r="E588" s="12" t="s">
        <v>413</v>
      </c>
      <c r="F588" s="31" t="s">
        <v>166</v>
      </c>
      <c r="G588" s="15">
        <v>1</v>
      </c>
      <c r="H588" s="15">
        <f>합산자재!H96</f>
        <v>1031</v>
      </c>
      <c r="I588" s="53">
        <f>IF(G588*H588&lt;&gt;0, TRUNC(G588*H588, 1), "")</f>
        <v>1031</v>
      </c>
      <c r="J588" s="15">
        <v>1</v>
      </c>
      <c r="K588" s="15">
        <f>합산자재!I96</f>
        <v>0</v>
      </c>
      <c r="L588" s="53" t="str">
        <f>IF(G588*K588&lt;&gt;0, TRUNC(G588*K588, 1), "")</f>
        <v/>
      </c>
      <c r="M588" s="15">
        <f>합산자재!J96</f>
        <v>0</v>
      </c>
      <c r="N588" s="53" t="str">
        <f>IF(G588*M588&lt;&gt;0, TRUNC(G588*M588, 1), "")</f>
        <v/>
      </c>
      <c r="O588" s="15">
        <f>IF((H588+K588+M588)=0, "", (H588+K588+M588))</f>
        <v>1031</v>
      </c>
      <c r="P588" s="15">
        <f>IF(SUM(I588,L588,N588)&lt;&gt;0,SUM(I588,L588,N588),"")</f>
        <v>1031</v>
      </c>
      <c r="Q588" s="12"/>
    </row>
    <row r="589" spans="1:17" ht="23.25" customHeight="1" x14ac:dyDescent="0.15">
      <c r="A589" s="13" t="s">
        <v>1120</v>
      </c>
      <c r="B589" s="13" t="s">
        <v>1914</v>
      </c>
      <c r="C589" s="1" t="s">
        <v>412</v>
      </c>
      <c r="D589" s="12" t="s">
        <v>408</v>
      </c>
      <c r="E589" s="12" t="s">
        <v>413</v>
      </c>
      <c r="F589" s="31" t="s">
        <v>166</v>
      </c>
      <c r="G589" s="15">
        <v>0.1</v>
      </c>
      <c r="H589" s="15">
        <f>합산자재!H96</f>
        <v>1031</v>
      </c>
      <c r="I589" s="53">
        <f>IF(G589*H589&lt;&gt;0, TRUNC(G589*H589, 1), "")</f>
        <v>103.1</v>
      </c>
      <c r="J589" s="15">
        <v>0.1</v>
      </c>
      <c r="K589" s="15">
        <f>합산자재!I96</f>
        <v>0</v>
      </c>
      <c r="L589" s="53" t="str">
        <f>IF(G589*K589&lt;&gt;0, TRUNC(G589*K589, 1), "")</f>
        <v/>
      </c>
      <c r="M589" s="15">
        <f>합산자재!J96</f>
        <v>0</v>
      </c>
      <c r="N589" s="53" t="str">
        <f>IF(G589*M589&lt;&gt;0, TRUNC(G589*M589, 1), "")</f>
        <v/>
      </c>
      <c r="O589" s="15">
        <f>IF((H589+K589+M589)=0, "", (H589+K589+M589))</f>
        <v>1031</v>
      </c>
      <c r="P589" s="15">
        <f>IF(SUM(I589,L589,N589)&lt;&gt;0,SUM(I589,L589,N589),"")</f>
        <v>103.1</v>
      </c>
      <c r="Q589" s="12"/>
    </row>
    <row r="590" spans="1:17" ht="23.25" customHeight="1" x14ac:dyDescent="0.15">
      <c r="A590" s="13" t="s">
        <v>1372</v>
      </c>
      <c r="B590" s="13" t="s">
        <v>1914</v>
      </c>
      <c r="C590" s="1" t="s">
        <v>1002</v>
      </c>
      <c r="D590" s="12" t="s">
        <v>1003</v>
      </c>
      <c r="E590" s="12" t="s">
        <v>1004</v>
      </c>
      <c r="F590" s="31" t="s">
        <v>999</v>
      </c>
      <c r="G590" s="15">
        <f>일위노임!G260</f>
        <v>8.9999999999999993E-3</v>
      </c>
      <c r="H590" s="15">
        <f>합산자재!H345</f>
        <v>0</v>
      </c>
      <c r="I590" s="53" t="str">
        <f>IF(G590*H590&lt;&gt;0, TRUNC(G590*H590, 1), "")</f>
        <v/>
      </c>
      <c r="J590" s="15">
        <v>8.9999999999999993E-3</v>
      </c>
      <c r="K590" s="15">
        <f>합산자재!I345</f>
        <v>273676</v>
      </c>
      <c r="L590" s="53">
        <f>IF(G590*K590&lt;&gt;0, TRUNC(G590*K590, 1), "")</f>
        <v>2463</v>
      </c>
      <c r="M590" s="15">
        <f>합산자재!J345</f>
        <v>0</v>
      </c>
      <c r="N590" s="53" t="str">
        <f>IF(G590*M590&lt;&gt;0, TRUNC(G590*M590, 1), "")</f>
        <v/>
      </c>
      <c r="O590" s="15">
        <f>IF((H590+K590+M590)=0, "", (H590+K590+M590))</f>
        <v>273676</v>
      </c>
      <c r="P590" s="15">
        <f>IF(SUM(I590,L590,N590)&lt;&gt;0,SUM(I590,L590,N590),"")</f>
        <v>2463</v>
      </c>
      <c r="Q590" s="12"/>
    </row>
    <row r="591" spans="1:17" ht="23.25" customHeight="1" x14ac:dyDescent="0.15">
      <c r="A591" s="13" t="s">
        <v>2362</v>
      </c>
      <c r="B591" s="13" t="s">
        <v>1914</v>
      </c>
      <c r="C591" s="1" t="s">
        <v>2363</v>
      </c>
      <c r="D591" s="12" t="s">
        <v>2364</v>
      </c>
      <c r="E591" s="12" t="s">
        <v>2365</v>
      </c>
      <c r="F591" s="31" t="s">
        <v>792</v>
      </c>
      <c r="G591" s="15">
        <v>1</v>
      </c>
      <c r="H591" s="15">
        <v>49.2</v>
      </c>
      <c r="I591" s="53">
        <f>IF(G591*H591&lt;&gt;0, TRUNC(G591*H591, 1), "")</f>
        <v>49.2</v>
      </c>
      <c r="J591" s="15">
        <v>1</v>
      </c>
      <c r="K591" s="15"/>
      <c r="L591" s="53" t="str">
        <f>IF(G591*K591&lt;&gt;0, TRUNC(G591*K591, 1), "")</f>
        <v/>
      </c>
      <c r="M591" s="15"/>
      <c r="N591" s="53" t="str">
        <f>IF(G591*M591&lt;&gt;0, TRUNC(G591*M591, 1), "")</f>
        <v/>
      </c>
      <c r="O591" s="15">
        <f>IF((H591+K591+M591)=0, "", (H591+K591+M591))</f>
        <v>49.2</v>
      </c>
      <c r="P591" s="15">
        <f>IF(SUM(I591,L591,N591)&lt;&gt;0,SUM(I591,L591,N591),"")</f>
        <v>49.2</v>
      </c>
      <c r="Q591" s="12"/>
    </row>
    <row r="592" spans="1:17" ht="23.25" customHeight="1" x14ac:dyDescent="0.15">
      <c r="B592" s="13" t="s">
        <v>2360</v>
      </c>
      <c r="D592" s="12" t="s">
        <v>2361</v>
      </c>
      <c r="E592" s="12"/>
      <c r="F592" s="31"/>
      <c r="G592" s="15"/>
      <c r="H592" s="15"/>
      <c r="I592" s="53">
        <f>TRUNC(SUM(I587:I591))</f>
        <v>1183</v>
      </c>
      <c r="J592" s="15"/>
      <c r="K592" s="15"/>
      <c r="L592" s="53">
        <f>TRUNC(SUM(L587:L591))</f>
        <v>2463</v>
      </c>
      <c r="M592" s="15"/>
      <c r="N592" s="53">
        <f>TRUNC(SUM(N587:N591))</f>
        <v>0</v>
      </c>
      <c r="O592" s="15" t="str">
        <f>IF((H592+K592+M592)=0, "", (H592+K592+M592))</f>
        <v/>
      </c>
      <c r="P592" s="15">
        <f>IF(SUM(I592,L592,N592)&lt;&gt;0,SUM(I592,L592,N592),"")</f>
        <v>3646</v>
      </c>
      <c r="Q592" s="12"/>
    </row>
    <row r="593" spans="1:17" ht="23.25" customHeight="1" x14ac:dyDescent="0.15">
      <c r="D593" s="12"/>
      <c r="E593" s="12"/>
      <c r="F593" s="31"/>
      <c r="G593" s="15"/>
      <c r="H593" s="15"/>
      <c r="I593" s="53"/>
      <c r="J593" s="15"/>
      <c r="K593" s="15"/>
      <c r="L593" s="53"/>
      <c r="M593" s="15"/>
      <c r="N593" s="53"/>
      <c r="O593" s="15"/>
      <c r="P593" s="15"/>
      <c r="Q593" s="12"/>
    </row>
    <row r="594" spans="1:17" ht="23.25" customHeight="1" x14ac:dyDescent="0.15">
      <c r="A594" s="13" t="s">
        <v>2601</v>
      </c>
      <c r="B594" s="13" t="s">
        <v>2382</v>
      </c>
      <c r="C594" s="1" t="s">
        <v>2602</v>
      </c>
      <c r="D594" s="170" t="s">
        <v>2600</v>
      </c>
      <c r="E594" s="172"/>
      <c r="F594" s="31"/>
      <c r="G594" s="15"/>
      <c r="H594" s="15"/>
      <c r="I594" s="53"/>
      <c r="J594" s="15"/>
      <c r="K594" s="15"/>
      <c r="L594" s="53"/>
      <c r="M594" s="15"/>
      <c r="N594" s="53"/>
      <c r="O594" s="15"/>
      <c r="P594" s="15"/>
      <c r="Q594" s="12"/>
    </row>
    <row r="595" spans="1:17" ht="23.25" customHeight="1" x14ac:dyDescent="0.15">
      <c r="A595" s="13" t="s">
        <v>1121</v>
      </c>
      <c r="B595" s="13" t="s">
        <v>1917</v>
      </c>
      <c r="C595" s="1" t="s">
        <v>414</v>
      </c>
      <c r="D595" s="12" t="s">
        <v>408</v>
      </c>
      <c r="E595" s="12" t="s">
        <v>415</v>
      </c>
      <c r="F595" s="31" t="s">
        <v>166</v>
      </c>
      <c r="G595" s="15">
        <v>1</v>
      </c>
      <c r="H595" s="15">
        <f>합산자재!H97</f>
        <v>1870</v>
      </c>
      <c r="I595" s="53">
        <f>IF(G595*H595&lt;&gt;0, TRUNC(G595*H595, 1), "")</f>
        <v>1870</v>
      </c>
      <c r="J595" s="15">
        <v>1</v>
      </c>
      <c r="K595" s="15">
        <f>합산자재!I97</f>
        <v>0</v>
      </c>
      <c r="L595" s="53" t="str">
        <f>IF(G595*K595&lt;&gt;0, TRUNC(G595*K595, 1), "")</f>
        <v/>
      </c>
      <c r="M595" s="15">
        <f>합산자재!J97</f>
        <v>0</v>
      </c>
      <c r="N595" s="53" t="str">
        <f>IF(G595*M595&lt;&gt;0, TRUNC(G595*M595, 1), "")</f>
        <v/>
      </c>
      <c r="O595" s="15">
        <f>IF((H595+K595+M595)=0, "", (H595+K595+M595))</f>
        <v>1870</v>
      </c>
      <c r="P595" s="15">
        <f>IF(SUM(I595,L595,N595)&lt;&gt;0,SUM(I595,L595,N595),"")</f>
        <v>1870</v>
      </c>
      <c r="Q595" s="12"/>
    </row>
    <row r="596" spans="1:17" ht="23.25" customHeight="1" x14ac:dyDescent="0.15">
      <c r="A596" s="13" t="s">
        <v>1121</v>
      </c>
      <c r="B596" s="13" t="s">
        <v>1917</v>
      </c>
      <c r="C596" s="1" t="s">
        <v>414</v>
      </c>
      <c r="D596" s="12" t="s">
        <v>408</v>
      </c>
      <c r="E596" s="12" t="s">
        <v>415</v>
      </c>
      <c r="F596" s="31" t="s">
        <v>166</v>
      </c>
      <c r="G596" s="15">
        <v>0.1</v>
      </c>
      <c r="H596" s="15">
        <f>합산자재!H97</f>
        <v>1870</v>
      </c>
      <c r="I596" s="53">
        <f>IF(G596*H596&lt;&gt;0, TRUNC(G596*H596, 1), "")</f>
        <v>187</v>
      </c>
      <c r="J596" s="15">
        <v>0.1</v>
      </c>
      <c r="K596" s="15">
        <f>합산자재!I97</f>
        <v>0</v>
      </c>
      <c r="L596" s="53" t="str">
        <f>IF(G596*K596&lt;&gt;0, TRUNC(G596*K596, 1), "")</f>
        <v/>
      </c>
      <c r="M596" s="15">
        <f>합산자재!J97</f>
        <v>0</v>
      </c>
      <c r="N596" s="53" t="str">
        <f>IF(G596*M596&lt;&gt;0, TRUNC(G596*M596, 1), "")</f>
        <v/>
      </c>
      <c r="O596" s="15">
        <f>IF((H596+K596+M596)=0, "", (H596+K596+M596))</f>
        <v>1870</v>
      </c>
      <c r="P596" s="15">
        <f>IF(SUM(I596,L596,N596)&lt;&gt;0,SUM(I596,L596,N596),"")</f>
        <v>187</v>
      </c>
      <c r="Q596" s="12"/>
    </row>
    <row r="597" spans="1:17" ht="23.25" customHeight="1" x14ac:dyDescent="0.15">
      <c r="A597" s="13" t="s">
        <v>1372</v>
      </c>
      <c r="B597" s="13" t="s">
        <v>1917</v>
      </c>
      <c r="C597" s="1" t="s">
        <v>1002</v>
      </c>
      <c r="D597" s="12" t="s">
        <v>1003</v>
      </c>
      <c r="E597" s="12" t="s">
        <v>1004</v>
      </c>
      <c r="F597" s="31" t="s">
        <v>999</v>
      </c>
      <c r="G597" s="15">
        <f>일위노임!G263</f>
        <v>8.9999999999999993E-3</v>
      </c>
      <c r="H597" s="15">
        <f>합산자재!H345</f>
        <v>0</v>
      </c>
      <c r="I597" s="53" t="str">
        <f>IF(G597*H597&lt;&gt;0, TRUNC(G597*H597, 1), "")</f>
        <v/>
      </c>
      <c r="J597" s="15">
        <v>8.9999999999999993E-3</v>
      </c>
      <c r="K597" s="15">
        <f>합산자재!I345</f>
        <v>273676</v>
      </c>
      <c r="L597" s="53">
        <f>IF(G597*K597&lt;&gt;0, TRUNC(G597*K597, 1), "")</f>
        <v>2463</v>
      </c>
      <c r="M597" s="15">
        <f>합산자재!J345</f>
        <v>0</v>
      </c>
      <c r="N597" s="53" t="str">
        <f>IF(G597*M597&lt;&gt;0, TRUNC(G597*M597, 1), "")</f>
        <v/>
      </c>
      <c r="O597" s="15">
        <f>IF((H597+K597+M597)=0, "", (H597+K597+M597))</f>
        <v>273676</v>
      </c>
      <c r="P597" s="15">
        <f>IF(SUM(I597,L597,N597)&lt;&gt;0,SUM(I597,L597,N597),"")</f>
        <v>2463</v>
      </c>
      <c r="Q597" s="12"/>
    </row>
    <row r="598" spans="1:17" ht="23.25" customHeight="1" x14ac:dyDescent="0.15">
      <c r="A598" s="13" t="s">
        <v>2362</v>
      </c>
      <c r="B598" s="13" t="s">
        <v>1917</v>
      </c>
      <c r="C598" s="1" t="s">
        <v>2363</v>
      </c>
      <c r="D598" s="12" t="s">
        <v>2364</v>
      </c>
      <c r="E598" s="12" t="s">
        <v>2365</v>
      </c>
      <c r="F598" s="31" t="s">
        <v>792</v>
      </c>
      <c r="G598" s="15">
        <v>1</v>
      </c>
      <c r="H598" s="15">
        <v>49.2</v>
      </c>
      <c r="I598" s="53">
        <f>IF(G598*H598&lt;&gt;0, TRUNC(G598*H598, 1), "")</f>
        <v>49.2</v>
      </c>
      <c r="J598" s="15">
        <v>1</v>
      </c>
      <c r="K598" s="15"/>
      <c r="L598" s="53" t="str">
        <f>IF(G598*K598&lt;&gt;0, TRUNC(G598*K598, 1), "")</f>
        <v/>
      </c>
      <c r="M598" s="15"/>
      <c r="N598" s="53" t="str">
        <f>IF(G598*M598&lt;&gt;0, TRUNC(G598*M598, 1), "")</f>
        <v/>
      </c>
      <c r="O598" s="15">
        <f>IF((H598+K598+M598)=0, "", (H598+K598+M598))</f>
        <v>49.2</v>
      </c>
      <c r="P598" s="15">
        <f>IF(SUM(I598,L598,N598)&lt;&gt;0,SUM(I598,L598,N598),"")</f>
        <v>49.2</v>
      </c>
      <c r="Q598" s="12"/>
    </row>
    <row r="599" spans="1:17" ht="23.25" customHeight="1" x14ac:dyDescent="0.15">
      <c r="B599" s="13" t="s">
        <v>2360</v>
      </c>
      <c r="D599" s="12" t="s">
        <v>2361</v>
      </c>
      <c r="E599" s="12"/>
      <c r="F599" s="31"/>
      <c r="G599" s="15"/>
      <c r="H599" s="15"/>
      <c r="I599" s="53">
        <f>TRUNC(SUM(I594:I598))</f>
        <v>2106</v>
      </c>
      <c r="J599" s="15"/>
      <c r="K599" s="15"/>
      <c r="L599" s="53">
        <f>TRUNC(SUM(L594:L598))</f>
        <v>2463</v>
      </c>
      <c r="M599" s="15"/>
      <c r="N599" s="53">
        <f>TRUNC(SUM(N594:N598))</f>
        <v>0</v>
      </c>
      <c r="O599" s="15" t="str">
        <f>IF((H599+K599+M599)=0, "", (H599+K599+M599))</f>
        <v/>
      </c>
      <c r="P599" s="15">
        <f>IF(SUM(I599,L599,N599)&lt;&gt;0,SUM(I599,L599,N599),"")</f>
        <v>4569</v>
      </c>
      <c r="Q599" s="12"/>
    </row>
    <row r="600" spans="1:17" ht="23.25" customHeight="1" x14ac:dyDescent="0.15">
      <c r="D600" s="12"/>
      <c r="E600" s="12"/>
      <c r="F600" s="31"/>
      <c r="G600" s="15"/>
      <c r="H600" s="15"/>
      <c r="I600" s="53"/>
      <c r="J600" s="15"/>
      <c r="K600" s="15"/>
      <c r="L600" s="53"/>
      <c r="M600" s="15"/>
      <c r="N600" s="53"/>
      <c r="O600" s="15"/>
      <c r="P600" s="15"/>
      <c r="Q600" s="12"/>
    </row>
    <row r="601" spans="1:17" ht="23.25" customHeight="1" x14ac:dyDescent="0.15">
      <c r="A601" s="13" t="s">
        <v>2604</v>
      </c>
      <c r="B601" s="13" t="s">
        <v>2382</v>
      </c>
      <c r="C601" s="1" t="s">
        <v>2605</v>
      </c>
      <c r="D601" s="170" t="s">
        <v>2603</v>
      </c>
      <c r="E601" s="172"/>
      <c r="F601" s="31"/>
      <c r="G601" s="15"/>
      <c r="H601" s="15"/>
      <c r="I601" s="53"/>
      <c r="J601" s="15"/>
      <c r="K601" s="15"/>
      <c r="L601" s="53"/>
      <c r="M601" s="15"/>
      <c r="N601" s="53"/>
      <c r="O601" s="15"/>
      <c r="P601" s="15"/>
      <c r="Q601" s="12"/>
    </row>
    <row r="602" spans="1:17" ht="23.25" customHeight="1" x14ac:dyDescent="0.15">
      <c r="A602" s="13" t="s">
        <v>1122</v>
      </c>
      <c r="B602" s="13" t="s">
        <v>1920</v>
      </c>
      <c r="C602" s="1" t="s">
        <v>416</v>
      </c>
      <c r="D602" s="12" t="s">
        <v>408</v>
      </c>
      <c r="E602" s="12" t="s">
        <v>417</v>
      </c>
      <c r="F602" s="31" t="s">
        <v>166</v>
      </c>
      <c r="G602" s="15">
        <v>1</v>
      </c>
      <c r="H602" s="15">
        <f>합산자재!H98</f>
        <v>2365</v>
      </c>
      <c r="I602" s="53">
        <f>IF(G602*H602&lt;&gt;0, TRUNC(G602*H602, 1), "")</f>
        <v>2365</v>
      </c>
      <c r="J602" s="15">
        <v>1</v>
      </c>
      <c r="K602" s="15">
        <f>합산자재!I98</f>
        <v>0</v>
      </c>
      <c r="L602" s="53" t="str">
        <f>IF(G602*K602&lt;&gt;0, TRUNC(G602*K602, 1), "")</f>
        <v/>
      </c>
      <c r="M602" s="15">
        <f>합산자재!J98</f>
        <v>0</v>
      </c>
      <c r="N602" s="53" t="str">
        <f>IF(G602*M602&lt;&gt;0, TRUNC(G602*M602, 1), "")</f>
        <v/>
      </c>
      <c r="O602" s="15">
        <f>IF((H602+K602+M602)=0, "", (H602+K602+M602))</f>
        <v>2365</v>
      </c>
      <c r="P602" s="15">
        <f>IF(SUM(I602,L602,N602)&lt;&gt;0,SUM(I602,L602,N602),"")</f>
        <v>2365</v>
      </c>
      <c r="Q602" s="12"/>
    </row>
    <row r="603" spans="1:17" ht="23.25" customHeight="1" x14ac:dyDescent="0.15">
      <c r="A603" s="13" t="s">
        <v>1122</v>
      </c>
      <c r="B603" s="13" t="s">
        <v>1920</v>
      </c>
      <c r="C603" s="1" t="s">
        <v>416</v>
      </c>
      <c r="D603" s="12" t="s">
        <v>408</v>
      </c>
      <c r="E603" s="12" t="s">
        <v>417</v>
      </c>
      <c r="F603" s="31" t="s">
        <v>166</v>
      </c>
      <c r="G603" s="15">
        <v>0.1</v>
      </c>
      <c r="H603" s="15">
        <f>합산자재!H98</f>
        <v>2365</v>
      </c>
      <c r="I603" s="53">
        <f>IF(G603*H603&lt;&gt;0, TRUNC(G603*H603, 1), "")</f>
        <v>236.5</v>
      </c>
      <c r="J603" s="15">
        <v>0.1</v>
      </c>
      <c r="K603" s="15">
        <f>합산자재!I98</f>
        <v>0</v>
      </c>
      <c r="L603" s="53" t="str">
        <f>IF(G603*K603&lt;&gt;0, TRUNC(G603*K603, 1), "")</f>
        <v/>
      </c>
      <c r="M603" s="15">
        <f>합산자재!J98</f>
        <v>0</v>
      </c>
      <c r="N603" s="53" t="str">
        <f>IF(G603*M603&lt;&gt;0, TRUNC(G603*M603, 1), "")</f>
        <v/>
      </c>
      <c r="O603" s="15">
        <f>IF((H603+K603+M603)=0, "", (H603+K603+M603))</f>
        <v>2365</v>
      </c>
      <c r="P603" s="15">
        <f>IF(SUM(I603,L603,N603)&lt;&gt;0,SUM(I603,L603,N603),"")</f>
        <v>236.5</v>
      </c>
      <c r="Q603" s="12"/>
    </row>
    <row r="604" spans="1:17" ht="23.25" customHeight="1" x14ac:dyDescent="0.15">
      <c r="A604" s="13" t="s">
        <v>1372</v>
      </c>
      <c r="B604" s="13" t="s">
        <v>1920</v>
      </c>
      <c r="C604" s="1" t="s">
        <v>1002</v>
      </c>
      <c r="D604" s="12" t="s">
        <v>1003</v>
      </c>
      <c r="E604" s="12" t="s">
        <v>1004</v>
      </c>
      <c r="F604" s="31" t="s">
        <v>999</v>
      </c>
      <c r="G604" s="15">
        <f>일위노임!G266</f>
        <v>1.0500000000000001E-2</v>
      </c>
      <c r="H604" s="15">
        <f>합산자재!H345</f>
        <v>0</v>
      </c>
      <c r="I604" s="53" t="str">
        <f>IF(G604*H604&lt;&gt;0, TRUNC(G604*H604, 1), "")</f>
        <v/>
      </c>
      <c r="J604" s="15">
        <v>1.0500000000000001E-2</v>
      </c>
      <c r="K604" s="15">
        <f>합산자재!I345</f>
        <v>273676</v>
      </c>
      <c r="L604" s="53">
        <f>IF(G604*K604&lt;&gt;0, TRUNC(G604*K604, 1), "")</f>
        <v>2873.5</v>
      </c>
      <c r="M604" s="15">
        <f>합산자재!J345</f>
        <v>0</v>
      </c>
      <c r="N604" s="53" t="str">
        <f>IF(G604*M604&lt;&gt;0, TRUNC(G604*M604, 1), "")</f>
        <v/>
      </c>
      <c r="O604" s="15">
        <f>IF((H604+K604+M604)=0, "", (H604+K604+M604))</f>
        <v>273676</v>
      </c>
      <c r="P604" s="15">
        <f>IF(SUM(I604,L604,N604)&lt;&gt;0,SUM(I604,L604,N604),"")</f>
        <v>2873.5</v>
      </c>
      <c r="Q604" s="12"/>
    </row>
    <row r="605" spans="1:17" ht="23.25" customHeight="1" x14ac:dyDescent="0.15">
      <c r="A605" s="13" t="s">
        <v>2362</v>
      </c>
      <c r="B605" s="13" t="s">
        <v>1920</v>
      </c>
      <c r="C605" s="1" t="s">
        <v>2363</v>
      </c>
      <c r="D605" s="12" t="s">
        <v>2364</v>
      </c>
      <c r="E605" s="12" t="s">
        <v>2365</v>
      </c>
      <c r="F605" s="31" t="s">
        <v>792</v>
      </c>
      <c r="G605" s="15">
        <v>1</v>
      </c>
      <c r="H605" s="15">
        <v>57.4</v>
      </c>
      <c r="I605" s="53">
        <f>IF(G605*H605&lt;&gt;0, TRUNC(G605*H605, 1), "")</f>
        <v>57.4</v>
      </c>
      <c r="J605" s="15">
        <v>1</v>
      </c>
      <c r="K605" s="15"/>
      <c r="L605" s="53" t="str">
        <f>IF(G605*K605&lt;&gt;0, TRUNC(G605*K605, 1), "")</f>
        <v/>
      </c>
      <c r="M605" s="15"/>
      <c r="N605" s="53" t="str">
        <f>IF(G605*M605&lt;&gt;0, TRUNC(G605*M605, 1), "")</f>
        <v/>
      </c>
      <c r="O605" s="15">
        <f>IF((H605+K605+M605)=0, "", (H605+K605+M605))</f>
        <v>57.4</v>
      </c>
      <c r="P605" s="15">
        <f>IF(SUM(I605,L605,N605)&lt;&gt;0,SUM(I605,L605,N605),"")</f>
        <v>57.4</v>
      </c>
      <c r="Q605" s="12"/>
    </row>
    <row r="606" spans="1:17" ht="23.25" customHeight="1" x14ac:dyDescent="0.15">
      <c r="B606" s="13" t="s">
        <v>2360</v>
      </c>
      <c r="D606" s="12" t="s">
        <v>2361</v>
      </c>
      <c r="E606" s="12"/>
      <c r="F606" s="31"/>
      <c r="G606" s="15"/>
      <c r="H606" s="15"/>
      <c r="I606" s="53">
        <f>TRUNC(SUM(I601:I605))</f>
        <v>2658</v>
      </c>
      <c r="J606" s="15"/>
      <c r="K606" s="15"/>
      <c r="L606" s="53">
        <f>TRUNC(SUM(L601:L605))</f>
        <v>2873</v>
      </c>
      <c r="M606" s="15"/>
      <c r="N606" s="53">
        <f>TRUNC(SUM(N601:N605))</f>
        <v>0</v>
      </c>
      <c r="O606" s="15" t="str">
        <f>IF((H606+K606+M606)=0, "", (H606+K606+M606))</f>
        <v/>
      </c>
      <c r="P606" s="15">
        <f>IF(SUM(I606,L606,N606)&lt;&gt;0,SUM(I606,L606,N606),"")</f>
        <v>5531</v>
      </c>
      <c r="Q606" s="12"/>
    </row>
    <row r="607" spans="1:17" ht="23.25" customHeight="1" x14ac:dyDescent="0.15">
      <c r="D607" s="12"/>
      <c r="E607" s="12"/>
      <c r="F607" s="31"/>
      <c r="G607" s="15"/>
      <c r="H607" s="15"/>
      <c r="I607" s="53"/>
      <c r="J607" s="15"/>
      <c r="K607" s="15"/>
      <c r="L607" s="53"/>
      <c r="M607" s="15"/>
      <c r="N607" s="53"/>
      <c r="O607" s="15"/>
      <c r="P607" s="15"/>
      <c r="Q607" s="12"/>
    </row>
    <row r="608" spans="1:17" ht="23.25" customHeight="1" x14ac:dyDescent="0.15">
      <c r="A608" s="13" t="s">
        <v>2607</v>
      </c>
      <c r="B608" s="13" t="s">
        <v>2382</v>
      </c>
      <c r="C608" s="1" t="s">
        <v>2608</v>
      </c>
      <c r="D608" s="170" t="s">
        <v>2606</v>
      </c>
      <c r="E608" s="172"/>
      <c r="F608" s="31"/>
      <c r="G608" s="15"/>
      <c r="H608" s="15"/>
      <c r="I608" s="53"/>
      <c r="J608" s="15"/>
      <c r="K608" s="15"/>
      <c r="L608" s="53"/>
      <c r="M608" s="15"/>
      <c r="N608" s="53"/>
      <c r="O608" s="15"/>
      <c r="P608" s="15"/>
      <c r="Q608" s="12"/>
    </row>
    <row r="609" spans="1:17" ht="23.25" customHeight="1" x14ac:dyDescent="0.15">
      <c r="A609" s="13" t="s">
        <v>1123</v>
      </c>
      <c r="B609" s="13" t="s">
        <v>1923</v>
      </c>
      <c r="C609" s="1" t="s">
        <v>418</v>
      </c>
      <c r="D609" s="12" t="s">
        <v>408</v>
      </c>
      <c r="E609" s="12" t="s">
        <v>419</v>
      </c>
      <c r="F609" s="31" t="s">
        <v>166</v>
      </c>
      <c r="G609" s="15">
        <v>1</v>
      </c>
      <c r="H609" s="15">
        <f>합산자재!H99</f>
        <v>3796</v>
      </c>
      <c r="I609" s="53">
        <f>IF(G609*H609&lt;&gt;0, TRUNC(G609*H609, 1), "")</f>
        <v>3796</v>
      </c>
      <c r="J609" s="15">
        <v>1</v>
      </c>
      <c r="K609" s="15">
        <f>합산자재!I99</f>
        <v>0</v>
      </c>
      <c r="L609" s="53" t="str">
        <f>IF(G609*K609&lt;&gt;0, TRUNC(G609*K609, 1), "")</f>
        <v/>
      </c>
      <c r="M609" s="15">
        <f>합산자재!J99</f>
        <v>0</v>
      </c>
      <c r="N609" s="53" t="str">
        <f>IF(G609*M609&lt;&gt;0, TRUNC(G609*M609, 1), "")</f>
        <v/>
      </c>
      <c r="O609" s="15">
        <f>IF((H609+K609+M609)=0, "", (H609+K609+M609))</f>
        <v>3796</v>
      </c>
      <c r="P609" s="15">
        <f>IF(SUM(I609,L609,N609)&lt;&gt;0,SUM(I609,L609,N609),"")</f>
        <v>3796</v>
      </c>
      <c r="Q609" s="12"/>
    </row>
    <row r="610" spans="1:17" ht="23.25" customHeight="1" x14ac:dyDescent="0.15">
      <c r="A610" s="13" t="s">
        <v>1123</v>
      </c>
      <c r="B610" s="13" t="s">
        <v>1923</v>
      </c>
      <c r="C610" s="1" t="s">
        <v>418</v>
      </c>
      <c r="D610" s="12" t="s">
        <v>408</v>
      </c>
      <c r="E610" s="12" t="s">
        <v>419</v>
      </c>
      <c r="F610" s="31" t="s">
        <v>166</v>
      </c>
      <c r="G610" s="15">
        <v>0.1</v>
      </c>
      <c r="H610" s="15">
        <f>합산자재!H99</f>
        <v>3796</v>
      </c>
      <c r="I610" s="53">
        <f>IF(G610*H610&lt;&gt;0, TRUNC(G610*H610, 1), "")</f>
        <v>379.6</v>
      </c>
      <c r="J610" s="15">
        <v>0.1</v>
      </c>
      <c r="K610" s="15">
        <f>합산자재!I99</f>
        <v>0</v>
      </c>
      <c r="L610" s="53" t="str">
        <f>IF(G610*K610&lt;&gt;0, TRUNC(G610*K610, 1), "")</f>
        <v/>
      </c>
      <c r="M610" s="15">
        <f>합산자재!J99</f>
        <v>0</v>
      </c>
      <c r="N610" s="53" t="str">
        <f>IF(G610*M610&lt;&gt;0, TRUNC(G610*M610, 1), "")</f>
        <v/>
      </c>
      <c r="O610" s="15">
        <f>IF((H610+K610+M610)=0, "", (H610+K610+M610))</f>
        <v>3796</v>
      </c>
      <c r="P610" s="15">
        <f>IF(SUM(I610,L610,N610)&lt;&gt;0,SUM(I610,L610,N610),"")</f>
        <v>379.6</v>
      </c>
      <c r="Q610" s="12"/>
    </row>
    <row r="611" spans="1:17" ht="23.25" customHeight="1" x14ac:dyDescent="0.15">
      <c r="A611" s="13" t="s">
        <v>1372</v>
      </c>
      <c r="B611" s="13" t="s">
        <v>1923</v>
      </c>
      <c r="C611" s="1" t="s">
        <v>1002</v>
      </c>
      <c r="D611" s="12" t="s">
        <v>1003</v>
      </c>
      <c r="E611" s="12" t="s">
        <v>1004</v>
      </c>
      <c r="F611" s="31" t="s">
        <v>999</v>
      </c>
      <c r="G611" s="15">
        <f>일위노임!G269</f>
        <v>1.0500000000000001E-2</v>
      </c>
      <c r="H611" s="15">
        <f>합산자재!H345</f>
        <v>0</v>
      </c>
      <c r="I611" s="53" t="str">
        <f>IF(G611*H611&lt;&gt;0, TRUNC(G611*H611, 1), "")</f>
        <v/>
      </c>
      <c r="J611" s="15">
        <v>1.0500000000000001E-2</v>
      </c>
      <c r="K611" s="15">
        <f>합산자재!I345</f>
        <v>273676</v>
      </c>
      <c r="L611" s="53">
        <f>IF(G611*K611&lt;&gt;0, TRUNC(G611*K611, 1), "")</f>
        <v>2873.5</v>
      </c>
      <c r="M611" s="15">
        <f>합산자재!J345</f>
        <v>0</v>
      </c>
      <c r="N611" s="53" t="str">
        <f>IF(G611*M611&lt;&gt;0, TRUNC(G611*M611, 1), "")</f>
        <v/>
      </c>
      <c r="O611" s="15">
        <f>IF((H611+K611+M611)=0, "", (H611+K611+M611))</f>
        <v>273676</v>
      </c>
      <c r="P611" s="15">
        <f>IF(SUM(I611,L611,N611)&lt;&gt;0,SUM(I611,L611,N611),"")</f>
        <v>2873.5</v>
      </c>
      <c r="Q611" s="12"/>
    </row>
    <row r="612" spans="1:17" ht="23.25" customHeight="1" x14ac:dyDescent="0.15">
      <c r="A612" s="13" t="s">
        <v>2362</v>
      </c>
      <c r="B612" s="13" t="s">
        <v>1923</v>
      </c>
      <c r="C612" s="1" t="s">
        <v>2363</v>
      </c>
      <c r="D612" s="12" t="s">
        <v>2364</v>
      </c>
      <c r="E612" s="12" t="s">
        <v>2365</v>
      </c>
      <c r="F612" s="31" t="s">
        <v>792</v>
      </c>
      <c r="G612" s="15">
        <v>1</v>
      </c>
      <c r="H612" s="15">
        <v>57.4</v>
      </c>
      <c r="I612" s="53">
        <f>IF(G612*H612&lt;&gt;0, TRUNC(G612*H612, 1), "")</f>
        <v>57.4</v>
      </c>
      <c r="J612" s="15">
        <v>1</v>
      </c>
      <c r="K612" s="15"/>
      <c r="L612" s="53" t="str">
        <f>IF(G612*K612&lt;&gt;0, TRUNC(G612*K612, 1), "")</f>
        <v/>
      </c>
      <c r="M612" s="15"/>
      <c r="N612" s="53" t="str">
        <f>IF(G612*M612&lt;&gt;0, TRUNC(G612*M612, 1), "")</f>
        <v/>
      </c>
      <c r="O612" s="15">
        <f>IF((H612+K612+M612)=0, "", (H612+K612+M612))</f>
        <v>57.4</v>
      </c>
      <c r="P612" s="15">
        <f>IF(SUM(I612,L612,N612)&lt;&gt;0,SUM(I612,L612,N612),"")</f>
        <v>57.4</v>
      </c>
      <c r="Q612" s="12"/>
    </row>
    <row r="613" spans="1:17" ht="23.25" customHeight="1" x14ac:dyDescent="0.15">
      <c r="B613" s="13" t="s">
        <v>2360</v>
      </c>
      <c r="D613" s="12" t="s">
        <v>2361</v>
      </c>
      <c r="E613" s="12"/>
      <c r="F613" s="31"/>
      <c r="G613" s="15"/>
      <c r="H613" s="15"/>
      <c r="I613" s="53">
        <f>TRUNC(SUM(I608:I612))</f>
        <v>4233</v>
      </c>
      <c r="J613" s="15"/>
      <c r="K613" s="15"/>
      <c r="L613" s="53">
        <f>TRUNC(SUM(L608:L612))</f>
        <v>2873</v>
      </c>
      <c r="M613" s="15"/>
      <c r="N613" s="53">
        <f>TRUNC(SUM(N608:N612))</f>
        <v>0</v>
      </c>
      <c r="O613" s="15" t="str">
        <f>IF((H613+K613+M613)=0, "", (H613+K613+M613))</f>
        <v/>
      </c>
      <c r="P613" s="15">
        <f>IF(SUM(I613,L613,N613)&lt;&gt;0,SUM(I613,L613,N613),"")</f>
        <v>7106</v>
      </c>
      <c r="Q613" s="12"/>
    </row>
    <row r="614" spans="1:17" ht="23.25" customHeight="1" x14ac:dyDescent="0.15">
      <c r="D614" s="12"/>
      <c r="E614" s="12"/>
      <c r="F614" s="31"/>
      <c r="G614" s="15"/>
      <c r="H614" s="15"/>
      <c r="I614" s="53"/>
      <c r="J614" s="15"/>
      <c r="K614" s="15"/>
      <c r="L614" s="53"/>
      <c r="M614" s="15"/>
      <c r="N614" s="53"/>
      <c r="O614" s="15"/>
      <c r="P614" s="15"/>
      <c r="Q614" s="12"/>
    </row>
    <row r="615" spans="1:17" ht="23.25" customHeight="1" x14ac:dyDescent="0.15">
      <c r="A615" s="13" t="s">
        <v>2610</v>
      </c>
      <c r="B615" s="13" t="s">
        <v>2382</v>
      </c>
      <c r="C615" s="1" t="s">
        <v>2611</v>
      </c>
      <c r="D615" s="170" t="s">
        <v>2609</v>
      </c>
      <c r="E615" s="172"/>
      <c r="F615" s="31"/>
      <c r="G615" s="15"/>
      <c r="H615" s="15"/>
      <c r="I615" s="53"/>
      <c r="J615" s="15"/>
      <c r="K615" s="15"/>
      <c r="L615" s="53"/>
      <c r="M615" s="15"/>
      <c r="N615" s="53"/>
      <c r="O615" s="15"/>
      <c r="P615" s="15"/>
      <c r="Q615" s="12"/>
    </row>
    <row r="616" spans="1:17" ht="23.25" customHeight="1" x14ac:dyDescent="0.15">
      <c r="A616" s="13" t="s">
        <v>1124</v>
      </c>
      <c r="B616" s="13" t="s">
        <v>1926</v>
      </c>
      <c r="C616" s="1" t="s">
        <v>420</v>
      </c>
      <c r="D616" s="12" t="s">
        <v>408</v>
      </c>
      <c r="E616" s="12" t="s">
        <v>421</v>
      </c>
      <c r="F616" s="31" t="s">
        <v>166</v>
      </c>
      <c r="G616" s="15">
        <v>1</v>
      </c>
      <c r="H616" s="15">
        <f>합산자재!H100</f>
        <v>5377</v>
      </c>
      <c r="I616" s="53">
        <f>IF(G616*H616&lt;&gt;0, TRUNC(G616*H616, 1), "")</f>
        <v>5377</v>
      </c>
      <c r="J616" s="15">
        <v>1</v>
      </c>
      <c r="K616" s="15">
        <f>합산자재!I100</f>
        <v>0</v>
      </c>
      <c r="L616" s="53" t="str">
        <f>IF(G616*K616&lt;&gt;0, TRUNC(G616*K616, 1), "")</f>
        <v/>
      </c>
      <c r="M616" s="15">
        <f>합산자재!J100</f>
        <v>0</v>
      </c>
      <c r="N616" s="53" t="str">
        <f>IF(G616*M616&lt;&gt;0, TRUNC(G616*M616, 1), "")</f>
        <v/>
      </c>
      <c r="O616" s="15">
        <f>IF((H616+K616+M616)=0, "", (H616+K616+M616))</f>
        <v>5377</v>
      </c>
      <c r="P616" s="15">
        <f>IF(SUM(I616,L616,N616)&lt;&gt;0,SUM(I616,L616,N616),"")</f>
        <v>5377</v>
      </c>
      <c r="Q616" s="12"/>
    </row>
    <row r="617" spans="1:17" ht="23.25" customHeight="1" x14ac:dyDescent="0.15">
      <c r="A617" s="13" t="s">
        <v>1124</v>
      </c>
      <c r="B617" s="13" t="s">
        <v>1926</v>
      </c>
      <c r="C617" s="1" t="s">
        <v>420</v>
      </c>
      <c r="D617" s="12" t="s">
        <v>408</v>
      </c>
      <c r="E617" s="12" t="s">
        <v>421</v>
      </c>
      <c r="F617" s="31" t="s">
        <v>166</v>
      </c>
      <c r="G617" s="15">
        <v>0.1</v>
      </c>
      <c r="H617" s="15">
        <f>합산자재!H100</f>
        <v>5377</v>
      </c>
      <c r="I617" s="53">
        <f>IF(G617*H617&lt;&gt;0, TRUNC(G617*H617, 1), "")</f>
        <v>537.70000000000005</v>
      </c>
      <c r="J617" s="15">
        <v>0.1</v>
      </c>
      <c r="K617" s="15">
        <f>합산자재!I100</f>
        <v>0</v>
      </c>
      <c r="L617" s="53" t="str">
        <f>IF(G617*K617&lt;&gt;0, TRUNC(G617*K617, 1), "")</f>
        <v/>
      </c>
      <c r="M617" s="15">
        <f>합산자재!J100</f>
        <v>0</v>
      </c>
      <c r="N617" s="53" t="str">
        <f>IF(G617*M617&lt;&gt;0, TRUNC(G617*M617, 1), "")</f>
        <v/>
      </c>
      <c r="O617" s="15">
        <f>IF((H617+K617+M617)=0, "", (H617+K617+M617))</f>
        <v>5377</v>
      </c>
      <c r="P617" s="15">
        <f>IF(SUM(I617,L617,N617)&lt;&gt;0,SUM(I617,L617,N617),"")</f>
        <v>537.70000000000005</v>
      </c>
      <c r="Q617" s="12"/>
    </row>
    <row r="618" spans="1:17" ht="23.25" customHeight="1" x14ac:dyDescent="0.15">
      <c r="A618" s="13" t="s">
        <v>1372</v>
      </c>
      <c r="B618" s="13" t="s">
        <v>1926</v>
      </c>
      <c r="C618" s="1" t="s">
        <v>1002</v>
      </c>
      <c r="D618" s="12" t="s">
        <v>1003</v>
      </c>
      <c r="E618" s="12" t="s">
        <v>1004</v>
      </c>
      <c r="F618" s="31" t="s">
        <v>999</v>
      </c>
      <c r="G618" s="15">
        <f>일위노임!G272</f>
        <v>1.0500000000000001E-2</v>
      </c>
      <c r="H618" s="15">
        <f>합산자재!H345</f>
        <v>0</v>
      </c>
      <c r="I618" s="53" t="str">
        <f>IF(G618*H618&lt;&gt;0, TRUNC(G618*H618, 1), "")</f>
        <v/>
      </c>
      <c r="J618" s="15">
        <v>1.0500000000000001E-2</v>
      </c>
      <c r="K618" s="15">
        <f>합산자재!I345</f>
        <v>273676</v>
      </c>
      <c r="L618" s="53">
        <f>IF(G618*K618&lt;&gt;0, TRUNC(G618*K618, 1), "")</f>
        <v>2873.5</v>
      </c>
      <c r="M618" s="15">
        <f>합산자재!J345</f>
        <v>0</v>
      </c>
      <c r="N618" s="53" t="str">
        <f>IF(G618*M618&lt;&gt;0, TRUNC(G618*M618, 1), "")</f>
        <v/>
      </c>
      <c r="O618" s="15">
        <f>IF((H618+K618+M618)=0, "", (H618+K618+M618))</f>
        <v>273676</v>
      </c>
      <c r="P618" s="15">
        <f>IF(SUM(I618,L618,N618)&lt;&gt;0,SUM(I618,L618,N618),"")</f>
        <v>2873.5</v>
      </c>
      <c r="Q618" s="12"/>
    </row>
    <row r="619" spans="1:17" ht="23.25" customHeight="1" x14ac:dyDescent="0.15">
      <c r="A619" s="13" t="s">
        <v>2362</v>
      </c>
      <c r="B619" s="13" t="s">
        <v>1926</v>
      </c>
      <c r="C619" s="1" t="s">
        <v>2363</v>
      </c>
      <c r="D619" s="12" t="s">
        <v>2364</v>
      </c>
      <c r="E619" s="12" t="s">
        <v>2365</v>
      </c>
      <c r="F619" s="31" t="s">
        <v>792</v>
      </c>
      <c r="G619" s="15">
        <v>1</v>
      </c>
      <c r="H619" s="15">
        <v>57.4</v>
      </c>
      <c r="I619" s="53">
        <f>IF(G619*H619&lt;&gt;0, TRUNC(G619*H619, 1), "")</f>
        <v>57.4</v>
      </c>
      <c r="J619" s="15">
        <v>1</v>
      </c>
      <c r="K619" s="15"/>
      <c r="L619" s="53" t="str">
        <f>IF(G619*K619&lt;&gt;0, TRUNC(G619*K619, 1), "")</f>
        <v/>
      </c>
      <c r="M619" s="15"/>
      <c r="N619" s="53" t="str">
        <f>IF(G619*M619&lt;&gt;0, TRUNC(G619*M619, 1), "")</f>
        <v/>
      </c>
      <c r="O619" s="15">
        <f>IF((H619+K619+M619)=0, "", (H619+K619+M619))</f>
        <v>57.4</v>
      </c>
      <c r="P619" s="15">
        <f>IF(SUM(I619,L619,N619)&lt;&gt;0,SUM(I619,L619,N619),"")</f>
        <v>57.4</v>
      </c>
      <c r="Q619" s="12"/>
    </row>
    <row r="620" spans="1:17" ht="23.25" customHeight="1" x14ac:dyDescent="0.15">
      <c r="B620" s="13" t="s">
        <v>2360</v>
      </c>
      <c r="D620" s="12" t="s">
        <v>2361</v>
      </c>
      <c r="E620" s="12"/>
      <c r="F620" s="31"/>
      <c r="G620" s="15"/>
      <c r="H620" s="15"/>
      <c r="I620" s="53">
        <f>TRUNC(SUM(I615:I619))</f>
        <v>5972</v>
      </c>
      <c r="J620" s="15"/>
      <c r="K620" s="15"/>
      <c r="L620" s="53">
        <f>TRUNC(SUM(L615:L619))</f>
        <v>2873</v>
      </c>
      <c r="M620" s="15"/>
      <c r="N620" s="53">
        <f>TRUNC(SUM(N615:N619))</f>
        <v>0</v>
      </c>
      <c r="O620" s="15" t="str">
        <f>IF((H620+K620+M620)=0, "", (H620+K620+M620))</f>
        <v/>
      </c>
      <c r="P620" s="15">
        <f>IF(SUM(I620,L620,N620)&lt;&gt;0,SUM(I620,L620,N620),"")</f>
        <v>8845</v>
      </c>
      <c r="Q620" s="12"/>
    </row>
    <row r="621" spans="1:17" ht="23.25" customHeight="1" x14ac:dyDescent="0.15">
      <c r="D621" s="12"/>
      <c r="E621" s="12"/>
      <c r="F621" s="31"/>
      <c r="G621" s="15"/>
      <c r="H621" s="15"/>
      <c r="I621" s="53"/>
      <c r="J621" s="15"/>
      <c r="K621" s="15"/>
      <c r="L621" s="53"/>
      <c r="M621" s="15"/>
      <c r="N621" s="53"/>
      <c r="O621" s="15"/>
      <c r="P621" s="15"/>
      <c r="Q621" s="12"/>
    </row>
    <row r="622" spans="1:17" ht="23.25" customHeight="1" x14ac:dyDescent="0.15">
      <c r="A622" s="13" t="s">
        <v>2613</v>
      </c>
      <c r="B622" s="13" t="s">
        <v>2382</v>
      </c>
      <c r="C622" s="1" t="s">
        <v>2614</v>
      </c>
      <c r="D622" s="170" t="s">
        <v>2612</v>
      </c>
      <c r="E622" s="172"/>
      <c r="F622" s="31"/>
      <c r="G622" s="15"/>
      <c r="H622" s="15"/>
      <c r="I622" s="53"/>
      <c r="J622" s="15"/>
      <c r="K622" s="15"/>
      <c r="L622" s="53"/>
      <c r="M622" s="15"/>
      <c r="N622" s="53"/>
      <c r="O622" s="15"/>
      <c r="P622" s="15"/>
      <c r="Q622" s="12"/>
    </row>
    <row r="623" spans="1:17" ht="23.25" customHeight="1" x14ac:dyDescent="0.15">
      <c r="A623" s="13" t="s">
        <v>1125</v>
      </c>
      <c r="B623" s="13" t="s">
        <v>1929</v>
      </c>
      <c r="C623" s="1" t="s">
        <v>422</v>
      </c>
      <c r="D623" s="12" t="s">
        <v>408</v>
      </c>
      <c r="E623" s="12" t="s">
        <v>423</v>
      </c>
      <c r="F623" s="31" t="s">
        <v>166</v>
      </c>
      <c r="G623" s="15">
        <v>1</v>
      </c>
      <c r="H623" s="15">
        <f>합산자재!H101</f>
        <v>7083</v>
      </c>
      <c r="I623" s="53">
        <f>IF(G623*H623&lt;&gt;0, TRUNC(G623*H623, 1), "")</f>
        <v>7083</v>
      </c>
      <c r="J623" s="15">
        <v>1</v>
      </c>
      <c r="K623" s="15">
        <f>합산자재!I101</f>
        <v>0</v>
      </c>
      <c r="L623" s="53" t="str">
        <f>IF(G623*K623&lt;&gt;0, TRUNC(G623*K623, 1), "")</f>
        <v/>
      </c>
      <c r="M623" s="15">
        <f>합산자재!J101</f>
        <v>0</v>
      </c>
      <c r="N623" s="53" t="str">
        <f>IF(G623*M623&lt;&gt;0, TRUNC(G623*M623, 1), "")</f>
        <v/>
      </c>
      <c r="O623" s="15">
        <f>IF((H623+K623+M623)=0, "", (H623+K623+M623))</f>
        <v>7083</v>
      </c>
      <c r="P623" s="15">
        <f>IF(SUM(I623,L623,N623)&lt;&gt;0,SUM(I623,L623,N623),"")</f>
        <v>7083</v>
      </c>
      <c r="Q623" s="12"/>
    </row>
    <row r="624" spans="1:17" ht="23.25" customHeight="1" x14ac:dyDescent="0.15">
      <c r="A624" s="13" t="s">
        <v>1125</v>
      </c>
      <c r="B624" s="13" t="s">
        <v>1929</v>
      </c>
      <c r="C624" s="1" t="s">
        <v>422</v>
      </c>
      <c r="D624" s="12" t="s">
        <v>408</v>
      </c>
      <c r="E624" s="12" t="s">
        <v>423</v>
      </c>
      <c r="F624" s="31" t="s">
        <v>166</v>
      </c>
      <c r="G624" s="15">
        <v>0.1</v>
      </c>
      <c r="H624" s="15">
        <f>합산자재!H101</f>
        <v>7083</v>
      </c>
      <c r="I624" s="53">
        <f>IF(G624*H624&lt;&gt;0, TRUNC(G624*H624, 1), "")</f>
        <v>708.3</v>
      </c>
      <c r="J624" s="15">
        <v>0.1</v>
      </c>
      <c r="K624" s="15">
        <f>합산자재!I101</f>
        <v>0</v>
      </c>
      <c r="L624" s="53" t="str">
        <f>IF(G624*K624&lt;&gt;0, TRUNC(G624*K624, 1), "")</f>
        <v/>
      </c>
      <c r="M624" s="15">
        <f>합산자재!J101</f>
        <v>0</v>
      </c>
      <c r="N624" s="53" t="str">
        <f>IF(G624*M624&lt;&gt;0, TRUNC(G624*M624, 1), "")</f>
        <v/>
      </c>
      <c r="O624" s="15">
        <f>IF((H624+K624+M624)=0, "", (H624+K624+M624))</f>
        <v>7083</v>
      </c>
      <c r="P624" s="15">
        <f>IF(SUM(I624,L624,N624)&lt;&gt;0,SUM(I624,L624,N624),"")</f>
        <v>708.3</v>
      </c>
      <c r="Q624" s="12"/>
    </row>
    <row r="625" spans="1:17" ht="23.25" customHeight="1" x14ac:dyDescent="0.15">
      <c r="A625" s="13" t="s">
        <v>1372</v>
      </c>
      <c r="B625" s="13" t="s">
        <v>1929</v>
      </c>
      <c r="C625" s="1" t="s">
        <v>1002</v>
      </c>
      <c r="D625" s="12" t="s">
        <v>1003</v>
      </c>
      <c r="E625" s="12" t="s">
        <v>1004</v>
      </c>
      <c r="F625" s="31" t="s">
        <v>999</v>
      </c>
      <c r="G625" s="15">
        <f>일위노임!G275</f>
        <v>1.2E-2</v>
      </c>
      <c r="H625" s="15">
        <f>합산자재!H345</f>
        <v>0</v>
      </c>
      <c r="I625" s="53" t="str">
        <f>IF(G625*H625&lt;&gt;0, TRUNC(G625*H625, 1), "")</f>
        <v/>
      </c>
      <c r="J625" s="15">
        <v>1.2E-2</v>
      </c>
      <c r="K625" s="15">
        <f>합산자재!I345</f>
        <v>273676</v>
      </c>
      <c r="L625" s="53">
        <f>IF(G625*K625&lt;&gt;0, TRUNC(G625*K625, 1), "")</f>
        <v>3284.1</v>
      </c>
      <c r="M625" s="15">
        <f>합산자재!J345</f>
        <v>0</v>
      </c>
      <c r="N625" s="53" t="str">
        <f>IF(G625*M625&lt;&gt;0, TRUNC(G625*M625, 1), "")</f>
        <v/>
      </c>
      <c r="O625" s="15">
        <f>IF((H625+K625+M625)=0, "", (H625+K625+M625))</f>
        <v>273676</v>
      </c>
      <c r="P625" s="15">
        <f>IF(SUM(I625,L625,N625)&lt;&gt;0,SUM(I625,L625,N625),"")</f>
        <v>3284.1</v>
      </c>
      <c r="Q625" s="12"/>
    </row>
    <row r="626" spans="1:17" ht="23.25" customHeight="1" x14ac:dyDescent="0.15">
      <c r="A626" s="13" t="s">
        <v>2362</v>
      </c>
      <c r="B626" s="13" t="s">
        <v>1929</v>
      </c>
      <c r="C626" s="1" t="s">
        <v>2363</v>
      </c>
      <c r="D626" s="12" t="s">
        <v>2364</v>
      </c>
      <c r="E626" s="12" t="s">
        <v>2365</v>
      </c>
      <c r="F626" s="31" t="s">
        <v>792</v>
      </c>
      <c r="G626" s="15">
        <v>1</v>
      </c>
      <c r="H626" s="15">
        <v>65.599999999999994</v>
      </c>
      <c r="I626" s="53">
        <f>IF(G626*H626&lt;&gt;0, TRUNC(G626*H626, 1), "")</f>
        <v>65.599999999999994</v>
      </c>
      <c r="J626" s="15">
        <v>1</v>
      </c>
      <c r="K626" s="15"/>
      <c r="L626" s="53" t="str">
        <f>IF(G626*K626&lt;&gt;0, TRUNC(G626*K626, 1), "")</f>
        <v/>
      </c>
      <c r="M626" s="15"/>
      <c r="N626" s="53" t="str">
        <f>IF(G626*M626&lt;&gt;0, TRUNC(G626*M626, 1), "")</f>
        <v/>
      </c>
      <c r="O626" s="15">
        <f>IF((H626+K626+M626)=0, "", (H626+K626+M626))</f>
        <v>65.599999999999994</v>
      </c>
      <c r="P626" s="15">
        <f>IF(SUM(I626,L626,N626)&lt;&gt;0,SUM(I626,L626,N626),"")</f>
        <v>65.599999999999994</v>
      </c>
      <c r="Q626" s="12"/>
    </row>
    <row r="627" spans="1:17" ht="23.25" customHeight="1" x14ac:dyDescent="0.15">
      <c r="B627" s="13" t="s">
        <v>2360</v>
      </c>
      <c r="D627" s="12" t="s">
        <v>2361</v>
      </c>
      <c r="E627" s="12"/>
      <c r="F627" s="31"/>
      <c r="G627" s="15"/>
      <c r="H627" s="15"/>
      <c r="I627" s="53">
        <f>TRUNC(SUM(I622:I626))</f>
        <v>7856</v>
      </c>
      <c r="J627" s="15"/>
      <c r="K627" s="15"/>
      <c r="L627" s="53">
        <f>TRUNC(SUM(L622:L626))</f>
        <v>3284</v>
      </c>
      <c r="M627" s="15"/>
      <c r="N627" s="53">
        <f>TRUNC(SUM(N622:N626))</f>
        <v>0</v>
      </c>
      <c r="O627" s="15" t="str">
        <f>IF((H627+K627+M627)=0, "", (H627+K627+M627))</f>
        <v/>
      </c>
      <c r="P627" s="15">
        <f>IF(SUM(I627,L627,N627)&lt;&gt;0,SUM(I627,L627,N627),"")</f>
        <v>11140</v>
      </c>
      <c r="Q627" s="12"/>
    </row>
    <row r="628" spans="1:17" ht="23.25" customHeight="1" x14ac:dyDescent="0.15">
      <c r="D628" s="12"/>
      <c r="E628" s="12"/>
      <c r="F628" s="31"/>
      <c r="G628" s="15"/>
      <c r="H628" s="15"/>
      <c r="I628" s="53"/>
      <c r="J628" s="15"/>
      <c r="K628" s="15"/>
      <c r="L628" s="53"/>
      <c r="M628" s="15"/>
      <c r="N628" s="53"/>
      <c r="O628" s="15"/>
      <c r="P628" s="15"/>
      <c r="Q628" s="12"/>
    </row>
    <row r="629" spans="1:17" ht="23.25" customHeight="1" x14ac:dyDescent="0.15">
      <c r="A629" s="13" t="s">
        <v>2616</v>
      </c>
      <c r="B629" s="13" t="s">
        <v>2382</v>
      </c>
      <c r="C629" s="1" t="s">
        <v>2617</v>
      </c>
      <c r="D629" s="170" t="s">
        <v>2615</v>
      </c>
      <c r="E629" s="172"/>
      <c r="F629" s="31"/>
      <c r="G629" s="15"/>
      <c r="H629" s="15"/>
      <c r="I629" s="53"/>
      <c r="J629" s="15"/>
      <c r="K629" s="15"/>
      <c r="L629" s="53"/>
      <c r="M629" s="15"/>
      <c r="N629" s="53"/>
      <c r="O629" s="15"/>
      <c r="P629" s="15"/>
      <c r="Q629" s="12"/>
    </row>
    <row r="630" spans="1:17" ht="23.25" customHeight="1" x14ac:dyDescent="0.15">
      <c r="A630" s="13" t="s">
        <v>1126</v>
      </c>
      <c r="B630" s="13" t="s">
        <v>1932</v>
      </c>
      <c r="C630" s="1" t="s">
        <v>424</v>
      </c>
      <c r="D630" s="12" t="s">
        <v>408</v>
      </c>
      <c r="E630" s="12" t="s">
        <v>425</v>
      </c>
      <c r="F630" s="31" t="s">
        <v>166</v>
      </c>
      <c r="G630" s="15">
        <v>1</v>
      </c>
      <c r="H630" s="15">
        <f>합산자재!H102</f>
        <v>10058</v>
      </c>
      <c r="I630" s="53">
        <f>IF(G630*H630&lt;&gt;0, TRUNC(G630*H630, 1), "")</f>
        <v>10058</v>
      </c>
      <c r="J630" s="15">
        <v>1</v>
      </c>
      <c r="K630" s="15">
        <f>합산자재!I102</f>
        <v>0</v>
      </c>
      <c r="L630" s="53" t="str">
        <f>IF(G630*K630&lt;&gt;0, TRUNC(G630*K630, 1), "")</f>
        <v/>
      </c>
      <c r="M630" s="15">
        <f>합산자재!J102</f>
        <v>0</v>
      </c>
      <c r="N630" s="53" t="str">
        <f>IF(G630*M630&lt;&gt;0, TRUNC(G630*M630, 1), "")</f>
        <v/>
      </c>
      <c r="O630" s="15">
        <f>IF((H630+K630+M630)=0, "", (H630+K630+M630))</f>
        <v>10058</v>
      </c>
      <c r="P630" s="15">
        <f>IF(SUM(I630,L630,N630)&lt;&gt;0,SUM(I630,L630,N630),"")</f>
        <v>10058</v>
      </c>
      <c r="Q630" s="12"/>
    </row>
    <row r="631" spans="1:17" ht="23.25" customHeight="1" x14ac:dyDescent="0.15">
      <c r="A631" s="13" t="s">
        <v>1126</v>
      </c>
      <c r="B631" s="13" t="s">
        <v>1932</v>
      </c>
      <c r="C631" s="1" t="s">
        <v>424</v>
      </c>
      <c r="D631" s="12" t="s">
        <v>408</v>
      </c>
      <c r="E631" s="12" t="s">
        <v>425</v>
      </c>
      <c r="F631" s="31" t="s">
        <v>166</v>
      </c>
      <c r="G631" s="15">
        <v>0.1</v>
      </c>
      <c r="H631" s="15">
        <f>합산자재!H102</f>
        <v>10058</v>
      </c>
      <c r="I631" s="53">
        <f>IF(G631*H631&lt;&gt;0, TRUNC(G631*H631, 1), "")</f>
        <v>1005.8</v>
      </c>
      <c r="J631" s="15">
        <v>0.1</v>
      </c>
      <c r="K631" s="15">
        <f>합산자재!I102</f>
        <v>0</v>
      </c>
      <c r="L631" s="53" t="str">
        <f>IF(G631*K631&lt;&gt;0, TRUNC(G631*K631, 1), "")</f>
        <v/>
      </c>
      <c r="M631" s="15">
        <f>합산자재!J102</f>
        <v>0</v>
      </c>
      <c r="N631" s="53" t="str">
        <f>IF(G631*M631&lt;&gt;0, TRUNC(G631*M631, 1), "")</f>
        <v/>
      </c>
      <c r="O631" s="15">
        <f>IF((H631+K631+M631)=0, "", (H631+K631+M631))</f>
        <v>10058</v>
      </c>
      <c r="P631" s="15">
        <f>IF(SUM(I631,L631,N631)&lt;&gt;0,SUM(I631,L631,N631),"")</f>
        <v>1005.8</v>
      </c>
      <c r="Q631" s="12"/>
    </row>
    <row r="632" spans="1:17" ht="23.25" customHeight="1" x14ac:dyDescent="0.15">
      <c r="A632" s="13" t="s">
        <v>1372</v>
      </c>
      <c r="B632" s="13" t="s">
        <v>1932</v>
      </c>
      <c r="C632" s="1" t="s">
        <v>1002</v>
      </c>
      <c r="D632" s="12" t="s">
        <v>1003</v>
      </c>
      <c r="E632" s="12" t="s">
        <v>1004</v>
      </c>
      <c r="F632" s="31" t="s">
        <v>999</v>
      </c>
      <c r="G632" s="15">
        <f>일위노임!G278</f>
        <v>1.2E-2</v>
      </c>
      <c r="H632" s="15">
        <f>합산자재!H345</f>
        <v>0</v>
      </c>
      <c r="I632" s="53" t="str">
        <f>IF(G632*H632&lt;&gt;0, TRUNC(G632*H632, 1), "")</f>
        <v/>
      </c>
      <c r="J632" s="15">
        <v>1.2E-2</v>
      </c>
      <c r="K632" s="15">
        <f>합산자재!I345</f>
        <v>273676</v>
      </c>
      <c r="L632" s="53">
        <f>IF(G632*K632&lt;&gt;0, TRUNC(G632*K632, 1), "")</f>
        <v>3284.1</v>
      </c>
      <c r="M632" s="15">
        <f>합산자재!J345</f>
        <v>0</v>
      </c>
      <c r="N632" s="53" t="str">
        <f>IF(G632*M632&lt;&gt;0, TRUNC(G632*M632, 1), "")</f>
        <v/>
      </c>
      <c r="O632" s="15">
        <f>IF((H632+K632+M632)=0, "", (H632+K632+M632))</f>
        <v>273676</v>
      </c>
      <c r="P632" s="15">
        <f>IF(SUM(I632,L632,N632)&lt;&gt;0,SUM(I632,L632,N632),"")</f>
        <v>3284.1</v>
      </c>
      <c r="Q632" s="12"/>
    </row>
    <row r="633" spans="1:17" ht="23.25" customHeight="1" x14ac:dyDescent="0.15">
      <c r="A633" s="13" t="s">
        <v>2362</v>
      </c>
      <c r="B633" s="13" t="s">
        <v>1932</v>
      </c>
      <c r="C633" s="1" t="s">
        <v>2363</v>
      </c>
      <c r="D633" s="12" t="s">
        <v>2364</v>
      </c>
      <c r="E633" s="12" t="s">
        <v>2365</v>
      </c>
      <c r="F633" s="31" t="s">
        <v>792</v>
      </c>
      <c r="G633" s="15">
        <v>1</v>
      </c>
      <c r="H633" s="15">
        <v>65.599999999999994</v>
      </c>
      <c r="I633" s="53">
        <f>IF(G633*H633&lt;&gt;0, TRUNC(G633*H633, 1), "")</f>
        <v>65.599999999999994</v>
      </c>
      <c r="J633" s="15">
        <v>1</v>
      </c>
      <c r="K633" s="15"/>
      <c r="L633" s="53" t="str">
        <f>IF(G633*K633&lt;&gt;0, TRUNC(G633*K633, 1), "")</f>
        <v/>
      </c>
      <c r="M633" s="15"/>
      <c r="N633" s="53" t="str">
        <f>IF(G633*M633&lt;&gt;0, TRUNC(G633*M633, 1), "")</f>
        <v/>
      </c>
      <c r="O633" s="15">
        <f>IF((H633+K633+M633)=0, "", (H633+K633+M633))</f>
        <v>65.599999999999994</v>
      </c>
      <c r="P633" s="15">
        <f>IF(SUM(I633,L633,N633)&lt;&gt;0,SUM(I633,L633,N633),"")</f>
        <v>65.599999999999994</v>
      </c>
      <c r="Q633" s="12"/>
    </row>
    <row r="634" spans="1:17" ht="23.25" customHeight="1" x14ac:dyDescent="0.15">
      <c r="B634" s="13" t="s">
        <v>2360</v>
      </c>
      <c r="D634" s="12" t="s">
        <v>2361</v>
      </c>
      <c r="E634" s="12"/>
      <c r="F634" s="31"/>
      <c r="G634" s="15"/>
      <c r="H634" s="15"/>
      <c r="I634" s="53">
        <f>TRUNC(SUM(I629:I633))</f>
        <v>11129</v>
      </c>
      <c r="J634" s="15"/>
      <c r="K634" s="15"/>
      <c r="L634" s="53">
        <f>TRUNC(SUM(L629:L633))</f>
        <v>3284</v>
      </c>
      <c r="M634" s="15"/>
      <c r="N634" s="53">
        <f>TRUNC(SUM(N629:N633))</f>
        <v>0</v>
      </c>
      <c r="O634" s="15" t="str">
        <f>IF((H634+K634+M634)=0, "", (H634+K634+M634))</f>
        <v/>
      </c>
      <c r="P634" s="15">
        <f>IF(SUM(I634,L634,N634)&lt;&gt;0,SUM(I634,L634,N634),"")</f>
        <v>14413</v>
      </c>
      <c r="Q634" s="12"/>
    </row>
    <row r="635" spans="1:17" ht="23.25" customHeight="1" x14ac:dyDescent="0.15">
      <c r="D635" s="12"/>
      <c r="E635" s="12"/>
      <c r="F635" s="31"/>
      <c r="G635" s="15"/>
      <c r="H635" s="15"/>
      <c r="I635" s="53"/>
      <c r="J635" s="15"/>
      <c r="K635" s="15"/>
      <c r="L635" s="53"/>
      <c r="M635" s="15"/>
      <c r="N635" s="53"/>
      <c r="O635" s="15"/>
      <c r="P635" s="15"/>
      <c r="Q635" s="12"/>
    </row>
    <row r="636" spans="1:17" ht="23.25" customHeight="1" x14ac:dyDescent="0.15">
      <c r="A636" s="13" t="s">
        <v>2619</v>
      </c>
      <c r="B636" s="13" t="s">
        <v>2382</v>
      </c>
      <c r="C636" s="1" t="s">
        <v>2620</v>
      </c>
      <c r="D636" s="170" t="s">
        <v>2618</v>
      </c>
      <c r="E636" s="172"/>
      <c r="F636" s="31"/>
      <c r="G636" s="15"/>
      <c r="H636" s="15"/>
      <c r="I636" s="53"/>
      <c r="J636" s="15"/>
      <c r="K636" s="15"/>
      <c r="L636" s="53"/>
      <c r="M636" s="15"/>
      <c r="N636" s="53"/>
      <c r="O636" s="15"/>
      <c r="P636" s="15"/>
      <c r="Q636" s="12"/>
    </row>
    <row r="637" spans="1:17" ht="23.25" customHeight="1" x14ac:dyDescent="0.15">
      <c r="A637" s="13" t="s">
        <v>1127</v>
      </c>
      <c r="B637" s="13" t="s">
        <v>1935</v>
      </c>
      <c r="C637" s="1" t="s">
        <v>426</v>
      </c>
      <c r="D637" s="12" t="s">
        <v>408</v>
      </c>
      <c r="E637" s="12" t="s">
        <v>427</v>
      </c>
      <c r="F637" s="31" t="s">
        <v>166</v>
      </c>
      <c r="G637" s="15">
        <v>1</v>
      </c>
      <c r="H637" s="15">
        <f>합산자재!H103</f>
        <v>13492</v>
      </c>
      <c r="I637" s="53">
        <f>IF(G637*H637&lt;&gt;0, TRUNC(G637*H637, 1), "")</f>
        <v>13492</v>
      </c>
      <c r="J637" s="15">
        <v>1</v>
      </c>
      <c r="K637" s="15">
        <f>합산자재!I103</f>
        <v>0</v>
      </c>
      <c r="L637" s="53" t="str">
        <f>IF(G637*K637&lt;&gt;0, TRUNC(G637*K637, 1), "")</f>
        <v/>
      </c>
      <c r="M637" s="15">
        <f>합산자재!J103</f>
        <v>0</v>
      </c>
      <c r="N637" s="53" t="str">
        <f>IF(G637*M637&lt;&gt;0, TRUNC(G637*M637, 1), "")</f>
        <v/>
      </c>
      <c r="O637" s="15">
        <f>IF((H637+K637+M637)=0, "", (H637+K637+M637))</f>
        <v>13492</v>
      </c>
      <c r="P637" s="15">
        <f>IF(SUM(I637,L637,N637)&lt;&gt;0,SUM(I637,L637,N637),"")</f>
        <v>13492</v>
      </c>
      <c r="Q637" s="12"/>
    </row>
    <row r="638" spans="1:17" ht="23.25" customHeight="1" x14ac:dyDescent="0.15">
      <c r="A638" s="13" t="s">
        <v>1127</v>
      </c>
      <c r="B638" s="13" t="s">
        <v>1935</v>
      </c>
      <c r="C638" s="1" t="s">
        <v>426</v>
      </c>
      <c r="D638" s="12" t="s">
        <v>408</v>
      </c>
      <c r="E638" s="12" t="s">
        <v>427</v>
      </c>
      <c r="F638" s="31" t="s">
        <v>166</v>
      </c>
      <c r="G638" s="15">
        <v>0.1</v>
      </c>
      <c r="H638" s="15">
        <f>합산자재!H103</f>
        <v>13492</v>
      </c>
      <c r="I638" s="53">
        <f>IF(G638*H638&lt;&gt;0, TRUNC(G638*H638, 1), "")</f>
        <v>1349.2</v>
      </c>
      <c r="J638" s="15">
        <v>0.1</v>
      </c>
      <c r="K638" s="15">
        <f>합산자재!I103</f>
        <v>0</v>
      </c>
      <c r="L638" s="53" t="str">
        <f>IF(G638*K638&lt;&gt;0, TRUNC(G638*K638, 1), "")</f>
        <v/>
      </c>
      <c r="M638" s="15">
        <f>합산자재!J103</f>
        <v>0</v>
      </c>
      <c r="N638" s="53" t="str">
        <f>IF(G638*M638&lt;&gt;0, TRUNC(G638*M638, 1), "")</f>
        <v/>
      </c>
      <c r="O638" s="15">
        <f>IF((H638+K638+M638)=0, "", (H638+K638+M638))</f>
        <v>13492</v>
      </c>
      <c r="P638" s="15">
        <f>IF(SUM(I638,L638,N638)&lt;&gt;0,SUM(I638,L638,N638),"")</f>
        <v>1349.2</v>
      </c>
      <c r="Q638" s="12"/>
    </row>
    <row r="639" spans="1:17" ht="23.25" customHeight="1" x14ac:dyDescent="0.15">
      <c r="A639" s="13" t="s">
        <v>1372</v>
      </c>
      <c r="B639" s="13" t="s">
        <v>1935</v>
      </c>
      <c r="C639" s="1" t="s">
        <v>1002</v>
      </c>
      <c r="D639" s="12" t="s">
        <v>1003</v>
      </c>
      <c r="E639" s="12" t="s">
        <v>1004</v>
      </c>
      <c r="F639" s="31" t="s">
        <v>999</v>
      </c>
      <c r="G639" s="15">
        <f>일위노임!G281</f>
        <v>1.2E-2</v>
      </c>
      <c r="H639" s="15">
        <f>합산자재!H345</f>
        <v>0</v>
      </c>
      <c r="I639" s="53" t="str">
        <f>IF(G639*H639&lt;&gt;0, TRUNC(G639*H639, 1), "")</f>
        <v/>
      </c>
      <c r="J639" s="15">
        <v>1.2E-2</v>
      </c>
      <c r="K639" s="15">
        <f>합산자재!I345</f>
        <v>273676</v>
      </c>
      <c r="L639" s="53">
        <f>IF(G639*K639&lt;&gt;0, TRUNC(G639*K639, 1), "")</f>
        <v>3284.1</v>
      </c>
      <c r="M639" s="15">
        <f>합산자재!J345</f>
        <v>0</v>
      </c>
      <c r="N639" s="53" t="str">
        <f>IF(G639*M639&lt;&gt;0, TRUNC(G639*M639, 1), "")</f>
        <v/>
      </c>
      <c r="O639" s="15">
        <f>IF((H639+K639+M639)=0, "", (H639+K639+M639))</f>
        <v>273676</v>
      </c>
      <c r="P639" s="15">
        <f>IF(SUM(I639,L639,N639)&lt;&gt;0,SUM(I639,L639,N639),"")</f>
        <v>3284.1</v>
      </c>
      <c r="Q639" s="12"/>
    </row>
    <row r="640" spans="1:17" ht="23.25" customHeight="1" x14ac:dyDescent="0.15">
      <c r="A640" s="13" t="s">
        <v>2362</v>
      </c>
      <c r="B640" s="13" t="s">
        <v>1935</v>
      </c>
      <c r="C640" s="1" t="s">
        <v>2363</v>
      </c>
      <c r="D640" s="12" t="s">
        <v>2364</v>
      </c>
      <c r="E640" s="12" t="s">
        <v>2365</v>
      </c>
      <c r="F640" s="31" t="s">
        <v>792</v>
      </c>
      <c r="G640" s="15">
        <v>1</v>
      </c>
      <c r="H640" s="15">
        <v>65.599999999999994</v>
      </c>
      <c r="I640" s="53">
        <f>IF(G640*H640&lt;&gt;0, TRUNC(G640*H640, 1), "")</f>
        <v>65.599999999999994</v>
      </c>
      <c r="J640" s="15">
        <v>1</v>
      </c>
      <c r="K640" s="15"/>
      <c r="L640" s="53" t="str">
        <f>IF(G640*K640&lt;&gt;0, TRUNC(G640*K640, 1), "")</f>
        <v/>
      </c>
      <c r="M640" s="15"/>
      <c r="N640" s="53" t="str">
        <f>IF(G640*M640&lt;&gt;0, TRUNC(G640*M640, 1), "")</f>
        <v/>
      </c>
      <c r="O640" s="15">
        <f>IF((H640+K640+M640)=0, "", (H640+K640+M640))</f>
        <v>65.599999999999994</v>
      </c>
      <c r="P640" s="15">
        <f>IF(SUM(I640,L640,N640)&lt;&gt;0,SUM(I640,L640,N640),"")</f>
        <v>65.599999999999994</v>
      </c>
      <c r="Q640" s="12"/>
    </row>
    <row r="641" spans="1:17" ht="23.25" customHeight="1" x14ac:dyDescent="0.15">
      <c r="B641" s="13" t="s">
        <v>2360</v>
      </c>
      <c r="D641" s="12" t="s">
        <v>2361</v>
      </c>
      <c r="E641" s="12"/>
      <c r="F641" s="31"/>
      <c r="G641" s="15"/>
      <c r="H641" s="15"/>
      <c r="I641" s="53">
        <f>TRUNC(SUM(I636:I640))</f>
        <v>14906</v>
      </c>
      <c r="J641" s="15"/>
      <c r="K641" s="15"/>
      <c r="L641" s="53">
        <f>TRUNC(SUM(L636:L640))</f>
        <v>3284</v>
      </c>
      <c r="M641" s="15"/>
      <c r="N641" s="53">
        <f>TRUNC(SUM(N636:N640))</f>
        <v>0</v>
      </c>
      <c r="O641" s="15" t="str">
        <f>IF((H641+K641+M641)=0, "", (H641+K641+M641))</f>
        <v/>
      </c>
      <c r="P641" s="15">
        <f>IF(SUM(I641,L641,N641)&lt;&gt;0,SUM(I641,L641,N641),"")</f>
        <v>18190</v>
      </c>
      <c r="Q641" s="12"/>
    </row>
    <row r="642" spans="1:17" ht="23.25" customHeight="1" x14ac:dyDescent="0.15">
      <c r="D642" s="12"/>
      <c r="E642" s="12"/>
      <c r="F642" s="31"/>
      <c r="G642" s="15"/>
      <c r="H642" s="15"/>
      <c r="I642" s="53"/>
      <c r="J642" s="15"/>
      <c r="K642" s="15"/>
      <c r="L642" s="53"/>
      <c r="M642" s="15"/>
      <c r="N642" s="53"/>
      <c r="O642" s="15"/>
      <c r="P642" s="15"/>
      <c r="Q642" s="12"/>
    </row>
    <row r="643" spans="1:17" ht="23.25" customHeight="1" x14ac:dyDescent="0.15">
      <c r="A643" s="13" t="s">
        <v>2622</v>
      </c>
      <c r="B643" s="13" t="s">
        <v>2382</v>
      </c>
      <c r="C643" s="1" t="s">
        <v>2623</v>
      </c>
      <c r="D643" s="170" t="s">
        <v>2621</v>
      </c>
      <c r="E643" s="172"/>
      <c r="F643" s="31"/>
      <c r="G643" s="15"/>
      <c r="H643" s="15"/>
      <c r="I643" s="53"/>
      <c r="J643" s="15"/>
      <c r="K643" s="15"/>
      <c r="L643" s="53"/>
      <c r="M643" s="15"/>
      <c r="N643" s="53"/>
      <c r="O643" s="15"/>
      <c r="P643" s="15"/>
      <c r="Q643" s="12"/>
    </row>
    <row r="644" spans="1:17" ht="23.25" customHeight="1" x14ac:dyDescent="0.15">
      <c r="A644" s="13" t="s">
        <v>1128</v>
      </c>
      <c r="B644" s="13" t="s">
        <v>1938</v>
      </c>
      <c r="C644" s="1" t="s">
        <v>428</v>
      </c>
      <c r="D644" s="12" t="s">
        <v>408</v>
      </c>
      <c r="E644" s="12" t="s">
        <v>429</v>
      </c>
      <c r="F644" s="31" t="s">
        <v>166</v>
      </c>
      <c r="G644" s="15">
        <v>1</v>
      </c>
      <c r="H644" s="15">
        <f>합산자재!H104</f>
        <v>16965</v>
      </c>
      <c r="I644" s="53">
        <f>IF(G644*H644&lt;&gt;0, TRUNC(G644*H644, 1), "")</f>
        <v>16965</v>
      </c>
      <c r="J644" s="15">
        <v>1</v>
      </c>
      <c r="K644" s="15">
        <f>합산자재!I104</f>
        <v>0</v>
      </c>
      <c r="L644" s="53" t="str">
        <f>IF(G644*K644&lt;&gt;0, TRUNC(G644*K644, 1), "")</f>
        <v/>
      </c>
      <c r="M644" s="15">
        <f>합산자재!J104</f>
        <v>0</v>
      </c>
      <c r="N644" s="53" t="str">
        <f>IF(G644*M644&lt;&gt;0, TRUNC(G644*M644, 1), "")</f>
        <v/>
      </c>
      <c r="O644" s="15">
        <f>IF((H644+K644+M644)=0, "", (H644+K644+M644))</f>
        <v>16965</v>
      </c>
      <c r="P644" s="15">
        <f>IF(SUM(I644,L644,N644)&lt;&gt;0,SUM(I644,L644,N644),"")</f>
        <v>16965</v>
      </c>
      <c r="Q644" s="12"/>
    </row>
    <row r="645" spans="1:17" ht="23.25" customHeight="1" x14ac:dyDescent="0.15">
      <c r="A645" s="13" t="s">
        <v>1128</v>
      </c>
      <c r="B645" s="13" t="s">
        <v>1938</v>
      </c>
      <c r="C645" s="1" t="s">
        <v>428</v>
      </c>
      <c r="D645" s="12" t="s">
        <v>408</v>
      </c>
      <c r="E645" s="12" t="s">
        <v>429</v>
      </c>
      <c r="F645" s="31" t="s">
        <v>166</v>
      </c>
      <c r="G645" s="15">
        <v>0.1</v>
      </c>
      <c r="H645" s="15">
        <f>합산자재!H104</f>
        <v>16965</v>
      </c>
      <c r="I645" s="53">
        <f>IF(G645*H645&lt;&gt;0, TRUNC(G645*H645, 1), "")</f>
        <v>1696.5</v>
      </c>
      <c r="J645" s="15">
        <v>0.1</v>
      </c>
      <c r="K645" s="15">
        <f>합산자재!I104</f>
        <v>0</v>
      </c>
      <c r="L645" s="53" t="str">
        <f>IF(G645*K645&lt;&gt;0, TRUNC(G645*K645, 1), "")</f>
        <v/>
      </c>
      <c r="M645" s="15">
        <f>합산자재!J104</f>
        <v>0</v>
      </c>
      <c r="N645" s="53" t="str">
        <f>IF(G645*M645&lt;&gt;0, TRUNC(G645*M645, 1), "")</f>
        <v/>
      </c>
      <c r="O645" s="15">
        <f>IF((H645+K645+M645)=0, "", (H645+K645+M645))</f>
        <v>16965</v>
      </c>
      <c r="P645" s="15">
        <f>IF(SUM(I645,L645,N645)&lt;&gt;0,SUM(I645,L645,N645),"")</f>
        <v>1696.5</v>
      </c>
      <c r="Q645" s="12"/>
    </row>
    <row r="646" spans="1:17" ht="23.25" customHeight="1" x14ac:dyDescent="0.15">
      <c r="A646" s="13" t="s">
        <v>1372</v>
      </c>
      <c r="B646" s="13" t="s">
        <v>1938</v>
      </c>
      <c r="C646" s="1" t="s">
        <v>1002</v>
      </c>
      <c r="D646" s="12" t="s">
        <v>1003</v>
      </c>
      <c r="E646" s="12" t="s">
        <v>1004</v>
      </c>
      <c r="F646" s="31" t="s">
        <v>999</v>
      </c>
      <c r="G646" s="15">
        <f>일위노임!G284</f>
        <v>1.6500000000000001E-2</v>
      </c>
      <c r="H646" s="15">
        <f>합산자재!H345</f>
        <v>0</v>
      </c>
      <c r="I646" s="53" t="str">
        <f>IF(G646*H646&lt;&gt;0, TRUNC(G646*H646, 1), "")</f>
        <v/>
      </c>
      <c r="J646" s="15">
        <v>1.6500000000000001E-2</v>
      </c>
      <c r="K646" s="15">
        <f>합산자재!I345</f>
        <v>273676</v>
      </c>
      <c r="L646" s="53">
        <f>IF(G646*K646&lt;&gt;0, TRUNC(G646*K646, 1), "")</f>
        <v>4515.6000000000004</v>
      </c>
      <c r="M646" s="15">
        <f>합산자재!J345</f>
        <v>0</v>
      </c>
      <c r="N646" s="53" t="str">
        <f>IF(G646*M646&lt;&gt;0, TRUNC(G646*M646, 1), "")</f>
        <v/>
      </c>
      <c r="O646" s="15">
        <f>IF((H646+K646+M646)=0, "", (H646+K646+M646))</f>
        <v>273676</v>
      </c>
      <c r="P646" s="15">
        <f>IF(SUM(I646,L646,N646)&lt;&gt;0,SUM(I646,L646,N646),"")</f>
        <v>4515.6000000000004</v>
      </c>
      <c r="Q646" s="12"/>
    </row>
    <row r="647" spans="1:17" ht="23.25" customHeight="1" x14ac:dyDescent="0.15">
      <c r="A647" s="13" t="s">
        <v>2362</v>
      </c>
      <c r="B647" s="13" t="s">
        <v>1938</v>
      </c>
      <c r="C647" s="1" t="s">
        <v>2363</v>
      </c>
      <c r="D647" s="12" t="s">
        <v>2364</v>
      </c>
      <c r="E647" s="12" t="s">
        <v>2365</v>
      </c>
      <c r="F647" s="31" t="s">
        <v>792</v>
      </c>
      <c r="G647" s="15">
        <v>1</v>
      </c>
      <c r="H647" s="15">
        <v>90.3</v>
      </c>
      <c r="I647" s="53">
        <f>IF(G647*H647&lt;&gt;0, TRUNC(G647*H647, 1), "")</f>
        <v>90.3</v>
      </c>
      <c r="J647" s="15">
        <v>1</v>
      </c>
      <c r="K647" s="15"/>
      <c r="L647" s="53" t="str">
        <f>IF(G647*K647&lt;&gt;0, TRUNC(G647*K647, 1), "")</f>
        <v/>
      </c>
      <c r="M647" s="15"/>
      <c r="N647" s="53" t="str">
        <f>IF(G647*M647&lt;&gt;0, TRUNC(G647*M647, 1), "")</f>
        <v/>
      </c>
      <c r="O647" s="15">
        <f>IF((H647+K647+M647)=0, "", (H647+K647+M647))</f>
        <v>90.3</v>
      </c>
      <c r="P647" s="15">
        <f>IF(SUM(I647,L647,N647)&lt;&gt;0,SUM(I647,L647,N647),"")</f>
        <v>90.3</v>
      </c>
      <c r="Q647" s="12"/>
    </row>
    <row r="648" spans="1:17" ht="23.25" customHeight="1" x14ac:dyDescent="0.15">
      <c r="B648" s="13" t="s">
        <v>2360</v>
      </c>
      <c r="D648" s="12" t="s">
        <v>2361</v>
      </c>
      <c r="E648" s="12"/>
      <c r="F648" s="31"/>
      <c r="G648" s="15"/>
      <c r="H648" s="15"/>
      <c r="I648" s="53">
        <f>TRUNC(SUM(I643:I647))</f>
        <v>18751</v>
      </c>
      <c r="J648" s="15"/>
      <c r="K648" s="15"/>
      <c r="L648" s="53">
        <f>TRUNC(SUM(L643:L647))</f>
        <v>4515</v>
      </c>
      <c r="M648" s="15"/>
      <c r="N648" s="53">
        <f>TRUNC(SUM(N643:N647))</f>
        <v>0</v>
      </c>
      <c r="O648" s="15" t="str">
        <f>IF((H648+K648+M648)=0, "", (H648+K648+M648))</f>
        <v/>
      </c>
      <c r="P648" s="15">
        <f>IF(SUM(I648,L648,N648)&lt;&gt;0,SUM(I648,L648,N648),"")</f>
        <v>23266</v>
      </c>
      <c r="Q648" s="12"/>
    </row>
    <row r="649" spans="1:17" ht="23.25" customHeight="1" x14ac:dyDescent="0.15">
      <c r="D649" s="12"/>
      <c r="E649" s="12"/>
      <c r="F649" s="31"/>
      <c r="G649" s="15"/>
      <c r="H649" s="15"/>
      <c r="I649" s="53"/>
      <c r="J649" s="15"/>
      <c r="K649" s="15"/>
      <c r="L649" s="53"/>
      <c r="M649" s="15"/>
      <c r="N649" s="53"/>
      <c r="O649" s="15"/>
      <c r="P649" s="15"/>
      <c r="Q649" s="12"/>
    </row>
    <row r="650" spans="1:17" ht="23.25" customHeight="1" x14ac:dyDescent="0.15">
      <c r="A650" s="13" t="s">
        <v>2625</v>
      </c>
      <c r="B650" s="13" t="s">
        <v>2382</v>
      </c>
      <c r="C650" s="1" t="s">
        <v>2626</v>
      </c>
      <c r="D650" s="170" t="s">
        <v>2624</v>
      </c>
      <c r="E650" s="172"/>
      <c r="F650" s="31"/>
      <c r="G650" s="15"/>
      <c r="H650" s="15"/>
      <c r="I650" s="53"/>
      <c r="J650" s="15"/>
      <c r="K650" s="15"/>
      <c r="L650" s="53"/>
      <c r="M650" s="15"/>
      <c r="N650" s="53"/>
      <c r="O650" s="15"/>
      <c r="P650" s="15"/>
      <c r="Q650" s="12"/>
    </row>
    <row r="651" spans="1:17" ht="23.25" customHeight="1" x14ac:dyDescent="0.15">
      <c r="A651" s="13" t="s">
        <v>1129</v>
      </c>
      <c r="B651" s="13" t="s">
        <v>1941</v>
      </c>
      <c r="C651" s="1" t="s">
        <v>430</v>
      </c>
      <c r="D651" s="12" t="s">
        <v>431</v>
      </c>
      <c r="E651" s="12" t="s">
        <v>423</v>
      </c>
      <c r="F651" s="31" t="s">
        <v>166</v>
      </c>
      <c r="G651" s="15">
        <v>1</v>
      </c>
      <c r="H651" s="15">
        <f>합산자재!H105</f>
        <v>7573</v>
      </c>
      <c r="I651" s="53">
        <f>IF(G651*H651&lt;&gt;0, TRUNC(G651*H651, 1), "")</f>
        <v>7573</v>
      </c>
      <c r="J651" s="15">
        <v>1</v>
      </c>
      <c r="K651" s="15">
        <f>합산자재!I105</f>
        <v>0</v>
      </c>
      <c r="L651" s="53" t="str">
        <f>IF(G651*K651&lt;&gt;0, TRUNC(G651*K651, 1), "")</f>
        <v/>
      </c>
      <c r="M651" s="15">
        <f>합산자재!J105</f>
        <v>0</v>
      </c>
      <c r="N651" s="53" t="str">
        <f>IF(G651*M651&lt;&gt;0, TRUNC(G651*M651, 1), "")</f>
        <v/>
      </c>
      <c r="O651" s="15">
        <f>IF((H651+K651+M651)=0, "", (H651+K651+M651))</f>
        <v>7573</v>
      </c>
      <c r="P651" s="15">
        <f>IF(SUM(I651,L651,N651)&lt;&gt;0,SUM(I651,L651,N651),"")</f>
        <v>7573</v>
      </c>
      <c r="Q651" s="12"/>
    </row>
    <row r="652" spans="1:17" ht="23.25" customHeight="1" x14ac:dyDescent="0.15">
      <c r="A652" s="13" t="s">
        <v>1129</v>
      </c>
      <c r="B652" s="13" t="s">
        <v>1941</v>
      </c>
      <c r="C652" s="1" t="s">
        <v>430</v>
      </c>
      <c r="D652" s="12" t="s">
        <v>431</v>
      </c>
      <c r="E652" s="12" t="s">
        <v>423</v>
      </c>
      <c r="F652" s="31" t="s">
        <v>166</v>
      </c>
      <c r="G652" s="15">
        <v>0.1</v>
      </c>
      <c r="H652" s="15">
        <f>합산자재!H105</f>
        <v>7573</v>
      </c>
      <c r="I652" s="53">
        <f>IF(G652*H652&lt;&gt;0, TRUNC(G652*H652, 1), "")</f>
        <v>757.3</v>
      </c>
      <c r="J652" s="15">
        <v>0.1</v>
      </c>
      <c r="K652" s="15">
        <f>합산자재!I105</f>
        <v>0</v>
      </c>
      <c r="L652" s="53" t="str">
        <f>IF(G652*K652&lt;&gt;0, TRUNC(G652*K652, 1), "")</f>
        <v/>
      </c>
      <c r="M652" s="15">
        <f>합산자재!J105</f>
        <v>0</v>
      </c>
      <c r="N652" s="53" t="str">
        <f>IF(G652*M652&lt;&gt;0, TRUNC(G652*M652, 1), "")</f>
        <v/>
      </c>
      <c r="O652" s="15">
        <f>IF((H652+K652+M652)=0, "", (H652+K652+M652))</f>
        <v>7573</v>
      </c>
      <c r="P652" s="15">
        <f>IF(SUM(I652,L652,N652)&lt;&gt;0,SUM(I652,L652,N652),"")</f>
        <v>757.3</v>
      </c>
      <c r="Q652" s="12"/>
    </row>
    <row r="653" spans="1:17" ht="23.25" customHeight="1" x14ac:dyDescent="0.15">
      <c r="A653" s="13" t="s">
        <v>1372</v>
      </c>
      <c r="B653" s="13" t="s">
        <v>1941</v>
      </c>
      <c r="C653" s="1" t="s">
        <v>1002</v>
      </c>
      <c r="D653" s="12" t="s">
        <v>1003</v>
      </c>
      <c r="E653" s="12" t="s">
        <v>1004</v>
      </c>
      <c r="F653" s="31" t="s">
        <v>999</v>
      </c>
      <c r="G653" s="15">
        <f>일위노임!G287</f>
        <v>8.0000000000000002E-3</v>
      </c>
      <c r="H653" s="15">
        <f>합산자재!H345</f>
        <v>0</v>
      </c>
      <c r="I653" s="53" t="str">
        <f>IF(G653*H653&lt;&gt;0, TRUNC(G653*H653, 1), "")</f>
        <v/>
      </c>
      <c r="J653" s="15">
        <v>8.0000000000000002E-3</v>
      </c>
      <c r="K653" s="15">
        <f>합산자재!I345</f>
        <v>273676</v>
      </c>
      <c r="L653" s="53">
        <f>IF(G653*K653&lt;&gt;0, TRUNC(G653*K653, 1), "")</f>
        <v>2189.4</v>
      </c>
      <c r="M653" s="15">
        <f>합산자재!J345</f>
        <v>0</v>
      </c>
      <c r="N653" s="53" t="str">
        <f>IF(G653*M653&lt;&gt;0, TRUNC(G653*M653, 1), "")</f>
        <v/>
      </c>
      <c r="O653" s="15">
        <f>IF((H653+K653+M653)=0, "", (H653+K653+M653))</f>
        <v>273676</v>
      </c>
      <c r="P653" s="15">
        <f>IF(SUM(I653,L653,N653)&lt;&gt;0,SUM(I653,L653,N653),"")</f>
        <v>2189.4</v>
      </c>
      <c r="Q653" s="12"/>
    </row>
    <row r="654" spans="1:17" ht="23.25" customHeight="1" x14ac:dyDescent="0.15">
      <c r="A654" s="13" t="s">
        <v>2362</v>
      </c>
      <c r="B654" s="13" t="s">
        <v>1941</v>
      </c>
      <c r="C654" s="1" t="s">
        <v>2363</v>
      </c>
      <c r="D654" s="12" t="s">
        <v>2364</v>
      </c>
      <c r="E654" s="12" t="s">
        <v>2365</v>
      </c>
      <c r="F654" s="31" t="s">
        <v>792</v>
      </c>
      <c r="G654" s="15">
        <v>1</v>
      </c>
      <c r="H654" s="15">
        <v>43.7</v>
      </c>
      <c r="I654" s="53">
        <f>IF(G654*H654&lt;&gt;0, TRUNC(G654*H654, 1), "")</f>
        <v>43.7</v>
      </c>
      <c r="J654" s="15">
        <v>1</v>
      </c>
      <c r="K654" s="15"/>
      <c r="L654" s="53" t="str">
        <f>IF(G654*K654&lt;&gt;0, TRUNC(G654*K654, 1), "")</f>
        <v/>
      </c>
      <c r="M654" s="15"/>
      <c r="N654" s="53" t="str">
        <f>IF(G654*M654&lt;&gt;0, TRUNC(G654*M654, 1), "")</f>
        <v/>
      </c>
      <c r="O654" s="15">
        <f>IF((H654+K654+M654)=0, "", (H654+K654+M654))</f>
        <v>43.7</v>
      </c>
      <c r="P654" s="15">
        <f>IF(SUM(I654,L654,N654)&lt;&gt;0,SUM(I654,L654,N654),"")</f>
        <v>43.7</v>
      </c>
      <c r="Q654" s="12"/>
    </row>
    <row r="655" spans="1:17" ht="23.25" customHeight="1" x14ac:dyDescent="0.15">
      <c r="B655" s="13" t="s">
        <v>2360</v>
      </c>
      <c r="D655" s="12" t="s">
        <v>2361</v>
      </c>
      <c r="E655" s="12"/>
      <c r="F655" s="31"/>
      <c r="G655" s="15"/>
      <c r="H655" s="15"/>
      <c r="I655" s="53">
        <f>TRUNC(SUM(I650:I654))</f>
        <v>8374</v>
      </c>
      <c r="J655" s="15"/>
      <c r="K655" s="15"/>
      <c r="L655" s="53">
        <f>TRUNC(SUM(L650:L654))</f>
        <v>2189</v>
      </c>
      <c r="M655" s="15"/>
      <c r="N655" s="53">
        <f>TRUNC(SUM(N650:N654))</f>
        <v>0</v>
      </c>
      <c r="O655" s="15" t="str">
        <f>IF((H655+K655+M655)=0, "", (H655+K655+M655))</f>
        <v/>
      </c>
      <c r="P655" s="15">
        <f>IF(SUM(I655,L655,N655)&lt;&gt;0,SUM(I655,L655,N655),"")</f>
        <v>10563</v>
      </c>
      <c r="Q655" s="12"/>
    </row>
    <row r="656" spans="1:17" ht="23.25" customHeight="1" x14ac:dyDescent="0.15">
      <c r="D656" s="12"/>
      <c r="E656" s="12"/>
      <c r="F656" s="31"/>
      <c r="G656" s="15"/>
      <c r="H656" s="15"/>
      <c r="I656" s="53"/>
      <c r="J656" s="15"/>
      <c r="K656" s="15"/>
      <c r="L656" s="53"/>
      <c r="M656" s="15"/>
      <c r="N656" s="53"/>
      <c r="O656" s="15"/>
      <c r="P656" s="15"/>
      <c r="Q656" s="12"/>
    </row>
    <row r="657" spans="1:17" ht="23.25" customHeight="1" x14ac:dyDescent="0.15">
      <c r="A657" s="13" t="s">
        <v>2628</v>
      </c>
      <c r="B657" s="13" t="s">
        <v>2382</v>
      </c>
      <c r="C657" s="1" t="s">
        <v>2629</v>
      </c>
      <c r="D657" s="170" t="s">
        <v>2627</v>
      </c>
      <c r="E657" s="172"/>
      <c r="F657" s="31"/>
      <c r="G657" s="15"/>
      <c r="H657" s="15"/>
      <c r="I657" s="53"/>
      <c r="J657" s="15"/>
      <c r="K657" s="15"/>
      <c r="L657" s="53"/>
      <c r="M657" s="15"/>
      <c r="N657" s="53"/>
      <c r="O657" s="15"/>
      <c r="P657" s="15"/>
      <c r="Q657" s="12"/>
    </row>
    <row r="658" spans="1:17" ht="23.25" customHeight="1" x14ac:dyDescent="0.15">
      <c r="A658" s="13" t="s">
        <v>1130</v>
      </c>
      <c r="B658" s="13" t="s">
        <v>1944</v>
      </c>
      <c r="C658" s="1" t="s">
        <v>434</v>
      </c>
      <c r="D658" s="12" t="s">
        <v>435</v>
      </c>
      <c r="E658" s="12" t="s">
        <v>436</v>
      </c>
      <c r="F658" s="31" t="s">
        <v>166</v>
      </c>
      <c r="G658" s="15">
        <v>1</v>
      </c>
      <c r="H658" s="15">
        <f>합산자재!H106</f>
        <v>12139</v>
      </c>
      <c r="I658" s="53">
        <f>IF(G658*H658&lt;&gt;0, TRUNC(G658*H658, 1), "")</f>
        <v>12139</v>
      </c>
      <c r="J658" s="15">
        <v>1</v>
      </c>
      <c r="K658" s="15">
        <f>합산자재!I106</f>
        <v>0</v>
      </c>
      <c r="L658" s="53" t="str">
        <f>IF(G658*K658&lt;&gt;0, TRUNC(G658*K658, 1), "")</f>
        <v/>
      </c>
      <c r="M658" s="15">
        <f>합산자재!J106</f>
        <v>0</v>
      </c>
      <c r="N658" s="53" t="str">
        <f>IF(G658*M658&lt;&gt;0, TRUNC(G658*M658, 1), "")</f>
        <v/>
      </c>
      <c r="O658" s="15">
        <f>IF((H658+K658+M658)=0, "", (H658+K658+M658))</f>
        <v>12139</v>
      </c>
      <c r="P658" s="15">
        <f>IF(SUM(I658,L658,N658)&lt;&gt;0,SUM(I658,L658,N658),"")</f>
        <v>12139</v>
      </c>
      <c r="Q658" s="12"/>
    </row>
    <row r="659" spans="1:17" ht="23.25" customHeight="1" x14ac:dyDescent="0.15">
      <c r="A659" s="13" t="s">
        <v>1130</v>
      </c>
      <c r="B659" s="13" t="s">
        <v>1944</v>
      </c>
      <c r="C659" s="1" t="s">
        <v>434</v>
      </c>
      <c r="D659" s="12" t="s">
        <v>435</v>
      </c>
      <c r="E659" s="12" t="s">
        <v>436</v>
      </c>
      <c r="F659" s="31" t="s">
        <v>166</v>
      </c>
      <c r="G659" s="15">
        <v>0.05</v>
      </c>
      <c r="H659" s="15">
        <f>합산자재!H106</f>
        <v>12139</v>
      </c>
      <c r="I659" s="53">
        <f>IF(G659*H659&lt;&gt;0, TRUNC(G659*H659, 1), "")</f>
        <v>606.9</v>
      </c>
      <c r="J659" s="15">
        <v>0.05</v>
      </c>
      <c r="K659" s="15">
        <f>합산자재!I106</f>
        <v>0</v>
      </c>
      <c r="L659" s="53" t="str">
        <f>IF(G659*K659&lt;&gt;0, TRUNC(G659*K659, 1), "")</f>
        <v/>
      </c>
      <c r="M659" s="15">
        <f>합산자재!J106</f>
        <v>0</v>
      </c>
      <c r="N659" s="53" t="str">
        <f>IF(G659*M659&lt;&gt;0, TRUNC(G659*M659, 1), "")</f>
        <v/>
      </c>
      <c r="O659" s="15">
        <f>IF((H659+K659+M659)=0, "", (H659+K659+M659))</f>
        <v>12139</v>
      </c>
      <c r="P659" s="15">
        <f>IF(SUM(I659,L659,N659)&lt;&gt;0,SUM(I659,L659,N659),"")</f>
        <v>606.9</v>
      </c>
      <c r="Q659" s="12"/>
    </row>
    <row r="660" spans="1:17" ht="23.25" customHeight="1" x14ac:dyDescent="0.15">
      <c r="A660" s="13" t="s">
        <v>1373</v>
      </c>
      <c r="B660" s="13" t="s">
        <v>1944</v>
      </c>
      <c r="C660" s="1" t="s">
        <v>1005</v>
      </c>
      <c r="D660" s="12" t="s">
        <v>1003</v>
      </c>
      <c r="E660" s="12" t="s">
        <v>1006</v>
      </c>
      <c r="F660" s="31" t="s">
        <v>999</v>
      </c>
      <c r="G660" s="15">
        <f>일위노임!G290</f>
        <v>5.1299999999999998E-2</v>
      </c>
      <c r="H660" s="15">
        <f>합산자재!H346</f>
        <v>0</v>
      </c>
      <c r="I660" s="53" t="str">
        <f>IF(G660*H660&lt;&gt;0, TRUNC(G660*H660, 1), "")</f>
        <v/>
      </c>
      <c r="J660" s="15">
        <v>5.1299999999999998E-2</v>
      </c>
      <c r="K660" s="15">
        <f>합산자재!I346</f>
        <v>304156</v>
      </c>
      <c r="L660" s="53">
        <f>IF(G660*K660&lt;&gt;0, TRUNC(G660*K660, 1), "")</f>
        <v>15603.2</v>
      </c>
      <c r="M660" s="15">
        <f>합산자재!J346</f>
        <v>0</v>
      </c>
      <c r="N660" s="53" t="str">
        <f>IF(G660*M660&lt;&gt;0, TRUNC(G660*M660, 1), "")</f>
        <v/>
      </c>
      <c r="O660" s="15">
        <f>IF((H660+K660+M660)=0, "", (H660+K660+M660))</f>
        <v>304156</v>
      </c>
      <c r="P660" s="15">
        <f>IF(SUM(I660,L660,N660)&lt;&gt;0,SUM(I660,L660,N660),"")</f>
        <v>15603.2</v>
      </c>
      <c r="Q660" s="12"/>
    </row>
    <row r="661" spans="1:17" ht="23.25" customHeight="1" x14ac:dyDescent="0.15">
      <c r="A661" s="13" t="s">
        <v>2362</v>
      </c>
      <c r="B661" s="13" t="s">
        <v>1944</v>
      </c>
      <c r="C661" s="1" t="s">
        <v>2363</v>
      </c>
      <c r="D661" s="12" t="s">
        <v>2364</v>
      </c>
      <c r="E661" s="12" t="s">
        <v>2365</v>
      </c>
      <c r="F661" s="31" t="s">
        <v>792</v>
      </c>
      <c r="G661" s="15">
        <v>1</v>
      </c>
      <c r="H661" s="15">
        <v>312</v>
      </c>
      <c r="I661" s="53">
        <f>IF(G661*H661&lt;&gt;0, TRUNC(G661*H661, 1), "")</f>
        <v>312</v>
      </c>
      <c r="J661" s="15">
        <v>1</v>
      </c>
      <c r="K661" s="15"/>
      <c r="L661" s="53" t="str">
        <f>IF(G661*K661&lt;&gt;0, TRUNC(G661*K661, 1), "")</f>
        <v/>
      </c>
      <c r="M661" s="15"/>
      <c r="N661" s="53" t="str">
        <f>IF(G661*M661&lt;&gt;0, TRUNC(G661*M661, 1), "")</f>
        <v/>
      </c>
      <c r="O661" s="15">
        <f>IF((H661+K661+M661)=0, "", (H661+K661+M661))</f>
        <v>312</v>
      </c>
      <c r="P661" s="15">
        <f>IF(SUM(I661,L661,N661)&lt;&gt;0,SUM(I661,L661,N661),"")</f>
        <v>312</v>
      </c>
      <c r="Q661" s="12"/>
    </row>
    <row r="662" spans="1:17" ht="23.25" customHeight="1" x14ac:dyDescent="0.15">
      <c r="B662" s="13" t="s">
        <v>2360</v>
      </c>
      <c r="D662" s="12" t="s">
        <v>2361</v>
      </c>
      <c r="E662" s="12"/>
      <c r="F662" s="31"/>
      <c r="G662" s="15"/>
      <c r="H662" s="15"/>
      <c r="I662" s="53">
        <f>TRUNC(SUM(I657:I661))</f>
        <v>13057</v>
      </c>
      <c r="J662" s="15"/>
      <c r="K662" s="15"/>
      <c r="L662" s="53">
        <f>TRUNC(SUM(L657:L661))</f>
        <v>15603</v>
      </c>
      <c r="M662" s="15"/>
      <c r="N662" s="53">
        <f>TRUNC(SUM(N657:N661))</f>
        <v>0</v>
      </c>
      <c r="O662" s="15" t="str">
        <f>IF((H662+K662+M662)=0, "", (H662+K662+M662))</f>
        <v/>
      </c>
      <c r="P662" s="15">
        <f>IF(SUM(I662,L662,N662)&lt;&gt;0,SUM(I662,L662,N662),"")</f>
        <v>28660</v>
      </c>
      <c r="Q662" s="12"/>
    </row>
    <row r="663" spans="1:17" ht="23.25" customHeight="1" x14ac:dyDescent="0.15">
      <c r="D663" s="12"/>
      <c r="E663" s="12"/>
      <c r="F663" s="31"/>
      <c r="G663" s="15"/>
      <c r="H663" s="15"/>
      <c r="I663" s="53"/>
      <c r="J663" s="15"/>
      <c r="K663" s="15"/>
      <c r="L663" s="53"/>
      <c r="M663" s="15"/>
      <c r="N663" s="53"/>
      <c r="O663" s="15"/>
      <c r="P663" s="15"/>
      <c r="Q663" s="12"/>
    </row>
    <row r="664" spans="1:17" ht="23.25" customHeight="1" x14ac:dyDescent="0.15">
      <c r="A664" s="13" t="s">
        <v>2631</v>
      </c>
      <c r="B664" s="13" t="s">
        <v>2382</v>
      </c>
      <c r="C664" s="1" t="s">
        <v>2632</v>
      </c>
      <c r="D664" s="170" t="s">
        <v>2630</v>
      </c>
      <c r="E664" s="172"/>
      <c r="F664" s="31"/>
      <c r="G664" s="15"/>
      <c r="H664" s="15"/>
      <c r="I664" s="53"/>
      <c r="J664" s="15"/>
      <c r="K664" s="15"/>
      <c r="L664" s="53"/>
      <c r="M664" s="15"/>
      <c r="N664" s="53"/>
      <c r="O664" s="15"/>
      <c r="P664" s="15"/>
      <c r="Q664" s="12"/>
    </row>
    <row r="665" spans="1:17" ht="23.25" customHeight="1" x14ac:dyDescent="0.15">
      <c r="A665" s="13" t="s">
        <v>1131</v>
      </c>
      <c r="B665" s="13" t="s">
        <v>1947</v>
      </c>
      <c r="C665" s="1" t="s">
        <v>439</v>
      </c>
      <c r="D665" s="12" t="s">
        <v>440</v>
      </c>
      <c r="E665" s="12" t="s">
        <v>441</v>
      </c>
      <c r="F665" s="31" t="s">
        <v>166</v>
      </c>
      <c r="G665" s="15">
        <v>1</v>
      </c>
      <c r="H665" s="15">
        <f>합산자재!H107</f>
        <v>8645</v>
      </c>
      <c r="I665" s="53">
        <f>IF(G665*H665&lt;&gt;0, TRUNC(G665*H665, 1), "")</f>
        <v>8645</v>
      </c>
      <c r="J665" s="15">
        <v>1</v>
      </c>
      <c r="K665" s="15">
        <f>합산자재!I107</f>
        <v>0</v>
      </c>
      <c r="L665" s="53" t="str">
        <f>IF(G665*K665&lt;&gt;0, TRUNC(G665*K665, 1), "")</f>
        <v/>
      </c>
      <c r="M665" s="15">
        <f>합산자재!J107</f>
        <v>0</v>
      </c>
      <c r="N665" s="53" t="str">
        <f>IF(G665*M665&lt;&gt;0, TRUNC(G665*M665, 1), "")</f>
        <v/>
      </c>
      <c r="O665" s="15">
        <f>IF((H665+K665+M665)=0, "", (H665+K665+M665))</f>
        <v>8645</v>
      </c>
      <c r="P665" s="15">
        <f>IF(SUM(I665,L665,N665)&lt;&gt;0,SUM(I665,L665,N665),"")</f>
        <v>8645</v>
      </c>
      <c r="Q665" s="12"/>
    </row>
    <row r="666" spans="1:17" ht="23.25" customHeight="1" x14ac:dyDescent="0.15">
      <c r="A666" s="13" t="s">
        <v>1131</v>
      </c>
      <c r="B666" s="13" t="s">
        <v>1947</v>
      </c>
      <c r="C666" s="1" t="s">
        <v>439</v>
      </c>
      <c r="D666" s="12" t="s">
        <v>440</v>
      </c>
      <c r="E666" s="12" t="s">
        <v>441</v>
      </c>
      <c r="F666" s="31" t="s">
        <v>166</v>
      </c>
      <c r="G666" s="15">
        <v>0.05</v>
      </c>
      <c r="H666" s="15">
        <f>합산자재!H107</f>
        <v>8645</v>
      </c>
      <c r="I666" s="53">
        <f>IF(G666*H666&lt;&gt;0, TRUNC(G666*H666, 1), "")</f>
        <v>432.2</v>
      </c>
      <c r="J666" s="15">
        <v>0.05</v>
      </c>
      <c r="K666" s="15">
        <f>합산자재!I107</f>
        <v>0</v>
      </c>
      <c r="L666" s="53" t="str">
        <f>IF(G666*K666&lt;&gt;0, TRUNC(G666*K666, 1), "")</f>
        <v/>
      </c>
      <c r="M666" s="15">
        <f>합산자재!J107</f>
        <v>0</v>
      </c>
      <c r="N666" s="53" t="str">
        <f>IF(G666*M666&lt;&gt;0, TRUNC(G666*M666, 1), "")</f>
        <v/>
      </c>
      <c r="O666" s="15">
        <f>IF((H666+K666+M666)=0, "", (H666+K666+M666))</f>
        <v>8645</v>
      </c>
      <c r="P666" s="15">
        <f>IF(SUM(I666,L666,N666)&lt;&gt;0,SUM(I666,L666,N666),"")</f>
        <v>432.2</v>
      </c>
      <c r="Q666" s="12"/>
    </row>
    <row r="667" spans="1:17" ht="23.25" customHeight="1" x14ac:dyDescent="0.15">
      <c r="A667" s="13" t="s">
        <v>1373</v>
      </c>
      <c r="B667" s="13" t="s">
        <v>1947</v>
      </c>
      <c r="C667" s="1" t="s">
        <v>1005</v>
      </c>
      <c r="D667" s="12" t="s">
        <v>1003</v>
      </c>
      <c r="E667" s="12" t="s">
        <v>1006</v>
      </c>
      <c r="F667" s="31" t="s">
        <v>999</v>
      </c>
      <c r="G667" s="15">
        <f>일위노임!G293</f>
        <v>3.6499999999999998E-2</v>
      </c>
      <c r="H667" s="15">
        <f>합산자재!H346</f>
        <v>0</v>
      </c>
      <c r="I667" s="53" t="str">
        <f>IF(G667*H667&lt;&gt;0, TRUNC(G667*H667, 1), "")</f>
        <v/>
      </c>
      <c r="J667" s="15">
        <v>3.6499999999999998E-2</v>
      </c>
      <c r="K667" s="15">
        <f>합산자재!I346</f>
        <v>304156</v>
      </c>
      <c r="L667" s="53">
        <f>IF(G667*K667&lt;&gt;0, TRUNC(G667*K667, 1), "")</f>
        <v>11101.6</v>
      </c>
      <c r="M667" s="15">
        <f>합산자재!J346</f>
        <v>0</v>
      </c>
      <c r="N667" s="53" t="str">
        <f>IF(G667*M667&lt;&gt;0, TRUNC(G667*M667, 1), "")</f>
        <v/>
      </c>
      <c r="O667" s="15">
        <f>IF((H667+K667+M667)=0, "", (H667+K667+M667))</f>
        <v>304156</v>
      </c>
      <c r="P667" s="15">
        <f>IF(SUM(I667,L667,N667)&lt;&gt;0,SUM(I667,L667,N667),"")</f>
        <v>11101.6</v>
      </c>
      <c r="Q667" s="12"/>
    </row>
    <row r="668" spans="1:17" ht="23.25" customHeight="1" x14ac:dyDescent="0.15">
      <c r="A668" s="13" t="s">
        <v>2362</v>
      </c>
      <c r="B668" s="13" t="s">
        <v>1947</v>
      </c>
      <c r="C668" s="1" t="s">
        <v>2363</v>
      </c>
      <c r="D668" s="12" t="s">
        <v>2364</v>
      </c>
      <c r="E668" s="12" t="s">
        <v>2365</v>
      </c>
      <c r="F668" s="31" t="s">
        <v>792</v>
      </c>
      <c r="G668" s="15">
        <v>1</v>
      </c>
      <c r="H668" s="15">
        <v>222</v>
      </c>
      <c r="I668" s="53">
        <f>IF(G668*H668&lt;&gt;0, TRUNC(G668*H668, 1), "")</f>
        <v>222</v>
      </c>
      <c r="J668" s="15">
        <v>1</v>
      </c>
      <c r="K668" s="15"/>
      <c r="L668" s="53" t="str">
        <f>IF(G668*K668&lt;&gt;0, TRUNC(G668*K668, 1), "")</f>
        <v/>
      </c>
      <c r="M668" s="15"/>
      <c r="N668" s="53" t="str">
        <f>IF(G668*M668&lt;&gt;0, TRUNC(G668*M668, 1), "")</f>
        <v/>
      </c>
      <c r="O668" s="15">
        <f>IF((H668+K668+M668)=0, "", (H668+K668+M668))</f>
        <v>222</v>
      </c>
      <c r="P668" s="15">
        <f>IF(SUM(I668,L668,N668)&lt;&gt;0,SUM(I668,L668,N668),"")</f>
        <v>222</v>
      </c>
      <c r="Q668" s="12"/>
    </row>
    <row r="669" spans="1:17" ht="23.25" customHeight="1" x14ac:dyDescent="0.15">
      <c r="B669" s="13" t="s">
        <v>2360</v>
      </c>
      <c r="D669" s="12" t="s">
        <v>2361</v>
      </c>
      <c r="E669" s="12"/>
      <c r="F669" s="31"/>
      <c r="G669" s="15"/>
      <c r="H669" s="15"/>
      <c r="I669" s="53">
        <f>TRUNC(SUM(I664:I668))</f>
        <v>9299</v>
      </c>
      <c r="J669" s="15"/>
      <c r="K669" s="15"/>
      <c r="L669" s="53">
        <f>TRUNC(SUM(L664:L668))</f>
        <v>11101</v>
      </c>
      <c r="M669" s="15"/>
      <c r="N669" s="53">
        <f>TRUNC(SUM(N664:N668))</f>
        <v>0</v>
      </c>
      <c r="O669" s="15" t="str">
        <f>IF((H669+K669+M669)=0, "", (H669+K669+M669))</f>
        <v/>
      </c>
      <c r="P669" s="15">
        <f>IF(SUM(I669,L669,N669)&lt;&gt;0,SUM(I669,L669,N669),"")</f>
        <v>20400</v>
      </c>
      <c r="Q669" s="12"/>
    </row>
    <row r="670" spans="1:17" ht="23.25" customHeight="1" x14ac:dyDescent="0.15">
      <c r="D670" s="12"/>
      <c r="E670" s="12"/>
      <c r="F670" s="31"/>
      <c r="G670" s="15"/>
      <c r="H670" s="15"/>
      <c r="I670" s="53"/>
      <c r="J670" s="15"/>
      <c r="K670" s="15"/>
      <c r="L670" s="53"/>
      <c r="M670" s="15"/>
      <c r="N670" s="53"/>
      <c r="O670" s="15"/>
      <c r="P670" s="15"/>
      <c r="Q670" s="12"/>
    </row>
    <row r="671" spans="1:17" ht="23.25" customHeight="1" x14ac:dyDescent="0.15">
      <c r="A671" s="13" t="s">
        <v>2634</v>
      </c>
      <c r="B671" s="13" t="s">
        <v>2382</v>
      </c>
      <c r="C671" s="1" t="s">
        <v>2635</v>
      </c>
      <c r="D671" s="170" t="s">
        <v>2633</v>
      </c>
      <c r="E671" s="172"/>
      <c r="F671" s="31"/>
      <c r="G671" s="15"/>
      <c r="H671" s="15"/>
      <c r="I671" s="53"/>
      <c r="J671" s="15"/>
      <c r="K671" s="15"/>
      <c r="L671" s="53"/>
      <c r="M671" s="15"/>
      <c r="N671" s="53"/>
      <c r="O671" s="15"/>
      <c r="P671" s="15"/>
      <c r="Q671" s="12"/>
    </row>
    <row r="672" spans="1:17" ht="23.25" customHeight="1" x14ac:dyDescent="0.15">
      <c r="A672" s="13" t="s">
        <v>1132</v>
      </c>
      <c r="B672" s="13" t="s">
        <v>1950</v>
      </c>
      <c r="C672" s="1" t="s">
        <v>434</v>
      </c>
      <c r="D672" s="12" t="s">
        <v>440</v>
      </c>
      <c r="E672" s="12" t="s">
        <v>436</v>
      </c>
      <c r="F672" s="31" t="s">
        <v>166</v>
      </c>
      <c r="G672" s="15">
        <v>1</v>
      </c>
      <c r="H672" s="15">
        <f>합산자재!H108</f>
        <v>12139</v>
      </c>
      <c r="I672" s="53">
        <f>IF(G672*H672&lt;&gt;0, TRUNC(G672*H672, 1), "")</f>
        <v>12139</v>
      </c>
      <c r="J672" s="15">
        <v>1</v>
      </c>
      <c r="K672" s="15">
        <f>합산자재!I108</f>
        <v>0</v>
      </c>
      <c r="L672" s="53" t="str">
        <f>IF(G672*K672&lt;&gt;0, TRUNC(G672*K672, 1), "")</f>
        <v/>
      </c>
      <c r="M672" s="15">
        <f>합산자재!J108</f>
        <v>0</v>
      </c>
      <c r="N672" s="53" t="str">
        <f>IF(G672*M672&lt;&gt;0, TRUNC(G672*M672, 1), "")</f>
        <v/>
      </c>
      <c r="O672" s="15">
        <f>IF((H672+K672+M672)=0, "", (H672+K672+M672))</f>
        <v>12139</v>
      </c>
      <c r="P672" s="15">
        <f>IF(SUM(I672,L672,N672)&lt;&gt;0,SUM(I672,L672,N672),"")</f>
        <v>12139</v>
      </c>
      <c r="Q672" s="12"/>
    </row>
    <row r="673" spans="1:17" ht="23.25" customHeight="1" x14ac:dyDescent="0.15">
      <c r="A673" s="13" t="s">
        <v>1132</v>
      </c>
      <c r="B673" s="13" t="s">
        <v>1950</v>
      </c>
      <c r="C673" s="1" t="s">
        <v>434</v>
      </c>
      <c r="D673" s="12" t="s">
        <v>440</v>
      </c>
      <c r="E673" s="12" t="s">
        <v>436</v>
      </c>
      <c r="F673" s="31" t="s">
        <v>166</v>
      </c>
      <c r="G673" s="15">
        <v>0.05</v>
      </c>
      <c r="H673" s="15">
        <f>합산자재!H108</f>
        <v>12139</v>
      </c>
      <c r="I673" s="53">
        <f>IF(G673*H673&lt;&gt;0, TRUNC(G673*H673, 1), "")</f>
        <v>606.9</v>
      </c>
      <c r="J673" s="15">
        <v>0.05</v>
      </c>
      <c r="K673" s="15">
        <f>합산자재!I108</f>
        <v>0</v>
      </c>
      <c r="L673" s="53" t="str">
        <f>IF(G673*K673&lt;&gt;0, TRUNC(G673*K673, 1), "")</f>
        <v/>
      </c>
      <c r="M673" s="15">
        <f>합산자재!J108</f>
        <v>0</v>
      </c>
      <c r="N673" s="53" t="str">
        <f>IF(G673*M673&lt;&gt;0, TRUNC(G673*M673, 1), "")</f>
        <v/>
      </c>
      <c r="O673" s="15">
        <f>IF((H673+K673+M673)=0, "", (H673+K673+M673))</f>
        <v>12139</v>
      </c>
      <c r="P673" s="15">
        <f>IF(SUM(I673,L673,N673)&lt;&gt;0,SUM(I673,L673,N673),"")</f>
        <v>606.9</v>
      </c>
      <c r="Q673" s="12"/>
    </row>
    <row r="674" spans="1:17" ht="23.25" customHeight="1" x14ac:dyDescent="0.15">
      <c r="A674" s="13" t="s">
        <v>1373</v>
      </c>
      <c r="B674" s="13" t="s">
        <v>1950</v>
      </c>
      <c r="C674" s="1" t="s">
        <v>1005</v>
      </c>
      <c r="D674" s="12" t="s">
        <v>1003</v>
      </c>
      <c r="E674" s="12" t="s">
        <v>1006</v>
      </c>
      <c r="F674" s="31" t="s">
        <v>999</v>
      </c>
      <c r="G674" s="15">
        <f>일위노임!G296</f>
        <v>4.8399999999999999E-2</v>
      </c>
      <c r="H674" s="15">
        <f>합산자재!H346</f>
        <v>0</v>
      </c>
      <c r="I674" s="53" t="str">
        <f>IF(G674*H674&lt;&gt;0, TRUNC(G674*H674, 1), "")</f>
        <v/>
      </c>
      <c r="J674" s="15">
        <v>4.8399999999999999E-2</v>
      </c>
      <c r="K674" s="15">
        <f>합산자재!I346</f>
        <v>304156</v>
      </c>
      <c r="L674" s="53">
        <f>IF(G674*K674&lt;&gt;0, TRUNC(G674*K674, 1), "")</f>
        <v>14721.1</v>
      </c>
      <c r="M674" s="15">
        <f>합산자재!J346</f>
        <v>0</v>
      </c>
      <c r="N674" s="53" t="str">
        <f>IF(G674*M674&lt;&gt;0, TRUNC(G674*M674, 1), "")</f>
        <v/>
      </c>
      <c r="O674" s="15">
        <f>IF((H674+K674+M674)=0, "", (H674+K674+M674))</f>
        <v>304156</v>
      </c>
      <c r="P674" s="15">
        <f>IF(SUM(I674,L674,N674)&lt;&gt;0,SUM(I674,L674,N674),"")</f>
        <v>14721.1</v>
      </c>
      <c r="Q674" s="12"/>
    </row>
    <row r="675" spans="1:17" ht="23.25" customHeight="1" x14ac:dyDescent="0.15">
      <c r="A675" s="13" t="s">
        <v>2362</v>
      </c>
      <c r="B675" s="13" t="s">
        <v>1950</v>
      </c>
      <c r="C675" s="1" t="s">
        <v>2363</v>
      </c>
      <c r="D675" s="12" t="s">
        <v>2364</v>
      </c>
      <c r="E675" s="12" t="s">
        <v>2365</v>
      </c>
      <c r="F675" s="31" t="s">
        <v>792</v>
      </c>
      <c r="G675" s="15">
        <v>1</v>
      </c>
      <c r="H675" s="15">
        <v>294.39999999999998</v>
      </c>
      <c r="I675" s="53">
        <f>IF(G675*H675&lt;&gt;0, TRUNC(G675*H675, 1), "")</f>
        <v>294.39999999999998</v>
      </c>
      <c r="J675" s="15">
        <v>1</v>
      </c>
      <c r="K675" s="15"/>
      <c r="L675" s="53" t="str">
        <f>IF(G675*K675&lt;&gt;0, TRUNC(G675*K675, 1), "")</f>
        <v/>
      </c>
      <c r="M675" s="15"/>
      <c r="N675" s="53" t="str">
        <f>IF(G675*M675&lt;&gt;0, TRUNC(G675*M675, 1), "")</f>
        <v/>
      </c>
      <c r="O675" s="15">
        <f>IF((H675+K675+M675)=0, "", (H675+K675+M675))</f>
        <v>294.39999999999998</v>
      </c>
      <c r="P675" s="15">
        <f>IF(SUM(I675,L675,N675)&lt;&gt;0,SUM(I675,L675,N675),"")</f>
        <v>294.39999999999998</v>
      </c>
      <c r="Q675" s="12"/>
    </row>
    <row r="676" spans="1:17" ht="23.25" customHeight="1" x14ac:dyDescent="0.15">
      <c r="B676" s="13" t="s">
        <v>2360</v>
      </c>
      <c r="D676" s="12" t="s">
        <v>2361</v>
      </c>
      <c r="E676" s="12"/>
      <c r="F676" s="31"/>
      <c r="G676" s="15"/>
      <c r="H676" s="15"/>
      <c r="I676" s="53">
        <f>TRUNC(SUM(I671:I675))</f>
        <v>13040</v>
      </c>
      <c r="J676" s="15"/>
      <c r="K676" s="15"/>
      <c r="L676" s="53">
        <f>TRUNC(SUM(L671:L675))</f>
        <v>14721</v>
      </c>
      <c r="M676" s="15"/>
      <c r="N676" s="53">
        <f>TRUNC(SUM(N671:N675))</f>
        <v>0</v>
      </c>
      <c r="O676" s="15" t="str">
        <f>IF((H676+K676+M676)=0, "", (H676+K676+M676))</f>
        <v/>
      </c>
      <c r="P676" s="15">
        <f>IF(SUM(I676,L676,N676)&lt;&gt;0,SUM(I676,L676,N676),"")</f>
        <v>27761</v>
      </c>
      <c r="Q676" s="12"/>
    </row>
    <row r="677" spans="1:17" ht="23.25" customHeight="1" x14ac:dyDescent="0.15">
      <c r="D677" s="12"/>
      <c r="E677" s="12"/>
      <c r="F677" s="31"/>
      <c r="G677" s="15"/>
      <c r="H677" s="15"/>
      <c r="I677" s="53"/>
      <c r="J677" s="15"/>
      <c r="K677" s="15"/>
      <c r="L677" s="53"/>
      <c r="M677" s="15"/>
      <c r="N677" s="53"/>
      <c r="O677" s="15"/>
      <c r="P677" s="15"/>
      <c r="Q677" s="12"/>
    </row>
    <row r="678" spans="1:17" ht="23.25" customHeight="1" x14ac:dyDescent="0.15">
      <c r="A678" s="13" t="s">
        <v>2637</v>
      </c>
      <c r="B678" s="13" t="s">
        <v>2382</v>
      </c>
      <c r="C678" s="1" t="s">
        <v>2638</v>
      </c>
      <c r="D678" s="170" t="s">
        <v>2636</v>
      </c>
      <c r="E678" s="172"/>
      <c r="F678" s="31"/>
      <c r="G678" s="15"/>
      <c r="H678" s="15"/>
      <c r="I678" s="53"/>
      <c r="J678" s="15"/>
      <c r="K678" s="15"/>
      <c r="L678" s="53"/>
      <c r="M678" s="15"/>
      <c r="N678" s="53"/>
      <c r="O678" s="15"/>
      <c r="P678" s="15"/>
      <c r="Q678" s="12"/>
    </row>
    <row r="679" spans="1:17" ht="23.25" customHeight="1" x14ac:dyDescent="0.15">
      <c r="A679" s="13" t="s">
        <v>1133</v>
      </c>
      <c r="B679" s="13" t="s">
        <v>1953</v>
      </c>
      <c r="C679" s="1" t="s">
        <v>444</v>
      </c>
      <c r="D679" s="12" t="s">
        <v>445</v>
      </c>
      <c r="E679" s="12" t="s">
        <v>446</v>
      </c>
      <c r="F679" s="31" t="s">
        <v>166</v>
      </c>
      <c r="G679" s="15">
        <v>1</v>
      </c>
      <c r="H679" s="15">
        <f>합산자재!H109</f>
        <v>2106</v>
      </c>
      <c r="I679" s="53">
        <f>IF(G679*H679&lt;&gt;0, TRUNC(G679*H679, 1), "")</f>
        <v>2106</v>
      </c>
      <c r="J679" s="15">
        <v>1</v>
      </c>
      <c r="K679" s="15">
        <f>합산자재!I109</f>
        <v>0</v>
      </c>
      <c r="L679" s="53" t="str">
        <f>IF(G679*K679&lt;&gt;0, TRUNC(G679*K679, 1), "")</f>
        <v/>
      </c>
      <c r="M679" s="15">
        <f>합산자재!J109</f>
        <v>0</v>
      </c>
      <c r="N679" s="53" t="str">
        <f>IF(G679*M679&lt;&gt;0, TRUNC(G679*M679, 1), "")</f>
        <v/>
      </c>
      <c r="O679" s="15">
        <f>IF((H679+K679+M679)=0, "", (H679+K679+M679))</f>
        <v>2106</v>
      </c>
      <c r="P679" s="15">
        <f>IF(SUM(I679,L679,N679)&lt;&gt;0,SUM(I679,L679,N679),"")</f>
        <v>2106</v>
      </c>
      <c r="Q679" s="12"/>
    </row>
    <row r="680" spans="1:17" ht="23.25" customHeight="1" x14ac:dyDescent="0.15">
      <c r="A680" s="13" t="s">
        <v>1133</v>
      </c>
      <c r="B680" s="13" t="s">
        <v>1953</v>
      </c>
      <c r="C680" s="1" t="s">
        <v>444</v>
      </c>
      <c r="D680" s="12" t="s">
        <v>445</v>
      </c>
      <c r="E680" s="12" t="s">
        <v>446</v>
      </c>
      <c r="F680" s="31" t="s">
        <v>166</v>
      </c>
      <c r="G680" s="15">
        <v>0.05</v>
      </c>
      <c r="H680" s="15">
        <f>합산자재!H109</f>
        <v>2106</v>
      </c>
      <c r="I680" s="53">
        <f>IF(G680*H680&lt;&gt;0, TRUNC(G680*H680, 1), "")</f>
        <v>105.3</v>
      </c>
      <c r="J680" s="15">
        <v>0.05</v>
      </c>
      <c r="K680" s="15">
        <f>합산자재!I109</f>
        <v>0</v>
      </c>
      <c r="L680" s="53" t="str">
        <f>IF(G680*K680&lt;&gt;0, TRUNC(G680*K680, 1), "")</f>
        <v/>
      </c>
      <c r="M680" s="15">
        <f>합산자재!J109</f>
        <v>0</v>
      </c>
      <c r="N680" s="53" t="str">
        <f>IF(G680*M680&lt;&gt;0, TRUNC(G680*M680, 1), "")</f>
        <v/>
      </c>
      <c r="O680" s="15">
        <f>IF((H680+K680+M680)=0, "", (H680+K680+M680))</f>
        <v>2106</v>
      </c>
      <c r="P680" s="15">
        <f>IF(SUM(I680,L680,N680)&lt;&gt;0,SUM(I680,L680,N680),"")</f>
        <v>105.3</v>
      </c>
      <c r="Q680" s="12"/>
    </row>
    <row r="681" spans="1:17" ht="23.25" customHeight="1" x14ac:dyDescent="0.15">
      <c r="A681" s="13" t="s">
        <v>1373</v>
      </c>
      <c r="B681" s="13" t="s">
        <v>1953</v>
      </c>
      <c r="C681" s="1" t="s">
        <v>1005</v>
      </c>
      <c r="D681" s="12" t="s">
        <v>1003</v>
      </c>
      <c r="E681" s="12" t="s">
        <v>1006</v>
      </c>
      <c r="F681" s="31" t="s">
        <v>999</v>
      </c>
      <c r="G681" s="15">
        <f>일위노임!G299</f>
        <v>1.6E-2</v>
      </c>
      <c r="H681" s="15">
        <f>합산자재!H346</f>
        <v>0</v>
      </c>
      <c r="I681" s="53" t="str">
        <f>IF(G681*H681&lt;&gt;0, TRUNC(G681*H681, 1), "")</f>
        <v/>
      </c>
      <c r="J681" s="15">
        <v>1.6E-2</v>
      </c>
      <c r="K681" s="15">
        <f>합산자재!I346</f>
        <v>304156</v>
      </c>
      <c r="L681" s="53">
        <f>IF(G681*K681&lt;&gt;0, TRUNC(G681*K681, 1), "")</f>
        <v>4866.3999999999996</v>
      </c>
      <c r="M681" s="15">
        <f>합산자재!J346</f>
        <v>0</v>
      </c>
      <c r="N681" s="53" t="str">
        <f>IF(G681*M681&lt;&gt;0, TRUNC(G681*M681, 1), "")</f>
        <v/>
      </c>
      <c r="O681" s="15">
        <f>IF((H681+K681+M681)=0, "", (H681+K681+M681))</f>
        <v>304156</v>
      </c>
      <c r="P681" s="15">
        <f>IF(SUM(I681,L681,N681)&lt;&gt;0,SUM(I681,L681,N681),"")</f>
        <v>4866.3999999999996</v>
      </c>
      <c r="Q681" s="12"/>
    </row>
    <row r="682" spans="1:17" ht="23.25" customHeight="1" x14ac:dyDescent="0.15">
      <c r="A682" s="13" t="s">
        <v>2362</v>
      </c>
      <c r="B682" s="13" t="s">
        <v>1953</v>
      </c>
      <c r="C682" s="1" t="s">
        <v>2363</v>
      </c>
      <c r="D682" s="12" t="s">
        <v>2364</v>
      </c>
      <c r="E682" s="12" t="s">
        <v>2365</v>
      </c>
      <c r="F682" s="31" t="s">
        <v>792</v>
      </c>
      <c r="G682" s="15">
        <v>1</v>
      </c>
      <c r="H682" s="15">
        <v>97.3</v>
      </c>
      <c r="I682" s="53">
        <f>IF(G682*H682&lt;&gt;0, TRUNC(G682*H682, 1), "")</f>
        <v>97.3</v>
      </c>
      <c r="J682" s="15">
        <v>1</v>
      </c>
      <c r="K682" s="15"/>
      <c r="L682" s="53" t="str">
        <f>IF(G682*K682&lt;&gt;0, TRUNC(G682*K682, 1), "")</f>
        <v/>
      </c>
      <c r="M682" s="15"/>
      <c r="N682" s="53" t="str">
        <f>IF(G682*M682&lt;&gt;0, TRUNC(G682*M682, 1), "")</f>
        <v/>
      </c>
      <c r="O682" s="15">
        <f>IF((H682+K682+M682)=0, "", (H682+K682+M682))</f>
        <v>97.3</v>
      </c>
      <c r="P682" s="15">
        <f>IF(SUM(I682,L682,N682)&lt;&gt;0,SUM(I682,L682,N682),"")</f>
        <v>97.3</v>
      </c>
      <c r="Q682" s="12"/>
    </row>
    <row r="683" spans="1:17" ht="23.25" customHeight="1" x14ac:dyDescent="0.15">
      <c r="B683" s="13" t="s">
        <v>2360</v>
      </c>
      <c r="D683" s="12" t="s">
        <v>2361</v>
      </c>
      <c r="E683" s="12"/>
      <c r="F683" s="31"/>
      <c r="G683" s="15"/>
      <c r="H683" s="15"/>
      <c r="I683" s="53">
        <f>TRUNC(SUM(I678:I682))</f>
        <v>2308</v>
      </c>
      <c r="J683" s="15"/>
      <c r="K683" s="15"/>
      <c r="L683" s="53">
        <f>TRUNC(SUM(L678:L682))</f>
        <v>4866</v>
      </c>
      <c r="M683" s="15"/>
      <c r="N683" s="53">
        <f>TRUNC(SUM(N678:N682))</f>
        <v>0</v>
      </c>
      <c r="O683" s="15" t="str">
        <f>IF((H683+K683+M683)=0, "", (H683+K683+M683))</f>
        <v/>
      </c>
      <c r="P683" s="15">
        <f>IF(SUM(I683,L683,N683)&lt;&gt;0,SUM(I683,L683,N683),"")</f>
        <v>7174</v>
      </c>
      <c r="Q683" s="12"/>
    </row>
    <row r="684" spans="1:17" ht="23.25" customHeight="1" x14ac:dyDescent="0.15">
      <c r="D684" s="12"/>
      <c r="E684" s="12"/>
      <c r="F684" s="31"/>
      <c r="G684" s="15"/>
      <c r="H684" s="15"/>
      <c r="I684" s="53"/>
      <c r="J684" s="15"/>
      <c r="K684" s="15"/>
      <c r="L684" s="53"/>
      <c r="M684" s="15"/>
      <c r="N684" s="53"/>
      <c r="O684" s="15"/>
      <c r="P684" s="15"/>
      <c r="Q684" s="12"/>
    </row>
    <row r="685" spans="1:17" ht="23.25" customHeight="1" x14ac:dyDescent="0.15">
      <c r="A685" s="13" t="s">
        <v>2640</v>
      </c>
      <c r="B685" s="13" t="s">
        <v>2382</v>
      </c>
      <c r="C685" s="1" t="s">
        <v>2641</v>
      </c>
      <c r="D685" s="170" t="s">
        <v>2639</v>
      </c>
      <c r="E685" s="172"/>
      <c r="F685" s="31"/>
      <c r="G685" s="15"/>
      <c r="H685" s="15"/>
      <c r="I685" s="53"/>
      <c r="J685" s="15"/>
      <c r="K685" s="15"/>
      <c r="L685" s="53"/>
      <c r="M685" s="15"/>
      <c r="N685" s="53"/>
      <c r="O685" s="15"/>
      <c r="P685" s="15"/>
      <c r="Q685" s="12"/>
    </row>
    <row r="686" spans="1:17" ht="23.25" customHeight="1" x14ac:dyDescent="0.15">
      <c r="A686" s="13" t="s">
        <v>1134</v>
      </c>
      <c r="B686" s="13" t="s">
        <v>1956</v>
      </c>
      <c r="C686" s="1" t="s">
        <v>447</v>
      </c>
      <c r="D686" s="12" t="s">
        <v>445</v>
      </c>
      <c r="E686" s="12" t="s">
        <v>448</v>
      </c>
      <c r="F686" s="31" t="s">
        <v>166</v>
      </c>
      <c r="G686" s="15">
        <v>1</v>
      </c>
      <c r="H686" s="15">
        <f>합산자재!H110</f>
        <v>2772</v>
      </c>
      <c r="I686" s="53">
        <f>IF(G686*H686&lt;&gt;0, TRUNC(G686*H686, 1), "")</f>
        <v>2772</v>
      </c>
      <c r="J686" s="15">
        <v>1</v>
      </c>
      <c r="K686" s="15">
        <f>합산자재!I110</f>
        <v>0</v>
      </c>
      <c r="L686" s="53" t="str">
        <f>IF(G686*K686&lt;&gt;0, TRUNC(G686*K686, 1), "")</f>
        <v/>
      </c>
      <c r="M686" s="15">
        <f>합산자재!J110</f>
        <v>0</v>
      </c>
      <c r="N686" s="53" t="str">
        <f>IF(G686*M686&lt;&gt;0, TRUNC(G686*M686, 1), "")</f>
        <v/>
      </c>
      <c r="O686" s="15">
        <f>IF((H686+K686+M686)=0, "", (H686+K686+M686))</f>
        <v>2772</v>
      </c>
      <c r="P686" s="15">
        <f>IF(SUM(I686,L686,N686)&lt;&gt;0,SUM(I686,L686,N686),"")</f>
        <v>2772</v>
      </c>
      <c r="Q686" s="12"/>
    </row>
    <row r="687" spans="1:17" ht="23.25" customHeight="1" x14ac:dyDescent="0.15">
      <c r="A687" s="13" t="s">
        <v>1134</v>
      </c>
      <c r="B687" s="13" t="s">
        <v>1956</v>
      </c>
      <c r="C687" s="1" t="s">
        <v>447</v>
      </c>
      <c r="D687" s="12" t="s">
        <v>445</v>
      </c>
      <c r="E687" s="12" t="s">
        <v>448</v>
      </c>
      <c r="F687" s="31" t="s">
        <v>166</v>
      </c>
      <c r="G687" s="15">
        <v>0.05</v>
      </c>
      <c r="H687" s="15">
        <f>합산자재!H110</f>
        <v>2772</v>
      </c>
      <c r="I687" s="53">
        <f>IF(G687*H687&lt;&gt;0, TRUNC(G687*H687, 1), "")</f>
        <v>138.6</v>
      </c>
      <c r="J687" s="15">
        <v>0.05</v>
      </c>
      <c r="K687" s="15">
        <f>합산자재!I110</f>
        <v>0</v>
      </c>
      <c r="L687" s="53" t="str">
        <f>IF(G687*K687&lt;&gt;0, TRUNC(G687*K687, 1), "")</f>
        <v/>
      </c>
      <c r="M687" s="15">
        <f>합산자재!J110</f>
        <v>0</v>
      </c>
      <c r="N687" s="53" t="str">
        <f>IF(G687*M687&lt;&gt;0, TRUNC(G687*M687, 1), "")</f>
        <v/>
      </c>
      <c r="O687" s="15">
        <f>IF((H687+K687+M687)=0, "", (H687+K687+M687))</f>
        <v>2772</v>
      </c>
      <c r="P687" s="15">
        <f>IF(SUM(I687,L687,N687)&lt;&gt;0,SUM(I687,L687,N687),"")</f>
        <v>138.6</v>
      </c>
      <c r="Q687" s="12"/>
    </row>
    <row r="688" spans="1:17" ht="23.25" customHeight="1" x14ac:dyDescent="0.15">
      <c r="A688" s="13" t="s">
        <v>1373</v>
      </c>
      <c r="B688" s="13" t="s">
        <v>1956</v>
      </c>
      <c r="C688" s="1" t="s">
        <v>1005</v>
      </c>
      <c r="D688" s="12" t="s">
        <v>1003</v>
      </c>
      <c r="E688" s="12" t="s">
        <v>1006</v>
      </c>
      <c r="F688" s="31" t="s">
        <v>999</v>
      </c>
      <c r="G688" s="15">
        <f>일위노임!G302</f>
        <v>1.7999999999999999E-2</v>
      </c>
      <c r="H688" s="15">
        <f>합산자재!H346</f>
        <v>0</v>
      </c>
      <c r="I688" s="53" t="str">
        <f>IF(G688*H688&lt;&gt;0, TRUNC(G688*H688, 1), "")</f>
        <v/>
      </c>
      <c r="J688" s="15">
        <v>1.7999999999999999E-2</v>
      </c>
      <c r="K688" s="15">
        <f>합산자재!I346</f>
        <v>304156</v>
      </c>
      <c r="L688" s="53">
        <f>IF(G688*K688&lt;&gt;0, TRUNC(G688*K688, 1), "")</f>
        <v>5474.8</v>
      </c>
      <c r="M688" s="15">
        <f>합산자재!J346</f>
        <v>0</v>
      </c>
      <c r="N688" s="53" t="str">
        <f>IF(G688*M688&lt;&gt;0, TRUNC(G688*M688, 1), "")</f>
        <v/>
      </c>
      <c r="O688" s="15">
        <f>IF((H688+K688+M688)=0, "", (H688+K688+M688))</f>
        <v>304156</v>
      </c>
      <c r="P688" s="15">
        <f>IF(SUM(I688,L688,N688)&lt;&gt;0,SUM(I688,L688,N688),"")</f>
        <v>5474.8</v>
      </c>
      <c r="Q688" s="12"/>
    </row>
    <row r="689" spans="1:17" ht="23.25" customHeight="1" x14ac:dyDescent="0.15">
      <c r="A689" s="13" t="s">
        <v>2362</v>
      </c>
      <c r="B689" s="13" t="s">
        <v>1956</v>
      </c>
      <c r="C689" s="1" t="s">
        <v>2363</v>
      </c>
      <c r="D689" s="12" t="s">
        <v>2364</v>
      </c>
      <c r="E689" s="12" t="s">
        <v>2365</v>
      </c>
      <c r="F689" s="31" t="s">
        <v>792</v>
      </c>
      <c r="G689" s="15">
        <v>1</v>
      </c>
      <c r="H689" s="15">
        <v>109.4</v>
      </c>
      <c r="I689" s="53">
        <f>IF(G689*H689&lt;&gt;0, TRUNC(G689*H689, 1), "")</f>
        <v>109.4</v>
      </c>
      <c r="J689" s="15">
        <v>1</v>
      </c>
      <c r="K689" s="15"/>
      <c r="L689" s="53" t="str">
        <f>IF(G689*K689&lt;&gt;0, TRUNC(G689*K689, 1), "")</f>
        <v/>
      </c>
      <c r="M689" s="15"/>
      <c r="N689" s="53" t="str">
        <f>IF(G689*M689&lt;&gt;0, TRUNC(G689*M689, 1), "")</f>
        <v/>
      </c>
      <c r="O689" s="15">
        <f>IF((H689+K689+M689)=0, "", (H689+K689+M689))</f>
        <v>109.4</v>
      </c>
      <c r="P689" s="15">
        <f>IF(SUM(I689,L689,N689)&lt;&gt;0,SUM(I689,L689,N689),"")</f>
        <v>109.4</v>
      </c>
      <c r="Q689" s="12"/>
    </row>
    <row r="690" spans="1:17" ht="23.25" customHeight="1" x14ac:dyDescent="0.15">
      <c r="B690" s="13" t="s">
        <v>2360</v>
      </c>
      <c r="D690" s="12" t="s">
        <v>2361</v>
      </c>
      <c r="E690" s="12"/>
      <c r="F690" s="31"/>
      <c r="G690" s="15"/>
      <c r="H690" s="15"/>
      <c r="I690" s="53">
        <f>TRUNC(SUM(I685:I689))</f>
        <v>3020</v>
      </c>
      <c r="J690" s="15"/>
      <c r="K690" s="15"/>
      <c r="L690" s="53">
        <f>TRUNC(SUM(L685:L689))</f>
        <v>5474</v>
      </c>
      <c r="M690" s="15"/>
      <c r="N690" s="53">
        <f>TRUNC(SUM(N685:N689))</f>
        <v>0</v>
      </c>
      <c r="O690" s="15" t="str">
        <f>IF((H690+K690+M690)=0, "", (H690+K690+M690))</f>
        <v/>
      </c>
      <c r="P690" s="15">
        <f>IF(SUM(I690,L690,N690)&lt;&gt;0,SUM(I690,L690,N690),"")</f>
        <v>8494</v>
      </c>
      <c r="Q690" s="12"/>
    </row>
    <row r="691" spans="1:17" ht="23.25" customHeight="1" x14ac:dyDescent="0.15">
      <c r="D691" s="12"/>
      <c r="E691" s="12"/>
      <c r="F691" s="31"/>
      <c r="G691" s="15"/>
      <c r="H691" s="15"/>
      <c r="I691" s="53"/>
      <c r="J691" s="15"/>
      <c r="K691" s="15"/>
      <c r="L691" s="53"/>
      <c r="M691" s="15"/>
      <c r="N691" s="53"/>
      <c r="O691" s="15"/>
      <c r="P691" s="15"/>
      <c r="Q691" s="12"/>
    </row>
    <row r="692" spans="1:17" ht="23.25" customHeight="1" x14ac:dyDescent="0.15">
      <c r="A692" s="13" t="s">
        <v>2643</v>
      </c>
      <c r="B692" s="13" t="s">
        <v>2382</v>
      </c>
      <c r="C692" s="1" t="s">
        <v>2644</v>
      </c>
      <c r="D692" s="170" t="s">
        <v>2642</v>
      </c>
      <c r="E692" s="172"/>
      <c r="F692" s="31"/>
      <c r="G692" s="15"/>
      <c r="H692" s="15"/>
      <c r="I692" s="53"/>
      <c r="J692" s="15"/>
      <c r="K692" s="15"/>
      <c r="L692" s="53"/>
      <c r="M692" s="15"/>
      <c r="N692" s="53"/>
      <c r="O692" s="15"/>
      <c r="P692" s="15"/>
      <c r="Q692" s="12"/>
    </row>
    <row r="693" spans="1:17" ht="23.25" customHeight="1" x14ac:dyDescent="0.15">
      <c r="A693" s="13" t="s">
        <v>1135</v>
      </c>
      <c r="B693" s="13" t="s">
        <v>1959</v>
      </c>
      <c r="C693" s="1" t="s">
        <v>449</v>
      </c>
      <c r="D693" s="12" t="s">
        <v>445</v>
      </c>
      <c r="E693" s="12" t="s">
        <v>450</v>
      </c>
      <c r="F693" s="31" t="s">
        <v>166</v>
      </c>
      <c r="G693" s="15">
        <v>1</v>
      </c>
      <c r="H693" s="15">
        <f>합산자재!H111</f>
        <v>4101</v>
      </c>
      <c r="I693" s="53">
        <f>IF(G693*H693&lt;&gt;0, TRUNC(G693*H693, 1), "")</f>
        <v>4101</v>
      </c>
      <c r="J693" s="15">
        <v>1</v>
      </c>
      <c r="K693" s="15">
        <f>합산자재!I111</f>
        <v>0</v>
      </c>
      <c r="L693" s="53" t="str">
        <f>IF(G693*K693&lt;&gt;0, TRUNC(G693*K693, 1), "")</f>
        <v/>
      </c>
      <c r="M693" s="15">
        <f>합산자재!J111</f>
        <v>0</v>
      </c>
      <c r="N693" s="53" t="str">
        <f>IF(G693*M693&lt;&gt;0, TRUNC(G693*M693, 1), "")</f>
        <v/>
      </c>
      <c r="O693" s="15">
        <f>IF((H693+K693+M693)=0, "", (H693+K693+M693))</f>
        <v>4101</v>
      </c>
      <c r="P693" s="15">
        <f>IF(SUM(I693,L693,N693)&lt;&gt;0,SUM(I693,L693,N693),"")</f>
        <v>4101</v>
      </c>
      <c r="Q693" s="12"/>
    </row>
    <row r="694" spans="1:17" ht="23.25" customHeight="1" x14ac:dyDescent="0.15">
      <c r="A694" s="13" t="s">
        <v>1135</v>
      </c>
      <c r="B694" s="13" t="s">
        <v>1959</v>
      </c>
      <c r="C694" s="1" t="s">
        <v>449</v>
      </c>
      <c r="D694" s="12" t="s">
        <v>445</v>
      </c>
      <c r="E694" s="12" t="s">
        <v>450</v>
      </c>
      <c r="F694" s="31" t="s">
        <v>166</v>
      </c>
      <c r="G694" s="15">
        <v>0.05</v>
      </c>
      <c r="H694" s="15">
        <f>합산자재!H111</f>
        <v>4101</v>
      </c>
      <c r="I694" s="53">
        <f>IF(G694*H694&lt;&gt;0, TRUNC(G694*H694, 1), "")</f>
        <v>205</v>
      </c>
      <c r="J694" s="15">
        <v>0.05</v>
      </c>
      <c r="K694" s="15">
        <f>합산자재!I111</f>
        <v>0</v>
      </c>
      <c r="L694" s="53" t="str">
        <f>IF(G694*K694&lt;&gt;0, TRUNC(G694*K694, 1), "")</f>
        <v/>
      </c>
      <c r="M694" s="15">
        <f>합산자재!J111</f>
        <v>0</v>
      </c>
      <c r="N694" s="53" t="str">
        <f>IF(G694*M694&lt;&gt;0, TRUNC(G694*M694, 1), "")</f>
        <v/>
      </c>
      <c r="O694" s="15">
        <f>IF((H694+K694+M694)=0, "", (H694+K694+M694))</f>
        <v>4101</v>
      </c>
      <c r="P694" s="15">
        <f>IF(SUM(I694,L694,N694)&lt;&gt;0,SUM(I694,L694,N694),"")</f>
        <v>205</v>
      </c>
      <c r="Q694" s="12"/>
    </row>
    <row r="695" spans="1:17" ht="23.25" customHeight="1" x14ac:dyDescent="0.15">
      <c r="A695" s="13" t="s">
        <v>1373</v>
      </c>
      <c r="B695" s="13" t="s">
        <v>1959</v>
      </c>
      <c r="C695" s="1" t="s">
        <v>1005</v>
      </c>
      <c r="D695" s="12" t="s">
        <v>1003</v>
      </c>
      <c r="E695" s="12" t="s">
        <v>1006</v>
      </c>
      <c r="F695" s="31" t="s">
        <v>999</v>
      </c>
      <c r="G695" s="15">
        <f>일위노임!G305</f>
        <v>2.5000000000000001E-2</v>
      </c>
      <c r="H695" s="15">
        <f>합산자재!H346</f>
        <v>0</v>
      </c>
      <c r="I695" s="53" t="str">
        <f>IF(G695*H695&lt;&gt;0, TRUNC(G695*H695, 1), "")</f>
        <v/>
      </c>
      <c r="J695" s="15">
        <v>2.5000000000000001E-2</v>
      </c>
      <c r="K695" s="15">
        <f>합산자재!I346</f>
        <v>304156</v>
      </c>
      <c r="L695" s="53">
        <f>IF(G695*K695&lt;&gt;0, TRUNC(G695*K695, 1), "")</f>
        <v>7603.9</v>
      </c>
      <c r="M695" s="15">
        <f>합산자재!J346</f>
        <v>0</v>
      </c>
      <c r="N695" s="53" t="str">
        <f>IF(G695*M695&lt;&gt;0, TRUNC(G695*M695, 1), "")</f>
        <v/>
      </c>
      <c r="O695" s="15">
        <f>IF((H695+K695+M695)=0, "", (H695+K695+M695))</f>
        <v>304156</v>
      </c>
      <c r="P695" s="15">
        <f>IF(SUM(I695,L695,N695)&lt;&gt;0,SUM(I695,L695,N695),"")</f>
        <v>7603.9</v>
      </c>
      <c r="Q695" s="12"/>
    </row>
    <row r="696" spans="1:17" ht="23.25" customHeight="1" x14ac:dyDescent="0.15">
      <c r="A696" s="13" t="s">
        <v>2362</v>
      </c>
      <c r="B696" s="13" t="s">
        <v>1959</v>
      </c>
      <c r="C696" s="1" t="s">
        <v>2363</v>
      </c>
      <c r="D696" s="12" t="s">
        <v>2364</v>
      </c>
      <c r="E696" s="12" t="s">
        <v>2365</v>
      </c>
      <c r="F696" s="31" t="s">
        <v>792</v>
      </c>
      <c r="G696" s="15">
        <v>1</v>
      </c>
      <c r="H696" s="15">
        <v>152</v>
      </c>
      <c r="I696" s="53">
        <f>IF(G696*H696&lt;&gt;0, TRUNC(G696*H696, 1), "")</f>
        <v>152</v>
      </c>
      <c r="J696" s="15">
        <v>1</v>
      </c>
      <c r="K696" s="15"/>
      <c r="L696" s="53" t="str">
        <f>IF(G696*K696&lt;&gt;0, TRUNC(G696*K696, 1), "")</f>
        <v/>
      </c>
      <c r="M696" s="15"/>
      <c r="N696" s="53" t="str">
        <f>IF(G696*M696&lt;&gt;0, TRUNC(G696*M696, 1), "")</f>
        <v/>
      </c>
      <c r="O696" s="15">
        <f>IF((H696+K696+M696)=0, "", (H696+K696+M696))</f>
        <v>152</v>
      </c>
      <c r="P696" s="15">
        <f>IF(SUM(I696,L696,N696)&lt;&gt;0,SUM(I696,L696,N696),"")</f>
        <v>152</v>
      </c>
      <c r="Q696" s="12"/>
    </row>
    <row r="697" spans="1:17" ht="23.25" customHeight="1" x14ac:dyDescent="0.15">
      <c r="B697" s="13" t="s">
        <v>2360</v>
      </c>
      <c r="D697" s="12" t="s">
        <v>2361</v>
      </c>
      <c r="E697" s="12"/>
      <c r="F697" s="31"/>
      <c r="G697" s="15"/>
      <c r="H697" s="15"/>
      <c r="I697" s="53">
        <f>TRUNC(SUM(I692:I696))</f>
        <v>4458</v>
      </c>
      <c r="J697" s="15"/>
      <c r="K697" s="15"/>
      <c r="L697" s="53">
        <f>TRUNC(SUM(L692:L696))</f>
        <v>7603</v>
      </c>
      <c r="M697" s="15"/>
      <c r="N697" s="53">
        <f>TRUNC(SUM(N692:N696))</f>
        <v>0</v>
      </c>
      <c r="O697" s="15" t="str">
        <f>IF((H697+K697+M697)=0, "", (H697+K697+M697))</f>
        <v/>
      </c>
      <c r="P697" s="15">
        <f>IF(SUM(I697,L697,N697)&lt;&gt;0,SUM(I697,L697,N697),"")</f>
        <v>12061</v>
      </c>
      <c r="Q697" s="12"/>
    </row>
    <row r="698" spans="1:17" ht="23.25" customHeight="1" x14ac:dyDescent="0.15">
      <c r="D698" s="12"/>
      <c r="E698" s="12"/>
      <c r="F698" s="31"/>
      <c r="G698" s="15"/>
      <c r="H698" s="15"/>
      <c r="I698" s="53"/>
      <c r="J698" s="15"/>
      <c r="K698" s="15"/>
      <c r="L698" s="53"/>
      <c r="M698" s="15"/>
      <c r="N698" s="53"/>
      <c r="O698" s="15"/>
      <c r="P698" s="15"/>
      <c r="Q698" s="12"/>
    </row>
    <row r="699" spans="1:17" ht="23.25" customHeight="1" x14ac:dyDescent="0.15">
      <c r="A699" s="13" t="s">
        <v>2646</v>
      </c>
      <c r="B699" s="13" t="s">
        <v>2382</v>
      </c>
      <c r="C699" s="1" t="s">
        <v>2647</v>
      </c>
      <c r="D699" s="170" t="s">
        <v>2645</v>
      </c>
      <c r="E699" s="172"/>
      <c r="F699" s="31"/>
      <c r="G699" s="15"/>
      <c r="H699" s="15"/>
      <c r="I699" s="53"/>
      <c r="J699" s="15"/>
      <c r="K699" s="15"/>
      <c r="L699" s="53"/>
      <c r="M699" s="15"/>
      <c r="N699" s="53"/>
      <c r="O699" s="15"/>
      <c r="P699" s="15"/>
      <c r="Q699" s="12"/>
    </row>
    <row r="700" spans="1:17" ht="23.25" customHeight="1" x14ac:dyDescent="0.15">
      <c r="A700" s="13" t="s">
        <v>1136</v>
      </c>
      <c r="B700" s="13" t="s">
        <v>1962</v>
      </c>
      <c r="C700" s="1" t="s">
        <v>451</v>
      </c>
      <c r="D700" s="12" t="s">
        <v>445</v>
      </c>
      <c r="E700" s="12" t="s">
        <v>452</v>
      </c>
      <c r="F700" s="31" t="s">
        <v>166</v>
      </c>
      <c r="G700" s="15">
        <v>1</v>
      </c>
      <c r="H700" s="15">
        <f>합산자재!H112</f>
        <v>2800</v>
      </c>
      <c r="I700" s="53">
        <f>IF(G700*H700&lt;&gt;0, TRUNC(G700*H700, 1), "")</f>
        <v>2800</v>
      </c>
      <c r="J700" s="15">
        <v>1</v>
      </c>
      <c r="K700" s="15">
        <f>합산자재!I112</f>
        <v>0</v>
      </c>
      <c r="L700" s="53" t="str">
        <f>IF(G700*K700&lt;&gt;0, TRUNC(G700*K700, 1), "")</f>
        <v/>
      </c>
      <c r="M700" s="15">
        <f>합산자재!J112</f>
        <v>0</v>
      </c>
      <c r="N700" s="53" t="str">
        <f>IF(G700*M700&lt;&gt;0, TRUNC(G700*M700, 1), "")</f>
        <v/>
      </c>
      <c r="O700" s="15">
        <f>IF((H700+K700+M700)=0, "", (H700+K700+M700))</f>
        <v>2800</v>
      </c>
      <c r="P700" s="15">
        <f>IF(SUM(I700,L700,N700)&lt;&gt;0,SUM(I700,L700,N700),"")</f>
        <v>2800</v>
      </c>
      <c r="Q700" s="12"/>
    </row>
    <row r="701" spans="1:17" ht="23.25" customHeight="1" x14ac:dyDescent="0.15">
      <c r="A701" s="13" t="s">
        <v>1136</v>
      </c>
      <c r="B701" s="13" t="s">
        <v>1962</v>
      </c>
      <c r="C701" s="1" t="s">
        <v>451</v>
      </c>
      <c r="D701" s="12" t="s">
        <v>445</v>
      </c>
      <c r="E701" s="12" t="s">
        <v>452</v>
      </c>
      <c r="F701" s="31" t="s">
        <v>166</v>
      </c>
      <c r="G701" s="15">
        <v>0.05</v>
      </c>
      <c r="H701" s="15">
        <f>합산자재!H112</f>
        <v>2800</v>
      </c>
      <c r="I701" s="53">
        <f>IF(G701*H701&lt;&gt;0, TRUNC(G701*H701, 1), "")</f>
        <v>140</v>
      </c>
      <c r="J701" s="15">
        <v>0.05</v>
      </c>
      <c r="K701" s="15">
        <f>합산자재!I112</f>
        <v>0</v>
      </c>
      <c r="L701" s="53" t="str">
        <f>IF(G701*K701&lt;&gt;0, TRUNC(G701*K701, 1), "")</f>
        <v/>
      </c>
      <c r="M701" s="15">
        <f>합산자재!J112</f>
        <v>0</v>
      </c>
      <c r="N701" s="53" t="str">
        <f>IF(G701*M701&lt;&gt;0, TRUNC(G701*M701, 1), "")</f>
        <v/>
      </c>
      <c r="O701" s="15">
        <f>IF((H701+K701+M701)=0, "", (H701+K701+M701))</f>
        <v>2800</v>
      </c>
      <c r="P701" s="15">
        <f>IF(SUM(I701,L701,N701)&lt;&gt;0,SUM(I701,L701,N701),"")</f>
        <v>140</v>
      </c>
      <c r="Q701" s="12"/>
    </row>
    <row r="702" spans="1:17" ht="23.25" customHeight="1" x14ac:dyDescent="0.15">
      <c r="A702" s="13" t="s">
        <v>1373</v>
      </c>
      <c r="B702" s="13" t="s">
        <v>1962</v>
      </c>
      <c r="C702" s="1" t="s">
        <v>1005</v>
      </c>
      <c r="D702" s="12" t="s">
        <v>1003</v>
      </c>
      <c r="E702" s="12" t="s">
        <v>1006</v>
      </c>
      <c r="F702" s="31" t="s">
        <v>999</v>
      </c>
      <c r="G702" s="15">
        <f>일위노임!G308</f>
        <v>2.1999999999999999E-2</v>
      </c>
      <c r="H702" s="15">
        <f>합산자재!H346</f>
        <v>0</v>
      </c>
      <c r="I702" s="53" t="str">
        <f>IF(G702*H702&lt;&gt;0, TRUNC(G702*H702, 1), "")</f>
        <v/>
      </c>
      <c r="J702" s="15">
        <v>2.1999999999999999E-2</v>
      </c>
      <c r="K702" s="15">
        <f>합산자재!I346</f>
        <v>304156</v>
      </c>
      <c r="L702" s="53">
        <f>IF(G702*K702&lt;&gt;0, TRUNC(G702*K702, 1), "")</f>
        <v>6691.4</v>
      </c>
      <c r="M702" s="15">
        <f>합산자재!J346</f>
        <v>0</v>
      </c>
      <c r="N702" s="53" t="str">
        <f>IF(G702*M702&lt;&gt;0, TRUNC(G702*M702, 1), "")</f>
        <v/>
      </c>
      <c r="O702" s="15">
        <f>IF((H702+K702+M702)=0, "", (H702+K702+M702))</f>
        <v>304156</v>
      </c>
      <c r="P702" s="15">
        <f>IF(SUM(I702,L702,N702)&lt;&gt;0,SUM(I702,L702,N702),"")</f>
        <v>6691.4</v>
      </c>
      <c r="Q702" s="12"/>
    </row>
    <row r="703" spans="1:17" ht="23.25" customHeight="1" x14ac:dyDescent="0.15">
      <c r="A703" s="13" t="s">
        <v>2362</v>
      </c>
      <c r="B703" s="13" t="s">
        <v>1962</v>
      </c>
      <c r="C703" s="1" t="s">
        <v>2363</v>
      </c>
      <c r="D703" s="12" t="s">
        <v>2364</v>
      </c>
      <c r="E703" s="12" t="s">
        <v>2365</v>
      </c>
      <c r="F703" s="31" t="s">
        <v>792</v>
      </c>
      <c r="G703" s="15">
        <v>1</v>
      </c>
      <c r="H703" s="15">
        <v>133.80000000000001</v>
      </c>
      <c r="I703" s="53">
        <f>IF(G703*H703&lt;&gt;0, TRUNC(G703*H703, 1), "")</f>
        <v>133.80000000000001</v>
      </c>
      <c r="J703" s="15">
        <v>1</v>
      </c>
      <c r="K703" s="15"/>
      <c r="L703" s="53" t="str">
        <f>IF(G703*K703&lt;&gt;0, TRUNC(G703*K703, 1), "")</f>
        <v/>
      </c>
      <c r="M703" s="15"/>
      <c r="N703" s="53" t="str">
        <f>IF(G703*M703&lt;&gt;0, TRUNC(G703*M703, 1), "")</f>
        <v/>
      </c>
      <c r="O703" s="15">
        <f>IF((H703+K703+M703)=0, "", (H703+K703+M703))</f>
        <v>133.80000000000001</v>
      </c>
      <c r="P703" s="15">
        <f>IF(SUM(I703,L703,N703)&lt;&gt;0,SUM(I703,L703,N703),"")</f>
        <v>133.80000000000001</v>
      </c>
      <c r="Q703" s="12"/>
    </row>
    <row r="704" spans="1:17" ht="23.25" customHeight="1" x14ac:dyDescent="0.15">
      <c r="B704" s="13" t="s">
        <v>2360</v>
      </c>
      <c r="D704" s="12" t="s">
        <v>2361</v>
      </c>
      <c r="E704" s="12"/>
      <c r="F704" s="31"/>
      <c r="G704" s="15"/>
      <c r="H704" s="15"/>
      <c r="I704" s="53">
        <f>TRUNC(SUM(I699:I703))</f>
        <v>3073</v>
      </c>
      <c r="J704" s="15"/>
      <c r="K704" s="15"/>
      <c r="L704" s="53">
        <f>TRUNC(SUM(L699:L703))</f>
        <v>6691</v>
      </c>
      <c r="M704" s="15"/>
      <c r="N704" s="53">
        <f>TRUNC(SUM(N699:N703))</f>
        <v>0</v>
      </c>
      <c r="O704" s="15" t="str">
        <f>IF((H704+K704+M704)=0, "", (H704+K704+M704))</f>
        <v/>
      </c>
      <c r="P704" s="15">
        <f>IF(SUM(I704,L704,N704)&lt;&gt;0,SUM(I704,L704,N704),"")</f>
        <v>9764</v>
      </c>
      <c r="Q704" s="12"/>
    </row>
    <row r="705" spans="1:17" ht="23.25" customHeight="1" x14ac:dyDescent="0.15">
      <c r="D705" s="12"/>
      <c r="E705" s="12"/>
      <c r="F705" s="31"/>
      <c r="G705" s="15"/>
      <c r="H705" s="15"/>
      <c r="I705" s="53"/>
      <c r="J705" s="15"/>
      <c r="K705" s="15"/>
      <c r="L705" s="53"/>
      <c r="M705" s="15"/>
      <c r="N705" s="53"/>
      <c r="O705" s="15"/>
      <c r="P705" s="15"/>
      <c r="Q705" s="12"/>
    </row>
    <row r="706" spans="1:17" ht="23.25" customHeight="1" x14ac:dyDescent="0.15">
      <c r="A706" s="13" t="s">
        <v>2649</v>
      </c>
      <c r="B706" s="13" t="s">
        <v>2382</v>
      </c>
      <c r="C706" s="1" t="s">
        <v>2650</v>
      </c>
      <c r="D706" s="170" t="s">
        <v>2648</v>
      </c>
      <c r="E706" s="172"/>
      <c r="F706" s="31"/>
      <c r="G706" s="15"/>
      <c r="H706" s="15"/>
      <c r="I706" s="53"/>
      <c r="J706" s="15"/>
      <c r="K706" s="15"/>
      <c r="L706" s="53"/>
      <c r="M706" s="15"/>
      <c r="N706" s="53"/>
      <c r="O706" s="15"/>
      <c r="P706" s="15"/>
      <c r="Q706" s="12"/>
    </row>
    <row r="707" spans="1:17" ht="23.25" customHeight="1" x14ac:dyDescent="0.15">
      <c r="A707" s="13" t="s">
        <v>1137</v>
      </c>
      <c r="B707" s="13" t="s">
        <v>1965</v>
      </c>
      <c r="C707" s="1" t="s">
        <v>453</v>
      </c>
      <c r="D707" s="12" t="s">
        <v>445</v>
      </c>
      <c r="E707" s="12" t="s">
        <v>454</v>
      </c>
      <c r="F707" s="31" t="s">
        <v>166</v>
      </c>
      <c r="G707" s="15">
        <v>1</v>
      </c>
      <c r="H707" s="15">
        <f>합산자재!H113</f>
        <v>3807</v>
      </c>
      <c r="I707" s="53">
        <f>IF(G707*H707&lt;&gt;0, TRUNC(G707*H707, 1), "")</f>
        <v>3807</v>
      </c>
      <c r="J707" s="15">
        <v>1</v>
      </c>
      <c r="K707" s="15">
        <f>합산자재!I113</f>
        <v>0</v>
      </c>
      <c r="L707" s="53" t="str">
        <f>IF(G707*K707&lt;&gt;0, TRUNC(G707*K707, 1), "")</f>
        <v/>
      </c>
      <c r="M707" s="15">
        <f>합산자재!J113</f>
        <v>0</v>
      </c>
      <c r="N707" s="53" t="str">
        <f>IF(G707*M707&lt;&gt;0, TRUNC(G707*M707, 1), "")</f>
        <v/>
      </c>
      <c r="O707" s="15">
        <f>IF((H707+K707+M707)=0, "", (H707+K707+M707))</f>
        <v>3807</v>
      </c>
      <c r="P707" s="15">
        <f>IF(SUM(I707,L707,N707)&lt;&gt;0,SUM(I707,L707,N707),"")</f>
        <v>3807</v>
      </c>
      <c r="Q707" s="12"/>
    </row>
    <row r="708" spans="1:17" ht="23.25" customHeight="1" x14ac:dyDescent="0.15">
      <c r="A708" s="13" t="s">
        <v>1137</v>
      </c>
      <c r="B708" s="13" t="s">
        <v>1965</v>
      </c>
      <c r="C708" s="1" t="s">
        <v>453</v>
      </c>
      <c r="D708" s="12" t="s">
        <v>445</v>
      </c>
      <c r="E708" s="12" t="s">
        <v>454</v>
      </c>
      <c r="F708" s="31" t="s">
        <v>166</v>
      </c>
      <c r="G708" s="15">
        <v>0.05</v>
      </c>
      <c r="H708" s="15">
        <f>합산자재!H113</f>
        <v>3807</v>
      </c>
      <c r="I708" s="53">
        <f>IF(G708*H708&lt;&gt;0, TRUNC(G708*H708, 1), "")</f>
        <v>190.3</v>
      </c>
      <c r="J708" s="15">
        <v>0.05</v>
      </c>
      <c r="K708" s="15">
        <f>합산자재!I113</f>
        <v>0</v>
      </c>
      <c r="L708" s="53" t="str">
        <f>IF(G708*K708&lt;&gt;0, TRUNC(G708*K708, 1), "")</f>
        <v/>
      </c>
      <c r="M708" s="15">
        <f>합산자재!J113</f>
        <v>0</v>
      </c>
      <c r="N708" s="53" t="str">
        <f>IF(G708*M708&lt;&gt;0, TRUNC(G708*M708, 1), "")</f>
        <v/>
      </c>
      <c r="O708" s="15">
        <f>IF((H708+K708+M708)=0, "", (H708+K708+M708))</f>
        <v>3807</v>
      </c>
      <c r="P708" s="15">
        <f>IF(SUM(I708,L708,N708)&lt;&gt;0,SUM(I708,L708,N708),"")</f>
        <v>190.3</v>
      </c>
      <c r="Q708" s="12"/>
    </row>
    <row r="709" spans="1:17" ht="23.25" customHeight="1" x14ac:dyDescent="0.15">
      <c r="A709" s="13" t="s">
        <v>1373</v>
      </c>
      <c r="B709" s="13" t="s">
        <v>1965</v>
      </c>
      <c r="C709" s="1" t="s">
        <v>1005</v>
      </c>
      <c r="D709" s="12" t="s">
        <v>1003</v>
      </c>
      <c r="E709" s="12" t="s">
        <v>1006</v>
      </c>
      <c r="F709" s="31" t="s">
        <v>999</v>
      </c>
      <c r="G709" s="15">
        <f>일위노임!G311</f>
        <v>2.5999999999999999E-2</v>
      </c>
      <c r="H709" s="15">
        <f>합산자재!H346</f>
        <v>0</v>
      </c>
      <c r="I709" s="53" t="str">
        <f>IF(G709*H709&lt;&gt;0, TRUNC(G709*H709, 1), "")</f>
        <v/>
      </c>
      <c r="J709" s="15">
        <v>2.5999999999999999E-2</v>
      </c>
      <c r="K709" s="15">
        <f>합산자재!I346</f>
        <v>304156</v>
      </c>
      <c r="L709" s="53">
        <f>IF(G709*K709&lt;&gt;0, TRUNC(G709*K709, 1), "")</f>
        <v>7908</v>
      </c>
      <c r="M709" s="15">
        <f>합산자재!J346</f>
        <v>0</v>
      </c>
      <c r="N709" s="53" t="str">
        <f>IF(G709*M709&lt;&gt;0, TRUNC(G709*M709, 1), "")</f>
        <v/>
      </c>
      <c r="O709" s="15">
        <f>IF((H709+K709+M709)=0, "", (H709+K709+M709))</f>
        <v>304156</v>
      </c>
      <c r="P709" s="15">
        <f>IF(SUM(I709,L709,N709)&lt;&gt;0,SUM(I709,L709,N709),"")</f>
        <v>7908</v>
      </c>
      <c r="Q709" s="12"/>
    </row>
    <row r="710" spans="1:17" ht="23.25" customHeight="1" x14ac:dyDescent="0.15">
      <c r="A710" s="13" t="s">
        <v>2362</v>
      </c>
      <c r="B710" s="13" t="s">
        <v>1965</v>
      </c>
      <c r="C710" s="1" t="s">
        <v>2363</v>
      </c>
      <c r="D710" s="12" t="s">
        <v>2364</v>
      </c>
      <c r="E710" s="12" t="s">
        <v>2365</v>
      </c>
      <c r="F710" s="31" t="s">
        <v>792</v>
      </c>
      <c r="G710" s="15">
        <v>1</v>
      </c>
      <c r="H710" s="15">
        <v>158.1</v>
      </c>
      <c r="I710" s="53">
        <f>IF(G710*H710&lt;&gt;0, TRUNC(G710*H710, 1), "")</f>
        <v>158.1</v>
      </c>
      <c r="J710" s="15">
        <v>1</v>
      </c>
      <c r="K710" s="15"/>
      <c r="L710" s="53" t="str">
        <f>IF(G710*K710&lt;&gt;0, TRUNC(G710*K710, 1), "")</f>
        <v/>
      </c>
      <c r="M710" s="15"/>
      <c r="N710" s="53" t="str">
        <f>IF(G710*M710&lt;&gt;0, TRUNC(G710*M710, 1), "")</f>
        <v/>
      </c>
      <c r="O710" s="15">
        <f>IF((H710+K710+M710)=0, "", (H710+K710+M710))</f>
        <v>158.1</v>
      </c>
      <c r="P710" s="15">
        <f>IF(SUM(I710,L710,N710)&lt;&gt;0,SUM(I710,L710,N710),"")</f>
        <v>158.1</v>
      </c>
      <c r="Q710" s="12"/>
    </row>
    <row r="711" spans="1:17" ht="23.25" customHeight="1" x14ac:dyDescent="0.15">
      <c r="B711" s="13" t="s">
        <v>2360</v>
      </c>
      <c r="D711" s="12" t="s">
        <v>2361</v>
      </c>
      <c r="E711" s="12"/>
      <c r="F711" s="31"/>
      <c r="G711" s="15"/>
      <c r="H711" s="15"/>
      <c r="I711" s="53">
        <f>TRUNC(SUM(I706:I710))</f>
        <v>4155</v>
      </c>
      <c r="J711" s="15"/>
      <c r="K711" s="15"/>
      <c r="L711" s="53">
        <f>TRUNC(SUM(L706:L710))</f>
        <v>7908</v>
      </c>
      <c r="M711" s="15"/>
      <c r="N711" s="53">
        <f>TRUNC(SUM(N706:N710))</f>
        <v>0</v>
      </c>
      <c r="O711" s="15" t="str">
        <f>IF((H711+K711+M711)=0, "", (H711+K711+M711))</f>
        <v/>
      </c>
      <c r="P711" s="15">
        <f>IF(SUM(I711,L711,N711)&lt;&gt;0,SUM(I711,L711,N711),"")</f>
        <v>12063</v>
      </c>
      <c r="Q711" s="12"/>
    </row>
    <row r="712" spans="1:17" ht="23.25" customHeight="1" x14ac:dyDescent="0.15">
      <c r="D712" s="12"/>
      <c r="E712" s="12"/>
      <c r="F712" s="31"/>
      <c r="G712" s="15"/>
      <c r="H712" s="15"/>
      <c r="I712" s="53"/>
      <c r="J712" s="15"/>
      <c r="K712" s="15"/>
      <c r="L712" s="53"/>
      <c r="M712" s="15"/>
      <c r="N712" s="53"/>
      <c r="O712" s="15"/>
      <c r="P712" s="15"/>
      <c r="Q712" s="12"/>
    </row>
    <row r="713" spans="1:17" ht="23.25" customHeight="1" x14ac:dyDescent="0.15">
      <c r="A713" s="13" t="s">
        <v>2652</v>
      </c>
      <c r="B713" s="13" t="s">
        <v>2382</v>
      </c>
      <c r="C713" s="1" t="s">
        <v>2653</v>
      </c>
      <c r="D713" s="170" t="s">
        <v>2651</v>
      </c>
      <c r="E713" s="172"/>
      <c r="F713" s="31"/>
      <c r="G713" s="15"/>
      <c r="H713" s="15"/>
      <c r="I713" s="53"/>
      <c r="J713" s="15"/>
      <c r="K713" s="15"/>
      <c r="L713" s="53"/>
      <c r="M713" s="15"/>
      <c r="N713" s="53"/>
      <c r="O713" s="15"/>
      <c r="P713" s="15"/>
      <c r="Q713" s="12"/>
    </row>
    <row r="714" spans="1:17" ht="23.25" customHeight="1" x14ac:dyDescent="0.15">
      <c r="A714" s="13" t="s">
        <v>1138</v>
      </c>
      <c r="B714" s="13" t="s">
        <v>1968</v>
      </c>
      <c r="C714" s="1" t="s">
        <v>455</v>
      </c>
      <c r="D714" s="12" t="s">
        <v>445</v>
      </c>
      <c r="E714" s="12" t="s">
        <v>456</v>
      </c>
      <c r="F714" s="31" t="s">
        <v>166</v>
      </c>
      <c r="G714" s="15">
        <v>1</v>
      </c>
      <c r="H714" s="15">
        <f>합산자재!H114</f>
        <v>4896</v>
      </c>
      <c r="I714" s="53">
        <f>IF(G714*H714&lt;&gt;0, TRUNC(G714*H714, 1), "")</f>
        <v>4896</v>
      </c>
      <c r="J714" s="15">
        <v>1</v>
      </c>
      <c r="K714" s="15">
        <f>합산자재!I114</f>
        <v>0</v>
      </c>
      <c r="L714" s="53" t="str">
        <f>IF(G714*K714&lt;&gt;0, TRUNC(G714*K714, 1), "")</f>
        <v/>
      </c>
      <c r="M714" s="15">
        <f>합산자재!J114</f>
        <v>0</v>
      </c>
      <c r="N714" s="53" t="str">
        <f>IF(G714*M714&lt;&gt;0, TRUNC(G714*M714, 1), "")</f>
        <v/>
      </c>
      <c r="O714" s="15">
        <f>IF((H714+K714+M714)=0, "", (H714+K714+M714))</f>
        <v>4896</v>
      </c>
      <c r="P714" s="15">
        <f>IF(SUM(I714,L714,N714)&lt;&gt;0,SUM(I714,L714,N714),"")</f>
        <v>4896</v>
      </c>
      <c r="Q714" s="12"/>
    </row>
    <row r="715" spans="1:17" ht="23.25" customHeight="1" x14ac:dyDescent="0.15">
      <c r="A715" s="13" t="s">
        <v>1138</v>
      </c>
      <c r="B715" s="13" t="s">
        <v>1968</v>
      </c>
      <c r="C715" s="1" t="s">
        <v>455</v>
      </c>
      <c r="D715" s="12" t="s">
        <v>445</v>
      </c>
      <c r="E715" s="12" t="s">
        <v>456</v>
      </c>
      <c r="F715" s="31" t="s">
        <v>166</v>
      </c>
      <c r="G715" s="15">
        <v>0.05</v>
      </c>
      <c r="H715" s="15">
        <f>합산자재!H114</f>
        <v>4896</v>
      </c>
      <c r="I715" s="53">
        <f>IF(G715*H715&lt;&gt;0, TRUNC(G715*H715, 1), "")</f>
        <v>244.8</v>
      </c>
      <c r="J715" s="15">
        <v>0.05</v>
      </c>
      <c r="K715" s="15">
        <f>합산자재!I114</f>
        <v>0</v>
      </c>
      <c r="L715" s="53" t="str">
        <f>IF(G715*K715&lt;&gt;0, TRUNC(G715*K715, 1), "")</f>
        <v/>
      </c>
      <c r="M715" s="15">
        <f>합산자재!J114</f>
        <v>0</v>
      </c>
      <c r="N715" s="53" t="str">
        <f>IF(G715*M715&lt;&gt;0, TRUNC(G715*M715, 1), "")</f>
        <v/>
      </c>
      <c r="O715" s="15">
        <f>IF((H715+K715+M715)=0, "", (H715+K715+M715))</f>
        <v>4896</v>
      </c>
      <c r="P715" s="15">
        <f>IF(SUM(I715,L715,N715)&lt;&gt;0,SUM(I715,L715,N715),"")</f>
        <v>244.8</v>
      </c>
      <c r="Q715" s="12"/>
    </row>
    <row r="716" spans="1:17" ht="23.25" customHeight="1" x14ac:dyDescent="0.15">
      <c r="A716" s="13" t="s">
        <v>1373</v>
      </c>
      <c r="B716" s="13" t="s">
        <v>1968</v>
      </c>
      <c r="C716" s="1" t="s">
        <v>1005</v>
      </c>
      <c r="D716" s="12" t="s">
        <v>1003</v>
      </c>
      <c r="E716" s="12" t="s">
        <v>1006</v>
      </c>
      <c r="F716" s="31" t="s">
        <v>999</v>
      </c>
      <c r="G716" s="15">
        <f>일위노임!G314</f>
        <v>3.4000000000000002E-2</v>
      </c>
      <c r="H716" s="15">
        <f>합산자재!H346</f>
        <v>0</v>
      </c>
      <c r="I716" s="53" t="str">
        <f>IF(G716*H716&lt;&gt;0, TRUNC(G716*H716, 1), "")</f>
        <v/>
      </c>
      <c r="J716" s="15">
        <v>3.4000000000000002E-2</v>
      </c>
      <c r="K716" s="15">
        <f>합산자재!I346</f>
        <v>304156</v>
      </c>
      <c r="L716" s="53">
        <f>IF(G716*K716&lt;&gt;0, TRUNC(G716*K716, 1), "")</f>
        <v>10341.299999999999</v>
      </c>
      <c r="M716" s="15">
        <f>합산자재!J346</f>
        <v>0</v>
      </c>
      <c r="N716" s="53" t="str">
        <f>IF(G716*M716&lt;&gt;0, TRUNC(G716*M716, 1), "")</f>
        <v/>
      </c>
      <c r="O716" s="15">
        <f>IF((H716+K716+M716)=0, "", (H716+K716+M716))</f>
        <v>304156</v>
      </c>
      <c r="P716" s="15">
        <f>IF(SUM(I716,L716,N716)&lt;&gt;0,SUM(I716,L716,N716),"")</f>
        <v>10341.299999999999</v>
      </c>
      <c r="Q716" s="12"/>
    </row>
    <row r="717" spans="1:17" ht="23.25" customHeight="1" x14ac:dyDescent="0.15">
      <c r="A717" s="13" t="s">
        <v>2362</v>
      </c>
      <c r="B717" s="13" t="s">
        <v>1968</v>
      </c>
      <c r="C717" s="1" t="s">
        <v>2363</v>
      </c>
      <c r="D717" s="12" t="s">
        <v>2364</v>
      </c>
      <c r="E717" s="12" t="s">
        <v>2365</v>
      </c>
      <c r="F717" s="31" t="s">
        <v>792</v>
      </c>
      <c r="G717" s="15">
        <v>1</v>
      </c>
      <c r="H717" s="15">
        <v>206.8</v>
      </c>
      <c r="I717" s="53">
        <f>IF(G717*H717&lt;&gt;0, TRUNC(G717*H717, 1), "")</f>
        <v>206.8</v>
      </c>
      <c r="J717" s="15">
        <v>1</v>
      </c>
      <c r="K717" s="15"/>
      <c r="L717" s="53" t="str">
        <f>IF(G717*K717&lt;&gt;0, TRUNC(G717*K717, 1), "")</f>
        <v/>
      </c>
      <c r="M717" s="15"/>
      <c r="N717" s="53" t="str">
        <f>IF(G717*M717&lt;&gt;0, TRUNC(G717*M717, 1), "")</f>
        <v/>
      </c>
      <c r="O717" s="15">
        <f>IF((H717+K717+M717)=0, "", (H717+K717+M717))</f>
        <v>206.8</v>
      </c>
      <c r="P717" s="15">
        <f>IF(SUM(I717,L717,N717)&lt;&gt;0,SUM(I717,L717,N717),"")</f>
        <v>206.8</v>
      </c>
      <c r="Q717" s="12"/>
    </row>
    <row r="718" spans="1:17" ht="23.25" customHeight="1" x14ac:dyDescent="0.15">
      <c r="B718" s="13" t="s">
        <v>2360</v>
      </c>
      <c r="D718" s="12" t="s">
        <v>2361</v>
      </c>
      <c r="E718" s="12"/>
      <c r="F718" s="31"/>
      <c r="G718" s="15"/>
      <c r="H718" s="15"/>
      <c r="I718" s="53">
        <f>TRUNC(SUM(I713:I717))</f>
        <v>5347</v>
      </c>
      <c r="J718" s="15"/>
      <c r="K718" s="15"/>
      <c r="L718" s="53">
        <f>TRUNC(SUM(L713:L717))</f>
        <v>10341</v>
      </c>
      <c r="M718" s="15"/>
      <c r="N718" s="53">
        <f>TRUNC(SUM(N713:N717))</f>
        <v>0</v>
      </c>
      <c r="O718" s="15" t="str">
        <f>IF((H718+K718+M718)=0, "", (H718+K718+M718))</f>
        <v/>
      </c>
      <c r="P718" s="15">
        <f>IF(SUM(I718,L718,N718)&lt;&gt;0,SUM(I718,L718,N718),"")</f>
        <v>15688</v>
      </c>
      <c r="Q718" s="12"/>
    </row>
    <row r="719" spans="1:17" ht="23.25" customHeight="1" x14ac:dyDescent="0.15">
      <c r="D719" s="12"/>
      <c r="E719" s="12"/>
      <c r="F719" s="31"/>
      <c r="G719" s="15"/>
      <c r="H719" s="15"/>
      <c r="I719" s="53"/>
      <c r="J719" s="15"/>
      <c r="K719" s="15"/>
      <c r="L719" s="53"/>
      <c r="M719" s="15"/>
      <c r="N719" s="53"/>
      <c r="O719" s="15"/>
      <c r="P719" s="15"/>
      <c r="Q719" s="12"/>
    </row>
    <row r="720" spans="1:17" ht="23.25" customHeight="1" x14ac:dyDescent="0.15">
      <c r="A720" s="13" t="s">
        <v>2655</v>
      </c>
      <c r="B720" s="13" t="s">
        <v>2382</v>
      </c>
      <c r="C720" s="1" t="s">
        <v>2656</v>
      </c>
      <c r="D720" s="170" t="s">
        <v>2654</v>
      </c>
      <c r="E720" s="172"/>
      <c r="F720" s="31"/>
      <c r="G720" s="15"/>
      <c r="H720" s="15"/>
      <c r="I720" s="53"/>
      <c r="J720" s="15"/>
      <c r="K720" s="15"/>
      <c r="L720" s="53"/>
      <c r="M720" s="15"/>
      <c r="N720" s="53"/>
      <c r="O720" s="15"/>
      <c r="P720" s="15"/>
      <c r="Q720" s="12"/>
    </row>
    <row r="721" spans="1:17" ht="23.25" customHeight="1" x14ac:dyDescent="0.15">
      <c r="A721" s="13" t="s">
        <v>1139</v>
      </c>
      <c r="B721" s="13" t="s">
        <v>1971</v>
      </c>
      <c r="C721" s="1" t="s">
        <v>457</v>
      </c>
      <c r="D721" s="12" t="s">
        <v>445</v>
      </c>
      <c r="E721" s="12" t="s">
        <v>458</v>
      </c>
      <c r="F721" s="31" t="s">
        <v>166</v>
      </c>
      <c r="G721" s="15">
        <v>1</v>
      </c>
      <c r="H721" s="15">
        <f>합산자재!H115</f>
        <v>7660</v>
      </c>
      <c r="I721" s="53">
        <f>IF(G721*H721&lt;&gt;0, TRUNC(G721*H721, 1), "")</f>
        <v>7660</v>
      </c>
      <c r="J721" s="15">
        <v>1</v>
      </c>
      <c r="K721" s="15">
        <f>합산자재!I115</f>
        <v>0</v>
      </c>
      <c r="L721" s="53" t="str">
        <f>IF(G721*K721&lt;&gt;0, TRUNC(G721*K721, 1), "")</f>
        <v/>
      </c>
      <c r="M721" s="15">
        <f>합산자재!J115</f>
        <v>0</v>
      </c>
      <c r="N721" s="53" t="str">
        <f>IF(G721*M721&lt;&gt;0, TRUNC(G721*M721, 1), "")</f>
        <v/>
      </c>
      <c r="O721" s="15">
        <f>IF((H721+K721+M721)=0, "", (H721+K721+M721))</f>
        <v>7660</v>
      </c>
      <c r="P721" s="15">
        <f>IF(SUM(I721,L721,N721)&lt;&gt;0,SUM(I721,L721,N721),"")</f>
        <v>7660</v>
      </c>
      <c r="Q721" s="12"/>
    </row>
    <row r="722" spans="1:17" ht="23.25" customHeight="1" x14ac:dyDescent="0.15">
      <c r="A722" s="13" t="s">
        <v>1139</v>
      </c>
      <c r="B722" s="13" t="s">
        <v>1971</v>
      </c>
      <c r="C722" s="1" t="s">
        <v>457</v>
      </c>
      <c r="D722" s="12" t="s">
        <v>445</v>
      </c>
      <c r="E722" s="12" t="s">
        <v>458</v>
      </c>
      <c r="F722" s="31" t="s">
        <v>166</v>
      </c>
      <c r="G722" s="15">
        <v>0.05</v>
      </c>
      <c r="H722" s="15">
        <f>합산자재!H115</f>
        <v>7660</v>
      </c>
      <c r="I722" s="53">
        <f>IF(G722*H722&lt;&gt;0, TRUNC(G722*H722, 1), "")</f>
        <v>383</v>
      </c>
      <c r="J722" s="15">
        <v>0.05</v>
      </c>
      <c r="K722" s="15">
        <f>합산자재!I115</f>
        <v>0</v>
      </c>
      <c r="L722" s="53" t="str">
        <f>IF(G722*K722&lt;&gt;0, TRUNC(G722*K722, 1), "")</f>
        <v/>
      </c>
      <c r="M722" s="15">
        <f>합산자재!J115</f>
        <v>0</v>
      </c>
      <c r="N722" s="53" t="str">
        <f>IF(G722*M722&lt;&gt;0, TRUNC(G722*M722, 1), "")</f>
        <v/>
      </c>
      <c r="O722" s="15">
        <f>IF((H722+K722+M722)=0, "", (H722+K722+M722))</f>
        <v>7660</v>
      </c>
      <c r="P722" s="15">
        <f>IF(SUM(I722,L722,N722)&lt;&gt;0,SUM(I722,L722,N722),"")</f>
        <v>383</v>
      </c>
      <c r="Q722" s="12"/>
    </row>
    <row r="723" spans="1:17" ht="23.25" customHeight="1" x14ac:dyDescent="0.15">
      <c r="A723" s="13" t="s">
        <v>1373</v>
      </c>
      <c r="B723" s="13" t="s">
        <v>1971</v>
      </c>
      <c r="C723" s="1" t="s">
        <v>1005</v>
      </c>
      <c r="D723" s="12" t="s">
        <v>1003</v>
      </c>
      <c r="E723" s="12" t="s">
        <v>1006</v>
      </c>
      <c r="F723" s="31" t="s">
        <v>999</v>
      </c>
      <c r="G723" s="15">
        <f>일위노임!G317</f>
        <v>4.9000000000000002E-2</v>
      </c>
      <c r="H723" s="15">
        <f>합산자재!H346</f>
        <v>0</v>
      </c>
      <c r="I723" s="53" t="str">
        <f>IF(G723*H723&lt;&gt;0, TRUNC(G723*H723, 1), "")</f>
        <v/>
      </c>
      <c r="J723" s="15">
        <v>4.9000000000000002E-2</v>
      </c>
      <c r="K723" s="15">
        <f>합산자재!I346</f>
        <v>304156</v>
      </c>
      <c r="L723" s="53">
        <f>IF(G723*K723&lt;&gt;0, TRUNC(G723*K723, 1), "")</f>
        <v>14903.6</v>
      </c>
      <c r="M723" s="15">
        <f>합산자재!J346</f>
        <v>0</v>
      </c>
      <c r="N723" s="53" t="str">
        <f>IF(G723*M723&lt;&gt;0, TRUNC(G723*M723, 1), "")</f>
        <v/>
      </c>
      <c r="O723" s="15">
        <f>IF((H723+K723+M723)=0, "", (H723+K723+M723))</f>
        <v>304156</v>
      </c>
      <c r="P723" s="15">
        <f>IF(SUM(I723,L723,N723)&lt;&gt;0,SUM(I723,L723,N723),"")</f>
        <v>14903.6</v>
      </c>
      <c r="Q723" s="12"/>
    </row>
    <row r="724" spans="1:17" ht="23.25" customHeight="1" x14ac:dyDescent="0.15">
      <c r="A724" s="13" t="s">
        <v>2362</v>
      </c>
      <c r="B724" s="13" t="s">
        <v>1971</v>
      </c>
      <c r="C724" s="1" t="s">
        <v>2363</v>
      </c>
      <c r="D724" s="12" t="s">
        <v>2364</v>
      </c>
      <c r="E724" s="12" t="s">
        <v>2365</v>
      </c>
      <c r="F724" s="31" t="s">
        <v>792</v>
      </c>
      <c r="G724" s="15">
        <v>1</v>
      </c>
      <c r="H724" s="15">
        <v>298</v>
      </c>
      <c r="I724" s="53">
        <f>IF(G724*H724&lt;&gt;0, TRUNC(G724*H724, 1), "")</f>
        <v>298</v>
      </c>
      <c r="J724" s="15">
        <v>1</v>
      </c>
      <c r="K724" s="15"/>
      <c r="L724" s="53" t="str">
        <f>IF(G724*K724&lt;&gt;0, TRUNC(G724*K724, 1), "")</f>
        <v/>
      </c>
      <c r="M724" s="15"/>
      <c r="N724" s="53" t="str">
        <f>IF(G724*M724&lt;&gt;0, TRUNC(G724*M724, 1), "")</f>
        <v/>
      </c>
      <c r="O724" s="15">
        <f>IF((H724+K724+M724)=0, "", (H724+K724+M724))</f>
        <v>298</v>
      </c>
      <c r="P724" s="15">
        <f>IF(SUM(I724,L724,N724)&lt;&gt;0,SUM(I724,L724,N724),"")</f>
        <v>298</v>
      </c>
      <c r="Q724" s="12"/>
    </row>
    <row r="725" spans="1:17" ht="23.25" customHeight="1" x14ac:dyDescent="0.15">
      <c r="B725" s="13" t="s">
        <v>2360</v>
      </c>
      <c r="D725" s="12" t="s">
        <v>2361</v>
      </c>
      <c r="E725" s="12"/>
      <c r="F725" s="31"/>
      <c r="G725" s="15"/>
      <c r="H725" s="15"/>
      <c r="I725" s="53">
        <f>TRUNC(SUM(I720:I724))</f>
        <v>8341</v>
      </c>
      <c r="J725" s="15"/>
      <c r="K725" s="15"/>
      <c r="L725" s="53">
        <f>TRUNC(SUM(L720:L724))</f>
        <v>14903</v>
      </c>
      <c r="M725" s="15"/>
      <c r="N725" s="53">
        <f>TRUNC(SUM(N720:N724))</f>
        <v>0</v>
      </c>
      <c r="O725" s="15" t="str">
        <f>IF((H725+K725+M725)=0, "", (H725+K725+M725))</f>
        <v/>
      </c>
      <c r="P725" s="15">
        <f>IF(SUM(I725,L725,N725)&lt;&gt;0,SUM(I725,L725,N725),"")</f>
        <v>23244</v>
      </c>
      <c r="Q725" s="12"/>
    </row>
    <row r="726" spans="1:17" ht="23.25" customHeight="1" x14ac:dyDescent="0.15">
      <c r="D726" s="12"/>
      <c r="E726" s="12"/>
      <c r="F726" s="31"/>
      <c r="G726" s="15"/>
      <c r="H726" s="15"/>
      <c r="I726" s="53"/>
      <c r="J726" s="15"/>
      <c r="K726" s="15"/>
      <c r="L726" s="53"/>
      <c r="M726" s="15"/>
      <c r="N726" s="53"/>
      <c r="O726" s="15"/>
      <c r="P726" s="15"/>
      <c r="Q726" s="12"/>
    </row>
    <row r="727" spans="1:17" ht="23.25" customHeight="1" x14ac:dyDescent="0.15">
      <c r="A727" s="13" t="s">
        <v>2658</v>
      </c>
      <c r="B727" s="13" t="s">
        <v>2382</v>
      </c>
      <c r="C727" s="1" t="s">
        <v>2659</v>
      </c>
      <c r="D727" s="170" t="s">
        <v>2657</v>
      </c>
      <c r="E727" s="172"/>
      <c r="F727" s="31"/>
      <c r="G727" s="15"/>
      <c r="H727" s="15"/>
      <c r="I727" s="53"/>
      <c r="J727" s="15"/>
      <c r="K727" s="15"/>
      <c r="L727" s="53"/>
      <c r="M727" s="15"/>
      <c r="N727" s="53"/>
      <c r="O727" s="15"/>
      <c r="P727" s="15"/>
      <c r="Q727" s="12"/>
    </row>
    <row r="728" spans="1:17" ht="23.25" customHeight="1" x14ac:dyDescent="0.15">
      <c r="A728" s="13" t="s">
        <v>1140</v>
      </c>
      <c r="B728" s="13" t="s">
        <v>1974</v>
      </c>
      <c r="C728" s="1" t="s">
        <v>459</v>
      </c>
      <c r="D728" s="12" t="s">
        <v>445</v>
      </c>
      <c r="E728" s="12" t="s">
        <v>460</v>
      </c>
      <c r="F728" s="31" t="s">
        <v>166</v>
      </c>
      <c r="G728" s="15">
        <v>1</v>
      </c>
      <c r="H728" s="15">
        <f>합산자재!H116</f>
        <v>12749</v>
      </c>
      <c r="I728" s="53">
        <f>IF(G728*H728&lt;&gt;0, TRUNC(G728*H728, 1), "")</f>
        <v>12749</v>
      </c>
      <c r="J728" s="15">
        <v>1</v>
      </c>
      <c r="K728" s="15">
        <f>합산자재!I116</f>
        <v>0</v>
      </c>
      <c r="L728" s="53" t="str">
        <f>IF(G728*K728&lt;&gt;0, TRUNC(G728*K728, 1), "")</f>
        <v/>
      </c>
      <c r="M728" s="15">
        <f>합산자재!J116</f>
        <v>0</v>
      </c>
      <c r="N728" s="53" t="str">
        <f>IF(G728*M728&lt;&gt;0, TRUNC(G728*M728, 1), "")</f>
        <v/>
      </c>
      <c r="O728" s="15">
        <f>IF((H728+K728+M728)=0, "", (H728+K728+M728))</f>
        <v>12749</v>
      </c>
      <c r="P728" s="15">
        <f>IF(SUM(I728,L728,N728)&lt;&gt;0,SUM(I728,L728,N728),"")</f>
        <v>12749</v>
      </c>
      <c r="Q728" s="12"/>
    </row>
    <row r="729" spans="1:17" ht="23.25" customHeight="1" x14ac:dyDescent="0.15">
      <c r="A729" s="13" t="s">
        <v>1140</v>
      </c>
      <c r="B729" s="13" t="s">
        <v>1974</v>
      </c>
      <c r="C729" s="1" t="s">
        <v>459</v>
      </c>
      <c r="D729" s="12" t="s">
        <v>445</v>
      </c>
      <c r="E729" s="12" t="s">
        <v>460</v>
      </c>
      <c r="F729" s="31" t="s">
        <v>166</v>
      </c>
      <c r="G729" s="15">
        <v>0.05</v>
      </c>
      <c r="H729" s="15">
        <f>합산자재!H116</f>
        <v>12749</v>
      </c>
      <c r="I729" s="53">
        <f>IF(G729*H729&lt;&gt;0, TRUNC(G729*H729, 1), "")</f>
        <v>637.4</v>
      </c>
      <c r="J729" s="15">
        <v>0.05</v>
      </c>
      <c r="K729" s="15">
        <f>합산자재!I116</f>
        <v>0</v>
      </c>
      <c r="L729" s="53" t="str">
        <f>IF(G729*K729&lt;&gt;0, TRUNC(G729*K729, 1), "")</f>
        <v/>
      </c>
      <c r="M729" s="15">
        <f>합산자재!J116</f>
        <v>0</v>
      </c>
      <c r="N729" s="53" t="str">
        <f>IF(G729*M729&lt;&gt;0, TRUNC(G729*M729, 1), "")</f>
        <v/>
      </c>
      <c r="O729" s="15">
        <f>IF((H729+K729+M729)=0, "", (H729+K729+M729))</f>
        <v>12749</v>
      </c>
      <c r="P729" s="15">
        <f>IF(SUM(I729,L729,N729)&lt;&gt;0,SUM(I729,L729,N729),"")</f>
        <v>637.4</v>
      </c>
      <c r="Q729" s="12"/>
    </row>
    <row r="730" spans="1:17" ht="23.25" customHeight="1" x14ac:dyDescent="0.15">
      <c r="A730" s="13" t="s">
        <v>1373</v>
      </c>
      <c r="B730" s="13" t="s">
        <v>1974</v>
      </c>
      <c r="C730" s="1" t="s">
        <v>1005</v>
      </c>
      <c r="D730" s="12" t="s">
        <v>1003</v>
      </c>
      <c r="E730" s="12" t="s">
        <v>1006</v>
      </c>
      <c r="F730" s="31" t="s">
        <v>999</v>
      </c>
      <c r="G730" s="15">
        <f>일위노임!G320</f>
        <v>5.9799999999999999E-2</v>
      </c>
      <c r="H730" s="15">
        <f>합산자재!H346</f>
        <v>0</v>
      </c>
      <c r="I730" s="53" t="str">
        <f>IF(G730*H730&lt;&gt;0, TRUNC(G730*H730, 1), "")</f>
        <v/>
      </c>
      <c r="J730" s="15">
        <v>5.9799999999999999E-2</v>
      </c>
      <c r="K730" s="15">
        <f>합산자재!I346</f>
        <v>304156</v>
      </c>
      <c r="L730" s="53">
        <f>IF(G730*K730&lt;&gt;0, TRUNC(G730*K730, 1), "")</f>
        <v>18188.5</v>
      </c>
      <c r="M730" s="15">
        <f>합산자재!J346</f>
        <v>0</v>
      </c>
      <c r="N730" s="53" t="str">
        <f>IF(G730*M730&lt;&gt;0, TRUNC(G730*M730, 1), "")</f>
        <v/>
      </c>
      <c r="O730" s="15">
        <f>IF((H730+K730+M730)=0, "", (H730+K730+M730))</f>
        <v>304156</v>
      </c>
      <c r="P730" s="15">
        <f>IF(SUM(I730,L730,N730)&lt;&gt;0,SUM(I730,L730,N730),"")</f>
        <v>18188.5</v>
      </c>
      <c r="Q730" s="12"/>
    </row>
    <row r="731" spans="1:17" ht="23.25" customHeight="1" x14ac:dyDescent="0.15">
      <c r="A731" s="13" t="s">
        <v>2362</v>
      </c>
      <c r="B731" s="13" t="s">
        <v>1974</v>
      </c>
      <c r="C731" s="1" t="s">
        <v>2363</v>
      </c>
      <c r="D731" s="12" t="s">
        <v>2364</v>
      </c>
      <c r="E731" s="12" t="s">
        <v>2365</v>
      </c>
      <c r="F731" s="31" t="s">
        <v>792</v>
      </c>
      <c r="G731" s="15">
        <v>1</v>
      </c>
      <c r="H731" s="15">
        <v>363.7</v>
      </c>
      <c r="I731" s="53">
        <f>IF(G731*H731&lt;&gt;0, TRUNC(G731*H731, 1), "")</f>
        <v>363.7</v>
      </c>
      <c r="J731" s="15">
        <v>1</v>
      </c>
      <c r="K731" s="15"/>
      <c r="L731" s="53" t="str">
        <f>IF(G731*K731&lt;&gt;0, TRUNC(G731*K731, 1), "")</f>
        <v/>
      </c>
      <c r="M731" s="15"/>
      <c r="N731" s="53" t="str">
        <f>IF(G731*M731&lt;&gt;0, TRUNC(G731*M731, 1), "")</f>
        <v/>
      </c>
      <c r="O731" s="15">
        <f>IF((H731+K731+M731)=0, "", (H731+K731+M731))</f>
        <v>363.7</v>
      </c>
      <c r="P731" s="15">
        <f>IF(SUM(I731,L731,N731)&lt;&gt;0,SUM(I731,L731,N731),"")</f>
        <v>363.7</v>
      </c>
      <c r="Q731" s="12"/>
    </row>
    <row r="732" spans="1:17" ht="23.25" customHeight="1" x14ac:dyDescent="0.15">
      <c r="B732" s="13" t="s">
        <v>2360</v>
      </c>
      <c r="D732" s="12" t="s">
        <v>2361</v>
      </c>
      <c r="E732" s="12"/>
      <c r="F732" s="31"/>
      <c r="G732" s="15"/>
      <c r="H732" s="15"/>
      <c r="I732" s="53">
        <f>TRUNC(SUM(I727:I731))</f>
        <v>13750</v>
      </c>
      <c r="J732" s="15"/>
      <c r="K732" s="15"/>
      <c r="L732" s="53">
        <f>TRUNC(SUM(L727:L731))</f>
        <v>18188</v>
      </c>
      <c r="M732" s="15"/>
      <c r="N732" s="53">
        <f>TRUNC(SUM(N727:N731))</f>
        <v>0</v>
      </c>
      <c r="O732" s="15" t="str">
        <f>IF((H732+K732+M732)=0, "", (H732+K732+M732))</f>
        <v/>
      </c>
      <c r="P732" s="15">
        <f>IF(SUM(I732,L732,N732)&lt;&gt;0,SUM(I732,L732,N732),"")</f>
        <v>31938</v>
      </c>
      <c r="Q732" s="12"/>
    </row>
    <row r="733" spans="1:17" ht="23.25" customHeight="1" x14ac:dyDescent="0.15">
      <c r="D733" s="12"/>
      <c r="E733" s="12"/>
      <c r="F733" s="31"/>
      <c r="G733" s="15"/>
      <c r="H733" s="15"/>
      <c r="I733" s="53"/>
      <c r="J733" s="15"/>
      <c r="K733" s="15"/>
      <c r="L733" s="53"/>
      <c r="M733" s="15"/>
      <c r="N733" s="53"/>
      <c r="O733" s="15"/>
      <c r="P733" s="15"/>
      <c r="Q733" s="12"/>
    </row>
    <row r="734" spans="1:17" ht="23.25" customHeight="1" x14ac:dyDescent="0.15">
      <c r="A734" s="13" t="s">
        <v>2661</v>
      </c>
      <c r="B734" s="13" t="s">
        <v>2382</v>
      </c>
      <c r="C734" s="1" t="s">
        <v>2662</v>
      </c>
      <c r="D734" s="170" t="s">
        <v>2660</v>
      </c>
      <c r="E734" s="172"/>
      <c r="F734" s="31"/>
      <c r="G734" s="15"/>
      <c r="H734" s="15"/>
      <c r="I734" s="53"/>
      <c r="J734" s="15"/>
      <c r="K734" s="15"/>
      <c r="L734" s="53"/>
      <c r="M734" s="15"/>
      <c r="N734" s="53"/>
      <c r="O734" s="15"/>
      <c r="P734" s="15"/>
      <c r="Q734" s="12"/>
    </row>
    <row r="735" spans="1:17" ht="23.25" customHeight="1" x14ac:dyDescent="0.15">
      <c r="A735" s="13" t="s">
        <v>1141</v>
      </c>
      <c r="B735" s="13" t="s">
        <v>1977</v>
      </c>
      <c r="C735" s="1" t="s">
        <v>461</v>
      </c>
      <c r="D735" s="12" t="s">
        <v>445</v>
      </c>
      <c r="E735" s="12" t="s">
        <v>462</v>
      </c>
      <c r="F735" s="31" t="s">
        <v>166</v>
      </c>
      <c r="G735" s="15">
        <v>1</v>
      </c>
      <c r="H735" s="15">
        <f>합산자재!H117</f>
        <v>19667</v>
      </c>
      <c r="I735" s="53">
        <f>IF(G735*H735&lt;&gt;0, TRUNC(G735*H735, 1), "")</f>
        <v>19667</v>
      </c>
      <c r="J735" s="15">
        <v>1</v>
      </c>
      <c r="K735" s="15">
        <f>합산자재!I117</f>
        <v>0</v>
      </c>
      <c r="L735" s="53" t="str">
        <f>IF(G735*K735&lt;&gt;0, TRUNC(G735*K735, 1), "")</f>
        <v/>
      </c>
      <c r="M735" s="15">
        <f>합산자재!J117</f>
        <v>0</v>
      </c>
      <c r="N735" s="53" t="str">
        <f>IF(G735*M735&lt;&gt;0, TRUNC(G735*M735, 1), "")</f>
        <v/>
      </c>
      <c r="O735" s="15">
        <f>IF((H735+K735+M735)=0, "", (H735+K735+M735))</f>
        <v>19667</v>
      </c>
      <c r="P735" s="15">
        <f>IF(SUM(I735,L735,N735)&lt;&gt;0,SUM(I735,L735,N735),"")</f>
        <v>19667</v>
      </c>
      <c r="Q735" s="12"/>
    </row>
    <row r="736" spans="1:17" ht="23.25" customHeight="1" x14ac:dyDescent="0.15">
      <c r="A736" s="13" t="s">
        <v>1141</v>
      </c>
      <c r="B736" s="13" t="s">
        <v>1977</v>
      </c>
      <c r="C736" s="1" t="s">
        <v>461</v>
      </c>
      <c r="D736" s="12" t="s">
        <v>445</v>
      </c>
      <c r="E736" s="12" t="s">
        <v>462</v>
      </c>
      <c r="F736" s="31" t="s">
        <v>166</v>
      </c>
      <c r="G736" s="15">
        <v>0.05</v>
      </c>
      <c r="H736" s="15">
        <f>합산자재!H117</f>
        <v>19667</v>
      </c>
      <c r="I736" s="53">
        <f>IF(G736*H736&lt;&gt;0, TRUNC(G736*H736, 1), "")</f>
        <v>983.3</v>
      </c>
      <c r="J736" s="15">
        <v>0.05</v>
      </c>
      <c r="K736" s="15">
        <f>합산자재!I117</f>
        <v>0</v>
      </c>
      <c r="L736" s="53" t="str">
        <f>IF(G736*K736&lt;&gt;0, TRUNC(G736*K736, 1), "")</f>
        <v/>
      </c>
      <c r="M736" s="15">
        <f>합산자재!J117</f>
        <v>0</v>
      </c>
      <c r="N736" s="53" t="str">
        <f>IF(G736*M736&lt;&gt;0, TRUNC(G736*M736, 1), "")</f>
        <v/>
      </c>
      <c r="O736" s="15">
        <f>IF((H736+K736+M736)=0, "", (H736+K736+M736))</f>
        <v>19667</v>
      </c>
      <c r="P736" s="15">
        <f>IF(SUM(I736,L736,N736)&lt;&gt;0,SUM(I736,L736,N736),"")</f>
        <v>983.3</v>
      </c>
      <c r="Q736" s="12"/>
    </row>
    <row r="737" spans="1:17" ht="23.25" customHeight="1" x14ac:dyDescent="0.15">
      <c r="A737" s="13" t="s">
        <v>1373</v>
      </c>
      <c r="B737" s="13" t="s">
        <v>1977</v>
      </c>
      <c r="C737" s="1" t="s">
        <v>1005</v>
      </c>
      <c r="D737" s="12" t="s">
        <v>1003</v>
      </c>
      <c r="E737" s="12" t="s">
        <v>1006</v>
      </c>
      <c r="F737" s="31" t="s">
        <v>999</v>
      </c>
      <c r="G737" s="15">
        <f>일위노임!G323</f>
        <v>7.8E-2</v>
      </c>
      <c r="H737" s="15">
        <f>합산자재!H346</f>
        <v>0</v>
      </c>
      <c r="I737" s="53" t="str">
        <f>IF(G737*H737&lt;&gt;0, TRUNC(G737*H737, 1), "")</f>
        <v/>
      </c>
      <c r="J737" s="15">
        <v>7.8E-2</v>
      </c>
      <c r="K737" s="15">
        <f>합산자재!I346</f>
        <v>304156</v>
      </c>
      <c r="L737" s="53">
        <f>IF(G737*K737&lt;&gt;0, TRUNC(G737*K737, 1), "")</f>
        <v>23724.1</v>
      </c>
      <c r="M737" s="15">
        <f>합산자재!J346</f>
        <v>0</v>
      </c>
      <c r="N737" s="53" t="str">
        <f>IF(G737*M737&lt;&gt;0, TRUNC(G737*M737, 1), "")</f>
        <v/>
      </c>
      <c r="O737" s="15">
        <f>IF((H737+K737+M737)=0, "", (H737+K737+M737))</f>
        <v>304156</v>
      </c>
      <c r="P737" s="15">
        <f>IF(SUM(I737,L737,N737)&lt;&gt;0,SUM(I737,L737,N737),"")</f>
        <v>23724.1</v>
      </c>
      <c r="Q737" s="12"/>
    </row>
    <row r="738" spans="1:17" ht="23.25" customHeight="1" x14ac:dyDescent="0.15">
      <c r="A738" s="13" t="s">
        <v>2362</v>
      </c>
      <c r="B738" s="13" t="s">
        <v>1977</v>
      </c>
      <c r="C738" s="1" t="s">
        <v>2363</v>
      </c>
      <c r="D738" s="12" t="s">
        <v>2364</v>
      </c>
      <c r="E738" s="12" t="s">
        <v>2365</v>
      </c>
      <c r="F738" s="31" t="s">
        <v>792</v>
      </c>
      <c r="G738" s="15">
        <v>1</v>
      </c>
      <c r="H738" s="15">
        <v>474.4</v>
      </c>
      <c r="I738" s="53">
        <f>IF(G738*H738&lt;&gt;0, TRUNC(G738*H738, 1), "")</f>
        <v>474.4</v>
      </c>
      <c r="J738" s="15">
        <v>1</v>
      </c>
      <c r="K738" s="15"/>
      <c r="L738" s="53" t="str">
        <f>IF(G738*K738&lt;&gt;0, TRUNC(G738*K738, 1), "")</f>
        <v/>
      </c>
      <c r="M738" s="15"/>
      <c r="N738" s="53" t="str">
        <f>IF(G738*M738&lt;&gt;0, TRUNC(G738*M738, 1), "")</f>
        <v/>
      </c>
      <c r="O738" s="15">
        <f>IF((H738+K738+M738)=0, "", (H738+K738+M738))</f>
        <v>474.4</v>
      </c>
      <c r="P738" s="15">
        <f>IF(SUM(I738,L738,N738)&lt;&gt;0,SUM(I738,L738,N738),"")</f>
        <v>474.4</v>
      </c>
      <c r="Q738" s="12"/>
    </row>
    <row r="739" spans="1:17" ht="23.25" customHeight="1" x14ac:dyDescent="0.15">
      <c r="B739" s="13" t="s">
        <v>2360</v>
      </c>
      <c r="D739" s="12" t="s">
        <v>2361</v>
      </c>
      <c r="E739" s="12"/>
      <c r="F739" s="31"/>
      <c r="G739" s="15"/>
      <c r="H739" s="15"/>
      <c r="I739" s="53">
        <f>TRUNC(SUM(I734:I738))</f>
        <v>21124</v>
      </c>
      <c r="J739" s="15"/>
      <c r="K739" s="15"/>
      <c r="L739" s="53">
        <f>TRUNC(SUM(L734:L738))</f>
        <v>23724</v>
      </c>
      <c r="M739" s="15"/>
      <c r="N739" s="53">
        <f>TRUNC(SUM(N734:N738))</f>
        <v>0</v>
      </c>
      <c r="O739" s="15" t="str">
        <f>IF((H739+K739+M739)=0, "", (H739+K739+M739))</f>
        <v/>
      </c>
      <c r="P739" s="15">
        <f>IF(SUM(I739,L739,N739)&lt;&gt;0,SUM(I739,L739,N739),"")</f>
        <v>44848</v>
      </c>
      <c r="Q739" s="12"/>
    </row>
    <row r="740" spans="1:17" ht="23.25" customHeight="1" x14ac:dyDescent="0.15">
      <c r="D740" s="12"/>
      <c r="E740" s="12"/>
      <c r="F740" s="31"/>
      <c r="G740" s="15"/>
      <c r="H740" s="15"/>
      <c r="I740" s="53"/>
      <c r="J740" s="15"/>
      <c r="K740" s="15"/>
      <c r="L740" s="53"/>
      <c r="M740" s="15"/>
      <c r="N740" s="53"/>
      <c r="O740" s="15"/>
      <c r="P740" s="15"/>
      <c r="Q740" s="12"/>
    </row>
    <row r="741" spans="1:17" ht="23.25" customHeight="1" x14ac:dyDescent="0.15">
      <c r="A741" s="13" t="s">
        <v>2664</v>
      </c>
      <c r="B741" s="13" t="s">
        <v>2382</v>
      </c>
      <c r="C741" s="1" t="s">
        <v>2665</v>
      </c>
      <c r="D741" s="170" t="s">
        <v>2663</v>
      </c>
      <c r="E741" s="172"/>
      <c r="F741" s="31"/>
      <c r="G741" s="15"/>
      <c r="H741" s="15"/>
      <c r="I741" s="53"/>
      <c r="J741" s="15"/>
      <c r="K741" s="15"/>
      <c r="L741" s="53"/>
      <c r="M741" s="15"/>
      <c r="N741" s="53"/>
      <c r="O741" s="15"/>
      <c r="P741" s="15"/>
      <c r="Q741" s="12"/>
    </row>
    <row r="742" spans="1:17" ht="23.25" customHeight="1" x14ac:dyDescent="0.15">
      <c r="A742" s="13" t="s">
        <v>1142</v>
      </c>
      <c r="B742" s="13" t="s">
        <v>1980</v>
      </c>
      <c r="C742" s="1" t="s">
        <v>463</v>
      </c>
      <c r="D742" s="12" t="s">
        <v>445</v>
      </c>
      <c r="E742" s="12" t="s">
        <v>464</v>
      </c>
      <c r="F742" s="31" t="s">
        <v>166</v>
      </c>
      <c r="G742" s="15">
        <v>1</v>
      </c>
      <c r="H742" s="15">
        <f>합산자재!H118</f>
        <v>20314</v>
      </c>
      <c r="I742" s="53">
        <f>IF(G742*H742&lt;&gt;0, TRUNC(G742*H742, 1), "")</f>
        <v>20314</v>
      </c>
      <c r="J742" s="15">
        <v>1</v>
      </c>
      <c r="K742" s="15">
        <f>합산자재!I118</f>
        <v>0</v>
      </c>
      <c r="L742" s="53" t="str">
        <f>IF(G742*K742&lt;&gt;0, TRUNC(G742*K742, 1), "")</f>
        <v/>
      </c>
      <c r="M742" s="15">
        <f>합산자재!J118</f>
        <v>0</v>
      </c>
      <c r="N742" s="53" t="str">
        <f>IF(G742*M742&lt;&gt;0, TRUNC(G742*M742, 1), "")</f>
        <v/>
      </c>
      <c r="O742" s="15">
        <f>IF((H742+K742+M742)=0, "", (H742+K742+M742))</f>
        <v>20314</v>
      </c>
      <c r="P742" s="15">
        <f>IF(SUM(I742,L742,N742)&lt;&gt;0,SUM(I742,L742,N742),"")</f>
        <v>20314</v>
      </c>
      <c r="Q742" s="12"/>
    </row>
    <row r="743" spans="1:17" ht="23.25" customHeight="1" x14ac:dyDescent="0.15">
      <c r="A743" s="13" t="s">
        <v>1142</v>
      </c>
      <c r="B743" s="13" t="s">
        <v>1980</v>
      </c>
      <c r="C743" s="1" t="s">
        <v>463</v>
      </c>
      <c r="D743" s="12" t="s">
        <v>445</v>
      </c>
      <c r="E743" s="12" t="s">
        <v>464</v>
      </c>
      <c r="F743" s="31" t="s">
        <v>166</v>
      </c>
      <c r="G743" s="15">
        <v>0.05</v>
      </c>
      <c r="H743" s="15">
        <f>합산자재!H118</f>
        <v>20314</v>
      </c>
      <c r="I743" s="53">
        <f>IF(G743*H743&lt;&gt;0, TRUNC(G743*H743, 1), "")</f>
        <v>1015.7</v>
      </c>
      <c r="J743" s="15">
        <v>0.05</v>
      </c>
      <c r="K743" s="15">
        <f>합산자재!I118</f>
        <v>0</v>
      </c>
      <c r="L743" s="53" t="str">
        <f>IF(G743*K743&lt;&gt;0, TRUNC(G743*K743, 1), "")</f>
        <v/>
      </c>
      <c r="M743" s="15">
        <f>합산자재!J118</f>
        <v>0</v>
      </c>
      <c r="N743" s="53" t="str">
        <f>IF(G743*M743&lt;&gt;0, TRUNC(G743*M743, 1), "")</f>
        <v/>
      </c>
      <c r="O743" s="15">
        <f>IF((H743+K743+M743)=0, "", (H743+K743+M743))</f>
        <v>20314</v>
      </c>
      <c r="P743" s="15">
        <f>IF(SUM(I743,L743,N743)&lt;&gt;0,SUM(I743,L743,N743),"")</f>
        <v>1015.7</v>
      </c>
      <c r="Q743" s="12"/>
    </row>
    <row r="744" spans="1:17" ht="23.25" customHeight="1" x14ac:dyDescent="0.15">
      <c r="A744" s="13" t="s">
        <v>1373</v>
      </c>
      <c r="B744" s="13" t="s">
        <v>1980</v>
      </c>
      <c r="C744" s="1" t="s">
        <v>1005</v>
      </c>
      <c r="D744" s="12" t="s">
        <v>1003</v>
      </c>
      <c r="E744" s="12" t="s">
        <v>1006</v>
      </c>
      <c r="F744" s="31" t="s">
        <v>999</v>
      </c>
      <c r="G744" s="15">
        <f>일위노임!G326</f>
        <v>9.3600000000000003E-2</v>
      </c>
      <c r="H744" s="15">
        <f>합산자재!H346</f>
        <v>0</v>
      </c>
      <c r="I744" s="53" t="str">
        <f>IF(G744*H744&lt;&gt;0, TRUNC(G744*H744, 1), "")</f>
        <v/>
      </c>
      <c r="J744" s="15">
        <v>9.3600000000000003E-2</v>
      </c>
      <c r="K744" s="15">
        <f>합산자재!I346</f>
        <v>304156</v>
      </c>
      <c r="L744" s="53">
        <f>IF(G744*K744&lt;&gt;0, TRUNC(G744*K744, 1), "")</f>
        <v>28469</v>
      </c>
      <c r="M744" s="15">
        <f>합산자재!J346</f>
        <v>0</v>
      </c>
      <c r="N744" s="53" t="str">
        <f>IF(G744*M744&lt;&gt;0, TRUNC(G744*M744, 1), "")</f>
        <v/>
      </c>
      <c r="O744" s="15">
        <f>IF((H744+K744+M744)=0, "", (H744+K744+M744))</f>
        <v>304156</v>
      </c>
      <c r="P744" s="15">
        <f>IF(SUM(I744,L744,N744)&lt;&gt;0,SUM(I744,L744,N744),"")</f>
        <v>28469</v>
      </c>
      <c r="Q744" s="12"/>
    </row>
    <row r="745" spans="1:17" ht="23.25" customHeight="1" x14ac:dyDescent="0.15">
      <c r="A745" s="13" t="s">
        <v>2362</v>
      </c>
      <c r="B745" s="13" t="s">
        <v>1980</v>
      </c>
      <c r="C745" s="1" t="s">
        <v>2363</v>
      </c>
      <c r="D745" s="12" t="s">
        <v>2364</v>
      </c>
      <c r="E745" s="12" t="s">
        <v>2365</v>
      </c>
      <c r="F745" s="31" t="s">
        <v>792</v>
      </c>
      <c r="G745" s="15">
        <v>1</v>
      </c>
      <c r="H745" s="15">
        <v>569.29999999999995</v>
      </c>
      <c r="I745" s="53">
        <f>IF(G745*H745&lt;&gt;0, TRUNC(G745*H745, 1), "")</f>
        <v>569.29999999999995</v>
      </c>
      <c r="J745" s="15">
        <v>1</v>
      </c>
      <c r="K745" s="15"/>
      <c r="L745" s="53" t="str">
        <f>IF(G745*K745&lt;&gt;0, TRUNC(G745*K745, 1), "")</f>
        <v/>
      </c>
      <c r="M745" s="15"/>
      <c r="N745" s="53" t="str">
        <f>IF(G745*M745&lt;&gt;0, TRUNC(G745*M745, 1), "")</f>
        <v/>
      </c>
      <c r="O745" s="15">
        <f>IF((H745+K745+M745)=0, "", (H745+K745+M745))</f>
        <v>569.29999999999995</v>
      </c>
      <c r="P745" s="15">
        <f>IF(SUM(I745,L745,N745)&lt;&gt;0,SUM(I745,L745,N745),"")</f>
        <v>569.29999999999995</v>
      </c>
      <c r="Q745" s="12"/>
    </row>
    <row r="746" spans="1:17" ht="23.25" customHeight="1" x14ac:dyDescent="0.15">
      <c r="B746" s="13" t="s">
        <v>2360</v>
      </c>
      <c r="D746" s="12" t="s">
        <v>2361</v>
      </c>
      <c r="E746" s="12"/>
      <c r="F746" s="31"/>
      <c r="G746" s="15"/>
      <c r="H746" s="15"/>
      <c r="I746" s="53">
        <f>TRUNC(SUM(I741:I745))</f>
        <v>21899</v>
      </c>
      <c r="J746" s="15"/>
      <c r="K746" s="15"/>
      <c r="L746" s="53">
        <f>TRUNC(SUM(L741:L745))</f>
        <v>28469</v>
      </c>
      <c r="M746" s="15"/>
      <c r="N746" s="53">
        <f>TRUNC(SUM(N741:N745))</f>
        <v>0</v>
      </c>
      <c r="O746" s="15" t="str">
        <f>IF((H746+K746+M746)=0, "", (H746+K746+M746))</f>
        <v/>
      </c>
      <c r="P746" s="15">
        <f>IF(SUM(I746,L746,N746)&lt;&gt;0,SUM(I746,L746,N746),"")</f>
        <v>50368</v>
      </c>
      <c r="Q746" s="12"/>
    </row>
    <row r="747" spans="1:17" ht="23.25" customHeight="1" x14ac:dyDescent="0.15">
      <c r="D747" s="12"/>
      <c r="E747" s="12"/>
      <c r="F747" s="31"/>
      <c r="G747" s="15"/>
      <c r="H747" s="15"/>
      <c r="I747" s="53"/>
      <c r="J747" s="15"/>
      <c r="K747" s="15"/>
      <c r="L747" s="53"/>
      <c r="M747" s="15"/>
      <c r="N747" s="53"/>
      <c r="O747" s="15"/>
      <c r="P747" s="15"/>
      <c r="Q747" s="12"/>
    </row>
    <row r="748" spans="1:17" ht="23.25" customHeight="1" x14ac:dyDescent="0.15">
      <c r="A748" s="13" t="s">
        <v>2667</v>
      </c>
      <c r="B748" s="13" t="s">
        <v>2382</v>
      </c>
      <c r="C748" s="1" t="s">
        <v>2668</v>
      </c>
      <c r="D748" s="170" t="s">
        <v>2666</v>
      </c>
      <c r="E748" s="172"/>
      <c r="F748" s="31"/>
      <c r="G748" s="15"/>
      <c r="H748" s="15"/>
      <c r="I748" s="53"/>
      <c r="J748" s="15"/>
      <c r="K748" s="15"/>
      <c r="L748" s="53"/>
      <c r="M748" s="15"/>
      <c r="N748" s="53"/>
      <c r="O748" s="15"/>
      <c r="P748" s="15"/>
      <c r="Q748" s="12"/>
    </row>
    <row r="749" spans="1:17" ht="23.25" customHeight="1" x14ac:dyDescent="0.15">
      <c r="A749" s="13" t="s">
        <v>1143</v>
      </c>
      <c r="B749" s="13" t="s">
        <v>1983</v>
      </c>
      <c r="C749" s="1" t="s">
        <v>465</v>
      </c>
      <c r="D749" s="12" t="s">
        <v>466</v>
      </c>
      <c r="E749" s="12" t="s">
        <v>467</v>
      </c>
      <c r="F749" s="31" t="s">
        <v>166</v>
      </c>
      <c r="G749" s="15">
        <v>1</v>
      </c>
      <c r="H749" s="15">
        <f>합산자재!H119</f>
        <v>37481</v>
      </c>
      <c r="I749" s="53">
        <f>IF(G749*H749&lt;&gt;0, TRUNC(G749*H749, 1), "")</f>
        <v>37481</v>
      </c>
      <c r="J749" s="15">
        <v>1</v>
      </c>
      <c r="K749" s="15">
        <f>합산자재!I119</f>
        <v>0</v>
      </c>
      <c r="L749" s="53" t="str">
        <f>IF(G749*K749&lt;&gt;0, TRUNC(G749*K749, 1), "")</f>
        <v/>
      </c>
      <c r="M749" s="15">
        <f>합산자재!J119</f>
        <v>0</v>
      </c>
      <c r="N749" s="53" t="str">
        <f>IF(G749*M749&lt;&gt;0, TRUNC(G749*M749, 1), "")</f>
        <v/>
      </c>
      <c r="O749" s="15">
        <f>IF((H749+K749+M749)=0, "", (H749+K749+M749))</f>
        <v>37481</v>
      </c>
      <c r="P749" s="15">
        <f>IF(SUM(I749,L749,N749)&lt;&gt;0,SUM(I749,L749,N749),"")</f>
        <v>37481</v>
      </c>
      <c r="Q749" s="12"/>
    </row>
    <row r="750" spans="1:17" ht="23.25" customHeight="1" x14ac:dyDescent="0.15">
      <c r="A750" s="13" t="s">
        <v>1143</v>
      </c>
      <c r="B750" s="13" t="s">
        <v>1983</v>
      </c>
      <c r="C750" s="1" t="s">
        <v>465</v>
      </c>
      <c r="D750" s="12" t="s">
        <v>466</v>
      </c>
      <c r="E750" s="12" t="s">
        <v>467</v>
      </c>
      <c r="F750" s="31" t="s">
        <v>166</v>
      </c>
      <c r="G750" s="15">
        <v>0.05</v>
      </c>
      <c r="H750" s="15">
        <f>합산자재!H119</f>
        <v>37481</v>
      </c>
      <c r="I750" s="53">
        <f>IF(G750*H750&lt;&gt;0, TRUNC(G750*H750, 1), "")</f>
        <v>1874</v>
      </c>
      <c r="J750" s="15">
        <v>0.05</v>
      </c>
      <c r="K750" s="15">
        <f>합산자재!I119</f>
        <v>0</v>
      </c>
      <c r="L750" s="53" t="str">
        <f>IF(G750*K750&lt;&gt;0, TRUNC(G750*K750, 1), "")</f>
        <v/>
      </c>
      <c r="M750" s="15">
        <f>합산자재!J119</f>
        <v>0</v>
      </c>
      <c r="N750" s="53" t="str">
        <f>IF(G750*M750&lt;&gt;0, TRUNC(G750*M750, 1), "")</f>
        <v/>
      </c>
      <c r="O750" s="15">
        <f>IF((H750+K750+M750)=0, "", (H750+K750+M750))</f>
        <v>37481</v>
      </c>
      <c r="P750" s="15">
        <f>IF(SUM(I750,L750,N750)&lt;&gt;0,SUM(I750,L750,N750),"")</f>
        <v>1874</v>
      </c>
      <c r="Q750" s="12"/>
    </row>
    <row r="751" spans="1:17" ht="23.25" customHeight="1" x14ac:dyDescent="0.15">
      <c r="A751" s="13" t="s">
        <v>1373</v>
      </c>
      <c r="B751" s="13" t="s">
        <v>1983</v>
      </c>
      <c r="C751" s="1" t="s">
        <v>1005</v>
      </c>
      <c r="D751" s="12" t="s">
        <v>1003</v>
      </c>
      <c r="E751" s="12" t="s">
        <v>1006</v>
      </c>
      <c r="F751" s="31" t="s">
        <v>999</v>
      </c>
      <c r="G751" s="15">
        <f>일위노임!G329</f>
        <v>0.11559999999999999</v>
      </c>
      <c r="H751" s="15">
        <f>합산자재!H346</f>
        <v>0</v>
      </c>
      <c r="I751" s="53" t="str">
        <f>IF(G751*H751&lt;&gt;0, TRUNC(G751*H751, 1), "")</f>
        <v/>
      </c>
      <c r="J751" s="15">
        <v>0.11559999999999999</v>
      </c>
      <c r="K751" s="15">
        <f>합산자재!I346</f>
        <v>304156</v>
      </c>
      <c r="L751" s="53">
        <f>IF(G751*K751&lt;&gt;0, TRUNC(G751*K751, 1), "")</f>
        <v>35160.400000000001</v>
      </c>
      <c r="M751" s="15">
        <f>합산자재!J346</f>
        <v>0</v>
      </c>
      <c r="N751" s="53" t="str">
        <f>IF(G751*M751&lt;&gt;0, TRUNC(G751*M751, 1), "")</f>
        <v/>
      </c>
      <c r="O751" s="15">
        <f>IF((H751+K751+M751)=0, "", (H751+K751+M751))</f>
        <v>304156</v>
      </c>
      <c r="P751" s="15">
        <f>IF(SUM(I751,L751,N751)&lt;&gt;0,SUM(I751,L751,N751),"")</f>
        <v>35160.400000000001</v>
      </c>
      <c r="Q751" s="12"/>
    </row>
    <row r="752" spans="1:17" ht="23.25" customHeight="1" x14ac:dyDescent="0.15">
      <c r="A752" s="13" t="s">
        <v>2362</v>
      </c>
      <c r="B752" s="13" t="s">
        <v>1983</v>
      </c>
      <c r="C752" s="1" t="s">
        <v>2363</v>
      </c>
      <c r="D752" s="12" t="s">
        <v>2364</v>
      </c>
      <c r="E752" s="12" t="s">
        <v>2365</v>
      </c>
      <c r="F752" s="31" t="s">
        <v>792</v>
      </c>
      <c r="G752" s="15">
        <v>1</v>
      </c>
      <c r="H752" s="15">
        <v>703.2</v>
      </c>
      <c r="I752" s="53">
        <f>IF(G752*H752&lt;&gt;0, TRUNC(G752*H752, 1), "")</f>
        <v>703.2</v>
      </c>
      <c r="J752" s="15">
        <v>1</v>
      </c>
      <c r="K752" s="15"/>
      <c r="L752" s="53" t="str">
        <f>IF(G752*K752&lt;&gt;0, TRUNC(G752*K752, 1), "")</f>
        <v/>
      </c>
      <c r="M752" s="15"/>
      <c r="N752" s="53" t="str">
        <f>IF(G752*M752&lt;&gt;0, TRUNC(G752*M752, 1), "")</f>
        <v/>
      </c>
      <c r="O752" s="15">
        <f>IF((H752+K752+M752)=0, "", (H752+K752+M752))</f>
        <v>703.2</v>
      </c>
      <c r="P752" s="15">
        <f>IF(SUM(I752,L752,N752)&lt;&gt;0,SUM(I752,L752,N752),"")</f>
        <v>703.2</v>
      </c>
      <c r="Q752" s="12"/>
    </row>
    <row r="753" spans="1:17" ht="23.25" customHeight="1" x14ac:dyDescent="0.15">
      <c r="B753" s="13" t="s">
        <v>2360</v>
      </c>
      <c r="D753" s="12" t="s">
        <v>2361</v>
      </c>
      <c r="E753" s="12"/>
      <c r="F753" s="31"/>
      <c r="G753" s="15"/>
      <c r="H753" s="15"/>
      <c r="I753" s="53">
        <f>TRUNC(SUM(I748:I752))</f>
        <v>40058</v>
      </c>
      <c r="J753" s="15"/>
      <c r="K753" s="15"/>
      <c r="L753" s="53">
        <f>TRUNC(SUM(L748:L752))</f>
        <v>35160</v>
      </c>
      <c r="M753" s="15"/>
      <c r="N753" s="53">
        <f>TRUNC(SUM(N748:N752))</f>
        <v>0</v>
      </c>
      <c r="O753" s="15" t="str">
        <f>IF((H753+K753+M753)=0, "", (H753+K753+M753))</f>
        <v/>
      </c>
      <c r="P753" s="15">
        <f>IF(SUM(I753,L753,N753)&lt;&gt;0,SUM(I753,L753,N753),"")</f>
        <v>75218</v>
      </c>
      <c r="Q753" s="12"/>
    </row>
    <row r="754" spans="1:17" ht="23.25" customHeight="1" x14ac:dyDescent="0.15">
      <c r="D754" s="12"/>
      <c r="E754" s="12"/>
      <c r="F754" s="31"/>
      <c r="G754" s="15"/>
      <c r="H754" s="15"/>
      <c r="I754" s="53"/>
      <c r="J754" s="15"/>
      <c r="K754" s="15"/>
      <c r="L754" s="53"/>
      <c r="M754" s="15"/>
      <c r="N754" s="53"/>
      <c r="O754" s="15"/>
      <c r="P754" s="15"/>
      <c r="Q754" s="12"/>
    </row>
    <row r="755" spans="1:17" ht="23.25" customHeight="1" x14ac:dyDescent="0.15">
      <c r="A755" s="13" t="s">
        <v>2670</v>
      </c>
      <c r="B755" s="13" t="s">
        <v>2382</v>
      </c>
      <c r="C755" s="1" t="s">
        <v>2671</v>
      </c>
      <c r="D755" s="170" t="s">
        <v>2669</v>
      </c>
      <c r="E755" s="172"/>
      <c r="F755" s="31"/>
      <c r="G755" s="15"/>
      <c r="H755" s="15"/>
      <c r="I755" s="53"/>
      <c r="J755" s="15"/>
      <c r="K755" s="15"/>
      <c r="L755" s="53"/>
      <c r="M755" s="15"/>
      <c r="N755" s="53"/>
      <c r="O755" s="15"/>
      <c r="P755" s="15"/>
      <c r="Q755" s="12"/>
    </row>
    <row r="756" spans="1:17" ht="23.25" customHeight="1" x14ac:dyDescent="0.15">
      <c r="A756" s="13" t="s">
        <v>1144</v>
      </c>
      <c r="B756" s="13" t="s">
        <v>1986</v>
      </c>
      <c r="C756" s="1" t="s">
        <v>472</v>
      </c>
      <c r="D756" s="12" t="s">
        <v>466</v>
      </c>
      <c r="E756" s="12" t="s">
        <v>473</v>
      </c>
      <c r="F756" s="31" t="s">
        <v>166</v>
      </c>
      <c r="G756" s="15">
        <v>1</v>
      </c>
      <c r="H756" s="15">
        <f>합산자재!H120</f>
        <v>3311</v>
      </c>
      <c r="I756" s="53">
        <f>IF(G756*H756&lt;&gt;0, TRUNC(G756*H756, 1), "")</f>
        <v>3311</v>
      </c>
      <c r="J756" s="15">
        <v>1</v>
      </c>
      <c r="K756" s="15">
        <f>합산자재!I120</f>
        <v>0</v>
      </c>
      <c r="L756" s="53" t="str">
        <f>IF(G756*K756&lt;&gt;0, TRUNC(G756*K756, 1), "")</f>
        <v/>
      </c>
      <c r="M756" s="15">
        <f>합산자재!J120</f>
        <v>0</v>
      </c>
      <c r="N756" s="53" t="str">
        <f>IF(G756*M756&lt;&gt;0, TRUNC(G756*M756, 1), "")</f>
        <v/>
      </c>
      <c r="O756" s="15">
        <f>IF((H756+K756+M756)=0, "", (H756+K756+M756))</f>
        <v>3311</v>
      </c>
      <c r="P756" s="15">
        <f>IF(SUM(I756,L756,N756)&lt;&gt;0,SUM(I756,L756,N756),"")</f>
        <v>3311</v>
      </c>
      <c r="Q756" s="12"/>
    </row>
    <row r="757" spans="1:17" ht="23.25" customHeight="1" x14ac:dyDescent="0.15">
      <c r="A757" s="13" t="s">
        <v>1144</v>
      </c>
      <c r="B757" s="13" t="s">
        <v>1986</v>
      </c>
      <c r="C757" s="1" t="s">
        <v>472</v>
      </c>
      <c r="D757" s="12" t="s">
        <v>466</v>
      </c>
      <c r="E757" s="12" t="s">
        <v>473</v>
      </c>
      <c r="F757" s="31" t="s">
        <v>166</v>
      </c>
      <c r="G757" s="15">
        <v>0.05</v>
      </c>
      <c r="H757" s="15">
        <f>합산자재!H120</f>
        <v>3311</v>
      </c>
      <c r="I757" s="53">
        <f>IF(G757*H757&lt;&gt;0, TRUNC(G757*H757, 1), "")</f>
        <v>165.5</v>
      </c>
      <c r="J757" s="15">
        <v>0.05</v>
      </c>
      <c r="K757" s="15">
        <f>합산자재!I120</f>
        <v>0</v>
      </c>
      <c r="L757" s="53" t="str">
        <f>IF(G757*K757&lt;&gt;0, TRUNC(G757*K757, 1), "")</f>
        <v/>
      </c>
      <c r="M757" s="15">
        <f>합산자재!J120</f>
        <v>0</v>
      </c>
      <c r="N757" s="53" t="str">
        <f>IF(G757*M757&lt;&gt;0, TRUNC(G757*M757, 1), "")</f>
        <v/>
      </c>
      <c r="O757" s="15">
        <f>IF((H757+K757+M757)=0, "", (H757+K757+M757))</f>
        <v>3311</v>
      </c>
      <c r="P757" s="15">
        <f>IF(SUM(I757,L757,N757)&lt;&gt;0,SUM(I757,L757,N757),"")</f>
        <v>165.5</v>
      </c>
      <c r="Q757" s="12"/>
    </row>
    <row r="758" spans="1:17" ht="23.25" customHeight="1" x14ac:dyDescent="0.15">
      <c r="A758" s="13" t="s">
        <v>1373</v>
      </c>
      <c r="B758" s="13" t="s">
        <v>1986</v>
      </c>
      <c r="C758" s="1" t="s">
        <v>1005</v>
      </c>
      <c r="D758" s="12" t="s">
        <v>1003</v>
      </c>
      <c r="E758" s="12" t="s">
        <v>1006</v>
      </c>
      <c r="F758" s="31" t="s">
        <v>999</v>
      </c>
      <c r="G758" s="15">
        <f>일위노임!G332</f>
        <v>1.6E-2</v>
      </c>
      <c r="H758" s="15">
        <f>합산자재!H346</f>
        <v>0</v>
      </c>
      <c r="I758" s="53" t="str">
        <f>IF(G758*H758&lt;&gt;0, TRUNC(G758*H758, 1), "")</f>
        <v/>
      </c>
      <c r="J758" s="15">
        <v>1.6E-2</v>
      </c>
      <c r="K758" s="15">
        <f>합산자재!I346</f>
        <v>304156</v>
      </c>
      <c r="L758" s="53">
        <f>IF(G758*K758&lt;&gt;0, TRUNC(G758*K758, 1), "")</f>
        <v>4866.3999999999996</v>
      </c>
      <c r="M758" s="15">
        <f>합산자재!J346</f>
        <v>0</v>
      </c>
      <c r="N758" s="53" t="str">
        <f>IF(G758*M758&lt;&gt;0, TRUNC(G758*M758, 1), "")</f>
        <v/>
      </c>
      <c r="O758" s="15">
        <f>IF((H758+K758+M758)=0, "", (H758+K758+M758))</f>
        <v>304156</v>
      </c>
      <c r="P758" s="15">
        <f>IF(SUM(I758,L758,N758)&lt;&gt;0,SUM(I758,L758,N758),"")</f>
        <v>4866.3999999999996</v>
      </c>
      <c r="Q758" s="12"/>
    </row>
    <row r="759" spans="1:17" ht="23.25" customHeight="1" x14ac:dyDescent="0.15">
      <c r="A759" s="13" t="s">
        <v>2362</v>
      </c>
      <c r="B759" s="13" t="s">
        <v>1986</v>
      </c>
      <c r="C759" s="1" t="s">
        <v>2363</v>
      </c>
      <c r="D759" s="12" t="s">
        <v>2364</v>
      </c>
      <c r="E759" s="12" t="s">
        <v>2365</v>
      </c>
      <c r="F759" s="31" t="s">
        <v>792</v>
      </c>
      <c r="G759" s="15">
        <v>1</v>
      </c>
      <c r="H759" s="15">
        <v>97.3</v>
      </c>
      <c r="I759" s="53">
        <f>IF(G759*H759&lt;&gt;0, TRUNC(G759*H759, 1), "")</f>
        <v>97.3</v>
      </c>
      <c r="J759" s="15">
        <v>1</v>
      </c>
      <c r="K759" s="15"/>
      <c r="L759" s="53" t="str">
        <f>IF(G759*K759&lt;&gt;0, TRUNC(G759*K759, 1), "")</f>
        <v/>
      </c>
      <c r="M759" s="15"/>
      <c r="N759" s="53" t="str">
        <f>IF(G759*M759&lt;&gt;0, TRUNC(G759*M759, 1), "")</f>
        <v/>
      </c>
      <c r="O759" s="15">
        <f>IF((H759+K759+M759)=0, "", (H759+K759+M759))</f>
        <v>97.3</v>
      </c>
      <c r="P759" s="15">
        <f>IF(SUM(I759,L759,N759)&lt;&gt;0,SUM(I759,L759,N759),"")</f>
        <v>97.3</v>
      </c>
      <c r="Q759" s="12"/>
    </row>
    <row r="760" spans="1:17" ht="23.25" customHeight="1" x14ac:dyDescent="0.15">
      <c r="B760" s="13" t="s">
        <v>2360</v>
      </c>
      <c r="D760" s="12" t="s">
        <v>2361</v>
      </c>
      <c r="E760" s="12"/>
      <c r="F760" s="31"/>
      <c r="G760" s="15"/>
      <c r="H760" s="15"/>
      <c r="I760" s="53">
        <f>TRUNC(SUM(I755:I759))</f>
        <v>3573</v>
      </c>
      <c r="J760" s="15"/>
      <c r="K760" s="15"/>
      <c r="L760" s="53">
        <f>TRUNC(SUM(L755:L759))</f>
        <v>4866</v>
      </c>
      <c r="M760" s="15"/>
      <c r="N760" s="53">
        <f>TRUNC(SUM(N755:N759))</f>
        <v>0</v>
      </c>
      <c r="O760" s="15" t="str">
        <f>IF((H760+K760+M760)=0, "", (H760+K760+M760))</f>
        <v/>
      </c>
      <c r="P760" s="15">
        <f>IF(SUM(I760,L760,N760)&lt;&gt;0,SUM(I760,L760,N760),"")</f>
        <v>8439</v>
      </c>
      <c r="Q760" s="12"/>
    </row>
    <row r="761" spans="1:17" ht="23.25" customHeight="1" x14ac:dyDescent="0.15">
      <c r="D761" s="12"/>
      <c r="E761" s="12"/>
      <c r="F761" s="31"/>
      <c r="G761" s="15"/>
      <c r="H761" s="15"/>
      <c r="I761" s="53"/>
      <c r="J761" s="15"/>
      <c r="K761" s="15"/>
      <c r="L761" s="53"/>
      <c r="M761" s="15"/>
      <c r="N761" s="53"/>
      <c r="O761" s="15"/>
      <c r="P761" s="15"/>
      <c r="Q761" s="12"/>
    </row>
    <row r="762" spans="1:17" ht="23.25" customHeight="1" x14ac:dyDescent="0.15">
      <c r="A762" s="13" t="s">
        <v>2673</v>
      </c>
      <c r="B762" s="13" t="s">
        <v>2382</v>
      </c>
      <c r="C762" s="1" t="s">
        <v>2674</v>
      </c>
      <c r="D762" s="170" t="s">
        <v>2672</v>
      </c>
      <c r="E762" s="172"/>
      <c r="F762" s="31"/>
      <c r="G762" s="15"/>
      <c r="H762" s="15"/>
      <c r="I762" s="53"/>
      <c r="J762" s="15"/>
      <c r="K762" s="15"/>
      <c r="L762" s="53"/>
      <c r="M762" s="15"/>
      <c r="N762" s="53"/>
      <c r="O762" s="15"/>
      <c r="P762" s="15"/>
      <c r="Q762" s="12"/>
    </row>
    <row r="763" spans="1:17" ht="23.25" customHeight="1" x14ac:dyDescent="0.15">
      <c r="A763" s="13" t="s">
        <v>1145</v>
      </c>
      <c r="B763" s="13" t="s">
        <v>1989</v>
      </c>
      <c r="C763" s="1" t="s">
        <v>474</v>
      </c>
      <c r="D763" s="12" t="s">
        <v>466</v>
      </c>
      <c r="E763" s="12" t="s">
        <v>475</v>
      </c>
      <c r="F763" s="31" t="s">
        <v>166</v>
      </c>
      <c r="G763" s="15">
        <v>1</v>
      </c>
      <c r="H763" s="15">
        <f>합산자재!H121</f>
        <v>5494</v>
      </c>
      <c r="I763" s="53">
        <f>IF(G763*H763&lt;&gt;0, TRUNC(G763*H763, 1), "")</f>
        <v>5494</v>
      </c>
      <c r="J763" s="15">
        <v>1</v>
      </c>
      <c r="K763" s="15">
        <f>합산자재!I121</f>
        <v>0</v>
      </c>
      <c r="L763" s="53" t="str">
        <f>IF(G763*K763&lt;&gt;0, TRUNC(G763*K763, 1), "")</f>
        <v/>
      </c>
      <c r="M763" s="15">
        <f>합산자재!J121</f>
        <v>0</v>
      </c>
      <c r="N763" s="53" t="str">
        <f>IF(G763*M763&lt;&gt;0, TRUNC(G763*M763, 1), "")</f>
        <v/>
      </c>
      <c r="O763" s="15">
        <f>IF((H763+K763+M763)=0, "", (H763+K763+M763))</f>
        <v>5494</v>
      </c>
      <c r="P763" s="15">
        <f>IF(SUM(I763,L763,N763)&lt;&gt;0,SUM(I763,L763,N763),"")</f>
        <v>5494</v>
      </c>
      <c r="Q763" s="12"/>
    </row>
    <row r="764" spans="1:17" ht="23.25" customHeight="1" x14ac:dyDescent="0.15">
      <c r="A764" s="13" t="s">
        <v>1145</v>
      </c>
      <c r="B764" s="13" t="s">
        <v>1989</v>
      </c>
      <c r="C764" s="1" t="s">
        <v>474</v>
      </c>
      <c r="D764" s="12" t="s">
        <v>466</v>
      </c>
      <c r="E764" s="12" t="s">
        <v>475</v>
      </c>
      <c r="F764" s="31" t="s">
        <v>166</v>
      </c>
      <c r="G764" s="15">
        <v>0.05</v>
      </c>
      <c r="H764" s="15">
        <f>합산자재!H121</f>
        <v>5494</v>
      </c>
      <c r="I764" s="53">
        <f>IF(G764*H764&lt;&gt;0, TRUNC(G764*H764, 1), "")</f>
        <v>274.7</v>
      </c>
      <c r="J764" s="15">
        <v>0.05</v>
      </c>
      <c r="K764" s="15">
        <f>합산자재!I121</f>
        <v>0</v>
      </c>
      <c r="L764" s="53" t="str">
        <f>IF(G764*K764&lt;&gt;0, TRUNC(G764*K764, 1), "")</f>
        <v/>
      </c>
      <c r="M764" s="15">
        <f>합산자재!J121</f>
        <v>0</v>
      </c>
      <c r="N764" s="53" t="str">
        <f>IF(G764*M764&lt;&gt;0, TRUNC(G764*M764, 1), "")</f>
        <v/>
      </c>
      <c r="O764" s="15">
        <f>IF((H764+K764+M764)=0, "", (H764+K764+M764))</f>
        <v>5494</v>
      </c>
      <c r="P764" s="15">
        <f>IF(SUM(I764,L764,N764)&lt;&gt;0,SUM(I764,L764,N764),"")</f>
        <v>274.7</v>
      </c>
      <c r="Q764" s="12"/>
    </row>
    <row r="765" spans="1:17" ht="23.25" customHeight="1" x14ac:dyDescent="0.15">
      <c r="A765" s="13" t="s">
        <v>1373</v>
      </c>
      <c r="B765" s="13" t="s">
        <v>1989</v>
      </c>
      <c r="C765" s="1" t="s">
        <v>1005</v>
      </c>
      <c r="D765" s="12" t="s">
        <v>1003</v>
      </c>
      <c r="E765" s="12" t="s">
        <v>1006</v>
      </c>
      <c r="F765" s="31" t="s">
        <v>999</v>
      </c>
      <c r="G765" s="15">
        <f>일위노임!G335</f>
        <v>2.5999999999999999E-2</v>
      </c>
      <c r="H765" s="15">
        <f>합산자재!H346</f>
        <v>0</v>
      </c>
      <c r="I765" s="53" t="str">
        <f>IF(G765*H765&lt;&gt;0, TRUNC(G765*H765, 1), "")</f>
        <v/>
      </c>
      <c r="J765" s="15">
        <v>2.5999999999999999E-2</v>
      </c>
      <c r="K765" s="15">
        <f>합산자재!I346</f>
        <v>304156</v>
      </c>
      <c r="L765" s="53">
        <f>IF(G765*K765&lt;&gt;0, TRUNC(G765*K765, 1), "")</f>
        <v>7908</v>
      </c>
      <c r="M765" s="15">
        <f>합산자재!J346</f>
        <v>0</v>
      </c>
      <c r="N765" s="53" t="str">
        <f>IF(G765*M765&lt;&gt;0, TRUNC(G765*M765, 1), "")</f>
        <v/>
      </c>
      <c r="O765" s="15">
        <f>IF((H765+K765+M765)=0, "", (H765+K765+M765))</f>
        <v>304156</v>
      </c>
      <c r="P765" s="15">
        <f>IF(SUM(I765,L765,N765)&lt;&gt;0,SUM(I765,L765,N765),"")</f>
        <v>7908</v>
      </c>
      <c r="Q765" s="12"/>
    </row>
    <row r="766" spans="1:17" ht="23.25" customHeight="1" x14ac:dyDescent="0.15">
      <c r="A766" s="13" t="s">
        <v>2362</v>
      </c>
      <c r="B766" s="13" t="s">
        <v>1989</v>
      </c>
      <c r="C766" s="1" t="s">
        <v>2363</v>
      </c>
      <c r="D766" s="12" t="s">
        <v>2364</v>
      </c>
      <c r="E766" s="12" t="s">
        <v>2365</v>
      </c>
      <c r="F766" s="31" t="s">
        <v>792</v>
      </c>
      <c r="G766" s="15">
        <v>1</v>
      </c>
      <c r="H766" s="15">
        <v>158.1</v>
      </c>
      <c r="I766" s="53">
        <f>IF(G766*H766&lt;&gt;0, TRUNC(G766*H766, 1), "")</f>
        <v>158.1</v>
      </c>
      <c r="J766" s="15">
        <v>1</v>
      </c>
      <c r="K766" s="15"/>
      <c r="L766" s="53" t="str">
        <f>IF(G766*K766&lt;&gt;0, TRUNC(G766*K766, 1), "")</f>
        <v/>
      </c>
      <c r="M766" s="15"/>
      <c r="N766" s="53" t="str">
        <f>IF(G766*M766&lt;&gt;0, TRUNC(G766*M766, 1), "")</f>
        <v/>
      </c>
      <c r="O766" s="15">
        <f>IF((H766+K766+M766)=0, "", (H766+K766+M766))</f>
        <v>158.1</v>
      </c>
      <c r="P766" s="15">
        <f>IF(SUM(I766,L766,N766)&lt;&gt;0,SUM(I766,L766,N766),"")</f>
        <v>158.1</v>
      </c>
      <c r="Q766" s="12"/>
    </row>
    <row r="767" spans="1:17" ht="23.25" customHeight="1" x14ac:dyDescent="0.15">
      <c r="B767" s="13" t="s">
        <v>2360</v>
      </c>
      <c r="D767" s="12" t="s">
        <v>2361</v>
      </c>
      <c r="E767" s="12"/>
      <c r="F767" s="31"/>
      <c r="G767" s="15"/>
      <c r="H767" s="15"/>
      <c r="I767" s="53">
        <f>TRUNC(SUM(I762:I766))</f>
        <v>5926</v>
      </c>
      <c r="J767" s="15"/>
      <c r="K767" s="15"/>
      <c r="L767" s="53">
        <f>TRUNC(SUM(L762:L766))</f>
        <v>7908</v>
      </c>
      <c r="M767" s="15"/>
      <c r="N767" s="53">
        <f>TRUNC(SUM(N762:N766))</f>
        <v>0</v>
      </c>
      <c r="O767" s="15" t="str">
        <f>IF((H767+K767+M767)=0, "", (H767+K767+M767))</f>
        <v/>
      </c>
      <c r="P767" s="15">
        <f>IF(SUM(I767,L767,N767)&lt;&gt;0,SUM(I767,L767,N767),"")</f>
        <v>13834</v>
      </c>
      <c r="Q767" s="12"/>
    </row>
    <row r="768" spans="1:17" ht="23.25" customHeight="1" x14ac:dyDescent="0.15">
      <c r="D768" s="12"/>
      <c r="E768" s="12"/>
      <c r="F768" s="31"/>
      <c r="G768" s="15"/>
      <c r="H768" s="15"/>
      <c r="I768" s="53"/>
      <c r="J768" s="15"/>
      <c r="K768" s="15"/>
      <c r="L768" s="53"/>
      <c r="M768" s="15"/>
      <c r="N768" s="53"/>
      <c r="O768" s="15"/>
      <c r="P768" s="15"/>
      <c r="Q768" s="12"/>
    </row>
    <row r="769" spans="1:17" ht="23.25" customHeight="1" x14ac:dyDescent="0.15">
      <c r="A769" s="13" t="s">
        <v>2676</v>
      </c>
      <c r="B769" s="13" t="s">
        <v>2382</v>
      </c>
      <c r="C769" s="1" t="s">
        <v>2677</v>
      </c>
      <c r="D769" s="170" t="s">
        <v>2675</v>
      </c>
      <c r="E769" s="172"/>
      <c r="F769" s="31"/>
      <c r="G769" s="15"/>
      <c r="H769" s="15"/>
      <c r="I769" s="53"/>
      <c r="J769" s="15"/>
      <c r="K769" s="15"/>
      <c r="L769" s="53"/>
      <c r="M769" s="15"/>
      <c r="N769" s="53"/>
      <c r="O769" s="15"/>
      <c r="P769" s="15"/>
      <c r="Q769" s="12"/>
    </row>
    <row r="770" spans="1:17" ht="23.25" customHeight="1" x14ac:dyDescent="0.15">
      <c r="A770" s="13" t="s">
        <v>1146</v>
      </c>
      <c r="B770" s="13" t="s">
        <v>1992</v>
      </c>
      <c r="C770" s="1" t="s">
        <v>476</v>
      </c>
      <c r="D770" s="12" t="s">
        <v>466</v>
      </c>
      <c r="E770" s="12" t="s">
        <v>477</v>
      </c>
      <c r="F770" s="31" t="s">
        <v>166</v>
      </c>
      <c r="G770" s="15">
        <v>1</v>
      </c>
      <c r="H770" s="15">
        <f>합산자재!H122</f>
        <v>8128</v>
      </c>
      <c r="I770" s="53">
        <f>IF(G770*H770&lt;&gt;0, TRUNC(G770*H770, 1), "")</f>
        <v>8128</v>
      </c>
      <c r="J770" s="15">
        <v>1</v>
      </c>
      <c r="K770" s="15">
        <f>합산자재!I122</f>
        <v>0</v>
      </c>
      <c r="L770" s="53" t="str">
        <f>IF(G770*K770&lt;&gt;0, TRUNC(G770*K770, 1), "")</f>
        <v/>
      </c>
      <c r="M770" s="15">
        <f>합산자재!J122</f>
        <v>0</v>
      </c>
      <c r="N770" s="53" t="str">
        <f>IF(G770*M770&lt;&gt;0, TRUNC(G770*M770, 1), "")</f>
        <v/>
      </c>
      <c r="O770" s="15">
        <f>IF((H770+K770+M770)=0, "", (H770+K770+M770))</f>
        <v>8128</v>
      </c>
      <c r="P770" s="15">
        <f>IF(SUM(I770,L770,N770)&lt;&gt;0,SUM(I770,L770,N770),"")</f>
        <v>8128</v>
      </c>
      <c r="Q770" s="12"/>
    </row>
    <row r="771" spans="1:17" ht="23.25" customHeight="1" x14ac:dyDescent="0.15">
      <c r="A771" s="13" t="s">
        <v>1146</v>
      </c>
      <c r="B771" s="13" t="s">
        <v>1992</v>
      </c>
      <c r="C771" s="1" t="s">
        <v>476</v>
      </c>
      <c r="D771" s="12" t="s">
        <v>466</v>
      </c>
      <c r="E771" s="12" t="s">
        <v>477</v>
      </c>
      <c r="F771" s="31" t="s">
        <v>166</v>
      </c>
      <c r="G771" s="15">
        <v>0.05</v>
      </c>
      <c r="H771" s="15">
        <f>합산자재!H122</f>
        <v>8128</v>
      </c>
      <c r="I771" s="53">
        <f>IF(G771*H771&lt;&gt;0, TRUNC(G771*H771, 1), "")</f>
        <v>406.4</v>
      </c>
      <c r="J771" s="15">
        <v>0.05</v>
      </c>
      <c r="K771" s="15">
        <f>합산자재!I122</f>
        <v>0</v>
      </c>
      <c r="L771" s="53" t="str">
        <f>IF(G771*K771&lt;&gt;0, TRUNC(G771*K771, 1), "")</f>
        <v/>
      </c>
      <c r="M771" s="15">
        <f>합산자재!J122</f>
        <v>0</v>
      </c>
      <c r="N771" s="53" t="str">
        <f>IF(G771*M771&lt;&gt;0, TRUNC(G771*M771, 1), "")</f>
        <v/>
      </c>
      <c r="O771" s="15">
        <f>IF((H771+K771+M771)=0, "", (H771+K771+M771))</f>
        <v>8128</v>
      </c>
      <c r="P771" s="15">
        <f>IF(SUM(I771,L771,N771)&lt;&gt;0,SUM(I771,L771,N771),"")</f>
        <v>406.4</v>
      </c>
      <c r="Q771" s="12"/>
    </row>
    <row r="772" spans="1:17" ht="23.25" customHeight="1" x14ac:dyDescent="0.15">
      <c r="A772" s="13" t="s">
        <v>1373</v>
      </c>
      <c r="B772" s="13" t="s">
        <v>1992</v>
      </c>
      <c r="C772" s="1" t="s">
        <v>1005</v>
      </c>
      <c r="D772" s="12" t="s">
        <v>1003</v>
      </c>
      <c r="E772" s="12" t="s">
        <v>1006</v>
      </c>
      <c r="F772" s="31" t="s">
        <v>999</v>
      </c>
      <c r="G772" s="15">
        <f>일위노임!G338</f>
        <v>3.5999999999999997E-2</v>
      </c>
      <c r="H772" s="15">
        <f>합산자재!H346</f>
        <v>0</v>
      </c>
      <c r="I772" s="53" t="str">
        <f>IF(G772*H772&lt;&gt;0, TRUNC(G772*H772, 1), "")</f>
        <v/>
      </c>
      <c r="J772" s="15">
        <v>3.5999999999999997E-2</v>
      </c>
      <c r="K772" s="15">
        <f>합산자재!I346</f>
        <v>304156</v>
      </c>
      <c r="L772" s="53">
        <f>IF(G772*K772&lt;&gt;0, TRUNC(G772*K772, 1), "")</f>
        <v>10949.6</v>
      </c>
      <c r="M772" s="15">
        <f>합산자재!J346</f>
        <v>0</v>
      </c>
      <c r="N772" s="53" t="str">
        <f>IF(G772*M772&lt;&gt;0, TRUNC(G772*M772, 1), "")</f>
        <v/>
      </c>
      <c r="O772" s="15">
        <f>IF((H772+K772+M772)=0, "", (H772+K772+M772))</f>
        <v>304156</v>
      </c>
      <c r="P772" s="15">
        <f>IF(SUM(I772,L772,N772)&lt;&gt;0,SUM(I772,L772,N772),"")</f>
        <v>10949.6</v>
      </c>
      <c r="Q772" s="12"/>
    </row>
    <row r="773" spans="1:17" ht="23.25" customHeight="1" x14ac:dyDescent="0.15">
      <c r="A773" s="13" t="s">
        <v>2362</v>
      </c>
      <c r="B773" s="13" t="s">
        <v>1992</v>
      </c>
      <c r="C773" s="1" t="s">
        <v>2363</v>
      </c>
      <c r="D773" s="12" t="s">
        <v>2364</v>
      </c>
      <c r="E773" s="12" t="s">
        <v>2365</v>
      </c>
      <c r="F773" s="31" t="s">
        <v>792</v>
      </c>
      <c r="G773" s="15">
        <v>1</v>
      </c>
      <c r="H773" s="15">
        <v>218.9</v>
      </c>
      <c r="I773" s="53">
        <f>IF(G773*H773&lt;&gt;0, TRUNC(G773*H773, 1), "")</f>
        <v>218.9</v>
      </c>
      <c r="J773" s="15">
        <v>1</v>
      </c>
      <c r="K773" s="15"/>
      <c r="L773" s="53" t="str">
        <f>IF(G773*K773&lt;&gt;0, TRUNC(G773*K773, 1), "")</f>
        <v/>
      </c>
      <c r="M773" s="15"/>
      <c r="N773" s="53" t="str">
        <f>IF(G773*M773&lt;&gt;0, TRUNC(G773*M773, 1), "")</f>
        <v/>
      </c>
      <c r="O773" s="15">
        <f>IF((H773+K773+M773)=0, "", (H773+K773+M773))</f>
        <v>218.9</v>
      </c>
      <c r="P773" s="15">
        <f>IF(SUM(I773,L773,N773)&lt;&gt;0,SUM(I773,L773,N773),"")</f>
        <v>218.9</v>
      </c>
      <c r="Q773" s="12"/>
    </row>
    <row r="774" spans="1:17" ht="23.25" customHeight="1" x14ac:dyDescent="0.15">
      <c r="B774" s="13" t="s">
        <v>2360</v>
      </c>
      <c r="D774" s="12" t="s">
        <v>2361</v>
      </c>
      <c r="E774" s="12"/>
      <c r="F774" s="31"/>
      <c r="G774" s="15"/>
      <c r="H774" s="15"/>
      <c r="I774" s="53">
        <f>TRUNC(SUM(I769:I773))</f>
        <v>8753</v>
      </c>
      <c r="J774" s="15"/>
      <c r="K774" s="15"/>
      <c r="L774" s="53">
        <f>TRUNC(SUM(L769:L773))</f>
        <v>10949</v>
      </c>
      <c r="M774" s="15"/>
      <c r="N774" s="53">
        <f>TRUNC(SUM(N769:N773))</f>
        <v>0</v>
      </c>
      <c r="O774" s="15" t="str">
        <f>IF((H774+K774+M774)=0, "", (H774+K774+M774))</f>
        <v/>
      </c>
      <c r="P774" s="15">
        <f>IF(SUM(I774,L774,N774)&lt;&gt;0,SUM(I774,L774,N774),"")</f>
        <v>19702</v>
      </c>
      <c r="Q774" s="12"/>
    </row>
    <row r="775" spans="1:17" ht="23.25" customHeight="1" x14ac:dyDescent="0.15">
      <c r="D775" s="12"/>
      <c r="E775" s="12"/>
      <c r="F775" s="31"/>
      <c r="G775" s="15"/>
      <c r="H775" s="15"/>
      <c r="I775" s="53"/>
      <c r="J775" s="15"/>
      <c r="K775" s="15"/>
      <c r="L775" s="53"/>
      <c r="M775" s="15"/>
      <c r="N775" s="53"/>
      <c r="O775" s="15"/>
      <c r="P775" s="15"/>
      <c r="Q775" s="12"/>
    </row>
    <row r="776" spans="1:17" ht="23.25" customHeight="1" x14ac:dyDescent="0.15">
      <c r="A776" s="13" t="s">
        <v>2679</v>
      </c>
      <c r="B776" s="13" t="s">
        <v>2382</v>
      </c>
      <c r="C776" s="1" t="s">
        <v>2680</v>
      </c>
      <c r="D776" s="170" t="s">
        <v>2678</v>
      </c>
      <c r="E776" s="172"/>
      <c r="F776" s="31"/>
      <c r="G776" s="15"/>
      <c r="H776" s="15"/>
      <c r="I776" s="53"/>
      <c r="J776" s="15"/>
      <c r="K776" s="15"/>
      <c r="L776" s="53"/>
      <c r="M776" s="15"/>
      <c r="N776" s="53"/>
      <c r="O776" s="15"/>
      <c r="P776" s="15"/>
      <c r="Q776" s="12"/>
    </row>
    <row r="777" spans="1:17" ht="23.25" customHeight="1" x14ac:dyDescent="0.15">
      <c r="A777" s="13" t="s">
        <v>1147</v>
      </c>
      <c r="B777" s="13" t="s">
        <v>1995</v>
      </c>
      <c r="C777" s="1" t="s">
        <v>478</v>
      </c>
      <c r="D777" s="12" t="s">
        <v>466</v>
      </c>
      <c r="E777" s="12" t="s">
        <v>479</v>
      </c>
      <c r="F777" s="31" t="s">
        <v>166</v>
      </c>
      <c r="G777" s="15">
        <v>1</v>
      </c>
      <c r="H777" s="15">
        <f>합산자재!H123</f>
        <v>10287</v>
      </c>
      <c r="I777" s="53">
        <f>IF(G777*H777&lt;&gt;0, TRUNC(G777*H777, 1), "")</f>
        <v>10287</v>
      </c>
      <c r="J777" s="15">
        <v>1</v>
      </c>
      <c r="K777" s="15">
        <f>합산자재!I123</f>
        <v>0</v>
      </c>
      <c r="L777" s="53" t="str">
        <f>IF(G777*K777&lt;&gt;0, TRUNC(G777*K777, 1), "")</f>
        <v/>
      </c>
      <c r="M777" s="15">
        <f>합산자재!J123</f>
        <v>0</v>
      </c>
      <c r="N777" s="53" t="str">
        <f>IF(G777*M777&lt;&gt;0, TRUNC(G777*M777, 1), "")</f>
        <v/>
      </c>
      <c r="O777" s="15">
        <f>IF((H777+K777+M777)=0, "", (H777+K777+M777))</f>
        <v>10287</v>
      </c>
      <c r="P777" s="15">
        <f>IF(SUM(I777,L777,N777)&lt;&gt;0,SUM(I777,L777,N777),"")</f>
        <v>10287</v>
      </c>
      <c r="Q777" s="12"/>
    </row>
    <row r="778" spans="1:17" ht="23.25" customHeight="1" x14ac:dyDescent="0.15">
      <c r="A778" s="13" t="s">
        <v>1147</v>
      </c>
      <c r="B778" s="13" t="s">
        <v>1995</v>
      </c>
      <c r="C778" s="1" t="s">
        <v>478</v>
      </c>
      <c r="D778" s="12" t="s">
        <v>466</v>
      </c>
      <c r="E778" s="12" t="s">
        <v>479</v>
      </c>
      <c r="F778" s="31" t="s">
        <v>166</v>
      </c>
      <c r="G778" s="15">
        <v>0.05</v>
      </c>
      <c r="H778" s="15">
        <f>합산자재!H123</f>
        <v>10287</v>
      </c>
      <c r="I778" s="53">
        <f>IF(G778*H778&lt;&gt;0, TRUNC(G778*H778, 1), "")</f>
        <v>514.29999999999995</v>
      </c>
      <c r="J778" s="15">
        <v>0.05</v>
      </c>
      <c r="K778" s="15">
        <f>합산자재!I123</f>
        <v>0</v>
      </c>
      <c r="L778" s="53" t="str">
        <f>IF(G778*K778&lt;&gt;0, TRUNC(G778*K778, 1), "")</f>
        <v/>
      </c>
      <c r="M778" s="15">
        <f>합산자재!J123</f>
        <v>0</v>
      </c>
      <c r="N778" s="53" t="str">
        <f>IF(G778*M778&lt;&gt;0, TRUNC(G778*M778, 1), "")</f>
        <v/>
      </c>
      <c r="O778" s="15">
        <f>IF((H778+K778+M778)=0, "", (H778+K778+M778))</f>
        <v>10287</v>
      </c>
      <c r="P778" s="15">
        <f>IF(SUM(I778,L778,N778)&lt;&gt;0,SUM(I778,L778,N778),"")</f>
        <v>514.29999999999995</v>
      </c>
      <c r="Q778" s="12"/>
    </row>
    <row r="779" spans="1:17" ht="23.25" customHeight="1" x14ac:dyDescent="0.15">
      <c r="A779" s="13" t="s">
        <v>1373</v>
      </c>
      <c r="B779" s="13" t="s">
        <v>1995</v>
      </c>
      <c r="C779" s="1" t="s">
        <v>1005</v>
      </c>
      <c r="D779" s="12" t="s">
        <v>1003</v>
      </c>
      <c r="E779" s="12" t="s">
        <v>1006</v>
      </c>
      <c r="F779" s="31" t="s">
        <v>999</v>
      </c>
      <c r="G779" s="15">
        <f>일위노임!G341</f>
        <v>4.5999999999999999E-2</v>
      </c>
      <c r="H779" s="15">
        <f>합산자재!H346</f>
        <v>0</v>
      </c>
      <c r="I779" s="53" t="str">
        <f>IF(G779*H779&lt;&gt;0, TRUNC(G779*H779, 1), "")</f>
        <v/>
      </c>
      <c r="J779" s="15">
        <v>4.5999999999999999E-2</v>
      </c>
      <c r="K779" s="15">
        <f>합산자재!I346</f>
        <v>304156</v>
      </c>
      <c r="L779" s="53">
        <f>IF(G779*K779&lt;&gt;0, TRUNC(G779*K779, 1), "")</f>
        <v>13991.1</v>
      </c>
      <c r="M779" s="15">
        <f>합산자재!J346</f>
        <v>0</v>
      </c>
      <c r="N779" s="53" t="str">
        <f>IF(G779*M779&lt;&gt;0, TRUNC(G779*M779, 1), "")</f>
        <v/>
      </c>
      <c r="O779" s="15">
        <f>IF((H779+K779+M779)=0, "", (H779+K779+M779))</f>
        <v>304156</v>
      </c>
      <c r="P779" s="15">
        <f>IF(SUM(I779,L779,N779)&lt;&gt;0,SUM(I779,L779,N779),"")</f>
        <v>13991.1</v>
      </c>
      <c r="Q779" s="12"/>
    </row>
    <row r="780" spans="1:17" ht="23.25" customHeight="1" x14ac:dyDescent="0.15">
      <c r="A780" s="13" t="s">
        <v>2362</v>
      </c>
      <c r="B780" s="13" t="s">
        <v>1995</v>
      </c>
      <c r="C780" s="1" t="s">
        <v>2363</v>
      </c>
      <c r="D780" s="12" t="s">
        <v>2364</v>
      </c>
      <c r="E780" s="12" t="s">
        <v>2365</v>
      </c>
      <c r="F780" s="31" t="s">
        <v>792</v>
      </c>
      <c r="G780" s="15">
        <v>1</v>
      </c>
      <c r="H780" s="15">
        <v>279.8</v>
      </c>
      <c r="I780" s="53">
        <f>IF(G780*H780&lt;&gt;0, TRUNC(G780*H780, 1), "")</f>
        <v>279.8</v>
      </c>
      <c r="J780" s="15">
        <v>1</v>
      </c>
      <c r="K780" s="15"/>
      <c r="L780" s="53" t="str">
        <f>IF(G780*K780&lt;&gt;0, TRUNC(G780*K780, 1), "")</f>
        <v/>
      </c>
      <c r="M780" s="15"/>
      <c r="N780" s="53" t="str">
        <f>IF(G780*M780&lt;&gt;0, TRUNC(G780*M780, 1), "")</f>
        <v/>
      </c>
      <c r="O780" s="15">
        <f>IF((H780+K780+M780)=0, "", (H780+K780+M780))</f>
        <v>279.8</v>
      </c>
      <c r="P780" s="15">
        <f>IF(SUM(I780,L780,N780)&lt;&gt;0,SUM(I780,L780,N780),"")</f>
        <v>279.8</v>
      </c>
      <c r="Q780" s="12"/>
    </row>
    <row r="781" spans="1:17" ht="23.25" customHeight="1" x14ac:dyDescent="0.15">
      <c r="B781" s="13" t="s">
        <v>2360</v>
      </c>
      <c r="D781" s="12" t="s">
        <v>2361</v>
      </c>
      <c r="E781" s="12"/>
      <c r="F781" s="31"/>
      <c r="G781" s="15"/>
      <c r="H781" s="15"/>
      <c r="I781" s="53">
        <f>TRUNC(SUM(I776:I780))</f>
        <v>11081</v>
      </c>
      <c r="J781" s="15"/>
      <c r="K781" s="15"/>
      <c r="L781" s="53">
        <f>TRUNC(SUM(L776:L780))</f>
        <v>13991</v>
      </c>
      <c r="M781" s="15"/>
      <c r="N781" s="53">
        <f>TRUNC(SUM(N776:N780))</f>
        <v>0</v>
      </c>
      <c r="O781" s="15" t="str">
        <f>IF((H781+K781+M781)=0, "", (H781+K781+M781))</f>
        <v/>
      </c>
      <c r="P781" s="15">
        <f>IF(SUM(I781,L781,N781)&lt;&gt;0,SUM(I781,L781,N781),"")</f>
        <v>25072</v>
      </c>
      <c r="Q781" s="12"/>
    </row>
    <row r="782" spans="1:17" ht="23.25" customHeight="1" x14ac:dyDescent="0.15">
      <c r="D782" s="12"/>
      <c r="E782" s="12"/>
      <c r="F782" s="31"/>
      <c r="G782" s="15"/>
      <c r="H782" s="15"/>
      <c r="I782" s="53"/>
      <c r="J782" s="15"/>
      <c r="K782" s="15"/>
      <c r="L782" s="53"/>
      <c r="M782" s="15"/>
      <c r="N782" s="53"/>
      <c r="O782" s="15"/>
      <c r="P782" s="15"/>
      <c r="Q782" s="12"/>
    </row>
    <row r="783" spans="1:17" ht="23.25" customHeight="1" x14ac:dyDescent="0.15">
      <c r="A783" s="13" t="s">
        <v>2682</v>
      </c>
      <c r="B783" s="13" t="s">
        <v>2382</v>
      </c>
      <c r="C783" s="1" t="s">
        <v>2683</v>
      </c>
      <c r="D783" s="170" t="s">
        <v>2681</v>
      </c>
      <c r="E783" s="172"/>
      <c r="F783" s="31"/>
      <c r="G783" s="15"/>
      <c r="H783" s="15"/>
      <c r="I783" s="53"/>
      <c r="J783" s="15"/>
      <c r="K783" s="15"/>
      <c r="L783" s="53"/>
      <c r="M783" s="15"/>
      <c r="N783" s="53"/>
      <c r="O783" s="15"/>
      <c r="P783" s="15"/>
      <c r="Q783" s="12"/>
    </row>
    <row r="784" spans="1:17" ht="23.25" customHeight="1" x14ac:dyDescent="0.15">
      <c r="A784" s="13" t="s">
        <v>1148</v>
      </c>
      <c r="B784" s="13" t="s">
        <v>1998</v>
      </c>
      <c r="C784" s="1" t="s">
        <v>480</v>
      </c>
      <c r="D784" s="12" t="s">
        <v>466</v>
      </c>
      <c r="E784" s="12" t="s">
        <v>481</v>
      </c>
      <c r="F784" s="31" t="s">
        <v>166</v>
      </c>
      <c r="G784" s="15">
        <v>1</v>
      </c>
      <c r="H784" s="15">
        <f>합산자재!H124</f>
        <v>15654</v>
      </c>
      <c r="I784" s="53">
        <f>IF(G784*H784&lt;&gt;0, TRUNC(G784*H784, 1), "")</f>
        <v>15654</v>
      </c>
      <c r="J784" s="15">
        <v>1</v>
      </c>
      <c r="K784" s="15">
        <f>합산자재!I124</f>
        <v>0</v>
      </c>
      <c r="L784" s="53" t="str">
        <f>IF(G784*K784&lt;&gt;0, TRUNC(G784*K784, 1), "")</f>
        <v/>
      </c>
      <c r="M784" s="15">
        <f>합산자재!J124</f>
        <v>0</v>
      </c>
      <c r="N784" s="53" t="str">
        <f>IF(G784*M784&lt;&gt;0, TRUNC(G784*M784, 1), "")</f>
        <v/>
      </c>
      <c r="O784" s="15">
        <f>IF((H784+K784+M784)=0, "", (H784+K784+M784))</f>
        <v>15654</v>
      </c>
      <c r="P784" s="15">
        <f>IF(SUM(I784,L784,N784)&lt;&gt;0,SUM(I784,L784,N784),"")</f>
        <v>15654</v>
      </c>
      <c r="Q784" s="12"/>
    </row>
    <row r="785" spans="1:17" ht="23.25" customHeight="1" x14ac:dyDescent="0.15">
      <c r="A785" s="13" t="s">
        <v>1148</v>
      </c>
      <c r="B785" s="13" t="s">
        <v>1998</v>
      </c>
      <c r="C785" s="1" t="s">
        <v>480</v>
      </c>
      <c r="D785" s="12" t="s">
        <v>466</v>
      </c>
      <c r="E785" s="12" t="s">
        <v>481</v>
      </c>
      <c r="F785" s="31" t="s">
        <v>166</v>
      </c>
      <c r="G785" s="15">
        <v>0.05</v>
      </c>
      <c r="H785" s="15">
        <f>합산자재!H124</f>
        <v>15654</v>
      </c>
      <c r="I785" s="53">
        <f>IF(G785*H785&lt;&gt;0, TRUNC(G785*H785, 1), "")</f>
        <v>782.7</v>
      </c>
      <c r="J785" s="15">
        <v>0.05</v>
      </c>
      <c r="K785" s="15">
        <f>합산자재!I124</f>
        <v>0</v>
      </c>
      <c r="L785" s="53" t="str">
        <f>IF(G785*K785&lt;&gt;0, TRUNC(G785*K785, 1), "")</f>
        <v/>
      </c>
      <c r="M785" s="15">
        <f>합산자재!J124</f>
        <v>0</v>
      </c>
      <c r="N785" s="53" t="str">
        <f>IF(G785*M785&lt;&gt;0, TRUNC(G785*M785, 1), "")</f>
        <v/>
      </c>
      <c r="O785" s="15">
        <f>IF((H785+K785+M785)=0, "", (H785+K785+M785))</f>
        <v>15654</v>
      </c>
      <c r="P785" s="15">
        <f>IF(SUM(I785,L785,N785)&lt;&gt;0,SUM(I785,L785,N785),"")</f>
        <v>782.7</v>
      </c>
      <c r="Q785" s="12"/>
    </row>
    <row r="786" spans="1:17" ht="23.25" customHeight="1" x14ac:dyDescent="0.15">
      <c r="A786" s="13" t="s">
        <v>1373</v>
      </c>
      <c r="B786" s="13" t="s">
        <v>1998</v>
      </c>
      <c r="C786" s="1" t="s">
        <v>1005</v>
      </c>
      <c r="D786" s="12" t="s">
        <v>1003</v>
      </c>
      <c r="E786" s="12" t="s">
        <v>1006</v>
      </c>
      <c r="F786" s="31" t="s">
        <v>999</v>
      </c>
      <c r="G786" s="15">
        <f>일위노임!G344</f>
        <v>0.06</v>
      </c>
      <c r="H786" s="15">
        <f>합산자재!H346</f>
        <v>0</v>
      </c>
      <c r="I786" s="53" t="str">
        <f>IF(G786*H786&lt;&gt;0, TRUNC(G786*H786, 1), "")</f>
        <v/>
      </c>
      <c r="J786" s="15">
        <v>0.06</v>
      </c>
      <c r="K786" s="15">
        <f>합산자재!I346</f>
        <v>304156</v>
      </c>
      <c r="L786" s="53">
        <f>IF(G786*K786&lt;&gt;0, TRUNC(G786*K786, 1), "")</f>
        <v>18249.3</v>
      </c>
      <c r="M786" s="15">
        <f>합산자재!J346</f>
        <v>0</v>
      </c>
      <c r="N786" s="53" t="str">
        <f>IF(G786*M786&lt;&gt;0, TRUNC(G786*M786, 1), "")</f>
        <v/>
      </c>
      <c r="O786" s="15">
        <f>IF((H786+K786+M786)=0, "", (H786+K786+M786))</f>
        <v>304156</v>
      </c>
      <c r="P786" s="15">
        <f>IF(SUM(I786,L786,N786)&lt;&gt;0,SUM(I786,L786,N786),"")</f>
        <v>18249.3</v>
      </c>
      <c r="Q786" s="12"/>
    </row>
    <row r="787" spans="1:17" ht="23.25" customHeight="1" x14ac:dyDescent="0.15">
      <c r="A787" s="13" t="s">
        <v>2362</v>
      </c>
      <c r="B787" s="13" t="s">
        <v>1998</v>
      </c>
      <c r="C787" s="1" t="s">
        <v>2363</v>
      </c>
      <c r="D787" s="12" t="s">
        <v>2364</v>
      </c>
      <c r="E787" s="12" t="s">
        <v>2365</v>
      </c>
      <c r="F787" s="31" t="s">
        <v>792</v>
      </c>
      <c r="G787" s="15">
        <v>1</v>
      </c>
      <c r="H787" s="15">
        <v>364.9</v>
      </c>
      <c r="I787" s="53">
        <f>IF(G787*H787&lt;&gt;0, TRUNC(G787*H787, 1), "")</f>
        <v>364.9</v>
      </c>
      <c r="J787" s="15">
        <v>1</v>
      </c>
      <c r="K787" s="15"/>
      <c r="L787" s="53" t="str">
        <f>IF(G787*K787&lt;&gt;0, TRUNC(G787*K787, 1), "")</f>
        <v/>
      </c>
      <c r="M787" s="15"/>
      <c r="N787" s="53" t="str">
        <f>IF(G787*M787&lt;&gt;0, TRUNC(G787*M787, 1), "")</f>
        <v/>
      </c>
      <c r="O787" s="15">
        <f>IF((H787+K787+M787)=0, "", (H787+K787+M787))</f>
        <v>364.9</v>
      </c>
      <c r="P787" s="15">
        <f>IF(SUM(I787,L787,N787)&lt;&gt;0,SUM(I787,L787,N787),"")</f>
        <v>364.9</v>
      </c>
      <c r="Q787" s="12"/>
    </row>
    <row r="788" spans="1:17" ht="23.25" customHeight="1" x14ac:dyDescent="0.15">
      <c r="B788" s="13" t="s">
        <v>2360</v>
      </c>
      <c r="D788" s="12" t="s">
        <v>2361</v>
      </c>
      <c r="E788" s="12"/>
      <c r="F788" s="31"/>
      <c r="G788" s="15"/>
      <c r="H788" s="15"/>
      <c r="I788" s="53">
        <f>TRUNC(SUM(I783:I787))</f>
        <v>16801</v>
      </c>
      <c r="J788" s="15"/>
      <c r="K788" s="15"/>
      <c r="L788" s="53">
        <f>TRUNC(SUM(L783:L787))</f>
        <v>18249</v>
      </c>
      <c r="M788" s="15"/>
      <c r="N788" s="53">
        <f>TRUNC(SUM(N783:N787))</f>
        <v>0</v>
      </c>
      <c r="O788" s="15" t="str">
        <f>IF((H788+K788+M788)=0, "", (H788+K788+M788))</f>
        <v/>
      </c>
      <c r="P788" s="15">
        <f>IF(SUM(I788,L788,N788)&lt;&gt;0,SUM(I788,L788,N788),"")</f>
        <v>35050</v>
      </c>
      <c r="Q788" s="12"/>
    </row>
    <row r="789" spans="1:17" ht="23.25" customHeight="1" x14ac:dyDescent="0.15">
      <c r="D789" s="12"/>
      <c r="E789" s="12"/>
      <c r="F789" s="31"/>
      <c r="G789" s="15"/>
      <c r="H789" s="15"/>
      <c r="I789" s="53"/>
      <c r="J789" s="15"/>
      <c r="K789" s="15"/>
      <c r="L789" s="53"/>
      <c r="M789" s="15"/>
      <c r="N789" s="53"/>
      <c r="O789" s="15"/>
      <c r="P789" s="15"/>
      <c r="Q789" s="12"/>
    </row>
    <row r="790" spans="1:17" ht="23.25" customHeight="1" x14ac:dyDescent="0.15">
      <c r="A790" s="13" t="s">
        <v>2685</v>
      </c>
      <c r="B790" s="13" t="s">
        <v>2382</v>
      </c>
      <c r="C790" s="1" t="s">
        <v>2686</v>
      </c>
      <c r="D790" s="170" t="s">
        <v>2684</v>
      </c>
      <c r="E790" s="172"/>
      <c r="F790" s="31"/>
      <c r="G790" s="15"/>
      <c r="H790" s="15"/>
      <c r="I790" s="53"/>
      <c r="J790" s="15"/>
      <c r="K790" s="15"/>
      <c r="L790" s="53"/>
      <c r="M790" s="15"/>
      <c r="N790" s="53"/>
      <c r="O790" s="15"/>
      <c r="P790" s="15"/>
      <c r="Q790" s="12"/>
    </row>
    <row r="791" spans="1:17" ht="23.25" customHeight="1" x14ac:dyDescent="0.15">
      <c r="A791" s="13" t="s">
        <v>1149</v>
      </c>
      <c r="B791" s="13" t="s">
        <v>2001</v>
      </c>
      <c r="C791" s="1" t="s">
        <v>482</v>
      </c>
      <c r="D791" s="12" t="s">
        <v>466</v>
      </c>
      <c r="E791" s="12" t="s">
        <v>483</v>
      </c>
      <c r="F791" s="31" t="s">
        <v>166</v>
      </c>
      <c r="G791" s="15">
        <v>1</v>
      </c>
      <c r="H791" s="15">
        <f>합산자재!H125</f>
        <v>13668</v>
      </c>
      <c r="I791" s="53">
        <f>IF(G791*H791&lt;&gt;0, TRUNC(G791*H791, 1), "")</f>
        <v>13668</v>
      </c>
      <c r="J791" s="15">
        <v>1</v>
      </c>
      <c r="K791" s="15">
        <f>합산자재!I125</f>
        <v>0</v>
      </c>
      <c r="L791" s="53" t="str">
        <f>IF(G791*K791&lt;&gt;0, TRUNC(G791*K791, 1), "")</f>
        <v/>
      </c>
      <c r="M791" s="15">
        <f>합산자재!J125</f>
        <v>0</v>
      </c>
      <c r="N791" s="53" t="str">
        <f>IF(G791*M791&lt;&gt;0, TRUNC(G791*M791, 1), "")</f>
        <v/>
      </c>
      <c r="O791" s="15">
        <f>IF((H791+K791+M791)=0, "", (H791+K791+M791))</f>
        <v>13668</v>
      </c>
      <c r="P791" s="15">
        <f>IF(SUM(I791,L791,N791)&lt;&gt;0,SUM(I791,L791,N791),"")</f>
        <v>13668</v>
      </c>
      <c r="Q791" s="12"/>
    </row>
    <row r="792" spans="1:17" ht="23.25" customHeight="1" x14ac:dyDescent="0.15">
      <c r="A792" s="13" t="s">
        <v>1149</v>
      </c>
      <c r="B792" s="13" t="s">
        <v>2001</v>
      </c>
      <c r="C792" s="1" t="s">
        <v>482</v>
      </c>
      <c r="D792" s="12" t="s">
        <v>466</v>
      </c>
      <c r="E792" s="12" t="s">
        <v>483</v>
      </c>
      <c r="F792" s="31" t="s">
        <v>166</v>
      </c>
      <c r="G792" s="15">
        <v>0.05</v>
      </c>
      <c r="H792" s="15">
        <f>합산자재!H125</f>
        <v>13668</v>
      </c>
      <c r="I792" s="53">
        <f>IF(G792*H792&lt;&gt;0, TRUNC(G792*H792, 1), "")</f>
        <v>683.4</v>
      </c>
      <c r="J792" s="15">
        <v>0.05</v>
      </c>
      <c r="K792" s="15">
        <f>합산자재!I125</f>
        <v>0</v>
      </c>
      <c r="L792" s="53" t="str">
        <f>IF(G792*K792&lt;&gt;0, TRUNC(G792*K792, 1), "")</f>
        <v/>
      </c>
      <c r="M792" s="15">
        <f>합산자재!J125</f>
        <v>0</v>
      </c>
      <c r="N792" s="53" t="str">
        <f>IF(G792*M792&lt;&gt;0, TRUNC(G792*M792, 1), "")</f>
        <v/>
      </c>
      <c r="O792" s="15">
        <f>IF((H792+K792+M792)=0, "", (H792+K792+M792))</f>
        <v>13668</v>
      </c>
      <c r="P792" s="15">
        <f>IF(SUM(I792,L792,N792)&lt;&gt;0,SUM(I792,L792,N792),"")</f>
        <v>683.4</v>
      </c>
      <c r="Q792" s="12"/>
    </row>
    <row r="793" spans="1:17" ht="23.25" customHeight="1" x14ac:dyDescent="0.15">
      <c r="A793" s="13" t="s">
        <v>1373</v>
      </c>
      <c r="B793" s="13" t="s">
        <v>2001</v>
      </c>
      <c r="C793" s="1" t="s">
        <v>1005</v>
      </c>
      <c r="D793" s="12" t="s">
        <v>1003</v>
      </c>
      <c r="E793" s="12" t="s">
        <v>1006</v>
      </c>
      <c r="F793" s="31" t="s">
        <v>999</v>
      </c>
      <c r="G793" s="15">
        <f>일위노임!G347</f>
        <v>5.9799999999999999E-2</v>
      </c>
      <c r="H793" s="15">
        <f>합산자재!H346</f>
        <v>0</v>
      </c>
      <c r="I793" s="53" t="str">
        <f>IF(G793*H793&lt;&gt;0, TRUNC(G793*H793, 1), "")</f>
        <v/>
      </c>
      <c r="J793" s="15">
        <v>5.9799999999999999E-2</v>
      </c>
      <c r="K793" s="15">
        <f>합산자재!I346</f>
        <v>304156</v>
      </c>
      <c r="L793" s="53">
        <f>IF(G793*K793&lt;&gt;0, TRUNC(G793*K793, 1), "")</f>
        <v>18188.5</v>
      </c>
      <c r="M793" s="15">
        <f>합산자재!J346</f>
        <v>0</v>
      </c>
      <c r="N793" s="53" t="str">
        <f>IF(G793*M793&lt;&gt;0, TRUNC(G793*M793, 1), "")</f>
        <v/>
      </c>
      <c r="O793" s="15">
        <f>IF((H793+K793+M793)=0, "", (H793+K793+M793))</f>
        <v>304156</v>
      </c>
      <c r="P793" s="15">
        <f>IF(SUM(I793,L793,N793)&lt;&gt;0,SUM(I793,L793,N793),"")</f>
        <v>18188.5</v>
      </c>
      <c r="Q793" s="12"/>
    </row>
    <row r="794" spans="1:17" ht="23.25" customHeight="1" x14ac:dyDescent="0.15">
      <c r="A794" s="13" t="s">
        <v>2362</v>
      </c>
      <c r="B794" s="13" t="s">
        <v>2001</v>
      </c>
      <c r="C794" s="1" t="s">
        <v>2363</v>
      </c>
      <c r="D794" s="12" t="s">
        <v>2364</v>
      </c>
      <c r="E794" s="12" t="s">
        <v>2365</v>
      </c>
      <c r="F794" s="31" t="s">
        <v>792</v>
      </c>
      <c r="G794" s="15">
        <v>1</v>
      </c>
      <c r="H794" s="15">
        <v>363.7</v>
      </c>
      <c r="I794" s="53">
        <f>IF(G794*H794&lt;&gt;0, TRUNC(G794*H794, 1), "")</f>
        <v>363.7</v>
      </c>
      <c r="J794" s="15">
        <v>1</v>
      </c>
      <c r="K794" s="15"/>
      <c r="L794" s="53" t="str">
        <f>IF(G794*K794&lt;&gt;0, TRUNC(G794*K794, 1), "")</f>
        <v/>
      </c>
      <c r="M794" s="15"/>
      <c r="N794" s="53" t="str">
        <f>IF(G794*M794&lt;&gt;0, TRUNC(G794*M794, 1), "")</f>
        <v/>
      </c>
      <c r="O794" s="15">
        <f>IF((H794+K794+M794)=0, "", (H794+K794+M794))</f>
        <v>363.7</v>
      </c>
      <c r="P794" s="15">
        <f>IF(SUM(I794,L794,N794)&lt;&gt;0,SUM(I794,L794,N794),"")</f>
        <v>363.7</v>
      </c>
      <c r="Q794" s="12"/>
    </row>
    <row r="795" spans="1:17" ht="23.25" customHeight="1" x14ac:dyDescent="0.15">
      <c r="B795" s="13" t="s">
        <v>2360</v>
      </c>
      <c r="D795" s="12" t="s">
        <v>2361</v>
      </c>
      <c r="E795" s="12"/>
      <c r="F795" s="31"/>
      <c r="G795" s="15"/>
      <c r="H795" s="15"/>
      <c r="I795" s="53">
        <f>TRUNC(SUM(I790:I794))</f>
        <v>14715</v>
      </c>
      <c r="J795" s="15"/>
      <c r="K795" s="15"/>
      <c r="L795" s="53">
        <f>TRUNC(SUM(L790:L794))</f>
        <v>18188</v>
      </c>
      <c r="M795" s="15"/>
      <c r="N795" s="53">
        <f>TRUNC(SUM(N790:N794))</f>
        <v>0</v>
      </c>
      <c r="O795" s="15" t="str">
        <f>IF((H795+K795+M795)=0, "", (H795+K795+M795))</f>
        <v/>
      </c>
      <c r="P795" s="15">
        <f>IF(SUM(I795,L795,N795)&lt;&gt;0,SUM(I795,L795,N795),"")</f>
        <v>32903</v>
      </c>
      <c r="Q795" s="12"/>
    </row>
    <row r="796" spans="1:17" ht="23.25" customHeight="1" x14ac:dyDescent="0.15">
      <c r="D796" s="12"/>
      <c r="E796" s="12"/>
      <c r="F796" s="31"/>
      <c r="G796" s="15"/>
      <c r="H796" s="15"/>
      <c r="I796" s="53"/>
      <c r="J796" s="15"/>
      <c r="K796" s="15"/>
      <c r="L796" s="53"/>
      <c r="M796" s="15"/>
      <c r="N796" s="53"/>
      <c r="O796" s="15"/>
      <c r="P796" s="15"/>
      <c r="Q796" s="12"/>
    </row>
    <row r="797" spans="1:17" ht="23.25" customHeight="1" x14ac:dyDescent="0.15">
      <c r="A797" s="13" t="s">
        <v>2688</v>
      </c>
      <c r="B797" s="13" t="s">
        <v>2382</v>
      </c>
      <c r="C797" s="1" t="s">
        <v>2689</v>
      </c>
      <c r="D797" s="170" t="s">
        <v>2687</v>
      </c>
      <c r="E797" s="172"/>
      <c r="F797" s="31"/>
      <c r="G797" s="15"/>
      <c r="H797" s="15"/>
      <c r="I797" s="53"/>
      <c r="J797" s="15"/>
      <c r="K797" s="15"/>
      <c r="L797" s="53"/>
      <c r="M797" s="15"/>
      <c r="N797" s="53"/>
      <c r="O797" s="15"/>
      <c r="P797" s="15"/>
      <c r="Q797" s="12"/>
    </row>
    <row r="798" spans="1:17" ht="23.25" customHeight="1" x14ac:dyDescent="0.15">
      <c r="A798" s="13" t="s">
        <v>1150</v>
      </c>
      <c r="B798" s="13" t="s">
        <v>2004</v>
      </c>
      <c r="C798" s="1" t="s">
        <v>484</v>
      </c>
      <c r="D798" s="12" t="s">
        <v>466</v>
      </c>
      <c r="E798" s="12" t="s">
        <v>485</v>
      </c>
      <c r="F798" s="31" t="s">
        <v>166</v>
      </c>
      <c r="G798" s="15">
        <v>1</v>
      </c>
      <c r="H798" s="15">
        <f>합산자재!H126</f>
        <v>29299</v>
      </c>
      <c r="I798" s="53">
        <f>IF(G798*H798&lt;&gt;0, TRUNC(G798*H798, 1), "")</f>
        <v>29299</v>
      </c>
      <c r="J798" s="15">
        <v>1</v>
      </c>
      <c r="K798" s="15">
        <f>합산자재!I126</f>
        <v>0</v>
      </c>
      <c r="L798" s="53" t="str">
        <f>IF(G798*K798&lt;&gt;0, TRUNC(G798*K798, 1), "")</f>
        <v/>
      </c>
      <c r="M798" s="15">
        <f>합산자재!J126</f>
        <v>0</v>
      </c>
      <c r="N798" s="53" t="str">
        <f>IF(G798*M798&lt;&gt;0, TRUNC(G798*M798, 1), "")</f>
        <v/>
      </c>
      <c r="O798" s="15">
        <f>IF((H798+K798+M798)=0, "", (H798+K798+M798))</f>
        <v>29299</v>
      </c>
      <c r="P798" s="15">
        <f>IF(SUM(I798,L798,N798)&lt;&gt;0,SUM(I798,L798,N798),"")</f>
        <v>29299</v>
      </c>
      <c r="Q798" s="12"/>
    </row>
    <row r="799" spans="1:17" ht="23.25" customHeight="1" x14ac:dyDescent="0.15">
      <c r="A799" s="13" t="s">
        <v>1150</v>
      </c>
      <c r="B799" s="13" t="s">
        <v>2004</v>
      </c>
      <c r="C799" s="1" t="s">
        <v>484</v>
      </c>
      <c r="D799" s="12" t="s">
        <v>466</v>
      </c>
      <c r="E799" s="12" t="s">
        <v>485</v>
      </c>
      <c r="F799" s="31" t="s">
        <v>166</v>
      </c>
      <c r="G799" s="15">
        <v>0.05</v>
      </c>
      <c r="H799" s="15">
        <f>합산자재!H126</f>
        <v>29299</v>
      </c>
      <c r="I799" s="53">
        <f>IF(G799*H799&lt;&gt;0, TRUNC(G799*H799, 1), "")</f>
        <v>1464.9</v>
      </c>
      <c r="J799" s="15">
        <v>0.05</v>
      </c>
      <c r="K799" s="15">
        <f>합산자재!I126</f>
        <v>0</v>
      </c>
      <c r="L799" s="53" t="str">
        <f>IF(G799*K799&lt;&gt;0, TRUNC(G799*K799, 1), "")</f>
        <v/>
      </c>
      <c r="M799" s="15">
        <f>합산자재!J126</f>
        <v>0</v>
      </c>
      <c r="N799" s="53" t="str">
        <f>IF(G799*M799&lt;&gt;0, TRUNC(G799*M799, 1), "")</f>
        <v/>
      </c>
      <c r="O799" s="15">
        <f>IF((H799+K799+M799)=0, "", (H799+K799+M799))</f>
        <v>29299</v>
      </c>
      <c r="P799" s="15">
        <f>IF(SUM(I799,L799,N799)&lt;&gt;0,SUM(I799,L799,N799),"")</f>
        <v>1464.9</v>
      </c>
      <c r="Q799" s="12"/>
    </row>
    <row r="800" spans="1:17" ht="23.25" customHeight="1" x14ac:dyDescent="0.15">
      <c r="A800" s="13" t="s">
        <v>1373</v>
      </c>
      <c r="B800" s="13" t="s">
        <v>2004</v>
      </c>
      <c r="C800" s="1" t="s">
        <v>1005</v>
      </c>
      <c r="D800" s="12" t="s">
        <v>1003</v>
      </c>
      <c r="E800" s="12" t="s">
        <v>1006</v>
      </c>
      <c r="F800" s="31" t="s">
        <v>999</v>
      </c>
      <c r="G800" s="15">
        <f>일위노임!G350</f>
        <v>9.3600000000000003E-2</v>
      </c>
      <c r="H800" s="15">
        <f>합산자재!H346</f>
        <v>0</v>
      </c>
      <c r="I800" s="53" t="str">
        <f>IF(G800*H800&lt;&gt;0, TRUNC(G800*H800, 1), "")</f>
        <v/>
      </c>
      <c r="J800" s="15">
        <v>9.3600000000000003E-2</v>
      </c>
      <c r="K800" s="15">
        <f>합산자재!I346</f>
        <v>304156</v>
      </c>
      <c r="L800" s="53">
        <f>IF(G800*K800&lt;&gt;0, TRUNC(G800*K800, 1), "")</f>
        <v>28469</v>
      </c>
      <c r="M800" s="15">
        <f>합산자재!J346</f>
        <v>0</v>
      </c>
      <c r="N800" s="53" t="str">
        <f>IF(G800*M800&lt;&gt;0, TRUNC(G800*M800, 1), "")</f>
        <v/>
      </c>
      <c r="O800" s="15">
        <f>IF((H800+K800+M800)=0, "", (H800+K800+M800))</f>
        <v>304156</v>
      </c>
      <c r="P800" s="15">
        <f>IF(SUM(I800,L800,N800)&lt;&gt;0,SUM(I800,L800,N800),"")</f>
        <v>28469</v>
      </c>
      <c r="Q800" s="12"/>
    </row>
    <row r="801" spans="1:17" ht="23.25" customHeight="1" x14ac:dyDescent="0.15">
      <c r="A801" s="13" t="s">
        <v>2362</v>
      </c>
      <c r="B801" s="13" t="s">
        <v>2004</v>
      </c>
      <c r="C801" s="1" t="s">
        <v>2363</v>
      </c>
      <c r="D801" s="12" t="s">
        <v>2364</v>
      </c>
      <c r="E801" s="12" t="s">
        <v>2365</v>
      </c>
      <c r="F801" s="31" t="s">
        <v>792</v>
      </c>
      <c r="G801" s="15">
        <v>1</v>
      </c>
      <c r="H801" s="15">
        <v>569.29999999999995</v>
      </c>
      <c r="I801" s="53">
        <f>IF(G801*H801&lt;&gt;0, TRUNC(G801*H801, 1), "")</f>
        <v>569.29999999999995</v>
      </c>
      <c r="J801" s="15">
        <v>1</v>
      </c>
      <c r="K801" s="15"/>
      <c r="L801" s="53" t="str">
        <f>IF(G801*K801&lt;&gt;0, TRUNC(G801*K801, 1), "")</f>
        <v/>
      </c>
      <c r="M801" s="15"/>
      <c r="N801" s="53" t="str">
        <f>IF(G801*M801&lt;&gt;0, TRUNC(G801*M801, 1), "")</f>
        <v/>
      </c>
      <c r="O801" s="15">
        <f>IF((H801+K801+M801)=0, "", (H801+K801+M801))</f>
        <v>569.29999999999995</v>
      </c>
      <c r="P801" s="15">
        <f>IF(SUM(I801,L801,N801)&lt;&gt;0,SUM(I801,L801,N801),"")</f>
        <v>569.29999999999995</v>
      </c>
      <c r="Q801" s="12"/>
    </row>
    <row r="802" spans="1:17" ht="23.25" customHeight="1" x14ac:dyDescent="0.15">
      <c r="B802" s="13" t="s">
        <v>2360</v>
      </c>
      <c r="D802" s="12" t="s">
        <v>2361</v>
      </c>
      <c r="E802" s="12"/>
      <c r="F802" s="31"/>
      <c r="G802" s="15"/>
      <c r="H802" s="15"/>
      <c r="I802" s="53">
        <f>TRUNC(SUM(I797:I801))</f>
        <v>31333</v>
      </c>
      <c r="J802" s="15"/>
      <c r="K802" s="15"/>
      <c r="L802" s="53">
        <f>TRUNC(SUM(L797:L801))</f>
        <v>28469</v>
      </c>
      <c r="M802" s="15"/>
      <c r="N802" s="53">
        <f>TRUNC(SUM(N797:N801))</f>
        <v>0</v>
      </c>
      <c r="O802" s="15" t="str">
        <f>IF((H802+K802+M802)=0, "", (H802+K802+M802))</f>
        <v/>
      </c>
      <c r="P802" s="15">
        <f>IF(SUM(I802,L802,N802)&lt;&gt;0,SUM(I802,L802,N802),"")</f>
        <v>59802</v>
      </c>
      <c r="Q802" s="12"/>
    </row>
    <row r="803" spans="1:17" ht="23.25" customHeight="1" x14ac:dyDescent="0.15">
      <c r="D803" s="12"/>
      <c r="E803" s="12"/>
      <c r="F803" s="31"/>
      <c r="G803" s="15"/>
      <c r="H803" s="15"/>
      <c r="I803" s="53"/>
      <c r="J803" s="15"/>
      <c r="K803" s="15"/>
      <c r="L803" s="53"/>
      <c r="M803" s="15"/>
      <c r="N803" s="53"/>
      <c r="O803" s="15"/>
      <c r="P803" s="15"/>
      <c r="Q803" s="12"/>
    </row>
    <row r="804" spans="1:17" ht="23.25" customHeight="1" x14ac:dyDescent="0.15">
      <c r="A804" s="13" t="s">
        <v>2691</v>
      </c>
      <c r="B804" s="13" t="s">
        <v>2382</v>
      </c>
      <c r="C804" s="1" t="s">
        <v>2692</v>
      </c>
      <c r="D804" s="170" t="s">
        <v>2690</v>
      </c>
      <c r="E804" s="172"/>
      <c r="F804" s="31"/>
      <c r="G804" s="15"/>
      <c r="H804" s="15"/>
      <c r="I804" s="53"/>
      <c r="J804" s="15"/>
      <c r="K804" s="15"/>
      <c r="L804" s="53"/>
      <c r="M804" s="15"/>
      <c r="N804" s="53"/>
      <c r="O804" s="15"/>
      <c r="P804" s="15"/>
      <c r="Q804" s="12"/>
    </row>
    <row r="805" spans="1:17" ht="23.25" customHeight="1" x14ac:dyDescent="0.15">
      <c r="A805" s="13" t="s">
        <v>1151</v>
      </c>
      <c r="B805" s="13" t="s">
        <v>2007</v>
      </c>
      <c r="C805" s="1" t="s">
        <v>486</v>
      </c>
      <c r="D805" s="12" t="s">
        <v>487</v>
      </c>
      <c r="E805" s="12" t="s">
        <v>488</v>
      </c>
      <c r="F805" s="31" t="s">
        <v>166</v>
      </c>
      <c r="G805" s="15">
        <v>1</v>
      </c>
      <c r="H805" s="15">
        <f>합산자재!H127</f>
        <v>1473</v>
      </c>
      <c r="I805" s="53">
        <f>IF(G805*H805&lt;&gt;0, TRUNC(G805*H805, 1), "")</f>
        <v>1473</v>
      </c>
      <c r="J805" s="15">
        <v>1</v>
      </c>
      <c r="K805" s="15">
        <f>합산자재!I127</f>
        <v>0</v>
      </c>
      <c r="L805" s="53" t="str">
        <f>IF(G805*K805&lt;&gt;0, TRUNC(G805*K805, 1), "")</f>
        <v/>
      </c>
      <c r="M805" s="15">
        <f>합산자재!J127</f>
        <v>0</v>
      </c>
      <c r="N805" s="53" t="str">
        <f>IF(G805*M805&lt;&gt;0, TRUNC(G805*M805, 1), "")</f>
        <v/>
      </c>
      <c r="O805" s="15">
        <f>IF((H805+K805+M805)=0, "", (H805+K805+M805))</f>
        <v>1473</v>
      </c>
      <c r="P805" s="15">
        <f>IF(SUM(I805,L805,N805)&lt;&gt;0,SUM(I805,L805,N805),"")</f>
        <v>1473</v>
      </c>
      <c r="Q805" s="12"/>
    </row>
    <row r="806" spans="1:17" ht="23.25" customHeight="1" x14ac:dyDescent="0.15">
      <c r="A806" s="13" t="s">
        <v>1151</v>
      </c>
      <c r="B806" s="13" t="s">
        <v>2007</v>
      </c>
      <c r="C806" s="1" t="s">
        <v>486</v>
      </c>
      <c r="D806" s="12" t="s">
        <v>487</v>
      </c>
      <c r="E806" s="12" t="s">
        <v>488</v>
      </c>
      <c r="F806" s="31" t="s">
        <v>166</v>
      </c>
      <c r="G806" s="15">
        <v>0.05</v>
      </c>
      <c r="H806" s="15">
        <f>합산자재!H127</f>
        <v>1473</v>
      </c>
      <c r="I806" s="53">
        <f>IF(G806*H806&lt;&gt;0, TRUNC(G806*H806, 1), "")</f>
        <v>73.599999999999994</v>
      </c>
      <c r="J806" s="15">
        <v>0.05</v>
      </c>
      <c r="K806" s="15">
        <f>합산자재!I127</f>
        <v>0</v>
      </c>
      <c r="L806" s="53" t="str">
        <f>IF(G806*K806&lt;&gt;0, TRUNC(G806*K806, 1), "")</f>
        <v/>
      </c>
      <c r="M806" s="15">
        <f>합산자재!J127</f>
        <v>0</v>
      </c>
      <c r="N806" s="53" t="str">
        <f>IF(G806*M806&lt;&gt;0, TRUNC(G806*M806, 1), "")</f>
        <v/>
      </c>
      <c r="O806" s="15">
        <f>IF((H806+K806+M806)=0, "", (H806+K806+M806))</f>
        <v>1473</v>
      </c>
      <c r="P806" s="15">
        <f>IF(SUM(I806,L806,N806)&lt;&gt;0,SUM(I806,L806,N806),"")</f>
        <v>73.599999999999994</v>
      </c>
      <c r="Q806" s="12"/>
    </row>
    <row r="807" spans="1:17" ht="23.25" customHeight="1" x14ac:dyDescent="0.15">
      <c r="A807" s="13" t="s">
        <v>1373</v>
      </c>
      <c r="B807" s="13" t="s">
        <v>2007</v>
      </c>
      <c r="C807" s="1" t="s">
        <v>1005</v>
      </c>
      <c r="D807" s="12" t="s">
        <v>1003</v>
      </c>
      <c r="E807" s="12" t="s">
        <v>1006</v>
      </c>
      <c r="F807" s="31" t="s">
        <v>999</v>
      </c>
      <c r="G807" s="15">
        <f>일위노임!G353</f>
        <v>1.6799999999999999E-2</v>
      </c>
      <c r="H807" s="15">
        <f>합산자재!H346</f>
        <v>0</v>
      </c>
      <c r="I807" s="53" t="str">
        <f>IF(G807*H807&lt;&gt;0, TRUNC(G807*H807, 1), "")</f>
        <v/>
      </c>
      <c r="J807" s="15">
        <v>1.6799999999999999E-2</v>
      </c>
      <c r="K807" s="15">
        <f>합산자재!I346</f>
        <v>304156</v>
      </c>
      <c r="L807" s="53">
        <f>IF(G807*K807&lt;&gt;0, TRUNC(G807*K807, 1), "")</f>
        <v>5109.8</v>
      </c>
      <c r="M807" s="15">
        <f>합산자재!J346</f>
        <v>0</v>
      </c>
      <c r="N807" s="53" t="str">
        <f>IF(G807*M807&lt;&gt;0, TRUNC(G807*M807, 1), "")</f>
        <v/>
      </c>
      <c r="O807" s="15">
        <f>IF((H807+K807+M807)=0, "", (H807+K807+M807))</f>
        <v>304156</v>
      </c>
      <c r="P807" s="15">
        <f>IF(SUM(I807,L807,N807)&lt;&gt;0,SUM(I807,L807,N807),"")</f>
        <v>5109.8</v>
      </c>
      <c r="Q807" s="12"/>
    </row>
    <row r="808" spans="1:17" ht="23.25" customHeight="1" x14ac:dyDescent="0.15">
      <c r="A808" s="13" t="s">
        <v>2362</v>
      </c>
      <c r="B808" s="13" t="s">
        <v>2007</v>
      </c>
      <c r="C808" s="1" t="s">
        <v>2363</v>
      </c>
      <c r="D808" s="12" t="s">
        <v>2364</v>
      </c>
      <c r="E808" s="12" t="s">
        <v>2365</v>
      </c>
      <c r="F808" s="31" t="s">
        <v>792</v>
      </c>
      <c r="G808" s="15">
        <v>1</v>
      </c>
      <c r="H808" s="15">
        <v>102.1</v>
      </c>
      <c r="I808" s="53">
        <f>IF(G808*H808&lt;&gt;0, TRUNC(G808*H808, 1), "")</f>
        <v>102.1</v>
      </c>
      <c r="J808" s="15">
        <v>1</v>
      </c>
      <c r="K808" s="15"/>
      <c r="L808" s="53" t="str">
        <f>IF(G808*K808&lt;&gt;0, TRUNC(G808*K808, 1), "")</f>
        <v/>
      </c>
      <c r="M808" s="15"/>
      <c r="N808" s="53" t="str">
        <f>IF(G808*M808&lt;&gt;0, TRUNC(G808*M808, 1), "")</f>
        <v/>
      </c>
      <c r="O808" s="15">
        <f>IF((H808+K808+M808)=0, "", (H808+K808+M808))</f>
        <v>102.1</v>
      </c>
      <c r="P808" s="15">
        <f>IF(SUM(I808,L808,N808)&lt;&gt;0,SUM(I808,L808,N808),"")</f>
        <v>102.1</v>
      </c>
      <c r="Q808" s="12"/>
    </row>
    <row r="809" spans="1:17" ht="23.25" customHeight="1" x14ac:dyDescent="0.15">
      <c r="B809" s="13" t="s">
        <v>2360</v>
      </c>
      <c r="D809" s="12" t="s">
        <v>2361</v>
      </c>
      <c r="E809" s="12"/>
      <c r="F809" s="31"/>
      <c r="G809" s="15"/>
      <c r="H809" s="15"/>
      <c r="I809" s="53">
        <f>TRUNC(SUM(I804:I808))</f>
        <v>1648</v>
      </c>
      <c r="J809" s="15"/>
      <c r="K809" s="15"/>
      <c r="L809" s="53">
        <f>TRUNC(SUM(L804:L808))</f>
        <v>5109</v>
      </c>
      <c r="M809" s="15"/>
      <c r="N809" s="53">
        <f>TRUNC(SUM(N804:N808))</f>
        <v>0</v>
      </c>
      <c r="O809" s="15" t="str">
        <f>IF((H809+K809+M809)=0, "", (H809+K809+M809))</f>
        <v/>
      </c>
      <c r="P809" s="15">
        <f>IF(SUM(I809,L809,N809)&lt;&gt;0,SUM(I809,L809,N809),"")</f>
        <v>6757</v>
      </c>
      <c r="Q809" s="12"/>
    </row>
    <row r="810" spans="1:17" ht="23.25" customHeight="1" x14ac:dyDescent="0.15">
      <c r="D810" s="12"/>
      <c r="E810" s="12"/>
      <c r="F810" s="31"/>
      <c r="G810" s="15"/>
      <c r="H810" s="15"/>
      <c r="I810" s="53"/>
      <c r="J810" s="15"/>
      <c r="K810" s="15"/>
      <c r="L810" s="53"/>
      <c r="M810" s="15"/>
      <c r="N810" s="53"/>
      <c r="O810" s="15"/>
      <c r="P810" s="15"/>
      <c r="Q810" s="12"/>
    </row>
    <row r="811" spans="1:17" ht="23.25" customHeight="1" x14ac:dyDescent="0.15">
      <c r="A811" s="13" t="s">
        <v>2694</v>
      </c>
      <c r="B811" s="13" t="s">
        <v>2382</v>
      </c>
      <c r="C811" s="1" t="s">
        <v>2695</v>
      </c>
      <c r="D811" s="170" t="s">
        <v>2693</v>
      </c>
      <c r="E811" s="172"/>
      <c r="F811" s="31"/>
      <c r="G811" s="15"/>
      <c r="H811" s="15"/>
      <c r="I811" s="53"/>
      <c r="J811" s="15"/>
      <c r="K811" s="15"/>
      <c r="L811" s="53"/>
      <c r="M811" s="15"/>
      <c r="N811" s="53"/>
      <c r="O811" s="15"/>
      <c r="P811" s="15"/>
      <c r="Q811" s="12"/>
    </row>
    <row r="812" spans="1:17" ht="23.25" customHeight="1" x14ac:dyDescent="0.15">
      <c r="A812" s="13" t="s">
        <v>1152</v>
      </c>
      <c r="B812" s="13" t="s">
        <v>2010</v>
      </c>
      <c r="C812" s="1" t="s">
        <v>492</v>
      </c>
      <c r="D812" s="12" t="s">
        <v>493</v>
      </c>
      <c r="E812" s="12" t="s">
        <v>494</v>
      </c>
      <c r="F812" s="31" t="s">
        <v>166</v>
      </c>
      <c r="G812" s="15">
        <v>1</v>
      </c>
      <c r="H812" s="15">
        <f>합산자재!H128</f>
        <v>17478</v>
      </c>
      <c r="I812" s="53">
        <f>IF(G812*H812&lt;&gt;0, TRUNC(G812*H812, 1), "")</f>
        <v>17478</v>
      </c>
      <c r="J812" s="15">
        <v>1</v>
      </c>
      <c r="K812" s="15">
        <f>합산자재!I128</f>
        <v>0</v>
      </c>
      <c r="L812" s="53" t="str">
        <f>IF(G812*K812&lt;&gt;0, TRUNC(G812*K812, 1), "")</f>
        <v/>
      </c>
      <c r="M812" s="15">
        <f>합산자재!J128</f>
        <v>0</v>
      </c>
      <c r="N812" s="53" t="str">
        <f>IF(G812*M812&lt;&gt;0, TRUNC(G812*M812, 1), "")</f>
        <v/>
      </c>
      <c r="O812" s="15">
        <f t="shared" ref="O812:O817" si="137">IF((H812+K812+M812)=0, "", (H812+K812+M812))</f>
        <v>17478</v>
      </c>
      <c r="P812" s="15">
        <f t="shared" ref="P812:P817" si="138">IF(SUM(I812,L812,N812)&lt;&gt;0,SUM(I812,L812,N812),"")</f>
        <v>17478</v>
      </c>
      <c r="Q812" s="12"/>
    </row>
    <row r="813" spans="1:17" ht="23.25" customHeight="1" x14ac:dyDescent="0.15">
      <c r="A813" s="13" t="s">
        <v>1152</v>
      </c>
      <c r="B813" s="13" t="s">
        <v>2010</v>
      </c>
      <c r="C813" s="1" t="s">
        <v>492</v>
      </c>
      <c r="D813" s="12" t="s">
        <v>493</v>
      </c>
      <c r="E813" s="12" t="s">
        <v>494</v>
      </c>
      <c r="F813" s="31" t="s">
        <v>166</v>
      </c>
      <c r="G813" s="15">
        <v>0.05</v>
      </c>
      <c r="H813" s="15">
        <f>합산자재!H128</f>
        <v>17478</v>
      </c>
      <c r="I813" s="53">
        <f>IF(G813*H813&lt;&gt;0, TRUNC(G813*H813, 1), "")</f>
        <v>873.9</v>
      </c>
      <c r="J813" s="15">
        <v>0.05</v>
      </c>
      <c r="K813" s="15">
        <f>합산자재!I128</f>
        <v>0</v>
      </c>
      <c r="L813" s="53" t="str">
        <f>IF(G813*K813&lt;&gt;0, TRUNC(G813*K813, 1), "")</f>
        <v/>
      </c>
      <c r="M813" s="15">
        <f>합산자재!J128</f>
        <v>0</v>
      </c>
      <c r="N813" s="53" t="str">
        <f>IF(G813*M813&lt;&gt;0, TRUNC(G813*M813, 1), "")</f>
        <v/>
      </c>
      <c r="O813" s="15">
        <f t="shared" si="137"/>
        <v>17478</v>
      </c>
      <c r="P813" s="15">
        <f t="shared" si="138"/>
        <v>873.9</v>
      </c>
      <c r="Q813" s="12"/>
    </row>
    <row r="814" spans="1:17" ht="23.25" customHeight="1" x14ac:dyDescent="0.15">
      <c r="A814" s="13" t="s">
        <v>1375</v>
      </c>
      <c r="B814" s="13" t="s">
        <v>2010</v>
      </c>
      <c r="C814" s="1" t="s">
        <v>1009</v>
      </c>
      <c r="D814" s="12" t="s">
        <v>1003</v>
      </c>
      <c r="E814" s="12" t="s">
        <v>1010</v>
      </c>
      <c r="F814" s="31" t="s">
        <v>999</v>
      </c>
      <c r="G814" s="15">
        <f>일위노임!G357</f>
        <v>1.04E-2</v>
      </c>
      <c r="H814" s="15">
        <f>합산자재!H348</f>
        <v>0</v>
      </c>
      <c r="I814" s="53" t="str">
        <f>IF(G814*H814&lt;&gt;0, TRUNC(G814*H814, 1), "")</f>
        <v/>
      </c>
      <c r="J814" s="15">
        <v>1.04E-2</v>
      </c>
      <c r="K814" s="15">
        <f>합산자재!I348</f>
        <v>440616</v>
      </c>
      <c r="L814" s="53">
        <f>IF(G814*K814&lt;&gt;0, TRUNC(G814*K814, 1), "")</f>
        <v>4582.3999999999996</v>
      </c>
      <c r="M814" s="15">
        <f>합산자재!J348</f>
        <v>0</v>
      </c>
      <c r="N814" s="53" t="str">
        <f>IF(G814*M814&lt;&gt;0, TRUNC(G814*M814, 1), "")</f>
        <v/>
      </c>
      <c r="O814" s="15">
        <f t="shared" si="137"/>
        <v>440616</v>
      </c>
      <c r="P814" s="15">
        <f t="shared" si="138"/>
        <v>4582.3999999999996</v>
      </c>
      <c r="Q814" s="12"/>
    </row>
    <row r="815" spans="1:17" ht="23.25" customHeight="1" x14ac:dyDescent="0.15">
      <c r="A815" s="13" t="s">
        <v>1379</v>
      </c>
      <c r="B815" s="13" t="s">
        <v>2010</v>
      </c>
      <c r="C815" s="1" t="s">
        <v>1017</v>
      </c>
      <c r="D815" s="12" t="s">
        <v>1003</v>
      </c>
      <c r="E815" s="12" t="s">
        <v>1018</v>
      </c>
      <c r="F815" s="31" t="s">
        <v>999</v>
      </c>
      <c r="G815" s="15">
        <f>일위노임!G358</f>
        <v>1.04E-2</v>
      </c>
      <c r="H815" s="15">
        <f>합산자재!H352</f>
        <v>0</v>
      </c>
      <c r="I815" s="53" t="str">
        <f>IF(G815*H815&lt;&gt;0, TRUNC(G815*H815, 1), "")</f>
        <v/>
      </c>
      <c r="J815" s="15">
        <v>1.04E-2</v>
      </c>
      <c r="K815" s="15">
        <f>합산자재!I352</f>
        <v>172068</v>
      </c>
      <c r="L815" s="53">
        <f>IF(G815*K815&lt;&gt;0, TRUNC(G815*K815, 1), "")</f>
        <v>1789.5</v>
      </c>
      <c r="M815" s="15">
        <f>합산자재!J352</f>
        <v>0</v>
      </c>
      <c r="N815" s="53" t="str">
        <f>IF(G815*M815&lt;&gt;0, TRUNC(G815*M815, 1), "")</f>
        <v/>
      </c>
      <c r="O815" s="15">
        <f t="shared" si="137"/>
        <v>172068</v>
      </c>
      <c r="P815" s="15">
        <f t="shared" si="138"/>
        <v>1789.5</v>
      </c>
      <c r="Q815" s="12"/>
    </row>
    <row r="816" spans="1:17" ht="23.25" customHeight="1" x14ac:dyDescent="0.15">
      <c r="A816" s="13" t="s">
        <v>2362</v>
      </c>
      <c r="B816" s="13" t="s">
        <v>2010</v>
      </c>
      <c r="C816" s="1" t="s">
        <v>2363</v>
      </c>
      <c r="D816" s="12" t="s">
        <v>2364</v>
      </c>
      <c r="E816" s="12" t="s">
        <v>2365</v>
      </c>
      <c r="F816" s="31" t="s">
        <v>792</v>
      </c>
      <c r="G816" s="15">
        <v>1</v>
      </c>
      <c r="H816" s="15">
        <v>127.4</v>
      </c>
      <c r="I816" s="53">
        <f>IF(G816*H816&lt;&gt;0, TRUNC(G816*H816, 1), "")</f>
        <v>127.4</v>
      </c>
      <c r="J816" s="15">
        <v>1</v>
      </c>
      <c r="K816" s="15"/>
      <c r="L816" s="53" t="str">
        <f>IF(G816*K816&lt;&gt;0, TRUNC(G816*K816, 1), "")</f>
        <v/>
      </c>
      <c r="M816" s="15"/>
      <c r="N816" s="53" t="str">
        <f>IF(G816*M816&lt;&gt;0, TRUNC(G816*M816, 1), "")</f>
        <v/>
      </c>
      <c r="O816" s="15">
        <f t="shared" si="137"/>
        <v>127.4</v>
      </c>
      <c r="P816" s="15">
        <f t="shared" si="138"/>
        <v>127.4</v>
      </c>
      <c r="Q816" s="12"/>
    </row>
    <row r="817" spans="1:17" ht="23.25" customHeight="1" x14ac:dyDescent="0.15">
      <c r="B817" s="13" t="s">
        <v>2360</v>
      </c>
      <c r="D817" s="12" t="s">
        <v>2361</v>
      </c>
      <c r="E817" s="12"/>
      <c r="F817" s="31"/>
      <c r="G817" s="15"/>
      <c r="H817" s="15"/>
      <c r="I817" s="53">
        <f>TRUNC(SUM(I811:I816))</f>
        <v>18479</v>
      </c>
      <c r="J817" s="15"/>
      <c r="K817" s="15"/>
      <c r="L817" s="53">
        <f>TRUNC(SUM(L811:L816))</f>
        <v>6371</v>
      </c>
      <c r="M817" s="15"/>
      <c r="N817" s="53">
        <f>TRUNC(SUM(N811:N816))</f>
        <v>0</v>
      </c>
      <c r="O817" s="15" t="str">
        <f t="shared" si="137"/>
        <v/>
      </c>
      <c r="P817" s="15">
        <f t="shared" si="138"/>
        <v>24850</v>
      </c>
      <c r="Q817" s="12"/>
    </row>
    <row r="818" spans="1:17" ht="23.25" customHeight="1" x14ac:dyDescent="0.15">
      <c r="D818" s="12"/>
      <c r="E818" s="12"/>
      <c r="F818" s="31"/>
      <c r="G818" s="15"/>
      <c r="H818" s="15"/>
      <c r="I818" s="53"/>
      <c r="J818" s="15"/>
      <c r="K818" s="15"/>
      <c r="L818" s="53"/>
      <c r="M818" s="15"/>
      <c r="N818" s="53"/>
      <c r="O818" s="15"/>
      <c r="P818" s="15"/>
      <c r="Q818" s="12"/>
    </row>
    <row r="819" spans="1:17" ht="23.25" customHeight="1" x14ac:dyDescent="0.15">
      <c r="A819" s="13" t="s">
        <v>2697</v>
      </c>
      <c r="B819" s="13" t="s">
        <v>2382</v>
      </c>
      <c r="C819" s="1" t="s">
        <v>2698</v>
      </c>
      <c r="D819" s="170" t="s">
        <v>2696</v>
      </c>
      <c r="E819" s="172"/>
      <c r="F819" s="31"/>
      <c r="G819" s="15"/>
      <c r="H819" s="15"/>
      <c r="I819" s="53"/>
      <c r="J819" s="15"/>
      <c r="K819" s="15"/>
      <c r="L819" s="53"/>
      <c r="M819" s="15"/>
      <c r="N819" s="53"/>
      <c r="O819" s="15"/>
      <c r="P819" s="15"/>
      <c r="Q819" s="12"/>
    </row>
    <row r="820" spans="1:17" ht="23.25" customHeight="1" x14ac:dyDescent="0.15">
      <c r="A820" s="13" t="s">
        <v>1153</v>
      </c>
      <c r="B820" s="13" t="s">
        <v>2013</v>
      </c>
      <c r="C820" s="1" t="s">
        <v>498</v>
      </c>
      <c r="D820" s="12" t="s">
        <v>499</v>
      </c>
      <c r="E820" s="12" t="s">
        <v>500</v>
      </c>
      <c r="F820" s="31" t="s">
        <v>166</v>
      </c>
      <c r="G820" s="15">
        <v>1</v>
      </c>
      <c r="H820" s="15">
        <f>합산자재!H129</f>
        <v>400</v>
      </c>
      <c r="I820" s="53">
        <f>IF(G820*H820&lt;&gt;0, TRUNC(G820*H820, 1), "")</f>
        <v>400</v>
      </c>
      <c r="J820" s="15">
        <v>1</v>
      </c>
      <c r="K820" s="15">
        <f>합산자재!I129</f>
        <v>0</v>
      </c>
      <c r="L820" s="53" t="str">
        <f>IF(G820*K820&lt;&gt;0, TRUNC(G820*K820, 1), "")</f>
        <v/>
      </c>
      <c r="M820" s="15">
        <f>합산자재!J129</f>
        <v>0</v>
      </c>
      <c r="N820" s="53" t="str">
        <f>IF(G820*M820&lt;&gt;0, TRUNC(G820*M820, 1), "")</f>
        <v/>
      </c>
      <c r="O820" s="15">
        <f>IF((H820+K820+M820)=0, "", (H820+K820+M820))</f>
        <v>400</v>
      </c>
      <c r="P820" s="15">
        <f>IF(SUM(I820,L820,N820)&lt;&gt;0,SUM(I820,L820,N820),"")</f>
        <v>400</v>
      </c>
      <c r="Q820" s="12"/>
    </row>
    <row r="821" spans="1:17" ht="23.25" customHeight="1" x14ac:dyDescent="0.15">
      <c r="A821" s="13" t="s">
        <v>1153</v>
      </c>
      <c r="B821" s="13" t="s">
        <v>2013</v>
      </c>
      <c r="C821" s="1" t="s">
        <v>498</v>
      </c>
      <c r="D821" s="12" t="s">
        <v>499</v>
      </c>
      <c r="E821" s="12" t="s">
        <v>500</v>
      </c>
      <c r="F821" s="31" t="s">
        <v>166</v>
      </c>
      <c r="G821" s="15">
        <v>7.4999999999999997E-2</v>
      </c>
      <c r="H821" s="15">
        <f>합산자재!H129</f>
        <v>400</v>
      </c>
      <c r="I821" s="53">
        <f>IF(G821*H821&lt;&gt;0, TRUNC(G821*H821, 1), "")</f>
        <v>30</v>
      </c>
      <c r="J821" s="15">
        <v>7.4999999999999997E-2</v>
      </c>
      <c r="K821" s="15">
        <f>합산자재!I129</f>
        <v>0</v>
      </c>
      <c r="L821" s="53" t="str">
        <f>IF(G821*K821&lt;&gt;0, TRUNC(G821*K821, 1), "")</f>
        <v/>
      </c>
      <c r="M821" s="15">
        <f>합산자재!J129</f>
        <v>0</v>
      </c>
      <c r="N821" s="53" t="str">
        <f>IF(G821*M821&lt;&gt;0, TRUNC(G821*M821, 1), "")</f>
        <v/>
      </c>
      <c r="O821" s="15">
        <f>IF((H821+K821+M821)=0, "", (H821+K821+M821))</f>
        <v>400</v>
      </c>
      <c r="P821" s="15">
        <f>IF(SUM(I821,L821,N821)&lt;&gt;0,SUM(I821,L821,N821),"")</f>
        <v>30</v>
      </c>
      <c r="Q821" s="12"/>
    </row>
    <row r="822" spans="1:17" ht="23.25" customHeight="1" x14ac:dyDescent="0.15">
      <c r="A822" s="13" t="s">
        <v>1377</v>
      </c>
      <c r="B822" s="13" t="s">
        <v>2013</v>
      </c>
      <c r="C822" s="1" t="s">
        <v>1013</v>
      </c>
      <c r="D822" s="12" t="s">
        <v>1003</v>
      </c>
      <c r="E822" s="12" t="s">
        <v>1014</v>
      </c>
      <c r="F822" s="31" t="s">
        <v>999</v>
      </c>
      <c r="G822" s="15">
        <f>일위노임!G361</f>
        <v>1.4999999999999999E-2</v>
      </c>
      <c r="H822" s="15">
        <f>합산자재!H350</f>
        <v>0</v>
      </c>
      <c r="I822" s="53" t="str">
        <f>IF(G822*H822&lt;&gt;0, TRUNC(G822*H822, 1), "")</f>
        <v/>
      </c>
      <c r="J822" s="15">
        <v>1.4999999999999999E-2</v>
      </c>
      <c r="K822" s="15">
        <f>합산자재!I350</f>
        <v>436224</v>
      </c>
      <c r="L822" s="53">
        <f>IF(G822*K822&lt;&gt;0, TRUNC(G822*K822, 1), "")</f>
        <v>6543.3</v>
      </c>
      <c r="M822" s="15">
        <f>합산자재!J350</f>
        <v>0</v>
      </c>
      <c r="N822" s="53" t="str">
        <f>IF(G822*M822&lt;&gt;0, TRUNC(G822*M822, 1), "")</f>
        <v/>
      </c>
      <c r="O822" s="15">
        <f>IF((H822+K822+M822)=0, "", (H822+K822+M822))</f>
        <v>436224</v>
      </c>
      <c r="P822" s="15">
        <f>IF(SUM(I822,L822,N822)&lt;&gt;0,SUM(I822,L822,N822),"")</f>
        <v>6543.3</v>
      </c>
      <c r="Q822" s="12"/>
    </row>
    <row r="823" spans="1:17" ht="23.25" customHeight="1" x14ac:dyDescent="0.15">
      <c r="A823" s="13" t="s">
        <v>2362</v>
      </c>
      <c r="B823" s="13" t="s">
        <v>2013</v>
      </c>
      <c r="C823" s="1" t="s">
        <v>2363</v>
      </c>
      <c r="D823" s="12" t="s">
        <v>2364</v>
      </c>
      <c r="E823" s="12" t="s">
        <v>2365</v>
      </c>
      <c r="F823" s="31" t="s">
        <v>792</v>
      </c>
      <c r="G823" s="15">
        <v>1</v>
      </c>
      <c r="H823" s="15">
        <v>130.80000000000001</v>
      </c>
      <c r="I823" s="53">
        <f>IF(G823*H823&lt;&gt;0, TRUNC(G823*H823, 1), "")</f>
        <v>130.80000000000001</v>
      </c>
      <c r="J823" s="15">
        <v>1</v>
      </c>
      <c r="K823" s="15"/>
      <c r="L823" s="53" t="str">
        <f>IF(G823*K823&lt;&gt;0, TRUNC(G823*K823, 1), "")</f>
        <v/>
      </c>
      <c r="M823" s="15"/>
      <c r="N823" s="53" t="str">
        <f>IF(G823*M823&lt;&gt;0, TRUNC(G823*M823, 1), "")</f>
        <v/>
      </c>
      <c r="O823" s="15">
        <f>IF((H823+K823+M823)=0, "", (H823+K823+M823))</f>
        <v>130.80000000000001</v>
      </c>
      <c r="P823" s="15">
        <f>IF(SUM(I823,L823,N823)&lt;&gt;0,SUM(I823,L823,N823),"")</f>
        <v>130.80000000000001</v>
      </c>
      <c r="Q823" s="12"/>
    </row>
    <row r="824" spans="1:17" ht="23.25" customHeight="1" x14ac:dyDescent="0.15">
      <c r="B824" s="13" t="s">
        <v>2360</v>
      </c>
      <c r="D824" s="12" t="s">
        <v>2361</v>
      </c>
      <c r="E824" s="12"/>
      <c r="F824" s="31"/>
      <c r="G824" s="15"/>
      <c r="H824" s="15"/>
      <c r="I824" s="53">
        <f>TRUNC(SUM(I819:I823))</f>
        <v>560</v>
      </c>
      <c r="J824" s="15"/>
      <c r="K824" s="15"/>
      <c r="L824" s="53">
        <f>TRUNC(SUM(L819:L823))</f>
        <v>6543</v>
      </c>
      <c r="M824" s="15"/>
      <c r="N824" s="53">
        <f>TRUNC(SUM(N819:N823))</f>
        <v>0</v>
      </c>
      <c r="O824" s="15" t="str">
        <f>IF((H824+K824+M824)=0, "", (H824+K824+M824))</f>
        <v/>
      </c>
      <c r="P824" s="15">
        <f>IF(SUM(I824,L824,N824)&lt;&gt;0,SUM(I824,L824,N824),"")</f>
        <v>7103</v>
      </c>
      <c r="Q824" s="12"/>
    </row>
    <row r="825" spans="1:17" ht="23.25" customHeight="1" x14ac:dyDescent="0.15">
      <c r="D825" s="12"/>
      <c r="E825" s="12"/>
      <c r="F825" s="31"/>
      <c r="G825" s="15"/>
      <c r="H825" s="15"/>
      <c r="I825" s="53"/>
      <c r="J825" s="15"/>
      <c r="K825" s="15"/>
      <c r="L825" s="53"/>
      <c r="M825" s="15"/>
      <c r="N825" s="53"/>
      <c r="O825" s="15"/>
      <c r="P825" s="15"/>
      <c r="Q825" s="12"/>
    </row>
    <row r="826" spans="1:17" ht="23.25" customHeight="1" x14ac:dyDescent="0.15">
      <c r="A826" s="13" t="s">
        <v>2700</v>
      </c>
      <c r="B826" s="13" t="s">
        <v>2382</v>
      </c>
      <c r="C826" s="1" t="s">
        <v>2701</v>
      </c>
      <c r="D826" s="170" t="s">
        <v>2699</v>
      </c>
      <c r="E826" s="172"/>
      <c r="F826" s="31"/>
      <c r="G826" s="15"/>
      <c r="H826" s="15"/>
      <c r="I826" s="53"/>
      <c r="J826" s="15"/>
      <c r="K826" s="15"/>
      <c r="L826" s="53"/>
      <c r="M826" s="15"/>
      <c r="N826" s="53"/>
      <c r="O826" s="15"/>
      <c r="P826" s="15"/>
      <c r="Q826" s="12"/>
    </row>
    <row r="827" spans="1:17" ht="23.25" customHeight="1" x14ac:dyDescent="0.15">
      <c r="A827" s="13" t="s">
        <v>1154</v>
      </c>
      <c r="B827" s="13" t="s">
        <v>2016</v>
      </c>
      <c r="C827" s="1" t="s">
        <v>504</v>
      </c>
      <c r="D827" s="12" t="s">
        <v>505</v>
      </c>
      <c r="E827" s="12" t="s">
        <v>506</v>
      </c>
      <c r="F827" s="31" t="s">
        <v>166</v>
      </c>
      <c r="G827" s="15">
        <v>1</v>
      </c>
      <c r="H827" s="15">
        <f>합산자재!H130</f>
        <v>1500</v>
      </c>
      <c r="I827" s="53">
        <f>IF(G827*H827&lt;&gt;0, TRUNC(G827*H827, 1), "")</f>
        <v>1500</v>
      </c>
      <c r="J827" s="15">
        <v>1</v>
      </c>
      <c r="K827" s="15">
        <f>합산자재!I130</f>
        <v>0</v>
      </c>
      <c r="L827" s="53" t="str">
        <f>IF(G827*K827&lt;&gt;0, TRUNC(G827*K827, 1), "")</f>
        <v/>
      </c>
      <c r="M827" s="15">
        <f>합산자재!J130</f>
        <v>0</v>
      </c>
      <c r="N827" s="53" t="str">
        <f>IF(G827*M827&lt;&gt;0, TRUNC(G827*M827, 1), "")</f>
        <v/>
      </c>
      <c r="O827" s="15">
        <f>IF((H827+K827+M827)=0, "", (H827+K827+M827))</f>
        <v>1500</v>
      </c>
      <c r="P827" s="15">
        <f>IF(SUM(I827,L827,N827)&lt;&gt;0,SUM(I827,L827,N827),"")</f>
        <v>1500</v>
      </c>
      <c r="Q827" s="12"/>
    </row>
    <row r="828" spans="1:17" ht="23.25" customHeight="1" x14ac:dyDescent="0.15">
      <c r="A828" s="13" t="s">
        <v>1154</v>
      </c>
      <c r="B828" s="13" t="s">
        <v>2016</v>
      </c>
      <c r="C828" s="1" t="s">
        <v>504</v>
      </c>
      <c r="D828" s="12" t="s">
        <v>505</v>
      </c>
      <c r="E828" s="12" t="s">
        <v>506</v>
      </c>
      <c r="F828" s="31" t="s">
        <v>166</v>
      </c>
      <c r="G828" s="15">
        <v>7.4999999999999997E-2</v>
      </c>
      <c r="H828" s="15">
        <f>합산자재!H130</f>
        <v>1500</v>
      </c>
      <c r="I828" s="53">
        <f>IF(G828*H828&lt;&gt;0, TRUNC(G828*H828, 1), "")</f>
        <v>112.5</v>
      </c>
      <c r="J828" s="15">
        <v>7.4999999999999997E-2</v>
      </c>
      <c r="K828" s="15">
        <f>합산자재!I130</f>
        <v>0</v>
      </c>
      <c r="L828" s="53" t="str">
        <f>IF(G828*K828&lt;&gt;0, TRUNC(G828*K828, 1), "")</f>
        <v/>
      </c>
      <c r="M828" s="15">
        <f>합산자재!J130</f>
        <v>0</v>
      </c>
      <c r="N828" s="53" t="str">
        <f>IF(G828*M828&lt;&gt;0, TRUNC(G828*M828, 1), "")</f>
        <v/>
      </c>
      <c r="O828" s="15">
        <f>IF((H828+K828+M828)=0, "", (H828+K828+M828))</f>
        <v>1500</v>
      </c>
      <c r="P828" s="15">
        <f>IF(SUM(I828,L828,N828)&lt;&gt;0,SUM(I828,L828,N828),"")</f>
        <v>112.5</v>
      </c>
      <c r="Q828" s="12"/>
    </row>
    <row r="829" spans="1:17" ht="23.25" customHeight="1" x14ac:dyDescent="0.15">
      <c r="A829" s="13" t="s">
        <v>1377</v>
      </c>
      <c r="B829" s="13" t="s">
        <v>2016</v>
      </c>
      <c r="C829" s="1" t="s">
        <v>1013</v>
      </c>
      <c r="D829" s="12" t="s">
        <v>1003</v>
      </c>
      <c r="E829" s="12" t="s">
        <v>1014</v>
      </c>
      <c r="F829" s="31" t="s">
        <v>999</v>
      </c>
      <c r="G829" s="15">
        <f>일위노임!G364</f>
        <v>1.7999999999999999E-2</v>
      </c>
      <c r="H829" s="15">
        <f>합산자재!H350</f>
        <v>0</v>
      </c>
      <c r="I829" s="53" t="str">
        <f>IF(G829*H829&lt;&gt;0, TRUNC(G829*H829, 1), "")</f>
        <v/>
      </c>
      <c r="J829" s="15">
        <v>1.7999999999999999E-2</v>
      </c>
      <c r="K829" s="15">
        <f>합산자재!I350</f>
        <v>436224</v>
      </c>
      <c r="L829" s="53">
        <f>IF(G829*K829&lt;&gt;0, TRUNC(G829*K829, 1), "")</f>
        <v>7852</v>
      </c>
      <c r="M829" s="15">
        <f>합산자재!J350</f>
        <v>0</v>
      </c>
      <c r="N829" s="53" t="str">
        <f>IF(G829*M829&lt;&gt;0, TRUNC(G829*M829, 1), "")</f>
        <v/>
      </c>
      <c r="O829" s="15">
        <f>IF((H829+K829+M829)=0, "", (H829+K829+M829))</f>
        <v>436224</v>
      </c>
      <c r="P829" s="15">
        <f>IF(SUM(I829,L829,N829)&lt;&gt;0,SUM(I829,L829,N829),"")</f>
        <v>7852</v>
      </c>
      <c r="Q829" s="12"/>
    </row>
    <row r="830" spans="1:17" ht="23.25" customHeight="1" x14ac:dyDescent="0.15">
      <c r="A830" s="13" t="s">
        <v>2362</v>
      </c>
      <c r="B830" s="13" t="s">
        <v>2016</v>
      </c>
      <c r="C830" s="1" t="s">
        <v>2363</v>
      </c>
      <c r="D830" s="12" t="s">
        <v>2364</v>
      </c>
      <c r="E830" s="12" t="s">
        <v>2365</v>
      </c>
      <c r="F830" s="31" t="s">
        <v>792</v>
      </c>
      <c r="G830" s="15">
        <v>1</v>
      </c>
      <c r="H830" s="15">
        <v>157</v>
      </c>
      <c r="I830" s="53">
        <f>IF(G830*H830&lt;&gt;0, TRUNC(G830*H830, 1), "")</f>
        <v>157</v>
      </c>
      <c r="J830" s="15">
        <v>1</v>
      </c>
      <c r="K830" s="15"/>
      <c r="L830" s="53" t="str">
        <f>IF(G830*K830&lt;&gt;0, TRUNC(G830*K830, 1), "")</f>
        <v/>
      </c>
      <c r="M830" s="15"/>
      <c r="N830" s="53" t="str">
        <f>IF(G830*M830&lt;&gt;0, TRUNC(G830*M830, 1), "")</f>
        <v/>
      </c>
      <c r="O830" s="15">
        <f>IF((H830+K830+M830)=0, "", (H830+K830+M830))</f>
        <v>157</v>
      </c>
      <c r="P830" s="15">
        <f>IF(SUM(I830,L830,N830)&lt;&gt;0,SUM(I830,L830,N830),"")</f>
        <v>157</v>
      </c>
      <c r="Q830" s="12"/>
    </row>
    <row r="831" spans="1:17" ht="23.25" customHeight="1" x14ac:dyDescent="0.15">
      <c r="B831" s="13" t="s">
        <v>2360</v>
      </c>
      <c r="D831" s="12" t="s">
        <v>2361</v>
      </c>
      <c r="E831" s="12"/>
      <c r="F831" s="31"/>
      <c r="G831" s="15"/>
      <c r="H831" s="15"/>
      <c r="I831" s="53">
        <f>TRUNC(SUM(I826:I830))</f>
        <v>1769</v>
      </c>
      <c r="J831" s="15"/>
      <c r="K831" s="15"/>
      <c r="L831" s="53">
        <f>TRUNC(SUM(L826:L830))</f>
        <v>7852</v>
      </c>
      <c r="M831" s="15"/>
      <c r="N831" s="53">
        <f>TRUNC(SUM(N826:N830))</f>
        <v>0</v>
      </c>
      <c r="O831" s="15" t="str">
        <f>IF((H831+K831+M831)=0, "", (H831+K831+M831))</f>
        <v/>
      </c>
      <c r="P831" s="15">
        <f>IF(SUM(I831,L831,N831)&lt;&gt;0,SUM(I831,L831,N831),"")</f>
        <v>9621</v>
      </c>
      <c r="Q831" s="12"/>
    </row>
    <row r="832" spans="1:17" ht="23.25" customHeight="1" x14ac:dyDescent="0.15">
      <c r="D832" s="12"/>
      <c r="E832" s="12"/>
      <c r="F832" s="31"/>
      <c r="G832" s="15"/>
      <c r="H832" s="15"/>
      <c r="I832" s="53"/>
      <c r="J832" s="15"/>
      <c r="K832" s="15"/>
      <c r="L832" s="53"/>
      <c r="M832" s="15"/>
      <c r="N832" s="53"/>
      <c r="O832" s="15"/>
      <c r="P832" s="15"/>
      <c r="Q832" s="12"/>
    </row>
    <row r="833" spans="1:17" ht="23.25" customHeight="1" x14ac:dyDescent="0.15">
      <c r="A833" s="13" t="s">
        <v>2703</v>
      </c>
      <c r="B833" s="13" t="s">
        <v>2382</v>
      </c>
      <c r="C833" s="1" t="s">
        <v>2704</v>
      </c>
      <c r="D833" s="170" t="s">
        <v>2702</v>
      </c>
      <c r="E833" s="172"/>
      <c r="F833" s="31"/>
      <c r="G833" s="15"/>
      <c r="H833" s="15"/>
      <c r="I833" s="53"/>
      <c r="J833" s="15"/>
      <c r="K833" s="15"/>
      <c r="L833" s="53"/>
      <c r="M833" s="15"/>
      <c r="N833" s="53"/>
      <c r="O833" s="15"/>
      <c r="P833" s="15"/>
      <c r="Q833" s="12"/>
    </row>
    <row r="834" spans="1:17" ht="23.25" customHeight="1" x14ac:dyDescent="0.15">
      <c r="A834" s="13" t="s">
        <v>1155</v>
      </c>
      <c r="B834" s="13" t="s">
        <v>2019</v>
      </c>
      <c r="C834" s="1" t="s">
        <v>507</v>
      </c>
      <c r="D834" s="12" t="s">
        <v>508</v>
      </c>
      <c r="E834" s="12" t="s">
        <v>509</v>
      </c>
      <c r="F834" s="31" t="s">
        <v>200</v>
      </c>
      <c r="G834" s="15">
        <v>1</v>
      </c>
      <c r="H834" s="15">
        <f>합산자재!H131</f>
        <v>1324</v>
      </c>
      <c r="I834" s="53">
        <f>IF(G834*H834&lt;&gt;0, TRUNC(G834*H834, 1), "")</f>
        <v>1324</v>
      </c>
      <c r="J834" s="15">
        <v>1</v>
      </c>
      <c r="K834" s="15">
        <f>합산자재!I131</f>
        <v>0</v>
      </c>
      <c r="L834" s="53" t="str">
        <f>IF(G834*K834&lt;&gt;0, TRUNC(G834*K834, 1), "")</f>
        <v/>
      </c>
      <c r="M834" s="15">
        <f>합산자재!J131</f>
        <v>0</v>
      </c>
      <c r="N834" s="53" t="str">
        <f>IF(G834*M834&lt;&gt;0, TRUNC(G834*M834, 1), "")</f>
        <v/>
      </c>
      <c r="O834" s="15">
        <f>IF((H834+K834+M834)=0, "", (H834+K834+M834))</f>
        <v>1324</v>
      </c>
      <c r="P834" s="15">
        <f>IF(SUM(I834,L834,N834)&lt;&gt;0,SUM(I834,L834,N834),"")</f>
        <v>1324</v>
      </c>
      <c r="Q834" s="12"/>
    </row>
    <row r="835" spans="1:17" ht="23.25" customHeight="1" x14ac:dyDescent="0.15">
      <c r="A835" s="13" t="s">
        <v>1372</v>
      </c>
      <c r="B835" s="13" t="s">
        <v>2019</v>
      </c>
      <c r="C835" s="1" t="s">
        <v>1002</v>
      </c>
      <c r="D835" s="12" t="s">
        <v>1003</v>
      </c>
      <c r="E835" s="12" t="s">
        <v>1004</v>
      </c>
      <c r="F835" s="31" t="s">
        <v>999</v>
      </c>
      <c r="G835" s="15">
        <f>일위노임!G367</f>
        <v>8.5000000000000006E-2</v>
      </c>
      <c r="H835" s="15">
        <f>합산자재!H345</f>
        <v>0</v>
      </c>
      <c r="I835" s="53" t="str">
        <f>IF(G835*H835&lt;&gt;0, TRUNC(G835*H835, 1), "")</f>
        <v/>
      </c>
      <c r="J835" s="15">
        <v>8.5000000000000006E-2</v>
      </c>
      <c r="K835" s="15">
        <f>합산자재!I345</f>
        <v>273676</v>
      </c>
      <c r="L835" s="53">
        <f>IF(G835*K835&lt;&gt;0, TRUNC(G835*K835, 1), "")</f>
        <v>23262.400000000001</v>
      </c>
      <c r="M835" s="15">
        <f>합산자재!J345</f>
        <v>0</v>
      </c>
      <c r="N835" s="53" t="str">
        <f>IF(G835*M835&lt;&gt;0, TRUNC(G835*M835, 1), "")</f>
        <v/>
      </c>
      <c r="O835" s="15">
        <f>IF((H835+K835+M835)=0, "", (H835+K835+M835))</f>
        <v>273676</v>
      </c>
      <c r="P835" s="15">
        <f>IF(SUM(I835,L835,N835)&lt;&gt;0,SUM(I835,L835,N835),"")</f>
        <v>23262.400000000001</v>
      </c>
      <c r="Q835" s="12"/>
    </row>
    <row r="836" spans="1:17" ht="23.25" customHeight="1" x14ac:dyDescent="0.15">
      <c r="A836" s="13" t="s">
        <v>2362</v>
      </c>
      <c r="B836" s="13" t="s">
        <v>2019</v>
      </c>
      <c r="C836" s="1" t="s">
        <v>2363</v>
      </c>
      <c r="D836" s="12" t="s">
        <v>2364</v>
      </c>
      <c r="E836" s="12" t="s">
        <v>2365</v>
      </c>
      <c r="F836" s="31" t="s">
        <v>792</v>
      </c>
      <c r="G836" s="15">
        <v>1</v>
      </c>
      <c r="H836" s="15">
        <v>465.2</v>
      </c>
      <c r="I836" s="53">
        <f>IF(G836*H836&lt;&gt;0, TRUNC(G836*H836, 1), "")</f>
        <v>465.2</v>
      </c>
      <c r="J836" s="15">
        <v>1</v>
      </c>
      <c r="K836" s="15"/>
      <c r="L836" s="53" t="str">
        <f>IF(G836*K836&lt;&gt;0, TRUNC(G836*K836, 1), "")</f>
        <v/>
      </c>
      <c r="M836" s="15"/>
      <c r="N836" s="53" t="str">
        <f>IF(G836*M836&lt;&gt;0, TRUNC(G836*M836, 1), "")</f>
        <v/>
      </c>
      <c r="O836" s="15">
        <f>IF((H836+K836+M836)=0, "", (H836+K836+M836))</f>
        <v>465.2</v>
      </c>
      <c r="P836" s="15">
        <f>IF(SUM(I836,L836,N836)&lt;&gt;0,SUM(I836,L836,N836),"")</f>
        <v>465.2</v>
      </c>
      <c r="Q836" s="12"/>
    </row>
    <row r="837" spans="1:17" ht="23.25" customHeight="1" x14ac:dyDescent="0.15">
      <c r="B837" s="13" t="s">
        <v>2360</v>
      </c>
      <c r="D837" s="12" t="s">
        <v>2361</v>
      </c>
      <c r="E837" s="12"/>
      <c r="F837" s="31"/>
      <c r="G837" s="15"/>
      <c r="H837" s="15"/>
      <c r="I837" s="53">
        <f>TRUNC(SUM(I833:I836))</f>
        <v>1789</v>
      </c>
      <c r="J837" s="15"/>
      <c r="K837" s="15"/>
      <c r="L837" s="53">
        <f>TRUNC(SUM(L833:L836))</f>
        <v>23262</v>
      </c>
      <c r="M837" s="15"/>
      <c r="N837" s="53">
        <f>TRUNC(SUM(N833:N836))</f>
        <v>0</v>
      </c>
      <c r="O837" s="15" t="str">
        <f>IF((H837+K837+M837)=0, "", (H837+K837+M837))</f>
        <v/>
      </c>
      <c r="P837" s="15">
        <f>IF(SUM(I837,L837,N837)&lt;&gt;0,SUM(I837,L837,N837),"")</f>
        <v>25051</v>
      </c>
      <c r="Q837" s="12"/>
    </row>
    <row r="838" spans="1:17" ht="23.25" customHeight="1" x14ac:dyDescent="0.15">
      <c r="D838" s="12"/>
      <c r="E838" s="12"/>
      <c r="F838" s="31"/>
      <c r="G838" s="15"/>
      <c r="H838" s="15"/>
      <c r="I838" s="53"/>
      <c r="J838" s="15"/>
      <c r="K838" s="15"/>
      <c r="L838" s="53"/>
      <c r="M838" s="15"/>
      <c r="N838" s="53"/>
      <c r="O838" s="15"/>
      <c r="P838" s="15"/>
      <c r="Q838" s="12"/>
    </row>
    <row r="839" spans="1:17" ht="23.25" customHeight="1" x14ac:dyDescent="0.15">
      <c r="A839" s="13" t="s">
        <v>2706</v>
      </c>
      <c r="B839" s="13" t="s">
        <v>2382</v>
      </c>
      <c r="C839" s="1" t="s">
        <v>2707</v>
      </c>
      <c r="D839" s="170" t="s">
        <v>2705</v>
      </c>
      <c r="E839" s="172"/>
      <c r="F839" s="31"/>
      <c r="G839" s="15"/>
      <c r="H839" s="15"/>
      <c r="I839" s="53"/>
      <c r="J839" s="15"/>
      <c r="K839" s="15"/>
      <c r="L839" s="53"/>
      <c r="M839" s="15"/>
      <c r="N839" s="53"/>
      <c r="O839" s="15"/>
      <c r="P839" s="15"/>
      <c r="Q839" s="12"/>
    </row>
    <row r="840" spans="1:17" ht="23.25" customHeight="1" x14ac:dyDescent="0.15">
      <c r="A840" s="13" t="s">
        <v>1156</v>
      </c>
      <c r="B840" s="13" t="s">
        <v>2022</v>
      </c>
      <c r="C840" s="1" t="s">
        <v>514</v>
      </c>
      <c r="D840" s="12" t="s">
        <v>508</v>
      </c>
      <c r="E840" s="12" t="s">
        <v>515</v>
      </c>
      <c r="F840" s="31" t="s">
        <v>200</v>
      </c>
      <c r="G840" s="15">
        <v>1</v>
      </c>
      <c r="H840" s="15">
        <f>합산자재!H132</f>
        <v>1853</v>
      </c>
      <c r="I840" s="53">
        <f>IF(G840*H840&lt;&gt;0, TRUNC(G840*H840, 1), "")</f>
        <v>1853</v>
      </c>
      <c r="J840" s="15">
        <v>1</v>
      </c>
      <c r="K840" s="15">
        <f>합산자재!I132</f>
        <v>0</v>
      </c>
      <c r="L840" s="53" t="str">
        <f>IF(G840*K840&lt;&gt;0, TRUNC(G840*K840, 1), "")</f>
        <v/>
      </c>
      <c r="M840" s="15">
        <f>합산자재!J132</f>
        <v>0</v>
      </c>
      <c r="N840" s="53" t="str">
        <f>IF(G840*M840&lt;&gt;0, TRUNC(G840*M840, 1), "")</f>
        <v/>
      </c>
      <c r="O840" s="15">
        <f>IF((H840+K840+M840)=0, "", (H840+K840+M840))</f>
        <v>1853</v>
      </c>
      <c r="P840" s="15">
        <f>IF(SUM(I840,L840,N840)&lt;&gt;0,SUM(I840,L840,N840),"")</f>
        <v>1853</v>
      </c>
      <c r="Q840" s="12"/>
    </row>
    <row r="841" spans="1:17" ht="23.25" customHeight="1" x14ac:dyDescent="0.15">
      <c r="A841" s="13" t="s">
        <v>1372</v>
      </c>
      <c r="B841" s="13" t="s">
        <v>2022</v>
      </c>
      <c r="C841" s="1" t="s">
        <v>1002</v>
      </c>
      <c r="D841" s="12" t="s">
        <v>1003</v>
      </c>
      <c r="E841" s="12" t="s">
        <v>1004</v>
      </c>
      <c r="F841" s="31" t="s">
        <v>999</v>
      </c>
      <c r="G841" s="15">
        <f>일위노임!G370</f>
        <v>8.5000000000000006E-2</v>
      </c>
      <c r="H841" s="15">
        <f>합산자재!H345</f>
        <v>0</v>
      </c>
      <c r="I841" s="53" t="str">
        <f>IF(G841*H841&lt;&gt;0, TRUNC(G841*H841, 1), "")</f>
        <v/>
      </c>
      <c r="J841" s="15">
        <v>8.5000000000000006E-2</v>
      </c>
      <c r="K841" s="15">
        <f>합산자재!I345</f>
        <v>273676</v>
      </c>
      <c r="L841" s="53">
        <f>IF(G841*K841&lt;&gt;0, TRUNC(G841*K841, 1), "")</f>
        <v>23262.400000000001</v>
      </c>
      <c r="M841" s="15">
        <f>합산자재!J345</f>
        <v>0</v>
      </c>
      <c r="N841" s="53" t="str">
        <f>IF(G841*M841&lt;&gt;0, TRUNC(G841*M841, 1), "")</f>
        <v/>
      </c>
      <c r="O841" s="15">
        <f>IF((H841+K841+M841)=0, "", (H841+K841+M841))</f>
        <v>273676</v>
      </c>
      <c r="P841" s="15">
        <f>IF(SUM(I841,L841,N841)&lt;&gt;0,SUM(I841,L841,N841),"")</f>
        <v>23262.400000000001</v>
      </c>
      <c r="Q841" s="12"/>
    </row>
    <row r="842" spans="1:17" ht="23.25" customHeight="1" x14ac:dyDescent="0.15">
      <c r="A842" s="13" t="s">
        <v>2362</v>
      </c>
      <c r="B842" s="13" t="s">
        <v>2022</v>
      </c>
      <c r="C842" s="1" t="s">
        <v>2363</v>
      </c>
      <c r="D842" s="12" t="s">
        <v>2364</v>
      </c>
      <c r="E842" s="12" t="s">
        <v>2365</v>
      </c>
      <c r="F842" s="31" t="s">
        <v>792</v>
      </c>
      <c r="G842" s="15">
        <v>1</v>
      </c>
      <c r="H842" s="15">
        <v>465.2</v>
      </c>
      <c r="I842" s="53">
        <f>IF(G842*H842&lt;&gt;0, TRUNC(G842*H842, 1), "")</f>
        <v>465.2</v>
      </c>
      <c r="J842" s="15">
        <v>1</v>
      </c>
      <c r="K842" s="15"/>
      <c r="L842" s="53" t="str">
        <f>IF(G842*K842&lt;&gt;0, TRUNC(G842*K842, 1), "")</f>
        <v/>
      </c>
      <c r="M842" s="15"/>
      <c r="N842" s="53" t="str">
        <f>IF(G842*M842&lt;&gt;0, TRUNC(G842*M842, 1), "")</f>
        <v/>
      </c>
      <c r="O842" s="15">
        <f>IF((H842+K842+M842)=0, "", (H842+K842+M842))</f>
        <v>465.2</v>
      </c>
      <c r="P842" s="15">
        <f>IF(SUM(I842,L842,N842)&lt;&gt;0,SUM(I842,L842,N842),"")</f>
        <v>465.2</v>
      </c>
      <c r="Q842" s="12"/>
    </row>
    <row r="843" spans="1:17" ht="23.25" customHeight="1" x14ac:dyDescent="0.15">
      <c r="B843" s="13" t="s">
        <v>2360</v>
      </c>
      <c r="D843" s="12" t="s">
        <v>2361</v>
      </c>
      <c r="E843" s="12"/>
      <c r="F843" s="31"/>
      <c r="G843" s="15"/>
      <c r="H843" s="15"/>
      <c r="I843" s="53">
        <f>TRUNC(SUM(I839:I842))</f>
        <v>2318</v>
      </c>
      <c r="J843" s="15"/>
      <c r="K843" s="15"/>
      <c r="L843" s="53">
        <f>TRUNC(SUM(L839:L842))</f>
        <v>23262</v>
      </c>
      <c r="M843" s="15"/>
      <c r="N843" s="53">
        <f>TRUNC(SUM(N839:N842))</f>
        <v>0</v>
      </c>
      <c r="O843" s="15" t="str">
        <f>IF((H843+K843+M843)=0, "", (H843+K843+M843))</f>
        <v/>
      </c>
      <c r="P843" s="15">
        <f>IF(SUM(I843,L843,N843)&lt;&gt;0,SUM(I843,L843,N843),"")</f>
        <v>25580</v>
      </c>
      <c r="Q843" s="12"/>
    </row>
    <row r="844" spans="1:17" ht="23.25" customHeight="1" x14ac:dyDescent="0.15">
      <c r="D844" s="12"/>
      <c r="E844" s="12"/>
      <c r="F844" s="31"/>
      <c r="G844" s="15"/>
      <c r="H844" s="15"/>
      <c r="I844" s="53"/>
      <c r="J844" s="15"/>
      <c r="K844" s="15"/>
      <c r="L844" s="53"/>
      <c r="M844" s="15"/>
      <c r="N844" s="53"/>
      <c r="O844" s="15"/>
      <c r="P844" s="15"/>
      <c r="Q844" s="12"/>
    </row>
    <row r="845" spans="1:17" ht="23.25" customHeight="1" x14ac:dyDescent="0.15">
      <c r="A845" s="13" t="s">
        <v>2709</v>
      </c>
      <c r="B845" s="13" t="s">
        <v>2382</v>
      </c>
      <c r="C845" s="1" t="s">
        <v>2710</v>
      </c>
      <c r="D845" s="170" t="s">
        <v>2708</v>
      </c>
      <c r="E845" s="172"/>
      <c r="F845" s="31"/>
      <c r="G845" s="15"/>
      <c r="H845" s="15"/>
      <c r="I845" s="53"/>
      <c r="J845" s="15"/>
      <c r="K845" s="15"/>
      <c r="L845" s="53"/>
      <c r="M845" s="15"/>
      <c r="N845" s="53"/>
      <c r="O845" s="15"/>
      <c r="P845" s="15"/>
      <c r="Q845" s="12"/>
    </row>
    <row r="846" spans="1:17" ht="23.25" customHeight="1" x14ac:dyDescent="0.15">
      <c r="A846" s="13" t="s">
        <v>1157</v>
      </c>
      <c r="B846" s="13" t="s">
        <v>2025</v>
      </c>
      <c r="C846" s="1" t="s">
        <v>516</v>
      </c>
      <c r="D846" s="12" t="s">
        <v>508</v>
      </c>
      <c r="E846" s="12" t="s">
        <v>517</v>
      </c>
      <c r="F846" s="31" t="s">
        <v>200</v>
      </c>
      <c r="G846" s="15">
        <v>1</v>
      </c>
      <c r="H846" s="15">
        <f>합산자재!H133</f>
        <v>2395</v>
      </c>
      <c r="I846" s="53">
        <f>IF(G846*H846&lt;&gt;0, TRUNC(G846*H846, 1), "")</f>
        <v>2395</v>
      </c>
      <c r="J846" s="15">
        <v>1</v>
      </c>
      <c r="K846" s="15">
        <f>합산자재!I133</f>
        <v>0</v>
      </c>
      <c r="L846" s="53" t="str">
        <f>IF(G846*K846&lt;&gt;0, TRUNC(G846*K846, 1), "")</f>
        <v/>
      </c>
      <c r="M846" s="15">
        <f>합산자재!J133</f>
        <v>0</v>
      </c>
      <c r="N846" s="53" t="str">
        <f>IF(G846*M846&lt;&gt;0, TRUNC(G846*M846, 1), "")</f>
        <v/>
      </c>
      <c r="O846" s="15">
        <f>IF((H846+K846+M846)=0, "", (H846+K846+M846))</f>
        <v>2395</v>
      </c>
      <c r="P846" s="15">
        <f>IF(SUM(I846,L846,N846)&lt;&gt;0,SUM(I846,L846,N846),"")</f>
        <v>2395</v>
      </c>
      <c r="Q846" s="12"/>
    </row>
    <row r="847" spans="1:17" ht="23.25" customHeight="1" x14ac:dyDescent="0.15">
      <c r="A847" s="13" t="s">
        <v>1372</v>
      </c>
      <c r="B847" s="13" t="s">
        <v>2025</v>
      </c>
      <c r="C847" s="1" t="s">
        <v>1002</v>
      </c>
      <c r="D847" s="12" t="s">
        <v>1003</v>
      </c>
      <c r="E847" s="12" t="s">
        <v>1004</v>
      </c>
      <c r="F847" s="31" t="s">
        <v>999</v>
      </c>
      <c r="G847" s="15">
        <f>일위노임!G373</f>
        <v>8.5000000000000006E-2</v>
      </c>
      <c r="H847" s="15">
        <f>합산자재!H345</f>
        <v>0</v>
      </c>
      <c r="I847" s="53" t="str">
        <f>IF(G847*H847&lt;&gt;0, TRUNC(G847*H847, 1), "")</f>
        <v/>
      </c>
      <c r="J847" s="15">
        <v>8.5000000000000006E-2</v>
      </c>
      <c r="K847" s="15">
        <f>합산자재!I345</f>
        <v>273676</v>
      </c>
      <c r="L847" s="53">
        <f>IF(G847*K847&lt;&gt;0, TRUNC(G847*K847, 1), "")</f>
        <v>23262.400000000001</v>
      </c>
      <c r="M847" s="15">
        <f>합산자재!J345</f>
        <v>0</v>
      </c>
      <c r="N847" s="53" t="str">
        <f>IF(G847*M847&lt;&gt;0, TRUNC(G847*M847, 1), "")</f>
        <v/>
      </c>
      <c r="O847" s="15">
        <f>IF((H847+K847+M847)=0, "", (H847+K847+M847))</f>
        <v>273676</v>
      </c>
      <c r="P847" s="15">
        <f>IF(SUM(I847,L847,N847)&lt;&gt;0,SUM(I847,L847,N847),"")</f>
        <v>23262.400000000001</v>
      </c>
      <c r="Q847" s="12"/>
    </row>
    <row r="848" spans="1:17" ht="23.25" customHeight="1" x14ac:dyDescent="0.15">
      <c r="A848" s="13" t="s">
        <v>2362</v>
      </c>
      <c r="B848" s="13" t="s">
        <v>2025</v>
      </c>
      <c r="C848" s="1" t="s">
        <v>2363</v>
      </c>
      <c r="D848" s="12" t="s">
        <v>2364</v>
      </c>
      <c r="E848" s="12" t="s">
        <v>2365</v>
      </c>
      <c r="F848" s="31" t="s">
        <v>792</v>
      </c>
      <c r="G848" s="15">
        <v>1</v>
      </c>
      <c r="H848" s="15">
        <v>465.2</v>
      </c>
      <c r="I848" s="53">
        <f>IF(G848*H848&lt;&gt;0, TRUNC(G848*H848, 1), "")</f>
        <v>465.2</v>
      </c>
      <c r="J848" s="15">
        <v>1</v>
      </c>
      <c r="K848" s="15"/>
      <c r="L848" s="53" t="str">
        <f>IF(G848*K848&lt;&gt;0, TRUNC(G848*K848, 1), "")</f>
        <v/>
      </c>
      <c r="M848" s="15"/>
      <c r="N848" s="53" t="str">
        <f>IF(G848*M848&lt;&gt;0, TRUNC(G848*M848, 1), "")</f>
        <v/>
      </c>
      <c r="O848" s="15">
        <f>IF((H848+K848+M848)=0, "", (H848+K848+M848))</f>
        <v>465.2</v>
      </c>
      <c r="P848" s="15">
        <f>IF(SUM(I848,L848,N848)&lt;&gt;0,SUM(I848,L848,N848),"")</f>
        <v>465.2</v>
      </c>
      <c r="Q848" s="12"/>
    </row>
    <row r="849" spans="1:17" ht="23.25" customHeight="1" x14ac:dyDescent="0.15">
      <c r="B849" s="13" t="s">
        <v>2360</v>
      </c>
      <c r="D849" s="12" t="s">
        <v>2361</v>
      </c>
      <c r="E849" s="12"/>
      <c r="F849" s="31"/>
      <c r="G849" s="15"/>
      <c r="H849" s="15"/>
      <c r="I849" s="53">
        <f>TRUNC(SUM(I845:I848))</f>
        <v>2860</v>
      </c>
      <c r="J849" s="15"/>
      <c r="K849" s="15"/>
      <c r="L849" s="53">
        <f>TRUNC(SUM(L845:L848))</f>
        <v>23262</v>
      </c>
      <c r="M849" s="15"/>
      <c r="N849" s="53">
        <f>TRUNC(SUM(N845:N848))</f>
        <v>0</v>
      </c>
      <c r="O849" s="15" t="str">
        <f>IF((H849+K849+M849)=0, "", (H849+K849+M849))</f>
        <v/>
      </c>
      <c r="P849" s="15">
        <f>IF(SUM(I849,L849,N849)&lt;&gt;0,SUM(I849,L849,N849),"")</f>
        <v>26122</v>
      </c>
      <c r="Q849" s="12"/>
    </row>
    <row r="850" spans="1:17" ht="23.25" customHeight="1" x14ac:dyDescent="0.15">
      <c r="D850" s="12"/>
      <c r="E850" s="12"/>
      <c r="F850" s="31"/>
      <c r="G850" s="15"/>
      <c r="H850" s="15"/>
      <c r="I850" s="53"/>
      <c r="J850" s="15"/>
      <c r="K850" s="15"/>
      <c r="L850" s="53"/>
      <c r="M850" s="15"/>
      <c r="N850" s="53"/>
      <c r="O850" s="15"/>
      <c r="P850" s="15"/>
      <c r="Q850" s="12"/>
    </row>
    <row r="851" spans="1:17" ht="23.25" customHeight="1" x14ac:dyDescent="0.15">
      <c r="A851" s="13" t="s">
        <v>2712</v>
      </c>
      <c r="B851" s="13" t="s">
        <v>2382</v>
      </c>
      <c r="C851" s="1" t="s">
        <v>2713</v>
      </c>
      <c r="D851" s="170" t="s">
        <v>2711</v>
      </c>
      <c r="E851" s="172"/>
      <c r="F851" s="31"/>
      <c r="G851" s="15"/>
      <c r="H851" s="15"/>
      <c r="I851" s="53"/>
      <c r="J851" s="15"/>
      <c r="K851" s="15"/>
      <c r="L851" s="53"/>
      <c r="M851" s="15"/>
      <c r="N851" s="53"/>
      <c r="O851" s="15"/>
      <c r="P851" s="15"/>
      <c r="Q851" s="12"/>
    </row>
    <row r="852" spans="1:17" ht="23.25" customHeight="1" x14ac:dyDescent="0.15">
      <c r="A852" s="13" t="s">
        <v>1158</v>
      </c>
      <c r="B852" s="13" t="s">
        <v>2028</v>
      </c>
      <c r="C852" s="1" t="s">
        <v>518</v>
      </c>
      <c r="D852" s="12" t="s">
        <v>519</v>
      </c>
      <c r="E852" s="12" t="s">
        <v>520</v>
      </c>
      <c r="F852" s="31" t="s">
        <v>200</v>
      </c>
      <c r="G852" s="15">
        <v>1</v>
      </c>
      <c r="H852" s="15">
        <f>합산자재!H134</f>
        <v>1822</v>
      </c>
      <c r="I852" s="53">
        <f>IF(G852*H852&lt;&gt;0, TRUNC(G852*H852, 1), "")</f>
        <v>1822</v>
      </c>
      <c r="J852" s="15">
        <v>1</v>
      </c>
      <c r="K852" s="15">
        <f>합산자재!I134</f>
        <v>0</v>
      </c>
      <c r="L852" s="53" t="str">
        <f>IF(G852*K852&lt;&gt;0, TRUNC(G852*K852, 1), "")</f>
        <v/>
      </c>
      <c r="M852" s="15">
        <f>합산자재!J134</f>
        <v>0</v>
      </c>
      <c r="N852" s="53" t="str">
        <f>IF(G852*M852&lt;&gt;0, TRUNC(G852*M852, 1), "")</f>
        <v/>
      </c>
      <c r="O852" s="15">
        <f>IF((H852+K852+M852)=0, "", (H852+K852+M852))</f>
        <v>1822</v>
      </c>
      <c r="P852" s="15">
        <f>IF(SUM(I852,L852,N852)&lt;&gt;0,SUM(I852,L852,N852),"")</f>
        <v>1822</v>
      </c>
      <c r="Q852" s="12"/>
    </row>
    <row r="853" spans="1:17" ht="23.25" customHeight="1" x14ac:dyDescent="0.15">
      <c r="A853" s="13" t="s">
        <v>1372</v>
      </c>
      <c r="B853" s="13" t="s">
        <v>2028</v>
      </c>
      <c r="C853" s="1" t="s">
        <v>1002</v>
      </c>
      <c r="D853" s="12" t="s">
        <v>1003</v>
      </c>
      <c r="E853" s="12" t="s">
        <v>1004</v>
      </c>
      <c r="F853" s="31" t="s">
        <v>999</v>
      </c>
      <c r="G853" s="15">
        <f>일위노임!G376</f>
        <v>9.6000000000000002E-2</v>
      </c>
      <c r="H853" s="15">
        <f>합산자재!H345</f>
        <v>0</v>
      </c>
      <c r="I853" s="53" t="str">
        <f>IF(G853*H853&lt;&gt;0, TRUNC(G853*H853, 1), "")</f>
        <v/>
      </c>
      <c r="J853" s="15">
        <v>9.6000000000000002E-2</v>
      </c>
      <c r="K853" s="15">
        <f>합산자재!I345</f>
        <v>273676</v>
      </c>
      <c r="L853" s="53">
        <f>IF(G853*K853&lt;&gt;0, TRUNC(G853*K853, 1), "")</f>
        <v>26272.799999999999</v>
      </c>
      <c r="M853" s="15">
        <f>합산자재!J345</f>
        <v>0</v>
      </c>
      <c r="N853" s="53" t="str">
        <f>IF(G853*M853&lt;&gt;0, TRUNC(G853*M853, 1), "")</f>
        <v/>
      </c>
      <c r="O853" s="15">
        <f>IF((H853+K853+M853)=0, "", (H853+K853+M853))</f>
        <v>273676</v>
      </c>
      <c r="P853" s="15">
        <f>IF(SUM(I853,L853,N853)&lt;&gt;0,SUM(I853,L853,N853),"")</f>
        <v>26272.799999999999</v>
      </c>
      <c r="Q853" s="12"/>
    </row>
    <row r="854" spans="1:17" ht="23.25" customHeight="1" x14ac:dyDescent="0.15">
      <c r="A854" s="13" t="s">
        <v>2362</v>
      </c>
      <c r="B854" s="13" t="s">
        <v>2028</v>
      </c>
      <c r="C854" s="1" t="s">
        <v>2363</v>
      </c>
      <c r="D854" s="12" t="s">
        <v>2364</v>
      </c>
      <c r="E854" s="12" t="s">
        <v>2365</v>
      </c>
      <c r="F854" s="31" t="s">
        <v>792</v>
      </c>
      <c r="G854" s="15">
        <v>1</v>
      </c>
      <c r="H854" s="15">
        <v>525.4</v>
      </c>
      <c r="I854" s="53">
        <f>IF(G854*H854&lt;&gt;0, TRUNC(G854*H854, 1), "")</f>
        <v>525.4</v>
      </c>
      <c r="J854" s="15">
        <v>1</v>
      </c>
      <c r="K854" s="15"/>
      <c r="L854" s="53" t="str">
        <f>IF(G854*K854&lt;&gt;0, TRUNC(G854*K854, 1), "")</f>
        <v/>
      </c>
      <c r="M854" s="15"/>
      <c r="N854" s="53" t="str">
        <f>IF(G854*M854&lt;&gt;0, TRUNC(G854*M854, 1), "")</f>
        <v/>
      </c>
      <c r="O854" s="15">
        <f>IF((H854+K854+M854)=0, "", (H854+K854+M854))</f>
        <v>525.4</v>
      </c>
      <c r="P854" s="15">
        <f>IF(SUM(I854,L854,N854)&lt;&gt;0,SUM(I854,L854,N854),"")</f>
        <v>525.4</v>
      </c>
      <c r="Q854" s="12"/>
    </row>
    <row r="855" spans="1:17" ht="23.25" customHeight="1" x14ac:dyDescent="0.15">
      <c r="B855" s="13" t="s">
        <v>2360</v>
      </c>
      <c r="D855" s="12" t="s">
        <v>2361</v>
      </c>
      <c r="E855" s="12"/>
      <c r="F855" s="31"/>
      <c r="G855" s="15"/>
      <c r="H855" s="15"/>
      <c r="I855" s="53">
        <f>TRUNC(SUM(I851:I854))</f>
        <v>2347</v>
      </c>
      <c r="J855" s="15"/>
      <c r="K855" s="15"/>
      <c r="L855" s="53">
        <f>TRUNC(SUM(L851:L854))</f>
        <v>26272</v>
      </c>
      <c r="M855" s="15"/>
      <c r="N855" s="53">
        <f>TRUNC(SUM(N851:N854))</f>
        <v>0</v>
      </c>
      <c r="O855" s="15" t="str">
        <f>IF((H855+K855+M855)=0, "", (H855+K855+M855))</f>
        <v/>
      </c>
      <c r="P855" s="15">
        <f>IF(SUM(I855,L855,N855)&lt;&gt;0,SUM(I855,L855,N855),"")</f>
        <v>28619</v>
      </c>
      <c r="Q855" s="12"/>
    </row>
    <row r="856" spans="1:17" ht="23.25" customHeight="1" x14ac:dyDescent="0.15">
      <c r="D856" s="12"/>
      <c r="E856" s="12"/>
      <c r="F856" s="31"/>
      <c r="G856" s="15"/>
      <c r="H856" s="15"/>
      <c r="I856" s="53"/>
      <c r="J856" s="15"/>
      <c r="K856" s="15"/>
      <c r="L856" s="53"/>
      <c r="M856" s="15"/>
      <c r="N856" s="53"/>
      <c r="O856" s="15"/>
      <c r="P856" s="15"/>
      <c r="Q856" s="12"/>
    </row>
    <row r="857" spans="1:17" ht="23.25" customHeight="1" x14ac:dyDescent="0.15">
      <c r="A857" s="13" t="s">
        <v>2715</v>
      </c>
      <c r="B857" s="13" t="s">
        <v>2382</v>
      </c>
      <c r="C857" s="1" t="s">
        <v>2716</v>
      </c>
      <c r="D857" s="170" t="s">
        <v>2714</v>
      </c>
      <c r="E857" s="172"/>
      <c r="F857" s="31"/>
      <c r="G857" s="15"/>
      <c r="H857" s="15"/>
      <c r="I857" s="53"/>
      <c r="J857" s="15"/>
      <c r="K857" s="15"/>
      <c r="L857" s="53"/>
      <c r="M857" s="15"/>
      <c r="N857" s="53"/>
      <c r="O857" s="15"/>
      <c r="P857" s="15"/>
      <c r="Q857" s="12"/>
    </row>
    <row r="858" spans="1:17" ht="23.25" customHeight="1" x14ac:dyDescent="0.15">
      <c r="A858" s="13" t="s">
        <v>1159</v>
      </c>
      <c r="B858" s="13" t="s">
        <v>2031</v>
      </c>
      <c r="C858" s="1" t="s">
        <v>522</v>
      </c>
      <c r="D858" s="12" t="s">
        <v>523</v>
      </c>
      <c r="E858" s="12" t="s">
        <v>524</v>
      </c>
      <c r="F858" s="31" t="s">
        <v>200</v>
      </c>
      <c r="G858" s="15">
        <v>1</v>
      </c>
      <c r="H858" s="15">
        <f>합산자재!H135</f>
        <v>42200</v>
      </c>
      <c r="I858" s="53">
        <f>IF(G858*H858&lt;&gt;0, TRUNC(G858*H858, 1), "")</f>
        <v>42200</v>
      </c>
      <c r="J858" s="15">
        <v>1</v>
      </c>
      <c r="K858" s="15">
        <f>합산자재!I135</f>
        <v>0</v>
      </c>
      <c r="L858" s="53" t="str">
        <f>IF(G858*K858&lt;&gt;0, TRUNC(G858*K858, 1), "")</f>
        <v/>
      </c>
      <c r="M858" s="15">
        <f>합산자재!J135</f>
        <v>0</v>
      </c>
      <c r="N858" s="53" t="str">
        <f>IF(G858*M858&lt;&gt;0, TRUNC(G858*M858, 1), "")</f>
        <v/>
      </c>
      <c r="O858" s="15">
        <f>IF((H858+K858+M858)=0, "", (H858+K858+M858))</f>
        <v>42200</v>
      </c>
      <c r="P858" s="15">
        <f>IF(SUM(I858,L858,N858)&lt;&gt;0,SUM(I858,L858,N858),"")</f>
        <v>42200</v>
      </c>
      <c r="Q858" s="12"/>
    </row>
    <row r="859" spans="1:17" ht="23.25" customHeight="1" x14ac:dyDescent="0.15">
      <c r="A859" s="13" t="s">
        <v>1372</v>
      </c>
      <c r="B859" s="13" t="s">
        <v>2031</v>
      </c>
      <c r="C859" s="1" t="s">
        <v>1002</v>
      </c>
      <c r="D859" s="12" t="s">
        <v>1003</v>
      </c>
      <c r="E859" s="12" t="s">
        <v>1004</v>
      </c>
      <c r="F859" s="31" t="s">
        <v>999</v>
      </c>
      <c r="G859" s="15">
        <f>일위노임!G379</f>
        <v>0.08</v>
      </c>
      <c r="H859" s="15">
        <f>합산자재!H345</f>
        <v>0</v>
      </c>
      <c r="I859" s="53" t="str">
        <f>IF(G859*H859&lt;&gt;0, TRUNC(G859*H859, 1), "")</f>
        <v/>
      </c>
      <c r="J859" s="15">
        <v>0.08</v>
      </c>
      <c r="K859" s="15">
        <f>합산자재!I345</f>
        <v>273676</v>
      </c>
      <c r="L859" s="53">
        <f>IF(G859*K859&lt;&gt;0, TRUNC(G859*K859, 1), "")</f>
        <v>21894</v>
      </c>
      <c r="M859" s="15">
        <f>합산자재!J345</f>
        <v>0</v>
      </c>
      <c r="N859" s="53" t="str">
        <f>IF(G859*M859&lt;&gt;0, TRUNC(G859*M859, 1), "")</f>
        <v/>
      </c>
      <c r="O859" s="15">
        <f>IF((H859+K859+M859)=0, "", (H859+K859+M859))</f>
        <v>273676</v>
      </c>
      <c r="P859" s="15">
        <f>IF(SUM(I859,L859,N859)&lt;&gt;0,SUM(I859,L859,N859),"")</f>
        <v>21894</v>
      </c>
      <c r="Q859" s="12"/>
    </row>
    <row r="860" spans="1:17" ht="23.25" customHeight="1" x14ac:dyDescent="0.15">
      <c r="A860" s="13" t="s">
        <v>2362</v>
      </c>
      <c r="B860" s="13" t="s">
        <v>2031</v>
      </c>
      <c r="C860" s="1" t="s">
        <v>2363</v>
      </c>
      <c r="D860" s="12" t="s">
        <v>2364</v>
      </c>
      <c r="E860" s="12" t="s">
        <v>2365</v>
      </c>
      <c r="F860" s="31" t="s">
        <v>792</v>
      </c>
      <c r="G860" s="15">
        <v>1</v>
      </c>
      <c r="H860" s="15">
        <v>437.8</v>
      </c>
      <c r="I860" s="53">
        <f>IF(G860*H860&lt;&gt;0, TRUNC(G860*H860, 1), "")</f>
        <v>437.8</v>
      </c>
      <c r="J860" s="15">
        <v>1</v>
      </c>
      <c r="K860" s="15"/>
      <c r="L860" s="53" t="str">
        <f>IF(G860*K860&lt;&gt;0, TRUNC(G860*K860, 1), "")</f>
        <v/>
      </c>
      <c r="M860" s="15"/>
      <c r="N860" s="53" t="str">
        <f>IF(G860*M860&lt;&gt;0, TRUNC(G860*M860, 1), "")</f>
        <v/>
      </c>
      <c r="O860" s="15">
        <f>IF((H860+K860+M860)=0, "", (H860+K860+M860))</f>
        <v>437.8</v>
      </c>
      <c r="P860" s="15">
        <f>IF(SUM(I860,L860,N860)&lt;&gt;0,SUM(I860,L860,N860),"")</f>
        <v>437.8</v>
      </c>
      <c r="Q860" s="12"/>
    </row>
    <row r="861" spans="1:17" ht="23.25" customHeight="1" x14ac:dyDescent="0.15">
      <c r="B861" s="13" t="s">
        <v>2360</v>
      </c>
      <c r="D861" s="12" t="s">
        <v>2361</v>
      </c>
      <c r="E861" s="12"/>
      <c r="F861" s="31"/>
      <c r="G861" s="15"/>
      <c r="H861" s="15"/>
      <c r="I861" s="53">
        <f>TRUNC(SUM(I857:I860))</f>
        <v>42637</v>
      </c>
      <c r="J861" s="15"/>
      <c r="K861" s="15"/>
      <c r="L861" s="53">
        <f>TRUNC(SUM(L857:L860))</f>
        <v>21894</v>
      </c>
      <c r="M861" s="15"/>
      <c r="N861" s="53">
        <f>TRUNC(SUM(N857:N860))</f>
        <v>0</v>
      </c>
      <c r="O861" s="15" t="str">
        <f>IF((H861+K861+M861)=0, "", (H861+K861+M861))</f>
        <v/>
      </c>
      <c r="P861" s="15">
        <f>IF(SUM(I861,L861,N861)&lt;&gt;0,SUM(I861,L861,N861),"")</f>
        <v>64531</v>
      </c>
      <c r="Q861" s="12"/>
    </row>
    <row r="862" spans="1:17" ht="23.25" customHeight="1" x14ac:dyDescent="0.15">
      <c r="D862" s="12"/>
      <c r="E862" s="12"/>
      <c r="F862" s="31"/>
      <c r="G862" s="15"/>
      <c r="H862" s="15"/>
      <c r="I862" s="53"/>
      <c r="J862" s="15"/>
      <c r="K862" s="15"/>
      <c r="L862" s="53"/>
      <c r="M862" s="15"/>
      <c r="N862" s="53"/>
      <c r="O862" s="15"/>
      <c r="P862" s="15"/>
      <c r="Q862" s="12"/>
    </row>
    <row r="863" spans="1:17" ht="23.25" customHeight="1" x14ac:dyDescent="0.15">
      <c r="A863" s="13" t="s">
        <v>2718</v>
      </c>
      <c r="B863" s="13" t="s">
        <v>2382</v>
      </c>
      <c r="C863" s="1" t="s">
        <v>2719</v>
      </c>
      <c r="D863" s="170" t="s">
        <v>2717</v>
      </c>
      <c r="E863" s="172"/>
      <c r="F863" s="31"/>
      <c r="G863" s="15"/>
      <c r="H863" s="15"/>
      <c r="I863" s="53"/>
      <c r="J863" s="15"/>
      <c r="K863" s="15"/>
      <c r="L863" s="53"/>
      <c r="M863" s="15"/>
      <c r="N863" s="53"/>
      <c r="O863" s="15"/>
      <c r="P863" s="15"/>
      <c r="Q863" s="12"/>
    </row>
    <row r="864" spans="1:17" ht="23.25" customHeight="1" x14ac:dyDescent="0.15">
      <c r="A864" s="13" t="s">
        <v>1160</v>
      </c>
      <c r="B864" s="13" t="s">
        <v>2034</v>
      </c>
      <c r="C864" s="1" t="s">
        <v>525</v>
      </c>
      <c r="D864" s="12" t="s">
        <v>519</v>
      </c>
      <c r="E864" s="12" t="s">
        <v>526</v>
      </c>
      <c r="F864" s="31" t="s">
        <v>200</v>
      </c>
      <c r="G864" s="15">
        <v>1</v>
      </c>
      <c r="H864" s="15">
        <f>합산자재!H136</f>
        <v>935</v>
      </c>
      <c r="I864" s="53">
        <f>IF(G864*H864&lt;&gt;0, TRUNC(G864*H864, 1), "")</f>
        <v>935</v>
      </c>
      <c r="J864" s="15">
        <v>1</v>
      </c>
      <c r="K864" s="15">
        <f>합산자재!I136</f>
        <v>0</v>
      </c>
      <c r="L864" s="53" t="str">
        <f>IF(G864*K864&lt;&gt;0, TRUNC(G864*K864, 1), "")</f>
        <v/>
      </c>
      <c r="M864" s="15">
        <f>합산자재!J136</f>
        <v>0</v>
      </c>
      <c r="N864" s="53" t="str">
        <f>IF(G864*M864&lt;&gt;0, TRUNC(G864*M864, 1), "")</f>
        <v/>
      </c>
      <c r="O864" s="15">
        <f>IF((H864+K864+M864)=0, "", (H864+K864+M864))</f>
        <v>935</v>
      </c>
      <c r="P864" s="15">
        <f>IF(SUM(I864,L864,N864)&lt;&gt;0,SUM(I864,L864,N864),"")</f>
        <v>935</v>
      </c>
      <c r="Q864" s="12"/>
    </row>
    <row r="865" spans="1:17" ht="23.25" customHeight="1" x14ac:dyDescent="0.15">
      <c r="A865" s="13" t="s">
        <v>1372</v>
      </c>
      <c r="B865" s="13" t="s">
        <v>2034</v>
      </c>
      <c r="C865" s="1" t="s">
        <v>1002</v>
      </c>
      <c r="D865" s="12" t="s">
        <v>1003</v>
      </c>
      <c r="E865" s="12" t="s">
        <v>1004</v>
      </c>
      <c r="F865" s="31" t="s">
        <v>999</v>
      </c>
      <c r="G865" s="15">
        <f>일위노임!G382</f>
        <v>0.08</v>
      </c>
      <c r="H865" s="15">
        <f>합산자재!H345</f>
        <v>0</v>
      </c>
      <c r="I865" s="53" t="str">
        <f>IF(G865*H865&lt;&gt;0, TRUNC(G865*H865, 1), "")</f>
        <v/>
      </c>
      <c r="J865" s="15">
        <v>0.08</v>
      </c>
      <c r="K865" s="15">
        <f>합산자재!I345</f>
        <v>273676</v>
      </c>
      <c r="L865" s="53">
        <f>IF(G865*K865&lt;&gt;0, TRUNC(G865*K865, 1), "")</f>
        <v>21894</v>
      </c>
      <c r="M865" s="15">
        <f>합산자재!J345</f>
        <v>0</v>
      </c>
      <c r="N865" s="53" t="str">
        <f>IF(G865*M865&lt;&gt;0, TRUNC(G865*M865, 1), "")</f>
        <v/>
      </c>
      <c r="O865" s="15">
        <f>IF((H865+K865+M865)=0, "", (H865+K865+M865))</f>
        <v>273676</v>
      </c>
      <c r="P865" s="15">
        <f>IF(SUM(I865,L865,N865)&lt;&gt;0,SUM(I865,L865,N865),"")</f>
        <v>21894</v>
      </c>
      <c r="Q865" s="12"/>
    </row>
    <row r="866" spans="1:17" ht="23.25" customHeight="1" x14ac:dyDescent="0.15">
      <c r="A866" s="13" t="s">
        <v>2362</v>
      </c>
      <c r="B866" s="13" t="s">
        <v>2034</v>
      </c>
      <c r="C866" s="1" t="s">
        <v>2363</v>
      </c>
      <c r="D866" s="12" t="s">
        <v>2364</v>
      </c>
      <c r="E866" s="12" t="s">
        <v>2365</v>
      </c>
      <c r="F866" s="31" t="s">
        <v>792</v>
      </c>
      <c r="G866" s="15">
        <v>1</v>
      </c>
      <c r="H866" s="15">
        <v>437.8</v>
      </c>
      <c r="I866" s="53">
        <f>IF(G866*H866&lt;&gt;0, TRUNC(G866*H866, 1), "")</f>
        <v>437.8</v>
      </c>
      <c r="J866" s="15">
        <v>1</v>
      </c>
      <c r="K866" s="15"/>
      <c r="L866" s="53" t="str">
        <f>IF(G866*K866&lt;&gt;0, TRUNC(G866*K866, 1), "")</f>
        <v/>
      </c>
      <c r="M866" s="15"/>
      <c r="N866" s="53" t="str">
        <f>IF(G866*M866&lt;&gt;0, TRUNC(G866*M866, 1), "")</f>
        <v/>
      </c>
      <c r="O866" s="15">
        <f>IF((H866+K866+M866)=0, "", (H866+K866+M866))</f>
        <v>437.8</v>
      </c>
      <c r="P866" s="15">
        <f>IF(SUM(I866,L866,N866)&lt;&gt;0,SUM(I866,L866,N866),"")</f>
        <v>437.8</v>
      </c>
      <c r="Q866" s="12"/>
    </row>
    <row r="867" spans="1:17" ht="23.25" customHeight="1" x14ac:dyDescent="0.15">
      <c r="B867" s="13" t="s">
        <v>2360</v>
      </c>
      <c r="D867" s="12" t="s">
        <v>2361</v>
      </c>
      <c r="E867" s="12"/>
      <c r="F867" s="31"/>
      <c r="G867" s="15"/>
      <c r="H867" s="15"/>
      <c r="I867" s="53">
        <f>TRUNC(SUM(I863:I866))</f>
        <v>1372</v>
      </c>
      <c r="J867" s="15"/>
      <c r="K867" s="15"/>
      <c r="L867" s="53">
        <f>TRUNC(SUM(L863:L866))</f>
        <v>21894</v>
      </c>
      <c r="M867" s="15"/>
      <c r="N867" s="53">
        <f>TRUNC(SUM(N863:N866))</f>
        <v>0</v>
      </c>
      <c r="O867" s="15" t="str">
        <f>IF((H867+K867+M867)=0, "", (H867+K867+M867))</f>
        <v/>
      </c>
      <c r="P867" s="15">
        <f>IF(SUM(I867,L867,N867)&lt;&gt;0,SUM(I867,L867,N867),"")</f>
        <v>23266</v>
      </c>
      <c r="Q867" s="12"/>
    </row>
    <row r="868" spans="1:17" ht="23.25" customHeight="1" x14ac:dyDescent="0.15">
      <c r="D868" s="12"/>
      <c r="E868" s="12"/>
      <c r="F868" s="31"/>
      <c r="G868" s="15"/>
      <c r="H868" s="15"/>
      <c r="I868" s="53"/>
      <c r="J868" s="15"/>
      <c r="K868" s="15"/>
      <c r="L868" s="53"/>
      <c r="M868" s="15"/>
      <c r="N868" s="53"/>
      <c r="O868" s="15"/>
      <c r="P868" s="15"/>
      <c r="Q868" s="12"/>
    </row>
    <row r="869" spans="1:17" ht="23.25" customHeight="1" x14ac:dyDescent="0.15">
      <c r="A869" s="13" t="s">
        <v>2721</v>
      </c>
      <c r="B869" s="13" t="s">
        <v>2382</v>
      </c>
      <c r="C869" s="1" t="s">
        <v>2722</v>
      </c>
      <c r="D869" s="170" t="s">
        <v>2720</v>
      </c>
      <c r="E869" s="172"/>
      <c r="F869" s="31"/>
      <c r="G869" s="15"/>
      <c r="H869" s="15"/>
      <c r="I869" s="53"/>
      <c r="J869" s="15"/>
      <c r="K869" s="15"/>
      <c r="L869" s="53"/>
      <c r="M869" s="15"/>
      <c r="N869" s="53"/>
      <c r="O869" s="15"/>
      <c r="P869" s="15"/>
      <c r="Q869" s="12"/>
    </row>
    <row r="870" spans="1:17" ht="23.25" customHeight="1" x14ac:dyDescent="0.15">
      <c r="A870" s="13" t="s">
        <v>1161</v>
      </c>
      <c r="B870" s="13" t="s">
        <v>2037</v>
      </c>
      <c r="C870" s="1" t="s">
        <v>528</v>
      </c>
      <c r="D870" s="12" t="s">
        <v>519</v>
      </c>
      <c r="E870" s="12" t="s">
        <v>529</v>
      </c>
      <c r="F870" s="31" t="s">
        <v>200</v>
      </c>
      <c r="G870" s="15">
        <v>1</v>
      </c>
      <c r="H870" s="15">
        <f>합산자재!H137</f>
        <v>1385</v>
      </c>
      <c r="I870" s="53">
        <f>IF(G870*H870&lt;&gt;0, TRUNC(G870*H870, 1), "")</f>
        <v>1385</v>
      </c>
      <c r="J870" s="15">
        <v>1</v>
      </c>
      <c r="K870" s="15">
        <f>합산자재!I137</f>
        <v>0</v>
      </c>
      <c r="L870" s="53" t="str">
        <f>IF(G870*K870&lt;&gt;0, TRUNC(G870*K870, 1), "")</f>
        <v/>
      </c>
      <c r="M870" s="15">
        <f>합산자재!J137</f>
        <v>0</v>
      </c>
      <c r="N870" s="53" t="str">
        <f>IF(G870*M870&lt;&gt;0, TRUNC(G870*M870, 1), "")</f>
        <v/>
      </c>
      <c r="O870" s="15">
        <f>IF((H870+K870+M870)=0, "", (H870+K870+M870))</f>
        <v>1385</v>
      </c>
      <c r="P870" s="15">
        <f>IF(SUM(I870,L870,N870)&lt;&gt;0,SUM(I870,L870,N870),"")</f>
        <v>1385</v>
      </c>
      <c r="Q870" s="12"/>
    </row>
    <row r="871" spans="1:17" ht="23.25" customHeight="1" x14ac:dyDescent="0.15">
      <c r="A871" s="13" t="s">
        <v>1372</v>
      </c>
      <c r="B871" s="13" t="s">
        <v>2037</v>
      </c>
      <c r="C871" s="1" t="s">
        <v>1002</v>
      </c>
      <c r="D871" s="12" t="s">
        <v>1003</v>
      </c>
      <c r="E871" s="12" t="s">
        <v>1004</v>
      </c>
      <c r="F871" s="31" t="s">
        <v>999</v>
      </c>
      <c r="G871" s="15">
        <f>일위노임!G385</f>
        <v>0.08</v>
      </c>
      <c r="H871" s="15">
        <f>합산자재!H345</f>
        <v>0</v>
      </c>
      <c r="I871" s="53" t="str">
        <f>IF(G871*H871&lt;&gt;0, TRUNC(G871*H871, 1), "")</f>
        <v/>
      </c>
      <c r="J871" s="15">
        <v>0.08</v>
      </c>
      <c r="K871" s="15">
        <f>합산자재!I345</f>
        <v>273676</v>
      </c>
      <c r="L871" s="53">
        <f>IF(G871*K871&lt;&gt;0, TRUNC(G871*K871, 1), "")</f>
        <v>21894</v>
      </c>
      <c r="M871" s="15">
        <f>합산자재!J345</f>
        <v>0</v>
      </c>
      <c r="N871" s="53" t="str">
        <f>IF(G871*M871&lt;&gt;0, TRUNC(G871*M871, 1), "")</f>
        <v/>
      </c>
      <c r="O871" s="15">
        <f>IF((H871+K871+M871)=0, "", (H871+K871+M871))</f>
        <v>273676</v>
      </c>
      <c r="P871" s="15">
        <f>IF(SUM(I871,L871,N871)&lt;&gt;0,SUM(I871,L871,N871),"")</f>
        <v>21894</v>
      </c>
      <c r="Q871" s="12"/>
    </row>
    <row r="872" spans="1:17" ht="23.25" customHeight="1" x14ac:dyDescent="0.15">
      <c r="A872" s="13" t="s">
        <v>2362</v>
      </c>
      <c r="B872" s="13" t="s">
        <v>2037</v>
      </c>
      <c r="C872" s="1" t="s">
        <v>2363</v>
      </c>
      <c r="D872" s="12" t="s">
        <v>2364</v>
      </c>
      <c r="E872" s="12" t="s">
        <v>2365</v>
      </c>
      <c r="F872" s="31" t="s">
        <v>792</v>
      </c>
      <c r="G872" s="15">
        <v>1</v>
      </c>
      <c r="H872" s="15">
        <v>437.8</v>
      </c>
      <c r="I872" s="53">
        <f>IF(G872*H872&lt;&gt;0, TRUNC(G872*H872, 1), "")</f>
        <v>437.8</v>
      </c>
      <c r="J872" s="15">
        <v>1</v>
      </c>
      <c r="K872" s="15"/>
      <c r="L872" s="53" t="str">
        <f>IF(G872*K872&lt;&gt;0, TRUNC(G872*K872, 1), "")</f>
        <v/>
      </c>
      <c r="M872" s="15"/>
      <c r="N872" s="53" t="str">
        <f>IF(G872*M872&lt;&gt;0, TRUNC(G872*M872, 1), "")</f>
        <v/>
      </c>
      <c r="O872" s="15">
        <f>IF((H872+K872+M872)=0, "", (H872+K872+M872))</f>
        <v>437.8</v>
      </c>
      <c r="P872" s="15">
        <f>IF(SUM(I872,L872,N872)&lt;&gt;0,SUM(I872,L872,N872),"")</f>
        <v>437.8</v>
      </c>
      <c r="Q872" s="12"/>
    </row>
    <row r="873" spans="1:17" ht="23.25" customHeight="1" x14ac:dyDescent="0.15">
      <c r="B873" s="13" t="s">
        <v>2360</v>
      </c>
      <c r="D873" s="12" t="s">
        <v>2361</v>
      </c>
      <c r="E873" s="12"/>
      <c r="F873" s="31"/>
      <c r="G873" s="15"/>
      <c r="H873" s="15"/>
      <c r="I873" s="53">
        <f>TRUNC(SUM(I869:I872))</f>
        <v>1822</v>
      </c>
      <c r="J873" s="15"/>
      <c r="K873" s="15"/>
      <c r="L873" s="53">
        <f>TRUNC(SUM(L869:L872))</f>
        <v>21894</v>
      </c>
      <c r="M873" s="15"/>
      <c r="N873" s="53">
        <f>TRUNC(SUM(N869:N872))</f>
        <v>0</v>
      </c>
      <c r="O873" s="15" t="str">
        <f>IF((H873+K873+M873)=0, "", (H873+K873+M873))</f>
        <v/>
      </c>
      <c r="P873" s="15">
        <f>IF(SUM(I873,L873,N873)&lt;&gt;0,SUM(I873,L873,N873),"")</f>
        <v>23716</v>
      </c>
      <c r="Q873" s="12"/>
    </row>
    <row r="874" spans="1:17" ht="23.25" customHeight="1" x14ac:dyDescent="0.15">
      <c r="D874" s="12"/>
      <c r="E874" s="12"/>
      <c r="F874" s="31"/>
      <c r="G874" s="15"/>
      <c r="H874" s="15"/>
      <c r="I874" s="53"/>
      <c r="J874" s="15"/>
      <c r="K874" s="15"/>
      <c r="L874" s="53"/>
      <c r="M874" s="15"/>
      <c r="N874" s="53"/>
      <c r="O874" s="15"/>
      <c r="P874" s="15"/>
      <c r="Q874" s="12"/>
    </row>
    <row r="875" spans="1:17" ht="23.25" customHeight="1" x14ac:dyDescent="0.15">
      <c r="A875" s="13" t="s">
        <v>2724</v>
      </c>
      <c r="B875" s="13" t="s">
        <v>2382</v>
      </c>
      <c r="C875" s="1" t="s">
        <v>2725</v>
      </c>
      <c r="D875" s="170" t="s">
        <v>2723</v>
      </c>
      <c r="E875" s="172"/>
      <c r="F875" s="31"/>
      <c r="G875" s="15"/>
      <c r="H875" s="15"/>
      <c r="I875" s="53"/>
      <c r="J875" s="15"/>
      <c r="K875" s="15"/>
      <c r="L875" s="53"/>
      <c r="M875" s="15"/>
      <c r="N875" s="53"/>
      <c r="O875" s="15"/>
      <c r="P875" s="15"/>
      <c r="Q875" s="12"/>
    </row>
    <row r="876" spans="1:17" ht="23.25" customHeight="1" x14ac:dyDescent="0.15">
      <c r="A876" s="13" t="s">
        <v>1162</v>
      </c>
      <c r="B876" s="13" t="s">
        <v>2040</v>
      </c>
      <c r="C876" s="1" t="s">
        <v>530</v>
      </c>
      <c r="D876" s="12" t="s">
        <v>531</v>
      </c>
      <c r="E876" s="12" t="s">
        <v>526</v>
      </c>
      <c r="F876" s="31" t="s">
        <v>200</v>
      </c>
      <c r="G876" s="15">
        <v>1</v>
      </c>
      <c r="H876" s="15">
        <f>합산자재!H138</f>
        <v>2037</v>
      </c>
      <c r="I876" s="53">
        <f>IF(G876*H876&lt;&gt;0, TRUNC(G876*H876, 1), "")</f>
        <v>2037</v>
      </c>
      <c r="J876" s="15">
        <v>1</v>
      </c>
      <c r="K876" s="15">
        <f>합산자재!I138</f>
        <v>0</v>
      </c>
      <c r="L876" s="53" t="str">
        <f>IF(G876*K876&lt;&gt;0, TRUNC(G876*K876, 1), "")</f>
        <v/>
      </c>
      <c r="M876" s="15">
        <f>합산자재!J138</f>
        <v>0</v>
      </c>
      <c r="N876" s="53" t="str">
        <f>IF(G876*M876&lt;&gt;0, TRUNC(G876*M876, 1), "")</f>
        <v/>
      </c>
      <c r="O876" s="15">
        <f>IF((H876+K876+M876)=0, "", (H876+K876+M876))</f>
        <v>2037</v>
      </c>
      <c r="P876" s="15">
        <f>IF(SUM(I876,L876,N876)&lt;&gt;0,SUM(I876,L876,N876),"")</f>
        <v>2037</v>
      </c>
      <c r="Q876" s="12"/>
    </row>
    <row r="877" spans="1:17" ht="23.25" customHeight="1" x14ac:dyDescent="0.15">
      <c r="A877" s="13" t="s">
        <v>1372</v>
      </c>
      <c r="B877" s="13" t="s">
        <v>2040</v>
      </c>
      <c r="C877" s="1" t="s">
        <v>1002</v>
      </c>
      <c r="D877" s="12" t="s">
        <v>1003</v>
      </c>
      <c r="E877" s="12" t="s">
        <v>1004</v>
      </c>
      <c r="F877" s="31" t="s">
        <v>999</v>
      </c>
      <c r="G877" s="15">
        <f>일위노임!G388</f>
        <v>0.08</v>
      </c>
      <c r="H877" s="15">
        <f>합산자재!H345</f>
        <v>0</v>
      </c>
      <c r="I877" s="53" t="str">
        <f>IF(G877*H877&lt;&gt;0, TRUNC(G877*H877, 1), "")</f>
        <v/>
      </c>
      <c r="J877" s="15">
        <v>0.08</v>
      </c>
      <c r="K877" s="15">
        <f>합산자재!I345</f>
        <v>273676</v>
      </c>
      <c r="L877" s="53">
        <f>IF(G877*K877&lt;&gt;0, TRUNC(G877*K877, 1), "")</f>
        <v>21894</v>
      </c>
      <c r="M877" s="15">
        <f>합산자재!J345</f>
        <v>0</v>
      </c>
      <c r="N877" s="53" t="str">
        <f>IF(G877*M877&lt;&gt;0, TRUNC(G877*M877, 1), "")</f>
        <v/>
      </c>
      <c r="O877" s="15">
        <f>IF((H877+K877+M877)=0, "", (H877+K877+M877))</f>
        <v>273676</v>
      </c>
      <c r="P877" s="15">
        <f>IF(SUM(I877,L877,N877)&lt;&gt;0,SUM(I877,L877,N877),"")</f>
        <v>21894</v>
      </c>
      <c r="Q877" s="12"/>
    </row>
    <row r="878" spans="1:17" ht="23.25" customHeight="1" x14ac:dyDescent="0.15">
      <c r="A878" s="13" t="s">
        <v>2362</v>
      </c>
      <c r="B878" s="13" t="s">
        <v>2040</v>
      </c>
      <c r="C878" s="1" t="s">
        <v>2363</v>
      </c>
      <c r="D878" s="12" t="s">
        <v>2364</v>
      </c>
      <c r="E878" s="12" t="s">
        <v>2365</v>
      </c>
      <c r="F878" s="31" t="s">
        <v>792</v>
      </c>
      <c r="G878" s="15">
        <v>1</v>
      </c>
      <c r="H878" s="15">
        <v>437.8</v>
      </c>
      <c r="I878" s="53">
        <f>IF(G878*H878&lt;&gt;0, TRUNC(G878*H878, 1), "")</f>
        <v>437.8</v>
      </c>
      <c r="J878" s="15">
        <v>1</v>
      </c>
      <c r="K878" s="15"/>
      <c r="L878" s="53" t="str">
        <f>IF(G878*K878&lt;&gt;0, TRUNC(G878*K878, 1), "")</f>
        <v/>
      </c>
      <c r="M878" s="15"/>
      <c r="N878" s="53" t="str">
        <f>IF(G878*M878&lt;&gt;0, TRUNC(G878*M878, 1), "")</f>
        <v/>
      </c>
      <c r="O878" s="15">
        <f>IF((H878+K878+M878)=0, "", (H878+K878+M878))</f>
        <v>437.8</v>
      </c>
      <c r="P878" s="15">
        <f>IF(SUM(I878,L878,N878)&lt;&gt;0,SUM(I878,L878,N878),"")</f>
        <v>437.8</v>
      </c>
      <c r="Q878" s="12"/>
    </row>
    <row r="879" spans="1:17" ht="23.25" customHeight="1" x14ac:dyDescent="0.15">
      <c r="B879" s="13" t="s">
        <v>2360</v>
      </c>
      <c r="D879" s="12" t="s">
        <v>2361</v>
      </c>
      <c r="E879" s="12"/>
      <c r="F879" s="31"/>
      <c r="G879" s="15"/>
      <c r="H879" s="15"/>
      <c r="I879" s="53">
        <f>TRUNC(SUM(I875:I878))</f>
        <v>2474</v>
      </c>
      <c r="J879" s="15"/>
      <c r="K879" s="15"/>
      <c r="L879" s="53">
        <f>TRUNC(SUM(L875:L878))</f>
        <v>21894</v>
      </c>
      <c r="M879" s="15"/>
      <c r="N879" s="53">
        <f>TRUNC(SUM(N875:N878))</f>
        <v>0</v>
      </c>
      <c r="O879" s="15" t="str">
        <f>IF((H879+K879+M879)=0, "", (H879+K879+M879))</f>
        <v/>
      </c>
      <c r="P879" s="15">
        <f>IF(SUM(I879,L879,N879)&lt;&gt;0,SUM(I879,L879,N879),"")</f>
        <v>24368</v>
      </c>
      <c r="Q879" s="12"/>
    </row>
    <row r="880" spans="1:17" ht="23.25" customHeight="1" x14ac:dyDescent="0.15">
      <c r="D880" s="12"/>
      <c r="E880" s="12"/>
      <c r="F880" s="31"/>
      <c r="G880" s="15"/>
      <c r="H880" s="15"/>
      <c r="I880" s="53"/>
      <c r="J880" s="15"/>
      <c r="K880" s="15"/>
      <c r="L880" s="53"/>
      <c r="M880" s="15"/>
      <c r="N880" s="53"/>
      <c r="O880" s="15"/>
      <c r="P880" s="15"/>
      <c r="Q880" s="12"/>
    </row>
    <row r="881" spans="1:17" ht="23.25" customHeight="1" x14ac:dyDescent="0.15">
      <c r="A881" s="13" t="s">
        <v>2727</v>
      </c>
      <c r="B881" s="13" t="s">
        <v>2382</v>
      </c>
      <c r="C881" s="1" t="s">
        <v>2728</v>
      </c>
      <c r="D881" s="170" t="s">
        <v>2726</v>
      </c>
      <c r="E881" s="172"/>
      <c r="F881" s="31"/>
      <c r="G881" s="15"/>
      <c r="H881" s="15"/>
      <c r="I881" s="53"/>
      <c r="J881" s="15"/>
      <c r="K881" s="15"/>
      <c r="L881" s="53"/>
      <c r="M881" s="15"/>
      <c r="N881" s="53"/>
      <c r="O881" s="15"/>
      <c r="P881" s="15"/>
      <c r="Q881" s="12"/>
    </row>
    <row r="882" spans="1:17" ht="23.25" customHeight="1" x14ac:dyDescent="0.15">
      <c r="A882" s="13" t="s">
        <v>1163</v>
      </c>
      <c r="B882" s="13" t="s">
        <v>2043</v>
      </c>
      <c r="C882" s="1" t="s">
        <v>532</v>
      </c>
      <c r="D882" s="12" t="s">
        <v>531</v>
      </c>
      <c r="E882" s="12" t="s">
        <v>529</v>
      </c>
      <c r="F882" s="31" t="s">
        <v>200</v>
      </c>
      <c r="G882" s="15">
        <v>1</v>
      </c>
      <c r="H882" s="15">
        <f>합산자재!H139</f>
        <v>2123</v>
      </c>
      <c r="I882" s="53">
        <f>IF(G882*H882&lt;&gt;0, TRUNC(G882*H882, 1), "")</f>
        <v>2123</v>
      </c>
      <c r="J882" s="15">
        <v>1</v>
      </c>
      <c r="K882" s="15">
        <f>합산자재!I139</f>
        <v>0</v>
      </c>
      <c r="L882" s="53" t="str">
        <f>IF(G882*K882&lt;&gt;0, TRUNC(G882*K882, 1), "")</f>
        <v/>
      </c>
      <c r="M882" s="15">
        <f>합산자재!J139</f>
        <v>0</v>
      </c>
      <c r="N882" s="53" t="str">
        <f>IF(G882*M882&lt;&gt;0, TRUNC(G882*M882, 1), "")</f>
        <v/>
      </c>
      <c r="O882" s="15">
        <f>IF((H882+K882+M882)=0, "", (H882+K882+M882))</f>
        <v>2123</v>
      </c>
      <c r="P882" s="15">
        <f>IF(SUM(I882,L882,N882)&lt;&gt;0,SUM(I882,L882,N882),"")</f>
        <v>2123</v>
      </c>
      <c r="Q882" s="12"/>
    </row>
    <row r="883" spans="1:17" ht="23.25" customHeight="1" x14ac:dyDescent="0.15">
      <c r="A883" s="13" t="s">
        <v>1372</v>
      </c>
      <c r="B883" s="13" t="s">
        <v>2043</v>
      </c>
      <c r="C883" s="1" t="s">
        <v>1002</v>
      </c>
      <c r="D883" s="12" t="s">
        <v>1003</v>
      </c>
      <c r="E883" s="12" t="s">
        <v>1004</v>
      </c>
      <c r="F883" s="31" t="s">
        <v>999</v>
      </c>
      <c r="G883" s="15">
        <f>일위노임!G391</f>
        <v>0.08</v>
      </c>
      <c r="H883" s="15">
        <f>합산자재!H345</f>
        <v>0</v>
      </c>
      <c r="I883" s="53" t="str">
        <f>IF(G883*H883&lt;&gt;0, TRUNC(G883*H883, 1), "")</f>
        <v/>
      </c>
      <c r="J883" s="15">
        <v>0.08</v>
      </c>
      <c r="K883" s="15">
        <f>합산자재!I345</f>
        <v>273676</v>
      </c>
      <c r="L883" s="53">
        <f>IF(G883*K883&lt;&gt;0, TRUNC(G883*K883, 1), "")</f>
        <v>21894</v>
      </c>
      <c r="M883" s="15">
        <f>합산자재!J345</f>
        <v>0</v>
      </c>
      <c r="N883" s="53" t="str">
        <f>IF(G883*M883&lt;&gt;0, TRUNC(G883*M883, 1), "")</f>
        <v/>
      </c>
      <c r="O883" s="15">
        <f>IF((H883+K883+M883)=0, "", (H883+K883+M883))</f>
        <v>273676</v>
      </c>
      <c r="P883" s="15">
        <f>IF(SUM(I883,L883,N883)&lt;&gt;0,SUM(I883,L883,N883),"")</f>
        <v>21894</v>
      </c>
      <c r="Q883" s="12"/>
    </row>
    <row r="884" spans="1:17" ht="23.25" customHeight="1" x14ac:dyDescent="0.15">
      <c r="A884" s="13" t="s">
        <v>2362</v>
      </c>
      <c r="B884" s="13" t="s">
        <v>2043</v>
      </c>
      <c r="C884" s="1" t="s">
        <v>2363</v>
      </c>
      <c r="D884" s="12" t="s">
        <v>2364</v>
      </c>
      <c r="E884" s="12" t="s">
        <v>2365</v>
      </c>
      <c r="F884" s="31" t="s">
        <v>792</v>
      </c>
      <c r="G884" s="15">
        <v>1</v>
      </c>
      <c r="H884" s="15">
        <v>437.8</v>
      </c>
      <c r="I884" s="53">
        <f>IF(G884*H884&lt;&gt;0, TRUNC(G884*H884, 1), "")</f>
        <v>437.8</v>
      </c>
      <c r="J884" s="15">
        <v>1</v>
      </c>
      <c r="K884" s="15"/>
      <c r="L884" s="53" t="str">
        <f>IF(G884*K884&lt;&gt;0, TRUNC(G884*K884, 1), "")</f>
        <v/>
      </c>
      <c r="M884" s="15"/>
      <c r="N884" s="53" t="str">
        <f>IF(G884*M884&lt;&gt;0, TRUNC(G884*M884, 1), "")</f>
        <v/>
      </c>
      <c r="O884" s="15">
        <f>IF((H884+K884+M884)=0, "", (H884+K884+M884))</f>
        <v>437.8</v>
      </c>
      <c r="P884" s="15">
        <f>IF(SUM(I884,L884,N884)&lt;&gt;0,SUM(I884,L884,N884),"")</f>
        <v>437.8</v>
      </c>
      <c r="Q884" s="12"/>
    </row>
    <row r="885" spans="1:17" ht="23.25" customHeight="1" x14ac:dyDescent="0.15">
      <c r="B885" s="13" t="s">
        <v>2360</v>
      </c>
      <c r="D885" s="12" t="s">
        <v>2361</v>
      </c>
      <c r="E885" s="12"/>
      <c r="F885" s="31"/>
      <c r="G885" s="15"/>
      <c r="H885" s="15"/>
      <c r="I885" s="53">
        <f>TRUNC(SUM(I881:I884))</f>
        <v>2560</v>
      </c>
      <c r="J885" s="15"/>
      <c r="K885" s="15"/>
      <c r="L885" s="53">
        <f>TRUNC(SUM(L881:L884))</f>
        <v>21894</v>
      </c>
      <c r="M885" s="15"/>
      <c r="N885" s="53">
        <f>TRUNC(SUM(N881:N884))</f>
        <v>0</v>
      </c>
      <c r="O885" s="15" t="str">
        <f>IF((H885+K885+M885)=0, "", (H885+K885+M885))</f>
        <v/>
      </c>
      <c r="P885" s="15">
        <f>IF(SUM(I885,L885,N885)&lt;&gt;0,SUM(I885,L885,N885),"")</f>
        <v>24454</v>
      </c>
      <c r="Q885" s="12"/>
    </row>
    <row r="886" spans="1:17" ht="23.25" customHeight="1" x14ac:dyDescent="0.15">
      <c r="D886" s="12"/>
      <c r="E886" s="12"/>
      <c r="F886" s="31"/>
      <c r="G886" s="15"/>
      <c r="H886" s="15"/>
      <c r="I886" s="53"/>
      <c r="J886" s="15"/>
      <c r="K886" s="15"/>
      <c r="L886" s="53"/>
      <c r="M886" s="15"/>
      <c r="N886" s="53"/>
      <c r="O886" s="15"/>
      <c r="P886" s="15"/>
      <c r="Q886" s="12"/>
    </row>
    <row r="887" spans="1:17" ht="23.25" customHeight="1" x14ac:dyDescent="0.15">
      <c r="A887" s="13" t="s">
        <v>2730</v>
      </c>
      <c r="B887" s="13" t="s">
        <v>2382</v>
      </c>
      <c r="C887" s="1" t="s">
        <v>2731</v>
      </c>
      <c r="D887" s="170" t="s">
        <v>2729</v>
      </c>
      <c r="E887" s="172"/>
      <c r="F887" s="31"/>
      <c r="G887" s="15"/>
      <c r="H887" s="15"/>
      <c r="I887" s="53"/>
      <c r="J887" s="15"/>
      <c r="K887" s="15"/>
      <c r="L887" s="53"/>
      <c r="M887" s="15"/>
      <c r="N887" s="53"/>
      <c r="O887" s="15"/>
      <c r="P887" s="15"/>
      <c r="Q887" s="12"/>
    </row>
    <row r="888" spans="1:17" ht="23.25" customHeight="1" x14ac:dyDescent="0.15">
      <c r="A888" s="13" t="s">
        <v>1165</v>
      </c>
      <c r="B888" s="13" t="s">
        <v>2046</v>
      </c>
      <c r="C888" s="1" t="s">
        <v>539</v>
      </c>
      <c r="D888" s="12" t="s">
        <v>534</v>
      </c>
      <c r="E888" s="12" t="s">
        <v>540</v>
      </c>
      <c r="F888" s="31" t="s">
        <v>200</v>
      </c>
      <c r="G888" s="15">
        <v>1</v>
      </c>
      <c r="H888" s="15">
        <f>합산자재!H141</f>
        <v>5023</v>
      </c>
      <c r="I888" s="53">
        <f>IF(G888*H888&lt;&gt;0, TRUNC(G888*H888, 1), "")</f>
        <v>5023</v>
      </c>
      <c r="J888" s="15">
        <v>1</v>
      </c>
      <c r="K888" s="15">
        <f>합산자재!I141</f>
        <v>0</v>
      </c>
      <c r="L888" s="53" t="str">
        <f>IF(G888*K888&lt;&gt;0, TRUNC(G888*K888, 1), "")</f>
        <v/>
      </c>
      <c r="M888" s="15">
        <f>합산자재!J141</f>
        <v>0</v>
      </c>
      <c r="N888" s="53" t="str">
        <f>IF(G888*M888&lt;&gt;0, TRUNC(G888*M888, 1), "")</f>
        <v/>
      </c>
      <c r="O888" s="15">
        <f>IF((H888+K888+M888)=0, "", (H888+K888+M888))</f>
        <v>5023</v>
      </c>
      <c r="P888" s="15">
        <f>IF(SUM(I888,L888,N888)&lt;&gt;0,SUM(I888,L888,N888),"")</f>
        <v>5023</v>
      </c>
      <c r="Q888" s="12"/>
    </row>
    <row r="889" spans="1:17" ht="23.25" customHeight="1" x14ac:dyDescent="0.15">
      <c r="A889" s="13" t="s">
        <v>1372</v>
      </c>
      <c r="B889" s="13" t="s">
        <v>2046</v>
      </c>
      <c r="C889" s="1" t="s">
        <v>1002</v>
      </c>
      <c r="D889" s="12" t="s">
        <v>1003</v>
      </c>
      <c r="E889" s="12" t="s">
        <v>1004</v>
      </c>
      <c r="F889" s="31" t="s">
        <v>999</v>
      </c>
      <c r="G889" s="15">
        <f>일위노임!G395</f>
        <v>0.11</v>
      </c>
      <c r="H889" s="15">
        <f>합산자재!H345</f>
        <v>0</v>
      </c>
      <c r="I889" s="53" t="str">
        <f>IF(G889*H889&lt;&gt;0, TRUNC(G889*H889, 1), "")</f>
        <v/>
      </c>
      <c r="J889" s="15">
        <v>0.11</v>
      </c>
      <c r="K889" s="15">
        <f>합산자재!I345</f>
        <v>273676</v>
      </c>
      <c r="L889" s="53">
        <f>IF(G889*K889&lt;&gt;0, TRUNC(G889*K889, 1), "")</f>
        <v>30104.3</v>
      </c>
      <c r="M889" s="15">
        <f>합산자재!J345</f>
        <v>0</v>
      </c>
      <c r="N889" s="53" t="str">
        <f>IF(G889*M889&lt;&gt;0, TRUNC(G889*M889, 1), "")</f>
        <v/>
      </c>
      <c r="O889" s="15">
        <f>IF((H889+K889+M889)=0, "", (H889+K889+M889))</f>
        <v>273676</v>
      </c>
      <c r="P889" s="15">
        <f>IF(SUM(I889,L889,N889)&lt;&gt;0,SUM(I889,L889,N889),"")</f>
        <v>30104.3</v>
      </c>
      <c r="Q889" s="12"/>
    </row>
    <row r="890" spans="1:17" ht="23.25" customHeight="1" x14ac:dyDescent="0.15">
      <c r="A890" s="13" t="s">
        <v>1379</v>
      </c>
      <c r="B890" s="13" t="s">
        <v>2046</v>
      </c>
      <c r="C890" s="1" t="s">
        <v>1017</v>
      </c>
      <c r="D890" s="12" t="s">
        <v>1003</v>
      </c>
      <c r="E890" s="12" t="s">
        <v>1018</v>
      </c>
      <c r="F890" s="31" t="s">
        <v>999</v>
      </c>
      <c r="G890" s="15">
        <f>일위노임!G396</f>
        <v>0.08</v>
      </c>
      <c r="H890" s="15">
        <f>합산자재!H352</f>
        <v>0</v>
      </c>
      <c r="I890" s="53" t="str">
        <f>IF(G890*H890&lt;&gt;0, TRUNC(G890*H890, 1), "")</f>
        <v/>
      </c>
      <c r="J890" s="15">
        <v>0.08</v>
      </c>
      <c r="K890" s="15">
        <f>합산자재!I352</f>
        <v>172068</v>
      </c>
      <c r="L890" s="53">
        <f>IF(G890*K890&lt;&gt;0, TRUNC(G890*K890, 1), "")</f>
        <v>13765.4</v>
      </c>
      <c r="M890" s="15">
        <f>합산자재!J352</f>
        <v>0</v>
      </c>
      <c r="N890" s="53" t="str">
        <f>IF(G890*M890&lt;&gt;0, TRUNC(G890*M890, 1), "")</f>
        <v/>
      </c>
      <c r="O890" s="15">
        <f>IF((H890+K890+M890)=0, "", (H890+K890+M890))</f>
        <v>172068</v>
      </c>
      <c r="P890" s="15">
        <f>IF(SUM(I890,L890,N890)&lt;&gt;0,SUM(I890,L890,N890),"")</f>
        <v>13765.4</v>
      </c>
      <c r="Q890" s="12"/>
    </row>
    <row r="891" spans="1:17" ht="23.25" customHeight="1" x14ac:dyDescent="0.15">
      <c r="A891" s="13" t="s">
        <v>2362</v>
      </c>
      <c r="B891" s="13" t="s">
        <v>2046</v>
      </c>
      <c r="C891" s="1" t="s">
        <v>2363</v>
      </c>
      <c r="D891" s="12" t="s">
        <v>2364</v>
      </c>
      <c r="E891" s="12" t="s">
        <v>2365</v>
      </c>
      <c r="F891" s="31" t="s">
        <v>792</v>
      </c>
      <c r="G891" s="15">
        <v>1</v>
      </c>
      <c r="H891" s="15">
        <v>877.3</v>
      </c>
      <c r="I891" s="53">
        <f>IF(G891*H891&lt;&gt;0, TRUNC(G891*H891, 1), "")</f>
        <v>877.3</v>
      </c>
      <c r="J891" s="15">
        <v>1</v>
      </c>
      <c r="K891" s="15"/>
      <c r="L891" s="53" t="str">
        <f>IF(G891*K891&lt;&gt;0, TRUNC(G891*K891, 1), "")</f>
        <v/>
      </c>
      <c r="M891" s="15"/>
      <c r="N891" s="53" t="str">
        <f>IF(G891*M891&lt;&gt;0, TRUNC(G891*M891, 1), "")</f>
        <v/>
      </c>
      <c r="O891" s="15">
        <f>IF((H891+K891+M891)=0, "", (H891+K891+M891))</f>
        <v>877.3</v>
      </c>
      <c r="P891" s="15">
        <f>IF(SUM(I891,L891,N891)&lt;&gt;0,SUM(I891,L891,N891),"")</f>
        <v>877.3</v>
      </c>
      <c r="Q891" s="12"/>
    </row>
    <row r="892" spans="1:17" ht="23.25" customHeight="1" x14ac:dyDescent="0.15">
      <c r="B892" s="13" t="s">
        <v>2360</v>
      </c>
      <c r="D892" s="12" t="s">
        <v>2361</v>
      </c>
      <c r="E892" s="12"/>
      <c r="F892" s="31"/>
      <c r="G892" s="15"/>
      <c r="H892" s="15"/>
      <c r="I892" s="53">
        <f>TRUNC(SUM(I887:I891))</f>
        <v>5900</v>
      </c>
      <c r="J892" s="15"/>
      <c r="K892" s="15"/>
      <c r="L892" s="53">
        <f>TRUNC(SUM(L887:L891))</f>
        <v>43869</v>
      </c>
      <c r="M892" s="15"/>
      <c r="N892" s="53">
        <f>TRUNC(SUM(N887:N891))</f>
        <v>0</v>
      </c>
      <c r="O892" s="15" t="str">
        <f>IF((H892+K892+M892)=0, "", (H892+K892+M892))</f>
        <v/>
      </c>
      <c r="P892" s="15">
        <f>IF(SUM(I892,L892,N892)&lt;&gt;0,SUM(I892,L892,N892),"")</f>
        <v>49769</v>
      </c>
      <c r="Q892" s="12"/>
    </row>
    <row r="893" spans="1:17" ht="23.25" customHeight="1" x14ac:dyDescent="0.15">
      <c r="D893" s="12"/>
      <c r="E893" s="12"/>
      <c r="F893" s="31"/>
      <c r="G893" s="15"/>
      <c r="H893" s="15"/>
      <c r="I893" s="53"/>
      <c r="J893" s="15"/>
      <c r="K893" s="15"/>
      <c r="L893" s="53"/>
      <c r="M893" s="15"/>
      <c r="N893" s="53"/>
      <c r="O893" s="15"/>
      <c r="P893" s="15"/>
      <c r="Q893" s="12"/>
    </row>
    <row r="894" spans="1:17" ht="23.25" customHeight="1" x14ac:dyDescent="0.15">
      <c r="A894" s="13" t="s">
        <v>2733</v>
      </c>
      <c r="B894" s="13" t="s">
        <v>2382</v>
      </c>
      <c r="C894" s="1" t="s">
        <v>2734</v>
      </c>
      <c r="D894" s="170" t="s">
        <v>2732</v>
      </c>
      <c r="E894" s="172"/>
      <c r="F894" s="31"/>
      <c r="G894" s="15"/>
      <c r="H894" s="15"/>
      <c r="I894" s="53"/>
      <c r="J894" s="15"/>
      <c r="K894" s="15"/>
      <c r="L894" s="53"/>
      <c r="M894" s="15"/>
      <c r="N894" s="53"/>
      <c r="O894" s="15"/>
      <c r="P894" s="15"/>
      <c r="Q894" s="12"/>
    </row>
    <row r="895" spans="1:17" ht="23.25" customHeight="1" x14ac:dyDescent="0.15">
      <c r="A895" s="13" t="s">
        <v>1166</v>
      </c>
      <c r="B895" s="13" t="s">
        <v>2049</v>
      </c>
      <c r="C895" s="1" t="s">
        <v>541</v>
      </c>
      <c r="D895" s="12" t="s">
        <v>542</v>
      </c>
      <c r="E895" s="12" t="s">
        <v>543</v>
      </c>
      <c r="F895" s="31" t="s">
        <v>200</v>
      </c>
      <c r="G895" s="15">
        <v>1</v>
      </c>
      <c r="H895" s="15">
        <f>합산자재!H142</f>
        <v>1306</v>
      </c>
      <c r="I895" s="53">
        <f>IF(G895*H895&lt;&gt;0, TRUNC(G895*H895, 1), "")</f>
        <v>1306</v>
      </c>
      <c r="J895" s="15">
        <v>1</v>
      </c>
      <c r="K895" s="15">
        <f>합산자재!I142</f>
        <v>0</v>
      </c>
      <c r="L895" s="53" t="str">
        <f>IF(G895*K895&lt;&gt;0, TRUNC(G895*K895, 1), "")</f>
        <v/>
      </c>
      <c r="M895" s="15">
        <f>합산자재!J142</f>
        <v>0</v>
      </c>
      <c r="N895" s="53" t="str">
        <f>IF(G895*M895&lt;&gt;0, TRUNC(G895*M895, 1), "")</f>
        <v/>
      </c>
      <c r="O895" s="15">
        <f>IF((H895+K895+M895)=0, "", (H895+K895+M895))</f>
        <v>1306</v>
      </c>
      <c r="P895" s="15">
        <f>IF(SUM(I895,L895,N895)&lt;&gt;0,SUM(I895,L895,N895),"")</f>
        <v>1306</v>
      </c>
      <c r="Q895" s="12"/>
    </row>
    <row r="896" spans="1:17" ht="23.25" customHeight="1" x14ac:dyDescent="0.15">
      <c r="A896" s="13" t="s">
        <v>1372</v>
      </c>
      <c r="B896" s="13" t="s">
        <v>2049</v>
      </c>
      <c r="C896" s="1" t="s">
        <v>1002</v>
      </c>
      <c r="D896" s="12" t="s">
        <v>1003</v>
      </c>
      <c r="E896" s="12" t="s">
        <v>1004</v>
      </c>
      <c r="F896" s="31" t="s">
        <v>999</v>
      </c>
      <c r="G896" s="15">
        <f>일위노임!G400</f>
        <v>0.11</v>
      </c>
      <c r="H896" s="15">
        <f>합산자재!H345</f>
        <v>0</v>
      </c>
      <c r="I896" s="53" t="str">
        <f>IF(G896*H896&lt;&gt;0, TRUNC(G896*H896, 1), "")</f>
        <v/>
      </c>
      <c r="J896" s="15">
        <v>0.11</v>
      </c>
      <c r="K896" s="15">
        <f>합산자재!I345</f>
        <v>273676</v>
      </c>
      <c r="L896" s="53">
        <f>IF(G896*K896&lt;&gt;0, TRUNC(G896*K896, 1), "")</f>
        <v>30104.3</v>
      </c>
      <c r="M896" s="15">
        <f>합산자재!J345</f>
        <v>0</v>
      </c>
      <c r="N896" s="53" t="str">
        <f>IF(G896*M896&lt;&gt;0, TRUNC(G896*M896, 1), "")</f>
        <v/>
      </c>
      <c r="O896" s="15">
        <f>IF((H896+K896+M896)=0, "", (H896+K896+M896))</f>
        <v>273676</v>
      </c>
      <c r="P896" s="15">
        <f>IF(SUM(I896,L896,N896)&lt;&gt;0,SUM(I896,L896,N896),"")</f>
        <v>30104.3</v>
      </c>
      <c r="Q896" s="12"/>
    </row>
    <row r="897" spans="1:17" ht="23.25" customHeight="1" x14ac:dyDescent="0.15">
      <c r="A897" s="13" t="s">
        <v>1379</v>
      </c>
      <c r="B897" s="13" t="s">
        <v>2049</v>
      </c>
      <c r="C897" s="1" t="s">
        <v>1017</v>
      </c>
      <c r="D897" s="12" t="s">
        <v>1003</v>
      </c>
      <c r="E897" s="12" t="s">
        <v>1018</v>
      </c>
      <c r="F897" s="31" t="s">
        <v>999</v>
      </c>
      <c r="G897" s="15">
        <f>일위노임!G401</f>
        <v>0.08</v>
      </c>
      <c r="H897" s="15">
        <f>합산자재!H352</f>
        <v>0</v>
      </c>
      <c r="I897" s="53" t="str">
        <f>IF(G897*H897&lt;&gt;0, TRUNC(G897*H897, 1), "")</f>
        <v/>
      </c>
      <c r="J897" s="15">
        <v>0.08</v>
      </c>
      <c r="K897" s="15">
        <f>합산자재!I352</f>
        <v>172068</v>
      </c>
      <c r="L897" s="53">
        <f>IF(G897*K897&lt;&gt;0, TRUNC(G897*K897, 1), "")</f>
        <v>13765.4</v>
      </c>
      <c r="M897" s="15">
        <f>합산자재!J352</f>
        <v>0</v>
      </c>
      <c r="N897" s="53" t="str">
        <f>IF(G897*M897&lt;&gt;0, TRUNC(G897*M897, 1), "")</f>
        <v/>
      </c>
      <c r="O897" s="15">
        <f>IF((H897+K897+M897)=0, "", (H897+K897+M897))</f>
        <v>172068</v>
      </c>
      <c r="P897" s="15">
        <f>IF(SUM(I897,L897,N897)&lt;&gt;0,SUM(I897,L897,N897),"")</f>
        <v>13765.4</v>
      </c>
      <c r="Q897" s="12"/>
    </row>
    <row r="898" spans="1:17" ht="23.25" customHeight="1" x14ac:dyDescent="0.15">
      <c r="A898" s="13" t="s">
        <v>2362</v>
      </c>
      <c r="B898" s="13" t="s">
        <v>2049</v>
      </c>
      <c r="C898" s="1" t="s">
        <v>2363</v>
      </c>
      <c r="D898" s="12" t="s">
        <v>2364</v>
      </c>
      <c r="E898" s="12" t="s">
        <v>2365</v>
      </c>
      <c r="F898" s="31" t="s">
        <v>792</v>
      </c>
      <c r="G898" s="15">
        <v>1</v>
      </c>
      <c r="H898" s="15">
        <v>877.3</v>
      </c>
      <c r="I898" s="53">
        <f>IF(G898*H898&lt;&gt;0, TRUNC(G898*H898, 1), "")</f>
        <v>877.3</v>
      </c>
      <c r="J898" s="15">
        <v>1</v>
      </c>
      <c r="K898" s="15"/>
      <c r="L898" s="53" t="str">
        <f>IF(G898*K898&lt;&gt;0, TRUNC(G898*K898, 1), "")</f>
        <v/>
      </c>
      <c r="M898" s="15"/>
      <c r="N898" s="53" t="str">
        <f>IF(G898*M898&lt;&gt;0, TRUNC(G898*M898, 1), "")</f>
        <v/>
      </c>
      <c r="O898" s="15">
        <f>IF((H898+K898+M898)=0, "", (H898+K898+M898))</f>
        <v>877.3</v>
      </c>
      <c r="P898" s="15">
        <f>IF(SUM(I898,L898,N898)&lt;&gt;0,SUM(I898,L898,N898),"")</f>
        <v>877.3</v>
      </c>
      <c r="Q898" s="12"/>
    </row>
    <row r="899" spans="1:17" ht="23.25" customHeight="1" x14ac:dyDescent="0.15">
      <c r="B899" s="13" t="s">
        <v>2360</v>
      </c>
      <c r="D899" s="12" t="s">
        <v>2361</v>
      </c>
      <c r="E899" s="12"/>
      <c r="F899" s="31"/>
      <c r="G899" s="15"/>
      <c r="H899" s="15"/>
      <c r="I899" s="53">
        <f>TRUNC(SUM(I894:I898))</f>
        <v>2183</v>
      </c>
      <c r="J899" s="15"/>
      <c r="K899" s="15"/>
      <c r="L899" s="53">
        <f>TRUNC(SUM(L894:L898))</f>
        <v>43869</v>
      </c>
      <c r="M899" s="15"/>
      <c r="N899" s="53">
        <f>TRUNC(SUM(N894:N898))</f>
        <v>0</v>
      </c>
      <c r="O899" s="15" t="str">
        <f>IF((H899+K899+M899)=0, "", (H899+K899+M899))</f>
        <v/>
      </c>
      <c r="P899" s="15">
        <f>IF(SUM(I899,L899,N899)&lt;&gt;0,SUM(I899,L899,N899),"")</f>
        <v>46052</v>
      </c>
      <c r="Q899" s="12"/>
    </row>
    <row r="900" spans="1:17" ht="23.25" customHeight="1" x14ac:dyDescent="0.15">
      <c r="D900" s="12"/>
      <c r="E900" s="12"/>
      <c r="F900" s="31"/>
      <c r="G900" s="15"/>
      <c r="H900" s="15"/>
      <c r="I900" s="53"/>
      <c r="J900" s="15"/>
      <c r="K900" s="15"/>
      <c r="L900" s="53"/>
      <c r="M900" s="15"/>
      <c r="N900" s="53"/>
      <c r="O900" s="15"/>
      <c r="P900" s="15"/>
      <c r="Q900" s="12"/>
    </row>
    <row r="901" spans="1:17" ht="23.25" customHeight="1" x14ac:dyDescent="0.15">
      <c r="A901" s="13" t="s">
        <v>2736</v>
      </c>
      <c r="B901" s="13" t="s">
        <v>2382</v>
      </c>
      <c r="C901" s="1" t="s">
        <v>2737</v>
      </c>
      <c r="D901" s="170" t="s">
        <v>2735</v>
      </c>
      <c r="E901" s="172"/>
      <c r="F901" s="31"/>
      <c r="G901" s="15"/>
      <c r="H901" s="15"/>
      <c r="I901" s="53"/>
      <c r="J901" s="15"/>
      <c r="K901" s="15"/>
      <c r="L901" s="53"/>
      <c r="M901" s="15"/>
      <c r="N901" s="53"/>
      <c r="O901" s="15"/>
      <c r="P901" s="15"/>
      <c r="Q901" s="12"/>
    </row>
    <row r="902" spans="1:17" ht="23.25" customHeight="1" x14ac:dyDescent="0.15">
      <c r="A902" s="13" t="s">
        <v>1168</v>
      </c>
      <c r="B902" s="13" t="s">
        <v>2052</v>
      </c>
      <c r="C902" s="1" t="s">
        <v>547</v>
      </c>
      <c r="D902" s="12" t="s">
        <v>548</v>
      </c>
      <c r="E902" s="12" t="s">
        <v>549</v>
      </c>
      <c r="F902" s="31" t="s">
        <v>200</v>
      </c>
      <c r="G902" s="15">
        <v>1</v>
      </c>
      <c r="H902" s="15">
        <f>합산자재!H144</f>
        <v>42000</v>
      </c>
      <c r="I902" s="53">
        <f>IF(G902*H902&lt;&gt;0, TRUNC(G902*H902, 1), "")</f>
        <v>42000</v>
      </c>
      <c r="J902" s="15">
        <v>1</v>
      </c>
      <c r="K902" s="15">
        <f>합산자재!I144</f>
        <v>0</v>
      </c>
      <c r="L902" s="53" t="str">
        <f>IF(G902*K902&lt;&gt;0, TRUNC(G902*K902, 1), "")</f>
        <v/>
      </c>
      <c r="M902" s="15">
        <f>합산자재!J144</f>
        <v>0</v>
      </c>
      <c r="N902" s="53" t="str">
        <f>IF(G902*M902&lt;&gt;0, TRUNC(G902*M902, 1), "")</f>
        <v/>
      </c>
      <c r="O902" s="15">
        <f>IF((H902+K902+M902)=0, "", (H902+K902+M902))</f>
        <v>42000</v>
      </c>
      <c r="P902" s="15">
        <f>IF(SUM(I902,L902,N902)&lt;&gt;0,SUM(I902,L902,N902),"")</f>
        <v>42000</v>
      </c>
      <c r="Q902" s="12"/>
    </row>
    <row r="903" spans="1:17" ht="23.25" customHeight="1" x14ac:dyDescent="0.15">
      <c r="A903" s="13" t="s">
        <v>1376</v>
      </c>
      <c r="B903" s="13" t="s">
        <v>2052</v>
      </c>
      <c r="C903" s="1" t="s">
        <v>1011</v>
      </c>
      <c r="D903" s="12" t="s">
        <v>1003</v>
      </c>
      <c r="E903" s="12" t="s">
        <v>1012</v>
      </c>
      <c r="F903" s="31" t="s">
        <v>999</v>
      </c>
      <c r="G903" s="15">
        <f>일위노임!G404</f>
        <v>0.66</v>
      </c>
      <c r="H903" s="15">
        <f>합산자재!H349</f>
        <v>0</v>
      </c>
      <c r="I903" s="53" t="str">
        <f>IF(G903*H903&lt;&gt;0, TRUNC(G903*H903, 1), "")</f>
        <v/>
      </c>
      <c r="J903" s="15">
        <v>0.66</v>
      </c>
      <c r="K903" s="15">
        <f>합산자재!I349</f>
        <v>414968</v>
      </c>
      <c r="L903" s="53">
        <f>IF(G903*K903&lt;&gt;0, TRUNC(G903*K903, 1), "")</f>
        <v>273878.8</v>
      </c>
      <c r="M903" s="15">
        <f>합산자재!J349</f>
        <v>0</v>
      </c>
      <c r="N903" s="53" t="str">
        <f>IF(G903*M903&lt;&gt;0, TRUNC(G903*M903, 1), "")</f>
        <v/>
      </c>
      <c r="O903" s="15">
        <f>IF((H903+K903+M903)=0, "", (H903+K903+M903))</f>
        <v>414968</v>
      </c>
      <c r="P903" s="15">
        <f>IF(SUM(I903,L903,N903)&lt;&gt;0,SUM(I903,L903,N903),"")</f>
        <v>273878.8</v>
      </c>
      <c r="Q903" s="12"/>
    </row>
    <row r="904" spans="1:17" ht="23.25" customHeight="1" x14ac:dyDescent="0.15">
      <c r="A904" s="13" t="s">
        <v>2362</v>
      </c>
      <c r="B904" s="13" t="s">
        <v>2052</v>
      </c>
      <c r="C904" s="1" t="s">
        <v>2363</v>
      </c>
      <c r="D904" s="12" t="s">
        <v>2364</v>
      </c>
      <c r="E904" s="12" t="s">
        <v>2365</v>
      </c>
      <c r="F904" s="31" t="s">
        <v>792</v>
      </c>
      <c r="G904" s="15">
        <v>1</v>
      </c>
      <c r="H904" s="15">
        <v>5477.5</v>
      </c>
      <c r="I904" s="53">
        <f>IF(G904*H904&lt;&gt;0, TRUNC(G904*H904, 1), "")</f>
        <v>5477.5</v>
      </c>
      <c r="J904" s="15">
        <v>1</v>
      </c>
      <c r="K904" s="15"/>
      <c r="L904" s="53" t="str">
        <f>IF(G904*K904&lt;&gt;0, TRUNC(G904*K904, 1), "")</f>
        <v/>
      </c>
      <c r="M904" s="15"/>
      <c r="N904" s="53" t="str">
        <f>IF(G904*M904&lt;&gt;0, TRUNC(G904*M904, 1), "")</f>
        <v/>
      </c>
      <c r="O904" s="15">
        <f>IF((H904+K904+M904)=0, "", (H904+K904+M904))</f>
        <v>5477.5</v>
      </c>
      <c r="P904" s="15">
        <f>IF(SUM(I904,L904,N904)&lt;&gt;0,SUM(I904,L904,N904),"")</f>
        <v>5477.5</v>
      </c>
      <c r="Q904" s="12"/>
    </row>
    <row r="905" spans="1:17" ht="23.25" customHeight="1" x14ac:dyDescent="0.15">
      <c r="B905" s="13" t="s">
        <v>2360</v>
      </c>
      <c r="D905" s="12" t="s">
        <v>2361</v>
      </c>
      <c r="E905" s="12"/>
      <c r="F905" s="31"/>
      <c r="G905" s="15"/>
      <c r="H905" s="15"/>
      <c r="I905" s="53">
        <f>TRUNC(SUM(I901:I904))</f>
        <v>47477</v>
      </c>
      <c r="J905" s="15"/>
      <c r="K905" s="15"/>
      <c r="L905" s="53">
        <f>TRUNC(SUM(L901:L904))</f>
        <v>273878</v>
      </c>
      <c r="M905" s="15"/>
      <c r="N905" s="53">
        <f>TRUNC(SUM(N901:N904))</f>
        <v>0</v>
      </c>
      <c r="O905" s="15" t="str">
        <f>IF((H905+K905+M905)=0, "", (H905+K905+M905))</f>
        <v/>
      </c>
      <c r="P905" s="15">
        <f>IF(SUM(I905,L905,N905)&lt;&gt;0,SUM(I905,L905,N905),"")</f>
        <v>321355</v>
      </c>
      <c r="Q905" s="12"/>
    </row>
    <row r="906" spans="1:17" ht="23.25" customHeight="1" x14ac:dyDescent="0.15">
      <c r="D906" s="12"/>
      <c r="E906" s="12"/>
      <c r="F906" s="31"/>
      <c r="G906" s="15"/>
      <c r="H906" s="15"/>
      <c r="I906" s="53"/>
      <c r="J906" s="15"/>
      <c r="K906" s="15"/>
      <c r="L906" s="53"/>
      <c r="M906" s="15"/>
      <c r="N906" s="53"/>
      <c r="O906" s="15"/>
      <c r="P906" s="15"/>
      <c r="Q906" s="12"/>
    </row>
    <row r="907" spans="1:17" ht="23.25" customHeight="1" x14ac:dyDescent="0.15">
      <c r="A907" s="13" t="s">
        <v>2739</v>
      </c>
      <c r="B907" s="13" t="s">
        <v>2382</v>
      </c>
      <c r="C907" s="1" t="s">
        <v>2740</v>
      </c>
      <c r="D907" s="170" t="s">
        <v>2738</v>
      </c>
      <c r="E907" s="172"/>
      <c r="F907" s="31"/>
      <c r="G907" s="15"/>
      <c r="H907" s="15"/>
      <c r="I907" s="53"/>
      <c r="J907" s="15"/>
      <c r="K907" s="15"/>
      <c r="L907" s="53"/>
      <c r="M907" s="15"/>
      <c r="N907" s="53"/>
      <c r="O907" s="15"/>
      <c r="P907" s="15"/>
      <c r="Q907" s="12"/>
    </row>
    <row r="908" spans="1:17" ht="23.25" customHeight="1" x14ac:dyDescent="0.15">
      <c r="A908" s="13" t="s">
        <v>1169</v>
      </c>
      <c r="B908" s="13" t="s">
        <v>2055</v>
      </c>
      <c r="C908" s="1" t="s">
        <v>551</v>
      </c>
      <c r="D908" s="12" t="s">
        <v>552</v>
      </c>
      <c r="E908" s="12" t="s">
        <v>553</v>
      </c>
      <c r="F908" s="31" t="s">
        <v>554</v>
      </c>
      <c r="G908" s="15">
        <v>1</v>
      </c>
      <c r="H908" s="15">
        <f>합산자재!H145</f>
        <v>10000</v>
      </c>
      <c r="I908" s="53">
        <f>IF(G908*H908&lt;&gt;0, TRUNC(G908*H908, 1), "")</f>
        <v>10000</v>
      </c>
      <c r="J908" s="15">
        <v>1</v>
      </c>
      <c r="K908" s="15">
        <f>합산자재!I145</f>
        <v>0</v>
      </c>
      <c r="L908" s="53" t="str">
        <f>IF(G908*K908&lt;&gt;0, TRUNC(G908*K908, 1), "")</f>
        <v/>
      </c>
      <c r="M908" s="15">
        <f>합산자재!J145</f>
        <v>0</v>
      </c>
      <c r="N908" s="53" t="str">
        <f>IF(G908*M908&lt;&gt;0, TRUNC(G908*M908, 1), "")</f>
        <v/>
      </c>
      <c r="O908" s="15">
        <f>IF((H908+K908+M908)=0, "", (H908+K908+M908))</f>
        <v>10000</v>
      </c>
      <c r="P908" s="15">
        <f>IF(SUM(I908,L908,N908)&lt;&gt;0,SUM(I908,L908,N908),"")</f>
        <v>10000</v>
      </c>
      <c r="Q908" s="12"/>
    </row>
    <row r="909" spans="1:17" ht="23.25" customHeight="1" x14ac:dyDescent="0.15">
      <c r="A909" s="13" t="s">
        <v>1372</v>
      </c>
      <c r="B909" s="13" t="s">
        <v>2055</v>
      </c>
      <c r="C909" s="1" t="s">
        <v>1002</v>
      </c>
      <c r="D909" s="12" t="s">
        <v>1003</v>
      </c>
      <c r="E909" s="12" t="s">
        <v>1004</v>
      </c>
      <c r="F909" s="31" t="s">
        <v>999</v>
      </c>
      <c r="G909" s="15">
        <f>일위노임!G407</f>
        <v>0.10199999999999999</v>
      </c>
      <c r="H909" s="15">
        <f>합산자재!H345</f>
        <v>0</v>
      </c>
      <c r="I909" s="53" t="str">
        <f>IF(G909*H909&lt;&gt;0, TRUNC(G909*H909, 1), "")</f>
        <v/>
      </c>
      <c r="J909" s="15">
        <v>0.10199999999999999</v>
      </c>
      <c r="K909" s="15">
        <f>합산자재!I345</f>
        <v>273676</v>
      </c>
      <c r="L909" s="53">
        <f>IF(G909*K909&lt;&gt;0, TRUNC(G909*K909, 1), "")</f>
        <v>27914.9</v>
      </c>
      <c r="M909" s="15">
        <f>합산자재!J345</f>
        <v>0</v>
      </c>
      <c r="N909" s="53" t="str">
        <f>IF(G909*M909&lt;&gt;0, TRUNC(G909*M909, 1), "")</f>
        <v/>
      </c>
      <c r="O909" s="15">
        <f>IF((H909+K909+M909)=0, "", (H909+K909+M909))</f>
        <v>273676</v>
      </c>
      <c r="P909" s="15">
        <f>IF(SUM(I909,L909,N909)&lt;&gt;0,SUM(I909,L909,N909),"")</f>
        <v>27914.9</v>
      </c>
      <c r="Q909" s="12"/>
    </row>
    <row r="910" spans="1:17" ht="23.25" customHeight="1" x14ac:dyDescent="0.15">
      <c r="A910" s="13" t="s">
        <v>2362</v>
      </c>
      <c r="B910" s="13" t="s">
        <v>2055</v>
      </c>
      <c r="C910" s="1" t="s">
        <v>2363</v>
      </c>
      <c r="D910" s="12" t="s">
        <v>2364</v>
      </c>
      <c r="E910" s="12" t="s">
        <v>2365</v>
      </c>
      <c r="F910" s="31" t="s">
        <v>792</v>
      </c>
      <c r="G910" s="15">
        <v>1</v>
      </c>
      <c r="H910" s="15">
        <v>558.20000000000005</v>
      </c>
      <c r="I910" s="53">
        <f>IF(G910*H910&lt;&gt;0, TRUNC(G910*H910, 1), "")</f>
        <v>558.20000000000005</v>
      </c>
      <c r="J910" s="15">
        <v>1</v>
      </c>
      <c r="K910" s="15"/>
      <c r="L910" s="53" t="str">
        <f>IF(G910*K910&lt;&gt;0, TRUNC(G910*K910, 1), "")</f>
        <v/>
      </c>
      <c r="M910" s="15"/>
      <c r="N910" s="53" t="str">
        <f>IF(G910*M910&lt;&gt;0, TRUNC(G910*M910, 1), "")</f>
        <v/>
      </c>
      <c r="O910" s="15">
        <f>IF((H910+K910+M910)=0, "", (H910+K910+M910))</f>
        <v>558.20000000000005</v>
      </c>
      <c r="P910" s="15">
        <f>IF(SUM(I910,L910,N910)&lt;&gt;0,SUM(I910,L910,N910),"")</f>
        <v>558.20000000000005</v>
      </c>
      <c r="Q910" s="12"/>
    </row>
    <row r="911" spans="1:17" ht="23.25" customHeight="1" x14ac:dyDescent="0.15">
      <c r="B911" s="13" t="s">
        <v>2360</v>
      </c>
      <c r="D911" s="12" t="s">
        <v>2361</v>
      </c>
      <c r="E911" s="12"/>
      <c r="F911" s="31"/>
      <c r="G911" s="15"/>
      <c r="H911" s="15"/>
      <c r="I911" s="53">
        <f>TRUNC(SUM(I907:I910))</f>
        <v>10558</v>
      </c>
      <c r="J911" s="15"/>
      <c r="K911" s="15"/>
      <c r="L911" s="53">
        <f>TRUNC(SUM(L907:L910))</f>
        <v>27914</v>
      </c>
      <c r="M911" s="15"/>
      <c r="N911" s="53">
        <f>TRUNC(SUM(N907:N910))</f>
        <v>0</v>
      </c>
      <c r="O911" s="15" t="str">
        <f>IF((H911+K911+M911)=0, "", (H911+K911+M911))</f>
        <v/>
      </c>
      <c r="P911" s="15">
        <f>IF(SUM(I911,L911,N911)&lt;&gt;0,SUM(I911,L911,N911),"")</f>
        <v>38472</v>
      </c>
      <c r="Q911" s="12"/>
    </row>
    <row r="912" spans="1:17" ht="23.25" customHeight="1" x14ac:dyDescent="0.15">
      <c r="D912" s="12"/>
      <c r="E912" s="12"/>
      <c r="F912" s="31"/>
      <c r="G912" s="15"/>
      <c r="H912" s="15"/>
      <c r="I912" s="53"/>
      <c r="J912" s="15"/>
      <c r="K912" s="15"/>
      <c r="L912" s="53"/>
      <c r="M912" s="15"/>
      <c r="N912" s="53"/>
      <c r="O912" s="15"/>
      <c r="P912" s="15"/>
      <c r="Q912" s="12"/>
    </row>
    <row r="913" spans="1:17" ht="23.25" customHeight="1" x14ac:dyDescent="0.15">
      <c r="A913" s="13" t="s">
        <v>2742</v>
      </c>
      <c r="B913" s="13" t="s">
        <v>2382</v>
      </c>
      <c r="C913" s="1" t="s">
        <v>2743</v>
      </c>
      <c r="D913" s="170" t="s">
        <v>2741</v>
      </c>
      <c r="E913" s="172"/>
      <c r="F913" s="31"/>
      <c r="G913" s="15"/>
      <c r="H913" s="15"/>
      <c r="I913" s="53"/>
      <c r="J913" s="15"/>
      <c r="K913" s="15"/>
      <c r="L913" s="53"/>
      <c r="M913" s="15"/>
      <c r="N913" s="53"/>
      <c r="O913" s="15"/>
      <c r="P913" s="15"/>
      <c r="Q913" s="12"/>
    </row>
    <row r="914" spans="1:17" ht="23.25" customHeight="1" x14ac:dyDescent="0.15">
      <c r="A914" s="13" t="s">
        <v>1170</v>
      </c>
      <c r="B914" s="13" t="s">
        <v>2058</v>
      </c>
      <c r="C914" s="1" t="s">
        <v>556</v>
      </c>
      <c r="D914" s="12" t="s">
        <v>557</v>
      </c>
      <c r="E914" s="12" t="s">
        <v>558</v>
      </c>
      <c r="F914" s="31" t="s">
        <v>559</v>
      </c>
      <c r="G914" s="15">
        <v>1</v>
      </c>
      <c r="H914" s="15">
        <f>합산자재!H146</f>
        <v>114040</v>
      </c>
      <c r="I914" s="53">
        <f>IF(G914*H914&lt;&gt;0, TRUNC(G914*H914, 1), "")</f>
        <v>114040</v>
      </c>
      <c r="J914" s="15">
        <v>1</v>
      </c>
      <c r="K914" s="15">
        <f>합산자재!I146</f>
        <v>0</v>
      </c>
      <c r="L914" s="53" t="str">
        <f>IF(G914*K914&lt;&gt;0, TRUNC(G914*K914, 1), "")</f>
        <v/>
      </c>
      <c r="M914" s="15">
        <f>합산자재!J146</f>
        <v>0</v>
      </c>
      <c r="N914" s="53" t="str">
        <f>IF(G914*M914&lt;&gt;0, TRUNC(G914*M914, 1), "")</f>
        <v/>
      </c>
      <c r="O914" s="15">
        <f>IF((H914+K914+M914)=0, "", (H914+K914+M914))</f>
        <v>114040</v>
      </c>
      <c r="P914" s="15">
        <f>IF(SUM(I914,L914,N914)&lt;&gt;0,SUM(I914,L914,N914),"")</f>
        <v>114040</v>
      </c>
      <c r="Q914" s="12"/>
    </row>
    <row r="915" spans="1:17" ht="23.25" customHeight="1" x14ac:dyDescent="0.15">
      <c r="A915" s="13" t="s">
        <v>1372</v>
      </c>
      <c r="B915" s="13" t="s">
        <v>2058</v>
      </c>
      <c r="C915" s="1" t="s">
        <v>1002</v>
      </c>
      <c r="D915" s="12" t="s">
        <v>1003</v>
      </c>
      <c r="E915" s="12" t="s">
        <v>1004</v>
      </c>
      <c r="F915" s="31" t="s">
        <v>999</v>
      </c>
      <c r="G915" s="15">
        <f>일위노임!G410</f>
        <v>0.66</v>
      </c>
      <c r="H915" s="15">
        <f>합산자재!H345</f>
        <v>0</v>
      </c>
      <c r="I915" s="53" t="str">
        <f>IF(G915*H915&lt;&gt;0, TRUNC(G915*H915, 1), "")</f>
        <v/>
      </c>
      <c r="J915" s="15">
        <v>0.66</v>
      </c>
      <c r="K915" s="15">
        <f>합산자재!I345</f>
        <v>273676</v>
      </c>
      <c r="L915" s="53">
        <f>IF(G915*K915&lt;&gt;0, TRUNC(G915*K915, 1), "")</f>
        <v>180626.1</v>
      </c>
      <c r="M915" s="15">
        <f>합산자재!J345</f>
        <v>0</v>
      </c>
      <c r="N915" s="53" t="str">
        <f>IF(G915*M915&lt;&gt;0, TRUNC(G915*M915, 1), "")</f>
        <v/>
      </c>
      <c r="O915" s="15">
        <f>IF((H915+K915+M915)=0, "", (H915+K915+M915))</f>
        <v>273676</v>
      </c>
      <c r="P915" s="15">
        <f>IF(SUM(I915,L915,N915)&lt;&gt;0,SUM(I915,L915,N915),"")</f>
        <v>180626.1</v>
      </c>
      <c r="Q915" s="12"/>
    </row>
    <row r="916" spans="1:17" ht="23.25" customHeight="1" x14ac:dyDescent="0.15">
      <c r="A916" s="13" t="s">
        <v>2362</v>
      </c>
      <c r="B916" s="13" t="s">
        <v>2058</v>
      </c>
      <c r="C916" s="1" t="s">
        <v>2363</v>
      </c>
      <c r="D916" s="12" t="s">
        <v>2364</v>
      </c>
      <c r="E916" s="12" t="s">
        <v>2365</v>
      </c>
      <c r="F916" s="31" t="s">
        <v>792</v>
      </c>
      <c r="G916" s="15">
        <v>1</v>
      </c>
      <c r="H916" s="15">
        <v>3612.5</v>
      </c>
      <c r="I916" s="53">
        <f>IF(G916*H916&lt;&gt;0, TRUNC(G916*H916, 1), "")</f>
        <v>3612.5</v>
      </c>
      <c r="J916" s="15">
        <v>1</v>
      </c>
      <c r="K916" s="15"/>
      <c r="L916" s="53" t="str">
        <f>IF(G916*K916&lt;&gt;0, TRUNC(G916*K916, 1), "")</f>
        <v/>
      </c>
      <c r="M916" s="15"/>
      <c r="N916" s="53" t="str">
        <f>IF(G916*M916&lt;&gt;0, TRUNC(G916*M916, 1), "")</f>
        <v/>
      </c>
      <c r="O916" s="15">
        <f>IF((H916+K916+M916)=0, "", (H916+K916+M916))</f>
        <v>3612.5</v>
      </c>
      <c r="P916" s="15">
        <f>IF(SUM(I916,L916,N916)&lt;&gt;0,SUM(I916,L916,N916),"")</f>
        <v>3612.5</v>
      </c>
      <c r="Q916" s="12"/>
    </row>
    <row r="917" spans="1:17" ht="23.25" customHeight="1" x14ac:dyDescent="0.15">
      <c r="B917" s="13" t="s">
        <v>2360</v>
      </c>
      <c r="D917" s="12" t="s">
        <v>2361</v>
      </c>
      <c r="E917" s="12"/>
      <c r="F917" s="31"/>
      <c r="G917" s="15"/>
      <c r="H917" s="15"/>
      <c r="I917" s="53">
        <f>TRUNC(SUM(I913:I916))</f>
        <v>117652</v>
      </c>
      <c r="J917" s="15"/>
      <c r="K917" s="15"/>
      <c r="L917" s="53">
        <f>TRUNC(SUM(L913:L916))</f>
        <v>180626</v>
      </c>
      <c r="M917" s="15"/>
      <c r="N917" s="53">
        <f>TRUNC(SUM(N913:N916))</f>
        <v>0</v>
      </c>
      <c r="O917" s="15" t="str">
        <f>IF((H917+K917+M917)=0, "", (H917+K917+M917))</f>
        <v/>
      </c>
      <c r="P917" s="15">
        <f>IF(SUM(I917,L917,N917)&lt;&gt;0,SUM(I917,L917,N917),"")</f>
        <v>298278</v>
      </c>
      <c r="Q917" s="12"/>
    </row>
    <row r="918" spans="1:17" ht="23.25" customHeight="1" x14ac:dyDescent="0.15">
      <c r="D918" s="12"/>
      <c r="E918" s="12"/>
      <c r="F918" s="31"/>
      <c r="G918" s="15"/>
      <c r="H918" s="15"/>
      <c r="I918" s="53"/>
      <c r="J918" s="15"/>
      <c r="K918" s="15"/>
      <c r="L918" s="53"/>
      <c r="M918" s="15"/>
      <c r="N918" s="53"/>
      <c r="O918" s="15"/>
      <c r="P918" s="15"/>
      <c r="Q918" s="12"/>
    </row>
    <row r="919" spans="1:17" ht="23.25" customHeight="1" x14ac:dyDescent="0.15">
      <c r="A919" s="13" t="s">
        <v>2745</v>
      </c>
      <c r="B919" s="13" t="s">
        <v>2382</v>
      </c>
      <c r="C919" s="1" t="s">
        <v>2746</v>
      </c>
      <c r="D919" s="170" t="s">
        <v>2744</v>
      </c>
      <c r="E919" s="172"/>
      <c r="F919" s="31"/>
      <c r="G919" s="15"/>
      <c r="H919" s="15"/>
      <c r="I919" s="53"/>
      <c r="J919" s="15"/>
      <c r="K919" s="15"/>
      <c r="L919" s="53"/>
      <c r="M919" s="15"/>
      <c r="N919" s="53"/>
      <c r="O919" s="15"/>
      <c r="P919" s="15"/>
      <c r="Q919" s="12"/>
    </row>
    <row r="920" spans="1:17" ht="23.25" customHeight="1" x14ac:dyDescent="0.15">
      <c r="A920" s="13" t="s">
        <v>1171</v>
      </c>
      <c r="B920" s="13" t="s">
        <v>2061</v>
      </c>
      <c r="C920" s="1" t="s">
        <v>561</v>
      </c>
      <c r="D920" s="12" t="s">
        <v>557</v>
      </c>
      <c r="E920" s="12" t="s">
        <v>562</v>
      </c>
      <c r="F920" s="31" t="s">
        <v>559</v>
      </c>
      <c r="G920" s="15">
        <v>1</v>
      </c>
      <c r="H920" s="15">
        <f>합산자재!H147</f>
        <v>300000</v>
      </c>
      <c r="I920" s="53">
        <f>IF(G920*H920&lt;&gt;0, TRUNC(G920*H920, 1), "")</f>
        <v>300000</v>
      </c>
      <c r="J920" s="15">
        <v>1</v>
      </c>
      <c r="K920" s="15">
        <f>합산자재!I147</f>
        <v>0</v>
      </c>
      <c r="L920" s="53" t="str">
        <f>IF(G920*K920&lt;&gt;0, TRUNC(G920*K920, 1), "")</f>
        <v/>
      </c>
      <c r="M920" s="15">
        <f>합산자재!J147</f>
        <v>0</v>
      </c>
      <c r="N920" s="53" t="str">
        <f>IF(G920*M920&lt;&gt;0, TRUNC(G920*M920, 1), "")</f>
        <v/>
      </c>
      <c r="O920" s="15">
        <f>IF((H920+K920+M920)=0, "", (H920+K920+M920))</f>
        <v>300000</v>
      </c>
      <c r="P920" s="15">
        <f>IF(SUM(I920,L920,N920)&lt;&gt;0,SUM(I920,L920,N920),"")</f>
        <v>300000</v>
      </c>
      <c r="Q920" s="12"/>
    </row>
    <row r="921" spans="1:17" ht="23.25" customHeight="1" x14ac:dyDescent="0.15">
      <c r="A921" s="13" t="s">
        <v>1372</v>
      </c>
      <c r="B921" s="13" t="s">
        <v>2061</v>
      </c>
      <c r="C921" s="1" t="s">
        <v>1002</v>
      </c>
      <c r="D921" s="12" t="s">
        <v>1003</v>
      </c>
      <c r="E921" s="12" t="s">
        <v>1004</v>
      </c>
      <c r="F921" s="31" t="s">
        <v>999</v>
      </c>
      <c r="G921" s="15">
        <f>일위노임!G413</f>
        <v>0.66</v>
      </c>
      <c r="H921" s="15">
        <f>합산자재!H345</f>
        <v>0</v>
      </c>
      <c r="I921" s="53" t="str">
        <f>IF(G921*H921&lt;&gt;0, TRUNC(G921*H921, 1), "")</f>
        <v/>
      </c>
      <c r="J921" s="15">
        <v>0.66</v>
      </c>
      <c r="K921" s="15">
        <f>합산자재!I345</f>
        <v>273676</v>
      </c>
      <c r="L921" s="53">
        <f>IF(G921*K921&lt;&gt;0, TRUNC(G921*K921, 1), "")</f>
        <v>180626.1</v>
      </c>
      <c r="M921" s="15">
        <f>합산자재!J345</f>
        <v>0</v>
      </c>
      <c r="N921" s="53" t="str">
        <f>IF(G921*M921&lt;&gt;0, TRUNC(G921*M921, 1), "")</f>
        <v/>
      </c>
      <c r="O921" s="15">
        <f>IF((H921+K921+M921)=0, "", (H921+K921+M921))</f>
        <v>273676</v>
      </c>
      <c r="P921" s="15">
        <f>IF(SUM(I921,L921,N921)&lt;&gt;0,SUM(I921,L921,N921),"")</f>
        <v>180626.1</v>
      </c>
      <c r="Q921" s="12"/>
    </row>
    <row r="922" spans="1:17" ht="23.25" customHeight="1" x14ac:dyDescent="0.15">
      <c r="A922" s="13" t="s">
        <v>2362</v>
      </c>
      <c r="B922" s="13" t="s">
        <v>2061</v>
      </c>
      <c r="C922" s="1" t="s">
        <v>2363</v>
      </c>
      <c r="D922" s="12" t="s">
        <v>2364</v>
      </c>
      <c r="E922" s="12" t="s">
        <v>2365</v>
      </c>
      <c r="F922" s="31" t="s">
        <v>792</v>
      </c>
      <c r="G922" s="15">
        <v>1</v>
      </c>
      <c r="H922" s="15">
        <v>3612.5</v>
      </c>
      <c r="I922" s="53">
        <f>IF(G922*H922&lt;&gt;0, TRUNC(G922*H922, 1), "")</f>
        <v>3612.5</v>
      </c>
      <c r="J922" s="15">
        <v>1</v>
      </c>
      <c r="K922" s="15"/>
      <c r="L922" s="53" t="str">
        <f>IF(G922*K922&lt;&gt;0, TRUNC(G922*K922, 1), "")</f>
        <v/>
      </c>
      <c r="M922" s="15"/>
      <c r="N922" s="53" t="str">
        <f>IF(G922*M922&lt;&gt;0, TRUNC(G922*M922, 1), "")</f>
        <v/>
      </c>
      <c r="O922" s="15">
        <f>IF((H922+K922+M922)=0, "", (H922+K922+M922))</f>
        <v>3612.5</v>
      </c>
      <c r="P922" s="15">
        <f>IF(SUM(I922,L922,N922)&lt;&gt;0,SUM(I922,L922,N922),"")</f>
        <v>3612.5</v>
      </c>
      <c r="Q922" s="12"/>
    </row>
    <row r="923" spans="1:17" ht="23.25" customHeight="1" x14ac:dyDescent="0.15">
      <c r="B923" s="13" t="s">
        <v>2360</v>
      </c>
      <c r="D923" s="12" t="s">
        <v>2361</v>
      </c>
      <c r="E923" s="12"/>
      <c r="F923" s="31"/>
      <c r="G923" s="15"/>
      <c r="H923" s="15"/>
      <c r="I923" s="53">
        <f>TRUNC(SUM(I919:I922))</f>
        <v>303612</v>
      </c>
      <c r="J923" s="15"/>
      <c r="K923" s="15"/>
      <c r="L923" s="53">
        <f>TRUNC(SUM(L919:L922))</f>
        <v>180626</v>
      </c>
      <c r="M923" s="15"/>
      <c r="N923" s="53">
        <f>TRUNC(SUM(N919:N922))</f>
        <v>0</v>
      </c>
      <c r="O923" s="15" t="str">
        <f>IF((H923+K923+M923)=0, "", (H923+K923+M923))</f>
        <v/>
      </c>
      <c r="P923" s="15">
        <f>IF(SUM(I923,L923,N923)&lt;&gt;0,SUM(I923,L923,N923),"")</f>
        <v>484238</v>
      </c>
      <c r="Q923" s="12"/>
    </row>
    <row r="924" spans="1:17" ht="23.25" customHeight="1" x14ac:dyDescent="0.15">
      <c r="D924" s="12"/>
      <c r="E924" s="12"/>
      <c r="F924" s="31"/>
      <c r="G924" s="15"/>
      <c r="H924" s="15"/>
      <c r="I924" s="53"/>
      <c r="J924" s="15"/>
      <c r="K924" s="15"/>
      <c r="L924" s="53"/>
      <c r="M924" s="15"/>
      <c r="N924" s="53"/>
      <c r="O924" s="15"/>
      <c r="P924" s="15"/>
      <c r="Q924" s="12"/>
    </row>
    <row r="925" spans="1:17" ht="23.25" customHeight="1" x14ac:dyDescent="0.15">
      <c r="A925" s="13" t="s">
        <v>2748</v>
      </c>
      <c r="B925" s="13" t="s">
        <v>2382</v>
      </c>
      <c r="C925" s="1" t="s">
        <v>2749</v>
      </c>
      <c r="D925" s="170" t="s">
        <v>2747</v>
      </c>
      <c r="E925" s="172"/>
      <c r="F925" s="31"/>
      <c r="G925" s="15"/>
      <c r="H925" s="15"/>
      <c r="I925" s="53"/>
      <c r="J925" s="15"/>
      <c r="K925" s="15"/>
      <c r="L925" s="53"/>
      <c r="M925" s="15"/>
      <c r="N925" s="53"/>
      <c r="O925" s="15"/>
      <c r="P925" s="15"/>
      <c r="Q925" s="12"/>
    </row>
    <row r="926" spans="1:17" ht="23.25" customHeight="1" x14ac:dyDescent="0.15">
      <c r="A926" s="13" t="s">
        <v>1172</v>
      </c>
      <c r="B926" s="13" t="s">
        <v>2064</v>
      </c>
      <c r="C926" s="1" t="s">
        <v>564</v>
      </c>
      <c r="D926" s="12" t="s">
        <v>565</v>
      </c>
      <c r="E926" s="12" t="s">
        <v>566</v>
      </c>
      <c r="F926" s="31" t="s">
        <v>166</v>
      </c>
      <c r="G926" s="15">
        <v>1</v>
      </c>
      <c r="H926" s="15">
        <f>합산자재!H148</f>
        <v>250</v>
      </c>
      <c r="I926" s="53">
        <f>IF(G926*H926&lt;&gt;0, TRUNC(G926*H926, 1), "")</f>
        <v>250</v>
      </c>
      <c r="J926" s="15">
        <v>1</v>
      </c>
      <c r="K926" s="15">
        <f>합산자재!I148</f>
        <v>0</v>
      </c>
      <c r="L926" s="53" t="str">
        <f>IF(G926*K926&lt;&gt;0, TRUNC(G926*K926, 1), "")</f>
        <v/>
      </c>
      <c r="M926" s="15">
        <f>합산자재!J148</f>
        <v>0</v>
      </c>
      <c r="N926" s="53" t="str">
        <f>IF(G926*M926&lt;&gt;0, TRUNC(G926*M926, 1), "")</f>
        <v/>
      </c>
      <c r="O926" s="15">
        <f>IF((H926+K926+M926)=0, "", (H926+K926+M926))</f>
        <v>250</v>
      </c>
      <c r="P926" s="15">
        <f>IF(SUM(I926,L926,N926)&lt;&gt;0,SUM(I926,L926,N926),"")</f>
        <v>250</v>
      </c>
      <c r="Q926" s="12"/>
    </row>
    <row r="927" spans="1:17" ht="23.25" customHeight="1" x14ac:dyDescent="0.15">
      <c r="A927" s="13" t="s">
        <v>1374</v>
      </c>
      <c r="B927" s="13" t="s">
        <v>2064</v>
      </c>
      <c r="C927" s="1" t="s">
        <v>1007</v>
      </c>
      <c r="D927" s="12" t="s">
        <v>1003</v>
      </c>
      <c r="E927" s="12" t="s">
        <v>1008</v>
      </c>
      <c r="F927" s="31" t="s">
        <v>999</v>
      </c>
      <c r="G927" s="15">
        <f>일위노임!G417</f>
        <v>5.0000000000000001E-4</v>
      </c>
      <c r="H927" s="15">
        <f>합산자재!H347</f>
        <v>0</v>
      </c>
      <c r="I927" s="53" t="str">
        <f>IF(G927*H927&lt;&gt;0, TRUNC(G927*H927, 1), "")</f>
        <v/>
      </c>
      <c r="J927" s="15">
        <v>5.0000000000000001E-4</v>
      </c>
      <c r="K927" s="15">
        <f>합산자재!I347</f>
        <v>373640</v>
      </c>
      <c r="L927" s="53">
        <f>IF(G927*K927&lt;&gt;0, TRUNC(G927*K927, 1), "")</f>
        <v>186.8</v>
      </c>
      <c r="M927" s="15">
        <f>합산자재!J347</f>
        <v>0</v>
      </c>
      <c r="N927" s="53" t="str">
        <f>IF(G927*M927&lt;&gt;0, TRUNC(G927*M927, 1), "")</f>
        <v/>
      </c>
      <c r="O927" s="15">
        <f>IF((H927+K927+M927)=0, "", (H927+K927+M927))</f>
        <v>373640</v>
      </c>
      <c r="P927" s="15">
        <f>IF(SUM(I927,L927,N927)&lt;&gt;0,SUM(I927,L927,N927),"")</f>
        <v>186.8</v>
      </c>
      <c r="Q927" s="12"/>
    </row>
    <row r="928" spans="1:17" ht="23.25" customHeight="1" x14ac:dyDescent="0.15">
      <c r="A928" s="13" t="s">
        <v>1379</v>
      </c>
      <c r="B928" s="13" t="s">
        <v>2064</v>
      </c>
      <c r="C928" s="1" t="s">
        <v>1017</v>
      </c>
      <c r="D928" s="12" t="s">
        <v>1003</v>
      </c>
      <c r="E928" s="12" t="s">
        <v>1018</v>
      </c>
      <c r="F928" s="31" t="s">
        <v>999</v>
      </c>
      <c r="G928" s="15">
        <f>일위노임!G418</f>
        <v>1E-3</v>
      </c>
      <c r="H928" s="15">
        <f>합산자재!H352</f>
        <v>0</v>
      </c>
      <c r="I928" s="53" t="str">
        <f>IF(G928*H928&lt;&gt;0, TRUNC(G928*H928, 1), "")</f>
        <v/>
      </c>
      <c r="J928" s="15">
        <v>1E-3</v>
      </c>
      <c r="K928" s="15">
        <f>합산자재!I352</f>
        <v>172068</v>
      </c>
      <c r="L928" s="53">
        <f>IF(G928*K928&lt;&gt;0, TRUNC(G928*K928, 1), "")</f>
        <v>172</v>
      </c>
      <c r="M928" s="15">
        <f>합산자재!J352</f>
        <v>0</v>
      </c>
      <c r="N928" s="53" t="str">
        <f>IF(G928*M928&lt;&gt;0, TRUNC(G928*M928, 1), "")</f>
        <v/>
      </c>
      <c r="O928" s="15">
        <f>IF((H928+K928+M928)=0, "", (H928+K928+M928))</f>
        <v>172068</v>
      </c>
      <c r="P928" s="15">
        <f>IF(SUM(I928,L928,N928)&lt;&gt;0,SUM(I928,L928,N928),"")</f>
        <v>172</v>
      </c>
      <c r="Q928" s="12"/>
    </row>
    <row r="929" spans="1:17" ht="23.25" customHeight="1" x14ac:dyDescent="0.15">
      <c r="A929" s="13" t="s">
        <v>2362</v>
      </c>
      <c r="B929" s="13" t="s">
        <v>2064</v>
      </c>
      <c r="C929" s="1" t="s">
        <v>2363</v>
      </c>
      <c r="D929" s="12" t="s">
        <v>2364</v>
      </c>
      <c r="E929" s="12" t="s">
        <v>2365</v>
      </c>
      <c r="F929" s="31" t="s">
        <v>792</v>
      </c>
      <c r="G929" s="15">
        <v>1</v>
      </c>
      <c r="H929" s="15">
        <v>7.1</v>
      </c>
      <c r="I929" s="53">
        <f>IF(G929*H929&lt;&gt;0, TRUNC(G929*H929, 1), "")</f>
        <v>7.1</v>
      </c>
      <c r="J929" s="15">
        <v>1</v>
      </c>
      <c r="K929" s="15"/>
      <c r="L929" s="53" t="str">
        <f>IF(G929*K929&lt;&gt;0, TRUNC(G929*K929, 1), "")</f>
        <v/>
      </c>
      <c r="M929" s="15"/>
      <c r="N929" s="53" t="str">
        <f>IF(G929*M929&lt;&gt;0, TRUNC(G929*M929, 1), "")</f>
        <v/>
      </c>
      <c r="O929" s="15">
        <f>IF((H929+K929+M929)=0, "", (H929+K929+M929))</f>
        <v>7.1</v>
      </c>
      <c r="P929" s="15">
        <f>IF(SUM(I929,L929,N929)&lt;&gt;0,SUM(I929,L929,N929),"")</f>
        <v>7.1</v>
      </c>
      <c r="Q929" s="12"/>
    </row>
    <row r="930" spans="1:17" ht="23.25" customHeight="1" x14ac:dyDescent="0.15">
      <c r="B930" s="13" t="s">
        <v>2360</v>
      </c>
      <c r="D930" s="12" t="s">
        <v>2361</v>
      </c>
      <c r="E930" s="12"/>
      <c r="F930" s="31"/>
      <c r="G930" s="15"/>
      <c r="H930" s="15"/>
      <c r="I930" s="53">
        <f>TRUNC(SUM(I925:I929))</f>
        <v>257</v>
      </c>
      <c r="J930" s="15"/>
      <c r="K930" s="15"/>
      <c r="L930" s="53">
        <f>TRUNC(SUM(L925:L929))</f>
        <v>358</v>
      </c>
      <c r="M930" s="15"/>
      <c r="N930" s="53">
        <f>TRUNC(SUM(N925:N929))</f>
        <v>0</v>
      </c>
      <c r="O930" s="15" t="str">
        <f>IF((H930+K930+M930)=0, "", (H930+K930+M930))</f>
        <v/>
      </c>
      <c r="P930" s="15">
        <f>IF(SUM(I930,L930,N930)&lt;&gt;0,SUM(I930,L930,N930),"")</f>
        <v>615</v>
      </c>
      <c r="Q930" s="12"/>
    </row>
    <row r="931" spans="1:17" ht="23.25" customHeight="1" x14ac:dyDescent="0.15">
      <c r="D931" s="12"/>
      <c r="E931" s="12"/>
      <c r="F931" s="31"/>
      <c r="G931" s="15"/>
      <c r="H931" s="15"/>
      <c r="I931" s="53"/>
      <c r="J931" s="15"/>
      <c r="K931" s="15"/>
      <c r="L931" s="53"/>
      <c r="M931" s="15"/>
      <c r="N931" s="53"/>
      <c r="O931" s="15"/>
      <c r="P931" s="15"/>
      <c r="Q931" s="12"/>
    </row>
    <row r="932" spans="1:17" ht="23.25" customHeight="1" x14ac:dyDescent="0.15">
      <c r="A932" s="13" t="s">
        <v>2751</v>
      </c>
      <c r="B932" s="13" t="s">
        <v>2382</v>
      </c>
      <c r="C932" s="1" t="s">
        <v>2752</v>
      </c>
      <c r="D932" s="170" t="s">
        <v>2750</v>
      </c>
      <c r="E932" s="172"/>
      <c r="F932" s="31"/>
      <c r="G932" s="15"/>
      <c r="H932" s="15"/>
      <c r="I932" s="53"/>
      <c r="J932" s="15"/>
      <c r="K932" s="15"/>
      <c r="L932" s="53"/>
      <c r="M932" s="15"/>
      <c r="N932" s="53"/>
      <c r="O932" s="15"/>
      <c r="P932" s="15"/>
      <c r="Q932" s="12"/>
    </row>
    <row r="933" spans="1:17" ht="23.25" customHeight="1" x14ac:dyDescent="0.15">
      <c r="A933" s="13" t="s">
        <v>1173</v>
      </c>
      <c r="B933" s="13" t="s">
        <v>2067</v>
      </c>
      <c r="C933" s="1" t="s">
        <v>567</v>
      </c>
      <c r="D933" s="12" t="s">
        <v>568</v>
      </c>
      <c r="E933" s="12" t="s">
        <v>566</v>
      </c>
      <c r="F933" s="31" t="s">
        <v>166</v>
      </c>
      <c r="G933" s="15">
        <v>1</v>
      </c>
      <c r="H933" s="15">
        <f>합산자재!H149</f>
        <v>450</v>
      </c>
      <c r="I933" s="53">
        <f>IF(G933*H933&lt;&gt;0, TRUNC(G933*H933, 1), "")</f>
        <v>450</v>
      </c>
      <c r="J933" s="15">
        <v>1</v>
      </c>
      <c r="K933" s="15">
        <f>합산자재!I149</f>
        <v>0</v>
      </c>
      <c r="L933" s="53" t="str">
        <f>IF(G933*K933&lt;&gt;0, TRUNC(G933*K933, 1), "")</f>
        <v/>
      </c>
      <c r="M933" s="15">
        <f>합산자재!J149</f>
        <v>0</v>
      </c>
      <c r="N933" s="53" t="str">
        <f>IF(G933*M933&lt;&gt;0, TRUNC(G933*M933, 1), "")</f>
        <v/>
      </c>
      <c r="O933" s="15">
        <f>IF((H933+K933+M933)=0, "", (H933+K933+M933))</f>
        <v>450</v>
      </c>
      <c r="P933" s="15">
        <f>IF(SUM(I933,L933,N933)&lt;&gt;0,SUM(I933,L933,N933),"")</f>
        <v>450</v>
      </c>
      <c r="Q933" s="12"/>
    </row>
    <row r="934" spans="1:17" ht="23.25" customHeight="1" x14ac:dyDescent="0.15">
      <c r="A934" s="13" t="s">
        <v>1374</v>
      </c>
      <c r="B934" s="13" t="s">
        <v>2067</v>
      </c>
      <c r="C934" s="1" t="s">
        <v>1007</v>
      </c>
      <c r="D934" s="12" t="s">
        <v>1003</v>
      </c>
      <c r="E934" s="12" t="s">
        <v>1008</v>
      </c>
      <c r="F934" s="31" t="s">
        <v>999</v>
      </c>
      <c r="G934" s="15">
        <f>일위노임!G422</f>
        <v>5.0000000000000001E-4</v>
      </c>
      <c r="H934" s="15">
        <f>합산자재!H347</f>
        <v>0</v>
      </c>
      <c r="I934" s="53" t="str">
        <f>IF(G934*H934&lt;&gt;0, TRUNC(G934*H934, 1), "")</f>
        <v/>
      </c>
      <c r="J934" s="15">
        <v>5.0000000000000001E-4</v>
      </c>
      <c r="K934" s="15">
        <f>합산자재!I347</f>
        <v>373640</v>
      </c>
      <c r="L934" s="53">
        <f>IF(G934*K934&lt;&gt;0, TRUNC(G934*K934, 1), "")</f>
        <v>186.8</v>
      </c>
      <c r="M934" s="15">
        <f>합산자재!J347</f>
        <v>0</v>
      </c>
      <c r="N934" s="53" t="str">
        <f>IF(G934*M934&lt;&gt;0, TRUNC(G934*M934, 1), "")</f>
        <v/>
      </c>
      <c r="O934" s="15">
        <f>IF((H934+K934+M934)=0, "", (H934+K934+M934))</f>
        <v>373640</v>
      </c>
      <c r="P934" s="15">
        <f>IF(SUM(I934,L934,N934)&lt;&gt;0,SUM(I934,L934,N934),"")</f>
        <v>186.8</v>
      </c>
      <c r="Q934" s="12"/>
    </row>
    <row r="935" spans="1:17" ht="23.25" customHeight="1" x14ac:dyDescent="0.15">
      <c r="A935" s="13" t="s">
        <v>1379</v>
      </c>
      <c r="B935" s="13" t="s">
        <v>2067</v>
      </c>
      <c r="C935" s="1" t="s">
        <v>1017</v>
      </c>
      <c r="D935" s="12" t="s">
        <v>1003</v>
      </c>
      <c r="E935" s="12" t="s">
        <v>1018</v>
      </c>
      <c r="F935" s="31" t="s">
        <v>999</v>
      </c>
      <c r="G935" s="15">
        <f>일위노임!G423</f>
        <v>1E-3</v>
      </c>
      <c r="H935" s="15">
        <f>합산자재!H352</f>
        <v>0</v>
      </c>
      <c r="I935" s="53" t="str">
        <f>IF(G935*H935&lt;&gt;0, TRUNC(G935*H935, 1), "")</f>
        <v/>
      </c>
      <c r="J935" s="15">
        <v>1E-3</v>
      </c>
      <c r="K935" s="15">
        <f>합산자재!I352</f>
        <v>172068</v>
      </c>
      <c r="L935" s="53">
        <f>IF(G935*K935&lt;&gt;0, TRUNC(G935*K935, 1), "")</f>
        <v>172</v>
      </c>
      <c r="M935" s="15">
        <f>합산자재!J352</f>
        <v>0</v>
      </c>
      <c r="N935" s="53" t="str">
        <f>IF(G935*M935&lt;&gt;0, TRUNC(G935*M935, 1), "")</f>
        <v/>
      </c>
      <c r="O935" s="15">
        <f>IF((H935+K935+M935)=0, "", (H935+K935+M935))</f>
        <v>172068</v>
      </c>
      <c r="P935" s="15">
        <f>IF(SUM(I935,L935,N935)&lt;&gt;0,SUM(I935,L935,N935),"")</f>
        <v>172</v>
      </c>
      <c r="Q935" s="12"/>
    </row>
    <row r="936" spans="1:17" ht="23.25" customHeight="1" x14ac:dyDescent="0.15">
      <c r="A936" s="13" t="s">
        <v>2362</v>
      </c>
      <c r="B936" s="13" t="s">
        <v>2067</v>
      </c>
      <c r="C936" s="1" t="s">
        <v>2363</v>
      </c>
      <c r="D936" s="12" t="s">
        <v>2364</v>
      </c>
      <c r="E936" s="12" t="s">
        <v>2365</v>
      </c>
      <c r="F936" s="31" t="s">
        <v>792</v>
      </c>
      <c r="G936" s="15">
        <v>1</v>
      </c>
      <c r="H936" s="15">
        <v>7.1</v>
      </c>
      <c r="I936" s="53">
        <f>IF(G936*H936&lt;&gt;0, TRUNC(G936*H936, 1), "")</f>
        <v>7.1</v>
      </c>
      <c r="J936" s="15">
        <v>1</v>
      </c>
      <c r="K936" s="15"/>
      <c r="L936" s="53" t="str">
        <f>IF(G936*K936&lt;&gt;0, TRUNC(G936*K936, 1), "")</f>
        <v/>
      </c>
      <c r="M936" s="15"/>
      <c r="N936" s="53" t="str">
        <f>IF(G936*M936&lt;&gt;0, TRUNC(G936*M936, 1), "")</f>
        <v/>
      </c>
      <c r="O936" s="15">
        <f>IF((H936+K936+M936)=0, "", (H936+K936+M936))</f>
        <v>7.1</v>
      </c>
      <c r="P936" s="15">
        <f>IF(SUM(I936,L936,N936)&lt;&gt;0,SUM(I936,L936,N936),"")</f>
        <v>7.1</v>
      </c>
      <c r="Q936" s="12"/>
    </row>
    <row r="937" spans="1:17" ht="23.25" customHeight="1" x14ac:dyDescent="0.15">
      <c r="B937" s="13" t="s">
        <v>2360</v>
      </c>
      <c r="D937" s="12" t="s">
        <v>2361</v>
      </c>
      <c r="E937" s="12"/>
      <c r="F937" s="31"/>
      <c r="G937" s="15"/>
      <c r="H937" s="15"/>
      <c r="I937" s="53">
        <f>TRUNC(SUM(I932:I936))</f>
        <v>457</v>
      </c>
      <c r="J937" s="15"/>
      <c r="K937" s="15"/>
      <c r="L937" s="53">
        <f>TRUNC(SUM(L932:L936))</f>
        <v>358</v>
      </c>
      <c r="M937" s="15"/>
      <c r="N937" s="53">
        <f>TRUNC(SUM(N932:N936))</f>
        <v>0</v>
      </c>
      <c r="O937" s="15" t="str">
        <f>IF((H937+K937+M937)=0, "", (H937+K937+M937))</f>
        <v/>
      </c>
      <c r="P937" s="15">
        <f>IF(SUM(I937,L937,N937)&lt;&gt;0,SUM(I937,L937,N937),"")</f>
        <v>815</v>
      </c>
      <c r="Q937" s="12"/>
    </row>
    <row r="938" spans="1:17" ht="23.25" customHeight="1" x14ac:dyDescent="0.15">
      <c r="D938" s="12"/>
      <c r="E938" s="12"/>
      <c r="F938" s="31"/>
      <c r="G938" s="15"/>
      <c r="H938" s="15"/>
      <c r="I938" s="53"/>
      <c r="J938" s="15"/>
      <c r="K938" s="15"/>
      <c r="L938" s="53"/>
      <c r="M938" s="15"/>
      <c r="N938" s="53"/>
      <c r="O938" s="15"/>
      <c r="P938" s="15"/>
      <c r="Q938" s="12"/>
    </row>
    <row r="939" spans="1:17" ht="23.25" customHeight="1" x14ac:dyDescent="0.15">
      <c r="A939" s="13" t="s">
        <v>2754</v>
      </c>
      <c r="B939" s="13" t="s">
        <v>2382</v>
      </c>
      <c r="C939" s="1" t="s">
        <v>2755</v>
      </c>
      <c r="D939" s="170" t="s">
        <v>2753</v>
      </c>
      <c r="E939" s="172"/>
      <c r="F939" s="31"/>
      <c r="G939" s="15"/>
      <c r="H939" s="15"/>
      <c r="I939" s="53"/>
      <c r="J939" s="15"/>
      <c r="K939" s="15"/>
      <c r="L939" s="53"/>
      <c r="M939" s="15"/>
      <c r="N939" s="53"/>
      <c r="O939" s="15"/>
      <c r="P939" s="15"/>
      <c r="Q939" s="12"/>
    </row>
    <row r="940" spans="1:17" ht="23.25" customHeight="1" x14ac:dyDescent="0.15">
      <c r="A940" s="13" t="s">
        <v>1176</v>
      </c>
      <c r="B940" s="13" t="s">
        <v>2070</v>
      </c>
      <c r="C940" s="1" t="s">
        <v>575</v>
      </c>
      <c r="D940" s="12" t="s">
        <v>576</v>
      </c>
      <c r="E940" s="12" t="s">
        <v>577</v>
      </c>
      <c r="F940" s="31" t="s">
        <v>578</v>
      </c>
      <c r="G940" s="15">
        <v>1</v>
      </c>
      <c r="H940" s="15">
        <f>합산자재!H152</f>
        <v>179040</v>
      </c>
      <c r="I940" s="53">
        <f>IF(G940*H940&lt;&gt;0, TRUNC(G940*H940, 1), "")</f>
        <v>179040</v>
      </c>
      <c r="J940" s="15">
        <v>1</v>
      </c>
      <c r="K940" s="15">
        <f>합산자재!I152</f>
        <v>0</v>
      </c>
      <c r="L940" s="53" t="str">
        <f>IF(G940*K940&lt;&gt;0, TRUNC(G940*K940, 1), "")</f>
        <v/>
      </c>
      <c r="M940" s="15">
        <f>합산자재!J152</f>
        <v>0</v>
      </c>
      <c r="N940" s="53" t="str">
        <f>IF(G940*M940&lt;&gt;0, TRUNC(G940*M940, 1), "")</f>
        <v/>
      </c>
      <c r="O940" s="15">
        <f>IF((H940+K940+M940)=0, "", (H940+K940+M940))</f>
        <v>179040</v>
      </c>
      <c r="P940" s="15">
        <f>IF(SUM(I940,L940,N940)&lt;&gt;0,SUM(I940,L940,N940),"")</f>
        <v>179040</v>
      </c>
      <c r="Q940" s="12"/>
    </row>
    <row r="941" spans="1:17" ht="23.25" customHeight="1" x14ac:dyDescent="0.15">
      <c r="A941" s="13" t="s">
        <v>1375</v>
      </c>
      <c r="B941" s="13" t="s">
        <v>2070</v>
      </c>
      <c r="C941" s="1" t="s">
        <v>1009</v>
      </c>
      <c r="D941" s="12" t="s">
        <v>1003</v>
      </c>
      <c r="E941" s="12" t="s">
        <v>1010</v>
      </c>
      <c r="F941" s="31" t="s">
        <v>999</v>
      </c>
      <c r="G941" s="15">
        <f>일위노임!G426</f>
        <v>0.47599999999999998</v>
      </c>
      <c r="H941" s="15">
        <f>합산자재!H348</f>
        <v>0</v>
      </c>
      <c r="I941" s="53" t="str">
        <f>IF(G941*H941&lt;&gt;0, TRUNC(G941*H941, 1), "")</f>
        <v/>
      </c>
      <c r="J941" s="15">
        <v>0.47599999999999998</v>
      </c>
      <c r="K941" s="15">
        <f>합산자재!I348</f>
        <v>440616</v>
      </c>
      <c r="L941" s="53">
        <f>IF(G941*K941&lt;&gt;0, TRUNC(G941*K941, 1), "")</f>
        <v>209733.2</v>
      </c>
      <c r="M941" s="15">
        <f>합산자재!J348</f>
        <v>0</v>
      </c>
      <c r="N941" s="53" t="str">
        <f>IF(G941*M941&lt;&gt;0, TRUNC(G941*M941, 1), "")</f>
        <v/>
      </c>
      <c r="O941" s="15">
        <f>IF((H941+K941+M941)=0, "", (H941+K941+M941))</f>
        <v>440616</v>
      </c>
      <c r="P941" s="15">
        <f>IF(SUM(I941,L941,N941)&lt;&gt;0,SUM(I941,L941,N941),"")</f>
        <v>209733.2</v>
      </c>
      <c r="Q941" s="12"/>
    </row>
    <row r="942" spans="1:17" ht="23.25" customHeight="1" x14ac:dyDescent="0.15">
      <c r="A942" s="13" t="s">
        <v>2362</v>
      </c>
      <c r="B942" s="13" t="s">
        <v>2070</v>
      </c>
      <c r="C942" s="1" t="s">
        <v>2363</v>
      </c>
      <c r="D942" s="12" t="s">
        <v>2364</v>
      </c>
      <c r="E942" s="12" t="s">
        <v>2365</v>
      </c>
      <c r="F942" s="31" t="s">
        <v>792</v>
      </c>
      <c r="G942" s="15">
        <v>1</v>
      </c>
      <c r="H942" s="15">
        <v>4194.6000000000004</v>
      </c>
      <c r="I942" s="53">
        <f>IF(G942*H942&lt;&gt;0, TRUNC(G942*H942, 1), "")</f>
        <v>4194.6000000000004</v>
      </c>
      <c r="J942" s="15">
        <v>1</v>
      </c>
      <c r="K942" s="15"/>
      <c r="L942" s="53" t="str">
        <f>IF(G942*K942&lt;&gt;0, TRUNC(G942*K942, 1), "")</f>
        <v/>
      </c>
      <c r="M942" s="15"/>
      <c r="N942" s="53" t="str">
        <f>IF(G942*M942&lt;&gt;0, TRUNC(G942*M942, 1), "")</f>
        <v/>
      </c>
      <c r="O942" s="15">
        <f>IF((H942+K942+M942)=0, "", (H942+K942+M942))</f>
        <v>4194.6000000000004</v>
      </c>
      <c r="P942" s="15">
        <f>IF(SUM(I942,L942,N942)&lt;&gt;0,SUM(I942,L942,N942),"")</f>
        <v>4194.6000000000004</v>
      </c>
      <c r="Q942" s="12"/>
    </row>
    <row r="943" spans="1:17" ht="23.25" customHeight="1" x14ac:dyDescent="0.15">
      <c r="B943" s="13" t="s">
        <v>2360</v>
      </c>
      <c r="D943" s="12" t="s">
        <v>2361</v>
      </c>
      <c r="E943" s="12"/>
      <c r="F943" s="31"/>
      <c r="G943" s="15"/>
      <c r="H943" s="15"/>
      <c r="I943" s="53">
        <f>TRUNC(SUM(I939:I942))</f>
        <v>183234</v>
      </c>
      <c r="J943" s="15"/>
      <c r="K943" s="15"/>
      <c r="L943" s="53">
        <f>TRUNC(SUM(L939:L942))</f>
        <v>209733</v>
      </c>
      <c r="M943" s="15"/>
      <c r="N943" s="53">
        <f>TRUNC(SUM(N939:N942))</f>
        <v>0</v>
      </c>
      <c r="O943" s="15" t="str">
        <f>IF((H943+K943+M943)=0, "", (H943+K943+M943))</f>
        <v/>
      </c>
      <c r="P943" s="15">
        <f>IF(SUM(I943,L943,N943)&lt;&gt;0,SUM(I943,L943,N943),"")</f>
        <v>392967</v>
      </c>
      <c r="Q943" s="12"/>
    </row>
    <row r="944" spans="1:17" ht="23.25" customHeight="1" x14ac:dyDescent="0.15">
      <c r="D944" s="12"/>
      <c r="E944" s="12"/>
      <c r="F944" s="31"/>
      <c r="G944" s="15"/>
      <c r="H944" s="15"/>
      <c r="I944" s="53"/>
      <c r="J944" s="15"/>
      <c r="K944" s="15"/>
      <c r="L944" s="53"/>
      <c r="M944" s="15"/>
      <c r="N944" s="53"/>
      <c r="O944" s="15"/>
      <c r="P944" s="15"/>
      <c r="Q944" s="12"/>
    </row>
    <row r="945" spans="1:17" ht="23.25" customHeight="1" x14ac:dyDescent="0.15">
      <c r="A945" s="13" t="s">
        <v>2757</v>
      </c>
      <c r="B945" s="13" t="s">
        <v>2382</v>
      </c>
      <c r="C945" s="1" t="s">
        <v>2758</v>
      </c>
      <c r="D945" s="170" t="s">
        <v>2756</v>
      </c>
      <c r="E945" s="172"/>
      <c r="F945" s="31"/>
      <c r="G945" s="15"/>
      <c r="H945" s="15"/>
      <c r="I945" s="53"/>
      <c r="J945" s="15"/>
      <c r="K945" s="15"/>
      <c r="L945" s="53"/>
      <c r="M945" s="15"/>
      <c r="N945" s="53"/>
      <c r="O945" s="15"/>
      <c r="P945" s="15"/>
      <c r="Q945" s="12"/>
    </row>
    <row r="946" spans="1:17" ht="23.25" customHeight="1" x14ac:dyDescent="0.15">
      <c r="A946" s="13" t="s">
        <v>1177</v>
      </c>
      <c r="B946" s="13" t="s">
        <v>2073</v>
      </c>
      <c r="C946" s="1" t="s">
        <v>582</v>
      </c>
      <c r="D946" s="12" t="s">
        <v>583</v>
      </c>
      <c r="E946" s="12" t="s">
        <v>584</v>
      </c>
      <c r="F946" s="31" t="s">
        <v>200</v>
      </c>
      <c r="G946" s="15">
        <v>1</v>
      </c>
      <c r="H946" s="15">
        <f>합산자재!H153</f>
        <v>446</v>
      </c>
      <c r="I946" s="53">
        <f>IF(G946*H946&lt;&gt;0, TRUNC(G946*H946, 1), "")</f>
        <v>446</v>
      </c>
      <c r="J946" s="15">
        <v>1</v>
      </c>
      <c r="K946" s="15">
        <f>합산자재!I153</f>
        <v>0</v>
      </c>
      <c r="L946" s="53" t="str">
        <f>IF(G946*K946&lt;&gt;0, TRUNC(G946*K946, 1), "")</f>
        <v/>
      </c>
      <c r="M946" s="15">
        <f>합산자재!J153</f>
        <v>0</v>
      </c>
      <c r="N946" s="53" t="str">
        <f>IF(G946*M946&lt;&gt;0, TRUNC(G946*M946, 1), "")</f>
        <v/>
      </c>
      <c r="O946" s="15">
        <f>IF((H946+K946+M946)=0, "", (H946+K946+M946))</f>
        <v>446</v>
      </c>
      <c r="P946" s="15">
        <f>IF(SUM(I946,L946,N946)&lt;&gt;0,SUM(I946,L946,N946),"")</f>
        <v>446</v>
      </c>
      <c r="Q946" s="12"/>
    </row>
    <row r="947" spans="1:17" ht="23.25" customHeight="1" x14ac:dyDescent="0.15">
      <c r="A947" s="13" t="s">
        <v>1373</v>
      </c>
      <c r="B947" s="13" t="s">
        <v>2073</v>
      </c>
      <c r="C947" s="1" t="s">
        <v>1005</v>
      </c>
      <c r="D947" s="12" t="s">
        <v>1003</v>
      </c>
      <c r="E947" s="12" t="s">
        <v>1006</v>
      </c>
      <c r="F947" s="31" t="s">
        <v>999</v>
      </c>
      <c r="G947" s="15">
        <f>일위노임!G429</f>
        <v>0.14399999999999999</v>
      </c>
      <c r="H947" s="15">
        <f>합산자재!H346</f>
        <v>0</v>
      </c>
      <c r="I947" s="53" t="str">
        <f>IF(G947*H947&lt;&gt;0, TRUNC(G947*H947, 1), "")</f>
        <v/>
      </c>
      <c r="J947" s="15">
        <v>0.14399999999999999</v>
      </c>
      <c r="K947" s="15">
        <f>합산자재!I346</f>
        <v>304156</v>
      </c>
      <c r="L947" s="53">
        <f>IF(G947*K947&lt;&gt;0, TRUNC(G947*K947, 1), "")</f>
        <v>43798.400000000001</v>
      </c>
      <c r="M947" s="15">
        <f>합산자재!J346</f>
        <v>0</v>
      </c>
      <c r="N947" s="53" t="str">
        <f>IF(G947*M947&lt;&gt;0, TRUNC(G947*M947, 1), "")</f>
        <v/>
      </c>
      <c r="O947" s="15">
        <f>IF((H947+K947+M947)=0, "", (H947+K947+M947))</f>
        <v>304156</v>
      </c>
      <c r="P947" s="15">
        <f>IF(SUM(I947,L947,N947)&lt;&gt;0,SUM(I947,L947,N947),"")</f>
        <v>43798.400000000001</v>
      </c>
      <c r="Q947" s="12"/>
    </row>
    <row r="948" spans="1:17" ht="23.25" customHeight="1" x14ac:dyDescent="0.15">
      <c r="A948" s="13" t="s">
        <v>2362</v>
      </c>
      <c r="B948" s="13" t="s">
        <v>2073</v>
      </c>
      <c r="C948" s="1" t="s">
        <v>2363</v>
      </c>
      <c r="D948" s="12" t="s">
        <v>2364</v>
      </c>
      <c r="E948" s="12" t="s">
        <v>2365</v>
      </c>
      <c r="F948" s="31" t="s">
        <v>792</v>
      </c>
      <c r="G948" s="15">
        <v>1</v>
      </c>
      <c r="H948" s="15">
        <v>875.9</v>
      </c>
      <c r="I948" s="53">
        <f>IF(G948*H948&lt;&gt;0, TRUNC(G948*H948, 1), "")</f>
        <v>875.9</v>
      </c>
      <c r="J948" s="15">
        <v>1</v>
      </c>
      <c r="K948" s="15"/>
      <c r="L948" s="53" t="str">
        <f>IF(G948*K948&lt;&gt;0, TRUNC(G948*K948, 1), "")</f>
        <v/>
      </c>
      <c r="M948" s="15"/>
      <c r="N948" s="53" t="str">
        <f>IF(G948*M948&lt;&gt;0, TRUNC(G948*M948, 1), "")</f>
        <v/>
      </c>
      <c r="O948" s="15">
        <f>IF((H948+K948+M948)=0, "", (H948+K948+M948))</f>
        <v>875.9</v>
      </c>
      <c r="P948" s="15">
        <f>IF(SUM(I948,L948,N948)&lt;&gt;0,SUM(I948,L948,N948),"")</f>
        <v>875.9</v>
      </c>
      <c r="Q948" s="12"/>
    </row>
    <row r="949" spans="1:17" ht="23.25" customHeight="1" x14ac:dyDescent="0.15">
      <c r="B949" s="13" t="s">
        <v>2360</v>
      </c>
      <c r="D949" s="12" t="s">
        <v>2361</v>
      </c>
      <c r="E949" s="12"/>
      <c r="F949" s="31"/>
      <c r="G949" s="15"/>
      <c r="H949" s="15"/>
      <c r="I949" s="53">
        <f>TRUNC(SUM(I945:I948))</f>
        <v>1321</v>
      </c>
      <c r="J949" s="15"/>
      <c r="K949" s="15"/>
      <c r="L949" s="53">
        <f>TRUNC(SUM(L945:L948))</f>
        <v>43798</v>
      </c>
      <c r="M949" s="15"/>
      <c r="N949" s="53">
        <f>TRUNC(SUM(N945:N948))</f>
        <v>0</v>
      </c>
      <c r="O949" s="15" t="str">
        <f>IF((H949+K949+M949)=0, "", (H949+K949+M949))</f>
        <v/>
      </c>
      <c r="P949" s="15">
        <f>IF(SUM(I949,L949,N949)&lt;&gt;0,SUM(I949,L949,N949),"")</f>
        <v>45119</v>
      </c>
      <c r="Q949" s="12"/>
    </row>
    <row r="950" spans="1:17" ht="23.25" customHeight="1" x14ac:dyDescent="0.15">
      <c r="D950" s="12"/>
      <c r="E950" s="12"/>
      <c r="F950" s="31"/>
      <c r="G950" s="15"/>
      <c r="H950" s="15"/>
      <c r="I950" s="53"/>
      <c r="J950" s="15"/>
      <c r="K950" s="15"/>
      <c r="L950" s="53"/>
      <c r="M950" s="15"/>
      <c r="N950" s="53"/>
      <c r="O950" s="15"/>
      <c r="P950" s="15"/>
      <c r="Q950" s="12"/>
    </row>
    <row r="951" spans="1:17" ht="23.25" customHeight="1" x14ac:dyDescent="0.15">
      <c r="A951" s="13" t="s">
        <v>2760</v>
      </c>
      <c r="B951" s="13" t="s">
        <v>2382</v>
      </c>
      <c r="C951" s="1" t="s">
        <v>2761</v>
      </c>
      <c r="D951" s="170" t="s">
        <v>2759</v>
      </c>
      <c r="E951" s="172"/>
      <c r="F951" s="31"/>
      <c r="G951" s="15"/>
      <c r="H951" s="15"/>
      <c r="I951" s="53"/>
      <c r="J951" s="15"/>
      <c r="K951" s="15"/>
      <c r="L951" s="53"/>
      <c r="M951" s="15"/>
      <c r="N951" s="53"/>
      <c r="O951" s="15"/>
      <c r="P951" s="15"/>
      <c r="Q951" s="12"/>
    </row>
    <row r="952" spans="1:17" ht="23.25" customHeight="1" x14ac:dyDescent="0.15">
      <c r="A952" s="13" t="s">
        <v>1178</v>
      </c>
      <c r="B952" s="13" t="s">
        <v>2076</v>
      </c>
      <c r="C952" s="1" t="s">
        <v>589</v>
      </c>
      <c r="D952" s="12" t="s">
        <v>583</v>
      </c>
      <c r="E952" s="12" t="s">
        <v>590</v>
      </c>
      <c r="F952" s="31" t="s">
        <v>200</v>
      </c>
      <c r="G952" s="15">
        <v>1</v>
      </c>
      <c r="H952" s="15">
        <f>합산자재!H154</f>
        <v>689</v>
      </c>
      <c r="I952" s="53">
        <f>IF(G952*H952&lt;&gt;0, TRUNC(G952*H952, 1), "")</f>
        <v>689</v>
      </c>
      <c r="J952" s="15">
        <v>1</v>
      </c>
      <c r="K952" s="15">
        <f>합산자재!I154</f>
        <v>0</v>
      </c>
      <c r="L952" s="53" t="str">
        <f>IF(G952*K952&lt;&gt;0, TRUNC(G952*K952, 1), "")</f>
        <v/>
      </c>
      <c r="M952" s="15">
        <f>합산자재!J154</f>
        <v>0</v>
      </c>
      <c r="N952" s="53" t="str">
        <f>IF(G952*M952&lt;&gt;0, TRUNC(G952*M952, 1), "")</f>
        <v/>
      </c>
      <c r="O952" s="15">
        <f>IF((H952+K952+M952)=0, "", (H952+K952+M952))</f>
        <v>689</v>
      </c>
      <c r="P952" s="15">
        <f>IF(SUM(I952,L952,N952)&lt;&gt;0,SUM(I952,L952,N952),"")</f>
        <v>689</v>
      </c>
      <c r="Q952" s="12"/>
    </row>
    <row r="953" spans="1:17" ht="23.25" customHeight="1" x14ac:dyDescent="0.15">
      <c r="A953" s="13" t="s">
        <v>1373</v>
      </c>
      <c r="B953" s="13" t="s">
        <v>2076</v>
      </c>
      <c r="C953" s="1" t="s">
        <v>1005</v>
      </c>
      <c r="D953" s="12" t="s">
        <v>1003</v>
      </c>
      <c r="E953" s="12" t="s">
        <v>1006</v>
      </c>
      <c r="F953" s="31" t="s">
        <v>999</v>
      </c>
      <c r="G953" s="15">
        <f>일위노임!G432</f>
        <v>0.16919999999999999</v>
      </c>
      <c r="H953" s="15">
        <f>합산자재!H346</f>
        <v>0</v>
      </c>
      <c r="I953" s="53" t="str">
        <f>IF(G953*H953&lt;&gt;0, TRUNC(G953*H953, 1), "")</f>
        <v/>
      </c>
      <c r="J953" s="15">
        <v>0.16919999999999999</v>
      </c>
      <c r="K953" s="15">
        <f>합산자재!I346</f>
        <v>304156</v>
      </c>
      <c r="L953" s="53">
        <f>IF(G953*K953&lt;&gt;0, TRUNC(G953*K953, 1), "")</f>
        <v>51463.1</v>
      </c>
      <c r="M953" s="15">
        <f>합산자재!J346</f>
        <v>0</v>
      </c>
      <c r="N953" s="53" t="str">
        <f>IF(G953*M953&lt;&gt;0, TRUNC(G953*M953, 1), "")</f>
        <v/>
      </c>
      <c r="O953" s="15">
        <f>IF((H953+K953+M953)=0, "", (H953+K953+M953))</f>
        <v>304156</v>
      </c>
      <c r="P953" s="15">
        <f>IF(SUM(I953,L953,N953)&lt;&gt;0,SUM(I953,L953,N953),"")</f>
        <v>51463.1</v>
      </c>
      <c r="Q953" s="12"/>
    </row>
    <row r="954" spans="1:17" ht="23.25" customHeight="1" x14ac:dyDescent="0.15">
      <c r="A954" s="13" t="s">
        <v>2362</v>
      </c>
      <c r="B954" s="13" t="s">
        <v>2076</v>
      </c>
      <c r="C954" s="1" t="s">
        <v>2363</v>
      </c>
      <c r="D954" s="12" t="s">
        <v>2364</v>
      </c>
      <c r="E954" s="12" t="s">
        <v>2365</v>
      </c>
      <c r="F954" s="31" t="s">
        <v>792</v>
      </c>
      <c r="G954" s="15">
        <v>1</v>
      </c>
      <c r="H954" s="15">
        <v>1029.2</v>
      </c>
      <c r="I954" s="53">
        <f>IF(G954*H954&lt;&gt;0, TRUNC(G954*H954, 1), "")</f>
        <v>1029.2</v>
      </c>
      <c r="J954" s="15">
        <v>1</v>
      </c>
      <c r="K954" s="15"/>
      <c r="L954" s="53" t="str">
        <f>IF(G954*K954&lt;&gt;0, TRUNC(G954*K954, 1), "")</f>
        <v/>
      </c>
      <c r="M954" s="15"/>
      <c r="N954" s="53" t="str">
        <f>IF(G954*M954&lt;&gt;0, TRUNC(G954*M954, 1), "")</f>
        <v/>
      </c>
      <c r="O954" s="15">
        <f>IF((H954+K954+M954)=0, "", (H954+K954+M954))</f>
        <v>1029.2</v>
      </c>
      <c r="P954" s="15">
        <f>IF(SUM(I954,L954,N954)&lt;&gt;0,SUM(I954,L954,N954),"")</f>
        <v>1029.2</v>
      </c>
      <c r="Q954" s="12"/>
    </row>
    <row r="955" spans="1:17" ht="23.25" customHeight="1" x14ac:dyDescent="0.15">
      <c r="B955" s="13" t="s">
        <v>2360</v>
      </c>
      <c r="D955" s="12" t="s">
        <v>2361</v>
      </c>
      <c r="E955" s="12"/>
      <c r="F955" s="31"/>
      <c r="G955" s="15"/>
      <c r="H955" s="15"/>
      <c r="I955" s="53">
        <f>TRUNC(SUM(I951:I954))</f>
        <v>1718</v>
      </c>
      <c r="J955" s="15"/>
      <c r="K955" s="15"/>
      <c r="L955" s="53">
        <f>TRUNC(SUM(L951:L954))</f>
        <v>51463</v>
      </c>
      <c r="M955" s="15"/>
      <c r="N955" s="53">
        <f>TRUNC(SUM(N951:N954))</f>
        <v>0</v>
      </c>
      <c r="O955" s="15" t="str">
        <f>IF((H955+K955+M955)=0, "", (H955+K955+M955))</f>
        <v/>
      </c>
      <c r="P955" s="15">
        <f>IF(SUM(I955,L955,N955)&lt;&gt;0,SUM(I955,L955,N955),"")</f>
        <v>53181</v>
      </c>
      <c r="Q955" s="12"/>
    </row>
    <row r="956" spans="1:17" ht="23.25" customHeight="1" x14ac:dyDescent="0.15">
      <c r="D956" s="12"/>
      <c r="E956" s="12"/>
      <c r="F956" s="31"/>
      <c r="G956" s="15"/>
      <c r="H956" s="15"/>
      <c r="I956" s="53"/>
      <c r="J956" s="15"/>
      <c r="K956" s="15"/>
      <c r="L956" s="53"/>
      <c r="M956" s="15"/>
      <c r="N956" s="53"/>
      <c r="O956" s="15"/>
      <c r="P956" s="15"/>
      <c r="Q956" s="12"/>
    </row>
    <row r="957" spans="1:17" ht="23.25" customHeight="1" x14ac:dyDescent="0.15">
      <c r="A957" s="13" t="s">
        <v>2763</v>
      </c>
      <c r="B957" s="13" t="s">
        <v>2382</v>
      </c>
      <c r="C957" s="1" t="s">
        <v>2764</v>
      </c>
      <c r="D957" s="170" t="s">
        <v>2762</v>
      </c>
      <c r="E957" s="172"/>
      <c r="F957" s="31"/>
      <c r="G957" s="15"/>
      <c r="H957" s="15"/>
      <c r="I957" s="53"/>
      <c r="J957" s="15"/>
      <c r="K957" s="15"/>
      <c r="L957" s="53"/>
      <c r="M957" s="15"/>
      <c r="N957" s="53"/>
      <c r="O957" s="15"/>
      <c r="P957" s="15"/>
      <c r="Q957" s="12"/>
    </row>
    <row r="958" spans="1:17" ht="23.25" customHeight="1" x14ac:dyDescent="0.15">
      <c r="A958" s="13" t="s">
        <v>1179</v>
      </c>
      <c r="B958" s="13" t="s">
        <v>2079</v>
      </c>
      <c r="C958" s="1" t="s">
        <v>591</v>
      </c>
      <c r="D958" s="12" t="s">
        <v>583</v>
      </c>
      <c r="E958" s="12" t="s">
        <v>592</v>
      </c>
      <c r="F958" s="31" t="s">
        <v>200</v>
      </c>
      <c r="G958" s="15">
        <v>1</v>
      </c>
      <c r="H958" s="15">
        <f>합산자재!H155</f>
        <v>2947</v>
      </c>
      <c r="I958" s="53">
        <f>IF(G958*H958&lt;&gt;0, TRUNC(G958*H958, 1), "")</f>
        <v>2947</v>
      </c>
      <c r="J958" s="15">
        <v>1</v>
      </c>
      <c r="K958" s="15">
        <f>합산자재!I155</f>
        <v>0</v>
      </c>
      <c r="L958" s="53" t="str">
        <f>IF(G958*K958&lt;&gt;0, TRUNC(G958*K958, 1), "")</f>
        <v/>
      </c>
      <c r="M958" s="15">
        <f>합산자재!J155</f>
        <v>0</v>
      </c>
      <c r="N958" s="53" t="str">
        <f>IF(G958*M958&lt;&gt;0, TRUNC(G958*M958, 1), "")</f>
        <v/>
      </c>
      <c r="O958" s="15">
        <f>IF((H958+K958+M958)=0, "", (H958+K958+M958))</f>
        <v>2947</v>
      </c>
      <c r="P958" s="15">
        <f>IF(SUM(I958,L958,N958)&lt;&gt;0,SUM(I958,L958,N958),"")</f>
        <v>2947</v>
      </c>
      <c r="Q958" s="12"/>
    </row>
    <row r="959" spans="1:17" ht="23.25" customHeight="1" x14ac:dyDescent="0.15">
      <c r="A959" s="13" t="s">
        <v>1373</v>
      </c>
      <c r="B959" s="13" t="s">
        <v>2079</v>
      </c>
      <c r="C959" s="1" t="s">
        <v>1005</v>
      </c>
      <c r="D959" s="12" t="s">
        <v>1003</v>
      </c>
      <c r="E959" s="12" t="s">
        <v>1006</v>
      </c>
      <c r="F959" s="31" t="s">
        <v>999</v>
      </c>
      <c r="G959" s="15">
        <f>일위노임!G435</f>
        <v>0.2772</v>
      </c>
      <c r="H959" s="15">
        <f>합산자재!H346</f>
        <v>0</v>
      </c>
      <c r="I959" s="53" t="str">
        <f>IF(G959*H959&lt;&gt;0, TRUNC(G959*H959, 1), "")</f>
        <v/>
      </c>
      <c r="J959" s="15">
        <v>0.2772</v>
      </c>
      <c r="K959" s="15">
        <f>합산자재!I346</f>
        <v>304156</v>
      </c>
      <c r="L959" s="53">
        <f>IF(G959*K959&lt;&gt;0, TRUNC(G959*K959, 1), "")</f>
        <v>84312</v>
      </c>
      <c r="M959" s="15">
        <f>합산자재!J346</f>
        <v>0</v>
      </c>
      <c r="N959" s="53" t="str">
        <f>IF(G959*M959&lt;&gt;0, TRUNC(G959*M959, 1), "")</f>
        <v/>
      </c>
      <c r="O959" s="15">
        <f>IF((H959+K959+M959)=0, "", (H959+K959+M959))</f>
        <v>304156</v>
      </c>
      <c r="P959" s="15">
        <f>IF(SUM(I959,L959,N959)&lt;&gt;0,SUM(I959,L959,N959),"")</f>
        <v>84312</v>
      </c>
      <c r="Q959" s="12"/>
    </row>
    <row r="960" spans="1:17" ht="23.25" customHeight="1" x14ac:dyDescent="0.15">
      <c r="A960" s="13" t="s">
        <v>2362</v>
      </c>
      <c r="B960" s="13" t="s">
        <v>2079</v>
      </c>
      <c r="C960" s="1" t="s">
        <v>2363</v>
      </c>
      <c r="D960" s="12" t="s">
        <v>2364</v>
      </c>
      <c r="E960" s="12" t="s">
        <v>2365</v>
      </c>
      <c r="F960" s="31" t="s">
        <v>792</v>
      </c>
      <c r="G960" s="15">
        <v>1</v>
      </c>
      <c r="H960" s="15">
        <v>1686.2</v>
      </c>
      <c r="I960" s="53">
        <f>IF(G960*H960&lt;&gt;0, TRUNC(G960*H960, 1), "")</f>
        <v>1686.2</v>
      </c>
      <c r="J960" s="15">
        <v>1</v>
      </c>
      <c r="K960" s="15"/>
      <c r="L960" s="53" t="str">
        <f>IF(G960*K960&lt;&gt;0, TRUNC(G960*K960, 1), "")</f>
        <v/>
      </c>
      <c r="M960" s="15"/>
      <c r="N960" s="53" t="str">
        <f>IF(G960*M960&lt;&gt;0, TRUNC(G960*M960, 1), "")</f>
        <v/>
      </c>
      <c r="O960" s="15">
        <f>IF((H960+K960+M960)=0, "", (H960+K960+M960))</f>
        <v>1686.2</v>
      </c>
      <c r="P960" s="15">
        <f>IF(SUM(I960,L960,N960)&lt;&gt;0,SUM(I960,L960,N960),"")</f>
        <v>1686.2</v>
      </c>
      <c r="Q960" s="12"/>
    </row>
    <row r="961" spans="1:17" ht="23.25" customHeight="1" x14ac:dyDescent="0.15">
      <c r="B961" s="13" t="s">
        <v>2360</v>
      </c>
      <c r="D961" s="12" t="s">
        <v>2361</v>
      </c>
      <c r="E961" s="12"/>
      <c r="F961" s="31"/>
      <c r="G961" s="15"/>
      <c r="H961" s="15"/>
      <c r="I961" s="53">
        <f>TRUNC(SUM(I957:I960))</f>
        <v>4633</v>
      </c>
      <c r="J961" s="15"/>
      <c r="K961" s="15"/>
      <c r="L961" s="53">
        <f>TRUNC(SUM(L957:L960))</f>
        <v>84312</v>
      </c>
      <c r="M961" s="15"/>
      <c r="N961" s="53">
        <f>TRUNC(SUM(N957:N960))</f>
        <v>0</v>
      </c>
      <c r="O961" s="15" t="str">
        <f>IF((H961+K961+M961)=0, "", (H961+K961+M961))</f>
        <v/>
      </c>
      <c r="P961" s="15">
        <f>IF(SUM(I961,L961,N961)&lt;&gt;0,SUM(I961,L961,N961),"")</f>
        <v>88945</v>
      </c>
      <c r="Q961" s="12"/>
    </row>
    <row r="962" spans="1:17" ht="23.25" customHeight="1" x14ac:dyDescent="0.15">
      <c r="D962" s="12"/>
      <c r="E962" s="12"/>
      <c r="F962" s="31"/>
      <c r="G962" s="15"/>
      <c r="H962" s="15"/>
      <c r="I962" s="53"/>
      <c r="J962" s="15"/>
      <c r="K962" s="15"/>
      <c r="L962" s="53"/>
      <c r="M962" s="15"/>
      <c r="N962" s="53"/>
      <c r="O962" s="15"/>
      <c r="P962" s="15"/>
      <c r="Q962" s="12"/>
    </row>
    <row r="963" spans="1:17" ht="23.25" customHeight="1" x14ac:dyDescent="0.15">
      <c r="A963" s="13" t="s">
        <v>2766</v>
      </c>
      <c r="B963" s="13" t="s">
        <v>2382</v>
      </c>
      <c r="C963" s="1" t="s">
        <v>2767</v>
      </c>
      <c r="D963" s="170" t="s">
        <v>2765</v>
      </c>
      <c r="E963" s="172"/>
      <c r="F963" s="31"/>
      <c r="G963" s="15"/>
      <c r="H963" s="15"/>
      <c r="I963" s="53"/>
      <c r="J963" s="15"/>
      <c r="K963" s="15"/>
      <c r="L963" s="53"/>
      <c r="M963" s="15"/>
      <c r="N963" s="53"/>
      <c r="O963" s="15"/>
      <c r="P963" s="15"/>
      <c r="Q963" s="12"/>
    </row>
    <row r="964" spans="1:17" ht="23.25" customHeight="1" x14ac:dyDescent="0.15">
      <c r="A964" s="13" t="s">
        <v>1180</v>
      </c>
      <c r="B964" s="13" t="s">
        <v>2082</v>
      </c>
      <c r="C964" s="1" t="s">
        <v>594</v>
      </c>
      <c r="D964" s="12" t="s">
        <v>595</v>
      </c>
      <c r="E964" s="12" t="s">
        <v>596</v>
      </c>
      <c r="F964" s="31" t="s">
        <v>200</v>
      </c>
      <c r="G964" s="15">
        <v>1</v>
      </c>
      <c r="H964" s="15">
        <f>합산자재!H156</f>
        <v>127</v>
      </c>
      <c r="I964" s="53">
        <f>IF(G964*H964&lt;&gt;0, TRUNC(G964*H964, 1), "")</f>
        <v>127</v>
      </c>
      <c r="J964" s="15">
        <v>1</v>
      </c>
      <c r="K964" s="15">
        <f>합산자재!I156</f>
        <v>0</v>
      </c>
      <c r="L964" s="53" t="str">
        <f>IF(G964*K964&lt;&gt;0, TRUNC(G964*K964, 1), "")</f>
        <v/>
      </c>
      <c r="M964" s="15">
        <f>합산자재!J156</f>
        <v>0</v>
      </c>
      <c r="N964" s="53" t="str">
        <f>IF(G964*M964&lt;&gt;0, TRUNC(G964*M964, 1), "")</f>
        <v/>
      </c>
      <c r="O964" s="15">
        <f>IF((H964+K964+M964)=0, "", (H964+K964+M964))</f>
        <v>127</v>
      </c>
      <c r="P964" s="15">
        <f>IF(SUM(I964,L964,N964)&lt;&gt;0,SUM(I964,L964,N964),"")</f>
        <v>127</v>
      </c>
      <c r="Q964" s="12"/>
    </row>
    <row r="965" spans="1:17" ht="23.25" customHeight="1" x14ac:dyDescent="0.15">
      <c r="A965" s="13" t="s">
        <v>1373</v>
      </c>
      <c r="B965" s="13" t="s">
        <v>2082</v>
      </c>
      <c r="C965" s="1" t="s">
        <v>1005</v>
      </c>
      <c r="D965" s="12" t="s">
        <v>1003</v>
      </c>
      <c r="E965" s="12" t="s">
        <v>1006</v>
      </c>
      <c r="F965" s="31" t="s">
        <v>999</v>
      </c>
      <c r="G965" s="15">
        <f>일위노임!G438</f>
        <v>9.7199999999999995E-2</v>
      </c>
      <c r="H965" s="15">
        <f>합산자재!H346</f>
        <v>0</v>
      </c>
      <c r="I965" s="53" t="str">
        <f>IF(G965*H965&lt;&gt;0, TRUNC(G965*H965, 1), "")</f>
        <v/>
      </c>
      <c r="J965" s="15">
        <v>9.7199999999999995E-2</v>
      </c>
      <c r="K965" s="15">
        <f>합산자재!I346</f>
        <v>304156</v>
      </c>
      <c r="L965" s="53">
        <f>IF(G965*K965&lt;&gt;0, TRUNC(G965*K965, 1), "")</f>
        <v>29563.9</v>
      </c>
      <c r="M965" s="15">
        <f>합산자재!J346</f>
        <v>0</v>
      </c>
      <c r="N965" s="53" t="str">
        <f>IF(G965*M965&lt;&gt;0, TRUNC(G965*M965, 1), "")</f>
        <v/>
      </c>
      <c r="O965" s="15">
        <f>IF((H965+K965+M965)=0, "", (H965+K965+M965))</f>
        <v>304156</v>
      </c>
      <c r="P965" s="15">
        <f>IF(SUM(I965,L965,N965)&lt;&gt;0,SUM(I965,L965,N965),"")</f>
        <v>29563.9</v>
      </c>
      <c r="Q965" s="12"/>
    </row>
    <row r="966" spans="1:17" ht="23.25" customHeight="1" x14ac:dyDescent="0.15">
      <c r="A966" s="13" t="s">
        <v>2362</v>
      </c>
      <c r="B966" s="13" t="s">
        <v>2082</v>
      </c>
      <c r="C966" s="1" t="s">
        <v>2363</v>
      </c>
      <c r="D966" s="12" t="s">
        <v>2364</v>
      </c>
      <c r="E966" s="12" t="s">
        <v>2365</v>
      </c>
      <c r="F966" s="31" t="s">
        <v>792</v>
      </c>
      <c r="G966" s="15">
        <v>1</v>
      </c>
      <c r="H966" s="15">
        <v>591.20000000000005</v>
      </c>
      <c r="I966" s="53">
        <f>IF(G966*H966&lt;&gt;0, TRUNC(G966*H966, 1), "")</f>
        <v>591.20000000000005</v>
      </c>
      <c r="J966" s="15">
        <v>1</v>
      </c>
      <c r="K966" s="15"/>
      <c r="L966" s="53" t="str">
        <f>IF(G966*K966&lt;&gt;0, TRUNC(G966*K966, 1), "")</f>
        <v/>
      </c>
      <c r="M966" s="15"/>
      <c r="N966" s="53" t="str">
        <f>IF(G966*M966&lt;&gt;0, TRUNC(G966*M966, 1), "")</f>
        <v/>
      </c>
      <c r="O966" s="15">
        <f>IF((H966+K966+M966)=0, "", (H966+K966+M966))</f>
        <v>591.20000000000005</v>
      </c>
      <c r="P966" s="15">
        <f>IF(SUM(I966,L966,N966)&lt;&gt;0,SUM(I966,L966,N966),"")</f>
        <v>591.20000000000005</v>
      </c>
      <c r="Q966" s="12"/>
    </row>
    <row r="967" spans="1:17" ht="23.25" customHeight="1" x14ac:dyDescent="0.15">
      <c r="B967" s="13" t="s">
        <v>2360</v>
      </c>
      <c r="D967" s="12" t="s">
        <v>2361</v>
      </c>
      <c r="E967" s="12"/>
      <c r="F967" s="31"/>
      <c r="G967" s="15"/>
      <c r="H967" s="15"/>
      <c r="I967" s="53">
        <f>TRUNC(SUM(I963:I966))</f>
        <v>718</v>
      </c>
      <c r="J967" s="15"/>
      <c r="K967" s="15"/>
      <c r="L967" s="53">
        <f>TRUNC(SUM(L963:L966))</f>
        <v>29563</v>
      </c>
      <c r="M967" s="15"/>
      <c r="N967" s="53">
        <f>TRUNC(SUM(N963:N966))</f>
        <v>0</v>
      </c>
      <c r="O967" s="15" t="str">
        <f>IF((H967+K967+M967)=0, "", (H967+K967+M967))</f>
        <v/>
      </c>
      <c r="P967" s="15">
        <f>IF(SUM(I967,L967,N967)&lt;&gt;0,SUM(I967,L967,N967),"")</f>
        <v>30281</v>
      </c>
      <c r="Q967" s="12"/>
    </row>
    <row r="968" spans="1:17" ht="23.25" customHeight="1" x14ac:dyDescent="0.15">
      <c r="D968" s="12"/>
      <c r="E968" s="12"/>
      <c r="F968" s="31"/>
      <c r="G968" s="15"/>
      <c r="H968" s="15"/>
      <c r="I968" s="53"/>
      <c r="J968" s="15"/>
      <c r="K968" s="15"/>
      <c r="L968" s="53"/>
      <c r="M968" s="15"/>
      <c r="N968" s="53"/>
      <c r="O968" s="15"/>
      <c r="P968" s="15"/>
      <c r="Q968" s="12"/>
    </row>
    <row r="969" spans="1:17" ht="23.25" customHeight="1" x14ac:dyDescent="0.15">
      <c r="A969" s="13" t="s">
        <v>2769</v>
      </c>
      <c r="B969" s="13" t="s">
        <v>2382</v>
      </c>
      <c r="C969" s="1" t="s">
        <v>2770</v>
      </c>
      <c r="D969" s="170" t="s">
        <v>2768</v>
      </c>
      <c r="E969" s="172"/>
      <c r="F969" s="31"/>
      <c r="G969" s="15"/>
      <c r="H969" s="15"/>
      <c r="I969" s="53"/>
      <c r="J969" s="15"/>
      <c r="K969" s="15"/>
      <c r="L969" s="53"/>
      <c r="M969" s="15"/>
      <c r="N969" s="53"/>
      <c r="O969" s="15"/>
      <c r="P969" s="15"/>
      <c r="Q969" s="12"/>
    </row>
    <row r="970" spans="1:17" ht="23.25" customHeight="1" x14ac:dyDescent="0.15">
      <c r="A970" s="13" t="s">
        <v>1181</v>
      </c>
      <c r="B970" s="13" t="s">
        <v>2085</v>
      </c>
      <c r="C970" s="1" t="s">
        <v>597</v>
      </c>
      <c r="D970" s="12" t="s">
        <v>595</v>
      </c>
      <c r="E970" s="12" t="s">
        <v>598</v>
      </c>
      <c r="F970" s="31" t="s">
        <v>200</v>
      </c>
      <c r="G970" s="15">
        <v>1</v>
      </c>
      <c r="H970" s="15">
        <f>합산자재!H157</f>
        <v>187</v>
      </c>
      <c r="I970" s="53">
        <f>IF(G970*H970&lt;&gt;0, TRUNC(G970*H970, 1), "")</f>
        <v>187</v>
      </c>
      <c r="J970" s="15">
        <v>1</v>
      </c>
      <c r="K970" s="15">
        <f>합산자재!I157</f>
        <v>0</v>
      </c>
      <c r="L970" s="53" t="str">
        <f>IF(G970*K970&lt;&gt;0, TRUNC(G970*K970, 1), "")</f>
        <v/>
      </c>
      <c r="M970" s="15">
        <f>합산자재!J157</f>
        <v>0</v>
      </c>
      <c r="N970" s="53" t="str">
        <f>IF(G970*M970&lt;&gt;0, TRUNC(G970*M970, 1), "")</f>
        <v/>
      </c>
      <c r="O970" s="15">
        <f>IF((H970+K970+M970)=0, "", (H970+K970+M970))</f>
        <v>187</v>
      </c>
      <c r="P970" s="15">
        <f>IF(SUM(I970,L970,N970)&lt;&gt;0,SUM(I970,L970,N970),"")</f>
        <v>187</v>
      </c>
      <c r="Q970" s="12"/>
    </row>
    <row r="971" spans="1:17" ht="23.25" customHeight="1" x14ac:dyDescent="0.15">
      <c r="A971" s="13" t="s">
        <v>1373</v>
      </c>
      <c r="B971" s="13" t="s">
        <v>2085</v>
      </c>
      <c r="C971" s="1" t="s">
        <v>1005</v>
      </c>
      <c r="D971" s="12" t="s">
        <v>1003</v>
      </c>
      <c r="E971" s="12" t="s">
        <v>1006</v>
      </c>
      <c r="F971" s="31" t="s">
        <v>999</v>
      </c>
      <c r="G971" s="15">
        <f>일위노임!G441</f>
        <v>0.1188</v>
      </c>
      <c r="H971" s="15">
        <f>합산자재!H346</f>
        <v>0</v>
      </c>
      <c r="I971" s="53" t="str">
        <f>IF(G971*H971&lt;&gt;0, TRUNC(G971*H971, 1), "")</f>
        <v/>
      </c>
      <c r="J971" s="15">
        <v>0.1188</v>
      </c>
      <c r="K971" s="15">
        <f>합산자재!I346</f>
        <v>304156</v>
      </c>
      <c r="L971" s="53">
        <f>IF(G971*K971&lt;&gt;0, TRUNC(G971*K971, 1), "")</f>
        <v>36133.699999999997</v>
      </c>
      <c r="M971" s="15">
        <f>합산자재!J346</f>
        <v>0</v>
      </c>
      <c r="N971" s="53" t="str">
        <f>IF(G971*M971&lt;&gt;0, TRUNC(G971*M971, 1), "")</f>
        <v/>
      </c>
      <c r="O971" s="15">
        <f>IF((H971+K971+M971)=0, "", (H971+K971+M971))</f>
        <v>304156</v>
      </c>
      <c r="P971" s="15">
        <f>IF(SUM(I971,L971,N971)&lt;&gt;0,SUM(I971,L971,N971),"")</f>
        <v>36133.699999999997</v>
      </c>
      <c r="Q971" s="12"/>
    </row>
    <row r="972" spans="1:17" ht="23.25" customHeight="1" x14ac:dyDescent="0.15">
      <c r="A972" s="13" t="s">
        <v>2362</v>
      </c>
      <c r="B972" s="13" t="s">
        <v>2085</v>
      </c>
      <c r="C972" s="1" t="s">
        <v>2363</v>
      </c>
      <c r="D972" s="12" t="s">
        <v>2364</v>
      </c>
      <c r="E972" s="12" t="s">
        <v>2365</v>
      </c>
      <c r="F972" s="31" t="s">
        <v>792</v>
      </c>
      <c r="G972" s="15">
        <v>1</v>
      </c>
      <c r="H972" s="15">
        <v>722.6</v>
      </c>
      <c r="I972" s="53">
        <f>IF(G972*H972&lt;&gt;0, TRUNC(G972*H972, 1), "")</f>
        <v>722.6</v>
      </c>
      <c r="J972" s="15">
        <v>1</v>
      </c>
      <c r="K972" s="15"/>
      <c r="L972" s="53" t="str">
        <f>IF(G972*K972&lt;&gt;0, TRUNC(G972*K972, 1), "")</f>
        <v/>
      </c>
      <c r="M972" s="15"/>
      <c r="N972" s="53" t="str">
        <f>IF(G972*M972&lt;&gt;0, TRUNC(G972*M972, 1), "")</f>
        <v/>
      </c>
      <c r="O972" s="15">
        <f>IF((H972+K972+M972)=0, "", (H972+K972+M972))</f>
        <v>722.6</v>
      </c>
      <c r="P972" s="15">
        <f>IF(SUM(I972,L972,N972)&lt;&gt;0,SUM(I972,L972,N972),"")</f>
        <v>722.6</v>
      </c>
      <c r="Q972" s="12"/>
    </row>
    <row r="973" spans="1:17" ht="23.25" customHeight="1" x14ac:dyDescent="0.15">
      <c r="B973" s="13" t="s">
        <v>2360</v>
      </c>
      <c r="D973" s="12" t="s">
        <v>2361</v>
      </c>
      <c r="E973" s="12"/>
      <c r="F973" s="31"/>
      <c r="G973" s="15"/>
      <c r="H973" s="15"/>
      <c r="I973" s="53">
        <f>TRUNC(SUM(I969:I972))</f>
        <v>909</v>
      </c>
      <c r="J973" s="15"/>
      <c r="K973" s="15"/>
      <c r="L973" s="53">
        <f>TRUNC(SUM(L969:L972))</f>
        <v>36133</v>
      </c>
      <c r="M973" s="15"/>
      <c r="N973" s="53">
        <f>TRUNC(SUM(N969:N972))</f>
        <v>0</v>
      </c>
      <c r="O973" s="15" t="str">
        <f>IF((H973+K973+M973)=0, "", (H973+K973+M973))</f>
        <v/>
      </c>
      <c r="P973" s="15">
        <f>IF(SUM(I973,L973,N973)&lt;&gt;0,SUM(I973,L973,N973),"")</f>
        <v>37042</v>
      </c>
      <c r="Q973" s="12"/>
    </row>
    <row r="974" spans="1:17" ht="23.25" customHeight="1" x14ac:dyDescent="0.15">
      <c r="D974" s="12"/>
      <c r="E974" s="12"/>
      <c r="F974" s="31"/>
      <c r="G974" s="15"/>
      <c r="H974" s="15"/>
      <c r="I974" s="53"/>
      <c r="J974" s="15"/>
      <c r="K974" s="15"/>
      <c r="L974" s="53"/>
      <c r="M974" s="15"/>
      <c r="N974" s="53"/>
      <c r="O974" s="15"/>
      <c r="P974" s="15"/>
      <c r="Q974" s="12"/>
    </row>
    <row r="975" spans="1:17" ht="23.25" customHeight="1" x14ac:dyDescent="0.15">
      <c r="A975" s="13" t="s">
        <v>2772</v>
      </c>
      <c r="B975" s="13" t="s">
        <v>2382</v>
      </c>
      <c r="C975" s="1" t="s">
        <v>2773</v>
      </c>
      <c r="D975" s="170" t="s">
        <v>2771</v>
      </c>
      <c r="E975" s="172"/>
      <c r="F975" s="31"/>
      <c r="G975" s="15"/>
      <c r="H975" s="15"/>
      <c r="I975" s="53"/>
      <c r="J975" s="15"/>
      <c r="K975" s="15"/>
      <c r="L975" s="53"/>
      <c r="M975" s="15"/>
      <c r="N975" s="53"/>
      <c r="O975" s="15"/>
      <c r="P975" s="15"/>
      <c r="Q975" s="12"/>
    </row>
    <row r="976" spans="1:17" ht="23.25" customHeight="1" x14ac:dyDescent="0.15">
      <c r="A976" s="13" t="s">
        <v>1182</v>
      </c>
      <c r="B976" s="13" t="s">
        <v>2088</v>
      </c>
      <c r="C976" s="1" t="s">
        <v>599</v>
      </c>
      <c r="D976" s="12" t="s">
        <v>595</v>
      </c>
      <c r="E976" s="12" t="s">
        <v>600</v>
      </c>
      <c r="F976" s="31" t="s">
        <v>200</v>
      </c>
      <c r="G976" s="15">
        <v>1</v>
      </c>
      <c r="H976" s="15">
        <f>합산자재!H158</f>
        <v>242</v>
      </c>
      <c r="I976" s="53">
        <f>IF(G976*H976&lt;&gt;0, TRUNC(G976*H976, 1), "")</f>
        <v>242</v>
      </c>
      <c r="J976" s="15">
        <v>1</v>
      </c>
      <c r="K976" s="15">
        <f>합산자재!I158</f>
        <v>0</v>
      </c>
      <c r="L976" s="53" t="str">
        <f>IF(G976*K976&lt;&gt;0, TRUNC(G976*K976, 1), "")</f>
        <v/>
      </c>
      <c r="M976" s="15">
        <f>합산자재!J158</f>
        <v>0</v>
      </c>
      <c r="N976" s="53" t="str">
        <f>IF(G976*M976&lt;&gt;0, TRUNC(G976*M976, 1), "")</f>
        <v/>
      </c>
      <c r="O976" s="15">
        <f>IF((H976+K976+M976)=0, "", (H976+K976+M976))</f>
        <v>242</v>
      </c>
      <c r="P976" s="15">
        <f>IF(SUM(I976,L976,N976)&lt;&gt;0,SUM(I976,L976,N976),"")</f>
        <v>242</v>
      </c>
      <c r="Q976" s="12"/>
    </row>
    <row r="977" spans="1:17" ht="23.25" customHeight="1" x14ac:dyDescent="0.15">
      <c r="A977" s="13" t="s">
        <v>1373</v>
      </c>
      <c r="B977" s="13" t="s">
        <v>2088</v>
      </c>
      <c r="C977" s="1" t="s">
        <v>1005</v>
      </c>
      <c r="D977" s="12" t="s">
        <v>1003</v>
      </c>
      <c r="E977" s="12" t="s">
        <v>1006</v>
      </c>
      <c r="F977" s="31" t="s">
        <v>999</v>
      </c>
      <c r="G977" s="15">
        <f>일위노임!G444</f>
        <v>0.12959999999999999</v>
      </c>
      <c r="H977" s="15">
        <f>합산자재!H346</f>
        <v>0</v>
      </c>
      <c r="I977" s="53" t="str">
        <f>IF(G977*H977&lt;&gt;0, TRUNC(G977*H977, 1), "")</f>
        <v/>
      </c>
      <c r="J977" s="15">
        <v>0.12959999999999999</v>
      </c>
      <c r="K977" s="15">
        <f>합산자재!I346</f>
        <v>304156</v>
      </c>
      <c r="L977" s="53">
        <f>IF(G977*K977&lt;&gt;0, TRUNC(G977*K977, 1), "")</f>
        <v>39418.6</v>
      </c>
      <c r="M977" s="15">
        <f>합산자재!J346</f>
        <v>0</v>
      </c>
      <c r="N977" s="53" t="str">
        <f>IF(G977*M977&lt;&gt;0, TRUNC(G977*M977, 1), "")</f>
        <v/>
      </c>
      <c r="O977" s="15">
        <f>IF((H977+K977+M977)=0, "", (H977+K977+M977))</f>
        <v>304156</v>
      </c>
      <c r="P977" s="15">
        <f>IF(SUM(I977,L977,N977)&lt;&gt;0,SUM(I977,L977,N977),"")</f>
        <v>39418.6</v>
      </c>
      <c r="Q977" s="12"/>
    </row>
    <row r="978" spans="1:17" ht="23.25" customHeight="1" x14ac:dyDescent="0.15">
      <c r="A978" s="13" t="s">
        <v>2362</v>
      </c>
      <c r="B978" s="13" t="s">
        <v>2088</v>
      </c>
      <c r="C978" s="1" t="s">
        <v>2363</v>
      </c>
      <c r="D978" s="12" t="s">
        <v>2364</v>
      </c>
      <c r="E978" s="12" t="s">
        <v>2365</v>
      </c>
      <c r="F978" s="31" t="s">
        <v>792</v>
      </c>
      <c r="G978" s="15">
        <v>1</v>
      </c>
      <c r="H978" s="15">
        <v>788.3</v>
      </c>
      <c r="I978" s="53">
        <f>IF(G978*H978&lt;&gt;0, TRUNC(G978*H978, 1), "")</f>
        <v>788.3</v>
      </c>
      <c r="J978" s="15">
        <v>1</v>
      </c>
      <c r="K978" s="15"/>
      <c r="L978" s="53" t="str">
        <f>IF(G978*K978&lt;&gt;0, TRUNC(G978*K978, 1), "")</f>
        <v/>
      </c>
      <c r="M978" s="15"/>
      <c r="N978" s="53" t="str">
        <f>IF(G978*M978&lt;&gt;0, TRUNC(G978*M978, 1), "")</f>
        <v/>
      </c>
      <c r="O978" s="15">
        <f>IF((H978+K978+M978)=0, "", (H978+K978+M978))</f>
        <v>788.3</v>
      </c>
      <c r="P978" s="15">
        <f>IF(SUM(I978,L978,N978)&lt;&gt;0,SUM(I978,L978,N978),"")</f>
        <v>788.3</v>
      </c>
      <c r="Q978" s="12"/>
    </row>
    <row r="979" spans="1:17" ht="23.25" customHeight="1" x14ac:dyDescent="0.15">
      <c r="B979" s="13" t="s">
        <v>2360</v>
      </c>
      <c r="D979" s="12" t="s">
        <v>2361</v>
      </c>
      <c r="E979" s="12"/>
      <c r="F979" s="31"/>
      <c r="G979" s="15"/>
      <c r="H979" s="15"/>
      <c r="I979" s="53">
        <f>TRUNC(SUM(I975:I978))</f>
        <v>1030</v>
      </c>
      <c r="J979" s="15"/>
      <c r="K979" s="15"/>
      <c r="L979" s="53">
        <f>TRUNC(SUM(L975:L978))</f>
        <v>39418</v>
      </c>
      <c r="M979" s="15"/>
      <c r="N979" s="53">
        <f>TRUNC(SUM(N975:N978))</f>
        <v>0</v>
      </c>
      <c r="O979" s="15" t="str">
        <f>IF((H979+K979+M979)=0, "", (H979+K979+M979))</f>
        <v/>
      </c>
      <c r="P979" s="15">
        <f>IF(SUM(I979,L979,N979)&lt;&gt;0,SUM(I979,L979,N979),"")</f>
        <v>40448</v>
      </c>
      <c r="Q979" s="12"/>
    </row>
    <row r="980" spans="1:17" ht="23.25" customHeight="1" x14ac:dyDescent="0.15">
      <c r="D980" s="12"/>
      <c r="E980" s="12"/>
      <c r="F980" s="31"/>
      <c r="G980" s="15"/>
      <c r="H980" s="15"/>
      <c r="I980" s="53"/>
      <c r="J980" s="15"/>
      <c r="K980" s="15"/>
      <c r="L980" s="53"/>
      <c r="M980" s="15"/>
      <c r="N980" s="53"/>
      <c r="O980" s="15"/>
      <c r="P980" s="15"/>
      <c r="Q980" s="12"/>
    </row>
    <row r="981" spans="1:17" ht="23.25" customHeight="1" x14ac:dyDescent="0.15">
      <c r="A981" s="13" t="s">
        <v>2775</v>
      </c>
      <c r="B981" s="13" t="s">
        <v>2382</v>
      </c>
      <c r="C981" s="1" t="s">
        <v>2776</v>
      </c>
      <c r="D981" s="170" t="s">
        <v>2774</v>
      </c>
      <c r="E981" s="172"/>
      <c r="F981" s="31"/>
      <c r="G981" s="15"/>
      <c r="H981" s="15"/>
      <c r="I981" s="53"/>
      <c r="J981" s="15"/>
      <c r="K981" s="15"/>
      <c r="L981" s="53"/>
      <c r="M981" s="15"/>
      <c r="N981" s="53"/>
      <c r="O981" s="15"/>
      <c r="P981" s="15"/>
      <c r="Q981" s="12"/>
    </row>
    <row r="982" spans="1:17" ht="23.25" customHeight="1" x14ac:dyDescent="0.15">
      <c r="A982" s="13" t="s">
        <v>1183</v>
      </c>
      <c r="B982" s="13" t="s">
        <v>2091</v>
      </c>
      <c r="C982" s="1" t="s">
        <v>601</v>
      </c>
      <c r="D982" s="12" t="s">
        <v>595</v>
      </c>
      <c r="E982" s="12" t="s">
        <v>602</v>
      </c>
      <c r="F982" s="31" t="s">
        <v>200</v>
      </c>
      <c r="G982" s="15">
        <v>1</v>
      </c>
      <c r="H982" s="15">
        <f>합산자재!H159</f>
        <v>403</v>
      </c>
      <c r="I982" s="53">
        <f>IF(G982*H982&lt;&gt;0, TRUNC(G982*H982, 1), "")</f>
        <v>403</v>
      </c>
      <c r="J982" s="15">
        <v>1</v>
      </c>
      <c r="K982" s="15">
        <f>합산자재!I159</f>
        <v>0</v>
      </c>
      <c r="L982" s="53" t="str">
        <f>IF(G982*K982&lt;&gt;0, TRUNC(G982*K982, 1), "")</f>
        <v/>
      </c>
      <c r="M982" s="15">
        <f>합산자재!J159</f>
        <v>0</v>
      </c>
      <c r="N982" s="53" t="str">
        <f>IF(G982*M982&lt;&gt;0, TRUNC(G982*M982, 1), "")</f>
        <v/>
      </c>
      <c r="O982" s="15">
        <f>IF((H982+K982+M982)=0, "", (H982+K982+M982))</f>
        <v>403</v>
      </c>
      <c r="P982" s="15">
        <f>IF(SUM(I982,L982,N982)&lt;&gt;0,SUM(I982,L982,N982),"")</f>
        <v>403</v>
      </c>
      <c r="Q982" s="12"/>
    </row>
    <row r="983" spans="1:17" ht="23.25" customHeight="1" x14ac:dyDescent="0.15">
      <c r="A983" s="13" t="s">
        <v>1373</v>
      </c>
      <c r="B983" s="13" t="s">
        <v>2091</v>
      </c>
      <c r="C983" s="1" t="s">
        <v>1005</v>
      </c>
      <c r="D983" s="12" t="s">
        <v>1003</v>
      </c>
      <c r="E983" s="12" t="s">
        <v>1006</v>
      </c>
      <c r="F983" s="31" t="s">
        <v>999</v>
      </c>
      <c r="G983" s="15">
        <f>일위노임!G447</f>
        <v>0.14399999999999999</v>
      </c>
      <c r="H983" s="15">
        <f>합산자재!H346</f>
        <v>0</v>
      </c>
      <c r="I983" s="53" t="str">
        <f>IF(G983*H983&lt;&gt;0, TRUNC(G983*H983, 1), "")</f>
        <v/>
      </c>
      <c r="J983" s="15">
        <v>0.14399999999999999</v>
      </c>
      <c r="K983" s="15">
        <f>합산자재!I346</f>
        <v>304156</v>
      </c>
      <c r="L983" s="53">
        <f>IF(G983*K983&lt;&gt;0, TRUNC(G983*K983, 1), "")</f>
        <v>43798.400000000001</v>
      </c>
      <c r="M983" s="15">
        <f>합산자재!J346</f>
        <v>0</v>
      </c>
      <c r="N983" s="53" t="str">
        <f>IF(G983*M983&lt;&gt;0, TRUNC(G983*M983, 1), "")</f>
        <v/>
      </c>
      <c r="O983" s="15">
        <f>IF((H983+K983+M983)=0, "", (H983+K983+M983))</f>
        <v>304156</v>
      </c>
      <c r="P983" s="15">
        <f>IF(SUM(I983,L983,N983)&lt;&gt;0,SUM(I983,L983,N983),"")</f>
        <v>43798.400000000001</v>
      </c>
      <c r="Q983" s="12"/>
    </row>
    <row r="984" spans="1:17" ht="23.25" customHeight="1" x14ac:dyDescent="0.15">
      <c r="A984" s="13" t="s">
        <v>2362</v>
      </c>
      <c r="B984" s="13" t="s">
        <v>2091</v>
      </c>
      <c r="C984" s="1" t="s">
        <v>2363</v>
      </c>
      <c r="D984" s="12" t="s">
        <v>2364</v>
      </c>
      <c r="E984" s="12" t="s">
        <v>2365</v>
      </c>
      <c r="F984" s="31" t="s">
        <v>792</v>
      </c>
      <c r="G984" s="15">
        <v>1</v>
      </c>
      <c r="H984" s="15">
        <v>875.9</v>
      </c>
      <c r="I984" s="53">
        <f>IF(G984*H984&lt;&gt;0, TRUNC(G984*H984, 1), "")</f>
        <v>875.9</v>
      </c>
      <c r="J984" s="15">
        <v>1</v>
      </c>
      <c r="K984" s="15"/>
      <c r="L984" s="53" t="str">
        <f>IF(G984*K984&lt;&gt;0, TRUNC(G984*K984, 1), "")</f>
        <v/>
      </c>
      <c r="M984" s="15"/>
      <c r="N984" s="53" t="str">
        <f>IF(G984*M984&lt;&gt;0, TRUNC(G984*M984, 1), "")</f>
        <v/>
      </c>
      <c r="O984" s="15">
        <f>IF((H984+K984+M984)=0, "", (H984+K984+M984))</f>
        <v>875.9</v>
      </c>
      <c r="P984" s="15">
        <f>IF(SUM(I984,L984,N984)&lt;&gt;0,SUM(I984,L984,N984),"")</f>
        <v>875.9</v>
      </c>
      <c r="Q984" s="12"/>
    </row>
    <row r="985" spans="1:17" ht="23.25" customHeight="1" x14ac:dyDescent="0.15">
      <c r="B985" s="13" t="s">
        <v>2360</v>
      </c>
      <c r="D985" s="12" t="s">
        <v>2361</v>
      </c>
      <c r="E985" s="12"/>
      <c r="F985" s="31"/>
      <c r="G985" s="15"/>
      <c r="H985" s="15"/>
      <c r="I985" s="53">
        <f>TRUNC(SUM(I981:I984))</f>
        <v>1278</v>
      </c>
      <c r="J985" s="15"/>
      <c r="K985" s="15"/>
      <c r="L985" s="53">
        <f>TRUNC(SUM(L981:L984))</f>
        <v>43798</v>
      </c>
      <c r="M985" s="15"/>
      <c r="N985" s="53">
        <f>TRUNC(SUM(N981:N984))</f>
        <v>0</v>
      </c>
      <c r="O985" s="15" t="str">
        <f>IF((H985+K985+M985)=0, "", (H985+K985+M985))</f>
        <v/>
      </c>
      <c r="P985" s="15">
        <f>IF(SUM(I985,L985,N985)&lt;&gt;0,SUM(I985,L985,N985),"")</f>
        <v>45076</v>
      </c>
      <c r="Q985" s="12"/>
    </row>
    <row r="986" spans="1:17" ht="23.25" customHeight="1" x14ac:dyDescent="0.15">
      <c r="D986" s="12"/>
      <c r="E986" s="12"/>
      <c r="F986" s="31"/>
      <c r="G986" s="15"/>
      <c r="H986" s="15"/>
      <c r="I986" s="53"/>
      <c r="J986" s="15"/>
      <c r="K986" s="15"/>
      <c r="L986" s="53"/>
      <c r="M986" s="15"/>
      <c r="N986" s="53"/>
      <c r="O986" s="15"/>
      <c r="P986" s="15"/>
      <c r="Q986" s="12"/>
    </row>
    <row r="987" spans="1:17" ht="23.25" customHeight="1" x14ac:dyDescent="0.15">
      <c r="A987" s="13" t="s">
        <v>2778</v>
      </c>
      <c r="B987" s="13" t="s">
        <v>2382</v>
      </c>
      <c r="C987" s="1" t="s">
        <v>2779</v>
      </c>
      <c r="D987" s="170" t="s">
        <v>2777</v>
      </c>
      <c r="E987" s="172"/>
      <c r="F987" s="31"/>
      <c r="G987" s="15"/>
      <c r="H987" s="15"/>
      <c r="I987" s="53"/>
      <c r="J987" s="15"/>
      <c r="K987" s="15"/>
      <c r="L987" s="53"/>
      <c r="M987" s="15"/>
      <c r="N987" s="53"/>
      <c r="O987" s="15"/>
      <c r="P987" s="15"/>
      <c r="Q987" s="12"/>
    </row>
    <row r="988" spans="1:17" ht="23.25" customHeight="1" x14ac:dyDescent="0.15">
      <c r="A988" s="13" t="s">
        <v>1184</v>
      </c>
      <c r="B988" s="13" t="s">
        <v>2094</v>
      </c>
      <c r="C988" s="1" t="s">
        <v>603</v>
      </c>
      <c r="D988" s="12" t="s">
        <v>595</v>
      </c>
      <c r="E988" s="12" t="s">
        <v>604</v>
      </c>
      <c r="F988" s="31" t="s">
        <v>200</v>
      </c>
      <c r="G988" s="15">
        <v>1</v>
      </c>
      <c r="H988" s="15">
        <f>합산자재!H160</f>
        <v>858</v>
      </c>
      <c r="I988" s="53">
        <f>IF(G988*H988&lt;&gt;0, TRUNC(G988*H988, 1), "")</f>
        <v>858</v>
      </c>
      <c r="J988" s="15">
        <v>1</v>
      </c>
      <c r="K988" s="15">
        <f>합산자재!I160</f>
        <v>0</v>
      </c>
      <c r="L988" s="53" t="str">
        <f>IF(G988*K988&lt;&gt;0, TRUNC(G988*K988, 1), "")</f>
        <v/>
      </c>
      <c r="M988" s="15">
        <f>합산자재!J160</f>
        <v>0</v>
      </c>
      <c r="N988" s="53" t="str">
        <f>IF(G988*M988&lt;&gt;0, TRUNC(G988*M988, 1), "")</f>
        <v/>
      </c>
      <c r="O988" s="15">
        <f>IF((H988+K988+M988)=0, "", (H988+K988+M988))</f>
        <v>858</v>
      </c>
      <c r="P988" s="15">
        <f>IF(SUM(I988,L988,N988)&lt;&gt;0,SUM(I988,L988,N988),"")</f>
        <v>858</v>
      </c>
      <c r="Q988" s="12"/>
    </row>
    <row r="989" spans="1:17" ht="23.25" customHeight="1" x14ac:dyDescent="0.15">
      <c r="A989" s="13" t="s">
        <v>1373</v>
      </c>
      <c r="B989" s="13" t="s">
        <v>2094</v>
      </c>
      <c r="C989" s="1" t="s">
        <v>1005</v>
      </c>
      <c r="D989" s="12" t="s">
        <v>1003</v>
      </c>
      <c r="E989" s="12" t="s">
        <v>1006</v>
      </c>
      <c r="F989" s="31" t="s">
        <v>999</v>
      </c>
      <c r="G989" s="15">
        <f>일위노임!G450</f>
        <v>0.18</v>
      </c>
      <c r="H989" s="15">
        <f>합산자재!H346</f>
        <v>0</v>
      </c>
      <c r="I989" s="53" t="str">
        <f>IF(G989*H989&lt;&gt;0, TRUNC(G989*H989, 1), "")</f>
        <v/>
      </c>
      <c r="J989" s="15">
        <v>0.18</v>
      </c>
      <c r="K989" s="15">
        <f>합산자재!I346</f>
        <v>304156</v>
      </c>
      <c r="L989" s="53">
        <f>IF(G989*K989&lt;&gt;0, TRUNC(G989*K989, 1), "")</f>
        <v>54748</v>
      </c>
      <c r="M989" s="15">
        <f>합산자재!J346</f>
        <v>0</v>
      </c>
      <c r="N989" s="53" t="str">
        <f>IF(G989*M989&lt;&gt;0, TRUNC(G989*M989, 1), "")</f>
        <v/>
      </c>
      <c r="O989" s="15">
        <f>IF((H989+K989+M989)=0, "", (H989+K989+M989))</f>
        <v>304156</v>
      </c>
      <c r="P989" s="15">
        <f>IF(SUM(I989,L989,N989)&lt;&gt;0,SUM(I989,L989,N989),"")</f>
        <v>54748</v>
      </c>
      <c r="Q989" s="12"/>
    </row>
    <row r="990" spans="1:17" ht="23.25" customHeight="1" x14ac:dyDescent="0.15">
      <c r="A990" s="13" t="s">
        <v>2362</v>
      </c>
      <c r="B990" s="13" t="s">
        <v>2094</v>
      </c>
      <c r="C990" s="1" t="s">
        <v>2363</v>
      </c>
      <c r="D990" s="12" t="s">
        <v>2364</v>
      </c>
      <c r="E990" s="12" t="s">
        <v>2365</v>
      </c>
      <c r="F990" s="31" t="s">
        <v>792</v>
      </c>
      <c r="G990" s="15">
        <v>1</v>
      </c>
      <c r="H990" s="15">
        <v>1094.9000000000001</v>
      </c>
      <c r="I990" s="53">
        <f>IF(G990*H990&lt;&gt;0, TRUNC(G990*H990, 1), "")</f>
        <v>1094.9000000000001</v>
      </c>
      <c r="J990" s="15">
        <v>1</v>
      </c>
      <c r="K990" s="15"/>
      <c r="L990" s="53" t="str">
        <f>IF(G990*K990&lt;&gt;0, TRUNC(G990*K990, 1), "")</f>
        <v/>
      </c>
      <c r="M990" s="15"/>
      <c r="N990" s="53" t="str">
        <f>IF(G990*M990&lt;&gt;0, TRUNC(G990*M990, 1), "")</f>
        <v/>
      </c>
      <c r="O990" s="15">
        <f>IF((H990+K990+M990)=0, "", (H990+K990+M990))</f>
        <v>1094.9000000000001</v>
      </c>
      <c r="P990" s="15">
        <f>IF(SUM(I990,L990,N990)&lt;&gt;0,SUM(I990,L990,N990),"")</f>
        <v>1094.9000000000001</v>
      </c>
      <c r="Q990" s="12"/>
    </row>
    <row r="991" spans="1:17" ht="23.25" customHeight="1" x14ac:dyDescent="0.15">
      <c r="B991" s="13" t="s">
        <v>2360</v>
      </c>
      <c r="D991" s="12" t="s">
        <v>2361</v>
      </c>
      <c r="E991" s="12"/>
      <c r="F991" s="31"/>
      <c r="G991" s="15"/>
      <c r="H991" s="15"/>
      <c r="I991" s="53">
        <f>TRUNC(SUM(I987:I990))</f>
        <v>1952</v>
      </c>
      <c r="J991" s="15"/>
      <c r="K991" s="15"/>
      <c r="L991" s="53">
        <f>TRUNC(SUM(L987:L990))</f>
        <v>54748</v>
      </c>
      <c r="M991" s="15"/>
      <c r="N991" s="53">
        <f>TRUNC(SUM(N987:N990))</f>
        <v>0</v>
      </c>
      <c r="O991" s="15" t="str">
        <f>IF((H991+K991+M991)=0, "", (H991+K991+M991))</f>
        <v/>
      </c>
      <c r="P991" s="15">
        <f>IF(SUM(I991,L991,N991)&lt;&gt;0,SUM(I991,L991,N991),"")</f>
        <v>56700</v>
      </c>
      <c r="Q991" s="12"/>
    </row>
    <row r="992" spans="1:17" ht="23.25" customHeight="1" x14ac:dyDescent="0.15">
      <c r="D992" s="12"/>
      <c r="E992" s="12"/>
      <c r="F992" s="31"/>
      <c r="G992" s="15"/>
      <c r="H992" s="15"/>
      <c r="I992" s="53"/>
      <c r="J992" s="15"/>
      <c r="K992" s="15"/>
      <c r="L992" s="53"/>
      <c r="M992" s="15"/>
      <c r="N992" s="53"/>
      <c r="O992" s="15"/>
      <c r="P992" s="15"/>
      <c r="Q992" s="12"/>
    </row>
    <row r="993" spans="1:18" ht="23.25" customHeight="1" x14ac:dyDescent="0.15">
      <c r="A993" s="13" t="s">
        <v>2781</v>
      </c>
      <c r="B993" s="13" t="s">
        <v>2382</v>
      </c>
      <c r="C993" s="1" t="s">
        <v>2782</v>
      </c>
      <c r="D993" s="170" t="s">
        <v>2780</v>
      </c>
      <c r="E993" s="172"/>
      <c r="F993" s="31"/>
      <c r="G993" s="15"/>
      <c r="H993" s="15"/>
      <c r="I993" s="53"/>
      <c r="J993" s="15"/>
      <c r="K993" s="15"/>
      <c r="L993" s="53"/>
      <c r="M993" s="15"/>
      <c r="N993" s="53"/>
      <c r="O993" s="15"/>
      <c r="P993" s="15"/>
      <c r="Q993" s="12"/>
    </row>
    <row r="994" spans="1:18" ht="23.25" customHeight="1" x14ac:dyDescent="0.15">
      <c r="A994" s="13" t="s">
        <v>1185</v>
      </c>
      <c r="B994" s="13" t="s">
        <v>2097</v>
      </c>
      <c r="C994" s="1" t="s">
        <v>605</v>
      </c>
      <c r="D994" s="12" t="s">
        <v>595</v>
      </c>
      <c r="E994" s="12" t="s">
        <v>606</v>
      </c>
      <c r="F994" s="31" t="s">
        <v>200</v>
      </c>
      <c r="G994" s="15">
        <v>1</v>
      </c>
      <c r="H994" s="15">
        <f>합산자재!H161</f>
        <v>2103</v>
      </c>
      <c r="I994" s="53">
        <f>IF(G994*H994&lt;&gt;0, TRUNC(G994*H994, 1), "")</f>
        <v>2103</v>
      </c>
      <c r="J994" s="15">
        <v>1</v>
      </c>
      <c r="K994" s="15">
        <f>합산자재!I161</f>
        <v>0</v>
      </c>
      <c r="L994" s="53" t="str">
        <f>IF(G994*K994&lt;&gt;0, TRUNC(G994*K994, 1), "")</f>
        <v/>
      </c>
      <c r="M994" s="15">
        <f>합산자재!J161</f>
        <v>0</v>
      </c>
      <c r="N994" s="53" t="str">
        <f>IF(G994*M994&lt;&gt;0, TRUNC(G994*M994, 1), "")</f>
        <v/>
      </c>
      <c r="O994" s="15">
        <f>IF((H994+K994+M994)=0, "", (H994+K994+M994))</f>
        <v>2103</v>
      </c>
      <c r="P994" s="15">
        <f>IF(SUM(I994,L994,N994)&lt;&gt;0,SUM(I994,L994,N994),"")</f>
        <v>2103</v>
      </c>
      <c r="Q994" s="12"/>
    </row>
    <row r="995" spans="1:18" ht="23.25" customHeight="1" x14ac:dyDescent="0.15">
      <c r="A995" s="13" t="s">
        <v>1373</v>
      </c>
      <c r="B995" s="13" t="s">
        <v>2097</v>
      </c>
      <c r="C995" s="1" t="s">
        <v>1005</v>
      </c>
      <c r="D995" s="12" t="s">
        <v>1003</v>
      </c>
      <c r="E995" s="12" t="s">
        <v>1006</v>
      </c>
      <c r="F995" s="31" t="s">
        <v>999</v>
      </c>
      <c r="G995" s="15">
        <f>일위노임!G453</f>
        <v>0.20519999999999999</v>
      </c>
      <c r="H995" s="15">
        <f>합산자재!H346</f>
        <v>0</v>
      </c>
      <c r="I995" s="53" t="str">
        <f>IF(G995*H995&lt;&gt;0, TRUNC(G995*H995, 1), "")</f>
        <v/>
      </c>
      <c r="J995" s="15">
        <v>0.20519999999999999</v>
      </c>
      <c r="K995" s="15">
        <f>합산자재!I346</f>
        <v>304156</v>
      </c>
      <c r="L995" s="53">
        <f>IF(G995*K995&lt;&gt;0, TRUNC(G995*K995, 1), "")</f>
        <v>62412.800000000003</v>
      </c>
      <c r="M995" s="15">
        <f>합산자재!J346</f>
        <v>0</v>
      </c>
      <c r="N995" s="53" t="str">
        <f>IF(G995*M995&lt;&gt;0, TRUNC(G995*M995, 1), "")</f>
        <v/>
      </c>
      <c r="O995" s="15">
        <f>IF((H995+K995+M995)=0, "", (H995+K995+M995))</f>
        <v>304156</v>
      </c>
      <c r="P995" s="15">
        <f>IF(SUM(I995,L995,N995)&lt;&gt;0,SUM(I995,L995,N995),"")</f>
        <v>62412.800000000003</v>
      </c>
      <c r="Q995" s="12"/>
    </row>
    <row r="996" spans="1:18" ht="23.25" customHeight="1" x14ac:dyDescent="0.15">
      <c r="A996" s="13" t="s">
        <v>2362</v>
      </c>
      <c r="B996" s="13" t="s">
        <v>2097</v>
      </c>
      <c r="C996" s="1" t="s">
        <v>2363</v>
      </c>
      <c r="D996" s="12" t="s">
        <v>2364</v>
      </c>
      <c r="E996" s="12" t="s">
        <v>2365</v>
      </c>
      <c r="F996" s="31" t="s">
        <v>792</v>
      </c>
      <c r="G996" s="15">
        <v>1</v>
      </c>
      <c r="H996" s="15">
        <v>1248.2</v>
      </c>
      <c r="I996" s="53">
        <f>IF(G996*H996&lt;&gt;0, TRUNC(G996*H996, 1), "")</f>
        <v>1248.2</v>
      </c>
      <c r="J996" s="15">
        <v>1</v>
      </c>
      <c r="K996" s="15"/>
      <c r="L996" s="53" t="str">
        <f>IF(G996*K996&lt;&gt;0, TRUNC(G996*K996, 1), "")</f>
        <v/>
      </c>
      <c r="M996" s="15"/>
      <c r="N996" s="53" t="str">
        <f>IF(G996*M996&lt;&gt;0, TRUNC(G996*M996, 1), "")</f>
        <v/>
      </c>
      <c r="O996" s="15">
        <f>IF((H996+K996+M996)=0, "", (H996+K996+M996))</f>
        <v>1248.2</v>
      </c>
      <c r="P996" s="15">
        <f>IF(SUM(I996,L996,N996)&lt;&gt;0,SUM(I996,L996,N996),"")</f>
        <v>1248.2</v>
      </c>
      <c r="Q996" s="12"/>
    </row>
    <row r="997" spans="1:18" ht="23.25" customHeight="1" x14ac:dyDescent="0.15">
      <c r="B997" s="13" t="s">
        <v>2360</v>
      </c>
      <c r="D997" s="12" t="s">
        <v>2361</v>
      </c>
      <c r="E997" s="12"/>
      <c r="F997" s="31"/>
      <c r="G997" s="15"/>
      <c r="H997" s="15"/>
      <c r="I997" s="53">
        <f>TRUNC(SUM(I993:I996))</f>
        <v>3351</v>
      </c>
      <c r="J997" s="15"/>
      <c r="K997" s="15"/>
      <c r="L997" s="53">
        <f>TRUNC(SUM(L993:L996))</f>
        <v>62412</v>
      </c>
      <c r="M997" s="15"/>
      <c r="N997" s="53">
        <f>TRUNC(SUM(N993:N996))</f>
        <v>0</v>
      </c>
      <c r="O997" s="15" t="str">
        <f>IF((H997+K997+M997)=0, "", (H997+K997+M997))</f>
        <v/>
      </c>
      <c r="P997" s="15">
        <f>IF(SUM(I997,L997,N997)&lt;&gt;0,SUM(I997,L997,N997),"")</f>
        <v>65763</v>
      </c>
      <c r="Q997" s="12"/>
    </row>
    <row r="998" spans="1:18" ht="23.25" customHeight="1" x14ac:dyDescent="0.15">
      <c r="D998" s="12"/>
      <c r="E998" s="12"/>
      <c r="F998" s="31"/>
      <c r="G998" s="15"/>
      <c r="H998" s="15"/>
      <c r="I998" s="53"/>
      <c r="J998" s="15"/>
      <c r="K998" s="15"/>
      <c r="L998" s="53"/>
      <c r="M998" s="15"/>
      <c r="N998" s="53"/>
      <c r="O998" s="15"/>
      <c r="P998" s="15"/>
      <c r="Q998" s="12"/>
    </row>
    <row r="999" spans="1:18" ht="23.25" customHeight="1" x14ac:dyDescent="0.15">
      <c r="A999" s="13" t="s">
        <v>2784</v>
      </c>
      <c r="B999" s="13" t="s">
        <v>2382</v>
      </c>
      <c r="C999" s="1" t="s">
        <v>2785</v>
      </c>
      <c r="D999" s="170" t="s">
        <v>2783</v>
      </c>
      <c r="E999" s="172"/>
      <c r="F999" s="31"/>
      <c r="G999" s="15"/>
      <c r="H999" s="15"/>
      <c r="I999" s="53"/>
      <c r="J999" s="15"/>
      <c r="K999" s="15"/>
      <c r="L999" s="53"/>
      <c r="M999" s="15"/>
      <c r="N999" s="53"/>
      <c r="O999" s="15"/>
      <c r="P999" s="15"/>
      <c r="Q999" s="12"/>
    </row>
    <row r="1000" spans="1:18" ht="23.25" customHeight="1" x14ac:dyDescent="0.15">
      <c r="A1000" s="13" t="s">
        <v>1186</v>
      </c>
      <c r="B1000" s="13" t="s">
        <v>2100</v>
      </c>
      <c r="C1000" s="1" t="s">
        <v>607</v>
      </c>
      <c r="D1000" s="12" t="s">
        <v>608</v>
      </c>
      <c r="E1000" s="12" t="s">
        <v>609</v>
      </c>
      <c r="F1000" s="31" t="s">
        <v>200</v>
      </c>
      <c r="G1000" s="15">
        <v>1</v>
      </c>
      <c r="H1000" s="15">
        <f>합산자재!H162</f>
        <v>1900</v>
      </c>
      <c r="I1000" s="53">
        <f>IF(G1000*H1000&lt;&gt;0, TRUNC(G1000*H1000, 1), "")</f>
        <v>1900</v>
      </c>
      <c r="J1000" s="15">
        <v>1</v>
      </c>
      <c r="K1000" s="15">
        <f>합산자재!I162</f>
        <v>0</v>
      </c>
      <c r="L1000" s="53" t="str">
        <f>IF(G1000*K1000&lt;&gt;0, TRUNC(G1000*K1000, 1), "")</f>
        <v/>
      </c>
      <c r="M1000" s="15">
        <f>합산자재!J162</f>
        <v>0</v>
      </c>
      <c r="N1000" s="53" t="str">
        <f>IF(G1000*M1000&lt;&gt;0, TRUNC(G1000*M1000, 1), "")</f>
        <v/>
      </c>
      <c r="O1000" s="15">
        <f>IF((H1000+K1000+M1000)=0, "", (H1000+K1000+M1000))</f>
        <v>1900</v>
      </c>
      <c r="P1000" s="15">
        <f>IF(SUM(I1000,L1000,N1000)&lt;&gt;0,SUM(I1000,L1000,N1000),"")</f>
        <v>1900</v>
      </c>
      <c r="Q1000" s="12"/>
    </row>
    <row r="1001" spans="1:18" ht="23.25" customHeight="1" x14ac:dyDescent="0.15">
      <c r="A1001" s="13" t="s">
        <v>1373</v>
      </c>
      <c r="B1001" s="13" t="s">
        <v>2100</v>
      </c>
      <c r="C1001" s="1" t="s">
        <v>1005</v>
      </c>
      <c r="D1001" s="12" t="s">
        <v>1003</v>
      </c>
      <c r="E1001" s="12" t="s">
        <v>1006</v>
      </c>
      <c r="F1001" s="31" t="s">
        <v>999</v>
      </c>
      <c r="G1001" s="15">
        <f>일위노임!G456</f>
        <v>0.14399999999999999</v>
      </c>
      <c r="H1001" s="15">
        <f>합산자재!H346</f>
        <v>0</v>
      </c>
      <c r="I1001" s="53" t="str">
        <f>IF(G1001*H1001&lt;&gt;0, TRUNC(G1001*H1001, 1), "")</f>
        <v/>
      </c>
      <c r="J1001" s="15">
        <v>0.14399999999999999</v>
      </c>
      <c r="K1001" s="15">
        <f>합산자재!I346</f>
        <v>304156</v>
      </c>
      <c r="L1001" s="53">
        <f>IF(G1001*K1001&lt;&gt;0, TRUNC(G1001*K1001, 1), "")</f>
        <v>43798.400000000001</v>
      </c>
      <c r="M1001" s="15">
        <f>합산자재!J346</f>
        <v>0</v>
      </c>
      <c r="N1001" s="53" t="str">
        <f>IF(G1001*M1001&lt;&gt;0, TRUNC(G1001*M1001, 1), "")</f>
        <v/>
      </c>
      <c r="O1001" s="15">
        <f>IF((H1001+K1001+M1001)=0, "", (H1001+K1001+M1001))</f>
        <v>304156</v>
      </c>
      <c r="P1001" s="15">
        <f>IF(SUM(I1001,L1001,N1001)&lt;&gt;0,SUM(I1001,L1001,N1001),"")</f>
        <v>43798.400000000001</v>
      </c>
      <c r="Q1001" s="12"/>
    </row>
    <row r="1002" spans="1:18" ht="23.25" customHeight="1" x14ac:dyDescent="0.15">
      <c r="A1002" s="13" t="s">
        <v>2362</v>
      </c>
      <c r="B1002" s="13" t="s">
        <v>2100</v>
      </c>
      <c r="C1002" s="1" t="s">
        <v>2363</v>
      </c>
      <c r="D1002" s="12" t="s">
        <v>2364</v>
      </c>
      <c r="E1002" s="12" t="s">
        <v>2365</v>
      </c>
      <c r="F1002" s="31" t="s">
        <v>792</v>
      </c>
      <c r="G1002" s="15">
        <v>1</v>
      </c>
      <c r="H1002" s="15">
        <v>875.9</v>
      </c>
      <c r="I1002" s="53">
        <f>IF(G1002*H1002&lt;&gt;0, TRUNC(G1002*H1002, 1), "")</f>
        <v>875.9</v>
      </c>
      <c r="J1002" s="15">
        <v>1</v>
      </c>
      <c r="K1002" s="15"/>
      <c r="L1002" s="53" t="str">
        <f>IF(G1002*K1002&lt;&gt;0, TRUNC(G1002*K1002, 1), "")</f>
        <v/>
      </c>
      <c r="M1002" s="15"/>
      <c r="N1002" s="53" t="str">
        <f>IF(G1002*M1002&lt;&gt;0, TRUNC(G1002*M1002, 1), "")</f>
        <v/>
      </c>
      <c r="O1002" s="15">
        <f>IF((H1002+K1002+M1002)=0, "", (H1002+K1002+M1002))</f>
        <v>875.9</v>
      </c>
      <c r="P1002" s="15">
        <f>IF(SUM(I1002,L1002,N1002)&lt;&gt;0,SUM(I1002,L1002,N1002),"")</f>
        <v>875.9</v>
      </c>
      <c r="Q1002" s="12"/>
    </row>
    <row r="1003" spans="1:18" ht="23.25" customHeight="1" x14ac:dyDescent="0.15">
      <c r="B1003" s="13" t="s">
        <v>2360</v>
      </c>
      <c r="D1003" s="12" t="s">
        <v>2361</v>
      </c>
      <c r="E1003" s="12"/>
      <c r="F1003" s="31"/>
      <c r="G1003" s="15"/>
      <c r="H1003" s="15"/>
      <c r="I1003" s="53">
        <f>TRUNC(SUM(I999:I1002))</f>
        <v>2775</v>
      </c>
      <c r="J1003" s="15"/>
      <c r="K1003" s="15"/>
      <c r="L1003" s="53">
        <f>TRUNC(SUM(L999:L1002))</f>
        <v>43798</v>
      </c>
      <c r="M1003" s="15"/>
      <c r="N1003" s="53">
        <f>TRUNC(SUM(N999:N1002))</f>
        <v>0</v>
      </c>
      <c r="O1003" s="15" t="str">
        <f>IF((H1003+K1003+M1003)=0, "", (H1003+K1003+M1003))</f>
        <v/>
      </c>
      <c r="P1003" s="15">
        <f>IF(SUM(I1003,L1003,N1003)&lt;&gt;0,SUM(I1003,L1003,N1003),"")</f>
        <v>46573</v>
      </c>
      <c r="Q1003" s="12"/>
    </row>
    <row r="1004" spans="1:18" ht="23.25" customHeight="1" x14ac:dyDescent="0.15">
      <c r="D1004" s="12"/>
      <c r="E1004" s="12"/>
      <c r="F1004" s="31"/>
      <c r="G1004" s="15"/>
      <c r="H1004" s="15"/>
      <c r="I1004" s="53"/>
      <c r="J1004" s="15"/>
      <c r="K1004" s="15"/>
      <c r="L1004" s="53"/>
      <c r="M1004" s="15"/>
      <c r="N1004" s="53"/>
      <c r="O1004" s="15"/>
      <c r="P1004" s="15"/>
      <c r="Q1004" s="12"/>
    </row>
    <row r="1005" spans="1:18" ht="23.25" customHeight="1" x14ac:dyDescent="0.15">
      <c r="A1005" s="13" t="s">
        <v>2787</v>
      </c>
      <c r="B1005" s="13" t="s">
        <v>2382</v>
      </c>
      <c r="C1005" s="1" t="s">
        <v>2788</v>
      </c>
      <c r="D1005" s="170" t="s">
        <v>2786</v>
      </c>
      <c r="E1005" s="172"/>
      <c r="F1005" s="31"/>
      <c r="G1005" s="15"/>
      <c r="H1005" s="15"/>
      <c r="I1005" s="53"/>
      <c r="J1005" s="15"/>
      <c r="K1005" s="15"/>
      <c r="L1005" s="53"/>
      <c r="M1005" s="15"/>
      <c r="N1005" s="53"/>
      <c r="O1005" s="15"/>
      <c r="P1005" s="15"/>
      <c r="Q1005" s="12"/>
    </row>
    <row r="1006" spans="1:18" ht="23.25" customHeight="1" x14ac:dyDescent="0.15">
      <c r="A1006" s="13" t="s">
        <v>1200</v>
      </c>
      <c r="B1006" s="13" t="s">
        <v>2103</v>
      </c>
      <c r="C1006" s="1" t="s">
        <v>655</v>
      </c>
      <c r="D1006" s="12" t="s">
        <v>656</v>
      </c>
      <c r="E1006" s="12" t="s">
        <v>657</v>
      </c>
      <c r="F1006" s="31" t="s">
        <v>166</v>
      </c>
      <c r="G1006" s="15">
        <v>1</v>
      </c>
      <c r="H1006" s="15">
        <f>합산자재!H176</f>
        <v>2200</v>
      </c>
      <c r="I1006" s="53">
        <f>IF(G1006*H1006&lt;&gt;0, TRUNC(G1006*H1006, 1), "")</f>
        <v>2200</v>
      </c>
      <c r="J1006" s="15">
        <v>1</v>
      </c>
      <c r="K1006" s="15">
        <f>합산자재!I176</f>
        <v>0</v>
      </c>
      <c r="L1006" s="53" t="str">
        <f>IF(G1006*K1006&lt;&gt;0, TRUNC(G1006*K1006, 1), "")</f>
        <v/>
      </c>
      <c r="M1006" s="15">
        <f>합산자재!J176</f>
        <v>0</v>
      </c>
      <c r="N1006" s="53" t="str">
        <f>IF(G1006*M1006&lt;&gt;0, TRUNC(G1006*M1006, 1), "")</f>
        <v/>
      </c>
      <c r="O1006" s="15">
        <f t="shared" ref="O1006:O1011" si="139">IF((H1006+K1006+M1006)=0, "", (H1006+K1006+M1006))</f>
        <v>2200</v>
      </c>
      <c r="P1006" s="15">
        <f t="shared" ref="P1006:P1011" si="140">IF(SUM(I1006,L1006,N1006)&lt;&gt;0,SUM(I1006,L1006,N1006),"")</f>
        <v>2200</v>
      </c>
      <c r="Q1006" s="12"/>
      <c r="R1006" s="2" t="s">
        <v>2366</v>
      </c>
    </row>
    <row r="1007" spans="1:18" ht="23.25" customHeight="1" x14ac:dyDescent="0.15">
      <c r="A1007" s="13" t="s">
        <v>1200</v>
      </c>
      <c r="B1007" s="13" t="s">
        <v>2103</v>
      </c>
      <c r="C1007" s="1" t="s">
        <v>655</v>
      </c>
      <c r="D1007" s="12" t="s">
        <v>656</v>
      </c>
      <c r="E1007" s="12" t="s">
        <v>657</v>
      </c>
      <c r="F1007" s="31" t="s">
        <v>166</v>
      </c>
      <c r="G1007" s="15">
        <v>0.1</v>
      </c>
      <c r="H1007" s="15">
        <f>합산자재!H176</f>
        <v>2200</v>
      </c>
      <c r="I1007" s="53">
        <f>IF(G1007*H1007&lt;&gt;0, TRUNC(G1007*H1007, 1), "")</f>
        <v>220</v>
      </c>
      <c r="J1007" s="15">
        <v>0.1</v>
      </c>
      <c r="K1007" s="15">
        <f>합산자재!I176</f>
        <v>0</v>
      </c>
      <c r="L1007" s="53" t="str">
        <f>IF(G1007*K1007&lt;&gt;0, TRUNC(G1007*K1007, 1), "")</f>
        <v/>
      </c>
      <c r="M1007" s="15">
        <f>합산자재!J176</f>
        <v>0</v>
      </c>
      <c r="N1007" s="53" t="str">
        <f>IF(G1007*M1007&lt;&gt;0, TRUNC(G1007*M1007, 1), "")</f>
        <v/>
      </c>
      <c r="O1007" s="15">
        <f t="shared" si="139"/>
        <v>2200</v>
      </c>
      <c r="P1007" s="15">
        <f t="shared" si="140"/>
        <v>220</v>
      </c>
      <c r="Q1007" s="12"/>
      <c r="R1007" s="2" t="s">
        <v>2366</v>
      </c>
    </row>
    <row r="1008" spans="1:18" ht="23.25" customHeight="1" x14ac:dyDescent="0.15">
      <c r="A1008" s="13" t="s">
        <v>2367</v>
      </c>
      <c r="B1008" s="13" t="s">
        <v>2103</v>
      </c>
      <c r="C1008" s="1" t="s">
        <v>2368</v>
      </c>
      <c r="D1008" s="12" t="s">
        <v>2369</v>
      </c>
      <c r="E1008" s="12" t="s">
        <v>2370</v>
      </c>
      <c r="F1008" s="31" t="s">
        <v>792</v>
      </c>
      <c r="G1008" s="15">
        <v>1</v>
      </c>
      <c r="H1008" s="15">
        <v>330</v>
      </c>
      <c r="I1008" s="53">
        <f>IF(G1008*H1008&lt;&gt;0, TRUNC(G1008*H1008, 1), "")</f>
        <v>330</v>
      </c>
      <c r="J1008" s="15">
        <v>1</v>
      </c>
      <c r="K1008" s="15"/>
      <c r="L1008" s="53" t="str">
        <f>IF(G1008*K1008&lt;&gt;0, TRUNC(G1008*K1008, 1), "")</f>
        <v/>
      </c>
      <c r="M1008" s="15"/>
      <c r="N1008" s="53" t="str">
        <f>IF(G1008*M1008&lt;&gt;0, TRUNC(G1008*M1008, 1), "")</f>
        <v/>
      </c>
      <c r="O1008" s="15">
        <f t="shared" si="139"/>
        <v>330</v>
      </c>
      <c r="P1008" s="15">
        <f t="shared" si="140"/>
        <v>330</v>
      </c>
      <c r="Q1008" s="12"/>
    </row>
    <row r="1009" spans="1:18" ht="23.25" customHeight="1" x14ac:dyDescent="0.15">
      <c r="A1009" s="13" t="s">
        <v>1372</v>
      </c>
      <c r="B1009" s="13" t="s">
        <v>2103</v>
      </c>
      <c r="C1009" s="1" t="s">
        <v>1002</v>
      </c>
      <c r="D1009" s="12" t="s">
        <v>1003</v>
      </c>
      <c r="E1009" s="12" t="s">
        <v>1004</v>
      </c>
      <c r="F1009" s="31" t="s">
        <v>999</v>
      </c>
      <c r="G1009" s="15">
        <f>일위노임!G459</f>
        <v>5.3999999999999999E-2</v>
      </c>
      <c r="H1009" s="15">
        <f>합산자재!H345</f>
        <v>0</v>
      </c>
      <c r="I1009" s="53" t="str">
        <f>IF(G1009*H1009&lt;&gt;0, TRUNC(G1009*H1009, 1), "")</f>
        <v/>
      </c>
      <c r="J1009" s="15">
        <v>5.3999999999999999E-2</v>
      </c>
      <c r="K1009" s="15">
        <f>합산자재!I345</f>
        <v>273676</v>
      </c>
      <c r="L1009" s="53">
        <f>IF(G1009*K1009&lt;&gt;0, TRUNC(G1009*K1009, 1), "")</f>
        <v>14778.5</v>
      </c>
      <c r="M1009" s="15">
        <f>합산자재!J345</f>
        <v>0</v>
      </c>
      <c r="N1009" s="53" t="str">
        <f>IF(G1009*M1009&lt;&gt;0, TRUNC(G1009*M1009, 1), "")</f>
        <v/>
      </c>
      <c r="O1009" s="15">
        <f t="shared" si="139"/>
        <v>273676</v>
      </c>
      <c r="P1009" s="15">
        <f t="shared" si="140"/>
        <v>14778.5</v>
      </c>
      <c r="Q1009" s="12"/>
    </row>
    <row r="1010" spans="1:18" ht="23.25" customHeight="1" x14ac:dyDescent="0.15">
      <c r="A1010" s="13" t="s">
        <v>2362</v>
      </c>
      <c r="B1010" s="13" t="s">
        <v>2103</v>
      </c>
      <c r="C1010" s="1" t="s">
        <v>2363</v>
      </c>
      <c r="D1010" s="12" t="s">
        <v>2364</v>
      </c>
      <c r="E1010" s="12" t="s">
        <v>2365</v>
      </c>
      <c r="F1010" s="31" t="s">
        <v>792</v>
      </c>
      <c r="G1010" s="15">
        <v>1</v>
      </c>
      <c r="H1010" s="15">
        <v>295.5</v>
      </c>
      <c r="I1010" s="53">
        <f>IF(G1010*H1010&lt;&gt;0, TRUNC(G1010*H1010, 1), "")</f>
        <v>295.5</v>
      </c>
      <c r="J1010" s="15">
        <v>1</v>
      </c>
      <c r="K1010" s="15"/>
      <c r="L1010" s="53" t="str">
        <f>IF(G1010*K1010&lt;&gt;0, TRUNC(G1010*K1010, 1), "")</f>
        <v/>
      </c>
      <c r="M1010" s="15"/>
      <c r="N1010" s="53" t="str">
        <f>IF(G1010*M1010&lt;&gt;0, TRUNC(G1010*M1010, 1), "")</f>
        <v/>
      </c>
      <c r="O1010" s="15">
        <f t="shared" si="139"/>
        <v>295.5</v>
      </c>
      <c r="P1010" s="15">
        <f t="shared" si="140"/>
        <v>295.5</v>
      </c>
      <c r="Q1010" s="12"/>
    </row>
    <row r="1011" spans="1:18" ht="23.25" customHeight="1" x14ac:dyDescent="0.15">
      <c r="B1011" s="13" t="s">
        <v>2360</v>
      </c>
      <c r="D1011" s="12" t="s">
        <v>2361</v>
      </c>
      <c r="E1011" s="12"/>
      <c r="F1011" s="31"/>
      <c r="G1011" s="15"/>
      <c r="H1011" s="15"/>
      <c r="I1011" s="53">
        <f>TRUNC(SUM(I1005:I1010))</f>
        <v>3045</v>
      </c>
      <c r="J1011" s="15"/>
      <c r="K1011" s="15"/>
      <c r="L1011" s="53">
        <f>TRUNC(SUM(L1005:L1010))</f>
        <v>14778</v>
      </c>
      <c r="M1011" s="15"/>
      <c r="N1011" s="53">
        <f>TRUNC(SUM(N1005:N1010))</f>
        <v>0</v>
      </c>
      <c r="O1011" s="15" t="str">
        <f t="shared" si="139"/>
        <v/>
      </c>
      <c r="P1011" s="15">
        <f t="shared" si="140"/>
        <v>17823</v>
      </c>
      <c r="Q1011" s="12"/>
    </row>
    <row r="1012" spans="1:18" ht="23.25" customHeight="1" x14ac:dyDescent="0.15">
      <c r="D1012" s="12"/>
      <c r="E1012" s="12"/>
      <c r="F1012" s="31"/>
      <c r="G1012" s="15"/>
      <c r="H1012" s="15"/>
      <c r="I1012" s="53"/>
      <c r="J1012" s="15"/>
      <c r="K1012" s="15"/>
      <c r="L1012" s="53"/>
      <c r="M1012" s="15"/>
      <c r="N1012" s="53"/>
      <c r="O1012" s="15"/>
      <c r="P1012" s="15"/>
      <c r="Q1012" s="12"/>
    </row>
    <row r="1013" spans="1:18" ht="23.25" customHeight="1" x14ac:dyDescent="0.15">
      <c r="A1013" s="13" t="s">
        <v>2790</v>
      </c>
      <c r="B1013" s="13" t="s">
        <v>2382</v>
      </c>
      <c r="C1013" s="1" t="s">
        <v>2791</v>
      </c>
      <c r="D1013" s="170" t="s">
        <v>2789</v>
      </c>
      <c r="E1013" s="172"/>
      <c r="F1013" s="31"/>
      <c r="G1013" s="15"/>
      <c r="H1013" s="15"/>
      <c r="I1013" s="53"/>
      <c r="J1013" s="15"/>
      <c r="K1013" s="15"/>
      <c r="L1013" s="53"/>
      <c r="M1013" s="15"/>
      <c r="N1013" s="53"/>
      <c r="O1013" s="15"/>
      <c r="P1013" s="15"/>
      <c r="Q1013" s="12"/>
    </row>
    <row r="1014" spans="1:18" ht="23.25" customHeight="1" x14ac:dyDescent="0.15">
      <c r="A1014" s="13" t="s">
        <v>1201</v>
      </c>
      <c r="B1014" s="13" t="s">
        <v>2106</v>
      </c>
      <c r="C1014" s="1" t="s">
        <v>659</v>
      </c>
      <c r="D1014" s="12" t="s">
        <v>656</v>
      </c>
      <c r="E1014" s="12" t="s">
        <v>660</v>
      </c>
      <c r="F1014" s="31" t="s">
        <v>166</v>
      </c>
      <c r="G1014" s="15">
        <v>1</v>
      </c>
      <c r="H1014" s="15">
        <f>합산자재!H177</f>
        <v>2870</v>
      </c>
      <c r="I1014" s="53">
        <f>IF(G1014*H1014&lt;&gt;0, TRUNC(G1014*H1014, 1), "")</f>
        <v>2870</v>
      </c>
      <c r="J1014" s="15">
        <v>1</v>
      </c>
      <c r="K1014" s="15">
        <f>합산자재!I177</f>
        <v>0</v>
      </c>
      <c r="L1014" s="53" t="str">
        <f>IF(G1014*K1014&lt;&gt;0, TRUNC(G1014*K1014, 1), "")</f>
        <v/>
      </c>
      <c r="M1014" s="15">
        <f>합산자재!J177</f>
        <v>0</v>
      </c>
      <c r="N1014" s="53" t="str">
        <f>IF(G1014*M1014&lt;&gt;0, TRUNC(G1014*M1014, 1), "")</f>
        <v/>
      </c>
      <c r="O1014" s="15">
        <f t="shared" ref="O1014:O1019" si="141">IF((H1014+K1014+M1014)=0, "", (H1014+K1014+M1014))</f>
        <v>2870</v>
      </c>
      <c r="P1014" s="15">
        <f t="shared" ref="P1014:P1019" si="142">IF(SUM(I1014,L1014,N1014)&lt;&gt;0,SUM(I1014,L1014,N1014),"")</f>
        <v>2870</v>
      </c>
      <c r="Q1014" s="12"/>
      <c r="R1014" s="2" t="s">
        <v>2366</v>
      </c>
    </row>
    <row r="1015" spans="1:18" ht="23.25" customHeight="1" x14ac:dyDescent="0.15">
      <c r="A1015" s="13" t="s">
        <v>1201</v>
      </c>
      <c r="B1015" s="13" t="s">
        <v>2106</v>
      </c>
      <c r="C1015" s="1" t="s">
        <v>659</v>
      </c>
      <c r="D1015" s="12" t="s">
        <v>656</v>
      </c>
      <c r="E1015" s="12" t="s">
        <v>660</v>
      </c>
      <c r="F1015" s="31" t="s">
        <v>166</v>
      </c>
      <c r="G1015" s="15">
        <v>0.1</v>
      </c>
      <c r="H1015" s="15">
        <f>합산자재!H177</f>
        <v>2870</v>
      </c>
      <c r="I1015" s="53">
        <f>IF(G1015*H1015&lt;&gt;0, TRUNC(G1015*H1015, 1), "")</f>
        <v>287</v>
      </c>
      <c r="J1015" s="15">
        <v>0.1</v>
      </c>
      <c r="K1015" s="15">
        <f>합산자재!I177</f>
        <v>0</v>
      </c>
      <c r="L1015" s="53" t="str">
        <f>IF(G1015*K1015&lt;&gt;0, TRUNC(G1015*K1015, 1), "")</f>
        <v/>
      </c>
      <c r="M1015" s="15">
        <f>합산자재!J177</f>
        <v>0</v>
      </c>
      <c r="N1015" s="53" t="str">
        <f>IF(G1015*M1015&lt;&gt;0, TRUNC(G1015*M1015, 1), "")</f>
        <v/>
      </c>
      <c r="O1015" s="15">
        <f t="shared" si="141"/>
        <v>2870</v>
      </c>
      <c r="P1015" s="15">
        <f t="shared" si="142"/>
        <v>287</v>
      </c>
      <c r="Q1015" s="12"/>
      <c r="R1015" s="2" t="s">
        <v>2366</v>
      </c>
    </row>
    <row r="1016" spans="1:18" ht="23.25" customHeight="1" x14ac:dyDescent="0.15">
      <c r="A1016" s="13" t="s">
        <v>2367</v>
      </c>
      <c r="B1016" s="13" t="s">
        <v>2106</v>
      </c>
      <c r="C1016" s="1" t="s">
        <v>2368</v>
      </c>
      <c r="D1016" s="12" t="s">
        <v>2369</v>
      </c>
      <c r="E1016" s="12" t="s">
        <v>2370</v>
      </c>
      <c r="F1016" s="31" t="s">
        <v>792</v>
      </c>
      <c r="G1016" s="15">
        <v>1</v>
      </c>
      <c r="H1016" s="15">
        <v>430.5</v>
      </c>
      <c r="I1016" s="53">
        <f>IF(G1016*H1016&lt;&gt;0, TRUNC(G1016*H1016, 1), "")</f>
        <v>430.5</v>
      </c>
      <c r="J1016" s="15">
        <v>1</v>
      </c>
      <c r="K1016" s="15"/>
      <c r="L1016" s="53" t="str">
        <f>IF(G1016*K1016&lt;&gt;0, TRUNC(G1016*K1016, 1), "")</f>
        <v/>
      </c>
      <c r="M1016" s="15"/>
      <c r="N1016" s="53" t="str">
        <f>IF(G1016*M1016&lt;&gt;0, TRUNC(G1016*M1016, 1), "")</f>
        <v/>
      </c>
      <c r="O1016" s="15">
        <f t="shared" si="141"/>
        <v>430.5</v>
      </c>
      <c r="P1016" s="15">
        <f t="shared" si="142"/>
        <v>430.5</v>
      </c>
      <c r="Q1016" s="12"/>
    </row>
    <row r="1017" spans="1:18" ht="23.25" customHeight="1" x14ac:dyDescent="0.15">
      <c r="A1017" s="13" t="s">
        <v>1372</v>
      </c>
      <c r="B1017" s="13" t="s">
        <v>2106</v>
      </c>
      <c r="C1017" s="1" t="s">
        <v>1002</v>
      </c>
      <c r="D1017" s="12" t="s">
        <v>1003</v>
      </c>
      <c r="E1017" s="12" t="s">
        <v>1004</v>
      </c>
      <c r="F1017" s="31" t="s">
        <v>999</v>
      </c>
      <c r="G1017" s="15">
        <f>일위노임!G462</f>
        <v>6.4799999999999996E-2</v>
      </c>
      <c r="H1017" s="15">
        <f>합산자재!H345</f>
        <v>0</v>
      </c>
      <c r="I1017" s="53" t="str">
        <f>IF(G1017*H1017&lt;&gt;0, TRUNC(G1017*H1017, 1), "")</f>
        <v/>
      </c>
      <c r="J1017" s="15">
        <v>6.4799999999999996E-2</v>
      </c>
      <c r="K1017" s="15">
        <f>합산자재!I345</f>
        <v>273676</v>
      </c>
      <c r="L1017" s="53">
        <f>IF(G1017*K1017&lt;&gt;0, TRUNC(G1017*K1017, 1), "")</f>
        <v>17734.2</v>
      </c>
      <c r="M1017" s="15">
        <f>합산자재!J345</f>
        <v>0</v>
      </c>
      <c r="N1017" s="53" t="str">
        <f>IF(G1017*M1017&lt;&gt;0, TRUNC(G1017*M1017, 1), "")</f>
        <v/>
      </c>
      <c r="O1017" s="15">
        <f t="shared" si="141"/>
        <v>273676</v>
      </c>
      <c r="P1017" s="15">
        <f t="shared" si="142"/>
        <v>17734.2</v>
      </c>
      <c r="Q1017" s="12"/>
    </row>
    <row r="1018" spans="1:18" ht="23.25" customHeight="1" x14ac:dyDescent="0.15">
      <c r="A1018" s="13" t="s">
        <v>2362</v>
      </c>
      <c r="B1018" s="13" t="s">
        <v>2106</v>
      </c>
      <c r="C1018" s="1" t="s">
        <v>2363</v>
      </c>
      <c r="D1018" s="12" t="s">
        <v>2364</v>
      </c>
      <c r="E1018" s="12" t="s">
        <v>2365</v>
      </c>
      <c r="F1018" s="31" t="s">
        <v>792</v>
      </c>
      <c r="G1018" s="15">
        <v>1</v>
      </c>
      <c r="H1018" s="15">
        <v>354.6</v>
      </c>
      <c r="I1018" s="53">
        <f>IF(G1018*H1018&lt;&gt;0, TRUNC(G1018*H1018, 1), "")</f>
        <v>354.6</v>
      </c>
      <c r="J1018" s="15">
        <v>1</v>
      </c>
      <c r="K1018" s="15"/>
      <c r="L1018" s="53" t="str">
        <f>IF(G1018*K1018&lt;&gt;0, TRUNC(G1018*K1018, 1), "")</f>
        <v/>
      </c>
      <c r="M1018" s="15"/>
      <c r="N1018" s="53" t="str">
        <f>IF(G1018*M1018&lt;&gt;0, TRUNC(G1018*M1018, 1), "")</f>
        <v/>
      </c>
      <c r="O1018" s="15">
        <f t="shared" si="141"/>
        <v>354.6</v>
      </c>
      <c r="P1018" s="15">
        <f t="shared" si="142"/>
        <v>354.6</v>
      </c>
      <c r="Q1018" s="12"/>
    </row>
    <row r="1019" spans="1:18" ht="23.25" customHeight="1" x14ac:dyDescent="0.15">
      <c r="B1019" s="13" t="s">
        <v>2360</v>
      </c>
      <c r="D1019" s="12" t="s">
        <v>2361</v>
      </c>
      <c r="E1019" s="12"/>
      <c r="F1019" s="31"/>
      <c r="G1019" s="15"/>
      <c r="H1019" s="15"/>
      <c r="I1019" s="53">
        <f>TRUNC(SUM(I1013:I1018))</f>
        <v>3942</v>
      </c>
      <c r="J1019" s="15"/>
      <c r="K1019" s="15"/>
      <c r="L1019" s="53">
        <f>TRUNC(SUM(L1013:L1018))</f>
        <v>17734</v>
      </c>
      <c r="M1019" s="15"/>
      <c r="N1019" s="53">
        <f>TRUNC(SUM(N1013:N1018))</f>
        <v>0</v>
      </c>
      <c r="O1019" s="15" t="str">
        <f t="shared" si="141"/>
        <v/>
      </c>
      <c r="P1019" s="15">
        <f t="shared" si="142"/>
        <v>21676</v>
      </c>
      <c r="Q1019" s="12"/>
    </row>
    <row r="1020" spans="1:18" ht="23.25" customHeight="1" x14ac:dyDescent="0.15">
      <c r="D1020" s="12"/>
      <c r="E1020" s="12"/>
      <c r="F1020" s="31"/>
      <c r="G1020" s="15"/>
      <c r="H1020" s="15"/>
      <c r="I1020" s="53"/>
      <c r="J1020" s="15"/>
      <c r="K1020" s="15"/>
      <c r="L1020" s="53"/>
      <c r="M1020" s="15"/>
      <c r="N1020" s="53"/>
      <c r="O1020" s="15"/>
      <c r="P1020" s="15"/>
      <c r="Q1020" s="12"/>
    </row>
    <row r="1021" spans="1:18" ht="23.25" customHeight="1" x14ac:dyDescent="0.15">
      <c r="A1021" s="13" t="s">
        <v>2793</v>
      </c>
      <c r="B1021" s="13" t="s">
        <v>2382</v>
      </c>
      <c r="C1021" s="1" t="s">
        <v>2794</v>
      </c>
      <c r="D1021" s="170" t="s">
        <v>2792</v>
      </c>
      <c r="E1021" s="172"/>
      <c r="F1021" s="31"/>
      <c r="G1021" s="15"/>
      <c r="H1021" s="15"/>
      <c r="I1021" s="53"/>
      <c r="J1021" s="15"/>
      <c r="K1021" s="15"/>
      <c r="L1021" s="53"/>
      <c r="M1021" s="15"/>
      <c r="N1021" s="53"/>
      <c r="O1021" s="15"/>
      <c r="P1021" s="15"/>
      <c r="Q1021" s="12"/>
    </row>
    <row r="1022" spans="1:18" ht="23.25" customHeight="1" x14ac:dyDescent="0.15">
      <c r="A1022" s="13" t="s">
        <v>1202</v>
      </c>
      <c r="B1022" s="13" t="s">
        <v>2109</v>
      </c>
      <c r="C1022" s="1" t="s">
        <v>661</v>
      </c>
      <c r="D1022" s="12" t="s">
        <v>656</v>
      </c>
      <c r="E1022" s="12" t="s">
        <v>662</v>
      </c>
      <c r="F1022" s="31" t="s">
        <v>166</v>
      </c>
      <c r="G1022" s="15">
        <v>1</v>
      </c>
      <c r="H1022" s="15">
        <f>합산자재!H178</f>
        <v>3889</v>
      </c>
      <c r="I1022" s="53">
        <f>IF(G1022*H1022&lt;&gt;0, TRUNC(G1022*H1022, 1), "")</f>
        <v>3889</v>
      </c>
      <c r="J1022" s="15">
        <v>1</v>
      </c>
      <c r="K1022" s="15">
        <f>합산자재!I178</f>
        <v>0</v>
      </c>
      <c r="L1022" s="53" t="str">
        <f>IF(G1022*K1022&lt;&gt;0, TRUNC(G1022*K1022, 1), "")</f>
        <v/>
      </c>
      <c r="M1022" s="15">
        <f>합산자재!J178</f>
        <v>0</v>
      </c>
      <c r="N1022" s="53" t="str">
        <f>IF(G1022*M1022&lt;&gt;0, TRUNC(G1022*M1022, 1), "")</f>
        <v/>
      </c>
      <c r="O1022" s="15">
        <f t="shared" ref="O1022:O1027" si="143">IF((H1022+K1022+M1022)=0, "", (H1022+K1022+M1022))</f>
        <v>3889</v>
      </c>
      <c r="P1022" s="15">
        <f t="shared" ref="P1022:P1027" si="144">IF(SUM(I1022,L1022,N1022)&lt;&gt;0,SUM(I1022,L1022,N1022),"")</f>
        <v>3889</v>
      </c>
      <c r="Q1022" s="12"/>
      <c r="R1022" s="2" t="s">
        <v>2366</v>
      </c>
    </row>
    <row r="1023" spans="1:18" ht="23.25" customHeight="1" x14ac:dyDescent="0.15">
      <c r="A1023" s="13" t="s">
        <v>1202</v>
      </c>
      <c r="B1023" s="13" t="s">
        <v>2109</v>
      </c>
      <c r="C1023" s="1" t="s">
        <v>661</v>
      </c>
      <c r="D1023" s="12" t="s">
        <v>656</v>
      </c>
      <c r="E1023" s="12" t="s">
        <v>662</v>
      </c>
      <c r="F1023" s="31" t="s">
        <v>166</v>
      </c>
      <c r="G1023" s="15">
        <v>0.1</v>
      </c>
      <c r="H1023" s="15">
        <f>합산자재!H178</f>
        <v>3889</v>
      </c>
      <c r="I1023" s="53">
        <f>IF(G1023*H1023&lt;&gt;0, TRUNC(G1023*H1023, 1), "")</f>
        <v>388.9</v>
      </c>
      <c r="J1023" s="15">
        <v>0.1</v>
      </c>
      <c r="K1023" s="15">
        <f>합산자재!I178</f>
        <v>0</v>
      </c>
      <c r="L1023" s="53" t="str">
        <f>IF(G1023*K1023&lt;&gt;0, TRUNC(G1023*K1023, 1), "")</f>
        <v/>
      </c>
      <c r="M1023" s="15">
        <f>합산자재!J178</f>
        <v>0</v>
      </c>
      <c r="N1023" s="53" t="str">
        <f>IF(G1023*M1023&lt;&gt;0, TRUNC(G1023*M1023, 1), "")</f>
        <v/>
      </c>
      <c r="O1023" s="15">
        <f t="shared" si="143"/>
        <v>3889</v>
      </c>
      <c r="P1023" s="15">
        <f t="shared" si="144"/>
        <v>388.9</v>
      </c>
      <c r="Q1023" s="12"/>
      <c r="R1023" s="2" t="s">
        <v>2366</v>
      </c>
    </row>
    <row r="1024" spans="1:18" ht="23.25" customHeight="1" x14ac:dyDescent="0.15">
      <c r="A1024" s="13" t="s">
        <v>2367</v>
      </c>
      <c r="B1024" s="13" t="s">
        <v>2109</v>
      </c>
      <c r="C1024" s="1" t="s">
        <v>2368</v>
      </c>
      <c r="D1024" s="12" t="s">
        <v>2369</v>
      </c>
      <c r="E1024" s="12" t="s">
        <v>2370</v>
      </c>
      <c r="F1024" s="31" t="s">
        <v>792</v>
      </c>
      <c r="G1024" s="15">
        <v>1</v>
      </c>
      <c r="H1024" s="15">
        <v>583.29999999999995</v>
      </c>
      <c r="I1024" s="53">
        <f>IF(G1024*H1024&lt;&gt;0, TRUNC(G1024*H1024, 1), "")</f>
        <v>583.29999999999995</v>
      </c>
      <c r="J1024" s="15">
        <v>1</v>
      </c>
      <c r="K1024" s="15"/>
      <c r="L1024" s="53" t="str">
        <f>IF(G1024*K1024&lt;&gt;0, TRUNC(G1024*K1024, 1), "")</f>
        <v/>
      </c>
      <c r="M1024" s="15"/>
      <c r="N1024" s="53" t="str">
        <f>IF(G1024*M1024&lt;&gt;0, TRUNC(G1024*M1024, 1), "")</f>
        <v/>
      </c>
      <c r="O1024" s="15">
        <f t="shared" si="143"/>
        <v>583.29999999999995</v>
      </c>
      <c r="P1024" s="15">
        <f t="shared" si="144"/>
        <v>583.29999999999995</v>
      </c>
      <c r="Q1024" s="12"/>
    </row>
    <row r="1025" spans="1:18" ht="23.25" customHeight="1" x14ac:dyDescent="0.15">
      <c r="A1025" s="13" t="s">
        <v>1372</v>
      </c>
      <c r="B1025" s="13" t="s">
        <v>2109</v>
      </c>
      <c r="C1025" s="1" t="s">
        <v>1002</v>
      </c>
      <c r="D1025" s="12" t="s">
        <v>1003</v>
      </c>
      <c r="E1025" s="12" t="s">
        <v>1004</v>
      </c>
      <c r="F1025" s="31" t="s">
        <v>999</v>
      </c>
      <c r="G1025" s="15">
        <f>일위노임!G465</f>
        <v>8.6400000000000005E-2</v>
      </c>
      <c r="H1025" s="15">
        <f>합산자재!H345</f>
        <v>0</v>
      </c>
      <c r="I1025" s="53" t="str">
        <f>IF(G1025*H1025&lt;&gt;0, TRUNC(G1025*H1025, 1), "")</f>
        <v/>
      </c>
      <c r="J1025" s="15">
        <v>8.6400000000000005E-2</v>
      </c>
      <c r="K1025" s="15">
        <f>합산자재!I345</f>
        <v>273676</v>
      </c>
      <c r="L1025" s="53">
        <f>IF(G1025*K1025&lt;&gt;0, TRUNC(G1025*K1025, 1), "")</f>
        <v>23645.599999999999</v>
      </c>
      <c r="M1025" s="15">
        <f>합산자재!J345</f>
        <v>0</v>
      </c>
      <c r="N1025" s="53" t="str">
        <f>IF(G1025*M1025&lt;&gt;0, TRUNC(G1025*M1025, 1), "")</f>
        <v/>
      </c>
      <c r="O1025" s="15">
        <f t="shared" si="143"/>
        <v>273676</v>
      </c>
      <c r="P1025" s="15">
        <f t="shared" si="144"/>
        <v>23645.599999999999</v>
      </c>
      <c r="Q1025" s="12"/>
    </row>
    <row r="1026" spans="1:18" ht="23.25" customHeight="1" x14ac:dyDescent="0.15">
      <c r="A1026" s="13" t="s">
        <v>2362</v>
      </c>
      <c r="B1026" s="13" t="s">
        <v>2109</v>
      </c>
      <c r="C1026" s="1" t="s">
        <v>2363</v>
      </c>
      <c r="D1026" s="12" t="s">
        <v>2364</v>
      </c>
      <c r="E1026" s="12" t="s">
        <v>2365</v>
      </c>
      <c r="F1026" s="31" t="s">
        <v>792</v>
      </c>
      <c r="G1026" s="15">
        <v>1</v>
      </c>
      <c r="H1026" s="15">
        <v>472.9</v>
      </c>
      <c r="I1026" s="53">
        <f>IF(G1026*H1026&lt;&gt;0, TRUNC(G1026*H1026, 1), "")</f>
        <v>472.9</v>
      </c>
      <c r="J1026" s="15">
        <v>1</v>
      </c>
      <c r="K1026" s="15"/>
      <c r="L1026" s="53" t="str">
        <f>IF(G1026*K1026&lt;&gt;0, TRUNC(G1026*K1026, 1), "")</f>
        <v/>
      </c>
      <c r="M1026" s="15"/>
      <c r="N1026" s="53" t="str">
        <f>IF(G1026*M1026&lt;&gt;0, TRUNC(G1026*M1026, 1), "")</f>
        <v/>
      </c>
      <c r="O1026" s="15">
        <f t="shared" si="143"/>
        <v>472.9</v>
      </c>
      <c r="P1026" s="15">
        <f t="shared" si="144"/>
        <v>472.9</v>
      </c>
      <c r="Q1026" s="12"/>
    </row>
    <row r="1027" spans="1:18" ht="23.25" customHeight="1" x14ac:dyDescent="0.15">
      <c r="B1027" s="13" t="s">
        <v>2360</v>
      </c>
      <c r="D1027" s="12" t="s">
        <v>2361</v>
      </c>
      <c r="E1027" s="12"/>
      <c r="F1027" s="31"/>
      <c r="G1027" s="15"/>
      <c r="H1027" s="15"/>
      <c r="I1027" s="53">
        <f>TRUNC(SUM(I1021:I1026))</f>
        <v>5334</v>
      </c>
      <c r="J1027" s="15"/>
      <c r="K1027" s="15"/>
      <c r="L1027" s="53">
        <f>TRUNC(SUM(L1021:L1026))</f>
        <v>23645</v>
      </c>
      <c r="M1027" s="15"/>
      <c r="N1027" s="53">
        <f>TRUNC(SUM(N1021:N1026))</f>
        <v>0</v>
      </c>
      <c r="O1027" s="15" t="str">
        <f t="shared" si="143"/>
        <v/>
      </c>
      <c r="P1027" s="15">
        <f t="shared" si="144"/>
        <v>28979</v>
      </c>
      <c r="Q1027" s="12"/>
    </row>
    <row r="1028" spans="1:18" ht="23.25" customHeight="1" x14ac:dyDescent="0.15">
      <c r="D1028" s="12"/>
      <c r="E1028" s="12"/>
      <c r="F1028" s="31"/>
      <c r="G1028" s="15"/>
      <c r="H1028" s="15"/>
      <c r="I1028" s="53"/>
      <c r="J1028" s="15"/>
      <c r="K1028" s="15"/>
      <c r="L1028" s="53"/>
      <c r="M1028" s="15"/>
      <c r="N1028" s="53"/>
      <c r="O1028" s="15"/>
      <c r="P1028" s="15"/>
      <c r="Q1028" s="12"/>
    </row>
    <row r="1029" spans="1:18" ht="23.25" customHeight="1" x14ac:dyDescent="0.15">
      <c r="A1029" s="13" t="s">
        <v>2796</v>
      </c>
      <c r="B1029" s="13" t="s">
        <v>2382</v>
      </c>
      <c r="C1029" s="1" t="s">
        <v>2797</v>
      </c>
      <c r="D1029" s="170" t="s">
        <v>2795</v>
      </c>
      <c r="E1029" s="172"/>
      <c r="F1029" s="31"/>
      <c r="G1029" s="15"/>
      <c r="H1029" s="15"/>
      <c r="I1029" s="53"/>
      <c r="J1029" s="15"/>
      <c r="K1029" s="15"/>
      <c r="L1029" s="53"/>
      <c r="M1029" s="15"/>
      <c r="N1029" s="53"/>
      <c r="O1029" s="15"/>
      <c r="P1029" s="15"/>
      <c r="Q1029" s="12"/>
    </row>
    <row r="1030" spans="1:18" ht="23.25" customHeight="1" x14ac:dyDescent="0.15">
      <c r="A1030" s="13" t="s">
        <v>1203</v>
      </c>
      <c r="B1030" s="13" t="s">
        <v>2112</v>
      </c>
      <c r="C1030" s="1" t="s">
        <v>663</v>
      </c>
      <c r="D1030" s="12" t="s">
        <v>656</v>
      </c>
      <c r="E1030" s="12" t="s">
        <v>664</v>
      </c>
      <c r="F1030" s="31" t="s">
        <v>166</v>
      </c>
      <c r="G1030" s="15">
        <v>1</v>
      </c>
      <c r="H1030" s="15">
        <f>합산자재!H179</f>
        <v>4623</v>
      </c>
      <c r="I1030" s="53">
        <f>IF(G1030*H1030&lt;&gt;0, TRUNC(G1030*H1030, 1), "")</f>
        <v>4623</v>
      </c>
      <c r="J1030" s="15">
        <v>1</v>
      </c>
      <c r="K1030" s="15">
        <f>합산자재!I179</f>
        <v>0</v>
      </c>
      <c r="L1030" s="53" t="str">
        <f>IF(G1030*K1030&lt;&gt;0, TRUNC(G1030*K1030, 1), "")</f>
        <v/>
      </c>
      <c r="M1030" s="15">
        <f>합산자재!J179</f>
        <v>0</v>
      </c>
      <c r="N1030" s="53" t="str">
        <f>IF(G1030*M1030&lt;&gt;0, TRUNC(G1030*M1030, 1), "")</f>
        <v/>
      </c>
      <c r="O1030" s="15">
        <f t="shared" ref="O1030:O1035" si="145">IF((H1030+K1030+M1030)=0, "", (H1030+K1030+M1030))</f>
        <v>4623</v>
      </c>
      <c r="P1030" s="15">
        <f t="shared" ref="P1030:P1035" si="146">IF(SUM(I1030,L1030,N1030)&lt;&gt;0,SUM(I1030,L1030,N1030),"")</f>
        <v>4623</v>
      </c>
      <c r="Q1030" s="12"/>
      <c r="R1030" s="2" t="s">
        <v>2366</v>
      </c>
    </row>
    <row r="1031" spans="1:18" ht="23.25" customHeight="1" x14ac:dyDescent="0.15">
      <c r="A1031" s="13" t="s">
        <v>1203</v>
      </c>
      <c r="B1031" s="13" t="s">
        <v>2112</v>
      </c>
      <c r="C1031" s="1" t="s">
        <v>663</v>
      </c>
      <c r="D1031" s="12" t="s">
        <v>656</v>
      </c>
      <c r="E1031" s="12" t="s">
        <v>664</v>
      </c>
      <c r="F1031" s="31" t="s">
        <v>166</v>
      </c>
      <c r="G1031" s="15">
        <v>0.1</v>
      </c>
      <c r="H1031" s="15">
        <f>합산자재!H179</f>
        <v>4623</v>
      </c>
      <c r="I1031" s="53">
        <f>IF(G1031*H1031&lt;&gt;0, TRUNC(G1031*H1031, 1), "")</f>
        <v>462.3</v>
      </c>
      <c r="J1031" s="15">
        <v>0.1</v>
      </c>
      <c r="K1031" s="15">
        <f>합산자재!I179</f>
        <v>0</v>
      </c>
      <c r="L1031" s="53" t="str">
        <f>IF(G1031*K1031&lt;&gt;0, TRUNC(G1031*K1031, 1), "")</f>
        <v/>
      </c>
      <c r="M1031" s="15">
        <f>합산자재!J179</f>
        <v>0</v>
      </c>
      <c r="N1031" s="53" t="str">
        <f>IF(G1031*M1031&lt;&gt;0, TRUNC(G1031*M1031, 1), "")</f>
        <v/>
      </c>
      <c r="O1031" s="15">
        <f t="shared" si="145"/>
        <v>4623</v>
      </c>
      <c r="P1031" s="15">
        <f t="shared" si="146"/>
        <v>462.3</v>
      </c>
      <c r="Q1031" s="12"/>
      <c r="R1031" s="2" t="s">
        <v>2366</v>
      </c>
    </row>
    <row r="1032" spans="1:18" ht="23.25" customHeight="1" x14ac:dyDescent="0.15">
      <c r="A1032" s="13" t="s">
        <v>2367</v>
      </c>
      <c r="B1032" s="13" t="s">
        <v>2112</v>
      </c>
      <c r="C1032" s="1" t="s">
        <v>2368</v>
      </c>
      <c r="D1032" s="12" t="s">
        <v>2369</v>
      </c>
      <c r="E1032" s="12" t="s">
        <v>2370</v>
      </c>
      <c r="F1032" s="31" t="s">
        <v>792</v>
      </c>
      <c r="G1032" s="15">
        <v>1</v>
      </c>
      <c r="H1032" s="15">
        <v>693.4</v>
      </c>
      <c r="I1032" s="53">
        <f>IF(G1032*H1032&lt;&gt;0, TRUNC(G1032*H1032, 1), "")</f>
        <v>693.4</v>
      </c>
      <c r="J1032" s="15">
        <v>1</v>
      </c>
      <c r="K1032" s="15"/>
      <c r="L1032" s="53" t="str">
        <f>IF(G1032*K1032&lt;&gt;0, TRUNC(G1032*K1032, 1), "")</f>
        <v/>
      </c>
      <c r="M1032" s="15"/>
      <c r="N1032" s="53" t="str">
        <f>IF(G1032*M1032&lt;&gt;0, TRUNC(G1032*M1032, 1), "")</f>
        <v/>
      </c>
      <c r="O1032" s="15">
        <f t="shared" si="145"/>
        <v>693.4</v>
      </c>
      <c r="P1032" s="15">
        <f t="shared" si="146"/>
        <v>693.4</v>
      </c>
      <c r="Q1032" s="12"/>
    </row>
    <row r="1033" spans="1:18" ht="23.25" customHeight="1" x14ac:dyDescent="0.15">
      <c r="A1033" s="13" t="s">
        <v>1372</v>
      </c>
      <c r="B1033" s="13" t="s">
        <v>2112</v>
      </c>
      <c r="C1033" s="1" t="s">
        <v>1002</v>
      </c>
      <c r="D1033" s="12" t="s">
        <v>1003</v>
      </c>
      <c r="E1033" s="12" t="s">
        <v>1004</v>
      </c>
      <c r="F1033" s="31" t="s">
        <v>999</v>
      </c>
      <c r="G1033" s="15">
        <f>일위노임!G468</f>
        <v>0.108</v>
      </c>
      <c r="H1033" s="15">
        <f>합산자재!H345</f>
        <v>0</v>
      </c>
      <c r="I1033" s="53" t="str">
        <f>IF(G1033*H1033&lt;&gt;0, TRUNC(G1033*H1033, 1), "")</f>
        <v/>
      </c>
      <c r="J1033" s="15">
        <v>0.108</v>
      </c>
      <c r="K1033" s="15">
        <f>합산자재!I345</f>
        <v>273676</v>
      </c>
      <c r="L1033" s="53">
        <f>IF(G1033*K1033&lt;&gt;0, TRUNC(G1033*K1033, 1), "")</f>
        <v>29557</v>
      </c>
      <c r="M1033" s="15">
        <f>합산자재!J345</f>
        <v>0</v>
      </c>
      <c r="N1033" s="53" t="str">
        <f>IF(G1033*M1033&lt;&gt;0, TRUNC(G1033*M1033, 1), "")</f>
        <v/>
      </c>
      <c r="O1033" s="15">
        <f t="shared" si="145"/>
        <v>273676</v>
      </c>
      <c r="P1033" s="15">
        <f t="shared" si="146"/>
        <v>29557</v>
      </c>
      <c r="Q1033" s="12"/>
    </row>
    <row r="1034" spans="1:18" ht="23.25" customHeight="1" x14ac:dyDescent="0.15">
      <c r="A1034" s="13" t="s">
        <v>2362</v>
      </c>
      <c r="B1034" s="13" t="s">
        <v>2112</v>
      </c>
      <c r="C1034" s="1" t="s">
        <v>2363</v>
      </c>
      <c r="D1034" s="12" t="s">
        <v>2364</v>
      </c>
      <c r="E1034" s="12" t="s">
        <v>2365</v>
      </c>
      <c r="F1034" s="31" t="s">
        <v>792</v>
      </c>
      <c r="G1034" s="15">
        <v>1</v>
      </c>
      <c r="H1034" s="15">
        <v>591.1</v>
      </c>
      <c r="I1034" s="53">
        <f>IF(G1034*H1034&lt;&gt;0, TRUNC(G1034*H1034, 1), "")</f>
        <v>591.1</v>
      </c>
      <c r="J1034" s="15">
        <v>1</v>
      </c>
      <c r="K1034" s="15"/>
      <c r="L1034" s="53" t="str">
        <f>IF(G1034*K1034&lt;&gt;0, TRUNC(G1034*K1034, 1), "")</f>
        <v/>
      </c>
      <c r="M1034" s="15"/>
      <c r="N1034" s="53" t="str">
        <f>IF(G1034*M1034&lt;&gt;0, TRUNC(G1034*M1034, 1), "")</f>
        <v/>
      </c>
      <c r="O1034" s="15">
        <f t="shared" si="145"/>
        <v>591.1</v>
      </c>
      <c r="P1034" s="15">
        <f t="shared" si="146"/>
        <v>591.1</v>
      </c>
      <c r="Q1034" s="12"/>
    </row>
    <row r="1035" spans="1:18" ht="23.25" customHeight="1" x14ac:dyDescent="0.15">
      <c r="B1035" s="13" t="s">
        <v>2360</v>
      </c>
      <c r="D1035" s="12" t="s">
        <v>2361</v>
      </c>
      <c r="E1035" s="12"/>
      <c r="F1035" s="31"/>
      <c r="G1035" s="15"/>
      <c r="H1035" s="15"/>
      <c r="I1035" s="53">
        <f>TRUNC(SUM(I1029:I1034))</f>
        <v>6369</v>
      </c>
      <c r="J1035" s="15"/>
      <c r="K1035" s="15"/>
      <c r="L1035" s="53">
        <f>TRUNC(SUM(L1029:L1034))</f>
        <v>29557</v>
      </c>
      <c r="M1035" s="15"/>
      <c r="N1035" s="53">
        <f>TRUNC(SUM(N1029:N1034))</f>
        <v>0</v>
      </c>
      <c r="O1035" s="15" t="str">
        <f t="shared" si="145"/>
        <v/>
      </c>
      <c r="P1035" s="15">
        <f t="shared" si="146"/>
        <v>35926</v>
      </c>
      <c r="Q1035" s="12"/>
    </row>
    <row r="1036" spans="1:18" ht="23.25" customHeight="1" x14ac:dyDescent="0.15">
      <c r="D1036" s="12"/>
      <c r="E1036" s="12"/>
      <c r="F1036" s="31"/>
      <c r="G1036" s="15"/>
      <c r="H1036" s="15"/>
      <c r="I1036" s="53"/>
      <c r="J1036" s="15"/>
      <c r="K1036" s="15"/>
      <c r="L1036" s="53"/>
      <c r="M1036" s="15"/>
      <c r="N1036" s="53"/>
      <c r="O1036" s="15"/>
      <c r="P1036" s="15"/>
      <c r="Q1036" s="12"/>
    </row>
    <row r="1037" spans="1:18" ht="23.25" customHeight="1" x14ac:dyDescent="0.15">
      <c r="A1037" s="13" t="s">
        <v>2799</v>
      </c>
      <c r="B1037" s="13" t="s">
        <v>2382</v>
      </c>
      <c r="C1037" s="1" t="s">
        <v>2800</v>
      </c>
      <c r="D1037" s="170" t="s">
        <v>2798</v>
      </c>
      <c r="E1037" s="172"/>
      <c r="F1037" s="31"/>
      <c r="G1037" s="15"/>
      <c r="H1037" s="15"/>
      <c r="I1037" s="53"/>
      <c r="J1037" s="15"/>
      <c r="K1037" s="15"/>
      <c r="L1037" s="53"/>
      <c r="M1037" s="15"/>
      <c r="N1037" s="53"/>
      <c r="O1037" s="15"/>
      <c r="P1037" s="15"/>
      <c r="Q1037" s="12"/>
    </row>
    <row r="1038" spans="1:18" ht="23.25" customHeight="1" x14ac:dyDescent="0.15">
      <c r="A1038" s="13" t="s">
        <v>1204</v>
      </c>
      <c r="B1038" s="13" t="s">
        <v>2115</v>
      </c>
      <c r="C1038" s="1" t="s">
        <v>665</v>
      </c>
      <c r="D1038" s="12" t="s">
        <v>656</v>
      </c>
      <c r="E1038" s="12" t="s">
        <v>666</v>
      </c>
      <c r="F1038" s="31" t="s">
        <v>166</v>
      </c>
      <c r="G1038" s="15">
        <v>1</v>
      </c>
      <c r="H1038" s="15">
        <f>합산자재!H180</f>
        <v>6139</v>
      </c>
      <c r="I1038" s="53">
        <f>IF(G1038*H1038&lt;&gt;0, TRUNC(G1038*H1038, 1), "")</f>
        <v>6139</v>
      </c>
      <c r="J1038" s="15">
        <v>1</v>
      </c>
      <c r="K1038" s="15">
        <f>합산자재!I180</f>
        <v>0</v>
      </c>
      <c r="L1038" s="53" t="str">
        <f>IF(G1038*K1038&lt;&gt;0, TRUNC(G1038*K1038, 1), "")</f>
        <v/>
      </c>
      <c r="M1038" s="15">
        <f>합산자재!J180</f>
        <v>0</v>
      </c>
      <c r="N1038" s="53" t="str">
        <f>IF(G1038*M1038&lt;&gt;0, TRUNC(G1038*M1038, 1), "")</f>
        <v/>
      </c>
      <c r="O1038" s="15">
        <f t="shared" ref="O1038:O1043" si="147">IF((H1038+K1038+M1038)=0, "", (H1038+K1038+M1038))</f>
        <v>6139</v>
      </c>
      <c r="P1038" s="15">
        <f t="shared" ref="P1038:P1043" si="148">IF(SUM(I1038,L1038,N1038)&lt;&gt;0,SUM(I1038,L1038,N1038),"")</f>
        <v>6139</v>
      </c>
      <c r="Q1038" s="12"/>
      <c r="R1038" s="2" t="s">
        <v>2366</v>
      </c>
    </row>
    <row r="1039" spans="1:18" ht="23.25" customHeight="1" x14ac:dyDescent="0.15">
      <c r="A1039" s="13" t="s">
        <v>1204</v>
      </c>
      <c r="B1039" s="13" t="s">
        <v>2115</v>
      </c>
      <c r="C1039" s="1" t="s">
        <v>665</v>
      </c>
      <c r="D1039" s="12" t="s">
        <v>656</v>
      </c>
      <c r="E1039" s="12" t="s">
        <v>666</v>
      </c>
      <c r="F1039" s="31" t="s">
        <v>166</v>
      </c>
      <c r="G1039" s="15">
        <v>0.1</v>
      </c>
      <c r="H1039" s="15">
        <f>합산자재!H180</f>
        <v>6139</v>
      </c>
      <c r="I1039" s="53">
        <f>IF(G1039*H1039&lt;&gt;0, TRUNC(G1039*H1039, 1), "")</f>
        <v>613.9</v>
      </c>
      <c r="J1039" s="15">
        <v>0.1</v>
      </c>
      <c r="K1039" s="15">
        <f>합산자재!I180</f>
        <v>0</v>
      </c>
      <c r="L1039" s="53" t="str">
        <f>IF(G1039*K1039&lt;&gt;0, TRUNC(G1039*K1039, 1), "")</f>
        <v/>
      </c>
      <c r="M1039" s="15">
        <f>합산자재!J180</f>
        <v>0</v>
      </c>
      <c r="N1039" s="53" t="str">
        <f>IF(G1039*M1039&lt;&gt;0, TRUNC(G1039*M1039, 1), "")</f>
        <v/>
      </c>
      <c r="O1039" s="15">
        <f t="shared" si="147"/>
        <v>6139</v>
      </c>
      <c r="P1039" s="15">
        <f t="shared" si="148"/>
        <v>613.9</v>
      </c>
      <c r="Q1039" s="12"/>
      <c r="R1039" s="2" t="s">
        <v>2366</v>
      </c>
    </row>
    <row r="1040" spans="1:18" ht="23.25" customHeight="1" x14ac:dyDescent="0.15">
      <c r="A1040" s="13" t="s">
        <v>2367</v>
      </c>
      <c r="B1040" s="13" t="s">
        <v>2115</v>
      </c>
      <c r="C1040" s="1" t="s">
        <v>2368</v>
      </c>
      <c r="D1040" s="12" t="s">
        <v>2369</v>
      </c>
      <c r="E1040" s="12" t="s">
        <v>2370</v>
      </c>
      <c r="F1040" s="31" t="s">
        <v>792</v>
      </c>
      <c r="G1040" s="15">
        <v>1</v>
      </c>
      <c r="H1040" s="15">
        <v>920.8</v>
      </c>
      <c r="I1040" s="53">
        <f>IF(G1040*H1040&lt;&gt;0, TRUNC(G1040*H1040, 1), "")</f>
        <v>920.8</v>
      </c>
      <c r="J1040" s="15">
        <v>1</v>
      </c>
      <c r="K1040" s="15"/>
      <c r="L1040" s="53" t="str">
        <f>IF(G1040*K1040&lt;&gt;0, TRUNC(G1040*K1040, 1), "")</f>
        <v/>
      </c>
      <c r="M1040" s="15"/>
      <c r="N1040" s="53" t="str">
        <f>IF(G1040*M1040&lt;&gt;0, TRUNC(G1040*M1040, 1), "")</f>
        <v/>
      </c>
      <c r="O1040" s="15">
        <f t="shared" si="147"/>
        <v>920.8</v>
      </c>
      <c r="P1040" s="15">
        <f t="shared" si="148"/>
        <v>920.8</v>
      </c>
      <c r="Q1040" s="12"/>
    </row>
    <row r="1041" spans="1:18" ht="23.25" customHeight="1" x14ac:dyDescent="0.15">
      <c r="A1041" s="13" t="s">
        <v>1372</v>
      </c>
      <c r="B1041" s="13" t="s">
        <v>2115</v>
      </c>
      <c r="C1041" s="1" t="s">
        <v>1002</v>
      </c>
      <c r="D1041" s="12" t="s">
        <v>1003</v>
      </c>
      <c r="E1041" s="12" t="s">
        <v>1004</v>
      </c>
      <c r="F1041" s="31" t="s">
        <v>999</v>
      </c>
      <c r="G1041" s="15">
        <f>일위노임!G471</f>
        <v>0.1404</v>
      </c>
      <c r="H1041" s="15">
        <f>합산자재!H345</f>
        <v>0</v>
      </c>
      <c r="I1041" s="53" t="str">
        <f>IF(G1041*H1041&lt;&gt;0, TRUNC(G1041*H1041, 1), "")</f>
        <v/>
      </c>
      <c r="J1041" s="15">
        <v>0.1404</v>
      </c>
      <c r="K1041" s="15">
        <f>합산자재!I345</f>
        <v>273676</v>
      </c>
      <c r="L1041" s="53">
        <f>IF(G1041*K1041&lt;&gt;0, TRUNC(G1041*K1041, 1), "")</f>
        <v>38424.1</v>
      </c>
      <c r="M1041" s="15">
        <f>합산자재!J345</f>
        <v>0</v>
      </c>
      <c r="N1041" s="53" t="str">
        <f>IF(G1041*M1041&lt;&gt;0, TRUNC(G1041*M1041, 1), "")</f>
        <v/>
      </c>
      <c r="O1041" s="15">
        <f t="shared" si="147"/>
        <v>273676</v>
      </c>
      <c r="P1041" s="15">
        <f t="shared" si="148"/>
        <v>38424.1</v>
      </c>
      <c r="Q1041" s="12"/>
    </row>
    <row r="1042" spans="1:18" ht="23.25" customHeight="1" x14ac:dyDescent="0.15">
      <c r="A1042" s="13" t="s">
        <v>2362</v>
      </c>
      <c r="B1042" s="13" t="s">
        <v>2115</v>
      </c>
      <c r="C1042" s="1" t="s">
        <v>2363</v>
      </c>
      <c r="D1042" s="12" t="s">
        <v>2364</v>
      </c>
      <c r="E1042" s="12" t="s">
        <v>2365</v>
      </c>
      <c r="F1042" s="31" t="s">
        <v>792</v>
      </c>
      <c r="G1042" s="15">
        <v>1</v>
      </c>
      <c r="H1042" s="15">
        <v>768.4</v>
      </c>
      <c r="I1042" s="53">
        <f>IF(G1042*H1042&lt;&gt;0, TRUNC(G1042*H1042, 1), "")</f>
        <v>768.4</v>
      </c>
      <c r="J1042" s="15">
        <v>1</v>
      </c>
      <c r="K1042" s="15"/>
      <c r="L1042" s="53" t="str">
        <f>IF(G1042*K1042&lt;&gt;0, TRUNC(G1042*K1042, 1), "")</f>
        <v/>
      </c>
      <c r="M1042" s="15"/>
      <c r="N1042" s="53" t="str">
        <f>IF(G1042*M1042&lt;&gt;0, TRUNC(G1042*M1042, 1), "")</f>
        <v/>
      </c>
      <c r="O1042" s="15">
        <f t="shared" si="147"/>
        <v>768.4</v>
      </c>
      <c r="P1042" s="15">
        <f t="shared" si="148"/>
        <v>768.4</v>
      </c>
      <c r="Q1042" s="12"/>
    </row>
    <row r="1043" spans="1:18" ht="23.25" customHeight="1" x14ac:dyDescent="0.15">
      <c r="B1043" s="13" t="s">
        <v>2360</v>
      </c>
      <c r="D1043" s="12" t="s">
        <v>2361</v>
      </c>
      <c r="E1043" s="12"/>
      <c r="F1043" s="31"/>
      <c r="G1043" s="15"/>
      <c r="H1043" s="15"/>
      <c r="I1043" s="53">
        <f>TRUNC(SUM(I1037:I1042))</f>
        <v>8442</v>
      </c>
      <c r="J1043" s="15"/>
      <c r="K1043" s="15"/>
      <c r="L1043" s="53">
        <f>TRUNC(SUM(L1037:L1042))</f>
        <v>38424</v>
      </c>
      <c r="M1043" s="15"/>
      <c r="N1043" s="53">
        <f>TRUNC(SUM(N1037:N1042))</f>
        <v>0</v>
      </c>
      <c r="O1043" s="15" t="str">
        <f t="shared" si="147"/>
        <v/>
      </c>
      <c r="P1043" s="15">
        <f t="shared" si="148"/>
        <v>46866</v>
      </c>
      <c r="Q1043" s="12"/>
    </row>
    <row r="1044" spans="1:18" ht="23.25" customHeight="1" x14ac:dyDescent="0.15">
      <c r="D1044" s="12"/>
      <c r="E1044" s="12"/>
      <c r="F1044" s="31"/>
      <c r="G1044" s="15"/>
      <c r="H1044" s="15"/>
      <c r="I1044" s="53"/>
      <c r="J1044" s="15"/>
      <c r="K1044" s="15"/>
      <c r="L1044" s="53"/>
      <c r="M1044" s="15"/>
      <c r="N1044" s="53"/>
      <c r="O1044" s="15"/>
      <c r="P1044" s="15"/>
      <c r="Q1044" s="12"/>
    </row>
    <row r="1045" spans="1:18" ht="23.25" customHeight="1" x14ac:dyDescent="0.15">
      <c r="A1045" s="13" t="s">
        <v>2802</v>
      </c>
      <c r="B1045" s="13" t="s">
        <v>2382</v>
      </c>
      <c r="C1045" s="1" t="s">
        <v>2803</v>
      </c>
      <c r="D1045" s="170" t="s">
        <v>2801</v>
      </c>
      <c r="E1045" s="172"/>
      <c r="F1045" s="31"/>
      <c r="G1045" s="15"/>
      <c r="H1045" s="15"/>
      <c r="I1045" s="53"/>
      <c r="J1045" s="15"/>
      <c r="K1045" s="15"/>
      <c r="L1045" s="53"/>
      <c r="M1045" s="15"/>
      <c r="N1045" s="53"/>
      <c r="O1045" s="15"/>
      <c r="P1045" s="15"/>
      <c r="Q1045" s="12"/>
    </row>
    <row r="1046" spans="1:18" ht="23.25" customHeight="1" x14ac:dyDescent="0.15">
      <c r="A1046" s="13" t="s">
        <v>1205</v>
      </c>
      <c r="B1046" s="13" t="s">
        <v>2118</v>
      </c>
      <c r="C1046" s="1" t="s">
        <v>667</v>
      </c>
      <c r="D1046" s="12" t="s">
        <v>656</v>
      </c>
      <c r="E1046" s="12" t="s">
        <v>668</v>
      </c>
      <c r="F1046" s="31" t="s">
        <v>166</v>
      </c>
      <c r="G1046" s="15">
        <v>1</v>
      </c>
      <c r="H1046" s="15">
        <f>합산자재!H181</f>
        <v>8509</v>
      </c>
      <c r="I1046" s="53">
        <f>IF(G1046*H1046&lt;&gt;0, TRUNC(G1046*H1046, 1), "")</f>
        <v>8509</v>
      </c>
      <c r="J1046" s="15">
        <v>1</v>
      </c>
      <c r="K1046" s="15">
        <f>합산자재!I181</f>
        <v>0</v>
      </c>
      <c r="L1046" s="53" t="str">
        <f>IF(G1046*K1046&lt;&gt;0, TRUNC(G1046*K1046, 1), "")</f>
        <v/>
      </c>
      <c r="M1046" s="15">
        <f>합산자재!J181</f>
        <v>0</v>
      </c>
      <c r="N1046" s="53" t="str">
        <f>IF(G1046*M1046&lt;&gt;0, TRUNC(G1046*M1046, 1), "")</f>
        <v/>
      </c>
      <c r="O1046" s="15">
        <f t="shared" ref="O1046:O1051" si="149">IF((H1046+K1046+M1046)=0, "", (H1046+K1046+M1046))</f>
        <v>8509</v>
      </c>
      <c r="P1046" s="15">
        <f t="shared" ref="P1046:P1051" si="150">IF(SUM(I1046,L1046,N1046)&lt;&gt;0,SUM(I1046,L1046,N1046),"")</f>
        <v>8509</v>
      </c>
      <c r="Q1046" s="12"/>
      <c r="R1046" s="2" t="s">
        <v>2366</v>
      </c>
    </row>
    <row r="1047" spans="1:18" ht="23.25" customHeight="1" x14ac:dyDescent="0.15">
      <c r="A1047" s="13" t="s">
        <v>1205</v>
      </c>
      <c r="B1047" s="13" t="s">
        <v>2118</v>
      </c>
      <c r="C1047" s="1" t="s">
        <v>667</v>
      </c>
      <c r="D1047" s="12" t="s">
        <v>656</v>
      </c>
      <c r="E1047" s="12" t="s">
        <v>668</v>
      </c>
      <c r="F1047" s="31" t="s">
        <v>166</v>
      </c>
      <c r="G1047" s="15">
        <v>0.1</v>
      </c>
      <c r="H1047" s="15">
        <f>합산자재!H181</f>
        <v>8509</v>
      </c>
      <c r="I1047" s="53">
        <f>IF(G1047*H1047&lt;&gt;0, TRUNC(G1047*H1047, 1), "")</f>
        <v>850.9</v>
      </c>
      <c r="J1047" s="15">
        <v>0.1</v>
      </c>
      <c r="K1047" s="15">
        <f>합산자재!I181</f>
        <v>0</v>
      </c>
      <c r="L1047" s="53" t="str">
        <f>IF(G1047*K1047&lt;&gt;0, TRUNC(G1047*K1047, 1), "")</f>
        <v/>
      </c>
      <c r="M1047" s="15">
        <f>합산자재!J181</f>
        <v>0</v>
      </c>
      <c r="N1047" s="53" t="str">
        <f>IF(G1047*M1047&lt;&gt;0, TRUNC(G1047*M1047, 1), "")</f>
        <v/>
      </c>
      <c r="O1047" s="15">
        <f t="shared" si="149"/>
        <v>8509</v>
      </c>
      <c r="P1047" s="15">
        <f t="shared" si="150"/>
        <v>850.9</v>
      </c>
      <c r="Q1047" s="12"/>
      <c r="R1047" s="2" t="s">
        <v>2366</v>
      </c>
    </row>
    <row r="1048" spans="1:18" ht="23.25" customHeight="1" x14ac:dyDescent="0.15">
      <c r="A1048" s="13" t="s">
        <v>2367</v>
      </c>
      <c r="B1048" s="13" t="s">
        <v>2118</v>
      </c>
      <c r="C1048" s="1" t="s">
        <v>2368</v>
      </c>
      <c r="D1048" s="12" t="s">
        <v>2369</v>
      </c>
      <c r="E1048" s="12" t="s">
        <v>2370</v>
      </c>
      <c r="F1048" s="31" t="s">
        <v>792</v>
      </c>
      <c r="G1048" s="15">
        <v>1</v>
      </c>
      <c r="H1048" s="15">
        <v>1276.3</v>
      </c>
      <c r="I1048" s="53">
        <f>IF(G1048*H1048&lt;&gt;0, TRUNC(G1048*H1048, 1), "")</f>
        <v>1276.3</v>
      </c>
      <c r="J1048" s="15">
        <v>1</v>
      </c>
      <c r="K1048" s="15"/>
      <c r="L1048" s="53" t="str">
        <f>IF(G1048*K1048&lt;&gt;0, TRUNC(G1048*K1048, 1), "")</f>
        <v/>
      </c>
      <c r="M1048" s="15"/>
      <c r="N1048" s="53" t="str">
        <f>IF(G1048*M1048&lt;&gt;0, TRUNC(G1048*M1048, 1), "")</f>
        <v/>
      </c>
      <c r="O1048" s="15">
        <f t="shared" si="149"/>
        <v>1276.3</v>
      </c>
      <c r="P1048" s="15">
        <f t="shared" si="150"/>
        <v>1276.3</v>
      </c>
      <c r="Q1048" s="12"/>
    </row>
    <row r="1049" spans="1:18" ht="23.25" customHeight="1" x14ac:dyDescent="0.15">
      <c r="A1049" s="13" t="s">
        <v>1372</v>
      </c>
      <c r="B1049" s="13" t="s">
        <v>2118</v>
      </c>
      <c r="C1049" s="1" t="s">
        <v>1002</v>
      </c>
      <c r="D1049" s="12" t="s">
        <v>1003</v>
      </c>
      <c r="E1049" s="12" t="s">
        <v>1004</v>
      </c>
      <c r="F1049" s="31" t="s">
        <v>999</v>
      </c>
      <c r="G1049" s="15">
        <f>일위노임!G474</f>
        <v>0.20519999999999999</v>
      </c>
      <c r="H1049" s="15">
        <f>합산자재!H345</f>
        <v>0</v>
      </c>
      <c r="I1049" s="53" t="str">
        <f>IF(G1049*H1049&lt;&gt;0, TRUNC(G1049*H1049, 1), "")</f>
        <v/>
      </c>
      <c r="J1049" s="15">
        <v>0.20519999999999999</v>
      </c>
      <c r="K1049" s="15">
        <f>합산자재!I345</f>
        <v>273676</v>
      </c>
      <c r="L1049" s="53">
        <f>IF(G1049*K1049&lt;&gt;0, TRUNC(G1049*K1049, 1), "")</f>
        <v>56158.3</v>
      </c>
      <c r="M1049" s="15">
        <f>합산자재!J345</f>
        <v>0</v>
      </c>
      <c r="N1049" s="53" t="str">
        <f>IF(G1049*M1049&lt;&gt;0, TRUNC(G1049*M1049, 1), "")</f>
        <v/>
      </c>
      <c r="O1049" s="15">
        <f t="shared" si="149"/>
        <v>273676</v>
      </c>
      <c r="P1049" s="15">
        <f t="shared" si="150"/>
        <v>56158.3</v>
      </c>
      <c r="Q1049" s="12"/>
    </row>
    <row r="1050" spans="1:18" ht="23.25" customHeight="1" x14ac:dyDescent="0.15">
      <c r="A1050" s="13" t="s">
        <v>2362</v>
      </c>
      <c r="B1050" s="13" t="s">
        <v>2118</v>
      </c>
      <c r="C1050" s="1" t="s">
        <v>2363</v>
      </c>
      <c r="D1050" s="12" t="s">
        <v>2364</v>
      </c>
      <c r="E1050" s="12" t="s">
        <v>2365</v>
      </c>
      <c r="F1050" s="31" t="s">
        <v>792</v>
      </c>
      <c r="G1050" s="15">
        <v>1</v>
      </c>
      <c r="H1050" s="15">
        <v>1123.0999999999999</v>
      </c>
      <c r="I1050" s="53">
        <f>IF(G1050*H1050&lt;&gt;0, TRUNC(G1050*H1050, 1), "")</f>
        <v>1123.0999999999999</v>
      </c>
      <c r="J1050" s="15">
        <v>1</v>
      </c>
      <c r="K1050" s="15"/>
      <c r="L1050" s="53" t="str">
        <f>IF(G1050*K1050&lt;&gt;0, TRUNC(G1050*K1050, 1), "")</f>
        <v/>
      </c>
      <c r="M1050" s="15"/>
      <c r="N1050" s="53" t="str">
        <f>IF(G1050*M1050&lt;&gt;0, TRUNC(G1050*M1050, 1), "")</f>
        <v/>
      </c>
      <c r="O1050" s="15">
        <f t="shared" si="149"/>
        <v>1123.0999999999999</v>
      </c>
      <c r="P1050" s="15">
        <f t="shared" si="150"/>
        <v>1123.0999999999999</v>
      </c>
      <c r="Q1050" s="12"/>
    </row>
    <row r="1051" spans="1:18" ht="23.25" customHeight="1" x14ac:dyDescent="0.15">
      <c r="B1051" s="13" t="s">
        <v>2360</v>
      </c>
      <c r="D1051" s="12" t="s">
        <v>2361</v>
      </c>
      <c r="E1051" s="12"/>
      <c r="F1051" s="31"/>
      <c r="G1051" s="15"/>
      <c r="H1051" s="15"/>
      <c r="I1051" s="53">
        <f>TRUNC(SUM(I1045:I1050))</f>
        <v>11759</v>
      </c>
      <c r="J1051" s="15"/>
      <c r="K1051" s="15"/>
      <c r="L1051" s="53">
        <f>TRUNC(SUM(L1045:L1050))</f>
        <v>56158</v>
      </c>
      <c r="M1051" s="15"/>
      <c r="N1051" s="53">
        <f>TRUNC(SUM(N1045:N1050))</f>
        <v>0</v>
      </c>
      <c r="O1051" s="15" t="str">
        <f t="shared" si="149"/>
        <v/>
      </c>
      <c r="P1051" s="15">
        <f t="shared" si="150"/>
        <v>67917</v>
      </c>
      <c r="Q1051" s="12"/>
    </row>
    <row r="1052" spans="1:18" ht="23.25" customHeight="1" x14ac:dyDescent="0.15">
      <c r="D1052" s="12"/>
      <c r="E1052" s="12"/>
      <c r="F1052" s="31"/>
      <c r="G1052" s="15"/>
      <c r="H1052" s="15"/>
      <c r="I1052" s="53"/>
      <c r="J1052" s="15"/>
      <c r="K1052" s="15"/>
      <c r="L1052" s="53"/>
      <c r="M1052" s="15"/>
      <c r="N1052" s="53"/>
      <c r="O1052" s="15"/>
      <c r="P1052" s="15"/>
      <c r="Q1052" s="12"/>
    </row>
    <row r="1053" spans="1:18" ht="23.25" customHeight="1" x14ac:dyDescent="0.15">
      <c r="A1053" s="13" t="s">
        <v>2805</v>
      </c>
      <c r="B1053" s="13" t="s">
        <v>2382</v>
      </c>
      <c r="C1053" s="1" t="s">
        <v>2806</v>
      </c>
      <c r="D1053" s="170" t="s">
        <v>2804</v>
      </c>
      <c r="E1053" s="172"/>
      <c r="F1053" s="31"/>
      <c r="G1053" s="15"/>
      <c r="H1053" s="15"/>
      <c r="I1053" s="53"/>
      <c r="J1053" s="15"/>
      <c r="K1053" s="15"/>
      <c r="L1053" s="53"/>
      <c r="M1053" s="15"/>
      <c r="N1053" s="53"/>
      <c r="O1053" s="15"/>
      <c r="P1053" s="15"/>
      <c r="Q1053" s="12"/>
    </row>
    <row r="1054" spans="1:18" ht="23.25" customHeight="1" x14ac:dyDescent="0.15">
      <c r="A1054" s="13" t="s">
        <v>1206</v>
      </c>
      <c r="B1054" s="13" t="s">
        <v>2121</v>
      </c>
      <c r="C1054" s="1" t="s">
        <v>669</v>
      </c>
      <c r="D1054" s="12" t="s">
        <v>656</v>
      </c>
      <c r="E1054" s="12" t="s">
        <v>670</v>
      </c>
      <c r="F1054" s="31" t="s">
        <v>166</v>
      </c>
      <c r="G1054" s="15">
        <v>1</v>
      </c>
      <c r="H1054" s="15">
        <f>합산자재!H182</f>
        <v>11273</v>
      </c>
      <c r="I1054" s="53">
        <f>IF(G1054*H1054&lt;&gt;0, TRUNC(G1054*H1054, 1), "")</f>
        <v>11273</v>
      </c>
      <c r="J1054" s="15">
        <v>1</v>
      </c>
      <c r="K1054" s="15">
        <f>합산자재!I182</f>
        <v>0</v>
      </c>
      <c r="L1054" s="53" t="str">
        <f>IF(G1054*K1054&lt;&gt;0, TRUNC(G1054*K1054, 1), "")</f>
        <v/>
      </c>
      <c r="M1054" s="15">
        <f>합산자재!J182</f>
        <v>0</v>
      </c>
      <c r="N1054" s="53" t="str">
        <f>IF(G1054*M1054&lt;&gt;0, TRUNC(G1054*M1054, 1), "")</f>
        <v/>
      </c>
      <c r="O1054" s="15">
        <f t="shared" ref="O1054:O1059" si="151">IF((H1054+K1054+M1054)=0, "", (H1054+K1054+M1054))</f>
        <v>11273</v>
      </c>
      <c r="P1054" s="15">
        <f t="shared" ref="P1054:P1059" si="152">IF(SUM(I1054,L1054,N1054)&lt;&gt;0,SUM(I1054,L1054,N1054),"")</f>
        <v>11273</v>
      </c>
      <c r="Q1054" s="12"/>
      <c r="R1054" s="2" t="s">
        <v>2366</v>
      </c>
    </row>
    <row r="1055" spans="1:18" ht="23.25" customHeight="1" x14ac:dyDescent="0.15">
      <c r="A1055" s="13" t="s">
        <v>1206</v>
      </c>
      <c r="B1055" s="13" t="s">
        <v>2121</v>
      </c>
      <c r="C1055" s="1" t="s">
        <v>669</v>
      </c>
      <c r="D1055" s="12" t="s">
        <v>656</v>
      </c>
      <c r="E1055" s="12" t="s">
        <v>670</v>
      </c>
      <c r="F1055" s="31" t="s">
        <v>166</v>
      </c>
      <c r="G1055" s="15">
        <v>0.1</v>
      </c>
      <c r="H1055" s="15">
        <f>합산자재!H182</f>
        <v>11273</v>
      </c>
      <c r="I1055" s="53">
        <f>IF(G1055*H1055&lt;&gt;0, TRUNC(G1055*H1055, 1), "")</f>
        <v>1127.3</v>
      </c>
      <c r="J1055" s="15">
        <v>0.1</v>
      </c>
      <c r="K1055" s="15">
        <f>합산자재!I182</f>
        <v>0</v>
      </c>
      <c r="L1055" s="53" t="str">
        <f>IF(G1055*K1055&lt;&gt;0, TRUNC(G1055*K1055, 1), "")</f>
        <v/>
      </c>
      <c r="M1055" s="15">
        <f>합산자재!J182</f>
        <v>0</v>
      </c>
      <c r="N1055" s="53" t="str">
        <f>IF(G1055*M1055&lt;&gt;0, TRUNC(G1055*M1055, 1), "")</f>
        <v/>
      </c>
      <c r="O1055" s="15">
        <f t="shared" si="151"/>
        <v>11273</v>
      </c>
      <c r="P1055" s="15">
        <f t="shared" si="152"/>
        <v>1127.3</v>
      </c>
      <c r="Q1055" s="12"/>
      <c r="R1055" s="2" t="s">
        <v>2366</v>
      </c>
    </row>
    <row r="1056" spans="1:18" ht="23.25" customHeight="1" x14ac:dyDescent="0.15">
      <c r="A1056" s="13" t="s">
        <v>2367</v>
      </c>
      <c r="B1056" s="13" t="s">
        <v>2121</v>
      </c>
      <c r="C1056" s="1" t="s">
        <v>2368</v>
      </c>
      <c r="D1056" s="12" t="s">
        <v>2369</v>
      </c>
      <c r="E1056" s="12" t="s">
        <v>2370</v>
      </c>
      <c r="F1056" s="31" t="s">
        <v>792</v>
      </c>
      <c r="G1056" s="15">
        <v>1</v>
      </c>
      <c r="H1056" s="15">
        <v>1690.9</v>
      </c>
      <c r="I1056" s="53">
        <f>IF(G1056*H1056&lt;&gt;0, TRUNC(G1056*H1056, 1), "")</f>
        <v>1690.9</v>
      </c>
      <c r="J1056" s="15">
        <v>1</v>
      </c>
      <c r="K1056" s="15"/>
      <c r="L1056" s="53" t="str">
        <f>IF(G1056*K1056&lt;&gt;0, TRUNC(G1056*K1056, 1), "")</f>
        <v/>
      </c>
      <c r="M1056" s="15"/>
      <c r="N1056" s="53" t="str">
        <f>IF(G1056*M1056&lt;&gt;0, TRUNC(G1056*M1056, 1), "")</f>
        <v/>
      </c>
      <c r="O1056" s="15">
        <f t="shared" si="151"/>
        <v>1690.9</v>
      </c>
      <c r="P1056" s="15">
        <f t="shared" si="152"/>
        <v>1690.9</v>
      </c>
      <c r="Q1056" s="12"/>
    </row>
    <row r="1057" spans="1:17" ht="23.25" customHeight="1" x14ac:dyDescent="0.15">
      <c r="A1057" s="13" t="s">
        <v>1372</v>
      </c>
      <c r="B1057" s="13" t="s">
        <v>2121</v>
      </c>
      <c r="C1057" s="1" t="s">
        <v>1002</v>
      </c>
      <c r="D1057" s="12" t="s">
        <v>1003</v>
      </c>
      <c r="E1057" s="12" t="s">
        <v>1004</v>
      </c>
      <c r="F1057" s="31" t="s">
        <v>999</v>
      </c>
      <c r="G1057" s="15">
        <f>일위노임!G477</f>
        <v>0.3024</v>
      </c>
      <c r="H1057" s="15">
        <f>합산자재!H345</f>
        <v>0</v>
      </c>
      <c r="I1057" s="53" t="str">
        <f>IF(G1057*H1057&lt;&gt;0, TRUNC(G1057*H1057, 1), "")</f>
        <v/>
      </c>
      <c r="J1057" s="15">
        <v>0.3024</v>
      </c>
      <c r="K1057" s="15">
        <f>합산자재!I345</f>
        <v>273676</v>
      </c>
      <c r="L1057" s="53">
        <f>IF(G1057*K1057&lt;&gt;0, TRUNC(G1057*K1057, 1), "")</f>
        <v>82759.600000000006</v>
      </c>
      <c r="M1057" s="15">
        <f>합산자재!J345</f>
        <v>0</v>
      </c>
      <c r="N1057" s="53" t="str">
        <f>IF(G1057*M1057&lt;&gt;0, TRUNC(G1057*M1057, 1), "")</f>
        <v/>
      </c>
      <c r="O1057" s="15">
        <f t="shared" si="151"/>
        <v>273676</v>
      </c>
      <c r="P1057" s="15">
        <f t="shared" si="152"/>
        <v>82759.600000000006</v>
      </c>
      <c r="Q1057" s="12"/>
    </row>
    <row r="1058" spans="1:17" ht="23.25" customHeight="1" x14ac:dyDescent="0.15">
      <c r="A1058" s="13" t="s">
        <v>2362</v>
      </c>
      <c r="B1058" s="13" t="s">
        <v>2121</v>
      </c>
      <c r="C1058" s="1" t="s">
        <v>2363</v>
      </c>
      <c r="D1058" s="12" t="s">
        <v>2364</v>
      </c>
      <c r="E1058" s="12" t="s">
        <v>2365</v>
      </c>
      <c r="F1058" s="31" t="s">
        <v>792</v>
      </c>
      <c r="G1058" s="15">
        <v>1</v>
      </c>
      <c r="H1058" s="15">
        <v>1655.1</v>
      </c>
      <c r="I1058" s="53">
        <f>IF(G1058*H1058&lt;&gt;0, TRUNC(G1058*H1058, 1), "")</f>
        <v>1655.1</v>
      </c>
      <c r="J1058" s="15">
        <v>1</v>
      </c>
      <c r="K1058" s="15"/>
      <c r="L1058" s="53" t="str">
        <f>IF(G1058*K1058&lt;&gt;0, TRUNC(G1058*K1058, 1), "")</f>
        <v/>
      </c>
      <c r="M1058" s="15"/>
      <c r="N1058" s="53" t="str">
        <f>IF(G1058*M1058&lt;&gt;0, TRUNC(G1058*M1058, 1), "")</f>
        <v/>
      </c>
      <c r="O1058" s="15">
        <f t="shared" si="151"/>
        <v>1655.1</v>
      </c>
      <c r="P1058" s="15">
        <f t="shared" si="152"/>
        <v>1655.1</v>
      </c>
      <c r="Q1058" s="12"/>
    </row>
    <row r="1059" spans="1:17" ht="23.25" customHeight="1" x14ac:dyDescent="0.15">
      <c r="B1059" s="13" t="s">
        <v>2360</v>
      </c>
      <c r="D1059" s="12" t="s">
        <v>2361</v>
      </c>
      <c r="E1059" s="12"/>
      <c r="F1059" s="31"/>
      <c r="G1059" s="15"/>
      <c r="H1059" s="15"/>
      <c r="I1059" s="53">
        <f>TRUNC(SUM(I1053:I1058))</f>
        <v>15746</v>
      </c>
      <c r="J1059" s="15"/>
      <c r="K1059" s="15"/>
      <c r="L1059" s="53">
        <f>TRUNC(SUM(L1053:L1058))</f>
        <v>82759</v>
      </c>
      <c r="M1059" s="15"/>
      <c r="N1059" s="53">
        <f>TRUNC(SUM(N1053:N1058))</f>
        <v>0</v>
      </c>
      <c r="O1059" s="15" t="str">
        <f t="shared" si="151"/>
        <v/>
      </c>
      <c r="P1059" s="15">
        <f t="shared" si="152"/>
        <v>98505</v>
      </c>
      <c r="Q1059" s="12"/>
    </row>
    <row r="1060" spans="1:17" ht="23.25" customHeight="1" x14ac:dyDescent="0.15">
      <c r="D1060" s="12"/>
      <c r="E1060" s="12"/>
      <c r="F1060" s="31"/>
      <c r="G1060" s="15"/>
      <c r="H1060" s="15"/>
      <c r="I1060" s="53"/>
      <c r="J1060" s="15"/>
      <c r="K1060" s="15"/>
      <c r="L1060" s="53"/>
      <c r="M1060" s="15"/>
      <c r="N1060" s="53"/>
      <c r="O1060" s="15"/>
      <c r="P1060" s="15"/>
      <c r="Q1060" s="12"/>
    </row>
    <row r="1061" spans="1:17" ht="23.25" customHeight="1" x14ac:dyDescent="0.15">
      <c r="A1061" s="13" t="s">
        <v>2808</v>
      </c>
      <c r="B1061" s="13" t="s">
        <v>2382</v>
      </c>
      <c r="C1061" s="1" t="s">
        <v>2809</v>
      </c>
      <c r="D1061" s="170" t="s">
        <v>2807</v>
      </c>
      <c r="E1061" s="172"/>
      <c r="F1061" s="31"/>
      <c r="G1061" s="15"/>
      <c r="H1061" s="15"/>
      <c r="I1061" s="53"/>
      <c r="J1061" s="15"/>
      <c r="K1061" s="15"/>
      <c r="L1061" s="53"/>
      <c r="M1061" s="15"/>
      <c r="N1061" s="53"/>
      <c r="O1061" s="15"/>
      <c r="P1061" s="15"/>
      <c r="Q1061" s="12"/>
    </row>
    <row r="1062" spans="1:17" ht="23.25" customHeight="1" x14ac:dyDescent="0.15">
      <c r="A1062" s="13" t="s">
        <v>1226</v>
      </c>
      <c r="B1062" s="13" t="s">
        <v>2124</v>
      </c>
      <c r="C1062" s="1" t="s">
        <v>706</v>
      </c>
      <c r="D1062" s="12" t="s">
        <v>707</v>
      </c>
      <c r="E1062" s="12"/>
      <c r="F1062" s="31" t="s">
        <v>200</v>
      </c>
      <c r="G1062" s="15">
        <v>1</v>
      </c>
      <c r="H1062" s="15">
        <f>합산자재!H202</f>
        <v>50000</v>
      </c>
      <c r="I1062" s="53">
        <f>IF(G1062*H1062&lt;&gt;0, TRUNC(G1062*H1062, 1), "")</f>
        <v>50000</v>
      </c>
      <c r="J1062" s="15">
        <v>1</v>
      </c>
      <c r="K1062" s="15">
        <f>합산자재!I202</f>
        <v>0</v>
      </c>
      <c r="L1062" s="53" t="str">
        <f>IF(G1062*K1062&lt;&gt;0, TRUNC(G1062*K1062, 1), "")</f>
        <v/>
      </c>
      <c r="M1062" s="15">
        <f>합산자재!J202</f>
        <v>0</v>
      </c>
      <c r="N1062" s="53" t="str">
        <f>IF(G1062*M1062&lt;&gt;0, TRUNC(G1062*M1062, 1), "")</f>
        <v/>
      </c>
      <c r="O1062" s="15">
        <f>IF((H1062+K1062+M1062)=0, "", (H1062+K1062+M1062))</f>
        <v>50000</v>
      </c>
      <c r="P1062" s="15">
        <f>IF(SUM(I1062,L1062,N1062)&lt;&gt;0,SUM(I1062,L1062,N1062),"")</f>
        <v>50000</v>
      </c>
      <c r="Q1062" s="12"/>
    </row>
    <row r="1063" spans="1:17" ht="23.25" customHeight="1" x14ac:dyDescent="0.15">
      <c r="A1063" s="13" t="s">
        <v>1372</v>
      </c>
      <c r="B1063" s="13" t="s">
        <v>2124</v>
      </c>
      <c r="C1063" s="1" t="s">
        <v>1002</v>
      </c>
      <c r="D1063" s="12" t="s">
        <v>1003</v>
      </c>
      <c r="E1063" s="12" t="s">
        <v>1004</v>
      </c>
      <c r="F1063" s="31" t="s">
        <v>999</v>
      </c>
      <c r="G1063" s="15">
        <f>일위노임!G480</f>
        <v>0.13300000000000001</v>
      </c>
      <c r="H1063" s="15">
        <f>합산자재!H345</f>
        <v>0</v>
      </c>
      <c r="I1063" s="53" t="str">
        <f>IF(G1063*H1063&lt;&gt;0, TRUNC(G1063*H1063, 1), "")</f>
        <v/>
      </c>
      <c r="J1063" s="15">
        <v>0.13300000000000001</v>
      </c>
      <c r="K1063" s="15">
        <f>합산자재!I345</f>
        <v>273676</v>
      </c>
      <c r="L1063" s="53">
        <f>IF(G1063*K1063&lt;&gt;0, TRUNC(G1063*K1063, 1), "")</f>
        <v>36398.9</v>
      </c>
      <c r="M1063" s="15">
        <f>합산자재!J345</f>
        <v>0</v>
      </c>
      <c r="N1063" s="53" t="str">
        <f>IF(G1063*M1063&lt;&gt;0, TRUNC(G1063*M1063, 1), "")</f>
        <v/>
      </c>
      <c r="O1063" s="15">
        <f>IF((H1063+K1063+M1063)=0, "", (H1063+K1063+M1063))</f>
        <v>273676</v>
      </c>
      <c r="P1063" s="15">
        <f>IF(SUM(I1063,L1063,N1063)&lt;&gt;0,SUM(I1063,L1063,N1063),"")</f>
        <v>36398.9</v>
      </c>
      <c r="Q1063" s="12"/>
    </row>
    <row r="1064" spans="1:17" ht="23.25" customHeight="1" x14ac:dyDescent="0.15">
      <c r="A1064" s="13" t="s">
        <v>2362</v>
      </c>
      <c r="B1064" s="13" t="s">
        <v>2124</v>
      </c>
      <c r="C1064" s="1" t="s">
        <v>2363</v>
      </c>
      <c r="D1064" s="12" t="s">
        <v>2364</v>
      </c>
      <c r="E1064" s="12" t="s">
        <v>2365</v>
      </c>
      <c r="F1064" s="31" t="s">
        <v>792</v>
      </c>
      <c r="G1064" s="15">
        <v>1</v>
      </c>
      <c r="H1064" s="15">
        <v>727.9</v>
      </c>
      <c r="I1064" s="53">
        <f>IF(G1064*H1064&lt;&gt;0, TRUNC(G1064*H1064, 1), "")</f>
        <v>727.9</v>
      </c>
      <c r="J1064" s="15">
        <v>1</v>
      </c>
      <c r="K1064" s="15"/>
      <c r="L1064" s="53" t="str">
        <f>IF(G1064*K1064&lt;&gt;0, TRUNC(G1064*K1064, 1), "")</f>
        <v/>
      </c>
      <c r="M1064" s="15"/>
      <c r="N1064" s="53" t="str">
        <f>IF(G1064*M1064&lt;&gt;0, TRUNC(G1064*M1064, 1), "")</f>
        <v/>
      </c>
      <c r="O1064" s="15">
        <f>IF((H1064+K1064+M1064)=0, "", (H1064+K1064+M1064))</f>
        <v>727.9</v>
      </c>
      <c r="P1064" s="15">
        <f>IF(SUM(I1064,L1064,N1064)&lt;&gt;0,SUM(I1064,L1064,N1064),"")</f>
        <v>727.9</v>
      </c>
      <c r="Q1064" s="12"/>
    </row>
    <row r="1065" spans="1:17" ht="23.25" customHeight="1" x14ac:dyDescent="0.15">
      <c r="B1065" s="13" t="s">
        <v>2360</v>
      </c>
      <c r="D1065" s="12" t="s">
        <v>2361</v>
      </c>
      <c r="E1065" s="12"/>
      <c r="F1065" s="31"/>
      <c r="G1065" s="15"/>
      <c r="H1065" s="15"/>
      <c r="I1065" s="53">
        <f>TRUNC(SUM(I1061:I1064))</f>
        <v>50727</v>
      </c>
      <c r="J1065" s="15"/>
      <c r="K1065" s="15"/>
      <c r="L1065" s="53">
        <f>TRUNC(SUM(L1061:L1064))</f>
        <v>36398</v>
      </c>
      <c r="M1065" s="15"/>
      <c r="N1065" s="53">
        <f>TRUNC(SUM(N1061:N1064))</f>
        <v>0</v>
      </c>
      <c r="O1065" s="15" t="str">
        <f>IF((H1065+K1065+M1065)=0, "", (H1065+K1065+M1065))</f>
        <v/>
      </c>
      <c r="P1065" s="15">
        <f>IF(SUM(I1065,L1065,N1065)&lt;&gt;0,SUM(I1065,L1065,N1065),"")</f>
        <v>87125</v>
      </c>
      <c r="Q1065" s="12"/>
    </row>
    <row r="1066" spans="1:17" ht="23.25" customHeight="1" x14ac:dyDescent="0.15">
      <c r="D1066" s="12"/>
      <c r="E1066" s="12"/>
      <c r="F1066" s="31"/>
      <c r="G1066" s="15"/>
      <c r="H1066" s="15"/>
      <c r="I1066" s="53"/>
      <c r="J1066" s="15"/>
      <c r="K1066" s="15"/>
      <c r="L1066" s="53"/>
      <c r="M1066" s="15"/>
      <c r="N1066" s="53"/>
      <c r="O1066" s="15"/>
      <c r="P1066" s="15"/>
      <c r="Q1066" s="12"/>
    </row>
    <row r="1067" spans="1:17" ht="23.25" customHeight="1" x14ac:dyDescent="0.15">
      <c r="A1067" s="13" t="s">
        <v>2811</v>
      </c>
      <c r="B1067" s="13" t="s">
        <v>2382</v>
      </c>
      <c r="C1067" s="1" t="s">
        <v>2812</v>
      </c>
      <c r="D1067" s="170" t="s">
        <v>2810</v>
      </c>
      <c r="E1067" s="172"/>
      <c r="F1067" s="31"/>
      <c r="G1067" s="15"/>
      <c r="H1067" s="15"/>
      <c r="I1067" s="53"/>
      <c r="J1067" s="15"/>
      <c r="K1067" s="15"/>
      <c r="L1067" s="53"/>
      <c r="M1067" s="15"/>
      <c r="N1067" s="53"/>
      <c r="O1067" s="15"/>
      <c r="P1067" s="15"/>
      <c r="Q1067" s="12"/>
    </row>
    <row r="1068" spans="1:17" ht="23.25" customHeight="1" x14ac:dyDescent="0.15">
      <c r="A1068" s="13" t="s">
        <v>1227</v>
      </c>
      <c r="B1068" s="13" t="s">
        <v>2127</v>
      </c>
      <c r="C1068" s="1" t="s">
        <v>706</v>
      </c>
      <c r="D1068" s="12" t="s">
        <v>708</v>
      </c>
      <c r="E1068" s="12" t="s">
        <v>709</v>
      </c>
      <c r="F1068" s="31" t="s">
        <v>710</v>
      </c>
      <c r="G1068" s="15">
        <v>1</v>
      </c>
      <c r="H1068" s="15">
        <f>합산자재!H203</f>
        <v>50000</v>
      </c>
      <c r="I1068" s="53">
        <f>IF(G1068*H1068&lt;&gt;0, TRUNC(G1068*H1068, 1), "")</f>
        <v>50000</v>
      </c>
      <c r="J1068" s="15">
        <v>1</v>
      </c>
      <c r="K1068" s="15">
        <f>합산자재!I203</f>
        <v>0</v>
      </c>
      <c r="L1068" s="53" t="str">
        <f>IF(G1068*K1068&lt;&gt;0, TRUNC(G1068*K1068, 1), "")</f>
        <v/>
      </c>
      <c r="M1068" s="15">
        <f>합산자재!J203</f>
        <v>0</v>
      </c>
      <c r="N1068" s="53" t="str">
        <f>IF(G1068*M1068&lt;&gt;0, TRUNC(G1068*M1068, 1), "")</f>
        <v/>
      </c>
      <c r="O1068" s="15">
        <f>IF((H1068+K1068+M1068)=0, "", (H1068+K1068+M1068))</f>
        <v>50000</v>
      </c>
      <c r="P1068" s="15">
        <f>IF(SUM(I1068,L1068,N1068)&lt;&gt;0,SUM(I1068,L1068,N1068),"")</f>
        <v>50000</v>
      </c>
      <c r="Q1068" s="12"/>
    </row>
    <row r="1069" spans="1:17" ht="23.25" customHeight="1" x14ac:dyDescent="0.15">
      <c r="A1069" s="13" t="s">
        <v>1372</v>
      </c>
      <c r="B1069" s="13" t="s">
        <v>2127</v>
      </c>
      <c r="C1069" s="1" t="s">
        <v>1002</v>
      </c>
      <c r="D1069" s="12" t="s">
        <v>1003</v>
      </c>
      <c r="E1069" s="12" t="s">
        <v>1004</v>
      </c>
      <c r="F1069" s="31" t="s">
        <v>999</v>
      </c>
      <c r="G1069" s="15">
        <f>일위노임!G483</f>
        <v>0.24</v>
      </c>
      <c r="H1069" s="15">
        <f>합산자재!H345</f>
        <v>0</v>
      </c>
      <c r="I1069" s="53" t="str">
        <f>IF(G1069*H1069&lt;&gt;0, TRUNC(G1069*H1069, 1), "")</f>
        <v/>
      </c>
      <c r="J1069" s="15">
        <v>0.24</v>
      </c>
      <c r="K1069" s="15">
        <f>합산자재!I345</f>
        <v>273676</v>
      </c>
      <c r="L1069" s="53">
        <f>IF(G1069*K1069&lt;&gt;0, TRUNC(G1069*K1069, 1), "")</f>
        <v>65682.2</v>
      </c>
      <c r="M1069" s="15">
        <f>합산자재!J345</f>
        <v>0</v>
      </c>
      <c r="N1069" s="53" t="str">
        <f>IF(G1069*M1069&lt;&gt;0, TRUNC(G1069*M1069, 1), "")</f>
        <v/>
      </c>
      <c r="O1069" s="15">
        <f>IF((H1069+K1069+M1069)=0, "", (H1069+K1069+M1069))</f>
        <v>273676</v>
      </c>
      <c r="P1069" s="15">
        <f>IF(SUM(I1069,L1069,N1069)&lt;&gt;0,SUM(I1069,L1069,N1069),"")</f>
        <v>65682.2</v>
      </c>
      <c r="Q1069" s="12"/>
    </row>
    <row r="1070" spans="1:17" ht="23.25" customHeight="1" x14ac:dyDescent="0.15">
      <c r="A1070" s="13" t="s">
        <v>2362</v>
      </c>
      <c r="B1070" s="13" t="s">
        <v>2127</v>
      </c>
      <c r="C1070" s="1" t="s">
        <v>2363</v>
      </c>
      <c r="D1070" s="12" t="s">
        <v>2364</v>
      </c>
      <c r="E1070" s="12" t="s">
        <v>2365</v>
      </c>
      <c r="F1070" s="31" t="s">
        <v>792</v>
      </c>
      <c r="G1070" s="15">
        <v>1</v>
      </c>
      <c r="H1070" s="15">
        <v>1313.6</v>
      </c>
      <c r="I1070" s="53">
        <f>IF(G1070*H1070&lt;&gt;0, TRUNC(G1070*H1070, 1), "")</f>
        <v>1313.6</v>
      </c>
      <c r="J1070" s="15">
        <v>1</v>
      </c>
      <c r="K1070" s="15"/>
      <c r="L1070" s="53" t="str">
        <f>IF(G1070*K1070&lt;&gt;0, TRUNC(G1070*K1070, 1), "")</f>
        <v/>
      </c>
      <c r="M1070" s="15"/>
      <c r="N1070" s="53" t="str">
        <f>IF(G1070*M1070&lt;&gt;0, TRUNC(G1070*M1070, 1), "")</f>
        <v/>
      </c>
      <c r="O1070" s="15">
        <f>IF((H1070+K1070+M1070)=0, "", (H1070+K1070+M1070))</f>
        <v>1313.6</v>
      </c>
      <c r="P1070" s="15">
        <f>IF(SUM(I1070,L1070,N1070)&lt;&gt;0,SUM(I1070,L1070,N1070),"")</f>
        <v>1313.6</v>
      </c>
      <c r="Q1070" s="12"/>
    </row>
    <row r="1071" spans="1:17" ht="23.25" customHeight="1" x14ac:dyDescent="0.15">
      <c r="B1071" s="13" t="s">
        <v>2360</v>
      </c>
      <c r="D1071" s="12" t="s">
        <v>2361</v>
      </c>
      <c r="E1071" s="12"/>
      <c r="F1071" s="31"/>
      <c r="G1071" s="15"/>
      <c r="H1071" s="15"/>
      <c r="I1071" s="53">
        <f>TRUNC(SUM(I1067:I1070))</f>
        <v>51313</v>
      </c>
      <c r="J1071" s="15"/>
      <c r="K1071" s="15"/>
      <c r="L1071" s="53">
        <f>TRUNC(SUM(L1067:L1070))</f>
        <v>65682</v>
      </c>
      <c r="M1071" s="15"/>
      <c r="N1071" s="53">
        <f>TRUNC(SUM(N1067:N1070))</f>
        <v>0</v>
      </c>
      <c r="O1071" s="15" t="str">
        <f>IF((H1071+K1071+M1071)=0, "", (H1071+K1071+M1071))</f>
        <v/>
      </c>
      <c r="P1071" s="15">
        <f>IF(SUM(I1071,L1071,N1071)&lt;&gt;0,SUM(I1071,L1071,N1071),"")</f>
        <v>116995</v>
      </c>
      <c r="Q1071" s="12"/>
    </row>
    <row r="1072" spans="1:17" ht="23.25" customHeight="1" x14ac:dyDescent="0.15">
      <c r="D1072" s="12"/>
      <c r="E1072" s="12"/>
      <c r="F1072" s="31"/>
      <c r="G1072" s="15"/>
      <c r="H1072" s="15"/>
      <c r="I1072" s="53"/>
      <c r="J1072" s="15"/>
      <c r="K1072" s="15"/>
      <c r="L1072" s="53"/>
      <c r="M1072" s="15"/>
      <c r="N1072" s="53"/>
      <c r="O1072" s="15"/>
      <c r="P1072" s="15"/>
      <c r="Q1072" s="12"/>
    </row>
    <row r="1073" spans="1:17" ht="23.25" customHeight="1" x14ac:dyDescent="0.15">
      <c r="A1073" s="13" t="s">
        <v>2814</v>
      </c>
      <c r="B1073" s="13" t="s">
        <v>2382</v>
      </c>
      <c r="C1073" s="1" t="s">
        <v>2815</v>
      </c>
      <c r="D1073" s="170" t="s">
        <v>2813</v>
      </c>
      <c r="E1073" s="172"/>
      <c r="F1073" s="31"/>
      <c r="G1073" s="15"/>
      <c r="H1073" s="15"/>
      <c r="I1073" s="53"/>
      <c r="J1073" s="15"/>
      <c r="K1073" s="15"/>
      <c r="L1073" s="53"/>
      <c r="M1073" s="15"/>
      <c r="N1073" s="53"/>
      <c r="O1073" s="15"/>
      <c r="P1073" s="15"/>
      <c r="Q1073" s="12"/>
    </row>
    <row r="1074" spans="1:17" ht="23.25" customHeight="1" x14ac:dyDescent="0.15">
      <c r="A1074" s="13" t="s">
        <v>1228</v>
      </c>
      <c r="B1074" s="13" t="s">
        <v>2130</v>
      </c>
      <c r="C1074" s="1" t="s">
        <v>706</v>
      </c>
      <c r="D1074" s="12" t="s">
        <v>712</v>
      </c>
      <c r="E1074" s="12" t="s">
        <v>713</v>
      </c>
      <c r="F1074" s="31" t="s">
        <v>289</v>
      </c>
      <c r="G1074" s="15">
        <v>1</v>
      </c>
      <c r="H1074" s="15">
        <f>합산자재!H204</f>
        <v>10000</v>
      </c>
      <c r="I1074" s="53">
        <f>IF(G1074*H1074&lt;&gt;0, TRUNC(G1074*H1074, 1), "")</f>
        <v>10000</v>
      </c>
      <c r="J1074" s="15">
        <v>1</v>
      </c>
      <c r="K1074" s="15">
        <f>합산자재!I204</f>
        <v>0</v>
      </c>
      <c r="L1074" s="53" t="str">
        <f>IF(G1074*K1074&lt;&gt;0, TRUNC(G1074*K1074, 1), "")</f>
        <v/>
      </c>
      <c r="M1074" s="15">
        <f>합산자재!J204</f>
        <v>0</v>
      </c>
      <c r="N1074" s="53" t="str">
        <f>IF(G1074*M1074&lt;&gt;0, TRUNC(G1074*M1074, 1), "")</f>
        <v/>
      </c>
      <c r="O1074" s="15">
        <f>IF((H1074+K1074+M1074)=0, "", (H1074+K1074+M1074))</f>
        <v>10000</v>
      </c>
      <c r="P1074" s="15">
        <f>IF(SUM(I1074,L1074,N1074)&lt;&gt;0,SUM(I1074,L1074,N1074),"")</f>
        <v>10000</v>
      </c>
      <c r="Q1074" s="12"/>
    </row>
    <row r="1075" spans="1:17" ht="23.25" customHeight="1" x14ac:dyDescent="0.15">
      <c r="A1075" s="13" t="s">
        <v>1372</v>
      </c>
      <c r="B1075" s="13" t="s">
        <v>2130</v>
      </c>
      <c r="C1075" s="1" t="s">
        <v>1002</v>
      </c>
      <c r="D1075" s="12" t="s">
        <v>1003</v>
      </c>
      <c r="E1075" s="12" t="s">
        <v>1004</v>
      </c>
      <c r="F1075" s="31" t="s">
        <v>999</v>
      </c>
      <c r="G1075" s="15">
        <f>일위노임!G486</f>
        <v>9.7000000000000003E-2</v>
      </c>
      <c r="H1075" s="15">
        <f>합산자재!H345</f>
        <v>0</v>
      </c>
      <c r="I1075" s="53" t="str">
        <f>IF(G1075*H1075&lt;&gt;0, TRUNC(G1075*H1075, 1), "")</f>
        <v/>
      </c>
      <c r="J1075" s="15">
        <v>9.7000000000000003E-2</v>
      </c>
      <c r="K1075" s="15">
        <f>합산자재!I345</f>
        <v>273676</v>
      </c>
      <c r="L1075" s="53">
        <f>IF(G1075*K1075&lt;&gt;0, TRUNC(G1075*K1075, 1), "")</f>
        <v>26546.5</v>
      </c>
      <c r="M1075" s="15">
        <f>합산자재!J345</f>
        <v>0</v>
      </c>
      <c r="N1075" s="53" t="str">
        <f>IF(G1075*M1075&lt;&gt;0, TRUNC(G1075*M1075, 1), "")</f>
        <v/>
      </c>
      <c r="O1075" s="15">
        <f>IF((H1075+K1075+M1075)=0, "", (H1075+K1075+M1075))</f>
        <v>273676</v>
      </c>
      <c r="P1075" s="15">
        <f>IF(SUM(I1075,L1075,N1075)&lt;&gt;0,SUM(I1075,L1075,N1075),"")</f>
        <v>26546.5</v>
      </c>
      <c r="Q1075" s="12"/>
    </row>
    <row r="1076" spans="1:17" ht="23.25" customHeight="1" x14ac:dyDescent="0.15">
      <c r="A1076" s="13" t="s">
        <v>2362</v>
      </c>
      <c r="B1076" s="13" t="s">
        <v>2130</v>
      </c>
      <c r="C1076" s="1" t="s">
        <v>2363</v>
      </c>
      <c r="D1076" s="12" t="s">
        <v>2364</v>
      </c>
      <c r="E1076" s="12" t="s">
        <v>2365</v>
      </c>
      <c r="F1076" s="31" t="s">
        <v>792</v>
      </c>
      <c r="G1076" s="15">
        <v>1</v>
      </c>
      <c r="H1076" s="15">
        <v>530.9</v>
      </c>
      <c r="I1076" s="53">
        <f>IF(G1076*H1076&lt;&gt;0, TRUNC(G1076*H1076, 1), "")</f>
        <v>530.9</v>
      </c>
      <c r="J1076" s="15">
        <v>1</v>
      </c>
      <c r="K1076" s="15"/>
      <c r="L1076" s="53" t="str">
        <f>IF(G1076*K1076&lt;&gt;0, TRUNC(G1076*K1076, 1), "")</f>
        <v/>
      </c>
      <c r="M1076" s="15"/>
      <c r="N1076" s="53" t="str">
        <f>IF(G1076*M1076&lt;&gt;0, TRUNC(G1076*M1076, 1), "")</f>
        <v/>
      </c>
      <c r="O1076" s="15">
        <f>IF((H1076+K1076+M1076)=0, "", (H1076+K1076+M1076))</f>
        <v>530.9</v>
      </c>
      <c r="P1076" s="15">
        <f>IF(SUM(I1076,L1076,N1076)&lt;&gt;0,SUM(I1076,L1076,N1076),"")</f>
        <v>530.9</v>
      </c>
      <c r="Q1076" s="12"/>
    </row>
    <row r="1077" spans="1:17" ht="23.25" customHeight="1" x14ac:dyDescent="0.15">
      <c r="B1077" s="13" t="s">
        <v>2360</v>
      </c>
      <c r="D1077" s="12" t="s">
        <v>2361</v>
      </c>
      <c r="E1077" s="12"/>
      <c r="F1077" s="31"/>
      <c r="G1077" s="15"/>
      <c r="H1077" s="15"/>
      <c r="I1077" s="53">
        <f>TRUNC(SUM(I1073:I1076))</f>
        <v>10530</v>
      </c>
      <c r="J1077" s="15"/>
      <c r="K1077" s="15"/>
      <c r="L1077" s="53">
        <f>TRUNC(SUM(L1073:L1076))</f>
        <v>26546</v>
      </c>
      <c r="M1077" s="15"/>
      <c r="N1077" s="53">
        <f>TRUNC(SUM(N1073:N1076))</f>
        <v>0</v>
      </c>
      <c r="O1077" s="15" t="str">
        <f>IF((H1077+K1077+M1077)=0, "", (H1077+K1077+M1077))</f>
        <v/>
      </c>
      <c r="P1077" s="15">
        <f>IF(SUM(I1077,L1077,N1077)&lt;&gt;0,SUM(I1077,L1077,N1077),"")</f>
        <v>37076</v>
      </c>
      <c r="Q1077" s="12"/>
    </row>
    <row r="1078" spans="1:17" ht="23.25" customHeight="1" x14ac:dyDescent="0.15">
      <c r="D1078" s="12"/>
      <c r="E1078" s="12"/>
      <c r="F1078" s="31"/>
      <c r="G1078" s="15"/>
      <c r="H1078" s="15"/>
      <c r="I1078" s="53"/>
      <c r="J1078" s="15"/>
      <c r="K1078" s="15"/>
      <c r="L1078" s="53"/>
      <c r="M1078" s="15"/>
      <c r="N1078" s="53"/>
      <c r="O1078" s="15"/>
      <c r="P1078" s="15"/>
      <c r="Q1078" s="12"/>
    </row>
    <row r="1079" spans="1:17" ht="23.25" customHeight="1" x14ac:dyDescent="0.15">
      <c r="A1079" s="13" t="s">
        <v>2817</v>
      </c>
      <c r="B1079" s="13" t="s">
        <v>2382</v>
      </c>
      <c r="C1079" s="1" t="s">
        <v>2818</v>
      </c>
      <c r="D1079" s="170" t="s">
        <v>2816</v>
      </c>
      <c r="E1079" s="172"/>
      <c r="F1079" s="31"/>
      <c r="G1079" s="15"/>
      <c r="H1079" s="15"/>
      <c r="I1079" s="53"/>
      <c r="J1079" s="15"/>
      <c r="K1079" s="15"/>
      <c r="L1079" s="53"/>
      <c r="M1079" s="15"/>
      <c r="N1079" s="53"/>
      <c r="O1079" s="15"/>
      <c r="P1079" s="15"/>
      <c r="Q1079" s="12"/>
    </row>
    <row r="1080" spans="1:17" ht="23.25" customHeight="1" x14ac:dyDescent="0.15">
      <c r="A1080" s="13" t="s">
        <v>1229</v>
      </c>
      <c r="B1080" s="13" t="s">
        <v>2133</v>
      </c>
      <c r="C1080" s="1" t="s">
        <v>714</v>
      </c>
      <c r="D1080" s="12" t="s">
        <v>715</v>
      </c>
      <c r="E1080" s="12"/>
      <c r="F1080" s="31" t="s">
        <v>559</v>
      </c>
      <c r="G1080" s="15">
        <v>1</v>
      </c>
      <c r="H1080" s="15">
        <f>합산자재!H205</f>
        <v>136800</v>
      </c>
      <c r="I1080" s="53">
        <f>IF(G1080*H1080&lt;&gt;0, TRUNC(G1080*H1080, 1), "")</f>
        <v>136800</v>
      </c>
      <c r="J1080" s="15">
        <v>1</v>
      </c>
      <c r="K1080" s="15">
        <f>합산자재!I205</f>
        <v>0</v>
      </c>
      <c r="L1080" s="53" t="str">
        <f>IF(G1080*K1080&lt;&gt;0, TRUNC(G1080*K1080, 1), "")</f>
        <v/>
      </c>
      <c r="M1080" s="15">
        <f>합산자재!J205</f>
        <v>0</v>
      </c>
      <c r="N1080" s="53" t="str">
        <f>IF(G1080*M1080&lt;&gt;0, TRUNC(G1080*M1080, 1), "")</f>
        <v/>
      </c>
      <c r="O1080" s="15">
        <f>IF((H1080+K1080+M1080)=0, "", (H1080+K1080+M1080))</f>
        <v>136800</v>
      </c>
      <c r="P1080" s="15">
        <f>IF(SUM(I1080,L1080,N1080)&lt;&gt;0,SUM(I1080,L1080,N1080),"")</f>
        <v>136800</v>
      </c>
      <c r="Q1080" s="12"/>
    </row>
    <row r="1081" spans="1:17" ht="23.25" customHeight="1" x14ac:dyDescent="0.15">
      <c r="A1081" s="13" t="s">
        <v>1372</v>
      </c>
      <c r="B1081" s="13" t="s">
        <v>2133</v>
      </c>
      <c r="C1081" s="1" t="s">
        <v>1002</v>
      </c>
      <c r="D1081" s="12" t="s">
        <v>1003</v>
      </c>
      <c r="E1081" s="12" t="s">
        <v>1004</v>
      </c>
      <c r="F1081" s="31" t="s">
        <v>999</v>
      </c>
      <c r="G1081" s="15">
        <f>일위노임!G489</f>
        <v>0.66</v>
      </c>
      <c r="H1081" s="15">
        <f>합산자재!H345</f>
        <v>0</v>
      </c>
      <c r="I1081" s="53" t="str">
        <f>IF(G1081*H1081&lt;&gt;0, TRUNC(G1081*H1081, 1), "")</f>
        <v/>
      </c>
      <c r="J1081" s="15">
        <v>0.66</v>
      </c>
      <c r="K1081" s="15">
        <f>합산자재!I345</f>
        <v>273676</v>
      </c>
      <c r="L1081" s="53">
        <f>IF(G1081*K1081&lt;&gt;0, TRUNC(G1081*K1081, 1), "")</f>
        <v>180626.1</v>
      </c>
      <c r="M1081" s="15">
        <f>합산자재!J345</f>
        <v>0</v>
      </c>
      <c r="N1081" s="53" t="str">
        <f>IF(G1081*M1081&lt;&gt;0, TRUNC(G1081*M1081, 1), "")</f>
        <v/>
      </c>
      <c r="O1081" s="15">
        <f>IF((H1081+K1081+M1081)=0, "", (H1081+K1081+M1081))</f>
        <v>273676</v>
      </c>
      <c r="P1081" s="15">
        <f>IF(SUM(I1081,L1081,N1081)&lt;&gt;0,SUM(I1081,L1081,N1081),"")</f>
        <v>180626.1</v>
      </c>
      <c r="Q1081" s="12"/>
    </row>
    <row r="1082" spans="1:17" ht="23.25" customHeight="1" x14ac:dyDescent="0.15">
      <c r="A1082" s="13" t="s">
        <v>2362</v>
      </c>
      <c r="B1082" s="13" t="s">
        <v>2133</v>
      </c>
      <c r="C1082" s="1" t="s">
        <v>2363</v>
      </c>
      <c r="D1082" s="12" t="s">
        <v>2364</v>
      </c>
      <c r="E1082" s="12" t="s">
        <v>2365</v>
      </c>
      <c r="F1082" s="31" t="s">
        <v>792</v>
      </c>
      <c r="G1082" s="15">
        <v>1</v>
      </c>
      <c r="H1082" s="15">
        <v>3612.5</v>
      </c>
      <c r="I1082" s="53">
        <f>IF(G1082*H1082&lt;&gt;0, TRUNC(G1082*H1082, 1), "")</f>
        <v>3612.5</v>
      </c>
      <c r="J1082" s="15">
        <v>1</v>
      </c>
      <c r="K1082" s="15"/>
      <c r="L1082" s="53" t="str">
        <f>IF(G1082*K1082&lt;&gt;0, TRUNC(G1082*K1082, 1), "")</f>
        <v/>
      </c>
      <c r="M1082" s="15"/>
      <c r="N1082" s="53" t="str">
        <f>IF(G1082*M1082&lt;&gt;0, TRUNC(G1082*M1082, 1), "")</f>
        <v/>
      </c>
      <c r="O1082" s="15">
        <f>IF((H1082+K1082+M1082)=0, "", (H1082+K1082+M1082))</f>
        <v>3612.5</v>
      </c>
      <c r="P1082" s="15">
        <f>IF(SUM(I1082,L1082,N1082)&lt;&gt;0,SUM(I1082,L1082,N1082),"")</f>
        <v>3612.5</v>
      </c>
      <c r="Q1082" s="12"/>
    </row>
    <row r="1083" spans="1:17" ht="23.25" customHeight="1" x14ac:dyDescent="0.15">
      <c r="B1083" s="13" t="s">
        <v>2360</v>
      </c>
      <c r="D1083" s="12" t="s">
        <v>2361</v>
      </c>
      <c r="E1083" s="12"/>
      <c r="F1083" s="31"/>
      <c r="G1083" s="15"/>
      <c r="H1083" s="15"/>
      <c r="I1083" s="53">
        <f>TRUNC(SUM(I1079:I1082))</f>
        <v>140412</v>
      </c>
      <c r="J1083" s="15"/>
      <c r="K1083" s="15"/>
      <c r="L1083" s="53">
        <f>TRUNC(SUM(L1079:L1082))</f>
        <v>180626</v>
      </c>
      <c r="M1083" s="15"/>
      <c r="N1083" s="53">
        <f>TRUNC(SUM(N1079:N1082))</f>
        <v>0</v>
      </c>
      <c r="O1083" s="15" t="str">
        <f>IF((H1083+K1083+M1083)=0, "", (H1083+K1083+M1083))</f>
        <v/>
      </c>
      <c r="P1083" s="15">
        <f>IF(SUM(I1083,L1083,N1083)&lt;&gt;0,SUM(I1083,L1083,N1083),"")</f>
        <v>321038</v>
      </c>
      <c r="Q1083" s="12"/>
    </row>
    <row r="1084" spans="1:17" ht="23.25" customHeight="1" x14ac:dyDescent="0.15">
      <c r="D1084" s="12"/>
      <c r="E1084" s="12"/>
      <c r="F1084" s="31"/>
      <c r="G1084" s="15"/>
      <c r="H1084" s="15"/>
      <c r="I1084" s="53"/>
      <c r="J1084" s="15"/>
      <c r="K1084" s="15"/>
      <c r="L1084" s="53"/>
      <c r="M1084" s="15"/>
      <c r="N1084" s="53"/>
      <c r="O1084" s="15"/>
      <c r="P1084" s="15"/>
      <c r="Q1084" s="12"/>
    </row>
    <row r="1085" spans="1:17" ht="23.25" customHeight="1" x14ac:dyDescent="0.15">
      <c r="A1085" s="13" t="s">
        <v>2820</v>
      </c>
      <c r="B1085" s="13" t="s">
        <v>2382</v>
      </c>
      <c r="C1085" s="1" t="s">
        <v>2821</v>
      </c>
      <c r="D1085" s="170" t="s">
        <v>2819</v>
      </c>
      <c r="E1085" s="172"/>
      <c r="F1085" s="31"/>
      <c r="G1085" s="15"/>
      <c r="H1085" s="15"/>
      <c r="I1085" s="53"/>
      <c r="J1085" s="15"/>
      <c r="K1085" s="15"/>
      <c r="L1085" s="53"/>
      <c r="M1085" s="15"/>
      <c r="N1085" s="53"/>
      <c r="O1085" s="15"/>
      <c r="P1085" s="15"/>
      <c r="Q1085" s="12"/>
    </row>
    <row r="1086" spans="1:17" ht="23.25" customHeight="1" x14ac:dyDescent="0.15">
      <c r="A1086" s="13" t="s">
        <v>1230</v>
      </c>
      <c r="B1086" s="13" t="s">
        <v>2136</v>
      </c>
      <c r="C1086" s="1" t="s">
        <v>706</v>
      </c>
      <c r="D1086" s="12" t="s">
        <v>716</v>
      </c>
      <c r="E1086" s="12" t="s">
        <v>717</v>
      </c>
      <c r="F1086" s="31" t="s">
        <v>200</v>
      </c>
      <c r="G1086" s="15">
        <v>1</v>
      </c>
      <c r="H1086" s="15">
        <f>합산자재!H206</f>
        <v>45000</v>
      </c>
      <c r="I1086" s="53">
        <f>IF(G1086*H1086&lt;&gt;0, TRUNC(G1086*H1086, 1), "")</f>
        <v>45000</v>
      </c>
      <c r="J1086" s="15">
        <v>1</v>
      </c>
      <c r="K1086" s="15">
        <f>합산자재!I206</f>
        <v>0</v>
      </c>
      <c r="L1086" s="53" t="str">
        <f>IF(G1086*K1086&lt;&gt;0, TRUNC(G1086*K1086, 1), "")</f>
        <v/>
      </c>
      <c r="M1086" s="15">
        <f>합산자재!J206</f>
        <v>0</v>
      </c>
      <c r="N1086" s="53" t="str">
        <f>IF(G1086*M1086&lt;&gt;0, TRUNC(G1086*M1086, 1), "")</f>
        <v/>
      </c>
      <c r="O1086" s="15">
        <f>IF((H1086+K1086+M1086)=0, "", (H1086+K1086+M1086))</f>
        <v>45000</v>
      </c>
      <c r="P1086" s="15">
        <f>IF(SUM(I1086,L1086,N1086)&lt;&gt;0,SUM(I1086,L1086,N1086),"")</f>
        <v>45000</v>
      </c>
      <c r="Q1086" s="12"/>
    </row>
    <row r="1087" spans="1:17" ht="23.25" customHeight="1" x14ac:dyDescent="0.15">
      <c r="A1087" s="13" t="s">
        <v>1372</v>
      </c>
      <c r="B1087" s="13" t="s">
        <v>2136</v>
      </c>
      <c r="C1087" s="1" t="s">
        <v>1002</v>
      </c>
      <c r="D1087" s="12" t="s">
        <v>1003</v>
      </c>
      <c r="E1087" s="12" t="s">
        <v>1004</v>
      </c>
      <c r="F1087" s="31" t="s">
        <v>999</v>
      </c>
      <c r="G1087" s="15">
        <f>일위노임!G492</f>
        <v>0.08</v>
      </c>
      <c r="H1087" s="15">
        <f>합산자재!H345</f>
        <v>0</v>
      </c>
      <c r="I1087" s="53" t="str">
        <f>IF(G1087*H1087&lt;&gt;0, TRUNC(G1087*H1087, 1), "")</f>
        <v/>
      </c>
      <c r="J1087" s="15">
        <v>0.08</v>
      </c>
      <c r="K1087" s="15">
        <f>합산자재!I345</f>
        <v>273676</v>
      </c>
      <c r="L1087" s="53">
        <f>IF(G1087*K1087&lt;&gt;0, TRUNC(G1087*K1087, 1), "")</f>
        <v>21894</v>
      </c>
      <c r="M1087" s="15">
        <f>합산자재!J345</f>
        <v>0</v>
      </c>
      <c r="N1087" s="53" t="str">
        <f>IF(G1087*M1087&lt;&gt;0, TRUNC(G1087*M1087, 1), "")</f>
        <v/>
      </c>
      <c r="O1087" s="15">
        <f>IF((H1087+K1087+M1087)=0, "", (H1087+K1087+M1087))</f>
        <v>273676</v>
      </c>
      <c r="P1087" s="15">
        <f>IF(SUM(I1087,L1087,N1087)&lt;&gt;0,SUM(I1087,L1087,N1087),"")</f>
        <v>21894</v>
      </c>
      <c r="Q1087" s="12"/>
    </row>
    <row r="1088" spans="1:17" ht="23.25" customHeight="1" x14ac:dyDescent="0.15">
      <c r="A1088" s="13" t="s">
        <v>2362</v>
      </c>
      <c r="B1088" s="13" t="s">
        <v>2136</v>
      </c>
      <c r="C1088" s="1" t="s">
        <v>2363</v>
      </c>
      <c r="D1088" s="12" t="s">
        <v>2364</v>
      </c>
      <c r="E1088" s="12" t="s">
        <v>2365</v>
      </c>
      <c r="F1088" s="31" t="s">
        <v>792</v>
      </c>
      <c r="G1088" s="15">
        <v>1</v>
      </c>
      <c r="H1088" s="15">
        <v>437.8</v>
      </c>
      <c r="I1088" s="53">
        <f>IF(G1088*H1088&lt;&gt;0, TRUNC(G1088*H1088, 1), "")</f>
        <v>437.8</v>
      </c>
      <c r="J1088" s="15">
        <v>1</v>
      </c>
      <c r="K1088" s="15"/>
      <c r="L1088" s="53" t="str">
        <f>IF(G1088*K1088&lt;&gt;0, TRUNC(G1088*K1088, 1), "")</f>
        <v/>
      </c>
      <c r="M1088" s="15"/>
      <c r="N1088" s="53" t="str">
        <f>IF(G1088*M1088&lt;&gt;0, TRUNC(G1088*M1088, 1), "")</f>
        <v/>
      </c>
      <c r="O1088" s="15">
        <f>IF((H1088+K1088+M1088)=0, "", (H1088+K1088+M1088))</f>
        <v>437.8</v>
      </c>
      <c r="P1088" s="15">
        <f>IF(SUM(I1088,L1088,N1088)&lt;&gt;0,SUM(I1088,L1088,N1088),"")</f>
        <v>437.8</v>
      </c>
      <c r="Q1088" s="12"/>
    </row>
    <row r="1089" spans="1:17" ht="23.25" customHeight="1" x14ac:dyDescent="0.15">
      <c r="B1089" s="13" t="s">
        <v>2360</v>
      </c>
      <c r="D1089" s="12" t="s">
        <v>2361</v>
      </c>
      <c r="E1089" s="12"/>
      <c r="F1089" s="31"/>
      <c r="G1089" s="15"/>
      <c r="H1089" s="15"/>
      <c r="I1089" s="53">
        <f>TRUNC(SUM(I1085:I1088))</f>
        <v>45437</v>
      </c>
      <c r="J1089" s="15"/>
      <c r="K1089" s="15"/>
      <c r="L1089" s="53">
        <f>TRUNC(SUM(L1085:L1088))</f>
        <v>21894</v>
      </c>
      <c r="M1089" s="15"/>
      <c r="N1089" s="53">
        <f>TRUNC(SUM(N1085:N1088))</f>
        <v>0</v>
      </c>
      <c r="O1089" s="15" t="str">
        <f>IF((H1089+K1089+M1089)=0, "", (H1089+K1089+M1089))</f>
        <v/>
      </c>
      <c r="P1089" s="15">
        <f>IF(SUM(I1089,L1089,N1089)&lt;&gt;0,SUM(I1089,L1089,N1089),"")</f>
        <v>67331</v>
      </c>
      <c r="Q1089" s="12"/>
    </row>
    <row r="1090" spans="1:17" ht="23.25" customHeight="1" x14ac:dyDescent="0.15">
      <c r="D1090" s="12"/>
      <c r="E1090" s="12"/>
      <c r="F1090" s="31"/>
      <c r="G1090" s="15"/>
      <c r="H1090" s="15"/>
      <c r="I1090" s="53"/>
      <c r="J1090" s="15"/>
      <c r="K1090" s="15"/>
      <c r="L1090" s="53"/>
      <c r="M1090" s="15"/>
      <c r="N1090" s="53"/>
      <c r="O1090" s="15"/>
      <c r="P1090" s="15"/>
      <c r="Q1090" s="12"/>
    </row>
    <row r="1091" spans="1:17" ht="23.25" customHeight="1" x14ac:dyDescent="0.15">
      <c r="A1091" s="13" t="s">
        <v>2823</v>
      </c>
      <c r="B1091" s="13" t="s">
        <v>2382</v>
      </c>
      <c r="C1091" s="1" t="s">
        <v>2824</v>
      </c>
      <c r="D1091" s="170" t="s">
        <v>2822</v>
      </c>
      <c r="E1091" s="172"/>
      <c r="F1091" s="31"/>
      <c r="G1091" s="15"/>
      <c r="H1091" s="15"/>
      <c r="I1091" s="53"/>
      <c r="J1091" s="15"/>
      <c r="K1091" s="15"/>
      <c r="L1091" s="53"/>
      <c r="M1091" s="15"/>
      <c r="N1091" s="53"/>
      <c r="O1091" s="15"/>
      <c r="P1091" s="15"/>
      <c r="Q1091" s="12"/>
    </row>
    <row r="1092" spans="1:17" ht="23.25" customHeight="1" x14ac:dyDescent="0.15">
      <c r="A1092" s="13" t="s">
        <v>1231</v>
      </c>
      <c r="B1092" s="13" t="s">
        <v>2139</v>
      </c>
      <c r="C1092" s="1" t="s">
        <v>706</v>
      </c>
      <c r="D1092" s="12" t="s">
        <v>716</v>
      </c>
      <c r="E1092" s="12" t="s">
        <v>718</v>
      </c>
      <c r="F1092" s="31" t="s">
        <v>200</v>
      </c>
      <c r="G1092" s="15">
        <v>1</v>
      </c>
      <c r="H1092" s="15">
        <f>합산자재!H207</f>
        <v>45000</v>
      </c>
      <c r="I1092" s="53">
        <f>IF(G1092*H1092&lt;&gt;0, TRUNC(G1092*H1092, 1), "")</f>
        <v>45000</v>
      </c>
      <c r="J1092" s="15">
        <v>1</v>
      </c>
      <c r="K1092" s="15">
        <f>합산자재!I207</f>
        <v>0</v>
      </c>
      <c r="L1092" s="53" t="str">
        <f>IF(G1092*K1092&lt;&gt;0, TRUNC(G1092*K1092, 1), "")</f>
        <v/>
      </c>
      <c r="M1092" s="15">
        <f>합산자재!J207</f>
        <v>0</v>
      </c>
      <c r="N1092" s="53" t="str">
        <f>IF(G1092*M1092&lt;&gt;0, TRUNC(G1092*M1092, 1), "")</f>
        <v/>
      </c>
      <c r="O1092" s="15">
        <f>IF((H1092+K1092+M1092)=0, "", (H1092+K1092+M1092))</f>
        <v>45000</v>
      </c>
      <c r="P1092" s="15">
        <f>IF(SUM(I1092,L1092,N1092)&lt;&gt;0,SUM(I1092,L1092,N1092),"")</f>
        <v>45000</v>
      </c>
      <c r="Q1092" s="12"/>
    </row>
    <row r="1093" spans="1:17" ht="23.25" customHeight="1" x14ac:dyDescent="0.15">
      <c r="A1093" s="13" t="s">
        <v>1372</v>
      </c>
      <c r="B1093" s="13" t="s">
        <v>2139</v>
      </c>
      <c r="C1093" s="1" t="s">
        <v>1002</v>
      </c>
      <c r="D1093" s="12" t="s">
        <v>1003</v>
      </c>
      <c r="E1093" s="12" t="s">
        <v>1004</v>
      </c>
      <c r="F1093" s="31" t="s">
        <v>999</v>
      </c>
      <c r="G1093" s="15">
        <f>일위노임!G495</f>
        <v>0.08</v>
      </c>
      <c r="H1093" s="15">
        <f>합산자재!H345</f>
        <v>0</v>
      </c>
      <c r="I1093" s="53" t="str">
        <f>IF(G1093*H1093&lt;&gt;0, TRUNC(G1093*H1093, 1), "")</f>
        <v/>
      </c>
      <c r="J1093" s="15">
        <v>0.08</v>
      </c>
      <c r="K1093" s="15">
        <f>합산자재!I345</f>
        <v>273676</v>
      </c>
      <c r="L1093" s="53">
        <f>IF(G1093*K1093&lt;&gt;0, TRUNC(G1093*K1093, 1), "")</f>
        <v>21894</v>
      </c>
      <c r="M1093" s="15">
        <f>합산자재!J345</f>
        <v>0</v>
      </c>
      <c r="N1093" s="53" t="str">
        <f>IF(G1093*M1093&lt;&gt;0, TRUNC(G1093*M1093, 1), "")</f>
        <v/>
      </c>
      <c r="O1093" s="15">
        <f>IF((H1093+K1093+M1093)=0, "", (H1093+K1093+M1093))</f>
        <v>273676</v>
      </c>
      <c r="P1093" s="15">
        <f>IF(SUM(I1093,L1093,N1093)&lt;&gt;0,SUM(I1093,L1093,N1093),"")</f>
        <v>21894</v>
      </c>
      <c r="Q1093" s="12"/>
    </row>
    <row r="1094" spans="1:17" ht="23.25" customHeight="1" x14ac:dyDescent="0.15">
      <c r="A1094" s="13" t="s">
        <v>2362</v>
      </c>
      <c r="B1094" s="13" t="s">
        <v>2139</v>
      </c>
      <c r="C1094" s="1" t="s">
        <v>2363</v>
      </c>
      <c r="D1094" s="12" t="s">
        <v>2364</v>
      </c>
      <c r="E1094" s="12" t="s">
        <v>2365</v>
      </c>
      <c r="F1094" s="31" t="s">
        <v>792</v>
      </c>
      <c r="G1094" s="15">
        <v>1</v>
      </c>
      <c r="H1094" s="15">
        <v>437.8</v>
      </c>
      <c r="I1094" s="53">
        <f>IF(G1094*H1094&lt;&gt;0, TRUNC(G1094*H1094, 1), "")</f>
        <v>437.8</v>
      </c>
      <c r="J1094" s="15">
        <v>1</v>
      </c>
      <c r="K1094" s="15"/>
      <c r="L1094" s="53" t="str">
        <f>IF(G1094*K1094&lt;&gt;0, TRUNC(G1094*K1094, 1), "")</f>
        <v/>
      </c>
      <c r="M1094" s="15"/>
      <c r="N1094" s="53" t="str">
        <f>IF(G1094*M1094&lt;&gt;0, TRUNC(G1094*M1094, 1), "")</f>
        <v/>
      </c>
      <c r="O1094" s="15">
        <f>IF((H1094+K1094+M1094)=0, "", (H1094+K1094+M1094))</f>
        <v>437.8</v>
      </c>
      <c r="P1094" s="15">
        <f>IF(SUM(I1094,L1094,N1094)&lt;&gt;0,SUM(I1094,L1094,N1094),"")</f>
        <v>437.8</v>
      </c>
      <c r="Q1094" s="12"/>
    </row>
    <row r="1095" spans="1:17" ht="23.25" customHeight="1" x14ac:dyDescent="0.15">
      <c r="B1095" s="13" t="s">
        <v>2360</v>
      </c>
      <c r="D1095" s="12" t="s">
        <v>2361</v>
      </c>
      <c r="E1095" s="12"/>
      <c r="F1095" s="31"/>
      <c r="G1095" s="15"/>
      <c r="H1095" s="15"/>
      <c r="I1095" s="53">
        <f>TRUNC(SUM(I1091:I1094))</f>
        <v>45437</v>
      </c>
      <c r="J1095" s="15"/>
      <c r="K1095" s="15"/>
      <c r="L1095" s="53">
        <f>TRUNC(SUM(L1091:L1094))</f>
        <v>21894</v>
      </c>
      <c r="M1095" s="15"/>
      <c r="N1095" s="53">
        <f>TRUNC(SUM(N1091:N1094))</f>
        <v>0</v>
      </c>
      <c r="O1095" s="15" t="str">
        <f>IF((H1095+K1095+M1095)=0, "", (H1095+K1095+M1095))</f>
        <v/>
      </c>
      <c r="P1095" s="15">
        <f>IF(SUM(I1095,L1095,N1095)&lt;&gt;0,SUM(I1095,L1095,N1095),"")</f>
        <v>67331</v>
      </c>
      <c r="Q1095" s="12"/>
    </row>
    <row r="1096" spans="1:17" ht="23.25" customHeight="1" x14ac:dyDescent="0.15">
      <c r="D1096" s="12"/>
      <c r="E1096" s="12"/>
      <c r="F1096" s="31"/>
      <c r="G1096" s="15"/>
      <c r="H1096" s="15"/>
      <c r="I1096" s="53"/>
      <c r="J1096" s="15"/>
      <c r="K1096" s="15"/>
      <c r="L1096" s="53"/>
      <c r="M1096" s="15"/>
      <c r="N1096" s="53"/>
      <c r="O1096" s="15"/>
      <c r="P1096" s="15"/>
      <c r="Q1096" s="12"/>
    </row>
    <row r="1097" spans="1:17" ht="23.25" customHeight="1" x14ac:dyDescent="0.15">
      <c r="A1097" s="13" t="s">
        <v>2826</v>
      </c>
      <c r="B1097" s="13" t="s">
        <v>2382</v>
      </c>
      <c r="C1097" s="1" t="s">
        <v>2827</v>
      </c>
      <c r="D1097" s="170" t="s">
        <v>2825</v>
      </c>
      <c r="E1097" s="172"/>
      <c r="F1097" s="31"/>
      <c r="G1097" s="15"/>
      <c r="H1097" s="15"/>
      <c r="I1097" s="53"/>
      <c r="J1097" s="15"/>
      <c r="K1097" s="15"/>
      <c r="L1097" s="53"/>
      <c r="M1097" s="15"/>
      <c r="N1097" s="53"/>
      <c r="O1097" s="15"/>
      <c r="P1097" s="15"/>
      <c r="Q1097" s="12"/>
    </row>
    <row r="1098" spans="1:17" ht="23.25" customHeight="1" x14ac:dyDescent="0.15">
      <c r="A1098" s="13" t="s">
        <v>1232</v>
      </c>
      <c r="B1098" s="13" t="s">
        <v>2142</v>
      </c>
      <c r="C1098" s="1" t="s">
        <v>706</v>
      </c>
      <c r="D1098" s="12" t="s">
        <v>716</v>
      </c>
      <c r="E1098" s="12" t="s">
        <v>719</v>
      </c>
      <c r="F1098" s="31" t="s">
        <v>200</v>
      </c>
      <c r="G1098" s="15">
        <v>1</v>
      </c>
      <c r="H1098" s="15">
        <f>합산자재!H208</f>
        <v>35000</v>
      </c>
      <c r="I1098" s="53">
        <f>IF(G1098*H1098&lt;&gt;0, TRUNC(G1098*H1098, 1), "")</f>
        <v>35000</v>
      </c>
      <c r="J1098" s="15">
        <v>1</v>
      </c>
      <c r="K1098" s="15">
        <f>합산자재!I208</f>
        <v>0</v>
      </c>
      <c r="L1098" s="53" t="str">
        <f>IF(G1098*K1098&lt;&gt;0, TRUNC(G1098*K1098, 1), "")</f>
        <v/>
      </c>
      <c r="M1098" s="15">
        <f>합산자재!J208</f>
        <v>0</v>
      </c>
      <c r="N1098" s="53" t="str">
        <f>IF(G1098*M1098&lt;&gt;0, TRUNC(G1098*M1098, 1), "")</f>
        <v/>
      </c>
      <c r="O1098" s="15">
        <f>IF((H1098+K1098+M1098)=0, "", (H1098+K1098+M1098))</f>
        <v>35000</v>
      </c>
      <c r="P1098" s="15">
        <f>IF(SUM(I1098,L1098,N1098)&lt;&gt;0,SUM(I1098,L1098,N1098),"")</f>
        <v>35000</v>
      </c>
      <c r="Q1098" s="12"/>
    </row>
    <row r="1099" spans="1:17" ht="23.25" customHeight="1" x14ac:dyDescent="0.15">
      <c r="A1099" s="13" t="s">
        <v>1372</v>
      </c>
      <c r="B1099" s="13" t="s">
        <v>2142</v>
      </c>
      <c r="C1099" s="1" t="s">
        <v>1002</v>
      </c>
      <c r="D1099" s="12" t="s">
        <v>1003</v>
      </c>
      <c r="E1099" s="12" t="s">
        <v>1004</v>
      </c>
      <c r="F1099" s="31" t="s">
        <v>999</v>
      </c>
      <c r="G1099" s="15">
        <f>일위노임!G498</f>
        <v>0.08</v>
      </c>
      <c r="H1099" s="15">
        <f>합산자재!H345</f>
        <v>0</v>
      </c>
      <c r="I1099" s="53" t="str">
        <f>IF(G1099*H1099&lt;&gt;0, TRUNC(G1099*H1099, 1), "")</f>
        <v/>
      </c>
      <c r="J1099" s="15">
        <v>0.08</v>
      </c>
      <c r="K1099" s="15">
        <f>합산자재!I345</f>
        <v>273676</v>
      </c>
      <c r="L1099" s="53">
        <f>IF(G1099*K1099&lt;&gt;0, TRUNC(G1099*K1099, 1), "")</f>
        <v>21894</v>
      </c>
      <c r="M1099" s="15">
        <f>합산자재!J345</f>
        <v>0</v>
      </c>
      <c r="N1099" s="53" t="str">
        <f>IF(G1099*M1099&lt;&gt;0, TRUNC(G1099*M1099, 1), "")</f>
        <v/>
      </c>
      <c r="O1099" s="15">
        <f>IF((H1099+K1099+M1099)=0, "", (H1099+K1099+M1099))</f>
        <v>273676</v>
      </c>
      <c r="P1099" s="15">
        <f>IF(SUM(I1099,L1099,N1099)&lt;&gt;0,SUM(I1099,L1099,N1099),"")</f>
        <v>21894</v>
      </c>
      <c r="Q1099" s="12"/>
    </row>
    <row r="1100" spans="1:17" ht="23.25" customHeight="1" x14ac:dyDescent="0.15">
      <c r="A1100" s="13" t="s">
        <v>2362</v>
      </c>
      <c r="B1100" s="13" t="s">
        <v>2142</v>
      </c>
      <c r="C1100" s="1" t="s">
        <v>2363</v>
      </c>
      <c r="D1100" s="12" t="s">
        <v>2364</v>
      </c>
      <c r="E1100" s="12" t="s">
        <v>2365</v>
      </c>
      <c r="F1100" s="31" t="s">
        <v>792</v>
      </c>
      <c r="G1100" s="15">
        <v>1</v>
      </c>
      <c r="H1100" s="15">
        <v>437.8</v>
      </c>
      <c r="I1100" s="53">
        <f>IF(G1100*H1100&lt;&gt;0, TRUNC(G1100*H1100, 1), "")</f>
        <v>437.8</v>
      </c>
      <c r="J1100" s="15">
        <v>1</v>
      </c>
      <c r="K1100" s="15"/>
      <c r="L1100" s="53" t="str">
        <f>IF(G1100*K1100&lt;&gt;0, TRUNC(G1100*K1100, 1), "")</f>
        <v/>
      </c>
      <c r="M1100" s="15"/>
      <c r="N1100" s="53" t="str">
        <f>IF(G1100*M1100&lt;&gt;0, TRUNC(G1100*M1100, 1), "")</f>
        <v/>
      </c>
      <c r="O1100" s="15">
        <f>IF((H1100+K1100+M1100)=0, "", (H1100+K1100+M1100))</f>
        <v>437.8</v>
      </c>
      <c r="P1100" s="15">
        <f>IF(SUM(I1100,L1100,N1100)&lt;&gt;0,SUM(I1100,L1100,N1100),"")</f>
        <v>437.8</v>
      </c>
      <c r="Q1100" s="12"/>
    </row>
    <row r="1101" spans="1:17" ht="23.25" customHeight="1" x14ac:dyDescent="0.15">
      <c r="B1101" s="13" t="s">
        <v>2360</v>
      </c>
      <c r="D1101" s="12" t="s">
        <v>2361</v>
      </c>
      <c r="E1101" s="12"/>
      <c r="F1101" s="31"/>
      <c r="G1101" s="15"/>
      <c r="H1101" s="15"/>
      <c r="I1101" s="53">
        <f>TRUNC(SUM(I1097:I1100))</f>
        <v>35437</v>
      </c>
      <c r="J1101" s="15"/>
      <c r="K1101" s="15"/>
      <c r="L1101" s="53">
        <f>TRUNC(SUM(L1097:L1100))</f>
        <v>21894</v>
      </c>
      <c r="M1101" s="15"/>
      <c r="N1101" s="53">
        <f>TRUNC(SUM(N1097:N1100))</f>
        <v>0</v>
      </c>
      <c r="O1101" s="15" t="str">
        <f>IF((H1101+K1101+M1101)=0, "", (H1101+K1101+M1101))</f>
        <v/>
      </c>
      <c r="P1101" s="15">
        <f>IF(SUM(I1101,L1101,N1101)&lt;&gt;0,SUM(I1101,L1101,N1101),"")</f>
        <v>57331</v>
      </c>
      <c r="Q1101" s="12"/>
    </row>
    <row r="1102" spans="1:17" ht="23.25" customHeight="1" x14ac:dyDescent="0.15">
      <c r="D1102" s="12"/>
      <c r="E1102" s="12"/>
      <c r="F1102" s="31"/>
      <c r="G1102" s="15"/>
      <c r="H1102" s="15"/>
      <c r="I1102" s="53"/>
      <c r="J1102" s="15"/>
      <c r="K1102" s="15"/>
      <c r="L1102" s="53"/>
      <c r="M1102" s="15"/>
      <c r="N1102" s="53"/>
      <c r="O1102" s="15"/>
      <c r="P1102" s="15"/>
      <c r="Q1102" s="12"/>
    </row>
    <row r="1103" spans="1:17" ht="23.25" customHeight="1" x14ac:dyDescent="0.15">
      <c r="A1103" s="13" t="s">
        <v>2829</v>
      </c>
      <c r="B1103" s="13" t="s">
        <v>2382</v>
      </c>
      <c r="C1103" s="1" t="s">
        <v>2830</v>
      </c>
      <c r="D1103" s="170" t="s">
        <v>2828</v>
      </c>
      <c r="E1103" s="172"/>
      <c r="F1103" s="31"/>
      <c r="G1103" s="15"/>
      <c r="H1103" s="15"/>
      <c r="I1103" s="53"/>
      <c r="J1103" s="15"/>
      <c r="K1103" s="15"/>
      <c r="L1103" s="53"/>
      <c r="M1103" s="15"/>
      <c r="N1103" s="53"/>
      <c r="O1103" s="15"/>
      <c r="P1103" s="15"/>
      <c r="Q1103" s="12"/>
    </row>
    <row r="1104" spans="1:17" ht="23.25" customHeight="1" x14ac:dyDescent="0.15">
      <c r="A1104" s="13" t="s">
        <v>1233</v>
      </c>
      <c r="B1104" s="13" t="s">
        <v>2145</v>
      </c>
      <c r="C1104" s="1" t="s">
        <v>706</v>
      </c>
      <c r="D1104" s="12" t="s">
        <v>720</v>
      </c>
      <c r="E1104" s="12" t="s">
        <v>717</v>
      </c>
      <c r="F1104" s="31" t="s">
        <v>200</v>
      </c>
      <c r="G1104" s="15">
        <v>1</v>
      </c>
      <c r="H1104" s="15">
        <f>합산자재!H209</f>
        <v>4500</v>
      </c>
      <c r="I1104" s="53">
        <f>IF(G1104*H1104&lt;&gt;0, TRUNC(G1104*H1104, 1), "")</f>
        <v>4500</v>
      </c>
      <c r="J1104" s="15">
        <v>1</v>
      </c>
      <c r="K1104" s="15">
        <f>합산자재!I209</f>
        <v>0</v>
      </c>
      <c r="L1104" s="53" t="str">
        <f>IF(G1104*K1104&lt;&gt;0, TRUNC(G1104*K1104, 1), "")</f>
        <v/>
      </c>
      <c r="M1104" s="15">
        <f>합산자재!J209</f>
        <v>0</v>
      </c>
      <c r="N1104" s="53" t="str">
        <f>IF(G1104*M1104&lt;&gt;0, TRUNC(G1104*M1104, 1), "")</f>
        <v/>
      </c>
      <c r="O1104" s="15">
        <f>IF((H1104+K1104+M1104)=0, "", (H1104+K1104+M1104))</f>
        <v>4500</v>
      </c>
      <c r="P1104" s="15">
        <f>IF(SUM(I1104,L1104,N1104)&lt;&gt;0,SUM(I1104,L1104,N1104),"")</f>
        <v>4500</v>
      </c>
      <c r="Q1104" s="12"/>
    </row>
    <row r="1105" spans="1:17" ht="23.25" customHeight="1" x14ac:dyDescent="0.15">
      <c r="A1105" s="13" t="s">
        <v>1372</v>
      </c>
      <c r="B1105" s="13" t="s">
        <v>2145</v>
      </c>
      <c r="C1105" s="1" t="s">
        <v>1002</v>
      </c>
      <c r="D1105" s="12" t="s">
        <v>1003</v>
      </c>
      <c r="E1105" s="12" t="s">
        <v>1004</v>
      </c>
      <c r="F1105" s="31" t="s">
        <v>999</v>
      </c>
      <c r="G1105" s="15">
        <f>일위노임!G501</f>
        <v>0.18</v>
      </c>
      <c r="H1105" s="15">
        <f>합산자재!H345</f>
        <v>0</v>
      </c>
      <c r="I1105" s="53" t="str">
        <f>IF(G1105*H1105&lt;&gt;0, TRUNC(G1105*H1105, 1), "")</f>
        <v/>
      </c>
      <c r="J1105" s="15">
        <v>0.18</v>
      </c>
      <c r="K1105" s="15">
        <f>합산자재!I345</f>
        <v>273676</v>
      </c>
      <c r="L1105" s="53">
        <f>IF(G1105*K1105&lt;&gt;0, TRUNC(G1105*K1105, 1), "")</f>
        <v>49261.599999999999</v>
      </c>
      <c r="M1105" s="15">
        <f>합산자재!J345</f>
        <v>0</v>
      </c>
      <c r="N1105" s="53" t="str">
        <f>IF(G1105*M1105&lt;&gt;0, TRUNC(G1105*M1105, 1), "")</f>
        <v/>
      </c>
      <c r="O1105" s="15">
        <f>IF((H1105+K1105+M1105)=0, "", (H1105+K1105+M1105))</f>
        <v>273676</v>
      </c>
      <c r="P1105" s="15">
        <f>IF(SUM(I1105,L1105,N1105)&lt;&gt;0,SUM(I1105,L1105,N1105),"")</f>
        <v>49261.599999999999</v>
      </c>
      <c r="Q1105" s="12"/>
    </row>
    <row r="1106" spans="1:17" ht="23.25" customHeight="1" x14ac:dyDescent="0.15">
      <c r="A1106" s="13" t="s">
        <v>2362</v>
      </c>
      <c r="B1106" s="13" t="s">
        <v>2145</v>
      </c>
      <c r="C1106" s="1" t="s">
        <v>2363</v>
      </c>
      <c r="D1106" s="12" t="s">
        <v>2364</v>
      </c>
      <c r="E1106" s="12" t="s">
        <v>2365</v>
      </c>
      <c r="F1106" s="31" t="s">
        <v>792</v>
      </c>
      <c r="G1106" s="15">
        <v>1</v>
      </c>
      <c r="H1106" s="15">
        <v>985.2</v>
      </c>
      <c r="I1106" s="53">
        <f>IF(G1106*H1106&lt;&gt;0, TRUNC(G1106*H1106, 1), "")</f>
        <v>985.2</v>
      </c>
      <c r="J1106" s="15">
        <v>1</v>
      </c>
      <c r="K1106" s="15"/>
      <c r="L1106" s="53" t="str">
        <f>IF(G1106*K1106&lt;&gt;0, TRUNC(G1106*K1106, 1), "")</f>
        <v/>
      </c>
      <c r="M1106" s="15"/>
      <c r="N1106" s="53" t="str">
        <f>IF(G1106*M1106&lt;&gt;0, TRUNC(G1106*M1106, 1), "")</f>
        <v/>
      </c>
      <c r="O1106" s="15">
        <f>IF((H1106+K1106+M1106)=0, "", (H1106+K1106+M1106))</f>
        <v>985.2</v>
      </c>
      <c r="P1106" s="15">
        <f>IF(SUM(I1106,L1106,N1106)&lt;&gt;0,SUM(I1106,L1106,N1106),"")</f>
        <v>985.2</v>
      </c>
      <c r="Q1106" s="12"/>
    </row>
    <row r="1107" spans="1:17" ht="23.25" customHeight="1" x14ac:dyDescent="0.15">
      <c r="B1107" s="13" t="s">
        <v>2360</v>
      </c>
      <c r="D1107" s="12" t="s">
        <v>2361</v>
      </c>
      <c r="E1107" s="12"/>
      <c r="F1107" s="31"/>
      <c r="G1107" s="15"/>
      <c r="H1107" s="15"/>
      <c r="I1107" s="53">
        <f>TRUNC(SUM(I1103:I1106))</f>
        <v>5485</v>
      </c>
      <c r="J1107" s="15"/>
      <c r="K1107" s="15"/>
      <c r="L1107" s="53">
        <f>TRUNC(SUM(L1103:L1106))</f>
        <v>49261</v>
      </c>
      <c r="M1107" s="15"/>
      <c r="N1107" s="53">
        <f>TRUNC(SUM(N1103:N1106))</f>
        <v>0</v>
      </c>
      <c r="O1107" s="15" t="str">
        <f>IF((H1107+K1107+M1107)=0, "", (H1107+K1107+M1107))</f>
        <v/>
      </c>
      <c r="P1107" s="15">
        <f>IF(SUM(I1107,L1107,N1107)&lt;&gt;0,SUM(I1107,L1107,N1107),"")</f>
        <v>54746</v>
      </c>
      <c r="Q1107" s="12"/>
    </row>
    <row r="1108" spans="1:17" ht="23.25" customHeight="1" x14ac:dyDescent="0.15">
      <c r="D1108" s="12"/>
      <c r="E1108" s="12"/>
      <c r="F1108" s="31"/>
      <c r="G1108" s="15"/>
      <c r="H1108" s="15"/>
      <c r="I1108" s="53"/>
      <c r="J1108" s="15"/>
      <c r="K1108" s="15"/>
      <c r="L1108" s="53"/>
      <c r="M1108" s="15"/>
      <c r="N1108" s="53"/>
      <c r="O1108" s="15"/>
      <c r="P1108" s="15"/>
      <c r="Q1108" s="12"/>
    </row>
    <row r="1109" spans="1:17" ht="23.25" customHeight="1" x14ac:dyDescent="0.15">
      <c r="A1109" s="13" t="s">
        <v>2832</v>
      </c>
      <c r="B1109" s="13" t="s">
        <v>2382</v>
      </c>
      <c r="C1109" s="1" t="s">
        <v>2833</v>
      </c>
      <c r="D1109" s="170" t="s">
        <v>2831</v>
      </c>
      <c r="E1109" s="172"/>
      <c r="F1109" s="31"/>
      <c r="G1109" s="15"/>
      <c r="H1109" s="15"/>
      <c r="I1109" s="53"/>
      <c r="J1109" s="15"/>
      <c r="K1109" s="15"/>
      <c r="L1109" s="53"/>
      <c r="M1109" s="15"/>
      <c r="N1109" s="53"/>
      <c r="O1109" s="15"/>
      <c r="P1109" s="15"/>
      <c r="Q1109" s="12"/>
    </row>
    <row r="1110" spans="1:17" ht="23.25" customHeight="1" x14ac:dyDescent="0.15">
      <c r="A1110" s="13" t="s">
        <v>1234</v>
      </c>
      <c r="B1110" s="13" t="s">
        <v>2148</v>
      </c>
      <c r="C1110" s="1" t="s">
        <v>706</v>
      </c>
      <c r="D1110" s="12" t="s">
        <v>720</v>
      </c>
      <c r="E1110" s="12" t="s">
        <v>718</v>
      </c>
      <c r="F1110" s="31" t="s">
        <v>200</v>
      </c>
      <c r="G1110" s="15">
        <v>1</v>
      </c>
      <c r="H1110" s="15">
        <f>합산자재!H210</f>
        <v>3840</v>
      </c>
      <c r="I1110" s="53">
        <f>IF(G1110*H1110&lt;&gt;0, TRUNC(G1110*H1110, 1), "")</f>
        <v>3840</v>
      </c>
      <c r="J1110" s="15">
        <v>1</v>
      </c>
      <c r="K1110" s="15">
        <f>합산자재!I210</f>
        <v>0</v>
      </c>
      <c r="L1110" s="53" t="str">
        <f>IF(G1110*K1110&lt;&gt;0, TRUNC(G1110*K1110, 1), "")</f>
        <v/>
      </c>
      <c r="M1110" s="15">
        <f>합산자재!J210</f>
        <v>0</v>
      </c>
      <c r="N1110" s="53" t="str">
        <f>IF(G1110*M1110&lt;&gt;0, TRUNC(G1110*M1110, 1), "")</f>
        <v/>
      </c>
      <c r="O1110" s="15">
        <f>IF((H1110+K1110+M1110)=0, "", (H1110+K1110+M1110))</f>
        <v>3840</v>
      </c>
      <c r="P1110" s="15">
        <f>IF(SUM(I1110,L1110,N1110)&lt;&gt;0,SUM(I1110,L1110,N1110),"")</f>
        <v>3840</v>
      </c>
      <c r="Q1110" s="12"/>
    </row>
    <row r="1111" spans="1:17" ht="23.25" customHeight="1" x14ac:dyDescent="0.15">
      <c r="A1111" s="13" t="s">
        <v>1372</v>
      </c>
      <c r="B1111" s="13" t="s">
        <v>2148</v>
      </c>
      <c r="C1111" s="1" t="s">
        <v>1002</v>
      </c>
      <c r="D1111" s="12" t="s">
        <v>1003</v>
      </c>
      <c r="E1111" s="12" t="s">
        <v>1004</v>
      </c>
      <c r="F1111" s="31" t="s">
        <v>999</v>
      </c>
      <c r="G1111" s="15">
        <f>일위노임!G504</f>
        <v>0.18</v>
      </c>
      <c r="H1111" s="15">
        <f>합산자재!H345</f>
        <v>0</v>
      </c>
      <c r="I1111" s="53" t="str">
        <f>IF(G1111*H1111&lt;&gt;0, TRUNC(G1111*H1111, 1), "")</f>
        <v/>
      </c>
      <c r="J1111" s="15">
        <v>0.18</v>
      </c>
      <c r="K1111" s="15">
        <f>합산자재!I345</f>
        <v>273676</v>
      </c>
      <c r="L1111" s="53">
        <f>IF(G1111*K1111&lt;&gt;0, TRUNC(G1111*K1111, 1), "")</f>
        <v>49261.599999999999</v>
      </c>
      <c r="M1111" s="15">
        <f>합산자재!J345</f>
        <v>0</v>
      </c>
      <c r="N1111" s="53" t="str">
        <f>IF(G1111*M1111&lt;&gt;0, TRUNC(G1111*M1111, 1), "")</f>
        <v/>
      </c>
      <c r="O1111" s="15">
        <f>IF((H1111+K1111+M1111)=0, "", (H1111+K1111+M1111))</f>
        <v>273676</v>
      </c>
      <c r="P1111" s="15">
        <f>IF(SUM(I1111,L1111,N1111)&lt;&gt;0,SUM(I1111,L1111,N1111),"")</f>
        <v>49261.599999999999</v>
      </c>
      <c r="Q1111" s="12"/>
    </row>
    <row r="1112" spans="1:17" ht="23.25" customHeight="1" x14ac:dyDescent="0.15">
      <c r="A1112" s="13" t="s">
        <v>2362</v>
      </c>
      <c r="B1112" s="13" t="s">
        <v>2148</v>
      </c>
      <c r="C1112" s="1" t="s">
        <v>2363</v>
      </c>
      <c r="D1112" s="12" t="s">
        <v>2364</v>
      </c>
      <c r="E1112" s="12" t="s">
        <v>2365</v>
      </c>
      <c r="F1112" s="31" t="s">
        <v>792</v>
      </c>
      <c r="G1112" s="15">
        <v>1</v>
      </c>
      <c r="H1112" s="15">
        <v>985.2</v>
      </c>
      <c r="I1112" s="53">
        <f>IF(G1112*H1112&lt;&gt;0, TRUNC(G1112*H1112, 1), "")</f>
        <v>985.2</v>
      </c>
      <c r="J1112" s="15">
        <v>1</v>
      </c>
      <c r="K1112" s="15"/>
      <c r="L1112" s="53" t="str">
        <f>IF(G1112*K1112&lt;&gt;0, TRUNC(G1112*K1112, 1), "")</f>
        <v/>
      </c>
      <c r="M1112" s="15"/>
      <c r="N1112" s="53" t="str">
        <f>IF(G1112*M1112&lt;&gt;0, TRUNC(G1112*M1112, 1), "")</f>
        <v/>
      </c>
      <c r="O1112" s="15">
        <f>IF((H1112+K1112+M1112)=0, "", (H1112+K1112+M1112))</f>
        <v>985.2</v>
      </c>
      <c r="P1112" s="15">
        <f>IF(SUM(I1112,L1112,N1112)&lt;&gt;0,SUM(I1112,L1112,N1112),"")</f>
        <v>985.2</v>
      </c>
      <c r="Q1112" s="12"/>
    </row>
    <row r="1113" spans="1:17" ht="23.25" customHeight="1" x14ac:dyDescent="0.15">
      <c r="B1113" s="13" t="s">
        <v>2360</v>
      </c>
      <c r="D1113" s="12" t="s">
        <v>2361</v>
      </c>
      <c r="E1113" s="12"/>
      <c r="F1113" s="31"/>
      <c r="G1113" s="15"/>
      <c r="H1113" s="15"/>
      <c r="I1113" s="53">
        <f>TRUNC(SUM(I1109:I1112))</f>
        <v>4825</v>
      </c>
      <c r="J1113" s="15"/>
      <c r="K1113" s="15"/>
      <c r="L1113" s="53">
        <f>TRUNC(SUM(L1109:L1112))</f>
        <v>49261</v>
      </c>
      <c r="M1113" s="15"/>
      <c r="N1113" s="53">
        <f>TRUNC(SUM(N1109:N1112))</f>
        <v>0</v>
      </c>
      <c r="O1113" s="15" t="str">
        <f>IF((H1113+K1113+M1113)=0, "", (H1113+K1113+M1113))</f>
        <v/>
      </c>
      <c r="P1113" s="15">
        <f>IF(SUM(I1113,L1113,N1113)&lt;&gt;0,SUM(I1113,L1113,N1113),"")</f>
        <v>54086</v>
      </c>
      <c r="Q1113" s="12"/>
    </row>
    <row r="1114" spans="1:17" ht="23.25" customHeight="1" x14ac:dyDescent="0.15">
      <c r="D1114" s="12"/>
      <c r="E1114" s="12"/>
      <c r="F1114" s="31"/>
      <c r="G1114" s="15"/>
      <c r="H1114" s="15"/>
      <c r="I1114" s="53"/>
      <c r="J1114" s="15"/>
      <c r="K1114" s="15"/>
      <c r="L1114" s="53"/>
      <c r="M1114" s="15"/>
      <c r="N1114" s="53"/>
      <c r="O1114" s="15"/>
      <c r="P1114" s="15"/>
      <c r="Q1114" s="12"/>
    </row>
    <row r="1115" spans="1:17" ht="23.25" customHeight="1" x14ac:dyDescent="0.15">
      <c r="A1115" s="13" t="s">
        <v>2835</v>
      </c>
      <c r="B1115" s="13" t="s">
        <v>2382</v>
      </c>
      <c r="C1115" s="1" t="s">
        <v>2836</v>
      </c>
      <c r="D1115" s="170" t="s">
        <v>2834</v>
      </c>
      <c r="E1115" s="172"/>
      <c r="F1115" s="31"/>
      <c r="G1115" s="15"/>
      <c r="H1115" s="15"/>
      <c r="I1115" s="53"/>
      <c r="J1115" s="15"/>
      <c r="K1115" s="15"/>
      <c r="L1115" s="53"/>
      <c r="M1115" s="15"/>
      <c r="N1115" s="53"/>
      <c r="O1115" s="15"/>
      <c r="P1115" s="15"/>
      <c r="Q1115" s="12"/>
    </row>
    <row r="1116" spans="1:17" ht="23.25" customHeight="1" x14ac:dyDescent="0.15">
      <c r="A1116" s="13" t="s">
        <v>1235</v>
      </c>
      <c r="B1116" s="13" t="s">
        <v>2151</v>
      </c>
      <c r="C1116" s="1" t="s">
        <v>706</v>
      </c>
      <c r="D1116" s="12" t="s">
        <v>720</v>
      </c>
      <c r="E1116" s="12" t="s">
        <v>719</v>
      </c>
      <c r="F1116" s="31" t="s">
        <v>200</v>
      </c>
      <c r="G1116" s="15">
        <v>1</v>
      </c>
      <c r="H1116" s="15">
        <f>합산자재!H211</f>
        <v>4000</v>
      </c>
      <c r="I1116" s="53">
        <f>IF(G1116*H1116&lt;&gt;0, TRUNC(G1116*H1116, 1), "")</f>
        <v>4000</v>
      </c>
      <c r="J1116" s="15">
        <v>1</v>
      </c>
      <c r="K1116" s="15">
        <f>합산자재!I211</f>
        <v>0</v>
      </c>
      <c r="L1116" s="53" t="str">
        <f>IF(G1116*K1116&lt;&gt;0, TRUNC(G1116*K1116, 1), "")</f>
        <v/>
      </c>
      <c r="M1116" s="15">
        <f>합산자재!J211</f>
        <v>0</v>
      </c>
      <c r="N1116" s="53" t="str">
        <f>IF(G1116*M1116&lt;&gt;0, TRUNC(G1116*M1116, 1), "")</f>
        <v/>
      </c>
      <c r="O1116" s="15">
        <f>IF((H1116+K1116+M1116)=0, "", (H1116+K1116+M1116))</f>
        <v>4000</v>
      </c>
      <c r="P1116" s="15">
        <f>IF(SUM(I1116,L1116,N1116)&lt;&gt;0,SUM(I1116,L1116,N1116),"")</f>
        <v>4000</v>
      </c>
      <c r="Q1116" s="12"/>
    </row>
    <row r="1117" spans="1:17" ht="23.25" customHeight="1" x14ac:dyDescent="0.15">
      <c r="A1117" s="13" t="s">
        <v>1372</v>
      </c>
      <c r="B1117" s="13" t="s">
        <v>2151</v>
      </c>
      <c r="C1117" s="1" t="s">
        <v>1002</v>
      </c>
      <c r="D1117" s="12" t="s">
        <v>1003</v>
      </c>
      <c r="E1117" s="12" t="s">
        <v>1004</v>
      </c>
      <c r="F1117" s="31" t="s">
        <v>999</v>
      </c>
      <c r="G1117" s="15">
        <f>일위노임!G507</f>
        <v>0.18</v>
      </c>
      <c r="H1117" s="15">
        <f>합산자재!H345</f>
        <v>0</v>
      </c>
      <c r="I1117" s="53" t="str">
        <f>IF(G1117*H1117&lt;&gt;0, TRUNC(G1117*H1117, 1), "")</f>
        <v/>
      </c>
      <c r="J1117" s="15">
        <v>0.18</v>
      </c>
      <c r="K1117" s="15">
        <f>합산자재!I345</f>
        <v>273676</v>
      </c>
      <c r="L1117" s="53">
        <f>IF(G1117*K1117&lt;&gt;0, TRUNC(G1117*K1117, 1), "")</f>
        <v>49261.599999999999</v>
      </c>
      <c r="M1117" s="15">
        <f>합산자재!J345</f>
        <v>0</v>
      </c>
      <c r="N1117" s="53" t="str">
        <f>IF(G1117*M1117&lt;&gt;0, TRUNC(G1117*M1117, 1), "")</f>
        <v/>
      </c>
      <c r="O1117" s="15">
        <f>IF((H1117+K1117+M1117)=0, "", (H1117+K1117+M1117))</f>
        <v>273676</v>
      </c>
      <c r="P1117" s="15">
        <f>IF(SUM(I1117,L1117,N1117)&lt;&gt;0,SUM(I1117,L1117,N1117),"")</f>
        <v>49261.599999999999</v>
      </c>
      <c r="Q1117" s="12"/>
    </row>
    <row r="1118" spans="1:17" ht="23.25" customHeight="1" x14ac:dyDescent="0.15">
      <c r="A1118" s="13" t="s">
        <v>2362</v>
      </c>
      <c r="B1118" s="13" t="s">
        <v>2151</v>
      </c>
      <c r="C1118" s="1" t="s">
        <v>2363</v>
      </c>
      <c r="D1118" s="12" t="s">
        <v>2364</v>
      </c>
      <c r="E1118" s="12" t="s">
        <v>2365</v>
      </c>
      <c r="F1118" s="31" t="s">
        <v>792</v>
      </c>
      <c r="G1118" s="15">
        <v>1</v>
      </c>
      <c r="H1118" s="15">
        <v>985.2</v>
      </c>
      <c r="I1118" s="53">
        <f>IF(G1118*H1118&lt;&gt;0, TRUNC(G1118*H1118, 1), "")</f>
        <v>985.2</v>
      </c>
      <c r="J1118" s="15">
        <v>1</v>
      </c>
      <c r="K1118" s="15"/>
      <c r="L1118" s="53" t="str">
        <f>IF(G1118*K1118&lt;&gt;0, TRUNC(G1118*K1118, 1), "")</f>
        <v/>
      </c>
      <c r="M1118" s="15"/>
      <c r="N1118" s="53" t="str">
        <f>IF(G1118*M1118&lt;&gt;0, TRUNC(G1118*M1118, 1), "")</f>
        <v/>
      </c>
      <c r="O1118" s="15">
        <f>IF((H1118+K1118+M1118)=0, "", (H1118+K1118+M1118))</f>
        <v>985.2</v>
      </c>
      <c r="P1118" s="15">
        <f>IF(SUM(I1118,L1118,N1118)&lt;&gt;0,SUM(I1118,L1118,N1118),"")</f>
        <v>985.2</v>
      </c>
      <c r="Q1118" s="12"/>
    </row>
    <row r="1119" spans="1:17" ht="23.25" customHeight="1" x14ac:dyDescent="0.15">
      <c r="B1119" s="13" t="s">
        <v>2360</v>
      </c>
      <c r="D1119" s="12" t="s">
        <v>2361</v>
      </c>
      <c r="E1119" s="12"/>
      <c r="F1119" s="31"/>
      <c r="G1119" s="15"/>
      <c r="H1119" s="15"/>
      <c r="I1119" s="53">
        <f>TRUNC(SUM(I1115:I1118))</f>
        <v>4985</v>
      </c>
      <c r="J1119" s="15"/>
      <c r="K1119" s="15"/>
      <c r="L1119" s="53">
        <f>TRUNC(SUM(L1115:L1118))</f>
        <v>49261</v>
      </c>
      <c r="M1119" s="15"/>
      <c r="N1119" s="53">
        <f>TRUNC(SUM(N1115:N1118))</f>
        <v>0</v>
      </c>
      <c r="O1119" s="15" t="str">
        <f>IF((H1119+K1119+M1119)=0, "", (H1119+K1119+M1119))</f>
        <v/>
      </c>
      <c r="P1119" s="15">
        <f>IF(SUM(I1119,L1119,N1119)&lt;&gt;0,SUM(I1119,L1119,N1119),"")</f>
        <v>54246</v>
      </c>
      <c r="Q1119" s="12"/>
    </row>
    <row r="1120" spans="1:17" ht="23.25" customHeight="1" x14ac:dyDescent="0.15">
      <c r="D1120" s="12"/>
      <c r="E1120" s="12"/>
      <c r="F1120" s="31"/>
      <c r="G1120" s="15"/>
      <c r="H1120" s="15"/>
      <c r="I1120" s="53"/>
      <c r="J1120" s="15"/>
      <c r="K1120" s="15"/>
      <c r="L1120" s="53"/>
      <c r="M1120" s="15"/>
      <c r="N1120" s="53"/>
      <c r="O1120" s="15"/>
      <c r="P1120" s="15"/>
      <c r="Q1120" s="12"/>
    </row>
    <row r="1121" spans="1:17" ht="23.25" customHeight="1" x14ac:dyDescent="0.15">
      <c r="A1121" s="13" t="s">
        <v>2838</v>
      </c>
      <c r="B1121" s="13" t="s">
        <v>2382</v>
      </c>
      <c r="C1121" s="1" t="s">
        <v>2839</v>
      </c>
      <c r="D1121" s="170" t="s">
        <v>2837</v>
      </c>
      <c r="E1121" s="172"/>
      <c r="F1121" s="31"/>
      <c r="G1121" s="15"/>
      <c r="H1121" s="15"/>
      <c r="I1121" s="53"/>
      <c r="J1121" s="15"/>
      <c r="K1121" s="15"/>
      <c r="L1121" s="53"/>
      <c r="M1121" s="15"/>
      <c r="N1121" s="53"/>
      <c r="O1121" s="15"/>
      <c r="P1121" s="15"/>
      <c r="Q1121" s="12"/>
    </row>
    <row r="1122" spans="1:17" ht="23.25" customHeight="1" x14ac:dyDescent="0.15">
      <c r="A1122" s="13" t="s">
        <v>1236</v>
      </c>
      <c r="B1122" s="13" t="s">
        <v>2154</v>
      </c>
      <c r="C1122" s="1" t="s">
        <v>706</v>
      </c>
      <c r="D1122" s="12" t="s">
        <v>722</v>
      </c>
      <c r="E1122" s="12" t="s">
        <v>717</v>
      </c>
      <c r="F1122" s="31" t="s">
        <v>200</v>
      </c>
      <c r="G1122" s="15">
        <v>1</v>
      </c>
      <c r="H1122" s="15">
        <f>합산자재!H212</f>
        <v>1500</v>
      </c>
      <c r="I1122" s="53">
        <f>IF(G1122*H1122&lt;&gt;0, TRUNC(G1122*H1122, 1), "")</f>
        <v>1500</v>
      </c>
      <c r="J1122" s="15">
        <v>1</v>
      </c>
      <c r="K1122" s="15">
        <f>합산자재!I212</f>
        <v>0</v>
      </c>
      <c r="L1122" s="53" t="str">
        <f>IF(G1122*K1122&lt;&gt;0, TRUNC(G1122*K1122, 1), "")</f>
        <v/>
      </c>
      <c r="M1122" s="15">
        <f>합산자재!J212</f>
        <v>0</v>
      </c>
      <c r="N1122" s="53" t="str">
        <f>IF(G1122*M1122&lt;&gt;0, TRUNC(G1122*M1122, 1), "")</f>
        <v/>
      </c>
      <c r="O1122" s="15">
        <f>IF((H1122+K1122+M1122)=0, "", (H1122+K1122+M1122))</f>
        <v>1500</v>
      </c>
      <c r="P1122" s="15">
        <f>IF(SUM(I1122,L1122,N1122)&lt;&gt;0,SUM(I1122,L1122,N1122),"")</f>
        <v>1500</v>
      </c>
      <c r="Q1122" s="12"/>
    </row>
    <row r="1123" spans="1:17" ht="23.25" customHeight="1" x14ac:dyDescent="0.15">
      <c r="A1123" s="13" t="s">
        <v>1372</v>
      </c>
      <c r="B1123" s="13" t="s">
        <v>2154</v>
      </c>
      <c r="C1123" s="1" t="s">
        <v>1002</v>
      </c>
      <c r="D1123" s="12" t="s">
        <v>1003</v>
      </c>
      <c r="E1123" s="12" t="s">
        <v>1004</v>
      </c>
      <c r="F1123" s="31" t="s">
        <v>999</v>
      </c>
      <c r="G1123" s="15">
        <f>일위노임!G510</f>
        <v>0.18</v>
      </c>
      <c r="H1123" s="15">
        <f>합산자재!H345</f>
        <v>0</v>
      </c>
      <c r="I1123" s="53" t="str">
        <f>IF(G1123*H1123&lt;&gt;0, TRUNC(G1123*H1123, 1), "")</f>
        <v/>
      </c>
      <c r="J1123" s="15">
        <v>0.18</v>
      </c>
      <c r="K1123" s="15">
        <f>합산자재!I345</f>
        <v>273676</v>
      </c>
      <c r="L1123" s="53">
        <f>IF(G1123*K1123&lt;&gt;0, TRUNC(G1123*K1123, 1), "")</f>
        <v>49261.599999999999</v>
      </c>
      <c r="M1123" s="15">
        <f>합산자재!J345</f>
        <v>0</v>
      </c>
      <c r="N1123" s="53" t="str">
        <f>IF(G1123*M1123&lt;&gt;0, TRUNC(G1123*M1123, 1), "")</f>
        <v/>
      </c>
      <c r="O1123" s="15">
        <f>IF((H1123+K1123+M1123)=0, "", (H1123+K1123+M1123))</f>
        <v>273676</v>
      </c>
      <c r="P1123" s="15">
        <f>IF(SUM(I1123,L1123,N1123)&lt;&gt;0,SUM(I1123,L1123,N1123),"")</f>
        <v>49261.599999999999</v>
      </c>
      <c r="Q1123" s="12"/>
    </row>
    <row r="1124" spans="1:17" ht="23.25" customHeight="1" x14ac:dyDescent="0.15">
      <c r="A1124" s="13" t="s">
        <v>2362</v>
      </c>
      <c r="B1124" s="13" t="s">
        <v>2154</v>
      </c>
      <c r="C1124" s="1" t="s">
        <v>2363</v>
      </c>
      <c r="D1124" s="12" t="s">
        <v>2364</v>
      </c>
      <c r="E1124" s="12" t="s">
        <v>2365</v>
      </c>
      <c r="F1124" s="31" t="s">
        <v>792</v>
      </c>
      <c r="G1124" s="15">
        <v>1</v>
      </c>
      <c r="H1124" s="15">
        <v>985.2</v>
      </c>
      <c r="I1124" s="53">
        <f>IF(G1124*H1124&lt;&gt;0, TRUNC(G1124*H1124, 1), "")</f>
        <v>985.2</v>
      </c>
      <c r="J1124" s="15">
        <v>1</v>
      </c>
      <c r="K1124" s="15"/>
      <c r="L1124" s="53" t="str">
        <f>IF(G1124*K1124&lt;&gt;0, TRUNC(G1124*K1124, 1), "")</f>
        <v/>
      </c>
      <c r="M1124" s="15"/>
      <c r="N1124" s="53" t="str">
        <f>IF(G1124*M1124&lt;&gt;0, TRUNC(G1124*M1124, 1), "")</f>
        <v/>
      </c>
      <c r="O1124" s="15">
        <f>IF((H1124+K1124+M1124)=0, "", (H1124+K1124+M1124))</f>
        <v>985.2</v>
      </c>
      <c r="P1124" s="15">
        <f>IF(SUM(I1124,L1124,N1124)&lt;&gt;0,SUM(I1124,L1124,N1124),"")</f>
        <v>985.2</v>
      </c>
      <c r="Q1124" s="12"/>
    </row>
    <row r="1125" spans="1:17" ht="23.25" customHeight="1" x14ac:dyDescent="0.15">
      <c r="B1125" s="13" t="s">
        <v>2360</v>
      </c>
      <c r="D1125" s="12" t="s">
        <v>2361</v>
      </c>
      <c r="E1125" s="12"/>
      <c r="F1125" s="31"/>
      <c r="G1125" s="15"/>
      <c r="H1125" s="15"/>
      <c r="I1125" s="53">
        <f>TRUNC(SUM(I1121:I1124))</f>
        <v>2485</v>
      </c>
      <c r="J1125" s="15"/>
      <c r="K1125" s="15"/>
      <c r="L1125" s="53">
        <f>TRUNC(SUM(L1121:L1124))</f>
        <v>49261</v>
      </c>
      <c r="M1125" s="15"/>
      <c r="N1125" s="53">
        <f>TRUNC(SUM(N1121:N1124))</f>
        <v>0</v>
      </c>
      <c r="O1125" s="15" t="str">
        <f>IF((H1125+K1125+M1125)=0, "", (H1125+K1125+M1125))</f>
        <v/>
      </c>
      <c r="P1125" s="15">
        <f>IF(SUM(I1125,L1125,N1125)&lt;&gt;0,SUM(I1125,L1125,N1125),"")</f>
        <v>51746</v>
      </c>
      <c r="Q1125" s="12"/>
    </row>
    <row r="1126" spans="1:17" ht="23.25" customHeight="1" x14ac:dyDescent="0.15">
      <c r="D1126" s="12"/>
      <c r="E1126" s="12"/>
      <c r="F1126" s="31"/>
      <c r="G1126" s="15"/>
      <c r="H1126" s="15"/>
      <c r="I1126" s="53"/>
      <c r="J1126" s="15"/>
      <c r="K1126" s="15"/>
      <c r="L1126" s="53"/>
      <c r="M1126" s="15"/>
      <c r="N1126" s="53"/>
      <c r="O1126" s="15"/>
      <c r="P1126" s="15"/>
      <c r="Q1126" s="12"/>
    </row>
    <row r="1127" spans="1:17" ht="23.25" customHeight="1" x14ac:dyDescent="0.15">
      <c r="A1127" s="13" t="s">
        <v>2841</v>
      </c>
      <c r="B1127" s="13" t="s">
        <v>2382</v>
      </c>
      <c r="C1127" s="1" t="s">
        <v>2842</v>
      </c>
      <c r="D1127" s="170" t="s">
        <v>2840</v>
      </c>
      <c r="E1127" s="172"/>
      <c r="F1127" s="31"/>
      <c r="G1127" s="15"/>
      <c r="H1127" s="15"/>
      <c r="I1127" s="53"/>
      <c r="J1127" s="15"/>
      <c r="K1127" s="15"/>
      <c r="L1127" s="53"/>
      <c r="M1127" s="15"/>
      <c r="N1127" s="53"/>
      <c r="O1127" s="15"/>
      <c r="P1127" s="15"/>
      <c r="Q1127" s="12"/>
    </row>
    <row r="1128" spans="1:17" ht="23.25" customHeight="1" x14ac:dyDescent="0.15">
      <c r="A1128" s="13" t="s">
        <v>1237</v>
      </c>
      <c r="B1128" s="13" t="s">
        <v>2157</v>
      </c>
      <c r="C1128" s="1" t="s">
        <v>706</v>
      </c>
      <c r="D1128" s="12" t="s">
        <v>722</v>
      </c>
      <c r="E1128" s="12" t="s">
        <v>719</v>
      </c>
      <c r="F1128" s="31" t="s">
        <v>200</v>
      </c>
      <c r="G1128" s="15">
        <v>1</v>
      </c>
      <c r="H1128" s="15">
        <f>합산자재!H213</f>
        <v>1500</v>
      </c>
      <c r="I1128" s="53">
        <f>IF(G1128*H1128&lt;&gt;0, TRUNC(G1128*H1128, 1), "")</f>
        <v>1500</v>
      </c>
      <c r="J1128" s="15">
        <v>1</v>
      </c>
      <c r="K1128" s="15">
        <f>합산자재!I213</f>
        <v>0</v>
      </c>
      <c r="L1128" s="53" t="str">
        <f>IF(G1128*K1128&lt;&gt;0, TRUNC(G1128*K1128, 1), "")</f>
        <v/>
      </c>
      <c r="M1128" s="15">
        <f>합산자재!J213</f>
        <v>0</v>
      </c>
      <c r="N1128" s="53" t="str">
        <f>IF(G1128*M1128&lt;&gt;0, TRUNC(G1128*M1128, 1), "")</f>
        <v/>
      </c>
      <c r="O1128" s="15">
        <f>IF((H1128+K1128+M1128)=0, "", (H1128+K1128+M1128))</f>
        <v>1500</v>
      </c>
      <c r="P1128" s="15">
        <f>IF(SUM(I1128,L1128,N1128)&lt;&gt;0,SUM(I1128,L1128,N1128),"")</f>
        <v>1500</v>
      </c>
      <c r="Q1128" s="12"/>
    </row>
    <row r="1129" spans="1:17" ht="23.25" customHeight="1" x14ac:dyDescent="0.15">
      <c r="A1129" s="13" t="s">
        <v>1372</v>
      </c>
      <c r="B1129" s="13" t="s">
        <v>2157</v>
      </c>
      <c r="C1129" s="1" t="s">
        <v>1002</v>
      </c>
      <c r="D1129" s="12" t="s">
        <v>1003</v>
      </c>
      <c r="E1129" s="12" t="s">
        <v>1004</v>
      </c>
      <c r="F1129" s="31" t="s">
        <v>999</v>
      </c>
      <c r="G1129" s="15">
        <f>일위노임!G513</f>
        <v>0.18</v>
      </c>
      <c r="H1129" s="15">
        <f>합산자재!H345</f>
        <v>0</v>
      </c>
      <c r="I1129" s="53" t="str">
        <f>IF(G1129*H1129&lt;&gt;0, TRUNC(G1129*H1129, 1), "")</f>
        <v/>
      </c>
      <c r="J1129" s="15">
        <v>0.18</v>
      </c>
      <c r="K1129" s="15">
        <f>합산자재!I345</f>
        <v>273676</v>
      </c>
      <c r="L1129" s="53">
        <f>IF(G1129*K1129&lt;&gt;0, TRUNC(G1129*K1129, 1), "")</f>
        <v>49261.599999999999</v>
      </c>
      <c r="M1129" s="15">
        <f>합산자재!J345</f>
        <v>0</v>
      </c>
      <c r="N1129" s="53" t="str">
        <f>IF(G1129*M1129&lt;&gt;0, TRUNC(G1129*M1129, 1), "")</f>
        <v/>
      </c>
      <c r="O1129" s="15">
        <f>IF((H1129+K1129+M1129)=0, "", (H1129+K1129+M1129))</f>
        <v>273676</v>
      </c>
      <c r="P1129" s="15">
        <f>IF(SUM(I1129,L1129,N1129)&lt;&gt;0,SUM(I1129,L1129,N1129),"")</f>
        <v>49261.599999999999</v>
      </c>
      <c r="Q1129" s="12"/>
    </row>
    <row r="1130" spans="1:17" ht="23.25" customHeight="1" x14ac:dyDescent="0.15">
      <c r="A1130" s="13" t="s">
        <v>2362</v>
      </c>
      <c r="B1130" s="13" t="s">
        <v>2157</v>
      </c>
      <c r="C1130" s="1" t="s">
        <v>2363</v>
      </c>
      <c r="D1130" s="12" t="s">
        <v>2364</v>
      </c>
      <c r="E1130" s="12" t="s">
        <v>2365</v>
      </c>
      <c r="F1130" s="31" t="s">
        <v>792</v>
      </c>
      <c r="G1130" s="15">
        <v>1</v>
      </c>
      <c r="H1130" s="15">
        <v>985.2</v>
      </c>
      <c r="I1130" s="53">
        <f>IF(G1130*H1130&lt;&gt;0, TRUNC(G1130*H1130, 1), "")</f>
        <v>985.2</v>
      </c>
      <c r="J1130" s="15">
        <v>1</v>
      </c>
      <c r="K1130" s="15"/>
      <c r="L1130" s="53" t="str">
        <f>IF(G1130*K1130&lt;&gt;0, TRUNC(G1130*K1130, 1), "")</f>
        <v/>
      </c>
      <c r="M1130" s="15"/>
      <c r="N1130" s="53" t="str">
        <f>IF(G1130*M1130&lt;&gt;0, TRUNC(G1130*M1130, 1), "")</f>
        <v/>
      </c>
      <c r="O1130" s="15">
        <f>IF((H1130+K1130+M1130)=0, "", (H1130+K1130+M1130))</f>
        <v>985.2</v>
      </c>
      <c r="P1130" s="15">
        <f>IF(SUM(I1130,L1130,N1130)&lt;&gt;0,SUM(I1130,L1130,N1130),"")</f>
        <v>985.2</v>
      </c>
      <c r="Q1130" s="12"/>
    </row>
    <row r="1131" spans="1:17" ht="23.25" customHeight="1" x14ac:dyDescent="0.15">
      <c r="B1131" s="13" t="s">
        <v>2360</v>
      </c>
      <c r="D1131" s="12" t="s">
        <v>2361</v>
      </c>
      <c r="E1131" s="12"/>
      <c r="F1131" s="31"/>
      <c r="G1131" s="15"/>
      <c r="H1131" s="15"/>
      <c r="I1131" s="53">
        <f>TRUNC(SUM(I1127:I1130))</f>
        <v>2485</v>
      </c>
      <c r="J1131" s="15"/>
      <c r="K1131" s="15"/>
      <c r="L1131" s="53">
        <f>TRUNC(SUM(L1127:L1130))</f>
        <v>49261</v>
      </c>
      <c r="M1131" s="15"/>
      <c r="N1131" s="53">
        <f>TRUNC(SUM(N1127:N1130))</f>
        <v>0</v>
      </c>
      <c r="O1131" s="15" t="str">
        <f>IF((H1131+K1131+M1131)=0, "", (H1131+K1131+M1131))</f>
        <v/>
      </c>
      <c r="P1131" s="15">
        <f>IF(SUM(I1131,L1131,N1131)&lt;&gt;0,SUM(I1131,L1131,N1131),"")</f>
        <v>51746</v>
      </c>
      <c r="Q1131" s="12"/>
    </row>
    <row r="1132" spans="1:17" ht="23.25" customHeight="1" x14ac:dyDescent="0.15">
      <c r="D1132" s="12"/>
      <c r="E1132" s="12"/>
      <c r="F1132" s="31"/>
      <c r="G1132" s="15"/>
      <c r="H1132" s="15"/>
      <c r="I1132" s="53"/>
      <c r="J1132" s="15"/>
      <c r="K1132" s="15"/>
      <c r="L1132" s="53"/>
      <c r="M1132" s="15"/>
      <c r="N1132" s="53"/>
      <c r="O1132" s="15"/>
      <c r="P1132" s="15"/>
      <c r="Q1132" s="12"/>
    </row>
    <row r="1133" spans="1:17" ht="23.25" customHeight="1" x14ac:dyDescent="0.15">
      <c r="A1133" s="13" t="s">
        <v>2844</v>
      </c>
      <c r="B1133" s="13" t="s">
        <v>2382</v>
      </c>
      <c r="C1133" s="1" t="s">
        <v>2845</v>
      </c>
      <c r="D1133" s="170" t="s">
        <v>2843</v>
      </c>
      <c r="E1133" s="172"/>
      <c r="F1133" s="31"/>
      <c r="G1133" s="15"/>
      <c r="H1133" s="15"/>
      <c r="I1133" s="53"/>
      <c r="J1133" s="15"/>
      <c r="K1133" s="15"/>
      <c r="L1133" s="53"/>
      <c r="M1133" s="15"/>
      <c r="N1133" s="53"/>
      <c r="O1133" s="15"/>
      <c r="P1133" s="15"/>
      <c r="Q1133" s="12"/>
    </row>
    <row r="1134" spans="1:17" ht="23.25" customHeight="1" x14ac:dyDescent="0.15">
      <c r="A1134" s="13" t="s">
        <v>1238</v>
      </c>
      <c r="B1134" s="13" t="s">
        <v>2160</v>
      </c>
      <c r="C1134" s="1" t="s">
        <v>706</v>
      </c>
      <c r="D1134" s="12" t="s">
        <v>519</v>
      </c>
      <c r="E1134" s="12" t="s">
        <v>723</v>
      </c>
      <c r="F1134" s="31" t="s">
        <v>200</v>
      </c>
      <c r="G1134" s="15">
        <v>1</v>
      </c>
      <c r="H1134" s="15">
        <f>합산자재!H214</f>
        <v>1345</v>
      </c>
      <c r="I1134" s="53">
        <f>IF(G1134*H1134&lt;&gt;0, TRUNC(G1134*H1134, 1), "")</f>
        <v>1345</v>
      </c>
      <c r="J1134" s="15">
        <v>1</v>
      </c>
      <c r="K1134" s="15">
        <f>합산자재!I214</f>
        <v>0</v>
      </c>
      <c r="L1134" s="53" t="str">
        <f>IF(G1134*K1134&lt;&gt;0, TRUNC(G1134*K1134, 1), "")</f>
        <v/>
      </c>
      <c r="M1134" s="15">
        <f>합산자재!J214</f>
        <v>0</v>
      </c>
      <c r="N1134" s="53" t="str">
        <f>IF(G1134*M1134&lt;&gt;0, TRUNC(G1134*M1134, 1), "")</f>
        <v/>
      </c>
      <c r="O1134" s="15">
        <f>IF((H1134+K1134+M1134)=0, "", (H1134+K1134+M1134))</f>
        <v>1345</v>
      </c>
      <c r="P1134" s="15">
        <f>IF(SUM(I1134,L1134,N1134)&lt;&gt;0,SUM(I1134,L1134,N1134),"")</f>
        <v>1345</v>
      </c>
      <c r="Q1134" s="12"/>
    </row>
    <row r="1135" spans="1:17" ht="23.25" customHeight="1" x14ac:dyDescent="0.15">
      <c r="A1135" s="13" t="s">
        <v>1372</v>
      </c>
      <c r="B1135" s="13" t="s">
        <v>2160</v>
      </c>
      <c r="C1135" s="1" t="s">
        <v>1002</v>
      </c>
      <c r="D1135" s="12" t="s">
        <v>1003</v>
      </c>
      <c r="E1135" s="12" t="s">
        <v>1004</v>
      </c>
      <c r="F1135" s="31" t="s">
        <v>999</v>
      </c>
      <c r="G1135" s="15">
        <f>일위노임!G516</f>
        <v>0.08</v>
      </c>
      <c r="H1135" s="15">
        <f>합산자재!H345</f>
        <v>0</v>
      </c>
      <c r="I1135" s="53" t="str">
        <f>IF(G1135*H1135&lt;&gt;0, TRUNC(G1135*H1135, 1), "")</f>
        <v/>
      </c>
      <c r="J1135" s="15">
        <v>0.08</v>
      </c>
      <c r="K1135" s="15">
        <f>합산자재!I345</f>
        <v>273676</v>
      </c>
      <c r="L1135" s="53">
        <f>IF(G1135*K1135&lt;&gt;0, TRUNC(G1135*K1135, 1), "")</f>
        <v>21894</v>
      </c>
      <c r="M1135" s="15">
        <f>합산자재!J345</f>
        <v>0</v>
      </c>
      <c r="N1135" s="53" t="str">
        <f>IF(G1135*M1135&lt;&gt;0, TRUNC(G1135*M1135, 1), "")</f>
        <v/>
      </c>
      <c r="O1135" s="15">
        <f>IF((H1135+K1135+M1135)=0, "", (H1135+K1135+M1135))</f>
        <v>273676</v>
      </c>
      <c r="P1135" s="15">
        <f>IF(SUM(I1135,L1135,N1135)&lt;&gt;0,SUM(I1135,L1135,N1135),"")</f>
        <v>21894</v>
      </c>
      <c r="Q1135" s="12"/>
    </row>
    <row r="1136" spans="1:17" ht="23.25" customHeight="1" x14ac:dyDescent="0.15">
      <c r="A1136" s="13" t="s">
        <v>2362</v>
      </c>
      <c r="B1136" s="13" t="s">
        <v>2160</v>
      </c>
      <c r="C1136" s="1" t="s">
        <v>2363</v>
      </c>
      <c r="D1136" s="12" t="s">
        <v>2364</v>
      </c>
      <c r="E1136" s="12" t="s">
        <v>2365</v>
      </c>
      <c r="F1136" s="31" t="s">
        <v>792</v>
      </c>
      <c r="G1136" s="15">
        <v>1</v>
      </c>
      <c r="H1136" s="15">
        <v>437.8</v>
      </c>
      <c r="I1136" s="53">
        <f>IF(G1136*H1136&lt;&gt;0, TRUNC(G1136*H1136, 1), "")</f>
        <v>437.8</v>
      </c>
      <c r="J1136" s="15">
        <v>1</v>
      </c>
      <c r="K1136" s="15"/>
      <c r="L1136" s="53" t="str">
        <f>IF(G1136*K1136&lt;&gt;0, TRUNC(G1136*K1136, 1), "")</f>
        <v/>
      </c>
      <c r="M1136" s="15"/>
      <c r="N1136" s="53" t="str">
        <f>IF(G1136*M1136&lt;&gt;0, TRUNC(G1136*M1136, 1), "")</f>
        <v/>
      </c>
      <c r="O1136" s="15">
        <f>IF((H1136+K1136+M1136)=0, "", (H1136+K1136+M1136))</f>
        <v>437.8</v>
      </c>
      <c r="P1136" s="15">
        <f>IF(SUM(I1136,L1136,N1136)&lt;&gt;0,SUM(I1136,L1136,N1136),"")</f>
        <v>437.8</v>
      </c>
      <c r="Q1136" s="12"/>
    </row>
    <row r="1137" spans="1:17" ht="23.25" customHeight="1" x14ac:dyDescent="0.15">
      <c r="B1137" s="13" t="s">
        <v>2360</v>
      </c>
      <c r="D1137" s="12" t="s">
        <v>2361</v>
      </c>
      <c r="E1137" s="12"/>
      <c r="F1137" s="31"/>
      <c r="G1137" s="15"/>
      <c r="H1137" s="15"/>
      <c r="I1137" s="53">
        <f>TRUNC(SUM(I1133:I1136))</f>
        <v>1782</v>
      </c>
      <c r="J1137" s="15"/>
      <c r="K1137" s="15"/>
      <c r="L1137" s="53">
        <f>TRUNC(SUM(L1133:L1136))</f>
        <v>21894</v>
      </c>
      <c r="M1137" s="15"/>
      <c r="N1137" s="53">
        <f>TRUNC(SUM(N1133:N1136))</f>
        <v>0</v>
      </c>
      <c r="O1137" s="15" t="str">
        <f>IF((H1137+K1137+M1137)=0, "", (H1137+K1137+M1137))</f>
        <v/>
      </c>
      <c r="P1137" s="15">
        <f>IF(SUM(I1137,L1137,N1137)&lt;&gt;0,SUM(I1137,L1137,N1137),"")</f>
        <v>23676</v>
      </c>
      <c r="Q1137" s="12"/>
    </row>
    <row r="1138" spans="1:17" ht="23.25" customHeight="1" x14ac:dyDescent="0.15">
      <c r="D1138" s="12"/>
      <c r="E1138" s="12"/>
      <c r="F1138" s="31"/>
      <c r="G1138" s="15"/>
      <c r="H1138" s="15"/>
      <c r="I1138" s="53"/>
      <c r="J1138" s="15"/>
      <c r="K1138" s="15"/>
      <c r="L1138" s="53"/>
      <c r="M1138" s="15"/>
      <c r="N1138" s="53"/>
      <c r="O1138" s="15"/>
      <c r="P1138" s="15"/>
      <c r="Q1138" s="12"/>
    </row>
    <row r="1139" spans="1:17" ht="23.25" customHeight="1" x14ac:dyDescent="0.15">
      <c r="A1139" s="13" t="s">
        <v>2847</v>
      </c>
      <c r="B1139" s="13" t="s">
        <v>2382</v>
      </c>
      <c r="C1139" s="1" t="s">
        <v>2848</v>
      </c>
      <c r="D1139" s="170" t="s">
        <v>2846</v>
      </c>
      <c r="E1139" s="172"/>
      <c r="F1139" s="31"/>
      <c r="G1139" s="15"/>
      <c r="H1139" s="15"/>
      <c r="I1139" s="53"/>
      <c r="J1139" s="15"/>
      <c r="K1139" s="15"/>
      <c r="L1139" s="53"/>
      <c r="M1139" s="15"/>
      <c r="N1139" s="53"/>
      <c r="O1139" s="15"/>
      <c r="P1139" s="15"/>
      <c r="Q1139" s="12"/>
    </row>
    <row r="1140" spans="1:17" ht="23.25" customHeight="1" x14ac:dyDescent="0.15">
      <c r="A1140" s="13" t="s">
        <v>1239</v>
      </c>
      <c r="B1140" s="13" t="s">
        <v>2163</v>
      </c>
      <c r="C1140" s="1" t="s">
        <v>706</v>
      </c>
      <c r="D1140" s="12" t="s">
        <v>724</v>
      </c>
      <c r="E1140" s="12" t="s">
        <v>725</v>
      </c>
      <c r="F1140" s="31" t="s">
        <v>200</v>
      </c>
      <c r="G1140" s="15">
        <v>1</v>
      </c>
      <c r="H1140" s="15">
        <f>합산자재!H215</f>
        <v>1300</v>
      </c>
      <c r="I1140" s="53">
        <f>IF(G1140*H1140&lt;&gt;0, TRUNC(G1140*H1140, 1), "")</f>
        <v>1300</v>
      </c>
      <c r="J1140" s="15">
        <v>1</v>
      </c>
      <c r="K1140" s="15">
        <f>합산자재!I215</f>
        <v>0</v>
      </c>
      <c r="L1140" s="53" t="str">
        <f>IF(G1140*K1140&lt;&gt;0, TRUNC(G1140*K1140, 1), "")</f>
        <v/>
      </c>
      <c r="M1140" s="15">
        <f>합산자재!J215</f>
        <v>0</v>
      </c>
      <c r="N1140" s="53" t="str">
        <f>IF(G1140*M1140&lt;&gt;0, TRUNC(G1140*M1140, 1), "")</f>
        <v/>
      </c>
      <c r="O1140" s="15">
        <f>IF((H1140+K1140+M1140)=0, "", (H1140+K1140+M1140))</f>
        <v>1300</v>
      </c>
      <c r="P1140" s="15">
        <f>IF(SUM(I1140,L1140,N1140)&lt;&gt;0,SUM(I1140,L1140,N1140),"")</f>
        <v>1300</v>
      </c>
      <c r="Q1140" s="12"/>
    </row>
    <row r="1141" spans="1:17" ht="23.25" customHeight="1" x14ac:dyDescent="0.15">
      <c r="A1141" s="13" t="s">
        <v>1372</v>
      </c>
      <c r="B1141" s="13" t="s">
        <v>2163</v>
      </c>
      <c r="C1141" s="1" t="s">
        <v>1002</v>
      </c>
      <c r="D1141" s="12" t="s">
        <v>1003</v>
      </c>
      <c r="E1141" s="12" t="s">
        <v>1004</v>
      </c>
      <c r="F1141" s="31" t="s">
        <v>999</v>
      </c>
      <c r="G1141" s="15">
        <f>일위노임!G519</f>
        <v>0.18</v>
      </c>
      <c r="H1141" s="15">
        <f>합산자재!H345</f>
        <v>0</v>
      </c>
      <c r="I1141" s="53" t="str">
        <f>IF(G1141*H1141&lt;&gt;0, TRUNC(G1141*H1141, 1), "")</f>
        <v/>
      </c>
      <c r="J1141" s="15">
        <v>0.18</v>
      </c>
      <c r="K1141" s="15">
        <f>합산자재!I345</f>
        <v>273676</v>
      </c>
      <c r="L1141" s="53">
        <f>IF(G1141*K1141&lt;&gt;0, TRUNC(G1141*K1141, 1), "")</f>
        <v>49261.599999999999</v>
      </c>
      <c r="M1141" s="15">
        <f>합산자재!J345</f>
        <v>0</v>
      </c>
      <c r="N1141" s="53" t="str">
        <f>IF(G1141*M1141&lt;&gt;0, TRUNC(G1141*M1141, 1), "")</f>
        <v/>
      </c>
      <c r="O1141" s="15">
        <f>IF((H1141+K1141+M1141)=0, "", (H1141+K1141+M1141))</f>
        <v>273676</v>
      </c>
      <c r="P1141" s="15">
        <f>IF(SUM(I1141,L1141,N1141)&lt;&gt;0,SUM(I1141,L1141,N1141),"")</f>
        <v>49261.599999999999</v>
      </c>
      <c r="Q1141" s="12"/>
    </row>
    <row r="1142" spans="1:17" ht="23.25" customHeight="1" x14ac:dyDescent="0.15">
      <c r="A1142" s="13" t="s">
        <v>2362</v>
      </c>
      <c r="B1142" s="13" t="s">
        <v>2163</v>
      </c>
      <c r="C1142" s="1" t="s">
        <v>2363</v>
      </c>
      <c r="D1142" s="12" t="s">
        <v>2364</v>
      </c>
      <c r="E1142" s="12" t="s">
        <v>2365</v>
      </c>
      <c r="F1142" s="31" t="s">
        <v>792</v>
      </c>
      <c r="G1142" s="15">
        <v>1</v>
      </c>
      <c r="H1142" s="15">
        <v>985.2</v>
      </c>
      <c r="I1142" s="53">
        <f>IF(G1142*H1142&lt;&gt;0, TRUNC(G1142*H1142, 1), "")</f>
        <v>985.2</v>
      </c>
      <c r="J1142" s="15">
        <v>1</v>
      </c>
      <c r="K1142" s="15"/>
      <c r="L1142" s="53" t="str">
        <f>IF(G1142*K1142&lt;&gt;0, TRUNC(G1142*K1142, 1), "")</f>
        <v/>
      </c>
      <c r="M1142" s="15"/>
      <c r="N1142" s="53" t="str">
        <f>IF(G1142*M1142&lt;&gt;0, TRUNC(G1142*M1142, 1), "")</f>
        <v/>
      </c>
      <c r="O1142" s="15">
        <f>IF((H1142+K1142+M1142)=0, "", (H1142+K1142+M1142))</f>
        <v>985.2</v>
      </c>
      <c r="P1142" s="15">
        <f>IF(SUM(I1142,L1142,N1142)&lt;&gt;0,SUM(I1142,L1142,N1142),"")</f>
        <v>985.2</v>
      </c>
      <c r="Q1142" s="12"/>
    </row>
    <row r="1143" spans="1:17" ht="23.25" customHeight="1" x14ac:dyDescent="0.15">
      <c r="B1143" s="13" t="s">
        <v>2360</v>
      </c>
      <c r="D1143" s="12" t="s">
        <v>2361</v>
      </c>
      <c r="E1143" s="12"/>
      <c r="F1143" s="31"/>
      <c r="G1143" s="15"/>
      <c r="H1143" s="15"/>
      <c r="I1143" s="53">
        <f>TRUNC(SUM(I1139:I1142))</f>
        <v>2285</v>
      </c>
      <c r="J1143" s="15"/>
      <c r="K1143" s="15"/>
      <c r="L1143" s="53">
        <f>TRUNC(SUM(L1139:L1142))</f>
        <v>49261</v>
      </c>
      <c r="M1143" s="15"/>
      <c r="N1143" s="53">
        <f>TRUNC(SUM(N1139:N1142))</f>
        <v>0</v>
      </c>
      <c r="O1143" s="15" t="str">
        <f>IF((H1143+K1143+M1143)=0, "", (H1143+K1143+M1143))</f>
        <v/>
      </c>
      <c r="P1143" s="15">
        <f>IF(SUM(I1143,L1143,N1143)&lt;&gt;0,SUM(I1143,L1143,N1143),"")</f>
        <v>51546</v>
      </c>
      <c r="Q1143" s="12"/>
    </row>
    <row r="1144" spans="1:17" ht="23.25" customHeight="1" x14ac:dyDescent="0.15">
      <c r="D1144" s="12"/>
      <c r="E1144" s="12"/>
      <c r="F1144" s="31"/>
      <c r="G1144" s="15"/>
      <c r="H1144" s="15"/>
      <c r="I1144" s="53"/>
      <c r="J1144" s="15"/>
      <c r="K1144" s="15"/>
      <c r="L1144" s="53"/>
      <c r="M1144" s="15"/>
      <c r="N1144" s="53"/>
      <c r="O1144" s="15"/>
      <c r="P1144" s="15"/>
      <c r="Q1144" s="12"/>
    </row>
    <row r="1145" spans="1:17" ht="23.25" customHeight="1" x14ac:dyDescent="0.15">
      <c r="A1145" s="13" t="s">
        <v>2850</v>
      </c>
      <c r="B1145" s="13" t="s">
        <v>2382</v>
      </c>
      <c r="C1145" s="1" t="s">
        <v>2851</v>
      </c>
      <c r="D1145" s="170" t="s">
        <v>2849</v>
      </c>
      <c r="E1145" s="172"/>
      <c r="F1145" s="31"/>
      <c r="G1145" s="15"/>
      <c r="H1145" s="15"/>
      <c r="I1145" s="53"/>
      <c r="J1145" s="15"/>
      <c r="K1145" s="15"/>
      <c r="L1145" s="53"/>
      <c r="M1145" s="15"/>
      <c r="N1145" s="53"/>
      <c r="O1145" s="15"/>
      <c r="P1145" s="15"/>
      <c r="Q1145" s="12"/>
    </row>
    <row r="1146" spans="1:17" ht="23.25" customHeight="1" x14ac:dyDescent="0.15">
      <c r="A1146" s="13" t="s">
        <v>1240</v>
      </c>
      <c r="B1146" s="13" t="s">
        <v>2166</v>
      </c>
      <c r="C1146" s="1" t="s">
        <v>706</v>
      </c>
      <c r="D1146" s="12" t="s">
        <v>724</v>
      </c>
      <c r="E1146" s="12" t="s">
        <v>726</v>
      </c>
      <c r="F1146" s="31" t="s">
        <v>200</v>
      </c>
      <c r="G1146" s="15">
        <v>1</v>
      </c>
      <c r="H1146" s="15">
        <f>합산자재!H216</f>
        <v>1500</v>
      </c>
      <c r="I1146" s="53">
        <f>IF(G1146*H1146&lt;&gt;0, TRUNC(G1146*H1146, 1), "")</f>
        <v>1500</v>
      </c>
      <c r="J1146" s="15">
        <v>1</v>
      </c>
      <c r="K1146" s="15">
        <f>합산자재!I216</f>
        <v>0</v>
      </c>
      <c r="L1146" s="53" t="str">
        <f>IF(G1146*K1146&lt;&gt;0, TRUNC(G1146*K1146, 1), "")</f>
        <v/>
      </c>
      <c r="M1146" s="15">
        <f>합산자재!J216</f>
        <v>0</v>
      </c>
      <c r="N1146" s="53" t="str">
        <f>IF(G1146*M1146&lt;&gt;0, TRUNC(G1146*M1146, 1), "")</f>
        <v/>
      </c>
      <c r="O1146" s="15">
        <f>IF((H1146+K1146+M1146)=0, "", (H1146+K1146+M1146))</f>
        <v>1500</v>
      </c>
      <c r="P1146" s="15">
        <f>IF(SUM(I1146,L1146,N1146)&lt;&gt;0,SUM(I1146,L1146,N1146),"")</f>
        <v>1500</v>
      </c>
      <c r="Q1146" s="12"/>
    </row>
    <row r="1147" spans="1:17" ht="23.25" customHeight="1" x14ac:dyDescent="0.15">
      <c r="A1147" s="13" t="s">
        <v>1372</v>
      </c>
      <c r="B1147" s="13" t="s">
        <v>2166</v>
      </c>
      <c r="C1147" s="1" t="s">
        <v>1002</v>
      </c>
      <c r="D1147" s="12" t="s">
        <v>1003</v>
      </c>
      <c r="E1147" s="12" t="s">
        <v>1004</v>
      </c>
      <c r="F1147" s="31" t="s">
        <v>999</v>
      </c>
      <c r="G1147" s="15">
        <f>일위노임!G522</f>
        <v>0.18</v>
      </c>
      <c r="H1147" s="15">
        <f>합산자재!H345</f>
        <v>0</v>
      </c>
      <c r="I1147" s="53" t="str">
        <f>IF(G1147*H1147&lt;&gt;0, TRUNC(G1147*H1147, 1), "")</f>
        <v/>
      </c>
      <c r="J1147" s="15">
        <v>0.18</v>
      </c>
      <c r="K1147" s="15">
        <f>합산자재!I345</f>
        <v>273676</v>
      </c>
      <c r="L1147" s="53">
        <f>IF(G1147*K1147&lt;&gt;0, TRUNC(G1147*K1147, 1), "")</f>
        <v>49261.599999999999</v>
      </c>
      <c r="M1147" s="15">
        <f>합산자재!J345</f>
        <v>0</v>
      </c>
      <c r="N1147" s="53" t="str">
        <f>IF(G1147*M1147&lt;&gt;0, TRUNC(G1147*M1147, 1), "")</f>
        <v/>
      </c>
      <c r="O1147" s="15">
        <f>IF((H1147+K1147+M1147)=0, "", (H1147+K1147+M1147))</f>
        <v>273676</v>
      </c>
      <c r="P1147" s="15">
        <f>IF(SUM(I1147,L1147,N1147)&lt;&gt;0,SUM(I1147,L1147,N1147),"")</f>
        <v>49261.599999999999</v>
      </c>
      <c r="Q1147" s="12"/>
    </row>
    <row r="1148" spans="1:17" ht="23.25" customHeight="1" x14ac:dyDescent="0.15">
      <c r="A1148" s="13" t="s">
        <v>2362</v>
      </c>
      <c r="B1148" s="13" t="s">
        <v>2166</v>
      </c>
      <c r="C1148" s="1" t="s">
        <v>2363</v>
      </c>
      <c r="D1148" s="12" t="s">
        <v>2364</v>
      </c>
      <c r="E1148" s="12" t="s">
        <v>2365</v>
      </c>
      <c r="F1148" s="31" t="s">
        <v>792</v>
      </c>
      <c r="G1148" s="15">
        <v>1</v>
      </c>
      <c r="H1148" s="15">
        <v>985.2</v>
      </c>
      <c r="I1148" s="53">
        <f>IF(G1148*H1148&lt;&gt;0, TRUNC(G1148*H1148, 1), "")</f>
        <v>985.2</v>
      </c>
      <c r="J1148" s="15">
        <v>1</v>
      </c>
      <c r="K1148" s="15"/>
      <c r="L1148" s="53" t="str">
        <f>IF(G1148*K1148&lt;&gt;0, TRUNC(G1148*K1148, 1), "")</f>
        <v/>
      </c>
      <c r="M1148" s="15"/>
      <c r="N1148" s="53" t="str">
        <f>IF(G1148*M1148&lt;&gt;0, TRUNC(G1148*M1148, 1), "")</f>
        <v/>
      </c>
      <c r="O1148" s="15">
        <f>IF((H1148+K1148+M1148)=0, "", (H1148+K1148+M1148))</f>
        <v>985.2</v>
      </c>
      <c r="P1148" s="15">
        <f>IF(SUM(I1148,L1148,N1148)&lt;&gt;0,SUM(I1148,L1148,N1148),"")</f>
        <v>985.2</v>
      </c>
      <c r="Q1148" s="12"/>
    </row>
    <row r="1149" spans="1:17" ht="23.25" customHeight="1" x14ac:dyDescent="0.15">
      <c r="B1149" s="13" t="s">
        <v>2360</v>
      </c>
      <c r="D1149" s="12" t="s">
        <v>2361</v>
      </c>
      <c r="E1149" s="12"/>
      <c r="F1149" s="31"/>
      <c r="G1149" s="15"/>
      <c r="H1149" s="15"/>
      <c r="I1149" s="53">
        <f>TRUNC(SUM(I1145:I1148))</f>
        <v>2485</v>
      </c>
      <c r="J1149" s="15"/>
      <c r="K1149" s="15"/>
      <c r="L1149" s="53">
        <f>TRUNC(SUM(L1145:L1148))</f>
        <v>49261</v>
      </c>
      <c r="M1149" s="15"/>
      <c r="N1149" s="53">
        <f>TRUNC(SUM(N1145:N1148))</f>
        <v>0</v>
      </c>
      <c r="O1149" s="15" t="str">
        <f>IF((H1149+K1149+M1149)=0, "", (H1149+K1149+M1149))</f>
        <v/>
      </c>
      <c r="P1149" s="15">
        <f>IF(SUM(I1149,L1149,N1149)&lt;&gt;0,SUM(I1149,L1149,N1149),"")</f>
        <v>51746</v>
      </c>
      <c r="Q1149" s="12"/>
    </row>
    <row r="1150" spans="1:17" ht="23.25" customHeight="1" x14ac:dyDescent="0.15">
      <c r="D1150" s="12"/>
      <c r="E1150" s="12"/>
      <c r="F1150" s="31"/>
      <c r="G1150" s="15"/>
      <c r="H1150" s="15"/>
      <c r="I1150" s="53"/>
      <c r="J1150" s="15"/>
      <c r="K1150" s="15"/>
      <c r="L1150" s="53"/>
      <c r="M1150" s="15"/>
      <c r="N1150" s="53"/>
      <c r="O1150" s="15"/>
      <c r="P1150" s="15"/>
      <c r="Q1150" s="12"/>
    </row>
    <row r="1151" spans="1:17" ht="23.25" customHeight="1" x14ac:dyDescent="0.15">
      <c r="A1151" s="13" t="s">
        <v>2853</v>
      </c>
      <c r="B1151" s="13" t="s">
        <v>2382</v>
      </c>
      <c r="C1151" s="1" t="s">
        <v>2854</v>
      </c>
      <c r="D1151" s="170" t="s">
        <v>2852</v>
      </c>
      <c r="E1151" s="172"/>
      <c r="F1151" s="31"/>
      <c r="G1151" s="15"/>
      <c r="H1151" s="15"/>
      <c r="I1151" s="53"/>
      <c r="J1151" s="15"/>
      <c r="K1151" s="15"/>
      <c r="L1151" s="53"/>
      <c r="M1151" s="15"/>
      <c r="N1151" s="53"/>
      <c r="O1151" s="15"/>
      <c r="P1151" s="15"/>
      <c r="Q1151" s="12"/>
    </row>
    <row r="1152" spans="1:17" ht="23.25" customHeight="1" x14ac:dyDescent="0.15">
      <c r="A1152" s="13" t="s">
        <v>1241</v>
      </c>
      <c r="B1152" s="13" t="s">
        <v>2169</v>
      </c>
      <c r="C1152" s="1" t="s">
        <v>727</v>
      </c>
      <c r="D1152" s="12" t="s">
        <v>728</v>
      </c>
      <c r="E1152" s="12" t="s">
        <v>729</v>
      </c>
      <c r="F1152" s="31" t="s">
        <v>166</v>
      </c>
      <c r="G1152" s="15">
        <v>1</v>
      </c>
      <c r="H1152" s="15">
        <f>합산자재!H217</f>
        <v>7000</v>
      </c>
      <c r="I1152" s="53">
        <f>IF(G1152*H1152&lt;&gt;0, TRUNC(G1152*H1152, 1), "")</f>
        <v>7000</v>
      </c>
      <c r="J1152" s="15">
        <v>1</v>
      </c>
      <c r="K1152" s="15">
        <f>합산자재!I217</f>
        <v>0</v>
      </c>
      <c r="L1152" s="53" t="str">
        <f>IF(G1152*K1152&lt;&gt;0, TRUNC(G1152*K1152, 1), "")</f>
        <v/>
      </c>
      <c r="M1152" s="15">
        <f>합산자재!J217</f>
        <v>0</v>
      </c>
      <c r="N1152" s="53" t="str">
        <f>IF(G1152*M1152&lt;&gt;0, TRUNC(G1152*M1152, 1), "")</f>
        <v/>
      </c>
      <c r="O1152" s="15">
        <f>IF((H1152+K1152+M1152)=0, "", (H1152+K1152+M1152))</f>
        <v>7000</v>
      </c>
      <c r="P1152" s="15">
        <f>IF(SUM(I1152,L1152,N1152)&lt;&gt;0,SUM(I1152,L1152,N1152),"")</f>
        <v>7000</v>
      </c>
      <c r="Q1152" s="12"/>
    </row>
    <row r="1153" spans="1:17" ht="23.25" customHeight="1" x14ac:dyDescent="0.15">
      <c r="A1153" s="13" t="s">
        <v>1372</v>
      </c>
      <c r="B1153" s="13" t="s">
        <v>2169</v>
      </c>
      <c r="C1153" s="1" t="s">
        <v>1002</v>
      </c>
      <c r="D1153" s="12" t="s">
        <v>1003</v>
      </c>
      <c r="E1153" s="12" t="s">
        <v>1004</v>
      </c>
      <c r="F1153" s="31" t="s">
        <v>999</v>
      </c>
      <c r="G1153" s="15">
        <f>일위노임!G526</f>
        <v>1.7999999999999999E-2</v>
      </c>
      <c r="H1153" s="15">
        <f>합산자재!H345</f>
        <v>0</v>
      </c>
      <c r="I1153" s="53" t="str">
        <f>IF(G1153*H1153&lt;&gt;0, TRUNC(G1153*H1153, 1), "")</f>
        <v/>
      </c>
      <c r="J1153" s="15">
        <v>1.7999999999999999E-2</v>
      </c>
      <c r="K1153" s="15">
        <f>합산자재!I345</f>
        <v>273676</v>
      </c>
      <c r="L1153" s="53">
        <f>IF(G1153*K1153&lt;&gt;0, TRUNC(G1153*K1153, 1), "")</f>
        <v>4926.1000000000004</v>
      </c>
      <c r="M1153" s="15">
        <f>합산자재!J345</f>
        <v>0</v>
      </c>
      <c r="N1153" s="53" t="str">
        <f>IF(G1153*M1153&lt;&gt;0, TRUNC(G1153*M1153, 1), "")</f>
        <v/>
      </c>
      <c r="O1153" s="15">
        <f>IF((H1153+K1153+M1153)=0, "", (H1153+K1153+M1153))</f>
        <v>273676</v>
      </c>
      <c r="P1153" s="15">
        <f>IF(SUM(I1153,L1153,N1153)&lt;&gt;0,SUM(I1153,L1153,N1153),"")</f>
        <v>4926.1000000000004</v>
      </c>
      <c r="Q1153" s="12"/>
    </row>
    <row r="1154" spans="1:17" ht="23.25" customHeight="1" x14ac:dyDescent="0.15">
      <c r="A1154" s="13" t="s">
        <v>1379</v>
      </c>
      <c r="B1154" s="13" t="s">
        <v>2169</v>
      </c>
      <c r="C1154" s="1" t="s">
        <v>1017</v>
      </c>
      <c r="D1154" s="12" t="s">
        <v>1003</v>
      </c>
      <c r="E1154" s="12" t="s">
        <v>1018</v>
      </c>
      <c r="F1154" s="31" t="s">
        <v>999</v>
      </c>
      <c r="G1154" s="15">
        <f>일위노임!G527</f>
        <v>0.01</v>
      </c>
      <c r="H1154" s="15">
        <f>합산자재!H352</f>
        <v>0</v>
      </c>
      <c r="I1154" s="53" t="str">
        <f>IF(G1154*H1154&lt;&gt;0, TRUNC(G1154*H1154, 1), "")</f>
        <v/>
      </c>
      <c r="J1154" s="15">
        <v>0.01</v>
      </c>
      <c r="K1154" s="15">
        <f>합산자재!I352</f>
        <v>172068</v>
      </c>
      <c r="L1154" s="53">
        <f>IF(G1154*K1154&lt;&gt;0, TRUNC(G1154*K1154, 1), "")</f>
        <v>1720.6</v>
      </c>
      <c r="M1154" s="15">
        <f>합산자재!J352</f>
        <v>0</v>
      </c>
      <c r="N1154" s="53" t="str">
        <f>IF(G1154*M1154&lt;&gt;0, TRUNC(G1154*M1154, 1), "")</f>
        <v/>
      </c>
      <c r="O1154" s="15">
        <f>IF((H1154+K1154+M1154)=0, "", (H1154+K1154+M1154))</f>
        <v>172068</v>
      </c>
      <c r="P1154" s="15">
        <f>IF(SUM(I1154,L1154,N1154)&lt;&gt;0,SUM(I1154,L1154,N1154),"")</f>
        <v>1720.6</v>
      </c>
      <c r="Q1154" s="12"/>
    </row>
    <row r="1155" spans="1:17" ht="23.25" customHeight="1" x14ac:dyDescent="0.15">
      <c r="A1155" s="13" t="s">
        <v>2362</v>
      </c>
      <c r="B1155" s="13" t="s">
        <v>2169</v>
      </c>
      <c r="C1155" s="1" t="s">
        <v>2363</v>
      </c>
      <c r="D1155" s="12" t="s">
        <v>2364</v>
      </c>
      <c r="E1155" s="12" t="s">
        <v>2365</v>
      </c>
      <c r="F1155" s="31" t="s">
        <v>792</v>
      </c>
      <c r="G1155" s="15">
        <v>1</v>
      </c>
      <c r="H1155" s="15">
        <v>132.9</v>
      </c>
      <c r="I1155" s="53">
        <f>IF(G1155*H1155&lt;&gt;0, TRUNC(G1155*H1155, 1), "")</f>
        <v>132.9</v>
      </c>
      <c r="J1155" s="15">
        <v>1</v>
      </c>
      <c r="K1155" s="15"/>
      <c r="L1155" s="53" t="str">
        <f>IF(G1155*K1155&lt;&gt;0, TRUNC(G1155*K1155, 1), "")</f>
        <v/>
      </c>
      <c r="M1155" s="15"/>
      <c r="N1155" s="53" t="str">
        <f>IF(G1155*M1155&lt;&gt;0, TRUNC(G1155*M1155, 1), "")</f>
        <v/>
      </c>
      <c r="O1155" s="15">
        <f>IF((H1155+K1155+M1155)=0, "", (H1155+K1155+M1155))</f>
        <v>132.9</v>
      </c>
      <c r="P1155" s="15">
        <f>IF(SUM(I1155,L1155,N1155)&lt;&gt;0,SUM(I1155,L1155,N1155),"")</f>
        <v>132.9</v>
      </c>
      <c r="Q1155" s="12"/>
    </row>
    <row r="1156" spans="1:17" ht="23.25" customHeight="1" x14ac:dyDescent="0.15">
      <c r="B1156" s="13" t="s">
        <v>2360</v>
      </c>
      <c r="D1156" s="12" t="s">
        <v>2361</v>
      </c>
      <c r="E1156" s="12"/>
      <c r="F1156" s="31"/>
      <c r="G1156" s="15"/>
      <c r="H1156" s="15"/>
      <c r="I1156" s="53">
        <f>TRUNC(SUM(I1151:I1155))</f>
        <v>7132</v>
      </c>
      <c r="J1156" s="15"/>
      <c r="K1156" s="15"/>
      <c r="L1156" s="53">
        <f>TRUNC(SUM(L1151:L1155))</f>
        <v>6646</v>
      </c>
      <c r="M1156" s="15"/>
      <c r="N1156" s="53">
        <f>TRUNC(SUM(N1151:N1155))</f>
        <v>0</v>
      </c>
      <c r="O1156" s="15" t="str">
        <f>IF((H1156+K1156+M1156)=0, "", (H1156+K1156+M1156))</f>
        <v/>
      </c>
      <c r="P1156" s="15">
        <f>IF(SUM(I1156,L1156,N1156)&lt;&gt;0,SUM(I1156,L1156,N1156),"")</f>
        <v>13778</v>
      </c>
      <c r="Q1156" s="12"/>
    </row>
    <row r="1157" spans="1:17" ht="23.25" customHeight="1" x14ac:dyDescent="0.15">
      <c r="D1157" s="12"/>
      <c r="E1157" s="12"/>
      <c r="F1157" s="31"/>
      <c r="G1157" s="15"/>
      <c r="H1157" s="15"/>
      <c r="I1157" s="53"/>
      <c r="J1157" s="15"/>
      <c r="K1157" s="15"/>
      <c r="L1157" s="53"/>
      <c r="M1157" s="15"/>
      <c r="N1157" s="53"/>
      <c r="O1157" s="15"/>
      <c r="P1157" s="15"/>
      <c r="Q1157" s="12"/>
    </row>
    <row r="1158" spans="1:17" ht="23.25" customHeight="1" x14ac:dyDescent="0.15">
      <c r="A1158" s="13" t="s">
        <v>2856</v>
      </c>
      <c r="B1158" s="13" t="s">
        <v>2382</v>
      </c>
      <c r="C1158" s="1" t="s">
        <v>2857</v>
      </c>
      <c r="D1158" s="170" t="s">
        <v>2855</v>
      </c>
      <c r="E1158" s="172"/>
      <c r="F1158" s="31"/>
      <c r="G1158" s="15"/>
      <c r="H1158" s="15"/>
      <c r="I1158" s="53"/>
      <c r="J1158" s="15"/>
      <c r="K1158" s="15"/>
      <c r="L1158" s="53"/>
      <c r="M1158" s="15"/>
      <c r="N1158" s="53"/>
      <c r="O1158" s="15"/>
      <c r="P1158" s="15"/>
      <c r="Q1158" s="12"/>
    </row>
    <row r="1159" spans="1:17" ht="23.25" customHeight="1" x14ac:dyDescent="0.15">
      <c r="A1159" s="13" t="s">
        <v>1243</v>
      </c>
      <c r="B1159" s="13" t="s">
        <v>2172</v>
      </c>
      <c r="C1159" s="1" t="s">
        <v>706</v>
      </c>
      <c r="D1159" s="12" t="s">
        <v>732</v>
      </c>
      <c r="E1159" s="12"/>
      <c r="F1159" s="31" t="s">
        <v>289</v>
      </c>
      <c r="G1159" s="15">
        <v>1</v>
      </c>
      <c r="H1159" s="15">
        <f>합산자재!H219</f>
        <v>13000</v>
      </c>
      <c r="I1159" s="53">
        <f>IF(G1159*H1159&lt;&gt;0, TRUNC(G1159*H1159, 1), "")</f>
        <v>13000</v>
      </c>
      <c r="J1159" s="15">
        <v>1</v>
      </c>
      <c r="K1159" s="15">
        <f>합산자재!I219</f>
        <v>0</v>
      </c>
      <c r="L1159" s="53" t="str">
        <f>IF(G1159*K1159&lt;&gt;0, TRUNC(G1159*K1159, 1), "")</f>
        <v/>
      </c>
      <c r="M1159" s="15">
        <f>합산자재!J219</f>
        <v>0</v>
      </c>
      <c r="N1159" s="53" t="str">
        <f>IF(G1159*M1159&lt;&gt;0, TRUNC(G1159*M1159, 1), "")</f>
        <v/>
      </c>
      <c r="O1159" s="15">
        <f>IF((H1159+K1159+M1159)=0, "", (H1159+K1159+M1159))</f>
        <v>13000</v>
      </c>
      <c r="P1159" s="15">
        <f>IF(SUM(I1159,L1159,N1159)&lt;&gt;0,SUM(I1159,L1159,N1159),"")</f>
        <v>13000</v>
      </c>
      <c r="Q1159" s="12"/>
    </row>
    <row r="1160" spans="1:17" ht="23.25" customHeight="1" x14ac:dyDescent="0.15">
      <c r="A1160" s="13" t="s">
        <v>1372</v>
      </c>
      <c r="B1160" s="13" t="s">
        <v>2172</v>
      </c>
      <c r="C1160" s="1" t="s">
        <v>1002</v>
      </c>
      <c r="D1160" s="12" t="s">
        <v>1003</v>
      </c>
      <c r="E1160" s="12" t="s">
        <v>1004</v>
      </c>
      <c r="F1160" s="31" t="s">
        <v>999</v>
      </c>
      <c r="G1160" s="15">
        <f>일위노임!G530</f>
        <v>9.7000000000000003E-2</v>
      </c>
      <c r="H1160" s="15">
        <f>합산자재!H345</f>
        <v>0</v>
      </c>
      <c r="I1160" s="53" t="str">
        <f>IF(G1160*H1160&lt;&gt;0, TRUNC(G1160*H1160, 1), "")</f>
        <v/>
      </c>
      <c r="J1160" s="15">
        <v>9.7000000000000003E-2</v>
      </c>
      <c r="K1160" s="15">
        <f>합산자재!I345</f>
        <v>273676</v>
      </c>
      <c r="L1160" s="53">
        <f>IF(G1160*K1160&lt;&gt;0, TRUNC(G1160*K1160, 1), "")</f>
        <v>26546.5</v>
      </c>
      <c r="M1160" s="15">
        <f>합산자재!J345</f>
        <v>0</v>
      </c>
      <c r="N1160" s="53" t="str">
        <f>IF(G1160*M1160&lt;&gt;0, TRUNC(G1160*M1160, 1), "")</f>
        <v/>
      </c>
      <c r="O1160" s="15">
        <f>IF((H1160+K1160+M1160)=0, "", (H1160+K1160+M1160))</f>
        <v>273676</v>
      </c>
      <c r="P1160" s="15">
        <f>IF(SUM(I1160,L1160,N1160)&lt;&gt;0,SUM(I1160,L1160,N1160),"")</f>
        <v>26546.5</v>
      </c>
      <c r="Q1160" s="12"/>
    </row>
    <row r="1161" spans="1:17" ht="23.25" customHeight="1" x14ac:dyDescent="0.15">
      <c r="A1161" s="13" t="s">
        <v>2362</v>
      </c>
      <c r="B1161" s="13" t="s">
        <v>2172</v>
      </c>
      <c r="C1161" s="1" t="s">
        <v>2363</v>
      </c>
      <c r="D1161" s="12" t="s">
        <v>2364</v>
      </c>
      <c r="E1161" s="12" t="s">
        <v>2365</v>
      </c>
      <c r="F1161" s="31" t="s">
        <v>792</v>
      </c>
      <c r="G1161" s="15">
        <v>1</v>
      </c>
      <c r="H1161" s="15">
        <v>530.9</v>
      </c>
      <c r="I1161" s="53">
        <f>IF(G1161*H1161&lt;&gt;0, TRUNC(G1161*H1161, 1), "")</f>
        <v>530.9</v>
      </c>
      <c r="J1161" s="15">
        <v>1</v>
      </c>
      <c r="K1161" s="15"/>
      <c r="L1161" s="53" t="str">
        <f>IF(G1161*K1161&lt;&gt;0, TRUNC(G1161*K1161, 1), "")</f>
        <v/>
      </c>
      <c r="M1161" s="15"/>
      <c r="N1161" s="53" t="str">
        <f>IF(G1161*M1161&lt;&gt;0, TRUNC(G1161*M1161, 1), "")</f>
        <v/>
      </c>
      <c r="O1161" s="15">
        <f>IF((H1161+K1161+M1161)=0, "", (H1161+K1161+M1161))</f>
        <v>530.9</v>
      </c>
      <c r="P1161" s="15">
        <f>IF(SUM(I1161,L1161,N1161)&lt;&gt;0,SUM(I1161,L1161,N1161),"")</f>
        <v>530.9</v>
      </c>
      <c r="Q1161" s="12"/>
    </row>
    <row r="1162" spans="1:17" ht="23.25" customHeight="1" x14ac:dyDescent="0.15">
      <c r="B1162" s="13" t="s">
        <v>2360</v>
      </c>
      <c r="D1162" s="12" t="s">
        <v>2361</v>
      </c>
      <c r="E1162" s="12"/>
      <c r="F1162" s="31"/>
      <c r="G1162" s="15"/>
      <c r="H1162" s="15"/>
      <c r="I1162" s="53">
        <f>TRUNC(SUM(I1158:I1161))</f>
        <v>13530</v>
      </c>
      <c r="J1162" s="15"/>
      <c r="K1162" s="15"/>
      <c r="L1162" s="53">
        <f>TRUNC(SUM(L1158:L1161))</f>
        <v>26546</v>
      </c>
      <c r="M1162" s="15"/>
      <c r="N1162" s="53">
        <f>TRUNC(SUM(N1158:N1161))</f>
        <v>0</v>
      </c>
      <c r="O1162" s="15" t="str">
        <f>IF((H1162+K1162+M1162)=0, "", (H1162+K1162+M1162))</f>
        <v/>
      </c>
      <c r="P1162" s="15">
        <f>IF(SUM(I1162,L1162,N1162)&lt;&gt;0,SUM(I1162,L1162,N1162),"")</f>
        <v>40076</v>
      </c>
      <c r="Q1162" s="12"/>
    </row>
    <row r="1163" spans="1:17" ht="23.25" customHeight="1" x14ac:dyDescent="0.15">
      <c r="D1163" s="12"/>
      <c r="E1163" s="12"/>
      <c r="F1163" s="31"/>
      <c r="G1163" s="15"/>
      <c r="H1163" s="15"/>
      <c r="I1163" s="53"/>
      <c r="J1163" s="15"/>
      <c r="K1163" s="15"/>
      <c r="L1163" s="53"/>
      <c r="M1163" s="15"/>
      <c r="N1163" s="53"/>
      <c r="O1163" s="15"/>
      <c r="P1163" s="15"/>
      <c r="Q1163" s="12"/>
    </row>
    <row r="1164" spans="1:17" ht="23.25" customHeight="1" x14ac:dyDescent="0.15">
      <c r="A1164" s="13" t="s">
        <v>2859</v>
      </c>
      <c r="B1164" s="13" t="s">
        <v>2382</v>
      </c>
      <c r="C1164" s="1" t="s">
        <v>2860</v>
      </c>
      <c r="D1164" s="170" t="s">
        <v>2858</v>
      </c>
      <c r="E1164" s="172"/>
      <c r="F1164" s="31"/>
      <c r="G1164" s="15"/>
      <c r="H1164" s="15"/>
      <c r="I1164" s="53"/>
      <c r="J1164" s="15"/>
      <c r="K1164" s="15"/>
      <c r="L1164" s="53"/>
      <c r="M1164" s="15"/>
      <c r="N1164" s="53"/>
      <c r="O1164" s="15"/>
      <c r="P1164" s="15"/>
      <c r="Q1164" s="12"/>
    </row>
    <row r="1165" spans="1:17" ht="23.25" customHeight="1" x14ac:dyDescent="0.15">
      <c r="A1165" s="13" t="s">
        <v>1246</v>
      </c>
      <c r="B1165" s="13" t="s">
        <v>2175</v>
      </c>
      <c r="C1165" s="1" t="s">
        <v>706</v>
      </c>
      <c r="D1165" s="12" t="s">
        <v>736</v>
      </c>
      <c r="E1165" s="12" t="s">
        <v>737</v>
      </c>
      <c r="F1165" s="31" t="s">
        <v>559</v>
      </c>
      <c r="G1165" s="15">
        <v>1</v>
      </c>
      <c r="H1165" s="15">
        <f>합산자재!H222</f>
        <v>200350</v>
      </c>
      <c r="I1165" s="53">
        <f>IF(G1165*H1165&lt;&gt;0, TRUNC(G1165*H1165, 1), "")</f>
        <v>200350</v>
      </c>
      <c r="J1165" s="15">
        <v>1</v>
      </c>
      <c r="K1165" s="15">
        <f>합산자재!I222</f>
        <v>0</v>
      </c>
      <c r="L1165" s="53" t="str">
        <f>IF(G1165*K1165&lt;&gt;0, TRUNC(G1165*K1165, 1), "")</f>
        <v/>
      </c>
      <c r="M1165" s="15">
        <f>합산자재!J222</f>
        <v>0</v>
      </c>
      <c r="N1165" s="53" t="str">
        <f>IF(G1165*M1165&lt;&gt;0, TRUNC(G1165*M1165, 1), "")</f>
        <v/>
      </c>
      <c r="O1165" s="15">
        <f>IF((H1165+K1165+M1165)=0, "", (H1165+K1165+M1165))</f>
        <v>200350</v>
      </c>
      <c r="P1165" s="15">
        <f>IF(SUM(I1165,L1165,N1165)&lt;&gt;0,SUM(I1165,L1165,N1165),"")</f>
        <v>200350</v>
      </c>
      <c r="Q1165" s="12"/>
    </row>
    <row r="1166" spans="1:17" ht="23.25" customHeight="1" x14ac:dyDescent="0.15">
      <c r="A1166" s="13" t="s">
        <v>1372</v>
      </c>
      <c r="B1166" s="13" t="s">
        <v>2175</v>
      </c>
      <c r="C1166" s="1" t="s">
        <v>1002</v>
      </c>
      <c r="D1166" s="12" t="s">
        <v>1003</v>
      </c>
      <c r="E1166" s="12" t="s">
        <v>1004</v>
      </c>
      <c r="F1166" s="31" t="s">
        <v>999</v>
      </c>
      <c r="G1166" s="15">
        <f>일위노임!G533</f>
        <v>0.89</v>
      </c>
      <c r="H1166" s="15">
        <f>합산자재!H345</f>
        <v>0</v>
      </c>
      <c r="I1166" s="53" t="str">
        <f>IF(G1166*H1166&lt;&gt;0, TRUNC(G1166*H1166, 1), "")</f>
        <v/>
      </c>
      <c r="J1166" s="15">
        <v>0.89</v>
      </c>
      <c r="K1166" s="15">
        <f>합산자재!I345</f>
        <v>273676</v>
      </c>
      <c r="L1166" s="53">
        <f>IF(G1166*K1166&lt;&gt;0, TRUNC(G1166*K1166, 1), "")</f>
        <v>243571.6</v>
      </c>
      <c r="M1166" s="15">
        <f>합산자재!J345</f>
        <v>0</v>
      </c>
      <c r="N1166" s="53" t="str">
        <f>IF(G1166*M1166&lt;&gt;0, TRUNC(G1166*M1166, 1), "")</f>
        <v/>
      </c>
      <c r="O1166" s="15">
        <f>IF((H1166+K1166+M1166)=0, "", (H1166+K1166+M1166))</f>
        <v>273676</v>
      </c>
      <c r="P1166" s="15">
        <f>IF(SUM(I1166,L1166,N1166)&lt;&gt;0,SUM(I1166,L1166,N1166),"")</f>
        <v>243571.6</v>
      </c>
      <c r="Q1166" s="12"/>
    </row>
    <row r="1167" spans="1:17" ht="23.25" customHeight="1" x14ac:dyDescent="0.15">
      <c r="A1167" s="13" t="s">
        <v>2362</v>
      </c>
      <c r="B1167" s="13" t="s">
        <v>2175</v>
      </c>
      <c r="C1167" s="1" t="s">
        <v>2363</v>
      </c>
      <c r="D1167" s="12" t="s">
        <v>2364</v>
      </c>
      <c r="E1167" s="12" t="s">
        <v>2365</v>
      </c>
      <c r="F1167" s="31" t="s">
        <v>792</v>
      </c>
      <c r="G1167" s="15">
        <v>1</v>
      </c>
      <c r="H1167" s="15">
        <v>4871.3999999999996</v>
      </c>
      <c r="I1167" s="53">
        <f>IF(G1167*H1167&lt;&gt;0, TRUNC(G1167*H1167, 1), "")</f>
        <v>4871.3999999999996</v>
      </c>
      <c r="J1167" s="15">
        <v>1</v>
      </c>
      <c r="K1167" s="15"/>
      <c r="L1167" s="53" t="str">
        <f>IF(G1167*K1167&lt;&gt;0, TRUNC(G1167*K1167, 1), "")</f>
        <v/>
      </c>
      <c r="M1167" s="15"/>
      <c r="N1167" s="53" t="str">
        <f>IF(G1167*M1167&lt;&gt;0, TRUNC(G1167*M1167, 1), "")</f>
        <v/>
      </c>
      <c r="O1167" s="15">
        <f>IF((H1167+K1167+M1167)=0, "", (H1167+K1167+M1167))</f>
        <v>4871.3999999999996</v>
      </c>
      <c r="P1167" s="15">
        <f>IF(SUM(I1167,L1167,N1167)&lt;&gt;0,SUM(I1167,L1167,N1167),"")</f>
        <v>4871.3999999999996</v>
      </c>
      <c r="Q1167" s="12"/>
    </row>
    <row r="1168" spans="1:17" ht="23.25" customHeight="1" x14ac:dyDescent="0.15">
      <c r="B1168" s="13" t="s">
        <v>2360</v>
      </c>
      <c r="D1168" s="12" t="s">
        <v>2361</v>
      </c>
      <c r="E1168" s="12"/>
      <c r="F1168" s="31"/>
      <c r="G1168" s="15"/>
      <c r="H1168" s="15"/>
      <c r="I1168" s="53">
        <f>TRUNC(SUM(I1164:I1167))</f>
        <v>205221</v>
      </c>
      <c r="J1168" s="15"/>
      <c r="K1168" s="15"/>
      <c r="L1168" s="53">
        <f>TRUNC(SUM(L1164:L1167))</f>
        <v>243571</v>
      </c>
      <c r="M1168" s="15"/>
      <c r="N1168" s="53">
        <f>TRUNC(SUM(N1164:N1167))</f>
        <v>0</v>
      </c>
      <c r="O1168" s="15" t="str">
        <f>IF((H1168+K1168+M1168)=0, "", (H1168+K1168+M1168))</f>
        <v/>
      </c>
      <c r="P1168" s="15">
        <f>IF(SUM(I1168,L1168,N1168)&lt;&gt;0,SUM(I1168,L1168,N1168),"")</f>
        <v>448792</v>
      </c>
      <c r="Q1168" s="12"/>
    </row>
    <row r="1169" spans="1:17" ht="23.25" customHeight="1" x14ac:dyDescent="0.15">
      <c r="D1169" s="12"/>
      <c r="E1169" s="12"/>
      <c r="F1169" s="31"/>
      <c r="G1169" s="15"/>
      <c r="H1169" s="15"/>
      <c r="I1169" s="53"/>
      <c r="J1169" s="15"/>
      <c r="K1169" s="15"/>
      <c r="L1169" s="53"/>
      <c r="M1169" s="15"/>
      <c r="N1169" s="53"/>
      <c r="O1169" s="15"/>
      <c r="P1169" s="15"/>
      <c r="Q1169" s="12"/>
    </row>
    <row r="1170" spans="1:17" ht="23.25" customHeight="1" x14ac:dyDescent="0.15">
      <c r="A1170" s="13" t="s">
        <v>2862</v>
      </c>
      <c r="B1170" s="13" t="s">
        <v>2382</v>
      </c>
      <c r="C1170" s="1" t="s">
        <v>2863</v>
      </c>
      <c r="D1170" s="170" t="s">
        <v>2861</v>
      </c>
      <c r="E1170" s="172"/>
      <c r="F1170" s="31"/>
      <c r="G1170" s="15"/>
      <c r="H1170" s="15"/>
      <c r="I1170" s="53"/>
      <c r="J1170" s="15"/>
      <c r="K1170" s="15"/>
      <c r="L1170" s="53"/>
      <c r="M1170" s="15"/>
      <c r="N1170" s="53"/>
      <c r="O1170" s="15"/>
      <c r="P1170" s="15"/>
      <c r="Q1170" s="12"/>
    </row>
    <row r="1171" spans="1:17" ht="23.25" customHeight="1" x14ac:dyDescent="0.15">
      <c r="A1171" s="13" t="s">
        <v>1256</v>
      </c>
      <c r="B1171" s="13" t="s">
        <v>2178</v>
      </c>
      <c r="C1171" s="1" t="s">
        <v>706</v>
      </c>
      <c r="D1171" s="12" t="s">
        <v>754</v>
      </c>
      <c r="E1171" s="12" t="s">
        <v>755</v>
      </c>
      <c r="F1171" s="31" t="s">
        <v>710</v>
      </c>
      <c r="G1171" s="15">
        <v>1</v>
      </c>
      <c r="H1171" s="15">
        <f>합산자재!H232</f>
        <v>88000</v>
      </c>
      <c r="I1171" s="53">
        <f>IF(G1171*H1171&lt;&gt;0, TRUNC(G1171*H1171, 1), "")</f>
        <v>88000</v>
      </c>
      <c r="J1171" s="15">
        <v>1</v>
      </c>
      <c r="K1171" s="15">
        <f>합산자재!I232</f>
        <v>0</v>
      </c>
      <c r="L1171" s="53" t="str">
        <f>IF(G1171*K1171&lt;&gt;0, TRUNC(G1171*K1171, 1), "")</f>
        <v/>
      </c>
      <c r="M1171" s="15">
        <f>합산자재!J232</f>
        <v>0</v>
      </c>
      <c r="N1171" s="53" t="str">
        <f>IF(G1171*M1171&lt;&gt;0, TRUNC(G1171*M1171, 1), "")</f>
        <v/>
      </c>
      <c r="O1171" s="15">
        <f>IF((H1171+K1171+M1171)=0, "", (H1171+K1171+M1171))</f>
        <v>88000</v>
      </c>
      <c r="P1171" s="15">
        <f>IF(SUM(I1171,L1171,N1171)&lt;&gt;0,SUM(I1171,L1171,N1171),"")</f>
        <v>88000</v>
      </c>
      <c r="Q1171" s="12"/>
    </row>
    <row r="1172" spans="1:17" ht="23.25" customHeight="1" x14ac:dyDescent="0.15">
      <c r="A1172" s="13" t="s">
        <v>1372</v>
      </c>
      <c r="B1172" s="13" t="s">
        <v>2178</v>
      </c>
      <c r="C1172" s="1" t="s">
        <v>1002</v>
      </c>
      <c r="D1172" s="12" t="s">
        <v>1003</v>
      </c>
      <c r="E1172" s="12" t="s">
        <v>1004</v>
      </c>
      <c r="F1172" s="31" t="s">
        <v>999</v>
      </c>
      <c r="G1172" s="15">
        <f>일위노임!G536</f>
        <v>0.23599999999999999</v>
      </c>
      <c r="H1172" s="15">
        <f>합산자재!H345</f>
        <v>0</v>
      </c>
      <c r="I1172" s="53" t="str">
        <f>IF(G1172*H1172&lt;&gt;0, TRUNC(G1172*H1172, 1), "")</f>
        <v/>
      </c>
      <c r="J1172" s="15">
        <v>0.23599999999999999</v>
      </c>
      <c r="K1172" s="15">
        <f>합산자재!I345</f>
        <v>273676</v>
      </c>
      <c r="L1172" s="53">
        <f>IF(G1172*K1172&lt;&gt;0, TRUNC(G1172*K1172, 1), "")</f>
        <v>64587.5</v>
      </c>
      <c r="M1172" s="15">
        <f>합산자재!J345</f>
        <v>0</v>
      </c>
      <c r="N1172" s="53" t="str">
        <f>IF(G1172*M1172&lt;&gt;0, TRUNC(G1172*M1172, 1), "")</f>
        <v/>
      </c>
      <c r="O1172" s="15">
        <f>IF((H1172+K1172+M1172)=0, "", (H1172+K1172+M1172))</f>
        <v>273676</v>
      </c>
      <c r="P1172" s="15">
        <f>IF(SUM(I1172,L1172,N1172)&lt;&gt;0,SUM(I1172,L1172,N1172),"")</f>
        <v>64587.5</v>
      </c>
      <c r="Q1172" s="12"/>
    </row>
    <row r="1173" spans="1:17" ht="23.25" customHeight="1" x14ac:dyDescent="0.15">
      <c r="A1173" s="13" t="s">
        <v>2362</v>
      </c>
      <c r="B1173" s="13" t="s">
        <v>2178</v>
      </c>
      <c r="C1173" s="1" t="s">
        <v>2363</v>
      </c>
      <c r="D1173" s="12" t="s">
        <v>2364</v>
      </c>
      <c r="E1173" s="12" t="s">
        <v>2365</v>
      </c>
      <c r="F1173" s="31" t="s">
        <v>792</v>
      </c>
      <c r="G1173" s="15">
        <v>1</v>
      </c>
      <c r="H1173" s="15">
        <v>1291.7</v>
      </c>
      <c r="I1173" s="53">
        <f>IF(G1173*H1173&lt;&gt;0, TRUNC(G1173*H1173, 1), "")</f>
        <v>1291.7</v>
      </c>
      <c r="J1173" s="15">
        <v>1</v>
      </c>
      <c r="K1173" s="15"/>
      <c r="L1173" s="53" t="str">
        <f>IF(G1173*K1173&lt;&gt;0, TRUNC(G1173*K1173, 1), "")</f>
        <v/>
      </c>
      <c r="M1173" s="15"/>
      <c r="N1173" s="53" t="str">
        <f>IF(G1173*M1173&lt;&gt;0, TRUNC(G1173*M1173, 1), "")</f>
        <v/>
      </c>
      <c r="O1173" s="15">
        <f>IF((H1173+K1173+M1173)=0, "", (H1173+K1173+M1173))</f>
        <v>1291.7</v>
      </c>
      <c r="P1173" s="15">
        <f>IF(SUM(I1173,L1173,N1173)&lt;&gt;0,SUM(I1173,L1173,N1173),"")</f>
        <v>1291.7</v>
      </c>
      <c r="Q1173" s="12"/>
    </row>
    <row r="1174" spans="1:17" ht="23.25" customHeight="1" x14ac:dyDescent="0.15">
      <c r="B1174" s="13" t="s">
        <v>2360</v>
      </c>
      <c r="D1174" s="12" t="s">
        <v>2361</v>
      </c>
      <c r="E1174" s="12"/>
      <c r="F1174" s="31"/>
      <c r="G1174" s="15"/>
      <c r="H1174" s="15"/>
      <c r="I1174" s="53">
        <f>TRUNC(SUM(I1170:I1173))</f>
        <v>89291</v>
      </c>
      <c r="J1174" s="15"/>
      <c r="K1174" s="15"/>
      <c r="L1174" s="53">
        <f>TRUNC(SUM(L1170:L1173))</f>
        <v>64587</v>
      </c>
      <c r="M1174" s="15"/>
      <c r="N1174" s="53">
        <f>TRUNC(SUM(N1170:N1173))</f>
        <v>0</v>
      </c>
      <c r="O1174" s="15" t="str">
        <f>IF((H1174+K1174+M1174)=0, "", (H1174+K1174+M1174))</f>
        <v/>
      </c>
      <c r="P1174" s="15">
        <f>IF(SUM(I1174,L1174,N1174)&lt;&gt;0,SUM(I1174,L1174,N1174),"")</f>
        <v>153878</v>
      </c>
      <c r="Q1174" s="12"/>
    </row>
    <row r="1175" spans="1:17" ht="23.25" customHeight="1" x14ac:dyDescent="0.15">
      <c r="D1175" s="12"/>
      <c r="E1175" s="12"/>
      <c r="F1175" s="31"/>
      <c r="G1175" s="15"/>
      <c r="H1175" s="15"/>
      <c r="I1175" s="53"/>
      <c r="J1175" s="15"/>
      <c r="K1175" s="15"/>
      <c r="L1175" s="53"/>
      <c r="M1175" s="15"/>
      <c r="N1175" s="53"/>
      <c r="O1175" s="15"/>
      <c r="P1175" s="15"/>
      <c r="Q1175" s="12"/>
    </row>
    <row r="1176" spans="1:17" ht="23.25" customHeight="1" x14ac:dyDescent="0.15">
      <c r="A1176" s="13" t="s">
        <v>2865</v>
      </c>
      <c r="B1176" s="13" t="s">
        <v>2382</v>
      </c>
      <c r="C1176" s="1" t="s">
        <v>2866</v>
      </c>
      <c r="D1176" s="170" t="s">
        <v>2864</v>
      </c>
      <c r="E1176" s="172"/>
      <c r="F1176" s="31"/>
      <c r="G1176" s="15"/>
      <c r="H1176" s="15"/>
      <c r="I1176" s="53"/>
      <c r="J1176" s="15"/>
      <c r="K1176" s="15"/>
      <c r="L1176" s="53"/>
      <c r="M1176" s="15"/>
      <c r="N1176" s="53"/>
      <c r="O1176" s="15"/>
      <c r="P1176" s="15"/>
      <c r="Q1176" s="12"/>
    </row>
    <row r="1177" spans="1:17" ht="23.25" customHeight="1" x14ac:dyDescent="0.15">
      <c r="A1177" s="13" t="s">
        <v>1257</v>
      </c>
      <c r="B1177" s="13" t="s">
        <v>2181</v>
      </c>
      <c r="C1177" s="1" t="s">
        <v>706</v>
      </c>
      <c r="D1177" s="12" t="s">
        <v>759</v>
      </c>
      <c r="E1177" s="12" t="s">
        <v>760</v>
      </c>
      <c r="F1177" s="31" t="s">
        <v>710</v>
      </c>
      <c r="G1177" s="15">
        <v>1</v>
      </c>
      <c r="H1177" s="15">
        <f>합산자재!H233</f>
        <v>40000</v>
      </c>
      <c r="I1177" s="53">
        <f>IF(G1177*H1177&lt;&gt;0, TRUNC(G1177*H1177, 1), "")</f>
        <v>40000</v>
      </c>
      <c r="J1177" s="15">
        <v>1</v>
      </c>
      <c r="K1177" s="15">
        <f>합산자재!I233</f>
        <v>0</v>
      </c>
      <c r="L1177" s="53" t="str">
        <f>IF(G1177*K1177&lt;&gt;0, TRUNC(G1177*K1177, 1), "")</f>
        <v/>
      </c>
      <c r="M1177" s="15">
        <f>합산자재!J233</f>
        <v>0</v>
      </c>
      <c r="N1177" s="53" t="str">
        <f>IF(G1177*M1177&lt;&gt;0, TRUNC(G1177*M1177, 1), "")</f>
        <v/>
      </c>
      <c r="O1177" s="15">
        <f>IF((H1177+K1177+M1177)=0, "", (H1177+K1177+M1177))</f>
        <v>40000</v>
      </c>
      <c r="P1177" s="15">
        <f>IF(SUM(I1177,L1177,N1177)&lt;&gt;0,SUM(I1177,L1177,N1177),"")</f>
        <v>40000</v>
      </c>
      <c r="Q1177" s="12"/>
    </row>
    <row r="1178" spans="1:17" ht="23.25" customHeight="1" x14ac:dyDescent="0.15">
      <c r="A1178" s="13" t="s">
        <v>1372</v>
      </c>
      <c r="B1178" s="13" t="s">
        <v>2181</v>
      </c>
      <c r="C1178" s="1" t="s">
        <v>1002</v>
      </c>
      <c r="D1178" s="12" t="s">
        <v>1003</v>
      </c>
      <c r="E1178" s="12" t="s">
        <v>1004</v>
      </c>
      <c r="F1178" s="31" t="s">
        <v>999</v>
      </c>
      <c r="G1178" s="15">
        <f>일위노임!G539</f>
        <v>0.13900000000000001</v>
      </c>
      <c r="H1178" s="15">
        <f>합산자재!H345</f>
        <v>0</v>
      </c>
      <c r="I1178" s="53" t="str">
        <f>IF(G1178*H1178&lt;&gt;0, TRUNC(G1178*H1178, 1), "")</f>
        <v/>
      </c>
      <c r="J1178" s="15">
        <v>0.13900000000000001</v>
      </c>
      <c r="K1178" s="15">
        <f>합산자재!I345</f>
        <v>273676</v>
      </c>
      <c r="L1178" s="53">
        <f>IF(G1178*K1178&lt;&gt;0, TRUNC(G1178*K1178, 1), "")</f>
        <v>38040.9</v>
      </c>
      <c r="M1178" s="15">
        <f>합산자재!J345</f>
        <v>0</v>
      </c>
      <c r="N1178" s="53" t="str">
        <f>IF(G1178*M1178&lt;&gt;0, TRUNC(G1178*M1178, 1), "")</f>
        <v/>
      </c>
      <c r="O1178" s="15">
        <f>IF((H1178+K1178+M1178)=0, "", (H1178+K1178+M1178))</f>
        <v>273676</v>
      </c>
      <c r="P1178" s="15">
        <f>IF(SUM(I1178,L1178,N1178)&lt;&gt;0,SUM(I1178,L1178,N1178),"")</f>
        <v>38040.9</v>
      </c>
      <c r="Q1178" s="12"/>
    </row>
    <row r="1179" spans="1:17" ht="23.25" customHeight="1" x14ac:dyDescent="0.15">
      <c r="A1179" s="13" t="s">
        <v>2362</v>
      </c>
      <c r="B1179" s="13" t="s">
        <v>2181</v>
      </c>
      <c r="C1179" s="1" t="s">
        <v>2363</v>
      </c>
      <c r="D1179" s="12" t="s">
        <v>2364</v>
      </c>
      <c r="E1179" s="12" t="s">
        <v>2365</v>
      </c>
      <c r="F1179" s="31" t="s">
        <v>792</v>
      </c>
      <c r="G1179" s="15">
        <v>1</v>
      </c>
      <c r="H1179" s="15">
        <v>760.8</v>
      </c>
      <c r="I1179" s="53">
        <f>IF(G1179*H1179&lt;&gt;0, TRUNC(G1179*H1179, 1), "")</f>
        <v>760.8</v>
      </c>
      <c r="J1179" s="15">
        <v>1</v>
      </c>
      <c r="K1179" s="15"/>
      <c r="L1179" s="53" t="str">
        <f>IF(G1179*K1179&lt;&gt;0, TRUNC(G1179*K1179, 1), "")</f>
        <v/>
      </c>
      <c r="M1179" s="15"/>
      <c r="N1179" s="53" t="str">
        <f>IF(G1179*M1179&lt;&gt;0, TRUNC(G1179*M1179, 1), "")</f>
        <v/>
      </c>
      <c r="O1179" s="15">
        <f>IF((H1179+K1179+M1179)=0, "", (H1179+K1179+M1179))</f>
        <v>760.8</v>
      </c>
      <c r="P1179" s="15">
        <f>IF(SUM(I1179,L1179,N1179)&lt;&gt;0,SUM(I1179,L1179,N1179),"")</f>
        <v>760.8</v>
      </c>
      <c r="Q1179" s="12"/>
    </row>
    <row r="1180" spans="1:17" ht="23.25" customHeight="1" x14ac:dyDescent="0.15">
      <c r="B1180" s="13" t="s">
        <v>2360</v>
      </c>
      <c r="D1180" s="12" t="s">
        <v>2361</v>
      </c>
      <c r="E1180" s="12"/>
      <c r="F1180" s="31"/>
      <c r="G1180" s="15"/>
      <c r="H1180" s="15"/>
      <c r="I1180" s="53">
        <f>TRUNC(SUM(I1176:I1179))</f>
        <v>40760</v>
      </c>
      <c r="J1180" s="15"/>
      <c r="K1180" s="15"/>
      <c r="L1180" s="53">
        <f>TRUNC(SUM(L1176:L1179))</f>
        <v>38040</v>
      </c>
      <c r="M1180" s="15"/>
      <c r="N1180" s="53">
        <f>TRUNC(SUM(N1176:N1179))</f>
        <v>0</v>
      </c>
      <c r="O1180" s="15" t="str">
        <f>IF((H1180+K1180+M1180)=0, "", (H1180+K1180+M1180))</f>
        <v/>
      </c>
      <c r="P1180" s="15">
        <f>IF(SUM(I1180,L1180,N1180)&lt;&gt;0,SUM(I1180,L1180,N1180),"")</f>
        <v>78800</v>
      </c>
      <c r="Q1180" s="12"/>
    </row>
    <row r="1181" spans="1:17" ht="23.25" customHeight="1" x14ac:dyDescent="0.15">
      <c r="D1181" s="12"/>
      <c r="E1181" s="12"/>
      <c r="F1181" s="31"/>
      <c r="G1181" s="15"/>
      <c r="H1181" s="15"/>
      <c r="I1181" s="53"/>
      <c r="J1181" s="15"/>
      <c r="K1181" s="15"/>
      <c r="L1181" s="53"/>
      <c r="M1181" s="15"/>
      <c r="N1181" s="53"/>
      <c r="O1181" s="15"/>
      <c r="P1181" s="15"/>
      <c r="Q1181" s="12"/>
    </row>
    <row r="1182" spans="1:17" ht="23.25" customHeight="1" x14ac:dyDescent="0.15">
      <c r="A1182" s="13" t="s">
        <v>2868</v>
      </c>
      <c r="B1182" s="13" t="s">
        <v>2382</v>
      </c>
      <c r="C1182" s="1" t="s">
        <v>2869</v>
      </c>
      <c r="D1182" s="170" t="s">
        <v>2867</v>
      </c>
      <c r="E1182" s="172"/>
      <c r="F1182" s="31"/>
      <c r="G1182" s="15"/>
      <c r="H1182" s="15"/>
      <c r="I1182" s="53"/>
      <c r="J1182" s="15"/>
      <c r="K1182" s="15"/>
      <c r="L1182" s="53"/>
      <c r="M1182" s="15"/>
      <c r="N1182" s="53"/>
      <c r="O1182" s="15"/>
      <c r="P1182" s="15"/>
      <c r="Q1182" s="12"/>
    </row>
    <row r="1183" spans="1:17" ht="23.25" customHeight="1" x14ac:dyDescent="0.15">
      <c r="A1183" s="13" t="s">
        <v>1258</v>
      </c>
      <c r="B1183" s="13" t="s">
        <v>2184</v>
      </c>
      <c r="C1183" s="1" t="s">
        <v>706</v>
      </c>
      <c r="D1183" s="12" t="s">
        <v>761</v>
      </c>
      <c r="E1183" s="12" t="s">
        <v>762</v>
      </c>
      <c r="F1183" s="31" t="s">
        <v>710</v>
      </c>
      <c r="G1183" s="15">
        <v>1</v>
      </c>
      <c r="H1183" s="15">
        <f>합산자재!H234</f>
        <v>40000</v>
      </c>
      <c r="I1183" s="53">
        <f>IF(G1183*H1183&lt;&gt;0, TRUNC(G1183*H1183, 1), "")</f>
        <v>40000</v>
      </c>
      <c r="J1183" s="15">
        <v>1</v>
      </c>
      <c r="K1183" s="15">
        <f>합산자재!I234</f>
        <v>0</v>
      </c>
      <c r="L1183" s="53" t="str">
        <f>IF(G1183*K1183&lt;&gt;0, TRUNC(G1183*K1183, 1), "")</f>
        <v/>
      </c>
      <c r="M1183" s="15">
        <f>합산자재!J234</f>
        <v>0</v>
      </c>
      <c r="N1183" s="53" t="str">
        <f>IF(G1183*M1183&lt;&gt;0, TRUNC(G1183*M1183, 1), "")</f>
        <v/>
      </c>
      <c r="O1183" s="15">
        <f>IF((H1183+K1183+M1183)=0, "", (H1183+K1183+M1183))</f>
        <v>40000</v>
      </c>
      <c r="P1183" s="15">
        <f>IF(SUM(I1183,L1183,N1183)&lt;&gt;0,SUM(I1183,L1183,N1183),"")</f>
        <v>40000</v>
      </c>
      <c r="Q1183" s="12"/>
    </row>
    <row r="1184" spans="1:17" ht="23.25" customHeight="1" x14ac:dyDescent="0.15">
      <c r="A1184" s="13" t="s">
        <v>1372</v>
      </c>
      <c r="B1184" s="13" t="s">
        <v>2184</v>
      </c>
      <c r="C1184" s="1" t="s">
        <v>1002</v>
      </c>
      <c r="D1184" s="12" t="s">
        <v>1003</v>
      </c>
      <c r="E1184" s="12" t="s">
        <v>1004</v>
      </c>
      <c r="F1184" s="31" t="s">
        <v>999</v>
      </c>
      <c r="G1184" s="15">
        <f>일위노임!G542</f>
        <v>0.13900000000000001</v>
      </c>
      <c r="H1184" s="15">
        <f>합산자재!H345</f>
        <v>0</v>
      </c>
      <c r="I1184" s="53" t="str">
        <f>IF(G1184*H1184&lt;&gt;0, TRUNC(G1184*H1184, 1), "")</f>
        <v/>
      </c>
      <c r="J1184" s="15">
        <v>0.13900000000000001</v>
      </c>
      <c r="K1184" s="15">
        <f>합산자재!I345</f>
        <v>273676</v>
      </c>
      <c r="L1184" s="53">
        <f>IF(G1184*K1184&lt;&gt;0, TRUNC(G1184*K1184, 1), "")</f>
        <v>38040.9</v>
      </c>
      <c r="M1184" s="15">
        <f>합산자재!J345</f>
        <v>0</v>
      </c>
      <c r="N1184" s="53" t="str">
        <f>IF(G1184*M1184&lt;&gt;0, TRUNC(G1184*M1184, 1), "")</f>
        <v/>
      </c>
      <c r="O1184" s="15">
        <f>IF((H1184+K1184+M1184)=0, "", (H1184+K1184+M1184))</f>
        <v>273676</v>
      </c>
      <c r="P1184" s="15">
        <f>IF(SUM(I1184,L1184,N1184)&lt;&gt;0,SUM(I1184,L1184,N1184),"")</f>
        <v>38040.9</v>
      </c>
      <c r="Q1184" s="12"/>
    </row>
    <row r="1185" spans="1:17" ht="23.25" customHeight="1" x14ac:dyDescent="0.15">
      <c r="A1185" s="13" t="s">
        <v>2362</v>
      </c>
      <c r="B1185" s="13" t="s">
        <v>2184</v>
      </c>
      <c r="C1185" s="1" t="s">
        <v>2363</v>
      </c>
      <c r="D1185" s="12" t="s">
        <v>2364</v>
      </c>
      <c r="E1185" s="12" t="s">
        <v>2365</v>
      </c>
      <c r="F1185" s="31" t="s">
        <v>792</v>
      </c>
      <c r="G1185" s="15">
        <v>1</v>
      </c>
      <c r="H1185" s="15">
        <v>760.8</v>
      </c>
      <c r="I1185" s="53">
        <f>IF(G1185*H1185&lt;&gt;0, TRUNC(G1185*H1185, 1), "")</f>
        <v>760.8</v>
      </c>
      <c r="J1185" s="15">
        <v>1</v>
      </c>
      <c r="K1185" s="15"/>
      <c r="L1185" s="53" t="str">
        <f>IF(G1185*K1185&lt;&gt;0, TRUNC(G1185*K1185, 1), "")</f>
        <v/>
      </c>
      <c r="M1185" s="15"/>
      <c r="N1185" s="53" t="str">
        <f>IF(G1185*M1185&lt;&gt;0, TRUNC(G1185*M1185, 1), "")</f>
        <v/>
      </c>
      <c r="O1185" s="15">
        <f>IF((H1185+K1185+M1185)=0, "", (H1185+K1185+M1185))</f>
        <v>760.8</v>
      </c>
      <c r="P1185" s="15">
        <f>IF(SUM(I1185,L1185,N1185)&lt;&gt;0,SUM(I1185,L1185,N1185),"")</f>
        <v>760.8</v>
      </c>
      <c r="Q1185" s="12"/>
    </row>
    <row r="1186" spans="1:17" ht="23.25" customHeight="1" x14ac:dyDescent="0.15">
      <c r="B1186" s="13" t="s">
        <v>2360</v>
      </c>
      <c r="D1186" s="12" t="s">
        <v>2361</v>
      </c>
      <c r="E1186" s="12"/>
      <c r="F1186" s="31"/>
      <c r="G1186" s="15"/>
      <c r="H1186" s="15"/>
      <c r="I1186" s="53">
        <f>TRUNC(SUM(I1182:I1185))</f>
        <v>40760</v>
      </c>
      <c r="J1186" s="15"/>
      <c r="K1186" s="15"/>
      <c r="L1186" s="53">
        <f>TRUNC(SUM(L1182:L1185))</f>
        <v>38040</v>
      </c>
      <c r="M1186" s="15"/>
      <c r="N1186" s="53">
        <f>TRUNC(SUM(N1182:N1185))</f>
        <v>0</v>
      </c>
      <c r="O1186" s="15" t="str">
        <f>IF((H1186+K1186+M1186)=0, "", (H1186+K1186+M1186))</f>
        <v/>
      </c>
      <c r="P1186" s="15">
        <f>IF(SUM(I1186,L1186,N1186)&lt;&gt;0,SUM(I1186,L1186,N1186),"")</f>
        <v>78800</v>
      </c>
      <c r="Q1186" s="12"/>
    </row>
    <row r="1187" spans="1:17" ht="23.25" customHeight="1" x14ac:dyDescent="0.15">
      <c r="D1187" s="12"/>
      <c r="E1187" s="12"/>
      <c r="F1187" s="31"/>
      <c r="G1187" s="15"/>
      <c r="H1187" s="15"/>
      <c r="I1187" s="53"/>
      <c r="J1187" s="15"/>
      <c r="K1187" s="15"/>
      <c r="L1187" s="53"/>
      <c r="M1187" s="15"/>
      <c r="N1187" s="53"/>
      <c r="O1187" s="15"/>
      <c r="P1187" s="15"/>
      <c r="Q1187" s="12"/>
    </row>
    <row r="1188" spans="1:17" ht="23.25" customHeight="1" x14ac:dyDescent="0.15">
      <c r="A1188" s="13" t="s">
        <v>2871</v>
      </c>
      <c r="B1188" s="13" t="s">
        <v>2382</v>
      </c>
      <c r="C1188" s="1" t="s">
        <v>2872</v>
      </c>
      <c r="D1188" s="170" t="s">
        <v>2870</v>
      </c>
      <c r="E1188" s="172"/>
      <c r="F1188" s="31"/>
      <c r="G1188" s="15"/>
      <c r="H1188" s="15"/>
      <c r="I1188" s="53"/>
      <c r="J1188" s="15"/>
      <c r="K1188" s="15"/>
      <c r="L1188" s="53"/>
      <c r="M1188" s="15"/>
      <c r="N1188" s="53"/>
      <c r="O1188" s="15"/>
      <c r="P1188" s="15"/>
      <c r="Q1188" s="12"/>
    </row>
    <row r="1189" spans="1:17" ht="23.25" customHeight="1" x14ac:dyDescent="0.15">
      <c r="A1189" s="13" t="s">
        <v>1265</v>
      </c>
      <c r="B1189" s="13" t="s">
        <v>2187</v>
      </c>
      <c r="C1189" s="1" t="s">
        <v>706</v>
      </c>
      <c r="D1189" s="12" t="s">
        <v>775</v>
      </c>
      <c r="E1189" s="12"/>
      <c r="F1189" s="31" t="s">
        <v>289</v>
      </c>
      <c r="G1189" s="15">
        <v>1</v>
      </c>
      <c r="H1189" s="15">
        <f>합산자재!H241</f>
        <v>3500</v>
      </c>
      <c r="I1189" s="53">
        <f>IF(G1189*H1189&lt;&gt;0, TRUNC(G1189*H1189, 1), "")</f>
        <v>3500</v>
      </c>
      <c r="J1189" s="15">
        <v>1</v>
      </c>
      <c r="K1189" s="15">
        <f>합산자재!I241</f>
        <v>0</v>
      </c>
      <c r="L1189" s="53" t="str">
        <f>IF(G1189*K1189&lt;&gt;0, TRUNC(G1189*K1189, 1), "")</f>
        <v/>
      </c>
      <c r="M1189" s="15">
        <f>합산자재!J241</f>
        <v>0</v>
      </c>
      <c r="N1189" s="53" t="str">
        <f>IF(G1189*M1189&lt;&gt;0, TRUNC(G1189*M1189, 1), "")</f>
        <v/>
      </c>
      <c r="O1189" s="15">
        <f>IF((H1189+K1189+M1189)=0, "", (H1189+K1189+M1189))</f>
        <v>3500</v>
      </c>
      <c r="P1189" s="15">
        <f>IF(SUM(I1189,L1189,N1189)&lt;&gt;0,SUM(I1189,L1189,N1189),"")</f>
        <v>3500</v>
      </c>
      <c r="Q1189" s="12"/>
    </row>
    <row r="1190" spans="1:17" ht="23.25" customHeight="1" x14ac:dyDescent="0.15">
      <c r="A1190" s="13" t="s">
        <v>1372</v>
      </c>
      <c r="B1190" s="13" t="s">
        <v>2187</v>
      </c>
      <c r="C1190" s="1" t="s">
        <v>1002</v>
      </c>
      <c r="D1190" s="12" t="s">
        <v>1003</v>
      </c>
      <c r="E1190" s="12" t="s">
        <v>1004</v>
      </c>
      <c r="F1190" s="31" t="s">
        <v>999</v>
      </c>
      <c r="G1190" s="15">
        <f>일위노임!G545</f>
        <v>2.7E-2</v>
      </c>
      <c r="H1190" s="15">
        <f>합산자재!H345</f>
        <v>0</v>
      </c>
      <c r="I1190" s="53" t="str">
        <f>IF(G1190*H1190&lt;&gt;0, TRUNC(G1190*H1190, 1), "")</f>
        <v/>
      </c>
      <c r="J1190" s="15">
        <v>2.7E-2</v>
      </c>
      <c r="K1190" s="15">
        <f>합산자재!I345</f>
        <v>273676</v>
      </c>
      <c r="L1190" s="53">
        <f>IF(G1190*K1190&lt;&gt;0, TRUNC(G1190*K1190, 1), "")</f>
        <v>7389.2</v>
      </c>
      <c r="M1190" s="15">
        <f>합산자재!J345</f>
        <v>0</v>
      </c>
      <c r="N1190" s="53" t="str">
        <f>IF(G1190*M1190&lt;&gt;0, TRUNC(G1190*M1190, 1), "")</f>
        <v/>
      </c>
      <c r="O1190" s="15">
        <f>IF((H1190+K1190+M1190)=0, "", (H1190+K1190+M1190))</f>
        <v>273676</v>
      </c>
      <c r="P1190" s="15">
        <f>IF(SUM(I1190,L1190,N1190)&lt;&gt;0,SUM(I1190,L1190,N1190),"")</f>
        <v>7389.2</v>
      </c>
      <c r="Q1190" s="12"/>
    </row>
    <row r="1191" spans="1:17" ht="23.25" customHeight="1" x14ac:dyDescent="0.15">
      <c r="A1191" s="13" t="s">
        <v>2362</v>
      </c>
      <c r="B1191" s="13" t="s">
        <v>2187</v>
      </c>
      <c r="C1191" s="1" t="s">
        <v>2363</v>
      </c>
      <c r="D1191" s="12" t="s">
        <v>2364</v>
      </c>
      <c r="E1191" s="12" t="s">
        <v>2365</v>
      </c>
      <c r="F1191" s="31" t="s">
        <v>792</v>
      </c>
      <c r="G1191" s="15">
        <v>1</v>
      </c>
      <c r="H1191" s="15">
        <v>147.69999999999999</v>
      </c>
      <c r="I1191" s="53">
        <f>IF(G1191*H1191&lt;&gt;0, TRUNC(G1191*H1191, 1), "")</f>
        <v>147.69999999999999</v>
      </c>
      <c r="J1191" s="15">
        <v>1</v>
      </c>
      <c r="K1191" s="15"/>
      <c r="L1191" s="53" t="str">
        <f>IF(G1191*K1191&lt;&gt;0, TRUNC(G1191*K1191, 1), "")</f>
        <v/>
      </c>
      <c r="M1191" s="15"/>
      <c r="N1191" s="53" t="str">
        <f>IF(G1191*M1191&lt;&gt;0, TRUNC(G1191*M1191, 1), "")</f>
        <v/>
      </c>
      <c r="O1191" s="15">
        <f>IF((H1191+K1191+M1191)=0, "", (H1191+K1191+M1191))</f>
        <v>147.69999999999999</v>
      </c>
      <c r="P1191" s="15">
        <f>IF(SUM(I1191,L1191,N1191)&lt;&gt;0,SUM(I1191,L1191,N1191),"")</f>
        <v>147.69999999999999</v>
      </c>
      <c r="Q1191" s="12"/>
    </row>
    <row r="1192" spans="1:17" ht="23.25" customHeight="1" x14ac:dyDescent="0.15">
      <c r="B1192" s="13" t="s">
        <v>2360</v>
      </c>
      <c r="D1192" s="12" t="s">
        <v>2361</v>
      </c>
      <c r="E1192" s="12"/>
      <c r="F1192" s="31"/>
      <c r="G1192" s="15"/>
      <c r="H1192" s="15"/>
      <c r="I1192" s="53">
        <f>TRUNC(SUM(I1188:I1191))</f>
        <v>3647</v>
      </c>
      <c r="J1192" s="15"/>
      <c r="K1192" s="15"/>
      <c r="L1192" s="53">
        <f>TRUNC(SUM(L1188:L1191))</f>
        <v>7389</v>
      </c>
      <c r="M1192" s="15"/>
      <c r="N1192" s="53">
        <f>TRUNC(SUM(N1188:N1191))</f>
        <v>0</v>
      </c>
      <c r="O1192" s="15" t="str">
        <f>IF((H1192+K1192+M1192)=0, "", (H1192+K1192+M1192))</f>
        <v/>
      </c>
      <c r="P1192" s="15">
        <f>IF(SUM(I1192,L1192,N1192)&lt;&gt;0,SUM(I1192,L1192,N1192),"")</f>
        <v>11036</v>
      </c>
      <c r="Q1192" s="12"/>
    </row>
    <row r="1193" spans="1:17" ht="23.25" customHeight="1" x14ac:dyDescent="0.15">
      <c r="D1193" s="12"/>
      <c r="E1193" s="12"/>
      <c r="F1193" s="31"/>
      <c r="G1193" s="15"/>
      <c r="H1193" s="15"/>
      <c r="I1193" s="53"/>
      <c r="J1193" s="15"/>
      <c r="K1193" s="15"/>
      <c r="L1193" s="53"/>
      <c r="M1193" s="15"/>
      <c r="N1193" s="53"/>
      <c r="O1193" s="15"/>
      <c r="P1193" s="15"/>
      <c r="Q1193" s="12"/>
    </row>
    <row r="1194" spans="1:17" ht="23.25" customHeight="1" x14ac:dyDescent="0.15">
      <c r="A1194" s="13" t="s">
        <v>2874</v>
      </c>
      <c r="B1194" s="13" t="s">
        <v>2382</v>
      </c>
      <c r="C1194" s="1" t="s">
        <v>2875</v>
      </c>
      <c r="D1194" s="170" t="s">
        <v>2873</v>
      </c>
      <c r="E1194" s="172"/>
      <c r="F1194" s="31"/>
      <c r="G1194" s="15"/>
      <c r="H1194" s="15"/>
      <c r="I1194" s="53"/>
      <c r="J1194" s="15"/>
      <c r="K1194" s="15"/>
      <c r="L1194" s="53"/>
      <c r="M1194" s="15"/>
      <c r="N1194" s="53"/>
      <c r="O1194" s="15"/>
      <c r="P1194" s="15"/>
      <c r="Q1194" s="12"/>
    </row>
    <row r="1195" spans="1:17" ht="23.25" customHeight="1" x14ac:dyDescent="0.15">
      <c r="A1195" s="13" t="s">
        <v>1276</v>
      </c>
      <c r="B1195" s="13" t="s">
        <v>2190</v>
      </c>
      <c r="C1195" s="1" t="s">
        <v>795</v>
      </c>
      <c r="D1195" s="12" t="s">
        <v>796</v>
      </c>
      <c r="E1195" s="12" t="s">
        <v>797</v>
      </c>
      <c r="F1195" s="31" t="s">
        <v>166</v>
      </c>
      <c r="G1195" s="15">
        <v>1</v>
      </c>
      <c r="H1195" s="15">
        <f>합산자재!H252</f>
        <v>680</v>
      </c>
      <c r="I1195" s="53">
        <f>IF(G1195*H1195&lt;&gt;0, TRUNC(G1195*H1195, 1), "")</f>
        <v>680</v>
      </c>
      <c r="J1195" s="15">
        <v>1</v>
      </c>
      <c r="K1195" s="15">
        <f>합산자재!I252</f>
        <v>0</v>
      </c>
      <c r="L1195" s="53" t="str">
        <f>IF(G1195*K1195&lt;&gt;0, TRUNC(G1195*K1195, 1), "")</f>
        <v/>
      </c>
      <c r="M1195" s="15">
        <f>합산자재!J252</f>
        <v>0</v>
      </c>
      <c r="N1195" s="53" t="str">
        <f>IF(G1195*M1195&lt;&gt;0, TRUNC(G1195*M1195, 1), "")</f>
        <v/>
      </c>
      <c r="O1195" s="15">
        <f>IF((H1195+K1195+M1195)=0, "", (H1195+K1195+M1195))</f>
        <v>680</v>
      </c>
      <c r="P1195" s="15">
        <f>IF(SUM(I1195,L1195,N1195)&lt;&gt;0,SUM(I1195,L1195,N1195),"")</f>
        <v>680</v>
      </c>
      <c r="Q1195" s="12"/>
    </row>
    <row r="1196" spans="1:17" ht="23.25" customHeight="1" x14ac:dyDescent="0.15">
      <c r="A1196" s="13" t="s">
        <v>1276</v>
      </c>
      <c r="B1196" s="13" t="s">
        <v>2190</v>
      </c>
      <c r="C1196" s="1" t="s">
        <v>795</v>
      </c>
      <c r="D1196" s="12" t="s">
        <v>796</v>
      </c>
      <c r="E1196" s="12" t="s">
        <v>797</v>
      </c>
      <c r="F1196" s="31" t="s">
        <v>166</v>
      </c>
      <c r="G1196" s="15">
        <v>7.4999999999999997E-2</v>
      </c>
      <c r="H1196" s="15">
        <f>합산자재!H252</f>
        <v>680</v>
      </c>
      <c r="I1196" s="53">
        <f>IF(G1196*H1196&lt;&gt;0, TRUNC(G1196*H1196, 1), "")</f>
        <v>51</v>
      </c>
      <c r="J1196" s="15">
        <v>7.4999999999999997E-2</v>
      </c>
      <c r="K1196" s="15">
        <f>합산자재!I252</f>
        <v>0</v>
      </c>
      <c r="L1196" s="53" t="str">
        <f>IF(G1196*K1196&lt;&gt;0, TRUNC(G1196*K1196, 1), "")</f>
        <v/>
      </c>
      <c r="M1196" s="15">
        <f>합산자재!J252</f>
        <v>0</v>
      </c>
      <c r="N1196" s="53" t="str">
        <f>IF(G1196*M1196&lt;&gt;0, TRUNC(G1196*M1196, 1), "")</f>
        <v/>
      </c>
      <c r="O1196" s="15">
        <f>IF((H1196+K1196+M1196)=0, "", (H1196+K1196+M1196))</f>
        <v>680</v>
      </c>
      <c r="P1196" s="15">
        <f>IF(SUM(I1196,L1196,N1196)&lt;&gt;0,SUM(I1196,L1196,N1196),"")</f>
        <v>51</v>
      </c>
      <c r="Q1196" s="12"/>
    </row>
    <row r="1197" spans="1:17" ht="23.25" customHeight="1" x14ac:dyDescent="0.15">
      <c r="A1197" s="13" t="s">
        <v>1377</v>
      </c>
      <c r="B1197" s="13" t="s">
        <v>2190</v>
      </c>
      <c r="C1197" s="1" t="s">
        <v>1013</v>
      </c>
      <c r="D1197" s="12" t="s">
        <v>1003</v>
      </c>
      <c r="E1197" s="12" t="s">
        <v>1014</v>
      </c>
      <c r="F1197" s="31" t="s">
        <v>999</v>
      </c>
      <c r="G1197" s="15">
        <f>일위노임!G548</f>
        <v>2.0400000000000001E-2</v>
      </c>
      <c r="H1197" s="15">
        <f>합산자재!H350</f>
        <v>0</v>
      </c>
      <c r="I1197" s="53" t="str">
        <f>IF(G1197*H1197&lt;&gt;0, TRUNC(G1197*H1197, 1), "")</f>
        <v/>
      </c>
      <c r="J1197" s="15">
        <v>2.0400000000000001E-2</v>
      </c>
      <c r="K1197" s="15">
        <f>합산자재!I350</f>
        <v>436224</v>
      </c>
      <c r="L1197" s="53">
        <f>IF(G1197*K1197&lt;&gt;0, TRUNC(G1197*K1197, 1), "")</f>
        <v>8898.9</v>
      </c>
      <c r="M1197" s="15">
        <f>합산자재!J350</f>
        <v>0</v>
      </c>
      <c r="N1197" s="53" t="str">
        <f>IF(G1197*M1197&lt;&gt;0, TRUNC(G1197*M1197, 1), "")</f>
        <v/>
      </c>
      <c r="O1197" s="15">
        <f>IF((H1197+K1197+M1197)=0, "", (H1197+K1197+M1197))</f>
        <v>436224</v>
      </c>
      <c r="P1197" s="15">
        <f>IF(SUM(I1197,L1197,N1197)&lt;&gt;0,SUM(I1197,L1197,N1197),"")</f>
        <v>8898.9</v>
      </c>
      <c r="Q1197" s="12"/>
    </row>
    <row r="1198" spans="1:17" ht="23.25" customHeight="1" x14ac:dyDescent="0.15">
      <c r="A1198" s="13" t="s">
        <v>2362</v>
      </c>
      <c r="B1198" s="13" t="s">
        <v>2190</v>
      </c>
      <c r="C1198" s="1" t="s">
        <v>2363</v>
      </c>
      <c r="D1198" s="12" t="s">
        <v>2364</v>
      </c>
      <c r="E1198" s="12" t="s">
        <v>2365</v>
      </c>
      <c r="F1198" s="31" t="s">
        <v>792</v>
      </c>
      <c r="G1198" s="15">
        <v>1</v>
      </c>
      <c r="H1198" s="15">
        <v>177.9</v>
      </c>
      <c r="I1198" s="53">
        <f>IF(G1198*H1198&lt;&gt;0, TRUNC(G1198*H1198, 1), "")</f>
        <v>177.9</v>
      </c>
      <c r="J1198" s="15">
        <v>1</v>
      </c>
      <c r="K1198" s="15"/>
      <c r="L1198" s="53" t="str">
        <f>IF(G1198*K1198&lt;&gt;0, TRUNC(G1198*K1198, 1), "")</f>
        <v/>
      </c>
      <c r="M1198" s="15"/>
      <c r="N1198" s="53" t="str">
        <f>IF(G1198*M1198&lt;&gt;0, TRUNC(G1198*M1198, 1), "")</f>
        <v/>
      </c>
      <c r="O1198" s="15">
        <f>IF((H1198+K1198+M1198)=0, "", (H1198+K1198+M1198))</f>
        <v>177.9</v>
      </c>
      <c r="P1198" s="15">
        <f>IF(SUM(I1198,L1198,N1198)&lt;&gt;0,SUM(I1198,L1198,N1198),"")</f>
        <v>177.9</v>
      </c>
      <c r="Q1198" s="12"/>
    </row>
    <row r="1199" spans="1:17" ht="23.25" customHeight="1" x14ac:dyDescent="0.15">
      <c r="B1199" s="13" t="s">
        <v>2360</v>
      </c>
      <c r="D1199" s="12" t="s">
        <v>2361</v>
      </c>
      <c r="E1199" s="12"/>
      <c r="F1199" s="31"/>
      <c r="G1199" s="15"/>
      <c r="H1199" s="15"/>
      <c r="I1199" s="53">
        <f>TRUNC(SUM(I1194:I1198))</f>
        <v>908</v>
      </c>
      <c r="J1199" s="15"/>
      <c r="K1199" s="15"/>
      <c r="L1199" s="53">
        <f>TRUNC(SUM(L1194:L1198))</f>
        <v>8898</v>
      </c>
      <c r="M1199" s="15"/>
      <c r="N1199" s="53">
        <f>TRUNC(SUM(N1194:N1198))</f>
        <v>0</v>
      </c>
      <c r="O1199" s="15" t="str">
        <f>IF((H1199+K1199+M1199)=0, "", (H1199+K1199+M1199))</f>
        <v/>
      </c>
      <c r="P1199" s="15">
        <f>IF(SUM(I1199,L1199,N1199)&lt;&gt;0,SUM(I1199,L1199,N1199),"")</f>
        <v>9806</v>
      </c>
      <c r="Q1199" s="12"/>
    </row>
    <row r="1200" spans="1:17" ht="23.25" customHeight="1" x14ac:dyDescent="0.15">
      <c r="D1200" s="12"/>
      <c r="E1200" s="12"/>
      <c r="F1200" s="31"/>
      <c r="G1200" s="15"/>
      <c r="H1200" s="15"/>
      <c r="I1200" s="53"/>
      <c r="J1200" s="15"/>
      <c r="K1200" s="15"/>
      <c r="L1200" s="53"/>
      <c r="M1200" s="15"/>
      <c r="N1200" s="53"/>
      <c r="O1200" s="15"/>
      <c r="P1200" s="15"/>
      <c r="Q1200" s="12"/>
    </row>
    <row r="1201" spans="1:28" ht="23.25" customHeight="1" x14ac:dyDescent="0.15">
      <c r="A1201" s="13" t="s">
        <v>2877</v>
      </c>
      <c r="B1201" s="13" t="s">
        <v>2382</v>
      </c>
      <c r="C1201" s="1" t="s">
        <v>2878</v>
      </c>
      <c r="D1201" s="170" t="s">
        <v>2876</v>
      </c>
      <c r="E1201" s="172"/>
      <c r="F1201" s="31"/>
      <c r="G1201" s="15"/>
      <c r="H1201" s="15"/>
      <c r="I1201" s="53"/>
      <c r="J1201" s="15"/>
      <c r="K1201" s="15"/>
      <c r="L1201" s="53"/>
      <c r="M1201" s="15"/>
      <c r="N1201" s="53"/>
      <c r="O1201" s="15"/>
      <c r="P1201" s="15"/>
      <c r="Q1201" s="12"/>
    </row>
    <row r="1202" spans="1:28" ht="23.25" customHeight="1" x14ac:dyDescent="0.15">
      <c r="A1202" s="13" t="s">
        <v>1306</v>
      </c>
      <c r="B1202" s="13" t="s">
        <v>2193</v>
      </c>
      <c r="C1202" s="1" t="s">
        <v>857</v>
      </c>
      <c r="D1202" s="12" t="s">
        <v>858</v>
      </c>
      <c r="E1202" s="12" t="s">
        <v>859</v>
      </c>
      <c r="F1202" s="31" t="s">
        <v>559</v>
      </c>
      <c r="G1202" s="15">
        <v>1</v>
      </c>
      <c r="H1202" s="15"/>
      <c r="I1202" s="53" t="str">
        <f>IF(G1202*H1202&lt;&gt;0, TRUNC(G1202*H1202, 1), "")</f>
        <v/>
      </c>
      <c r="J1202" s="15">
        <v>1</v>
      </c>
      <c r="K1202" s="15">
        <f>합산자재!I282</f>
        <v>0</v>
      </c>
      <c r="L1202" s="53" t="str">
        <f>IF(G1202*K1202&lt;&gt;0, TRUNC(G1202*K1202, 1), "")</f>
        <v/>
      </c>
      <c r="M1202" s="15">
        <f>합산자재!J282</f>
        <v>0</v>
      </c>
      <c r="N1202" s="53" t="str">
        <f>IF(G1202*M1202&lt;&gt;0, TRUNC(G1202*M1202, 1), "")</f>
        <v/>
      </c>
      <c r="O1202" s="15" t="str">
        <f>IF((H1202+K1202+M1202)=0, "", (H1202+K1202+M1202))</f>
        <v/>
      </c>
      <c r="P1202" s="15" t="str">
        <f>IF(SUM(I1202,L1202,N1202)&lt;&gt;0,SUM(I1202,L1202,N1202),"")</f>
        <v/>
      </c>
      <c r="Q1202" s="12" t="s">
        <v>2378</v>
      </c>
      <c r="AB1202" s="2">
        <f>합산자재!H282*J1202</f>
        <v>3139000</v>
      </c>
    </row>
    <row r="1203" spans="1:28" ht="23.25" customHeight="1" x14ac:dyDescent="0.15">
      <c r="A1203" s="13" t="s">
        <v>1372</v>
      </c>
      <c r="B1203" s="13" t="s">
        <v>2193</v>
      </c>
      <c r="C1203" s="1" t="s">
        <v>1002</v>
      </c>
      <c r="D1203" s="12" t="s">
        <v>1003</v>
      </c>
      <c r="E1203" s="12" t="s">
        <v>1004</v>
      </c>
      <c r="F1203" s="31" t="s">
        <v>999</v>
      </c>
      <c r="G1203" s="15">
        <f>일위노임!G551</f>
        <v>1.23</v>
      </c>
      <c r="H1203" s="15">
        <f>합산자재!H345</f>
        <v>0</v>
      </c>
      <c r="I1203" s="53" t="str">
        <f>IF(G1203*H1203&lt;&gt;0, TRUNC(G1203*H1203, 1), "")</f>
        <v/>
      </c>
      <c r="J1203" s="15">
        <v>1.23</v>
      </c>
      <c r="K1203" s="15">
        <f>합산자재!I345</f>
        <v>273676</v>
      </c>
      <c r="L1203" s="53">
        <f>IF(G1203*K1203&lt;&gt;0, TRUNC(G1203*K1203, 1), "")</f>
        <v>336621.4</v>
      </c>
      <c r="M1203" s="15">
        <f>합산자재!J345</f>
        <v>0</v>
      </c>
      <c r="N1203" s="53" t="str">
        <f>IF(G1203*M1203&lt;&gt;0, TRUNC(G1203*M1203, 1), "")</f>
        <v/>
      </c>
      <c r="O1203" s="15">
        <f>IF((H1203+K1203+M1203)=0, "", (H1203+K1203+M1203))</f>
        <v>273676</v>
      </c>
      <c r="P1203" s="15">
        <f>IF(SUM(I1203,L1203,N1203)&lt;&gt;0,SUM(I1203,L1203,N1203),"")</f>
        <v>336621.4</v>
      </c>
      <c r="Q1203" s="12"/>
    </row>
    <row r="1204" spans="1:28" ht="23.25" customHeight="1" x14ac:dyDescent="0.15">
      <c r="A1204" s="13" t="s">
        <v>2362</v>
      </c>
      <c r="B1204" s="13" t="s">
        <v>2193</v>
      </c>
      <c r="C1204" s="1" t="s">
        <v>2363</v>
      </c>
      <c r="D1204" s="12" t="s">
        <v>2364</v>
      </c>
      <c r="E1204" s="12" t="s">
        <v>2365</v>
      </c>
      <c r="F1204" s="31" t="s">
        <v>792</v>
      </c>
      <c r="G1204" s="15">
        <v>1</v>
      </c>
      <c r="H1204" s="15">
        <v>6732.4</v>
      </c>
      <c r="I1204" s="53">
        <f>IF(G1204*H1204&lt;&gt;0, TRUNC(G1204*H1204, 1), "")</f>
        <v>6732.4</v>
      </c>
      <c r="J1204" s="15">
        <v>1</v>
      </c>
      <c r="K1204" s="15"/>
      <c r="L1204" s="53" t="str">
        <f>IF(G1204*K1204&lt;&gt;0, TRUNC(G1204*K1204, 1), "")</f>
        <v/>
      </c>
      <c r="M1204" s="15"/>
      <c r="N1204" s="53" t="str">
        <f>IF(G1204*M1204&lt;&gt;0, TRUNC(G1204*M1204, 1), "")</f>
        <v/>
      </c>
      <c r="O1204" s="15">
        <f>IF((H1204+K1204+M1204)=0, "", (H1204+K1204+M1204))</f>
        <v>6732.4</v>
      </c>
      <c r="P1204" s="15">
        <f>IF(SUM(I1204,L1204,N1204)&lt;&gt;0,SUM(I1204,L1204,N1204),"")</f>
        <v>6732.4</v>
      </c>
      <c r="Q1204" s="12"/>
    </row>
    <row r="1205" spans="1:28" ht="23.25" customHeight="1" x14ac:dyDescent="0.15">
      <c r="B1205" s="13" t="s">
        <v>2360</v>
      </c>
      <c r="D1205" s="12" t="s">
        <v>2361</v>
      </c>
      <c r="E1205" s="12"/>
      <c r="F1205" s="31"/>
      <c r="G1205" s="15"/>
      <c r="H1205" s="15"/>
      <c r="I1205" s="53">
        <f>TRUNC(SUM(I1201:I1204))</f>
        <v>6732</v>
      </c>
      <c r="J1205" s="15"/>
      <c r="K1205" s="15"/>
      <c r="L1205" s="53">
        <f>TRUNC(SUM(L1201:L1204))</f>
        <v>336621</v>
      </c>
      <c r="M1205" s="15"/>
      <c r="N1205" s="53">
        <f>TRUNC(SUM(N1201:N1204))</f>
        <v>0</v>
      </c>
      <c r="O1205" s="15" t="str">
        <f>IF((H1205+K1205+M1205)=0, "", (H1205+K1205+M1205))</f>
        <v/>
      </c>
      <c r="P1205" s="15">
        <f>IF(SUM(I1205,L1205,N1205)&lt;&gt;0,SUM(I1205,L1205,N1205),"")</f>
        <v>343353</v>
      </c>
      <c r="Q1205" s="12"/>
    </row>
    <row r="1206" spans="1:28" ht="23.25" customHeight="1" x14ac:dyDescent="0.15">
      <c r="D1206" s="12"/>
      <c r="E1206" s="12"/>
      <c r="F1206" s="31"/>
      <c r="G1206" s="15"/>
      <c r="H1206" s="15"/>
      <c r="I1206" s="53"/>
      <c r="J1206" s="15"/>
      <c r="K1206" s="15"/>
      <c r="L1206" s="53"/>
      <c r="M1206" s="15"/>
      <c r="N1206" s="53"/>
      <c r="O1206" s="15"/>
      <c r="P1206" s="15"/>
      <c r="Q1206" s="12"/>
    </row>
    <row r="1207" spans="1:28" ht="23.25" customHeight="1" x14ac:dyDescent="0.15">
      <c r="A1207" s="13" t="s">
        <v>2880</v>
      </c>
      <c r="B1207" s="13" t="s">
        <v>2382</v>
      </c>
      <c r="C1207" s="1" t="s">
        <v>2881</v>
      </c>
      <c r="D1207" s="170" t="s">
        <v>2879</v>
      </c>
      <c r="E1207" s="172"/>
      <c r="F1207" s="31"/>
      <c r="G1207" s="15"/>
      <c r="H1207" s="15"/>
      <c r="I1207" s="53"/>
      <c r="J1207" s="15"/>
      <c r="K1207" s="15"/>
      <c r="L1207" s="53"/>
      <c r="M1207" s="15"/>
      <c r="N1207" s="53"/>
      <c r="O1207" s="15"/>
      <c r="P1207" s="15"/>
      <c r="Q1207" s="12"/>
    </row>
    <row r="1208" spans="1:28" ht="23.25" customHeight="1" x14ac:dyDescent="0.15">
      <c r="A1208" s="13" t="s">
        <v>1307</v>
      </c>
      <c r="B1208" s="13" t="s">
        <v>2196</v>
      </c>
      <c r="C1208" s="1" t="s">
        <v>860</v>
      </c>
      <c r="D1208" s="12" t="s">
        <v>858</v>
      </c>
      <c r="E1208" s="12" t="s">
        <v>861</v>
      </c>
      <c r="F1208" s="31" t="s">
        <v>559</v>
      </c>
      <c r="G1208" s="15">
        <v>1</v>
      </c>
      <c r="H1208" s="15"/>
      <c r="I1208" s="53" t="str">
        <f>IF(G1208*H1208&lt;&gt;0, TRUNC(G1208*H1208, 1), "")</f>
        <v/>
      </c>
      <c r="J1208" s="15">
        <v>1</v>
      </c>
      <c r="K1208" s="15">
        <f>합산자재!I283</f>
        <v>0</v>
      </c>
      <c r="L1208" s="53" t="str">
        <f>IF(G1208*K1208&lt;&gt;0, TRUNC(G1208*K1208, 1), "")</f>
        <v/>
      </c>
      <c r="M1208" s="15">
        <f>합산자재!J283</f>
        <v>0</v>
      </c>
      <c r="N1208" s="53" t="str">
        <f>IF(G1208*M1208&lt;&gt;0, TRUNC(G1208*M1208, 1), "")</f>
        <v/>
      </c>
      <c r="O1208" s="15" t="str">
        <f>IF((H1208+K1208+M1208)=0, "", (H1208+K1208+M1208))</f>
        <v/>
      </c>
      <c r="P1208" s="15" t="str">
        <f>IF(SUM(I1208,L1208,N1208)&lt;&gt;0,SUM(I1208,L1208,N1208),"")</f>
        <v/>
      </c>
      <c r="Q1208" s="12" t="s">
        <v>2378</v>
      </c>
      <c r="AB1208" s="2">
        <f>합산자재!H283*J1208</f>
        <v>4948000</v>
      </c>
    </row>
    <row r="1209" spans="1:28" ht="23.25" customHeight="1" x14ac:dyDescent="0.15">
      <c r="A1209" s="13" t="s">
        <v>1372</v>
      </c>
      <c r="B1209" s="13" t="s">
        <v>2196</v>
      </c>
      <c r="C1209" s="1" t="s">
        <v>1002</v>
      </c>
      <c r="D1209" s="12" t="s">
        <v>1003</v>
      </c>
      <c r="E1209" s="12" t="s">
        <v>1004</v>
      </c>
      <c r="F1209" s="31" t="s">
        <v>999</v>
      </c>
      <c r="G1209" s="15">
        <f>일위노임!G554</f>
        <v>1.23</v>
      </c>
      <c r="H1209" s="15">
        <f>합산자재!H345</f>
        <v>0</v>
      </c>
      <c r="I1209" s="53" t="str">
        <f>IF(G1209*H1209&lt;&gt;0, TRUNC(G1209*H1209, 1), "")</f>
        <v/>
      </c>
      <c r="J1209" s="15">
        <v>1.23</v>
      </c>
      <c r="K1209" s="15">
        <f>합산자재!I345</f>
        <v>273676</v>
      </c>
      <c r="L1209" s="53">
        <f>IF(G1209*K1209&lt;&gt;0, TRUNC(G1209*K1209, 1), "")</f>
        <v>336621.4</v>
      </c>
      <c r="M1209" s="15">
        <f>합산자재!J345</f>
        <v>0</v>
      </c>
      <c r="N1209" s="53" t="str">
        <f>IF(G1209*M1209&lt;&gt;0, TRUNC(G1209*M1209, 1), "")</f>
        <v/>
      </c>
      <c r="O1209" s="15">
        <f>IF((H1209+K1209+M1209)=0, "", (H1209+K1209+M1209))</f>
        <v>273676</v>
      </c>
      <c r="P1209" s="15">
        <f>IF(SUM(I1209,L1209,N1209)&lt;&gt;0,SUM(I1209,L1209,N1209),"")</f>
        <v>336621.4</v>
      </c>
      <c r="Q1209" s="12"/>
    </row>
    <row r="1210" spans="1:28" ht="23.25" customHeight="1" x14ac:dyDescent="0.15">
      <c r="A1210" s="13" t="s">
        <v>2362</v>
      </c>
      <c r="B1210" s="13" t="s">
        <v>2196</v>
      </c>
      <c r="C1210" s="1" t="s">
        <v>2363</v>
      </c>
      <c r="D1210" s="12" t="s">
        <v>2364</v>
      </c>
      <c r="E1210" s="12" t="s">
        <v>2365</v>
      </c>
      <c r="F1210" s="31" t="s">
        <v>792</v>
      </c>
      <c r="G1210" s="15">
        <v>1</v>
      </c>
      <c r="H1210" s="15">
        <v>6732.4</v>
      </c>
      <c r="I1210" s="53">
        <f>IF(G1210*H1210&lt;&gt;0, TRUNC(G1210*H1210, 1), "")</f>
        <v>6732.4</v>
      </c>
      <c r="J1210" s="15">
        <v>1</v>
      </c>
      <c r="K1210" s="15"/>
      <c r="L1210" s="53" t="str">
        <f>IF(G1210*K1210&lt;&gt;0, TRUNC(G1210*K1210, 1), "")</f>
        <v/>
      </c>
      <c r="M1210" s="15"/>
      <c r="N1210" s="53" t="str">
        <f>IF(G1210*M1210&lt;&gt;0, TRUNC(G1210*M1210, 1), "")</f>
        <v/>
      </c>
      <c r="O1210" s="15">
        <f>IF((H1210+K1210+M1210)=0, "", (H1210+K1210+M1210))</f>
        <v>6732.4</v>
      </c>
      <c r="P1210" s="15">
        <f>IF(SUM(I1210,L1210,N1210)&lt;&gt;0,SUM(I1210,L1210,N1210),"")</f>
        <v>6732.4</v>
      </c>
      <c r="Q1210" s="12"/>
    </row>
    <row r="1211" spans="1:28" ht="23.25" customHeight="1" x14ac:dyDescent="0.15">
      <c r="B1211" s="13" t="s">
        <v>2360</v>
      </c>
      <c r="D1211" s="12" t="s">
        <v>2361</v>
      </c>
      <c r="E1211" s="12"/>
      <c r="F1211" s="31"/>
      <c r="G1211" s="15"/>
      <c r="H1211" s="15"/>
      <c r="I1211" s="53">
        <f>TRUNC(SUM(I1207:I1210))</f>
        <v>6732</v>
      </c>
      <c r="J1211" s="15"/>
      <c r="K1211" s="15"/>
      <c r="L1211" s="53">
        <f>TRUNC(SUM(L1207:L1210))</f>
        <v>336621</v>
      </c>
      <c r="M1211" s="15"/>
      <c r="N1211" s="53">
        <f>TRUNC(SUM(N1207:N1210))</f>
        <v>0</v>
      </c>
      <c r="O1211" s="15" t="str">
        <f>IF((H1211+K1211+M1211)=0, "", (H1211+K1211+M1211))</f>
        <v/>
      </c>
      <c r="P1211" s="15">
        <f>IF(SUM(I1211,L1211,N1211)&lt;&gt;0,SUM(I1211,L1211,N1211),"")</f>
        <v>343353</v>
      </c>
      <c r="Q1211" s="12"/>
    </row>
    <row r="1212" spans="1:28" ht="23.25" customHeight="1" x14ac:dyDescent="0.15">
      <c r="D1212" s="12"/>
      <c r="E1212" s="12"/>
      <c r="F1212" s="31"/>
      <c r="G1212" s="15"/>
      <c r="H1212" s="15"/>
      <c r="I1212" s="53"/>
      <c r="J1212" s="15"/>
      <c r="K1212" s="15"/>
      <c r="L1212" s="53"/>
      <c r="M1212" s="15"/>
      <c r="N1212" s="53"/>
      <c r="O1212" s="15"/>
      <c r="P1212" s="15"/>
      <c r="Q1212" s="12"/>
    </row>
    <row r="1213" spans="1:28" ht="23.25" customHeight="1" x14ac:dyDescent="0.15">
      <c r="A1213" s="13" t="s">
        <v>2883</v>
      </c>
      <c r="B1213" s="13" t="s">
        <v>2382</v>
      </c>
      <c r="C1213" s="1" t="s">
        <v>2884</v>
      </c>
      <c r="D1213" s="170" t="s">
        <v>2882</v>
      </c>
      <c r="E1213" s="172"/>
      <c r="F1213" s="31"/>
      <c r="G1213" s="15"/>
      <c r="H1213" s="15"/>
      <c r="I1213" s="53"/>
      <c r="J1213" s="15"/>
      <c r="K1213" s="15"/>
      <c r="L1213" s="53"/>
      <c r="M1213" s="15"/>
      <c r="N1213" s="53"/>
      <c r="O1213" s="15"/>
      <c r="P1213" s="15"/>
      <c r="Q1213" s="12"/>
    </row>
    <row r="1214" spans="1:28" ht="23.25" customHeight="1" x14ac:dyDescent="0.15">
      <c r="A1214" s="13" t="s">
        <v>1308</v>
      </c>
      <c r="B1214" s="13" t="s">
        <v>2199</v>
      </c>
      <c r="C1214" s="1" t="s">
        <v>862</v>
      </c>
      <c r="D1214" s="12" t="s">
        <v>858</v>
      </c>
      <c r="E1214" s="12" t="s">
        <v>863</v>
      </c>
      <c r="F1214" s="31" t="s">
        <v>559</v>
      </c>
      <c r="G1214" s="15">
        <v>1</v>
      </c>
      <c r="H1214" s="15"/>
      <c r="I1214" s="53" t="str">
        <f>IF(G1214*H1214&lt;&gt;0, TRUNC(G1214*H1214, 1), "")</f>
        <v/>
      </c>
      <c r="J1214" s="15">
        <v>1</v>
      </c>
      <c r="K1214" s="15">
        <f>합산자재!I284</f>
        <v>0</v>
      </c>
      <c r="L1214" s="53" t="str">
        <f>IF(G1214*K1214&lt;&gt;0, TRUNC(G1214*K1214, 1), "")</f>
        <v/>
      </c>
      <c r="M1214" s="15">
        <f>합산자재!J284</f>
        <v>0</v>
      </c>
      <c r="N1214" s="53" t="str">
        <f>IF(G1214*M1214&lt;&gt;0, TRUNC(G1214*M1214, 1), "")</f>
        <v/>
      </c>
      <c r="O1214" s="15" t="str">
        <f>IF((H1214+K1214+M1214)=0, "", (H1214+K1214+M1214))</f>
        <v/>
      </c>
      <c r="P1214" s="15" t="str">
        <f>IF(SUM(I1214,L1214,N1214)&lt;&gt;0,SUM(I1214,L1214,N1214),"")</f>
        <v/>
      </c>
      <c r="Q1214" s="12" t="s">
        <v>2378</v>
      </c>
      <c r="AB1214" s="2">
        <f>합산자재!H284*J1214</f>
        <v>4003000</v>
      </c>
    </row>
    <row r="1215" spans="1:28" ht="23.25" customHeight="1" x14ac:dyDescent="0.15">
      <c r="A1215" s="13" t="s">
        <v>1372</v>
      </c>
      <c r="B1215" s="13" t="s">
        <v>2199</v>
      </c>
      <c r="C1215" s="1" t="s">
        <v>1002</v>
      </c>
      <c r="D1215" s="12" t="s">
        <v>1003</v>
      </c>
      <c r="E1215" s="12" t="s">
        <v>1004</v>
      </c>
      <c r="F1215" s="31" t="s">
        <v>999</v>
      </c>
      <c r="G1215" s="15">
        <f>일위노임!G557</f>
        <v>1.23</v>
      </c>
      <c r="H1215" s="15">
        <f>합산자재!H345</f>
        <v>0</v>
      </c>
      <c r="I1215" s="53" t="str">
        <f>IF(G1215*H1215&lt;&gt;0, TRUNC(G1215*H1215, 1), "")</f>
        <v/>
      </c>
      <c r="J1215" s="15">
        <v>1.23</v>
      </c>
      <c r="K1215" s="15">
        <f>합산자재!I345</f>
        <v>273676</v>
      </c>
      <c r="L1215" s="53">
        <f>IF(G1215*K1215&lt;&gt;0, TRUNC(G1215*K1215, 1), "")</f>
        <v>336621.4</v>
      </c>
      <c r="M1215" s="15">
        <f>합산자재!J345</f>
        <v>0</v>
      </c>
      <c r="N1215" s="53" t="str">
        <f>IF(G1215*M1215&lt;&gt;0, TRUNC(G1215*M1215, 1), "")</f>
        <v/>
      </c>
      <c r="O1215" s="15">
        <f>IF((H1215+K1215+M1215)=0, "", (H1215+K1215+M1215))</f>
        <v>273676</v>
      </c>
      <c r="P1215" s="15">
        <f>IF(SUM(I1215,L1215,N1215)&lt;&gt;0,SUM(I1215,L1215,N1215),"")</f>
        <v>336621.4</v>
      </c>
      <c r="Q1215" s="12"/>
    </row>
    <row r="1216" spans="1:28" ht="23.25" customHeight="1" x14ac:dyDescent="0.15">
      <c r="A1216" s="13" t="s">
        <v>2362</v>
      </c>
      <c r="B1216" s="13" t="s">
        <v>2199</v>
      </c>
      <c r="C1216" s="1" t="s">
        <v>2363</v>
      </c>
      <c r="D1216" s="12" t="s">
        <v>2364</v>
      </c>
      <c r="E1216" s="12" t="s">
        <v>2365</v>
      </c>
      <c r="F1216" s="31" t="s">
        <v>792</v>
      </c>
      <c r="G1216" s="15">
        <v>1</v>
      </c>
      <c r="H1216" s="15">
        <v>6732.4</v>
      </c>
      <c r="I1216" s="53">
        <f>IF(G1216*H1216&lt;&gt;0, TRUNC(G1216*H1216, 1), "")</f>
        <v>6732.4</v>
      </c>
      <c r="J1216" s="15">
        <v>1</v>
      </c>
      <c r="K1216" s="15"/>
      <c r="L1216" s="53" t="str">
        <f>IF(G1216*K1216&lt;&gt;0, TRUNC(G1216*K1216, 1), "")</f>
        <v/>
      </c>
      <c r="M1216" s="15"/>
      <c r="N1216" s="53" t="str">
        <f>IF(G1216*M1216&lt;&gt;0, TRUNC(G1216*M1216, 1), "")</f>
        <v/>
      </c>
      <c r="O1216" s="15">
        <f>IF((H1216+K1216+M1216)=0, "", (H1216+K1216+M1216))</f>
        <v>6732.4</v>
      </c>
      <c r="P1216" s="15">
        <f>IF(SUM(I1216,L1216,N1216)&lt;&gt;0,SUM(I1216,L1216,N1216),"")</f>
        <v>6732.4</v>
      </c>
      <c r="Q1216" s="12"/>
    </row>
    <row r="1217" spans="1:28" ht="23.25" customHeight="1" x14ac:dyDescent="0.15">
      <c r="B1217" s="13" t="s">
        <v>2360</v>
      </c>
      <c r="D1217" s="12" t="s">
        <v>2361</v>
      </c>
      <c r="E1217" s="12"/>
      <c r="F1217" s="31"/>
      <c r="G1217" s="15"/>
      <c r="H1217" s="15"/>
      <c r="I1217" s="53">
        <f>TRUNC(SUM(I1213:I1216))</f>
        <v>6732</v>
      </c>
      <c r="J1217" s="15"/>
      <c r="K1217" s="15"/>
      <c r="L1217" s="53">
        <f>TRUNC(SUM(L1213:L1216))</f>
        <v>336621</v>
      </c>
      <c r="M1217" s="15"/>
      <c r="N1217" s="53">
        <f>TRUNC(SUM(N1213:N1216))</f>
        <v>0</v>
      </c>
      <c r="O1217" s="15" t="str">
        <f>IF((H1217+K1217+M1217)=0, "", (H1217+K1217+M1217))</f>
        <v/>
      </c>
      <c r="P1217" s="15">
        <f>IF(SUM(I1217,L1217,N1217)&lt;&gt;0,SUM(I1217,L1217,N1217),"")</f>
        <v>343353</v>
      </c>
      <c r="Q1217" s="12"/>
    </row>
    <row r="1218" spans="1:28" ht="23.25" customHeight="1" x14ac:dyDescent="0.15">
      <c r="D1218" s="12"/>
      <c r="E1218" s="12"/>
      <c r="F1218" s="31"/>
      <c r="G1218" s="15"/>
      <c r="H1218" s="15"/>
      <c r="I1218" s="53"/>
      <c r="J1218" s="15"/>
      <c r="K1218" s="15"/>
      <c r="L1218" s="53"/>
      <c r="M1218" s="15"/>
      <c r="N1218" s="53"/>
      <c r="O1218" s="15"/>
      <c r="P1218" s="15"/>
      <c r="Q1218" s="12"/>
    </row>
    <row r="1219" spans="1:28" ht="23.25" customHeight="1" x14ac:dyDescent="0.15">
      <c r="A1219" s="13" t="s">
        <v>2886</v>
      </c>
      <c r="B1219" s="13" t="s">
        <v>2382</v>
      </c>
      <c r="C1219" s="1" t="s">
        <v>2887</v>
      </c>
      <c r="D1219" s="170" t="s">
        <v>2885</v>
      </c>
      <c r="E1219" s="172"/>
      <c r="F1219" s="31"/>
      <c r="G1219" s="15"/>
      <c r="H1219" s="15"/>
      <c r="I1219" s="53"/>
      <c r="J1219" s="15"/>
      <c r="K1219" s="15"/>
      <c r="L1219" s="53"/>
      <c r="M1219" s="15"/>
      <c r="N1219" s="53"/>
      <c r="O1219" s="15"/>
      <c r="P1219" s="15"/>
      <c r="Q1219" s="12"/>
    </row>
    <row r="1220" spans="1:28" ht="23.25" customHeight="1" x14ac:dyDescent="0.15">
      <c r="A1220" s="13" t="s">
        <v>1309</v>
      </c>
      <c r="B1220" s="13" t="s">
        <v>2202</v>
      </c>
      <c r="C1220" s="1" t="s">
        <v>864</v>
      </c>
      <c r="D1220" s="12" t="s">
        <v>858</v>
      </c>
      <c r="E1220" s="12" t="s">
        <v>865</v>
      </c>
      <c r="F1220" s="31" t="s">
        <v>559</v>
      </c>
      <c r="G1220" s="15">
        <v>1</v>
      </c>
      <c r="H1220" s="15"/>
      <c r="I1220" s="53" t="str">
        <f>IF(G1220*H1220&lt;&gt;0, TRUNC(G1220*H1220, 1), "")</f>
        <v/>
      </c>
      <c r="J1220" s="15">
        <v>1</v>
      </c>
      <c r="K1220" s="15">
        <f>합산자재!I285</f>
        <v>0</v>
      </c>
      <c r="L1220" s="53" t="str">
        <f>IF(G1220*K1220&lt;&gt;0, TRUNC(G1220*K1220, 1), "")</f>
        <v/>
      </c>
      <c r="M1220" s="15">
        <f>합산자재!J285</f>
        <v>0</v>
      </c>
      <c r="N1220" s="53" t="str">
        <f>IF(G1220*M1220&lt;&gt;0, TRUNC(G1220*M1220, 1), "")</f>
        <v/>
      </c>
      <c r="O1220" s="15" t="str">
        <f>IF((H1220+K1220+M1220)=0, "", (H1220+K1220+M1220))</f>
        <v/>
      </c>
      <c r="P1220" s="15" t="str">
        <f>IF(SUM(I1220,L1220,N1220)&lt;&gt;0,SUM(I1220,L1220,N1220),"")</f>
        <v/>
      </c>
      <c r="Q1220" s="12" t="s">
        <v>2378</v>
      </c>
      <c r="AB1220" s="2">
        <f>합산자재!H285*J1220</f>
        <v>2901000</v>
      </c>
    </row>
    <row r="1221" spans="1:28" ht="23.25" customHeight="1" x14ac:dyDescent="0.15">
      <c r="A1221" s="13" t="s">
        <v>1372</v>
      </c>
      <c r="B1221" s="13" t="s">
        <v>2202</v>
      </c>
      <c r="C1221" s="1" t="s">
        <v>1002</v>
      </c>
      <c r="D1221" s="12" t="s">
        <v>1003</v>
      </c>
      <c r="E1221" s="12" t="s">
        <v>1004</v>
      </c>
      <c r="F1221" s="31" t="s">
        <v>999</v>
      </c>
      <c r="G1221" s="15">
        <f>일위노임!G560</f>
        <v>1.23</v>
      </c>
      <c r="H1221" s="15">
        <f>합산자재!H345</f>
        <v>0</v>
      </c>
      <c r="I1221" s="53" t="str">
        <f>IF(G1221*H1221&lt;&gt;0, TRUNC(G1221*H1221, 1), "")</f>
        <v/>
      </c>
      <c r="J1221" s="15">
        <v>1.23</v>
      </c>
      <c r="K1221" s="15">
        <f>합산자재!I345</f>
        <v>273676</v>
      </c>
      <c r="L1221" s="53">
        <f>IF(G1221*K1221&lt;&gt;0, TRUNC(G1221*K1221, 1), "")</f>
        <v>336621.4</v>
      </c>
      <c r="M1221" s="15">
        <f>합산자재!J345</f>
        <v>0</v>
      </c>
      <c r="N1221" s="53" t="str">
        <f>IF(G1221*M1221&lt;&gt;0, TRUNC(G1221*M1221, 1), "")</f>
        <v/>
      </c>
      <c r="O1221" s="15">
        <f>IF((H1221+K1221+M1221)=0, "", (H1221+K1221+M1221))</f>
        <v>273676</v>
      </c>
      <c r="P1221" s="15">
        <f>IF(SUM(I1221,L1221,N1221)&lt;&gt;0,SUM(I1221,L1221,N1221),"")</f>
        <v>336621.4</v>
      </c>
      <c r="Q1221" s="12"/>
    </row>
    <row r="1222" spans="1:28" ht="23.25" customHeight="1" x14ac:dyDescent="0.15">
      <c r="A1222" s="13" t="s">
        <v>2362</v>
      </c>
      <c r="B1222" s="13" t="s">
        <v>2202</v>
      </c>
      <c r="C1222" s="1" t="s">
        <v>2363</v>
      </c>
      <c r="D1222" s="12" t="s">
        <v>2364</v>
      </c>
      <c r="E1222" s="12" t="s">
        <v>2365</v>
      </c>
      <c r="F1222" s="31" t="s">
        <v>792</v>
      </c>
      <c r="G1222" s="15">
        <v>1</v>
      </c>
      <c r="H1222" s="15">
        <v>6732.4</v>
      </c>
      <c r="I1222" s="53">
        <f>IF(G1222*H1222&lt;&gt;0, TRUNC(G1222*H1222, 1), "")</f>
        <v>6732.4</v>
      </c>
      <c r="J1222" s="15">
        <v>1</v>
      </c>
      <c r="K1222" s="15"/>
      <c r="L1222" s="53" t="str">
        <f>IF(G1222*K1222&lt;&gt;0, TRUNC(G1222*K1222, 1), "")</f>
        <v/>
      </c>
      <c r="M1222" s="15"/>
      <c r="N1222" s="53" t="str">
        <f>IF(G1222*M1222&lt;&gt;0, TRUNC(G1222*M1222, 1), "")</f>
        <v/>
      </c>
      <c r="O1222" s="15">
        <f>IF((H1222+K1222+M1222)=0, "", (H1222+K1222+M1222))</f>
        <v>6732.4</v>
      </c>
      <c r="P1222" s="15">
        <f>IF(SUM(I1222,L1222,N1222)&lt;&gt;0,SUM(I1222,L1222,N1222),"")</f>
        <v>6732.4</v>
      </c>
      <c r="Q1222" s="12"/>
    </row>
    <row r="1223" spans="1:28" ht="23.25" customHeight="1" x14ac:dyDescent="0.15">
      <c r="B1223" s="13" t="s">
        <v>2360</v>
      </c>
      <c r="D1223" s="12" t="s">
        <v>2361</v>
      </c>
      <c r="E1223" s="12"/>
      <c r="F1223" s="31"/>
      <c r="G1223" s="15"/>
      <c r="H1223" s="15"/>
      <c r="I1223" s="53">
        <f>TRUNC(SUM(I1219:I1222))</f>
        <v>6732</v>
      </c>
      <c r="J1223" s="15"/>
      <c r="K1223" s="15"/>
      <c r="L1223" s="53">
        <f>TRUNC(SUM(L1219:L1222))</f>
        <v>336621</v>
      </c>
      <c r="M1223" s="15"/>
      <c r="N1223" s="53">
        <f>TRUNC(SUM(N1219:N1222))</f>
        <v>0</v>
      </c>
      <c r="O1223" s="15" t="str">
        <f>IF((H1223+K1223+M1223)=0, "", (H1223+K1223+M1223))</f>
        <v/>
      </c>
      <c r="P1223" s="15">
        <f>IF(SUM(I1223,L1223,N1223)&lt;&gt;0,SUM(I1223,L1223,N1223),"")</f>
        <v>343353</v>
      </c>
      <c r="Q1223" s="12"/>
    </row>
    <row r="1224" spans="1:28" ht="23.25" customHeight="1" x14ac:dyDescent="0.15">
      <c r="D1224" s="12"/>
      <c r="E1224" s="12"/>
      <c r="F1224" s="31"/>
      <c r="G1224" s="15"/>
      <c r="H1224" s="15"/>
      <c r="I1224" s="53"/>
      <c r="J1224" s="15"/>
      <c r="K1224" s="15"/>
      <c r="L1224" s="53"/>
      <c r="M1224" s="15"/>
      <c r="N1224" s="53"/>
      <c r="O1224" s="15"/>
      <c r="P1224" s="15"/>
      <c r="Q1224" s="12"/>
    </row>
    <row r="1225" spans="1:28" ht="23.25" customHeight="1" x14ac:dyDescent="0.15">
      <c r="A1225" s="13" t="s">
        <v>2889</v>
      </c>
      <c r="B1225" s="13" t="s">
        <v>2382</v>
      </c>
      <c r="C1225" s="1" t="s">
        <v>2890</v>
      </c>
      <c r="D1225" s="170" t="s">
        <v>2888</v>
      </c>
      <c r="E1225" s="172"/>
      <c r="F1225" s="31"/>
      <c r="G1225" s="15"/>
      <c r="H1225" s="15"/>
      <c r="I1225" s="53"/>
      <c r="J1225" s="15"/>
      <c r="K1225" s="15"/>
      <c r="L1225" s="53"/>
      <c r="M1225" s="15"/>
      <c r="N1225" s="53"/>
      <c r="O1225" s="15"/>
      <c r="P1225" s="15"/>
      <c r="Q1225" s="12"/>
    </row>
    <row r="1226" spans="1:28" ht="23.25" customHeight="1" x14ac:dyDescent="0.15">
      <c r="A1226" s="13" t="s">
        <v>1310</v>
      </c>
      <c r="B1226" s="13" t="s">
        <v>2205</v>
      </c>
      <c r="C1226" s="1" t="s">
        <v>866</v>
      </c>
      <c r="D1226" s="12" t="s">
        <v>858</v>
      </c>
      <c r="E1226" s="12" t="s">
        <v>867</v>
      </c>
      <c r="F1226" s="31" t="s">
        <v>559</v>
      </c>
      <c r="G1226" s="15">
        <v>1</v>
      </c>
      <c r="H1226" s="15"/>
      <c r="I1226" s="53" t="str">
        <f>IF(G1226*H1226&lt;&gt;0, TRUNC(G1226*H1226, 1), "")</f>
        <v/>
      </c>
      <c r="J1226" s="15">
        <v>1</v>
      </c>
      <c r="K1226" s="15">
        <f>합산자재!I286</f>
        <v>0</v>
      </c>
      <c r="L1226" s="53" t="str">
        <f>IF(G1226*K1226&lt;&gt;0, TRUNC(G1226*K1226, 1), "")</f>
        <v/>
      </c>
      <c r="M1226" s="15">
        <f>합산자재!J286</f>
        <v>0</v>
      </c>
      <c r="N1226" s="53" t="str">
        <f>IF(G1226*M1226&lt;&gt;0, TRUNC(G1226*M1226, 1), "")</f>
        <v/>
      </c>
      <c r="O1226" s="15" t="str">
        <f>IF((H1226+K1226+M1226)=0, "", (H1226+K1226+M1226))</f>
        <v/>
      </c>
      <c r="P1226" s="15" t="str">
        <f>IF(SUM(I1226,L1226,N1226)&lt;&gt;0,SUM(I1226,L1226,N1226),"")</f>
        <v/>
      </c>
      <c r="Q1226" s="12" t="s">
        <v>2378</v>
      </c>
      <c r="AB1226" s="2">
        <f>합산자재!H286*J1226</f>
        <v>3412000</v>
      </c>
    </row>
    <row r="1227" spans="1:28" ht="23.25" customHeight="1" x14ac:dyDescent="0.15">
      <c r="A1227" s="13" t="s">
        <v>1372</v>
      </c>
      <c r="B1227" s="13" t="s">
        <v>2205</v>
      </c>
      <c r="C1227" s="1" t="s">
        <v>1002</v>
      </c>
      <c r="D1227" s="12" t="s">
        <v>1003</v>
      </c>
      <c r="E1227" s="12" t="s">
        <v>1004</v>
      </c>
      <c r="F1227" s="31" t="s">
        <v>999</v>
      </c>
      <c r="G1227" s="15">
        <f>일위노임!G563</f>
        <v>1.23</v>
      </c>
      <c r="H1227" s="15">
        <f>합산자재!H345</f>
        <v>0</v>
      </c>
      <c r="I1227" s="53" t="str">
        <f>IF(G1227*H1227&lt;&gt;0, TRUNC(G1227*H1227, 1), "")</f>
        <v/>
      </c>
      <c r="J1227" s="15">
        <v>1.23</v>
      </c>
      <c r="K1227" s="15">
        <f>합산자재!I345</f>
        <v>273676</v>
      </c>
      <c r="L1227" s="53">
        <f>IF(G1227*K1227&lt;&gt;0, TRUNC(G1227*K1227, 1), "")</f>
        <v>336621.4</v>
      </c>
      <c r="M1227" s="15">
        <f>합산자재!J345</f>
        <v>0</v>
      </c>
      <c r="N1227" s="53" t="str">
        <f>IF(G1227*M1227&lt;&gt;0, TRUNC(G1227*M1227, 1), "")</f>
        <v/>
      </c>
      <c r="O1227" s="15">
        <f>IF((H1227+K1227+M1227)=0, "", (H1227+K1227+M1227))</f>
        <v>273676</v>
      </c>
      <c r="P1227" s="15">
        <f>IF(SUM(I1227,L1227,N1227)&lt;&gt;0,SUM(I1227,L1227,N1227),"")</f>
        <v>336621.4</v>
      </c>
      <c r="Q1227" s="12"/>
    </row>
    <row r="1228" spans="1:28" ht="23.25" customHeight="1" x14ac:dyDescent="0.15">
      <c r="A1228" s="13" t="s">
        <v>2362</v>
      </c>
      <c r="B1228" s="13" t="s">
        <v>2205</v>
      </c>
      <c r="C1228" s="1" t="s">
        <v>2363</v>
      </c>
      <c r="D1228" s="12" t="s">
        <v>2364</v>
      </c>
      <c r="E1228" s="12" t="s">
        <v>2365</v>
      </c>
      <c r="F1228" s="31" t="s">
        <v>792</v>
      </c>
      <c r="G1228" s="15">
        <v>1</v>
      </c>
      <c r="H1228" s="15">
        <v>6732.4</v>
      </c>
      <c r="I1228" s="53">
        <f>IF(G1228*H1228&lt;&gt;0, TRUNC(G1228*H1228, 1), "")</f>
        <v>6732.4</v>
      </c>
      <c r="J1228" s="15">
        <v>1</v>
      </c>
      <c r="K1228" s="15"/>
      <c r="L1228" s="53" t="str">
        <f>IF(G1228*K1228&lt;&gt;0, TRUNC(G1228*K1228, 1), "")</f>
        <v/>
      </c>
      <c r="M1228" s="15"/>
      <c r="N1228" s="53" t="str">
        <f>IF(G1228*M1228&lt;&gt;0, TRUNC(G1228*M1228, 1), "")</f>
        <v/>
      </c>
      <c r="O1228" s="15">
        <f>IF((H1228+K1228+M1228)=0, "", (H1228+K1228+M1228))</f>
        <v>6732.4</v>
      </c>
      <c r="P1228" s="15">
        <f>IF(SUM(I1228,L1228,N1228)&lt;&gt;0,SUM(I1228,L1228,N1228),"")</f>
        <v>6732.4</v>
      </c>
      <c r="Q1228" s="12"/>
    </row>
    <row r="1229" spans="1:28" ht="23.25" customHeight="1" x14ac:dyDescent="0.15">
      <c r="B1229" s="13" t="s">
        <v>2360</v>
      </c>
      <c r="D1229" s="12" t="s">
        <v>2361</v>
      </c>
      <c r="E1229" s="12"/>
      <c r="F1229" s="31"/>
      <c r="G1229" s="15"/>
      <c r="H1229" s="15"/>
      <c r="I1229" s="53">
        <f>TRUNC(SUM(I1225:I1228))</f>
        <v>6732</v>
      </c>
      <c r="J1229" s="15"/>
      <c r="K1229" s="15"/>
      <c r="L1229" s="53">
        <f>TRUNC(SUM(L1225:L1228))</f>
        <v>336621</v>
      </c>
      <c r="M1229" s="15"/>
      <c r="N1229" s="53">
        <f>TRUNC(SUM(N1225:N1228))</f>
        <v>0</v>
      </c>
      <c r="O1229" s="15" t="str">
        <f>IF((H1229+K1229+M1229)=0, "", (H1229+K1229+M1229))</f>
        <v/>
      </c>
      <c r="P1229" s="15">
        <f>IF(SUM(I1229,L1229,N1229)&lt;&gt;0,SUM(I1229,L1229,N1229),"")</f>
        <v>343353</v>
      </c>
      <c r="Q1229" s="12"/>
    </row>
    <row r="1230" spans="1:28" ht="23.25" customHeight="1" x14ac:dyDescent="0.15">
      <c r="D1230" s="12"/>
      <c r="E1230" s="12"/>
      <c r="F1230" s="31"/>
      <c r="G1230" s="15"/>
      <c r="H1230" s="15"/>
      <c r="I1230" s="53"/>
      <c r="J1230" s="15"/>
      <c r="K1230" s="15"/>
      <c r="L1230" s="53"/>
      <c r="M1230" s="15"/>
      <c r="N1230" s="53"/>
      <c r="O1230" s="15"/>
      <c r="P1230" s="15"/>
      <c r="Q1230" s="12"/>
    </row>
    <row r="1231" spans="1:28" ht="23.25" customHeight="1" x14ac:dyDescent="0.15">
      <c r="A1231" s="13" t="s">
        <v>2892</v>
      </c>
      <c r="B1231" s="13" t="s">
        <v>2382</v>
      </c>
      <c r="C1231" s="1" t="s">
        <v>2893</v>
      </c>
      <c r="D1231" s="170" t="s">
        <v>2891</v>
      </c>
      <c r="E1231" s="172"/>
      <c r="F1231" s="31"/>
      <c r="G1231" s="15"/>
      <c r="H1231" s="15"/>
      <c r="I1231" s="53"/>
      <c r="J1231" s="15"/>
      <c r="K1231" s="15"/>
      <c r="L1231" s="53"/>
      <c r="M1231" s="15"/>
      <c r="N1231" s="53"/>
      <c r="O1231" s="15"/>
      <c r="P1231" s="15"/>
      <c r="Q1231" s="12"/>
    </row>
    <row r="1232" spans="1:28" ht="23.25" customHeight="1" x14ac:dyDescent="0.15">
      <c r="A1232" s="13" t="s">
        <v>1311</v>
      </c>
      <c r="B1232" s="13" t="s">
        <v>2208</v>
      </c>
      <c r="C1232" s="1" t="s">
        <v>868</v>
      </c>
      <c r="D1232" s="12" t="s">
        <v>858</v>
      </c>
      <c r="E1232" s="12" t="s">
        <v>869</v>
      </c>
      <c r="F1232" s="31" t="s">
        <v>559</v>
      </c>
      <c r="G1232" s="15">
        <v>1</v>
      </c>
      <c r="H1232" s="15"/>
      <c r="I1232" s="53" t="str">
        <f>IF(G1232*H1232&lt;&gt;0, TRUNC(G1232*H1232, 1), "")</f>
        <v/>
      </c>
      <c r="J1232" s="15">
        <v>1</v>
      </c>
      <c r="K1232" s="15">
        <f>합산자재!I287</f>
        <v>0</v>
      </c>
      <c r="L1232" s="53" t="str">
        <f>IF(G1232*K1232&lt;&gt;0, TRUNC(G1232*K1232, 1), "")</f>
        <v/>
      </c>
      <c r="M1232" s="15">
        <f>합산자재!J287</f>
        <v>0</v>
      </c>
      <c r="N1232" s="53" t="str">
        <f>IF(G1232*M1232&lt;&gt;0, TRUNC(G1232*M1232, 1), "")</f>
        <v/>
      </c>
      <c r="O1232" s="15" t="str">
        <f>IF((H1232+K1232+M1232)=0, "", (H1232+K1232+M1232))</f>
        <v/>
      </c>
      <c r="P1232" s="15" t="str">
        <f>IF(SUM(I1232,L1232,N1232)&lt;&gt;0,SUM(I1232,L1232,N1232),"")</f>
        <v/>
      </c>
      <c r="Q1232" s="12" t="s">
        <v>2378</v>
      </c>
      <c r="AB1232" s="2">
        <f>합산자재!H287*J1232</f>
        <v>5193000</v>
      </c>
    </row>
    <row r="1233" spans="1:28" ht="23.25" customHeight="1" x14ac:dyDescent="0.15">
      <c r="A1233" s="13" t="s">
        <v>1372</v>
      </c>
      <c r="B1233" s="13" t="s">
        <v>2208</v>
      </c>
      <c r="C1233" s="1" t="s">
        <v>1002</v>
      </c>
      <c r="D1233" s="12" t="s">
        <v>1003</v>
      </c>
      <c r="E1233" s="12" t="s">
        <v>1004</v>
      </c>
      <c r="F1233" s="31" t="s">
        <v>999</v>
      </c>
      <c r="G1233" s="15">
        <f>일위노임!G566</f>
        <v>1.23</v>
      </c>
      <c r="H1233" s="15">
        <f>합산자재!H345</f>
        <v>0</v>
      </c>
      <c r="I1233" s="53" t="str">
        <f>IF(G1233*H1233&lt;&gt;0, TRUNC(G1233*H1233, 1), "")</f>
        <v/>
      </c>
      <c r="J1233" s="15">
        <v>1.23</v>
      </c>
      <c r="K1233" s="15">
        <f>합산자재!I345</f>
        <v>273676</v>
      </c>
      <c r="L1233" s="53">
        <f>IF(G1233*K1233&lt;&gt;0, TRUNC(G1233*K1233, 1), "")</f>
        <v>336621.4</v>
      </c>
      <c r="M1233" s="15">
        <f>합산자재!J345</f>
        <v>0</v>
      </c>
      <c r="N1233" s="53" t="str">
        <f>IF(G1233*M1233&lt;&gt;0, TRUNC(G1233*M1233, 1), "")</f>
        <v/>
      </c>
      <c r="O1233" s="15">
        <f>IF((H1233+K1233+M1233)=0, "", (H1233+K1233+M1233))</f>
        <v>273676</v>
      </c>
      <c r="P1233" s="15">
        <f>IF(SUM(I1233,L1233,N1233)&lt;&gt;0,SUM(I1233,L1233,N1233),"")</f>
        <v>336621.4</v>
      </c>
      <c r="Q1233" s="12"/>
    </row>
    <row r="1234" spans="1:28" ht="23.25" customHeight="1" x14ac:dyDescent="0.15">
      <c r="A1234" s="13" t="s">
        <v>2362</v>
      </c>
      <c r="B1234" s="13" t="s">
        <v>2208</v>
      </c>
      <c r="C1234" s="1" t="s">
        <v>2363</v>
      </c>
      <c r="D1234" s="12" t="s">
        <v>2364</v>
      </c>
      <c r="E1234" s="12" t="s">
        <v>2365</v>
      </c>
      <c r="F1234" s="31" t="s">
        <v>792</v>
      </c>
      <c r="G1234" s="15">
        <v>1</v>
      </c>
      <c r="H1234" s="15">
        <v>6732.4</v>
      </c>
      <c r="I1234" s="53">
        <f>IF(G1234*H1234&lt;&gt;0, TRUNC(G1234*H1234, 1), "")</f>
        <v>6732.4</v>
      </c>
      <c r="J1234" s="15">
        <v>1</v>
      </c>
      <c r="K1234" s="15"/>
      <c r="L1234" s="53" t="str">
        <f>IF(G1234*K1234&lt;&gt;0, TRUNC(G1234*K1234, 1), "")</f>
        <v/>
      </c>
      <c r="M1234" s="15"/>
      <c r="N1234" s="53" t="str">
        <f>IF(G1234*M1234&lt;&gt;0, TRUNC(G1234*M1234, 1), "")</f>
        <v/>
      </c>
      <c r="O1234" s="15">
        <f>IF((H1234+K1234+M1234)=0, "", (H1234+K1234+M1234))</f>
        <v>6732.4</v>
      </c>
      <c r="P1234" s="15">
        <f>IF(SUM(I1234,L1234,N1234)&lt;&gt;0,SUM(I1234,L1234,N1234),"")</f>
        <v>6732.4</v>
      </c>
      <c r="Q1234" s="12"/>
    </row>
    <row r="1235" spans="1:28" ht="23.25" customHeight="1" x14ac:dyDescent="0.15">
      <c r="B1235" s="13" t="s">
        <v>2360</v>
      </c>
      <c r="D1235" s="12" t="s">
        <v>2361</v>
      </c>
      <c r="E1235" s="12"/>
      <c r="F1235" s="31"/>
      <c r="G1235" s="15"/>
      <c r="H1235" s="15"/>
      <c r="I1235" s="53">
        <f>TRUNC(SUM(I1231:I1234))</f>
        <v>6732</v>
      </c>
      <c r="J1235" s="15"/>
      <c r="K1235" s="15"/>
      <c r="L1235" s="53">
        <f>TRUNC(SUM(L1231:L1234))</f>
        <v>336621</v>
      </c>
      <c r="M1235" s="15"/>
      <c r="N1235" s="53">
        <f>TRUNC(SUM(N1231:N1234))</f>
        <v>0</v>
      </c>
      <c r="O1235" s="15" t="str">
        <f>IF((H1235+K1235+M1235)=0, "", (H1235+K1235+M1235))</f>
        <v/>
      </c>
      <c r="P1235" s="15">
        <f>IF(SUM(I1235,L1235,N1235)&lt;&gt;0,SUM(I1235,L1235,N1235),"")</f>
        <v>343353</v>
      </c>
      <c r="Q1235" s="12"/>
    </row>
    <row r="1236" spans="1:28" ht="23.25" customHeight="1" x14ac:dyDescent="0.15">
      <c r="D1236" s="12"/>
      <c r="E1236" s="12"/>
      <c r="F1236" s="31"/>
      <c r="G1236" s="15"/>
      <c r="H1236" s="15"/>
      <c r="I1236" s="53"/>
      <c r="J1236" s="15"/>
      <c r="K1236" s="15"/>
      <c r="L1236" s="53"/>
      <c r="M1236" s="15"/>
      <c r="N1236" s="53"/>
      <c r="O1236" s="15"/>
      <c r="P1236" s="15"/>
      <c r="Q1236" s="12"/>
    </row>
    <row r="1237" spans="1:28" ht="23.25" customHeight="1" x14ac:dyDescent="0.15">
      <c r="A1237" s="13" t="s">
        <v>2895</v>
      </c>
      <c r="B1237" s="13" t="s">
        <v>2382</v>
      </c>
      <c r="C1237" s="1" t="s">
        <v>2896</v>
      </c>
      <c r="D1237" s="170" t="s">
        <v>2894</v>
      </c>
      <c r="E1237" s="172"/>
      <c r="F1237" s="31"/>
      <c r="G1237" s="15"/>
      <c r="H1237" s="15"/>
      <c r="I1237" s="53"/>
      <c r="J1237" s="15"/>
      <c r="K1237" s="15"/>
      <c r="L1237" s="53"/>
      <c r="M1237" s="15"/>
      <c r="N1237" s="53"/>
      <c r="O1237" s="15"/>
      <c r="P1237" s="15"/>
      <c r="Q1237" s="12"/>
    </row>
    <row r="1238" spans="1:28" ht="23.25" customHeight="1" x14ac:dyDescent="0.15">
      <c r="A1238" s="13" t="s">
        <v>1312</v>
      </c>
      <c r="B1238" s="13" t="s">
        <v>2211</v>
      </c>
      <c r="C1238" s="1" t="s">
        <v>870</v>
      </c>
      <c r="D1238" s="12" t="s">
        <v>858</v>
      </c>
      <c r="E1238" s="12" t="s">
        <v>871</v>
      </c>
      <c r="F1238" s="31" t="s">
        <v>559</v>
      </c>
      <c r="G1238" s="15">
        <v>1</v>
      </c>
      <c r="H1238" s="15"/>
      <c r="I1238" s="53" t="str">
        <f>IF(G1238*H1238&lt;&gt;0, TRUNC(G1238*H1238, 1), "")</f>
        <v/>
      </c>
      <c r="J1238" s="15">
        <v>1</v>
      </c>
      <c r="K1238" s="15">
        <f>합산자재!I288</f>
        <v>0</v>
      </c>
      <c r="L1238" s="53" t="str">
        <f>IF(G1238*K1238&lt;&gt;0, TRUNC(G1238*K1238, 1), "")</f>
        <v/>
      </c>
      <c r="M1238" s="15">
        <f>합산자재!J288</f>
        <v>0</v>
      </c>
      <c r="N1238" s="53" t="str">
        <f>IF(G1238*M1238&lt;&gt;0, TRUNC(G1238*M1238, 1), "")</f>
        <v/>
      </c>
      <c r="O1238" s="15" t="str">
        <f>IF((H1238+K1238+M1238)=0, "", (H1238+K1238+M1238))</f>
        <v/>
      </c>
      <c r="P1238" s="15" t="str">
        <f>IF(SUM(I1238,L1238,N1238)&lt;&gt;0,SUM(I1238,L1238,N1238),"")</f>
        <v/>
      </c>
      <c r="Q1238" s="12" t="s">
        <v>2378</v>
      </c>
      <c r="AB1238" s="2">
        <f>합산자재!H288*J1238</f>
        <v>3052000</v>
      </c>
    </row>
    <row r="1239" spans="1:28" ht="23.25" customHeight="1" x14ac:dyDescent="0.15">
      <c r="A1239" s="13" t="s">
        <v>1372</v>
      </c>
      <c r="B1239" s="13" t="s">
        <v>2211</v>
      </c>
      <c r="C1239" s="1" t="s">
        <v>1002</v>
      </c>
      <c r="D1239" s="12" t="s">
        <v>1003</v>
      </c>
      <c r="E1239" s="12" t="s">
        <v>1004</v>
      </c>
      <c r="F1239" s="31" t="s">
        <v>999</v>
      </c>
      <c r="G1239" s="15">
        <f>일위노임!G569</f>
        <v>1.23</v>
      </c>
      <c r="H1239" s="15">
        <f>합산자재!H345</f>
        <v>0</v>
      </c>
      <c r="I1239" s="53" t="str">
        <f>IF(G1239*H1239&lt;&gt;0, TRUNC(G1239*H1239, 1), "")</f>
        <v/>
      </c>
      <c r="J1239" s="15">
        <v>1.23</v>
      </c>
      <c r="K1239" s="15">
        <f>합산자재!I345</f>
        <v>273676</v>
      </c>
      <c r="L1239" s="53">
        <f>IF(G1239*K1239&lt;&gt;0, TRUNC(G1239*K1239, 1), "")</f>
        <v>336621.4</v>
      </c>
      <c r="M1239" s="15">
        <f>합산자재!J345</f>
        <v>0</v>
      </c>
      <c r="N1239" s="53" t="str">
        <f>IF(G1239*M1239&lt;&gt;0, TRUNC(G1239*M1239, 1), "")</f>
        <v/>
      </c>
      <c r="O1239" s="15">
        <f>IF((H1239+K1239+M1239)=0, "", (H1239+K1239+M1239))</f>
        <v>273676</v>
      </c>
      <c r="P1239" s="15">
        <f>IF(SUM(I1239,L1239,N1239)&lt;&gt;0,SUM(I1239,L1239,N1239),"")</f>
        <v>336621.4</v>
      </c>
      <c r="Q1239" s="12"/>
    </row>
    <row r="1240" spans="1:28" ht="23.25" customHeight="1" x14ac:dyDescent="0.15">
      <c r="A1240" s="13" t="s">
        <v>2362</v>
      </c>
      <c r="B1240" s="13" t="s">
        <v>2211</v>
      </c>
      <c r="C1240" s="1" t="s">
        <v>2363</v>
      </c>
      <c r="D1240" s="12" t="s">
        <v>2364</v>
      </c>
      <c r="E1240" s="12" t="s">
        <v>2365</v>
      </c>
      <c r="F1240" s="31" t="s">
        <v>792</v>
      </c>
      <c r="G1240" s="15">
        <v>1</v>
      </c>
      <c r="H1240" s="15">
        <v>6732.4</v>
      </c>
      <c r="I1240" s="53">
        <f>IF(G1240*H1240&lt;&gt;0, TRUNC(G1240*H1240, 1), "")</f>
        <v>6732.4</v>
      </c>
      <c r="J1240" s="15">
        <v>1</v>
      </c>
      <c r="K1240" s="15"/>
      <c r="L1240" s="53" t="str">
        <f>IF(G1240*K1240&lt;&gt;0, TRUNC(G1240*K1240, 1), "")</f>
        <v/>
      </c>
      <c r="M1240" s="15"/>
      <c r="N1240" s="53" t="str">
        <f>IF(G1240*M1240&lt;&gt;0, TRUNC(G1240*M1240, 1), "")</f>
        <v/>
      </c>
      <c r="O1240" s="15">
        <f>IF((H1240+K1240+M1240)=0, "", (H1240+K1240+M1240))</f>
        <v>6732.4</v>
      </c>
      <c r="P1240" s="15">
        <f>IF(SUM(I1240,L1240,N1240)&lt;&gt;0,SUM(I1240,L1240,N1240),"")</f>
        <v>6732.4</v>
      </c>
      <c r="Q1240" s="12"/>
    </row>
    <row r="1241" spans="1:28" ht="23.25" customHeight="1" x14ac:dyDescent="0.15">
      <c r="B1241" s="13" t="s">
        <v>2360</v>
      </c>
      <c r="D1241" s="12" t="s">
        <v>2361</v>
      </c>
      <c r="E1241" s="12"/>
      <c r="F1241" s="31"/>
      <c r="G1241" s="15"/>
      <c r="H1241" s="15"/>
      <c r="I1241" s="53">
        <f>TRUNC(SUM(I1237:I1240))</f>
        <v>6732</v>
      </c>
      <c r="J1241" s="15"/>
      <c r="K1241" s="15"/>
      <c r="L1241" s="53">
        <f>TRUNC(SUM(L1237:L1240))</f>
        <v>336621</v>
      </c>
      <c r="M1241" s="15"/>
      <c r="N1241" s="53">
        <f>TRUNC(SUM(N1237:N1240))</f>
        <v>0</v>
      </c>
      <c r="O1241" s="15" t="str">
        <f>IF((H1241+K1241+M1241)=0, "", (H1241+K1241+M1241))</f>
        <v/>
      </c>
      <c r="P1241" s="15">
        <f>IF(SUM(I1241,L1241,N1241)&lt;&gt;0,SUM(I1241,L1241,N1241),"")</f>
        <v>343353</v>
      </c>
      <c r="Q1241" s="12"/>
    </row>
    <row r="1242" spans="1:28" ht="23.25" customHeight="1" x14ac:dyDescent="0.15">
      <c r="D1242" s="12"/>
      <c r="E1242" s="12"/>
      <c r="F1242" s="31"/>
      <c r="G1242" s="15"/>
      <c r="H1242" s="15"/>
      <c r="I1242" s="53"/>
      <c r="J1242" s="15"/>
      <c r="K1242" s="15"/>
      <c r="L1242" s="53"/>
      <c r="M1242" s="15"/>
      <c r="N1242" s="53"/>
      <c r="O1242" s="15"/>
      <c r="P1242" s="15"/>
      <c r="Q1242" s="12"/>
    </row>
    <row r="1243" spans="1:28" ht="23.25" customHeight="1" x14ac:dyDescent="0.15">
      <c r="A1243" s="13" t="s">
        <v>2898</v>
      </c>
      <c r="B1243" s="13" t="s">
        <v>2382</v>
      </c>
      <c r="C1243" s="1" t="s">
        <v>2899</v>
      </c>
      <c r="D1243" s="170" t="s">
        <v>2897</v>
      </c>
      <c r="E1243" s="172"/>
      <c r="F1243" s="31"/>
      <c r="G1243" s="15"/>
      <c r="H1243" s="15"/>
      <c r="I1243" s="53"/>
      <c r="J1243" s="15"/>
      <c r="K1243" s="15"/>
      <c r="L1243" s="53"/>
      <c r="M1243" s="15"/>
      <c r="N1243" s="53"/>
      <c r="O1243" s="15"/>
      <c r="P1243" s="15"/>
      <c r="Q1243" s="12"/>
    </row>
    <row r="1244" spans="1:28" ht="23.25" customHeight="1" x14ac:dyDescent="0.15">
      <c r="A1244" s="13" t="s">
        <v>1313</v>
      </c>
      <c r="B1244" s="13" t="s">
        <v>2214</v>
      </c>
      <c r="C1244" s="1" t="s">
        <v>872</v>
      </c>
      <c r="D1244" s="12" t="s">
        <v>858</v>
      </c>
      <c r="E1244" s="12" t="s">
        <v>873</v>
      </c>
      <c r="F1244" s="31" t="s">
        <v>559</v>
      </c>
      <c r="G1244" s="15">
        <v>1</v>
      </c>
      <c r="H1244" s="15"/>
      <c r="I1244" s="53" t="str">
        <f>IF(G1244*H1244&lt;&gt;0, TRUNC(G1244*H1244, 1), "")</f>
        <v/>
      </c>
      <c r="J1244" s="15">
        <v>1</v>
      </c>
      <c r="K1244" s="15">
        <f>합산자재!I289</f>
        <v>0</v>
      </c>
      <c r="L1244" s="53" t="str">
        <f>IF(G1244*K1244&lt;&gt;0, TRUNC(G1244*K1244, 1), "")</f>
        <v/>
      </c>
      <c r="M1244" s="15">
        <f>합산자재!J289</f>
        <v>0</v>
      </c>
      <c r="N1244" s="53" t="str">
        <f>IF(G1244*M1244&lt;&gt;0, TRUNC(G1244*M1244, 1), "")</f>
        <v/>
      </c>
      <c r="O1244" s="15" t="str">
        <f>IF((H1244+K1244+M1244)=0, "", (H1244+K1244+M1244))</f>
        <v/>
      </c>
      <c r="P1244" s="15" t="str">
        <f>IF(SUM(I1244,L1244,N1244)&lt;&gt;0,SUM(I1244,L1244,N1244),"")</f>
        <v/>
      </c>
      <c r="Q1244" s="12" t="s">
        <v>2378</v>
      </c>
      <c r="AB1244" s="2">
        <f>합산자재!H289*J1244</f>
        <v>4254000</v>
      </c>
    </row>
    <row r="1245" spans="1:28" ht="23.25" customHeight="1" x14ac:dyDescent="0.15">
      <c r="A1245" s="13" t="s">
        <v>1372</v>
      </c>
      <c r="B1245" s="13" t="s">
        <v>2214</v>
      </c>
      <c r="C1245" s="1" t="s">
        <v>1002</v>
      </c>
      <c r="D1245" s="12" t="s">
        <v>1003</v>
      </c>
      <c r="E1245" s="12" t="s">
        <v>1004</v>
      </c>
      <c r="F1245" s="31" t="s">
        <v>999</v>
      </c>
      <c r="G1245" s="15">
        <f>일위노임!G572</f>
        <v>1.23</v>
      </c>
      <c r="H1245" s="15">
        <f>합산자재!H345</f>
        <v>0</v>
      </c>
      <c r="I1245" s="53" t="str">
        <f>IF(G1245*H1245&lt;&gt;0, TRUNC(G1245*H1245, 1), "")</f>
        <v/>
      </c>
      <c r="J1245" s="15">
        <v>1.23</v>
      </c>
      <c r="K1245" s="15">
        <f>합산자재!I345</f>
        <v>273676</v>
      </c>
      <c r="L1245" s="53">
        <f>IF(G1245*K1245&lt;&gt;0, TRUNC(G1245*K1245, 1), "")</f>
        <v>336621.4</v>
      </c>
      <c r="M1245" s="15">
        <f>합산자재!J345</f>
        <v>0</v>
      </c>
      <c r="N1245" s="53" t="str">
        <f>IF(G1245*M1245&lt;&gt;0, TRUNC(G1245*M1245, 1), "")</f>
        <v/>
      </c>
      <c r="O1245" s="15">
        <f>IF((H1245+K1245+M1245)=0, "", (H1245+K1245+M1245))</f>
        <v>273676</v>
      </c>
      <c r="P1245" s="15">
        <f>IF(SUM(I1245,L1245,N1245)&lt;&gt;0,SUM(I1245,L1245,N1245),"")</f>
        <v>336621.4</v>
      </c>
      <c r="Q1245" s="12"/>
    </row>
    <row r="1246" spans="1:28" ht="23.25" customHeight="1" x14ac:dyDescent="0.15">
      <c r="A1246" s="13" t="s">
        <v>2362</v>
      </c>
      <c r="B1246" s="13" t="s">
        <v>2214</v>
      </c>
      <c r="C1246" s="1" t="s">
        <v>2363</v>
      </c>
      <c r="D1246" s="12" t="s">
        <v>2364</v>
      </c>
      <c r="E1246" s="12" t="s">
        <v>2365</v>
      </c>
      <c r="F1246" s="31" t="s">
        <v>792</v>
      </c>
      <c r="G1246" s="15">
        <v>1</v>
      </c>
      <c r="H1246" s="15">
        <v>6732.4</v>
      </c>
      <c r="I1246" s="53">
        <f>IF(G1246*H1246&lt;&gt;0, TRUNC(G1246*H1246, 1), "")</f>
        <v>6732.4</v>
      </c>
      <c r="J1246" s="15">
        <v>1</v>
      </c>
      <c r="K1246" s="15"/>
      <c r="L1246" s="53" t="str">
        <f>IF(G1246*K1246&lt;&gt;0, TRUNC(G1246*K1246, 1), "")</f>
        <v/>
      </c>
      <c r="M1246" s="15"/>
      <c r="N1246" s="53" t="str">
        <f>IF(G1246*M1246&lt;&gt;0, TRUNC(G1246*M1246, 1), "")</f>
        <v/>
      </c>
      <c r="O1246" s="15">
        <f>IF((H1246+K1246+M1246)=0, "", (H1246+K1246+M1246))</f>
        <v>6732.4</v>
      </c>
      <c r="P1246" s="15">
        <f>IF(SUM(I1246,L1246,N1246)&lt;&gt;0,SUM(I1246,L1246,N1246),"")</f>
        <v>6732.4</v>
      </c>
      <c r="Q1246" s="12"/>
    </row>
    <row r="1247" spans="1:28" ht="23.25" customHeight="1" x14ac:dyDescent="0.15">
      <c r="B1247" s="13" t="s">
        <v>2360</v>
      </c>
      <c r="D1247" s="12" t="s">
        <v>2361</v>
      </c>
      <c r="E1247" s="12"/>
      <c r="F1247" s="31"/>
      <c r="G1247" s="15"/>
      <c r="H1247" s="15"/>
      <c r="I1247" s="53">
        <f>TRUNC(SUM(I1243:I1246))</f>
        <v>6732</v>
      </c>
      <c r="J1247" s="15"/>
      <c r="K1247" s="15"/>
      <c r="L1247" s="53">
        <f>TRUNC(SUM(L1243:L1246))</f>
        <v>336621</v>
      </c>
      <c r="M1247" s="15"/>
      <c r="N1247" s="53">
        <f>TRUNC(SUM(N1243:N1246))</f>
        <v>0</v>
      </c>
      <c r="O1247" s="15" t="str">
        <f>IF((H1247+K1247+M1247)=0, "", (H1247+K1247+M1247))</f>
        <v/>
      </c>
      <c r="P1247" s="15">
        <f>IF(SUM(I1247,L1247,N1247)&lt;&gt;0,SUM(I1247,L1247,N1247),"")</f>
        <v>343353</v>
      </c>
      <c r="Q1247" s="12"/>
    </row>
    <row r="1248" spans="1:28" ht="23.25" customHeight="1" x14ac:dyDescent="0.15">
      <c r="D1248" s="12"/>
      <c r="E1248" s="12"/>
      <c r="F1248" s="31"/>
      <c r="G1248" s="15"/>
      <c r="H1248" s="15"/>
      <c r="I1248" s="53"/>
      <c r="J1248" s="15"/>
      <c r="K1248" s="15"/>
      <c r="L1248" s="53"/>
      <c r="M1248" s="15"/>
      <c r="N1248" s="53"/>
      <c r="O1248" s="15"/>
      <c r="P1248" s="15"/>
      <c r="Q1248" s="12"/>
    </row>
    <row r="1249" spans="1:28" ht="23.25" customHeight="1" x14ac:dyDescent="0.15">
      <c r="A1249" s="13" t="s">
        <v>2901</v>
      </c>
      <c r="B1249" s="13" t="s">
        <v>2382</v>
      </c>
      <c r="C1249" s="1" t="s">
        <v>2902</v>
      </c>
      <c r="D1249" s="170" t="s">
        <v>2900</v>
      </c>
      <c r="E1249" s="172"/>
      <c r="F1249" s="31"/>
      <c r="G1249" s="15"/>
      <c r="H1249" s="15"/>
      <c r="I1249" s="53"/>
      <c r="J1249" s="15"/>
      <c r="K1249" s="15"/>
      <c r="L1249" s="53"/>
      <c r="M1249" s="15"/>
      <c r="N1249" s="53"/>
      <c r="O1249" s="15"/>
      <c r="P1249" s="15"/>
      <c r="Q1249" s="12"/>
    </row>
    <row r="1250" spans="1:28" ht="23.25" customHeight="1" x14ac:dyDescent="0.15">
      <c r="A1250" s="13" t="s">
        <v>1314</v>
      </c>
      <c r="B1250" s="13" t="s">
        <v>2217</v>
      </c>
      <c r="C1250" s="1" t="s">
        <v>874</v>
      </c>
      <c r="D1250" s="12" t="s">
        <v>858</v>
      </c>
      <c r="E1250" s="12" t="s">
        <v>875</v>
      </c>
      <c r="F1250" s="31" t="s">
        <v>559</v>
      </c>
      <c r="G1250" s="15">
        <v>1</v>
      </c>
      <c r="H1250" s="15"/>
      <c r="I1250" s="53" t="str">
        <f>IF(G1250*H1250&lt;&gt;0, TRUNC(G1250*H1250, 1), "")</f>
        <v/>
      </c>
      <c r="J1250" s="15">
        <v>1</v>
      </c>
      <c r="K1250" s="15">
        <f>합산자재!I290</f>
        <v>0</v>
      </c>
      <c r="L1250" s="53" t="str">
        <f>IF(G1250*K1250&lt;&gt;0, TRUNC(G1250*K1250, 1), "")</f>
        <v/>
      </c>
      <c r="M1250" s="15">
        <f>합산자재!J290</f>
        <v>0</v>
      </c>
      <c r="N1250" s="53" t="str">
        <f>IF(G1250*M1250&lt;&gt;0, TRUNC(G1250*M1250, 1), "")</f>
        <v/>
      </c>
      <c r="O1250" s="15" t="str">
        <f>IF((H1250+K1250+M1250)=0, "", (H1250+K1250+M1250))</f>
        <v/>
      </c>
      <c r="P1250" s="15" t="str">
        <f>IF(SUM(I1250,L1250,N1250)&lt;&gt;0,SUM(I1250,L1250,N1250),"")</f>
        <v/>
      </c>
      <c r="Q1250" s="12" t="s">
        <v>2378</v>
      </c>
      <c r="AB1250" s="2">
        <f>합산자재!H290*J1250</f>
        <v>2575000</v>
      </c>
    </row>
    <row r="1251" spans="1:28" ht="23.25" customHeight="1" x14ac:dyDescent="0.15">
      <c r="A1251" s="13" t="s">
        <v>1372</v>
      </c>
      <c r="B1251" s="13" t="s">
        <v>2217</v>
      </c>
      <c r="C1251" s="1" t="s">
        <v>1002</v>
      </c>
      <c r="D1251" s="12" t="s">
        <v>1003</v>
      </c>
      <c r="E1251" s="12" t="s">
        <v>1004</v>
      </c>
      <c r="F1251" s="31" t="s">
        <v>999</v>
      </c>
      <c r="G1251" s="15">
        <f>일위노임!G575</f>
        <v>1.23</v>
      </c>
      <c r="H1251" s="15">
        <f>합산자재!H345</f>
        <v>0</v>
      </c>
      <c r="I1251" s="53" t="str">
        <f>IF(G1251*H1251&lt;&gt;0, TRUNC(G1251*H1251, 1), "")</f>
        <v/>
      </c>
      <c r="J1251" s="15">
        <v>1.23</v>
      </c>
      <c r="K1251" s="15">
        <f>합산자재!I345</f>
        <v>273676</v>
      </c>
      <c r="L1251" s="53">
        <f>IF(G1251*K1251&lt;&gt;0, TRUNC(G1251*K1251, 1), "")</f>
        <v>336621.4</v>
      </c>
      <c r="M1251" s="15">
        <f>합산자재!J345</f>
        <v>0</v>
      </c>
      <c r="N1251" s="53" t="str">
        <f>IF(G1251*M1251&lt;&gt;0, TRUNC(G1251*M1251, 1), "")</f>
        <v/>
      </c>
      <c r="O1251" s="15">
        <f>IF((H1251+K1251+M1251)=0, "", (H1251+K1251+M1251))</f>
        <v>273676</v>
      </c>
      <c r="P1251" s="15">
        <f>IF(SUM(I1251,L1251,N1251)&lt;&gt;0,SUM(I1251,L1251,N1251),"")</f>
        <v>336621.4</v>
      </c>
      <c r="Q1251" s="12"/>
    </row>
    <row r="1252" spans="1:28" ht="23.25" customHeight="1" x14ac:dyDescent="0.15">
      <c r="A1252" s="13" t="s">
        <v>2362</v>
      </c>
      <c r="B1252" s="13" t="s">
        <v>2217</v>
      </c>
      <c r="C1252" s="1" t="s">
        <v>2363</v>
      </c>
      <c r="D1252" s="12" t="s">
        <v>2364</v>
      </c>
      <c r="E1252" s="12" t="s">
        <v>2365</v>
      </c>
      <c r="F1252" s="31" t="s">
        <v>792</v>
      </c>
      <c r="G1252" s="15">
        <v>1</v>
      </c>
      <c r="H1252" s="15">
        <v>6732.4</v>
      </c>
      <c r="I1252" s="53">
        <f>IF(G1252*H1252&lt;&gt;0, TRUNC(G1252*H1252, 1), "")</f>
        <v>6732.4</v>
      </c>
      <c r="J1252" s="15">
        <v>1</v>
      </c>
      <c r="K1252" s="15"/>
      <c r="L1252" s="53" t="str">
        <f>IF(G1252*K1252&lt;&gt;0, TRUNC(G1252*K1252, 1), "")</f>
        <v/>
      </c>
      <c r="M1252" s="15"/>
      <c r="N1252" s="53" t="str">
        <f>IF(G1252*M1252&lt;&gt;0, TRUNC(G1252*M1252, 1), "")</f>
        <v/>
      </c>
      <c r="O1252" s="15">
        <f>IF((H1252+K1252+M1252)=0, "", (H1252+K1252+M1252))</f>
        <v>6732.4</v>
      </c>
      <c r="P1252" s="15">
        <f>IF(SUM(I1252,L1252,N1252)&lt;&gt;0,SUM(I1252,L1252,N1252),"")</f>
        <v>6732.4</v>
      </c>
      <c r="Q1252" s="12"/>
    </row>
    <row r="1253" spans="1:28" ht="23.25" customHeight="1" x14ac:dyDescent="0.15">
      <c r="B1253" s="13" t="s">
        <v>2360</v>
      </c>
      <c r="D1253" s="12" t="s">
        <v>2361</v>
      </c>
      <c r="E1253" s="12"/>
      <c r="F1253" s="31"/>
      <c r="G1253" s="15"/>
      <c r="H1253" s="15"/>
      <c r="I1253" s="53">
        <f>TRUNC(SUM(I1249:I1252))</f>
        <v>6732</v>
      </c>
      <c r="J1253" s="15"/>
      <c r="K1253" s="15"/>
      <c r="L1253" s="53">
        <f>TRUNC(SUM(L1249:L1252))</f>
        <v>336621</v>
      </c>
      <c r="M1253" s="15"/>
      <c r="N1253" s="53">
        <f>TRUNC(SUM(N1249:N1252))</f>
        <v>0</v>
      </c>
      <c r="O1253" s="15" t="str">
        <f>IF((H1253+K1253+M1253)=0, "", (H1253+K1253+M1253))</f>
        <v/>
      </c>
      <c r="P1253" s="15">
        <f>IF(SUM(I1253,L1253,N1253)&lt;&gt;0,SUM(I1253,L1253,N1253),"")</f>
        <v>343353</v>
      </c>
      <c r="Q1253" s="12"/>
    </row>
    <row r="1254" spans="1:28" ht="23.25" customHeight="1" x14ac:dyDescent="0.15">
      <c r="D1254" s="12"/>
      <c r="E1254" s="12"/>
      <c r="F1254" s="31"/>
      <c r="G1254" s="15"/>
      <c r="H1254" s="15"/>
      <c r="I1254" s="53"/>
      <c r="J1254" s="15"/>
      <c r="K1254" s="15"/>
      <c r="L1254" s="53"/>
      <c r="M1254" s="15"/>
      <c r="N1254" s="53"/>
      <c r="O1254" s="15"/>
      <c r="P1254" s="15"/>
      <c r="Q1254" s="12"/>
    </row>
    <row r="1255" spans="1:28" ht="23.25" customHeight="1" x14ac:dyDescent="0.15">
      <c r="A1255" s="13" t="s">
        <v>2904</v>
      </c>
      <c r="B1255" s="13" t="s">
        <v>2382</v>
      </c>
      <c r="C1255" s="1" t="s">
        <v>2905</v>
      </c>
      <c r="D1255" s="170" t="s">
        <v>2903</v>
      </c>
      <c r="E1255" s="172"/>
      <c r="F1255" s="31"/>
      <c r="G1255" s="15"/>
      <c r="H1255" s="15"/>
      <c r="I1255" s="53"/>
      <c r="J1255" s="15"/>
      <c r="K1255" s="15"/>
      <c r="L1255" s="53"/>
      <c r="M1255" s="15"/>
      <c r="N1255" s="53"/>
      <c r="O1255" s="15"/>
      <c r="P1255" s="15"/>
      <c r="Q1255" s="12"/>
    </row>
    <row r="1256" spans="1:28" ht="23.25" customHeight="1" x14ac:dyDescent="0.15">
      <c r="A1256" s="13" t="s">
        <v>1315</v>
      </c>
      <c r="B1256" s="13" t="s">
        <v>2220</v>
      </c>
      <c r="C1256" s="1" t="s">
        <v>876</v>
      </c>
      <c r="D1256" s="12" t="s">
        <v>858</v>
      </c>
      <c r="E1256" s="12" t="s">
        <v>877</v>
      </c>
      <c r="F1256" s="31" t="s">
        <v>559</v>
      </c>
      <c r="G1256" s="15">
        <v>1</v>
      </c>
      <c r="H1256" s="15"/>
      <c r="I1256" s="53" t="str">
        <f>IF(G1256*H1256&lt;&gt;0, TRUNC(G1256*H1256, 1), "")</f>
        <v/>
      </c>
      <c r="J1256" s="15">
        <v>1</v>
      </c>
      <c r="K1256" s="15">
        <f>합산자재!I291</f>
        <v>0</v>
      </c>
      <c r="L1256" s="53" t="str">
        <f>IF(G1256*K1256&lt;&gt;0, TRUNC(G1256*K1256, 1), "")</f>
        <v/>
      </c>
      <c r="M1256" s="15">
        <f>합산자재!J291</f>
        <v>0</v>
      </c>
      <c r="N1256" s="53" t="str">
        <f>IF(G1256*M1256&lt;&gt;0, TRUNC(G1256*M1256, 1), "")</f>
        <v/>
      </c>
      <c r="O1256" s="15" t="str">
        <f>IF((H1256+K1256+M1256)=0, "", (H1256+K1256+M1256))</f>
        <v/>
      </c>
      <c r="P1256" s="15" t="str">
        <f>IF(SUM(I1256,L1256,N1256)&lt;&gt;0,SUM(I1256,L1256,N1256),"")</f>
        <v/>
      </c>
      <c r="Q1256" s="12" t="s">
        <v>2378</v>
      </c>
      <c r="AB1256" s="2">
        <f>합산자재!H291*J1256</f>
        <v>2040000</v>
      </c>
    </row>
    <row r="1257" spans="1:28" ht="23.25" customHeight="1" x14ac:dyDescent="0.15">
      <c r="A1257" s="13" t="s">
        <v>1372</v>
      </c>
      <c r="B1257" s="13" t="s">
        <v>2220</v>
      </c>
      <c r="C1257" s="1" t="s">
        <v>1002</v>
      </c>
      <c r="D1257" s="12" t="s">
        <v>1003</v>
      </c>
      <c r="E1257" s="12" t="s">
        <v>1004</v>
      </c>
      <c r="F1257" s="31" t="s">
        <v>999</v>
      </c>
      <c r="G1257" s="15">
        <f>일위노임!G578</f>
        <v>1.23</v>
      </c>
      <c r="H1257" s="15">
        <f>합산자재!H345</f>
        <v>0</v>
      </c>
      <c r="I1257" s="53" t="str">
        <f>IF(G1257*H1257&lt;&gt;0, TRUNC(G1257*H1257, 1), "")</f>
        <v/>
      </c>
      <c r="J1257" s="15">
        <v>1.23</v>
      </c>
      <c r="K1257" s="15">
        <f>합산자재!I345</f>
        <v>273676</v>
      </c>
      <c r="L1257" s="53">
        <f>IF(G1257*K1257&lt;&gt;0, TRUNC(G1257*K1257, 1), "")</f>
        <v>336621.4</v>
      </c>
      <c r="M1257" s="15">
        <f>합산자재!J345</f>
        <v>0</v>
      </c>
      <c r="N1257" s="53" t="str">
        <f>IF(G1257*M1257&lt;&gt;0, TRUNC(G1257*M1257, 1), "")</f>
        <v/>
      </c>
      <c r="O1257" s="15">
        <f>IF((H1257+K1257+M1257)=0, "", (H1257+K1257+M1257))</f>
        <v>273676</v>
      </c>
      <c r="P1257" s="15">
        <f>IF(SUM(I1257,L1257,N1257)&lt;&gt;0,SUM(I1257,L1257,N1257),"")</f>
        <v>336621.4</v>
      </c>
      <c r="Q1257" s="12"/>
    </row>
    <row r="1258" spans="1:28" ht="23.25" customHeight="1" x14ac:dyDescent="0.15">
      <c r="A1258" s="13" t="s">
        <v>2362</v>
      </c>
      <c r="B1258" s="13" t="s">
        <v>2220</v>
      </c>
      <c r="C1258" s="1" t="s">
        <v>2363</v>
      </c>
      <c r="D1258" s="12" t="s">
        <v>2364</v>
      </c>
      <c r="E1258" s="12" t="s">
        <v>2365</v>
      </c>
      <c r="F1258" s="31" t="s">
        <v>792</v>
      </c>
      <c r="G1258" s="15">
        <v>1</v>
      </c>
      <c r="H1258" s="15">
        <v>6732.4</v>
      </c>
      <c r="I1258" s="53">
        <f>IF(G1258*H1258&lt;&gt;0, TRUNC(G1258*H1258, 1), "")</f>
        <v>6732.4</v>
      </c>
      <c r="J1258" s="15">
        <v>1</v>
      </c>
      <c r="K1258" s="15"/>
      <c r="L1258" s="53" t="str">
        <f>IF(G1258*K1258&lt;&gt;0, TRUNC(G1258*K1258, 1), "")</f>
        <v/>
      </c>
      <c r="M1258" s="15"/>
      <c r="N1258" s="53" t="str">
        <f>IF(G1258*M1258&lt;&gt;0, TRUNC(G1258*M1258, 1), "")</f>
        <v/>
      </c>
      <c r="O1258" s="15">
        <f>IF((H1258+K1258+M1258)=0, "", (H1258+K1258+M1258))</f>
        <v>6732.4</v>
      </c>
      <c r="P1258" s="15">
        <f>IF(SUM(I1258,L1258,N1258)&lt;&gt;0,SUM(I1258,L1258,N1258),"")</f>
        <v>6732.4</v>
      </c>
      <c r="Q1258" s="12"/>
    </row>
    <row r="1259" spans="1:28" ht="23.25" customHeight="1" x14ac:dyDescent="0.15">
      <c r="B1259" s="13" t="s">
        <v>2360</v>
      </c>
      <c r="D1259" s="12" t="s">
        <v>2361</v>
      </c>
      <c r="E1259" s="12"/>
      <c r="F1259" s="31"/>
      <c r="G1259" s="15"/>
      <c r="H1259" s="15"/>
      <c r="I1259" s="53">
        <f>TRUNC(SUM(I1255:I1258))</f>
        <v>6732</v>
      </c>
      <c r="J1259" s="15"/>
      <c r="K1259" s="15"/>
      <c r="L1259" s="53">
        <f>TRUNC(SUM(L1255:L1258))</f>
        <v>336621</v>
      </c>
      <c r="M1259" s="15"/>
      <c r="N1259" s="53">
        <f>TRUNC(SUM(N1255:N1258))</f>
        <v>0</v>
      </c>
      <c r="O1259" s="15" t="str">
        <f>IF((H1259+K1259+M1259)=0, "", (H1259+K1259+M1259))</f>
        <v/>
      </c>
      <c r="P1259" s="15">
        <f>IF(SUM(I1259,L1259,N1259)&lt;&gt;0,SUM(I1259,L1259,N1259),"")</f>
        <v>343353</v>
      </c>
      <c r="Q1259" s="12"/>
    </row>
    <row r="1260" spans="1:28" ht="23.25" customHeight="1" x14ac:dyDescent="0.15">
      <c r="D1260" s="12"/>
      <c r="E1260" s="12"/>
      <c r="F1260" s="31"/>
      <c r="G1260" s="15"/>
      <c r="H1260" s="15"/>
      <c r="I1260" s="53"/>
      <c r="J1260" s="15"/>
      <c r="K1260" s="15"/>
      <c r="L1260" s="53"/>
      <c r="M1260" s="15"/>
      <c r="N1260" s="53"/>
      <c r="O1260" s="15"/>
      <c r="P1260" s="15"/>
      <c r="Q1260" s="12"/>
    </row>
    <row r="1261" spans="1:28" ht="23.25" customHeight="1" x14ac:dyDescent="0.15">
      <c r="A1261" s="13" t="s">
        <v>2907</v>
      </c>
      <c r="B1261" s="13" t="s">
        <v>2382</v>
      </c>
      <c r="C1261" s="1" t="s">
        <v>2908</v>
      </c>
      <c r="D1261" s="170" t="s">
        <v>2906</v>
      </c>
      <c r="E1261" s="172"/>
      <c r="F1261" s="31"/>
      <c r="G1261" s="15"/>
      <c r="H1261" s="15"/>
      <c r="I1261" s="53"/>
      <c r="J1261" s="15"/>
      <c r="K1261" s="15"/>
      <c r="L1261" s="53"/>
      <c r="M1261" s="15"/>
      <c r="N1261" s="53"/>
      <c r="O1261" s="15"/>
      <c r="P1261" s="15"/>
      <c r="Q1261" s="12"/>
    </row>
    <row r="1262" spans="1:28" ht="23.25" customHeight="1" x14ac:dyDescent="0.15">
      <c r="A1262" s="13" t="s">
        <v>1316</v>
      </c>
      <c r="B1262" s="13" t="s">
        <v>2223</v>
      </c>
      <c r="C1262" s="1" t="s">
        <v>878</v>
      </c>
      <c r="D1262" s="12" t="s">
        <v>858</v>
      </c>
      <c r="E1262" s="12" t="s">
        <v>879</v>
      </c>
      <c r="F1262" s="31" t="s">
        <v>559</v>
      </c>
      <c r="G1262" s="15">
        <v>1</v>
      </c>
      <c r="H1262" s="15"/>
      <c r="I1262" s="53" t="str">
        <f>IF(G1262*H1262&lt;&gt;0, TRUNC(G1262*H1262, 1), "")</f>
        <v/>
      </c>
      <c r="J1262" s="15">
        <v>1</v>
      </c>
      <c r="K1262" s="15">
        <f>합산자재!I292</f>
        <v>0</v>
      </c>
      <c r="L1262" s="53" t="str">
        <f>IF(G1262*K1262&lt;&gt;0, TRUNC(G1262*K1262, 1), "")</f>
        <v/>
      </c>
      <c r="M1262" s="15">
        <f>합산자재!J292</f>
        <v>0</v>
      </c>
      <c r="N1262" s="53" t="str">
        <f>IF(G1262*M1262&lt;&gt;0, TRUNC(G1262*M1262, 1), "")</f>
        <v/>
      </c>
      <c r="O1262" s="15" t="str">
        <f>IF((H1262+K1262+M1262)=0, "", (H1262+K1262+M1262))</f>
        <v/>
      </c>
      <c r="P1262" s="15" t="str">
        <f>IF(SUM(I1262,L1262,N1262)&lt;&gt;0,SUM(I1262,L1262,N1262),"")</f>
        <v/>
      </c>
      <c r="Q1262" s="12" t="s">
        <v>2378</v>
      </c>
      <c r="AB1262" s="2">
        <f>합산자재!H292*J1262</f>
        <v>3412000</v>
      </c>
    </row>
    <row r="1263" spans="1:28" ht="23.25" customHeight="1" x14ac:dyDescent="0.15">
      <c r="A1263" s="13" t="s">
        <v>1372</v>
      </c>
      <c r="B1263" s="13" t="s">
        <v>2223</v>
      </c>
      <c r="C1263" s="1" t="s">
        <v>1002</v>
      </c>
      <c r="D1263" s="12" t="s">
        <v>1003</v>
      </c>
      <c r="E1263" s="12" t="s">
        <v>1004</v>
      </c>
      <c r="F1263" s="31" t="s">
        <v>999</v>
      </c>
      <c r="G1263" s="15">
        <f>일위노임!G581</f>
        <v>1.23</v>
      </c>
      <c r="H1263" s="15">
        <f>합산자재!H345</f>
        <v>0</v>
      </c>
      <c r="I1263" s="53" t="str">
        <f>IF(G1263*H1263&lt;&gt;0, TRUNC(G1263*H1263, 1), "")</f>
        <v/>
      </c>
      <c r="J1263" s="15">
        <v>1.23</v>
      </c>
      <c r="K1263" s="15">
        <f>합산자재!I345</f>
        <v>273676</v>
      </c>
      <c r="L1263" s="53">
        <f>IF(G1263*K1263&lt;&gt;0, TRUNC(G1263*K1263, 1), "")</f>
        <v>336621.4</v>
      </c>
      <c r="M1263" s="15">
        <f>합산자재!J345</f>
        <v>0</v>
      </c>
      <c r="N1263" s="53" t="str">
        <f>IF(G1263*M1263&lt;&gt;0, TRUNC(G1263*M1263, 1), "")</f>
        <v/>
      </c>
      <c r="O1263" s="15">
        <f>IF((H1263+K1263+M1263)=0, "", (H1263+K1263+M1263))</f>
        <v>273676</v>
      </c>
      <c r="P1263" s="15">
        <f>IF(SUM(I1263,L1263,N1263)&lt;&gt;0,SUM(I1263,L1263,N1263),"")</f>
        <v>336621.4</v>
      </c>
      <c r="Q1263" s="12"/>
    </row>
    <row r="1264" spans="1:28" ht="23.25" customHeight="1" x14ac:dyDescent="0.15">
      <c r="A1264" s="13" t="s">
        <v>2362</v>
      </c>
      <c r="B1264" s="13" t="s">
        <v>2223</v>
      </c>
      <c r="C1264" s="1" t="s">
        <v>2363</v>
      </c>
      <c r="D1264" s="12" t="s">
        <v>2364</v>
      </c>
      <c r="E1264" s="12" t="s">
        <v>2365</v>
      </c>
      <c r="F1264" s="31" t="s">
        <v>792</v>
      </c>
      <c r="G1264" s="15">
        <v>1</v>
      </c>
      <c r="H1264" s="15">
        <v>6732.4</v>
      </c>
      <c r="I1264" s="53">
        <f>IF(G1264*H1264&lt;&gt;0, TRUNC(G1264*H1264, 1), "")</f>
        <v>6732.4</v>
      </c>
      <c r="J1264" s="15">
        <v>1</v>
      </c>
      <c r="K1264" s="15"/>
      <c r="L1264" s="53" t="str">
        <f>IF(G1264*K1264&lt;&gt;0, TRUNC(G1264*K1264, 1), "")</f>
        <v/>
      </c>
      <c r="M1264" s="15"/>
      <c r="N1264" s="53" t="str">
        <f>IF(G1264*M1264&lt;&gt;0, TRUNC(G1264*M1264, 1), "")</f>
        <v/>
      </c>
      <c r="O1264" s="15">
        <f>IF((H1264+K1264+M1264)=0, "", (H1264+K1264+M1264))</f>
        <v>6732.4</v>
      </c>
      <c r="P1264" s="15">
        <f>IF(SUM(I1264,L1264,N1264)&lt;&gt;0,SUM(I1264,L1264,N1264),"")</f>
        <v>6732.4</v>
      </c>
      <c r="Q1264" s="12"/>
    </row>
    <row r="1265" spans="1:28" ht="23.25" customHeight="1" x14ac:dyDescent="0.15">
      <c r="B1265" s="13" t="s">
        <v>2360</v>
      </c>
      <c r="D1265" s="12" t="s">
        <v>2361</v>
      </c>
      <c r="E1265" s="12"/>
      <c r="F1265" s="31"/>
      <c r="G1265" s="15"/>
      <c r="H1265" s="15"/>
      <c r="I1265" s="53">
        <f>TRUNC(SUM(I1261:I1264))</f>
        <v>6732</v>
      </c>
      <c r="J1265" s="15"/>
      <c r="K1265" s="15"/>
      <c r="L1265" s="53">
        <f>TRUNC(SUM(L1261:L1264))</f>
        <v>336621</v>
      </c>
      <c r="M1265" s="15"/>
      <c r="N1265" s="53">
        <f>TRUNC(SUM(N1261:N1264))</f>
        <v>0</v>
      </c>
      <c r="O1265" s="15" t="str">
        <f>IF((H1265+K1265+M1265)=0, "", (H1265+K1265+M1265))</f>
        <v/>
      </c>
      <c r="P1265" s="15">
        <f>IF(SUM(I1265,L1265,N1265)&lt;&gt;0,SUM(I1265,L1265,N1265),"")</f>
        <v>343353</v>
      </c>
      <c r="Q1265" s="12"/>
    </row>
    <row r="1266" spans="1:28" ht="23.25" customHeight="1" x14ac:dyDescent="0.15">
      <c r="D1266" s="12"/>
      <c r="E1266" s="12"/>
      <c r="F1266" s="31"/>
      <c r="G1266" s="15"/>
      <c r="H1266" s="15"/>
      <c r="I1266" s="53"/>
      <c r="J1266" s="15"/>
      <c r="K1266" s="15"/>
      <c r="L1266" s="53"/>
      <c r="M1266" s="15"/>
      <c r="N1266" s="53"/>
      <c r="O1266" s="15"/>
      <c r="P1266" s="15"/>
      <c r="Q1266" s="12"/>
    </row>
    <row r="1267" spans="1:28" ht="23.25" customHeight="1" x14ac:dyDescent="0.15">
      <c r="A1267" s="13" t="s">
        <v>2910</v>
      </c>
      <c r="B1267" s="13" t="s">
        <v>2382</v>
      </c>
      <c r="C1267" s="1" t="s">
        <v>2911</v>
      </c>
      <c r="D1267" s="170" t="s">
        <v>2909</v>
      </c>
      <c r="E1267" s="172"/>
      <c r="F1267" s="31"/>
      <c r="G1267" s="15"/>
      <c r="H1267" s="15"/>
      <c r="I1267" s="53"/>
      <c r="J1267" s="15"/>
      <c r="K1267" s="15"/>
      <c r="L1267" s="53"/>
      <c r="M1267" s="15"/>
      <c r="N1267" s="53"/>
      <c r="O1267" s="15"/>
      <c r="P1267" s="15"/>
      <c r="Q1267" s="12"/>
    </row>
    <row r="1268" spans="1:28" ht="23.25" customHeight="1" x14ac:dyDescent="0.15">
      <c r="A1268" s="13" t="s">
        <v>1317</v>
      </c>
      <c r="B1268" s="13" t="s">
        <v>2226</v>
      </c>
      <c r="C1268" s="1" t="s">
        <v>880</v>
      </c>
      <c r="D1268" s="12" t="s">
        <v>858</v>
      </c>
      <c r="E1268" s="12" t="s">
        <v>881</v>
      </c>
      <c r="F1268" s="31" t="s">
        <v>559</v>
      </c>
      <c r="G1268" s="15">
        <v>1</v>
      </c>
      <c r="H1268" s="15"/>
      <c r="I1268" s="53" t="str">
        <f>IF(G1268*H1268&lt;&gt;0, TRUNC(G1268*H1268, 1), "")</f>
        <v/>
      </c>
      <c r="J1268" s="15">
        <v>1</v>
      </c>
      <c r="K1268" s="15">
        <f>합산자재!I293</f>
        <v>0</v>
      </c>
      <c r="L1268" s="53" t="str">
        <f>IF(G1268*K1268&lt;&gt;0, TRUNC(G1268*K1268, 1), "")</f>
        <v/>
      </c>
      <c r="M1268" s="15">
        <f>합산자재!J293</f>
        <v>0</v>
      </c>
      <c r="N1268" s="53" t="str">
        <f>IF(G1268*M1268&lt;&gt;0, TRUNC(G1268*M1268, 1), "")</f>
        <v/>
      </c>
      <c r="O1268" s="15" t="str">
        <f>IF((H1268+K1268+M1268)=0, "", (H1268+K1268+M1268))</f>
        <v/>
      </c>
      <c r="P1268" s="15" t="str">
        <f>IF(SUM(I1268,L1268,N1268)&lt;&gt;0,SUM(I1268,L1268,N1268),"")</f>
        <v/>
      </c>
      <c r="Q1268" s="12" t="s">
        <v>2378</v>
      </c>
      <c r="AB1268" s="2">
        <f>합산자재!H293*J1268</f>
        <v>5193000</v>
      </c>
    </row>
    <row r="1269" spans="1:28" ht="23.25" customHeight="1" x14ac:dyDescent="0.15">
      <c r="A1269" s="13" t="s">
        <v>1372</v>
      </c>
      <c r="B1269" s="13" t="s">
        <v>2226</v>
      </c>
      <c r="C1269" s="1" t="s">
        <v>1002</v>
      </c>
      <c r="D1269" s="12" t="s">
        <v>1003</v>
      </c>
      <c r="E1269" s="12" t="s">
        <v>1004</v>
      </c>
      <c r="F1269" s="31" t="s">
        <v>999</v>
      </c>
      <c r="G1269" s="15">
        <f>일위노임!G584</f>
        <v>1.23</v>
      </c>
      <c r="H1269" s="15">
        <f>합산자재!H345</f>
        <v>0</v>
      </c>
      <c r="I1269" s="53" t="str">
        <f>IF(G1269*H1269&lt;&gt;0, TRUNC(G1269*H1269, 1), "")</f>
        <v/>
      </c>
      <c r="J1269" s="15">
        <v>1.23</v>
      </c>
      <c r="K1269" s="15">
        <f>합산자재!I345</f>
        <v>273676</v>
      </c>
      <c r="L1269" s="53">
        <f>IF(G1269*K1269&lt;&gt;0, TRUNC(G1269*K1269, 1), "")</f>
        <v>336621.4</v>
      </c>
      <c r="M1269" s="15">
        <f>합산자재!J345</f>
        <v>0</v>
      </c>
      <c r="N1269" s="53" t="str">
        <f>IF(G1269*M1269&lt;&gt;0, TRUNC(G1269*M1269, 1), "")</f>
        <v/>
      </c>
      <c r="O1269" s="15">
        <f>IF((H1269+K1269+M1269)=0, "", (H1269+K1269+M1269))</f>
        <v>273676</v>
      </c>
      <c r="P1269" s="15">
        <f>IF(SUM(I1269,L1269,N1269)&lt;&gt;0,SUM(I1269,L1269,N1269),"")</f>
        <v>336621.4</v>
      </c>
      <c r="Q1269" s="12"/>
    </row>
    <row r="1270" spans="1:28" ht="23.25" customHeight="1" x14ac:dyDescent="0.15">
      <c r="A1270" s="13" t="s">
        <v>2362</v>
      </c>
      <c r="B1270" s="13" t="s">
        <v>2226</v>
      </c>
      <c r="C1270" s="1" t="s">
        <v>2363</v>
      </c>
      <c r="D1270" s="12" t="s">
        <v>2364</v>
      </c>
      <c r="E1270" s="12" t="s">
        <v>2365</v>
      </c>
      <c r="F1270" s="31" t="s">
        <v>792</v>
      </c>
      <c r="G1270" s="15">
        <v>1</v>
      </c>
      <c r="H1270" s="15">
        <v>6732.4</v>
      </c>
      <c r="I1270" s="53">
        <f>IF(G1270*H1270&lt;&gt;0, TRUNC(G1270*H1270, 1), "")</f>
        <v>6732.4</v>
      </c>
      <c r="J1270" s="15">
        <v>1</v>
      </c>
      <c r="K1270" s="15"/>
      <c r="L1270" s="53" t="str">
        <f>IF(G1270*K1270&lt;&gt;0, TRUNC(G1270*K1270, 1), "")</f>
        <v/>
      </c>
      <c r="M1270" s="15"/>
      <c r="N1270" s="53" t="str">
        <f>IF(G1270*M1270&lt;&gt;0, TRUNC(G1270*M1270, 1), "")</f>
        <v/>
      </c>
      <c r="O1270" s="15">
        <f>IF((H1270+K1270+M1270)=0, "", (H1270+K1270+M1270))</f>
        <v>6732.4</v>
      </c>
      <c r="P1270" s="15">
        <f>IF(SUM(I1270,L1270,N1270)&lt;&gt;0,SUM(I1270,L1270,N1270),"")</f>
        <v>6732.4</v>
      </c>
      <c r="Q1270" s="12"/>
    </row>
    <row r="1271" spans="1:28" ht="23.25" customHeight="1" x14ac:dyDescent="0.15">
      <c r="B1271" s="13" t="s">
        <v>2360</v>
      </c>
      <c r="D1271" s="12" t="s">
        <v>2361</v>
      </c>
      <c r="E1271" s="12"/>
      <c r="F1271" s="31"/>
      <c r="G1271" s="15"/>
      <c r="H1271" s="15"/>
      <c r="I1271" s="53">
        <f>TRUNC(SUM(I1267:I1270))</f>
        <v>6732</v>
      </c>
      <c r="J1271" s="15"/>
      <c r="K1271" s="15"/>
      <c r="L1271" s="53">
        <f>TRUNC(SUM(L1267:L1270))</f>
        <v>336621</v>
      </c>
      <c r="M1271" s="15"/>
      <c r="N1271" s="53">
        <f>TRUNC(SUM(N1267:N1270))</f>
        <v>0</v>
      </c>
      <c r="O1271" s="15" t="str">
        <f>IF((H1271+K1271+M1271)=0, "", (H1271+K1271+M1271))</f>
        <v/>
      </c>
      <c r="P1271" s="15">
        <f>IF(SUM(I1271,L1271,N1271)&lt;&gt;0,SUM(I1271,L1271,N1271),"")</f>
        <v>343353</v>
      </c>
      <c r="Q1271" s="12"/>
    </row>
    <row r="1272" spans="1:28" ht="23.25" customHeight="1" x14ac:dyDescent="0.15">
      <c r="D1272" s="12"/>
      <c r="E1272" s="12"/>
      <c r="F1272" s="31"/>
      <c r="G1272" s="15"/>
      <c r="H1272" s="15"/>
      <c r="I1272" s="53"/>
      <c r="J1272" s="15"/>
      <c r="K1272" s="15"/>
      <c r="L1272" s="53"/>
      <c r="M1272" s="15"/>
      <c r="N1272" s="53"/>
      <c r="O1272" s="15"/>
      <c r="P1272" s="15"/>
      <c r="Q1272" s="12"/>
    </row>
    <row r="1273" spans="1:28" ht="23.25" customHeight="1" x14ac:dyDescent="0.15">
      <c r="A1273" s="13" t="s">
        <v>2913</v>
      </c>
      <c r="B1273" s="13" t="s">
        <v>2382</v>
      </c>
      <c r="C1273" s="1" t="s">
        <v>2914</v>
      </c>
      <c r="D1273" s="170" t="s">
        <v>2912</v>
      </c>
      <c r="E1273" s="172"/>
      <c r="F1273" s="31"/>
      <c r="G1273" s="15"/>
      <c r="H1273" s="15"/>
      <c r="I1273" s="53"/>
      <c r="J1273" s="15"/>
      <c r="K1273" s="15"/>
      <c r="L1273" s="53"/>
      <c r="M1273" s="15"/>
      <c r="N1273" s="53"/>
      <c r="O1273" s="15"/>
      <c r="P1273" s="15"/>
      <c r="Q1273" s="12"/>
    </row>
    <row r="1274" spans="1:28" ht="23.25" customHeight="1" x14ac:dyDescent="0.15">
      <c r="A1274" s="13" t="s">
        <v>1318</v>
      </c>
      <c r="B1274" s="13" t="s">
        <v>2229</v>
      </c>
      <c r="C1274" s="1" t="s">
        <v>882</v>
      </c>
      <c r="D1274" s="12" t="s">
        <v>858</v>
      </c>
      <c r="E1274" s="12" t="s">
        <v>883</v>
      </c>
      <c r="F1274" s="31" t="s">
        <v>559</v>
      </c>
      <c r="G1274" s="15">
        <v>1</v>
      </c>
      <c r="H1274" s="15"/>
      <c r="I1274" s="53" t="str">
        <f>IF(G1274*H1274&lt;&gt;0, TRUNC(G1274*H1274, 1), "")</f>
        <v/>
      </c>
      <c r="J1274" s="15">
        <v>1</v>
      </c>
      <c r="K1274" s="15">
        <f>합산자재!I294</f>
        <v>0</v>
      </c>
      <c r="L1274" s="53" t="str">
        <f>IF(G1274*K1274&lt;&gt;0, TRUNC(G1274*K1274, 1), "")</f>
        <v/>
      </c>
      <c r="M1274" s="15">
        <f>합산자재!J294</f>
        <v>0</v>
      </c>
      <c r="N1274" s="53" t="str">
        <f>IF(G1274*M1274&lt;&gt;0, TRUNC(G1274*M1274, 1), "")</f>
        <v/>
      </c>
      <c r="O1274" s="15" t="str">
        <f>IF((H1274+K1274+M1274)=0, "", (H1274+K1274+M1274))</f>
        <v/>
      </c>
      <c r="P1274" s="15" t="str">
        <f>IF(SUM(I1274,L1274,N1274)&lt;&gt;0,SUM(I1274,L1274,N1274),"")</f>
        <v/>
      </c>
      <c r="Q1274" s="12" t="s">
        <v>2378</v>
      </c>
      <c r="AB1274" s="2">
        <f>합산자재!H294*J1274</f>
        <v>4355000</v>
      </c>
    </row>
    <row r="1275" spans="1:28" ht="23.25" customHeight="1" x14ac:dyDescent="0.15">
      <c r="A1275" s="13" t="s">
        <v>1372</v>
      </c>
      <c r="B1275" s="13" t="s">
        <v>2229</v>
      </c>
      <c r="C1275" s="1" t="s">
        <v>1002</v>
      </c>
      <c r="D1275" s="12" t="s">
        <v>1003</v>
      </c>
      <c r="E1275" s="12" t="s">
        <v>1004</v>
      </c>
      <c r="F1275" s="31" t="s">
        <v>999</v>
      </c>
      <c r="G1275" s="15">
        <f>일위노임!G587</f>
        <v>1.23</v>
      </c>
      <c r="H1275" s="15">
        <f>합산자재!H345</f>
        <v>0</v>
      </c>
      <c r="I1275" s="53" t="str">
        <f>IF(G1275*H1275&lt;&gt;0, TRUNC(G1275*H1275, 1), "")</f>
        <v/>
      </c>
      <c r="J1275" s="15">
        <v>1.23</v>
      </c>
      <c r="K1275" s="15">
        <f>합산자재!I345</f>
        <v>273676</v>
      </c>
      <c r="L1275" s="53">
        <f>IF(G1275*K1275&lt;&gt;0, TRUNC(G1275*K1275, 1), "")</f>
        <v>336621.4</v>
      </c>
      <c r="M1275" s="15">
        <f>합산자재!J345</f>
        <v>0</v>
      </c>
      <c r="N1275" s="53" t="str">
        <f>IF(G1275*M1275&lt;&gt;0, TRUNC(G1275*M1275, 1), "")</f>
        <v/>
      </c>
      <c r="O1275" s="15">
        <f>IF((H1275+K1275+M1275)=0, "", (H1275+K1275+M1275))</f>
        <v>273676</v>
      </c>
      <c r="P1275" s="15">
        <f>IF(SUM(I1275,L1275,N1275)&lt;&gt;0,SUM(I1275,L1275,N1275),"")</f>
        <v>336621.4</v>
      </c>
      <c r="Q1275" s="12"/>
    </row>
    <row r="1276" spans="1:28" ht="23.25" customHeight="1" x14ac:dyDescent="0.15">
      <c r="A1276" s="13" t="s">
        <v>2362</v>
      </c>
      <c r="B1276" s="13" t="s">
        <v>2229</v>
      </c>
      <c r="C1276" s="1" t="s">
        <v>2363</v>
      </c>
      <c r="D1276" s="12" t="s">
        <v>2364</v>
      </c>
      <c r="E1276" s="12" t="s">
        <v>2365</v>
      </c>
      <c r="F1276" s="31" t="s">
        <v>792</v>
      </c>
      <c r="G1276" s="15">
        <v>1</v>
      </c>
      <c r="H1276" s="15">
        <v>6732.4</v>
      </c>
      <c r="I1276" s="53">
        <f>IF(G1276*H1276&lt;&gt;0, TRUNC(G1276*H1276, 1), "")</f>
        <v>6732.4</v>
      </c>
      <c r="J1276" s="15">
        <v>1</v>
      </c>
      <c r="K1276" s="15"/>
      <c r="L1276" s="53" t="str">
        <f>IF(G1276*K1276&lt;&gt;0, TRUNC(G1276*K1276, 1), "")</f>
        <v/>
      </c>
      <c r="M1276" s="15"/>
      <c r="N1276" s="53" t="str">
        <f>IF(G1276*M1276&lt;&gt;0, TRUNC(G1276*M1276, 1), "")</f>
        <v/>
      </c>
      <c r="O1276" s="15">
        <f>IF((H1276+K1276+M1276)=0, "", (H1276+K1276+M1276))</f>
        <v>6732.4</v>
      </c>
      <c r="P1276" s="15">
        <f>IF(SUM(I1276,L1276,N1276)&lt;&gt;0,SUM(I1276,L1276,N1276),"")</f>
        <v>6732.4</v>
      </c>
      <c r="Q1276" s="12"/>
    </row>
    <row r="1277" spans="1:28" ht="23.25" customHeight="1" x14ac:dyDescent="0.15">
      <c r="B1277" s="13" t="s">
        <v>2360</v>
      </c>
      <c r="D1277" s="12" t="s">
        <v>2361</v>
      </c>
      <c r="E1277" s="12"/>
      <c r="F1277" s="31"/>
      <c r="G1277" s="15"/>
      <c r="H1277" s="15"/>
      <c r="I1277" s="53">
        <f>TRUNC(SUM(I1273:I1276))</f>
        <v>6732</v>
      </c>
      <c r="J1277" s="15"/>
      <c r="K1277" s="15"/>
      <c r="L1277" s="53">
        <f>TRUNC(SUM(L1273:L1276))</f>
        <v>336621</v>
      </c>
      <c r="M1277" s="15"/>
      <c r="N1277" s="53">
        <f>TRUNC(SUM(N1273:N1276))</f>
        <v>0</v>
      </c>
      <c r="O1277" s="15" t="str">
        <f>IF((H1277+K1277+M1277)=0, "", (H1277+K1277+M1277))</f>
        <v/>
      </c>
      <c r="P1277" s="15">
        <f>IF(SUM(I1277,L1277,N1277)&lt;&gt;0,SUM(I1277,L1277,N1277),"")</f>
        <v>343353</v>
      </c>
      <c r="Q1277" s="12"/>
    </row>
    <row r="1278" spans="1:28" ht="23.25" customHeight="1" x14ac:dyDescent="0.15">
      <c r="D1278" s="12"/>
      <c r="E1278" s="12"/>
      <c r="F1278" s="31"/>
      <c r="G1278" s="15"/>
      <c r="H1278" s="15"/>
      <c r="I1278" s="53"/>
      <c r="J1278" s="15"/>
      <c r="K1278" s="15"/>
      <c r="L1278" s="53"/>
      <c r="M1278" s="15"/>
      <c r="N1278" s="53"/>
      <c r="O1278" s="15"/>
      <c r="P1278" s="15"/>
      <c r="Q1278" s="12"/>
    </row>
    <row r="1279" spans="1:28" ht="23.25" customHeight="1" x14ac:dyDescent="0.15">
      <c r="A1279" s="13" t="s">
        <v>2916</v>
      </c>
      <c r="B1279" s="13" t="s">
        <v>2382</v>
      </c>
      <c r="C1279" s="1" t="s">
        <v>2917</v>
      </c>
      <c r="D1279" s="170" t="s">
        <v>2915</v>
      </c>
      <c r="E1279" s="172"/>
      <c r="F1279" s="31"/>
      <c r="G1279" s="15"/>
      <c r="H1279" s="15"/>
      <c r="I1279" s="53"/>
      <c r="J1279" s="15"/>
      <c r="K1279" s="15"/>
      <c r="L1279" s="53"/>
      <c r="M1279" s="15"/>
      <c r="N1279" s="53"/>
      <c r="O1279" s="15"/>
      <c r="P1279" s="15"/>
      <c r="Q1279" s="12"/>
    </row>
    <row r="1280" spans="1:28" ht="23.25" customHeight="1" x14ac:dyDescent="0.15">
      <c r="A1280" s="13" t="s">
        <v>1319</v>
      </c>
      <c r="B1280" s="13" t="s">
        <v>2232</v>
      </c>
      <c r="C1280" s="1" t="s">
        <v>884</v>
      </c>
      <c r="D1280" s="12" t="s">
        <v>858</v>
      </c>
      <c r="E1280" s="12" t="s">
        <v>885</v>
      </c>
      <c r="F1280" s="31" t="s">
        <v>559</v>
      </c>
      <c r="G1280" s="15">
        <v>1</v>
      </c>
      <c r="H1280" s="15"/>
      <c r="I1280" s="53" t="str">
        <f>IF(G1280*H1280&lt;&gt;0, TRUNC(G1280*H1280, 1), "")</f>
        <v/>
      </c>
      <c r="J1280" s="15">
        <v>1</v>
      </c>
      <c r="K1280" s="15">
        <f>합산자재!I295</f>
        <v>0</v>
      </c>
      <c r="L1280" s="53" t="str">
        <f>IF(G1280*K1280&lt;&gt;0, TRUNC(G1280*K1280, 1), "")</f>
        <v/>
      </c>
      <c r="M1280" s="15">
        <f>합산자재!J295</f>
        <v>0</v>
      </c>
      <c r="N1280" s="53" t="str">
        <f>IF(G1280*M1280&lt;&gt;0, TRUNC(G1280*M1280, 1), "")</f>
        <v/>
      </c>
      <c r="O1280" s="15" t="str">
        <f>IF((H1280+K1280+M1280)=0, "", (H1280+K1280+M1280))</f>
        <v/>
      </c>
      <c r="P1280" s="15" t="str">
        <f>IF(SUM(I1280,L1280,N1280)&lt;&gt;0,SUM(I1280,L1280,N1280),"")</f>
        <v/>
      </c>
      <c r="Q1280" s="12" t="s">
        <v>2378</v>
      </c>
      <c r="AB1280" s="2">
        <f>합산자재!H295*J1280</f>
        <v>5193000</v>
      </c>
    </row>
    <row r="1281" spans="1:28" ht="23.25" customHeight="1" x14ac:dyDescent="0.15">
      <c r="A1281" s="13" t="s">
        <v>1372</v>
      </c>
      <c r="B1281" s="13" t="s">
        <v>2232</v>
      </c>
      <c r="C1281" s="1" t="s">
        <v>1002</v>
      </c>
      <c r="D1281" s="12" t="s">
        <v>1003</v>
      </c>
      <c r="E1281" s="12" t="s">
        <v>1004</v>
      </c>
      <c r="F1281" s="31" t="s">
        <v>999</v>
      </c>
      <c r="G1281" s="15">
        <f>일위노임!G590</f>
        <v>1.23</v>
      </c>
      <c r="H1281" s="15">
        <f>합산자재!H345</f>
        <v>0</v>
      </c>
      <c r="I1281" s="53" t="str">
        <f>IF(G1281*H1281&lt;&gt;0, TRUNC(G1281*H1281, 1), "")</f>
        <v/>
      </c>
      <c r="J1281" s="15">
        <v>1.23</v>
      </c>
      <c r="K1281" s="15">
        <f>합산자재!I345</f>
        <v>273676</v>
      </c>
      <c r="L1281" s="53">
        <f>IF(G1281*K1281&lt;&gt;0, TRUNC(G1281*K1281, 1), "")</f>
        <v>336621.4</v>
      </c>
      <c r="M1281" s="15">
        <f>합산자재!J345</f>
        <v>0</v>
      </c>
      <c r="N1281" s="53" t="str">
        <f>IF(G1281*M1281&lt;&gt;0, TRUNC(G1281*M1281, 1), "")</f>
        <v/>
      </c>
      <c r="O1281" s="15">
        <f>IF((H1281+K1281+M1281)=0, "", (H1281+K1281+M1281))</f>
        <v>273676</v>
      </c>
      <c r="P1281" s="15">
        <f>IF(SUM(I1281,L1281,N1281)&lt;&gt;0,SUM(I1281,L1281,N1281),"")</f>
        <v>336621.4</v>
      </c>
      <c r="Q1281" s="12"/>
    </row>
    <row r="1282" spans="1:28" ht="23.25" customHeight="1" x14ac:dyDescent="0.15">
      <c r="A1282" s="13" t="s">
        <v>2362</v>
      </c>
      <c r="B1282" s="13" t="s">
        <v>2232</v>
      </c>
      <c r="C1282" s="1" t="s">
        <v>2363</v>
      </c>
      <c r="D1282" s="12" t="s">
        <v>2364</v>
      </c>
      <c r="E1282" s="12" t="s">
        <v>2365</v>
      </c>
      <c r="F1282" s="31" t="s">
        <v>792</v>
      </c>
      <c r="G1282" s="15">
        <v>1</v>
      </c>
      <c r="H1282" s="15">
        <v>6732.4</v>
      </c>
      <c r="I1282" s="53">
        <f>IF(G1282*H1282&lt;&gt;0, TRUNC(G1282*H1282, 1), "")</f>
        <v>6732.4</v>
      </c>
      <c r="J1282" s="15">
        <v>1</v>
      </c>
      <c r="K1282" s="15"/>
      <c r="L1282" s="53" t="str">
        <f>IF(G1282*K1282&lt;&gt;0, TRUNC(G1282*K1282, 1), "")</f>
        <v/>
      </c>
      <c r="M1282" s="15"/>
      <c r="N1282" s="53" t="str">
        <f>IF(G1282*M1282&lt;&gt;0, TRUNC(G1282*M1282, 1), "")</f>
        <v/>
      </c>
      <c r="O1282" s="15">
        <f>IF((H1282+K1282+M1282)=0, "", (H1282+K1282+M1282))</f>
        <v>6732.4</v>
      </c>
      <c r="P1282" s="15">
        <f>IF(SUM(I1282,L1282,N1282)&lt;&gt;0,SUM(I1282,L1282,N1282),"")</f>
        <v>6732.4</v>
      </c>
      <c r="Q1282" s="12"/>
    </row>
    <row r="1283" spans="1:28" ht="23.25" customHeight="1" x14ac:dyDescent="0.15">
      <c r="B1283" s="13" t="s">
        <v>2360</v>
      </c>
      <c r="D1283" s="12" t="s">
        <v>2361</v>
      </c>
      <c r="E1283" s="12"/>
      <c r="F1283" s="31"/>
      <c r="G1283" s="15"/>
      <c r="H1283" s="15"/>
      <c r="I1283" s="53">
        <f>TRUNC(SUM(I1279:I1282))</f>
        <v>6732</v>
      </c>
      <c r="J1283" s="15"/>
      <c r="K1283" s="15"/>
      <c r="L1283" s="53">
        <f>TRUNC(SUM(L1279:L1282))</f>
        <v>336621</v>
      </c>
      <c r="M1283" s="15"/>
      <c r="N1283" s="53">
        <f>TRUNC(SUM(N1279:N1282))</f>
        <v>0</v>
      </c>
      <c r="O1283" s="15" t="str">
        <f>IF((H1283+K1283+M1283)=0, "", (H1283+K1283+M1283))</f>
        <v/>
      </c>
      <c r="P1283" s="15">
        <f>IF(SUM(I1283,L1283,N1283)&lt;&gt;0,SUM(I1283,L1283,N1283),"")</f>
        <v>343353</v>
      </c>
      <c r="Q1283" s="12"/>
    </row>
    <row r="1284" spans="1:28" ht="23.25" customHeight="1" x14ac:dyDescent="0.15">
      <c r="D1284" s="12"/>
      <c r="E1284" s="12"/>
      <c r="F1284" s="31"/>
      <c r="G1284" s="15"/>
      <c r="H1284" s="15"/>
      <c r="I1284" s="53"/>
      <c r="J1284" s="15"/>
      <c r="K1284" s="15"/>
      <c r="L1284" s="53"/>
      <c r="M1284" s="15"/>
      <c r="N1284" s="53"/>
      <c r="O1284" s="15"/>
      <c r="P1284" s="15"/>
      <c r="Q1284" s="12"/>
    </row>
    <row r="1285" spans="1:28" ht="23.25" customHeight="1" x14ac:dyDescent="0.15">
      <c r="A1285" s="13" t="s">
        <v>2919</v>
      </c>
      <c r="B1285" s="13" t="s">
        <v>2382</v>
      </c>
      <c r="C1285" s="1" t="s">
        <v>2920</v>
      </c>
      <c r="D1285" s="170" t="s">
        <v>2918</v>
      </c>
      <c r="E1285" s="172"/>
      <c r="F1285" s="31"/>
      <c r="G1285" s="15"/>
      <c r="H1285" s="15"/>
      <c r="I1285" s="53"/>
      <c r="J1285" s="15"/>
      <c r="K1285" s="15"/>
      <c r="L1285" s="53"/>
      <c r="M1285" s="15"/>
      <c r="N1285" s="53"/>
      <c r="O1285" s="15"/>
      <c r="P1285" s="15"/>
      <c r="Q1285" s="12"/>
    </row>
    <row r="1286" spans="1:28" ht="23.25" customHeight="1" x14ac:dyDescent="0.15">
      <c r="A1286" s="13" t="s">
        <v>1320</v>
      </c>
      <c r="B1286" s="13" t="s">
        <v>2235</v>
      </c>
      <c r="C1286" s="1" t="s">
        <v>886</v>
      </c>
      <c r="D1286" s="12" t="s">
        <v>858</v>
      </c>
      <c r="E1286" s="12" t="s">
        <v>887</v>
      </c>
      <c r="F1286" s="31" t="s">
        <v>559</v>
      </c>
      <c r="G1286" s="15">
        <v>1</v>
      </c>
      <c r="H1286" s="15"/>
      <c r="I1286" s="53" t="str">
        <f>IF(G1286*H1286&lt;&gt;0, TRUNC(G1286*H1286, 1), "")</f>
        <v/>
      </c>
      <c r="J1286" s="15">
        <v>1</v>
      </c>
      <c r="K1286" s="15">
        <f>합산자재!I296</f>
        <v>0</v>
      </c>
      <c r="L1286" s="53" t="str">
        <f>IF(G1286*K1286&lt;&gt;0, TRUNC(G1286*K1286, 1), "")</f>
        <v/>
      </c>
      <c r="M1286" s="15">
        <f>합산자재!J296</f>
        <v>0</v>
      </c>
      <c r="N1286" s="53" t="str">
        <f>IF(G1286*M1286&lt;&gt;0, TRUNC(G1286*M1286, 1), "")</f>
        <v/>
      </c>
      <c r="O1286" s="15" t="str">
        <f>IF((H1286+K1286+M1286)=0, "", (H1286+K1286+M1286))</f>
        <v/>
      </c>
      <c r="P1286" s="15" t="str">
        <f>IF(SUM(I1286,L1286,N1286)&lt;&gt;0,SUM(I1286,L1286,N1286),"")</f>
        <v/>
      </c>
      <c r="Q1286" s="12" t="s">
        <v>2378</v>
      </c>
      <c r="AB1286" s="2">
        <f>합산자재!H296*J1286</f>
        <v>4000000</v>
      </c>
    </row>
    <row r="1287" spans="1:28" ht="23.25" customHeight="1" x14ac:dyDescent="0.15">
      <c r="A1287" s="13" t="s">
        <v>1372</v>
      </c>
      <c r="B1287" s="13" t="s">
        <v>2235</v>
      </c>
      <c r="C1287" s="1" t="s">
        <v>1002</v>
      </c>
      <c r="D1287" s="12" t="s">
        <v>1003</v>
      </c>
      <c r="E1287" s="12" t="s">
        <v>1004</v>
      </c>
      <c r="F1287" s="31" t="s">
        <v>999</v>
      </c>
      <c r="G1287" s="15">
        <f>일위노임!G593</f>
        <v>1.23</v>
      </c>
      <c r="H1287" s="15">
        <f>합산자재!H345</f>
        <v>0</v>
      </c>
      <c r="I1287" s="53" t="str">
        <f>IF(G1287*H1287&lt;&gt;0, TRUNC(G1287*H1287, 1), "")</f>
        <v/>
      </c>
      <c r="J1287" s="15">
        <v>1.23</v>
      </c>
      <c r="K1287" s="15">
        <f>합산자재!I345</f>
        <v>273676</v>
      </c>
      <c r="L1287" s="53">
        <f>IF(G1287*K1287&lt;&gt;0, TRUNC(G1287*K1287, 1), "")</f>
        <v>336621.4</v>
      </c>
      <c r="M1287" s="15">
        <f>합산자재!J345</f>
        <v>0</v>
      </c>
      <c r="N1287" s="53" t="str">
        <f>IF(G1287*M1287&lt;&gt;0, TRUNC(G1287*M1287, 1), "")</f>
        <v/>
      </c>
      <c r="O1287" s="15">
        <f>IF((H1287+K1287+M1287)=0, "", (H1287+K1287+M1287))</f>
        <v>273676</v>
      </c>
      <c r="P1287" s="15">
        <f>IF(SUM(I1287,L1287,N1287)&lt;&gt;0,SUM(I1287,L1287,N1287),"")</f>
        <v>336621.4</v>
      </c>
      <c r="Q1287" s="12"/>
    </row>
    <row r="1288" spans="1:28" ht="23.25" customHeight="1" x14ac:dyDescent="0.15">
      <c r="A1288" s="13" t="s">
        <v>2362</v>
      </c>
      <c r="B1288" s="13" t="s">
        <v>2235</v>
      </c>
      <c r="C1288" s="1" t="s">
        <v>2363</v>
      </c>
      <c r="D1288" s="12" t="s">
        <v>2364</v>
      </c>
      <c r="E1288" s="12" t="s">
        <v>2365</v>
      </c>
      <c r="F1288" s="31" t="s">
        <v>792</v>
      </c>
      <c r="G1288" s="15">
        <v>1</v>
      </c>
      <c r="H1288" s="15">
        <v>6732.4</v>
      </c>
      <c r="I1288" s="53">
        <f>IF(G1288*H1288&lt;&gt;0, TRUNC(G1288*H1288, 1), "")</f>
        <v>6732.4</v>
      </c>
      <c r="J1288" s="15">
        <v>1</v>
      </c>
      <c r="K1288" s="15"/>
      <c r="L1288" s="53" t="str">
        <f>IF(G1288*K1288&lt;&gt;0, TRUNC(G1288*K1288, 1), "")</f>
        <v/>
      </c>
      <c r="M1288" s="15"/>
      <c r="N1288" s="53" t="str">
        <f>IF(G1288*M1288&lt;&gt;0, TRUNC(G1288*M1288, 1), "")</f>
        <v/>
      </c>
      <c r="O1288" s="15">
        <f>IF((H1288+K1288+M1288)=0, "", (H1288+K1288+M1288))</f>
        <v>6732.4</v>
      </c>
      <c r="P1288" s="15">
        <f>IF(SUM(I1288,L1288,N1288)&lt;&gt;0,SUM(I1288,L1288,N1288),"")</f>
        <v>6732.4</v>
      </c>
      <c r="Q1288" s="12"/>
    </row>
    <row r="1289" spans="1:28" ht="23.25" customHeight="1" x14ac:dyDescent="0.15">
      <c r="B1289" s="13" t="s">
        <v>2360</v>
      </c>
      <c r="D1289" s="12" t="s">
        <v>2361</v>
      </c>
      <c r="E1289" s="12"/>
      <c r="F1289" s="31"/>
      <c r="G1289" s="15"/>
      <c r="H1289" s="15"/>
      <c r="I1289" s="53">
        <f>TRUNC(SUM(I1285:I1288))</f>
        <v>6732</v>
      </c>
      <c r="J1289" s="15"/>
      <c r="K1289" s="15"/>
      <c r="L1289" s="53">
        <f>TRUNC(SUM(L1285:L1288))</f>
        <v>336621</v>
      </c>
      <c r="M1289" s="15"/>
      <c r="N1289" s="53">
        <f>TRUNC(SUM(N1285:N1288))</f>
        <v>0</v>
      </c>
      <c r="O1289" s="15" t="str">
        <f>IF((H1289+K1289+M1289)=0, "", (H1289+K1289+M1289))</f>
        <v/>
      </c>
      <c r="P1289" s="15">
        <f>IF(SUM(I1289,L1289,N1289)&lt;&gt;0,SUM(I1289,L1289,N1289),"")</f>
        <v>343353</v>
      </c>
      <c r="Q1289" s="12"/>
    </row>
    <row r="1290" spans="1:28" ht="23.25" customHeight="1" x14ac:dyDescent="0.15">
      <c r="D1290" s="12"/>
      <c r="E1290" s="12"/>
      <c r="F1290" s="31"/>
      <c r="G1290" s="15"/>
      <c r="H1290" s="15"/>
      <c r="I1290" s="53"/>
      <c r="J1290" s="15"/>
      <c r="K1290" s="15"/>
      <c r="L1290" s="53"/>
      <c r="M1290" s="15"/>
      <c r="N1290" s="53"/>
      <c r="O1290" s="15"/>
      <c r="P1290" s="15"/>
      <c r="Q1290" s="12"/>
    </row>
    <row r="1291" spans="1:28" ht="23.25" customHeight="1" x14ac:dyDescent="0.15">
      <c r="A1291" s="13" t="s">
        <v>2922</v>
      </c>
      <c r="B1291" s="13" t="s">
        <v>2382</v>
      </c>
      <c r="C1291" s="1" t="s">
        <v>2923</v>
      </c>
      <c r="D1291" s="170" t="s">
        <v>2921</v>
      </c>
      <c r="E1291" s="172"/>
      <c r="F1291" s="31"/>
      <c r="G1291" s="15"/>
      <c r="H1291" s="15"/>
      <c r="I1291" s="53"/>
      <c r="J1291" s="15"/>
      <c r="K1291" s="15"/>
      <c r="L1291" s="53"/>
      <c r="M1291" s="15"/>
      <c r="N1291" s="53"/>
      <c r="O1291" s="15"/>
      <c r="P1291" s="15"/>
      <c r="Q1291" s="12"/>
    </row>
    <row r="1292" spans="1:28" ht="23.25" customHeight="1" x14ac:dyDescent="0.15">
      <c r="A1292" s="13" t="s">
        <v>1321</v>
      </c>
      <c r="B1292" s="13" t="s">
        <v>2238</v>
      </c>
      <c r="C1292" s="1" t="s">
        <v>888</v>
      </c>
      <c r="D1292" s="12" t="s">
        <v>858</v>
      </c>
      <c r="E1292" s="12" t="s">
        <v>889</v>
      </c>
      <c r="F1292" s="31" t="s">
        <v>559</v>
      </c>
      <c r="G1292" s="15">
        <v>1</v>
      </c>
      <c r="H1292" s="15"/>
      <c r="I1292" s="53" t="str">
        <f>IF(G1292*H1292&lt;&gt;0, TRUNC(G1292*H1292, 1), "")</f>
        <v/>
      </c>
      <c r="J1292" s="15">
        <v>1</v>
      </c>
      <c r="K1292" s="15">
        <f>합산자재!I297</f>
        <v>0</v>
      </c>
      <c r="L1292" s="53" t="str">
        <f>IF(G1292*K1292&lt;&gt;0, TRUNC(G1292*K1292, 1), "")</f>
        <v/>
      </c>
      <c r="M1292" s="15">
        <f>합산자재!J297</f>
        <v>0</v>
      </c>
      <c r="N1292" s="53" t="str">
        <f>IF(G1292*M1292&lt;&gt;0, TRUNC(G1292*M1292, 1), "")</f>
        <v/>
      </c>
      <c r="O1292" s="15" t="str">
        <f>IF((H1292+K1292+M1292)=0, "", (H1292+K1292+M1292))</f>
        <v/>
      </c>
      <c r="P1292" s="15" t="str">
        <f>IF(SUM(I1292,L1292,N1292)&lt;&gt;0,SUM(I1292,L1292,N1292),"")</f>
        <v/>
      </c>
      <c r="Q1292" s="12" t="s">
        <v>2378</v>
      </c>
      <c r="AB1292" s="2">
        <f>합산자재!H297*J1292</f>
        <v>4761000</v>
      </c>
    </row>
    <row r="1293" spans="1:28" ht="23.25" customHeight="1" x14ac:dyDescent="0.15">
      <c r="A1293" s="13" t="s">
        <v>1372</v>
      </c>
      <c r="B1293" s="13" t="s">
        <v>2238</v>
      </c>
      <c r="C1293" s="1" t="s">
        <v>1002</v>
      </c>
      <c r="D1293" s="12" t="s">
        <v>1003</v>
      </c>
      <c r="E1293" s="12" t="s">
        <v>1004</v>
      </c>
      <c r="F1293" s="31" t="s">
        <v>999</v>
      </c>
      <c r="G1293" s="15">
        <f>일위노임!G596</f>
        <v>1.23</v>
      </c>
      <c r="H1293" s="15">
        <f>합산자재!H345</f>
        <v>0</v>
      </c>
      <c r="I1293" s="53" t="str">
        <f>IF(G1293*H1293&lt;&gt;0, TRUNC(G1293*H1293, 1), "")</f>
        <v/>
      </c>
      <c r="J1293" s="15">
        <v>1.23</v>
      </c>
      <c r="K1293" s="15">
        <f>합산자재!I345</f>
        <v>273676</v>
      </c>
      <c r="L1293" s="53">
        <f>IF(G1293*K1293&lt;&gt;0, TRUNC(G1293*K1293, 1), "")</f>
        <v>336621.4</v>
      </c>
      <c r="M1293" s="15">
        <f>합산자재!J345</f>
        <v>0</v>
      </c>
      <c r="N1293" s="53" t="str">
        <f>IF(G1293*M1293&lt;&gt;0, TRUNC(G1293*M1293, 1), "")</f>
        <v/>
      </c>
      <c r="O1293" s="15">
        <f>IF((H1293+K1293+M1293)=0, "", (H1293+K1293+M1293))</f>
        <v>273676</v>
      </c>
      <c r="P1293" s="15">
        <f>IF(SUM(I1293,L1293,N1293)&lt;&gt;0,SUM(I1293,L1293,N1293),"")</f>
        <v>336621.4</v>
      </c>
      <c r="Q1293" s="12"/>
    </row>
    <row r="1294" spans="1:28" ht="23.25" customHeight="1" x14ac:dyDescent="0.15">
      <c r="A1294" s="13" t="s">
        <v>2362</v>
      </c>
      <c r="B1294" s="13" t="s">
        <v>2238</v>
      </c>
      <c r="C1294" s="1" t="s">
        <v>2363</v>
      </c>
      <c r="D1294" s="12" t="s">
        <v>2364</v>
      </c>
      <c r="E1294" s="12" t="s">
        <v>2365</v>
      </c>
      <c r="F1294" s="31" t="s">
        <v>792</v>
      </c>
      <c r="G1294" s="15">
        <v>1</v>
      </c>
      <c r="H1294" s="15">
        <v>6732.4</v>
      </c>
      <c r="I1294" s="53">
        <f>IF(G1294*H1294&lt;&gt;0, TRUNC(G1294*H1294, 1), "")</f>
        <v>6732.4</v>
      </c>
      <c r="J1294" s="15">
        <v>1</v>
      </c>
      <c r="K1294" s="15"/>
      <c r="L1294" s="53" t="str">
        <f>IF(G1294*K1294&lt;&gt;0, TRUNC(G1294*K1294, 1), "")</f>
        <v/>
      </c>
      <c r="M1294" s="15"/>
      <c r="N1294" s="53" t="str">
        <f>IF(G1294*M1294&lt;&gt;0, TRUNC(G1294*M1294, 1), "")</f>
        <v/>
      </c>
      <c r="O1294" s="15">
        <f>IF((H1294+K1294+M1294)=0, "", (H1294+K1294+M1294))</f>
        <v>6732.4</v>
      </c>
      <c r="P1294" s="15">
        <f>IF(SUM(I1294,L1294,N1294)&lt;&gt;0,SUM(I1294,L1294,N1294),"")</f>
        <v>6732.4</v>
      </c>
      <c r="Q1294" s="12"/>
    </row>
    <row r="1295" spans="1:28" ht="23.25" customHeight="1" x14ac:dyDescent="0.15">
      <c r="B1295" s="13" t="s">
        <v>2360</v>
      </c>
      <c r="D1295" s="12" t="s">
        <v>2361</v>
      </c>
      <c r="E1295" s="12"/>
      <c r="F1295" s="31"/>
      <c r="G1295" s="15"/>
      <c r="H1295" s="15"/>
      <c r="I1295" s="53">
        <f>TRUNC(SUM(I1291:I1294))</f>
        <v>6732</v>
      </c>
      <c r="J1295" s="15"/>
      <c r="K1295" s="15"/>
      <c r="L1295" s="53">
        <f>TRUNC(SUM(L1291:L1294))</f>
        <v>336621</v>
      </c>
      <c r="M1295" s="15"/>
      <c r="N1295" s="53">
        <f>TRUNC(SUM(N1291:N1294))</f>
        <v>0</v>
      </c>
      <c r="O1295" s="15" t="str">
        <f>IF((H1295+K1295+M1295)=0, "", (H1295+K1295+M1295))</f>
        <v/>
      </c>
      <c r="P1295" s="15">
        <f>IF(SUM(I1295,L1295,N1295)&lt;&gt;0,SUM(I1295,L1295,N1295),"")</f>
        <v>343353</v>
      </c>
      <c r="Q1295" s="12"/>
    </row>
    <row r="1296" spans="1:28" ht="23.25" customHeight="1" x14ac:dyDescent="0.15">
      <c r="D1296" s="12"/>
      <c r="E1296" s="12"/>
      <c r="F1296" s="31"/>
      <c r="G1296" s="15"/>
      <c r="H1296" s="15"/>
      <c r="I1296" s="53"/>
      <c r="J1296" s="15"/>
      <c r="K1296" s="15"/>
      <c r="L1296" s="53"/>
      <c r="M1296" s="15"/>
      <c r="N1296" s="53"/>
      <c r="O1296" s="15"/>
      <c r="P1296" s="15"/>
      <c r="Q1296" s="12"/>
    </row>
    <row r="1297" spans="1:28" ht="23.25" customHeight="1" x14ac:dyDescent="0.15">
      <c r="A1297" s="13" t="s">
        <v>2925</v>
      </c>
      <c r="B1297" s="13" t="s">
        <v>2382</v>
      </c>
      <c r="C1297" s="1" t="s">
        <v>2926</v>
      </c>
      <c r="D1297" s="170" t="s">
        <v>2924</v>
      </c>
      <c r="E1297" s="172"/>
      <c r="F1297" s="31"/>
      <c r="G1297" s="15"/>
      <c r="H1297" s="15"/>
      <c r="I1297" s="53"/>
      <c r="J1297" s="15"/>
      <c r="K1297" s="15"/>
      <c r="L1297" s="53"/>
      <c r="M1297" s="15"/>
      <c r="N1297" s="53"/>
      <c r="O1297" s="15"/>
      <c r="P1297" s="15"/>
      <c r="Q1297" s="12"/>
    </row>
    <row r="1298" spans="1:28" ht="23.25" customHeight="1" x14ac:dyDescent="0.15">
      <c r="A1298" s="13" t="s">
        <v>1322</v>
      </c>
      <c r="B1298" s="13" t="s">
        <v>2241</v>
      </c>
      <c r="C1298" s="1" t="s">
        <v>890</v>
      </c>
      <c r="D1298" s="12" t="s">
        <v>858</v>
      </c>
      <c r="E1298" s="12" t="s">
        <v>891</v>
      </c>
      <c r="F1298" s="31" t="s">
        <v>559</v>
      </c>
      <c r="G1298" s="15">
        <v>1</v>
      </c>
      <c r="H1298" s="15"/>
      <c r="I1298" s="53" t="str">
        <f>IF(G1298*H1298&lt;&gt;0, TRUNC(G1298*H1298, 1), "")</f>
        <v/>
      </c>
      <c r="J1298" s="15">
        <v>1</v>
      </c>
      <c r="K1298" s="15">
        <f>합산자재!I298</f>
        <v>0</v>
      </c>
      <c r="L1298" s="53" t="str">
        <f>IF(G1298*K1298&lt;&gt;0, TRUNC(G1298*K1298, 1), "")</f>
        <v/>
      </c>
      <c r="M1298" s="15">
        <f>합산자재!J298</f>
        <v>0</v>
      </c>
      <c r="N1298" s="53" t="str">
        <f>IF(G1298*M1298&lt;&gt;0, TRUNC(G1298*M1298, 1), "")</f>
        <v/>
      </c>
      <c r="O1298" s="15" t="str">
        <f>IF((H1298+K1298+M1298)=0, "", (H1298+K1298+M1298))</f>
        <v/>
      </c>
      <c r="P1298" s="15" t="str">
        <f>IF(SUM(I1298,L1298,N1298)&lt;&gt;0,SUM(I1298,L1298,N1298),"")</f>
        <v/>
      </c>
      <c r="Q1298" s="12" t="s">
        <v>2378</v>
      </c>
      <c r="AB1298" s="2">
        <f>합산자재!H298*J1298</f>
        <v>2525000</v>
      </c>
    </row>
    <row r="1299" spans="1:28" ht="23.25" customHeight="1" x14ac:dyDescent="0.15">
      <c r="A1299" s="13" t="s">
        <v>1372</v>
      </c>
      <c r="B1299" s="13" t="s">
        <v>2241</v>
      </c>
      <c r="C1299" s="1" t="s">
        <v>1002</v>
      </c>
      <c r="D1299" s="12" t="s">
        <v>1003</v>
      </c>
      <c r="E1299" s="12" t="s">
        <v>1004</v>
      </c>
      <c r="F1299" s="31" t="s">
        <v>999</v>
      </c>
      <c r="G1299" s="15">
        <f>일위노임!G599</f>
        <v>1.23</v>
      </c>
      <c r="H1299" s="15">
        <f>합산자재!H345</f>
        <v>0</v>
      </c>
      <c r="I1299" s="53" t="str">
        <f>IF(G1299*H1299&lt;&gt;0, TRUNC(G1299*H1299, 1), "")</f>
        <v/>
      </c>
      <c r="J1299" s="15">
        <v>1.23</v>
      </c>
      <c r="K1299" s="15">
        <f>합산자재!I345</f>
        <v>273676</v>
      </c>
      <c r="L1299" s="53">
        <f>IF(G1299*K1299&lt;&gt;0, TRUNC(G1299*K1299, 1), "")</f>
        <v>336621.4</v>
      </c>
      <c r="M1299" s="15">
        <f>합산자재!J345</f>
        <v>0</v>
      </c>
      <c r="N1299" s="53" t="str">
        <f>IF(G1299*M1299&lt;&gt;0, TRUNC(G1299*M1299, 1), "")</f>
        <v/>
      </c>
      <c r="O1299" s="15">
        <f>IF((H1299+K1299+M1299)=0, "", (H1299+K1299+M1299))</f>
        <v>273676</v>
      </c>
      <c r="P1299" s="15">
        <f>IF(SUM(I1299,L1299,N1299)&lt;&gt;0,SUM(I1299,L1299,N1299),"")</f>
        <v>336621.4</v>
      </c>
      <c r="Q1299" s="12"/>
    </row>
    <row r="1300" spans="1:28" ht="23.25" customHeight="1" x14ac:dyDescent="0.15">
      <c r="A1300" s="13" t="s">
        <v>2362</v>
      </c>
      <c r="B1300" s="13" t="s">
        <v>2241</v>
      </c>
      <c r="C1300" s="1" t="s">
        <v>2363</v>
      </c>
      <c r="D1300" s="12" t="s">
        <v>2364</v>
      </c>
      <c r="E1300" s="12" t="s">
        <v>2365</v>
      </c>
      <c r="F1300" s="31" t="s">
        <v>792</v>
      </c>
      <c r="G1300" s="15">
        <v>1</v>
      </c>
      <c r="H1300" s="15">
        <v>6732.4</v>
      </c>
      <c r="I1300" s="53">
        <f>IF(G1300*H1300&lt;&gt;0, TRUNC(G1300*H1300, 1), "")</f>
        <v>6732.4</v>
      </c>
      <c r="J1300" s="15">
        <v>1</v>
      </c>
      <c r="K1300" s="15"/>
      <c r="L1300" s="53" t="str">
        <f>IF(G1300*K1300&lt;&gt;0, TRUNC(G1300*K1300, 1), "")</f>
        <v/>
      </c>
      <c r="M1300" s="15"/>
      <c r="N1300" s="53" t="str">
        <f>IF(G1300*M1300&lt;&gt;0, TRUNC(G1300*M1300, 1), "")</f>
        <v/>
      </c>
      <c r="O1300" s="15">
        <f>IF((H1300+K1300+M1300)=0, "", (H1300+K1300+M1300))</f>
        <v>6732.4</v>
      </c>
      <c r="P1300" s="15">
        <f>IF(SUM(I1300,L1300,N1300)&lt;&gt;0,SUM(I1300,L1300,N1300),"")</f>
        <v>6732.4</v>
      </c>
      <c r="Q1300" s="12"/>
    </row>
    <row r="1301" spans="1:28" ht="23.25" customHeight="1" x14ac:dyDescent="0.15">
      <c r="B1301" s="13" t="s">
        <v>2360</v>
      </c>
      <c r="D1301" s="12" t="s">
        <v>2361</v>
      </c>
      <c r="E1301" s="12"/>
      <c r="F1301" s="31"/>
      <c r="G1301" s="15"/>
      <c r="H1301" s="15"/>
      <c r="I1301" s="53">
        <f>TRUNC(SUM(I1297:I1300))</f>
        <v>6732</v>
      </c>
      <c r="J1301" s="15"/>
      <c r="K1301" s="15"/>
      <c r="L1301" s="53">
        <f>TRUNC(SUM(L1297:L1300))</f>
        <v>336621</v>
      </c>
      <c r="M1301" s="15"/>
      <c r="N1301" s="53">
        <f>TRUNC(SUM(N1297:N1300))</f>
        <v>0</v>
      </c>
      <c r="O1301" s="15" t="str">
        <f>IF((H1301+K1301+M1301)=0, "", (H1301+K1301+M1301))</f>
        <v/>
      </c>
      <c r="P1301" s="15">
        <f>IF(SUM(I1301,L1301,N1301)&lt;&gt;0,SUM(I1301,L1301,N1301),"")</f>
        <v>343353</v>
      </c>
      <c r="Q1301" s="12"/>
    </row>
    <row r="1302" spans="1:28" ht="23.25" customHeight="1" x14ac:dyDescent="0.15">
      <c r="D1302" s="12"/>
      <c r="E1302" s="12"/>
      <c r="F1302" s="31"/>
      <c r="G1302" s="15"/>
      <c r="H1302" s="15"/>
      <c r="I1302" s="53"/>
      <c r="J1302" s="15"/>
      <c r="K1302" s="15"/>
      <c r="L1302" s="53"/>
      <c r="M1302" s="15"/>
      <c r="N1302" s="53"/>
      <c r="O1302" s="15"/>
      <c r="P1302" s="15"/>
      <c r="Q1302" s="12"/>
    </row>
    <row r="1303" spans="1:28" ht="23.25" customHeight="1" x14ac:dyDescent="0.15">
      <c r="A1303" s="13" t="s">
        <v>2928</v>
      </c>
      <c r="B1303" s="13" t="s">
        <v>2382</v>
      </c>
      <c r="C1303" s="1" t="s">
        <v>2929</v>
      </c>
      <c r="D1303" s="170" t="s">
        <v>2927</v>
      </c>
      <c r="E1303" s="172"/>
      <c r="F1303" s="31"/>
      <c r="G1303" s="15"/>
      <c r="H1303" s="15"/>
      <c r="I1303" s="53"/>
      <c r="J1303" s="15"/>
      <c r="K1303" s="15"/>
      <c r="L1303" s="53"/>
      <c r="M1303" s="15"/>
      <c r="N1303" s="53"/>
      <c r="O1303" s="15"/>
      <c r="P1303" s="15"/>
      <c r="Q1303" s="12"/>
    </row>
    <row r="1304" spans="1:28" ht="23.25" customHeight="1" x14ac:dyDescent="0.15">
      <c r="A1304" s="13" t="s">
        <v>1323</v>
      </c>
      <c r="B1304" s="13" t="s">
        <v>2244</v>
      </c>
      <c r="C1304" s="1" t="s">
        <v>892</v>
      </c>
      <c r="D1304" s="12" t="s">
        <v>858</v>
      </c>
      <c r="E1304" s="12" t="s">
        <v>893</v>
      </c>
      <c r="F1304" s="31" t="s">
        <v>559</v>
      </c>
      <c r="G1304" s="15">
        <v>1</v>
      </c>
      <c r="H1304" s="15"/>
      <c r="I1304" s="53" t="str">
        <f>IF(G1304*H1304&lt;&gt;0, TRUNC(G1304*H1304, 1), "")</f>
        <v/>
      </c>
      <c r="J1304" s="15">
        <v>1</v>
      </c>
      <c r="K1304" s="15">
        <f>합산자재!I299</f>
        <v>0</v>
      </c>
      <c r="L1304" s="53" t="str">
        <f>IF(G1304*K1304&lt;&gt;0, TRUNC(G1304*K1304, 1), "")</f>
        <v/>
      </c>
      <c r="M1304" s="15">
        <f>합산자재!J299</f>
        <v>0</v>
      </c>
      <c r="N1304" s="53" t="str">
        <f>IF(G1304*M1304&lt;&gt;0, TRUNC(G1304*M1304, 1), "")</f>
        <v/>
      </c>
      <c r="O1304" s="15" t="str">
        <f>IF((H1304+K1304+M1304)=0, "", (H1304+K1304+M1304))</f>
        <v/>
      </c>
      <c r="P1304" s="15" t="str">
        <f>IF(SUM(I1304,L1304,N1304)&lt;&gt;0,SUM(I1304,L1304,N1304),"")</f>
        <v/>
      </c>
      <c r="Q1304" s="12" t="s">
        <v>2378</v>
      </c>
      <c r="AB1304" s="2">
        <f>합산자재!H299*J1304</f>
        <v>3337000</v>
      </c>
    </row>
    <row r="1305" spans="1:28" ht="23.25" customHeight="1" x14ac:dyDescent="0.15">
      <c r="A1305" s="13" t="s">
        <v>1372</v>
      </c>
      <c r="B1305" s="13" t="s">
        <v>2244</v>
      </c>
      <c r="C1305" s="1" t="s">
        <v>1002</v>
      </c>
      <c r="D1305" s="12" t="s">
        <v>1003</v>
      </c>
      <c r="E1305" s="12" t="s">
        <v>1004</v>
      </c>
      <c r="F1305" s="31" t="s">
        <v>999</v>
      </c>
      <c r="G1305" s="15">
        <f>일위노임!G602</f>
        <v>1.23</v>
      </c>
      <c r="H1305" s="15">
        <f>합산자재!H345</f>
        <v>0</v>
      </c>
      <c r="I1305" s="53" t="str">
        <f>IF(G1305*H1305&lt;&gt;0, TRUNC(G1305*H1305, 1), "")</f>
        <v/>
      </c>
      <c r="J1305" s="15">
        <v>1.23</v>
      </c>
      <c r="K1305" s="15">
        <f>합산자재!I345</f>
        <v>273676</v>
      </c>
      <c r="L1305" s="53">
        <f>IF(G1305*K1305&lt;&gt;0, TRUNC(G1305*K1305, 1), "")</f>
        <v>336621.4</v>
      </c>
      <c r="M1305" s="15">
        <f>합산자재!J345</f>
        <v>0</v>
      </c>
      <c r="N1305" s="53" t="str">
        <f>IF(G1305*M1305&lt;&gt;0, TRUNC(G1305*M1305, 1), "")</f>
        <v/>
      </c>
      <c r="O1305" s="15">
        <f>IF((H1305+K1305+M1305)=0, "", (H1305+K1305+M1305))</f>
        <v>273676</v>
      </c>
      <c r="P1305" s="15">
        <f>IF(SUM(I1305,L1305,N1305)&lt;&gt;0,SUM(I1305,L1305,N1305),"")</f>
        <v>336621.4</v>
      </c>
      <c r="Q1305" s="12"/>
    </row>
    <row r="1306" spans="1:28" ht="23.25" customHeight="1" x14ac:dyDescent="0.15">
      <c r="A1306" s="13" t="s">
        <v>2362</v>
      </c>
      <c r="B1306" s="13" t="s">
        <v>2244</v>
      </c>
      <c r="C1306" s="1" t="s">
        <v>2363</v>
      </c>
      <c r="D1306" s="12" t="s">
        <v>2364</v>
      </c>
      <c r="E1306" s="12" t="s">
        <v>2365</v>
      </c>
      <c r="F1306" s="31" t="s">
        <v>792</v>
      </c>
      <c r="G1306" s="15">
        <v>1</v>
      </c>
      <c r="H1306" s="15">
        <v>6732.4</v>
      </c>
      <c r="I1306" s="53">
        <f>IF(G1306*H1306&lt;&gt;0, TRUNC(G1306*H1306, 1), "")</f>
        <v>6732.4</v>
      </c>
      <c r="J1306" s="15">
        <v>1</v>
      </c>
      <c r="K1306" s="15"/>
      <c r="L1306" s="53" t="str">
        <f>IF(G1306*K1306&lt;&gt;0, TRUNC(G1306*K1306, 1), "")</f>
        <v/>
      </c>
      <c r="M1306" s="15"/>
      <c r="N1306" s="53" t="str">
        <f>IF(G1306*M1306&lt;&gt;0, TRUNC(G1306*M1306, 1), "")</f>
        <v/>
      </c>
      <c r="O1306" s="15">
        <f>IF((H1306+K1306+M1306)=0, "", (H1306+K1306+M1306))</f>
        <v>6732.4</v>
      </c>
      <c r="P1306" s="15">
        <f>IF(SUM(I1306,L1306,N1306)&lt;&gt;0,SUM(I1306,L1306,N1306),"")</f>
        <v>6732.4</v>
      </c>
      <c r="Q1306" s="12"/>
    </row>
    <row r="1307" spans="1:28" ht="23.25" customHeight="1" x14ac:dyDescent="0.15">
      <c r="B1307" s="13" t="s">
        <v>2360</v>
      </c>
      <c r="D1307" s="12" t="s">
        <v>2361</v>
      </c>
      <c r="E1307" s="12"/>
      <c r="F1307" s="31"/>
      <c r="G1307" s="15"/>
      <c r="H1307" s="15"/>
      <c r="I1307" s="53">
        <f>TRUNC(SUM(I1303:I1306))</f>
        <v>6732</v>
      </c>
      <c r="J1307" s="15"/>
      <c r="K1307" s="15"/>
      <c r="L1307" s="53">
        <f>TRUNC(SUM(L1303:L1306))</f>
        <v>336621</v>
      </c>
      <c r="M1307" s="15"/>
      <c r="N1307" s="53">
        <f>TRUNC(SUM(N1303:N1306))</f>
        <v>0</v>
      </c>
      <c r="O1307" s="15" t="str">
        <f>IF((H1307+K1307+M1307)=0, "", (H1307+K1307+M1307))</f>
        <v/>
      </c>
      <c r="P1307" s="15">
        <f>IF(SUM(I1307,L1307,N1307)&lt;&gt;0,SUM(I1307,L1307,N1307),"")</f>
        <v>343353</v>
      </c>
      <c r="Q1307" s="12"/>
    </row>
    <row r="1308" spans="1:28" ht="23.25" customHeight="1" x14ac:dyDescent="0.15">
      <c r="D1308" s="12"/>
      <c r="E1308" s="12"/>
      <c r="F1308" s="31"/>
      <c r="G1308" s="15"/>
      <c r="H1308" s="15"/>
      <c r="I1308" s="53"/>
      <c r="J1308" s="15"/>
      <c r="K1308" s="15"/>
      <c r="L1308" s="53"/>
      <c r="M1308" s="15"/>
      <c r="N1308" s="53"/>
      <c r="O1308" s="15"/>
      <c r="P1308" s="15"/>
      <c r="Q1308" s="12"/>
    </row>
    <row r="1309" spans="1:28" ht="23.25" customHeight="1" x14ac:dyDescent="0.15">
      <c r="A1309" s="13" t="s">
        <v>2931</v>
      </c>
      <c r="B1309" s="13" t="s">
        <v>2382</v>
      </c>
      <c r="C1309" s="1" t="s">
        <v>2932</v>
      </c>
      <c r="D1309" s="170" t="s">
        <v>2930</v>
      </c>
      <c r="E1309" s="172"/>
      <c r="F1309" s="31"/>
      <c r="G1309" s="15"/>
      <c r="H1309" s="15"/>
      <c r="I1309" s="53"/>
      <c r="J1309" s="15"/>
      <c r="K1309" s="15"/>
      <c r="L1309" s="53"/>
      <c r="M1309" s="15"/>
      <c r="N1309" s="53"/>
      <c r="O1309" s="15"/>
      <c r="P1309" s="15"/>
      <c r="Q1309" s="12"/>
    </row>
    <row r="1310" spans="1:28" ht="23.25" customHeight="1" x14ac:dyDescent="0.15">
      <c r="A1310" s="13" t="s">
        <v>1324</v>
      </c>
      <c r="B1310" s="13" t="s">
        <v>2247</v>
      </c>
      <c r="C1310" s="1" t="s">
        <v>894</v>
      </c>
      <c r="D1310" s="12" t="s">
        <v>858</v>
      </c>
      <c r="E1310" s="12" t="s">
        <v>895</v>
      </c>
      <c r="F1310" s="31" t="s">
        <v>559</v>
      </c>
      <c r="G1310" s="15">
        <v>1</v>
      </c>
      <c r="H1310" s="15"/>
      <c r="I1310" s="53" t="str">
        <f>IF(G1310*H1310&lt;&gt;0, TRUNC(G1310*H1310, 1), "")</f>
        <v/>
      </c>
      <c r="J1310" s="15">
        <v>1</v>
      </c>
      <c r="K1310" s="15">
        <f>합산자재!I300</f>
        <v>0</v>
      </c>
      <c r="L1310" s="53" t="str">
        <f>IF(G1310*K1310&lt;&gt;0, TRUNC(G1310*K1310, 1), "")</f>
        <v/>
      </c>
      <c r="M1310" s="15">
        <f>합산자재!J300</f>
        <v>0</v>
      </c>
      <c r="N1310" s="53" t="str">
        <f>IF(G1310*M1310&lt;&gt;0, TRUNC(G1310*M1310, 1), "")</f>
        <v/>
      </c>
      <c r="O1310" s="15" t="str">
        <f>IF((H1310+K1310+M1310)=0, "", (H1310+K1310+M1310))</f>
        <v/>
      </c>
      <c r="P1310" s="15" t="str">
        <f>IF(SUM(I1310,L1310,N1310)&lt;&gt;0,SUM(I1310,L1310,N1310),"")</f>
        <v/>
      </c>
      <c r="Q1310" s="12" t="s">
        <v>2378</v>
      </c>
      <c r="AB1310" s="2">
        <f>합산자재!H300*J1310</f>
        <v>2040000</v>
      </c>
    </row>
    <row r="1311" spans="1:28" ht="23.25" customHeight="1" x14ac:dyDescent="0.15">
      <c r="A1311" s="13" t="s">
        <v>1372</v>
      </c>
      <c r="B1311" s="13" t="s">
        <v>2247</v>
      </c>
      <c r="C1311" s="1" t="s">
        <v>1002</v>
      </c>
      <c r="D1311" s="12" t="s">
        <v>1003</v>
      </c>
      <c r="E1311" s="12" t="s">
        <v>1004</v>
      </c>
      <c r="F1311" s="31" t="s">
        <v>999</v>
      </c>
      <c r="G1311" s="15">
        <f>일위노임!G605</f>
        <v>1.23</v>
      </c>
      <c r="H1311" s="15">
        <f>합산자재!H345</f>
        <v>0</v>
      </c>
      <c r="I1311" s="53" t="str">
        <f>IF(G1311*H1311&lt;&gt;0, TRUNC(G1311*H1311, 1), "")</f>
        <v/>
      </c>
      <c r="J1311" s="15">
        <v>1.23</v>
      </c>
      <c r="K1311" s="15">
        <f>합산자재!I345</f>
        <v>273676</v>
      </c>
      <c r="L1311" s="53">
        <f>IF(G1311*K1311&lt;&gt;0, TRUNC(G1311*K1311, 1), "")</f>
        <v>336621.4</v>
      </c>
      <c r="M1311" s="15">
        <f>합산자재!J345</f>
        <v>0</v>
      </c>
      <c r="N1311" s="53" t="str">
        <f>IF(G1311*M1311&lt;&gt;0, TRUNC(G1311*M1311, 1), "")</f>
        <v/>
      </c>
      <c r="O1311" s="15">
        <f>IF((H1311+K1311+M1311)=0, "", (H1311+K1311+M1311))</f>
        <v>273676</v>
      </c>
      <c r="P1311" s="15">
        <f>IF(SUM(I1311,L1311,N1311)&lt;&gt;0,SUM(I1311,L1311,N1311),"")</f>
        <v>336621.4</v>
      </c>
      <c r="Q1311" s="12"/>
    </row>
    <row r="1312" spans="1:28" ht="23.25" customHeight="1" x14ac:dyDescent="0.15">
      <c r="A1312" s="13" t="s">
        <v>2362</v>
      </c>
      <c r="B1312" s="13" t="s">
        <v>2247</v>
      </c>
      <c r="C1312" s="1" t="s">
        <v>2363</v>
      </c>
      <c r="D1312" s="12" t="s">
        <v>2364</v>
      </c>
      <c r="E1312" s="12" t="s">
        <v>2365</v>
      </c>
      <c r="F1312" s="31" t="s">
        <v>792</v>
      </c>
      <c r="G1312" s="15">
        <v>1</v>
      </c>
      <c r="H1312" s="15">
        <v>6732.4</v>
      </c>
      <c r="I1312" s="53">
        <f>IF(G1312*H1312&lt;&gt;0, TRUNC(G1312*H1312, 1), "")</f>
        <v>6732.4</v>
      </c>
      <c r="J1312" s="15">
        <v>1</v>
      </c>
      <c r="K1312" s="15"/>
      <c r="L1312" s="53" t="str">
        <f>IF(G1312*K1312&lt;&gt;0, TRUNC(G1312*K1312, 1), "")</f>
        <v/>
      </c>
      <c r="M1312" s="15"/>
      <c r="N1312" s="53" t="str">
        <f>IF(G1312*M1312&lt;&gt;0, TRUNC(G1312*M1312, 1), "")</f>
        <v/>
      </c>
      <c r="O1312" s="15">
        <f>IF((H1312+K1312+M1312)=0, "", (H1312+K1312+M1312))</f>
        <v>6732.4</v>
      </c>
      <c r="P1312" s="15">
        <f>IF(SUM(I1312,L1312,N1312)&lt;&gt;0,SUM(I1312,L1312,N1312),"")</f>
        <v>6732.4</v>
      </c>
      <c r="Q1312" s="12"/>
    </row>
    <row r="1313" spans="1:28" ht="23.25" customHeight="1" x14ac:dyDescent="0.15">
      <c r="B1313" s="13" t="s">
        <v>2360</v>
      </c>
      <c r="D1313" s="12" t="s">
        <v>2361</v>
      </c>
      <c r="E1313" s="12"/>
      <c r="F1313" s="31"/>
      <c r="G1313" s="15"/>
      <c r="H1313" s="15"/>
      <c r="I1313" s="53">
        <f>TRUNC(SUM(I1309:I1312))</f>
        <v>6732</v>
      </c>
      <c r="J1313" s="15"/>
      <c r="K1313" s="15"/>
      <c r="L1313" s="53">
        <f>TRUNC(SUM(L1309:L1312))</f>
        <v>336621</v>
      </c>
      <c r="M1313" s="15"/>
      <c r="N1313" s="53">
        <f>TRUNC(SUM(N1309:N1312))</f>
        <v>0</v>
      </c>
      <c r="O1313" s="15" t="str">
        <f>IF((H1313+K1313+M1313)=0, "", (H1313+K1313+M1313))</f>
        <v/>
      </c>
      <c r="P1313" s="15">
        <f>IF(SUM(I1313,L1313,N1313)&lt;&gt;0,SUM(I1313,L1313,N1313),"")</f>
        <v>343353</v>
      </c>
      <c r="Q1313" s="12"/>
    </row>
    <row r="1314" spans="1:28" ht="23.25" customHeight="1" x14ac:dyDescent="0.15">
      <c r="D1314" s="12"/>
      <c r="E1314" s="12"/>
      <c r="F1314" s="31"/>
      <c r="G1314" s="15"/>
      <c r="H1314" s="15"/>
      <c r="I1314" s="53"/>
      <c r="J1314" s="15"/>
      <c r="K1314" s="15"/>
      <c r="L1314" s="53"/>
      <c r="M1314" s="15"/>
      <c r="N1314" s="53"/>
      <c r="O1314" s="15"/>
      <c r="P1314" s="15"/>
      <c r="Q1314" s="12"/>
    </row>
    <row r="1315" spans="1:28" ht="23.25" customHeight="1" x14ac:dyDescent="0.15">
      <c r="A1315" s="13" t="s">
        <v>2934</v>
      </c>
      <c r="B1315" s="13" t="s">
        <v>2382</v>
      </c>
      <c r="C1315" s="1" t="s">
        <v>2935</v>
      </c>
      <c r="D1315" s="170" t="s">
        <v>2933</v>
      </c>
      <c r="E1315" s="172"/>
      <c r="F1315" s="31"/>
      <c r="G1315" s="15"/>
      <c r="H1315" s="15"/>
      <c r="I1315" s="53"/>
      <c r="J1315" s="15"/>
      <c r="K1315" s="15"/>
      <c r="L1315" s="53"/>
      <c r="M1315" s="15"/>
      <c r="N1315" s="53"/>
      <c r="O1315" s="15"/>
      <c r="P1315" s="15"/>
      <c r="Q1315" s="12"/>
    </row>
    <row r="1316" spans="1:28" ht="23.25" customHeight="1" x14ac:dyDescent="0.15">
      <c r="A1316" s="13" t="s">
        <v>1325</v>
      </c>
      <c r="B1316" s="13" t="s">
        <v>2250</v>
      </c>
      <c r="C1316" s="1" t="s">
        <v>896</v>
      </c>
      <c r="D1316" s="12" t="s">
        <v>858</v>
      </c>
      <c r="E1316" s="12" t="s">
        <v>897</v>
      </c>
      <c r="F1316" s="31" t="s">
        <v>559</v>
      </c>
      <c r="G1316" s="15">
        <v>1</v>
      </c>
      <c r="H1316" s="15"/>
      <c r="I1316" s="53" t="str">
        <f>IF(G1316*H1316&lt;&gt;0, TRUNC(G1316*H1316, 1), "")</f>
        <v/>
      </c>
      <c r="J1316" s="15">
        <v>1</v>
      </c>
      <c r="K1316" s="15">
        <f>합산자재!I301</f>
        <v>0</v>
      </c>
      <c r="L1316" s="53" t="str">
        <f>IF(G1316*K1316&lt;&gt;0, TRUNC(G1316*K1316, 1), "")</f>
        <v/>
      </c>
      <c r="M1316" s="15">
        <f>합산자재!J301</f>
        <v>0</v>
      </c>
      <c r="N1316" s="53" t="str">
        <f>IF(G1316*M1316&lt;&gt;0, TRUNC(G1316*M1316, 1), "")</f>
        <v/>
      </c>
      <c r="O1316" s="15" t="str">
        <f>IF((H1316+K1316+M1316)=0, "", (H1316+K1316+M1316))</f>
        <v/>
      </c>
      <c r="P1316" s="15" t="str">
        <f>IF(SUM(I1316,L1316,N1316)&lt;&gt;0,SUM(I1316,L1316,N1316),"")</f>
        <v/>
      </c>
      <c r="Q1316" s="12" t="s">
        <v>2378</v>
      </c>
      <c r="AB1316" s="2">
        <f>합산자재!H301*J1316</f>
        <v>3861000</v>
      </c>
    </row>
    <row r="1317" spans="1:28" ht="23.25" customHeight="1" x14ac:dyDescent="0.15">
      <c r="A1317" s="13" t="s">
        <v>1372</v>
      </c>
      <c r="B1317" s="13" t="s">
        <v>2250</v>
      </c>
      <c r="C1317" s="1" t="s">
        <v>1002</v>
      </c>
      <c r="D1317" s="12" t="s">
        <v>1003</v>
      </c>
      <c r="E1317" s="12" t="s">
        <v>1004</v>
      </c>
      <c r="F1317" s="31" t="s">
        <v>999</v>
      </c>
      <c r="G1317" s="15">
        <f>일위노임!G608</f>
        <v>1.23</v>
      </c>
      <c r="H1317" s="15">
        <f>합산자재!H345</f>
        <v>0</v>
      </c>
      <c r="I1317" s="53" t="str">
        <f>IF(G1317*H1317&lt;&gt;0, TRUNC(G1317*H1317, 1), "")</f>
        <v/>
      </c>
      <c r="J1317" s="15">
        <v>1.23</v>
      </c>
      <c r="K1317" s="15">
        <f>합산자재!I345</f>
        <v>273676</v>
      </c>
      <c r="L1317" s="53">
        <f>IF(G1317*K1317&lt;&gt;0, TRUNC(G1317*K1317, 1), "")</f>
        <v>336621.4</v>
      </c>
      <c r="M1317" s="15">
        <f>합산자재!J345</f>
        <v>0</v>
      </c>
      <c r="N1317" s="53" t="str">
        <f>IF(G1317*M1317&lt;&gt;0, TRUNC(G1317*M1317, 1), "")</f>
        <v/>
      </c>
      <c r="O1317" s="15">
        <f>IF((H1317+K1317+M1317)=0, "", (H1317+K1317+M1317))</f>
        <v>273676</v>
      </c>
      <c r="P1317" s="15">
        <f>IF(SUM(I1317,L1317,N1317)&lt;&gt;0,SUM(I1317,L1317,N1317),"")</f>
        <v>336621.4</v>
      </c>
      <c r="Q1317" s="12"/>
    </row>
    <row r="1318" spans="1:28" ht="23.25" customHeight="1" x14ac:dyDescent="0.15">
      <c r="A1318" s="13" t="s">
        <v>2362</v>
      </c>
      <c r="B1318" s="13" t="s">
        <v>2250</v>
      </c>
      <c r="C1318" s="1" t="s">
        <v>2363</v>
      </c>
      <c r="D1318" s="12" t="s">
        <v>2364</v>
      </c>
      <c r="E1318" s="12" t="s">
        <v>2365</v>
      </c>
      <c r="F1318" s="31" t="s">
        <v>792</v>
      </c>
      <c r="G1318" s="15">
        <v>1</v>
      </c>
      <c r="H1318" s="15">
        <v>6732.4</v>
      </c>
      <c r="I1318" s="53">
        <f>IF(G1318*H1318&lt;&gt;0, TRUNC(G1318*H1318, 1), "")</f>
        <v>6732.4</v>
      </c>
      <c r="J1318" s="15">
        <v>1</v>
      </c>
      <c r="K1318" s="15"/>
      <c r="L1318" s="53" t="str">
        <f>IF(G1318*K1318&lt;&gt;0, TRUNC(G1318*K1318, 1), "")</f>
        <v/>
      </c>
      <c r="M1318" s="15"/>
      <c r="N1318" s="53" t="str">
        <f>IF(G1318*M1318&lt;&gt;0, TRUNC(G1318*M1318, 1), "")</f>
        <v/>
      </c>
      <c r="O1318" s="15">
        <f>IF((H1318+K1318+M1318)=0, "", (H1318+K1318+M1318))</f>
        <v>6732.4</v>
      </c>
      <c r="P1318" s="15">
        <f>IF(SUM(I1318,L1318,N1318)&lt;&gt;0,SUM(I1318,L1318,N1318),"")</f>
        <v>6732.4</v>
      </c>
      <c r="Q1318" s="12"/>
    </row>
    <row r="1319" spans="1:28" ht="23.25" customHeight="1" x14ac:dyDescent="0.15">
      <c r="B1319" s="13" t="s">
        <v>2360</v>
      </c>
      <c r="D1319" s="12" t="s">
        <v>2361</v>
      </c>
      <c r="E1319" s="12"/>
      <c r="F1319" s="31"/>
      <c r="G1319" s="15"/>
      <c r="H1319" s="15"/>
      <c r="I1319" s="53">
        <f>TRUNC(SUM(I1315:I1318))</f>
        <v>6732</v>
      </c>
      <c r="J1319" s="15"/>
      <c r="K1319" s="15"/>
      <c r="L1319" s="53">
        <f>TRUNC(SUM(L1315:L1318))</f>
        <v>336621</v>
      </c>
      <c r="M1319" s="15"/>
      <c r="N1319" s="53">
        <f>TRUNC(SUM(N1315:N1318))</f>
        <v>0</v>
      </c>
      <c r="O1319" s="15" t="str">
        <f>IF((H1319+K1319+M1319)=0, "", (H1319+K1319+M1319))</f>
        <v/>
      </c>
      <c r="P1319" s="15">
        <f>IF(SUM(I1319,L1319,N1319)&lt;&gt;0,SUM(I1319,L1319,N1319),"")</f>
        <v>343353</v>
      </c>
      <c r="Q1319" s="12"/>
    </row>
    <row r="1320" spans="1:28" ht="23.25" customHeight="1" x14ac:dyDescent="0.15">
      <c r="D1320" s="12"/>
      <c r="E1320" s="12"/>
      <c r="F1320" s="31"/>
      <c r="G1320" s="15"/>
      <c r="H1320" s="15"/>
      <c r="I1320" s="53"/>
      <c r="J1320" s="15"/>
      <c r="K1320" s="15"/>
      <c r="L1320" s="53"/>
      <c r="M1320" s="15"/>
      <c r="N1320" s="53"/>
      <c r="O1320" s="15"/>
      <c r="P1320" s="15"/>
      <c r="Q1320" s="12"/>
    </row>
    <row r="1321" spans="1:28" ht="23.25" customHeight="1" x14ac:dyDescent="0.15">
      <c r="A1321" s="13" t="s">
        <v>2937</v>
      </c>
      <c r="B1321" s="13" t="s">
        <v>2382</v>
      </c>
      <c r="C1321" s="1" t="s">
        <v>2938</v>
      </c>
      <c r="D1321" s="170" t="s">
        <v>2936</v>
      </c>
      <c r="E1321" s="172"/>
      <c r="F1321" s="31"/>
      <c r="G1321" s="15"/>
      <c r="H1321" s="15"/>
      <c r="I1321" s="53"/>
      <c r="J1321" s="15"/>
      <c r="K1321" s="15"/>
      <c r="L1321" s="53"/>
      <c r="M1321" s="15"/>
      <c r="N1321" s="53"/>
      <c r="O1321" s="15"/>
      <c r="P1321" s="15"/>
      <c r="Q1321" s="12"/>
    </row>
    <row r="1322" spans="1:28" ht="23.25" customHeight="1" x14ac:dyDescent="0.15">
      <c r="A1322" s="13" t="s">
        <v>1326</v>
      </c>
      <c r="B1322" s="13" t="s">
        <v>2253</v>
      </c>
      <c r="C1322" s="1" t="s">
        <v>898</v>
      </c>
      <c r="D1322" s="12" t="s">
        <v>858</v>
      </c>
      <c r="E1322" s="12" t="s">
        <v>899</v>
      </c>
      <c r="F1322" s="31" t="s">
        <v>559</v>
      </c>
      <c r="G1322" s="15">
        <v>1</v>
      </c>
      <c r="H1322" s="15"/>
      <c r="I1322" s="53" t="str">
        <f>IF(G1322*H1322&lt;&gt;0, TRUNC(G1322*H1322, 1), "")</f>
        <v/>
      </c>
      <c r="J1322" s="15">
        <v>1</v>
      </c>
      <c r="K1322" s="15">
        <f>합산자재!I302</f>
        <v>0</v>
      </c>
      <c r="L1322" s="53" t="str">
        <f>IF(G1322*K1322&lt;&gt;0, TRUNC(G1322*K1322, 1), "")</f>
        <v/>
      </c>
      <c r="M1322" s="15">
        <f>합산자재!J302</f>
        <v>0</v>
      </c>
      <c r="N1322" s="53" t="str">
        <f>IF(G1322*M1322&lt;&gt;0, TRUNC(G1322*M1322, 1), "")</f>
        <v/>
      </c>
      <c r="O1322" s="15" t="str">
        <f>IF((H1322+K1322+M1322)=0, "", (H1322+K1322+M1322))</f>
        <v/>
      </c>
      <c r="P1322" s="15" t="str">
        <f>IF(SUM(I1322,L1322,N1322)&lt;&gt;0,SUM(I1322,L1322,N1322),"")</f>
        <v/>
      </c>
      <c r="Q1322" s="12" t="s">
        <v>2378</v>
      </c>
      <c r="AB1322" s="2">
        <f>합산자재!H302*J1322</f>
        <v>3165000</v>
      </c>
    </row>
    <row r="1323" spans="1:28" ht="23.25" customHeight="1" x14ac:dyDescent="0.15">
      <c r="A1323" s="13" t="s">
        <v>1372</v>
      </c>
      <c r="B1323" s="13" t="s">
        <v>2253</v>
      </c>
      <c r="C1323" s="1" t="s">
        <v>1002</v>
      </c>
      <c r="D1323" s="12" t="s">
        <v>1003</v>
      </c>
      <c r="E1323" s="12" t="s">
        <v>1004</v>
      </c>
      <c r="F1323" s="31" t="s">
        <v>999</v>
      </c>
      <c r="G1323" s="15">
        <f>일위노임!G611</f>
        <v>1.23</v>
      </c>
      <c r="H1323" s="15">
        <f>합산자재!H345</f>
        <v>0</v>
      </c>
      <c r="I1323" s="53" t="str">
        <f>IF(G1323*H1323&lt;&gt;0, TRUNC(G1323*H1323, 1), "")</f>
        <v/>
      </c>
      <c r="J1323" s="15">
        <v>1.23</v>
      </c>
      <c r="K1323" s="15">
        <f>합산자재!I345</f>
        <v>273676</v>
      </c>
      <c r="L1323" s="53">
        <f>IF(G1323*K1323&lt;&gt;0, TRUNC(G1323*K1323, 1), "")</f>
        <v>336621.4</v>
      </c>
      <c r="M1323" s="15">
        <f>합산자재!J345</f>
        <v>0</v>
      </c>
      <c r="N1323" s="53" t="str">
        <f>IF(G1323*M1323&lt;&gt;0, TRUNC(G1323*M1323, 1), "")</f>
        <v/>
      </c>
      <c r="O1323" s="15">
        <f>IF((H1323+K1323+M1323)=0, "", (H1323+K1323+M1323))</f>
        <v>273676</v>
      </c>
      <c r="P1323" s="15">
        <f>IF(SUM(I1323,L1323,N1323)&lt;&gt;0,SUM(I1323,L1323,N1323),"")</f>
        <v>336621.4</v>
      </c>
      <c r="Q1323" s="12"/>
    </row>
    <row r="1324" spans="1:28" ht="23.25" customHeight="1" x14ac:dyDescent="0.15">
      <c r="A1324" s="13" t="s">
        <v>2362</v>
      </c>
      <c r="B1324" s="13" t="s">
        <v>2253</v>
      </c>
      <c r="C1324" s="1" t="s">
        <v>2363</v>
      </c>
      <c r="D1324" s="12" t="s">
        <v>2364</v>
      </c>
      <c r="E1324" s="12" t="s">
        <v>2365</v>
      </c>
      <c r="F1324" s="31" t="s">
        <v>792</v>
      </c>
      <c r="G1324" s="15">
        <v>1</v>
      </c>
      <c r="H1324" s="15">
        <v>6732.4</v>
      </c>
      <c r="I1324" s="53">
        <f>IF(G1324*H1324&lt;&gt;0, TRUNC(G1324*H1324, 1), "")</f>
        <v>6732.4</v>
      </c>
      <c r="J1324" s="15">
        <v>1</v>
      </c>
      <c r="K1324" s="15"/>
      <c r="L1324" s="53" t="str">
        <f>IF(G1324*K1324&lt;&gt;0, TRUNC(G1324*K1324, 1), "")</f>
        <v/>
      </c>
      <c r="M1324" s="15"/>
      <c r="N1324" s="53" t="str">
        <f>IF(G1324*M1324&lt;&gt;0, TRUNC(G1324*M1324, 1), "")</f>
        <v/>
      </c>
      <c r="O1324" s="15">
        <f>IF((H1324+K1324+M1324)=0, "", (H1324+K1324+M1324))</f>
        <v>6732.4</v>
      </c>
      <c r="P1324" s="15">
        <f>IF(SUM(I1324,L1324,N1324)&lt;&gt;0,SUM(I1324,L1324,N1324),"")</f>
        <v>6732.4</v>
      </c>
      <c r="Q1324" s="12"/>
    </row>
    <row r="1325" spans="1:28" ht="23.25" customHeight="1" x14ac:dyDescent="0.15">
      <c r="B1325" s="13" t="s">
        <v>2360</v>
      </c>
      <c r="D1325" s="12" t="s">
        <v>2361</v>
      </c>
      <c r="E1325" s="12"/>
      <c r="F1325" s="31"/>
      <c r="G1325" s="15"/>
      <c r="H1325" s="15"/>
      <c r="I1325" s="53">
        <f>TRUNC(SUM(I1321:I1324))</f>
        <v>6732</v>
      </c>
      <c r="J1325" s="15"/>
      <c r="K1325" s="15"/>
      <c r="L1325" s="53">
        <f>TRUNC(SUM(L1321:L1324))</f>
        <v>336621</v>
      </c>
      <c r="M1325" s="15"/>
      <c r="N1325" s="53">
        <f>TRUNC(SUM(N1321:N1324))</f>
        <v>0</v>
      </c>
      <c r="O1325" s="15" t="str">
        <f>IF((H1325+K1325+M1325)=0, "", (H1325+K1325+M1325))</f>
        <v/>
      </c>
      <c r="P1325" s="15">
        <f>IF(SUM(I1325,L1325,N1325)&lt;&gt;0,SUM(I1325,L1325,N1325),"")</f>
        <v>343353</v>
      </c>
      <c r="Q1325" s="12"/>
    </row>
    <row r="1326" spans="1:28" ht="23.25" customHeight="1" x14ac:dyDescent="0.15">
      <c r="D1326" s="12"/>
      <c r="E1326" s="12"/>
      <c r="F1326" s="31"/>
      <c r="G1326" s="15"/>
      <c r="H1326" s="15"/>
      <c r="I1326" s="53"/>
      <c r="J1326" s="15"/>
      <c r="K1326" s="15"/>
      <c r="L1326" s="53"/>
      <c r="M1326" s="15"/>
      <c r="N1326" s="53"/>
      <c r="O1326" s="15"/>
      <c r="P1326" s="15"/>
      <c r="Q1326" s="12"/>
    </row>
    <row r="1327" spans="1:28" ht="23.25" customHeight="1" x14ac:dyDescent="0.15">
      <c r="A1327" s="13" t="s">
        <v>2940</v>
      </c>
      <c r="B1327" s="13" t="s">
        <v>2382</v>
      </c>
      <c r="C1327" s="1" t="s">
        <v>2941</v>
      </c>
      <c r="D1327" s="170" t="s">
        <v>2939</v>
      </c>
      <c r="E1327" s="172"/>
      <c r="F1327" s="31"/>
      <c r="G1327" s="15"/>
      <c r="H1327" s="15"/>
      <c r="I1327" s="53"/>
      <c r="J1327" s="15"/>
      <c r="K1327" s="15"/>
      <c r="L1327" s="53"/>
      <c r="M1327" s="15"/>
      <c r="N1327" s="53"/>
      <c r="O1327" s="15"/>
      <c r="P1327" s="15"/>
      <c r="Q1327" s="12"/>
    </row>
    <row r="1328" spans="1:28" ht="23.25" customHeight="1" x14ac:dyDescent="0.15">
      <c r="A1328" s="13" t="s">
        <v>1327</v>
      </c>
      <c r="B1328" s="13" t="s">
        <v>2256</v>
      </c>
      <c r="C1328" s="1" t="s">
        <v>900</v>
      </c>
      <c r="D1328" s="12" t="s">
        <v>858</v>
      </c>
      <c r="E1328" s="12" t="s">
        <v>901</v>
      </c>
      <c r="F1328" s="31" t="s">
        <v>559</v>
      </c>
      <c r="G1328" s="15">
        <v>1</v>
      </c>
      <c r="H1328" s="15"/>
      <c r="I1328" s="53" t="str">
        <f>IF(G1328*H1328&lt;&gt;0, TRUNC(G1328*H1328, 1), "")</f>
        <v/>
      </c>
      <c r="J1328" s="15">
        <v>1</v>
      </c>
      <c r="K1328" s="15">
        <f>합산자재!I303</f>
        <v>0</v>
      </c>
      <c r="L1328" s="53" t="str">
        <f>IF(G1328*K1328&lt;&gt;0, TRUNC(G1328*K1328, 1), "")</f>
        <v/>
      </c>
      <c r="M1328" s="15">
        <f>합산자재!J303</f>
        <v>0</v>
      </c>
      <c r="N1328" s="53" t="str">
        <f>IF(G1328*M1328&lt;&gt;0, TRUNC(G1328*M1328, 1), "")</f>
        <v/>
      </c>
      <c r="O1328" s="15" t="str">
        <f>IF((H1328+K1328+M1328)=0, "", (H1328+K1328+M1328))</f>
        <v/>
      </c>
      <c r="P1328" s="15" t="str">
        <f>IF(SUM(I1328,L1328,N1328)&lt;&gt;0,SUM(I1328,L1328,N1328),"")</f>
        <v/>
      </c>
      <c r="Q1328" s="12" t="s">
        <v>2378</v>
      </c>
      <c r="AB1328" s="2">
        <f>합산자재!H303*J1328</f>
        <v>7007000</v>
      </c>
    </row>
    <row r="1329" spans="1:28" ht="23.25" customHeight="1" x14ac:dyDescent="0.15">
      <c r="A1329" s="13" t="s">
        <v>1372</v>
      </c>
      <c r="B1329" s="13" t="s">
        <v>2256</v>
      </c>
      <c r="C1329" s="1" t="s">
        <v>1002</v>
      </c>
      <c r="D1329" s="12" t="s">
        <v>1003</v>
      </c>
      <c r="E1329" s="12" t="s">
        <v>1004</v>
      </c>
      <c r="F1329" s="31" t="s">
        <v>999</v>
      </c>
      <c r="G1329" s="15">
        <f>일위노임!G614</f>
        <v>1.23</v>
      </c>
      <c r="H1329" s="15">
        <f>합산자재!H345</f>
        <v>0</v>
      </c>
      <c r="I1329" s="53" t="str">
        <f>IF(G1329*H1329&lt;&gt;0, TRUNC(G1329*H1329, 1), "")</f>
        <v/>
      </c>
      <c r="J1329" s="15">
        <v>1.23</v>
      </c>
      <c r="K1329" s="15">
        <f>합산자재!I345</f>
        <v>273676</v>
      </c>
      <c r="L1329" s="53">
        <f>IF(G1329*K1329&lt;&gt;0, TRUNC(G1329*K1329, 1), "")</f>
        <v>336621.4</v>
      </c>
      <c r="M1329" s="15">
        <f>합산자재!J345</f>
        <v>0</v>
      </c>
      <c r="N1329" s="53" t="str">
        <f>IF(G1329*M1329&lt;&gt;0, TRUNC(G1329*M1329, 1), "")</f>
        <v/>
      </c>
      <c r="O1329" s="15">
        <f>IF((H1329+K1329+M1329)=0, "", (H1329+K1329+M1329))</f>
        <v>273676</v>
      </c>
      <c r="P1329" s="15">
        <f>IF(SUM(I1329,L1329,N1329)&lt;&gt;0,SUM(I1329,L1329,N1329),"")</f>
        <v>336621.4</v>
      </c>
      <c r="Q1329" s="12"/>
    </row>
    <row r="1330" spans="1:28" ht="23.25" customHeight="1" x14ac:dyDescent="0.15">
      <c r="A1330" s="13" t="s">
        <v>2362</v>
      </c>
      <c r="B1330" s="13" t="s">
        <v>2256</v>
      </c>
      <c r="C1330" s="1" t="s">
        <v>2363</v>
      </c>
      <c r="D1330" s="12" t="s">
        <v>2364</v>
      </c>
      <c r="E1330" s="12" t="s">
        <v>2365</v>
      </c>
      <c r="F1330" s="31" t="s">
        <v>792</v>
      </c>
      <c r="G1330" s="15">
        <v>1</v>
      </c>
      <c r="H1330" s="15">
        <v>6732.4</v>
      </c>
      <c r="I1330" s="53">
        <f>IF(G1330*H1330&lt;&gt;0, TRUNC(G1330*H1330, 1), "")</f>
        <v>6732.4</v>
      </c>
      <c r="J1330" s="15">
        <v>1</v>
      </c>
      <c r="K1330" s="15"/>
      <c r="L1330" s="53" t="str">
        <f>IF(G1330*K1330&lt;&gt;0, TRUNC(G1330*K1330, 1), "")</f>
        <v/>
      </c>
      <c r="M1330" s="15"/>
      <c r="N1330" s="53" t="str">
        <f>IF(G1330*M1330&lt;&gt;0, TRUNC(G1330*M1330, 1), "")</f>
        <v/>
      </c>
      <c r="O1330" s="15">
        <f>IF((H1330+K1330+M1330)=0, "", (H1330+K1330+M1330))</f>
        <v>6732.4</v>
      </c>
      <c r="P1330" s="15">
        <f>IF(SUM(I1330,L1330,N1330)&lt;&gt;0,SUM(I1330,L1330,N1330),"")</f>
        <v>6732.4</v>
      </c>
      <c r="Q1330" s="12"/>
    </row>
    <row r="1331" spans="1:28" ht="23.25" customHeight="1" x14ac:dyDescent="0.15">
      <c r="B1331" s="13" t="s">
        <v>2360</v>
      </c>
      <c r="D1331" s="12" t="s">
        <v>2361</v>
      </c>
      <c r="E1331" s="12"/>
      <c r="F1331" s="31"/>
      <c r="G1331" s="15"/>
      <c r="H1331" s="15"/>
      <c r="I1331" s="53">
        <f>TRUNC(SUM(I1327:I1330))</f>
        <v>6732</v>
      </c>
      <c r="J1331" s="15"/>
      <c r="K1331" s="15"/>
      <c r="L1331" s="53">
        <f>TRUNC(SUM(L1327:L1330))</f>
        <v>336621</v>
      </c>
      <c r="M1331" s="15"/>
      <c r="N1331" s="53">
        <f>TRUNC(SUM(N1327:N1330))</f>
        <v>0</v>
      </c>
      <c r="O1331" s="15" t="str">
        <f>IF((H1331+K1331+M1331)=0, "", (H1331+K1331+M1331))</f>
        <v/>
      </c>
      <c r="P1331" s="15">
        <f>IF(SUM(I1331,L1331,N1331)&lt;&gt;0,SUM(I1331,L1331,N1331),"")</f>
        <v>343353</v>
      </c>
      <c r="Q1331" s="12"/>
    </row>
    <row r="1332" spans="1:28" ht="23.25" customHeight="1" x14ac:dyDescent="0.15">
      <c r="D1332" s="12"/>
      <c r="E1332" s="12"/>
      <c r="F1332" s="31"/>
      <c r="G1332" s="15"/>
      <c r="H1332" s="15"/>
      <c r="I1332" s="53"/>
      <c r="J1332" s="15"/>
      <c r="K1332" s="15"/>
      <c r="L1332" s="53"/>
      <c r="M1332" s="15"/>
      <c r="N1332" s="53"/>
      <c r="O1332" s="15"/>
      <c r="P1332" s="15"/>
      <c r="Q1332" s="12"/>
    </row>
    <row r="1333" spans="1:28" ht="23.25" customHeight="1" x14ac:dyDescent="0.15">
      <c r="A1333" s="13" t="s">
        <v>2943</v>
      </c>
      <c r="B1333" s="13" t="s">
        <v>2382</v>
      </c>
      <c r="C1333" s="1" t="s">
        <v>2944</v>
      </c>
      <c r="D1333" s="170" t="s">
        <v>2942</v>
      </c>
      <c r="E1333" s="172"/>
      <c r="F1333" s="31"/>
      <c r="G1333" s="15"/>
      <c r="H1333" s="15"/>
      <c r="I1333" s="53"/>
      <c r="J1333" s="15"/>
      <c r="K1333" s="15"/>
      <c r="L1333" s="53"/>
      <c r="M1333" s="15"/>
      <c r="N1333" s="53"/>
      <c r="O1333" s="15"/>
      <c r="P1333" s="15"/>
      <c r="Q1333" s="12"/>
    </row>
    <row r="1334" spans="1:28" ht="23.25" customHeight="1" x14ac:dyDescent="0.15">
      <c r="A1334" s="13" t="s">
        <v>1328</v>
      </c>
      <c r="B1334" s="13" t="s">
        <v>2259</v>
      </c>
      <c r="C1334" s="1" t="s">
        <v>902</v>
      </c>
      <c r="D1334" s="12" t="s">
        <v>858</v>
      </c>
      <c r="E1334" s="12" t="s">
        <v>903</v>
      </c>
      <c r="F1334" s="31" t="s">
        <v>559</v>
      </c>
      <c r="G1334" s="15">
        <v>1</v>
      </c>
      <c r="H1334" s="15"/>
      <c r="I1334" s="53" t="str">
        <f>IF(G1334*H1334&lt;&gt;0, TRUNC(G1334*H1334, 1), "")</f>
        <v/>
      </c>
      <c r="J1334" s="15">
        <v>1</v>
      </c>
      <c r="K1334" s="15">
        <f>합산자재!I304</f>
        <v>0</v>
      </c>
      <c r="L1334" s="53" t="str">
        <f>IF(G1334*K1334&lt;&gt;0, TRUNC(G1334*K1334, 1), "")</f>
        <v/>
      </c>
      <c r="M1334" s="15">
        <f>합산자재!J304</f>
        <v>0</v>
      </c>
      <c r="N1334" s="53" t="str">
        <f>IF(G1334*M1334&lt;&gt;0, TRUNC(G1334*M1334, 1), "")</f>
        <v/>
      </c>
      <c r="O1334" s="15" t="str">
        <f>IF((H1334+K1334+M1334)=0, "", (H1334+K1334+M1334))</f>
        <v/>
      </c>
      <c r="P1334" s="15" t="str">
        <f>IF(SUM(I1334,L1334,N1334)&lt;&gt;0,SUM(I1334,L1334,N1334),"")</f>
        <v/>
      </c>
      <c r="Q1334" s="12" t="s">
        <v>2378</v>
      </c>
      <c r="AB1334" s="2">
        <f>합산자재!H304*J1334</f>
        <v>7007000</v>
      </c>
    </row>
    <row r="1335" spans="1:28" ht="23.25" customHeight="1" x14ac:dyDescent="0.15">
      <c r="A1335" s="13" t="s">
        <v>1372</v>
      </c>
      <c r="B1335" s="13" t="s">
        <v>2259</v>
      </c>
      <c r="C1335" s="1" t="s">
        <v>1002</v>
      </c>
      <c r="D1335" s="12" t="s">
        <v>1003</v>
      </c>
      <c r="E1335" s="12" t="s">
        <v>1004</v>
      </c>
      <c r="F1335" s="31" t="s">
        <v>999</v>
      </c>
      <c r="G1335" s="15">
        <f>일위노임!G617</f>
        <v>1.23</v>
      </c>
      <c r="H1335" s="15">
        <f>합산자재!H345</f>
        <v>0</v>
      </c>
      <c r="I1335" s="53" t="str">
        <f>IF(G1335*H1335&lt;&gt;0, TRUNC(G1335*H1335, 1), "")</f>
        <v/>
      </c>
      <c r="J1335" s="15">
        <v>1.23</v>
      </c>
      <c r="K1335" s="15">
        <f>합산자재!I345</f>
        <v>273676</v>
      </c>
      <c r="L1335" s="53">
        <f>IF(G1335*K1335&lt;&gt;0, TRUNC(G1335*K1335, 1), "")</f>
        <v>336621.4</v>
      </c>
      <c r="M1335" s="15">
        <f>합산자재!J345</f>
        <v>0</v>
      </c>
      <c r="N1335" s="53" t="str">
        <f>IF(G1335*M1335&lt;&gt;0, TRUNC(G1335*M1335, 1), "")</f>
        <v/>
      </c>
      <c r="O1335" s="15">
        <f>IF((H1335+K1335+M1335)=0, "", (H1335+K1335+M1335))</f>
        <v>273676</v>
      </c>
      <c r="P1335" s="15">
        <f>IF(SUM(I1335,L1335,N1335)&lt;&gt;0,SUM(I1335,L1335,N1335),"")</f>
        <v>336621.4</v>
      </c>
      <c r="Q1335" s="12"/>
    </row>
    <row r="1336" spans="1:28" ht="23.25" customHeight="1" x14ac:dyDescent="0.15">
      <c r="A1336" s="13" t="s">
        <v>2362</v>
      </c>
      <c r="B1336" s="13" t="s">
        <v>2259</v>
      </c>
      <c r="C1336" s="1" t="s">
        <v>2363</v>
      </c>
      <c r="D1336" s="12" t="s">
        <v>2364</v>
      </c>
      <c r="E1336" s="12" t="s">
        <v>2365</v>
      </c>
      <c r="F1336" s="31" t="s">
        <v>792</v>
      </c>
      <c r="G1336" s="15">
        <v>1</v>
      </c>
      <c r="H1336" s="15">
        <v>6732.4</v>
      </c>
      <c r="I1336" s="53">
        <f>IF(G1336*H1336&lt;&gt;0, TRUNC(G1336*H1336, 1), "")</f>
        <v>6732.4</v>
      </c>
      <c r="J1336" s="15">
        <v>1</v>
      </c>
      <c r="K1336" s="15"/>
      <c r="L1336" s="53" t="str">
        <f>IF(G1336*K1336&lt;&gt;0, TRUNC(G1336*K1336, 1), "")</f>
        <v/>
      </c>
      <c r="M1336" s="15"/>
      <c r="N1336" s="53" t="str">
        <f>IF(G1336*M1336&lt;&gt;0, TRUNC(G1336*M1336, 1), "")</f>
        <v/>
      </c>
      <c r="O1336" s="15">
        <f>IF((H1336+K1336+M1336)=0, "", (H1336+K1336+M1336))</f>
        <v>6732.4</v>
      </c>
      <c r="P1336" s="15">
        <f>IF(SUM(I1336,L1336,N1336)&lt;&gt;0,SUM(I1336,L1336,N1336),"")</f>
        <v>6732.4</v>
      </c>
      <c r="Q1336" s="12"/>
    </row>
    <row r="1337" spans="1:28" ht="23.25" customHeight="1" x14ac:dyDescent="0.15">
      <c r="B1337" s="13" t="s">
        <v>2360</v>
      </c>
      <c r="D1337" s="12" t="s">
        <v>2361</v>
      </c>
      <c r="E1337" s="12"/>
      <c r="F1337" s="31"/>
      <c r="G1337" s="15"/>
      <c r="H1337" s="15"/>
      <c r="I1337" s="53">
        <f>TRUNC(SUM(I1333:I1336))</f>
        <v>6732</v>
      </c>
      <c r="J1337" s="15"/>
      <c r="K1337" s="15"/>
      <c r="L1337" s="53">
        <f>TRUNC(SUM(L1333:L1336))</f>
        <v>336621</v>
      </c>
      <c r="M1337" s="15"/>
      <c r="N1337" s="53">
        <f>TRUNC(SUM(N1333:N1336))</f>
        <v>0</v>
      </c>
      <c r="O1337" s="15" t="str">
        <f>IF((H1337+K1337+M1337)=0, "", (H1337+K1337+M1337))</f>
        <v/>
      </c>
      <c r="P1337" s="15">
        <f>IF(SUM(I1337,L1337,N1337)&lt;&gt;0,SUM(I1337,L1337,N1337),"")</f>
        <v>343353</v>
      </c>
      <c r="Q1337" s="12"/>
    </row>
    <row r="1338" spans="1:28" ht="23.25" customHeight="1" x14ac:dyDescent="0.15">
      <c r="D1338" s="12"/>
      <c r="E1338" s="12"/>
      <c r="F1338" s="31"/>
      <c r="G1338" s="15"/>
      <c r="H1338" s="15"/>
      <c r="I1338" s="53"/>
      <c r="J1338" s="15"/>
      <c r="K1338" s="15"/>
      <c r="L1338" s="53"/>
      <c r="M1338" s="15"/>
      <c r="N1338" s="53"/>
      <c r="O1338" s="15"/>
      <c r="P1338" s="15"/>
      <c r="Q1338" s="12"/>
    </row>
    <row r="1339" spans="1:28" ht="23.25" customHeight="1" x14ac:dyDescent="0.15">
      <c r="A1339" s="13" t="s">
        <v>2946</v>
      </c>
      <c r="B1339" s="13" t="s">
        <v>2382</v>
      </c>
      <c r="C1339" s="1" t="s">
        <v>2947</v>
      </c>
      <c r="D1339" s="170" t="s">
        <v>2945</v>
      </c>
      <c r="E1339" s="172"/>
      <c r="F1339" s="31"/>
      <c r="G1339" s="15"/>
      <c r="H1339" s="15"/>
      <c r="I1339" s="53"/>
      <c r="J1339" s="15"/>
      <c r="K1339" s="15"/>
      <c r="L1339" s="53"/>
      <c r="M1339" s="15"/>
      <c r="N1339" s="53"/>
      <c r="O1339" s="15"/>
      <c r="P1339" s="15"/>
      <c r="Q1339" s="12"/>
    </row>
    <row r="1340" spans="1:28" ht="23.25" customHeight="1" x14ac:dyDescent="0.15">
      <c r="A1340" s="13" t="s">
        <v>1329</v>
      </c>
      <c r="B1340" s="13" t="s">
        <v>2262</v>
      </c>
      <c r="C1340" s="1" t="s">
        <v>904</v>
      </c>
      <c r="D1340" s="12" t="s">
        <v>858</v>
      </c>
      <c r="E1340" s="12" t="s">
        <v>905</v>
      </c>
      <c r="F1340" s="31" t="s">
        <v>559</v>
      </c>
      <c r="G1340" s="15">
        <v>1</v>
      </c>
      <c r="H1340" s="15"/>
      <c r="I1340" s="53" t="str">
        <f>IF(G1340*H1340&lt;&gt;0, TRUNC(G1340*H1340, 1), "")</f>
        <v/>
      </c>
      <c r="J1340" s="15">
        <v>1</v>
      </c>
      <c r="K1340" s="15">
        <f>합산자재!I305</f>
        <v>0</v>
      </c>
      <c r="L1340" s="53" t="str">
        <f>IF(G1340*K1340&lt;&gt;0, TRUNC(G1340*K1340, 1), "")</f>
        <v/>
      </c>
      <c r="M1340" s="15">
        <f>합산자재!J305</f>
        <v>0</v>
      </c>
      <c r="N1340" s="53" t="str">
        <f>IF(G1340*M1340&lt;&gt;0, TRUNC(G1340*M1340, 1), "")</f>
        <v/>
      </c>
      <c r="O1340" s="15" t="str">
        <f>IF((H1340+K1340+M1340)=0, "", (H1340+K1340+M1340))</f>
        <v/>
      </c>
      <c r="P1340" s="15" t="str">
        <f>IF(SUM(I1340,L1340,N1340)&lt;&gt;0,SUM(I1340,L1340,N1340),"")</f>
        <v/>
      </c>
      <c r="Q1340" s="12" t="s">
        <v>2378</v>
      </c>
      <c r="AB1340" s="2">
        <f>합산자재!H305*J1340</f>
        <v>9988000</v>
      </c>
    </row>
    <row r="1341" spans="1:28" ht="23.25" customHeight="1" x14ac:dyDescent="0.15">
      <c r="A1341" s="13" t="s">
        <v>1372</v>
      </c>
      <c r="B1341" s="13" t="s">
        <v>2262</v>
      </c>
      <c r="C1341" s="1" t="s">
        <v>1002</v>
      </c>
      <c r="D1341" s="12" t="s">
        <v>1003</v>
      </c>
      <c r="E1341" s="12" t="s">
        <v>1004</v>
      </c>
      <c r="F1341" s="31" t="s">
        <v>999</v>
      </c>
      <c r="G1341" s="15">
        <f>일위노임!G620</f>
        <v>1.23</v>
      </c>
      <c r="H1341" s="15">
        <f>합산자재!H345</f>
        <v>0</v>
      </c>
      <c r="I1341" s="53" t="str">
        <f>IF(G1341*H1341&lt;&gt;0, TRUNC(G1341*H1341, 1), "")</f>
        <v/>
      </c>
      <c r="J1341" s="15">
        <v>1.23</v>
      </c>
      <c r="K1341" s="15">
        <f>합산자재!I345</f>
        <v>273676</v>
      </c>
      <c r="L1341" s="53">
        <f>IF(G1341*K1341&lt;&gt;0, TRUNC(G1341*K1341, 1), "")</f>
        <v>336621.4</v>
      </c>
      <c r="M1341" s="15">
        <f>합산자재!J345</f>
        <v>0</v>
      </c>
      <c r="N1341" s="53" t="str">
        <f>IF(G1341*M1341&lt;&gt;0, TRUNC(G1341*M1341, 1), "")</f>
        <v/>
      </c>
      <c r="O1341" s="15">
        <f>IF((H1341+K1341+M1341)=0, "", (H1341+K1341+M1341))</f>
        <v>273676</v>
      </c>
      <c r="P1341" s="15">
        <f>IF(SUM(I1341,L1341,N1341)&lt;&gt;0,SUM(I1341,L1341,N1341),"")</f>
        <v>336621.4</v>
      </c>
      <c r="Q1341" s="12"/>
    </row>
    <row r="1342" spans="1:28" ht="23.25" customHeight="1" x14ac:dyDescent="0.15">
      <c r="A1342" s="13" t="s">
        <v>2362</v>
      </c>
      <c r="B1342" s="13" t="s">
        <v>2262</v>
      </c>
      <c r="C1342" s="1" t="s">
        <v>2363</v>
      </c>
      <c r="D1342" s="12" t="s">
        <v>2364</v>
      </c>
      <c r="E1342" s="12" t="s">
        <v>2365</v>
      </c>
      <c r="F1342" s="31" t="s">
        <v>792</v>
      </c>
      <c r="G1342" s="15">
        <v>1</v>
      </c>
      <c r="H1342" s="15">
        <v>6732.4</v>
      </c>
      <c r="I1342" s="53">
        <f>IF(G1342*H1342&lt;&gt;0, TRUNC(G1342*H1342, 1), "")</f>
        <v>6732.4</v>
      </c>
      <c r="J1342" s="15">
        <v>1</v>
      </c>
      <c r="K1342" s="15"/>
      <c r="L1342" s="53" t="str">
        <f>IF(G1342*K1342&lt;&gt;0, TRUNC(G1342*K1342, 1), "")</f>
        <v/>
      </c>
      <c r="M1342" s="15"/>
      <c r="N1342" s="53" t="str">
        <f>IF(G1342*M1342&lt;&gt;0, TRUNC(G1342*M1342, 1), "")</f>
        <v/>
      </c>
      <c r="O1342" s="15">
        <f>IF((H1342+K1342+M1342)=0, "", (H1342+K1342+M1342))</f>
        <v>6732.4</v>
      </c>
      <c r="P1342" s="15">
        <f>IF(SUM(I1342,L1342,N1342)&lt;&gt;0,SUM(I1342,L1342,N1342),"")</f>
        <v>6732.4</v>
      </c>
      <c r="Q1342" s="12"/>
    </row>
    <row r="1343" spans="1:28" ht="23.25" customHeight="1" x14ac:dyDescent="0.15">
      <c r="B1343" s="13" t="s">
        <v>2360</v>
      </c>
      <c r="D1343" s="12" t="s">
        <v>2361</v>
      </c>
      <c r="E1343" s="12"/>
      <c r="F1343" s="31"/>
      <c r="G1343" s="15"/>
      <c r="H1343" s="15"/>
      <c r="I1343" s="53">
        <f>TRUNC(SUM(I1339:I1342))</f>
        <v>6732</v>
      </c>
      <c r="J1343" s="15"/>
      <c r="K1343" s="15"/>
      <c r="L1343" s="53">
        <f>TRUNC(SUM(L1339:L1342))</f>
        <v>336621</v>
      </c>
      <c r="M1343" s="15"/>
      <c r="N1343" s="53">
        <f>TRUNC(SUM(N1339:N1342))</f>
        <v>0</v>
      </c>
      <c r="O1343" s="15" t="str">
        <f>IF((H1343+K1343+M1343)=0, "", (H1343+K1343+M1343))</f>
        <v/>
      </c>
      <c r="P1343" s="15">
        <f>IF(SUM(I1343,L1343,N1343)&lt;&gt;0,SUM(I1343,L1343,N1343),"")</f>
        <v>343353</v>
      </c>
      <c r="Q1343" s="12"/>
    </row>
    <row r="1344" spans="1:28" ht="23.25" customHeight="1" x14ac:dyDescent="0.15">
      <c r="D1344" s="12"/>
      <c r="E1344" s="12"/>
      <c r="F1344" s="31"/>
      <c r="G1344" s="15"/>
      <c r="H1344" s="15"/>
      <c r="I1344" s="53"/>
      <c r="J1344" s="15"/>
      <c r="K1344" s="15"/>
      <c r="L1344" s="53"/>
      <c r="M1344" s="15"/>
      <c r="N1344" s="53"/>
      <c r="O1344" s="15"/>
      <c r="P1344" s="15"/>
      <c r="Q1344" s="12"/>
    </row>
    <row r="1345" spans="1:28" ht="23.25" customHeight="1" x14ac:dyDescent="0.15">
      <c r="A1345" s="13" t="s">
        <v>2949</v>
      </c>
      <c r="B1345" s="13" t="s">
        <v>2382</v>
      </c>
      <c r="C1345" s="1" t="s">
        <v>2950</v>
      </c>
      <c r="D1345" s="170" t="s">
        <v>2948</v>
      </c>
      <c r="E1345" s="172"/>
      <c r="F1345" s="31"/>
      <c r="G1345" s="15"/>
      <c r="H1345" s="15"/>
      <c r="I1345" s="53"/>
      <c r="J1345" s="15"/>
      <c r="K1345" s="15"/>
      <c r="L1345" s="53"/>
      <c r="M1345" s="15"/>
      <c r="N1345" s="53"/>
      <c r="O1345" s="15"/>
      <c r="P1345" s="15"/>
      <c r="Q1345" s="12"/>
    </row>
    <row r="1346" spans="1:28" ht="23.25" customHeight="1" x14ac:dyDescent="0.15">
      <c r="A1346" s="13" t="s">
        <v>1330</v>
      </c>
      <c r="B1346" s="13" t="s">
        <v>2265</v>
      </c>
      <c r="C1346" s="1" t="s">
        <v>906</v>
      </c>
      <c r="D1346" s="12" t="s">
        <v>858</v>
      </c>
      <c r="E1346" s="12" t="s">
        <v>907</v>
      </c>
      <c r="F1346" s="31" t="s">
        <v>559</v>
      </c>
      <c r="G1346" s="15">
        <v>1</v>
      </c>
      <c r="H1346" s="15"/>
      <c r="I1346" s="53" t="str">
        <f>IF(G1346*H1346&lt;&gt;0, TRUNC(G1346*H1346, 1), "")</f>
        <v/>
      </c>
      <c r="J1346" s="15">
        <v>1</v>
      </c>
      <c r="K1346" s="15">
        <f>합산자재!I306</f>
        <v>0</v>
      </c>
      <c r="L1346" s="53" t="str">
        <f>IF(G1346*K1346&lt;&gt;0, TRUNC(G1346*K1346, 1), "")</f>
        <v/>
      </c>
      <c r="M1346" s="15">
        <f>합산자재!J306</f>
        <v>0</v>
      </c>
      <c r="N1346" s="53" t="str">
        <f>IF(G1346*M1346&lt;&gt;0, TRUNC(G1346*M1346, 1), "")</f>
        <v/>
      </c>
      <c r="O1346" s="15" t="str">
        <f>IF((H1346+K1346+M1346)=0, "", (H1346+K1346+M1346))</f>
        <v/>
      </c>
      <c r="P1346" s="15" t="str">
        <f>IF(SUM(I1346,L1346,N1346)&lt;&gt;0,SUM(I1346,L1346,N1346),"")</f>
        <v/>
      </c>
      <c r="Q1346" s="12" t="s">
        <v>2378</v>
      </c>
      <c r="AB1346" s="2">
        <f>합산자재!H306*J1346</f>
        <v>9988000</v>
      </c>
    </row>
    <row r="1347" spans="1:28" ht="23.25" customHeight="1" x14ac:dyDescent="0.15">
      <c r="A1347" s="13" t="s">
        <v>1372</v>
      </c>
      <c r="B1347" s="13" t="s">
        <v>2265</v>
      </c>
      <c r="C1347" s="1" t="s">
        <v>1002</v>
      </c>
      <c r="D1347" s="12" t="s">
        <v>1003</v>
      </c>
      <c r="E1347" s="12" t="s">
        <v>1004</v>
      </c>
      <c r="F1347" s="31" t="s">
        <v>999</v>
      </c>
      <c r="G1347" s="15">
        <f>일위노임!G623</f>
        <v>1.23</v>
      </c>
      <c r="H1347" s="15">
        <f>합산자재!H345</f>
        <v>0</v>
      </c>
      <c r="I1347" s="53" t="str">
        <f>IF(G1347*H1347&lt;&gt;0, TRUNC(G1347*H1347, 1), "")</f>
        <v/>
      </c>
      <c r="J1347" s="15">
        <v>1.23</v>
      </c>
      <c r="K1347" s="15">
        <f>합산자재!I345</f>
        <v>273676</v>
      </c>
      <c r="L1347" s="53">
        <f>IF(G1347*K1347&lt;&gt;0, TRUNC(G1347*K1347, 1), "")</f>
        <v>336621.4</v>
      </c>
      <c r="M1347" s="15">
        <f>합산자재!J345</f>
        <v>0</v>
      </c>
      <c r="N1347" s="53" t="str">
        <f>IF(G1347*M1347&lt;&gt;0, TRUNC(G1347*M1347, 1), "")</f>
        <v/>
      </c>
      <c r="O1347" s="15">
        <f>IF((H1347+K1347+M1347)=0, "", (H1347+K1347+M1347))</f>
        <v>273676</v>
      </c>
      <c r="P1347" s="15">
        <f>IF(SUM(I1347,L1347,N1347)&lt;&gt;0,SUM(I1347,L1347,N1347),"")</f>
        <v>336621.4</v>
      </c>
      <c r="Q1347" s="12"/>
    </row>
    <row r="1348" spans="1:28" ht="23.25" customHeight="1" x14ac:dyDescent="0.15">
      <c r="A1348" s="13" t="s">
        <v>2362</v>
      </c>
      <c r="B1348" s="13" t="s">
        <v>2265</v>
      </c>
      <c r="C1348" s="1" t="s">
        <v>2363</v>
      </c>
      <c r="D1348" s="12" t="s">
        <v>2364</v>
      </c>
      <c r="E1348" s="12" t="s">
        <v>2365</v>
      </c>
      <c r="F1348" s="31" t="s">
        <v>792</v>
      </c>
      <c r="G1348" s="15">
        <v>1</v>
      </c>
      <c r="H1348" s="15">
        <v>6732.4</v>
      </c>
      <c r="I1348" s="53">
        <f>IF(G1348*H1348&lt;&gt;0, TRUNC(G1348*H1348, 1), "")</f>
        <v>6732.4</v>
      </c>
      <c r="J1348" s="15">
        <v>1</v>
      </c>
      <c r="K1348" s="15"/>
      <c r="L1348" s="53" t="str">
        <f>IF(G1348*K1348&lt;&gt;0, TRUNC(G1348*K1348, 1), "")</f>
        <v/>
      </c>
      <c r="M1348" s="15"/>
      <c r="N1348" s="53" t="str">
        <f>IF(G1348*M1348&lt;&gt;0, TRUNC(G1348*M1348, 1), "")</f>
        <v/>
      </c>
      <c r="O1348" s="15">
        <f>IF((H1348+K1348+M1348)=0, "", (H1348+K1348+M1348))</f>
        <v>6732.4</v>
      </c>
      <c r="P1348" s="15">
        <f>IF(SUM(I1348,L1348,N1348)&lt;&gt;0,SUM(I1348,L1348,N1348),"")</f>
        <v>6732.4</v>
      </c>
      <c r="Q1348" s="12"/>
    </row>
    <row r="1349" spans="1:28" ht="23.25" customHeight="1" x14ac:dyDescent="0.15">
      <c r="B1349" s="13" t="s">
        <v>2360</v>
      </c>
      <c r="D1349" s="12" t="s">
        <v>2361</v>
      </c>
      <c r="E1349" s="12"/>
      <c r="F1349" s="31"/>
      <c r="G1349" s="15"/>
      <c r="H1349" s="15"/>
      <c r="I1349" s="53">
        <f>TRUNC(SUM(I1345:I1348))</f>
        <v>6732</v>
      </c>
      <c r="J1349" s="15"/>
      <c r="K1349" s="15"/>
      <c r="L1349" s="53">
        <f>TRUNC(SUM(L1345:L1348))</f>
        <v>336621</v>
      </c>
      <c r="M1349" s="15"/>
      <c r="N1349" s="53">
        <f>TRUNC(SUM(N1345:N1348))</f>
        <v>0</v>
      </c>
      <c r="O1349" s="15" t="str">
        <f>IF((H1349+K1349+M1349)=0, "", (H1349+K1349+M1349))</f>
        <v/>
      </c>
      <c r="P1349" s="15">
        <f>IF(SUM(I1349,L1349,N1349)&lt;&gt;0,SUM(I1349,L1349,N1349),"")</f>
        <v>343353</v>
      </c>
      <c r="Q1349" s="12"/>
    </row>
    <row r="1350" spans="1:28" ht="23.25" customHeight="1" x14ac:dyDescent="0.15">
      <c r="D1350" s="12"/>
      <c r="E1350" s="12"/>
      <c r="F1350" s="31"/>
      <c r="G1350" s="15"/>
      <c r="H1350" s="15"/>
      <c r="I1350" s="53"/>
      <c r="J1350" s="15"/>
      <c r="K1350" s="15"/>
      <c r="L1350" s="53"/>
      <c r="M1350" s="15"/>
      <c r="N1350" s="53"/>
      <c r="O1350" s="15"/>
      <c r="P1350" s="15"/>
      <c r="Q1350" s="12"/>
    </row>
    <row r="1351" spans="1:28" ht="23.25" customHeight="1" x14ac:dyDescent="0.15">
      <c r="A1351" s="13" t="s">
        <v>2952</v>
      </c>
      <c r="B1351" s="13" t="s">
        <v>2382</v>
      </c>
      <c r="C1351" s="1" t="s">
        <v>2953</v>
      </c>
      <c r="D1351" s="170" t="s">
        <v>2951</v>
      </c>
      <c r="E1351" s="172"/>
      <c r="F1351" s="31"/>
      <c r="G1351" s="15"/>
      <c r="H1351" s="15"/>
      <c r="I1351" s="53"/>
      <c r="J1351" s="15"/>
      <c r="K1351" s="15"/>
      <c r="L1351" s="53"/>
      <c r="M1351" s="15"/>
      <c r="N1351" s="53"/>
      <c r="O1351" s="15"/>
      <c r="P1351" s="15"/>
      <c r="Q1351" s="12"/>
    </row>
    <row r="1352" spans="1:28" ht="23.25" customHeight="1" x14ac:dyDescent="0.15">
      <c r="A1352" s="13" t="s">
        <v>1331</v>
      </c>
      <c r="B1352" s="13" t="s">
        <v>2268</v>
      </c>
      <c r="C1352" s="1" t="s">
        <v>908</v>
      </c>
      <c r="D1352" s="12" t="s">
        <v>858</v>
      </c>
      <c r="E1352" s="12" t="s">
        <v>909</v>
      </c>
      <c r="F1352" s="31" t="s">
        <v>559</v>
      </c>
      <c r="G1352" s="15">
        <v>1</v>
      </c>
      <c r="H1352" s="15"/>
      <c r="I1352" s="53" t="str">
        <f>IF(G1352*H1352&lt;&gt;0, TRUNC(G1352*H1352, 1), "")</f>
        <v/>
      </c>
      <c r="J1352" s="15">
        <v>1</v>
      </c>
      <c r="K1352" s="15">
        <f>합산자재!I307</f>
        <v>0</v>
      </c>
      <c r="L1352" s="53" t="str">
        <f>IF(G1352*K1352&lt;&gt;0, TRUNC(G1352*K1352, 1), "")</f>
        <v/>
      </c>
      <c r="M1352" s="15">
        <f>합산자재!J307</f>
        <v>0</v>
      </c>
      <c r="N1352" s="53" t="str">
        <f>IF(G1352*M1352&lt;&gt;0, TRUNC(G1352*M1352, 1), "")</f>
        <v/>
      </c>
      <c r="O1352" s="15" t="str">
        <f>IF((H1352+K1352+M1352)=0, "", (H1352+K1352+M1352))</f>
        <v/>
      </c>
      <c r="P1352" s="15" t="str">
        <f>IF(SUM(I1352,L1352,N1352)&lt;&gt;0,SUM(I1352,L1352,N1352),"")</f>
        <v/>
      </c>
      <c r="Q1352" s="12" t="s">
        <v>2378</v>
      </c>
      <c r="AB1352" s="2">
        <f>합산자재!H307*J1352</f>
        <v>4673000</v>
      </c>
    </row>
    <row r="1353" spans="1:28" ht="23.25" customHeight="1" x14ac:dyDescent="0.15">
      <c r="A1353" s="13" t="s">
        <v>1372</v>
      </c>
      <c r="B1353" s="13" t="s">
        <v>2268</v>
      </c>
      <c r="C1353" s="1" t="s">
        <v>1002</v>
      </c>
      <c r="D1353" s="12" t="s">
        <v>1003</v>
      </c>
      <c r="E1353" s="12" t="s">
        <v>1004</v>
      </c>
      <c r="F1353" s="31" t="s">
        <v>999</v>
      </c>
      <c r="G1353" s="15">
        <f>일위노임!G626</f>
        <v>1.23</v>
      </c>
      <c r="H1353" s="15">
        <f>합산자재!H345</f>
        <v>0</v>
      </c>
      <c r="I1353" s="53" t="str">
        <f>IF(G1353*H1353&lt;&gt;0, TRUNC(G1353*H1353, 1), "")</f>
        <v/>
      </c>
      <c r="J1353" s="15">
        <v>1.23</v>
      </c>
      <c r="K1353" s="15">
        <f>합산자재!I345</f>
        <v>273676</v>
      </c>
      <c r="L1353" s="53">
        <f>IF(G1353*K1353&lt;&gt;0, TRUNC(G1353*K1353, 1), "")</f>
        <v>336621.4</v>
      </c>
      <c r="M1353" s="15">
        <f>합산자재!J345</f>
        <v>0</v>
      </c>
      <c r="N1353" s="53" t="str">
        <f>IF(G1353*M1353&lt;&gt;0, TRUNC(G1353*M1353, 1), "")</f>
        <v/>
      </c>
      <c r="O1353" s="15">
        <f>IF((H1353+K1353+M1353)=0, "", (H1353+K1353+M1353))</f>
        <v>273676</v>
      </c>
      <c r="P1353" s="15">
        <f>IF(SUM(I1353,L1353,N1353)&lt;&gt;0,SUM(I1353,L1353,N1353),"")</f>
        <v>336621.4</v>
      </c>
      <c r="Q1353" s="12"/>
    </row>
    <row r="1354" spans="1:28" ht="23.25" customHeight="1" x14ac:dyDescent="0.15">
      <c r="A1354" s="13" t="s">
        <v>2362</v>
      </c>
      <c r="B1354" s="13" t="s">
        <v>2268</v>
      </c>
      <c r="C1354" s="1" t="s">
        <v>2363</v>
      </c>
      <c r="D1354" s="12" t="s">
        <v>2364</v>
      </c>
      <c r="E1354" s="12" t="s">
        <v>2365</v>
      </c>
      <c r="F1354" s="31" t="s">
        <v>792</v>
      </c>
      <c r="G1354" s="15">
        <v>1</v>
      </c>
      <c r="H1354" s="15">
        <v>6732.4</v>
      </c>
      <c r="I1354" s="53">
        <f>IF(G1354*H1354&lt;&gt;0, TRUNC(G1354*H1354, 1), "")</f>
        <v>6732.4</v>
      </c>
      <c r="J1354" s="15">
        <v>1</v>
      </c>
      <c r="K1354" s="15"/>
      <c r="L1354" s="53" t="str">
        <f>IF(G1354*K1354&lt;&gt;0, TRUNC(G1354*K1354, 1), "")</f>
        <v/>
      </c>
      <c r="M1354" s="15"/>
      <c r="N1354" s="53" t="str">
        <f>IF(G1354*M1354&lt;&gt;0, TRUNC(G1354*M1354, 1), "")</f>
        <v/>
      </c>
      <c r="O1354" s="15">
        <f>IF((H1354+K1354+M1354)=0, "", (H1354+K1354+M1354))</f>
        <v>6732.4</v>
      </c>
      <c r="P1354" s="15">
        <f>IF(SUM(I1354,L1354,N1354)&lt;&gt;0,SUM(I1354,L1354,N1354),"")</f>
        <v>6732.4</v>
      </c>
      <c r="Q1354" s="12"/>
    </row>
    <row r="1355" spans="1:28" ht="23.25" customHeight="1" x14ac:dyDescent="0.15">
      <c r="B1355" s="13" t="s">
        <v>2360</v>
      </c>
      <c r="D1355" s="12" t="s">
        <v>2361</v>
      </c>
      <c r="E1355" s="12"/>
      <c r="F1355" s="31"/>
      <c r="G1355" s="15"/>
      <c r="H1355" s="15"/>
      <c r="I1355" s="53">
        <f>TRUNC(SUM(I1351:I1354))</f>
        <v>6732</v>
      </c>
      <c r="J1355" s="15"/>
      <c r="K1355" s="15"/>
      <c r="L1355" s="53">
        <f>TRUNC(SUM(L1351:L1354))</f>
        <v>336621</v>
      </c>
      <c r="M1355" s="15"/>
      <c r="N1355" s="53">
        <f>TRUNC(SUM(N1351:N1354))</f>
        <v>0</v>
      </c>
      <c r="O1355" s="15" t="str">
        <f>IF((H1355+K1355+M1355)=0, "", (H1355+K1355+M1355))</f>
        <v/>
      </c>
      <c r="P1355" s="15">
        <f>IF(SUM(I1355,L1355,N1355)&lt;&gt;0,SUM(I1355,L1355,N1355),"")</f>
        <v>343353</v>
      </c>
      <c r="Q1355" s="12"/>
    </row>
    <row r="1356" spans="1:28" ht="23.25" customHeight="1" x14ac:dyDescent="0.15">
      <c r="D1356" s="12"/>
      <c r="E1356" s="12"/>
      <c r="F1356" s="31"/>
      <c r="G1356" s="15"/>
      <c r="H1356" s="15"/>
      <c r="I1356" s="53"/>
      <c r="J1356" s="15"/>
      <c r="K1356" s="15"/>
      <c r="L1356" s="53"/>
      <c r="M1356" s="15"/>
      <c r="N1356" s="53"/>
      <c r="O1356" s="15"/>
      <c r="P1356" s="15"/>
      <c r="Q1356" s="12"/>
    </row>
    <row r="1357" spans="1:28" ht="23.25" customHeight="1" x14ac:dyDescent="0.15">
      <c r="A1357" s="13" t="s">
        <v>2955</v>
      </c>
      <c r="B1357" s="13" t="s">
        <v>2382</v>
      </c>
      <c r="C1357" s="1" t="s">
        <v>2956</v>
      </c>
      <c r="D1357" s="170" t="s">
        <v>2954</v>
      </c>
      <c r="E1357" s="172"/>
      <c r="F1357" s="31"/>
      <c r="G1357" s="15"/>
      <c r="H1357" s="15"/>
      <c r="I1357" s="53"/>
      <c r="J1357" s="15"/>
      <c r="K1357" s="15"/>
      <c r="L1357" s="53"/>
      <c r="M1357" s="15"/>
      <c r="N1357" s="53"/>
      <c r="O1357" s="15"/>
      <c r="P1357" s="15"/>
      <c r="Q1357" s="12"/>
    </row>
    <row r="1358" spans="1:28" ht="23.25" customHeight="1" x14ac:dyDescent="0.15">
      <c r="A1358" s="13" t="s">
        <v>1332</v>
      </c>
      <c r="B1358" s="13" t="s">
        <v>2271</v>
      </c>
      <c r="C1358" s="1" t="s">
        <v>910</v>
      </c>
      <c r="D1358" s="12" t="s">
        <v>858</v>
      </c>
      <c r="E1358" s="12" t="s">
        <v>911</v>
      </c>
      <c r="F1358" s="31" t="s">
        <v>559</v>
      </c>
      <c r="G1358" s="15">
        <v>1</v>
      </c>
      <c r="H1358" s="15"/>
      <c r="I1358" s="53" t="str">
        <f>IF(G1358*H1358&lt;&gt;0, TRUNC(G1358*H1358, 1), "")</f>
        <v/>
      </c>
      <c r="J1358" s="15">
        <v>1</v>
      </c>
      <c r="K1358" s="15">
        <f>합산자재!I308</f>
        <v>0</v>
      </c>
      <c r="L1358" s="53" t="str">
        <f>IF(G1358*K1358&lt;&gt;0, TRUNC(G1358*K1358, 1), "")</f>
        <v/>
      </c>
      <c r="M1358" s="15">
        <f>합산자재!J308</f>
        <v>0</v>
      </c>
      <c r="N1358" s="53" t="str">
        <f>IF(G1358*M1358&lt;&gt;0, TRUNC(G1358*M1358, 1), "")</f>
        <v/>
      </c>
      <c r="O1358" s="15" t="str">
        <f>IF((H1358+K1358+M1358)=0, "", (H1358+K1358+M1358))</f>
        <v/>
      </c>
      <c r="P1358" s="15" t="str">
        <f>IF(SUM(I1358,L1358,N1358)&lt;&gt;0,SUM(I1358,L1358,N1358),"")</f>
        <v/>
      </c>
      <c r="Q1358" s="12" t="s">
        <v>2378</v>
      </c>
      <c r="AB1358" s="2">
        <f>합산자재!H308*J1358</f>
        <v>5193000</v>
      </c>
    </row>
    <row r="1359" spans="1:28" ht="23.25" customHeight="1" x14ac:dyDescent="0.15">
      <c r="A1359" s="13" t="s">
        <v>1372</v>
      </c>
      <c r="B1359" s="13" t="s">
        <v>2271</v>
      </c>
      <c r="C1359" s="1" t="s">
        <v>1002</v>
      </c>
      <c r="D1359" s="12" t="s">
        <v>1003</v>
      </c>
      <c r="E1359" s="12" t="s">
        <v>1004</v>
      </c>
      <c r="F1359" s="31" t="s">
        <v>999</v>
      </c>
      <c r="G1359" s="15">
        <f>일위노임!G629</f>
        <v>1.23</v>
      </c>
      <c r="H1359" s="15">
        <f>합산자재!H345</f>
        <v>0</v>
      </c>
      <c r="I1359" s="53" t="str">
        <f>IF(G1359*H1359&lt;&gt;0, TRUNC(G1359*H1359, 1), "")</f>
        <v/>
      </c>
      <c r="J1359" s="15">
        <v>1.23</v>
      </c>
      <c r="K1359" s="15">
        <f>합산자재!I345</f>
        <v>273676</v>
      </c>
      <c r="L1359" s="53">
        <f>IF(G1359*K1359&lt;&gt;0, TRUNC(G1359*K1359, 1), "")</f>
        <v>336621.4</v>
      </c>
      <c r="M1359" s="15">
        <f>합산자재!J345</f>
        <v>0</v>
      </c>
      <c r="N1359" s="53" t="str">
        <f>IF(G1359*M1359&lt;&gt;0, TRUNC(G1359*M1359, 1), "")</f>
        <v/>
      </c>
      <c r="O1359" s="15">
        <f>IF((H1359+K1359+M1359)=0, "", (H1359+K1359+M1359))</f>
        <v>273676</v>
      </c>
      <c r="P1359" s="15">
        <f>IF(SUM(I1359,L1359,N1359)&lt;&gt;0,SUM(I1359,L1359,N1359),"")</f>
        <v>336621.4</v>
      </c>
      <c r="Q1359" s="12"/>
    </row>
    <row r="1360" spans="1:28" ht="23.25" customHeight="1" x14ac:dyDescent="0.15">
      <c r="A1360" s="13" t="s">
        <v>2362</v>
      </c>
      <c r="B1360" s="13" t="s">
        <v>2271</v>
      </c>
      <c r="C1360" s="1" t="s">
        <v>2363</v>
      </c>
      <c r="D1360" s="12" t="s">
        <v>2364</v>
      </c>
      <c r="E1360" s="12" t="s">
        <v>2365</v>
      </c>
      <c r="F1360" s="31" t="s">
        <v>792</v>
      </c>
      <c r="G1360" s="15">
        <v>1</v>
      </c>
      <c r="H1360" s="15">
        <v>6732.4</v>
      </c>
      <c r="I1360" s="53">
        <f>IF(G1360*H1360&lt;&gt;0, TRUNC(G1360*H1360, 1), "")</f>
        <v>6732.4</v>
      </c>
      <c r="J1360" s="15">
        <v>1</v>
      </c>
      <c r="K1360" s="15"/>
      <c r="L1360" s="53" t="str">
        <f>IF(G1360*K1360&lt;&gt;0, TRUNC(G1360*K1360, 1), "")</f>
        <v/>
      </c>
      <c r="M1360" s="15"/>
      <c r="N1360" s="53" t="str">
        <f>IF(G1360*M1360&lt;&gt;0, TRUNC(G1360*M1360, 1), "")</f>
        <v/>
      </c>
      <c r="O1360" s="15">
        <f>IF((H1360+K1360+M1360)=0, "", (H1360+K1360+M1360))</f>
        <v>6732.4</v>
      </c>
      <c r="P1360" s="15">
        <f>IF(SUM(I1360,L1360,N1360)&lt;&gt;0,SUM(I1360,L1360,N1360),"")</f>
        <v>6732.4</v>
      </c>
      <c r="Q1360" s="12"/>
    </row>
    <row r="1361" spans="1:28" ht="23.25" customHeight="1" x14ac:dyDescent="0.15">
      <c r="B1361" s="13" t="s">
        <v>2360</v>
      </c>
      <c r="D1361" s="12" t="s">
        <v>2361</v>
      </c>
      <c r="E1361" s="12"/>
      <c r="F1361" s="31"/>
      <c r="G1361" s="15"/>
      <c r="H1361" s="15"/>
      <c r="I1361" s="53">
        <f>TRUNC(SUM(I1357:I1360))</f>
        <v>6732</v>
      </c>
      <c r="J1361" s="15"/>
      <c r="K1361" s="15"/>
      <c r="L1361" s="53">
        <f>TRUNC(SUM(L1357:L1360))</f>
        <v>336621</v>
      </c>
      <c r="M1361" s="15"/>
      <c r="N1361" s="53">
        <f>TRUNC(SUM(N1357:N1360))</f>
        <v>0</v>
      </c>
      <c r="O1361" s="15" t="str">
        <f>IF((H1361+K1361+M1361)=0, "", (H1361+K1361+M1361))</f>
        <v/>
      </c>
      <c r="P1361" s="15">
        <f>IF(SUM(I1361,L1361,N1361)&lt;&gt;0,SUM(I1361,L1361,N1361),"")</f>
        <v>343353</v>
      </c>
      <c r="Q1361" s="12"/>
    </row>
    <row r="1362" spans="1:28" ht="23.25" customHeight="1" x14ac:dyDescent="0.15">
      <c r="D1362" s="12"/>
      <c r="E1362" s="12"/>
      <c r="F1362" s="31"/>
      <c r="G1362" s="15"/>
      <c r="H1362" s="15"/>
      <c r="I1362" s="53"/>
      <c r="J1362" s="15"/>
      <c r="K1362" s="15"/>
      <c r="L1362" s="53"/>
      <c r="M1362" s="15"/>
      <c r="N1362" s="53"/>
      <c r="O1362" s="15"/>
      <c r="P1362" s="15"/>
      <c r="Q1362" s="12"/>
    </row>
    <row r="1363" spans="1:28" ht="23.25" customHeight="1" x14ac:dyDescent="0.15">
      <c r="A1363" s="13" t="s">
        <v>2958</v>
      </c>
      <c r="B1363" s="13" t="s">
        <v>2382</v>
      </c>
      <c r="C1363" s="1" t="s">
        <v>2959</v>
      </c>
      <c r="D1363" s="170" t="s">
        <v>2957</v>
      </c>
      <c r="E1363" s="172"/>
      <c r="F1363" s="31"/>
      <c r="G1363" s="15"/>
      <c r="H1363" s="15"/>
      <c r="I1363" s="53"/>
      <c r="J1363" s="15"/>
      <c r="K1363" s="15"/>
      <c r="L1363" s="53"/>
      <c r="M1363" s="15"/>
      <c r="N1363" s="53"/>
      <c r="O1363" s="15"/>
      <c r="P1363" s="15"/>
      <c r="Q1363" s="12"/>
    </row>
    <row r="1364" spans="1:28" ht="23.25" customHeight="1" x14ac:dyDescent="0.15">
      <c r="A1364" s="13" t="s">
        <v>1333</v>
      </c>
      <c r="B1364" s="13" t="s">
        <v>2274</v>
      </c>
      <c r="C1364" s="1" t="s">
        <v>912</v>
      </c>
      <c r="D1364" s="12" t="s">
        <v>858</v>
      </c>
      <c r="E1364" s="12" t="s">
        <v>913</v>
      </c>
      <c r="F1364" s="31" t="s">
        <v>559</v>
      </c>
      <c r="G1364" s="15">
        <v>1</v>
      </c>
      <c r="H1364" s="15"/>
      <c r="I1364" s="53" t="str">
        <f>IF(G1364*H1364&lt;&gt;0, TRUNC(G1364*H1364, 1), "")</f>
        <v/>
      </c>
      <c r="J1364" s="15">
        <v>1</v>
      </c>
      <c r="K1364" s="15">
        <f>합산자재!I309</f>
        <v>0</v>
      </c>
      <c r="L1364" s="53" t="str">
        <f>IF(G1364*K1364&lt;&gt;0, TRUNC(G1364*K1364, 1), "")</f>
        <v/>
      </c>
      <c r="M1364" s="15">
        <f>합산자재!J309</f>
        <v>0</v>
      </c>
      <c r="N1364" s="53" t="str">
        <f>IF(G1364*M1364&lt;&gt;0, TRUNC(G1364*M1364, 1), "")</f>
        <v/>
      </c>
      <c r="O1364" s="15" t="str">
        <f>IF((H1364+K1364+M1364)=0, "", (H1364+K1364+M1364))</f>
        <v/>
      </c>
      <c r="P1364" s="15" t="str">
        <f>IF(SUM(I1364,L1364,N1364)&lt;&gt;0,SUM(I1364,L1364,N1364),"")</f>
        <v/>
      </c>
      <c r="Q1364" s="12" t="s">
        <v>2378</v>
      </c>
      <c r="AB1364" s="2">
        <f>합산자재!H309*J1364</f>
        <v>2604000</v>
      </c>
    </row>
    <row r="1365" spans="1:28" ht="23.25" customHeight="1" x14ac:dyDescent="0.15">
      <c r="A1365" s="13" t="s">
        <v>1372</v>
      </c>
      <c r="B1365" s="13" t="s">
        <v>2274</v>
      </c>
      <c r="C1365" s="1" t="s">
        <v>1002</v>
      </c>
      <c r="D1365" s="12" t="s">
        <v>1003</v>
      </c>
      <c r="E1365" s="12" t="s">
        <v>1004</v>
      </c>
      <c r="F1365" s="31" t="s">
        <v>999</v>
      </c>
      <c r="G1365" s="15">
        <f>일위노임!G632</f>
        <v>1.23</v>
      </c>
      <c r="H1365" s="15">
        <f>합산자재!H345</f>
        <v>0</v>
      </c>
      <c r="I1365" s="53" t="str">
        <f>IF(G1365*H1365&lt;&gt;0, TRUNC(G1365*H1365, 1), "")</f>
        <v/>
      </c>
      <c r="J1365" s="15">
        <v>1.23</v>
      </c>
      <c r="K1365" s="15">
        <f>합산자재!I345</f>
        <v>273676</v>
      </c>
      <c r="L1365" s="53">
        <f>IF(G1365*K1365&lt;&gt;0, TRUNC(G1365*K1365, 1), "")</f>
        <v>336621.4</v>
      </c>
      <c r="M1365" s="15">
        <f>합산자재!J345</f>
        <v>0</v>
      </c>
      <c r="N1365" s="53" t="str">
        <f>IF(G1365*M1365&lt;&gt;0, TRUNC(G1365*M1365, 1), "")</f>
        <v/>
      </c>
      <c r="O1365" s="15">
        <f>IF((H1365+K1365+M1365)=0, "", (H1365+K1365+M1365))</f>
        <v>273676</v>
      </c>
      <c r="P1365" s="15">
        <f>IF(SUM(I1365,L1365,N1365)&lt;&gt;0,SUM(I1365,L1365,N1365),"")</f>
        <v>336621.4</v>
      </c>
      <c r="Q1365" s="12"/>
    </row>
    <row r="1366" spans="1:28" ht="23.25" customHeight="1" x14ac:dyDescent="0.15">
      <c r="A1366" s="13" t="s">
        <v>2362</v>
      </c>
      <c r="B1366" s="13" t="s">
        <v>2274</v>
      </c>
      <c r="C1366" s="1" t="s">
        <v>2363</v>
      </c>
      <c r="D1366" s="12" t="s">
        <v>2364</v>
      </c>
      <c r="E1366" s="12" t="s">
        <v>2365</v>
      </c>
      <c r="F1366" s="31" t="s">
        <v>792</v>
      </c>
      <c r="G1366" s="15">
        <v>1</v>
      </c>
      <c r="H1366" s="15">
        <v>6732.4</v>
      </c>
      <c r="I1366" s="53">
        <f>IF(G1366*H1366&lt;&gt;0, TRUNC(G1366*H1366, 1), "")</f>
        <v>6732.4</v>
      </c>
      <c r="J1366" s="15">
        <v>1</v>
      </c>
      <c r="K1366" s="15"/>
      <c r="L1366" s="53" t="str">
        <f>IF(G1366*K1366&lt;&gt;0, TRUNC(G1366*K1366, 1), "")</f>
        <v/>
      </c>
      <c r="M1366" s="15"/>
      <c r="N1366" s="53" t="str">
        <f>IF(G1366*M1366&lt;&gt;0, TRUNC(G1366*M1366, 1), "")</f>
        <v/>
      </c>
      <c r="O1366" s="15">
        <f>IF((H1366+K1366+M1366)=0, "", (H1366+K1366+M1366))</f>
        <v>6732.4</v>
      </c>
      <c r="P1366" s="15">
        <f>IF(SUM(I1366,L1366,N1366)&lt;&gt;0,SUM(I1366,L1366,N1366),"")</f>
        <v>6732.4</v>
      </c>
      <c r="Q1366" s="12"/>
    </row>
    <row r="1367" spans="1:28" ht="23.25" customHeight="1" x14ac:dyDescent="0.15">
      <c r="B1367" s="13" t="s">
        <v>2360</v>
      </c>
      <c r="D1367" s="12" t="s">
        <v>2361</v>
      </c>
      <c r="E1367" s="12"/>
      <c r="F1367" s="31"/>
      <c r="G1367" s="15"/>
      <c r="H1367" s="15"/>
      <c r="I1367" s="53">
        <f>TRUNC(SUM(I1363:I1366))</f>
        <v>6732</v>
      </c>
      <c r="J1367" s="15"/>
      <c r="K1367" s="15"/>
      <c r="L1367" s="53">
        <f>TRUNC(SUM(L1363:L1366))</f>
        <v>336621</v>
      </c>
      <c r="M1367" s="15"/>
      <c r="N1367" s="53">
        <f>TRUNC(SUM(N1363:N1366))</f>
        <v>0</v>
      </c>
      <c r="O1367" s="15" t="str">
        <f>IF((H1367+K1367+M1367)=0, "", (H1367+K1367+M1367))</f>
        <v/>
      </c>
      <c r="P1367" s="15">
        <f>IF(SUM(I1367,L1367,N1367)&lt;&gt;0,SUM(I1367,L1367,N1367),"")</f>
        <v>343353</v>
      </c>
      <c r="Q1367" s="12"/>
    </row>
    <row r="1368" spans="1:28" ht="23.25" customHeight="1" x14ac:dyDescent="0.15">
      <c r="D1368" s="12"/>
      <c r="E1368" s="12"/>
      <c r="F1368" s="31"/>
      <c r="G1368" s="15"/>
      <c r="H1368" s="15"/>
      <c r="I1368" s="53"/>
      <c r="J1368" s="15"/>
      <c r="K1368" s="15"/>
      <c r="L1368" s="53"/>
      <c r="M1368" s="15"/>
      <c r="N1368" s="53"/>
      <c r="O1368" s="15"/>
      <c r="P1368" s="15"/>
      <c r="Q1368" s="12"/>
    </row>
    <row r="1369" spans="1:28" ht="23.25" customHeight="1" x14ac:dyDescent="0.15">
      <c r="A1369" s="13" t="s">
        <v>2961</v>
      </c>
      <c r="B1369" s="13" t="s">
        <v>2382</v>
      </c>
      <c r="C1369" s="1" t="s">
        <v>2962</v>
      </c>
      <c r="D1369" s="170" t="s">
        <v>2960</v>
      </c>
      <c r="E1369" s="172"/>
      <c r="F1369" s="31"/>
      <c r="G1369" s="15"/>
      <c r="H1369" s="15"/>
      <c r="I1369" s="53"/>
      <c r="J1369" s="15"/>
      <c r="K1369" s="15"/>
      <c r="L1369" s="53"/>
      <c r="M1369" s="15"/>
      <c r="N1369" s="53"/>
      <c r="O1369" s="15"/>
      <c r="P1369" s="15"/>
      <c r="Q1369" s="12"/>
    </row>
    <row r="1370" spans="1:28" ht="23.25" customHeight="1" x14ac:dyDescent="0.15">
      <c r="A1370" s="13" t="s">
        <v>1341</v>
      </c>
      <c r="B1370" s="13" t="s">
        <v>2277</v>
      </c>
      <c r="C1370" s="1" t="s">
        <v>930</v>
      </c>
      <c r="D1370" s="12" t="s">
        <v>931</v>
      </c>
      <c r="E1370" s="12" t="s">
        <v>932</v>
      </c>
      <c r="F1370" s="31" t="s">
        <v>710</v>
      </c>
      <c r="G1370" s="15">
        <v>1</v>
      </c>
      <c r="H1370" s="15"/>
      <c r="I1370" s="53" t="str">
        <f>IF(G1370*H1370&lt;&gt;0, TRUNC(G1370*H1370, 1), "")</f>
        <v/>
      </c>
      <c r="J1370" s="15">
        <v>1</v>
      </c>
      <c r="K1370" s="15">
        <f>합산자재!I317</f>
        <v>0</v>
      </c>
      <c r="L1370" s="53" t="str">
        <f>IF(G1370*K1370&lt;&gt;0, TRUNC(G1370*K1370, 1), "")</f>
        <v/>
      </c>
      <c r="M1370" s="15">
        <f>합산자재!J317</f>
        <v>0</v>
      </c>
      <c r="N1370" s="53" t="str">
        <f>IF(G1370*M1370&lt;&gt;0, TRUNC(G1370*M1370, 1), "")</f>
        <v/>
      </c>
      <c r="O1370" s="15" t="str">
        <f>IF((H1370+K1370+M1370)=0, "", (H1370+K1370+M1370))</f>
        <v/>
      </c>
      <c r="P1370" s="15" t="str">
        <f>IF(SUM(I1370,L1370,N1370)&lt;&gt;0,SUM(I1370,L1370,N1370),"")</f>
        <v/>
      </c>
      <c r="Q1370" s="12" t="s">
        <v>2378</v>
      </c>
      <c r="AB1370" s="2">
        <f>합산자재!H317*J1370</f>
        <v>120000</v>
      </c>
    </row>
    <row r="1371" spans="1:28" ht="23.25" customHeight="1" x14ac:dyDescent="0.15">
      <c r="A1371" s="13" t="s">
        <v>1372</v>
      </c>
      <c r="B1371" s="13" t="s">
        <v>2277</v>
      </c>
      <c r="C1371" s="1" t="s">
        <v>1002</v>
      </c>
      <c r="D1371" s="12" t="s">
        <v>1003</v>
      </c>
      <c r="E1371" s="12" t="s">
        <v>1004</v>
      </c>
      <c r="F1371" s="31" t="s">
        <v>999</v>
      </c>
      <c r="G1371" s="15">
        <f>일위노임!G635</f>
        <v>0.224</v>
      </c>
      <c r="H1371" s="15">
        <f>합산자재!H345</f>
        <v>0</v>
      </c>
      <c r="I1371" s="53" t="str">
        <f>IF(G1371*H1371&lt;&gt;0, TRUNC(G1371*H1371, 1), "")</f>
        <v/>
      </c>
      <c r="J1371" s="15">
        <v>0.224</v>
      </c>
      <c r="K1371" s="15">
        <f>합산자재!I345</f>
        <v>273676</v>
      </c>
      <c r="L1371" s="53">
        <f>IF(G1371*K1371&lt;&gt;0, TRUNC(G1371*K1371, 1), "")</f>
        <v>61303.4</v>
      </c>
      <c r="M1371" s="15">
        <f>합산자재!J345</f>
        <v>0</v>
      </c>
      <c r="N1371" s="53" t="str">
        <f>IF(G1371*M1371&lt;&gt;0, TRUNC(G1371*M1371, 1), "")</f>
        <v/>
      </c>
      <c r="O1371" s="15">
        <f>IF((H1371+K1371+M1371)=0, "", (H1371+K1371+M1371))</f>
        <v>273676</v>
      </c>
      <c r="P1371" s="15">
        <f>IF(SUM(I1371,L1371,N1371)&lt;&gt;0,SUM(I1371,L1371,N1371),"")</f>
        <v>61303.4</v>
      </c>
      <c r="Q1371" s="12"/>
    </row>
    <row r="1372" spans="1:28" ht="23.25" customHeight="1" x14ac:dyDescent="0.15">
      <c r="A1372" s="13" t="s">
        <v>2362</v>
      </c>
      <c r="B1372" s="13" t="s">
        <v>2277</v>
      </c>
      <c r="C1372" s="1" t="s">
        <v>2363</v>
      </c>
      <c r="D1372" s="12" t="s">
        <v>2364</v>
      </c>
      <c r="E1372" s="12" t="s">
        <v>2365</v>
      </c>
      <c r="F1372" s="31" t="s">
        <v>792</v>
      </c>
      <c r="G1372" s="15">
        <v>1</v>
      </c>
      <c r="H1372" s="15">
        <v>1226</v>
      </c>
      <c r="I1372" s="53">
        <f>IF(G1372*H1372&lt;&gt;0, TRUNC(G1372*H1372, 1), "")</f>
        <v>1226</v>
      </c>
      <c r="J1372" s="15">
        <v>1</v>
      </c>
      <c r="K1372" s="15"/>
      <c r="L1372" s="53" t="str">
        <f>IF(G1372*K1372&lt;&gt;0, TRUNC(G1372*K1372, 1), "")</f>
        <v/>
      </c>
      <c r="M1372" s="15"/>
      <c r="N1372" s="53" t="str">
        <f>IF(G1372*M1372&lt;&gt;0, TRUNC(G1372*M1372, 1), "")</f>
        <v/>
      </c>
      <c r="O1372" s="15">
        <f>IF((H1372+K1372+M1372)=0, "", (H1372+K1372+M1372))</f>
        <v>1226</v>
      </c>
      <c r="P1372" s="15">
        <f>IF(SUM(I1372,L1372,N1372)&lt;&gt;0,SUM(I1372,L1372,N1372),"")</f>
        <v>1226</v>
      </c>
      <c r="Q1372" s="12"/>
    </row>
    <row r="1373" spans="1:28" ht="23.25" customHeight="1" x14ac:dyDescent="0.15">
      <c r="B1373" s="13" t="s">
        <v>2360</v>
      </c>
      <c r="D1373" s="12" t="s">
        <v>2361</v>
      </c>
      <c r="E1373" s="12"/>
      <c r="F1373" s="31"/>
      <c r="G1373" s="15"/>
      <c r="H1373" s="15"/>
      <c r="I1373" s="53">
        <f>TRUNC(SUM(I1369:I1372))</f>
        <v>1226</v>
      </c>
      <c r="J1373" s="15"/>
      <c r="K1373" s="15"/>
      <c r="L1373" s="53">
        <f>TRUNC(SUM(L1369:L1372))</f>
        <v>61303</v>
      </c>
      <c r="M1373" s="15"/>
      <c r="N1373" s="53">
        <f>TRUNC(SUM(N1369:N1372))</f>
        <v>0</v>
      </c>
      <c r="O1373" s="15" t="str">
        <f>IF((H1373+K1373+M1373)=0, "", (H1373+K1373+M1373))</f>
        <v/>
      </c>
      <c r="P1373" s="15">
        <f>IF(SUM(I1373,L1373,N1373)&lt;&gt;0,SUM(I1373,L1373,N1373),"")</f>
        <v>62529</v>
      </c>
      <c r="Q1373" s="12"/>
    </row>
    <row r="1374" spans="1:28" ht="23.25" customHeight="1" x14ac:dyDescent="0.15">
      <c r="D1374" s="12"/>
      <c r="E1374" s="12"/>
      <c r="F1374" s="31"/>
      <c r="G1374" s="15"/>
      <c r="H1374" s="15"/>
      <c r="I1374" s="53"/>
      <c r="J1374" s="15"/>
      <c r="K1374" s="15"/>
      <c r="L1374" s="53"/>
      <c r="M1374" s="15"/>
      <c r="N1374" s="53"/>
      <c r="O1374" s="15"/>
      <c r="P1374" s="15"/>
      <c r="Q1374" s="12"/>
    </row>
    <row r="1375" spans="1:28" ht="23.25" customHeight="1" x14ac:dyDescent="0.15">
      <c r="A1375" s="13" t="s">
        <v>2964</v>
      </c>
      <c r="B1375" s="13" t="s">
        <v>2382</v>
      </c>
      <c r="C1375" s="1" t="s">
        <v>2965</v>
      </c>
      <c r="D1375" s="170" t="s">
        <v>2963</v>
      </c>
      <c r="E1375" s="172"/>
      <c r="F1375" s="31"/>
      <c r="G1375" s="15"/>
      <c r="H1375" s="15"/>
      <c r="I1375" s="53"/>
      <c r="J1375" s="15"/>
      <c r="K1375" s="15"/>
      <c r="L1375" s="53"/>
      <c r="M1375" s="15"/>
      <c r="N1375" s="53"/>
      <c r="O1375" s="15"/>
      <c r="P1375" s="15"/>
      <c r="Q1375" s="12"/>
    </row>
    <row r="1376" spans="1:28" ht="23.25" customHeight="1" x14ac:dyDescent="0.15">
      <c r="A1376" s="13" t="s">
        <v>1342</v>
      </c>
      <c r="B1376" s="13" t="s">
        <v>2280</v>
      </c>
      <c r="C1376" s="1" t="s">
        <v>933</v>
      </c>
      <c r="D1376" s="12" t="s">
        <v>934</v>
      </c>
      <c r="E1376" s="12" t="s">
        <v>935</v>
      </c>
      <c r="F1376" s="31" t="s">
        <v>710</v>
      </c>
      <c r="G1376" s="15">
        <v>1</v>
      </c>
      <c r="H1376" s="15"/>
      <c r="I1376" s="53" t="str">
        <f>IF(G1376*H1376&lt;&gt;0, TRUNC(G1376*H1376, 1), "")</f>
        <v/>
      </c>
      <c r="J1376" s="15">
        <v>1</v>
      </c>
      <c r="K1376" s="15">
        <f>합산자재!I318</f>
        <v>0</v>
      </c>
      <c r="L1376" s="53" t="str">
        <f>IF(G1376*K1376&lt;&gt;0, TRUNC(G1376*K1376, 1), "")</f>
        <v/>
      </c>
      <c r="M1376" s="15">
        <f>합산자재!J318</f>
        <v>0</v>
      </c>
      <c r="N1376" s="53" t="str">
        <f>IF(G1376*M1376&lt;&gt;0, TRUNC(G1376*M1376, 1), "")</f>
        <v/>
      </c>
      <c r="O1376" s="15" t="str">
        <f>IF((H1376+K1376+M1376)=0, "", (H1376+K1376+M1376))</f>
        <v/>
      </c>
      <c r="P1376" s="15" t="str">
        <f>IF(SUM(I1376,L1376,N1376)&lt;&gt;0,SUM(I1376,L1376,N1376),"")</f>
        <v/>
      </c>
      <c r="Q1376" s="12" t="s">
        <v>2378</v>
      </c>
      <c r="AB1376" s="2">
        <f>합산자재!H318*J1376</f>
        <v>83000</v>
      </c>
    </row>
    <row r="1377" spans="1:28" ht="23.25" customHeight="1" x14ac:dyDescent="0.15">
      <c r="A1377" s="13" t="s">
        <v>1372</v>
      </c>
      <c r="B1377" s="13" t="s">
        <v>2280</v>
      </c>
      <c r="C1377" s="1" t="s">
        <v>1002</v>
      </c>
      <c r="D1377" s="12" t="s">
        <v>1003</v>
      </c>
      <c r="E1377" s="12" t="s">
        <v>1004</v>
      </c>
      <c r="F1377" s="31" t="s">
        <v>999</v>
      </c>
      <c r="G1377" s="15">
        <f>일위노임!G638</f>
        <v>0.19800000000000001</v>
      </c>
      <c r="H1377" s="15">
        <f>합산자재!H345</f>
        <v>0</v>
      </c>
      <c r="I1377" s="53" t="str">
        <f>IF(G1377*H1377&lt;&gt;0, TRUNC(G1377*H1377, 1), "")</f>
        <v/>
      </c>
      <c r="J1377" s="15">
        <v>0.19800000000000001</v>
      </c>
      <c r="K1377" s="15">
        <f>합산자재!I345</f>
        <v>273676</v>
      </c>
      <c r="L1377" s="53">
        <f>IF(G1377*K1377&lt;&gt;0, TRUNC(G1377*K1377, 1), "")</f>
        <v>54187.8</v>
      </c>
      <c r="M1377" s="15">
        <f>합산자재!J345</f>
        <v>0</v>
      </c>
      <c r="N1377" s="53" t="str">
        <f>IF(G1377*M1377&lt;&gt;0, TRUNC(G1377*M1377, 1), "")</f>
        <v/>
      </c>
      <c r="O1377" s="15">
        <f>IF((H1377+K1377+M1377)=0, "", (H1377+K1377+M1377))</f>
        <v>273676</v>
      </c>
      <c r="P1377" s="15">
        <f>IF(SUM(I1377,L1377,N1377)&lt;&gt;0,SUM(I1377,L1377,N1377),"")</f>
        <v>54187.8</v>
      </c>
      <c r="Q1377" s="12"/>
    </row>
    <row r="1378" spans="1:28" ht="23.25" customHeight="1" x14ac:dyDescent="0.15">
      <c r="A1378" s="13" t="s">
        <v>2362</v>
      </c>
      <c r="B1378" s="13" t="s">
        <v>2280</v>
      </c>
      <c r="C1378" s="1" t="s">
        <v>2363</v>
      </c>
      <c r="D1378" s="12" t="s">
        <v>2364</v>
      </c>
      <c r="E1378" s="12" t="s">
        <v>2365</v>
      </c>
      <c r="F1378" s="31" t="s">
        <v>792</v>
      </c>
      <c r="G1378" s="15">
        <v>1</v>
      </c>
      <c r="H1378" s="15">
        <v>1083.7</v>
      </c>
      <c r="I1378" s="53">
        <f>IF(G1378*H1378&lt;&gt;0, TRUNC(G1378*H1378, 1), "")</f>
        <v>1083.7</v>
      </c>
      <c r="J1378" s="15">
        <v>1</v>
      </c>
      <c r="K1378" s="15"/>
      <c r="L1378" s="53" t="str">
        <f>IF(G1378*K1378&lt;&gt;0, TRUNC(G1378*K1378, 1), "")</f>
        <v/>
      </c>
      <c r="M1378" s="15"/>
      <c r="N1378" s="53" t="str">
        <f>IF(G1378*M1378&lt;&gt;0, TRUNC(G1378*M1378, 1), "")</f>
        <v/>
      </c>
      <c r="O1378" s="15">
        <f>IF((H1378+K1378+M1378)=0, "", (H1378+K1378+M1378))</f>
        <v>1083.7</v>
      </c>
      <c r="P1378" s="15">
        <f>IF(SUM(I1378,L1378,N1378)&lt;&gt;0,SUM(I1378,L1378,N1378),"")</f>
        <v>1083.7</v>
      </c>
      <c r="Q1378" s="12"/>
    </row>
    <row r="1379" spans="1:28" ht="23.25" customHeight="1" x14ac:dyDescent="0.15">
      <c r="B1379" s="13" t="s">
        <v>2360</v>
      </c>
      <c r="D1379" s="12" t="s">
        <v>2361</v>
      </c>
      <c r="E1379" s="12"/>
      <c r="F1379" s="31"/>
      <c r="G1379" s="15"/>
      <c r="H1379" s="15"/>
      <c r="I1379" s="53">
        <f>TRUNC(SUM(I1375:I1378))</f>
        <v>1083</v>
      </c>
      <c r="J1379" s="15"/>
      <c r="K1379" s="15"/>
      <c r="L1379" s="53">
        <f>TRUNC(SUM(L1375:L1378))</f>
        <v>54187</v>
      </c>
      <c r="M1379" s="15"/>
      <c r="N1379" s="53">
        <f>TRUNC(SUM(N1375:N1378))</f>
        <v>0</v>
      </c>
      <c r="O1379" s="15" t="str">
        <f>IF((H1379+K1379+M1379)=0, "", (H1379+K1379+M1379))</f>
        <v/>
      </c>
      <c r="P1379" s="15">
        <f>IF(SUM(I1379,L1379,N1379)&lt;&gt;0,SUM(I1379,L1379,N1379),"")</f>
        <v>55270</v>
      </c>
      <c r="Q1379" s="12"/>
    </row>
    <row r="1380" spans="1:28" ht="23.25" customHeight="1" x14ac:dyDescent="0.15">
      <c r="D1380" s="12"/>
      <c r="E1380" s="12"/>
      <c r="F1380" s="31"/>
      <c r="G1380" s="15"/>
      <c r="H1380" s="15"/>
      <c r="I1380" s="53"/>
      <c r="J1380" s="15"/>
      <c r="K1380" s="15"/>
      <c r="L1380" s="53"/>
      <c r="M1380" s="15"/>
      <c r="N1380" s="53"/>
      <c r="O1380" s="15"/>
      <c r="P1380" s="15"/>
      <c r="Q1380" s="12"/>
    </row>
    <row r="1381" spans="1:28" ht="23.25" customHeight="1" x14ac:dyDescent="0.15">
      <c r="A1381" s="13" t="s">
        <v>2967</v>
      </c>
      <c r="B1381" s="13" t="s">
        <v>2382</v>
      </c>
      <c r="C1381" s="1" t="s">
        <v>2968</v>
      </c>
      <c r="D1381" s="170" t="s">
        <v>2966</v>
      </c>
      <c r="E1381" s="172"/>
      <c r="F1381" s="31"/>
      <c r="G1381" s="15"/>
      <c r="H1381" s="15"/>
      <c r="I1381" s="53"/>
      <c r="J1381" s="15"/>
      <c r="K1381" s="15"/>
      <c r="L1381" s="53"/>
      <c r="M1381" s="15"/>
      <c r="N1381" s="53"/>
      <c r="O1381" s="15"/>
      <c r="P1381" s="15"/>
      <c r="Q1381" s="12"/>
    </row>
    <row r="1382" spans="1:28" ht="23.25" customHeight="1" x14ac:dyDescent="0.15">
      <c r="A1382" s="13" t="s">
        <v>1343</v>
      </c>
      <c r="B1382" s="13" t="s">
        <v>2283</v>
      </c>
      <c r="C1382" s="1" t="s">
        <v>936</v>
      </c>
      <c r="D1382" s="12" t="s">
        <v>937</v>
      </c>
      <c r="E1382" s="12" t="s">
        <v>938</v>
      </c>
      <c r="F1382" s="31" t="s">
        <v>710</v>
      </c>
      <c r="G1382" s="15">
        <v>1</v>
      </c>
      <c r="H1382" s="15"/>
      <c r="I1382" s="53" t="str">
        <f>IF(G1382*H1382&lt;&gt;0, TRUNC(G1382*H1382, 1), "")</f>
        <v/>
      </c>
      <c r="J1382" s="15">
        <v>1</v>
      </c>
      <c r="K1382" s="15">
        <f>합산자재!I319</f>
        <v>0</v>
      </c>
      <c r="L1382" s="53" t="str">
        <f>IF(G1382*K1382&lt;&gt;0, TRUNC(G1382*K1382, 1), "")</f>
        <v/>
      </c>
      <c r="M1382" s="15">
        <f>합산자재!J319</f>
        <v>0</v>
      </c>
      <c r="N1382" s="53" t="str">
        <f>IF(G1382*M1382&lt;&gt;0, TRUNC(G1382*M1382, 1), "")</f>
        <v/>
      </c>
      <c r="O1382" s="15" t="str">
        <f>IF((H1382+K1382+M1382)=0, "", (H1382+K1382+M1382))</f>
        <v/>
      </c>
      <c r="P1382" s="15" t="str">
        <f>IF(SUM(I1382,L1382,N1382)&lt;&gt;0,SUM(I1382,L1382,N1382),"")</f>
        <v/>
      </c>
      <c r="Q1382" s="12" t="s">
        <v>2378</v>
      </c>
      <c r="AB1382" s="2">
        <f>합산자재!H319*J1382</f>
        <v>160000</v>
      </c>
    </row>
    <row r="1383" spans="1:28" ht="23.25" customHeight="1" x14ac:dyDescent="0.15">
      <c r="A1383" s="13" t="s">
        <v>1372</v>
      </c>
      <c r="B1383" s="13" t="s">
        <v>2283</v>
      </c>
      <c r="C1383" s="1" t="s">
        <v>1002</v>
      </c>
      <c r="D1383" s="12" t="s">
        <v>1003</v>
      </c>
      <c r="E1383" s="12" t="s">
        <v>1004</v>
      </c>
      <c r="F1383" s="31" t="s">
        <v>999</v>
      </c>
      <c r="G1383" s="15">
        <f>일위노임!G641</f>
        <v>0.20799999999999999</v>
      </c>
      <c r="H1383" s="15">
        <f>합산자재!H345</f>
        <v>0</v>
      </c>
      <c r="I1383" s="53" t="str">
        <f>IF(G1383*H1383&lt;&gt;0, TRUNC(G1383*H1383, 1), "")</f>
        <v/>
      </c>
      <c r="J1383" s="15">
        <v>0.20799999999999999</v>
      </c>
      <c r="K1383" s="15">
        <f>합산자재!I345</f>
        <v>273676</v>
      </c>
      <c r="L1383" s="53">
        <f>IF(G1383*K1383&lt;&gt;0, TRUNC(G1383*K1383, 1), "")</f>
        <v>56924.6</v>
      </c>
      <c r="M1383" s="15">
        <f>합산자재!J345</f>
        <v>0</v>
      </c>
      <c r="N1383" s="53" t="str">
        <f>IF(G1383*M1383&lt;&gt;0, TRUNC(G1383*M1383, 1), "")</f>
        <v/>
      </c>
      <c r="O1383" s="15">
        <f>IF((H1383+K1383+M1383)=0, "", (H1383+K1383+M1383))</f>
        <v>273676</v>
      </c>
      <c r="P1383" s="15">
        <f>IF(SUM(I1383,L1383,N1383)&lt;&gt;0,SUM(I1383,L1383,N1383),"")</f>
        <v>56924.6</v>
      </c>
      <c r="Q1383" s="12"/>
    </row>
    <row r="1384" spans="1:28" ht="23.25" customHeight="1" x14ac:dyDescent="0.15">
      <c r="A1384" s="13" t="s">
        <v>2362</v>
      </c>
      <c r="B1384" s="13" t="s">
        <v>2283</v>
      </c>
      <c r="C1384" s="1" t="s">
        <v>2363</v>
      </c>
      <c r="D1384" s="12" t="s">
        <v>2364</v>
      </c>
      <c r="E1384" s="12" t="s">
        <v>2365</v>
      </c>
      <c r="F1384" s="31" t="s">
        <v>792</v>
      </c>
      <c r="G1384" s="15">
        <v>1</v>
      </c>
      <c r="H1384" s="15">
        <v>1138.4000000000001</v>
      </c>
      <c r="I1384" s="53">
        <f>IF(G1384*H1384&lt;&gt;0, TRUNC(G1384*H1384, 1), "")</f>
        <v>1138.4000000000001</v>
      </c>
      <c r="J1384" s="15">
        <v>1</v>
      </c>
      <c r="K1384" s="15"/>
      <c r="L1384" s="53" t="str">
        <f>IF(G1384*K1384&lt;&gt;0, TRUNC(G1384*K1384, 1), "")</f>
        <v/>
      </c>
      <c r="M1384" s="15"/>
      <c r="N1384" s="53" t="str">
        <f>IF(G1384*M1384&lt;&gt;0, TRUNC(G1384*M1384, 1), "")</f>
        <v/>
      </c>
      <c r="O1384" s="15">
        <f>IF((H1384+K1384+M1384)=0, "", (H1384+K1384+M1384))</f>
        <v>1138.4000000000001</v>
      </c>
      <c r="P1384" s="15">
        <f>IF(SUM(I1384,L1384,N1384)&lt;&gt;0,SUM(I1384,L1384,N1384),"")</f>
        <v>1138.4000000000001</v>
      </c>
      <c r="Q1384" s="12"/>
    </row>
    <row r="1385" spans="1:28" ht="23.25" customHeight="1" x14ac:dyDescent="0.15">
      <c r="B1385" s="13" t="s">
        <v>2360</v>
      </c>
      <c r="D1385" s="12" t="s">
        <v>2361</v>
      </c>
      <c r="E1385" s="12"/>
      <c r="F1385" s="31"/>
      <c r="G1385" s="15"/>
      <c r="H1385" s="15"/>
      <c r="I1385" s="53">
        <f>TRUNC(SUM(I1381:I1384))</f>
        <v>1138</v>
      </c>
      <c r="J1385" s="15"/>
      <c r="K1385" s="15"/>
      <c r="L1385" s="53">
        <f>TRUNC(SUM(L1381:L1384))</f>
        <v>56924</v>
      </c>
      <c r="M1385" s="15"/>
      <c r="N1385" s="53">
        <f>TRUNC(SUM(N1381:N1384))</f>
        <v>0</v>
      </c>
      <c r="O1385" s="15" t="str">
        <f>IF((H1385+K1385+M1385)=0, "", (H1385+K1385+M1385))</f>
        <v/>
      </c>
      <c r="P1385" s="15">
        <f>IF(SUM(I1385,L1385,N1385)&lt;&gt;0,SUM(I1385,L1385,N1385),"")</f>
        <v>58062</v>
      </c>
      <c r="Q1385" s="12"/>
    </row>
    <row r="1386" spans="1:28" ht="23.25" customHeight="1" x14ac:dyDescent="0.15">
      <c r="D1386" s="12"/>
      <c r="E1386" s="12"/>
      <c r="F1386" s="31"/>
      <c r="G1386" s="15"/>
      <c r="H1386" s="15"/>
      <c r="I1386" s="53"/>
      <c r="J1386" s="15"/>
      <c r="K1386" s="15"/>
      <c r="L1386" s="53"/>
      <c r="M1386" s="15"/>
      <c r="N1386" s="53"/>
      <c r="O1386" s="15"/>
      <c r="P1386" s="15"/>
      <c r="Q1386" s="12"/>
    </row>
    <row r="1387" spans="1:28" ht="23.25" customHeight="1" x14ac:dyDescent="0.15">
      <c r="A1387" s="13" t="s">
        <v>2970</v>
      </c>
      <c r="B1387" s="13" t="s">
        <v>2382</v>
      </c>
      <c r="C1387" s="1" t="s">
        <v>2971</v>
      </c>
      <c r="D1387" s="170" t="s">
        <v>2969</v>
      </c>
      <c r="E1387" s="172"/>
      <c r="F1387" s="31"/>
      <c r="G1387" s="15"/>
      <c r="H1387" s="15"/>
      <c r="I1387" s="53"/>
      <c r="J1387" s="15"/>
      <c r="K1387" s="15"/>
      <c r="L1387" s="53"/>
      <c r="M1387" s="15"/>
      <c r="N1387" s="53"/>
      <c r="O1387" s="15"/>
      <c r="P1387" s="15"/>
      <c r="Q1387" s="12"/>
    </row>
    <row r="1388" spans="1:28" ht="23.25" customHeight="1" x14ac:dyDescent="0.15">
      <c r="A1388" s="13" t="s">
        <v>1344</v>
      </c>
      <c r="B1388" s="13" t="s">
        <v>2286</v>
      </c>
      <c r="C1388" s="1" t="s">
        <v>939</v>
      </c>
      <c r="D1388" s="12" t="s">
        <v>940</v>
      </c>
      <c r="E1388" s="12" t="s">
        <v>755</v>
      </c>
      <c r="F1388" s="31" t="s">
        <v>710</v>
      </c>
      <c r="G1388" s="15">
        <v>1</v>
      </c>
      <c r="H1388" s="15"/>
      <c r="I1388" s="53" t="str">
        <f>IF(G1388*H1388&lt;&gt;0, TRUNC(G1388*H1388, 1), "")</f>
        <v/>
      </c>
      <c r="J1388" s="15">
        <v>1</v>
      </c>
      <c r="K1388" s="15">
        <f>합산자재!I320</f>
        <v>0</v>
      </c>
      <c r="L1388" s="53" t="str">
        <f>IF(G1388*K1388&lt;&gt;0, TRUNC(G1388*K1388, 1), "")</f>
        <v/>
      </c>
      <c r="M1388" s="15">
        <f>합산자재!J320</f>
        <v>0</v>
      </c>
      <c r="N1388" s="53" t="str">
        <f>IF(G1388*M1388&lt;&gt;0, TRUNC(G1388*M1388, 1), "")</f>
        <v/>
      </c>
      <c r="O1388" s="15" t="str">
        <f>IF((H1388+K1388+M1388)=0, "", (H1388+K1388+M1388))</f>
        <v/>
      </c>
      <c r="P1388" s="15" t="str">
        <f>IF(SUM(I1388,L1388,N1388)&lt;&gt;0,SUM(I1388,L1388,N1388),"")</f>
        <v/>
      </c>
      <c r="Q1388" s="12" t="s">
        <v>2378</v>
      </c>
      <c r="AB1388" s="2">
        <f>합산자재!H320*J1388</f>
        <v>88000</v>
      </c>
    </row>
    <row r="1389" spans="1:28" ht="23.25" customHeight="1" x14ac:dyDescent="0.15">
      <c r="A1389" s="13" t="s">
        <v>1372</v>
      </c>
      <c r="B1389" s="13" t="s">
        <v>2286</v>
      </c>
      <c r="C1389" s="1" t="s">
        <v>1002</v>
      </c>
      <c r="D1389" s="12" t="s">
        <v>1003</v>
      </c>
      <c r="E1389" s="12" t="s">
        <v>1004</v>
      </c>
      <c r="F1389" s="31" t="s">
        <v>999</v>
      </c>
      <c r="G1389" s="15">
        <f>일위노임!G644</f>
        <v>0.23599999999999999</v>
      </c>
      <c r="H1389" s="15">
        <f>합산자재!H345</f>
        <v>0</v>
      </c>
      <c r="I1389" s="53" t="str">
        <f>IF(G1389*H1389&lt;&gt;0, TRUNC(G1389*H1389, 1), "")</f>
        <v/>
      </c>
      <c r="J1389" s="15">
        <v>0.23599999999999999</v>
      </c>
      <c r="K1389" s="15">
        <f>합산자재!I345</f>
        <v>273676</v>
      </c>
      <c r="L1389" s="53">
        <f>IF(G1389*K1389&lt;&gt;0, TRUNC(G1389*K1389, 1), "")</f>
        <v>64587.5</v>
      </c>
      <c r="M1389" s="15">
        <f>합산자재!J345</f>
        <v>0</v>
      </c>
      <c r="N1389" s="53" t="str">
        <f>IF(G1389*M1389&lt;&gt;0, TRUNC(G1389*M1389, 1), "")</f>
        <v/>
      </c>
      <c r="O1389" s="15">
        <f>IF((H1389+K1389+M1389)=0, "", (H1389+K1389+M1389))</f>
        <v>273676</v>
      </c>
      <c r="P1389" s="15">
        <f>IF(SUM(I1389,L1389,N1389)&lt;&gt;0,SUM(I1389,L1389,N1389),"")</f>
        <v>64587.5</v>
      </c>
      <c r="Q1389" s="12"/>
    </row>
    <row r="1390" spans="1:28" ht="23.25" customHeight="1" x14ac:dyDescent="0.15">
      <c r="A1390" s="13" t="s">
        <v>2362</v>
      </c>
      <c r="B1390" s="13" t="s">
        <v>2286</v>
      </c>
      <c r="C1390" s="1" t="s">
        <v>2363</v>
      </c>
      <c r="D1390" s="12" t="s">
        <v>2364</v>
      </c>
      <c r="E1390" s="12" t="s">
        <v>2365</v>
      </c>
      <c r="F1390" s="31" t="s">
        <v>792</v>
      </c>
      <c r="G1390" s="15">
        <v>1</v>
      </c>
      <c r="H1390" s="15">
        <v>1291.7</v>
      </c>
      <c r="I1390" s="53">
        <f>IF(G1390*H1390&lt;&gt;0, TRUNC(G1390*H1390, 1), "")</f>
        <v>1291.7</v>
      </c>
      <c r="J1390" s="15">
        <v>1</v>
      </c>
      <c r="K1390" s="15"/>
      <c r="L1390" s="53" t="str">
        <f>IF(G1390*K1390&lt;&gt;0, TRUNC(G1390*K1390, 1), "")</f>
        <v/>
      </c>
      <c r="M1390" s="15"/>
      <c r="N1390" s="53" t="str">
        <f>IF(G1390*M1390&lt;&gt;0, TRUNC(G1390*M1390, 1), "")</f>
        <v/>
      </c>
      <c r="O1390" s="15">
        <f>IF((H1390+K1390+M1390)=0, "", (H1390+K1390+M1390))</f>
        <v>1291.7</v>
      </c>
      <c r="P1390" s="15">
        <f>IF(SUM(I1390,L1390,N1390)&lt;&gt;0,SUM(I1390,L1390,N1390),"")</f>
        <v>1291.7</v>
      </c>
      <c r="Q1390" s="12"/>
    </row>
    <row r="1391" spans="1:28" ht="23.25" customHeight="1" x14ac:dyDescent="0.15">
      <c r="B1391" s="13" t="s">
        <v>2360</v>
      </c>
      <c r="D1391" s="12" t="s">
        <v>2361</v>
      </c>
      <c r="E1391" s="12"/>
      <c r="F1391" s="31"/>
      <c r="G1391" s="15"/>
      <c r="H1391" s="15"/>
      <c r="I1391" s="53">
        <f>TRUNC(SUM(I1387:I1390))</f>
        <v>1291</v>
      </c>
      <c r="J1391" s="15"/>
      <c r="K1391" s="15"/>
      <c r="L1391" s="53">
        <f>TRUNC(SUM(L1387:L1390))</f>
        <v>64587</v>
      </c>
      <c r="M1391" s="15"/>
      <c r="N1391" s="53">
        <f>TRUNC(SUM(N1387:N1390))</f>
        <v>0</v>
      </c>
      <c r="O1391" s="15" t="str">
        <f>IF((H1391+K1391+M1391)=0, "", (H1391+K1391+M1391))</f>
        <v/>
      </c>
      <c r="P1391" s="15">
        <f>IF(SUM(I1391,L1391,N1391)&lt;&gt;0,SUM(I1391,L1391,N1391),"")</f>
        <v>65878</v>
      </c>
      <c r="Q1391" s="12"/>
    </row>
    <row r="1392" spans="1:28" ht="23.25" customHeight="1" x14ac:dyDescent="0.15">
      <c r="D1392" s="12"/>
      <c r="E1392" s="12"/>
      <c r="F1392" s="31"/>
      <c r="G1392" s="15"/>
      <c r="H1392" s="15"/>
      <c r="I1392" s="53"/>
      <c r="J1392" s="15"/>
      <c r="K1392" s="15"/>
      <c r="L1392" s="53"/>
      <c r="M1392" s="15"/>
      <c r="N1392" s="53"/>
      <c r="O1392" s="15"/>
      <c r="P1392" s="15"/>
      <c r="Q1392" s="12"/>
    </row>
    <row r="1393" spans="1:28" ht="23.25" customHeight="1" x14ac:dyDescent="0.15">
      <c r="A1393" s="13" t="s">
        <v>2973</v>
      </c>
      <c r="B1393" s="13" t="s">
        <v>2382</v>
      </c>
      <c r="C1393" s="1" t="s">
        <v>2974</v>
      </c>
      <c r="D1393" s="170" t="s">
        <v>2972</v>
      </c>
      <c r="E1393" s="172"/>
      <c r="F1393" s="31"/>
      <c r="G1393" s="15"/>
      <c r="H1393" s="15"/>
      <c r="I1393" s="53"/>
      <c r="J1393" s="15"/>
      <c r="K1393" s="15"/>
      <c r="L1393" s="53"/>
      <c r="M1393" s="15"/>
      <c r="N1393" s="53"/>
      <c r="O1393" s="15"/>
      <c r="P1393" s="15"/>
      <c r="Q1393" s="12"/>
    </row>
    <row r="1394" spans="1:28" ht="23.25" customHeight="1" x14ac:dyDescent="0.15">
      <c r="A1394" s="13" t="s">
        <v>1345</v>
      </c>
      <c r="B1394" s="13" t="s">
        <v>2289</v>
      </c>
      <c r="C1394" s="1" t="s">
        <v>941</v>
      </c>
      <c r="D1394" s="12" t="s">
        <v>942</v>
      </c>
      <c r="E1394" s="12" t="s">
        <v>760</v>
      </c>
      <c r="F1394" s="31" t="s">
        <v>710</v>
      </c>
      <c r="G1394" s="15">
        <v>1</v>
      </c>
      <c r="H1394" s="15"/>
      <c r="I1394" s="53" t="str">
        <f>IF(G1394*H1394&lt;&gt;0, TRUNC(G1394*H1394, 1), "")</f>
        <v/>
      </c>
      <c r="J1394" s="15">
        <v>1</v>
      </c>
      <c r="K1394" s="15">
        <f>합산자재!I321</f>
        <v>0</v>
      </c>
      <c r="L1394" s="53" t="str">
        <f>IF(G1394*K1394&lt;&gt;0, TRUNC(G1394*K1394, 1), "")</f>
        <v/>
      </c>
      <c r="M1394" s="15">
        <f>합산자재!J321</f>
        <v>0</v>
      </c>
      <c r="N1394" s="53" t="str">
        <f>IF(G1394*M1394&lt;&gt;0, TRUNC(G1394*M1394, 1), "")</f>
        <v/>
      </c>
      <c r="O1394" s="15" t="str">
        <f>IF((H1394+K1394+M1394)=0, "", (H1394+K1394+M1394))</f>
        <v/>
      </c>
      <c r="P1394" s="15" t="str">
        <f>IF(SUM(I1394,L1394,N1394)&lt;&gt;0,SUM(I1394,L1394,N1394),"")</f>
        <v/>
      </c>
      <c r="Q1394" s="12" t="s">
        <v>2378</v>
      </c>
      <c r="AB1394" s="2">
        <f>합산자재!H321*J1394</f>
        <v>40000</v>
      </c>
    </row>
    <row r="1395" spans="1:28" ht="23.25" customHeight="1" x14ac:dyDescent="0.15">
      <c r="A1395" s="13" t="s">
        <v>1372</v>
      </c>
      <c r="B1395" s="13" t="s">
        <v>2289</v>
      </c>
      <c r="C1395" s="1" t="s">
        <v>1002</v>
      </c>
      <c r="D1395" s="12" t="s">
        <v>1003</v>
      </c>
      <c r="E1395" s="12" t="s">
        <v>1004</v>
      </c>
      <c r="F1395" s="31" t="s">
        <v>999</v>
      </c>
      <c r="G1395" s="15">
        <f>일위노임!G647</f>
        <v>0.13900000000000001</v>
      </c>
      <c r="H1395" s="15">
        <f>합산자재!H345</f>
        <v>0</v>
      </c>
      <c r="I1395" s="53" t="str">
        <f>IF(G1395*H1395&lt;&gt;0, TRUNC(G1395*H1395, 1), "")</f>
        <v/>
      </c>
      <c r="J1395" s="15">
        <v>0.13900000000000001</v>
      </c>
      <c r="K1395" s="15">
        <f>합산자재!I345</f>
        <v>273676</v>
      </c>
      <c r="L1395" s="53">
        <f>IF(G1395*K1395&lt;&gt;0, TRUNC(G1395*K1395, 1), "")</f>
        <v>38040.9</v>
      </c>
      <c r="M1395" s="15">
        <f>합산자재!J345</f>
        <v>0</v>
      </c>
      <c r="N1395" s="53" t="str">
        <f>IF(G1395*M1395&lt;&gt;0, TRUNC(G1395*M1395, 1), "")</f>
        <v/>
      </c>
      <c r="O1395" s="15">
        <f>IF((H1395+K1395+M1395)=0, "", (H1395+K1395+M1395))</f>
        <v>273676</v>
      </c>
      <c r="P1395" s="15">
        <f>IF(SUM(I1395,L1395,N1395)&lt;&gt;0,SUM(I1395,L1395,N1395),"")</f>
        <v>38040.9</v>
      </c>
      <c r="Q1395" s="12"/>
    </row>
    <row r="1396" spans="1:28" ht="23.25" customHeight="1" x14ac:dyDescent="0.15">
      <c r="A1396" s="13" t="s">
        <v>2362</v>
      </c>
      <c r="B1396" s="13" t="s">
        <v>2289</v>
      </c>
      <c r="C1396" s="1" t="s">
        <v>2363</v>
      </c>
      <c r="D1396" s="12" t="s">
        <v>2364</v>
      </c>
      <c r="E1396" s="12" t="s">
        <v>2365</v>
      </c>
      <c r="F1396" s="31" t="s">
        <v>792</v>
      </c>
      <c r="G1396" s="15">
        <v>1</v>
      </c>
      <c r="H1396" s="15">
        <v>760.8</v>
      </c>
      <c r="I1396" s="53">
        <f>IF(G1396*H1396&lt;&gt;0, TRUNC(G1396*H1396, 1), "")</f>
        <v>760.8</v>
      </c>
      <c r="J1396" s="15">
        <v>1</v>
      </c>
      <c r="K1396" s="15"/>
      <c r="L1396" s="53" t="str">
        <f>IF(G1396*K1396&lt;&gt;0, TRUNC(G1396*K1396, 1), "")</f>
        <v/>
      </c>
      <c r="M1396" s="15"/>
      <c r="N1396" s="53" t="str">
        <f>IF(G1396*M1396&lt;&gt;0, TRUNC(G1396*M1396, 1), "")</f>
        <v/>
      </c>
      <c r="O1396" s="15">
        <f>IF((H1396+K1396+M1396)=0, "", (H1396+K1396+M1396))</f>
        <v>760.8</v>
      </c>
      <c r="P1396" s="15">
        <f>IF(SUM(I1396,L1396,N1396)&lt;&gt;0,SUM(I1396,L1396,N1396),"")</f>
        <v>760.8</v>
      </c>
      <c r="Q1396" s="12"/>
    </row>
    <row r="1397" spans="1:28" ht="23.25" customHeight="1" x14ac:dyDescent="0.15">
      <c r="B1397" s="13" t="s">
        <v>2360</v>
      </c>
      <c r="D1397" s="12" t="s">
        <v>2361</v>
      </c>
      <c r="E1397" s="12"/>
      <c r="F1397" s="31"/>
      <c r="G1397" s="15"/>
      <c r="H1397" s="15"/>
      <c r="I1397" s="53">
        <f>TRUNC(SUM(I1393:I1396))</f>
        <v>760</v>
      </c>
      <c r="J1397" s="15"/>
      <c r="K1397" s="15"/>
      <c r="L1397" s="53">
        <f>TRUNC(SUM(L1393:L1396))</f>
        <v>38040</v>
      </c>
      <c r="M1397" s="15"/>
      <c r="N1397" s="53">
        <f>TRUNC(SUM(N1393:N1396))</f>
        <v>0</v>
      </c>
      <c r="O1397" s="15" t="str">
        <f>IF((H1397+K1397+M1397)=0, "", (H1397+K1397+M1397))</f>
        <v/>
      </c>
      <c r="P1397" s="15">
        <f>IF(SUM(I1397,L1397,N1397)&lt;&gt;0,SUM(I1397,L1397,N1397),"")</f>
        <v>38800</v>
      </c>
      <c r="Q1397" s="12"/>
    </row>
    <row r="1398" spans="1:28" ht="23.25" customHeight="1" x14ac:dyDescent="0.15">
      <c r="D1398" s="12"/>
      <c r="E1398" s="12"/>
      <c r="F1398" s="31"/>
      <c r="G1398" s="15"/>
      <c r="H1398" s="15"/>
      <c r="I1398" s="53"/>
      <c r="J1398" s="15"/>
      <c r="K1398" s="15"/>
      <c r="L1398" s="53"/>
      <c r="M1398" s="15"/>
      <c r="N1398" s="53"/>
      <c r="O1398" s="15"/>
      <c r="P1398" s="15"/>
      <c r="Q1398" s="12"/>
    </row>
    <row r="1399" spans="1:28" ht="23.25" customHeight="1" x14ac:dyDescent="0.15">
      <c r="A1399" s="13" t="s">
        <v>2976</v>
      </c>
      <c r="B1399" s="13" t="s">
        <v>2382</v>
      </c>
      <c r="C1399" s="1" t="s">
        <v>2977</v>
      </c>
      <c r="D1399" s="170" t="s">
        <v>2975</v>
      </c>
      <c r="E1399" s="172"/>
      <c r="F1399" s="31"/>
      <c r="G1399" s="15"/>
      <c r="H1399" s="15"/>
      <c r="I1399" s="53"/>
      <c r="J1399" s="15"/>
      <c r="K1399" s="15"/>
      <c r="L1399" s="53"/>
      <c r="M1399" s="15"/>
      <c r="N1399" s="53"/>
      <c r="O1399" s="15"/>
      <c r="P1399" s="15"/>
      <c r="Q1399" s="12"/>
    </row>
    <row r="1400" spans="1:28" ht="23.25" customHeight="1" x14ac:dyDescent="0.15">
      <c r="A1400" s="13" t="s">
        <v>1346</v>
      </c>
      <c r="B1400" s="13" t="s">
        <v>2292</v>
      </c>
      <c r="C1400" s="1" t="s">
        <v>943</v>
      </c>
      <c r="D1400" s="12" t="s">
        <v>944</v>
      </c>
      <c r="E1400" s="12" t="s">
        <v>762</v>
      </c>
      <c r="F1400" s="31" t="s">
        <v>710</v>
      </c>
      <c r="G1400" s="15">
        <v>1</v>
      </c>
      <c r="H1400" s="15"/>
      <c r="I1400" s="53" t="str">
        <f>IF(G1400*H1400&lt;&gt;0, TRUNC(G1400*H1400, 1), "")</f>
        <v/>
      </c>
      <c r="J1400" s="15">
        <v>1</v>
      </c>
      <c r="K1400" s="15">
        <f>합산자재!I322</f>
        <v>0</v>
      </c>
      <c r="L1400" s="53" t="str">
        <f>IF(G1400*K1400&lt;&gt;0, TRUNC(G1400*K1400, 1), "")</f>
        <v/>
      </c>
      <c r="M1400" s="15">
        <f>합산자재!J322</f>
        <v>0</v>
      </c>
      <c r="N1400" s="53" t="str">
        <f>IF(G1400*M1400&lt;&gt;0, TRUNC(G1400*M1400, 1), "")</f>
        <v/>
      </c>
      <c r="O1400" s="15" t="str">
        <f>IF((H1400+K1400+M1400)=0, "", (H1400+K1400+M1400))</f>
        <v/>
      </c>
      <c r="P1400" s="15" t="str">
        <f>IF(SUM(I1400,L1400,N1400)&lt;&gt;0,SUM(I1400,L1400,N1400),"")</f>
        <v/>
      </c>
      <c r="Q1400" s="12" t="s">
        <v>2378</v>
      </c>
      <c r="AB1400" s="2">
        <f>합산자재!H322*J1400</f>
        <v>40000</v>
      </c>
    </row>
    <row r="1401" spans="1:28" ht="23.25" customHeight="1" x14ac:dyDescent="0.15">
      <c r="A1401" s="13" t="s">
        <v>1372</v>
      </c>
      <c r="B1401" s="13" t="s">
        <v>2292</v>
      </c>
      <c r="C1401" s="1" t="s">
        <v>1002</v>
      </c>
      <c r="D1401" s="12" t="s">
        <v>1003</v>
      </c>
      <c r="E1401" s="12" t="s">
        <v>1004</v>
      </c>
      <c r="F1401" s="31" t="s">
        <v>999</v>
      </c>
      <c r="G1401" s="15">
        <f>일위노임!G650</f>
        <v>0.13900000000000001</v>
      </c>
      <c r="H1401" s="15">
        <f>합산자재!H345</f>
        <v>0</v>
      </c>
      <c r="I1401" s="53" t="str">
        <f>IF(G1401*H1401&lt;&gt;0, TRUNC(G1401*H1401, 1), "")</f>
        <v/>
      </c>
      <c r="J1401" s="15">
        <v>0.13900000000000001</v>
      </c>
      <c r="K1401" s="15">
        <f>합산자재!I345</f>
        <v>273676</v>
      </c>
      <c r="L1401" s="53">
        <f>IF(G1401*K1401&lt;&gt;0, TRUNC(G1401*K1401, 1), "")</f>
        <v>38040.9</v>
      </c>
      <c r="M1401" s="15">
        <f>합산자재!J345</f>
        <v>0</v>
      </c>
      <c r="N1401" s="53" t="str">
        <f>IF(G1401*M1401&lt;&gt;0, TRUNC(G1401*M1401, 1), "")</f>
        <v/>
      </c>
      <c r="O1401" s="15">
        <f>IF((H1401+K1401+M1401)=0, "", (H1401+K1401+M1401))</f>
        <v>273676</v>
      </c>
      <c r="P1401" s="15">
        <f>IF(SUM(I1401,L1401,N1401)&lt;&gt;0,SUM(I1401,L1401,N1401),"")</f>
        <v>38040.9</v>
      </c>
      <c r="Q1401" s="12"/>
    </row>
    <row r="1402" spans="1:28" ht="23.25" customHeight="1" x14ac:dyDescent="0.15">
      <c r="A1402" s="13" t="s">
        <v>2362</v>
      </c>
      <c r="B1402" s="13" t="s">
        <v>2292</v>
      </c>
      <c r="C1402" s="1" t="s">
        <v>2363</v>
      </c>
      <c r="D1402" s="12" t="s">
        <v>2364</v>
      </c>
      <c r="E1402" s="12" t="s">
        <v>2365</v>
      </c>
      <c r="F1402" s="31" t="s">
        <v>792</v>
      </c>
      <c r="G1402" s="15">
        <v>1</v>
      </c>
      <c r="H1402" s="15">
        <v>760.8</v>
      </c>
      <c r="I1402" s="53">
        <f>IF(G1402*H1402&lt;&gt;0, TRUNC(G1402*H1402, 1), "")</f>
        <v>760.8</v>
      </c>
      <c r="J1402" s="15">
        <v>1</v>
      </c>
      <c r="K1402" s="15"/>
      <c r="L1402" s="53" t="str">
        <f>IF(G1402*K1402&lt;&gt;0, TRUNC(G1402*K1402, 1), "")</f>
        <v/>
      </c>
      <c r="M1402" s="15"/>
      <c r="N1402" s="53" t="str">
        <f>IF(G1402*M1402&lt;&gt;0, TRUNC(G1402*M1402, 1), "")</f>
        <v/>
      </c>
      <c r="O1402" s="15">
        <f>IF((H1402+K1402+M1402)=0, "", (H1402+K1402+M1402))</f>
        <v>760.8</v>
      </c>
      <c r="P1402" s="15">
        <f>IF(SUM(I1402,L1402,N1402)&lt;&gt;0,SUM(I1402,L1402,N1402),"")</f>
        <v>760.8</v>
      </c>
      <c r="Q1402" s="12"/>
    </row>
    <row r="1403" spans="1:28" ht="23.25" customHeight="1" x14ac:dyDescent="0.15">
      <c r="B1403" s="13" t="s">
        <v>2360</v>
      </c>
      <c r="D1403" s="12" t="s">
        <v>2361</v>
      </c>
      <c r="E1403" s="12"/>
      <c r="F1403" s="31"/>
      <c r="G1403" s="15"/>
      <c r="H1403" s="15"/>
      <c r="I1403" s="53">
        <f>TRUNC(SUM(I1399:I1402))</f>
        <v>760</v>
      </c>
      <c r="J1403" s="15"/>
      <c r="K1403" s="15"/>
      <c r="L1403" s="53">
        <f>TRUNC(SUM(L1399:L1402))</f>
        <v>38040</v>
      </c>
      <c r="M1403" s="15"/>
      <c r="N1403" s="53">
        <f>TRUNC(SUM(N1399:N1402))</f>
        <v>0</v>
      </c>
      <c r="O1403" s="15" t="str">
        <f>IF((H1403+K1403+M1403)=0, "", (H1403+K1403+M1403))</f>
        <v/>
      </c>
      <c r="P1403" s="15">
        <f>IF(SUM(I1403,L1403,N1403)&lt;&gt;0,SUM(I1403,L1403,N1403),"")</f>
        <v>38800</v>
      </c>
      <c r="Q1403" s="12"/>
    </row>
    <row r="1404" spans="1:28" ht="23.25" customHeight="1" x14ac:dyDescent="0.15">
      <c r="D1404" s="12"/>
      <c r="E1404" s="12"/>
      <c r="F1404" s="31"/>
      <c r="G1404" s="15"/>
      <c r="H1404" s="15"/>
      <c r="I1404" s="53"/>
      <c r="J1404" s="15"/>
      <c r="K1404" s="15"/>
      <c r="L1404" s="53"/>
      <c r="M1404" s="15"/>
      <c r="N1404" s="53"/>
      <c r="O1404" s="15"/>
      <c r="P1404" s="15"/>
      <c r="Q1404" s="12"/>
    </row>
    <row r="1405" spans="1:28" ht="23.25" customHeight="1" x14ac:dyDescent="0.15">
      <c r="A1405" s="13" t="s">
        <v>2979</v>
      </c>
      <c r="B1405" s="13" t="s">
        <v>2382</v>
      </c>
      <c r="C1405" s="1" t="s">
        <v>2980</v>
      </c>
      <c r="D1405" s="170" t="s">
        <v>2978</v>
      </c>
      <c r="E1405" s="172"/>
      <c r="F1405" s="31"/>
      <c r="G1405" s="15"/>
      <c r="H1405" s="15"/>
      <c r="I1405" s="53"/>
      <c r="J1405" s="15"/>
      <c r="K1405" s="15"/>
      <c r="L1405" s="53"/>
      <c r="M1405" s="15"/>
      <c r="N1405" s="53"/>
      <c r="O1405" s="15"/>
      <c r="P1405" s="15"/>
      <c r="Q1405" s="12"/>
    </row>
    <row r="1406" spans="1:28" ht="23.25" customHeight="1" x14ac:dyDescent="0.15">
      <c r="A1406" s="13" t="s">
        <v>1347</v>
      </c>
      <c r="B1406" s="13" t="s">
        <v>2295</v>
      </c>
      <c r="C1406" s="1" t="s">
        <v>945</v>
      </c>
      <c r="D1406" s="12" t="s">
        <v>946</v>
      </c>
      <c r="E1406" s="12" t="s">
        <v>947</v>
      </c>
      <c r="F1406" s="31" t="s">
        <v>710</v>
      </c>
      <c r="G1406" s="15">
        <v>1</v>
      </c>
      <c r="H1406" s="15"/>
      <c r="I1406" s="53" t="str">
        <f>IF(G1406*H1406&lt;&gt;0, TRUNC(G1406*H1406, 1), "")</f>
        <v/>
      </c>
      <c r="J1406" s="15">
        <v>1</v>
      </c>
      <c r="K1406" s="15">
        <f>합산자재!I323</f>
        <v>0</v>
      </c>
      <c r="L1406" s="53" t="str">
        <f>IF(G1406*K1406&lt;&gt;0, TRUNC(G1406*K1406, 1), "")</f>
        <v/>
      </c>
      <c r="M1406" s="15">
        <f>합산자재!J323</f>
        <v>0</v>
      </c>
      <c r="N1406" s="53" t="str">
        <f>IF(G1406*M1406&lt;&gt;0, TRUNC(G1406*M1406, 1), "")</f>
        <v/>
      </c>
      <c r="O1406" s="15" t="str">
        <f>IF((H1406+K1406+M1406)=0, "", (H1406+K1406+M1406))</f>
        <v/>
      </c>
      <c r="P1406" s="15" t="str">
        <f>IF(SUM(I1406,L1406,N1406)&lt;&gt;0,SUM(I1406,L1406,N1406),"")</f>
        <v/>
      </c>
      <c r="Q1406" s="12" t="s">
        <v>2378</v>
      </c>
      <c r="AB1406" s="2">
        <f>합산자재!H323*J1406</f>
        <v>55000</v>
      </c>
    </row>
    <row r="1407" spans="1:28" ht="23.25" customHeight="1" x14ac:dyDescent="0.15">
      <c r="A1407" s="13" t="s">
        <v>1372</v>
      </c>
      <c r="B1407" s="13" t="s">
        <v>2295</v>
      </c>
      <c r="C1407" s="1" t="s">
        <v>1002</v>
      </c>
      <c r="D1407" s="12" t="s">
        <v>1003</v>
      </c>
      <c r="E1407" s="12" t="s">
        <v>1004</v>
      </c>
      <c r="F1407" s="31" t="s">
        <v>999</v>
      </c>
      <c r="G1407" s="15">
        <f>일위노임!G653</f>
        <v>0.105</v>
      </c>
      <c r="H1407" s="15">
        <f>합산자재!H345</f>
        <v>0</v>
      </c>
      <c r="I1407" s="53" t="str">
        <f>IF(G1407*H1407&lt;&gt;0, TRUNC(G1407*H1407, 1), "")</f>
        <v/>
      </c>
      <c r="J1407" s="15">
        <v>0.105</v>
      </c>
      <c r="K1407" s="15">
        <f>합산자재!I345</f>
        <v>273676</v>
      </c>
      <c r="L1407" s="53">
        <f>IF(G1407*K1407&lt;&gt;0, TRUNC(G1407*K1407, 1), "")</f>
        <v>28735.9</v>
      </c>
      <c r="M1407" s="15">
        <f>합산자재!J345</f>
        <v>0</v>
      </c>
      <c r="N1407" s="53" t="str">
        <f>IF(G1407*M1407&lt;&gt;0, TRUNC(G1407*M1407, 1), "")</f>
        <v/>
      </c>
      <c r="O1407" s="15">
        <f>IF((H1407+K1407+M1407)=0, "", (H1407+K1407+M1407))</f>
        <v>273676</v>
      </c>
      <c r="P1407" s="15">
        <f>IF(SUM(I1407,L1407,N1407)&lt;&gt;0,SUM(I1407,L1407,N1407),"")</f>
        <v>28735.9</v>
      </c>
      <c r="Q1407" s="12"/>
    </row>
    <row r="1408" spans="1:28" ht="23.25" customHeight="1" x14ac:dyDescent="0.15">
      <c r="A1408" s="13" t="s">
        <v>2362</v>
      </c>
      <c r="B1408" s="13" t="s">
        <v>2295</v>
      </c>
      <c r="C1408" s="1" t="s">
        <v>2363</v>
      </c>
      <c r="D1408" s="12" t="s">
        <v>2364</v>
      </c>
      <c r="E1408" s="12" t="s">
        <v>2365</v>
      </c>
      <c r="F1408" s="31" t="s">
        <v>792</v>
      </c>
      <c r="G1408" s="15">
        <v>1</v>
      </c>
      <c r="H1408" s="15">
        <v>574.70000000000005</v>
      </c>
      <c r="I1408" s="53">
        <f>IF(G1408*H1408&lt;&gt;0, TRUNC(G1408*H1408, 1), "")</f>
        <v>574.70000000000005</v>
      </c>
      <c r="J1408" s="15">
        <v>1</v>
      </c>
      <c r="K1408" s="15"/>
      <c r="L1408" s="53" t="str">
        <f>IF(G1408*K1408&lt;&gt;0, TRUNC(G1408*K1408, 1), "")</f>
        <v/>
      </c>
      <c r="M1408" s="15"/>
      <c r="N1408" s="53" t="str">
        <f>IF(G1408*M1408&lt;&gt;0, TRUNC(G1408*M1408, 1), "")</f>
        <v/>
      </c>
      <c r="O1408" s="15">
        <f>IF((H1408+K1408+M1408)=0, "", (H1408+K1408+M1408))</f>
        <v>574.70000000000005</v>
      </c>
      <c r="P1408" s="15">
        <f>IF(SUM(I1408,L1408,N1408)&lt;&gt;0,SUM(I1408,L1408,N1408),"")</f>
        <v>574.70000000000005</v>
      </c>
      <c r="Q1408" s="12"/>
    </row>
    <row r="1409" spans="1:28" ht="23.25" customHeight="1" x14ac:dyDescent="0.15">
      <c r="B1409" s="13" t="s">
        <v>2360</v>
      </c>
      <c r="D1409" s="12" t="s">
        <v>2361</v>
      </c>
      <c r="E1409" s="12"/>
      <c r="F1409" s="31"/>
      <c r="G1409" s="15"/>
      <c r="H1409" s="15"/>
      <c r="I1409" s="53">
        <f>TRUNC(SUM(I1405:I1408))</f>
        <v>574</v>
      </c>
      <c r="J1409" s="15"/>
      <c r="K1409" s="15"/>
      <c r="L1409" s="53">
        <f>TRUNC(SUM(L1405:L1408))</f>
        <v>28735</v>
      </c>
      <c r="M1409" s="15"/>
      <c r="N1409" s="53">
        <f>TRUNC(SUM(N1405:N1408))</f>
        <v>0</v>
      </c>
      <c r="O1409" s="15" t="str">
        <f>IF((H1409+K1409+M1409)=0, "", (H1409+K1409+M1409))</f>
        <v/>
      </c>
      <c r="P1409" s="15">
        <f>IF(SUM(I1409,L1409,N1409)&lt;&gt;0,SUM(I1409,L1409,N1409),"")</f>
        <v>29309</v>
      </c>
      <c r="Q1409" s="12"/>
    </row>
    <row r="1410" spans="1:28" ht="23.25" customHeight="1" x14ac:dyDescent="0.15">
      <c r="D1410" s="12"/>
      <c r="E1410" s="12"/>
      <c r="F1410" s="31"/>
      <c r="G1410" s="15"/>
      <c r="H1410" s="15"/>
      <c r="I1410" s="53"/>
      <c r="J1410" s="15"/>
      <c r="K1410" s="15"/>
      <c r="L1410" s="53"/>
      <c r="M1410" s="15"/>
      <c r="N1410" s="53"/>
      <c r="O1410" s="15"/>
      <c r="P1410" s="15"/>
      <c r="Q1410" s="12"/>
    </row>
    <row r="1411" spans="1:28" ht="23.25" customHeight="1" x14ac:dyDescent="0.15">
      <c r="A1411" s="13" t="s">
        <v>2982</v>
      </c>
      <c r="B1411" s="13" t="s">
        <v>2382</v>
      </c>
      <c r="C1411" s="1" t="s">
        <v>2983</v>
      </c>
      <c r="D1411" s="170" t="s">
        <v>2981</v>
      </c>
      <c r="E1411" s="172"/>
      <c r="F1411" s="31"/>
      <c r="G1411" s="15"/>
      <c r="H1411" s="15"/>
      <c r="I1411" s="53"/>
      <c r="J1411" s="15"/>
      <c r="K1411" s="15"/>
      <c r="L1411" s="53"/>
      <c r="M1411" s="15"/>
      <c r="N1411" s="53"/>
      <c r="O1411" s="15"/>
      <c r="P1411" s="15"/>
      <c r="Q1411" s="12"/>
    </row>
    <row r="1412" spans="1:28" ht="23.25" customHeight="1" x14ac:dyDescent="0.15">
      <c r="A1412" s="13" t="s">
        <v>1348</v>
      </c>
      <c r="B1412" s="13" t="s">
        <v>2298</v>
      </c>
      <c r="C1412" s="1" t="s">
        <v>948</v>
      </c>
      <c r="D1412" s="12" t="s">
        <v>949</v>
      </c>
      <c r="E1412" s="12" t="s">
        <v>950</v>
      </c>
      <c r="F1412" s="31" t="s">
        <v>710</v>
      </c>
      <c r="G1412" s="15">
        <v>1</v>
      </c>
      <c r="H1412" s="15"/>
      <c r="I1412" s="53" t="str">
        <f>IF(G1412*H1412&lt;&gt;0, TRUNC(G1412*H1412, 1), "")</f>
        <v/>
      </c>
      <c r="J1412" s="15">
        <v>1</v>
      </c>
      <c r="K1412" s="15">
        <f>합산자재!I324</f>
        <v>0</v>
      </c>
      <c r="L1412" s="53" t="str">
        <f>IF(G1412*K1412&lt;&gt;0, TRUNC(G1412*K1412, 1), "")</f>
        <v/>
      </c>
      <c r="M1412" s="15">
        <f>합산자재!J324</f>
        <v>0</v>
      </c>
      <c r="N1412" s="53" t="str">
        <f>IF(G1412*M1412&lt;&gt;0, TRUNC(G1412*M1412, 1), "")</f>
        <v/>
      </c>
      <c r="O1412" s="15" t="str">
        <f>IF((H1412+K1412+M1412)=0, "", (H1412+K1412+M1412))</f>
        <v/>
      </c>
      <c r="P1412" s="15" t="str">
        <f>IF(SUM(I1412,L1412,N1412)&lt;&gt;0,SUM(I1412,L1412,N1412),"")</f>
        <v/>
      </c>
      <c r="Q1412" s="12" t="s">
        <v>2378</v>
      </c>
      <c r="AB1412" s="2">
        <f>합산자재!H324*J1412</f>
        <v>60000</v>
      </c>
    </row>
    <row r="1413" spans="1:28" ht="23.25" customHeight="1" x14ac:dyDescent="0.15">
      <c r="A1413" s="13" t="s">
        <v>1372</v>
      </c>
      <c r="B1413" s="13" t="s">
        <v>2298</v>
      </c>
      <c r="C1413" s="1" t="s">
        <v>1002</v>
      </c>
      <c r="D1413" s="12" t="s">
        <v>1003</v>
      </c>
      <c r="E1413" s="12" t="s">
        <v>1004</v>
      </c>
      <c r="F1413" s="31" t="s">
        <v>999</v>
      </c>
      <c r="G1413" s="15">
        <f>일위노임!G656</f>
        <v>0.105</v>
      </c>
      <c r="H1413" s="15">
        <f>합산자재!H345</f>
        <v>0</v>
      </c>
      <c r="I1413" s="53" t="str">
        <f>IF(G1413*H1413&lt;&gt;0, TRUNC(G1413*H1413, 1), "")</f>
        <v/>
      </c>
      <c r="J1413" s="15">
        <v>0.105</v>
      </c>
      <c r="K1413" s="15">
        <f>합산자재!I345</f>
        <v>273676</v>
      </c>
      <c r="L1413" s="53">
        <f>IF(G1413*K1413&lt;&gt;0, TRUNC(G1413*K1413, 1), "")</f>
        <v>28735.9</v>
      </c>
      <c r="M1413" s="15">
        <f>합산자재!J345</f>
        <v>0</v>
      </c>
      <c r="N1413" s="53" t="str">
        <f>IF(G1413*M1413&lt;&gt;0, TRUNC(G1413*M1413, 1), "")</f>
        <v/>
      </c>
      <c r="O1413" s="15">
        <f>IF((H1413+K1413+M1413)=0, "", (H1413+K1413+M1413))</f>
        <v>273676</v>
      </c>
      <c r="P1413" s="15">
        <f>IF(SUM(I1413,L1413,N1413)&lt;&gt;0,SUM(I1413,L1413,N1413),"")</f>
        <v>28735.9</v>
      </c>
      <c r="Q1413" s="12"/>
    </row>
    <row r="1414" spans="1:28" ht="23.25" customHeight="1" x14ac:dyDescent="0.15">
      <c r="A1414" s="13" t="s">
        <v>2362</v>
      </c>
      <c r="B1414" s="13" t="s">
        <v>2298</v>
      </c>
      <c r="C1414" s="1" t="s">
        <v>2363</v>
      </c>
      <c r="D1414" s="12" t="s">
        <v>2364</v>
      </c>
      <c r="E1414" s="12" t="s">
        <v>2365</v>
      </c>
      <c r="F1414" s="31" t="s">
        <v>792</v>
      </c>
      <c r="G1414" s="15">
        <v>1</v>
      </c>
      <c r="H1414" s="15">
        <v>574.70000000000005</v>
      </c>
      <c r="I1414" s="53">
        <f>IF(G1414*H1414&lt;&gt;0, TRUNC(G1414*H1414, 1), "")</f>
        <v>574.70000000000005</v>
      </c>
      <c r="J1414" s="15">
        <v>1</v>
      </c>
      <c r="K1414" s="15"/>
      <c r="L1414" s="53" t="str">
        <f>IF(G1414*K1414&lt;&gt;0, TRUNC(G1414*K1414, 1), "")</f>
        <v/>
      </c>
      <c r="M1414" s="15"/>
      <c r="N1414" s="53" t="str">
        <f>IF(G1414*M1414&lt;&gt;0, TRUNC(G1414*M1414, 1), "")</f>
        <v/>
      </c>
      <c r="O1414" s="15">
        <f>IF((H1414+K1414+M1414)=0, "", (H1414+K1414+M1414))</f>
        <v>574.70000000000005</v>
      </c>
      <c r="P1414" s="15">
        <f>IF(SUM(I1414,L1414,N1414)&lt;&gt;0,SUM(I1414,L1414,N1414),"")</f>
        <v>574.70000000000005</v>
      </c>
      <c r="Q1414" s="12"/>
    </row>
    <row r="1415" spans="1:28" ht="23.25" customHeight="1" x14ac:dyDescent="0.15">
      <c r="B1415" s="13" t="s">
        <v>2360</v>
      </c>
      <c r="D1415" s="12" t="s">
        <v>2361</v>
      </c>
      <c r="E1415" s="12"/>
      <c r="F1415" s="31"/>
      <c r="G1415" s="15"/>
      <c r="H1415" s="15"/>
      <c r="I1415" s="53">
        <f>TRUNC(SUM(I1411:I1414))</f>
        <v>574</v>
      </c>
      <c r="J1415" s="15"/>
      <c r="K1415" s="15"/>
      <c r="L1415" s="53">
        <f>TRUNC(SUM(L1411:L1414))</f>
        <v>28735</v>
      </c>
      <c r="M1415" s="15"/>
      <c r="N1415" s="53">
        <f>TRUNC(SUM(N1411:N1414))</f>
        <v>0</v>
      </c>
      <c r="O1415" s="15" t="str">
        <f>IF((H1415+K1415+M1415)=0, "", (H1415+K1415+M1415))</f>
        <v/>
      </c>
      <c r="P1415" s="15">
        <f>IF(SUM(I1415,L1415,N1415)&lt;&gt;0,SUM(I1415,L1415,N1415),"")</f>
        <v>29309</v>
      </c>
      <c r="Q1415" s="12"/>
    </row>
    <row r="1416" spans="1:28" ht="23.25" customHeight="1" x14ac:dyDescent="0.15">
      <c r="D1416" s="12"/>
      <c r="E1416" s="12"/>
      <c r="F1416" s="31"/>
      <c r="G1416" s="15"/>
      <c r="H1416" s="15"/>
      <c r="I1416" s="53"/>
      <c r="J1416" s="15"/>
      <c r="K1416" s="15"/>
      <c r="L1416" s="53"/>
      <c r="M1416" s="15"/>
      <c r="N1416" s="53"/>
      <c r="O1416" s="15"/>
      <c r="P1416" s="15"/>
      <c r="Q1416" s="12"/>
    </row>
    <row r="1417" spans="1:28" ht="23.25" customHeight="1" x14ac:dyDescent="0.15">
      <c r="A1417" s="13" t="s">
        <v>2985</v>
      </c>
      <c r="B1417" s="13" t="s">
        <v>2382</v>
      </c>
      <c r="C1417" s="1" t="s">
        <v>2986</v>
      </c>
      <c r="D1417" s="170" t="s">
        <v>2984</v>
      </c>
      <c r="E1417" s="172"/>
      <c r="F1417" s="31"/>
      <c r="G1417" s="15"/>
      <c r="H1417" s="15"/>
      <c r="I1417" s="53"/>
      <c r="J1417" s="15"/>
      <c r="K1417" s="15"/>
      <c r="L1417" s="53"/>
      <c r="M1417" s="15"/>
      <c r="N1417" s="53"/>
      <c r="O1417" s="15"/>
      <c r="P1417" s="15"/>
      <c r="Q1417" s="12"/>
    </row>
    <row r="1418" spans="1:28" ht="23.25" customHeight="1" x14ac:dyDescent="0.15">
      <c r="A1418" s="13" t="s">
        <v>1349</v>
      </c>
      <c r="B1418" s="13" t="s">
        <v>2301</v>
      </c>
      <c r="C1418" s="1" t="s">
        <v>951</v>
      </c>
      <c r="D1418" s="12" t="s">
        <v>952</v>
      </c>
      <c r="E1418" s="12" t="s">
        <v>953</v>
      </c>
      <c r="F1418" s="31" t="s">
        <v>710</v>
      </c>
      <c r="G1418" s="15">
        <v>1</v>
      </c>
      <c r="H1418" s="15"/>
      <c r="I1418" s="53" t="str">
        <f>IF(G1418*H1418&lt;&gt;0, TRUNC(G1418*H1418, 1), "")</f>
        <v/>
      </c>
      <c r="J1418" s="15">
        <v>1</v>
      </c>
      <c r="K1418" s="15">
        <f>합산자재!I325</f>
        <v>0</v>
      </c>
      <c r="L1418" s="53" t="str">
        <f>IF(G1418*K1418&lt;&gt;0, TRUNC(G1418*K1418, 1), "")</f>
        <v/>
      </c>
      <c r="M1418" s="15">
        <f>합산자재!J325</f>
        <v>0</v>
      </c>
      <c r="N1418" s="53" t="str">
        <f>IF(G1418*M1418&lt;&gt;0, TRUNC(G1418*M1418, 1), "")</f>
        <v/>
      </c>
      <c r="O1418" s="15" t="str">
        <f>IF((H1418+K1418+M1418)=0, "", (H1418+K1418+M1418))</f>
        <v/>
      </c>
      <c r="P1418" s="15" t="str">
        <f>IF(SUM(I1418,L1418,N1418)&lt;&gt;0,SUM(I1418,L1418,N1418),"")</f>
        <v/>
      </c>
      <c r="Q1418" s="12" t="s">
        <v>2378</v>
      </c>
    </row>
    <row r="1419" spans="1:28" ht="23.25" customHeight="1" x14ac:dyDescent="0.15">
      <c r="B1419" s="13" t="s">
        <v>2360</v>
      </c>
      <c r="D1419" s="12" t="s">
        <v>2361</v>
      </c>
      <c r="E1419" s="12"/>
      <c r="F1419" s="31"/>
      <c r="G1419" s="15"/>
      <c r="H1419" s="15"/>
      <c r="I1419" s="53">
        <f>TRUNC(SUM(I1417:I1418))</f>
        <v>0</v>
      </c>
      <c r="J1419" s="15"/>
      <c r="K1419" s="15"/>
      <c r="L1419" s="53">
        <f>TRUNC(SUM(L1417:L1418))</f>
        <v>0</v>
      </c>
      <c r="M1419" s="15"/>
      <c r="N1419" s="53">
        <f>TRUNC(SUM(N1417:N1418))</f>
        <v>0</v>
      </c>
      <c r="O1419" s="15" t="str">
        <f>IF((H1419+K1419+M1419)=0, "", (H1419+K1419+M1419))</f>
        <v/>
      </c>
      <c r="P1419" s="15" t="str">
        <f>IF(SUM(I1419,L1419,N1419)&lt;&gt;0,SUM(I1419,L1419,N1419),"")</f>
        <v/>
      </c>
      <c r="Q1419" s="12"/>
    </row>
    <row r="1420" spans="1:28" ht="23.25" customHeight="1" x14ac:dyDescent="0.15">
      <c r="D1420" s="12"/>
      <c r="E1420" s="12"/>
      <c r="F1420" s="31"/>
      <c r="G1420" s="15"/>
      <c r="H1420" s="15"/>
      <c r="I1420" s="53"/>
      <c r="J1420" s="15"/>
      <c r="K1420" s="15"/>
      <c r="L1420" s="53"/>
      <c r="M1420" s="15"/>
      <c r="N1420" s="53"/>
      <c r="O1420" s="15"/>
      <c r="P1420" s="15"/>
      <c r="Q1420" s="12"/>
    </row>
    <row r="1421" spans="1:28" ht="23.25" customHeight="1" x14ac:dyDescent="0.15">
      <c r="A1421" s="13" t="s">
        <v>2988</v>
      </c>
      <c r="B1421" s="13" t="s">
        <v>2382</v>
      </c>
      <c r="C1421" s="1" t="s">
        <v>2989</v>
      </c>
      <c r="D1421" s="170" t="s">
        <v>2987</v>
      </c>
      <c r="E1421" s="172"/>
      <c r="F1421" s="31"/>
      <c r="G1421" s="15"/>
      <c r="H1421" s="15"/>
      <c r="I1421" s="53"/>
      <c r="J1421" s="15"/>
      <c r="K1421" s="15"/>
      <c r="L1421" s="53"/>
      <c r="M1421" s="15"/>
      <c r="N1421" s="53"/>
      <c r="O1421" s="15"/>
      <c r="P1421" s="15"/>
      <c r="Q1421" s="12"/>
    </row>
    <row r="1422" spans="1:28" ht="23.25" customHeight="1" x14ac:dyDescent="0.15">
      <c r="A1422" s="13" t="s">
        <v>1352</v>
      </c>
      <c r="B1422" s="13" t="s">
        <v>2304</v>
      </c>
      <c r="C1422" s="1" t="s">
        <v>958</v>
      </c>
      <c r="D1422" s="12" t="s">
        <v>959</v>
      </c>
      <c r="E1422" s="12" t="s">
        <v>765</v>
      </c>
      <c r="F1422" s="31" t="s">
        <v>710</v>
      </c>
      <c r="G1422" s="15">
        <v>1</v>
      </c>
      <c r="H1422" s="15"/>
      <c r="I1422" s="53" t="str">
        <f>IF(G1422*H1422&lt;&gt;0, TRUNC(G1422*H1422, 1), "")</f>
        <v/>
      </c>
      <c r="J1422" s="15">
        <v>1</v>
      </c>
      <c r="K1422" s="15">
        <f>합산자재!I328</f>
        <v>0</v>
      </c>
      <c r="L1422" s="53" t="str">
        <f>IF(G1422*K1422&lt;&gt;0, TRUNC(G1422*K1422, 1), "")</f>
        <v/>
      </c>
      <c r="M1422" s="15">
        <f>합산자재!J328</f>
        <v>0</v>
      </c>
      <c r="N1422" s="53" t="str">
        <f>IF(G1422*M1422&lt;&gt;0, TRUNC(G1422*M1422, 1), "")</f>
        <v/>
      </c>
      <c r="O1422" s="15" t="str">
        <f>IF((H1422+K1422+M1422)=0, "", (H1422+K1422+M1422))</f>
        <v/>
      </c>
      <c r="P1422" s="15" t="str">
        <f>IF(SUM(I1422,L1422,N1422)&lt;&gt;0,SUM(I1422,L1422,N1422),"")</f>
        <v/>
      </c>
      <c r="Q1422" s="12" t="s">
        <v>2378</v>
      </c>
      <c r="AB1422" s="2">
        <f>합산자재!H328*J1422</f>
        <v>55000</v>
      </c>
    </row>
    <row r="1423" spans="1:28" ht="23.25" customHeight="1" x14ac:dyDescent="0.15">
      <c r="A1423" s="13" t="s">
        <v>1372</v>
      </c>
      <c r="B1423" s="13" t="s">
        <v>2304</v>
      </c>
      <c r="C1423" s="1" t="s">
        <v>1002</v>
      </c>
      <c r="D1423" s="12" t="s">
        <v>1003</v>
      </c>
      <c r="E1423" s="12" t="s">
        <v>1004</v>
      </c>
      <c r="F1423" s="31" t="s">
        <v>999</v>
      </c>
      <c r="G1423" s="15">
        <f>일위노임!G659</f>
        <v>0.105</v>
      </c>
      <c r="H1423" s="15">
        <f>합산자재!H345</f>
        <v>0</v>
      </c>
      <c r="I1423" s="53" t="str">
        <f>IF(G1423*H1423&lt;&gt;0, TRUNC(G1423*H1423, 1), "")</f>
        <v/>
      </c>
      <c r="J1423" s="15">
        <v>0.105</v>
      </c>
      <c r="K1423" s="15">
        <f>합산자재!I345</f>
        <v>273676</v>
      </c>
      <c r="L1423" s="53">
        <f>IF(G1423*K1423&lt;&gt;0, TRUNC(G1423*K1423, 1), "")</f>
        <v>28735.9</v>
      </c>
      <c r="M1423" s="15">
        <f>합산자재!J345</f>
        <v>0</v>
      </c>
      <c r="N1423" s="53" t="str">
        <f>IF(G1423*M1423&lt;&gt;0, TRUNC(G1423*M1423, 1), "")</f>
        <v/>
      </c>
      <c r="O1423" s="15">
        <f>IF((H1423+K1423+M1423)=0, "", (H1423+K1423+M1423))</f>
        <v>273676</v>
      </c>
      <c r="P1423" s="15">
        <f>IF(SUM(I1423,L1423,N1423)&lt;&gt;0,SUM(I1423,L1423,N1423),"")</f>
        <v>28735.9</v>
      </c>
      <c r="Q1423" s="12"/>
    </row>
    <row r="1424" spans="1:28" ht="23.25" customHeight="1" x14ac:dyDescent="0.15">
      <c r="A1424" s="13" t="s">
        <v>2362</v>
      </c>
      <c r="B1424" s="13" t="s">
        <v>2304</v>
      </c>
      <c r="C1424" s="1" t="s">
        <v>2363</v>
      </c>
      <c r="D1424" s="12" t="s">
        <v>2364</v>
      </c>
      <c r="E1424" s="12" t="s">
        <v>2365</v>
      </c>
      <c r="F1424" s="31" t="s">
        <v>792</v>
      </c>
      <c r="G1424" s="15">
        <v>1</v>
      </c>
      <c r="H1424" s="15">
        <v>574.70000000000005</v>
      </c>
      <c r="I1424" s="53">
        <f>IF(G1424*H1424&lt;&gt;0, TRUNC(G1424*H1424, 1), "")</f>
        <v>574.70000000000005</v>
      </c>
      <c r="J1424" s="15">
        <v>1</v>
      </c>
      <c r="K1424" s="15"/>
      <c r="L1424" s="53" t="str">
        <f>IF(G1424*K1424&lt;&gt;0, TRUNC(G1424*K1424, 1), "")</f>
        <v/>
      </c>
      <c r="M1424" s="15"/>
      <c r="N1424" s="53" t="str">
        <f>IF(G1424*M1424&lt;&gt;0, TRUNC(G1424*M1424, 1), "")</f>
        <v/>
      </c>
      <c r="O1424" s="15">
        <f>IF((H1424+K1424+M1424)=0, "", (H1424+K1424+M1424))</f>
        <v>574.70000000000005</v>
      </c>
      <c r="P1424" s="15">
        <f>IF(SUM(I1424,L1424,N1424)&lt;&gt;0,SUM(I1424,L1424,N1424),"")</f>
        <v>574.70000000000005</v>
      </c>
      <c r="Q1424" s="12"/>
    </row>
    <row r="1425" spans="1:28" ht="23.25" customHeight="1" x14ac:dyDescent="0.15">
      <c r="B1425" s="13" t="s">
        <v>2360</v>
      </c>
      <c r="D1425" s="12" t="s">
        <v>2361</v>
      </c>
      <c r="E1425" s="12"/>
      <c r="F1425" s="31"/>
      <c r="G1425" s="15"/>
      <c r="H1425" s="15"/>
      <c r="I1425" s="53">
        <f>TRUNC(SUM(I1421:I1424))</f>
        <v>574</v>
      </c>
      <c r="J1425" s="15"/>
      <c r="K1425" s="15"/>
      <c r="L1425" s="53">
        <f>TRUNC(SUM(L1421:L1424))</f>
        <v>28735</v>
      </c>
      <c r="M1425" s="15"/>
      <c r="N1425" s="53">
        <f>TRUNC(SUM(N1421:N1424))</f>
        <v>0</v>
      </c>
      <c r="O1425" s="15" t="str">
        <f>IF((H1425+K1425+M1425)=0, "", (H1425+K1425+M1425))</f>
        <v/>
      </c>
      <c r="P1425" s="15">
        <f>IF(SUM(I1425,L1425,N1425)&lt;&gt;0,SUM(I1425,L1425,N1425),"")</f>
        <v>29309</v>
      </c>
      <c r="Q1425" s="12"/>
    </row>
    <row r="1426" spans="1:28" ht="23.25" customHeight="1" x14ac:dyDescent="0.15">
      <c r="D1426" s="12"/>
      <c r="E1426" s="12"/>
      <c r="F1426" s="31"/>
      <c r="G1426" s="15"/>
      <c r="H1426" s="15"/>
      <c r="I1426" s="53"/>
      <c r="J1426" s="15"/>
      <c r="K1426" s="15"/>
      <c r="L1426" s="53"/>
      <c r="M1426" s="15"/>
      <c r="N1426" s="53"/>
      <c r="O1426" s="15"/>
      <c r="P1426" s="15"/>
      <c r="Q1426" s="12"/>
    </row>
    <row r="1427" spans="1:28" ht="23.25" customHeight="1" x14ac:dyDescent="0.15">
      <c r="A1427" s="13" t="s">
        <v>2991</v>
      </c>
      <c r="B1427" s="13" t="s">
        <v>2382</v>
      </c>
      <c r="C1427" s="1" t="s">
        <v>2992</v>
      </c>
      <c r="D1427" s="170" t="s">
        <v>2990</v>
      </c>
      <c r="E1427" s="172"/>
      <c r="F1427" s="31"/>
      <c r="G1427" s="15"/>
      <c r="H1427" s="15"/>
      <c r="I1427" s="53"/>
      <c r="J1427" s="15"/>
      <c r="K1427" s="15"/>
      <c r="L1427" s="53"/>
      <c r="M1427" s="15"/>
      <c r="N1427" s="53"/>
      <c r="O1427" s="15"/>
      <c r="P1427" s="15"/>
      <c r="Q1427" s="12"/>
    </row>
    <row r="1428" spans="1:28" ht="23.25" customHeight="1" x14ac:dyDescent="0.15">
      <c r="A1428" s="13" t="s">
        <v>1353</v>
      </c>
      <c r="B1428" s="13" t="s">
        <v>2307</v>
      </c>
      <c r="C1428" s="1" t="s">
        <v>960</v>
      </c>
      <c r="D1428" s="12" t="s">
        <v>959</v>
      </c>
      <c r="E1428" s="12" t="s">
        <v>764</v>
      </c>
      <c r="F1428" s="31" t="s">
        <v>710</v>
      </c>
      <c r="G1428" s="15">
        <v>1</v>
      </c>
      <c r="H1428" s="15"/>
      <c r="I1428" s="53" t="str">
        <f>IF(G1428*H1428&lt;&gt;0, TRUNC(G1428*H1428, 1), "")</f>
        <v/>
      </c>
      <c r="J1428" s="15">
        <v>1</v>
      </c>
      <c r="K1428" s="15">
        <f>합산자재!I329</f>
        <v>0</v>
      </c>
      <c r="L1428" s="53" t="str">
        <f>IF(G1428*K1428&lt;&gt;0, TRUNC(G1428*K1428, 1), "")</f>
        <v/>
      </c>
      <c r="M1428" s="15">
        <f>합산자재!J329</f>
        <v>0</v>
      </c>
      <c r="N1428" s="53" t="str">
        <f>IF(G1428*M1428&lt;&gt;0, TRUNC(G1428*M1428, 1), "")</f>
        <v/>
      </c>
      <c r="O1428" s="15" t="str">
        <f>IF((H1428+K1428+M1428)=0, "", (H1428+K1428+M1428))</f>
        <v/>
      </c>
      <c r="P1428" s="15" t="str">
        <f>IF(SUM(I1428,L1428,N1428)&lt;&gt;0,SUM(I1428,L1428,N1428),"")</f>
        <v/>
      </c>
      <c r="Q1428" s="12" t="s">
        <v>2378</v>
      </c>
      <c r="AB1428" s="2">
        <f>합산자재!H329*J1428</f>
        <v>55000</v>
      </c>
    </row>
    <row r="1429" spans="1:28" ht="23.25" customHeight="1" x14ac:dyDescent="0.15">
      <c r="A1429" s="13" t="s">
        <v>1372</v>
      </c>
      <c r="B1429" s="13" t="s">
        <v>2307</v>
      </c>
      <c r="C1429" s="1" t="s">
        <v>1002</v>
      </c>
      <c r="D1429" s="12" t="s">
        <v>1003</v>
      </c>
      <c r="E1429" s="12" t="s">
        <v>1004</v>
      </c>
      <c r="F1429" s="31" t="s">
        <v>999</v>
      </c>
      <c r="G1429" s="15">
        <f>일위노임!G662</f>
        <v>0.105</v>
      </c>
      <c r="H1429" s="15">
        <f>합산자재!H345</f>
        <v>0</v>
      </c>
      <c r="I1429" s="53" t="str">
        <f>IF(G1429*H1429&lt;&gt;0, TRUNC(G1429*H1429, 1), "")</f>
        <v/>
      </c>
      <c r="J1429" s="15">
        <v>0.105</v>
      </c>
      <c r="K1429" s="15">
        <f>합산자재!I345</f>
        <v>273676</v>
      </c>
      <c r="L1429" s="53">
        <f>IF(G1429*K1429&lt;&gt;0, TRUNC(G1429*K1429, 1), "")</f>
        <v>28735.9</v>
      </c>
      <c r="M1429" s="15">
        <f>합산자재!J345</f>
        <v>0</v>
      </c>
      <c r="N1429" s="53" t="str">
        <f>IF(G1429*M1429&lt;&gt;0, TRUNC(G1429*M1429, 1), "")</f>
        <v/>
      </c>
      <c r="O1429" s="15">
        <f>IF((H1429+K1429+M1429)=0, "", (H1429+K1429+M1429))</f>
        <v>273676</v>
      </c>
      <c r="P1429" s="15">
        <f>IF(SUM(I1429,L1429,N1429)&lt;&gt;0,SUM(I1429,L1429,N1429),"")</f>
        <v>28735.9</v>
      </c>
      <c r="Q1429" s="12"/>
    </row>
    <row r="1430" spans="1:28" ht="23.25" customHeight="1" x14ac:dyDescent="0.15">
      <c r="A1430" s="13" t="s">
        <v>2362</v>
      </c>
      <c r="B1430" s="13" t="s">
        <v>2307</v>
      </c>
      <c r="C1430" s="1" t="s">
        <v>2363</v>
      </c>
      <c r="D1430" s="12" t="s">
        <v>2364</v>
      </c>
      <c r="E1430" s="12" t="s">
        <v>2365</v>
      </c>
      <c r="F1430" s="31" t="s">
        <v>792</v>
      </c>
      <c r="G1430" s="15">
        <v>1</v>
      </c>
      <c r="H1430" s="15">
        <v>574.70000000000005</v>
      </c>
      <c r="I1430" s="53">
        <f>IF(G1430*H1430&lt;&gt;0, TRUNC(G1430*H1430, 1), "")</f>
        <v>574.70000000000005</v>
      </c>
      <c r="J1430" s="15">
        <v>1</v>
      </c>
      <c r="K1430" s="15"/>
      <c r="L1430" s="53" t="str">
        <f>IF(G1430*K1430&lt;&gt;0, TRUNC(G1430*K1430, 1), "")</f>
        <v/>
      </c>
      <c r="M1430" s="15"/>
      <c r="N1430" s="53" t="str">
        <f>IF(G1430*M1430&lt;&gt;0, TRUNC(G1430*M1430, 1), "")</f>
        <v/>
      </c>
      <c r="O1430" s="15">
        <f>IF((H1430+K1430+M1430)=0, "", (H1430+K1430+M1430))</f>
        <v>574.70000000000005</v>
      </c>
      <c r="P1430" s="15">
        <f>IF(SUM(I1430,L1430,N1430)&lt;&gt;0,SUM(I1430,L1430,N1430),"")</f>
        <v>574.70000000000005</v>
      </c>
      <c r="Q1430" s="12"/>
    </row>
    <row r="1431" spans="1:28" ht="23.25" customHeight="1" x14ac:dyDescent="0.15">
      <c r="B1431" s="13" t="s">
        <v>2360</v>
      </c>
      <c r="D1431" s="12" t="s">
        <v>2361</v>
      </c>
      <c r="E1431" s="12"/>
      <c r="F1431" s="31"/>
      <c r="G1431" s="15"/>
      <c r="H1431" s="15"/>
      <c r="I1431" s="53">
        <f>TRUNC(SUM(I1427:I1430))</f>
        <v>574</v>
      </c>
      <c r="J1431" s="15"/>
      <c r="K1431" s="15"/>
      <c r="L1431" s="53">
        <f>TRUNC(SUM(L1427:L1430))</f>
        <v>28735</v>
      </c>
      <c r="M1431" s="15"/>
      <c r="N1431" s="53">
        <f>TRUNC(SUM(N1427:N1430))</f>
        <v>0</v>
      </c>
      <c r="O1431" s="15" t="str">
        <f>IF((H1431+K1431+M1431)=0, "", (H1431+K1431+M1431))</f>
        <v/>
      </c>
      <c r="P1431" s="15">
        <f>IF(SUM(I1431,L1431,N1431)&lt;&gt;0,SUM(I1431,L1431,N1431),"")</f>
        <v>29309</v>
      </c>
      <c r="Q1431" s="12"/>
    </row>
    <row r="1432" spans="1:28" ht="23.25" customHeight="1" x14ac:dyDescent="0.15">
      <c r="D1432" s="12"/>
      <c r="E1432" s="12"/>
      <c r="F1432" s="31"/>
      <c r="G1432" s="15"/>
      <c r="H1432" s="15"/>
      <c r="I1432" s="53"/>
      <c r="J1432" s="15"/>
      <c r="K1432" s="15"/>
      <c r="L1432" s="53"/>
      <c r="M1432" s="15"/>
      <c r="N1432" s="53"/>
      <c r="O1432" s="15"/>
      <c r="P1432" s="15"/>
      <c r="Q1432" s="12"/>
    </row>
    <row r="1433" spans="1:28" ht="23.25" customHeight="1" x14ac:dyDescent="0.15">
      <c r="A1433" s="13" t="s">
        <v>2994</v>
      </c>
      <c r="B1433" s="13" t="s">
        <v>2382</v>
      </c>
      <c r="C1433" s="1" t="s">
        <v>2995</v>
      </c>
      <c r="D1433" s="170" t="s">
        <v>2993</v>
      </c>
      <c r="E1433" s="172"/>
      <c r="F1433" s="31"/>
      <c r="G1433" s="15"/>
      <c r="H1433" s="15"/>
      <c r="I1433" s="53"/>
      <c r="J1433" s="15"/>
      <c r="K1433" s="15"/>
      <c r="L1433" s="53"/>
      <c r="M1433" s="15"/>
      <c r="N1433" s="53"/>
      <c r="O1433" s="15"/>
      <c r="P1433" s="15"/>
      <c r="Q1433" s="12"/>
    </row>
    <row r="1434" spans="1:28" ht="23.25" customHeight="1" x14ac:dyDescent="0.15">
      <c r="A1434" s="13" t="s">
        <v>1354</v>
      </c>
      <c r="B1434" s="13" t="s">
        <v>2310</v>
      </c>
      <c r="C1434" s="1" t="s">
        <v>961</v>
      </c>
      <c r="D1434" s="12" t="s">
        <v>962</v>
      </c>
      <c r="E1434" s="12" t="s">
        <v>963</v>
      </c>
      <c r="F1434" s="31" t="s">
        <v>710</v>
      </c>
      <c r="G1434" s="15">
        <v>1</v>
      </c>
      <c r="H1434" s="15"/>
      <c r="I1434" s="53" t="str">
        <f>IF(G1434*H1434&lt;&gt;0, TRUNC(G1434*H1434, 1), "")</f>
        <v/>
      </c>
      <c r="J1434" s="15">
        <v>1</v>
      </c>
      <c r="K1434" s="15">
        <f>합산자재!I330</f>
        <v>0</v>
      </c>
      <c r="L1434" s="53" t="str">
        <f>IF(G1434*K1434&lt;&gt;0, TRUNC(G1434*K1434, 1), "")</f>
        <v/>
      </c>
      <c r="M1434" s="15">
        <f>합산자재!J330</f>
        <v>0</v>
      </c>
      <c r="N1434" s="53" t="str">
        <f>IF(G1434*M1434&lt;&gt;0, TRUNC(G1434*M1434, 1), "")</f>
        <v/>
      </c>
      <c r="O1434" s="15" t="str">
        <f>IF((H1434+K1434+M1434)=0, "", (H1434+K1434+M1434))</f>
        <v/>
      </c>
      <c r="P1434" s="15" t="str">
        <f>IF(SUM(I1434,L1434,N1434)&lt;&gt;0,SUM(I1434,L1434,N1434),"")</f>
        <v/>
      </c>
      <c r="Q1434" s="12" t="s">
        <v>2378</v>
      </c>
      <c r="AB1434" s="2">
        <f>합산자재!H330*J1434</f>
        <v>50000</v>
      </c>
    </row>
    <row r="1435" spans="1:28" ht="23.25" customHeight="1" x14ac:dyDescent="0.15">
      <c r="A1435" s="13" t="s">
        <v>1372</v>
      </c>
      <c r="B1435" s="13" t="s">
        <v>2310</v>
      </c>
      <c r="C1435" s="1" t="s">
        <v>1002</v>
      </c>
      <c r="D1435" s="12" t="s">
        <v>1003</v>
      </c>
      <c r="E1435" s="12" t="s">
        <v>1004</v>
      </c>
      <c r="F1435" s="31" t="s">
        <v>999</v>
      </c>
      <c r="G1435" s="15">
        <f>일위노임!G665</f>
        <v>0.13900000000000001</v>
      </c>
      <c r="H1435" s="15">
        <f>합산자재!H345</f>
        <v>0</v>
      </c>
      <c r="I1435" s="53" t="str">
        <f>IF(G1435*H1435&lt;&gt;0, TRUNC(G1435*H1435, 1), "")</f>
        <v/>
      </c>
      <c r="J1435" s="15">
        <v>0.13900000000000001</v>
      </c>
      <c r="K1435" s="15">
        <f>합산자재!I345</f>
        <v>273676</v>
      </c>
      <c r="L1435" s="53">
        <f>IF(G1435*K1435&lt;&gt;0, TRUNC(G1435*K1435, 1), "")</f>
        <v>38040.9</v>
      </c>
      <c r="M1435" s="15">
        <f>합산자재!J345</f>
        <v>0</v>
      </c>
      <c r="N1435" s="53" t="str">
        <f>IF(G1435*M1435&lt;&gt;0, TRUNC(G1435*M1435, 1), "")</f>
        <v/>
      </c>
      <c r="O1435" s="15">
        <f>IF((H1435+K1435+M1435)=0, "", (H1435+K1435+M1435))</f>
        <v>273676</v>
      </c>
      <c r="P1435" s="15">
        <f>IF(SUM(I1435,L1435,N1435)&lt;&gt;0,SUM(I1435,L1435,N1435),"")</f>
        <v>38040.9</v>
      </c>
      <c r="Q1435" s="12"/>
    </row>
    <row r="1436" spans="1:28" ht="23.25" customHeight="1" x14ac:dyDescent="0.15">
      <c r="A1436" s="13" t="s">
        <v>2362</v>
      </c>
      <c r="B1436" s="13" t="s">
        <v>2310</v>
      </c>
      <c r="C1436" s="1" t="s">
        <v>2363</v>
      </c>
      <c r="D1436" s="12" t="s">
        <v>2364</v>
      </c>
      <c r="E1436" s="12" t="s">
        <v>2365</v>
      </c>
      <c r="F1436" s="31" t="s">
        <v>792</v>
      </c>
      <c r="G1436" s="15">
        <v>1</v>
      </c>
      <c r="H1436" s="15">
        <v>760.8</v>
      </c>
      <c r="I1436" s="53">
        <f>IF(G1436*H1436&lt;&gt;0, TRUNC(G1436*H1436, 1), "")</f>
        <v>760.8</v>
      </c>
      <c r="J1436" s="15">
        <v>1</v>
      </c>
      <c r="K1436" s="15"/>
      <c r="L1436" s="53" t="str">
        <f>IF(G1436*K1436&lt;&gt;0, TRUNC(G1436*K1436, 1), "")</f>
        <v/>
      </c>
      <c r="M1436" s="15"/>
      <c r="N1436" s="53" t="str">
        <f>IF(G1436*M1436&lt;&gt;0, TRUNC(G1436*M1436, 1), "")</f>
        <v/>
      </c>
      <c r="O1436" s="15">
        <f>IF((H1436+K1436+M1436)=0, "", (H1436+K1436+M1436))</f>
        <v>760.8</v>
      </c>
      <c r="P1436" s="15">
        <f>IF(SUM(I1436,L1436,N1436)&lt;&gt;0,SUM(I1436,L1436,N1436),"")</f>
        <v>760.8</v>
      </c>
      <c r="Q1436" s="12"/>
    </row>
    <row r="1437" spans="1:28" ht="23.25" customHeight="1" x14ac:dyDescent="0.15">
      <c r="B1437" s="13" t="s">
        <v>2360</v>
      </c>
      <c r="D1437" s="12" t="s">
        <v>2361</v>
      </c>
      <c r="E1437" s="12"/>
      <c r="F1437" s="31"/>
      <c r="G1437" s="15"/>
      <c r="H1437" s="15"/>
      <c r="I1437" s="53">
        <f>TRUNC(SUM(I1433:I1436))</f>
        <v>760</v>
      </c>
      <c r="J1437" s="15"/>
      <c r="K1437" s="15"/>
      <c r="L1437" s="53">
        <f>TRUNC(SUM(L1433:L1436))</f>
        <v>38040</v>
      </c>
      <c r="M1437" s="15"/>
      <c r="N1437" s="53">
        <f>TRUNC(SUM(N1433:N1436))</f>
        <v>0</v>
      </c>
      <c r="O1437" s="15" t="str">
        <f>IF((H1437+K1437+M1437)=0, "", (H1437+K1437+M1437))</f>
        <v/>
      </c>
      <c r="P1437" s="15">
        <f>IF(SUM(I1437,L1437,N1437)&lt;&gt;0,SUM(I1437,L1437,N1437),"")</f>
        <v>38800</v>
      </c>
      <c r="Q1437" s="12"/>
    </row>
    <row r="1438" spans="1:28" ht="23.25" customHeight="1" x14ac:dyDescent="0.15">
      <c r="D1438" s="12"/>
      <c r="E1438" s="12"/>
      <c r="F1438" s="31"/>
      <c r="G1438" s="15"/>
      <c r="H1438" s="15"/>
      <c r="I1438" s="53"/>
      <c r="J1438" s="15"/>
      <c r="K1438" s="15"/>
      <c r="L1438" s="53"/>
      <c r="M1438" s="15"/>
      <c r="N1438" s="53"/>
      <c r="O1438" s="15"/>
      <c r="P1438" s="15"/>
      <c r="Q1438" s="12"/>
    </row>
    <row r="1439" spans="1:28" ht="23.25" customHeight="1" x14ac:dyDescent="0.15">
      <c r="A1439" s="13" t="s">
        <v>2997</v>
      </c>
      <c r="B1439" s="13" t="s">
        <v>2382</v>
      </c>
      <c r="C1439" s="1" t="s">
        <v>2998</v>
      </c>
      <c r="D1439" s="170" t="s">
        <v>2996</v>
      </c>
      <c r="E1439" s="172"/>
      <c r="F1439" s="31"/>
      <c r="G1439" s="15"/>
      <c r="H1439" s="15"/>
      <c r="I1439" s="53"/>
      <c r="J1439" s="15"/>
      <c r="K1439" s="15"/>
      <c r="L1439" s="53"/>
      <c r="M1439" s="15"/>
      <c r="N1439" s="53"/>
      <c r="O1439" s="15"/>
      <c r="P1439" s="15"/>
      <c r="Q1439" s="12"/>
    </row>
    <row r="1440" spans="1:28" ht="23.25" customHeight="1" x14ac:dyDescent="0.15">
      <c r="A1440" s="13" t="s">
        <v>1355</v>
      </c>
      <c r="B1440" s="13" t="s">
        <v>2313</v>
      </c>
      <c r="C1440" s="1" t="s">
        <v>964</v>
      </c>
      <c r="D1440" s="12" t="s">
        <v>962</v>
      </c>
      <c r="E1440" s="12" t="s">
        <v>965</v>
      </c>
      <c r="F1440" s="31" t="s">
        <v>710</v>
      </c>
      <c r="G1440" s="15">
        <v>1</v>
      </c>
      <c r="H1440" s="15"/>
      <c r="I1440" s="53" t="str">
        <f>IF(G1440*H1440&lt;&gt;0, TRUNC(G1440*H1440, 1), "")</f>
        <v/>
      </c>
      <c r="J1440" s="15">
        <v>1</v>
      </c>
      <c r="K1440" s="15">
        <f>합산자재!I331</f>
        <v>0</v>
      </c>
      <c r="L1440" s="53" t="str">
        <f>IF(G1440*K1440&lt;&gt;0, TRUNC(G1440*K1440, 1), "")</f>
        <v/>
      </c>
      <c r="M1440" s="15">
        <f>합산자재!J331</f>
        <v>0</v>
      </c>
      <c r="N1440" s="53" t="str">
        <f>IF(G1440*M1440&lt;&gt;0, TRUNC(G1440*M1440, 1), "")</f>
        <v/>
      </c>
      <c r="O1440" s="15" t="str">
        <f>IF((H1440+K1440+M1440)=0, "", (H1440+K1440+M1440))</f>
        <v/>
      </c>
      <c r="P1440" s="15" t="str">
        <f>IF(SUM(I1440,L1440,N1440)&lt;&gt;0,SUM(I1440,L1440,N1440),"")</f>
        <v/>
      </c>
      <c r="Q1440" s="12" t="s">
        <v>2378</v>
      </c>
      <c r="AB1440" s="2">
        <f>합산자재!H331*J1440</f>
        <v>50000</v>
      </c>
    </row>
    <row r="1441" spans="1:28" ht="23.25" customHeight="1" x14ac:dyDescent="0.15">
      <c r="A1441" s="13" t="s">
        <v>1372</v>
      </c>
      <c r="B1441" s="13" t="s">
        <v>2313</v>
      </c>
      <c r="C1441" s="1" t="s">
        <v>1002</v>
      </c>
      <c r="D1441" s="12" t="s">
        <v>1003</v>
      </c>
      <c r="E1441" s="12" t="s">
        <v>1004</v>
      </c>
      <c r="F1441" s="31" t="s">
        <v>999</v>
      </c>
      <c r="G1441" s="15">
        <f>일위노임!G668</f>
        <v>0.13900000000000001</v>
      </c>
      <c r="H1441" s="15">
        <f>합산자재!H345</f>
        <v>0</v>
      </c>
      <c r="I1441" s="53" t="str">
        <f>IF(G1441*H1441&lt;&gt;0, TRUNC(G1441*H1441, 1), "")</f>
        <v/>
      </c>
      <c r="J1441" s="15">
        <v>0.13900000000000001</v>
      </c>
      <c r="K1441" s="15">
        <f>합산자재!I345</f>
        <v>273676</v>
      </c>
      <c r="L1441" s="53">
        <f>IF(G1441*K1441&lt;&gt;0, TRUNC(G1441*K1441, 1), "")</f>
        <v>38040.9</v>
      </c>
      <c r="M1441" s="15">
        <f>합산자재!J345</f>
        <v>0</v>
      </c>
      <c r="N1441" s="53" t="str">
        <f>IF(G1441*M1441&lt;&gt;0, TRUNC(G1441*M1441, 1), "")</f>
        <v/>
      </c>
      <c r="O1441" s="15">
        <f>IF((H1441+K1441+M1441)=0, "", (H1441+K1441+M1441))</f>
        <v>273676</v>
      </c>
      <c r="P1441" s="15">
        <f>IF(SUM(I1441,L1441,N1441)&lt;&gt;0,SUM(I1441,L1441,N1441),"")</f>
        <v>38040.9</v>
      </c>
      <c r="Q1441" s="12"/>
    </row>
    <row r="1442" spans="1:28" ht="23.25" customHeight="1" x14ac:dyDescent="0.15">
      <c r="A1442" s="13" t="s">
        <v>2362</v>
      </c>
      <c r="B1442" s="13" t="s">
        <v>2313</v>
      </c>
      <c r="C1442" s="1" t="s">
        <v>2363</v>
      </c>
      <c r="D1442" s="12" t="s">
        <v>2364</v>
      </c>
      <c r="E1442" s="12" t="s">
        <v>2365</v>
      </c>
      <c r="F1442" s="31" t="s">
        <v>792</v>
      </c>
      <c r="G1442" s="15">
        <v>1</v>
      </c>
      <c r="H1442" s="15">
        <v>760.8</v>
      </c>
      <c r="I1442" s="53">
        <f>IF(G1442*H1442&lt;&gt;0, TRUNC(G1442*H1442, 1), "")</f>
        <v>760.8</v>
      </c>
      <c r="J1442" s="15">
        <v>1</v>
      </c>
      <c r="K1442" s="15"/>
      <c r="L1442" s="53" t="str">
        <f>IF(G1442*K1442&lt;&gt;0, TRUNC(G1442*K1442, 1), "")</f>
        <v/>
      </c>
      <c r="M1442" s="15"/>
      <c r="N1442" s="53" t="str">
        <f>IF(G1442*M1442&lt;&gt;0, TRUNC(G1442*M1442, 1), "")</f>
        <v/>
      </c>
      <c r="O1442" s="15">
        <f>IF((H1442+K1442+M1442)=0, "", (H1442+K1442+M1442))</f>
        <v>760.8</v>
      </c>
      <c r="P1442" s="15">
        <f>IF(SUM(I1442,L1442,N1442)&lt;&gt;0,SUM(I1442,L1442,N1442),"")</f>
        <v>760.8</v>
      </c>
      <c r="Q1442" s="12"/>
    </row>
    <row r="1443" spans="1:28" ht="23.25" customHeight="1" x14ac:dyDescent="0.15">
      <c r="B1443" s="13" t="s">
        <v>2360</v>
      </c>
      <c r="D1443" s="12" t="s">
        <v>2361</v>
      </c>
      <c r="E1443" s="12"/>
      <c r="F1443" s="31"/>
      <c r="G1443" s="15"/>
      <c r="H1443" s="15"/>
      <c r="I1443" s="53">
        <f>TRUNC(SUM(I1439:I1442))</f>
        <v>760</v>
      </c>
      <c r="J1443" s="15"/>
      <c r="K1443" s="15"/>
      <c r="L1443" s="53">
        <f>TRUNC(SUM(L1439:L1442))</f>
        <v>38040</v>
      </c>
      <c r="M1443" s="15"/>
      <c r="N1443" s="53">
        <f>TRUNC(SUM(N1439:N1442))</f>
        <v>0</v>
      </c>
      <c r="O1443" s="15" t="str">
        <f>IF((H1443+K1443+M1443)=0, "", (H1443+K1443+M1443))</f>
        <v/>
      </c>
      <c r="P1443" s="15">
        <f>IF(SUM(I1443,L1443,N1443)&lt;&gt;0,SUM(I1443,L1443,N1443),"")</f>
        <v>38800</v>
      </c>
      <c r="Q1443" s="12"/>
    </row>
    <row r="1444" spans="1:28" ht="23.25" customHeight="1" x14ac:dyDescent="0.15">
      <c r="D1444" s="12"/>
      <c r="E1444" s="12"/>
      <c r="F1444" s="31"/>
      <c r="G1444" s="15"/>
      <c r="H1444" s="15"/>
      <c r="I1444" s="53"/>
      <c r="J1444" s="15"/>
      <c r="K1444" s="15"/>
      <c r="L1444" s="53"/>
      <c r="M1444" s="15"/>
      <c r="N1444" s="53"/>
      <c r="O1444" s="15"/>
      <c r="P1444" s="15"/>
      <c r="Q1444" s="12"/>
    </row>
    <row r="1445" spans="1:28" ht="23.25" customHeight="1" x14ac:dyDescent="0.15">
      <c r="A1445" s="13" t="s">
        <v>3000</v>
      </c>
      <c r="B1445" s="13" t="s">
        <v>2382</v>
      </c>
      <c r="C1445" s="1" t="s">
        <v>3001</v>
      </c>
      <c r="D1445" s="170" t="s">
        <v>2999</v>
      </c>
      <c r="E1445" s="172"/>
      <c r="F1445" s="31"/>
      <c r="G1445" s="15"/>
      <c r="H1445" s="15"/>
      <c r="I1445" s="53"/>
      <c r="J1445" s="15"/>
      <c r="K1445" s="15"/>
      <c r="L1445" s="53"/>
      <c r="M1445" s="15"/>
      <c r="N1445" s="53"/>
      <c r="O1445" s="15"/>
      <c r="P1445" s="15"/>
      <c r="Q1445" s="12"/>
    </row>
    <row r="1446" spans="1:28" ht="23.25" customHeight="1" x14ac:dyDescent="0.15">
      <c r="A1446" s="13" t="s">
        <v>1356</v>
      </c>
      <c r="B1446" s="13" t="s">
        <v>2316</v>
      </c>
      <c r="C1446" s="1" t="s">
        <v>966</v>
      </c>
      <c r="D1446" s="12" t="s">
        <v>962</v>
      </c>
      <c r="E1446" s="12" t="s">
        <v>967</v>
      </c>
      <c r="F1446" s="31" t="s">
        <v>710</v>
      </c>
      <c r="G1446" s="15">
        <v>1</v>
      </c>
      <c r="H1446" s="15"/>
      <c r="I1446" s="53" t="str">
        <f>IF(G1446*H1446&lt;&gt;0, TRUNC(G1446*H1446, 1), "")</f>
        <v/>
      </c>
      <c r="J1446" s="15">
        <v>1</v>
      </c>
      <c r="K1446" s="15">
        <f>합산자재!I332</f>
        <v>0</v>
      </c>
      <c r="L1446" s="53" t="str">
        <f>IF(G1446*K1446&lt;&gt;0, TRUNC(G1446*K1446, 1), "")</f>
        <v/>
      </c>
      <c r="M1446" s="15">
        <f>합산자재!J332</f>
        <v>0</v>
      </c>
      <c r="N1446" s="53" t="str">
        <f>IF(G1446*M1446&lt;&gt;0, TRUNC(G1446*M1446, 1), "")</f>
        <v/>
      </c>
      <c r="O1446" s="15" t="str">
        <f>IF((H1446+K1446+M1446)=0, "", (H1446+K1446+M1446))</f>
        <v/>
      </c>
      <c r="P1446" s="15" t="str">
        <f>IF(SUM(I1446,L1446,N1446)&lt;&gt;0,SUM(I1446,L1446,N1446),"")</f>
        <v/>
      </c>
      <c r="Q1446" s="12" t="s">
        <v>2378</v>
      </c>
      <c r="AB1446" s="2">
        <f>합산자재!H332*J1446</f>
        <v>50000</v>
      </c>
    </row>
    <row r="1447" spans="1:28" ht="23.25" customHeight="1" x14ac:dyDescent="0.15">
      <c r="A1447" s="13" t="s">
        <v>1372</v>
      </c>
      <c r="B1447" s="13" t="s">
        <v>2316</v>
      </c>
      <c r="C1447" s="1" t="s">
        <v>1002</v>
      </c>
      <c r="D1447" s="12" t="s">
        <v>1003</v>
      </c>
      <c r="E1447" s="12" t="s">
        <v>1004</v>
      </c>
      <c r="F1447" s="31" t="s">
        <v>999</v>
      </c>
      <c r="G1447" s="15">
        <f>일위노임!G671</f>
        <v>0.105</v>
      </c>
      <c r="H1447" s="15">
        <f>합산자재!H345</f>
        <v>0</v>
      </c>
      <c r="I1447" s="53" t="str">
        <f>IF(G1447*H1447&lt;&gt;0, TRUNC(G1447*H1447, 1), "")</f>
        <v/>
      </c>
      <c r="J1447" s="15">
        <v>0.105</v>
      </c>
      <c r="K1447" s="15">
        <f>합산자재!I345</f>
        <v>273676</v>
      </c>
      <c r="L1447" s="53">
        <f>IF(G1447*K1447&lt;&gt;0, TRUNC(G1447*K1447, 1), "")</f>
        <v>28735.9</v>
      </c>
      <c r="M1447" s="15">
        <f>합산자재!J345</f>
        <v>0</v>
      </c>
      <c r="N1447" s="53" t="str">
        <f>IF(G1447*M1447&lt;&gt;0, TRUNC(G1447*M1447, 1), "")</f>
        <v/>
      </c>
      <c r="O1447" s="15">
        <f>IF((H1447+K1447+M1447)=0, "", (H1447+K1447+M1447))</f>
        <v>273676</v>
      </c>
      <c r="P1447" s="15">
        <f>IF(SUM(I1447,L1447,N1447)&lt;&gt;0,SUM(I1447,L1447,N1447),"")</f>
        <v>28735.9</v>
      </c>
      <c r="Q1447" s="12"/>
    </row>
    <row r="1448" spans="1:28" ht="23.25" customHeight="1" x14ac:dyDescent="0.15">
      <c r="A1448" s="13" t="s">
        <v>2362</v>
      </c>
      <c r="B1448" s="13" t="s">
        <v>2316</v>
      </c>
      <c r="C1448" s="1" t="s">
        <v>2363</v>
      </c>
      <c r="D1448" s="12" t="s">
        <v>2364</v>
      </c>
      <c r="E1448" s="12" t="s">
        <v>2365</v>
      </c>
      <c r="F1448" s="31" t="s">
        <v>792</v>
      </c>
      <c r="G1448" s="15">
        <v>1</v>
      </c>
      <c r="H1448" s="15">
        <v>574.70000000000005</v>
      </c>
      <c r="I1448" s="53">
        <f>IF(G1448*H1448&lt;&gt;0, TRUNC(G1448*H1448, 1), "")</f>
        <v>574.70000000000005</v>
      </c>
      <c r="J1448" s="15">
        <v>1</v>
      </c>
      <c r="K1448" s="15"/>
      <c r="L1448" s="53" t="str">
        <f>IF(G1448*K1448&lt;&gt;0, TRUNC(G1448*K1448, 1), "")</f>
        <v/>
      </c>
      <c r="M1448" s="15"/>
      <c r="N1448" s="53" t="str">
        <f>IF(G1448*M1448&lt;&gt;0, TRUNC(G1448*M1448, 1), "")</f>
        <v/>
      </c>
      <c r="O1448" s="15">
        <f>IF((H1448+K1448+M1448)=0, "", (H1448+K1448+M1448))</f>
        <v>574.70000000000005</v>
      </c>
      <c r="P1448" s="15">
        <f>IF(SUM(I1448,L1448,N1448)&lt;&gt;0,SUM(I1448,L1448,N1448),"")</f>
        <v>574.70000000000005</v>
      </c>
      <c r="Q1448" s="12"/>
    </row>
    <row r="1449" spans="1:28" ht="23.25" customHeight="1" x14ac:dyDescent="0.15">
      <c r="B1449" s="13" t="s">
        <v>2360</v>
      </c>
      <c r="D1449" s="12" t="s">
        <v>2361</v>
      </c>
      <c r="E1449" s="12"/>
      <c r="F1449" s="31"/>
      <c r="G1449" s="15"/>
      <c r="H1449" s="15"/>
      <c r="I1449" s="53">
        <f>TRUNC(SUM(I1445:I1448))</f>
        <v>574</v>
      </c>
      <c r="J1449" s="15"/>
      <c r="K1449" s="15"/>
      <c r="L1449" s="53">
        <f>TRUNC(SUM(L1445:L1448))</f>
        <v>28735</v>
      </c>
      <c r="M1449" s="15"/>
      <c r="N1449" s="53">
        <f>TRUNC(SUM(N1445:N1448))</f>
        <v>0</v>
      </c>
      <c r="O1449" s="15" t="str">
        <f>IF((H1449+K1449+M1449)=0, "", (H1449+K1449+M1449))</f>
        <v/>
      </c>
      <c r="P1449" s="15">
        <f>IF(SUM(I1449,L1449,N1449)&lt;&gt;0,SUM(I1449,L1449,N1449),"")</f>
        <v>29309</v>
      </c>
      <c r="Q1449" s="12"/>
    </row>
    <row r="1450" spans="1:28" ht="23.25" customHeight="1" x14ac:dyDescent="0.15">
      <c r="D1450" s="12"/>
      <c r="E1450" s="12"/>
      <c r="F1450" s="31"/>
      <c r="G1450" s="15"/>
      <c r="H1450" s="15"/>
      <c r="I1450" s="53"/>
      <c r="J1450" s="15"/>
      <c r="K1450" s="15"/>
      <c r="L1450" s="53"/>
      <c r="M1450" s="15"/>
      <c r="N1450" s="53"/>
      <c r="O1450" s="15"/>
      <c r="P1450" s="15"/>
      <c r="Q1450" s="12"/>
    </row>
    <row r="1451" spans="1:28" ht="23.25" customHeight="1" x14ac:dyDescent="0.15">
      <c r="A1451" s="13" t="s">
        <v>3003</v>
      </c>
      <c r="B1451" s="13" t="s">
        <v>2382</v>
      </c>
      <c r="C1451" s="1" t="s">
        <v>3004</v>
      </c>
      <c r="D1451" s="170" t="s">
        <v>3002</v>
      </c>
      <c r="E1451" s="172"/>
      <c r="F1451" s="31"/>
      <c r="G1451" s="15"/>
      <c r="H1451" s="15"/>
      <c r="I1451" s="53"/>
      <c r="J1451" s="15"/>
      <c r="K1451" s="15"/>
      <c r="L1451" s="53"/>
      <c r="M1451" s="15"/>
      <c r="N1451" s="53"/>
      <c r="O1451" s="15"/>
      <c r="P1451" s="15"/>
      <c r="Q1451" s="12"/>
    </row>
    <row r="1452" spans="1:28" ht="23.25" customHeight="1" x14ac:dyDescent="0.15">
      <c r="A1452" s="13" t="s">
        <v>1357</v>
      </c>
      <c r="B1452" s="13" t="s">
        <v>2319</v>
      </c>
      <c r="C1452" s="1" t="s">
        <v>968</v>
      </c>
      <c r="D1452" s="12" t="s">
        <v>962</v>
      </c>
      <c r="E1452" s="12" t="s">
        <v>767</v>
      </c>
      <c r="F1452" s="31" t="s">
        <v>710</v>
      </c>
      <c r="G1452" s="15">
        <v>1</v>
      </c>
      <c r="H1452" s="15"/>
      <c r="I1452" s="53" t="str">
        <f>IF(G1452*H1452&lt;&gt;0, TRUNC(G1452*H1452, 1), "")</f>
        <v/>
      </c>
      <c r="J1452" s="15">
        <v>1</v>
      </c>
      <c r="K1452" s="15">
        <f>합산자재!I333</f>
        <v>0</v>
      </c>
      <c r="L1452" s="53" t="str">
        <f>IF(G1452*K1452&lt;&gt;0, TRUNC(G1452*K1452, 1), "")</f>
        <v/>
      </c>
      <c r="M1452" s="15">
        <f>합산자재!J333</f>
        <v>0</v>
      </c>
      <c r="N1452" s="53" t="str">
        <f>IF(G1452*M1452&lt;&gt;0, TRUNC(G1452*M1452, 1), "")</f>
        <v/>
      </c>
      <c r="O1452" s="15" t="str">
        <f>IF((H1452+K1452+M1452)=0, "", (H1452+K1452+M1452))</f>
        <v/>
      </c>
      <c r="P1452" s="15" t="str">
        <f>IF(SUM(I1452,L1452,N1452)&lt;&gt;0,SUM(I1452,L1452,N1452),"")</f>
        <v/>
      </c>
      <c r="Q1452" s="12" t="s">
        <v>2378</v>
      </c>
      <c r="AB1452" s="2">
        <f>합산자재!H333*J1452</f>
        <v>35000</v>
      </c>
    </row>
    <row r="1453" spans="1:28" ht="23.25" customHeight="1" x14ac:dyDescent="0.15">
      <c r="A1453" s="13" t="s">
        <v>1372</v>
      </c>
      <c r="B1453" s="13" t="s">
        <v>2319</v>
      </c>
      <c r="C1453" s="1" t="s">
        <v>1002</v>
      </c>
      <c r="D1453" s="12" t="s">
        <v>1003</v>
      </c>
      <c r="E1453" s="12" t="s">
        <v>1004</v>
      </c>
      <c r="F1453" s="31" t="s">
        <v>999</v>
      </c>
      <c r="G1453" s="15">
        <f>일위노임!G674</f>
        <v>0.13900000000000001</v>
      </c>
      <c r="H1453" s="15">
        <f>합산자재!H345</f>
        <v>0</v>
      </c>
      <c r="I1453" s="53" t="str">
        <f>IF(G1453*H1453&lt;&gt;0, TRUNC(G1453*H1453, 1), "")</f>
        <v/>
      </c>
      <c r="J1453" s="15">
        <v>0.13900000000000001</v>
      </c>
      <c r="K1453" s="15">
        <f>합산자재!I345</f>
        <v>273676</v>
      </c>
      <c r="L1453" s="53">
        <f>IF(G1453*K1453&lt;&gt;0, TRUNC(G1453*K1453, 1), "")</f>
        <v>38040.9</v>
      </c>
      <c r="M1453" s="15">
        <f>합산자재!J345</f>
        <v>0</v>
      </c>
      <c r="N1453" s="53" t="str">
        <f>IF(G1453*M1453&lt;&gt;0, TRUNC(G1453*M1453, 1), "")</f>
        <v/>
      </c>
      <c r="O1453" s="15">
        <f>IF((H1453+K1453+M1453)=0, "", (H1453+K1453+M1453))</f>
        <v>273676</v>
      </c>
      <c r="P1453" s="15">
        <f>IF(SUM(I1453,L1453,N1453)&lt;&gt;0,SUM(I1453,L1453,N1453),"")</f>
        <v>38040.9</v>
      </c>
      <c r="Q1453" s="12"/>
    </row>
    <row r="1454" spans="1:28" ht="23.25" customHeight="1" x14ac:dyDescent="0.15">
      <c r="A1454" s="13" t="s">
        <v>2362</v>
      </c>
      <c r="B1454" s="13" t="s">
        <v>2319</v>
      </c>
      <c r="C1454" s="1" t="s">
        <v>2363</v>
      </c>
      <c r="D1454" s="12" t="s">
        <v>2364</v>
      </c>
      <c r="E1454" s="12" t="s">
        <v>2365</v>
      </c>
      <c r="F1454" s="31" t="s">
        <v>792</v>
      </c>
      <c r="G1454" s="15">
        <v>1</v>
      </c>
      <c r="H1454" s="15">
        <v>760.8</v>
      </c>
      <c r="I1454" s="53">
        <f>IF(G1454*H1454&lt;&gt;0, TRUNC(G1454*H1454, 1), "")</f>
        <v>760.8</v>
      </c>
      <c r="J1454" s="15">
        <v>1</v>
      </c>
      <c r="K1454" s="15"/>
      <c r="L1454" s="53" t="str">
        <f>IF(G1454*K1454&lt;&gt;0, TRUNC(G1454*K1454, 1), "")</f>
        <v/>
      </c>
      <c r="M1454" s="15"/>
      <c r="N1454" s="53" t="str">
        <f>IF(G1454*M1454&lt;&gt;0, TRUNC(G1454*M1454, 1), "")</f>
        <v/>
      </c>
      <c r="O1454" s="15">
        <f>IF((H1454+K1454+M1454)=0, "", (H1454+K1454+M1454))</f>
        <v>760.8</v>
      </c>
      <c r="P1454" s="15">
        <f>IF(SUM(I1454,L1454,N1454)&lt;&gt;0,SUM(I1454,L1454,N1454),"")</f>
        <v>760.8</v>
      </c>
      <c r="Q1454" s="12"/>
    </row>
    <row r="1455" spans="1:28" ht="23.25" customHeight="1" x14ac:dyDescent="0.15">
      <c r="B1455" s="13" t="s">
        <v>2360</v>
      </c>
      <c r="D1455" s="12" t="s">
        <v>2361</v>
      </c>
      <c r="E1455" s="12"/>
      <c r="F1455" s="31"/>
      <c r="G1455" s="15"/>
      <c r="H1455" s="15"/>
      <c r="I1455" s="53">
        <f>TRUNC(SUM(I1451:I1454))</f>
        <v>760</v>
      </c>
      <c r="J1455" s="15"/>
      <c r="K1455" s="15"/>
      <c r="L1455" s="53">
        <f>TRUNC(SUM(L1451:L1454))</f>
        <v>38040</v>
      </c>
      <c r="M1455" s="15"/>
      <c r="N1455" s="53">
        <f>TRUNC(SUM(N1451:N1454))</f>
        <v>0</v>
      </c>
      <c r="O1455" s="15" t="str">
        <f>IF((H1455+K1455+M1455)=0, "", (H1455+K1455+M1455))</f>
        <v/>
      </c>
      <c r="P1455" s="15">
        <f>IF(SUM(I1455,L1455,N1455)&lt;&gt;0,SUM(I1455,L1455,N1455),"")</f>
        <v>38800</v>
      </c>
      <c r="Q1455" s="12"/>
    </row>
    <row r="1456" spans="1:28" ht="23.25" customHeight="1" x14ac:dyDescent="0.15">
      <c r="D1456" s="12"/>
      <c r="E1456" s="12"/>
      <c r="F1456" s="31"/>
      <c r="G1456" s="15"/>
      <c r="H1456" s="15"/>
      <c r="I1456" s="53"/>
      <c r="J1456" s="15"/>
      <c r="K1456" s="15"/>
      <c r="L1456" s="53"/>
      <c r="M1456" s="15"/>
      <c r="N1456" s="53"/>
      <c r="O1456" s="15"/>
      <c r="P1456" s="15"/>
      <c r="Q1456" s="12"/>
    </row>
    <row r="1457" spans="1:28" ht="23.25" customHeight="1" x14ac:dyDescent="0.15">
      <c r="A1457" s="13" t="s">
        <v>3006</v>
      </c>
      <c r="B1457" s="13" t="s">
        <v>2382</v>
      </c>
      <c r="C1457" s="1" t="s">
        <v>3007</v>
      </c>
      <c r="D1457" s="170" t="s">
        <v>3005</v>
      </c>
      <c r="E1457" s="172"/>
      <c r="F1457" s="31"/>
      <c r="G1457" s="15"/>
      <c r="H1457" s="15"/>
      <c r="I1457" s="53"/>
      <c r="J1457" s="15"/>
      <c r="K1457" s="15"/>
      <c r="L1457" s="53"/>
      <c r="M1457" s="15"/>
      <c r="N1457" s="53"/>
      <c r="O1457" s="15"/>
      <c r="P1457" s="15"/>
      <c r="Q1457" s="12"/>
    </row>
    <row r="1458" spans="1:28" ht="23.25" customHeight="1" x14ac:dyDescent="0.15">
      <c r="A1458" s="13" t="s">
        <v>1358</v>
      </c>
      <c r="B1458" s="13" t="s">
        <v>2322</v>
      </c>
      <c r="C1458" s="1" t="s">
        <v>969</v>
      </c>
      <c r="D1458" s="12" t="s">
        <v>962</v>
      </c>
      <c r="E1458" s="12" t="s">
        <v>970</v>
      </c>
      <c r="F1458" s="31" t="s">
        <v>710</v>
      </c>
      <c r="G1458" s="15">
        <v>1</v>
      </c>
      <c r="H1458" s="15"/>
      <c r="I1458" s="53" t="str">
        <f>IF(G1458*H1458&lt;&gt;0, TRUNC(G1458*H1458, 1), "")</f>
        <v/>
      </c>
      <c r="J1458" s="15">
        <v>1</v>
      </c>
      <c r="K1458" s="15">
        <f>합산자재!I334</f>
        <v>0</v>
      </c>
      <c r="L1458" s="53" t="str">
        <f>IF(G1458*K1458&lt;&gt;0, TRUNC(G1458*K1458, 1), "")</f>
        <v/>
      </c>
      <c r="M1458" s="15">
        <f>합산자재!J334</f>
        <v>0</v>
      </c>
      <c r="N1458" s="53" t="str">
        <f>IF(G1458*M1458&lt;&gt;0, TRUNC(G1458*M1458, 1), "")</f>
        <v/>
      </c>
      <c r="O1458" s="15" t="str">
        <f>IF((H1458+K1458+M1458)=0, "", (H1458+K1458+M1458))</f>
        <v/>
      </c>
      <c r="P1458" s="15" t="str">
        <f>IF(SUM(I1458,L1458,N1458)&lt;&gt;0,SUM(I1458,L1458,N1458),"")</f>
        <v/>
      </c>
      <c r="Q1458" s="12" t="s">
        <v>2378</v>
      </c>
      <c r="AB1458" s="2">
        <f>합산자재!H334*J1458</f>
        <v>55000</v>
      </c>
    </row>
    <row r="1459" spans="1:28" ht="23.25" customHeight="1" x14ac:dyDescent="0.15">
      <c r="A1459" s="13" t="s">
        <v>1372</v>
      </c>
      <c r="B1459" s="13" t="s">
        <v>2322</v>
      </c>
      <c r="C1459" s="1" t="s">
        <v>1002</v>
      </c>
      <c r="D1459" s="12" t="s">
        <v>1003</v>
      </c>
      <c r="E1459" s="12" t="s">
        <v>1004</v>
      </c>
      <c r="F1459" s="31" t="s">
        <v>999</v>
      </c>
      <c r="G1459" s="15">
        <f>일위노임!G677</f>
        <v>0.105</v>
      </c>
      <c r="H1459" s="15">
        <f>합산자재!H345</f>
        <v>0</v>
      </c>
      <c r="I1459" s="53" t="str">
        <f>IF(G1459*H1459&lt;&gt;0, TRUNC(G1459*H1459, 1), "")</f>
        <v/>
      </c>
      <c r="J1459" s="15">
        <v>0.105</v>
      </c>
      <c r="K1459" s="15">
        <f>합산자재!I345</f>
        <v>273676</v>
      </c>
      <c r="L1459" s="53">
        <f>IF(G1459*K1459&lt;&gt;0, TRUNC(G1459*K1459, 1), "")</f>
        <v>28735.9</v>
      </c>
      <c r="M1459" s="15">
        <f>합산자재!J345</f>
        <v>0</v>
      </c>
      <c r="N1459" s="53" t="str">
        <f>IF(G1459*M1459&lt;&gt;0, TRUNC(G1459*M1459, 1), "")</f>
        <v/>
      </c>
      <c r="O1459" s="15">
        <f>IF((H1459+K1459+M1459)=0, "", (H1459+K1459+M1459))</f>
        <v>273676</v>
      </c>
      <c r="P1459" s="15">
        <f>IF(SUM(I1459,L1459,N1459)&lt;&gt;0,SUM(I1459,L1459,N1459),"")</f>
        <v>28735.9</v>
      </c>
      <c r="Q1459" s="12"/>
    </row>
    <row r="1460" spans="1:28" ht="23.25" customHeight="1" x14ac:dyDescent="0.15">
      <c r="A1460" s="13" t="s">
        <v>2362</v>
      </c>
      <c r="B1460" s="13" t="s">
        <v>2322</v>
      </c>
      <c r="C1460" s="1" t="s">
        <v>2363</v>
      </c>
      <c r="D1460" s="12" t="s">
        <v>2364</v>
      </c>
      <c r="E1460" s="12" t="s">
        <v>2365</v>
      </c>
      <c r="F1460" s="31" t="s">
        <v>792</v>
      </c>
      <c r="G1460" s="15">
        <v>1</v>
      </c>
      <c r="H1460" s="15">
        <v>574.70000000000005</v>
      </c>
      <c r="I1460" s="53">
        <f>IF(G1460*H1460&lt;&gt;0, TRUNC(G1460*H1460, 1), "")</f>
        <v>574.70000000000005</v>
      </c>
      <c r="J1460" s="15">
        <v>1</v>
      </c>
      <c r="K1460" s="15"/>
      <c r="L1460" s="53" t="str">
        <f>IF(G1460*K1460&lt;&gt;0, TRUNC(G1460*K1460, 1), "")</f>
        <v/>
      </c>
      <c r="M1460" s="15"/>
      <c r="N1460" s="53" t="str">
        <f>IF(G1460*M1460&lt;&gt;0, TRUNC(G1460*M1460, 1), "")</f>
        <v/>
      </c>
      <c r="O1460" s="15">
        <f>IF((H1460+K1460+M1460)=0, "", (H1460+K1460+M1460))</f>
        <v>574.70000000000005</v>
      </c>
      <c r="P1460" s="15">
        <f>IF(SUM(I1460,L1460,N1460)&lt;&gt;0,SUM(I1460,L1460,N1460),"")</f>
        <v>574.70000000000005</v>
      </c>
      <c r="Q1460" s="12"/>
    </row>
    <row r="1461" spans="1:28" ht="23.25" customHeight="1" x14ac:dyDescent="0.15">
      <c r="B1461" s="13" t="s">
        <v>2360</v>
      </c>
      <c r="D1461" s="12" t="s">
        <v>2361</v>
      </c>
      <c r="E1461" s="12"/>
      <c r="F1461" s="31"/>
      <c r="G1461" s="15"/>
      <c r="H1461" s="15"/>
      <c r="I1461" s="53">
        <f>TRUNC(SUM(I1457:I1460))</f>
        <v>574</v>
      </c>
      <c r="J1461" s="15"/>
      <c r="K1461" s="15"/>
      <c r="L1461" s="53">
        <f>TRUNC(SUM(L1457:L1460))</f>
        <v>28735</v>
      </c>
      <c r="M1461" s="15"/>
      <c r="N1461" s="53">
        <f>TRUNC(SUM(N1457:N1460))</f>
        <v>0</v>
      </c>
      <c r="O1461" s="15" t="str">
        <f>IF((H1461+K1461+M1461)=0, "", (H1461+K1461+M1461))</f>
        <v/>
      </c>
      <c r="P1461" s="15">
        <f>IF(SUM(I1461,L1461,N1461)&lt;&gt;0,SUM(I1461,L1461,N1461),"")</f>
        <v>29309</v>
      </c>
      <c r="Q1461" s="12"/>
    </row>
    <row r="1462" spans="1:28" ht="23.25" customHeight="1" x14ac:dyDescent="0.15">
      <c r="D1462" s="12"/>
      <c r="E1462" s="12"/>
      <c r="F1462" s="31"/>
      <c r="G1462" s="15"/>
      <c r="H1462" s="15"/>
      <c r="I1462" s="53"/>
      <c r="J1462" s="15"/>
      <c r="K1462" s="15"/>
      <c r="L1462" s="53"/>
      <c r="M1462" s="15"/>
      <c r="N1462" s="53"/>
      <c r="O1462" s="15"/>
      <c r="P1462" s="15"/>
      <c r="Q1462" s="12"/>
    </row>
    <row r="1463" spans="1:28" ht="23.25" customHeight="1" x14ac:dyDescent="0.15">
      <c r="A1463" s="13" t="s">
        <v>3009</v>
      </c>
      <c r="B1463" s="13" t="s">
        <v>2382</v>
      </c>
      <c r="C1463" s="1" t="s">
        <v>3010</v>
      </c>
      <c r="D1463" s="170" t="s">
        <v>3008</v>
      </c>
      <c r="E1463" s="172"/>
      <c r="F1463" s="31"/>
      <c r="G1463" s="15"/>
      <c r="H1463" s="15"/>
      <c r="I1463" s="53"/>
      <c r="J1463" s="15"/>
      <c r="K1463" s="15"/>
      <c r="L1463" s="53"/>
      <c r="M1463" s="15"/>
      <c r="N1463" s="53"/>
      <c r="O1463" s="15"/>
      <c r="P1463" s="15"/>
      <c r="Q1463" s="12"/>
    </row>
    <row r="1464" spans="1:28" ht="23.25" customHeight="1" x14ac:dyDescent="0.15">
      <c r="A1464" s="13" t="s">
        <v>1359</v>
      </c>
      <c r="B1464" s="13" t="s">
        <v>2325</v>
      </c>
      <c r="C1464" s="1" t="s">
        <v>971</v>
      </c>
      <c r="D1464" s="12" t="s">
        <v>962</v>
      </c>
      <c r="E1464" s="12" t="s">
        <v>972</v>
      </c>
      <c r="F1464" s="31" t="s">
        <v>710</v>
      </c>
      <c r="G1464" s="15">
        <v>1</v>
      </c>
      <c r="H1464" s="15"/>
      <c r="I1464" s="53" t="str">
        <f>IF(G1464*H1464&lt;&gt;0, TRUNC(G1464*H1464, 1), "")</f>
        <v/>
      </c>
      <c r="J1464" s="15">
        <v>1</v>
      </c>
      <c r="K1464" s="15">
        <f>합산자재!I335</f>
        <v>0</v>
      </c>
      <c r="L1464" s="53" t="str">
        <f>IF(G1464*K1464&lt;&gt;0, TRUNC(G1464*K1464, 1), "")</f>
        <v/>
      </c>
      <c r="M1464" s="15">
        <f>합산자재!J335</f>
        <v>0</v>
      </c>
      <c r="N1464" s="53" t="str">
        <f>IF(G1464*M1464&lt;&gt;0, TRUNC(G1464*M1464, 1), "")</f>
        <v/>
      </c>
      <c r="O1464" s="15" t="str">
        <f>IF((H1464+K1464+M1464)=0, "", (H1464+K1464+M1464))</f>
        <v/>
      </c>
      <c r="P1464" s="15" t="str">
        <f>IF(SUM(I1464,L1464,N1464)&lt;&gt;0,SUM(I1464,L1464,N1464),"")</f>
        <v/>
      </c>
      <c r="Q1464" s="12" t="s">
        <v>2378</v>
      </c>
      <c r="AB1464" s="2">
        <f>합산자재!H335*J1464</f>
        <v>70000</v>
      </c>
    </row>
    <row r="1465" spans="1:28" ht="23.25" customHeight="1" x14ac:dyDescent="0.15">
      <c r="A1465" s="13" t="s">
        <v>1372</v>
      </c>
      <c r="B1465" s="13" t="s">
        <v>2325</v>
      </c>
      <c r="C1465" s="1" t="s">
        <v>1002</v>
      </c>
      <c r="D1465" s="12" t="s">
        <v>1003</v>
      </c>
      <c r="E1465" s="12" t="s">
        <v>1004</v>
      </c>
      <c r="F1465" s="31" t="s">
        <v>999</v>
      </c>
      <c r="G1465" s="15">
        <f>일위노임!G680</f>
        <v>0.217</v>
      </c>
      <c r="H1465" s="15">
        <f>합산자재!H345</f>
        <v>0</v>
      </c>
      <c r="I1465" s="53" t="str">
        <f>IF(G1465*H1465&lt;&gt;0, TRUNC(G1465*H1465, 1), "")</f>
        <v/>
      </c>
      <c r="J1465" s="15">
        <v>0.217</v>
      </c>
      <c r="K1465" s="15">
        <f>합산자재!I345</f>
        <v>273676</v>
      </c>
      <c r="L1465" s="53">
        <f>IF(G1465*K1465&lt;&gt;0, TRUNC(G1465*K1465, 1), "")</f>
        <v>59387.6</v>
      </c>
      <c r="M1465" s="15">
        <f>합산자재!J345</f>
        <v>0</v>
      </c>
      <c r="N1465" s="53" t="str">
        <f>IF(G1465*M1465&lt;&gt;0, TRUNC(G1465*M1465, 1), "")</f>
        <v/>
      </c>
      <c r="O1465" s="15">
        <f>IF((H1465+K1465+M1465)=0, "", (H1465+K1465+M1465))</f>
        <v>273676</v>
      </c>
      <c r="P1465" s="15">
        <f>IF(SUM(I1465,L1465,N1465)&lt;&gt;0,SUM(I1465,L1465,N1465),"")</f>
        <v>59387.6</v>
      </c>
      <c r="Q1465" s="12"/>
    </row>
    <row r="1466" spans="1:28" ht="23.25" customHeight="1" x14ac:dyDescent="0.15">
      <c r="A1466" s="13" t="s">
        <v>2362</v>
      </c>
      <c r="B1466" s="13" t="s">
        <v>2325</v>
      </c>
      <c r="C1466" s="1" t="s">
        <v>2363</v>
      </c>
      <c r="D1466" s="12" t="s">
        <v>2364</v>
      </c>
      <c r="E1466" s="12" t="s">
        <v>2365</v>
      </c>
      <c r="F1466" s="31" t="s">
        <v>792</v>
      </c>
      <c r="G1466" s="15">
        <v>1</v>
      </c>
      <c r="H1466" s="15">
        <v>1187.7</v>
      </c>
      <c r="I1466" s="53">
        <f>IF(G1466*H1466&lt;&gt;0, TRUNC(G1466*H1466, 1), "")</f>
        <v>1187.7</v>
      </c>
      <c r="J1466" s="15">
        <v>1</v>
      </c>
      <c r="K1466" s="15"/>
      <c r="L1466" s="53" t="str">
        <f>IF(G1466*K1466&lt;&gt;0, TRUNC(G1466*K1466, 1), "")</f>
        <v/>
      </c>
      <c r="M1466" s="15"/>
      <c r="N1466" s="53" t="str">
        <f>IF(G1466*M1466&lt;&gt;0, TRUNC(G1466*M1466, 1), "")</f>
        <v/>
      </c>
      <c r="O1466" s="15">
        <f>IF((H1466+K1466+M1466)=0, "", (H1466+K1466+M1466))</f>
        <v>1187.7</v>
      </c>
      <c r="P1466" s="15">
        <f>IF(SUM(I1466,L1466,N1466)&lt;&gt;0,SUM(I1466,L1466,N1466),"")</f>
        <v>1187.7</v>
      </c>
      <c r="Q1466" s="12"/>
    </row>
    <row r="1467" spans="1:28" ht="23.25" customHeight="1" x14ac:dyDescent="0.15">
      <c r="B1467" s="13" t="s">
        <v>2360</v>
      </c>
      <c r="D1467" s="12" t="s">
        <v>2361</v>
      </c>
      <c r="E1467" s="12"/>
      <c r="F1467" s="31"/>
      <c r="G1467" s="15"/>
      <c r="H1467" s="15"/>
      <c r="I1467" s="53">
        <f>TRUNC(SUM(I1463:I1466))</f>
        <v>1187</v>
      </c>
      <c r="J1467" s="15"/>
      <c r="K1467" s="15"/>
      <c r="L1467" s="53">
        <f>TRUNC(SUM(L1463:L1466))</f>
        <v>59387</v>
      </c>
      <c r="M1467" s="15"/>
      <c r="N1467" s="53">
        <f>TRUNC(SUM(N1463:N1466))</f>
        <v>0</v>
      </c>
      <c r="O1467" s="15" t="str">
        <f>IF((H1467+K1467+M1467)=0, "", (H1467+K1467+M1467))</f>
        <v/>
      </c>
      <c r="P1467" s="15">
        <f>IF(SUM(I1467,L1467,N1467)&lt;&gt;0,SUM(I1467,L1467,N1467),"")</f>
        <v>60574</v>
      </c>
      <c r="Q1467" s="12"/>
    </row>
    <row r="1468" spans="1:28" ht="23.25" customHeight="1" x14ac:dyDescent="0.15">
      <c r="D1468" s="12"/>
      <c r="E1468" s="12"/>
      <c r="F1468" s="31"/>
      <c r="G1468" s="15"/>
      <c r="H1468" s="15"/>
      <c r="I1468" s="53"/>
      <c r="J1468" s="15"/>
      <c r="K1468" s="15"/>
      <c r="L1468" s="53"/>
      <c r="M1468" s="15"/>
      <c r="N1468" s="53"/>
      <c r="O1468" s="15"/>
      <c r="P1468" s="15"/>
      <c r="Q1468" s="12"/>
    </row>
    <row r="1469" spans="1:28" ht="23.25" customHeight="1" x14ac:dyDescent="0.15">
      <c r="A1469" s="13" t="s">
        <v>3012</v>
      </c>
      <c r="B1469" s="13" t="s">
        <v>2382</v>
      </c>
      <c r="C1469" s="1" t="s">
        <v>3013</v>
      </c>
      <c r="D1469" s="170" t="s">
        <v>3011</v>
      </c>
      <c r="E1469" s="172"/>
      <c r="F1469" s="31"/>
      <c r="G1469" s="15"/>
      <c r="H1469" s="15"/>
      <c r="I1469" s="53"/>
      <c r="J1469" s="15"/>
      <c r="K1469" s="15"/>
      <c r="L1469" s="53"/>
      <c r="M1469" s="15"/>
      <c r="N1469" s="53"/>
      <c r="O1469" s="15"/>
      <c r="P1469" s="15"/>
      <c r="Q1469" s="12"/>
    </row>
    <row r="1470" spans="1:28" ht="23.25" customHeight="1" x14ac:dyDescent="0.15">
      <c r="A1470" s="13" t="s">
        <v>1360</v>
      </c>
      <c r="B1470" s="13" t="s">
        <v>2328</v>
      </c>
      <c r="C1470" s="1" t="s">
        <v>973</v>
      </c>
      <c r="D1470" s="12" t="s">
        <v>962</v>
      </c>
      <c r="E1470" s="12" t="s">
        <v>974</v>
      </c>
      <c r="F1470" s="31" t="s">
        <v>710</v>
      </c>
      <c r="G1470" s="15">
        <v>1</v>
      </c>
      <c r="H1470" s="15"/>
      <c r="I1470" s="53" t="str">
        <f>IF(G1470*H1470&lt;&gt;0, TRUNC(G1470*H1470, 1), "")</f>
        <v/>
      </c>
      <c r="J1470" s="15">
        <v>1</v>
      </c>
      <c r="K1470" s="15">
        <f>합산자재!I336</f>
        <v>0</v>
      </c>
      <c r="L1470" s="53" t="str">
        <f>IF(G1470*K1470&lt;&gt;0, TRUNC(G1470*K1470, 1), "")</f>
        <v/>
      </c>
      <c r="M1470" s="15">
        <f>합산자재!J336</f>
        <v>0</v>
      </c>
      <c r="N1470" s="53" t="str">
        <f>IF(G1470*M1470&lt;&gt;0, TRUNC(G1470*M1470, 1), "")</f>
        <v/>
      </c>
      <c r="O1470" s="15" t="str">
        <f>IF((H1470+K1470+M1470)=0, "", (H1470+K1470+M1470))</f>
        <v/>
      </c>
      <c r="P1470" s="15" t="str">
        <f>IF(SUM(I1470,L1470,N1470)&lt;&gt;0,SUM(I1470,L1470,N1470),"")</f>
        <v/>
      </c>
      <c r="Q1470" s="12" t="s">
        <v>2378</v>
      </c>
      <c r="AB1470" s="2">
        <f>합산자재!H336*J1470</f>
        <v>105000</v>
      </c>
    </row>
    <row r="1471" spans="1:28" ht="23.25" customHeight="1" x14ac:dyDescent="0.15">
      <c r="A1471" s="13" t="s">
        <v>1372</v>
      </c>
      <c r="B1471" s="13" t="s">
        <v>2328</v>
      </c>
      <c r="C1471" s="1" t="s">
        <v>1002</v>
      </c>
      <c r="D1471" s="12" t="s">
        <v>1003</v>
      </c>
      <c r="E1471" s="12" t="s">
        <v>1004</v>
      </c>
      <c r="F1471" s="31" t="s">
        <v>999</v>
      </c>
      <c r="G1471" s="15">
        <f>일위노임!G683</f>
        <v>0.19800000000000001</v>
      </c>
      <c r="H1471" s="15">
        <f>합산자재!H345</f>
        <v>0</v>
      </c>
      <c r="I1471" s="53" t="str">
        <f>IF(G1471*H1471&lt;&gt;0, TRUNC(G1471*H1471, 1), "")</f>
        <v/>
      </c>
      <c r="J1471" s="15">
        <v>0.19800000000000001</v>
      </c>
      <c r="K1471" s="15">
        <f>합산자재!I345</f>
        <v>273676</v>
      </c>
      <c r="L1471" s="53">
        <f>IF(G1471*K1471&lt;&gt;0, TRUNC(G1471*K1471, 1), "")</f>
        <v>54187.8</v>
      </c>
      <c r="M1471" s="15">
        <f>합산자재!J345</f>
        <v>0</v>
      </c>
      <c r="N1471" s="53" t="str">
        <f>IF(G1471*M1471&lt;&gt;0, TRUNC(G1471*M1471, 1), "")</f>
        <v/>
      </c>
      <c r="O1471" s="15">
        <f>IF((H1471+K1471+M1471)=0, "", (H1471+K1471+M1471))</f>
        <v>273676</v>
      </c>
      <c r="P1471" s="15">
        <f>IF(SUM(I1471,L1471,N1471)&lt;&gt;0,SUM(I1471,L1471,N1471),"")</f>
        <v>54187.8</v>
      </c>
      <c r="Q1471" s="12"/>
    </row>
    <row r="1472" spans="1:28" ht="23.25" customHeight="1" x14ac:dyDescent="0.15">
      <c r="A1472" s="13" t="s">
        <v>2362</v>
      </c>
      <c r="B1472" s="13" t="s">
        <v>2328</v>
      </c>
      <c r="C1472" s="1" t="s">
        <v>2363</v>
      </c>
      <c r="D1472" s="12" t="s">
        <v>2364</v>
      </c>
      <c r="E1472" s="12" t="s">
        <v>2365</v>
      </c>
      <c r="F1472" s="31" t="s">
        <v>792</v>
      </c>
      <c r="G1472" s="15">
        <v>1</v>
      </c>
      <c r="H1472" s="15">
        <v>1083.7</v>
      </c>
      <c r="I1472" s="53">
        <f>IF(G1472*H1472&lt;&gt;0, TRUNC(G1472*H1472, 1), "")</f>
        <v>1083.7</v>
      </c>
      <c r="J1472" s="15">
        <v>1</v>
      </c>
      <c r="K1472" s="15"/>
      <c r="L1472" s="53" t="str">
        <f>IF(G1472*K1472&lt;&gt;0, TRUNC(G1472*K1472, 1), "")</f>
        <v/>
      </c>
      <c r="M1472" s="15"/>
      <c r="N1472" s="53" t="str">
        <f>IF(G1472*M1472&lt;&gt;0, TRUNC(G1472*M1472, 1), "")</f>
        <v/>
      </c>
      <c r="O1472" s="15">
        <f>IF((H1472+K1472+M1472)=0, "", (H1472+K1472+M1472))</f>
        <v>1083.7</v>
      </c>
      <c r="P1472" s="15">
        <f>IF(SUM(I1472,L1472,N1472)&lt;&gt;0,SUM(I1472,L1472,N1472),"")</f>
        <v>1083.7</v>
      </c>
      <c r="Q1472" s="12"/>
    </row>
    <row r="1473" spans="1:28" ht="23.25" customHeight="1" x14ac:dyDescent="0.15">
      <c r="B1473" s="13" t="s">
        <v>2360</v>
      </c>
      <c r="D1473" s="12" t="s">
        <v>2361</v>
      </c>
      <c r="E1473" s="12"/>
      <c r="F1473" s="31"/>
      <c r="G1473" s="15"/>
      <c r="H1473" s="15"/>
      <c r="I1473" s="53">
        <f>TRUNC(SUM(I1469:I1472))</f>
        <v>1083</v>
      </c>
      <c r="J1473" s="15"/>
      <c r="K1473" s="15"/>
      <c r="L1473" s="53">
        <f>TRUNC(SUM(L1469:L1472))</f>
        <v>54187</v>
      </c>
      <c r="M1473" s="15"/>
      <c r="N1473" s="53">
        <f>TRUNC(SUM(N1469:N1472))</f>
        <v>0</v>
      </c>
      <c r="O1473" s="15" t="str">
        <f>IF((H1473+K1473+M1473)=0, "", (H1473+K1473+M1473))</f>
        <v/>
      </c>
      <c r="P1473" s="15">
        <f>IF(SUM(I1473,L1473,N1473)&lt;&gt;0,SUM(I1473,L1473,N1473),"")</f>
        <v>55270</v>
      </c>
      <c r="Q1473" s="12"/>
    </row>
    <row r="1474" spans="1:28" ht="23.25" customHeight="1" x14ac:dyDescent="0.15">
      <c r="D1474" s="12"/>
      <c r="E1474" s="12"/>
      <c r="F1474" s="31"/>
      <c r="G1474" s="15"/>
      <c r="H1474" s="15"/>
      <c r="I1474" s="53"/>
      <c r="J1474" s="15"/>
      <c r="K1474" s="15"/>
      <c r="L1474" s="53"/>
      <c r="M1474" s="15"/>
      <c r="N1474" s="53"/>
      <c r="O1474" s="15"/>
      <c r="P1474" s="15"/>
      <c r="Q1474" s="12"/>
    </row>
    <row r="1475" spans="1:28" ht="23.25" customHeight="1" x14ac:dyDescent="0.15">
      <c r="A1475" s="13" t="s">
        <v>3015</v>
      </c>
      <c r="B1475" s="13" t="s">
        <v>2382</v>
      </c>
      <c r="C1475" s="1" t="s">
        <v>3016</v>
      </c>
      <c r="D1475" s="170" t="s">
        <v>3014</v>
      </c>
      <c r="E1475" s="172"/>
      <c r="F1475" s="31"/>
      <c r="G1475" s="15"/>
      <c r="H1475" s="15"/>
      <c r="I1475" s="53"/>
      <c r="J1475" s="15"/>
      <c r="K1475" s="15"/>
      <c r="L1475" s="53"/>
      <c r="M1475" s="15"/>
      <c r="N1475" s="53"/>
      <c r="O1475" s="15"/>
      <c r="P1475" s="15"/>
      <c r="Q1475" s="12"/>
    </row>
    <row r="1476" spans="1:28" ht="23.25" customHeight="1" x14ac:dyDescent="0.15">
      <c r="A1476" s="13" t="s">
        <v>1361</v>
      </c>
      <c r="B1476" s="13" t="s">
        <v>2331</v>
      </c>
      <c r="C1476" s="1" t="s">
        <v>975</v>
      </c>
      <c r="D1476" s="12" t="s">
        <v>962</v>
      </c>
      <c r="E1476" s="12" t="s">
        <v>976</v>
      </c>
      <c r="F1476" s="31" t="s">
        <v>710</v>
      </c>
      <c r="G1476" s="15">
        <v>1</v>
      </c>
      <c r="H1476" s="15"/>
      <c r="I1476" s="53" t="str">
        <f>IF(G1476*H1476&lt;&gt;0, TRUNC(G1476*H1476, 1), "")</f>
        <v/>
      </c>
      <c r="J1476" s="15">
        <v>1</v>
      </c>
      <c r="K1476" s="15">
        <f>합산자재!I337</f>
        <v>0</v>
      </c>
      <c r="L1476" s="53" t="str">
        <f>IF(G1476*K1476&lt;&gt;0, TRUNC(G1476*K1476, 1), "")</f>
        <v/>
      </c>
      <c r="M1476" s="15">
        <f>합산자재!J337</f>
        <v>0</v>
      </c>
      <c r="N1476" s="53" t="str">
        <f>IF(G1476*M1476&lt;&gt;0, TRUNC(G1476*M1476, 1), "")</f>
        <v/>
      </c>
      <c r="O1476" s="15" t="str">
        <f>IF((H1476+K1476+M1476)=0, "", (H1476+K1476+M1476))</f>
        <v/>
      </c>
      <c r="P1476" s="15" t="str">
        <f>IF(SUM(I1476,L1476,N1476)&lt;&gt;0,SUM(I1476,L1476,N1476),"")</f>
        <v/>
      </c>
      <c r="Q1476" s="12" t="s">
        <v>2378</v>
      </c>
      <c r="AB1476" s="2">
        <f>합산자재!H337*J1476</f>
        <v>88000</v>
      </c>
    </row>
    <row r="1477" spans="1:28" ht="23.25" customHeight="1" x14ac:dyDescent="0.15">
      <c r="A1477" s="13" t="s">
        <v>1372</v>
      </c>
      <c r="B1477" s="13" t="s">
        <v>2331</v>
      </c>
      <c r="C1477" s="1" t="s">
        <v>1002</v>
      </c>
      <c r="D1477" s="12" t="s">
        <v>1003</v>
      </c>
      <c r="E1477" s="12" t="s">
        <v>1004</v>
      </c>
      <c r="F1477" s="31" t="s">
        <v>999</v>
      </c>
      <c r="G1477" s="15">
        <f>일위노임!G686</f>
        <v>0.22800000000000001</v>
      </c>
      <c r="H1477" s="15">
        <f>합산자재!H345</f>
        <v>0</v>
      </c>
      <c r="I1477" s="53" t="str">
        <f>IF(G1477*H1477&lt;&gt;0, TRUNC(G1477*H1477, 1), "")</f>
        <v/>
      </c>
      <c r="J1477" s="15">
        <v>0.22800000000000001</v>
      </c>
      <c r="K1477" s="15">
        <f>합산자재!I345</f>
        <v>273676</v>
      </c>
      <c r="L1477" s="53">
        <f>IF(G1477*K1477&lt;&gt;0, TRUNC(G1477*K1477, 1), "")</f>
        <v>62398.1</v>
      </c>
      <c r="M1477" s="15">
        <f>합산자재!J345</f>
        <v>0</v>
      </c>
      <c r="N1477" s="53" t="str">
        <f>IF(G1477*M1477&lt;&gt;0, TRUNC(G1477*M1477, 1), "")</f>
        <v/>
      </c>
      <c r="O1477" s="15">
        <f>IF((H1477+K1477+M1477)=0, "", (H1477+K1477+M1477))</f>
        <v>273676</v>
      </c>
      <c r="P1477" s="15">
        <f>IF(SUM(I1477,L1477,N1477)&lt;&gt;0,SUM(I1477,L1477,N1477),"")</f>
        <v>62398.1</v>
      </c>
      <c r="Q1477" s="12"/>
    </row>
    <row r="1478" spans="1:28" ht="23.25" customHeight="1" x14ac:dyDescent="0.15">
      <c r="A1478" s="13" t="s">
        <v>2362</v>
      </c>
      <c r="B1478" s="13" t="s">
        <v>2331</v>
      </c>
      <c r="C1478" s="1" t="s">
        <v>2363</v>
      </c>
      <c r="D1478" s="12" t="s">
        <v>2364</v>
      </c>
      <c r="E1478" s="12" t="s">
        <v>2365</v>
      </c>
      <c r="F1478" s="31" t="s">
        <v>792</v>
      </c>
      <c r="G1478" s="15">
        <v>1</v>
      </c>
      <c r="H1478" s="15">
        <v>1247.9000000000001</v>
      </c>
      <c r="I1478" s="53">
        <f>IF(G1478*H1478&lt;&gt;0, TRUNC(G1478*H1478, 1), "")</f>
        <v>1247.9000000000001</v>
      </c>
      <c r="J1478" s="15">
        <v>1</v>
      </c>
      <c r="K1478" s="15"/>
      <c r="L1478" s="53" t="str">
        <f>IF(G1478*K1478&lt;&gt;0, TRUNC(G1478*K1478, 1), "")</f>
        <v/>
      </c>
      <c r="M1478" s="15"/>
      <c r="N1478" s="53" t="str">
        <f>IF(G1478*M1478&lt;&gt;0, TRUNC(G1478*M1478, 1), "")</f>
        <v/>
      </c>
      <c r="O1478" s="15">
        <f>IF((H1478+K1478+M1478)=0, "", (H1478+K1478+M1478))</f>
        <v>1247.9000000000001</v>
      </c>
      <c r="P1478" s="15">
        <f>IF(SUM(I1478,L1478,N1478)&lt;&gt;0,SUM(I1478,L1478,N1478),"")</f>
        <v>1247.9000000000001</v>
      </c>
      <c r="Q1478" s="12"/>
    </row>
    <row r="1479" spans="1:28" ht="23.25" customHeight="1" x14ac:dyDescent="0.15">
      <c r="B1479" s="13" t="s">
        <v>2360</v>
      </c>
      <c r="D1479" s="12" t="s">
        <v>2361</v>
      </c>
      <c r="E1479" s="12"/>
      <c r="F1479" s="31"/>
      <c r="G1479" s="15"/>
      <c r="H1479" s="15"/>
      <c r="I1479" s="53">
        <f>TRUNC(SUM(I1475:I1478))</f>
        <v>1247</v>
      </c>
      <c r="J1479" s="15"/>
      <c r="K1479" s="15"/>
      <c r="L1479" s="53">
        <f>TRUNC(SUM(L1475:L1478))</f>
        <v>62398</v>
      </c>
      <c r="M1479" s="15"/>
      <c r="N1479" s="53">
        <f>TRUNC(SUM(N1475:N1478))</f>
        <v>0</v>
      </c>
      <c r="O1479" s="15" t="str">
        <f>IF((H1479+K1479+M1479)=0, "", (H1479+K1479+M1479))</f>
        <v/>
      </c>
      <c r="P1479" s="15">
        <f>IF(SUM(I1479,L1479,N1479)&lt;&gt;0,SUM(I1479,L1479,N1479),"")</f>
        <v>63645</v>
      </c>
      <c r="Q1479" s="12"/>
    </row>
    <row r="1480" spans="1:28" ht="23.25" customHeight="1" x14ac:dyDescent="0.15">
      <c r="D1480" s="12"/>
      <c r="E1480" s="12"/>
      <c r="F1480" s="31"/>
      <c r="G1480" s="15"/>
      <c r="H1480" s="15"/>
      <c r="I1480" s="53"/>
      <c r="J1480" s="15"/>
      <c r="K1480" s="15"/>
      <c r="L1480" s="53"/>
      <c r="M1480" s="15"/>
      <c r="N1480" s="53"/>
      <c r="O1480" s="15"/>
      <c r="P1480" s="15"/>
      <c r="Q1480" s="12"/>
    </row>
    <row r="1481" spans="1:28" ht="23.25" customHeight="1" x14ac:dyDescent="0.15">
      <c r="A1481" s="13" t="s">
        <v>3018</v>
      </c>
      <c r="B1481" s="13" t="s">
        <v>2382</v>
      </c>
      <c r="C1481" s="1" t="s">
        <v>3019</v>
      </c>
      <c r="D1481" s="170" t="s">
        <v>3017</v>
      </c>
      <c r="E1481" s="172"/>
      <c r="F1481" s="31"/>
      <c r="G1481" s="15"/>
      <c r="H1481" s="15"/>
      <c r="I1481" s="53"/>
      <c r="J1481" s="15"/>
      <c r="K1481" s="15"/>
      <c r="L1481" s="53"/>
      <c r="M1481" s="15"/>
      <c r="N1481" s="53"/>
      <c r="O1481" s="15"/>
      <c r="P1481" s="15"/>
      <c r="Q1481" s="12"/>
    </row>
    <row r="1482" spans="1:28" ht="23.25" customHeight="1" x14ac:dyDescent="0.15">
      <c r="A1482" s="13" t="s">
        <v>1379</v>
      </c>
      <c r="B1482" s="13" t="s">
        <v>2334</v>
      </c>
      <c r="C1482" s="1" t="s">
        <v>1017</v>
      </c>
      <c r="D1482" s="12" t="s">
        <v>1003</v>
      </c>
      <c r="E1482" s="12" t="s">
        <v>1018</v>
      </c>
      <c r="F1482" s="31" t="s">
        <v>999</v>
      </c>
      <c r="G1482" s="15">
        <f>일위노임!G689</f>
        <v>0.2</v>
      </c>
      <c r="H1482" s="15">
        <f>합산자재!H352</f>
        <v>0</v>
      </c>
      <c r="I1482" s="53" t="str">
        <f>IF(G1482*H1482&lt;&gt;0, TRUNC(G1482*H1482, 1), "")</f>
        <v/>
      </c>
      <c r="J1482" s="15">
        <v>0.2</v>
      </c>
      <c r="K1482" s="15">
        <f>합산자재!I352</f>
        <v>172068</v>
      </c>
      <c r="L1482" s="53">
        <f>IF(G1482*K1482&lt;&gt;0, TRUNC(G1482*K1482, 1), "")</f>
        <v>34413.599999999999</v>
      </c>
      <c r="M1482" s="15">
        <f>합산자재!J352</f>
        <v>0</v>
      </c>
      <c r="N1482" s="53" t="str">
        <f>IF(G1482*M1482&lt;&gt;0, TRUNC(G1482*M1482, 1), "")</f>
        <v/>
      </c>
      <c r="O1482" s="15">
        <f>IF((H1482+K1482+M1482)=0, "", (H1482+K1482+M1482))</f>
        <v>172068</v>
      </c>
      <c r="P1482" s="15">
        <f>IF(SUM(I1482,L1482,N1482)&lt;&gt;0,SUM(I1482,L1482,N1482),"")</f>
        <v>34413.599999999999</v>
      </c>
      <c r="Q1482" s="12"/>
    </row>
    <row r="1483" spans="1:28" ht="23.25" customHeight="1" x14ac:dyDescent="0.15">
      <c r="B1483" s="13" t="s">
        <v>2360</v>
      </c>
      <c r="D1483" s="12" t="s">
        <v>2361</v>
      </c>
      <c r="E1483" s="12"/>
      <c r="F1483" s="31"/>
      <c r="G1483" s="15"/>
      <c r="H1483" s="15"/>
      <c r="I1483" s="53">
        <f>TRUNC(SUM(I1481:I1482))</f>
        <v>0</v>
      </c>
      <c r="J1483" s="15"/>
      <c r="K1483" s="15"/>
      <c r="L1483" s="53">
        <f>TRUNC(SUM(L1481:L1482))</f>
        <v>34413</v>
      </c>
      <c r="M1483" s="15"/>
      <c r="N1483" s="53">
        <f>TRUNC(SUM(N1481:N1482))</f>
        <v>0</v>
      </c>
      <c r="O1483" s="15" t="str">
        <f>IF((H1483+K1483+M1483)=0, "", (H1483+K1483+M1483))</f>
        <v/>
      </c>
      <c r="P1483" s="15">
        <f>IF(SUM(I1483,L1483,N1483)&lt;&gt;0,SUM(I1483,L1483,N1483),"")</f>
        <v>34413</v>
      </c>
      <c r="Q1483" s="12"/>
    </row>
    <row r="1484" spans="1:28" ht="23.25" customHeight="1" x14ac:dyDescent="0.15">
      <c r="D1484" s="12"/>
      <c r="E1484" s="12"/>
      <c r="F1484" s="31"/>
      <c r="G1484" s="15"/>
      <c r="H1484" s="15"/>
      <c r="I1484" s="53"/>
      <c r="J1484" s="15"/>
      <c r="K1484" s="15"/>
      <c r="L1484" s="53"/>
      <c r="M1484" s="15"/>
      <c r="N1484" s="53"/>
      <c r="O1484" s="15"/>
      <c r="P1484" s="15"/>
      <c r="Q1484" s="12"/>
    </row>
    <row r="1485" spans="1:28" ht="23.25" customHeight="1" x14ac:dyDescent="0.15">
      <c r="A1485" s="13" t="s">
        <v>3021</v>
      </c>
      <c r="B1485" s="13" t="s">
        <v>2382</v>
      </c>
      <c r="C1485" s="1" t="s">
        <v>3022</v>
      </c>
      <c r="D1485" s="170" t="s">
        <v>3020</v>
      </c>
      <c r="E1485" s="172"/>
      <c r="F1485" s="31"/>
      <c r="G1485" s="15"/>
      <c r="H1485" s="15"/>
      <c r="I1485" s="53"/>
      <c r="J1485" s="15"/>
      <c r="K1485" s="15"/>
      <c r="L1485" s="53"/>
      <c r="M1485" s="15"/>
      <c r="N1485" s="53"/>
      <c r="O1485" s="15"/>
      <c r="P1485" s="15"/>
      <c r="Q1485" s="12"/>
    </row>
    <row r="1486" spans="1:28" ht="23.25" customHeight="1" x14ac:dyDescent="0.15">
      <c r="A1486" s="13" t="s">
        <v>1379</v>
      </c>
      <c r="B1486" s="13" t="s">
        <v>2340</v>
      </c>
      <c r="C1486" s="1" t="s">
        <v>1017</v>
      </c>
      <c r="D1486" s="12" t="s">
        <v>1003</v>
      </c>
      <c r="E1486" s="12" t="s">
        <v>1018</v>
      </c>
      <c r="F1486" s="31" t="s">
        <v>999</v>
      </c>
      <c r="G1486" s="15">
        <f>일위노임!G692</f>
        <v>0.1</v>
      </c>
      <c r="H1486" s="15">
        <f>합산자재!H352</f>
        <v>0</v>
      </c>
      <c r="I1486" s="53" t="str">
        <f>IF(G1486*H1486&lt;&gt;0, TRUNC(G1486*H1486, 1), "")</f>
        <v/>
      </c>
      <c r="J1486" s="15">
        <v>0.1</v>
      </c>
      <c r="K1486" s="15">
        <f>합산자재!I352</f>
        <v>172068</v>
      </c>
      <c r="L1486" s="53">
        <f>IF(G1486*K1486&lt;&gt;0, TRUNC(G1486*K1486, 1), "")</f>
        <v>17206.8</v>
      </c>
      <c r="M1486" s="15">
        <f>합산자재!J352</f>
        <v>0</v>
      </c>
      <c r="N1486" s="53" t="str">
        <f>IF(G1486*M1486&lt;&gt;0, TRUNC(G1486*M1486, 1), "")</f>
        <v/>
      </c>
      <c r="O1486" s="15">
        <f>IF((H1486+K1486+M1486)=0, "", (H1486+K1486+M1486))</f>
        <v>172068</v>
      </c>
      <c r="P1486" s="15">
        <f>IF(SUM(I1486,L1486,N1486)&lt;&gt;0,SUM(I1486,L1486,N1486),"")</f>
        <v>17206.8</v>
      </c>
      <c r="Q1486" s="12"/>
    </row>
    <row r="1487" spans="1:28" ht="23.25" customHeight="1" x14ac:dyDescent="0.15">
      <c r="B1487" s="13" t="s">
        <v>2360</v>
      </c>
      <c r="D1487" s="12" t="s">
        <v>2361</v>
      </c>
      <c r="E1487" s="12"/>
      <c r="F1487" s="31"/>
      <c r="G1487" s="15"/>
      <c r="H1487" s="15"/>
      <c r="I1487" s="53">
        <f>TRUNC(SUM(I1485:I1486))</f>
        <v>0</v>
      </c>
      <c r="J1487" s="15"/>
      <c r="K1487" s="15"/>
      <c r="L1487" s="53">
        <f>TRUNC(SUM(L1485:L1486))</f>
        <v>17206</v>
      </c>
      <c r="M1487" s="15"/>
      <c r="N1487" s="53">
        <f>TRUNC(SUM(N1485:N1486))</f>
        <v>0</v>
      </c>
      <c r="O1487" s="15" t="str">
        <f>IF((H1487+K1487+M1487)=0, "", (H1487+K1487+M1487))</f>
        <v/>
      </c>
      <c r="P1487" s="15">
        <f>IF(SUM(I1487,L1487,N1487)&lt;&gt;0,SUM(I1487,L1487,N1487),"")</f>
        <v>17206</v>
      </c>
      <c r="Q1487" s="12"/>
    </row>
    <row r="1488" spans="1:28" ht="23.25" customHeight="1" x14ac:dyDescent="0.15">
      <c r="D1488" s="12"/>
      <c r="E1488" s="12"/>
      <c r="F1488" s="31"/>
      <c r="G1488" s="15"/>
      <c r="H1488" s="15"/>
      <c r="I1488" s="53"/>
      <c r="J1488" s="15"/>
      <c r="K1488" s="15"/>
      <c r="L1488" s="53"/>
      <c r="M1488" s="15"/>
      <c r="N1488" s="53"/>
      <c r="O1488" s="15"/>
      <c r="P1488" s="15"/>
      <c r="Q1488" s="12"/>
    </row>
    <row r="1489" spans="1:18" ht="23.25" customHeight="1" x14ac:dyDescent="0.15">
      <c r="A1489" s="13" t="s">
        <v>3024</v>
      </c>
      <c r="B1489" s="13" t="s">
        <v>2382</v>
      </c>
      <c r="C1489" s="1" t="s">
        <v>3025</v>
      </c>
      <c r="D1489" s="170" t="s">
        <v>3023</v>
      </c>
      <c r="E1489" s="172"/>
      <c r="F1489" s="31"/>
      <c r="G1489" s="15"/>
      <c r="H1489" s="15"/>
      <c r="I1489" s="53"/>
      <c r="J1489" s="15"/>
      <c r="K1489" s="15"/>
      <c r="L1489" s="53"/>
      <c r="M1489" s="15"/>
      <c r="N1489" s="53"/>
      <c r="O1489" s="15"/>
      <c r="P1489" s="15"/>
      <c r="Q1489" s="12"/>
    </row>
    <row r="1490" spans="1:18" ht="23.25" customHeight="1" x14ac:dyDescent="0.15">
      <c r="A1490" s="13" t="s">
        <v>1379</v>
      </c>
      <c r="B1490" s="13" t="s">
        <v>2344</v>
      </c>
      <c r="C1490" s="1" t="s">
        <v>1017</v>
      </c>
      <c r="D1490" s="12" t="s">
        <v>1003</v>
      </c>
      <c r="E1490" s="12" t="s">
        <v>1018</v>
      </c>
      <c r="F1490" s="31" t="s">
        <v>999</v>
      </c>
      <c r="G1490" s="15">
        <f>일위노임!G695</f>
        <v>0.2</v>
      </c>
      <c r="H1490" s="15">
        <f>합산자재!H352</f>
        <v>0</v>
      </c>
      <c r="I1490" s="53" t="str">
        <f>IF(G1490*H1490&lt;&gt;0, TRUNC(G1490*H1490, 1), "")</f>
        <v/>
      </c>
      <c r="J1490" s="15">
        <v>0.2</v>
      </c>
      <c r="K1490" s="15">
        <f>합산자재!I352</f>
        <v>172068</v>
      </c>
      <c r="L1490" s="53">
        <f>IF(G1490*K1490&lt;&gt;0, TRUNC(G1490*K1490, 1), "")</f>
        <v>34413.599999999999</v>
      </c>
      <c r="M1490" s="15">
        <f>합산자재!J352</f>
        <v>0</v>
      </c>
      <c r="N1490" s="53" t="str">
        <f>IF(G1490*M1490&lt;&gt;0, TRUNC(G1490*M1490, 1), "")</f>
        <v/>
      </c>
      <c r="O1490" s="15">
        <f>IF((H1490+K1490+M1490)=0, "", (H1490+K1490+M1490))</f>
        <v>172068</v>
      </c>
      <c r="P1490" s="15">
        <f>IF(SUM(I1490,L1490,N1490)&lt;&gt;0,SUM(I1490,L1490,N1490),"")</f>
        <v>34413.599999999999</v>
      </c>
      <c r="Q1490" s="12"/>
    </row>
    <row r="1491" spans="1:18" ht="23.25" customHeight="1" x14ac:dyDescent="0.15">
      <c r="B1491" s="13" t="s">
        <v>2360</v>
      </c>
      <c r="D1491" s="12" t="s">
        <v>2361</v>
      </c>
      <c r="E1491" s="12"/>
      <c r="F1491" s="31"/>
      <c r="G1491" s="15"/>
      <c r="H1491" s="15"/>
      <c r="I1491" s="53">
        <f>TRUNC(SUM(I1489:I1490))</f>
        <v>0</v>
      </c>
      <c r="J1491" s="15"/>
      <c r="K1491" s="15"/>
      <c r="L1491" s="53">
        <f>TRUNC(SUM(L1489:L1490))</f>
        <v>34413</v>
      </c>
      <c r="M1491" s="15"/>
      <c r="N1491" s="53">
        <f>TRUNC(SUM(N1489:N1490))</f>
        <v>0</v>
      </c>
      <c r="O1491" s="15" t="str">
        <f>IF((H1491+K1491+M1491)=0, "", (H1491+K1491+M1491))</f>
        <v/>
      </c>
      <c r="P1491" s="15">
        <f>IF(SUM(I1491,L1491,N1491)&lt;&gt;0,SUM(I1491,L1491,N1491),"")</f>
        <v>34413</v>
      </c>
      <c r="Q1491" s="12"/>
    </row>
    <row r="1492" spans="1:18" ht="23.25" customHeight="1" x14ac:dyDescent="0.15">
      <c r="D1492" s="12"/>
      <c r="E1492" s="12"/>
      <c r="F1492" s="31"/>
      <c r="G1492" s="15"/>
      <c r="H1492" s="15"/>
      <c r="I1492" s="53"/>
      <c r="J1492" s="15"/>
      <c r="K1492" s="15"/>
      <c r="L1492" s="53"/>
      <c r="M1492" s="15"/>
      <c r="N1492" s="53"/>
      <c r="O1492" s="15"/>
      <c r="P1492" s="15"/>
      <c r="Q1492" s="12"/>
    </row>
    <row r="1493" spans="1:18" ht="23.25" customHeight="1" x14ac:dyDescent="0.15">
      <c r="A1493" s="13" t="s">
        <v>3027</v>
      </c>
      <c r="B1493" s="13" t="s">
        <v>2382</v>
      </c>
      <c r="C1493" s="1" t="s">
        <v>3028</v>
      </c>
      <c r="D1493" s="170" t="s">
        <v>3026</v>
      </c>
      <c r="E1493" s="172"/>
      <c r="F1493" s="31"/>
      <c r="G1493" s="15"/>
      <c r="H1493" s="15"/>
      <c r="I1493" s="53"/>
      <c r="J1493" s="15"/>
      <c r="K1493" s="15"/>
      <c r="L1493" s="53"/>
      <c r="M1493" s="15"/>
      <c r="N1493" s="53"/>
      <c r="O1493" s="15"/>
      <c r="P1493" s="15"/>
      <c r="Q1493" s="12"/>
    </row>
    <row r="1494" spans="1:18" ht="23.25" customHeight="1" x14ac:dyDescent="0.15">
      <c r="A1494" s="13" t="s">
        <v>1379</v>
      </c>
      <c r="B1494" s="13" t="s">
        <v>2349</v>
      </c>
      <c r="C1494" s="1" t="s">
        <v>1017</v>
      </c>
      <c r="D1494" s="12" t="s">
        <v>1003</v>
      </c>
      <c r="E1494" s="12" t="s">
        <v>1018</v>
      </c>
      <c r="F1494" s="31" t="s">
        <v>999</v>
      </c>
      <c r="G1494" s="15">
        <f>일위노임!G698</f>
        <v>1.1000000000000001</v>
      </c>
      <c r="H1494" s="15">
        <f>합산자재!H352</f>
        <v>0</v>
      </c>
      <c r="I1494" s="53" t="str">
        <f>IF(G1494*H1494&lt;&gt;0, TRUNC(G1494*H1494, 1), "")</f>
        <v/>
      </c>
      <c r="J1494" s="15">
        <v>1.1000000000000001</v>
      </c>
      <c r="K1494" s="15">
        <f>합산자재!I352</f>
        <v>172068</v>
      </c>
      <c r="L1494" s="53">
        <f>IF(G1494*K1494&lt;&gt;0, TRUNC(G1494*K1494, 1), "")</f>
        <v>189274.8</v>
      </c>
      <c r="M1494" s="15">
        <f>합산자재!J352</f>
        <v>0</v>
      </c>
      <c r="N1494" s="53" t="str">
        <f>IF(G1494*M1494&lt;&gt;0, TRUNC(G1494*M1494, 1), "")</f>
        <v/>
      </c>
      <c r="O1494" s="15">
        <f>IF((H1494+K1494+M1494)=0, "", (H1494+K1494+M1494))</f>
        <v>172068</v>
      </c>
      <c r="P1494" s="15">
        <f>IF(SUM(I1494,L1494,N1494)&lt;&gt;0,SUM(I1494,L1494,N1494),"")</f>
        <v>189274.8</v>
      </c>
      <c r="Q1494" s="12"/>
    </row>
    <row r="1495" spans="1:18" ht="23.25" customHeight="1" x14ac:dyDescent="0.15">
      <c r="A1495" s="13" t="s">
        <v>2362</v>
      </c>
      <c r="B1495" s="13" t="s">
        <v>2349</v>
      </c>
      <c r="C1495" s="1" t="s">
        <v>2363</v>
      </c>
      <c r="D1495" s="12" t="s">
        <v>2364</v>
      </c>
      <c r="E1495" s="12" t="s">
        <v>2365</v>
      </c>
      <c r="F1495" s="31" t="s">
        <v>792</v>
      </c>
      <c r="G1495" s="15">
        <v>1</v>
      </c>
      <c r="H1495" s="15">
        <v>3785.4</v>
      </c>
      <c r="I1495" s="53">
        <f>IF(G1495*H1495&lt;&gt;0, TRUNC(G1495*H1495, 1), "")</f>
        <v>3785.4</v>
      </c>
      <c r="J1495" s="15">
        <v>1</v>
      </c>
      <c r="K1495" s="15"/>
      <c r="L1495" s="53" t="str">
        <f>IF(G1495*K1495&lt;&gt;0, TRUNC(G1495*K1495, 1), "")</f>
        <v/>
      </c>
      <c r="M1495" s="15"/>
      <c r="N1495" s="53" t="str">
        <f>IF(G1495*M1495&lt;&gt;0, TRUNC(G1495*M1495, 1), "")</f>
        <v/>
      </c>
      <c r="O1495" s="15">
        <f>IF((H1495+K1495+M1495)=0, "", (H1495+K1495+M1495))</f>
        <v>3785.4</v>
      </c>
      <c r="P1495" s="15">
        <f>IF(SUM(I1495,L1495,N1495)&lt;&gt;0,SUM(I1495,L1495,N1495),"")</f>
        <v>3785.4</v>
      </c>
      <c r="Q1495" s="12"/>
    </row>
    <row r="1496" spans="1:18" ht="23.25" customHeight="1" x14ac:dyDescent="0.15">
      <c r="B1496" s="13" t="s">
        <v>2360</v>
      </c>
      <c r="D1496" s="12" t="s">
        <v>2361</v>
      </c>
      <c r="E1496" s="12"/>
      <c r="F1496" s="31"/>
      <c r="G1496" s="15"/>
      <c r="H1496" s="15"/>
      <c r="I1496" s="53">
        <f>TRUNC(SUM(I1493:I1495))</f>
        <v>3785</v>
      </c>
      <c r="J1496" s="15"/>
      <c r="K1496" s="15"/>
      <c r="L1496" s="53">
        <f>TRUNC(SUM(L1493:L1495))</f>
        <v>189274</v>
      </c>
      <c r="M1496" s="15"/>
      <c r="N1496" s="53">
        <f>TRUNC(SUM(N1493:N1495))</f>
        <v>0</v>
      </c>
      <c r="O1496" s="15" t="str">
        <f>IF((H1496+K1496+M1496)=0, "", (H1496+K1496+M1496))</f>
        <v/>
      </c>
      <c r="P1496" s="15">
        <f>IF(SUM(I1496,L1496,N1496)&lt;&gt;0,SUM(I1496,L1496,N1496),"")</f>
        <v>193059</v>
      </c>
      <c r="Q1496" s="12"/>
    </row>
    <row r="1497" spans="1:18" ht="23.25" customHeight="1" x14ac:dyDescent="0.15">
      <c r="D1497" s="12"/>
      <c r="E1497" s="12"/>
      <c r="F1497" s="31"/>
      <c r="G1497" s="15"/>
      <c r="H1497" s="15"/>
      <c r="I1497" s="53"/>
      <c r="J1497" s="15"/>
      <c r="K1497" s="15"/>
      <c r="L1497" s="53"/>
      <c r="M1497" s="15"/>
      <c r="N1497" s="53"/>
      <c r="O1497" s="15"/>
      <c r="P1497" s="15"/>
      <c r="Q1497" s="12"/>
    </row>
    <row r="1498" spans="1:18" ht="23.25" customHeight="1" x14ac:dyDescent="0.15">
      <c r="A1498" s="13" t="s">
        <v>3030</v>
      </c>
      <c r="B1498" s="13" t="s">
        <v>2382</v>
      </c>
      <c r="C1498" s="1" t="s">
        <v>3031</v>
      </c>
      <c r="D1498" s="170" t="s">
        <v>3029</v>
      </c>
      <c r="E1498" s="172"/>
      <c r="F1498" s="31"/>
      <c r="G1498" s="15"/>
      <c r="H1498" s="15"/>
      <c r="I1498" s="53"/>
      <c r="J1498" s="15"/>
      <c r="K1498" s="15"/>
      <c r="L1498" s="53"/>
      <c r="M1498" s="15"/>
      <c r="N1498" s="53"/>
      <c r="O1498" s="15"/>
      <c r="P1498" s="15"/>
      <c r="Q1498" s="12"/>
    </row>
    <row r="1499" spans="1:18" ht="23.25" customHeight="1" x14ac:dyDescent="0.15">
      <c r="A1499" s="13" t="s">
        <v>1369</v>
      </c>
      <c r="B1499" s="13" t="s">
        <v>2354</v>
      </c>
      <c r="C1499" s="1" t="s">
        <v>993</v>
      </c>
      <c r="D1499" s="12" t="s">
        <v>994</v>
      </c>
      <c r="E1499" s="12" t="s">
        <v>995</v>
      </c>
      <c r="F1499" s="31" t="s">
        <v>740</v>
      </c>
      <c r="G1499" s="15">
        <v>0.25979999999999998</v>
      </c>
      <c r="H1499" s="15">
        <f>합산자재!H342</f>
        <v>0</v>
      </c>
      <c r="I1499" s="53" t="str">
        <f>IF(G1499*H1499&lt;&gt;0, TRUNC(G1499*H1499, 1), "")</f>
        <v/>
      </c>
      <c r="J1499" s="15">
        <v>0.25979999999999998</v>
      </c>
      <c r="K1499" s="15">
        <f>합산자재!I342</f>
        <v>0</v>
      </c>
      <c r="L1499" s="53">
        <f>TRUNC(J1499*K1499, 1)</f>
        <v>0</v>
      </c>
      <c r="M1499" s="15">
        <f>합산자재!J342</f>
        <v>39750</v>
      </c>
      <c r="N1499" s="53">
        <v>0</v>
      </c>
      <c r="O1499" s="15">
        <f t="shared" ref="O1499:O1504" si="153">IF((H1499+K1499+M1499)=0, "", (H1499+K1499+M1499))</f>
        <v>39750</v>
      </c>
      <c r="P1499" s="15" t="str">
        <f t="shared" ref="P1499:P1504" si="154">IF(SUM(I1499,L1499,N1499)&lt;&gt;0,SUM(I1499,L1499,N1499),"")</f>
        <v/>
      </c>
      <c r="Q1499" s="12" t="s">
        <v>2379</v>
      </c>
      <c r="R1499" s="2" t="s">
        <v>2359</v>
      </c>
    </row>
    <row r="1500" spans="1:18" ht="23.25" customHeight="1" x14ac:dyDescent="0.15">
      <c r="A1500" s="13" t="s">
        <v>1295</v>
      </c>
      <c r="B1500" s="13" t="s">
        <v>2354</v>
      </c>
      <c r="C1500" s="1" t="s">
        <v>706</v>
      </c>
      <c r="D1500" s="12" t="s">
        <v>838</v>
      </c>
      <c r="E1500" s="12" t="s">
        <v>839</v>
      </c>
      <c r="F1500" s="31" t="s">
        <v>840</v>
      </c>
      <c r="G1500" s="15">
        <v>5.0999999999999996</v>
      </c>
      <c r="H1500" s="15"/>
      <c r="I1500" s="53" t="str">
        <f>IF(G1500*H1500&lt;&gt;0, TRUNC(G1500*H1500, 1), "")</f>
        <v/>
      </c>
      <c r="J1500" s="15">
        <v>5.0999999999999996</v>
      </c>
      <c r="K1500" s="15">
        <f>합산자재!I271</f>
        <v>0</v>
      </c>
      <c r="L1500" s="53" t="str">
        <f>IF(G1500*K1500&lt;&gt;0, TRUNC(G1500*K1500, 1), "")</f>
        <v/>
      </c>
      <c r="M1500" s="15">
        <f>합산자재!J271</f>
        <v>39750</v>
      </c>
      <c r="N1500" s="53">
        <v>0</v>
      </c>
      <c r="O1500" s="15">
        <f t="shared" si="153"/>
        <v>39750</v>
      </c>
      <c r="P1500" s="15" t="str">
        <f t="shared" si="154"/>
        <v/>
      </c>
      <c r="Q1500" s="12" t="s">
        <v>2379</v>
      </c>
    </row>
    <row r="1501" spans="1:18" ht="23.25" customHeight="1" x14ac:dyDescent="0.15">
      <c r="A1501" s="13" t="s">
        <v>1296</v>
      </c>
      <c r="B1501" s="13" t="s">
        <v>2354</v>
      </c>
      <c r="C1501" s="1" t="s">
        <v>706</v>
      </c>
      <c r="D1501" s="12" t="s">
        <v>841</v>
      </c>
      <c r="E1501" s="12" t="s">
        <v>842</v>
      </c>
      <c r="F1501" s="31" t="s">
        <v>792</v>
      </c>
      <c r="G1501" s="15">
        <v>1</v>
      </c>
      <c r="H1501" s="15"/>
      <c r="I1501" s="53" t="str">
        <f>IF(G1501*H1501&lt;&gt;0, TRUNC(G1501*H1501, 1), "")</f>
        <v/>
      </c>
      <c r="J1501" s="15">
        <v>1</v>
      </c>
      <c r="K1501" s="15">
        <f>합산자재!I272</f>
        <v>0</v>
      </c>
      <c r="L1501" s="53" t="str">
        <f>IF(G1501*K1501&lt;&gt;0, TRUNC(G1501*K1501, 1), "")</f>
        <v/>
      </c>
      <c r="M1501" s="15">
        <f>합산자재!J272</f>
        <v>0</v>
      </c>
      <c r="N1501" s="53" t="str">
        <f>IF(G1501*M1501&lt;&gt;0, TRUNC(G1501*M1501, 1), "")</f>
        <v/>
      </c>
      <c r="O1501" s="15" t="str">
        <f t="shared" si="153"/>
        <v/>
      </c>
      <c r="P1501" s="15" t="str">
        <f t="shared" si="154"/>
        <v/>
      </c>
      <c r="Q1501" s="12" t="s">
        <v>2379</v>
      </c>
    </row>
    <row r="1502" spans="1:18" ht="23.25" customHeight="1" x14ac:dyDescent="0.15">
      <c r="A1502" s="13" t="s">
        <v>1370</v>
      </c>
      <c r="B1502" s="13" t="s">
        <v>2354</v>
      </c>
      <c r="C1502" s="1" t="s">
        <v>996</v>
      </c>
      <c r="D1502" s="12" t="s">
        <v>997</v>
      </c>
      <c r="E1502" s="12" t="s">
        <v>998</v>
      </c>
      <c r="F1502" s="31" t="s">
        <v>999</v>
      </c>
      <c r="G1502" s="15">
        <v>1</v>
      </c>
      <c r="H1502" s="15">
        <f>합산자재!H343</f>
        <v>0</v>
      </c>
      <c r="I1502" s="53" t="str">
        <f>IF(G1502*H1502&lt;&gt;0, TRUNC(G1502*H1502, 1), "")</f>
        <v/>
      </c>
      <c r="J1502" s="15">
        <v>1</v>
      </c>
      <c r="K1502" s="15">
        <f>합산자재!I343</f>
        <v>50142.7</v>
      </c>
      <c r="L1502" s="53">
        <v>0</v>
      </c>
      <c r="M1502" s="15">
        <f>합산자재!J343</f>
        <v>0</v>
      </c>
      <c r="N1502" s="53" t="str">
        <f>IF(G1502*M1502&lt;&gt;0, TRUNC(G1502*M1502, 1), "")</f>
        <v/>
      </c>
      <c r="O1502" s="15">
        <f t="shared" si="153"/>
        <v>50142.7</v>
      </c>
      <c r="P1502" s="15" t="str">
        <f t="shared" si="154"/>
        <v/>
      </c>
      <c r="Q1502" s="12" t="s">
        <v>2379</v>
      </c>
      <c r="R1502" s="2" t="s">
        <v>2359</v>
      </c>
    </row>
    <row r="1503" spans="1:18" ht="23.25" customHeight="1" x14ac:dyDescent="0.15">
      <c r="A1503" s="13" t="s">
        <v>1371</v>
      </c>
      <c r="B1503" s="13" t="s">
        <v>2354</v>
      </c>
      <c r="C1503" s="1" t="s">
        <v>990</v>
      </c>
      <c r="D1503" s="12" t="s">
        <v>1000</v>
      </c>
      <c r="E1503" s="12" t="s">
        <v>1001</v>
      </c>
      <c r="F1503" s="31" t="s">
        <v>792</v>
      </c>
      <c r="G1503" s="15">
        <v>1</v>
      </c>
      <c r="H1503" s="15">
        <f>합산자재!H344</f>
        <v>0</v>
      </c>
      <c r="I1503" s="53" t="str">
        <f>IF(G1503*H1503&lt;&gt;0, TRUNC(G1503*H1503, 1), "")</f>
        <v/>
      </c>
      <c r="J1503" s="15">
        <v>1</v>
      </c>
      <c r="K1503" s="15">
        <f>합산자재!I344</f>
        <v>0</v>
      </c>
      <c r="L1503" s="53">
        <f>TRUNC(J1503*K1503, 1)</f>
        <v>0</v>
      </c>
      <c r="M1503" s="15">
        <f>합산자재!J344</f>
        <v>68260</v>
      </c>
      <c r="N1503" s="53">
        <f>IF(G1503*M1503&lt;&gt;0, TRUNC(G1503*M1503, 1), "")</f>
        <v>68260</v>
      </c>
      <c r="O1503" s="15">
        <f t="shared" si="153"/>
        <v>68260</v>
      </c>
      <c r="P1503" s="15">
        <f t="shared" si="154"/>
        <v>68260</v>
      </c>
      <c r="Q1503" s="12"/>
      <c r="R1503" s="2" t="s">
        <v>2359</v>
      </c>
    </row>
    <row r="1504" spans="1:18" ht="23.25" customHeight="1" x14ac:dyDescent="0.15">
      <c r="B1504" s="13" t="s">
        <v>2360</v>
      </c>
      <c r="D1504" s="12" t="s">
        <v>2361</v>
      </c>
      <c r="E1504" s="12"/>
      <c r="F1504" s="31"/>
      <c r="G1504" s="15"/>
      <c r="H1504" s="15"/>
      <c r="I1504" s="53">
        <f>TRUNC(SUM(I1498:I1503))</f>
        <v>0</v>
      </c>
      <c r="J1504" s="15"/>
      <c r="K1504" s="15"/>
      <c r="L1504" s="53">
        <f>TRUNC(SUM(L1498:L1503))</f>
        <v>0</v>
      </c>
      <c r="M1504" s="15"/>
      <c r="N1504" s="53">
        <f>TRUNC(SUM(N1498:N1503))</f>
        <v>68260</v>
      </c>
      <c r="O1504" s="15" t="str">
        <f t="shared" si="153"/>
        <v/>
      </c>
      <c r="P1504" s="15">
        <f t="shared" si="154"/>
        <v>68260</v>
      </c>
      <c r="Q1504" s="12"/>
    </row>
    <row r="1505" spans="4:17" ht="23.25" customHeight="1" x14ac:dyDescent="0.15">
      <c r="D1505" s="12"/>
      <c r="E1505" s="12"/>
      <c r="F1505" s="31"/>
      <c r="G1505" s="15"/>
      <c r="H1505" s="15"/>
      <c r="I1505" s="53"/>
      <c r="J1505" s="15"/>
      <c r="K1505" s="15"/>
      <c r="L1505" s="53"/>
      <c r="M1505" s="15"/>
      <c r="N1505" s="53"/>
      <c r="O1505" s="15"/>
      <c r="P1505" s="15"/>
      <c r="Q1505" s="12"/>
    </row>
    <row r="1506" spans="4:17" ht="23.25" customHeight="1" x14ac:dyDescent="0.15">
      <c r="D1506" s="12"/>
      <c r="E1506" s="12"/>
      <c r="F1506" s="31"/>
      <c r="G1506" s="15"/>
      <c r="H1506" s="15"/>
      <c r="I1506" s="53"/>
      <c r="J1506" s="15"/>
      <c r="K1506" s="15"/>
      <c r="L1506" s="53"/>
      <c r="M1506" s="15"/>
      <c r="N1506" s="53"/>
      <c r="O1506" s="15"/>
      <c r="P1506" s="15"/>
      <c r="Q1506" s="12"/>
    </row>
    <row r="1507" spans="4:17" ht="23.25" customHeight="1" x14ac:dyDescent="0.15">
      <c r="D1507" s="12"/>
      <c r="E1507" s="12"/>
      <c r="F1507" s="31"/>
      <c r="G1507" s="15"/>
      <c r="H1507" s="15"/>
      <c r="I1507" s="53"/>
      <c r="J1507" s="15"/>
      <c r="K1507" s="15"/>
      <c r="L1507" s="53"/>
      <c r="M1507" s="15"/>
      <c r="N1507" s="53"/>
      <c r="O1507" s="15"/>
      <c r="P1507" s="15"/>
      <c r="Q1507" s="12"/>
    </row>
    <row r="1508" spans="4:17" ht="23.25" customHeight="1" x14ac:dyDescent="0.15">
      <c r="D1508" s="12"/>
      <c r="E1508" s="12"/>
      <c r="F1508" s="31"/>
      <c r="G1508" s="15"/>
      <c r="H1508" s="15"/>
      <c r="I1508" s="53"/>
      <c r="J1508" s="15"/>
      <c r="K1508" s="15"/>
      <c r="L1508" s="53"/>
      <c r="M1508" s="15"/>
      <c r="N1508" s="53"/>
      <c r="O1508" s="15"/>
      <c r="P1508" s="15"/>
      <c r="Q1508" s="12"/>
    </row>
    <row r="1509" spans="4:17" ht="23.25" customHeight="1" x14ac:dyDescent="0.15">
      <c r="D1509" s="12"/>
      <c r="E1509" s="12"/>
      <c r="F1509" s="31"/>
      <c r="G1509" s="15"/>
      <c r="H1509" s="15"/>
      <c r="I1509" s="53"/>
      <c r="J1509" s="15"/>
      <c r="K1509" s="15"/>
      <c r="L1509" s="53"/>
      <c r="M1509" s="15"/>
      <c r="N1509" s="53"/>
      <c r="O1509" s="15"/>
      <c r="P1509" s="15"/>
      <c r="Q1509" s="12"/>
    </row>
    <row r="1510" spans="4:17" ht="23.25" customHeight="1" x14ac:dyDescent="0.15">
      <c r="D1510" s="12"/>
      <c r="E1510" s="12"/>
      <c r="F1510" s="31"/>
      <c r="G1510" s="15"/>
      <c r="H1510" s="15"/>
      <c r="I1510" s="53"/>
      <c r="J1510" s="15"/>
      <c r="K1510" s="15"/>
      <c r="L1510" s="53"/>
      <c r="M1510" s="15"/>
      <c r="N1510" s="53"/>
      <c r="O1510" s="15"/>
      <c r="P1510" s="15"/>
      <c r="Q1510" s="12"/>
    </row>
    <row r="1511" spans="4:17" ht="23.25" customHeight="1" x14ac:dyDescent="0.15">
      <c r="D1511" s="12"/>
      <c r="E1511" s="12"/>
      <c r="F1511" s="31"/>
      <c r="G1511" s="15"/>
      <c r="H1511" s="15"/>
      <c r="I1511" s="53"/>
      <c r="J1511" s="15"/>
      <c r="K1511" s="15"/>
      <c r="L1511" s="53"/>
      <c r="M1511" s="15"/>
      <c r="N1511" s="53"/>
      <c r="O1511" s="15"/>
      <c r="P1511" s="15"/>
      <c r="Q1511" s="12"/>
    </row>
  </sheetData>
  <mergeCells count="231">
    <mergeCell ref="D1493:E1493"/>
    <mergeCell ref="D1498:E1498"/>
    <mergeCell ref="D1469:E1469"/>
    <mergeCell ref="D1475:E1475"/>
    <mergeCell ref="D1481:E1481"/>
    <mergeCell ref="D1485:E1485"/>
    <mergeCell ref="D1489:E1489"/>
    <mergeCell ref="D1439:E1439"/>
    <mergeCell ref="D1445:E1445"/>
    <mergeCell ref="D1451:E1451"/>
    <mergeCell ref="D1457:E1457"/>
    <mergeCell ref="D1463:E1463"/>
    <mergeCell ref="D1411:E1411"/>
    <mergeCell ref="D1417:E1417"/>
    <mergeCell ref="D1421:E1421"/>
    <mergeCell ref="D1427:E1427"/>
    <mergeCell ref="D1433:E1433"/>
    <mergeCell ref="D1381:E1381"/>
    <mergeCell ref="D1387:E1387"/>
    <mergeCell ref="D1393:E1393"/>
    <mergeCell ref="D1399:E1399"/>
    <mergeCell ref="D1405:E1405"/>
    <mergeCell ref="D1351:E1351"/>
    <mergeCell ref="D1357:E1357"/>
    <mergeCell ref="D1363:E1363"/>
    <mergeCell ref="D1369:E1369"/>
    <mergeCell ref="D1375:E1375"/>
    <mergeCell ref="D1321:E1321"/>
    <mergeCell ref="D1327:E1327"/>
    <mergeCell ref="D1333:E1333"/>
    <mergeCell ref="D1339:E1339"/>
    <mergeCell ref="D1345:E1345"/>
    <mergeCell ref="D1291:E1291"/>
    <mergeCell ref="D1297:E1297"/>
    <mergeCell ref="D1303:E1303"/>
    <mergeCell ref="D1309:E1309"/>
    <mergeCell ref="D1315:E1315"/>
    <mergeCell ref="D1261:E1261"/>
    <mergeCell ref="D1267:E1267"/>
    <mergeCell ref="D1273:E1273"/>
    <mergeCell ref="D1279:E1279"/>
    <mergeCell ref="D1285:E1285"/>
    <mergeCell ref="D1231:E1231"/>
    <mergeCell ref="D1237:E1237"/>
    <mergeCell ref="D1243:E1243"/>
    <mergeCell ref="D1249:E1249"/>
    <mergeCell ref="D1255:E1255"/>
    <mergeCell ref="D1201:E1201"/>
    <mergeCell ref="D1207:E1207"/>
    <mergeCell ref="D1213:E1213"/>
    <mergeCell ref="D1219:E1219"/>
    <mergeCell ref="D1225:E1225"/>
    <mergeCell ref="D1170:E1170"/>
    <mergeCell ref="D1176:E1176"/>
    <mergeCell ref="D1182:E1182"/>
    <mergeCell ref="D1188:E1188"/>
    <mergeCell ref="D1194:E1194"/>
    <mergeCell ref="D1139:E1139"/>
    <mergeCell ref="D1145:E1145"/>
    <mergeCell ref="D1151:E1151"/>
    <mergeCell ref="D1158:E1158"/>
    <mergeCell ref="D1164:E1164"/>
    <mergeCell ref="D1109:E1109"/>
    <mergeCell ref="D1115:E1115"/>
    <mergeCell ref="D1121:E1121"/>
    <mergeCell ref="D1127:E1127"/>
    <mergeCell ref="D1133:E1133"/>
    <mergeCell ref="D1079:E1079"/>
    <mergeCell ref="D1085:E1085"/>
    <mergeCell ref="D1091:E1091"/>
    <mergeCell ref="D1097:E1097"/>
    <mergeCell ref="D1103:E1103"/>
    <mergeCell ref="D1045:E1045"/>
    <mergeCell ref="D1053:E1053"/>
    <mergeCell ref="D1061:E1061"/>
    <mergeCell ref="D1067:E1067"/>
    <mergeCell ref="D1073:E1073"/>
    <mergeCell ref="D1005:E1005"/>
    <mergeCell ref="D1013:E1013"/>
    <mergeCell ref="D1021:E1021"/>
    <mergeCell ref="D1029:E1029"/>
    <mergeCell ref="D1037:E1037"/>
    <mergeCell ref="D975:E975"/>
    <mergeCell ref="D981:E981"/>
    <mergeCell ref="D987:E987"/>
    <mergeCell ref="D993:E993"/>
    <mergeCell ref="D999:E999"/>
    <mergeCell ref="D945:E945"/>
    <mergeCell ref="D951:E951"/>
    <mergeCell ref="D957:E957"/>
    <mergeCell ref="D963:E963"/>
    <mergeCell ref="D969:E969"/>
    <mergeCell ref="D913:E913"/>
    <mergeCell ref="D919:E919"/>
    <mergeCell ref="D925:E925"/>
    <mergeCell ref="D932:E932"/>
    <mergeCell ref="D939:E939"/>
    <mergeCell ref="D881:E881"/>
    <mergeCell ref="D887:E887"/>
    <mergeCell ref="D894:E894"/>
    <mergeCell ref="D901:E901"/>
    <mergeCell ref="D907:E907"/>
    <mergeCell ref="D851:E851"/>
    <mergeCell ref="D857:E857"/>
    <mergeCell ref="D863:E863"/>
    <mergeCell ref="D869:E869"/>
    <mergeCell ref="D875:E875"/>
    <mergeCell ref="D819:E819"/>
    <mergeCell ref="D826:E826"/>
    <mergeCell ref="D833:E833"/>
    <mergeCell ref="D839:E839"/>
    <mergeCell ref="D845:E845"/>
    <mergeCell ref="D783:E783"/>
    <mergeCell ref="D790:E790"/>
    <mergeCell ref="D797:E797"/>
    <mergeCell ref="D804:E804"/>
    <mergeCell ref="D811:E811"/>
    <mergeCell ref="D748:E748"/>
    <mergeCell ref="D755:E755"/>
    <mergeCell ref="D762:E762"/>
    <mergeCell ref="D769:E769"/>
    <mergeCell ref="D776:E776"/>
    <mergeCell ref="D713:E713"/>
    <mergeCell ref="D720:E720"/>
    <mergeCell ref="D727:E727"/>
    <mergeCell ref="D734:E734"/>
    <mergeCell ref="D741:E741"/>
    <mergeCell ref="D678:E678"/>
    <mergeCell ref="D685:E685"/>
    <mergeCell ref="D692:E692"/>
    <mergeCell ref="D699:E699"/>
    <mergeCell ref="D706:E706"/>
    <mergeCell ref="D643:E643"/>
    <mergeCell ref="D650:E650"/>
    <mergeCell ref="D657:E657"/>
    <mergeCell ref="D664:E664"/>
    <mergeCell ref="D671:E671"/>
    <mergeCell ref="D608:E608"/>
    <mergeCell ref="D615:E615"/>
    <mergeCell ref="D622:E622"/>
    <mergeCell ref="D629:E629"/>
    <mergeCell ref="D636:E636"/>
    <mergeCell ref="D573:E573"/>
    <mergeCell ref="D580:E580"/>
    <mergeCell ref="D587:E587"/>
    <mergeCell ref="D594:E594"/>
    <mergeCell ref="D601:E601"/>
    <mergeCell ref="D541:E541"/>
    <mergeCell ref="D547:E547"/>
    <mergeCell ref="D553:E553"/>
    <mergeCell ref="D559:E559"/>
    <mergeCell ref="D566:E566"/>
    <mergeCell ref="D511:E511"/>
    <mergeCell ref="D517:E517"/>
    <mergeCell ref="D523:E523"/>
    <mergeCell ref="D529:E529"/>
    <mergeCell ref="D535:E535"/>
    <mergeCell ref="D481:E481"/>
    <mergeCell ref="D487:E487"/>
    <mergeCell ref="D493:E493"/>
    <mergeCell ref="D499:E499"/>
    <mergeCell ref="D505:E505"/>
    <mergeCell ref="D451:E451"/>
    <mergeCell ref="D457:E457"/>
    <mergeCell ref="D463:E463"/>
    <mergeCell ref="D469:E469"/>
    <mergeCell ref="D475:E475"/>
    <mergeCell ref="D421:E421"/>
    <mergeCell ref="D427:E427"/>
    <mergeCell ref="D433:E433"/>
    <mergeCell ref="D439:E439"/>
    <mergeCell ref="D445:E445"/>
    <mergeCell ref="D386:E386"/>
    <mergeCell ref="D393:E393"/>
    <mergeCell ref="D400:E400"/>
    <mergeCell ref="D407:E407"/>
    <mergeCell ref="D414:E414"/>
    <mergeCell ref="D343:E343"/>
    <mergeCell ref="D352:E352"/>
    <mergeCell ref="D361:E361"/>
    <mergeCell ref="D370:E370"/>
    <mergeCell ref="D379:E379"/>
    <mergeCell ref="D303:E303"/>
    <mergeCell ref="D311:E311"/>
    <mergeCell ref="D319:E319"/>
    <mergeCell ref="D327:E327"/>
    <mergeCell ref="D335:E335"/>
    <mergeCell ref="D272:E272"/>
    <mergeCell ref="D277:E277"/>
    <mergeCell ref="D283:E283"/>
    <mergeCell ref="D289:E289"/>
    <mergeCell ref="D295:E295"/>
    <mergeCell ref="D231:E231"/>
    <mergeCell ref="D241:E241"/>
    <mergeCell ref="D251:E251"/>
    <mergeCell ref="D261:E261"/>
    <mergeCell ref="D266:E266"/>
    <mergeCell ref="D152:E152"/>
    <mergeCell ref="D164:E164"/>
    <mergeCell ref="D176:E176"/>
    <mergeCell ref="D200:E200"/>
    <mergeCell ref="D219:E219"/>
    <mergeCell ref="D95:E95"/>
    <mergeCell ref="D106:E106"/>
    <mergeCell ref="D117:E117"/>
    <mergeCell ref="D128:E128"/>
    <mergeCell ref="D140:E140"/>
    <mergeCell ref="D44:E44"/>
    <mergeCell ref="D54:E54"/>
    <mergeCell ref="D64:E64"/>
    <mergeCell ref="D74:E74"/>
    <mergeCell ref="D84:E84"/>
    <mergeCell ref="D4:E4"/>
    <mergeCell ref="D9:E9"/>
    <mergeCell ref="D14:E14"/>
    <mergeCell ref="D24:E24"/>
    <mergeCell ref="D34:E34"/>
    <mergeCell ref="A2:A3"/>
    <mergeCell ref="E2:E3"/>
    <mergeCell ref="D2:D3"/>
    <mergeCell ref="D1:N1"/>
    <mergeCell ref="M2:N2"/>
    <mergeCell ref="W1:Y1"/>
    <mergeCell ref="B2:B3"/>
    <mergeCell ref="C2:C3"/>
    <mergeCell ref="Q2:Q3"/>
    <mergeCell ref="P2:P3"/>
    <mergeCell ref="J2:L2"/>
    <mergeCell ref="F2:F3"/>
    <mergeCell ref="G2:G3"/>
    <mergeCell ref="H2:I2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7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05"/>
  <sheetViews>
    <sheetView topLeftCell="D1" workbookViewId="0">
      <pane ySplit="3" topLeftCell="A115" activePane="bottomLeft" state="frozen"/>
      <selection activeCell="W1" sqref="W1:AE3"/>
      <selection pane="bottomLeft" activeCell="D2" sqref="D2:D3"/>
    </sheetView>
  </sheetViews>
  <sheetFormatPr defaultRowHeight="21.95" customHeight="1" x14ac:dyDescent="0.15"/>
  <cols>
    <col min="1" max="1" width="4.6640625" style="2" hidden="1" customWidth="1"/>
    <col min="2" max="2" width="6.5546875" style="13" hidden="1" customWidth="1"/>
    <col min="3" max="3" width="10.77734375" style="13" hidden="1" customWidth="1"/>
    <col min="4" max="5" width="24.33203125" style="13" customWidth="1"/>
    <col min="6" max="6" width="4.5546875" style="2" customWidth="1"/>
    <col min="7" max="7" width="10.109375" style="2" customWidth="1"/>
    <col min="8" max="8" width="9.33203125" style="2" customWidth="1"/>
    <col min="9" max="9" width="10" style="2" customWidth="1"/>
    <col min="10" max="10" width="5.21875" style="2" customWidth="1"/>
    <col min="11" max="11" width="4.77734375" style="13" hidden="1" customWidth="1"/>
    <col min="12" max="12" width="14.109375" style="2" customWidth="1"/>
    <col min="13" max="13" width="7.21875" style="2" customWidth="1"/>
    <col min="14" max="14" width="5.44140625" style="2" customWidth="1"/>
    <col min="15" max="15" width="8.77734375" style="2" customWidth="1"/>
    <col min="16" max="16" width="2.44140625" style="35" hidden="1" customWidth="1"/>
    <col min="17" max="17" width="1.21875" style="35" hidden="1" customWidth="1"/>
    <col min="18" max="18" width="5.109375" style="35" hidden="1" customWidth="1"/>
    <col min="19" max="19" width="9.21875" style="2" customWidth="1"/>
    <col min="20" max="20" width="11.109375" style="2" customWidth="1"/>
    <col min="21" max="29" width="8.88671875" style="2"/>
    <col min="30" max="55" width="11.77734375" style="2" customWidth="1"/>
    <col min="56" max="16384" width="8.88671875" style="2"/>
  </cols>
  <sheetData>
    <row r="1" spans="1:38" ht="21.95" customHeight="1" x14ac:dyDescent="0.15">
      <c r="B1" s="13" t="s">
        <v>1661</v>
      </c>
      <c r="D1" s="174" t="s">
        <v>3263</v>
      </c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39"/>
      <c r="Q1" s="39"/>
      <c r="R1" s="39"/>
      <c r="AA1" s="2" t="s">
        <v>1385</v>
      </c>
      <c r="AB1" s="2" t="s">
        <v>1386</v>
      </c>
      <c r="AC1" s="2" t="s">
        <v>1387</v>
      </c>
      <c r="AD1" s="2" t="s">
        <v>1388</v>
      </c>
      <c r="AE1" s="2" t="s">
        <v>1389</v>
      </c>
      <c r="AF1" s="2" t="s">
        <v>1390</v>
      </c>
      <c r="AG1" s="2" t="s">
        <v>1391</v>
      </c>
      <c r="AH1" s="2" t="s">
        <v>1392</v>
      </c>
      <c r="AI1" s="2" t="s">
        <v>1393</v>
      </c>
      <c r="AJ1" s="2" t="s">
        <v>1394</v>
      </c>
      <c r="AK1" s="2" t="s">
        <v>1395</v>
      </c>
      <c r="AL1" s="2" t="s">
        <v>1396</v>
      </c>
    </row>
    <row r="2" spans="1:38" s="14" customFormat="1" ht="21.95" customHeight="1" x14ac:dyDescent="0.15">
      <c r="A2" s="179" t="s">
        <v>97</v>
      </c>
      <c r="B2" s="167" t="s">
        <v>98</v>
      </c>
      <c r="C2" s="167" t="s">
        <v>99</v>
      </c>
      <c r="D2" s="168" t="s">
        <v>100</v>
      </c>
      <c r="E2" s="168" t="s">
        <v>101</v>
      </c>
      <c r="F2" s="169" t="s">
        <v>102</v>
      </c>
      <c r="G2" s="169" t="s">
        <v>103</v>
      </c>
      <c r="H2" s="169"/>
      <c r="I2" s="169"/>
      <c r="J2" s="169"/>
      <c r="K2" s="168" t="s">
        <v>99</v>
      </c>
      <c r="L2" s="169" t="s">
        <v>104</v>
      </c>
      <c r="M2" s="169"/>
      <c r="N2" s="169"/>
      <c r="O2" s="169"/>
      <c r="P2" s="169" t="s">
        <v>105</v>
      </c>
      <c r="Q2" s="169"/>
      <c r="R2" s="169"/>
      <c r="S2" s="169" t="s">
        <v>106</v>
      </c>
      <c r="T2" s="169" t="s">
        <v>107</v>
      </c>
    </row>
    <row r="3" spans="1:38" s="14" customFormat="1" ht="21.95" customHeight="1" x14ac:dyDescent="0.15">
      <c r="A3" s="179"/>
      <c r="B3" s="167"/>
      <c r="C3" s="167"/>
      <c r="D3" s="168"/>
      <c r="E3" s="168"/>
      <c r="F3" s="169"/>
      <c r="G3" s="28" t="s">
        <v>108</v>
      </c>
      <c r="H3" s="28" t="s">
        <v>109</v>
      </c>
      <c r="I3" s="28" t="s">
        <v>110</v>
      </c>
      <c r="J3" s="28" t="s">
        <v>111</v>
      </c>
      <c r="K3" s="178"/>
      <c r="L3" s="28" t="s">
        <v>112</v>
      </c>
      <c r="M3" s="28" t="s">
        <v>113</v>
      </c>
      <c r="N3" s="28" t="s">
        <v>114</v>
      </c>
      <c r="O3" s="28" t="s">
        <v>115</v>
      </c>
      <c r="P3" s="28" t="s">
        <v>116</v>
      </c>
      <c r="Q3" s="28" t="s">
        <v>117</v>
      </c>
      <c r="R3" s="28" t="s">
        <v>118</v>
      </c>
      <c r="S3" s="169"/>
      <c r="T3" s="169"/>
    </row>
    <row r="4" spans="1:38" ht="21.95" customHeight="1" x14ac:dyDescent="0.15">
      <c r="B4" s="13" t="s">
        <v>1448</v>
      </c>
      <c r="D4" s="170" t="s">
        <v>1447</v>
      </c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</row>
    <row r="5" spans="1:38" ht="21.95" customHeight="1" x14ac:dyDescent="0.15">
      <c r="B5" s="13" t="s">
        <v>1397</v>
      </c>
      <c r="C5" s="13" t="s">
        <v>387</v>
      </c>
      <c r="D5" s="12" t="s">
        <v>388</v>
      </c>
      <c r="E5" s="12" t="s">
        <v>389</v>
      </c>
      <c r="F5" s="15" t="s">
        <v>200</v>
      </c>
      <c r="G5" s="15">
        <v>1</v>
      </c>
      <c r="H5" s="15">
        <f>IF(I5&lt;&gt;0, G5-I5, "")</f>
        <v>0</v>
      </c>
      <c r="I5" s="15">
        <v>1</v>
      </c>
      <c r="J5" s="15"/>
      <c r="K5" s="12" t="s">
        <v>1372</v>
      </c>
      <c r="L5" s="15" t="s">
        <v>1004</v>
      </c>
      <c r="M5" s="15">
        <v>3.5999999999999997E-2</v>
      </c>
      <c r="N5" s="15">
        <v>100</v>
      </c>
      <c r="O5" s="15">
        <f>IF(I5*M5=0, "", I5*M5*(N5/100))</f>
        <v>3.5999999999999997E-2</v>
      </c>
      <c r="P5" s="38"/>
      <c r="Q5" s="38">
        <f>TRUNC(P5*M5*N5/100)</f>
        <v>0</v>
      </c>
      <c r="R5" s="38"/>
      <c r="S5" s="15" t="s">
        <v>1398</v>
      </c>
      <c r="T5" s="15"/>
      <c r="AA5" s="2">
        <f>O5</f>
        <v>3.5999999999999997E-2</v>
      </c>
    </row>
    <row r="6" spans="1:38" ht="21.95" customHeight="1" x14ac:dyDescent="0.15">
      <c r="B6" s="13" t="s">
        <v>1397</v>
      </c>
      <c r="C6" s="13" t="s">
        <v>1002</v>
      </c>
      <c r="D6" s="12" t="s">
        <v>1003</v>
      </c>
      <c r="E6" s="12" t="s">
        <v>1004</v>
      </c>
      <c r="F6" s="15" t="s">
        <v>999</v>
      </c>
      <c r="G6" s="15">
        <f>IF(H6*I6/100+0.000005 &lt;1, TRUNC(H6*I6/100+0.000005, 옵션!$E$13), TRUNC(H6*I6/100+0.000005, 옵션!$E$13))</f>
        <v>3.5999999999999997E-2</v>
      </c>
      <c r="H6" s="15">
        <f>옵션!$B$13</f>
        <v>100</v>
      </c>
      <c r="I6" s="15">
        <f>SUM(AA5:AA5)</f>
        <v>3.5999999999999997E-2</v>
      </c>
      <c r="J6" s="15"/>
      <c r="K6" s="12"/>
      <c r="L6" s="15"/>
      <c r="M6" s="15"/>
      <c r="N6" s="15"/>
      <c r="O6" s="15" t="str">
        <f>IF(I6*M6=0, "", I6*M6*(N6/100))</f>
        <v/>
      </c>
      <c r="P6" s="38"/>
      <c r="Q6" s="38">
        <f>TRUNC(P6*M6*N6/100)</f>
        <v>0</v>
      </c>
      <c r="R6" s="38"/>
      <c r="S6" s="15"/>
      <c r="T6" s="15"/>
      <c r="Z6" s="2" t="s">
        <v>1399</v>
      </c>
      <c r="AA6" s="2">
        <f>SUM(AA5:AA5)</f>
        <v>3.5999999999999997E-2</v>
      </c>
    </row>
    <row r="7" spans="1:38" ht="21.95" customHeight="1" x14ac:dyDescent="0.15">
      <c r="B7" s="13" t="s">
        <v>1448</v>
      </c>
      <c r="D7" s="170" t="s">
        <v>1449</v>
      </c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2"/>
    </row>
    <row r="8" spans="1:38" ht="21.95" customHeight="1" x14ac:dyDescent="0.15">
      <c r="B8" s="13" t="s">
        <v>1397</v>
      </c>
      <c r="C8" s="13" t="s">
        <v>387</v>
      </c>
      <c r="D8" s="12" t="s">
        <v>388</v>
      </c>
      <c r="E8" s="12" t="s">
        <v>389</v>
      </c>
      <c r="F8" s="15" t="s">
        <v>200</v>
      </c>
      <c r="G8" s="15">
        <v>1</v>
      </c>
      <c r="H8" s="15">
        <f>IF(I8&lt;&gt;0, G8-I8, "")</f>
        <v>0</v>
      </c>
      <c r="I8" s="15">
        <v>1</v>
      </c>
      <c r="J8" s="15"/>
      <c r="K8" s="12" t="s">
        <v>1372</v>
      </c>
      <c r="L8" s="15" t="s">
        <v>1004</v>
      </c>
      <c r="M8" s="15">
        <v>3.5999999999999997E-2</v>
      </c>
      <c r="N8" s="15">
        <v>100</v>
      </c>
      <c r="O8" s="15">
        <f>IF(I8*M8=0, "", I8*M8*(N8/100))</f>
        <v>3.5999999999999997E-2</v>
      </c>
      <c r="P8" s="38"/>
      <c r="Q8" s="38">
        <f>TRUNC(P8*M8*N8/100)</f>
        <v>0</v>
      </c>
      <c r="R8" s="38"/>
      <c r="S8" s="15" t="s">
        <v>1398</v>
      </c>
      <c r="T8" s="15"/>
      <c r="AA8" s="2">
        <f>O8</f>
        <v>3.5999999999999997E-2</v>
      </c>
    </row>
    <row r="9" spans="1:38" ht="21.95" customHeight="1" x14ac:dyDescent="0.15">
      <c r="B9" s="13" t="s">
        <v>1397</v>
      </c>
      <c r="C9" s="13" t="s">
        <v>1002</v>
      </c>
      <c r="D9" s="12" t="s">
        <v>1003</v>
      </c>
      <c r="E9" s="12" t="s">
        <v>1004</v>
      </c>
      <c r="F9" s="15" t="s">
        <v>999</v>
      </c>
      <c r="G9" s="15">
        <f>IF(H9*I9/100+0.000005 &lt;1, TRUNC(H9*I9/100+0.000005, 옵션!$E$13), TRUNC(H9*I9/100+0.000005, 옵션!$E$13))</f>
        <v>3.5999999999999997E-2</v>
      </c>
      <c r="H9" s="15">
        <f>옵션!$B$13</f>
        <v>100</v>
      </c>
      <c r="I9" s="15">
        <f>SUM(AA8:AA8)</f>
        <v>3.5999999999999997E-2</v>
      </c>
      <c r="J9" s="15"/>
      <c r="K9" s="12"/>
      <c r="L9" s="15"/>
      <c r="M9" s="15"/>
      <c r="N9" s="15"/>
      <c r="O9" s="15" t="str">
        <f>IF(I9*M9=0, "", I9*M9*(N9/100))</f>
        <v/>
      </c>
      <c r="P9" s="38"/>
      <c r="Q9" s="38">
        <f>TRUNC(P9*M9*N9/100)</f>
        <v>0</v>
      </c>
      <c r="R9" s="38"/>
      <c r="S9" s="15"/>
      <c r="T9" s="15"/>
      <c r="Z9" s="2" t="s">
        <v>1399</v>
      </c>
      <c r="AA9" s="2">
        <f>SUM(AA8:AA8)</f>
        <v>3.5999999999999997E-2</v>
      </c>
    </row>
    <row r="10" spans="1:38" ht="21.95" customHeight="1" x14ac:dyDescent="0.15">
      <c r="B10" s="13" t="s">
        <v>1448</v>
      </c>
      <c r="D10" s="170" t="s">
        <v>1450</v>
      </c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2"/>
    </row>
    <row r="11" spans="1:38" ht="21.95" customHeight="1" x14ac:dyDescent="0.15">
      <c r="B11" s="13" t="s">
        <v>1397</v>
      </c>
      <c r="C11" s="13" t="s">
        <v>387</v>
      </c>
      <c r="D11" s="12" t="s">
        <v>388</v>
      </c>
      <c r="E11" s="12" t="s">
        <v>389</v>
      </c>
      <c r="F11" s="15" t="s">
        <v>200</v>
      </c>
      <c r="G11" s="15">
        <v>1</v>
      </c>
      <c r="H11" s="15">
        <f>IF(I11&lt;&gt;0, G11-I11, "")</f>
        <v>0</v>
      </c>
      <c r="I11" s="15">
        <v>1</v>
      </c>
      <c r="J11" s="15"/>
      <c r="K11" s="12" t="s">
        <v>1372</v>
      </c>
      <c r="L11" s="15" t="s">
        <v>1004</v>
      </c>
      <c r="M11" s="15">
        <v>3.5999999999999997E-2</v>
      </c>
      <c r="N11" s="15">
        <v>100</v>
      </c>
      <c r="O11" s="15">
        <f>IF(I11*M11=0, "", I11*M11*(N11/100))</f>
        <v>3.5999999999999997E-2</v>
      </c>
      <c r="P11" s="38"/>
      <c r="Q11" s="38">
        <f>TRUNC(P11*M11*N11/100)</f>
        <v>0</v>
      </c>
      <c r="R11" s="38"/>
      <c r="S11" s="15" t="s">
        <v>1398</v>
      </c>
      <c r="T11" s="15"/>
      <c r="AA11" s="2">
        <f>O11</f>
        <v>3.5999999999999997E-2</v>
      </c>
    </row>
    <row r="12" spans="1:38" ht="21.95" customHeight="1" x14ac:dyDescent="0.15">
      <c r="B12" s="13" t="s">
        <v>1397</v>
      </c>
      <c r="C12" s="13" t="s">
        <v>1002</v>
      </c>
      <c r="D12" s="12" t="s">
        <v>1003</v>
      </c>
      <c r="E12" s="12" t="s">
        <v>1004</v>
      </c>
      <c r="F12" s="15" t="s">
        <v>999</v>
      </c>
      <c r="G12" s="15">
        <f>IF(H12*I12/100+0.000005 &lt;1, TRUNC(H12*I12/100+0.000005, 옵션!$E$13), TRUNC(H12*I12/100+0.000005, 옵션!$E$13))</f>
        <v>3.5999999999999997E-2</v>
      </c>
      <c r="H12" s="15">
        <f>옵션!$B$13</f>
        <v>100</v>
      </c>
      <c r="I12" s="15">
        <f>SUM(AA11:AA11)</f>
        <v>3.5999999999999997E-2</v>
      </c>
      <c r="J12" s="15"/>
      <c r="K12" s="12"/>
      <c r="L12" s="15"/>
      <c r="M12" s="15"/>
      <c r="N12" s="15"/>
      <c r="O12" s="15" t="str">
        <f>IF(I12*M12=0, "", I12*M12*(N12/100))</f>
        <v/>
      </c>
      <c r="P12" s="38"/>
      <c r="Q12" s="38">
        <f>TRUNC(P12*M12*N12/100)</f>
        <v>0</v>
      </c>
      <c r="R12" s="38"/>
      <c r="S12" s="15"/>
      <c r="T12" s="15"/>
      <c r="Z12" s="2" t="s">
        <v>1399</v>
      </c>
      <c r="AA12" s="2">
        <f>SUM(AA11:AA11)</f>
        <v>3.5999999999999997E-2</v>
      </c>
    </row>
    <row r="13" spans="1:38" ht="21.95" customHeight="1" x14ac:dyDescent="0.15">
      <c r="B13" s="13" t="s">
        <v>1448</v>
      </c>
      <c r="D13" s="170" t="s">
        <v>1451</v>
      </c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2"/>
    </row>
    <row r="14" spans="1:38" ht="21.95" customHeight="1" x14ac:dyDescent="0.15">
      <c r="B14" s="13" t="s">
        <v>1397</v>
      </c>
      <c r="C14" s="13" t="s">
        <v>387</v>
      </c>
      <c r="D14" s="12" t="s">
        <v>388</v>
      </c>
      <c r="E14" s="12" t="s">
        <v>389</v>
      </c>
      <c r="F14" s="15" t="s">
        <v>200</v>
      </c>
      <c r="G14" s="15">
        <v>1</v>
      </c>
      <c r="H14" s="15">
        <f>IF(I14&lt;&gt;0, G14-I14, "")</f>
        <v>0</v>
      </c>
      <c r="I14" s="15">
        <v>1</v>
      </c>
      <c r="J14" s="15"/>
      <c r="K14" s="12" t="s">
        <v>1372</v>
      </c>
      <c r="L14" s="15" t="s">
        <v>1004</v>
      </c>
      <c r="M14" s="15">
        <v>3.5999999999999997E-2</v>
      </c>
      <c r="N14" s="15">
        <v>100</v>
      </c>
      <c r="O14" s="15">
        <f>IF(I14*M14=0, "", I14*M14*(N14/100))</f>
        <v>3.5999999999999997E-2</v>
      </c>
      <c r="P14" s="38"/>
      <c r="Q14" s="38">
        <f>TRUNC(P14*M14*N14/100)</f>
        <v>0</v>
      </c>
      <c r="R14" s="38"/>
      <c r="S14" s="15" t="s">
        <v>1398</v>
      </c>
      <c r="T14" s="15"/>
      <c r="AA14" s="2">
        <f>O14</f>
        <v>3.5999999999999997E-2</v>
      </c>
    </row>
    <row r="15" spans="1:38" ht="21.95" customHeight="1" x14ac:dyDescent="0.15">
      <c r="B15" s="13" t="s">
        <v>1397</v>
      </c>
      <c r="C15" s="13" t="s">
        <v>1002</v>
      </c>
      <c r="D15" s="12" t="s">
        <v>1003</v>
      </c>
      <c r="E15" s="12" t="s">
        <v>1004</v>
      </c>
      <c r="F15" s="15" t="s">
        <v>999</v>
      </c>
      <c r="G15" s="15">
        <f>IF(H15*I15/100+0.000005 &lt;1, TRUNC(H15*I15/100+0.000005, 옵션!$E$13), TRUNC(H15*I15/100+0.000005, 옵션!$E$13))</f>
        <v>3.5999999999999997E-2</v>
      </c>
      <c r="H15" s="15">
        <f>옵션!$B$13</f>
        <v>100</v>
      </c>
      <c r="I15" s="15">
        <f>SUM(AA14:AA14)</f>
        <v>3.5999999999999997E-2</v>
      </c>
      <c r="J15" s="15"/>
      <c r="K15" s="12"/>
      <c r="L15" s="15"/>
      <c r="M15" s="15"/>
      <c r="N15" s="15"/>
      <c r="O15" s="15" t="str">
        <f>IF(I15*M15=0, "", I15*M15*(N15/100))</f>
        <v/>
      </c>
      <c r="P15" s="38"/>
      <c r="Q15" s="38">
        <f>TRUNC(P15*M15*N15/100)</f>
        <v>0</v>
      </c>
      <c r="R15" s="38"/>
      <c r="S15" s="15"/>
      <c r="T15" s="15"/>
      <c r="Z15" s="2" t="s">
        <v>1399</v>
      </c>
      <c r="AA15" s="2">
        <f>SUM(AA14:AA14)</f>
        <v>3.5999999999999997E-2</v>
      </c>
    </row>
    <row r="16" spans="1:38" ht="21.95" customHeight="1" x14ac:dyDescent="0.15">
      <c r="B16" s="13" t="s">
        <v>1448</v>
      </c>
      <c r="D16" s="170" t="s">
        <v>1452</v>
      </c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2"/>
    </row>
    <row r="17" spans="2:27" ht="21.95" customHeight="1" x14ac:dyDescent="0.15">
      <c r="B17" s="13" t="s">
        <v>1397</v>
      </c>
      <c r="C17" s="13" t="s">
        <v>387</v>
      </c>
      <c r="D17" s="12" t="s">
        <v>388</v>
      </c>
      <c r="E17" s="12" t="s">
        <v>389</v>
      </c>
      <c r="F17" s="15" t="s">
        <v>200</v>
      </c>
      <c r="G17" s="15">
        <v>1</v>
      </c>
      <c r="H17" s="15">
        <f>IF(I17&lt;&gt;0, G17-I17, "")</f>
        <v>0</v>
      </c>
      <c r="I17" s="15">
        <v>1</v>
      </c>
      <c r="J17" s="15"/>
      <c r="K17" s="12" t="s">
        <v>1372</v>
      </c>
      <c r="L17" s="15" t="s">
        <v>1004</v>
      </c>
      <c r="M17" s="15">
        <v>3.5999999999999997E-2</v>
      </c>
      <c r="N17" s="15">
        <v>100</v>
      </c>
      <c r="O17" s="15">
        <f>IF(I17*M17=0, "", I17*M17*(N17/100))</f>
        <v>3.5999999999999997E-2</v>
      </c>
      <c r="P17" s="38"/>
      <c r="Q17" s="38">
        <f>TRUNC(P17*M17*N17/100)</f>
        <v>0</v>
      </c>
      <c r="R17" s="38"/>
      <c r="S17" s="15" t="s">
        <v>1398</v>
      </c>
      <c r="T17" s="15"/>
      <c r="AA17" s="2">
        <f>O17</f>
        <v>3.5999999999999997E-2</v>
      </c>
    </row>
    <row r="18" spans="2:27" ht="21.95" customHeight="1" x14ac:dyDescent="0.15">
      <c r="B18" s="13" t="s">
        <v>1397</v>
      </c>
      <c r="C18" s="13" t="s">
        <v>1002</v>
      </c>
      <c r="D18" s="12" t="s">
        <v>1003</v>
      </c>
      <c r="E18" s="12" t="s">
        <v>1004</v>
      </c>
      <c r="F18" s="15" t="s">
        <v>999</v>
      </c>
      <c r="G18" s="15">
        <f>IF(H18*I18/100+0.000005 &lt;1, TRUNC(H18*I18/100+0.000005, 옵션!$E$13), TRUNC(H18*I18/100+0.000005, 옵션!$E$13))</f>
        <v>3.5999999999999997E-2</v>
      </c>
      <c r="H18" s="15">
        <f>옵션!$B$13</f>
        <v>100</v>
      </c>
      <c r="I18" s="15">
        <f>SUM(AA17:AA17)</f>
        <v>3.5999999999999997E-2</v>
      </c>
      <c r="J18" s="15"/>
      <c r="K18" s="12"/>
      <c r="L18" s="15"/>
      <c r="M18" s="15"/>
      <c r="N18" s="15"/>
      <c r="O18" s="15" t="str">
        <f>IF(I18*M18=0, "", I18*M18*(N18/100))</f>
        <v/>
      </c>
      <c r="P18" s="38"/>
      <c r="Q18" s="38">
        <f>TRUNC(P18*M18*N18/100)</f>
        <v>0</v>
      </c>
      <c r="R18" s="38"/>
      <c r="S18" s="15"/>
      <c r="T18" s="15"/>
      <c r="Z18" s="2" t="s">
        <v>1399</v>
      </c>
      <c r="AA18" s="2">
        <f>SUM(AA17:AA17)</f>
        <v>3.5999999999999997E-2</v>
      </c>
    </row>
    <row r="19" spans="2:27" ht="21.95" customHeight="1" x14ac:dyDescent="0.15">
      <c r="B19" s="13" t="s">
        <v>1448</v>
      </c>
      <c r="D19" s="170" t="s">
        <v>1453</v>
      </c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2"/>
    </row>
    <row r="20" spans="2:27" ht="21.95" customHeight="1" x14ac:dyDescent="0.15">
      <c r="B20" s="13" t="s">
        <v>1397</v>
      </c>
      <c r="C20" s="13" t="s">
        <v>387</v>
      </c>
      <c r="D20" s="12" t="s">
        <v>388</v>
      </c>
      <c r="E20" s="12" t="s">
        <v>389</v>
      </c>
      <c r="F20" s="15" t="s">
        <v>200</v>
      </c>
      <c r="G20" s="15">
        <v>1</v>
      </c>
      <c r="H20" s="15">
        <f>IF(I20&lt;&gt;0, G20-I20, "")</f>
        <v>0</v>
      </c>
      <c r="I20" s="15">
        <v>1</v>
      </c>
      <c r="J20" s="15"/>
      <c r="K20" s="12" t="s">
        <v>1372</v>
      </c>
      <c r="L20" s="15" t="s">
        <v>1004</v>
      </c>
      <c r="M20" s="15">
        <v>3.5999999999999997E-2</v>
      </c>
      <c r="N20" s="15">
        <v>100</v>
      </c>
      <c r="O20" s="15">
        <f>IF(I20*M20=0, "", I20*M20*(N20/100))</f>
        <v>3.5999999999999997E-2</v>
      </c>
      <c r="P20" s="38"/>
      <c r="Q20" s="38">
        <f>TRUNC(P20*M20*N20/100)</f>
        <v>0</v>
      </c>
      <c r="R20" s="38"/>
      <c r="S20" s="15" t="s">
        <v>1398</v>
      </c>
      <c r="T20" s="15"/>
      <c r="AA20" s="2">
        <f>O20</f>
        <v>3.5999999999999997E-2</v>
      </c>
    </row>
    <row r="21" spans="2:27" ht="21.95" customHeight="1" x14ac:dyDescent="0.15">
      <c r="B21" s="13" t="s">
        <v>1397</v>
      </c>
      <c r="C21" s="13" t="s">
        <v>1002</v>
      </c>
      <c r="D21" s="12" t="s">
        <v>1003</v>
      </c>
      <c r="E21" s="12" t="s">
        <v>1004</v>
      </c>
      <c r="F21" s="15" t="s">
        <v>999</v>
      </c>
      <c r="G21" s="15">
        <f>IF(H21*I21/100+0.000005 &lt;1, TRUNC(H21*I21/100+0.000005, 옵션!$E$13), TRUNC(H21*I21/100+0.000005, 옵션!$E$13))</f>
        <v>3.5999999999999997E-2</v>
      </c>
      <c r="H21" s="15">
        <f>옵션!$B$13</f>
        <v>100</v>
      </c>
      <c r="I21" s="15">
        <f>SUM(AA20:AA20)</f>
        <v>3.5999999999999997E-2</v>
      </c>
      <c r="J21" s="15"/>
      <c r="K21" s="12"/>
      <c r="L21" s="15"/>
      <c r="M21" s="15"/>
      <c r="N21" s="15"/>
      <c r="O21" s="15" t="str">
        <f>IF(I21*M21=0, "", I21*M21*(N21/100))</f>
        <v/>
      </c>
      <c r="P21" s="38"/>
      <c r="Q21" s="38">
        <f>TRUNC(P21*M21*N21/100)</f>
        <v>0</v>
      </c>
      <c r="R21" s="38"/>
      <c r="S21" s="15"/>
      <c r="T21" s="15"/>
      <c r="Z21" s="2" t="s">
        <v>1399</v>
      </c>
      <c r="AA21" s="2">
        <f>SUM(AA20:AA20)</f>
        <v>3.5999999999999997E-2</v>
      </c>
    </row>
    <row r="22" spans="2:27" ht="21.95" customHeight="1" x14ac:dyDescent="0.15">
      <c r="B22" s="13" t="s">
        <v>1448</v>
      </c>
      <c r="D22" s="170" t="s">
        <v>1454</v>
      </c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2"/>
    </row>
    <row r="23" spans="2:27" ht="21.95" customHeight="1" x14ac:dyDescent="0.15">
      <c r="B23" s="13" t="s">
        <v>1397</v>
      </c>
      <c r="C23" s="13" t="s">
        <v>387</v>
      </c>
      <c r="D23" s="12" t="s">
        <v>388</v>
      </c>
      <c r="E23" s="12" t="s">
        <v>389</v>
      </c>
      <c r="F23" s="15" t="s">
        <v>200</v>
      </c>
      <c r="G23" s="15">
        <v>1</v>
      </c>
      <c r="H23" s="15">
        <f>IF(I23&lt;&gt;0, G23-I23, "")</f>
        <v>0</v>
      </c>
      <c r="I23" s="15">
        <v>1</v>
      </c>
      <c r="J23" s="15"/>
      <c r="K23" s="12" t="s">
        <v>1372</v>
      </c>
      <c r="L23" s="15" t="s">
        <v>1004</v>
      </c>
      <c r="M23" s="15">
        <v>3.5999999999999997E-2</v>
      </c>
      <c r="N23" s="15">
        <v>100</v>
      </c>
      <c r="O23" s="15">
        <f>IF(I23*M23=0, "", I23*M23*(N23/100))</f>
        <v>3.5999999999999997E-2</v>
      </c>
      <c r="P23" s="38"/>
      <c r="Q23" s="38">
        <f>TRUNC(P23*M23*N23/100)</f>
        <v>0</v>
      </c>
      <c r="R23" s="38"/>
      <c r="S23" s="15" t="s">
        <v>1398</v>
      </c>
      <c r="T23" s="15"/>
      <c r="AA23" s="2">
        <f>O23</f>
        <v>3.5999999999999997E-2</v>
      </c>
    </row>
    <row r="24" spans="2:27" ht="21.95" customHeight="1" x14ac:dyDescent="0.15">
      <c r="B24" s="13" t="s">
        <v>1397</v>
      </c>
      <c r="C24" s="13" t="s">
        <v>1002</v>
      </c>
      <c r="D24" s="12" t="s">
        <v>1003</v>
      </c>
      <c r="E24" s="12" t="s">
        <v>1004</v>
      </c>
      <c r="F24" s="15" t="s">
        <v>999</v>
      </c>
      <c r="G24" s="15">
        <f>IF(H24*I24/100+0.000005 &lt;1, TRUNC(H24*I24/100+0.000005, 옵션!$E$13), TRUNC(H24*I24/100+0.000005, 옵션!$E$13))</f>
        <v>3.5999999999999997E-2</v>
      </c>
      <c r="H24" s="15">
        <f>옵션!$B$13</f>
        <v>100</v>
      </c>
      <c r="I24" s="15">
        <f>SUM(AA23:AA23)</f>
        <v>3.5999999999999997E-2</v>
      </c>
      <c r="J24" s="15"/>
      <c r="K24" s="12"/>
      <c r="L24" s="15"/>
      <c r="M24" s="15"/>
      <c r="N24" s="15"/>
      <c r="O24" s="15" t="str">
        <f>IF(I24*M24=0, "", I24*M24*(N24/100))</f>
        <v/>
      </c>
      <c r="P24" s="38"/>
      <c r="Q24" s="38">
        <f>TRUNC(P24*M24*N24/100)</f>
        <v>0</v>
      </c>
      <c r="R24" s="38"/>
      <c r="S24" s="15"/>
      <c r="T24" s="15"/>
      <c r="Z24" s="2" t="s">
        <v>1399</v>
      </c>
      <c r="AA24" s="2">
        <f>SUM(AA23:AA23)</f>
        <v>3.5999999999999997E-2</v>
      </c>
    </row>
    <row r="25" spans="2:27" ht="21.95" customHeight="1" x14ac:dyDescent="0.15">
      <c r="B25" s="13" t="s">
        <v>1448</v>
      </c>
      <c r="D25" s="170" t="s">
        <v>1455</v>
      </c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2"/>
    </row>
    <row r="26" spans="2:27" ht="21.95" customHeight="1" x14ac:dyDescent="0.15">
      <c r="B26" s="13" t="s">
        <v>1397</v>
      </c>
      <c r="C26" s="13" t="s">
        <v>387</v>
      </c>
      <c r="D26" s="12" t="s">
        <v>388</v>
      </c>
      <c r="E26" s="12" t="s">
        <v>389</v>
      </c>
      <c r="F26" s="15" t="s">
        <v>200</v>
      </c>
      <c r="G26" s="15">
        <v>2</v>
      </c>
      <c r="H26" s="15">
        <f>IF(I26&lt;&gt;0, G26-I26, "")</f>
        <v>0</v>
      </c>
      <c r="I26" s="15">
        <v>2</v>
      </c>
      <c r="J26" s="15"/>
      <c r="K26" s="12" t="s">
        <v>1372</v>
      </c>
      <c r="L26" s="15" t="s">
        <v>1004</v>
      </c>
      <c r="M26" s="15">
        <v>3.5999999999999997E-2</v>
      </c>
      <c r="N26" s="15">
        <v>100</v>
      </c>
      <c r="O26" s="15">
        <f>IF(I26*M26=0, "", I26*M26*(N26/100))</f>
        <v>7.1999999999999995E-2</v>
      </c>
      <c r="P26" s="38"/>
      <c r="Q26" s="38">
        <f>TRUNC(P26*M26*N26/100)</f>
        <v>0</v>
      </c>
      <c r="R26" s="38"/>
      <c r="S26" s="15" t="s">
        <v>1398</v>
      </c>
      <c r="T26" s="15"/>
      <c r="AA26" s="2">
        <f>O26</f>
        <v>7.1999999999999995E-2</v>
      </c>
    </row>
    <row r="27" spans="2:27" ht="21.95" customHeight="1" x14ac:dyDescent="0.15">
      <c r="B27" s="13" t="s">
        <v>1397</v>
      </c>
      <c r="C27" s="13" t="s">
        <v>1002</v>
      </c>
      <c r="D27" s="12" t="s">
        <v>1003</v>
      </c>
      <c r="E27" s="12" t="s">
        <v>1004</v>
      </c>
      <c r="F27" s="15" t="s">
        <v>999</v>
      </c>
      <c r="G27" s="15">
        <f>IF(H27*I27/100+0.000005 &lt;1, TRUNC(H27*I27/100+0.000005, 옵션!$E$13), TRUNC(H27*I27/100+0.000005, 옵션!$E$13))</f>
        <v>7.1999999999999995E-2</v>
      </c>
      <c r="H27" s="15">
        <f>옵션!$B$13</f>
        <v>100</v>
      </c>
      <c r="I27" s="15">
        <f>SUM(AA26:AA26)</f>
        <v>7.1999999999999995E-2</v>
      </c>
      <c r="J27" s="15"/>
      <c r="K27" s="12"/>
      <c r="L27" s="15"/>
      <c r="M27" s="15"/>
      <c r="N27" s="15"/>
      <c r="O27" s="15" t="str">
        <f>IF(I27*M27=0, "", I27*M27*(N27/100))</f>
        <v/>
      </c>
      <c r="P27" s="38"/>
      <c r="Q27" s="38">
        <f>TRUNC(P27*M27*N27/100)</f>
        <v>0</v>
      </c>
      <c r="R27" s="38"/>
      <c r="S27" s="15"/>
      <c r="T27" s="15"/>
      <c r="Z27" s="2" t="s">
        <v>1399</v>
      </c>
      <c r="AA27" s="2">
        <f>SUM(AA26:AA26)</f>
        <v>7.1999999999999995E-2</v>
      </c>
    </row>
    <row r="28" spans="2:27" ht="21.95" customHeight="1" x14ac:dyDescent="0.15">
      <c r="B28" s="13" t="s">
        <v>1448</v>
      </c>
      <c r="D28" s="170" t="s">
        <v>1456</v>
      </c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2"/>
    </row>
    <row r="29" spans="2:27" ht="21.95" customHeight="1" x14ac:dyDescent="0.15">
      <c r="B29" s="13" t="s">
        <v>1397</v>
      </c>
      <c r="C29" s="13" t="s">
        <v>387</v>
      </c>
      <c r="D29" s="12" t="s">
        <v>388</v>
      </c>
      <c r="E29" s="12" t="s">
        <v>389</v>
      </c>
      <c r="F29" s="15" t="s">
        <v>200</v>
      </c>
      <c r="G29" s="15">
        <v>2</v>
      </c>
      <c r="H29" s="15">
        <f>IF(I29&lt;&gt;0, G29-I29, "")</f>
        <v>0</v>
      </c>
      <c r="I29" s="15">
        <v>2</v>
      </c>
      <c r="J29" s="15"/>
      <c r="K29" s="12" t="s">
        <v>1372</v>
      </c>
      <c r="L29" s="15" t="s">
        <v>1004</v>
      </c>
      <c r="M29" s="15">
        <v>3.5999999999999997E-2</v>
      </c>
      <c r="N29" s="15">
        <v>100</v>
      </c>
      <c r="O29" s="15">
        <f>IF(I29*M29=0, "", I29*M29*(N29/100))</f>
        <v>7.1999999999999995E-2</v>
      </c>
      <c r="P29" s="38"/>
      <c r="Q29" s="38">
        <f>TRUNC(P29*M29*N29/100)</f>
        <v>0</v>
      </c>
      <c r="R29" s="38"/>
      <c r="S29" s="15" t="s">
        <v>1398</v>
      </c>
      <c r="T29" s="15"/>
      <c r="AA29" s="2">
        <f>O29</f>
        <v>7.1999999999999995E-2</v>
      </c>
    </row>
    <row r="30" spans="2:27" ht="21.95" customHeight="1" x14ac:dyDescent="0.15">
      <c r="B30" s="13" t="s">
        <v>1397</v>
      </c>
      <c r="C30" s="13" t="s">
        <v>1002</v>
      </c>
      <c r="D30" s="12" t="s">
        <v>1003</v>
      </c>
      <c r="E30" s="12" t="s">
        <v>1004</v>
      </c>
      <c r="F30" s="15" t="s">
        <v>999</v>
      </c>
      <c r="G30" s="15">
        <f>IF(H30*I30/100+0.000005 &lt;1, TRUNC(H30*I30/100+0.000005, 옵션!$E$13), TRUNC(H30*I30/100+0.000005, 옵션!$E$13))</f>
        <v>7.1999999999999995E-2</v>
      </c>
      <c r="H30" s="15">
        <f>옵션!$B$13</f>
        <v>100</v>
      </c>
      <c r="I30" s="15">
        <f>SUM(AA29:AA29)</f>
        <v>7.1999999999999995E-2</v>
      </c>
      <c r="J30" s="15"/>
      <c r="K30" s="12"/>
      <c r="L30" s="15"/>
      <c r="M30" s="15"/>
      <c r="N30" s="15"/>
      <c r="O30" s="15" t="str">
        <f>IF(I30*M30=0, "", I30*M30*(N30/100))</f>
        <v/>
      </c>
      <c r="P30" s="38"/>
      <c r="Q30" s="38">
        <f>TRUNC(P30*M30*N30/100)</f>
        <v>0</v>
      </c>
      <c r="R30" s="38"/>
      <c r="S30" s="15"/>
      <c r="T30" s="15"/>
      <c r="Z30" s="2" t="s">
        <v>1399</v>
      </c>
      <c r="AA30" s="2">
        <f>SUM(AA29:AA29)</f>
        <v>7.1999999999999995E-2</v>
      </c>
    </row>
    <row r="31" spans="2:27" ht="21.95" customHeight="1" x14ac:dyDescent="0.15">
      <c r="B31" s="13" t="s">
        <v>1448</v>
      </c>
      <c r="D31" s="170" t="s">
        <v>1457</v>
      </c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2"/>
    </row>
    <row r="32" spans="2:27" ht="21.95" customHeight="1" x14ac:dyDescent="0.15">
      <c r="B32" s="13" t="s">
        <v>1397</v>
      </c>
      <c r="C32" s="13" t="s">
        <v>387</v>
      </c>
      <c r="D32" s="12" t="s">
        <v>388</v>
      </c>
      <c r="E32" s="12" t="s">
        <v>389</v>
      </c>
      <c r="F32" s="15" t="s">
        <v>200</v>
      </c>
      <c r="G32" s="15">
        <v>2</v>
      </c>
      <c r="H32" s="15">
        <f>IF(I32&lt;&gt;0, G32-I32, "")</f>
        <v>0</v>
      </c>
      <c r="I32" s="15">
        <v>2</v>
      </c>
      <c r="J32" s="15"/>
      <c r="K32" s="12" t="s">
        <v>1372</v>
      </c>
      <c r="L32" s="15" t="s">
        <v>1004</v>
      </c>
      <c r="M32" s="15">
        <v>3.5999999999999997E-2</v>
      </c>
      <c r="N32" s="15">
        <v>100</v>
      </c>
      <c r="O32" s="15">
        <f>IF(I32*M32=0, "", I32*M32*(N32/100))</f>
        <v>7.1999999999999995E-2</v>
      </c>
      <c r="P32" s="38"/>
      <c r="Q32" s="38">
        <f>TRUNC(P32*M32*N32/100)</f>
        <v>0</v>
      </c>
      <c r="R32" s="38"/>
      <c r="S32" s="15" t="s">
        <v>1398</v>
      </c>
      <c r="T32" s="15"/>
      <c r="AA32" s="2">
        <f>O32</f>
        <v>7.1999999999999995E-2</v>
      </c>
    </row>
    <row r="33" spans="2:27" ht="21.95" customHeight="1" x14ac:dyDescent="0.15">
      <c r="B33" s="13" t="s">
        <v>1397</v>
      </c>
      <c r="C33" s="13" t="s">
        <v>1002</v>
      </c>
      <c r="D33" s="12" t="s">
        <v>1003</v>
      </c>
      <c r="E33" s="12" t="s">
        <v>1004</v>
      </c>
      <c r="F33" s="15" t="s">
        <v>999</v>
      </c>
      <c r="G33" s="15">
        <f>IF(H33*I33/100+0.000005 &lt;1, TRUNC(H33*I33/100+0.000005, 옵션!$E$13), TRUNC(H33*I33/100+0.000005, 옵션!$E$13))</f>
        <v>7.1999999999999995E-2</v>
      </c>
      <c r="H33" s="15">
        <f>옵션!$B$13</f>
        <v>100</v>
      </c>
      <c r="I33" s="15">
        <f>SUM(AA32:AA32)</f>
        <v>7.1999999999999995E-2</v>
      </c>
      <c r="J33" s="15"/>
      <c r="K33" s="12"/>
      <c r="L33" s="15"/>
      <c r="M33" s="15"/>
      <c r="N33" s="15"/>
      <c r="O33" s="15" t="str">
        <f>IF(I33*M33=0, "", I33*M33*(N33/100))</f>
        <v/>
      </c>
      <c r="P33" s="38"/>
      <c r="Q33" s="38">
        <f>TRUNC(P33*M33*N33/100)</f>
        <v>0</v>
      </c>
      <c r="R33" s="38"/>
      <c r="S33" s="15"/>
      <c r="T33" s="15"/>
      <c r="Z33" s="2" t="s">
        <v>1399</v>
      </c>
      <c r="AA33" s="2">
        <f>SUM(AA32:AA32)</f>
        <v>7.1999999999999995E-2</v>
      </c>
    </row>
    <row r="34" spans="2:27" ht="21.95" customHeight="1" x14ac:dyDescent="0.15">
      <c r="B34" s="13" t="s">
        <v>1448</v>
      </c>
      <c r="D34" s="170" t="s">
        <v>1458</v>
      </c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2"/>
    </row>
    <row r="35" spans="2:27" ht="21.95" customHeight="1" x14ac:dyDescent="0.15">
      <c r="B35" s="13" t="s">
        <v>1397</v>
      </c>
      <c r="C35" s="13" t="s">
        <v>387</v>
      </c>
      <c r="D35" s="12" t="s">
        <v>388</v>
      </c>
      <c r="E35" s="12" t="s">
        <v>389</v>
      </c>
      <c r="F35" s="15" t="s">
        <v>200</v>
      </c>
      <c r="G35" s="15">
        <v>2</v>
      </c>
      <c r="H35" s="15">
        <f>IF(I35&lt;&gt;0, G35-I35, "")</f>
        <v>0</v>
      </c>
      <c r="I35" s="15">
        <v>2</v>
      </c>
      <c r="J35" s="15"/>
      <c r="K35" s="12" t="s">
        <v>1372</v>
      </c>
      <c r="L35" s="15" t="s">
        <v>1004</v>
      </c>
      <c r="M35" s="15">
        <v>3.5999999999999997E-2</v>
      </c>
      <c r="N35" s="15">
        <v>100</v>
      </c>
      <c r="O35" s="15">
        <f>IF(I35*M35=0, "", I35*M35*(N35/100))</f>
        <v>7.1999999999999995E-2</v>
      </c>
      <c r="P35" s="38"/>
      <c r="Q35" s="38">
        <f>TRUNC(P35*M35*N35/100)</f>
        <v>0</v>
      </c>
      <c r="R35" s="38"/>
      <c r="S35" s="15" t="s">
        <v>1398</v>
      </c>
      <c r="T35" s="15"/>
      <c r="AA35" s="2">
        <f>O35</f>
        <v>7.1999999999999995E-2</v>
      </c>
    </row>
    <row r="36" spans="2:27" ht="21.95" customHeight="1" x14ac:dyDescent="0.15">
      <c r="B36" s="13" t="s">
        <v>1397</v>
      </c>
      <c r="C36" s="13" t="s">
        <v>1002</v>
      </c>
      <c r="D36" s="12" t="s">
        <v>1003</v>
      </c>
      <c r="E36" s="12" t="s">
        <v>1004</v>
      </c>
      <c r="F36" s="15" t="s">
        <v>999</v>
      </c>
      <c r="G36" s="15">
        <f>IF(H36*I36/100+0.000005 &lt;1, TRUNC(H36*I36/100+0.000005, 옵션!$E$13), TRUNC(H36*I36/100+0.000005, 옵션!$E$13))</f>
        <v>7.1999999999999995E-2</v>
      </c>
      <c r="H36" s="15">
        <f>옵션!$B$13</f>
        <v>100</v>
      </c>
      <c r="I36" s="15">
        <f>SUM(AA35:AA35)</f>
        <v>7.1999999999999995E-2</v>
      </c>
      <c r="J36" s="15"/>
      <c r="K36" s="12"/>
      <c r="L36" s="15"/>
      <c r="M36" s="15"/>
      <c r="N36" s="15"/>
      <c r="O36" s="15" t="str">
        <f>IF(I36*M36=0, "", I36*M36*(N36/100))</f>
        <v/>
      </c>
      <c r="P36" s="38"/>
      <c r="Q36" s="38">
        <f>TRUNC(P36*M36*N36/100)</f>
        <v>0</v>
      </c>
      <c r="R36" s="38"/>
      <c r="S36" s="15"/>
      <c r="T36" s="15"/>
      <c r="Z36" s="2" t="s">
        <v>1399</v>
      </c>
      <c r="AA36" s="2">
        <f>SUM(AA35:AA35)</f>
        <v>7.1999999999999995E-2</v>
      </c>
    </row>
    <row r="37" spans="2:27" ht="21.95" customHeight="1" x14ac:dyDescent="0.15">
      <c r="B37" s="13" t="s">
        <v>1448</v>
      </c>
      <c r="D37" s="170" t="s">
        <v>1459</v>
      </c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2"/>
    </row>
    <row r="38" spans="2:27" ht="21.95" customHeight="1" x14ac:dyDescent="0.15">
      <c r="B38" s="13" t="s">
        <v>1397</v>
      </c>
      <c r="C38" s="13" t="s">
        <v>384</v>
      </c>
      <c r="D38" s="12" t="s">
        <v>385</v>
      </c>
      <c r="E38" s="12" t="s">
        <v>386</v>
      </c>
      <c r="F38" s="15" t="s">
        <v>200</v>
      </c>
      <c r="G38" s="15">
        <v>4</v>
      </c>
      <c r="H38" s="15">
        <f>IF(I38&lt;&gt;0, G38-I38, "")</f>
        <v>0</v>
      </c>
      <c r="I38" s="15">
        <v>4</v>
      </c>
      <c r="J38" s="15"/>
      <c r="K38" s="12" t="s">
        <v>1372</v>
      </c>
      <c r="L38" s="15" t="s">
        <v>1004</v>
      </c>
      <c r="M38" s="15">
        <v>0.23</v>
      </c>
      <c r="N38" s="15">
        <v>100</v>
      </c>
      <c r="O38" s="15">
        <f>IF(I38*M38=0, "", I38*M38*(N38/100))</f>
        <v>0.92</v>
      </c>
      <c r="P38" s="38"/>
      <c r="Q38" s="38">
        <f>TRUNC(P38*M38*N38/100)</f>
        <v>0</v>
      </c>
      <c r="R38" s="38"/>
      <c r="S38" s="15" t="s">
        <v>1398</v>
      </c>
      <c r="T38" s="15"/>
      <c r="AA38" s="2">
        <f>O38</f>
        <v>0.92</v>
      </c>
    </row>
    <row r="39" spans="2:27" ht="21.95" customHeight="1" x14ac:dyDescent="0.15">
      <c r="B39" s="13" t="s">
        <v>1397</v>
      </c>
      <c r="C39" s="13" t="s">
        <v>1002</v>
      </c>
      <c r="D39" s="12" t="s">
        <v>1003</v>
      </c>
      <c r="E39" s="12" t="s">
        <v>1004</v>
      </c>
      <c r="F39" s="15" t="s">
        <v>999</v>
      </c>
      <c r="G39" s="15">
        <f>IF(H39*I39/100+0.000005 &lt;1, TRUNC(H39*I39/100+0.000005, 옵션!$E$13), TRUNC(H39*I39/100+0.000005, 옵션!$E$13))</f>
        <v>0.92</v>
      </c>
      <c r="H39" s="15">
        <f>옵션!$B$13</f>
        <v>100</v>
      </c>
      <c r="I39" s="15">
        <f>SUM(AA38:AA38)</f>
        <v>0.92</v>
      </c>
      <c r="J39" s="15"/>
      <c r="K39" s="12"/>
      <c r="L39" s="15"/>
      <c r="M39" s="15"/>
      <c r="N39" s="15"/>
      <c r="O39" s="15" t="str">
        <f>IF(I39*M39=0, "", I39*M39*(N39/100))</f>
        <v/>
      </c>
      <c r="P39" s="38"/>
      <c r="Q39" s="38">
        <f>TRUNC(P39*M39*N39/100)</f>
        <v>0</v>
      </c>
      <c r="R39" s="38"/>
      <c r="S39" s="15"/>
      <c r="T39" s="15"/>
      <c r="Z39" s="2" t="s">
        <v>1399</v>
      </c>
      <c r="AA39" s="2">
        <f>SUM(AA38:AA38)</f>
        <v>0.92</v>
      </c>
    </row>
    <row r="40" spans="2:27" ht="21.95" customHeight="1" x14ac:dyDescent="0.15">
      <c r="B40" s="13" t="s">
        <v>1448</v>
      </c>
      <c r="D40" s="170" t="s">
        <v>1460</v>
      </c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2"/>
    </row>
    <row r="41" spans="2:27" ht="21.95" customHeight="1" x14ac:dyDescent="0.15">
      <c r="B41" s="13" t="s">
        <v>1397</v>
      </c>
      <c r="C41" s="13" t="s">
        <v>384</v>
      </c>
      <c r="D41" s="12" t="s">
        <v>385</v>
      </c>
      <c r="E41" s="12" t="s">
        <v>386</v>
      </c>
      <c r="F41" s="15" t="s">
        <v>200</v>
      </c>
      <c r="G41" s="15">
        <v>4</v>
      </c>
      <c r="H41" s="15">
        <f>IF(I41&lt;&gt;0, G41-I41, "")</f>
        <v>0</v>
      </c>
      <c r="I41" s="15">
        <v>4</v>
      </c>
      <c r="J41" s="15"/>
      <c r="K41" s="12" t="s">
        <v>1372</v>
      </c>
      <c r="L41" s="15" t="s">
        <v>1004</v>
      </c>
      <c r="M41" s="15">
        <v>0.23</v>
      </c>
      <c r="N41" s="15">
        <v>100</v>
      </c>
      <c r="O41" s="15">
        <f>IF(I41*M41=0, "", I41*M41*(N41/100))</f>
        <v>0.92</v>
      </c>
      <c r="P41" s="38"/>
      <c r="Q41" s="38">
        <f>TRUNC(P41*M41*N41/100)</f>
        <v>0</v>
      </c>
      <c r="R41" s="38"/>
      <c r="S41" s="15" t="s">
        <v>1398</v>
      </c>
      <c r="T41" s="15"/>
      <c r="AA41" s="2">
        <f>O41</f>
        <v>0.92</v>
      </c>
    </row>
    <row r="42" spans="2:27" ht="21.95" customHeight="1" x14ac:dyDescent="0.15">
      <c r="B42" s="13" t="s">
        <v>1397</v>
      </c>
      <c r="C42" s="13" t="s">
        <v>1002</v>
      </c>
      <c r="D42" s="12" t="s">
        <v>1003</v>
      </c>
      <c r="E42" s="12" t="s">
        <v>1004</v>
      </c>
      <c r="F42" s="15" t="s">
        <v>999</v>
      </c>
      <c r="G42" s="15">
        <f>IF(H42*I42/100+0.000005 &lt;1, TRUNC(H42*I42/100+0.000005, 옵션!$E$13), TRUNC(H42*I42/100+0.000005, 옵션!$E$13))</f>
        <v>0.92</v>
      </c>
      <c r="H42" s="15">
        <f>옵션!$B$13</f>
        <v>100</v>
      </c>
      <c r="I42" s="15">
        <f>SUM(AA41:AA41)</f>
        <v>0.92</v>
      </c>
      <c r="J42" s="15"/>
      <c r="K42" s="12"/>
      <c r="L42" s="15"/>
      <c r="M42" s="15"/>
      <c r="N42" s="15"/>
      <c r="O42" s="15" t="str">
        <f>IF(I42*M42=0, "", I42*M42*(N42/100))</f>
        <v/>
      </c>
      <c r="P42" s="38"/>
      <c r="Q42" s="38">
        <f>TRUNC(P42*M42*N42/100)</f>
        <v>0</v>
      </c>
      <c r="R42" s="38"/>
      <c r="S42" s="15"/>
      <c r="T42" s="15"/>
      <c r="Z42" s="2" t="s">
        <v>1399</v>
      </c>
      <c r="AA42" s="2">
        <f>SUM(AA41:AA41)</f>
        <v>0.92</v>
      </c>
    </row>
    <row r="43" spans="2:27" ht="21.95" customHeight="1" x14ac:dyDescent="0.15">
      <c r="B43" s="13" t="s">
        <v>1448</v>
      </c>
      <c r="D43" s="170" t="s">
        <v>1461</v>
      </c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2"/>
    </row>
    <row r="44" spans="2:27" ht="21.95" customHeight="1" x14ac:dyDescent="0.15">
      <c r="B44" s="13" t="s">
        <v>1397</v>
      </c>
      <c r="C44" s="13" t="s">
        <v>384</v>
      </c>
      <c r="D44" s="12" t="s">
        <v>385</v>
      </c>
      <c r="E44" s="12" t="s">
        <v>386</v>
      </c>
      <c r="F44" s="15" t="s">
        <v>200</v>
      </c>
      <c r="G44" s="15">
        <v>4</v>
      </c>
      <c r="H44" s="15">
        <f>IF(I44&lt;&gt;0, G44-I44, "")</f>
        <v>0</v>
      </c>
      <c r="I44" s="15">
        <v>4</v>
      </c>
      <c r="J44" s="15"/>
      <c r="K44" s="12" t="s">
        <v>1372</v>
      </c>
      <c r="L44" s="15" t="s">
        <v>1004</v>
      </c>
      <c r="M44" s="15">
        <v>0.23</v>
      </c>
      <c r="N44" s="15">
        <v>100</v>
      </c>
      <c r="O44" s="15">
        <f>IF(I44*M44=0, "", I44*M44*(N44/100))</f>
        <v>0.92</v>
      </c>
      <c r="P44" s="38"/>
      <c r="Q44" s="38">
        <f>TRUNC(P44*M44*N44/100)</f>
        <v>0</v>
      </c>
      <c r="R44" s="38"/>
      <c r="S44" s="15" t="s">
        <v>1398</v>
      </c>
      <c r="T44" s="15"/>
      <c r="AA44" s="2">
        <f>O44</f>
        <v>0.92</v>
      </c>
    </row>
    <row r="45" spans="2:27" ht="21.95" customHeight="1" x14ac:dyDescent="0.15">
      <c r="B45" s="13" t="s">
        <v>1397</v>
      </c>
      <c r="C45" s="13" t="s">
        <v>1002</v>
      </c>
      <c r="D45" s="12" t="s">
        <v>1003</v>
      </c>
      <c r="E45" s="12" t="s">
        <v>1004</v>
      </c>
      <c r="F45" s="15" t="s">
        <v>999</v>
      </c>
      <c r="G45" s="15">
        <f>IF(H45*I45/100+0.000005 &lt;1, TRUNC(H45*I45/100+0.000005, 옵션!$E$13), TRUNC(H45*I45/100+0.000005, 옵션!$E$13))</f>
        <v>0.92</v>
      </c>
      <c r="H45" s="15">
        <f>옵션!$B$13</f>
        <v>100</v>
      </c>
      <c r="I45" s="15">
        <f>SUM(AA44:AA44)</f>
        <v>0.92</v>
      </c>
      <c r="J45" s="15"/>
      <c r="K45" s="12"/>
      <c r="L45" s="15"/>
      <c r="M45" s="15"/>
      <c r="N45" s="15"/>
      <c r="O45" s="15" t="str">
        <f>IF(I45*M45=0, "", I45*M45*(N45/100))</f>
        <v/>
      </c>
      <c r="P45" s="38"/>
      <c r="Q45" s="38">
        <f>TRUNC(P45*M45*N45/100)</f>
        <v>0</v>
      </c>
      <c r="R45" s="38"/>
      <c r="S45" s="15"/>
      <c r="T45" s="15"/>
      <c r="Z45" s="2" t="s">
        <v>1399</v>
      </c>
      <c r="AA45" s="2">
        <f>SUM(AA44:AA44)</f>
        <v>0.92</v>
      </c>
    </row>
    <row r="46" spans="2:27" ht="21.95" customHeight="1" x14ac:dyDescent="0.15">
      <c r="B46" s="13" t="s">
        <v>1448</v>
      </c>
      <c r="D46" s="170" t="s">
        <v>1462</v>
      </c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2"/>
    </row>
    <row r="47" spans="2:27" ht="21.95" customHeight="1" x14ac:dyDescent="0.15">
      <c r="B47" s="13" t="s">
        <v>1397</v>
      </c>
      <c r="C47" s="13" t="s">
        <v>384</v>
      </c>
      <c r="D47" s="12" t="s">
        <v>385</v>
      </c>
      <c r="E47" s="12" t="s">
        <v>386</v>
      </c>
      <c r="F47" s="15" t="s">
        <v>200</v>
      </c>
      <c r="G47" s="15">
        <v>4</v>
      </c>
      <c r="H47" s="15">
        <f>IF(I47&lt;&gt;0, G47-I47, "")</f>
        <v>0</v>
      </c>
      <c r="I47" s="15">
        <v>4</v>
      </c>
      <c r="J47" s="15"/>
      <c r="K47" s="12" t="s">
        <v>1372</v>
      </c>
      <c r="L47" s="15" t="s">
        <v>1004</v>
      </c>
      <c r="M47" s="15">
        <v>0.23</v>
      </c>
      <c r="N47" s="15">
        <v>100</v>
      </c>
      <c r="O47" s="15">
        <f>IF(I47*M47=0, "", I47*M47*(N47/100))</f>
        <v>0.92</v>
      </c>
      <c r="P47" s="38"/>
      <c r="Q47" s="38">
        <f>TRUNC(P47*M47*N47/100)</f>
        <v>0</v>
      </c>
      <c r="R47" s="38"/>
      <c r="S47" s="15" t="s">
        <v>1398</v>
      </c>
      <c r="T47" s="15"/>
      <c r="AA47" s="2">
        <f>O47</f>
        <v>0.92</v>
      </c>
    </row>
    <row r="48" spans="2:27" ht="21.95" customHeight="1" x14ac:dyDescent="0.15">
      <c r="B48" s="13" t="s">
        <v>1397</v>
      </c>
      <c r="C48" s="13" t="s">
        <v>1002</v>
      </c>
      <c r="D48" s="12" t="s">
        <v>1003</v>
      </c>
      <c r="E48" s="12" t="s">
        <v>1004</v>
      </c>
      <c r="F48" s="15" t="s">
        <v>999</v>
      </c>
      <c r="G48" s="15">
        <f>IF(H48*I48/100+0.000005 &lt;1, TRUNC(H48*I48/100+0.000005, 옵션!$E$13), TRUNC(H48*I48/100+0.000005, 옵션!$E$13))</f>
        <v>0.92</v>
      </c>
      <c r="H48" s="15">
        <f>옵션!$B$13</f>
        <v>100</v>
      </c>
      <c r="I48" s="15">
        <f>SUM(AA47:AA47)</f>
        <v>0.92</v>
      </c>
      <c r="J48" s="15"/>
      <c r="K48" s="12"/>
      <c r="L48" s="15"/>
      <c r="M48" s="15"/>
      <c r="N48" s="15"/>
      <c r="O48" s="15" t="str">
        <f>IF(I48*M48=0, "", I48*M48*(N48/100))</f>
        <v/>
      </c>
      <c r="P48" s="38"/>
      <c r="Q48" s="38">
        <f>TRUNC(P48*M48*N48/100)</f>
        <v>0</v>
      </c>
      <c r="R48" s="38"/>
      <c r="S48" s="15"/>
      <c r="T48" s="15"/>
      <c r="Z48" s="2" t="s">
        <v>1399</v>
      </c>
      <c r="AA48" s="2">
        <f>SUM(AA47:AA47)</f>
        <v>0.92</v>
      </c>
    </row>
    <row r="49" spans="2:38" ht="21.95" customHeight="1" x14ac:dyDescent="0.15">
      <c r="B49" s="13" t="s">
        <v>1448</v>
      </c>
      <c r="D49" s="170" t="s">
        <v>1463</v>
      </c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2"/>
    </row>
    <row r="50" spans="2:38" ht="21.95" customHeight="1" x14ac:dyDescent="0.15">
      <c r="B50" s="13" t="s">
        <v>1397</v>
      </c>
      <c r="C50" s="13" t="s">
        <v>618</v>
      </c>
      <c r="D50" s="12" t="s">
        <v>619</v>
      </c>
      <c r="E50" s="12" t="s">
        <v>620</v>
      </c>
      <c r="F50" s="15" t="s">
        <v>578</v>
      </c>
      <c r="G50" s="15">
        <v>1</v>
      </c>
      <c r="H50" s="15">
        <f t="shared" ref="H50:H59" si="0">IF(I50&lt;&gt;0, G50-I50, "")</f>
        <v>0</v>
      </c>
      <c r="I50" s="15">
        <v>1</v>
      </c>
      <c r="J50" s="15"/>
      <c r="K50" s="12" t="s">
        <v>1380</v>
      </c>
      <c r="L50" s="15" t="s">
        <v>1020</v>
      </c>
      <c r="M50" s="15">
        <v>1.33</v>
      </c>
      <c r="N50" s="15">
        <v>100</v>
      </c>
      <c r="O50" s="15">
        <f t="shared" ref="O50:O66" si="1">IF(I50*M50=0, "", I50*M50*(N50/100))</f>
        <v>1.33</v>
      </c>
      <c r="P50" s="38"/>
      <c r="Q50" s="38">
        <f t="shared" ref="Q50:Q66" si="2">TRUNC(P50*M50*N50/100)</f>
        <v>0</v>
      </c>
      <c r="R50" s="38"/>
      <c r="S50" s="15" t="s">
        <v>1400</v>
      </c>
      <c r="T50" s="15"/>
      <c r="AI50" s="2">
        <f>O50</f>
        <v>1.33</v>
      </c>
    </row>
    <row r="51" spans="2:38" ht="21.95" customHeight="1" x14ac:dyDescent="0.15">
      <c r="B51" s="13" t="s">
        <v>1397</v>
      </c>
      <c r="C51" s="13" t="s">
        <v>618</v>
      </c>
      <c r="D51" s="12"/>
      <c r="E51" s="12"/>
      <c r="F51" s="15"/>
      <c r="G51" s="15">
        <v>1</v>
      </c>
      <c r="H51" s="15">
        <f t="shared" si="0"/>
        <v>0</v>
      </c>
      <c r="I51" s="15">
        <v>1</v>
      </c>
      <c r="J51" s="15"/>
      <c r="K51" s="12" t="s">
        <v>1383</v>
      </c>
      <c r="L51" s="15" t="s">
        <v>1026</v>
      </c>
      <c r="M51" s="15">
        <v>0.34</v>
      </c>
      <c r="N51" s="15">
        <v>100</v>
      </c>
      <c r="O51" s="15">
        <f t="shared" si="1"/>
        <v>0.34</v>
      </c>
      <c r="P51" s="38"/>
      <c r="Q51" s="38">
        <f t="shared" si="2"/>
        <v>0</v>
      </c>
      <c r="R51" s="38"/>
      <c r="S51" s="15" t="s">
        <v>1400</v>
      </c>
      <c r="T51" s="15"/>
      <c r="AL51" s="2">
        <f>O51</f>
        <v>0.34</v>
      </c>
    </row>
    <row r="52" spans="2:38" ht="21.95" customHeight="1" x14ac:dyDescent="0.15">
      <c r="B52" s="13" t="s">
        <v>1397</v>
      </c>
      <c r="C52" s="13" t="s">
        <v>618</v>
      </c>
      <c r="D52" s="12"/>
      <c r="E52" s="12"/>
      <c r="F52" s="15"/>
      <c r="G52" s="15">
        <v>1</v>
      </c>
      <c r="H52" s="15">
        <f t="shared" si="0"/>
        <v>0</v>
      </c>
      <c r="I52" s="15">
        <v>1</v>
      </c>
      <c r="J52" s="15"/>
      <c r="K52" s="12" t="s">
        <v>1382</v>
      </c>
      <c r="L52" s="15" t="s">
        <v>1024</v>
      </c>
      <c r="M52" s="15">
        <v>0.05</v>
      </c>
      <c r="N52" s="15">
        <v>100</v>
      </c>
      <c r="O52" s="15">
        <f t="shared" si="1"/>
        <v>0.05</v>
      </c>
      <c r="P52" s="38"/>
      <c r="Q52" s="38">
        <f t="shared" si="2"/>
        <v>0</v>
      </c>
      <c r="R52" s="38"/>
      <c r="S52" s="15" t="s">
        <v>1400</v>
      </c>
      <c r="T52" s="15"/>
      <c r="AK52" s="2">
        <f>O52</f>
        <v>0.05</v>
      </c>
    </row>
    <row r="53" spans="2:38" ht="21.95" customHeight="1" x14ac:dyDescent="0.15">
      <c r="B53" s="13" t="s">
        <v>1397</v>
      </c>
      <c r="C53" s="13" t="s">
        <v>624</v>
      </c>
      <c r="D53" s="12" t="s">
        <v>625</v>
      </c>
      <c r="E53" s="12" t="s">
        <v>626</v>
      </c>
      <c r="F53" s="15" t="s">
        <v>627</v>
      </c>
      <c r="G53" s="15">
        <v>1</v>
      </c>
      <c r="H53" s="15">
        <f t="shared" si="0"/>
        <v>0</v>
      </c>
      <c r="I53" s="15">
        <v>1</v>
      </c>
      <c r="J53" s="15"/>
      <c r="K53" s="12" t="s">
        <v>1378</v>
      </c>
      <c r="L53" s="15" t="s">
        <v>1016</v>
      </c>
      <c r="M53" s="15">
        <v>0.78</v>
      </c>
      <c r="N53" s="15">
        <v>100</v>
      </c>
      <c r="O53" s="15">
        <f t="shared" si="1"/>
        <v>0.78</v>
      </c>
      <c r="P53" s="38"/>
      <c r="Q53" s="38">
        <f t="shared" si="2"/>
        <v>0</v>
      </c>
      <c r="R53" s="38"/>
      <c r="S53" s="15" t="s">
        <v>1401</v>
      </c>
      <c r="T53" s="15"/>
      <c r="AG53" s="2">
        <f>O53</f>
        <v>0.78</v>
      </c>
    </row>
    <row r="54" spans="2:38" ht="21.95" customHeight="1" x14ac:dyDescent="0.15">
      <c r="B54" s="13" t="s">
        <v>1397</v>
      </c>
      <c r="C54" s="13" t="s">
        <v>624</v>
      </c>
      <c r="D54" s="12"/>
      <c r="E54" s="12"/>
      <c r="F54" s="15"/>
      <c r="G54" s="15">
        <v>1</v>
      </c>
      <c r="H54" s="15">
        <f t="shared" si="0"/>
        <v>0</v>
      </c>
      <c r="I54" s="15">
        <v>1</v>
      </c>
      <c r="J54" s="15"/>
      <c r="K54" s="12" t="s">
        <v>1379</v>
      </c>
      <c r="L54" s="15" t="s">
        <v>1018</v>
      </c>
      <c r="M54" s="15">
        <v>0.39</v>
      </c>
      <c r="N54" s="15">
        <v>100</v>
      </c>
      <c r="O54" s="15">
        <f t="shared" si="1"/>
        <v>0.39</v>
      </c>
      <c r="P54" s="38"/>
      <c r="Q54" s="38">
        <f t="shared" si="2"/>
        <v>0</v>
      </c>
      <c r="R54" s="38"/>
      <c r="S54" s="15" t="s">
        <v>1401</v>
      </c>
      <c r="T54" s="15"/>
      <c r="AH54" s="2">
        <f>O54</f>
        <v>0.39</v>
      </c>
    </row>
    <row r="55" spans="2:38" ht="21.95" customHeight="1" x14ac:dyDescent="0.15">
      <c r="B55" s="13" t="s">
        <v>1397</v>
      </c>
      <c r="C55" s="13" t="s">
        <v>533</v>
      </c>
      <c r="D55" s="12" t="s">
        <v>534</v>
      </c>
      <c r="E55" s="12" t="s">
        <v>535</v>
      </c>
      <c r="F55" s="15" t="s">
        <v>200</v>
      </c>
      <c r="G55" s="15">
        <v>1</v>
      </c>
      <c r="H55" s="15">
        <f t="shared" si="0"/>
        <v>0</v>
      </c>
      <c r="I55" s="15">
        <v>1</v>
      </c>
      <c r="J55" s="15"/>
      <c r="K55" s="12" t="s">
        <v>1372</v>
      </c>
      <c r="L55" s="15" t="s">
        <v>1004</v>
      </c>
      <c r="M55" s="15">
        <v>0.11</v>
      </c>
      <c r="N55" s="15">
        <v>100</v>
      </c>
      <c r="O55" s="15">
        <f t="shared" si="1"/>
        <v>0.11</v>
      </c>
      <c r="P55" s="38"/>
      <c r="Q55" s="38">
        <f t="shared" si="2"/>
        <v>0</v>
      </c>
      <c r="R55" s="38"/>
      <c r="S55" s="15" t="s">
        <v>1402</v>
      </c>
      <c r="T55" s="15"/>
      <c r="AA55" s="2">
        <f>O55</f>
        <v>0.11</v>
      </c>
    </row>
    <row r="56" spans="2:38" ht="21.95" customHeight="1" x14ac:dyDescent="0.15">
      <c r="B56" s="13" t="s">
        <v>1397</v>
      </c>
      <c r="C56" s="13" t="s">
        <v>533</v>
      </c>
      <c r="D56" s="12"/>
      <c r="E56" s="12"/>
      <c r="F56" s="15"/>
      <c r="G56" s="15">
        <v>1</v>
      </c>
      <c r="H56" s="15">
        <f t="shared" si="0"/>
        <v>0</v>
      </c>
      <c r="I56" s="15">
        <v>1</v>
      </c>
      <c r="J56" s="15"/>
      <c r="K56" s="12" t="s">
        <v>1379</v>
      </c>
      <c r="L56" s="15" t="s">
        <v>1018</v>
      </c>
      <c r="M56" s="15">
        <v>0.08</v>
      </c>
      <c r="N56" s="15">
        <v>100</v>
      </c>
      <c r="O56" s="15">
        <f t="shared" si="1"/>
        <v>0.08</v>
      </c>
      <c r="P56" s="38"/>
      <c r="Q56" s="38">
        <f t="shared" si="2"/>
        <v>0</v>
      </c>
      <c r="R56" s="38"/>
      <c r="S56" s="15" t="s">
        <v>1402</v>
      </c>
      <c r="T56" s="15"/>
      <c r="AH56" s="2">
        <f>O56</f>
        <v>0.08</v>
      </c>
    </row>
    <row r="57" spans="2:38" ht="21.95" customHeight="1" x14ac:dyDescent="0.15">
      <c r="B57" s="13" t="s">
        <v>1397</v>
      </c>
      <c r="C57" s="13" t="s">
        <v>420</v>
      </c>
      <c r="D57" s="12" t="s">
        <v>408</v>
      </c>
      <c r="E57" s="12" t="s">
        <v>421</v>
      </c>
      <c r="F57" s="15" t="s">
        <v>166</v>
      </c>
      <c r="G57" s="15">
        <v>5</v>
      </c>
      <c r="H57" s="15">
        <f t="shared" si="0"/>
        <v>0</v>
      </c>
      <c r="I57" s="15">
        <v>5</v>
      </c>
      <c r="J57" s="15">
        <v>10</v>
      </c>
      <c r="K57" s="12" t="s">
        <v>1372</v>
      </c>
      <c r="L57" s="15" t="s">
        <v>1004</v>
      </c>
      <c r="M57" s="15">
        <v>7.0000000000000001E-3</v>
      </c>
      <c r="N57" s="15">
        <v>100</v>
      </c>
      <c r="O57" s="15">
        <f t="shared" si="1"/>
        <v>3.5000000000000003E-2</v>
      </c>
      <c r="P57" s="38"/>
      <c r="Q57" s="38">
        <f t="shared" si="2"/>
        <v>0</v>
      </c>
      <c r="R57" s="38"/>
      <c r="S57" s="15" t="s">
        <v>1402</v>
      </c>
      <c r="T57" s="15"/>
      <c r="AA57" s="2">
        <f>O57</f>
        <v>3.5000000000000003E-2</v>
      </c>
    </row>
    <row r="58" spans="2:38" ht="21.95" customHeight="1" x14ac:dyDescent="0.15">
      <c r="B58" s="13" t="s">
        <v>1397</v>
      </c>
      <c r="C58" s="13" t="s">
        <v>572</v>
      </c>
      <c r="D58" s="12" t="s">
        <v>573</v>
      </c>
      <c r="E58" s="12" t="s">
        <v>574</v>
      </c>
      <c r="F58" s="15" t="s">
        <v>289</v>
      </c>
      <c r="G58" s="15">
        <v>2</v>
      </c>
      <c r="H58" s="15">
        <f t="shared" si="0"/>
        <v>0</v>
      </c>
      <c r="I58" s="15">
        <v>2</v>
      </c>
      <c r="J58" s="15"/>
      <c r="K58" s="12" t="s">
        <v>1376</v>
      </c>
      <c r="L58" s="15" t="s">
        <v>1012</v>
      </c>
      <c r="M58" s="15">
        <v>0.22</v>
      </c>
      <c r="N58" s="15">
        <v>100</v>
      </c>
      <c r="O58" s="15">
        <f t="shared" si="1"/>
        <v>0.44</v>
      </c>
      <c r="P58" s="38"/>
      <c r="Q58" s="38">
        <f t="shared" si="2"/>
        <v>0</v>
      </c>
      <c r="R58" s="38"/>
      <c r="S58" s="15" t="s">
        <v>1403</v>
      </c>
      <c r="T58" s="15"/>
      <c r="AE58" s="2">
        <f>O58</f>
        <v>0.44</v>
      </c>
    </row>
    <row r="59" spans="2:38" ht="21.95" customHeight="1" x14ac:dyDescent="0.15">
      <c r="B59" s="13" t="s">
        <v>1397</v>
      </c>
      <c r="C59" s="13" t="s">
        <v>572</v>
      </c>
      <c r="D59" s="12"/>
      <c r="E59" s="12"/>
      <c r="F59" s="15"/>
      <c r="G59" s="15">
        <v>2</v>
      </c>
      <c r="H59" s="15">
        <f t="shared" si="0"/>
        <v>0</v>
      </c>
      <c r="I59" s="15">
        <v>2</v>
      </c>
      <c r="J59" s="15"/>
      <c r="K59" s="12" t="s">
        <v>1379</v>
      </c>
      <c r="L59" s="15" t="s">
        <v>1018</v>
      </c>
      <c r="M59" s="15">
        <v>0.11</v>
      </c>
      <c r="N59" s="15">
        <v>100</v>
      </c>
      <c r="O59" s="15">
        <f t="shared" si="1"/>
        <v>0.22</v>
      </c>
      <c r="P59" s="38"/>
      <c r="Q59" s="38">
        <f t="shared" si="2"/>
        <v>0</v>
      </c>
      <c r="R59" s="38"/>
      <c r="S59" s="15" t="s">
        <v>1403</v>
      </c>
      <c r="T59" s="15"/>
      <c r="AH59" s="2">
        <f>O59</f>
        <v>0.22</v>
      </c>
    </row>
    <row r="60" spans="2:38" ht="21.95" customHeight="1" x14ac:dyDescent="0.15">
      <c r="B60" s="13" t="s">
        <v>1397</v>
      </c>
      <c r="C60" s="13" t="s">
        <v>1002</v>
      </c>
      <c r="D60" s="12" t="s">
        <v>1003</v>
      </c>
      <c r="E60" s="12" t="s">
        <v>1004</v>
      </c>
      <c r="F60" s="15" t="s">
        <v>999</v>
      </c>
      <c r="G60" s="15">
        <f>IF(H60*I60/100+0.000005 &lt;1, TRUNC(H60*I60/100+0.000005, 옵션!$E$13), TRUNC(H60*I60/100+0.000005, 옵션!$E$13))</f>
        <v>0.14499999999999999</v>
      </c>
      <c r="H60" s="15">
        <f>옵션!$B$13</f>
        <v>100</v>
      </c>
      <c r="I60" s="15">
        <f>SUM(AA50:AA59)</f>
        <v>0.14500000000000002</v>
      </c>
      <c r="J60" s="15"/>
      <c r="K60" s="12"/>
      <c r="L60" s="15"/>
      <c r="M60" s="15"/>
      <c r="N60" s="15"/>
      <c r="O60" s="15" t="str">
        <f t="shared" si="1"/>
        <v/>
      </c>
      <c r="P60" s="38"/>
      <c r="Q60" s="38">
        <f t="shared" si="2"/>
        <v>0</v>
      </c>
      <c r="R60" s="38"/>
      <c r="S60" s="15"/>
      <c r="T60" s="15"/>
      <c r="Z60" s="2" t="s">
        <v>1399</v>
      </c>
      <c r="AA60" s="2">
        <f>SUM(AA50:AA59)</f>
        <v>0.14500000000000002</v>
      </c>
      <c r="AE60" s="2">
        <f>SUM(AE50:AE59)</f>
        <v>0.44</v>
      </c>
      <c r="AG60" s="2">
        <f>SUM(AG50:AG59)</f>
        <v>0.78</v>
      </c>
      <c r="AH60" s="2">
        <f>SUM(AH50:AH59)</f>
        <v>0.69000000000000006</v>
      </c>
      <c r="AI60" s="2">
        <f>SUM(AI50:AI59)</f>
        <v>1.33</v>
      </c>
      <c r="AK60" s="2">
        <f>SUM(AK50:AK59)</f>
        <v>0.05</v>
      </c>
      <c r="AL60" s="2">
        <f>SUM(AL50:AL59)</f>
        <v>0.34</v>
      </c>
    </row>
    <row r="61" spans="2:38" ht="21.95" customHeight="1" x14ac:dyDescent="0.15">
      <c r="B61" s="13" t="s">
        <v>1397</v>
      </c>
      <c r="C61" s="13" t="s">
        <v>1011</v>
      </c>
      <c r="D61" s="12" t="s">
        <v>1003</v>
      </c>
      <c r="E61" s="12" t="s">
        <v>1012</v>
      </c>
      <c r="F61" s="15" t="s">
        <v>999</v>
      </c>
      <c r="G61" s="15">
        <f>IF(H61*I61/100+0.000005 &lt;1, TRUNC(H61*I61/100+0.000005, 옵션!$E$13), TRUNC(H61*I61/100+0.000005, 옵션!$E$13))</f>
        <v>0.44</v>
      </c>
      <c r="H61" s="15">
        <f>옵션!$B$13</f>
        <v>100</v>
      </c>
      <c r="I61" s="15">
        <f>SUM(AE50:AE59)</f>
        <v>0.44</v>
      </c>
      <c r="J61" s="15"/>
      <c r="K61" s="12"/>
      <c r="L61" s="15"/>
      <c r="M61" s="15"/>
      <c r="N61" s="15"/>
      <c r="O61" s="15" t="str">
        <f t="shared" si="1"/>
        <v/>
      </c>
      <c r="P61" s="38"/>
      <c r="Q61" s="38">
        <f t="shared" si="2"/>
        <v>0</v>
      </c>
      <c r="R61" s="38"/>
      <c r="S61" s="15"/>
      <c r="T61" s="15"/>
    </row>
    <row r="62" spans="2:38" ht="21.95" customHeight="1" x14ac:dyDescent="0.15">
      <c r="B62" s="13" t="s">
        <v>1397</v>
      </c>
      <c r="C62" s="13" t="s">
        <v>1015</v>
      </c>
      <c r="D62" s="12" t="s">
        <v>1003</v>
      </c>
      <c r="E62" s="12" t="s">
        <v>1016</v>
      </c>
      <c r="F62" s="15" t="s">
        <v>999</v>
      </c>
      <c r="G62" s="15">
        <f>IF(H62*I62/100+0.000005 &lt;1, TRUNC(H62*I62/100+0.000005, 옵션!$E$13), TRUNC(H62*I62/100+0.000005, 옵션!$E$13))</f>
        <v>0.78</v>
      </c>
      <c r="H62" s="15">
        <f>옵션!$B$13</f>
        <v>100</v>
      </c>
      <c r="I62" s="15">
        <f>SUM(AG50:AG59)</f>
        <v>0.78</v>
      </c>
      <c r="J62" s="15"/>
      <c r="K62" s="12"/>
      <c r="L62" s="15"/>
      <c r="M62" s="15"/>
      <c r="N62" s="15"/>
      <c r="O62" s="15" t="str">
        <f t="shared" si="1"/>
        <v/>
      </c>
      <c r="P62" s="38"/>
      <c r="Q62" s="38">
        <f t="shared" si="2"/>
        <v>0</v>
      </c>
      <c r="R62" s="38"/>
      <c r="S62" s="15"/>
      <c r="T62" s="15"/>
    </row>
    <row r="63" spans="2:38" ht="21.95" customHeight="1" x14ac:dyDescent="0.15">
      <c r="B63" s="13" t="s">
        <v>1397</v>
      </c>
      <c r="C63" s="13" t="s">
        <v>1017</v>
      </c>
      <c r="D63" s="12" t="s">
        <v>1003</v>
      </c>
      <c r="E63" s="12" t="s">
        <v>1018</v>
      </c>
      <c r="F63" s="15" t="s">
        <v>999</v>
      </c>
      <c r="G63" s="15">
        <f>IF(H63*I63/100+0.000005 &lt;1, TRUNC(H63*I63/100+0.000005, 옵션!$E$13), TRUNC(H63*I63/100+0.000005, 옵션!$E$13))</f>
        <v>0.69</v>
      </c>
      <c r="H63" s="15">
        <f>옵션!$B$13</f>
        <v>100</v>
      </c>
      <c r="I63" s="15">
        <f>SUM(AH50:AH59)</f>
        <v>0.69000000000000006</v>
      </c>
      <c r="J63" s="15"/>
      <c r="K63" s="12"/>
      <c r="L63" s="15"/>
      <c r="M63" s="15"/>
      <c r="N63" s="15"/>
      <c r="O63" s="15" t="str">
        <f t="shared" si="1"/>
        <v/>
      </c>
      <c r="P63" s="38"/>
      <c r="Q63" s="38">
        <f t="shared" si="2"/>
        <v>0</v>
      </c>
      <c r="R63" s="38"/>
      <c r="S63" s="15"/>
      <c r="T63" s="15"/>
    </row>
    <row r="64" spans="2:38" ht="21.95" customHeight="1" x14ac:dyDescent="0.15">
      <c r="B64" s="13" t="s">
        <v>1397</v>
      </c>
      <c r="C64" s="13" t="s">
        <v>1019</v>
      </c>
      <c r="D64" s="12" t="s">
        <v>1003</v>
      </c>
      <c r="E64" s="12" t="s">
        <v>1020</v>
      </c>
      <c r="F64" s="15" t="s">
        <v>999</v>
      </c>
      <c r="G64" s="15">
        <f>IF(H64*I64/100+0.000005 &lt;1, TRUNC(H64*I64/100+0.000005, 옵션!$E$13), TRUNC(H64*I64/100+0.000005, 옵션!$E$13))</f>
        <v>1.33</v>
      </c>
      <c r="H64" s="15">
        <f>옵션!$B$13</f>
        <v>100</v>
      </c>
      <c r="I64" s="15">
        <f>SUM(AI50:AI59)</f>
        <v>1.33</v>
      </c>
      <c r="J64" s="15"/>
      <c r="K64" s="12"/>
      <c r="L64" s="15"/>
      <c r="M64" s="15"/>
      <c r="N64" s="15"/>
      <c r="O64" s="15" t="str">
        <f t="shared" si="1"/>
        <v/>
      </c>
      <c r="P64" s="38"/>
      <c r="Q64" s="38">
        <f t="shared" si="2"/>
        <v>0</v>
      </c>
      <c r="R64" s="38"/>
      <c r="S64" s="15"/>
      <c r="T64" s="15"/>
    </row>
    <row r="65" spans="2:38" ht="21.95" customHeight="1" x14ac:dyDescent="0.15">
      <c r="B65" s="13" t="s">
        <v>1397</v>
      </c>
      <c r="C65" s="13" t="s">
        <v>1023</v>
      </c>
      <c r="D65" s="12" t="s">
        <v>1003</v>
      </c>
      <c r="E65" s="12" t="s">
        <v>1024</v>
      </c>
      <c r="F65" s="15" t="s">
        <v>999</v>
      </c>
      <c r="G65" s="15">
        <f>IF(H65*I65/100+0.000005 &lt;1, TRUNC(H65*I65/100+0.000005, 옵션!$E$13), TRUNC(H65*I65/100+0.000005, 옵션!$E$13))</f>
        <v>0.05</v>
      </c>
      <c r="H65" s="15">
        <f>옵션!$B$13</f>
        <v>100</v>
      </c>
      <c r="I65" s="15">
        <f>SUM(AK50:AK59)</f>
        <v>0.05</v>
      </c>
      <c r="J65" s="15"/>
      <c r="K65" s="12"/>
      <c r="L65" s="15"/>
      <c r="M65" s="15"/>
      <c r="N65" s="15"/>
      <c r="O65" s="15" t="str">
        <f t="shared" si="1"/>
        <v/>
      </c>
      <c r="P65" s="38"/>
      <c r="Q65" s="38">
        <f t="shared" si="2"/>
        <v>0</v>
      </c>
      <c r="R65" s="38"/>
      <c r="S65" s="15"/>
      <c r="T65" s="15"/>
    </row>
    <row r="66" spans="2:38" ht="21.95" customHeight="1" x14ac:dyDescent="0.15">
      <c r="B66" s="13" t="s">
        <v>1397</v>
      </c>
      <c r="C66" s="13" t="s">
        <v>1025</v>
      </c>
      <c r="D66" s="12" t="s">
        <v>1003</v>
      </c>
      <c r="E66" s="12" t="s">
        <v>1026</v>
      </c>
      <c r="F66" s="15" t="s">
        <v>999</v>
      </c>
      <c r="G66" s="15">
        <f>IF(H66*I66/100+0.000005 &lt;1, TRUNC(H66*I66/100+0.000005, 옵션!$E$13), TRUNC(H66*I66/100+0.000005, 옵션!$E$13))</f>
        <v>0.34</v>
      </c>
      <c r="H66" s="15">
        <f>옵션!$B$13</f>
        <v>100</v>
      </c>
      <c r="I66" s="15">
        <f>SUM(AL50:AL59)</f>
        <v>0.34</v>
      </c>
      <c r="J66" s="15"/>
      <c r="K66" s="12"/>
      <c r="L66" s="15"/>
      <c r="M66" s="15"/>
      <c r="N66" s="15"/>
      <c r="O66" s="15" t="str">
        <f t="shared" si="1"/>
        <v/>
      </c>
      <c r="P66" s="38"/>
      <c r="Q66" s="38">
        <f t="shared" si="2"/>
        <v>0</v>
      </c>
      <c r="R66" s="38"/>
      <c r="S66" s="15"/>
      <c r="T66" s="15"/>
    </row>
    <row r="67" spans="2:38" ht="21.95" customHeight="1" x14ac:dyDescent="0.15">
      <c r="B67" s="13" t="s">
        <v>1448</v>
      </c>
      <c r="D67" s="170" t="s">
        <v>1464</v>
      </c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2"/>
    </row>
    <row r="68" spans="2:38" ht="21.95" customHeight="1" x14ac:dyDescent="0.15">
      <c r="B68" s="13" t="s">
        <v>1397</v>
      </c>
      <c r="C68" s="13" t="s">
        <v>622</v>
      </c>
      <c r="D68" s="12" t="s">
        <v>619</v>
      </c>
      <c r="E68" s="12" t="s">
        <v>623</v>
      </c>
      <c r="F68" s="15" t="s">
        <v>578</v>
      </c>
      <c r="G68" s="15">
        <v>1</v>
      </c>
      <c r="H68" s="15">
        <f t="shared" ref="H68:H75" si="3">IF(I68&lt;&gt;0, G68-I68, "")</f>
        <v>0</v>
      </c>
      <c r="I68" s="15">
        <v>1</v>
      </c>
      <c r="J68" s="15"/>
      <c r="K68" s="12" t="s">
        <v>1380</v>
      </c>
      <c r="L68" s="15" t="s">
        <v>1020</v>
      </c>
      <c r="M68" s="15">
        <v>1.33</v>
      </c>
      <c r="N68" s="15">
        <v>100</v>
      </c>
      <c r="O68" s="15">
        <f t="shared" ref="O68:O81" si="4">IF(I68*M68=0, "", I68*M68*(N68/100))</f>
        <v>1.33</v>
      </c>
      <c r="P68" s="38"/>
      <c r="Q68" s="38">
        <f t="shared" ref="Q68:Q81" si="5">TRUNC(P68*M68*N68/100)</f>
        <v>0</v>
      </c>
      <c r="R68" s="38"/>
      <c r="S68" s="15" t="s">
        <v>1400</v>
      </c>
      <c r="T68" s="15"/>
      <c r="AI68" s="2">
        <f>O68</f>
        <v>1.33</v>
      </c>
    </row>
    <row r="69" spans="2:38" ht="21.95" customHeight="1" x14ac:dyDescent="0.15">
      <c r="B69" s="13" t="s">
        <v>1397</v>
      </c>
      <c r="C69" s="13" t="s">
        <v>622</v>
      </c>
      <c r="D69" s="12"/>
      <c r="E69" s="12"/>
      <c r="F69" s="15"/>
      <c r="G69" s="15">
        <v>1</v>
      </c>
      <c r="H69" s="15">
        <f t="shared" si="3"/>
        <v>0</v>
      </c>
      <c r="I69" s="15">
        <v>1</v>
      </c>
      <c r="J69" s="15"/>
      <c r="K69" s="12" t="s">
        <v>1383</v>
      </c>
      <c r="L69" s="15" t="s">
        <v>1026</v>
      </c>
      <c r="M69" s="15">
        <v>0.34</v>
      </c>
      <c r="N69" s="15">
        <v>100</v>
      </c>
      <c r="O69" s="15">
        <f t="shared" si="4"/>
        <v>0.34</v>
      </c>
      <c r="P69" s="38"/>
      <c r="Q69" s="38">
        <f t="shared" si="5"/>
        <v>0</v>
      </c>
      <c r="R69" s="38"/>
      <c r="S69" s="15" t="s">
        <v>1400</v>
      </c>
      <c r="T69" s="15"/>
      <c r="AL69" s="2">
        <f>O69</f>
        <v>0.34</v>
      </c>
    </row>
    <row r="70" spans="2:38" ht="21.95" customHeight="1" x14ac:dyDescent="0.15">
      <c r="B70" s="13" t="s">
        <v>1397</v>
      </c>
      <c r="C70" s="13" t="s">
        <v>622</v>
      </c>
      <c r="D70" s="12"/>
      <c r="E70" s="12"/>
      <c r="F70" s="15"/>
      <c r="G70" s="15">
        <v>1</v>
      </c>
      <c r="H70" s="15">
        <f t="shared" si="3"/>
        <v>0</v>
      </c>
      <c r="I70" s="15">
        <v>1</v>
      </c>
      <c r="J70" s="15"/>
      <c r="K70" s="12" t="s">
        <v>1382</v>
      </c>
      <c r="L70" s="15" t="s">
        <v>1024</v>
      </c>
      <c r="M70" s="15">
        <v>0.05</v>
      </c>
      <c r="N70" s="15">
        <v>100</v>
      </c>
      <c r="O70" s="15">
        <f t="shared" si="4"/>
        <v>0.05</v>
      </c>
      <c r="P70" s="38"/>
      <c r="Q70" s="38">
        <f t="shared" si="5"/>
        <v>0</v>
      </c>
      <c r="R70" s="38"/>
      <c r="S70" s="15" t="s">
        <v>1400</v>
      </c>
      <c r="T70" s="15"/>
      <c r="AK70" s="2">
        <f>O70</f>
        <v>0.05</v>
      </c>
    </row>
    <row r="71" spans="2:38" ht="21.95" customHeight="1" x14ac:dyDescent="0.15">
      <c r="B71" s="13" t="s">
        <v>1397</v>
      </c>
      <c r="C71" s="13" t="s">
        <v>624</v>
      </c>
      <c r="D71" s="12" t="s">
        <v>625</v>
      </c>
      <c r="E71" s="12" t="s">
        <v>626</v>
      </c>
      <c r="F71" s="15" t="s">
        <v>627</v>
      </c>
      <c r="G71" s="15">
        <v>1</v>
      </c>
      <c r="H71" s="15">
        <f t="shared" si="3"/>
        <v>0</v>
      </c>
      <c r="I71" s="15">
        <v>1</v>
      </c>
      <c r="J71" s="15"/>
      <c r="K71" s="12" t="s">
        <v>1378</v>
      </c>
      <c r="L71" s="15" t="s">
        <v>1016</v>
      </c>
      <c r="M71" s="15">
        <v>0.78</v>
      </c>
      <c r="N71" s="15">
        <v>100</v>
      </c>
      <c r="O71" s="15">
        <f t="shared" si="4"/>
        <v>0.78</v>
      </c>
      <c r="P71" s="38"/>
      <c r="Q71" s="38">
        <f t="shared" si="5"/>
        <v>0</v>
      </c>
      <c r="R71" s="38"/>
      <c r="S71" s="15" t="s">
        <v>1401</v>
      </c>
      <c r="T71" s="15"/>
      <c r="AG71" s="2">
        <f>O71</f>
        <v>0.78</v>
      </c>
    </row>
    <row r="72" spans="2:38" ht="21.95" customHeight="1" x14ac:dyDescent="0.15">
      <c r="B72" s="13" t="s">
        <v>1397</v>
      </c>
      <c r="C72" s="13" t="s">
        <v>624</v>
      </c>
      <c r="D72" s="12"/>
      <c r="E72" s="12"/>
      <c r="F72" s="15"/>
      <c r="G72" s="15">
        <v>1</v>
      </c>
      <c r="H72" s="15">
        <f t="shared" si="3"/>
        <v>0</v>
      </c>
      <c r="I72" s="15">
        <v>1</v>
      </c>
      <c r="J72" s="15"/>
      <c r="K72" s="12" t="s">
        <v>1379</v>
      </c>
      <c r="L72" s="15" t="s">
        <v>1018</v>
      </c>
      <c r="M72" s="15">
        <v>0.39</v>
      </c>
      <c r="N72" s="15">
        <v>100</v>
      </c>
      <c r="O72" s="15">
        <f t="shared" si="4"/>
        <v>0.39</v>
      </c>
      <c r="P72" s="38"/>
      <c r="Q72" s="38">
        <f t="shared" si="5"/>
        <v>0</v>
      </c>
      <c r="R72" s="38"/>
      <c r="S72" s="15" t="s">
        <v>1401</v>
      </c>
      <c r="T72" s="15"/>
      <c r="AH72" s="2">
        <f>O72</f>
        <v>0.39</v>
      </c>
    </row>
    <row r="73" spans="2:38" ht="21.95" customHeight="1" x14ac:dyDescent="0.15">
      <c r="B73" s="13" t="s">
        <v>1397</v>
      </c>
      <c r="C73" s="13" t="s">
        <v>533</v>
      </c>
      <c r="D73" s="12" t="s">
        <v>534</v>
      </c>
      <c r="E73" s="12" t="s">
        <v>535</v>
      </c>
      <c r="F73" s="15" t="s">
        <v>200</v>
      </c>
      <c r="G73" s="15">
        <v>1</v>
      </c>
      <c r="H73" s="15">
        <f t="shared" si="3"/>
        <v>0</v>
      </c>
      <c r="I73" s="15">
        <v>1</v>
      </c>
      <c r="J73" s="15"/>
      <c r="K73" s="12" t="s">
        <v>1372</v>
      </c>
      <c r="L73" s="15" t="s">
        <v>1004</v>
      </c>
      <c r="M73" s="15">
        <v>0.11</v>
      </c>
      <c r="N73" s="15">
        <v>100</v>
      </c>
      <c r="O73" s="15">
        <f t="shared" si="4"/>
        <v>0.11</v>
      </c>
      <c r="P73" s="38"/>
      <c r="Q73" s="38">
        <f t="shared" si="5"/>
        <v>0</v>
      </c>
      <c r="R73" s="38"/>
      <c r="S73" s="15" t="s">
        <v>1402</v>
      </c>
      <c r="T73" s="15"/>
      <c r="AA73" s="2">
        <f>O73</f>
        <v>0.11</v>
      </c>
    </row>
    <row r="74" spans="2:38" ht="21.95" customHeight="1" x14ac:dyDescent="0.15">
      <c r="B74" s="13" t="s">
        <v>1397</v>
      </c>
      <c r="C74" s="13" t="s">
        <v>533</v>
      </c>
      <c r="D74" s="12"/>
      <c r="E74" s="12"/>
      <c r="F74" s="15"/>
      <c r="G74" s="15">
        <v>1</v>
      </c>
      <c r="H74" s="15">
        <f t="shared" si="3"/>
        <v>0</v>
      </c>
      <c r="I74" s="15">
        <v>1</v>
      </c>
      <c r="J74" s="15"/>
      <c r="K74" s="12" t="s">
        <v>1379</v>
      </c>
      <c r="L74" s="15" t="s">
        <v>1018</v>
      </c>
      <c r="M74" s="15">
        <v>0.08</v>
      </c>
      <c r="N74" s="15">
        <v>100</v>
      </c>
      <c r="O74" s="15">
        <f t="shared" si="4"/>
        <v>0.08</v>
      </c>
      <c r="P74" s="38"/>
      <c r="Q74" s="38">
        <f t="shared" si="5"/>
        <v>0</v>
      </c>
      <c r="R74" s="38"/>
      <c r="S74" s="15" t="s">
        <v>1402</v>
      </c>
      <c r="T74" s="15"/>
      <c r="AH74" s="2">
        <f>O74</f>
        <v>0.08</v>
      </c>
    </row>
    <row r="75" spans="2:38" ht="21.95" customHeight="1" x14ac:dyDescent="0.15">
      <c r="B75" s="13" t="s">
        <v>1397</v>
      </c>
      <c r="C75" s="13" t="s">
        <v>420</v>
      </c>
      <c r="D75" s="12" t="s">
        <v>408</v>
      </c>
      <c r="E75" s="12" t="s">
        <v>421</v>
      </c>
      <c r="F75" s="15" t="s">
        <v>166</v>
      </c>
      <c r="G75" s="15">
        <v>5</v>
      </c>
      <c r="H75" s="15">
        <f t="shared" si="3"/>
        <v>0</v>
      </c>
      <c r="I75" s="15">
        <v>5</v>
      </c>
      <c r="J75" s="15">
        <v>10</v>
      </c>
      <c r="K75" s="12" t="s">
        <v>1372</v>
      </c>
      <c r="L75" s="15" t="s">
        <v>1004</v>
      </c>
      <c r="M75" s="15">
        <v>7.0000000000000001E-3</v>
      </c>
      <c r="N75" s="15">
        <v>100</v>
      </c>
      <c r="O75" s="15">
        <f t="shared" si="4"/>
        <v>3.5000000000000003E-2</v>
      </c>
      <c r="P75" s="38"/>
      <c r="Q75" s="38">
        <f t="shared" si="5"/>
        <v>0</v>
      </c>
      <c r="R75" s="38"/>
      <c r="S75" s="15" t="s">
        <v>1402</v>
      </c>
      <c r="T75" s="15"/>
      <c r="AA75" s="2">
        <f>O75</f>
        <v>3.5000000000000003E-2</v>
      </c>
    </row>
    <row r="76" spans="2:38" ht="21.95" customHeight="1" x14ac:dyDescent="0.15">
      <c r="B76" s="13" t="s">
        <v>1397</v>
      </c>
      <c r="C76" s="13" t="s">
        <v>1002</v>
      </c>
      <c r="D76" s="12" t="s">
        <v>1003</v>
      </c>
      <c r="E76" s="12" t="s">
        <v>1004</v>
      </c>
      <c r="F76" s="15" t="s">
        <v>999</v>
      </c>
      <c r="G76" s="15">
        <f>IF(H76*I76/100+0.000005 &lt;1, TRUNC(H76*I76/100+0.000005, 옵션!$E$13), TRUNC(H76*I76/100+0.000005, 옵션!$E$13))</f>
        <v>0.14499999999999999</v>
      </c>
      <c r="H76" s="15">
        <f>옵션!$B$13</f>
        <v>100</v>
      </c>
      <c r="I76" s="15">
        <f>SUM(AA68:AA75)</f>
        <v>0.14500000000000002</v>
      </c>
      <c r="J76" s="15"/>
      <c r="K76" s="12"/>
      <c r="L76" s="15"/>
      <c r="M76" s="15"/>
      <c r="N76" s="15"/>
      <c r="O76" s="15" t="str">
        <f t="shared" si="4"/>
        <v/>
      </c>
      <c r="P76" s="38"/>
      <c r="Q76" s="38">
        <f t="shared" si="5"/>
        <v>0</v>
      </c>
      <c r="R76" s="38"/>
      <c r="S76" s="15"/>
      <c r="T76" s="15"/>
      <c r="Z76" s="2" t="s">
        <v>1399</v>
      </c>
      <c r="AA76" s="2">
        <f>SUM(AA68:AA75)</f>
        <v>0.14500000000000002</v>
      </c>
      <c r="AG76" s="2">
        <f>SUM(AG68:AG75)</f>
        <v>0.78</v>
      </c>
      <c r="AH76" s="2">
        <f>SUM(AH68:AH75)</f>
        <v>0.47000000000000003</v>
      </c>
      <c r="AI76" s="2">
        <f>SUM(AI68:AI75)</f>
        <v>1.33</v>
      </c>
      <c r="AK76" s="2">
        <f>SUM(AK68:AK75)</f>
        <v>0.05</v>
      </c>
      <c r="AL76" s="2">
        <f>SUM(AL68:AL75)</f>
        <v>0.34</v>
      </c>
    </row>
    <row r="77" spans="2:38" ht="21.95" customHeight="1" x14ac:dyDescent="0.15">
      <c r="B77" s="13" t="s">
        <v>1397</v>
      </c>
      <c r="C77" s="13" t="s">
        <v>1015</v>
      </c>
      <c r="D77" s="12" t="s">
        <v>1003</v>
      </c>
      <c r="E77" s="12" t="s">
        <v>1016</v>
      </c>
      <c r="F77" s="15" t="s">
        <v>999</v>
      </c>
      <c r="G77" s="15">
        <f>IF(H77*I77/100+0.000005 &lt;1, TRUNC(H77*I77/100+0.000005, 옵션!$E$13), TRUNC(H77*I77/100+0.000005, 옵션!$E$13))</f>
        <v>0.78</v>
      </c>
      <c r="H77" s="15">
        <f>옵션!$B$13</f>
        <v>100</v>
      </c>
      <c r="I77" s="15">
        <f>SUM(AG68:AG75)</f>
        <v>0.78</v>
      </c>
      <c r="J77" s="15"/>
      <c r="K77" s="12"/>
      <c r="L77" s="15"/>
      <c r="M77" s="15"/>
      <c r="N77" s="15"/>
      <c r="O77" s="15" t="str">
        <f t="shared" si="4"/>
        <v/>
      </c>
      <c r="P77" s="38"/>
      <c r="Q77" s="38">
        <f t="shared" si="5"/>
        <v>0</v>
      </c>
      <c r="R77" s="38"/>
      <c r="S77" s="15"/>
      <c r="T77" s="15"/>
    </row>
    <row r="78" spans="2:38" ht="21.95" customHeight="1" x14ac:dyDescent="0.15">
      <c r="B78" s="13" t="s">
        <v>1397</v>
      </c>
      <c r="C78" s="13" t="s">
        <v>1017</v>
      </c>
      <c r="D78" s="12" t="s">
        <v>1003</v>
      </c>
      <c r="E78" s="12" t="s">
        <v>1018</v>
      </c>
      <c r="F78" s="15" t="s">
        <v>999</v>
      </c>
      <c r="G78" s="15">
        <f>IF(H78*I78/100+0.000005 &lt;1, TRUNC(H78*I78/100+0.000005, 옵션!$E$13), TRUNC(H78*I78/100+0.000005, 옵션!$E$13))</f>
        <v>0.47</v>
      </c>
      <c r="H78" s="15">
        <f>옵션!$B$13</f>
        <v>100</v>
      </c>
      <c r="I78" s="15">
        <f>SUM(AH68:AH75)</f>
        <v>0.47000000000000003</v>
      </c>
      <c r="J78" s="15"/>
      <c r="K78" s="12"/>
      <c r="L78" s="15"/>
      <c r="M78" s="15"/>
      <c r="N78" s="15"/>
      <c r="O78" s="15" t="str">
        <f t="shared" si="4"/>
        <v/>
      </c>
      <c r="P78" s="38"/>
      <c r="Q78" s="38">
        <f t="shared" si="5"/>
        <v>0</v>
      </c>
      <c r="R78" s="38"/>
      <c r="S78" s="15"/>
      <c r="T78" s="15"/>
    </row>
    <row r="79" spans="2:38" ht="21.95" customHeight="1" x14ac:dyDescent="0.15">
      <c r="B79" s="13" t="s">
        <v>1397</v>
      </c>
      <c r="C79" s="13" t="s">
        <v>1019</v>
      </c>
      <c r="D79" s="12" t="s">
        <v>1003</v>
      </c>
      <c r="E79" s="12" t="s">
        <v>1020</v>
      </c>
      <c r="F79" s="15" t="s">
        <v>999</v>
      </c>
      <c r="G79" s="15">
        <f>IF(H79*I79/100+0.000005 &lt;1, TRUNC(H79*I79/100+0.000005, 옵션!$E$13), TRUNC(H79*I79/100+0.000005, 옵션!$E$13))</f>
        <v>1.33</v>
      </c>
      <c r="H79" s="15">
        <f>옵션!$B$13</f>
        <v>100</v>
      </c>
      <c r="I79" s="15">
        <f>SUM(AI68:AI75)</f>
        <v>1.33</v>
      </c>
      <c r="J79" s="15"/>
      <c r="K79" s="12"/>
      <c r="L79" s="15"/>
      <c r="M79" s="15"/>
      <c r="N79" s="15"/>
      <c r="O79" s="15" t="str">
        <f t="shared" si="4"/>
        <v/>
      </c>
      <c r="P79" s="38"/>
      <c r="Q79" s="38">
        <f t="shared" si="5"/>
        <v>0</v>
      </c>
      <c r="R79" s="38"/>
      <c r="S79" s="15"/>
      <c r="T79" s="15"/>
    </row>
    <row r="80" spans="2:38" ht="21.95" customHeight="1" x14ac:dyDescent="0.15">
      <c r="B80" s="13" t="s">
        <v>1397</v>
      </c>
      <c r="C80" s="13" t="s">
        <v>1023</v>
      </c>
      <c r="D80" s="12" t="s">
        <v>1003</v>
      </c>
      <c r="E80" s="12" t="s">
        <v>1024</v>
      </c>
      <c r="F80" s="15" t="s">
        <v>999</v>
      </c>
      <c r="G80" s="15">
        <f>IF(H80*I80/100+0.000005 &lt;1, TRUNC(H80*I80/100+0.000005, 옵션!$E$13), TRUNC(H80*I80/100+0.000005, 옵션!$E$13))</f>
        <v>0.05</v>
      </c>
      <c r="H80" s="15">
        <f>옵션!$B$13</f>
        <v>100</v>
      </c>
      <c r="I80" s="15">
        <f>SUM(AK68:AK75)</f>
        <v>0.05</v>
      </c>
      <c r="J80" s="15"/>
      <c r="K80" s="12"/>
      <c r="L80" s="15"/>
      <c r="M80" s="15"/>
      <c r="N80" s="15"/>
      <c r="O80" s="15" t="str">
        <f t="shared" si="4"/>
        <v/>
      </c>
      <c r="P80" s="38"/>
      <c r="Q80" s="38">
        <f t="shared" si="5"/>
        <v>0</v>
      </c>
      <c r="R80" s="38"/>
      <c r="S80" s="15"/>
      <c r="T80" s="15"/>
    </row>
    <row r="81" spans="2:34" ht="21.95" customHeight="1" x14ac:dyDescent="0.15">
      <c r="B81" s="13" t="s">
        <v>1397</v>
      </c>
      <c r="C81" s="13" t="s">
        <v>1025</v>
      </c>
      <c r="D81" s="12" t="s">
        <v>1003</v>
      </c>
      <c r="E81" s="12" t="s">
        <v>1026</v>
      </c>
      <c r="F81" s="15" t="s">
        <v>999</v>
      </c>
      <c r="G81" s="15">
        <f>IF(H81*I81/100+0.000005 &lt;1, TRUNC(H81*I81/100+0.000005, 옵션!$E$13), TRUNC(H81*I81/100+0.000005, 옵션!$E$13))</f>
        <v>0.34</v>
      </c>
      <c r="H81" s="15">
        <f>옵션!$B$13</f>
        <v>100</v>
      </c>
      <c r="I81" s="15">
        <f>SUM(AL68:AL75)</f>
        <v>0.34</v>
      </c>
      <c r="J81" s="15"/>
      <c r="K81" s="12"/>
      <c r="L81" s="15"/>
      <c r="M81" s="15"/>
      <c r="N81" s="15"/>
      <c r="O81" s="15" t="str">
        <f t="shared" si="4"/>
        <v/>
      </c>
      <c r="P81" s="38"/>
      <c r="Q81" s="38">
        <f t="shared" si="5"/>
        <v>0</v>
      </c>
      <c r="R81" s="38"/>
      <c r="S81" s="15"/>
      <c r="T81" s="15"/>
    </row>
    <row r="82" spans="2:34" ht="21.95" customHeight="1" x14ac:dyDescent="0.15">
      <c r="B82" s="13" t="s">
        <v>1448</v>
      </c>
      <c r="D82" s="170" t="s">
        <v>1465</v>
      </c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2"/>
    </row>
    <row r="83" spans="2:34" ht="21.95" customHeight="1" x14ac:dyDescent="0.15">
      <c r="B83" s="13" t="s">
        <v>1397</v>
      </c>
      <c r="C83" s="13" t="s">
        <v>533</v>
      </c>
      <c r="D83" s="12" t="s">
        <v>534</v>
      </c>
      <c r="E83" s="12" t="s">
        <v>535</v>
      </c>
      <c r="F83" s="15" t="s">
        <v>200</v>
      </c>
      <c r="G83" s="15">
        <v>1</v>
      </c>
      <c r="H83" s="15">
        <f>IF(I83&lt;&gt;0, G83-I83, "")</f>
        <v>0</v>
      </c>
      <c r="I83" s="15">
        <v>1</v>
      </c>
      <c r="J83" s="15"/>
      <c r="K83" s="12" t="s">
        <v>1372</v>
      </c>
      <c r="L83" s="15" t="s">
        <v>1004</v>
      </c>
      <c r="M83" s="15">
        <v>0.11</v>
      </c>
      <c r="N83" s="15">
        <v>100</v>
      </c>
      <c r="O83" s="15">
        <f>IF(I83*M83=0, "", I83*M83*(N83/100))</f>
        <v>0.11</v>
      </c>
      <c r="P83" s="38"/>
      <c r="Q83" s="38">
        <f>TRUNC(P83*M83*N83/100)</f>
        <v>0</v>
      </c>
      <c r="R83" s="38"/>
      <c r="S83" s="15" t="s">
        <v>1402</v>
      </c>
      <c r="T83" s="15"/>
      <c r="AA83" s="2">
        <f>O83</f>
        <v>0.11</v>
      </c>
    </row>
    <row r="84" spans="2:34" ht="21.95" customHeight="1" x14ac:dyDescent="0.15">
      <c r="B84" s="13" t="s">
        <v>1397</v>
      </c>
      <c r="C84" s="13" t="s">
        <v>533</v>
      </c>
      <c r="D84" s="12"/>
      <c r="E84" s="12"/>
      <c r="F84" s="15"/>
      <c r="G84" s="15">
        <v>1</v>
      </c>
      <c r="H84" s="15">
        <f>IF(I84&lt;&gt;0, G84-I84, "")</f>
        <v>0</v>
      </c>
      <c r="I84" s="15">
        <v>1</v>
      </c>
      <c r="J84" s="15"/>
      <c r="K84" s="12" t="s">
        <v>1379</v>
      </c>
      <c r="L84" s="15" t="s">
        <v>1018</v>
      </c>
      <c r="M84" s="15">
        <v>0.08</v>
      </c>
      <c r="N84" s="15">
        <v>100</v>
      </c>
      <c r="O84" s="15">
        <f>IF(I84*M84=0, "", I84*M84*(N84/100))</f>
        <v>0.08</v>
      </c>
      <c r="P84" s="38"/>
      <c r="Q84" s="38">
        <f>TRUNC(P84*M84*N84/100)</f>
        <v>0</v>
      </c>
      <c r="R84" s="38"/>
      <c r="S84" s="15" t="s">
        <v>1402</v>
      </c>
      <c r="T84" s="15"/>
      <c r="AH84" s="2">
        <f>O84</f>
        <v>0.08</v>
      </c>
    </row>
    <row r="85" spans="2:34" ht="21.95" customHeight="1" x14ac:dyDescent="0.15">
      <c r="B85" s="13" t="s">
        <v>1397</v>
      </c>
      <c r="C85" s="13" t="s">
        <v>420</v>
      </c>
      <c r="D85" s="12" t="s">
        <v>408</v>
      </c>
      <c r="E85" s="12" t="s">
        <v>421</v>
      </c>
      <c r="F85" s="15" t="s">
        <v>166</v>
      </c>
      <c r="G85" s="15">
        <v>3</v>
      </c>
      <c r="H85" s="15">
        <f>IF(I85&lt;&gt;0, G85-I85, "")</f>
        <v>0</v>
      </c>
      <c r="I85" s="15">
        <v>3</v>
      </c>
      <c r="J85" s="15">
        <v>10</v>
      </c>
      <c r="K85" s="12" t="s">
        <v>1372</v>
      </c>
      <c r="L85" s="15" t="s">
        <v>1004</v>
      </c>
      <c r="M85" s="15">
        <v>7.0000000000000001E-3</v>
      </c>
      <c r="N85" s="15">
        <v>100</v>
      </c>
      <c r="O85" s="15">
        <f>IF(I85*M85=0, "", I85*M85*(N85/100))</f>
        <v>2.1000000000000001E-2</v>
      </c>
      <c r="P85" s="38"/>
      <c r="Q85" s="38">
        <f>TRUNC(P85*M85*N85/100)</f>
        <v>0</v>
      </c>
      <c r="R85" s="38"/>
      <c r="S85" s="15" t="s">
        <v>1402</v>
      </c>
      <c r="T85" s="15"/>
      <c r="AA85" s="2">
        <f>O85</f>
        <v>2.1000000000000001E-2</v>
      </c>
    </row>
    <row r="86" spans="2:34" ht="21.95" customHeight="1" x14ac:dyDescent="0.15">
      <c r="B86" s="13" t="s">
        <v>1397</v>
      </c>
      <c r="C86" s="13" t="s">
        <v>1002</v>
      </c>
      <c r="D86" s="12" t="s">
        <v>1003</v>
      </c>
      <c r="E86" s="12" t="s">
        <v>1004</v>
      </c>
      <c r="F86" s="15" t="s">
        <v>999</v>
      </c>
      <c r="G86" s="15">
        <f>IF(H86*I86/100+0.000005 &lt;1, TRUNC(H86*I86/100+0.000005, 옵션!$E$13), TRUNC(H86*I86/100+0.000005, 옵션!$E$13))</f>
        <v>0.13100000000000001</v>
      </c>
      <c r="H86" s="15">
        <f>옵션!$B$13</f>
        <v>100</v>
      </c>
      <c r="I86" s="15">
        <f>SUM(AA83:AA85)</f>
        <v>0.13100000000000001</v>
      </c>
      <c r="J86" s="15"/>
      <c r="K86" s="12"/>
      <c r="L86" s="15"/>
      <c r="M86" s="15"/>
      <c r="N86" s="15"/>
      <c r="O86" s="15" t="str">
        <f>IF(I86*M86=0, "", I86*M86*(N86/100))</f>
        <v/>
      </c>
      <c r="P86" s="38"/>
      <c r="Q86" s="38">
        <f>TRUNC(P86*M86*N86/100)</f>
        <v>0</v>
      </c>
      <c r="R86" s="38"/>
      <c r="S86" s="15"/>
      <c r="T86" s="15"/>
      <c r="Z86" s="2" t="s">
        <v>1399</v>
      </c>
      <c r="AA86" s="2">
        <f>SUM(AA83:AA85)</f>
        <v>0.13100000000000001</v>
      </c>
      <c r="AH86" s="2">
        <f>SUM(AH83:AH85)</f>
        <v>0.08</v>
      </c>
    </row>
    <row r="87" spans="2:34" ht="21.95" customHeight="1" x14ac:dyDescent="0.15">
      <c r="B87" s="13" t="s">
        <v>1397</v>
      </c>
      <c r="C87" s="13" t="s">
        <v>1017</v>
      </c>
      <c r="D87" s="12" t="s">
        <v>1003</v>
      </c>
      <c r="E87" s="12" t="s">
        <v>1018</v>
      </c>
      <c r="F87" s="15" t="s">
        <v>999</v>
      </c>
      <c r="G87" s="15">
        <f>IF(H87*I87/100+0.000005 &lt;1, TRUNC(H87*I87/100+0.000005, 옵션!$E$13), TRUNC(H87*I87/100+0.000005, 옵션!$E$13))</f>
        <v>0.08</v>
      </c>
      <c r="H87" s="15">
        <f>옵션!$B$13</f>
        <v>100</v>
      </c>
      <c r="I87" s="15">
        <f>SUM(AH83:AH85)</f>
        <v>0.08</v>
      </c>
      <c r="J87" s="15"/>
      <c r="K87" s="12"/>
      <c r="L87" s="15"/>
      <c r="M87" s="15"/>
      <c r="N87" s="15"/>
      <c r="O87" s="15" t="str">
        <f>IF(I87*M87=0, "", I87*M87*(N87/100))</f>
        <v/>
      </c>
      <c r="P87" s="38"/>
      <c r="Q87" s="38">
        <f>TRUNC(P87*M87*N87/100)</f>
        <v>0</v>
      </c>
      <c r="R87" s="38"/>
      <c r="S87" s="15"/>
      <c r="T87" s="15"/>
    </row>
    <row r="88" spans="2:34" ht="21.95" customHeight="1" x14ac:dyDescent="0.15">
      <c r="B88" s="13" t="s">
        <v>1448</v>
      </c>
      <c r="D88" s="170" t="s">
        <v>1466</v>
      </c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2"/>
    </row>
    <row r="89" spans="2:34" ht="21.95" customHeight="1" x14ac:dyDescent="0.15">
      <c r="B89" s="13" t="s">
        <v>1397</v>
      </c>
      <c r="C89" s="13" t="s">
        <v>241</v>
      </c>
      <c r="D89" s="12" t="s">
        <v>242</v>
      </c>
      <c r="E89" s="12" t="s">
        <v>243</v>
      </c>
      <c r="F89" s="15" t="s">
        <v>200</v>
      </c>
      <c r="G89" s="15">
        <v>1</v>
      </c>
      <c r="H89" s="15">
        <f>IF(I89&lt;&gt;0, G89-I89, "")</f>
        <v>0</v>
      </c>
      <c r="I89" s="15">
        <v>1</v>
      </c>
      <c r="J89" s="15"/>
      <c r="K89" s="12" t="s">
        <v>1375</v>
      </c>
      <c r="L89" s="15" t="s">
        <v>1010</v>
      </c>
      <c r="M89" s="15">
        <v>0.13200000000000001</v>
      </c>
      <c r="N89" s="15">
        <v>100</v>
      </c>
      <c r="O89" s="15">
        <f>IF(I89*M89=0, "", I89*M89*(N89/100))</f>
        <v>0.13200000000000001</v>
      </c>
      <c r="P89" s="38"/>
      <c r="Q89" s="38">
        <f>TRUNC(P89*M89*N89/100)</f>
        <v>0</v>
      </c>
      <c r="R89" s="38"/>
      <c r="S89" s="15" t="s">
        <v>1404</v>
      </c>
      <c r="T89" s="15"/>
      <c r="AD89" s="2">
        <f>O89</f>
        <v>0.13200000000000001</v>
      </c>
    </row>
    <row r="90" spans="2:34" ht="21.95" customHeight="1" x14ac:dyDescent="0.15">
      <c r="B90" s="13" t="s">
        <v>1397</v>
      </c>
      <c r="C90" s="13" t="s">
        <v>241</v>
      </c>
      <c r="D90" s="12"/>
      <c r="E90" s="12"/>
      <c r="F90" s="15"/>
      <c r="G90" s="15">
        <v>1</v>
      </c>
      <c r="H90" s="15">
        <f>IF(I90&lt;&gt;0, G90-I90, "")</f>
        <v>0</v>
      </c>
      <c r="I90" s="15">
        <v>1</v>
      </c>
      <c r="J90" s="15"/>
      <c r="K90" s="12" t="s">
        <v>1379</v>
      </c>
      <c r="L90" s="15" t="s">
        <v>1018</v>
      </c>
      <c r="M90" s="15">
        <v>0.13200000000000001</v>
      </c>
      <c r="N90" s="15">
        <v>100</v>
      </c>
      <c r="O90" s="15">
        <f>IF(I90*M90=0, "", I90*M90*(N90/100))</f>
        <v>0.13200000000000001</v>
      </c>
      <c r="P90" s="38"/>
      <c r="Q90" s="38">
        <f>TRUNC(P90*M90*N90/100)</f>
        <v>0</v>
      </c>
      <c r="R90" s="38"/>
      <c r="S90" s="15" t="s">
        <v>1404</v>
      </c>
      <c r="T90" s="15"/>
      <c r="AH90" s="2">
        <f>O90</f>
        <v>0.13200000000000001</v>
      </c>
    </row>
    <row r="91" spans="2:34" ht="21.95" customHeight="1" x14ac:dyDescent="0.15">
      <c r="B91" s="13" t="s">
        <v>1397</v>
      </c>
      <c r="C91" s="13" t="s">
        <v>1009</v>
      </c>
      <c r="D91" s="12" t="s">
        <v>1003</v>
      </c>
      <c r="E91" s="12" t="s">
        <v>1010</v>
      </c>
      <c r="F91" s="15" t="s">
        <v>999</v>
      </c>
      <c r="G91" s="15">
        <f>IF(H91*I91/100+0.000005 &lt;1, TRUNC(H91*I91/100+0.000005, 옵션!$E$13), TRUNC(H91*I91/100+0.000005, 옵션!$E$13))</f>
        <v>0.13200000000000001</v>
      </c>
      <c r="H91" s="15">
        <f>옵션!$B$13</f>
        <v>100</v>
      </c>
      <c r="I91" s="15">
        <f>SUM(AD89:AD90)</f>
        <v>0.13200000000000001</v>
      </c>
      <c r="J91" s="15"/>
      <c r="K91" s="12"/>
      <c r="L91" s="15"/>
      <c r="M91" s="15"/>
      <c r="N91" s="15"/>
      <c r="O91" s="15" t="str">
        <f>IF(I91*M91=0, "", I91*M91*(N91/100))</f>
        <v/>
      </c>
      <c r="P91" s="38"/>
      <c r="Q91" s="38">
        <f>TRUNC(P91*M91*N91/100)</f>
        <v>0</v>
      </c>
      <c r="R91" s="38"/>
      <c r="S91" s="15"/>
      <c r="T91" s="15"/>
      <c r="Z91" s="2" t="s">
        <v>1399</v>
      </c>
      <c r="AD91" s="2">
        <f>SUM(AD89:AD90)</f>
        <v>0.13200000000000001</v>
      </c>
      <c r="AH91" s="2">
        <f>SUM(AH89:AH90)</f>
        <v>0.13200000000000001</v>
      </c>
    </row>
    <row r="92" spans="2:34" ht="21.95" customHeight="1" x14ac:dyDescent="0.15">
      <c r="B92" s="13" t="s">
        <v>1397</v>
      </c>
      <c r="C92" s="13" t="s">
        <v>1017</v>
      </c>
      <c r="D92" s="12" t="s">
        <v>1003</v>
      </c>
      <c r="E92" s="12" t="s">
        <v>1018</v>
      </c>
      <c r="F92" s="15" t="s">
        <v>999</v>
      </c>
      <c r="G92" s="15">
        <f>IF(H92*I92/100+0.000005 &lt;1, TRUNC(H92*I92/100+0.000005, 옵션!$E$13), TRUNC(H92*I92/100+0.000005, 옵션!$E$13))</f>
        <v>0.13200000000000001</v>
      </c>
      <c r="H92" s="15">
        <f>옵션!$B$13</f>
        <v>100</v>
      </c>
      <c r="I92" s="15">
        <f>SUM(AH89:AH90)</f>
        <v>0.13200000000000001</v>
      </c>
      <c r="J92" s="15"/>
      <c r="K92" s="12"/>
      <c r="L92" s="15"/>
      <c r="M92" s="15"/>
      <c r="N92" s="15"/>
      <c r="O92" s="15" t="str">
        <f>IF(I92*M92=0, "", I92*M92*(N92/100))</f>
        <v/>
      </c>
      <c r="P92" s="38"/>
      <c r="Q92" s="38">
        <f>TRUNC(P92*M92*N92/100)</f>
        <v>0</v>
      </c>
      <c r="R92" s="38"/>
      <c r="S92" s="15"/>
      <c r="T92" s="15"/>
    </row>
    <row r="93" spans="2:34" ht="21.95" customHeight="1" x14ac:dyDescent="0.15">
      <c r="B93" s="13" t="s">
        <v>1448</v>
      </c>
      <c r="D93" s="170" t="s">
        <v>1467</v>
      </c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2"/>
    </row>
    <row r="94" spans="2:34" ht="21.95" customHeight="1" x14ac:dyDescent="0.15">
      <c r="B94" s="13" t="s">
        <v>1397</v>
      </c>
      <c r="C94" s="13" t="s">
        <v>245</v>
      </c>
      <c r="D94" s="12" t="s">
        <v>242</v>
      </c>
      <c r="E94" s="12" t="s">
        <v>246</v>
      </c>
      <c r="F94" s="15" t="s">
        <v>200</v>
      </c>
      <c r="G94" s="15">
        <v>1</v>
      </c>
      <c r="H94" s="15">
        <f>IF(I94&lt;&gt;0, G94-I94, "")</f>
        <v>0</v>
      </c>
      <c r="I94" s="15">
        <v>1</v>
      </c>
      <c r="J94" s="15"/>
      <c r="K94" s="12" t="s">
        <v>1375</v>
      </c>
      <c r="L94" s="15" t="s">
        <v>1010</v>
      </c>
      <c r="M94" s="15">
        <v>0.13200000000000001</v>
      </c>
      <c r="N94" s="15">
        <v>100</v>
      </c>
      <c r="O94" s="15">
        <f>IF(I94*M94=0, "", I94*M94*(N94/100))</f>
        <v>0.13200000000000001</v>
      </c>
      <c r="P94" s="38"/>
      <c r="Q94" s="38">
        <f>TRUNC(P94*M94*N94/100)</f>
        <v>0</v>
      </c>
      <c r="R94" s="38"/>
      <c r="S94" s="15" t="s">
        <v>1404</v>
      </c>
      <c r="T94" s="15"/>
      <c r="AD94" s="2">
        <f>O94</f>
        <v>0.13200000000000001</v>
      </c>
    </row>
    <row r="95" spans="2:34" ht="21.95" customHeight="1" x14ac:dyDescent="0.15">
      <c r="B95" s="13" t="s">
        <v>1397</v>
      </c>
      <c r="C95" s="13" t="s">
        <v>245</v>
      </c>
      <c r="D95" s="12"/>
      <c r="E95" s="12"/>
      <c r="F95" s="15"/>
      <c r="G95" s="15">
        <v>1</v>
      </c>
      <c r="H95" s="15">
        <f>IF(I95&lt;&gt;0, G95-I95, "")</f>
        <v>0</v>
      </c>
      <c r="I95" s="15">
        <v>1</v>
      </c>
      <c r="J95" s="15"/>
      <c r="K95" s="12" t="s">
        <v>1379</v>
      </c>
      <c r="L95" s="15" t="s">
        <v>1018</v>
      </c>
      <c r="M95" s="15">
        <v>0.13200000000000001</v>
      </c>
      <c r="N95" s="15">
        <v>100</v>
      </c>
      <c r="O95" s="15">
        <f>IF(I95*M95=0, "", I95*M95*(N95/100))</f>
        <v>0.13200000000000001</v>
      </c>
      <c r="P95" s="38"/>
      <c r="Q95" s="38">
        <f>TRUNC(P95*M95*N95/100)</f>
        <v>0</v>
      </c>
      <c r="R95" s="38"/>
      <c r="S95" s="15" t="s">
        <v>1404</v>
      </c>
      <c r="T95" s="15"/>
      <c r="AH95" s="2">
        <f>O95</f>
        <v>0.13200000000000001</v>
      </c>
    </row>
    <row r="96" spans="2:34" ht="21.95" customHeight="1" x14ac:dyDescent="0.15">
      <c r="B96" s="13" t="s">
        <v>1397</v>
      </c>
      <c r="C96" s="13" t="s">
        <v>1009</v>
      </c>
      <c r="D96" s="12" t="s">
        <v>1003</v>
      </c>
      <c r="E96" s="12" t="s">
        <v>1010</v>
      </c>
      <c r="F96" s="15" t="s">
        <v>999</v>
      </c>
      <c r="G96" s="15">
        <f>IF(H96*I96/100+0.000005 &lt;1, TRUNC(H96*I96/100+0.000005, 옵션!$E$13), TRUNC(H96*I96/100+0.000005, 옵션!$E$13))</f>
        <v>0.13200000000000001</v>
      </c>
      <c r="H96" s="15">
        <f>옵션!$B$13</f>
        <v>100</v>
      </c>
      <c r="I96" s="15">
        <f>SUM(AD94:AD95)</f>
        <v>0.13200000000000001</v>
      </c>
      <c r="J96" s="15"/>
      <c r="K96" s="12"/>
      <c r="L96" s="15"/>
      <c r="M96" s="15"/>
      <c r="N96" s="15"/>
      <c r="O96" s="15" t="str">
        <f>IF(I96*M96=0, "", I96*M96*(N96/100))</f>
        <v/>
      </c>
      <c r="P96" s="38"/>
      <c r="Q96" s="38">
        <f>TRUNC(P96*M96*N96/100)</f>
        <v>0</v>
      </c>
      <c r="R96" s="38"/>
      <c r="S96" s="15"/>
      <c r="T96" s="15"/>
      <c r="Z96" s="2" t="s">
        <v>1399</v>
      </c>
      <c r="AD96" s="2">
        <f>SUM(AD94:AD95)</f>
        <v>0.13200000000000001</v>
      </c>
      <c r="AH96" s="2">
        <f>SUM(AH94:AH95)</f>
        <v>0.13200000000000001</v>
      </c>
    </row>
    <row r="97" spans="2:34" ht="21.95" customHeight="1" x14ac:dyDescent="0.15">
      <c r="B97" s="13" t="s">
        <v>1397</v>
      </c>
      <c r="C97" s="13" t="s">
        <v>1017</v>
      </c>
      <c r="D97" s="12" t="s">
        <v>1003</v>
      </c>
      <c r="E97" s="12" t="s">
        <v>1018</v>
      </c>
      <c r="F97" s="15" t="s">
        <v>999</v>
      </c>
      <c r="G97" s="15">
        <f>IF(H97*I97/100+0.000005 &lt;1, TRUNC(H97*I97/100+0.000005, 옵션!$E$13), TRUNC(H97*I97/100+0.000005, 옵션!$E$13))</f>
        <v>0.13200000000000001</v>
      </c>
      <c r="H97" s="15">
        <f>옵션!$B$13</f>
        <v>100</v>
      </c>
      <c r="I97" s="15">
        <f>SUM(AH94:AH95)</f>
        <v>0.13200000000000001</v>
      </c>
      <c r="J97" s="15"/>
      <c r="K97" s="12"/>
      <c r="L97" s="15"/>
      <c r="M97" s="15"/>
      <c r="N97" s="15"/>
      <c r="O97" s="15" t="str">
        <f>IF(I97*M97=0, "", I97*M97*(N97/100))</f>
        <v/>
      </c>
      <c r="P97" s="38"/>
      <c r="Q97" s="38">
        <f>TRUNC(P97*M97*N97/100)</f>
        <v>0</v>
      </c>
      <c r="R97" s="38"/>
      <c r="S97" s="15"/>
      <c r="T97" s="15"/>
    </row>
    <row r="98" spans="2:34" ht="21.95" customHeight="1" x14ac:dyDescent="0.15">
      <c r="B98" s="13" t="s">
        <v>1448</v>
      </c>
      <c r="D98" s="170" t="s">
        <v>1468</v>
      </c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2"/>
    </row>
    <row r="99" spans="2:34" ht="21.95" customHeight="1" x14ac:dyDescent="0.15">
      <c r="B99" s="13" t="s">
        <v>1397</v>
      </c>
      <c r="C99" s="13" t="s">
        <v>247</v>
      </c>
      <c r="D99" s="12" t="s">
        <v>242</v>
      </c>
      <c r="E99" s="12" t="s">
        <v>248</v>
      </c>
      <c r="F99" s="15" t="s">
        <v>200</v>
      </c>
      <c r="G99" s="15">
        <v>1</v>
      </c>
      <c r="H99" s="15">
        <f>IF(I99&lt;&gt;0, G99-I99, "")</f>
        <v>0</v>
      </c>
      <c r="I99" s="15">
        <v>1</v>
      </c>
      <c r="J99" s="15"/>
      <c r="K99" s="12" t="s">
        <v>1375</v>
      </c>
      <c r="L99" s="15" t="s">
        <v>1010</v>
      </c>
      <c r="M99" s="15">
        <v>0.13200000000000001</v>
      </c>
      <c r="N99" s="15">
        <v>100</v>
      </c>
      <c r="O99" s="15">
        <f>IF(I99*M99=0, "", I99*M99*(N99/100))</f>
        <v>0.13200000000000001</v>
      </c>
      <c r="P99" s="38"/>
      <c r="Q99" s="38">
        <f>TRUNC(P99*M99*N99/100)</f>
        <v>0</v>
      </c>
      <c r="R99" s="38"/>
      <c r="S99" s="15" t="s">
        <v>1404</v>
      </c>
      <c r="T99" s="15"/>
      <c r="AD99" s="2">
        <f>O99</f>
        <v>0.13200000000000001</v>
      </c>
    </row>
    <row r="100" spans="2:34" ht="21.95" customHeight="1" x14ac:dyDescent="0.15">
      <c r="B100" s="13" t="s">
        <v>1397</v>
      </c>
      <c r="C100" s="13" t="s">
        <v>247</v>
      </c>
      <c r="D100" s="12"/>
      <c r="E100" s="12"/>
      <c r="F100" s="15"/>
      <c r="G100" s="15">
        <v>1</v>
      </c>
      <c r="H100" s="15">
        <f>IF(I100&lt;&gt;0, G100-I100, "")</f>
        <v>0</v>
      </c>
      <c r="I100" s="15">
        <v>1</v>
      </c>
      <c r="J100" s="15"/>
      <c r="K100" s="12" t="s">
        <v>1379</v>
      </c>
      <c r="L100" s="15" t="s">
        <v>1018</v>
      </c>
      <c r="M100" s="15">
        <v>0.13200000000000001</v>
      </c>
      <c r="N100" s="15">
        <v>100</v>
      </c>
      <c r="O100" s="15">
        <f>IF(I100*M100=0, "", I100*M100*(N100/100))</f>
        <v>0.13200000000000001</v>
      </c>
      <c r="P100" s="38"/>
      <c r="Q100" s="38">
        <f>TRUNC(P100*M100*N100/100)</f>
        <v>0</v>
      </c>
      <c r="R100" s="38"/>
      <c r="S100" s="15" t="s">
        <v>1404</v>
      </c>
      <c r="T100" s="15"/>
      <c r="AH100" s="2">
        <f>O100</f>
        <v>0.13200000000000001</v>
      </c>
    </row>
    <row r="101" spans="2:34" ht="21.95" customHeight="1" x14ac:dyDescent="0.15">
      <c r="B101" s="13" t="s">
        <v>1397</v>
      </c>
      <c r="C101" s="13" t="s">
        <v>1009</v>
      </c>
      <c r="D101" s="12" t="s">
        <v>1003</v>
      </c>
      <c r="E101" s="12" t="s">
        <v>1010</v>
      </c>
      <c r="F101" s="15" t="s">
        <v>999</v>
      </c>
      <c r="G101" s="15">
        <f>IF(H101*I101/100+0.000005 &lt;1, TRUNC(H101*I101/100+0.000005, 옵션!$E$13), TRUNC(H101*I101/100+0.000005, 옵션!$E$13))</f>
        <v>0.13200000000000001</v>
      </c>
      <c r="H101" s="15">
        <f>옵션!$B$13</f>
        <v>100</v>
      </c>
      <c r="I101" s="15">
        <f>SUM(AD99:AD100)</f>
        <v>0.13200000000000001</v>
      </c>
      <c r="J101" s="15"/>
      <c r="K101" s="12"/>
      <c r="L101" s="15"/>
      <c r="M101" s="15"/>
      <c r="N101" s="15"/>
      <c r="O101" s="15" t="str">
        <f>IF(I101*M101=0, "", I101*M101*(N101/100))</f>
        <v/>
      </c>
      <c r="P101" s="38"/>
      <c r="Q101" s="38">
        <f>TRUNC(P101*M101*N101/100)</f>
        <v>0</v>
      </c>
      <c r="R101" s="38"/>
      <c r="S101" s="15"/>
      <c r="T101" s="15"/>
      <c r="Z101" s="2" t="s">
        <v>1399</v>
      </c>
      <c r="AD101" s="2">
        <f>SUM(AD99:AD100)</f>
        <v>0.13200000000000001</v>
      </c>
      <c r="AH101" s="2">
        <f>SUM(AH99:AH100)</f>
        <v>0.13200000000000001</v>
      </c>
    </row>
    <row r="102" spans="2:34" ht="21.95" customHeight="1" x14ac:dyDescent="0.15">
      <c r="B102" s="13" t="s">
        <v>1397</v>
      </c>
      <c r="C102" s="13" t="s">
        <v>1017</v>
      </c>
      <c r="D102" s="12" t="s">
        <v>1003</v>
      </c>
      <c r="E102" s="12" t="s">
        <v>1018</v>
      </c>
      <c r="F102" s="15" t="s">
        <v>999</v>
      </c>
      <c r="G102" s="15">
        <f>IF(H102*I102/100+0.000005 &lt;1, TRUNC(H102*I102/100+0.000005, 옵션!$E$13), TRUNC(H102*I102/100+0.000005, 옵션!$E$13))</f>
        <v>0.13200000000000001</v>
      </c>
      <c r="H102" s="15">
        <f>옵션!$B$13</f>
        <v>100</v>
      </c>
      <c r="I102" s="15">
        <f>SUM(AH99:AH100)</f>
        <v>0.13200000000000001</v>
      </c>
      <c r="J102" s="15"/>
      <c r="K102" s="12"/>
      <c r="L102" s="15"/>
      <c r="M102" s="15"/>
      <c r="N102" s="15"/>
      <c r="O102" s="15" t="str">
        <f>IF(I102*M102=0, "", I102*M102*(N102/100))</f>
        <v/>
      </c>
      <c r="P102" s="38"/>
      <c r="Q102" s="38">
        <f>TRUNC(P102*M102*N102/100)</f>
        <v>0</v>
      </c>
      <c r="R102" s="38"/>
      <c r="S102" s="15"/>
      <c r="T102" s="15"/>
    </row>
    <row r="103" spans="2:34" ht="21.95" customHeight="1" x14ac:dyDescent="0.15">
      <c r="B103" s="13" t="s">
        <v>1448</v>
      </c>
      <c r="D103" s="170" t="s">
        <v>1469</v>
      </c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2"/>
    </row>
    <row r="104" spans="2:34" ht="21.95" customHeight="1" x14ac:dyDescent="0.15">
      <c r="B104" s="13" t="s">
        <v>1397</v>
      </c>
      <c r="C104" s="13" t="s">
        <v>1405</v>
      </c>
      <c r="D104" s="12" t="s">
        <v>1406</v>
      </c>
      <c r="E104" s="12" t="s">
        <v>1407</v>
      </c>
      <c r="F104" s="15" t="s">
        <v>792</v>
      </c>
      <c r="G104" s="15">
        <v>1</v>
      </c>
      <c r="H104" s="15">
        <f>IF(I104&lt;&gt;0, G104-I104, "")</f>
        <v>0</v>
      </c>
      <c r="I104" s="15">
        <v>1</v>
      </c>
      <c r="J104" s="15"/>
      <c r="K104" s="12" t="s">
        <v>1372</v>
      </c>
      <c r="L104" s="15" t="s">
        <v>1004</v>
      </c>
      <c r="M104" s="15">
        <v>4.1000000000000002E-2</v>
      </c>
      <c r="N104" s="15">
        <v>100</v>
      </c>
      <c r="O104" s="15">
        <f>IF(I104*M104=0, "", I104*M104*(N104/100))</f>
        <v>4.1000000000000002E-2</v>
      </c>
      <c r="P104" s="38"/>
      <c r="Q104" s="38">
        <f>TRUNC(P104*M104*N104/100)</f>
        <v>0</v>
      </c>
      <c r="R104" s="38"/>
      <c r="S104" s="15" t="s">
        <v>1398</v>
      </c>
      <c r="T104" s="15"/>
      <c r="AA104" s="2">
        <f>O104</f>
        <v>4.1000000000000002E-2</v>
      </c>
    </row>
    <row r="105" spans="2:34" ht="21.95" customHeight="1" x14ac:dyDescent="0.15">
      <c r="B105" s="13" t="s">
        <v>1397</v>
      </c>
      <c r="C105" s="13" t="s">
        <v>1002</v>
      </c>
      <c r="D105" s="12" t="s">
        <v>1003</v>
      </c>
      <c r="E105" s="12" t="s">
        <v>1004</v>
      </c>
      <c r="F105" s="15" t="s">
        <v>999</v>
      </c>
      <c r="G105" s="15">
        <f>IF(H105*I105/100+0.000005 &lt;1, TRUNC(H105*I105/100+0.000005, 옵션!$E$13), TRUNC(H105*I105/100+0.000005, 옵션!$E$13))</f>
        <v>4.1000000000000002E-2</v>
      </c>
      <c r="H105" s="15">
        <f>옵션!$B$13</f>
        <v>100</v>
      </c>
      <c r="I105" s="15">
        <f>SUM(AA104:AA104)</f>
        <v>4.1000000000000002E-2</v>
      </c>
      <c r="J105" s="15"/>
      <c r="K105" s="12"/>
      <c r="L105" s="15"/>
      <c r="M105" s="15"/>
      <c r="N105" s="15"/>
      <c r="O105" s="15" t="str">
        <f>IF(I105*M105=0, "", I105*M105*(N105/100))</f>
        <v/>
      </c>
      <c r="P105" s="38"/>
      <c r="Q105" s="38">
        <f>TRUNC(P105*M105*N105/100)</f>
        <v>0</v>
      </c>
      <c r="R105" s="38"/>
      <c r="S105" s="15"/>
      <c r="T105" s="15"/>
      <c r="Z105" s="2" t="s">
        <v>1399</v>
      </c>
      <c r="AA105" s="2">
        <f>SUM(AA104:AA104)</f>
        <v>4.1000000000000002E-2</v>
      </c>
    </row>
    <row r="106" spans="2:34" ht="21.95" customHeight="1" x14ac:dyDescent="0.15">
      <c r="B106" s="13" t="s">
        <v>1448</v>
      </c>
      <c r="D106" s="170" t="s">
        <v>1470</v>
      </c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2"/>
    </row>
    <row r="107" spans="2:34" ht="21.95" customHeight="1" x14ac:dyDescent="0.15">
      <c r="B107" s="13" t="s">
        <v>1397</v>
      </c>
      <c r="C107" s="13" t="s">
        <v>1408</v>
      </c>
      <c r="D107" s="12" t="s">
        <v>1406</v>
      </c>
      <c r="E107" s="12" t="s">
        <v>1409</v>
      </c>
      <c r="F107" s="15" t="s">
        <v>792</v>
      </c>
      <c r="G107" s="15">
        <v>1</v>
      </c>
      <c r="H107" s="15">
        <f>IF(I107&lt;&gt;0, G107-I107, "")</f>
        <v>0</v>
      </c>
      <c r="I107" s="15">
        <v>1</v>
      </c>
      <c r="J107" s="15"/>
      <c r="K107" s="12" t="s">
        <v>1372</v>
      </c>
      <c r="L107" s="15" t="s">
        <v>1004</v>
      </c>
      <c r="M107" s="15">
        <v>0.31</v>
      </c>
      <c r="N107" s="15">
        <v>100</v>
      </c>
      <c r="O107" s="15">
        <f>IF(I107*M107=0, "", I107*M107*(N107/100))</f>
        <v>0.31</v>
      </c>
      <c r="P107" s="38"/>
      <c r="Q107" s="38">
        <f>TRUNC(P107*M107*N107/100)</f>
        <v>0</v>
      </c>
      <c r="R107" s="38"/>
      <c r="S107" s="15"/>
      <c r="T107" s="15"/>
      <c r="AA107" s="2">
        <f>O107</f>
        <v>0.31</v>
      </c>
    </row>
    <row r="108" spans="2:34" ht="21.95" customHeight="1" x14ac:dyDescent="0.15">
      <c r="B108" s="13" t="s">
        <v>1397</v>
      </c>
      <c r="C108" s="13" t="s">
        <v>1002</v>
      </c>
      <c r="D108" s="12" t="s">
        <v>1003</v>
      </c>
      <c r="E108" s="12" t="s">
        <v>1004</v>
      </c>
      <c r="F108" s="15" t="s">
        <v>999</v>
      </c>
      <c r="G108" s="15">
        <f>IF(H108*I108/100+0.000005 &lt;1, TRUNC(H108*I108/100+0.000005, 옵션!$E$13), TRUNC(H108*I108/100+0.000005, 옵션!$E$13))</f>
        <v>0.31</v>
      </c>
      <c r="H108" s="15">
        <f>옵션!$B$13</f>
        <v>100</v>
      </c>
      <c r="I108" s="15">
        <f>SUM(AA107:AA107)</f>
        <v>0.31</v>
      </c>
      <c r="J108" s="15"/>
      <c r="K108" s="12"/>
      <c r="L108" s="15"/>
      <c r="M108" s="15"/>
      <c r="N108" s="15"/>
      <c r="O108" s="15" t="str">
        <f>IF(I108*M108=0, "", I108*M108*(N108/100))</f>
        <v/>
      </c>
      <c r="P108" s="38"/>
      <c r="Q108" s="38">
        <f>TRUNC(P108*M108*N108/100)</f>
        <v>0</v>
      </c>
      <c r="R108" s="38"/>
      <c r="S108" s="15"/>
      <c r="T108" s="15"/>
      <c r="Z108" s="2" t="s">
        <v>1399</v>
      </c>
      <c r="AA108" s="2">
        <f>SUM(AA107:AA107)</f>
        <v>0.31</v>
      </c>
    </row>
    <row r="109" spans="2:34" ht="21.95" customHeight="1" x14ac:dyDescent="0.15">
      <c r="B109" s="13" t="s">
        <v>1448</v>
      </c>
      <c r="D109" s="170" t="s">
        <v>1471</v>
      </c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2"/>
    </row>
    <row r="110" spans="2:34" ht="21.95" customHeight="1" x14ac:dyDescent="0.15">
      <c r="B110" s="13" t="s">
        <v>1397</v>
      </c>
      <c r="C110" s="13" t="s">
        <v>1410</v>
      </c>
      <c r="D110" s="12" t="s">
        <v>1406</v>
      </c>
      <c r="E110" s="12"/>
      <c r="F110" s="15" t="s">
        <v>792</v>
      </c>
      <c r="G110" s="15">
        <v>1</v>
      </c>
      <c r="H110" s="15">
        <f>IF(I110&lt;&gt;0, G110-I110, "")</f>
        <v>0</v>
      </c>
      <c r="I110" s="15">
        <v>1</v>
      </c>
      <c r="J110" s="15"/>
      <c r="K110" s="12" t="s">
        <v>1372</v>
      </c>
      <c r="L110" s="15" t="s">
        <v>1004</v>
      </c>
      <c r="M110" s="15">
        <v>4.1000000000000002E-2</v>
      </c>
      <c r="N110" s="15">
        <v>100</v>
      </c>
      <c r="O110" s="15">
        <f>IF(I110*M110=0, "", I110*M110*(N110/100))</f>
        <v>4.1000000000000002E-2</v>
      </c>
      <c r="P110" s="38"/>
      <c r="Q110" s="38">
        <f>TRUNC(P110*M110*N110/100)</f>
        <v>0</v>
      </c>
      <c r="R110" s="38"/>
      <c r="S110" s="15"/>
      <c r="T110" s="15"/>
      <c r="AA110" s="2">
        <f>O110</f>
        <v>4.1000000000000002E-2</v>
      </c>
    </row>
    <row r="111" spans="2:34" ht="21.95" customHeight="1" x14ac:dyDescent="0.15">
      <c r="B111" s="13" t="s">
        <v>1397</v>
      </c>
      <c r="C111" s="13" t="s">
        <v>1002</v>
      </c>
      <c r="D111" s="12" t="s">
        <v>1003</v>
      </c>
      <c r="E111" s="12" t="s">
        <v>1004</v>
      </c>
      <c r="F111" s="15" t="s">
        <v>999</v>
      </c>
      <c r="G111" s="15">
        <f>IF(H111*I111/100+0.000005 &lt;1, TRUNC(H111*I111/100+0.000005, 옵션!$E$13), TRUNC(H111*I111/100+0.000005, 옵션!$E$13))</f>
        <v>4.1000000000000002E-2</v>
      </c>
      <c r="H111" s="15">
        <f>옵션!$B$13</f>
        <v>100</v>
      </c>
      <c r="I111" s="15">
        <f>SUM(AA110:AA110)</f>
        <v>4.1000000000000002E-2</v>
      </c>
      <c r="J111" s="15"/>
      <c r="K111" s="12"/>
      <c r="L111" s="15"/>
      <c r="M111" s="15"/>
      <c r="N111" s="15"/>
      <c r="O111" s="15" t="str">
        <f>IF(I111*M111=0, "", I111*M111*(N111/100))</f>
        <v/>
      </c>
      <c r="P111" s="38"/>
      <c r="Q111" s="38">
        <f>TRUNC(P111*M111*N111/100)</f>
        <v>0</v>
      </c>
      <c r="R111" s="38"/>
      <c r="S111" s="15"/>
      <c r="T111" s="15"/>
      <c r="Z111" s="2" t="s">
        <v>1399</v>
      </c>
      <c r="AA111" s="2">
        <f>SUM(AA110:AA110)</f>
        <v>4.1000000000000002E-2</v>
      </c>
    </row>
    <row r="112" spans="2:34" ht="21.95" customHeight="1" x14ac:dyDescent="0.15">
      <c r="B112" s="13" t="s">
        <v>1448</v>
      </c>
      <c r="D112" s="170" t="s">
        <v>1472</v>
      </c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2"/>
    </row>
    <row r="113" spans="2:36" ht="21.95" customHeight="1" x14ac:dyDescent="0.15">
      <c r="B113" s="13" t="s">
        <v>1397</v>
      </c>
      <c r="C113" s="13" t="s">
        <v>651</v>
      </c>
      <c r="D113" s="12" t="s">
        <v>652</v>
      </c>
      <c r="E113" s="12" t="s">
        <v>653</v>
      </c>
      <c r="F113" s="15" t="s">
        <v>654</v>
      </c>
      <c r="G113" s="15">
        <v>0.77</v>
      </c>
      <c r="H113" s="15">
        <f>IF(I113&lt;&gt;0, G113-I113, "")</f>
        <v>0</v>
      </c>
      <c r="I113" s="15">
        <v>0.77</v>
      </c>
      <c r="J113" s="15"/>
      <c r="K113" s="12" t="s">
        <v>1381</v>
      </c>
      <c r="L113" s="15" t="s">
        <v>1022</v>
      </c>
      <c r="M113" s="15">
        <v>0.24</v>
      </c>
      <c r="N113" s="15">
        <v>100</v>
      </c>
      <c r="O113" s="15">
        <f>IF(I113*M113=0, "", I113*M113*(N113/100))</f>
        <v>0.18479999999999999</v>
      </c>
      <c r="P113" s="38"/>
      <c r="Q113" s="38">
        <f>TRUNC(P113*M113*N113/100)</f>
        <v>0</v>
      </c>
      <c r="R113" s="38"/>
      <c r="S113" s="15"/>
      <c r="T113" s="15"/>
      <c r="AJ113" s="2">
        <f>O113</f>
        <v>0.18479999999999999</v>
      </c>
    </row>
    <row r="114" spans="2:36" ht="21.95" customHeight="1" x14ac:dyDescent="0.15">
      <c r="B114" s="13" t="s">
        <v>1397</v>
      </c>
      <c r="C114" s="13" t="s">
        <v>1021</v>
      </c>
      <c r="D114" s="12" t="s">
        <v>1003</v>
      </c>
      <c r="E114" s="12" t="s">
        <v>1022</v>
      </c>
      <c r="F114" s="15" t="s">
        <v>999</v>
      </c>
      <c r="G114" s="15">
        <f>IF(H114*I114/100+0.000005 &lt;1, TRUNC(H114*I114/100+0.000005, 옵션!$E$13), TRUNC(H114*I114/100+0.000005, 옵션!$E$13))</f>
        <v>0.18479999999999999</v>
      </c>
      <c r="H114" s="15">
        <f>옵션!$B$13</f>
        <v>100</v>
      </c>
      <c r="I114" s="15">
        <f>SUM(AJ113:AJ113)</f>
        <v>0.18479999999999999</v>
      </c>
      <c r="J114" s="15"/>
      <c r="K114" s="12"/>
      <c r="L114" s="15"/>
      <c r="M114" s="15"/>
      <c r="N114" s="15"/>
      <c r="O114" s="15" t="str">
        <f>IF(I114*M114=0, "", I114*M114*(N114/100))</f>
        <v/>
      </c>
      <c r="P114" s="38"/>
      <c r="Q114" s="38">
        <f>TRUNC(P114*M114*N114/100)</f>
        <v>0</v>
      </c>
      <c r="R114" s="38"/>
      <c r="S114" s="15"/>
      <c r="T114" s="15"/>
      <c r="Z114" s="2" t="s">
        <v>1399</v>
      </c>
      <c r="AJ114" s="2">
        <f>SUM(AJ113:AJ113)</f>
        <v>0.18479999999999999</v>
      </c>
    </row>
    <row r="115" spans="2:36" ht="21.95" customHeight="1" x14ac:dyDescent="0.15">
      <c r="B115" s="13" t="s">
        <v>1448</v>
      </c>
      <c r="D115" s="170" t="s">
        <v>1473</v>
      </c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2"/>
    </row>
    <row r="116" spans="2:36" ht="21.95" customHeight="1" x14ac:dyDescent="0.15">
      <c r="B116" s="13" t="s">
        <v>1397</v>
      </c>
      <c r="C116" s="13" t="s">
        <v>651</v>
      </c>
      <c r="D116" s="12" t="s">
        <v>652</v>
      </c>
      <c r="E116" s="12" t="s">
        <v>653</v>
      </c>
      <c r="F116" s="15" t="s">
        <v>654</v>
      </c>
      <c r="G116" s="15">
        <v>1.1499999999999999</v>
      </c>
      <c r="H116" s="15">
        <f>IF(I116&lt;&gt;0, G116-I116, "")</f>
        <v>0</v>
      </c>
      <c r="I116" s="15">
        <v>1.1499999999999999</v>
      </c>
      <c r="J116" s="15"/>
      <c r="K116" s="12" t="s">
        <v>1381</v>
      </c>
      <c r="L116" s="15" t="s">
        <v>1022</v>
      </c>
      <c r="M116" s="15">
        <v>0.24</v>
      </c>
      <c r="N116" s="15">
        <v>100</v>
      </c>
      <c r="O116" s="15">
        <f>IF(I116*M116=0, "", I116*M116*(N116/100))</f>
        <v>0.27599999999999997</v>
      </c>
      <c r="P116" s="38"/>
      <c r="Q116" s="38">
        <f>TRUNC(P116*M116*N116/100)</f>
        <v>0</v>
      </c>
      <c r="R116" s="38"/>
      <c r="S116" s="15"/>
      <c r="T116" s="15"/>
      <c r="AJ116" s="2">
        <f>O116</f>
        <v>0.27599999999999997</v>
      </c>
    </row>
    <row r="117" spans="2:36" ht="21.95" customHeight="1" x14ac:dyDescent="0.15">
      <c r="B117" s="13" t="s">
        <v>1397</v>
      </c>
      <c r="C117" s="13" t="s">
        <v>1021</v>
      </c>
      <c r="D117" s="12" t="s">
        <v>1003</v>
      </c>
      <c r="E117" s="12" t="s">
        <v>1022</v>
      </c>
      <c r="F117" s="15" t="s">
        <v>999</v>
      </c>
      <c r="G117" s="15">
        <f>IF(H117*I117/100+0.000005 &lt;1, TRUNC(H117*I117/100+0.000005, 옵션!$E$13), TRUNC(H117*I117/100+0.000005, 옵션!$E$13))</f>
        <v>0.27600000000000002</v>
      </c>
      <c r="H117" s="15">
        <f>옵션!$B$13</f>
        <v>100</v>
      </c>
      <c r="I117" s="15">
        <f>SUM(AJ116:AJ116)</f>
        <v>0.27599999999999997</v>
      </c>
      <c r="J117" s="15"/>
      <c r="K117" s="12"/>
      <c r="L117" s="15"/>
      <c r="M117" s="15"/>
      <c r="N117" s="15"/>
      <c r="O117" s="15" t="str">
        <f>IF(I117*M117=0, "", I117*M117*(N117/100))</f>
        <v/>
      </c>
      <c r="P117" s="38"/>
      <c r="Q117" s="38">
        <f>TRUNC(P117*M117*N117/100)</f>
        <v>0</v>
      </c>
      <c r="R117" s="38"/>
      <c r="S117" s="15"/>
      <c r="T117" s="15"/>
      <c r="Z117" s="2" t="s">
        <v>1399</v>
      </c>
      <c r="AJ117" s="2">
        <f>SUM(AJ116:AJ116)</f>
        <v>0.27599999999999997</v>
      </c>
    </row>
    <row r="118" spans="2:36" ht="21.95" customHeight="1" x14ac:dyDescent="0.15">
      <c r="B118" s="13" t="s">
        <v>1448</v>
      </c>
      <c r="D118" s="170" t="s">
        <v>1474</v>
      </c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2"/>
    </row>
    <row r="119" spans="2:36" ht="21.95" customHeight="1" x14ac:dyDescent="0.15">
      <c r="B119" s="13" t="s">
        <v>1397</v>
      </c>
      <c r="C119" s="13" t="s">
        <v>651</v>
      </c>
      <c r="D119" s="12" t="s">
        <v>652</v>
      </c>
      <c r="E119" s="12" t="s">
        <v>653</v>
      </c>
      <c r="F119" s="15" t="s">
        <v>654</v>
      </c>
      <c r="G119" s="15">
        <v>3.07</v>
      </c>
      <c r="H119" s="15">
        <f>IF(I119&lt;&gt;0, G119-I119, "")</f>
        <v>0</v>
      </c>
      <c r="I119" s="15">
        <v>3.07</v>
      </c>
      <c r="J119" s="15"/>
      <c r="K119" s="12" t="s">
        <v>1381</v>
      </c>
      <c r="L119" s="15" t="s">
        <v>1022</v>
      </c>
      <c r="M119" s="15">
        <v>0.24</v>
      </c>
      <c r="N119" s="15">
        <v>100</v>
      </c>
      <c r="O119" s="15">
        <f>IF(I119*M119=0, "", I119*M119*(N119/100))</f>
        <v>0.7367999999999999</v>
      </c>
      <c r="P119" s="38"/>
      <c r="Q119" s="38">
        <f>TRUNC(P119*M119*N119/100)</f>
        <v>0</v>
      </c>
      <c r="R119" s="38"/>
      <c r="S119" s="15"/>
      <c r="T119" s="15"/>
      <c r="AJ119" s="2">
        <f>O119</f>
        <v>0.7367999999999999</v>
      </c>
    </row>
    <row r="120" spans="2:36" ht="21.95" customHeight="1" x14ac:dyDescent="0.15">
      <c r="B120" s="13" t="s">
        <v>1397</v>
      </c>
      <c r="C120" s="13" t="s">
        <v>1021</v>
      </c>
      <c r="D120" s="12" t="s">
        <v>1003</v>
      </c>
      <c r="E120" s="12" t="s">
        <v>1022</v>
      </c>
      <c r="F120" s="15" t="s">
        <v>999</v>
      </c>
      <c r="G120" s="15">
        <f>IF(H120*I120/100+0.000005 &lt;1, TRUNC(H120*I120/100+0.000005, 옵션!$E$13), TRUNC(H120*I120/100+0.000005, 옵션!$E$13))</f>
        <v>0.73680000000000001</v>
      </c>
      <c r="H120" s="15">
        <f>옵션!$B$13</f>
        <v>100</v>
      </c>
      <c r="I120" s="15">
        <f>SUM(AJ119:AJ119)</f>
        <v>0.7367999999999999</v>
      </c>
      <c r="J120" s="15"/>
      <c r="K120" s="12"/>
      <c r="L120" s="15"/>
      <c r="M120" s="15"/>
      <c r="N120" s="15"/>
      <c r="O120" s="15" t="str">
        <f>IF(I120*M120=0, "", I120*M120*(N120/100))</f>
        <v/>
      </c>
      <c r="P120" s="38"/>
      <c r="Q120" s="38">
        <f>TRUNC(P120*M120*N120/100)</f>
        <v>0</v>
      </c>
      <c r="R120" s="38"/>
      <c r="S120" s="15"/>
      <c r="T120" s="15"/>
      <c r="Z120" s="2" t="s">
        <v>1399</v>
      </c>
      <c r="AJ120" s="2">
        <f>SUM(AJ119:AJ119)</f>
        <v>0.7367999999999999</v>
      </c>
    </row>
    <row r="121" spans="2:36" ht="21.95" customHeight="1" x14ac:dyDescent="0.15">
      <c r="B121" s="13" t="s">
        <v>1448</v>
      </c>
      <c r="D121" s="170" t="s">
        <v>1475</v>
      </c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2"/>
    </row>
    <row r="122" spans="2:36" ht="21.95" customHeight="1" x14ac:dyDescent="0.15">
      <c r="B122" s="13" t="s">
        <v>1397</v>
      </c>
      <c r="C122" s="13" t="s">
        <v>163</v>
      </c>
      <c r="D122" s="12" t="s">
        <v>164</v>
      </c>
      <c r="E122" s="12" t="s">
        <v>165</v>
      </c>
      <c r="F122" s="15" t="s">
        <v>166</v>
      </c>
      <c r="G122" s="15">
        <v>1</v>
      </c>
      <c r="H122" s="15">
        <f>IF(I122&lt;&gt;0, G122-I122, "")</f>
        <v>0</v>
      </c>
      <c r="I122" s="15">
        <v>1</v>
      </c>
      <c r="J122" s="15"/>
      <c r="K122" s="12" t="s">
        <v>1372</v>
      </c>
      <c r="L122" s="15" t="s">
        <v>1004</v>
      </c>
      <c r="M122" s="15">
        <v>0.05</v>
      </c>
      <c r="N122" s="15">
        <v>90</v>
      </c>
      <c r="O122" s="15">
        <f>IF(I122*M122=0, "", I122*M122*(N122/100))</f>
        <v>4.5000000000000005E-2</v>
      </c>
      <c r="P122" s="38"/>
      <c r="Q122" s="38">
        <f>TRUNC(P122*M122*N122/100)</f>
        <v>0</v>
      </c>
      <c r="R122" s="38"/>
      <c r="S122" s="15" t="s">
        <v>1411</v>
      </c>
      <c r="T122" s="15"/>
      <c r="AA122" s="2">
        <f>O122</f>
        <v>4.5000000000000005E-2</v>
      </c>
    </row>
    <row r="123" spans="2:36" ht="21.95" customHeight="1" x14ac:dyDescent="0.15">
      <c r="B123" s="13" t="s">
        <v>1397</v>
      </c>
      <c r="C123" s="13" t="s">
        <v>1002</v>
      </c>
      <c r="D123" s="12" t="s">
        <v>1003</v>
      </c>
      <c r="E123" s="12" t="s">
        <v>1004</v>
      </c>
      <c r="F123" s="15" t="s">
        <v>999</v>
      </c>
      <c r="G123" s="15">
        <f>IF(H123*I123/100+0.000005 &lt;1, TRUNC(H123*I123/100+0.000005, 옵션!$E$13), TRUNC(H123*I123/100+0.000005, 옵션!$E$13))</f>
        <v>4.4999999999999998E-2</v>
      </c>
      <c r="H123" s="15">
        <f>옵션!$B$13</f>
        <v>100</v>
      </c>
      <c r="I123" s="15">
        <f>SUM(AA122:AA122)</f>
        <v>4.5000000000000005E-2</v>
      </c>
      <c r="J123" s="15"/>
      <c r="K123" s="12"/>
      <c r="L123" s="15"/>
      <c r="M123" s="15"/>
      <c r="N123" s="15"/>
      <c r="O123" s="15" t="str">
        <f>IF(I123*M123=0, "", I123*M123*(N123/100))</f>
        <v/>
      </c>
      <c r="P123" s="38"/>
      <c r="Q123" s="38">
        <f>TRUNC(P123*M123*N123/100)</f>
        <v>0</v>
      </c>
      <c r="R123" s="38"/>
      <c r="S123" s="15"/>
      <c r="T123" s="15"/>
      <c r="Z123" s="2" t="s">
        <v>1399</v>
      </c>
      <c r="AA123" s="2">
        <f>SUM(AA122:AA122)</f>
        <v>4.5000000000000005E-2</v>
      </c>
    </row>
    <row r="124" spans="2:36" ht="21.95" customHeight="1" x14ac:dyDescent="0.15">
      <c r="B124" s="13" t="s">
        <v>1448</v>
      </c>
      <c r="D124" s="170" t="s">
        <v>1476</v>
      </c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2"/>
    </row>
    <row r="125" spans="2:36" ht="21.95" customHeight="1" x14ac:dyDescent="0.15">
      <c r="B125" s="13" t="s">
        <v>1397</v>
      </c>
      <c r="C125" s="13" t="s">
        <v>171</v>
      </c>
      <c r="D125" s="12" t="s">
        <v>164</v>
      </c>
      <c r="E125" s="12" t="s">
        <v>172</v>
      </c>
      <c r="F125" s="15" t="s">
        <v>166</v>
      </c>
      <c r="G125" s="15">
        <v>1</v>
      </c>
      <c r="H125" s="15">
        <f>IF(I125&lt;&gt;0, G125-I125, "")</f>
        <v>0</v>
      </c>
      <c r="I125" s="15">
        <v>1</v>
      </c>
      <c r="J125" s="15"/>
      <c r="K125" s="12" t="s">
        <v>1372</v>
      </c>
      <c r="L125" s="15" t="s">
        <v>1004</v>
      </c>
      <c r="M125" s="15">
        <v>0.08</v>
      </c>
      <c r="N125" s="15">
        <v>90</v>
      </c>
      <c r="O125" s="15">
        <f>IF(I125*M125=0, "", I125*M125*(N125/100))</f>
        <v>7.2000000000000008E-2</v>
      </c>
      <c r="P125" s="38"/>
      <c r="Q125" s="38">
        <f>TRUNC(P125*M125*N125/100)</f>
        <v>0</v>
      </c>
      <c r="R125" s="38"/>
      <c r="S125" s="15" t="s">
        <v>1411</v>
      </c>
      <c r="T125" s="15"/>
      <c r="AA125" s="2">
        <f>O125</f>
        <v>7.2000000000000008E-2</v>
      </c>
    </row>
    <row r="126" spans="2:36" ht="21.95" customHeight="1" x14ac:dyDescent="0.15">
      <c r="B126" s="13" t="s">
        <v>1397</v>
      </c>
      <c r="C126" s="13" t="s">
        <v>1002</v>
      </c>
      <c r="D126" s="12" t="s">
        <v>1003</v>
      </c>
      <c r="E126" s="12" t="s">
        <v>1004</v>
      </c>
      <c r="F126" s="15" t="s">
        <v>999</v>
      </c>
      <c r="G126" s="15">
        <f>IF(H126*I126/100+0.000005 &lt;1, TRUNC(H126*I126/100+0.000005, 옵션!$E$13), TRUNC(H126*I126/100+0.000005, 옵션!$E$13))</f>
        <v>7.1999999999999995E-2</v>
      </c>
      <c r="H126" s="15">
        <f>옵션!$B$13</f>
        <v>100</v>
      </c>
      <c r="I126" s="15">
        <f>SUM(AA125:AA125)</f>
        <v>7.2000000000000008E-2</v>
      </c>
      <c r="J126" s="15"/>
      <c r="K126" s="12"/>
      <c r="L126" s="15"/>
      <c r="M126" s="15"/>
      <c r="N126" s="15"/>
      <c r="O126" s="15" t="str">
        <f>IF(I126*M126=0, "", I126*M126*(N126/100))</f>
        <v/>
      </c>
      <c r="P126" s="38"/>
      <c r="Q126" s="38">
        <f>TRUNC(P126*M126*N126/100)</f>
        <v>0</v>
      </c>
      <c r="R126" s="38"/>
      <c r="S126" s="15"/>
      <c r="T126" s="15"/>
      <c r="Z126" s="2" t="s">
        <v>1399</v>
      </c>
      <c r="AA126" s="2">
        <f>SUM(AA125:AA125)</f>
        <v>7.2000000000000008E-2</v>
      </c>
    </row>
    <row r="127" spans="2:36" ht="21.95" customHeight="1" x14ac:dyDescent="0.15">
      <c r="B127" s="13" t="s">
        <v>1448</v>
      </c>
      <c r="D127" s="170" t="s">
        <v>1477</v>
      </c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2"/>
    </row>
    <row r="128" spans="2:36" ht="21.95" customHeight="1" x14ac:dyDescent="0.15">
      <c r="B128" s="13" t="s">
        <v>1397</v>
      </c>
      <c r="C128" s="13" t="s">
        <v>173</v>
      </c>
      <c r="D128" s="12" t="s">
        <v>164</v>
      </c>
      <c r="E128" s="12" t="s">
        <v>174</v>
      </c>
      <c r="F128" s="15" t="s">
        <v>166</v>
      </c>
      <c r="G128" s="15">
        <v>1</v>
      </c>
      <c r="H128" s="15">
        <f>IF(I128&lt;&gt;0, G128-I128, "")</f>
        <v>0</v>
      </c>
      <c r="I128" s="15">
        <v>1</v>
      </c>
      <c r="J128" s="15"/>
      <c r="K128" s="12" t="s">
        <v>1372</v>
      </c>
      <c r="L128" s="15" t="s">
        <v>1004</v>
      </c>
      <c r="M128" s="15">
        <v>0.1</v>
      </c>
      <c r="N128" s="15">
        <v>90</v>
      </c>
      <c r="O128" s="15">
        <f>IF(I128*M128=0, "", I128*M128*(N128/100))</f>
        <v>9.0000000000000011E-2</v>
      </c>
      <c r="P128" s="38"/>
      <c r="Q128" s="38">
        <f>TRUNC(P128*M128*N128/100)</f>
        <v>0</v>
      </c>
      <c r="R128" s="38"/>
      <c r="S128" s="15" t="s">
        <v>1411</v>
      </c>
      <c r="T128" s="15"/>
      <c r="AA128" s="2">
        <f>O128</f>
        <v>9.0000000000000011E-2</v>
      </c>
    </row>
    <row r="129" spans="2:34" ht="21.95" customHeight="1" x14ac:dyDescent="0.15">
      <c r="B129" s="13" t="s">
        <v>1397</v>
      </c>
      <c r="C129" s="13" t="s">
        <v>1002</v>
      </c>
      <c r="D129" s="12" t="s">
        <v>1003</v>
      </c>
      <c r="E129" s="12" t="s">
        <v>1004</v>
      </c>
      <c r="F129" s="15" t="s">
        <v>999</v>
      </c>
      <c r="G129" s="15">
        <f>IF(H129*I129/100+0.000005 &lt;1, TRUNC(H129*I129/100+0.000005, 옵션!$E$13), TRUNC(H129*I129/100+0.000005, 옵션!$E$13))</f>
        <v>0.09</v>
      </c>
      <c r="H129" s="15">
        <f>옵션!$B$13</f>
        <v>100</v>
      </c>
      <c r="I129" s="15">
        <f>SUM(AA128:AA128)</f>
        <v>9.0000000000000011E-2</v>
      </c>
      <c r="J129" s="15"/>
      <c r="K129" s="12"/>
      <c r="L129" s="15"/>
      <c r="M129" s="15"/>
      <c r="N129" s="15"/>
      <c r="O129" s="15" t="str">
        <f>IF(I129*M129=0, "", I129*M129*(N129/100))</f>
        <v/>
      </c>
      <c r="P129" s="38"/>
      <c r="Q129" s="38">
        <f>TRUNC(P129*M129*N129/100)</f>
        <v>0</v>
      </c>
      <c r="R129" s="38"/>
      <c r="S129" s="15"/>
      <c r="T129" s="15"/>
      <c r="Z129" s="2" t="s">
        <v>1399</v>
      </c>
      <c r="AA129" s="2">
        <f>SUM(AA128:AA128)</f>
        <v>9.0000000000000011E-2</v>
      </c>
    </row>
    <row r="130" spans="2:34" ht="21.95" customHeight="1" x14ac:dyDescent="0.15">
      <c r="B130" s="13" t="s">
        <v>1448</v>
      </c>
      <c r="D130" s="170" t="s">
        <v>1478</v>
      </c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2"/>
    </row>
    <row r="131" spans="2:34" ht="21.95" customHeight="1" x14ac:dyDescent="0.15">
      <c r="B131" s="13" t="s">
        <v>1397</v>
      </c>
      <c r="C131" s="13" t="s">
        <v>175</v>
      </c>
      <c r="D131" s="12" t="s">
        <v>164</v>
      </c>
      <c r="E131" s="12" t="s">
        <v>176</v>
      </c>
      <c r="F131" s="15" t="s">
        <v>166</v>
      </c>
      <c r="G131" s="15">
        <v>1</v>
      </c>
      <c r="H131" s="15">
        <f>IF(I131&lt;&gt;0, G131-I131, "")</f>
        <v>0</v>
      </c>
      <c r="I131" s="15">
        <v>1</v>
      </c>
      <c r="J131" s="15"/>
      <c r="K131" s="12" t="s">
        <v>1372</v>
      </c>
      <c r="L131" s="15" t="s">
        <v>1004</v>
      </c>
      <c r="M131" s="15">
        <v>0.13</v>
      </c>
      <c r="N131" s="15">
        <v>90</v>
      </c>
      <c r="O131" s="15">
        <f>IF(I131*M131=0, "", I131*M131*(N131/100))</f>
        <v>0.11700000000000001</v>
      </c>
      <c r="P131" s="38"/>
      <c r="Q131" s="38">
        <f>TRUNC(P131*M131*N131/100)</f>
        <v>0</v>
      </c>
      <c r="R131" s="38"/>
      <c r="S131" s="15" t="s">
        <v>1411</v>
      </c>
      <c r="T131" s="15"/>
      <c r="AA131" s="2">
        <f>O131</f>
        <v>0.11700000000000001</v>
      </c>
    </row>
    <row r="132" spans="2:34" ht="21.95" customHeight="1" x14ac:dyDescent="0.15">
      <c r="B132" s="13" t="s">
        <v>1397</v>
      </c>
      <c r="C132" s="13" t="s">
        <v>1002</v>
      </c>
      <c r="D132" s="12" t="s">
        <v>1003</v>
      </c>
      <c r="E132" s="12" t="s">
        <v>1004</v>
      </c>
      <c r="F132" s="15" t="s">
        <v>999</v>
      </c>
      <c r="G132" s="15">
        <f>IF(H132*I132/100+0.000005 &lt;1, TRUNC(H132*I132/100+0.000005, 옵션!$E$13), TRUNC(H132*I132/100+0.000005, 옵션!$E$13))</f>
        <v>0.11700000000000001</v>
      </c>
      <c r="H132" s="15">
        <f>옵션!$B$13</f>
        <v>100</v>
      </c>
      <c r="I132" s="15">
        <f>SUM(AA131:AA131)</f>
        <v>0.11700000000000001</v>
      </c>
      <c r="J132" s="15"/>
      <c r="K132" s="12"/>
      <c r="L132" s="15"/>
      <c r="M132" s="15"/>
      <c r="N132" s="15"/>
      <c r="O132" s="15" t="str">
        <f>IF(I132*M132=0, "", I132*M132*(N132/100))</f>
        <v/>
      </c>
      <c r="P132" s="38"/>
      <c r="Q132" s="38">
        <f>TRUNC(P132*M132*N132/100)</f>
        <v>0</v>
      </c>
      <c r="R132" s="38"/>
      <c r="S132" s="15"/>
      <c r="T132" s="15"/>
      <c r="Z132" s="2" t="s">
        <v>1399</v>
      </c>
      <c r="AA132" s="2">
        <f>SUM(AA131:AA131)</f>
        <v>0.11700000000000001</v>
      </c>
    </row>
    <row r="133" spans="2:34" ht="21.95" customHeight="1" x14ac:dyDescent="0.15">
      <c r="B133" s="13" t="s">
        <v>1448</v>
      </c>
      <c r="D133" s="170" t="s">
        <v>1479</v>
      </c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2"/>
    </row>
    <row r="134" spans="2:34" ht="21.95" customHeight="1" x14ac:dyDescent="0.15">
      <c r="B134" s="13" t="s">
        <v>1397</v>
      </c>
      <c r="C134" s="13" t="s">
        <v>177</v>
      </c>
      <c r="D134" s="12" t="s">
        <v>178</v>
      </c>
      <c r="E134" s="12" t="s">
        <v>179</v>
      </c>
      <c r="F134" s="15" t="s">
        <v>166</v>
      </c>
      <c r="G134" s="15">
        <v>1</v>
      </c>
      <c r="H134" s="15">
        <f>IF(I134&lt;&gt;0, G134-I134, "")</f>
        <v>0</v>
      </c>
      <c r="I134" s="15">
        <v>1</v>
      </c>
      <c r="J134" s="15"/>
      <c r="K134" s="12" t="s">
        <v>1372</v>
      </c>
      <c r="L134" s="15" t="s">
        <v>1004</v>
      </c>
      <c r="M134" s="15">
        <v>0.04</v>
      </c>
      <c r="N134" s="15">
        <v>90</v>
      </c>
      <c r="O134" s="15">
        <f>IF(I134*M134=0, "", I134*M134*(N134/100))</f>
        <v>3.6000000000000004E-2</v>
      </c>
      <c r="P134" s="38"/>
      <c r="Q134" s="38">
        <f>TRUNC(P134*M134*N134/100)</f>
        <v>0</v>
      </c>
      <c r="R134" s="38"/>
      <c r="S134" s="15" t="s">
        <v>1411</v>
      </c>
      <c r="T134" s="15"/>
      <c r="AA134" s="2">
        <f>O134</f>
        <v>3.6000000000000004E-2</v>
      </c>
    </row>
    <row r="135" spans="2:34" ht="21.95" customHeight="1" x14ac:dyDescent="0.15">
      <c r="B135" s="13" t="s">
        <v>1397</v>
      </c>
      <c r="C135" s="13" t="s">
        <v>1002</v>
      </c>
      <c r="D135" s="12" t="s">
        <v>1003</v>
      </c>
      <c r="E135" s="12" t="s">
        <v>1004</v>
      </c>
      <c r="F135" s="15" t="s">
        <v>999</v>
      </c>
      <c r="G135" s="15">
        <f>IF(H135*I135/100+0.000005 &lt;1, TRUNC(H135*I135/100+0.000005, 옵션!$E$13), TRUNC(H135*I135/100+0.000005, 옵션!$E$13))</f>
        <v>3.5999999999999997E-2</v>
      </c>
      <c r="H135" s="15">
        <f>옵션!$B$13</f>
        <v>100</v>
      </c>
      <c r="I135" s="15">
        <f>SUM(AA134:AA134)</f>
        <v>3.6000000000000004E-2</v>
      </c>
      <c r="J135" s="15"/>
      <c r="K135" s="12"/>
      <c r="L135" s="15"/>
      <c r="M135" s="15"/>
      <c r="N135" s="15"/>
      <c r="O135" s="15" t="str">
        <f>IF(I135*M135=0, "", I135*M135*(N135/100))</f>
        <v/>
      </c>
      <c r="P135" s="38"/>
      <c r="Q135" s="38">
        <f>TRUNC(P135*M135*N135/100)</f>
        <v>0</v>
      </c>
      <c r="R135" s="38"/>
      <c r="S135" s="15"/>
      <c r="T135" s="15"/>
      <c r="Z135" s="2" t="s">
        <v>1399</v>
      </c>
      <c r="AA135" s="2">
        <f>SUM(AA134:AA134)</f>
        <v>3.6000000000000004E-2</v>
      </c>
    </row>
    <row r="136" spans="2:34" ht="21.95" customHeight="1" x14ac:dyDescent="0.15">
      <c r="B136" s="13" t="s">
        <v>1448</v>
      </c>
      <c r="D136" s="170" t="s">
        <v>1480</v>
      </c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2"/>
    </row>
    <row r="137" spans="2:34" ht="21.95" customHeight="1" x14ac:dyDescent="0.15">
      <c r="B137" s="13" t="s">
        <v>1397</v>
      </c>
      <c r="C137" s="13" t="s">
        <v>183</v>
      </c>
      <c r="D137" s="12" t="s">
        <v>178</v>
      </c>
      <c r="E137" s="12" t="s">
        <v>184</v>
      </c>
      <c r="F137" s="15" t="s">
        <v>166</v>
      </c>
      <c r="G137" s="15">
        <v>1</v>
      </c>
      <c r="H137" s="15">
        <f>IF(I137&lt;&gt;0, G137-I137, "")</f>
        <v>0</v>
      </c>
      <c r="I137" s="15">
        <v>1</v>
      </c>
      <c r="J137" s="15"/>
      <c r="K137" s="12" t="s">
        <v>1372</v>
      </c>
      <c r="L137" s="15" t="s">
        <v>1004</v>
      </c>
      <c r="M137" s="15">
        <v>4.8000000000000001E-2</v>
      </c>
      <c r="N137" s="15">
        <v>90</v>
      </c>
      <c r="O137" s="15">
        <f>IF(I137*M137=0, "", I137*M137*(N137/100))</f>
        <v>4.3200000000000002E-2</v>
      </c>
      <c r="P137" s="38"/>
      <c r="Q137" s="38">
        <f>TRUNC(P137*M137*N137/100)</f>
        <v>0</v>
      </c>
      <c r="R137" s="38"/>
      <c r="S137" s="15" t="s">
        <v>1411</v>
      </c>
      <c r="T137" s="15"/>
      <c r="AA137" s="2">
        <f>O137</f>
        <v>4.3200000000000002E-2</v>
      </c>
    </row>
    <row r="138" spans="2:34" ht="21.95" customHeight="1" x14ac:dyDescent="0.15">
      <c r="B138" s="13" t="s">
        <v>1397</v>
      </c>
      <c r="C138" s="13" t="s">
        <v>1002</v>
      </c>
      <c r="D138" s="12" t="s">
        <v>1003</v>
      </c>
      <c r="E138" s="12" t="s">
        <v>1004</v>
      </c>
      <c r="F138" s="15" t="s">
        <v>999</v>
      </c>
      <c r="G138" s="15">
        <f>IF(H138*I138/100+0.000005 &lt;1, TRUNC(H138*I138/100+0.000005, 옵션!$E$13), TRUNC(H138*I138/100+0.000005, 옵션!$E$13))</f>
        <v>4.3200000000000002E-2</v>
      </c>
      <c r="H138" s="15">
        <f>옵션!$B$13</f>
        <v>100</v>
      </c>
      <c r="I138" s="15">
        <f>SUM(AA137:AA137)</f>
        <v>4.3200000000000002E-2</v>
      </c>
      <c r="J138" s="15"/>
      <c r="K138" s="12"/>
      <c r="L138" s="15"/>
      <c r="M138" s="15"/>
      <c r="N138" s="15"/>
      <c r="O138" s="15" t="str">
        <f>IF(I138*M138=0, "", I138*M138*(N138/100))</f>
        <v/>
      </c>
      <c r="P138" s="38"/>
      <c r="Q138" s="38">
        <f>TRUNC(P138*M138*N138/100)</f>
        <v>0</v>
      </c>
      <c r="R138" s="38"/>
      <c r="S138" s="15"/>
      <c r="T138" s="15"/>
      <c r="Z138" s="2" t="s">
        <v>1399</v>
      </c>
      <c r="AA138" s="2">
        <f>SUM(AA137:AA137)</f>
        <v>4.3200000000000002E-2</v>
      </c>
    </row>
    <row r="139" spans="2:34" ht="21.95" customHeight="1" x14ac:dyDescent="0.15">
      <c r="B139" s="13" t="s">
        <v>1448</v>
      </c>
      <c r="D139" s="170" t="s">
        <v>1481</v>
      </c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2"/>
    </row>
    <row r="140" spans="2:34" ht="21.95" customHeight="1" x14ac:dyDescent="0.15">
      <c r="B140" s="13" t="s">
        <v>1397</v>
      </c>
      <c r="C140" s="13" t="s">
        <v>185</v>
      </c>
      <c r="D140" s="12" t="s">
        <v>186</v>
      </c>
      <c r="E140" s="12" t="s">
        <v>187</v>
      </c>
      <c r="F140" s="15" t="s">
        <v>166</v>
      </c>
      <c r="G140" s="15">
        <v>1</v>
      </c>
      <c r="H140" s="15">
        <f>IF(I140&lt;&gt;0, G140-I140, "")</f>
        <v>0</v>
      </c>
      <c r="I140" s="15">
        <v>1</v>
      </c>
      <c r="J140" s="15"/>
      <c r="K140" s="12" t="s">
        <v>1376</v>
      </c>
      <c r="L140" s="15" t="s">
        <v>1012</v>
      </c>
      <c r="M140" s="15">
        <v>6.0000000000000001E-3</v>
      </c>
      <c r="N140" s="15">
        <v>100</v>
      </c>
      <c r="O140" s="15">
        <f>IF(I140*M140=0, "", I140*M140*(N140/100))</f>
        <v>6.0000000000000001E-3</v>
      </c>
      <c r="P140" s="38"/>
      <c r="Q140" s="38">
        <f>TRUNC(P140*M140*N140/100)</f>
        <v>0</v>
      </c>
      <c r="R140" s="38"/>
      <c r="S140" s="15" t="s">
        <v>1412</v>
      </c>
      <c r="T140" s="15"/>
      <c r="AE140" s="2">
        <f>O140</f>
        <v>6.0000000000000001E-3</v>
      </c>
    </row>
    <row r="141" spans="2:34" ht="21.95" customHeight="1" x14ac:dyDescent="0.15">
      <c r="B141" s="13" t="s">
        <v>1397</v>
      </c>
      <c r="C141" s="13" t="s">
        <v>185</v>
      </c>
      <c r="D141" s="12"/>
      <c r="E141" s="12"/>
      <c r="F141" s="15"/>
      <c r="G141" s="15">
        <v>1</v>
      </c>
      <c r="H141" s="15">
        <f>IF(I141&lt;&gt;0, G141-I141, "")</f>
        <v>0</v>
      </c>
      <c r="I141" s="15">
        <v>1</v>
      </c>
      <c r="J141" s="15"/>
      <c r="K141" s="12" t="s">
        <v>1379</v>
      </c>
      <c r="L141" s="15" t="s">
        <v>1018</v>
      </c>
      <c r="M141" s="15">
        <v>1.4E-2</v>
      </c>
      <c r="N141" s="15">
        <v>100</v>
      </c>
      <c r="O141" s="15">
        <f>IF(I141*M141=0, "", I141*M141*(N141/100))</f>
        <v>1.4E-2</v>
      </c>
      <c r="P141" s="38"/>
      <c r="Q141" s="38">
        <f>TRUNC(P141*M141*N141/100)</f>
        <v>0</v>
      </c>
      <c r="R141" s="38"/>
      <c r="S141" s="15" t="s">
        <v>1412</v>
      </c>
      <c r="T141" s="15"/>
      <c r="AH141" s="2">
        <f>O141</f>
        <v>1.4E-2</v>
      </c>
    </row>
    <row r="142" spans="2:34" ht="21.95" customHeight="1" x14ac:dyDescent="0.15">
      <c r="B142" s="13" t="s">
        <v>1397</v>
      </c>
      <c r="C142" s="13" t="s">
        <v>1011</v>
      </c>
      <c r="D142" s="12" t="s">
        <v>1003</v>
      </c>
      <c r="E142" s="12" t="s">
        <v>1012</v>
      </c>
      <c r="F142" s="15" t="s">
        <v>999</v>
      </c>
      <c r="G142" s="15">
        <f>IF(H142*I142/100+0.000005 &lt;1, TRUNC(H142*I142/100+0.000005, 옵션!$E$13), TRUNC(H142*I142/100+0.000005, 옵션!$E$13))</f>
        <v>6.0000000000000001E-3</v>
      </c>
      <c r="H142" s="15">
        <f>옵션!$B$13</f>
        <v>100</v>
      </c>
      <c r="I142" s="15">
        <f>SUM(AE140:AE141)</f>
        <v>6.0000000000000001E-3</v>
      </c>
      <c r="J142" s="15"/>
      <c r="K142" s="12"/>
      <c r="L142" s="15"/>
      <c r="M142" s="15"/>
      <c r="N142" s="15"/>
      <c r="O142" s="15" t="str">
        <f>IF(I142*M142=0, "", I142*M142*(N142/100))</f>
        <v/>
      </c>
      <c r="P142" s="38"/>
      <c r="Q142" s="38">
        <f>TRUNC(P142*M142*N142/100)</f>
        <v>0</v>
      </c>
      <c r="R142" s="38"/>
      <c r="S142" s="15"/>
      <c r="T142" s="15"/>
      <c r="Z142" s="2" t="s">
        <v>1399</v>
      </c>
      <c r="AE142" s="2">
        <f>SUM(AE140:AE141)</f>
        <v>6.0000000000000001E-3</v>
      </c>
      <c r="AH142" s="2">
        <f>SUM(AH140:AH141)</f>
        <v>1.4E-2</v>
      </c>
    </row>
    <row r="143" spans="2:34" ht="21.95" customHeight="1" x14ac:dyDescent="0.15">
      <c r="B143" s="13" t="s">
        <v>1397</v>
      </c>
      <c r="C143" s="13" t="s">
        <v>1017</v>
      </c>
      <c r="D143" s="12" t="s">
        <v>1003</v>
      </c>
      <c r="E143" s="12" t="s">
        <v>1018</v>
      </c>
      <c r="F143" s="15" t="s">
        <v>999</v>
      </c>
      <c r="G143" s="15">
        <f>IF(H143*I143/100+0.000005 &lt;1, TRUNC(H143*I143/100+0.000005, 옵션!$E$13), TRUNC(H143*I143/100+0.000005, 옵션!$E$13))</f>
        <v>1.4E-2</v>
      </c>
      <c r="H143" s="15">
        <f>옵션!$B$13</f>
        <v>100</v>
      </c>
      <c r="I143" s="15">
        <f>SUM(AH140:AH141)</f>
        <v>1.4E-2</v>
      </c>
      <c r="J143" s="15"/>
      <c r="K143" s="12"/>
      <c r="L143" s="15"/>
      <c r="M143" s="15"/>
      <c r="N143" s="15"/>
      <c r="O143" s="15" t="str">
        <f>IF(I143*M143=0, "", I143*M143*(N143/100))</f>
        <v/>
      </c>
      <c r="P143" s="38"/>
      <c r="Q143" s="38">
        <f>TRUNC(P143*M143*N143/100)</f>
        <v>0</v>
      </c>
      <c r="R143" s="38"/>
      <c r="S143" s="15"/>
      <c r="T143" s="15"/>
    </row>
    <row r="144" spans="2:34" ht="21.95" customHeight="1" x14ac:dyDescent="0.15">
      <c r="B144" s="13" t="s">
        <v>1448</v>
      </c>
      <c r="D144" s="170" t="s">
        <v>1482</v>
      </c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2"/>
    </row>
    <row r="145" spans="2:34" ht="21.95" customHeight="1" x14ac:dyDescent="0.15">
      <c r="B145" s="13" t="s">
        <v>1397</v>
      </c>
      <c r="C145" s="13" t="s">
        <v>189</v>
      </c>
      <c r="D145" s="12" t="s">
        <v>186</v>
      </c>
      <c r="E145" s="12" t="s">
        <v>190</v>
      </c>
      <c r="F145" s="15" t="s">
        <v>166</v>
      </c>
      <c r="G145" s="15">
        <v>1</v>
      </c>
      <c r="H145" s="15">
        <f>IF(I145&lt;&gt;0, G145-I145, "")</f>
        <v>0</v>
      </c>
      <c r="I145" s="15">
        <v>1</v>
      </c>
      <c r="J145" s="15"/>
      <c r="K145" s="12" t="s">
        <v>1376</v>
      </c>
      <c r="L145" s="15" t="s">
        <v>1012</v>
      </c>
      <c r="M145" s="15">
        <v>7.0000000000000001E-3</v>
      </c>
      <c r="N145" s="15">
        <v>100</v>
      </c>
      <c r="O145" s="15">
        <f>IF(I145*M145=0, "", I145*M145*(N145/100))</f>
        <v>7.0000000000000001E-3</v>
      </c>
      <c r="P145" s="38"/>
      <c r="Q145" s="38">
        <f>TRUNC(P145*M145*N145/100)</f>
        <v>0</v>
      </c>
      <c r="R145" s="38"/>
      <c r="S145" s="15" t="s">
        <v>1412</v>
      </c>
      <c r="T145" s="15"/>
      <c r="AE145" s="2">
        <f>O145</f>
        <v>7.0000000000000001E-3</v>
      </c>
    </row>
    <row r="146" spans="2:34" ht="21.95" customHeight="1" x14ac:dyDescent="0.15">
      <c r="B146" s="13" t="s">
        <v>1397</v>
      </c>
      <c r="C146" s="13" t="s">
        <v>189</v>
      </c>
      <c r="D146" s="12"/>
      <c r="E146" s="12"/>
      <c r="F146" s="15"/>
      <c r="G146" s="15">
        <v>1</v>
      </c>
      <c r="H146" s="15">
        <f>IF(I146&lt;&gt;0, G146-I146, "")</f>
        <v>0</v>
      </c>
      <c r="I146" s="15">
        <v>1</v>
      </c>
      <c r="J146" s="15"/>
      <c r="K146" s="12" t="s">
        <v>1379</v>
      </c>
      <c r="L146" s="15" t="s">
        <v>1018</v>
      </c>
      <c r="M146" s="15">
        <v>1.7999999999999999E-2</v>
      </c>
      <c r="N146" s="15">
        <v>100</v>
      </c>
      <c r="O146" s="15">
        <f>IF(I146*M146=0, "", I146*M146*(N146/100))</f>
        <v>1.7999999999999999E-2</v>
      </c>
      <c r="P146" s="38"/>
      <c r="Q146" s="38">
        <f>TRUNC(P146*M146*N146/100)</f>
        <v>0</v>
      </c>
      <c r="R146" s="38"/>
      <c r="S146" s="15" t="s">
        <v>1412</v>
      </c>
      <c r="T146" s="15"/>
      <c r="AH146" s="2">
        <f>O146</f>
        <v>1.7999999999999999E-2</v>
      </c>
    </row>
    <row r="147" spans="2:34" ht="21.95" customHeight="1" x14ac:dyDescent="0.15">
      <c r="B147" s="13" t="s">
        <v>1397</v>
      </c>
      <c r="C147" s="13" t="s">
        <v>1011</v>
      </c>
      <c r="D147" s="12" t="s">
        <v>1003</v>
      </c>
      <c r="E147" s="12" t="s">
        <v>1012</v>
      </c>
      <c r="F147" s="15" t="s">
        <v>999</v>
      </c>
      <c r="G147" s="15">
        <f>IF(H147*I147/100+0.000005 &lt;1, TRUNC(H147*I147/100+0.000005, 옵션!$E$13), TRUNC(H147*I147/100+0.000005, 옵션!$E$13))</f>
        <v>7.0000000000000001E-3</v>
      </c>
      <c r="H147" s="15">
        <f>옵션!$B$13</f>
        <v>100</v>
      </c>
      <c r="I147" s="15">
        <f>SUM(AE145:AE146)</f>
        <v>7.0000000000000001E-3</v>
      </c>
      <c r="J147" s="15"/>
      <c r="K147" s="12"/>
      <c r="L147" s="15"/>
      <c r="M147" s="15"/>
      <c r="N147" s="15"/>
      <c r="O147" s="15" t="str">
        <f>IF(I147*M147=0, "", I147*M147*(N147/100))</f>
        <v/>
      </c>
      <c r="P147" s="38"/>
      <c r="Q147" s="38">
        <f>TRUNC(P147*M147*N147/100)</f>
        <v>0</v>
      </c>
      <c r="R147" s="38"/>
      <c r="S147" s="15"/>
      <c r="T147" s="15"/>
      <c r="Z147" s="2" t="s">
        <v>1399</v>
      </c>
      <c r="AE147" s="2">
        <f>SUM(AE145:AE146)</f>
        <v>7.0000000000000001E-3</v>
      </c>
      <c r="AH147" s="2">
        <f>SUM(AH145:AH146)</f>
        <v>1.7999999999999999E-2</v>
      </c>
    </row>
    <row r="148" spans="2:34" ht="21.95" customHeight="1" x14ac:dyDescent="0.15">
      <c r="B148" s="13" t="s">
        <v>1397</v>
      </c>
      <c r="C148" s="13" t="s">
        <v>1017</v>
      </c>
      <c r="D148" s="12" t="s">
        <v>1003</v>
      </c>
      <c r="E148" s="12" t="s">
        <v>1018</v>
      </c>
      <c r="F148" s="15" t="s">
        <v>999</v>
      </c>
      <c r="G148" s="15">
        <f>IF(H148*I148/100+0.000005 &lt;1, TRUNC(H148*I148/100+0.000005, 옵션!$E$13), TRUNC(H148*I148/100+0.000005, 옵션!$E$13))</f>
        <v>1.7999999999999999E-2</v>
      </c>
      <c r="H148" s="15">
        <f>옵션!$B$13</f>
        <v>100</v>
      </c>
      <c r="I148" s="15">
        <f>SUM(AH145:AH146)</f>
        <v>1.7999999999999999E-2</v>
      </c>
      <c r="J148" s="15"/>
      <c r="K148" s="12"/>
      <c r="L148" s="15"/>
      <c r="M148" s="15"/>
      <c r="N148" s="15"/>
      <c r="O148" s="15" t="str">
        <f>IF(I148*M148=0, "", I148*M148*(N148/100))</f>
        <v/>
      </c>
      <c r="P148" s="38"/>
      <c r="Q148" s="38">
        <f>TRUNC(P148*M148*N148/100)</f>
        <v>0</v>
      </c>
      <c r="R148" s="38"/>
      <c r="S148" s="15"/>
      <c r="T148" s="15"/>
    </row>
    <row r="149" spans="2:34" ht="21.95" customHeight="1" x14ac:dyDescent="0.15">
      <c r="B149" s="13" t="s">
        <v>1448</v>
      </c>
      <c r="D149" s="170" t="s">
        <v>1483</v>
      </c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2"/>
    </row>
    <row r="150" spans="2:34" ht="21.95" customHeight="1" x14ac:dyDescent="0.15">
      <c r="B150" s="13" t="s">
        <v>1397</v>
      </c>
      <c r="C150" s="13" t="s">
        <v>192</v>
      </c>
      <c r="D150" s="12" t="s">
        <v>186</v>
      </c>
      <c r="E150" s="12" t="s">
        <v>193</v>
      </c>
      <c r="F150" s="15" t="s">
        <v>166</v>
      </c>
      <c r="G150" s="15">
        <v>1</v>
      </c>
      <c r="H150" s="15">
        <f>IF(I150&lt;&gt;0, G150-I150, "")</f>
        <v>0</v>
      </c>
      <c r="I150" s="15">
        <v>1</v>
      </c>
      <c r="J150" s="15"/>
      <c r="K150" s="12" t="s">
        <v>1376</v>
      </c>
      <c r="L150" s="15" t="s">
        <v>1012</v>
      </c>
      <c r="M150" s="15">
        <v>8.9999999999999993E-3</v>
      </c>
      <c r="N150" s="15">
        <v>100</v>
      </c>
      <c r="O150" s="15">
        <f>IF(I150*M150=0, "", I150*M150*(N150/100))</f>
        <v>8.9999999999999993E-3</v>
      </c>
      <c r="P150" s="38"/>
      <c r="Q150" s="38">
        <f>TRUNC(P150*M150*N150/100)</f>
        <v>0</v>
      </c>
      <c r="R150" s="38"/>
      <c r="S150" s="15" t="s">
        <v>1412</v>
      </c>
      <c r="T150" s="15"/>
      <c r="AE150" s="2">
        <f>O150</f>
        <v>8.9999999999999993E-3</v>
      </c>
    </row>
    <row r="151" spans="2:34" ht="21.95" customHeight="1" x14ac:dyDescent="0.15">
      <c r="B151" s="13" t="s">
        <v>1397</v>
      </c>
      <c r="C151" s="13" t="s">
        <v>192</v>
      </c>
      <c r="D151" s="12"/>
      <c r="E151" s="12"/>
      <c r="F151" s="15"/>
      <c r="G151" s="15">
        <v>1</v>
      </c>
      <c r="H151" s="15">
        <f>IF(I151&lt;&gt;0, G151-I151, "")</f>
        <v>0</v>
      </c>
      <c r="I151" s="15">
        <v>1</v>
      </c>
      <c r="J151" s="15"/>
      <c r="K151" s="12" t="s">
        <v>1379</v>
      </c>
      <c r="L151" s="15" t="s">
        <v>1018</v>
      </c>
      <c r="M151" s="15">
        <v>2.1999999999999999E-2</v>
      </c>
      <c r="N151" s="15">
        <v>100</v>
      </c>
      <c r="O151" s="15">
        <f>IF(I151*M151=0, "", I151*M151*(N151/100))</f>
        <v>2.1999999999999999E-2</v>
      </c>
      <c r="P151" s="38"/>
      <c r="Q151" s="38">
        <f>TRUNC(P151*M151*N151/100)</f>
        <v>0</v>
      </c>
      <c r="R151" s="38"/>
      <c r="S151" s="15" t="s">
        <v>1412</v>
      </c>
      <c r="T151" s="15"/>
      <c r="AH151" s="2">
        <f>O151</f>
        <v>2.1999999999999999E-2</v>
      </c>
    </row>
    <row r="152" spans="2:34" ht="21.95" customHeight="1" x14ac:dyDescent="0.15">
      <c r="B152" s="13" t="s">
        <v>1397</v>
      </c>
      <c r="C152" s="13" t="s">
        <v>1011</v>
      </c>
      <c r="D152" s="12" t="s">
        <v>1003</v>
      </c>
      <c r="E152" s="12" t="s">
        <v>1012</v>
      </c>
      <c r="F152" s="15" t="s">
        <v>999</v>
      </c>
      <c r="G152" s="15">
        <f>IF(H152*I152/100+0.000005 &lt;1, TRUNC(H152*I152/100+0.000005, 옵션!$E$13), TRUNC(H152*I152/100+0.000005, 옵션!$E$13))</f>
        <v>8.9999999999999993E-3</v>
      </c>
      <c r="H152" s="15">
        <f>옵션!$B$13</f>
        <v>100</v>
      </c>
      <c r="I152" s="15">
        <f>SUM(AE150:AE151)</f>
        <v>8.9999999999999993E-3</v>
      </c>
      <c r="J152" s="15"/>
      <c r="K152" s="12"/>
      <c r="L152" s="15"/>
      <c r="M152" s="15"/>
      <c r="N152" s="15"/>
      <c r="O152" s="15" t="str">
        <f>IF(I152*M152=0, "", I152*M152*(N152/100))</f>
        <v/>
      </c>
      <c r="P152" s="38"/>
      <c r="Q152" s="38">
        <f>TRUNC(P152*M152*N152/100)</f>
        <v>0</v>
      </c>
      <c r="R152" s="38"/>
      <c r="S152" s="15"/>
      <c r="T152" s="15"/>
      <c r="Z152" s="2" t="s">
        <v>1399</v>
      </c>
      <c r="AE152" s="2">
        <f>SUM(AE150:AE151)</f>
        <v>8.9999999999999993E-3</v>
      </c>
      <c r="AH152" s="2">
        <f>SUM(AH150:AH151)</f>
        <v>2.1999999999999999E-2</v>
      </c>
    </row>
    <row r="153" spans="2:34" ht="21.95" customHeight="1" x14ac:dyDescent="0.15">
      <c r="B153" s="13" t="s">
        <v>1397</v>
      </c>
      <c r="C153" s="13" t="s">
        <v>1017</v>
      </c>
      <c r="D153" s="12" t="s">
        <v>1003</v>
      </c>
      <c r="E153" s="12" t="s">
        <v>1018</v>
      </c>
      <c r="F153" s="15" t="s">
        <v>999</v>
      </c>
      <c r="G153" s="15">
        <f>IF(H153*I153/100+0.000005 &lt;1, TRUNC(H153*I153/100+0.000005, 옵션!$E$13), TRUNC(H153*I153/100+0.000005, 옵션!$E$13))</f>
        <v>2.1999999999999999E-2</v>
      </c>
      <c r="H153" s="15">
        <f>옵션!$B$13</f>
        <v>100</v>
      </c>
      <c r="I153" s="15">
        <f>SUM(AH150:AH151)</f>
        <v>2.1999999999999999E-2</v>
      </c>
      <c r="J153" s="15"/>
      <c r="K153" s="12"/>
      <c r="L153" s="15"/>
      <c r="M153" s="15"/>
      <c r="N153" s="15"/>
      <c r="O153" s="15" t="str">
        <f>IF(I153*M153=0, "", I153*M153*(N153/100))</f>
        <v/>
      </c>
      <c r="P153" s="38"/>
      <c r="Q153" s="38">
        <f>TRUNC(P153*M153*N153/100)</f>
        <v>0</v>
      </c>
      <c r="R153" s="38"/>
      <c r="S153" s="15"/>
      <c r="T153" s="15"/>
    </row>
    <row r="154" spans="2:34" ht="21.95" customHeight="1" x14ac:dyDescent="0.15">
      <c r="B154" s="13" t="s">
        <v>1448</v>
      </c>
      <c r="D154" s="170" t="s">
        <v>1484</v>
      </c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2"/>
    </row>
    <row r="155" spans="2:34" ht="21.95" customHeight="1" x14ac:dyDescent="0.15">
      <c r="B155" s="13" t="s">
        <v>1397</v>
      </c>
      <c r="C155" s="13" t="s">
        <v>195</v>
      </c>
      <c r="D155" s="12" t="s">
        <v>186</v>
      </c>
      <c r="E155" s="12" t="s">
        <v>196</v>
      </c>
      <c r="F155" s="15" t="s">
        <v>166</v>
      </c>
      <c r="G155" s="15">
        <v>1</v>
      </c>
      <c r="H155" s="15">
        <f>IF(I155&lt;&gt;0, G155-I155, "")</f>
        <v>0</v>
      </c>
      <c r="I155" s="15">
        <v>1</v>
      </c>
      <c r="J155" s="15"/>
      <c r="K155" s="12" t="s">
        <v>1376</v>
      </c>
      <c r="L155" s="15" t="s">
        <v>1012</v>
      </c>
      <c r="M155" s="15">
        <v>1.44E-2</v>
      </c>
      <c r="N155" s="15">
        <v>100</v>
      </c>
      <c r="O155" s="15">
        <f>IF(I155*M155=0, "", I155*M155*(N155/100))</f>
        <v>1.44E-2</v>
      </c>
      <c r="P155" s="38"/>
      <c r="Q155" s="38">
        <f>TRUNC(P155*M155*N155/100)</f>
        <v>0</v>
      </c>
      <c r="R155" s="38"/>
      <c r="S155" s="15" t="s">
        <v>1412</v>
      </c>
      <c r="T155" s="15"/>
      <c r="AE155" s="2">
        <f>O155</f>
        <v>1.44E-2</v>
      </c>
    </row>
    <row r="156" spans="2:34" ht="21.95" customHeight="1" x14ac:dyDescent="0.15">
      <c r="B156" s="13" t="s">
        <v>1397</v>
      </c>
      <c r="C156" s="13" t="s">
        <v>195</v>
      </c>
      <c r="D156" s="12"/>
      <c r="E156" s="12"/>
      <c r="F156" s="15"/>
      <c r="G156" s="15">
        <v>1</v>
      </c>
      <c r="H156" s="15">
        <f>IF(I156&lt;&gt;0, G156-I156, "")</f>
        <v>0</v>
      </c>
      <c r="I156" s="15">
        <v>1</v>
      </c>
      <c r="J156" s="15"/>
      <c r="K156" s="12" t="s">
        <v>1379</v>
      </c>
      <c r="L156" s="15" t="s">
        <v>1018</v>
      </c>
      <c r="M156" s="15">
        <v>4.3200000000000002E-2</v>
      </c>
      <c r="N156" s="15">
        <v>100</v>
      </c>
      <c r="O156" s="15">
        <f>IF(I156*M156=0, "", I156*M156*(N156/100))</f>
        <v>4.3200000000000002E-2</v>
      </c>
      <c r="P156" s="38"/>
      <c r="Q156" s="38">
        <f>TRUNC(P156*M156*N156/100)</f>
        <v>0</v>
      </c>
      <c r="R156" s="38"/>
      <c r="S156" s="15" t="s">
        <v>1412</v>
      </c>
      <c r="T156" s="15"/>
      <c r="AH156" s="2">
        <f>O156</f>
        <v>4.3200000000000002E-2</v>
      </c>
    </row>
    <row r="157" spans="2:34" ht="21.95" customHeight="1" x14ac:dyDescent="0.15">
      <c r="B157" s="13" t="s">
        <v>1397</v>
      </c>
      <c r="C157" s="13" t="s">
        <v>1011</v>
      </c>
      <c r="D157" s="12" t="s">
        <v>1003</v>
      </c>
      <c r="E157" s="12" t="s">
        <v>1012</v>
      </c>
      <c r="F157" s="15" t="s">
        <v>999</v>
      </c>
      <c r="G157" s="15">
        <f>IF(H157*I157/100+0.000005 &lt;1, TRUNC(H157*I157/100+0.000005, 옵션!$E$13), TRUNC(H157*I157/100+0.000005, 옵션!$E$13))</f>
        <v>1.44E-2</v>
      </c>
      <c r="H157" s="15">
        <f>옵션!$B$13</f>
        <v>100</v>
      </c>
      <c r="I157" s="15">
        <f>SUM(AE155:AE156)</f>
        <v>1.44E-2</v>
      </c>
      <c r="J157" s="15"/>
      <c r="K157" s="12"/>
      <c r="L157" s="15"/>
      <c r="M157" s="15"/>
      <c r="N157" s="15"/>
      <c r="O157" s="15" t="str">
        <f>IF(I157*M157=0, "", I157*M157*(N157/100))</f>
        <v/>
      </c>
      <c r="P157" s="38"/>
      <c r="Q157" s="38">
        <f>TRUNC(P157*M157*N157/100)</f>
        <v>0</v>
      </c>
      <c r="R157" s="38"/>
      <c r="S157" s="15"/>
      <c r="T157" s="15"/>
      <c r="Z157" s="2" t="s">
        <v>1399</v>
      </c>
      <c r="AE157" s="2">
        <f>SUM(AE155:AE156)</f>
        <v>1.44E-2</v>
      </c>
      <c r="AH157" s="2">
        <f>SUM(AH155:AH156)</f>
        <v>4.3200000000000002E-2</v>
      </c>
    </row>
    <row r="158" spans="2:34" ht="21.95" customHeight="1" x14ac:dyDescent="0.15">
      <c r="B158" s="13" t="s">
        <v>1397</v>
      </c>
      <c r="C158" s="13" t="s">
        <v>1017</v>
      </c>
      <c r="D158" s="12" t="s">
        <v>1003</v>
      </c>
      <c r="E158" s="12" t="s">
        <v>1018</v>
      </c>
      <c r="F158" s="15" t="s">
        <v>999</v>
      </c>
      <c r="G158" s="15">
        <f>IF(H158*I158/100+0.000005 &lt;1, TRUNC(H158*I158/100+0.000005, 옵션!$E$13), TRUNC(H158*I158/100+0.000005, 옵션!$E$13))</f>
        <v>4.3200000000000002E-2</v>
      </c>
      <c r="H158" s="15">
        <f>옵션!$B$13</f>
        <v>100</v>
      </c>
      <c r="I158" s="15">
        <f>SUM(AH155:AH156)</f>
        <v>4.3200000000000002E-2</v>
      </c>
      <c r="J158" s="15"/>
      <c r="K158" s="12"/>
      <c r="L158" s="15"/>
      <c r="M158" s="15"/>
      <c r="N158" s="15"/>
      <c r="O158" s="15" t="str">
        <f>IF(I158*M158=0, "", I158*M158*(N158/100))</f>
        <v/>
      </c>
      <c r="P158" s="38"/>
      <c r="Q158" s="38">
        <f>TRUNC(P158*M158*N158/100)</f>
        <v>0</v>
      </c>
      <c r="R158" s="38"/>
      <c r="S158" s="15"/>
      <c r="T158" s="15"/>
    </row>
    <row r="159" spans="2:34" ht="21.95" customHeight="1" x14ac:dyDescent="0.15">
      <c r="B159" s="13" t="s">
        <v>1448</v>
      </c>
      <c r="D159" s="170" t="s">
        <v>1485</v>
      </c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2"/>
    </row>
    <row r="160" spans="2:34" ht="21.95" customHeight="1" x14ac:dyDescent="0.15">
      <c r="B160" s="13" t="s">
        <v>1397</v>
      </c>
      <c r="C160" s="13" t="s">
        <v>215</v>
      </c>
      <c r="D160" s="12" t="s">
        <v>198</v>
      </c>
      <c r="E160" s="12" t="s">
        <v>216</v>
      </c>
      <c r="F160" s="15" t="s">
        <v>166</v>
      </c>
      <c r="G160" s="15">
        <v>1</v>
      </c>
      <c r="H160" s="15">
        <f>IF(I160&lt;&gt;0, G160-I160, "")</f>
        <v>0</v>
      </c>
      <c r="I160" s="15">
        <v>1</v>
      </c>
      <c r="J160" s="15"/>
      <c r="K160" s="12" t="s">
        <v>1372</v>
      </c>
      <c r="L160" s="15" t="s">
        <v>1004</v>
      </c>
      <c r="M160" s="15">
        <v>4.3999999999999997E-2</v>
      </c>
      <c r="N160" s="15">
        <v>90</v>
      </c>
      <c r="O160" s="15">
        <f>IF(I160*M160=0, "", I160*M160*(N160/100))</f>
        <v>3.9599999999999996E-2</v>
      </c>
      <c r="P160" s="38"/>
      <c r="Q160" s="38">
        <f>TRUNC(P160*M160*N160/100)</f>
        <v>0</v>
      </c>
      <c r="R160" s="38"/>
      <c r="S160" s="15" t="s">
        <v>1411</v>
      </c>
      <c r="T160" s="15"/>
      <c r="AA160" s="2">
        <f>O160</f>
        <v>3.9599999999999996E-2</v>
      </c>
    </row>
    <row r="161" spans="2:27" ht="21.95" customHeight="1" x14ac:dyDescent="0.15">
      <c r="B161" s="13" t="s">
        <v>1397</v>
      </c>
      <c r="C161" s="13" t="s">
        <v>1002</v>
      </c>
      <c r="D161" s="12" t="s">
        <v>1003</v>
      </c>
      <c r="E161" s="12" t="s">
        <v>1004</v>
      </c>
      <c r="F161" s="15" t="s">
        <v>999</v>
      </c>
      <c r="G161" s="15">
        <f>IF(H161*I161/100+0.000005 &lt;1, TRUNC(H161*I161/100+0.000005, 옵션!$E$13), TRUNC(H161*I161/100+0.000005, 옵션!$E$13))</f>
        <v>3.9600000000000003E-2</v>
      </c>
      <c r="H161" s="15">
        <f>옵션!$B$13</f>
        <v>100</v>
      </c>
      <c r="I161" s="15">
        <f>SUM(AA160:AA160)</f>
        <v>3.9599999999999996E-2</v>
      </c>
      <c r="J161" s="15"/>
      <c r="K161" s="12"/>
      <c r="L161" s="15"/>
      <c r="M161" s="15"/>
      <c r="N161" s="15"/>
      <c r="O161" s="15" t="str">
        <f>IF(I161*M161=0, "", I161*M161*(N161/100))</f>
        <v/>
      </c>
      <c r="P161" s="38"/>
      <c r="Q161" s="38">
        <f>TRUNC(P161*M161*N161/100)</f>
        <v>0</v>
      </c>
      <c r="R161" s="38"/>
      <c r="S161" s="15"/>
      <c r="T161" s="15"/>
      <c r="Z161" s="2" t="s">
        <v>1399</v>
      </c>
      <c r="AA161" s="2">
        <f>SUM(AA160:AA160)</f>
        <v>3.9599999999999996E-2</v>
      </c>
    </row>
    <row r="162" spans="2:27" ht="21.95" customHeight="1" x14ac:dyDescent="0.15">
      <c r="B162" s="13" t="s">
        <v>1448</v>
      </c>
      <c r="D162" s="170" t="s">
        <v>1486</v>
      </c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2"/>
    </row>
    <row r="163" spans="2:27" ht="21.95" customHeight="1" x14ac:dyDescent="0.15">
      <c r="B163" s="13" t="s">
        <v>1397</v>
      </c>
      <c r="C163" s="13" t="s">
        <v>217</v>
      </c>
      <c r="D163" s="12" t="s">
        <v>198</v>
      </c>
      <c r="E163" s="12" t="s">
        <v>218</v>
      </c>
      <c r="F163" s="15" t="s">
        <v>166</v>
      </c>
      <c r="G163" s="15">
        <v>1</v>
      </c>
      <c r="H163" s="15">
        <f>IF(I163&lt;&gt;0, G163-I163, "")</f>
        <v>0</v>
      </c>
      <c r="I163" s="15">
        <v>1</v>
      </c>
      <c r="J163" s="15"/>
      <c r="K163" s="12" t="s">
        <v>1372</v>
      </c>
      <c r="L163" s="15" t="s">
        <v>1004</v>
      </c>
      <c r="M163" s="15">
        <v>7.1999999999999995E-2</v>
      </c>
      <c r="N163" s="15">
        <v>90</v>
      </c>
      <c r="O163" s="15">
        <f>IF(I163*M163=0, "", I163*M163*(N163/100))</f>
        <v>6.4799999999999996E-2</v>
      </c>
      <c r="P163" s="38"/>
      <c r="Q163" s="38">
        <f>TRUNC(P163*M163*N163/100)</f>
        <v>0</v>
      </c>
      <c r="R163" s="38"/>
      <c r="S163" s="15" t="s">
        <v>1411</v>
      </c>
      <c r="T163" s="15"/>
      <c r="AA163" s="2">
        <f>O163</f>
        <v>6.4799999999999996E-2</v>
      </c>
    </row>
    <row r="164" spans="2:27" ht="21.95" customHeight="1" x14ac:dyDescent="0.15">
      <c r="B164" s="13" t="s">
        <v>1397</v>
      </c>
      <c r="C164" s="13" t="s">
        <v>1002</v>
      </c>
      <c r="D164" s="12" t="s">
        <v>1003</v>
      </c>
      <c r="E164" s="12" t="s">
        <v>1004</v>
      </c>
      <c r="F164" s="15" t="s">
        <v>999</v>
      </c>
      <c r="G164" s="15">
        <f>IF(H164*I164/100+0.000005 &lt;1, TRUNC(H164*I164/100+0.000005, 옵션!$E$13), TRUNC(H164*I164/100+0.000005, 옵션!$E$13))</f>
        <v>6.4799999999999996E-2</v>
      </c>
      <c r="H164" s="15">
        <f>옵션!$B$13</f>
        <v>100</v>
      </c>
      <c r="I164" s="15">
        <f>SUM(AA163:AA163)</f>
        <v>6.4799999999999996E-2</v>
      </c>
      <c r="J164" s="15"/>
      <c r="K164" s="12"/>
      <c r="L164" s="15"/>
      <c r="M164" s="15"/>
      <c r="N164" s="15"/>
      <c r="O164" s="15" t="str">
        <f>IF(I164*M164=0, "", I164*M164*(N164/100))</f>
        <v/>
      </c>
      <c r="P164" s="38"/>
      <c r="Q164" s="38">
        <f>TRUNC(P164*M164*N164/100)</f>
        <v>0</v>
      </c>
      <c r="R164" s="38"/>
      <c r="S164" s="15"/>
      <c r="T164" s="15"/>
      <c r="Z164" s="2" t="s">
        <v>1399</v>
      </c>
      <c r="AA164" s="2">
        <f>SUM(AA163:AA163)</f>
        <v>6.4799999999999996E-2</v>
      </c>
    </row>
    <row r="165" spans="2:27" ht="21.95" customHeight="1" x14ac:dyDescent="0.15">
      <c r="B165" s="13" t="s">
        <v>1448</v>
      </c>
      <c r="D165" s="170" t="s">
        <v>1487</v>
      </c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2"/>
    </row>
    <row r="166" spans="2:27" ht="21.95" customHeight="1" x14ac:dyDescent="0.15">
      <c r="B166" s="13" t="s">
        <v>1397</v>
      </c>
      <c r="C166" s="13" t="s">
        <v>219</v>
      </c>
      <c r="D166" s="12" t="s">
        <v>198</v>
      </c>
      <c r="E166" s="12" t="s">
        <v>220</v>
      </c>
      <c r="F166" s="15" t="s">
        <v>166</v>
      </c>
      <c r="G166" s="15">
        <v>1</v>
      </c>
      <c r="H166" s="15">
        <f>IF(I166&lt;&gt;0, G166-I166, "")</f>
        <v>0</v>
      </c>
      <c r="I166" s="15">
        <v>1</v>
      </c>
      <c r="J166" s="15"/>
      <c r="K166" s="12" t="s">
        <v>1372</v>
      </c>
      <c r="L166" s="15" t="s">
        <v>1004</v>
      </c>
      <c r="M166" s="15">
        <v>8.6999999999999994E-2</v>
      </c>
      <c r="N166" s="15">
        <v>90</v>
      </c>
      <c r="O166" s="15">
        <f>IF(I166*M166=0, "", I166*M166*(N166/100))</f>
        <v>7.8299999999999995E-2</v>
      </c>
      <c r="P166" s="38"/>
      <c r="Q166" s="38">
        <f>TRUNC(P166*M166*N166/100)</f>
        <v>0</v>
      </c>
      <c r="R166" s="38"/>
      <c r="S166" s="15" t="s">
        <v>1411</v>
      </c>
      <c r="T166" s="15"/>
      <c r="AA166" s="2">
        <f>O166</f>
        <v>7.8299999999999995E-2</v>
      </c>
    </row>
    <row r="167" spans="2:27" ht="21.95" customHeight="1" x14ac:dyDescent="0.15">
      <c r="B167" s="13" t="s">
        <v>1397</v>
      </c>
      <c r="C167" s="13" t="s">
        <v>1002</v>
      </c>
      <c r="D167" s="12" t="s">
        <v>1003</v>
      </c>
      <c r="E167" s="12" t="s">
        <v>1004</v>
      </c>
      <c r="F167" s="15" t="s">
        <v>999</v>
      </c>
      <c r="G167" s="15">
        <f>IF(H167*I167/100+0.000005 &lt;1, TRUNC(H167*I167/100+0.000005, 옵션!$E$13), TRUNC(H167*I167/100+0.000005, 옵션!$E$13))</f>
        <v>7.8299999999999995E-2</v>
      </c>
      <c r="H167" s="15">
        <f>옵션!$B$13</f>
        <v>100</v>
      </c>
      <c r="I167" s="15">
        <f>SUM(AA166:AA166)</f>
        <v>7.8299999999999995E-2</v>
      </c>
      <c r="J167" s="15"/>
      <c r="K167" s="12"/>
      <c r="L167" s="15"/>
      <c r="M167" s="15"/>
      <c r="N167" s="15"/>
      <c r="O167" s="15" t="str">
        <f>IF(I167*M167=0, "", I167*M167*(N167/100))</f>
        <v/>
      </c>
      <c r="P167" s="38"/>
      <c r="Q167" s="38">
        <f>TRUNC(P167*M167*N167/100)</f>
        <v>0</v>
      </c>
      <c r="R167" s="38"/>
      <c r="S167" s="15"/>
      <c r="T167" s="15"/>
      <c r="Z167" s="2" t="s">
        <v>1399</v>
      </c>
      <c r="AA167" s="2">
        <f>SUM(AA166:AA166)</f>
        <v>7.8299999999999995E-2</v>
      </c>
    </row>
    <row r="168" spans="2:27" ht="21.95" customHeight="1" x14ac:dyDescent="0.15">
      <c r="B168" s="13" t="s">
        <v>1448</v>
      </c>
      <c r="D168" s="170" t="s">
        <v>1488</v>
      </c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2"/>
    </row>
    <row r="169" spans="2:27" ht="21.95" customHeight="1" x14ac:dyDescent="0.15">
      <c r="B169" s="13" t="s">
        <v>1397</v>
      </c>
      <c r="C169" s="13" t="s">
        <v>221</v>
      </c>
      <c r="D169" s="12" t="s">
        <v>198</v>
      </c>
      <c r="E169" s="12" t="s">
        <v>222</v>
      </c>
      <c r="F169" s="15" t="s">
        <v>166</v>
      </c>
      <c r="G169" s="15">
        <v>1</v>
      </c>
      <c r="H169" s="15">
        <f>IF(I169&lt;&gt;0, G169-I169, "")</f>
        <v>0</v>
      </c>
      <c r="I169" s="15">
        <v>1</v>
      </c>
      <c r="J169" s="15"/>
      <c r="K169" s="12" t="s">
        <v>1372</v>
      </c>
      <c r="L169" s="15" t="s">
        <v>1004</v>
      </c>
      <c r="M169" s="15">
        <v>7.1999999999999995E-2</v>
      </c>
      <c r="N169" s="15">
        <v>90</v>
      </c>
      <c r="O169" s="15">
        <f>IF(I169*M169=0, "", I169*M169*(N169/100))</f>
        <v>6.4799999999999996E-2</v>
      </c>
      <c r="P169" s="38"/>
      <c r="Q169" s="38">
        <f>TRUNC(P169*M169*N169/100)</f>
        <v>0</v>
      </c>
      <c r="R169" s="38"/>
      <c r="S169" s="15" t="s">
        <v>1411</v>
      </c>
      <c r="T169" s="15"/>
      <c r="AA169" s="2">
        <f>O169</f>
        <v>6.4799999999999996E-2</v>
      </c>
    </row>
    <row r="170" spans="2:27" ht="21.95" customHeight="1" x14ac:dyDescent="0.15">
      <c r="B170" s="13" t="s">
        <v>1397</v>
      </c>
      <c r="C170" s="13" t="s">
        <v>1002</v>
      </c>
      <c r="D170" s="12" t="s">
        <v>1003</v>
      </c>
      <c r="E170" s="12" t="s">
        <v>1004</v>
      </c>
      <c r="F170" s="15" t="s">
        <v>999</v>
      </c>
      <c r="G170" s="15">
        <f>IF(H170*I170/100+0.000005 &lt;1, TRUNC(H170*I170/100+0.000005, 옵션!$E$13), TRUNC(H170*I170/100+0.000005, 옵션!$E$13))</f>
        <v>6.4799999999999996E-2</v>
      </c>
      <c r="H170" s="15">
        <f>옵션!$B$13</f>
        <v>100</v>
      </c>
      <c r="I170" s="15">
        <f>SUM(AA169:AA169)</f>
        <v>6.4799999999999996E-2</v>
      </c>
      <c r="J170" s="15"/>
      <c r="K170" s="12"/>
      <c r="L170" s="15"/>
      <c r="M170" s="15"/>
      <c r="N170" s="15"/>
      <c r="O170" s="15" t="str">
        <f>IF(I170*M170=0, "", I170*M170*(N170/100))</f>
        <v/>
      </c>
      <c r="P170" s="38"/>
      <c r="Q170" s="38">
        <f>TRUNC(P170*M170*N170/100)</f>
        <v>0</v>
      </c>
      <c r="R170" s="38"/>
      <c r="S170" s="15"/>
      <c r="T170" s="15"/>
      <c r="Z170" s="2" t="s">
        <v>1399</v>
      </c>
      <c r="AA170" s="2">
        <f>SUM(AA169:AA169)</f>
        <v>6.4799999999999996E-2</v>
      </c>
    </row>
    <row r="171" spans="2:27" ht="21.95" customHeight="1" x14ac:dyDescent="0.15">
      <c r="B171" s="13" t="s">
        <v>1448</v>
      </c>
      <c r="D171" s="170" t="s">
        <v>1489</v>
      </c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2"/>
    </row>
    <row r="172" spans="2:27" ht="21.95" customHeight="1" x14ac:dyDescent="0.15">
      <c r="B172" s="13" t="s">
        <v>1397</v>
      </c>
      <c r="C172" s="13" t="s">
        <v>223</v>
      </c>
      <c r="D172" s="12" t="s">
        <v>198</v>
      </c>
      <c r="E172" s="12" t="s">
        <v>224</v>
      </c>
      <c r="F172" s="15" t="s">
        <v>166</v>
      </c>
      <c r="G172" s="15">
        <v>1</v>
      </c>
      <c r="H172" s="15">
        <f>IF(I172&lt;&gt;0, G172-I172, "")</f>
        <v>0</v>
      </c>
      <c r="I172" s="15">
        <v>1</v>
      </c>
      <c r="J172" s="15"/>
      <c r="K172" s="12" t="s">
        <v>1372</v>
      </c>
      <c r="L172" s="15" t="s">
        <v>1004</v>
      </c>
      <c r="M172" s="15">
        <v>8.6999999999999994E-2</v>
      </c>
      <c r="N172" s="15">
        <v>90</v>
      </c>
      <c r="O172" s="15">
        <f>IF(I172*M172=0, "", I172*M172*(N172/100))</f>
        <v>7.8299999999999995E-2</v>
      </c>
      <c r="P172" s="38"/>
      <c r="Q172" s="38">
        <f>TRUNC(P172*M172*N172/100)</f>
        <v>0</v>
      </c>
      <c r="R172" s="38"/>
      <c r="S172" s="15" t="s">
        <v>1411</v>
      </c>
      <c r="T172" s="15"/>
      <c r="AA172" s="2">
        <f>O172</f>
        <v>7.8299999999999995E-2</v>
      </c>
    </row>
    <row r="173" spans="2:27" ht="21.95" customHeight="1" x14ac:dyDescent="0.15">
      <c r="B173" s="13" t="s">
        <v>1397</v>
      </c>
      <c r="C173" s="13" t="s">
        <v>1002</v>
      </c>
      <c r="D173" s="12" t="s">
        <v>1003</v>
      </c>
      <c r="E173" s="12" t="s">
        <v>1004</v>
      </c>
      <c r="F173" s="15" t="s">
        <v>999</v>
      </c>
      <c r="G173" s="15">
        <f>IF(H173*I173/100+0.000005 &lt;1, TRUNC(H173*I173/100+0.000005, 옵션!$E$13), TRUNC(H173*I173/100+0.000005, 옵션!$E$13))</f>
        <v>7.8299999999999995E-2</v>
      </c>
      <c r="H173" s="15">
        <f>옵션!$B$13</f>
        <v>100</v>
      </c>
      <c r="I173" s="15">
        <f>SUM(AA172:AA172)</f>
        <v>7.8299999999999995E-2</v>
      </c>
      <c r="J173" s="15"/>
      <c r="K173" s="12"/>
      <c r="L173" s="15"/>
      <c r="M173" s="15"/>
      <c r="N173" s="15"/>
      <c r="O173" s="15" t="str">
        <f>IF(I173*M173=0, "", I173*M173*(N173/100))</f>
        <v/>
      </c>
      <c r="P173" s="38"/>
      <c r="Q173" s="38">
        <f>TRUNC(P173*M173*N173/100)</f>
        <v>0</v>
      </c>
      <c r="R173" s="38"/>
      <c r="S173" s="15"/>
      <c r="T173" s="15"/>
      <c r="Z173" s="2" t="s">
        <v>1399</v>
      </c>
      <c r="AA173" s="2">
        <f>SUM(AA172:AA172)</f>
        <v>7.8299999999999995E-2</v>
      </c>
    </row>
    <row r="174" spans="2:27" ht="21.95" customHeight="1" x14ac:dyDescent="0.15">
      <c r="B174" s="13" t="s">
        <v>1448</v>
      </c>
      <c r="D174" s="170" t="s">
        <v>1490</v>
      </c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2"/>
    </row>
    <row r="175" spans="2:27" ht="21.95" customHeight="1" x14ac:dyDescent="0.15">
      <c r="B175" s="13" t="s">
        <v>1397</v>
      </c>
      <c r="C175" s="13" t="s">
        <v>225</v>
      </c>
      <c r="D175" s="12" t="s">
        <v>198</v>
      </c>
      <c r="E175" s="12" t="s">
        <v>226</v>
      </c>
      <c r="F175" s="15" t="s">
        <v>166</v>
      </c>
      <c r="G175" s="15">
        <v>1</v>
      </c>
      <c r="H175" s="15">
        <f>IF(I175&lt;&gt;0, G175-I175, "")</f>
        <v>0</v>
      </c>
      <c r="I175" s="15">
        <v>1</v>
      </c>
      <c r="J175" s="15"/>
      <c r="K175" s="12" t="s">
        <v>1372</v>
      </c>
      <c r="L175" s="15" t="s">
        <v>1004</v>
      </c>
      <c r="M175" s="15">
        <v>0.104</v>
      </c>
      <c r="N175" s="15">
        <v>90</v>
      </c>
      <c r="O175" s="15">
        <f>IF(I175*M175=0, "", I175*M175*(N175/100))</f>
        <v>9.3600000000000003E-2</v>
      </c>
      <c r="P175" s="38"/>
      <c r="Q175" s="38">
        <f>TRUNC(P175*M175*N175/100)</f>
        <v>0</v>
      </c>
      <c r="R175" s="38"/>
      <c r="S175" s="15" t="s">
        <v>1411</v>
      </c>
      <c r="T175" s="15"/>
      <c r="AA175" s="2">
        <f>O175</f>
        <v>9.3600000000000003E-2</v>
      </c>
    </row>
    <row r="176" spans="2:27" ht="21.95" customHeight="1" x14ac:dyDescent="0.15">
      <c r="B176" s="13" t="s">
        <v>1397</v>
      </c>
      <c r="C176" s="13" t="s">
        <v>1002</v>
      </c>
      <c r="D176" s="12" t="s">
        <v>1003</v>
      </c>
      <c r="E176" s="12" t="s">
        <v>1004</v>
      </c>
      <c r="F176" s="15" t="s">
        <v>999</v>
      </c>
      <c r="G176" s="15">
        <f>IF(H176*I176/100+0.000005 &lt;1, TRUNC(H176*I176/100+0.000005, 옵션!$E$13), TRUNC(H176*I176/100+0.000005, 옵션!$E$13))</f>
        <v>9.3600000000000003E-2</v>
      </c>
      <c r="H176" s="15">
        <f>옵션!$B$13</f>
        <v>100</v>
      </c>
      <c r="I176" s="15">
        <f>SUM(AA175:AA175)</f>
        <v>9.3600000000000003E-2</v>
      </c>
      <c r="J176" s="15"/>
      <c r="K176" s="12"/>
      <c r="L176" s="15"/>
      <c r="M176" s="15"/>
      <c r="N176" s="15"/>
      <c r="O176" s="15" t="str">
        <f>IF(I176*M176=0, "", I176*M176*(N176/100))</f>
        <v/>
      </c>
      <c r="P176" s="38"/>
      <c r="Q176" s="38">
        <f>TRUNC(P176*M176*N176/100)</f>
        <v>0</v>
      </c>
      <c r="R176" s="38"/>
      <c r="S176" s="15"/>
      <c r="T176" s="15"/>
      <c r="Z176" s="2" t="s">
        <v>1399</v>
      </c>
      <c r="AA176" s="2">
        <f>SUM(AA175:AA175)</f>
        <v>9.3600000000000003E-2</v>
      </c>
    </row>
    <row r="177" spans="2:27" ht="21.95" customHeight="1" x14ac:dyDescent="0.15">
      <c r="B177" s="13" t="s">
        <v>1448</v>
      </c>
      <c r="D177" s="170" t="s">
        <v>1491</v>
      </c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2"/>
    </row>
    <row r="178" spans="2:27" ht="21.95" customHeight="1" x14ac:dyDescent="0.15">
      <c r="B178" s="13" t="s">
        <v>1397</v>
      </c>
      <c r="C178" s="13" t="s">
        <v>249</v>
      </c>
      <c r="D178" s="12" t="s">
        <v>250</v>
      </c>
      <c r="E178" s="12" t="s">
        <v>251</v>
      </c>
      <c r="F178" s="15" t="s">
        <v>200</v>
      </c>
      <c r="G178" s="15">
        <v>1</v>
      </c>
      <c r="H178" s="15">
        <f>IF(I178&lt;&gt;0, G178-I178, "")</f>
        <v>0</v>
      </c>
      <c r="I178" s="15">
        <v>1</v>
      </c>
      <c r="J178" s="15"/>
      <c r="K178" s="12" t="s">
        <v>1372</v>
      </c>
      <c r="L178" s="15" t="s">
        <v>1004</v>
      </c>
      <c r="M178" s="15">
        <v>0.03</v>
      </c>
      <c r="N178" s="15">
        <v>100</v>
      </c>
      <c r="O178" s="15">
        <f>IF(I178*M178=0, "", I178*M178*(N178/100))</f>
        <v>0.03</v>
      </c>
      <c r="P178" s="38"/>
      <c r="Q178" s="38">
        <f>TRUNC(P178*M178*N178/100)</f>
        <v>0</v>
      </c>
      <c r="R178" s="38"/>
      <c r="S178" s="15" t="s">
        <v>1398</v>
      </c>
      <c r="T178" s="15"/>
      <c r="AA178" s="2">
        <f>O178</f>
        <v>0.03</v>
      </c>
    </row>
    <row r="179" spans="2:27" ht="21.95" customHeight="1" x14ac:dyDescent="0.15">
      <c r="B179" s="13" t="s">
        <v>1397</v>
      </c>
      <c r="C179" s="13" t="s">
        <v>1002</v>
      </c>
      <c r="D179" s="12" t="s">
        <v>1003</v>
      </c>
      <c r="E179" s="12" t="s">
        <v>1004</v>
      </c>
      <c r="F179" s="15" t="s">
        <v>999</v>
      </c>
      <c r="G179" s="15">
        <f>IF(H179*I179/100+0.000005 &lt;1, TRUNC(H179*I179/100+0.000005, 옵션!$E$13), TRUNC(H179*I179/100+0.000005, 옵션!$E$13))</f>
        <v>0.03</v>
      </c>
      <c r="H179" s="15">
        <f>옵션!$B$13</f>
        <v>100</v>
      </c>
      <c r="I179" s="15">
        <f>SUM(AA178:AA178)</f>
        <v>0.03</v>
      </c>
      <c r="J179" s="15"/>
      <c r="K179" s="12"/>
      <c r="L179" s="15"/>
      <c r="M179" s="15"/>
      <c r="N179" s="15"/>
      <c r="O179" s="15" t="str">
        <f>IF(I179*M179=0, "", I179*M179*(N179/100))</f>
        <v/>
      </c>
      <c r="P179" s="38"/>
      <c r="Q179" s="38">
        <f>TRUNC(P179*M179*N179/100)</f>
        <v>0</v>
      </c>
      <c r="R179" s="38"/>
      <c r="S179" s="15"/>
      <c r="T179" s="15"/>
      <c r="Z179" s="2" t="s">
        <v>1399</v>
      </c>
      <c r="AA179" s="2">
        <f>SUM(AA178:AA178)</f>
        <v>0.03</v>
      </c>
    </row>
    <row r="180" spans="2:27" ht="21.95" customHeight="1" x14ac:dyDescent="0.15">
      <c r="B180" s="13" t="s">
        <v>1448</v>
      </c>
      <c r="D180" s="170" t="s">
        <v>1492</v>
      </c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2"/>
    </row>
    <row r="181" spans="2:27" ht="21.95" customHeight="1" x14ac:dyDescent="0.15">
      <c r="B181" s="13" t="s">
        <v>1397</v>
      </c>
      <c r="C181" s="13" t="s">
        <v>259</v>
      </c>
      <c r="D181" s="12" t="s">
        <v>260</v>
      </c>
      <c r="E181" s="12" t="s">
        <v>261</v>
      </c>
      <c r="F181" s="15" t="s">
        <v>200</v>
      </c>
      <c r="G181" s="15">
        <v>1</v>
      </c>
      <c r="H181" s="15">
        <f>IF(I181&lt;&gt;0, G181-I181, "")</f>
        <v>0</v>
      </c>
      <c r="I181" s="15">
        <v>1</v>
      </c>
      <c r="J181" s="15"/>
      <c r="K181" s="12" t="s">
        <v>1372</v>
      </c>
      <c r="L181" s="15" t="s">
        <v>1004</v>
      </c>
      <c r="M181" s="15">
        <v>0.12</v>
      </c>
      <c r="N181" s="15">
        <v>90</v>
      </c>
      <c r="O181" s="15">
        <f>IF(I181*M181=0, "", I181*M181*(N181/100))</f>
        <v>0.108</v>
      </c>
      <c r="P181" s="38"/>
      <c r="Q181" s="38">
        <f>TRUNC(P181*M181*N181/100)</f>
        <v>0</v>
      </c>
      <c r="R181" s="38"/>
      <c r="S181" s="15" t="s">
        <v>1413</v>
      </c>
      <c r="T181" s="15"/>
      <c r="AA181" s="2">
        <f>O181</f>
        <v>0.108</v>
      </c>
    </row>
    <row r="182" spans="2:27" ht="21.95" customHeight="1" x14ac:dyDescent="0.15">
      <c r="B182" s="13" t="s">
        <v>1397</v>
      </c>
      <c r="C182" s="13" t="s">
        <v>1002</v>
      </c>
      <c r="D182" s="12" t="s">
        <v>1003</v>
      </c>
      <c r="E182" s="12" t="s">
        <v>1004</v>
      </c>
      <c r="F182" s="15" t="s">
        <v>999</v>
      </c>
      <c r="G182" s="15">
        <f>IF(H182*I182/100+0.000005 &lt;1, TRUNC(H182*I182/100+0.000005, 옵션!$E$13), TRUNC(H182*I182/100+0.000005, 옵션!$E$13))</f>
        <v>0.108</v>
      </c>
      <c r="H182" s="15">
        <f>옵션!$B$13</f>
        <v>100</v>
      </c>
      <c r="I182" s="15">
        <f>SUM(AA181:AA181)</f>
        <v>0.108</v>
      </c>
      <c r="J182" s="15"/>
      <c r="K182" s="12"/>
      <c r="L182" s="15"/>
      <c r="M182" s="15"/>
      <c r="N182" s="15"/>
      <c r="O182" s="15" t="str">
        <f>IF(I182*M182=0, "", I182*M182*(N182/100))</f>
        <v/>
      </c>
      <c r="P182" s="38"/>
      <c r="Q182" s="38">
        <f>TRUNC(P182*M182*N182/100)</f>
        <v>0</v>
      </c>
      <c r="R182" s="38"/>
      <c r="S182" s="15"/>
      <c r="T182" s="15"/>
      <c r="Z182" s="2" t="s">
        <v>1399</v>
      </c>
      <c r="AA182" s="2">
        <f>SUM(AA181:AA181)</f>
        <v>0.108</v>
      </c>
    </row>
    <row r="183" spans="2:27" ht="21.95" customHeight="1" x14ac:dyDescent="0.15">
      <c r="B183" s="13" t="s">
        <v>1448</v>
      </c>
      <c r="D183" s="170" t="s">
        <v>1493</v>
      </c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2"/>
    </row>
    <row r="184" spans="2:27" ht="21.95" customHeight="1" x14ac:dyDescent="0.15">
      <c r="B184" s="13" t="s">
        <v>1397</v>
      </c>
      <c r="C184" s="13" t="s">
        <v>266</v>
      </c>
      <c r="D184" s="12" t="s">
        <v>260</v>
      </c>
      <c r="E184" s="12" t="s">
        <v>267</v>
      </c>
      <c r="F184" s="15" t="s">
        <v>200</v>
      </c>
      <c r="G184" s="15">
        <v>1</v>
      </c>
      <c r="H184" s="15">
        <f>IF(I184&lt;&gt;0, G184-I184, "")</f>
        <v>0</v>
      </c>
      <c r="I184" s="15">
        <v>1</v>
      </c>
      <c r="J184" s="15"/>
      <c r="K184" s="12" t="s">
        <v>1372</v>
      </c>
      <c r="L184" s="15" t="s">
        <v>1004</v>
      </c>
      <c r="M184" s="15">
        <v>0.12</v>
      </c>
      <c r="N184" s="15">
        <v>90</v>
      </c>
      <c r="O184" s="15">
        <f>IF(I184*M184=0, "", I184*M184*(N184/100))</f>
        <v>0.108</v>
      </c>
      <c r="P184" s="38"/>
      <c r="Q184" s="38">
        <f>TRUNC(P184*M184*N184/100)</f>
        <v>0</v>
      </c>
      <c r="R184" s="38"/>
      <c r="S184" s="15" t="s">
        <v>1413</v>
      </c>
      <c r="T184" s="15"/>
      <c r="AA184" s="2">
        <f>O184</f>
        <v>0.108</v>
      </c>
    </row>
    <row r="185" spans="2:27" ht="21.95" customHeight="1" x14ac:dyDescent="0.15">
      <c r="B185" s="13" t="s">
        <v>1397</v>
      </c>
      <c r="C185" s="13" t="s">
        <v>1002</v>
      </c>
      <c r="D185" s="12" t="s">
        <v>1003</v>
      </c>
      <c r="E185" s="12" t="s">
        <v>1004</v>
      </c>
      <c r="F185" s="15" t="s">
        <v>999</v>
      </c>
      <c r="G185" s="15">
        <f>IF(H185*I185/100+0.000005 &lt;1, TRUNC(H185*I185/100+0.000005, 옵션!$E$13), TRUNC(H185*I185/100+0.000005, 옵션!$E$13))</f>
        <v>0.108</v>
      </c>
      <c r="H185" s="15">
        <f>옵션!$B$13</f>
        <v>100</v>
      </c>
      <c r="I185" s="15">
        <f>SUM(AA184:AA184)</f>
        <v>0.108</v>
      </c>
      <c r="J185" s="15"/>
      <c r="K185" s="12"/>
      <c r="L185" s="15"/>
      <c r="M185" s="15"/>
      <c r="N185" s="15"/>
      <c r="O185" s="15" t="str">
        <f>IF(I185*M185=0, "", I185*M185*(N185/100))</f>
        <v/>
      </c>
      <c r="P185" s="38"/>
      <c r="Q185" s="38">
        <f>TRUNC(P185*M185*N185/100)</f>
        <v>0</v>
      </c>
      <c r="R185" s="38"/>
      <c r="S185" s="15"/>
      <c r="T185" s="15"/>
      <c r="Z185" s="2" t="s">
        <v>1399</v>
      </c>
      <c r="AA185" s="2">
        <f>SUM(AA184:AA184)</f>
        <v>0.108</v>
      </c>
    </row>
    <row r="186" spans="2:27" ht="21.95" customHeight="1" x14ac:dyDescent="0.15">
      <c r="B186" s="13" t="s">
        <v>1448</v>
      </c>
      <c r="D186" s="170" t="s">
        <v>1494</v>
      </c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2"/>
    </row>
    <row r="187" spans="2:27" ht="21.95" customHeight="1" x14ac:dyDescent="0.15">
      <c r="B187" s="13" t="s">
        <v>1397</v>
      </c>
      <c r="C187" s="13" t="s">
        <v>268</v>
      </c>
      <c r="D187" s="12" t="s">
        <v>269</v>
      </c>
      <c r="E187" s="12" t="s">
        <v>270</v>
      </c>
      <c r="F187" s="15" t="s">
        <v>200</v>
      </c>
      <c r="G187" s="15">
        <v>1</v>
      </c>
      <c r="H187" s="15">
        <f>IF(I187&lt;&gt;0, G187-I187, "")</f>
        <v>0</v>
      </c>
      <c r="I187" s="15">
        <v>1</v>
      </c>
      <c r="J187" s="15"/>
      <c r="K187" s="12" t="s">
        <v>1372</v>
      </c>
      <c r="L187" s="15" t="s">
        <v>1004</v>
      </c>
      <c r="M187" s="15">
        <v>0.2</v>
      </c>
      <c r="N187" s="15">
        <v>90</v>
      </c>
      <c r="O187" s="15">
        <f>IF(I187*M187=0, "", I187*M187*(N187/100))</f>
        <v>0.18000000000000002</v>
      </c>
      <c r="P187" s="38"/>
      <c r="Q187" s="38">
        <f>TRUNC(P187*M187*N187/100)</f>
        <v>0</v>
      </c>
      <c r="R187" s="38"/>
      <c r="S187" s="15" t="s">
        <v>1413</v>
      </c>
      <c r="T187" s="15"/>
      <c r="AA187" s="2">
        <f>O187</f>
        <v>0.18000000000000002</v>
      </c>
    </row>
    <row r="188" spans="2:27" ht="21.95" customHeight="1" x14ac:dyDescent="0.15">
      <c r="B188" s="13" t="s">
        <v>1397</v>
      </c>
      <c r="C188" s="13" t="s">
        <v>1002</v>
      </c>
      <c r="D188" s="12" t="s">
        <v>1003</v>
      </c>
      <c r="E188" s="12" t="s">
        <v>1004</v>
      </c>
      <c r="F188" s="15" t="s">
        <v>999</v>
      </c>
      <c r="G188" s="15">
        <f>IF(H188*I188/100+0.000005 &lt;1, TRUNC(H188*I188/100+0.000005, 옵션!$E$13), TRUNC(H188*I188/100+0.000005, 옵션!$E$13))</f>
        <v>0.18</v>
      </c>
      <c r="H188" s="15">
        <f>옵션!$B$13</f>
        <v>100</v>
      </c>
      <c r="I188" s="15">
        <f>SUM(AA187:AA187)</f>
        <v>0.18000000000000002</v>
      </c>
      <c r="J188" s="15"/>
      <c r="K188" s="12"/>
      <c r="L188" s="15"/>
      <c r="M188" s="15"/>
      <c r="N188" s="15"/>
      <c r="O188" s="15" t="str">
        <f>IF(I188*M188=0, "", I188*M188*(N188/100))</f>
        <v/>
      </c>
      <c r="P188" s="38"/>
      <c r="Q188" s="38">
        <f>TRUNC(P188*M188*N188/100)</f>
        <v>0</v>
      </c>
      <c r="R188" s="38"/>
      <c r="S188" s="15"/>
      <c r="T188" s="15"/>
      <c r="Z188" s="2" t="s">
        <v>1399</v>
      </c>
      <c r="AA188" s="2">
        <f>SUM(AA187:AA187)</f>
        <v>0.18000000000000002</v>
      </c>
    </row>
    <row r="189" spans="2:27" ht="21.95" customHeight="1" x14ac:dyDescent="0.15">
      <c r="B189" s="13" t="s">
        <v>1448</v>
      </c>
      <c r="D189" s="170" t="s">
        <v>1495</v>
      </c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2"/>
    </row>
    <row r="190" spans="2:27" ht="21.95" customHeight="1" x14ac:dyDescent="0.15">
      <c r="B190" s="13" t="s">
        <v>1397</v>
      </c>
      <c r="C190" s="13" t="s">
        <v>271</v>
      </c>
      <c r="D190" s="12" t="s">
        <v>269</v>
      </c>
      <c r="E190" s="12" t="s">
        <v>272</v>
      </c>
      <c r="F190" s="15" t="s">
        <v>200</v>
      </c>
      <c r="G190" s="15">
        <v>1</v>
      </c>
      <c r="H190" s="15">
        <f>IF(I190&lt;&gt;0, G190-I190, "")</f>
        <v>0</v>
      </c>
      <c r="I190" s="15">
        <v>1</v>
      </c>
      <c r="J190" s="15"/>
      <c r="K190" s="12" t="s">
        <v>1372</v>
      </c>
      <c r="L190" s="15" t="s">
        <v>1004</v>
      </c>
      <c r="M190" s="15">
        <v>0.2</v>
      </c>
      <c r="N190" s="15">
        <v>90</v>
      </c>
      <c r="O190" s="15">
        <f>IF(I190*M190=0, "", I190*M190*(N190/100))</f>
        <v>0.18000000000000002</v>
      </c>
      <c r="P190" s="38"/>
      <c r="Q190" s="38">
        <f>TRUNC(P190*M190*N190/100)</f>
        <v>0</v>
      </c>
      <c r="R190" s="38"/>
      <c r="S190" s="15" t="s">
        <v>1413</v>
      </c>
      <c r="T190" s="15"/>
      <c r="AA190" s="2">
        <f>O190</f>
        <v>0.18000000000000002</v>
      </c>
    </row>
    <row r="191" spans="2:27" ht="21.95" customHeight="1" x14ac:dyDescent="0.15">
      <c r="B191" s="13" t="s">
        <v>1397</v>
      </c>
      <c r="C191" s="13" t="s">
        <v>1002</v>
      </c>
      <c r="D191" s="12" t="s">
        <v>1003</v>
      </c>
      <c r="E191" s="12" t="s">
        <v>1004</v>
      </c>
      <c r="F191" s="15" t="s">
        <v>999</v>
      </c>
      <c r="G191" s="15">
        <f>IF(H191*I191/100+0.000005 &lt;1, TRUNC(H191*I191/100+0.000005, 옵션!$E$13), TRUNC(H191*I191/100+0.000005, 옵션!$E$13))</f>
        <v>0.18</v>
      </c>
      <c r="H191" s="15">
        <f>옵션!$B$13</f>
        <v>100</v>
      </c>
      <c r="I191" s="15">
        <f>SUM(AA190:AA190)</f>
        <v>0.18000000000000002</v>
      </c>
      <c r="J191" s="15"/>
      <c r="K191" s="12"/>
      <c r="L191" s="15"/>
      <c r="M191" s="15"/>
      <c r="N191" s="15"/>
      <c r="O191" s="15" t="str">
        <f>IF(I191*M191=0, "", I191*M191*(N191/100))</f>
        <v/>
      </c>
      <c r="P191" s="38"/>
      <c r="Q191" s="38">
        <f>TRUNC(P191*M191*N191/100)</f>
        <v>0</v>
      </c>
      <c r="R191" s="38"/>
      <c r="S191" s="15"/>
      <c r="T191" s="15"/>
      <c r="Z191" s="2" t="s">
        <v>1399</v>
      </c>
      <c r="AA191" s="2">
        <f>SUM(AA190:AA190)</f>
        <v>0.18000000000000002</v>
      </c>
    </row>
    <row r="192" spans="2:27" ht="21.95" customHeight="1" x14ac:dyDescent="0.15">
      <c r="B192" s="13" t="s">
        <v>1448</v>
      </c>
      <c r="D192" s="170" t="s">
        <v>1496</v>
      </c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2"/>
    </row>
    <row r="193" spans="2:27" ht="21.95" customHeight="1" x14ac:dyDescent="0.15">
      <c r="B193" s="13" t="s">
        <v>1397</v>
      </c>
      <c r="C193" s="13" t="s">
        <v>273</v>
      </c>
      <c r="D193" s="12" t="s">
        <v>274</v>
      </c>
      <c r="E193" s="12" t="s">
        <v>275</v>
      </c>
      <c r="F193" s="15" t="s">
        <v>200</v>
      </c>
      <c r="G193" s="15">
        <v>1</v>
      </c>
      <c r="H193" s="15">
        <f>IF(I193&lt;&gt;0, G193-I193, "")</f>
        <v>0</v>
      </c>
      <c r="I193" s="15">
        <v>1</v>
      </c>
      <c r="J193" s="15"/>
      <c r="K193" s="12" t="s">
        <v>1372</v>
      </c>
      <c r="L193" s="15" t="s">
        <v>1004</v>
      </c>
      <c r="M193" s="15">
        <v>0.04</v>
      </c>
      <c r="N193" s="15">
        <v>90</v>
      </c>
      <c r="O193" s="15">
        <f>IF(I193*M193=0, "", I193*M193*(N193/100))</f>
        <v>3.6000000000000004E-2</v>
      </c>
      <c r="P193" s="38"/>
      <c r="Q193" s="38">
        <f>TRUNC(P193*M193*N193/100)</f>
        <v>0</v>
      </c>
      <c r="R193" s="38"/>
      <c r="S193" s="15" t="s">
        <v>1413</v>
      </c>
      <c r="T193" s="15"/>
      <c r="AA193" s="2">
        <f>O193</f>
        <v>3.6000000000000004E-2</v>
      </c>
    </row>
    <row r="194" spans="2:27" ht="21.95" customHeight="1" x14ac:dyDescent="0.15">
      <c r="B194" s="13" t="s">
        <v>1397</v>
      </c>
      <c r="C194" s="13" t="s">
        <v>1002</v>
      </c>
      <c r="D194" s="12" t="s">
        <v>1003</v>
      </c>
      <c r="E194" s="12" t="s">
        <v>1004</v>
      </c>
      <c r="F194" s="15" t="s">
        <v>999</v>
      </c>
      <c r="G194" s="15">
        <f>IF(H194*I194/100+0.000005 &lt;1, TRUNC(H194*I194/100+0.000005, 옵션!$E$13), TRUNC(H194*I194/100+0.000005, 옵션!$E$13))</f>
        <v>3.5999999999999997E-2</v>
      </c>
      <c r="H194" s="15">
        <f>옵션!$B$13</f>
        <v>100</v>
      </c>
      <c r="I194" s="15">
        <f>SUM(AA193:AA193)</f>
        <v>3.6000000000000004E-2</v>
      </c>
      <c r="J194" s="15"/>
      <c r="K194" s="12"/>
      <c r="L194" s="15"/>
      <c r="M194" s="15"/>
      <c r="N194" s="15"/>
      <c r="O194" s="15" t="str">
        <f>IF(I194*M194=0, "", I194*M194*(N194/100))</f>
        <v/>
      </c>
      <c r="P194" s="38"/>
      <c r="Q194" s="38">
        <f>TRUNC(P194*M194*N194/100)</f>
        <v>0</v>
      </c>
      <c r="R194" s="38"/>
      <c r="S194" s="15"/>
      <c r="T194" s="15"/>
      <c r="Z194" s="2" t="s">
        <v>1399</v>
      </c>
      <c r="AA194" s="2">
        <f>SUM(AA193:AA193)</f>
        <v>3.6000000000000004E-2</v>
      </c>
    </row>
    <row r="195" spans="2:27" ht="21.95" customHeight="1" x14ac:dyDescent="0.15">
      <c r="B195" s="13" t="s">
        <v>1448</v>
      </c>
      <c r="D195" s="170" t="s">
        <v>1497</v>
      </c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2"/>
    </row>
    <row r="196" spans="2:27" ht="21.95" customHeight="1" x14ac:dyDescent="0.15">
      <c r="B196" s="13" t="s">
        <v>1397</v>
      </c>
      <c r="C196" s="13" t="s">
        <v>283</v>
      </c>
      <c r="D196" s="12" t="s">
        <v>284</v>
      </c>
      <c r="E196" s="12" t="s">
        <v>285</v>
      </c>
      <c r="F196" s="15" t="s">
        <v>200</v>
      </c>
      <c r="G196" s="15">
        <v>1</v>
      </c>
      <c r="H196" s="15">
        <f>IF(I196&lt;&gt;0, G196-I196, "")</f>
        <v>0</v>
      </c>
      <c r="I196" s="15">
        <v>1</v>
      </c>
      <c r="J196" s="15"/>
      <c r="K196" s="12" t="s">
        <v>1372</v>
      </c>
      <c r="L196" s="15" t="s">
        <v>1004</v>
      </c>
      <c r="M196" s="15">
        <v>0.63</v>
      </c>
      <c r="N196" s="15">
        <v>100</v>
      </c>
      <c r="O196" s="15">
        <f>IF(I196*M196=0, "", I196*M196*(N196/100))</f>
        <v>0.63</v>
      </c>
      <c r="P196" s="38"/>
      <c r="Q196" s="38">
        <f>TRUNC(P196*M196*N196/100)</f>
        <v>0</v>
      </c>
      <c r="R196" s="38"/>
      <c r="S196" s="15" t="s">
        <v>1414</v>
      </c>
      <c r="T196" s="15"/>
      <c r="AA196" s="2">
        <f>O196</f>
        <v>0.63</v>
      </c>
    </row>
    <row r="197" spans="2:27" ht="21.95" customHeight="1" x14ac:dyDescent="0.15">
      <c r="B197" s="13" t="s">
        <v>1397</v>
      </c>
      <c r="C197" s="13" t="s">
        <v>1002</v>
      </c>
      <c r="D197" s="12" t="s">
        <v>1003</v>
      </c>
      <c r="E197" s="12" t="s">
        <v>1004</v>
      </c>
      <c r="F197" s="15" t="s">
        <v>999</v>
      </c>
      <c r="G197" s="15">
        <f>IF(H197*I197/100+0.000005 &lt;1, TRUNC(H197*I197/100+0.000005, 옵션!$E$13), TRUNC(H197*I197/100+0.000005, 옵션!$E$13))</f>
        <v>0.63</v>
      </c>
      <c r="H197" s="15">
        <f>옵션!$B$13</f>
        <v>100</v>
      </c>
      <c r="I197" s="15">
        <f>SUM(AA196:AA196)</f>
        <v>0.63</v>
      </c>
      <c r="J197" s="15"/>
      <c r="K197" s="12"/>
      <c r="L197" s="15"/>
      <c r="M197" s="15"/>
      <c r="N197" s="15"/>
      <c r="O197" s="15" t="str">
        <f>IF(I197*M197=0, "", I197*M197*(N197/100))</f>
        <v/>
      </c>
      <c r="P197" s="38"/>
      <c r="Q197" s="38">
        <f>TRUNC(P197*M197*N197/100)</f>
        <v>0</v>
      </c>
      <c r="R197" s="38"/>
      <c r="S197" s="15"/>
      <c r="T197" s="15"/>
      <c r="Z197" s="2" t="s">
        <v>1399</v>
      </c>
      <c r="AA197" s="2">
        <f>SUM(AA196:AA196)</f>
        <v>0.63</v>
      </c>
    </row>
    <row r="198" spans="2:27" ht="21.95" customHeight="1" x14ac:dyDescent="0.15">
      <c r="B198" s="13" t="s">
        <v>1448</v>
      </c>
      <c r="D198" s="170" t="s">
        <v>1498</v>
      </c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2"/>
    </row>
    <row r="199" spans="2:27" ht="21.95" customHeight="1" x14ac:dyDescent="0.15">
      <c r="B199" s="13" t="s">
        <v>1397</v>
      </c>
      <c r="C199" s="13" t="s">
        <v>286</v>
      </c>
      <c r="D199" s="12" t="s">
        <v>287</v>
      </c>
      <c r="E199" s="12" t="s">
        <v>288</v>
      </c>
      <c r="F199" s="15" t="s">
        <v>289</v>
      </c>
      <c r="G199" s="15">
        <v>1</v>
      </c>
      <c r="H199" s="15">
        <f>IF(I199&lt;&gt;0, G199-I199, "")</f>
        <v>0</v>
      </c>
      <c r="I199" s="15">
        <v>1</v>
      </c>
      <c r="J199" s="15"/>
      <c r="K199" s="12" t="s">
        <v>1372</v>
      </c>
      <c r="L199" s="15" t="s">
        <v>1004</v>
      </c>
      <c r="M199" s="15">
        <v>0.04</v>
      </c>
      <c r="N199" s="15">
        <v>90</v>
      </c>
      <c r="O199" s="15">
        <f>IF(I199*M199=0, "", I199*M199*(N199/100))</f>
        <v>3.6000000000000004E-2</v>
      </c>
      <c r="P199" s="38"/>
      <c r="Q199" s="38">
        <f>TRUNC(P199*M199*N199/100)</f>
        <v>0</v>
      </c>
      <c r="R199" s="38"/>
      <c r="S199" s="15" t="s">
        <v>1413</v>
      </c>
      <c r="T199" s="15"/>
      <c r="AA199" s="2">
        <f>O199</f>
        <v>3.6000000000000004E-2</v>
      </c>
    </row>
    <row r="200" spans="2:27" ht="21.95" customHeight="1" x14ac:dyDescent="0.15">
      <c r="B200" s="13" t="s">
        <v>1397</v>
      </c>
      <c r="C200" s="13" t="s">
        <v>1002</v>
      </c>
      <c r="D200" s="12" t="s">
        <v>1003</v>
      </c>
      <c r="E200" s="12" t="s">
        <v>1004</v>
      </c>
      <c r="F200" s="15" t="s">
        <v>999</v>
      </c>
      <c r="G200" s="15">
        <f>IF(H200*I200/100+0.000005 &lt;1, TRUNC(H200*I200/100+0.000005, 옵션!$E$13), TRUNC(H200*I200/100+0.000005, 옵션!$E$13))</f>
        <v>3.5999999999999997E-2</v>
      </c>
      <c r="H200" s="15">
        <f>옵션!$B$13</f>
        <v>100</v>
      </c>
      <c r="I200" s="15">
        <f>SUM(AA199:AA199)</f>
        <v>3.6000000000000004E-2</v>
      </c>
      <c r="J200" s="15"/>
      <c r="K200" s="12"/>
      <c r="L200" s="15"/>
      <c r="M200" s="15"/>
      <c r="N200" s="15"/>
      <c r="O200" s="15" t="str">
        <f>IF(I200*M200=0, "", I200*M200*(N200/100))</f>
        <v/>
      </c>
      <c r="P200" s="38"/>
      <c r="Q200" s="38">
        <f>TRUNC(P200*M200*N200/100)</f>
        <v>0</v>
      </c>
      <c r="R200" s="38"/>
      <c r="S200" s="15"/>
      <c r="T200" s="15"/>
      <c r="Z200" s="2" t="s">
        <v>1399</v>
      </c>
      <c r="AA200" s="2">
        <f>SUM(AA199:AA199)</f>
        <v>3.6000000000000004E-2</v>
      </c>
    </row>
    <row r="201" spans="2:27" ht="21.95" customHeight="1" x14ac:dyDescent="0.15">
      <c r="B201" s="13" t="s">
        <v>1448</v>
      </c>
      <c r="D201" s="170" t="s">
        <v>1499</v>
      </c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2"/>
    </row>
    <row r="202" spans="2:27" ht="21.95" customHeight="1" x14ac:dyDescent="0.15">
      <c r="B202" s="13" t="s">
        <v>1397</v>
      </c>
      <c r="C202" s="13" t="s">
        <v>290</v>
      </c>
      <c r="D202" s="12" t="s">
        <v>291</v>
      </c>
      <c r="E202" s="12" t="s">
        <v>292</v>
      </c>
      <c r="F202" s="15" t="s">
        <v>200</v>
      </c>
      <c r="G202" s="15">
        <v>1</v>
      </c>
      <c r="H202" s="15">
        <f>IF(I202&lt;&gt;0, G202-I202, "")</f>
        <v>0</v>
      </c>
      <c r="I202" s="15">
        <v>1</v>
      </c>
      <c r="J202" s="15"/>
      <c r="K202" s="12" t="s">
        <v>1372</v>
      </c>
      <c r="L202" s="15" t="s">
        <v>1004</v>
      </c>
      <c r="M202" s="15">
        <v>0.17</v>
      </c>
      <c r="N202" s="15">
        <v>90</v>
      </c>
      <c r="O202" s="15">
        <f>IF(I202*M202=0, "", I202*M202*(N202/100))</f>
        <v>0.15300000000000002</v>
      </c>
      <c r="P202" s="38"/>
      <c r="Q202" s="38">
        <f>TRUNC(P202*M202*N202/100)</f>
        <v>0</v>
      </c>
      <c r="R202" s="38"/>
      <c r="S202" s="15" t="s">
        <v>1415</v>
      </c>
      <c r="T202" s="15"/>
      <c r="AA202" s="2">
        <f>O202</f>
        <v>0.15300000000000002</v>
      </c>
    </row>
    <row r="203" spans="2:27" ht="21.95" customHeight="1" x14ac:dyDescent="0.15">
      <c r="B203" s="13" t="s">
        <v>1397</v>
      </c>
      <c r="C203" s="13" t="s">
        <v>1002</v>
      </c>
      <c r="D203" s="12" t="s">
        <v>1003</v>
      </c>
      <c r="E203" s="12" t="s">
        <v>1004</v>
      </c>
      <c r="F203" s="15" t="s">
        <v>999</v>
      </c>
      <c r="G203" s="15">
        <f>IF(H203*I203/100+0.000005 &lt;1, TRUNC(H203*I203/100+0.000005, 옵션!$E$13), TRUNC(H203*I203/100+0.000005, 옵션!$E$13))</f>
        <v>0.153</v>
      </c>
      <c r="H203" s="15">
        <f>옵션!$B$13</f>
        <v>100</v>
      </c>
      <c r="I203" s="15">
        <f>SUM(AA202:AA202)</f>
        <v>0.15300000000000002</v>
      </c>
      <c r="J203" s="15"/>
      <c r="K203" s="12"/>
      <c r="L203" s="15"/>
      <c r="M203" s="15"/>
      <c r="N203" s="15"/>
      <c r="O203" s="15" t="str">
        <f>IF(I203*M203=0, "", I203*M203*(N203/100))</f>
        <v/>
      </c>
      <c r="P203" s="38"/>
      <c r="Q203" s="38">
        <f>TRUNC(P203*M203*N203/100)</f>
        <v>0</v>
      </c>
      <c r="R203" s="38"/>
      <c r="S203" s="15"/>
      <c r="T203" s="15"/>
      <c r="Z203" s="2" t="s">
        <v>1399</v>
      </c>
      <c r="AA203" s="2">
        <f>SUM(AA202:AA202)</f>
        <v>0.15300000000000002</v>
      </c>
    </row>
    <row r="204" spans="2:27" ht="21.95" customHeight="1" x14ac:dyDescent="0.15">
      <c r="B204" s="13" t="s">
        <v>1448</v>
      </c>
      <c r="D204" s="170" t="s">
        <v>1500</v>
      </c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2"/>
    </row>
    <row r="205" spans="2:27" ht="21.95" customHeight="1" x14ac:dyDescent="0.15">
      <c r="B205" s="13" t="s">
        <v>1397</v>
      </c>
      <c r="C205" s="13" t="s">
        <v>293</v>
      </c>
      <c r="D205" s="12" t="s">
        <v>291</v>
      </c>
      <c r="E205" s="12" t="s">
        <v>294</v>
      </c>
      <c r="F205" s="15" t="s">
        <v>200</v>
      </c>
      <c r="G205" s="15">
        <v>1</v>
      </c>
      <c r="H205" s="15">
        <f>IF(I205&lt;&gt;0, G205-I205, "")</f>
        <v>0</v>
      </c>
      <c r="I205" s="15">
        <v>1</v>
      </c>
      <c r="J205" s="15"/>
      <c r="K205" s="12" t="s">
        <v>1372</v>
      </c>
      <c r="L205" s="15" t="s">
        <v>1004</v>
      </c>
      <c r="M205" s="15">
        <v>0.55000000000000004</v>
      </c>
      <c r="N205" s="15">
        <v>90</v>
      </c>
      <c r="O205" s="15">
        <f>IF(I205*M205=0, "", I205*M205*(N205/100))</f>
        <v>0.49500000000000005</v>
      </c>
      <c r="P205" s="38"/>
      <c r="Q205" s="38">
        <f>TRUNC(P205*M205*N205/100)</f>
        <v>0</v>
      </c>
      <c r="R205" s="38"/>
      <c r="S205" s="15" t="s">
        <v>1415</v>
      </c>
      <c r="T205" s="15"/>
      <c r="AA205" s="2">
        <f>O205</f>
        <v>0.49500000000000005</v>
      </c>
    </row>
    <row r="206" spans="2:27" ht="21.95" customHeight="1" x14ac:dyDescent="0.15">
      <c r="B206" s="13" t="s">
        <v>1397</v>
      </c>
      <c r="C206" s="13" t="s">
        <v>1002</v>
      </c>
      <c r="D206" s="12" t="s">
        <v>1003</v>
      </c>
      <c r="E206" s="12" t="s">
        <v>1004</v>
      </c>
      <c r="F206" s="15" t="s">
        <v>999</v>
      </c>
      <c r="G206" s="15">
        <f>IF(H206*I206/100+0.000005 &lt;1, TRUNC(H206*I206/100+0.000005, 옵션!$E$13), TRUNC(H206*I206/100+0.000005, 옵션!$E$13))</f>
        <v>0.495</v>
      </c>
      <c r="H206" s="15">
        <f>옵션!$B$13</f>
        <v>100</v>
      </c>
      <c r="I206" s="15">
        <f>SUM(AA205:AA205)</f>
        <v>0.49500000000000005</v>
      </c>
      <c r="J206" s="15"/>
      <c r="K206" s="12"/>
      <c r="L206" s="15"/>
      <c r="M206" s="15"/>
      <c r="N206" s="15"/>
      <c r="O206" s="15" t="str">
        <f>IF(I206*M206=0, "", I206*M206*(N206/100))</f>
        <v/>
      </c>
      <c r="P206" s="38"/>
      <c r="Q206" s="38">
        <f>TRUNC(P206*M206*N206/100)</f>
        <v>0</v>
      </c>
      <c r="R206" s="38"/>
      <c r="S206" s="15"/>
      <c r="T206" s="15"/>
      <c r="Z206" s="2" t="s">
        <v>1399</v>
      </c>
      <c r="AA206" s="2">
        <f>SUM(AA205:AA205)</f>
        <v>0.49500000000000005</v>
      </c>
    </row>
    <row r="207" spans="2:27" ht="21.95" customHeight="1" x14ac:dyDescent="0.15">
      <c r="B207" s="13" t="s">
        <v>1448</v>
      </c>
      <c r="D207" s="170" t="s">
        <v>1501</v>
      </c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2"/>
    </row>
    <row r="208" spans="2:27" ht="21.95" customHeight="1" x14ac:dyDescent="0.15">
      <c r="B208" s="13" t="s">
        <v>1397</v>
      </c>
      <c r="C208" s="13" t="s">
        <v>295</v>
      </c>
      <c r="D208" s="12" t="s">
        <v>291</v>
      </c>
      <c r="E208" s="12" t="s">
        <v>296</v>
      </c>
      <c r="F208" s="15" t="s">
        <v>200</v>
      </c>
      <c r="G208" s="15">
        <v>1</v>
      </c>
      <c r="H208" s="15">
        <f>IF(I208&lt;&gt;0, G208-I208, "")</f>
        <v>0</v>
      </c>
      <c r="I208" s="15">
        <v>1</v>
      </c>
      <c r="J208" s="15"/>
      <c r="K208" s="12" t="s">
        <v>1372</v>
      </c>
      <c r="L208" s="15" t="s">
        <v>1004</v>
      </c>
      <c r="M208" s="15">
        <v>0.95</v>
      </c>
      <c r="N208" s="15">
        <v>90</v>
      </c>
      <c r="O208" s="15">
        <f>IF(I208*M208=0, "", I208*M208*(N208/100))</f>
        <v>0.85499999999999998</v>
      </c>
      <c r="P208" s="38"/>
      <c r="Q208" s="38">
        <f>TRUNC(P208*M208*N208/100)</f>
        <v>0</v>
      </c>
      <c r="R208" s="38"/>
      <c r="S208" s="15" t="s">
        <v>1415</v>
      </c>
      <c r="T208" s="15"/>
      <c r="AA208" s="2">
        <f>O208</f>
        <v>0.85499999999999998</v>
      </c>
    </row>
    <row r="209" spans="2:27" ht="21.95" customHeight="1" x14ac:dyDescent="0.15">
      <c r="B209" s="13" t="s">
        <v>1397</v>
      </c>
      <c r="C209" s="13" t="s">
        <v>1002</v>
      </c>
      <c r="D209" s="12" t="s">
        <v>1003</v>
      </c>
      <c r="E209" s="12" t="s">
        <v>1004</v>
      </c>
      <c r="F209" s="15" t="s">
        <v>999</v>
      </c>
      <c r="G209" s="15">
        <f>IF(H209*I209/100+0.000005 &lt;1, TRUNC(H209*I209/100+0.000005, 옵션!$E$13), TRUNC(H209*I209/100+0.000005, 옵션!$E$13))</f>
        <v>0.85499999999999998</v>
      </c>
      <c r="H209" s="15">
        <f>옵션!$B$13</f>
        <v>100</v>
      </c>
      <c r="I209" s="15">
        <f>SUM(AA208:AA208)</f>
        <v>0.85499999999999998</v>
      </c>
      <c r="J209" s="15"/>
      <c r="K209" s="12"/>
      <c r="L209" s="15"/>
      <c r="M209" s="15"/>
      <c r="N209" s="15"/>
      <c r="O209" s="15" t="str">
        <f>IF(I209*M209=0, "", I209*M209*(N209/100))</f>
        <v/>
      </c>
      <c r="P209" s="38"/>
      <c r="Q209" s="38">
        <f>TRUNC(P209*M209*N209/100)</f>
        <v>0</v>
      </c>
      <c r="R209" s="38"/>
      <c r="S209" s="15"/>
      <c r="T209" s="15"/>
      <c r="Z209" s="2" t="s">
        <v>1399</v>
      </c>
      <c r="AA209" s="2">
        <f>SUM(AA208:AA208)</f>
        <v>0.85499999999999998</v>
      </c>
    </row>
    <row r="210" spans="2:27" ht="21.95" customHeight="1" x14ac:dyDescent="0.15">
      <c r="B210" s="13" t="s">
        <v>1448</v>
      </c>
      <c r="D210" s="170" t="s">
        <v>1502</v>
      </c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2"/>
    </row>
    <row r="211" spans="2:27" ht="21.95" customHeight="1" x14ac:dyDescent="0.15">
      <c r="B211" s="13" t="s">
        <v>1397</v>
      </c>
      <c r="C211" s="13" t="s">
        <v>297</v>
      </c>
      <c r="D211" s="12" t="s">
        <v>298</v>
      </c>
      <c r="E211" s="12" t="s">
        <v>299</v>
      </c>
      <c r="F211" s="15" t="s">
        <v>166</v>
      </c>
      <c r="G211" s="15">
        <v>1.05</v>
      </c>
      <c r="H211" s="15">
        <f>IF(I211&lt;&gt;0, G211-I211, "")</f>
        <v>5.0000000000000044E-2</v>
      </c>
      <c r="I211" s="15">
        <v>1</v>
      </c>
      <c r="J211" s="15">
        <v>5</v>
      </c>
      <c r="K211" s="12" t="s">
        <v>1372</v>
      </c>
      <c r="L211" s="15" t="s">
        <v>1004</v>
      </c>
      <c r="M211" s="15">
        <v>0.2</v>
      </c>
      <c r="N211" s="15">
        <v>100</v>
      </c>
      <c r="O211" s="15">
        <f>IF(I211*M211=0, "", I211*M211*(N211/100))</f>
        <v>0.2</v>
      </c>
      <c r="P211" s="38"/>
      <c r="Q211" s="38">
        <f>TRUNC(P211*M211*N211/100)</f>
        <v>0</v>
      </c>
      <c r="R211" s="38"/>
      <c r="S211" s="15" t="s">
        <v>1416</v>
      </c>
      <c r="T211" s="15"/>
      <c r="AA211" s="2">
        <f>O211</f>
        <v>0.2</v>
      </c>
    </row>
    <row r="212" spans="2:27" ht="21.95" customHeight="1" x14ac:dyDescent="0.15">
      <c r="B212" s="13" t="s">
        <v>1397</v>
      </c>
      <c r="C212" s="13" t="s">
        <v>1002</v>
      </c>
      <c r="D212" s="12" t="s">
        <v>1003</v>
      </c>
      <c r="E212" s="12" t="s">
        <v>1004</v>
      </c>
      <c r="F212" s="15" t="s">
        <v>999</v>
      </c>
      <c r="G212" s="15">
        <f>IF(H212*I212/100+0.000005 &lt;1, TRUNC(H212*I212/100+0.000005, 옵션!$E$13), TRUNC(H212*I212/100+0.000005, 옵션!$E$13))</f>
        <v>0.2</v>
      </c>
      <c r="H212" s="15">
        <f>옵션!$B$13</f>
        <v>100</v>
      </c>
      <c r="I212" s="15">
        <f>SUM(AA211:AA211)</f>
        <v>0.2</v>
      </c>
      <c r="J212" s="15"/>
      <c r="K212" s="12"/>
      <c r="L212" s="15"/>
      <c r="M212" s="15"/>
      <c r="N212" s="15"/>
      <c r="O212" s="15" t="str">
        <f>IF(I212*M212=0, "", I212*M212*(N212/100))</f>
        <v/>
      </c>
      <c r="P212" s="38"/>
      <c r="Q212" s="38">
        <f>TRUNC(P212*M212*N212/100)</f>
        <v>0</v>
      </c>
      <c r="R212" s="38"/>
      <c r="S212" s="15"/>
      <c r="T212" s="15"/>
      <c r="Z212" s="2" t="s">
        <v>1399</v>
      </c>
      <c r="AA212" s="2">
        <f>SUM(AA211:AA211)</f>
        <v>0.2</v>
      </c>
    </row>
    <row r="213" spans="2:27" ht="21.95" customHeight="1" x14ac:dyDescent="0.15">
      <c r="B213" s="13" t="s">
        <v>1448</v>
      </c>
      <c r="D213" s="170" t="s">
        <v>1503</v>
      </c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2"/>
    </row>
    <row r="214" spans="2:27" ht="21.95" customHeight="1" x14ac:dyDescent="0.15">
      <c r="B214" s="13" t="s">
        <v>1397</v>
      </c>
      <c r="C214" s="13" t="s">
        <v>310</v>
      </c>
      <c r="D214" s="12" t="s">
        <v>298</v>
      </c>
      <c r="E214" s="12" t="s">
        <v>311</v>
      </c>
      <c r="F214" s="15" t="s">
        <v>200</v>
      </c>
      <c r="G214" s="15">
        <v>1</v>
      </c>
      <c r="H214" s="15">
        <f>IF(I214&lt;&gt;0, G214-I214, "")</f>
        <v>0</v>
      </c>
      <c r="I214" s="15">
        <v>1</v>
      </c>
      <c r="J214" s="15"/>
      <c r="K214" s="12" t="s">
        <v>1372</v>
      </c>
      <c r="L214" s="15" t="s">
        <v>1004</v>
      </c>
      <c r="M214" s="15">
        <v>0.04</v>
      </c>
      <c r="N214" s="15">
        <v>100</v>
      </c>
      <c r="O214" s="15">
        <f>IF(I214*M214=0, "", I214*M214*(N214/100))</f>
        <v>0.04</v>
      </c>
      <c r="P214" s="38"/>
      <c r="Q214" s="38">
        <f>TRUNC(P214*M214*N214/100)</f>
        <v>0</v>
      </c>
      <c r="R214" s="38"/>
      <c r="S214" s="15" t="s">
        <v>1413</v>
      </c>
      <c r="T214" s="15"/>
      <c r="AA214" s="2">
        <f>O214</f>
        <v>0.04</v>
      </c>
    </row>
    <row r="215" spans="2:27" ht="21.95" customHeight="1" x14ac:dyDescent="0.15">
      <c r="B215" s="13" t="s">
        <v>1397</v>
      </c>
      <c r="C215" s="13" t="s">
        <v>1002</v>
      </c>
      <c r="D215" s="12" t="s">
        <v>1003</v>
      </c>
      <c r="E215" s="12" t="s">
        <v>1004</v>
      </c>
      <c r="F215" s="15" t="s">
        <v>999</v>
      </c>
      <c r="G215" s="15">
        <f>IF(H215*I215/100+0.000005 &lt;1, TRUNC(H215*I215/100+0.000005, 옵션!$E$13), TRUNC(H215*I215/100+0.000005, 옵션!$E$13))</f>
        <v>0.04</v>
      </c>
      <c r="H215" s="15">
        <f>옵션!$B$13</f>
        <v>100</v>
      </c>
      <c r="I215" s="15">
        <f>SUM(AA214:AA214)</f>
        <v>0.04</v>
      </c>
      <c r="J215" s="15"/>
      <c r="K215" s="12"/>
      <c r="L215" s="15"/>
      <c r="M215" s="15"/>
      <c r="N215" s="15"/>
      <c r="O215" s="15" t="str">
        <f>IF(I215*M215=0, "", I215*M215*(N215/100))</f>
        <v/>
      </c>
      <c r="P215" s="38"/>
      <c r="Q215" s="38">
        <f>TRUNC(P215*M215*N215/100)</f>
        <v>0</v>
      </c>
      <c r="R215" s="38"/>
      <c r="S215" s="15"/>
      <c r="T215" s="15"/>
      <c r="Z215" s="2" t="s">
        <v>1399</v>
      </c>
      <c r="AA215" s="2">
        <f>SUM(AA214:AA214)</f>
        <v>0.04</v>
      </c>
    </row>
    <row r="216" spans="2:27" ht="21.95" customHeight="1" x14ac:dyDescent="0.15">
      <c r="B216" s="13" t="s">
        <v>1448</v>
      </c>
      <c r="D216" s="170" t="s">
        <v>1504</v>
      </c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2"/>
    </row>
    <row r="217" spans="2:27" ht="21.95" customHeight="1" x14ac:dyDescent="0.15">
      <c r="B217" s="13" t="s">
        <v>1397</v>
      </c>
      <c r="C217" s="13" t="s">
        <v>314</v>
      </c>
      <c r="D217" s="12" t="s">
        <v>298</v>
      </c>
      <c r="E217" s="12" t="s">
        <v>315</v>
      </c>
      <c r="F217" s="15" t="s">
        <v>200</v>
      </c>
      <c r="G217" s="15">
        <v>1</v>
      </c>
      <c r="H217" s="15">
        <f>IF(I217&lt;&gt;0, G217-I217, "")</f>
        <v>0</v>
      </c>
      <c r="I217" s="15">
        <v>1</v>
      </c>
      <c r="J217" s="15"/>
      <c r="K217" s="12" t="s">
        <v>1372</v>
      </c>
      <c r="L217" s="15" t="s">
        <v>1004</v>
      </c>
      <c r="M217" s="15">
        <v>0.04</v>
      </c>
      <c r="N217" s="15">
        <v>100</v>
      </c>
      <c r="O217" s="15">
        <f>IF(I217*M217=0, "", I217*M217*(N217/100))</f>
        <v>0.04</v>
      </c>
      <c r="P217" s="38"/>
      <c r="Q217" s="38">
        <f>TRUNC(P217*M217*N217/100)</f>
        <v>0</v>
      </c>
      <c r="R217" s="38"/>
      <c r="S217" s="15" t="s">
        <v>1413</v>
      </c>
      <c r="T217" s="15"/>
      <c r="AA217" s="2">
        <f>O217</f>
        <v>0.04</v>
      </c>
    </row>
    <row r="218" spans="2:27" ht="21.95" customHeight="1" x14ac:dyDescent="0.15">
      <c r="B218" s="13" t="s">
        <v>1397</v>
      </c>
      <c r="C218" s="13" t="s">
        <v>1002</v>
      </c>
      <c r="D218" s="12" t="s">
        <v>1003</v>
      </c>
      <c r="E218" s="12" t="s">
        <v>1004</v>
      </c>
      <c r="F218" s="15" t="s">
        <v>999</v>
      </c>
      <c r="G218" s="15">
        <f>IF(H218*I218/100+0.000005 &lt;1, TRUNC(H218*I218/100+0.000005, 옵션!$E$13), TRUNC(H218*I218/100+0.000005, 옵션!$E$13))</f>
        <v>0.04</v>
      </c>
      <c r="H218" s="15">
        <f>옵션!$B$13</f>
        <v>100</v>
      </c>
      <c r="I218" s="15">
        <f>SUM(AA217:AA217)</f>
        <v>0.04</v>
      </c>
      <c r="J218" s="15"/>
      <c r="K218" s="12"/>
      <c r="L218" s="15"/>
      <c r="M218" s="15"/>
      <c r="N218" s="15"/>
      <c r="O218" s="15" t="str">
        <f>IF(I218*M218=0, "", I218*M218*(N218/100))</f>
        <v/>
      </c>
      <c r="P218" s="38"/>
      <c r="Q218" s="38">
        <f>TRUNC(P218*M218*N218/100)</f>
        <v>0</v>
      </c>
      <c r="R218" s="38"/>
      <c r="S218" s="15"/>
      <c r="T218" s="15"/>
      <c r="Z218" s="2" t="s">
        <v>1399</v>
      </c>
      <c r="AA218" s="2">
        <f>SUM(AA217:AA217)</f>
        <v>0.04</v>
      </c>
    </row>
    <row r="219" spans="2:27" ht="21.95" customHeight="1" x14ac:dyDescent="0.15">
      <c r="B219" s="13" t="s">
        <v>1448</v>
      </c>
      <c r="D219" s="170" t="s">
        <v>1505</v>
      </c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2"/>
    </row>
    <row r="220" spans="2:27" ht="21.95" customHeight="1" x14ac:dyDescent="0.15">
      <c r="B220" s="13" t="s">
        <v>1397</v>
      </c>
      <c r="C220" s="13" t="s">
        <v>316</v>
      </c>
      <c r="D220" s="12" t="s">
        <v>317</v>
      </c>
      <c r="E220" s="12" t="s">
        <v>318</v>
      </c>
      <c r="F220" s="15" t="s">
        <v>166</v>
      </c>
      <c r="G220" s="15">
        <v>1.05</v>
      </c>
      <c r="H220" s="15">
        <f>IF(I220&lt;&gt;0, G220-I220, "")</f>
        <v>5.0000000000000044E-2</v>
      </c>
      <c r="I220" s="15">
        <v>1</v>
      </c>
      <c r="J220" s="15">
        <v>5</v>
      </c>
      <c r="K220" s="12" t="s">
        <v>1372</v>
      </c>
      <c r="L220" s="15" t="s">
        <v>1004</v>
      </c>
      <c r="M220" s="15">
        <v>0.48</v>
      </c>
      <c r="N220" s="15">
        <v>100</v>
      </c>
      <c r="O220" s="15">
        <f>IF(I220*M220=0, "", I220*M220*(N220/100))</f>
        <v>0.48</v>
      </c>
      <c r="P220" s="38"/>
      <c r="Q220" s="38">
        <f>TRUNC(P220*M220*N220/100)</f>
        <v>0</v>
      </c>
      <c r="R220" s="38"/>
      <c r="S220" s="15" t="s">
        <v>1417</v>
      </c>
      <c r="T220" s="15"/>
      <c r="AA220" s="2">
        <f>O220</f>
        <v>0.48</v>
      </c>
    </row>
    <row r="221" spans="2:27" ht="21.95" customHeight="1" x14ac:dyDescent="0.15">
      <c r="B221" s="13" t="s">
        <v>1397</v>
      </c>
      <c r="C221" s="13" t="s">
        <v>1002</v>
      </c>
      <c r="D221" s="12" t="s">
        <v>1003</v>
      </c>
      <c r="E221" s="12" t="s">
        <v>1004</v>
      </c>
      <c r="F221" s="15" t="s">
        <v>999</v>
      </c>
      <c r="G221" s="15">
        <f>IF(H221*I221/100+0.000005 &lt;1, TRUNC(H221*I221/100+0.000005, 옵션!$E$13), TRUNC(H221*I221/100+0.000005, 옵션!$E$13))</f>
        <v>0.48</v>
      </c>
      <c r="H221" s="15">
        <f>옵션!$B$13</f>
        <v>100</v>
      </c>
      <c r="I221" s="15">
        <f>SUM(AA220:AA220)</f>
        <v>0.48</v>
      </c>
      <c r="J221" s="15"/>
      <c r="K221" s="12"/>
      <c r="L221" s="15"/>
      <c r="M221" s="15"/>
      <c r="N221" s="15"/>
      <c r="O221" s="15" t="str">
        <f>IF(I221*M221=0, "", I221*M221*(N221/100))</f>
        <v/>
      </c>
      <c r="P221" s="38"/>
      <c r="Q221" s="38">
        <f>TRUNC(P221*M221*N221/100)</f>
        <v>0</v>
      </c>
      <c r="R221" s="38"/>
      <c r="S221" s="15"/>
      <c r="T221" s="15"/>
      <c r="Z221" s="2" t="s">
        <v>1399</v>
      </c>
      <c r="AA221" s="2">
        <f>SUM(AA220:AA220)</f>
        <v>0.48</v>
      </c>
    </row>
    <row r="222" spans="2:27" ht="21.95" customHeight="1" x14ac:dyDescent="0.15">
      <c r="B222" s="13" t="s">
        <v>1448</v>
      </c>
      <c r="D222" s="170" t="s">
        <v>1506</v>
      </c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2"/>
    </row>
    <row r="223" spans="2:27" ht="21.95" customHeight="1" x14ac:dyDescent="0.15">
      <c r="B223" s="13" t="s">
        <v>1397</v>
      </c>
      <c r="C223" s="13" t="s">
        <v>321</v>
      </c>
      <c r="D223" s="12" t="s">
        <v>322</v>
      </c>
      <c r="E223" s="12" t="s">
        <v>323</v>
      </c>
      <c r="F223" s="15" t="s">
        <v>200</v>
      </c>
      <c r="G223" s="15">
        <v>1</v>
      </c>
      <c r="H223" s="15">
        <f>IF(I223&lt;&gt;0, G223-I223, "")</f>
        <v>0</v>
      </c>
      <c r="I223" s="15">
        <v>1</v>
      </c>
      <c r="J223" s="15"/>
      <c r="K223" s="12" t="s">
        <v>1372</v>
      </c>
      <c r="L223" s="15" t="s">
        <v>1004</v>
      </c>
      <c r="M223" s="15">
        <v>0.48</v>
      </c>
      <c r="N223" s="15">
        <v>100</v>
      </c>
      <c r="O223" s="15">
        <f>IF(I223*M223=0, "", I223*M223*(N223/100))</f>
        <v>0.48</v>
      </c>
      <c r="P223" s="38"/>
      <c r="Q223" s="38">
        <f>TRUNC(P223*M223*N223/100)</f>
        <v>0</v>
      </c>
      <c r="R223" s="38"/>
      <c r="S223" s="15" t="s">
        <v>1417</v>
      </c>
      <c r="T223" s="15"/>
      <c r="AA223" s="2">
        <f>O223</f>
        <v>0.48</v>
      </c>
    </row>
    <row r="224" spans="2:27" ht="21.95" customHeight="1" x14ac:dyDescent="0.15">
      <c r="B224" s="13" t="s">
        <v>1397</v>
      </c>
      <c r="C224" s="13" t="s">
        <v>1002</v>
      </c>
      <c r="D224" s="12" t="s">
        <v>1003</v>
      </c>
      <c r="E224" s="12" t="s">
        <v>1004</v>
      </c>
      <c r="F224" s="15" t="s">
        <v>999</v>
      </c>
      <c r="G224" s="15">
        <f>IF(H224*I224/100+0.000005 &lt;1, TRUNC(H224*I224/100+0.000005, 옵션!$E$13), TRUNC(H224*I224/100+0.000005, 옵션!$E$13))</f>
        <v>0.48</v>
      </c>
      <c r="H224" s="15">
        <f>옵션!$B$13</f>
        <v>100</v>
      </c>
      <c r="I224" s="15">
        <f>SUM(AA223:AA223)</f>
        <v>0.48</v>
      </c>
      <c r="J224" s="15"/>
      <c r="K224" s="12"/>
      <c r="L224" s="15"/>
      <c r="M224" s="15"/>
      <c r="N224" s="15"/>
      <c r="O224" s="15" t="str">
        <f>IF(I224*M224=0, "", I224*M224*(N224/100))</f>
        <v/>
      </c>
      <c r="P224" s="38"/>
      <c r="Q224" s="38">
        <f>TRUNC(P224*M224*N224/100)</f>
        <v>0</v>
      </c>
      <c r="R224" s="38"/>
      <c r="S224" s="15"/>
      <c r="T224" s="15"/>
      <c r="Z224" s="2" t="s">
        <v>1399</v>
      </c>
      <c r="AA224" s="2">
        <f>SUM(AA223:AA223)</f>
        <v>0.48</v>
      </c>
    </row>
    <row r="225" spans="2:27" ht="21.95" customHeight="1" x14ac:dyDescent="0.15">
      <c r="B225" s="13" t="s">
        <v>1448</v>
      </c>
      <c r="D225" s="170" t="s">
        <v>1507</v>
      </c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2"/>
    </row>
    <row r="226" spans="2:27" ht="21.95" customHeight="1" x14ac:dyDescent="0.15">
      <c r="B226" s="13" t="s">
        <v>1397</v>
      </c>
      <c r="C226" s="13" t="s">
        <v>324</v>
      </c>
      <c r="D226" s="12" t="s">
        <v>322</v>
      </c>
      <c r="E226" s="12" t="s">
        <v>325</v>
      </c>
      <c r="F226" s="15" t="s">
        <v>200</v>
      </c>
      <c r="G226" s="15">
        <v>1</v>
      </c>
      <c r="H226" s="15">
        <f>IF(I226&lt;&gt;0, G226-I226, "")</f>
        <v>0</v>
      </c>
      <c r="I226" s="15">
        <v>1</v>
      </c>
      <c r="J226" s="15"/>
      <c r="K226" s="12" t="s">
        <v>1372</v>
      </c>
      <c r="L226" s="15" t="s">
        <v>1004</v>
      </c>
      <c r="M226" s="15">
        <v>0.48</v>
      </c>
      <c r="N226" s="15">
        <v>100</v>
      </c>
      <c r="O226" s="15">
        <f>IF(I226*M226=0, "", I226*M226*(N226/100))</f>
        <v>0.48</v>
      </c>
      <c r="P226" s="38"/>
      <c r="Q226" s="38">
        <f>TRUNC(P226*M226*N226/100)</f>
        <v>0</v>
      </c>
      <c r="R226" s="38"/>
      <c r="S226" s="15" t="s">
        <v>1417</v>
      </c>
      <c r="T226" s="15"/>
      <c r="AA226" s="2">
        <f>O226</f>
        <v>0.48</v>
      </c>
    </row>
    <row r="227" spans="2:27" ht="21.95" customHeight="1" x14ac:dyDescent="0.15">
      <c r="B227" s="13" t="s">
        <v>1397</v>
      </c>
      <c r="C227" s="13" t="s">
        <v>1002</v>
      </c>
      <c r="D227" s="12" t="s">
        <v>1003</v>
      </c>
      <c r="E227" s="12" t="s">
        <v>1004</v>
      </c>
      <c r="F227" s="15" t="s">
        <v>999</v>
      </c>
      <c r="G227" s="15">
        <f>IF(H227*I227/100+0.000005 &lt;1, TRUNC(H227*I227/100+0.000005, 옵션!$E$13), TRUNC(H227*I227/100+0.000005, 옵션!$E$13))</f>
        <v>0.48</v>
      </c>
      <c r="H227" s="15">
        <f>옵션!$B$13</f>
        <v>100</v>
      </c>
      <c r="I227" s="15">
        <f>SUM(AA226:AA226)</f>
        <v>0.48</v>
      </c>
      <c r="J227" s="15"/>
      <c r="K227" s="12"/>
      <c r="L227" s="15"/>
      <c r="M227" s="15"/>
      <c r="N227" s="15"/>
      <c r="O227" s="15" t="str">
        <f>IF(I227*M227=0, "", I227*M227*(N227/100))</f>
        <v/>
      </c>
      <c r="P227" s="38"/>
      <c r="Q227" s="38">
        <f>TRUNC(P227*M227*N227/100)</f>
        <v>0</v>
      </c>
      <c r="R227" s="38"/>
      <c r="S227" s="15"/>
      <c r="T227" s="15"/>
      <c r="Z227" s="2" t="s">
        <v>1399</v>
      </c>
      <c r="AA227" s="2">
        <f>SUM(AA226:AA226)</f>
        <v>0.48</v>
      </c>
    </row>
    <row r="228" spans="2:27" ht="21.95" customHeight="1" x14ac:dyDescent="0.15">
      <c r="B228" s="13" t="s">
        <v>1448</v>
      </c>
      <c r="D228" s="170" t="s">
        <v>1508</v>
      </c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2"/>
    </row>
    <row r="229" spans="2:27" ht="21.95" customHeight="1" x14ac:dyDescent="0.15">
      <c r="B229" s="13" t="s">
        <v>1397</v>
      </c>
      <c r="C229" s="13" t="s">
        <v>341</v>
      </c>
      <c r="D229" s="12" t="s">
        <v>317</v>
      </c>
      <c r="E229" s="12" t="s">
        <v>342</v>
      </c>
      <c r="F229" s="15" t="s">
        <v>166</v>
      </c>
      <c r="G229" s="15">
        <v>1.05</v>
      </c>
      <c r="H229" s="15">
        <f>IF(I229&lt;&gt;0, G229-I229, "")</f>
        <v>5.0000000000000044E-2</v>
      </c>
      <c r="I229" s="15">
        <v>1</v>
      </c>
      <c r="J229" s="15">
        <v>5</v>
      </c>
      <c r="K229" s="12" t="s">
        <v>1372</v>
      </c>
      <c r="L229" s="15" t="s">
        <v>1004</v>
      </c>
      <c r="M229" s="15">
        <v>0.16</v>
      </c>
      <c r="N229" s="15">
        <v>100</v>
      </c>
      <c r="O229" s="15">
        <f>IF(I229*M229=0, "", I229*M229*(N229/100))</f>
        <v>0.16</v>
      </c>
      <c r="P229" s="38"/>
      <c r="Q229" s="38">
        <f>TRUNC(P229*M229*N229/100)</f>
        <v>0</v>
      </c>
      <c r="R229" s="38"/>
      <c r="S229" s="15" t="s">
        <v>1417</v>
      </c>
      <c r="T229" s="15"/>
      <c r="AA229" s="2">
        <f>O229</f>
        <v>0.16</v>
      </c>
    </row>
    <row r="230" spans="2:27" ht="21.95" customHeight="1" x14ac:dyDescent="0.15">
      <c r="B230" s="13" t="s">
        <v>1397</v>
      </c>
      <c r="C230" s="13" t="s">
        <v>1002</v>
      </c>
      <c r="D230" s="12" t="s">
        <v>1003</v>
      </c>
      <c r="E230" s="12" t="s">
        <v>1004</v>
      </c>
      <c r="F230" s="15" t="s">
        <v>999</v>
      </c>
      <c r="G230" s="15">
        <f>IF(H230*I230/100+0.000005 &lt;1, TRUNC(H230*I230/100+0.000005, 옵션!$E$13), TRUNC(H230*I230/100+0.000005, 옵션!$E$13))</f>
        <v>0.16</v>
      </c>
      <c r="H230" s="15">
        <f>옵션!$B$13</f>
        <v>100</v>
      </c>
      <c r="I230" s="15">
        <f>SUM(AA229:AA229)</f>
        <v>0.16</v>
      </c>
      <c r="J230" s="15"/>
      <c r="K230" s="12"/>
      <c r="L230" s="15"/>
      <c r="M230" s="15"/>
      <c r="N230" s="15"/>
      <c r="O230" s="15" t="str">
        <f>IF(I230*M230=0, "", I230*M230*(N230/100))</f>
        <v/>
      </c>
      <c r="P230" s="38"/>
      <c r="Q230" s="38">
        <f>TRUNC(P230*M230*N230/100)</f>
        <v>0</v>
      </c>
      <c r="R230" s="38"/>
      <c r="S230" s="15"/>
      <c r="T230" s="15"/>
      <c r="Z230" s="2" t="s">
        <v>1399</v>
      </c>
      <c r="AA230" s="2">
        <f>SUM(AA229:AA229)</f>
        <v>0.16</v>
      </c>
    </row>
    <row r="231" spans="2:27" ht="21.95" customHeight="1" x14ac:dyDescent="0.15">
      <c r="B231" s="13" t="s">
        <v>1448</v>
      </c>
      <c r="D231" s="170" t="s">
        <v>1509</v>
      </c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2"/>
    </row>
    <row r="232" spans="2:27" ht="21.95" customHeight="1" x14ac:dyDescent="0.15">
      <c r="B232" s="13" t="s">
        <v>1397</v>
      </c>
      <c r="C232" s="13" t="s">
        <v>343</v>
      </c>
      <c r="D232" s="12" t="s">
        <v>322</v>
      </c>
      <c r="E232" s="12" t="s">
        <v>344</v>
      </c>
      <c r="F232" s="15" t="s">
        <v>200</v>
      </c>
      <c r="G232" s="15">
        <v>1</v>
      </c>
      <c r="H232" s="15">
        <f>IF(I232&lt;&gt;0, G232-I232, "")</f>
        <v>0</v>
      </c>
      <c r="I232" s="15">
        <v>1</v>
      </c>
      <c r="J232" s="15"/>
      <c r="K232" s="12" t="s">
        <v>1372</v>
      </c>
      <c r="L232" s="15" t="s">
        <v>1004</v>
      </c>
      <c r="M232" s="15">
        <v>0.16</v>
      </c>
      <c r="N232" s="15">
        <v>100</v>
      </c>
      <c r="O232" s="15">
        <f>IF(I232*M232=0, "", I232*M232*(N232/100))</f>
        <v>0.16</v>
      </c>
      <c r="P232" s="38"/>
      <c r="Q232" s="38">
        <f>TRUNC(P232*M232*N232/100)</f>
        <v>0</v>
      </c>
      <c r="R232" s="38"/>
      <c r="S232" s="15" t="s">
        <v>1417</v>
      </c>
      <c r="T232" s="15"/>
      <c r="AA232" s="2">
        <f>O232</f>
        <v>0.16</v>
      </c>
    </row>
    <row r="233" spans="2:27" ht="21.95" customHeight="1" x14ac:dyDescent="0.15">
      <c r="B233" s="13" t="s">
        <v>1397</v>
      </c>
      <c r="C233" s="13" t="s">
        <v>1002</v>
      </c>
      <c r="D233" s="12" t="s">
        <v>1003</v>
      </c>
      <c r="E233" s="12" t="s">
        <v>1004</v>
      </c>
      <c r="F233" s="15" t="s">
        <v>999</v>
      </c>
      <c r="G233" s="15">
        <f>IF(H233*I233/100+0.000005 &lt;1, TRUNC(H233*I233/100+0.000005, 옵션!$E$13), TRUNC(H233*I233/100+0.000005, 옵션!$E$13))</f>
        <v>0.16</v>
      </c>
      <c r="H233" s="15">
        <f>옵션!$B$13</f>
        <v>100</v>
      </c>
      <c r="I233" s="15">
        <f>SUM(AA232:AA232)</f>
        <v>0.16</v>
      </c>
      <c r="J233" s="15"/>
      <c r="K233" s="12"/>
      <c r="L233" s="15"/>
      <c r="M233" s="15"/>
      <c r="N233" s="15"/>
      <c r="O233" s="15" t="str">
        <f>IF(I233*M233=0, "", I233*M233*(N233/100))</f>
        <v/>
      </c>
      <c r="P233" s="38"/>
      <c r="Q233" s="38">
        <f>TRUNC(P233*M233*N233/100)</f>
        <v>0</v>
      </c>
      <c r="R233" s="38"/>
      <c r="S233" s="15"/>
      <c r="T233" s="15"/>
      <c r="Z233" s="2" t="s">
        <v>1399</v>
      </c>
      <c r="AA233" s="2">
        <f>SUM(AA232:AA232)</f>
        <v>0.16</v>
      </c>
    </row>
    <row r="234" spans="2:27" ht="21.95" customHeight="1" x14ac:dyDescent="0.15">
      <c r="B234" s="13" t="s">
        <v>1448</v>
      </c>
      <c r="D234" s="170" t="s">
        <v>1510</v>
      </c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2"/>
    </row>
    <row r="235" spans="2:27" ht="21.95" customHeight="1" x14ac:dyDescent="0.15">
      <c r="B235" s="13" t="s">
        <v>1397</v>
      </c>
      <c r="C235" s="13" t="s">
        <v>345</v>
      </c>
      <c r="D235" s="12" t="s">
        <v>322</v>
      </c>
      <c r="E235" s="12" t="s">
        <v>346</v>
      </c>
      <c r="F235" s="15" t="s">
        <v>200</v>
      </c>
      <c r="G235" s="15">
        <v>1</v>
      </c>
      <c r="H235" s="15">
        <f>IF(I235&lt;&gt;0, G235-I235, "")</f>
        <v>0</v>
      </c>
      <c r="I235" s="15">
        <v>1</v>
      </c>
      <c r="J235" s="15"/>
      <c r="K235" s="12" t="s">
        <v>1372</v>
      </c>
      <c r="L235" s="15" t="s">
        <v>1004</v>
      </c>
      <c r="M235" s="15">
        <v>0.16</v>
      </c>
      <c r="N235" s="15">
        <v>100</v>
      </c>
      <c r="O235" s="15">
        <f>IF(I235*M235=0, "", I235*M235*(N235/100))</f>
        <v>0.16</v>
      </c>
      <c r="P235" s="38"/>
      <c r="Q235" s="38">
        <f>TRUNC(P235*M235*N235/100)</f>
        <v>0</v>
      </c>
      <c r="R235" s="38"/>
      <c r="S235" s="15" t="s">
        <v>1417</v>
      </c>
      <c r="T235" s="15"/>
      <c r="AA235" s="2">
        <f>O235</f>
        <v>0.16</v>
      </c>
    </row>
    <row r="236" spans="2:27" ht="21.95" customHeight="1" x14ac:dyDescent="0.15">
      <c r="B236" s="13" t="s">
        <v>1397</v>
      </c>
      <c r="C236" s="13" t="s">
        <v>1002</v>
      </c>
      <c r="D236" s="12" t="s">
        <v>1003</v>
      </c>
      <c r="E236" s="12" t="s">
        <v>1004</v>
      </c>
      <c r="F236" s="15" t="s">
        <v>999</v>
      </c>
      <c r="G236" s="15">
        <f>IF(H236*I236/100+0.000005 &lt;1, TRUNC(H236*I236/100+0.000005, 옵션!$E$13), TRUNC(H236*I236/100+0.000005, 옵션!$E$13))</f>
        <v>0.16</v>
      </c>
      <c r="H236" s="15">
        <f>옵션!$B$13</f>
        <v>100</v>
      </c>
      <c r="I236" s="15">
        <f>SUM(AA235:AA235)</f>
        <v>0.16</v>
      </c>
      <c r="J236" s="15"/>
      <c r="K236" s="12"/>
      <c r="L236" s="15"/>
      <c r="M236" s="15"/>
      <c r="N236" s="15"/>
      <c r="O236" s="15" t="str">
        <f>IF(I236*M236=0, "", I236*M236*(N236/100))</f>
        <v/>
      </c>
      <c r="P236" s="38"/>
      <c r="Q236" s="38">
        <f>TRUNC(P236*M236*N236/100)</f>
        <v>0</v>
      </c>
      <c r="R236" s="38"/>
      <c r="S236" s="15"/>
      <c r="T236" s="15"/>
      <c r="Z236" s="2" t="s">
        <v>1399</v>
      </c>
      <c r="AA236" s="2">
        <f>SUM(AA235:AA235)</f>
        <v>0.16</v>
      </c>
    </row>
    <row r="237" spans="2:27" ht="21.95" customHeight="1" x14ac:dyDescent="0.15">
      <c r="B237" s="13" t="s">
        <v>1448</v>
      </c>
      <c r="D237" s="170" t="s">
        <v>1511</v>
      </c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2"/>
    </row>
    <row r="238" spans="2:27" ht="21.95" customHeight="1" x14ac:dyDescent="0.15">
      <c r="B238" s="13" t="s">
        <v>1397</v>
      </c>
      <c r="C238" s="13" t="s">
        <v>350</v>
      </c>
      <c r="D238" s="12" t="s">
        <v>351</v>
      </c>
      <c r="E238" s="12" t="s">
        <v>352</v>
      </c>
      <c r="F238" s="15" t="s">
        <v>166</v>
      </c>
      <c r="G238" s="15">
        <v>1.05</v>
      </c>
      <c r="H238" s="15">
        <f>IF(I238&lt;&gt;0, G238-I238, "")</f>
        <v>5.0000000000000044E-2</v>
      </c>
      <c r="I238" s="15">
        <v>1</v>
      </c>
      <c r="J238" s="15">
        <v>5</v>
      </c>
      <c r="K238" s="12" t="s">
        <v>1372</v>
      </c>
      <c r="L238" s="15" t="s">
        <v>1004</v>
      </c>
      <c r="M238" s="15">
        <v>0.45</v>
      </c>
      <c r="N238" s="15">
        <v>100</v>
      </c>
      <c r="O238" s="15">
        <f>IF(I238*M238=0, "", I238*M238*(N238/100))</f>
        <v>0.45</v>
      </c>
      <c r="P238" s="38"/>
      <c r="Q238" s="38">
        <f>TRUNC(P238*M238*N238/100)</f>
        <v>0</v>
      </c>
      <c r="R238" s="38"/>
      <c r="S238" s="15" t="s">
        <v>1418</v>
      </c>
      <c r="T238" s="15"/>
      <c r="AA238" s="2">
        <f>O238</f>
        <v>0.45</v>
      </c>
    </row>
    <row r="239" spans="2:27" ht="21.95" customHeight="1" x14ac:dyDescent="0.15">
      <c r="B239" s="13" t="s">
        <v>1397</v>
      </c>
      <c r="C239" s="13" t="s">
        <v>1002</v>
      </c>
      <c r="D239" s="12" t="s">
        <v>1003</v>
      </c>
      <c r="E239" s="12" t="s">
        <v>1004</v>
      </c>
      <c r="F239" s="15" t="s">
        <v>999</v>
      </c>
      <c r="G239" s="15">
        <f>IF(H239*I239/100+0.000005 &lt;1, TRUNC(H239*I239/100+0.000005, 옵션!$E$13), TRUNC(H239*I239/100+0.000005, 옵션!$E$13))</f>
        <v>0.45</v>
      </c>
      <c r="H239" s="15">
        <f>옵션!$B$13</f>
        <v>100</v>
      </c>
      <c r="I239" s="15">
        <f>SUM(AA238:AA238)</f>
        <v>0.45</v>
      </c>
      <c r="J239" s="15"/>
      <c r="K239" s="12"/>
      <c r="L239" s="15"/>
      <c r="M239" s="15"/>
      <c r="N239" s="15"/>
      <c r="O239" s="15" t="str">
        <f>IF(I239*M239=0, "", I239*M239*(N239/100))</f>
        <v/>
      </c>
      <c r="P239" s="38"/>
      <c r="Q239" s="38">
        <f>TRUNC(P239*M239*N239/100)</f>
        <v>0</v>
      </c>
      <c r="R239" s="38"/>
      <c r="S239" s="15"/>
      <c r="T239" s="15"/>
      <c r="Z239" s="2" t="s">
        <v>1399</v>
      </c>
      <c r="AA239" s="2">
        <f>SUM(AA238:AA238)</f>
        <v>0.45</v>
      </c>
    </row>
    <row r="240" spans="2:27" ht="21.95" customHeight="1" x14ac:dyDescent="0.15">
      <c r="B240" s="13" t="s">
        <v>1448</v>
      </c>
      <c r="D240" s="170" t="s">
        <v>1512</v>
      </c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2"/>
    </row>
    <row r="241" spans="2:27" ht="21.95" customHeight="1" x14ac:dyDescent="0.15">
      <c r="B241" s="13" t="s">
        <v>1397</v>
      </c>
      <c r="C241" s="13" t="s">
        <v>353</v>
      </c>
      <c r="D241" s="12" t="s">
        <v>354</v>
      </c>
      <c r="E241" s="12" t="s">
        <v>355</v>
      </c>
      <c r="F241" s="15" t="s">
        <v>200</v>
      </c>
      <c r="G241" s="15">
        <v>1</v>
      </c>
      <c r="H241" s="15">
        <f>IF(I241&lt;&gt;0, G241-I241, "")</f>
        <v>0</v>
      </c>
      <c r="I241" s="15">
        <v>1</v>
      </c>
      <c r="J241" s="15"/>
      <c r="K241" s="12" t="s">
        <v>1372</v>
      </c>
      <c r="L241" s="15" t="s">
        <v>1004</v>
      </c>
      <c r="M241" s="15">
        <v>0.45</v>
      </c>
      <c r="N241" s="15">
        <v>100</v>
      </c>
      <c r="O241" s="15">
        <f>IF(I241*M241=0, "", I241*M241*(N241/100))</f>
        <v>0.45</v>
      </c>
      <c r="P241" s="38"/>
      <c r="Q241" s="38">
        <f>TRUNC(P241*M241*N241/100)</f>
        <v>0</v>
      </c>
      <c r="R241" s="38"/>
      <c r="S241" s="15" t="s">
        <v>1418</v>
      </c>
      <c r="T241" s="15"/>
      <c r="AA241" s="2">
        <f>O241</f>
        <v>0.45</v>
      </c>
    </row>
    <row r="242" spans="2:27" ht="21.95" customHeight="1" x14ac:dyDescent="0.15">
      <c r="B242" s="13" t="s">
        <v>1397</v>
      </c>
      <c r="C242" s="13" t="s">
        <v>1002</v>
      </c>
      <c r="D242" s="12" t="s">
        <v>1003</v>
      </c>
      <c r="E242" s="12" t="s">
        <v>1004</v>
      </c>
      <c r="F242" s="15" t="s">
        <v>999</v>
      </c>
      <c r="G242" s="15">
        <f>IF(H242*I242/100+0.000005 &lt;1, TRUNC(H242*I242/100+0.000005, 옵션!$E$13), TRUNC(H242*I242/100+0.000005, 옵션!$E$13))</f>
        <v>0.45</v>
      </c>
      <c r="H242" s="15">
        <f>옵션!$B$13</f>
        <v>100</v>
      </c>
      <c r="I242" s="15">
        <f>SUM(AA241:AA241)</f>
        <v>0.45</v>
      </c>
      <c r="J242" s="15"/>
      <c r="K242" s="12"/>
      <c r="L242" s="15"/>
      <c r="M242" s="15"/>
      <c r="N242" s="15"/>
      <c r="O242" s="15" t="str">
        <f>IF(I242*M242=0, "", I242*M242*(N242/100))</f>
        <v/>
      </c>
      <c r="P242" s="38"/>
      <c r="Q242" s="38">
        <f>TRUNC(P242*M242*N242/100)</f>
        <v>0</v>
      </c>
      <c r="R242" s="38"/>
      <c r="S242" s="15"/>
      <c r="T242" s="15"/>
      <c r="Z242" s="2" t="s">
        <v>1399</v>
      </c>
      <c r="AA242" s="2">
        <f>SUM(AA241:AA241)</f>
        <v>0.45</v>
      </c>
    </row>
    <row r="243" spans="2:27" ht="21.95" customHeight="1" x14ac:dyDescent="0.15">
      <c r="B243" s="13" t="s">
        <v>1448</v>
      </c>
      <c r="D243" s="170" t="s">
        <v>1513</v>
      </c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2"/>
    </row>
    <row r="244" spans="2:27" ht="21.95" customHeight="1" x14ac:dyDescent="0.15">
      <c r="B244" s="13" t="s">
        <v>1397</v>
      </c>
      <c r="C244" s="13" t="s">
        <v>356</v>
      </c>
      <c r="D244" s="12" t="s">
        <v>354</v>
      </c>
      <c r="E244" s="12" t="s">
        <v>357</v>
      </c>
      <c r="F244" s="15" t="s">
        <v>200</v>
      </c>
      <c r="G244" s="15">
        <v>1</v>
      </c>
      <c r="H244" s="15">
        <f>IF(I244&lt;&gt;0, G244-I244, "")</f>
        <v>0</v>
      </c>
      <c r="I244" s="15">
        <v>1</v>
      </c>
      <c r="J244" s="15"/>
      <c r="K244" s="12" t="s">
        <v>1372</v>
      </c>
      <c r="L244" s="15" t="s">
        <v>1004</v>
      </c>
      <c r="M244" s="15">
        <v>0.45</v>
      </c>
      <c r="N244" s="15">
        <v>100</v>
      </c>
      <c r="O244" s="15">
        <f>IF(I244*M244=0, "", I244*M244*(N244/100))</f>
        <v>0.45</v>
      </c>
      <c r="P244" s="38"/>
      <c r="Q244" s="38">
        <f>TRUNC(P244*M244*N244/100)</f>
        <v>0</v>
      </c>
      <c r="R244" s="38"/>
      <c r="S244" s="15" t="s">
        <v>1418</v>
      </c>
      <c r="T244" s="15"/>
      <c r="AA244" s="2">
        <f>O244</f>
        <v>0.45</v>
      </c>
    </row>
    <row r="245" spans="2:27" ht="21.95" customHeight="1" x14ac:dyDescent="0.15">
      <c r="B245" s="13" t="s">
        <v>1397</v>
      </c>
      <c r="C245" s="13" t="s">
        <v>1002</v>
      </c>
      <c r="D245" s="12" t="s">
        <v>1003</v>
      </c>
      <c r="E245" s="12" t="s">
        <v>1004</v>
      </c>
      <c r="F245" s="15" t="s">
        <v>999</v>
      </c>
      <c r="G245" s="15">
        <f>IF(H245*I245/100+0.000005 &lt;1, TRUNC(H245*I245/100+0.000005, 옵션!$E$13), TRUNC(H245*I245/100+0.000005, 옵션!$E$13))</f>
        <v>0.45</v>
      </c>
      <c r="H245" s="15">
        <f>옵션!$B$13</f>
        <v>100</v>
      </c>
      <c r="I245" s="15">
        <f>SUM(AA244:AA244)</f>
        <v>0.45</v>
      </c>
      <c r="J245" s="15"/>
      <c r="K245" s="12"/>
      <c r="L245" s="15"/>
      <c r="M245" s="15"/>
      <c r="N245" s="15"/>
      <c r="O245" s="15" t="str">
        <f>IF(I245*M245=0, "", I245*M245*(N245/100))</f>
        <v/>
      </c>
      <c r="P245" s="38"/>
      <c r="Q245" s="38">
        <f>TRUNC(P245*M245*N245/100)</f>
        <v>0</v>
      </c>
      <c r="R245" s="38"/>
      <c r="S245" s="15"/>
      <c r="T245" s="15"/>
      <c r="Z245" s="2" t="s">
        <v>1399</v>
      </c>
      <c r="AA245" s="2">
        <f>SUM(AA244:AA244)</f>
        <v>0.45</v>
      </c>
    </row>
    <row r="246" spans="2:27" ht="21.95" customHeight="1" x14ac:dyDescent="0.15">
      <c r="B246" s="13" t="s">
        <v>1448</v>
      </c>
      <c r="D246" s="170" t="s">
        <v>1514</v>
      </c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2"/>
    </row>
    <row r="247" spans="2:27" ht="21.95" customHeight="1" x14ac:dyDescent="0.15">
      <c r="B247" s="13" t="s">
        <v>1397</v>
      </c>
      <c r="C247" s="13" t="s">
        <v>396</v>
      </c>
      <c r="D247" s="12" t="s">
        <v>397</v>
      </c>
      <c r="E247" s="12" t="s">
        <v>398</v>
      </c>
      <c r="F247" s="15" t="s">
        <v>166</v>
      </c>
      <c r="G247" s="15">
        <v>1</v>
      </c>
      <c r="H247" s="15">
        <f>IF(I247&lt;&gt;0, G247-I247, "")</f>
        <v>0</v>
      </c>
      <c r="I247" s="15">
        <v>1</v>
      </c>
      <c r="J247" s="15"/>
      <c r="K247" s="12" t="s">
        <v>1372</v>
      </c>
      <c r="L247" s="15" t="s">
        <v>1004</v>
      </c>
      <c r="M247" s="15">
        <v>8.6E-3</v>
      </c>
      <c r="N247" s="15">
        <v>100</v>
      </c>
      <c r="O247" s="15">
        <f>IF(I247*M247=0, "", I247*M247*(N247/100))</f>
        <v>8.6E-3</v>
      </c>
      <c r="P247" s="38"/>
      <c r="Q247" s="38">
        <f>TRUNC(P247*M247*N247/100)</f>
        <v>0</v>
      </c>
      <c r="R247" s="38"/>
      <c r="S247" s="15" t="s">
        <v>1419</v>
      </c>
      <c r="T247" s="15"/>
      <c r="AA247" s="2">
        <f>O247</f>
        <v>8.6E-3</v>
      </c>
    </row>
    <row r="248" spans="2:27" ht="21.95" customHeight="1" x14ac:dyDescent="0.15">
      <c r="B248" s="13" t="s">
        <v>1397</v>
      </c>
      <c r="C248" s="13" t="s">
        <v>1002</v>
      </c>
      <c r="D248" s="12" t="s">
        <v>1003</v>
      </c>
      <c r="E248" s="12" t="s">
        <v>1004</v>
      </c>
      <c r="F248" s="15" t="s">
        <v>999</v>
      </c>
      <c r="G248" s="15">
        <f>IF(H248*I248/100+0.000005 &lt;1, TRUNC(H248*I248/100+0.000005, 옵션!$E$13), TRUNC(H248*I248/100+0.000005, 옵션!$E$13))</f>
        <v>8.6E-3</v>
      </c>
      <c r="H248" s="15">
        <f>옵션!$B$13</f>
        <v>100</v>
      </c>
      <c r="I248" s="15">
        <f>SUM(AA247:AA247)</f>
        <v>8.6E-3</v>
      </c>
      <c r="J248" s="15"/>
      <c r="K248" s="12"/>
      <c r="L248" s="15"/>
      <c r="M248" s="15"/>
      <c r="N248" s="15"/>
      <c r="O248" s="15" t="str">
        <f>IF(I248*M248=0, "", I248*M248*(N248/100))</f>
        <v/>
      </c>
      <c r="P248" s="38"/>
      <c r="Q248" s="38">
        <f>TRUNC(P248*M248*N248/100)</f>
        <v>0</v>
      </c>
      <c r="R248" s="38"/>
      <c r="S248" s="15"/>
      <c r="T248" s="15"/>
      <c r="Z248" s="2" t="s">
        <v>1399</v>
      </c>
      <c r="AA248" s="2">
        <f>SUM(AA247:AA247)</f>
        <v>8.6E-3</v>
      </c>
    </row>
    <row r="249" spans="2:27" ht="21.95" customHeight="1" x14ac:dyDescent="0.15">
      <c r="B249" s="13" t="s">
        <v>1448</v>
      </c>
      <c r="D249" s="170" t="s">
        <v>1515</v>
      </c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2"/>
    </row>
    <row r="250" spans="2:27" ht="21.95" customHeight="1" x14ac:dyDescent="0.15">
      <c r="B250" s="13" t="s">
        <v>1397</v>
      </c>
      <c r="C250" s="13" t="s">
        <v>403</v>
      </c>
      <c r="D250" s="12" t="s">
        <v>397</v>
      </c>
      <c r="E250" s="12" t="s">
        <v>404</v>
      </c>
      <c r="F250" s="15" t="s">
        <v>166</v>
      </c>
      <c r="G250" s="15">
        <v>1</v>
      </c>
      <c r="H250" s="15">
        <f>IF(I250&lt;&gt;0, G250-I250, "")</f>
        <v>0</v>
      </c>
      <c r="I250" s="15">
        <v>1</v>
      </c>
      <c r="J250" s="15"/>
      <c r="K250" s="12" t="s">
        <v>1372</v>
      </c>
      <c r="L250" s="15" t="s">
        <v>1004</v>
      </c>
      <c r="M250" s="15">
        <v>8.6E-3</v>
      </c>
      <c r="N250" s="15">
        <v>100</v>
      </c>
      <c r="O250" s="15">
        <f>IF(I250*M250=0, "", I250*M250*(N250/100))</f>
        <v>8.6E-3</v>
      </c>
      <c r="P250" s="38"/>
      <c r="Q250" s="38">
        <f>TRUNC(P250*M250*N250/100)</f>
        <v>0</v>
      </c>
      <c r="R250" s="38"/>
      <c r="S250" s="15" t="s">
        <v>1419</v>
      </c>
      <c r="T250" s="15"/>
      <c r="AA250" s="2">
        <f>O250</f>
        <v>8.6E-3</v>
      </c>
    </row>
    <row r="251" spans="2:27" ht="21.95" customHeight="1" x14ac:dyDescent="0.15">
      <c r="B251" s="13" t="s">
        <v>1397</v>
      </c>
      <c r="C251" s="13" t="s">
        <v>1002</v>
      </c>
      <c r="D251" s="12" t="s">
        <v>1003</v>
      </c>
      <c r="E251" s="12" t="s">
        <v>1004</v>
      </c>
      <c r="F251" s="15" t="s">
        <v>999</v>
      </c>
      <c r="G251" s="15">
        <f>IF(H251*I251/100+0.000005 &lt;1, TRUNC(H251*I251/100+0.000005, 옵션!$E$13), TRUNC(H251*I251/100+0.000005, 옵션!$E$13))</f>
        <v>8.6E-3</v>
      </c>
      <c r="H251" s="15">
        <f>옵션!$B$13</f>
        <v>100</v>
      </c>
      <c r="I251" s="15">
        <f>SUM(AA250:AA250)</f>
        <v>8.6E-3</v>
      </c>
      <c r="J251" s="15"/>
      <c r="K251" s="12"/>
      <c r="L251" s="15"/>
      <c r="M251" s="15"/>
      <c r="N251" s="15"/>
      <c r="O251" s="15" t="str">
        <f>IF(I251*M251=0, "", I251*M251*(N251/100))</f>
        <v/>
      </c>
      <c r="P251" s="38"/>
      <c r="Q251" s="38">
        <f>TRUNC(P251*M251*N251/100)</f>
        <v>0</v>
      </c>
      <c r="R251" s="38"/>
      <c r="S251" s="15"/>
      <c r="T251" s="15"/>
      <c r="Z251" s="2" t="s">
        <v>1399</v>
      </c>
      <c r="AA251" s="2">
        <f>SUM(AA250:AA250)</f>
        <v>8.6E-3</v>
      </c>
    </row>
    <row r="252" spans="2:27" ht="21.95" customHeight="1" x14ac:dyDescent="0.15">
      <c r="B252" s="13" t="s">
        <v>1448</v>
      </c>
      <c r="D252" s="170" t="s">
        <v>1516</v>
      </c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2"/>
    </row>
    <row r="253" spans="2:27" ht="21.95" customHeight="1" x14ac:dyDescent="0.15">
      <c r="B253" s="13" t="s">
        <v>1397</v>
      </c>
      <c r="C253" s="13" t="s">
        <v>405</v>
      </c>
      <c r="D253" s="12" t="s">
        <v>397</v>
      </c>
      <c r="E253" s="12" t="s">
        <v>406</v>
      </c>
      <c r="F253" s="15" t="s">
        <v>166</v>
      </c>
      <c r="G253" s="15">
        <v>1</v>
      </c>
      <c r="H253" s="15">
        <f>IF(I253&lt;&gt;0, G253-I253, "")</f>
        <v>0</v>
      </c>
      <c r="I253" s="15">
        <v>1</v>
      </c>
      <c r="J253" s="15"/>
      <c r="K253" s="12" t="s">
        <v>1372</v>
      </c>
      <c r="L253" s="15" t="s">
        <v>1004</v>
      </c>
      <c r="M253" s="15">
        <v>8.6E-3</v>
      </c>
      <c r="N253" s="15">
        <v>100</v>
      </c>
      <c r="O253" s="15">
        <f>IF(I253*M253=0, "", I253*M253*(N253/100))</f>
        <v>8.6E-3</v>
      </c>
      <c r="P253" s="38"/>
      <c r="Q253" s="38">
        <f>TRUNC(P253*M253*N253/100)</f>
        <v>0</v>
      </c>
      <c r="R253" s="38"/>
      <c r="S253" s="15" t="s">
        <v>1419</v>
      </c>
      <c r="T253" s="15"/>
      <c r="AA253" s="2">
        <f>O253</f>
        <v>8.6E-3</v>
      </c>
    </row>
    <row r="254" spans="2:27" ht="21.95" customHeight="1" x14ac:dyDescent="0.15">
      <c r="B254" s="13" t="s">
        <v>1397</v>
      </c>
      <c r="C254" s="13" t="s">
        <v>1002</v>
      </c>
      <c r="D254" s="12" t="s">
        <v>1003</v>
      </c>
      <c r="E254" s="12" t="s">
        <v>1004</v>
      </c>
      <c r="F254" s="15" t="s">
        <v>999</v>
      </c>
      <c r="G254" s="15">
        <f>IF(H254*I254/100+0.000005 &lt;1, TRUNC(H254*I254/100+0.000005, 옵션!$E$13), TRUNC(H254*I254/100+0.000005, 옵션!$E$13))</f>
        <v>8.6E-3</v>
      </c>
      <c r="H254" s="15">
        <f>옵션!$B$13</f>
        <v>100</v>
      </c>
      <c r="I254" s="15">
        <f>SUM(AA253:AA253)</f>
        <v>8.6E-3</v>
      </c>
      <c r="J254" s="15"/>
      <c r="K254" s="12"/>
      <c r="L254" s="15"/>
      <c r="M254" s="15"/>
      <c r="N254" s="15"/>
      <c r="O254" s="15" t="str">
        <f>IF(I254*M254=0, "", I254*M254*(N254/100))</f>
        <v/>
      </c>
      <c r="P254" s="38"/>
      <c r="Q254" s="38">
        <f>TRUNC(P254*M254*N254/100)</f>
        <v>0</v>
      </c>
      <c r="R254" s="38"/>
      <c r="S254" s="15"/>
      <c r="T254" s="15"/>
      <c r="Z254" s="2" t="s">
        <v>1399</v>
      </c>
      <c r="AA254" s="2">
        <f>SUM(AA253:AA253)</f>
        <v>8.6E-3</v>
      </c>
    </row>
    <row r="255" spans="2:27" ht="21.95" customHeight="1" x14ac:dyDescent="0.15">
      <c r="B255" s="13" t="s">
        <v>1448</v>
      </c>
      <c r="D255" s="170" t="s">
        <v>1517</v>
      </c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2"/>
    </row>
    <row r="256" spans="2:27" ht="21.95" customHeight="1" x14ac:dyDescent="0.15">
      <c r="B256" s="13" t="s">
        <v>1397</v>
      </c>
      <c r="C256" s="13" t="s">
        <v>407</v>
      </c>
      <c r="D256" s="12" t="s">
        <v>408</v>
      </c>
      <c r="E256" s="12" t="s">
        <v>409</v>
      </c>
      <c r="F256" s="15" t="s">
        <v>166</v>
      </c>
      <c r="G256" s="15">
        <v>1</v>
      </c>
      <c r="H256" s="15">
        <f>IF(I256&lt;&gt;0, G256-I256, "")</f>
        <v>0</v>
      </c>
      <c r="I256" s="15">
        <v>1</v>
      </c>
      <c r="J256" s="15"/>
      <c r="K256" s="12" t="s">
        <v>1372</v>
      </c>
      <c r="L256" s="15" t="s">
        <v>1004</v>
      </c>
      <c r="M256" s="15">
        <v>6.0000000000000001E-3</v>
      </c>
      <c r="N256" s="15">
        <v>150</v>
      </c>
      <c r="O256" s="15">
        <f>IF(I256*M256=0, "", I256*M256*(N256/100))</f>
        <v>9.0000000000000011E-3</v>
      </c>
      <c r="P256" s="38"/>
      <c r="Q256" s="38">
        <f>TRUNC(P256*M256*N256/100)</f>
        <v>0</v>
      </c>
      <c r="R256" s="38"/>
      <c r="S256" s="15" t="s">
        <v>1402</v>
      </c>
      <c r="T256" s="15"/>
      <c r="AA256" s="2">
        <f>O256</f>
        <v>9.0000000000000011E-3</v>
      </c>
    </row>
    <row r="257" spans="2:27" ht="21.95" customHeight="1" x14ac:dyDescent="0.15">
      <c r="B257" s="13" t="s">
        <v>1397</v>
      </c>
      <c r="C257" s="13" t="s">
        <v>1002</v>
      </c>
      <c r="D257" s="12" t="s">
        <v>1003</v>
      </c>
      <c r="E257" s="12" t="s">
        <v>1004</v>
      </c>
      <c r="F257" s="15" t="s">
        <v>999</v>
      </c>
      <c r="G257" s="15">
        <f>IF(H257*I257/100+0.000005 &lt;1, TRUNC(H257*I257/100+0.000005, 옵션!$E$13), TRUNC(H257*I257/100+0.000005, 옵션!$E$13))</f>
        <v>8.9999999999999993E-3</v>
      </c>
      <c r="H257" s="15">
        <f>옵션!$B$13</f>
        <v>100</v>
      </c>
      <c r="I257" s="15">
        <f>SUM(AA256:AA256)</f>
        <v>9.0000000000000011E-3</v>
      </c>
      <c r="J257" s="15"/>
      <c r="K257" s="12"/>
      <c r="L257" s="15"/>
      <c r="M257" s="15"/>
      <c r="N257" s="15"/>
      <c r="O257" s="15" t="str">
        <f>IF(I257*M257=0, "", I257*M257*(N257/100))</f>
        <v/>
      </c>
      <c r="P257" s="38"/>
      <c r="Q257" s="38">
        <f>TRUNC(P257*M257*N257/100)</f>
        <v>0</v>
      </c>
      <c r="R257" s="38"/>
      <c r="S257" s="15"/>
      <c r="T257" s="15"/>
      <c r="Z257" s="2" t="s">
        <v>1399</v>
      </c>
      <c r="AA257" s="2">
        <f>SUM(AA256:AA256)</f>
        <v>9.0000000000000011E-3</v>
      </c>
    </row>
    <row r="258" spans="2:27" ht="21.95" customHeight="1" x14ac:dyDescent="0.15">
      <c r="B258" s="13" t="s">
        <v>1448</v>
      </c>
      <c r="D258" s="170" t="s">
        <v>1518</v>
      </c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2"/>
    </row>
    <row r="259" spans="2:27" ht="21.95" customHeight="1" x14ac:dyDescent="0.15">
      <c r="B259" s="13" t="s">
        <v>1397</v>
      </c>
      <c r="C259" s="13" t="s">
        <v>412</v>
      </c>
      <c r="D259" s="12" t="s">
        <v>408</v>
      </c>
      <c r="E259" s="12" t="s">
        <v>413</v>
      </c>
      <c r="F259" s="15" t="s">
        <v>166</v>
      </c>
      <c r="G259" s="15">
        <v>1</v>
      </c>
      <c r="H259" s="15">
        <f>IF(I259&lt;&gt;0, G259-I259, "")</f>
        <v>0</v>
      </c>
      <c r="I259" s="15">
        <v>1</v>
      </c>
      <c r="J259" s="15"/>
      <c r="K259" s="12" t="s">
        <v>1372</v>
      </c>
      <c r="L259" s="15" t="s">
        <v>1004</v>
      </c>
      <c r="M259" s="15">
        <v>6.0000000000000001E-3</v>
      </c>
      <c r="N259" s="15">
        <v>150</v>
      </c>
      <c r="O259" s="15">
        <f>IF(I259*M259=0, "", I259*M259*(N259/100))</f>
        <v>9.0000000000000011E-3</v>
      </c>
      <c r="P259" s="38"/>
      <c r="Q259" s="38">
        <f>TRUNC(P259*M259*N259/100)</f>
        <v>0</v>
      </c>
      <c r="R259" s="38"/>
      <c r="S259" s="15" t="s">
        <v>1402</v>
      </c>
      <c r="T259" s="15"/>
      <c r="AA259" s="2">
        <f>O259</f>
        <v>9.0000000000000011E-3</v>
      </c>
    </row>
    <row r="260" spans="2:27" ht="21.95" customHeight="1" x14ac:dyDescent="0.15">
      <c r="B260" s="13" t="s">
        <v>1397</v>
      </c>
      <c r="C260" s="13" t="s">
        <v>1002</v>
      </c>
      <c r="D260" s="12" t="s">
        <v>1003</v>
      </c>
      <c r="E260" s="12" t="s">
        <v>1004</v>
      </c>
      <c r="F260" s="15" t="s">
        <v>999</v>
      </c>
      <c r="G260" s="15">
        <f>IF(H260*I260/100+0.000005 &lt;1, TRUNC(H260*I260/100+0.000005, 옵션!$E$13), TRUNC(H260*I260/100+0.000005, 옵션!$E$13))</f>
        <v>8.9999999999999993E-3</v>
      </c>
      <c r="H260" s="15">
        <f>옵션!$B$13</f>
        <v>100</v>
      </c>
      <c r="I260" s="15">
        <f>SUM(AA259:AA259)</f>
        <v>9.0000000000000011E-3</v>
      </c>
      <c r="J260" s="15"/>
      <c r="K260" s="12"/>
      <c r="L260" s="15"/>
      <c r="M260" s="15"/>
      <c r="N260" s="15"/>
      <c r="O260" s="15" t="str">
        <f>IF(I260*M260=0, "", I260*M260*(N260/100))</f>
        <v/>
      </c>
      <c r="P260" s="38"/>
      <c r="Q260" s="38">
        <f>TRUNC(P260*M260*N260/100)</f>
        <v>0</v>
      </c>
      <c r="R260" s="38"/>
      <c r="S260" s="15"/>
      <c r="T260" s="15"/>
      <c r="Z260" s="2" t="s">
        <v>1399</v>
      </c>
      <c r="AA260" s="2">
        <f>SUM(AA259:AA259)</f>
        <v>9.0000000000000011E-3</v>
      </c>
    </row>
    <row r="261" spans="2:27" ht="21.95" customHeight="1" x14ac:dyDescent="0.15">
      <c r="B261" s="13" t="s">
        <v>1448</v>
      </c>
      <c r="D261" s="170" t="s">
        <v>1519</v>
      </c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2"/>
    </row>
    <row r="262" spans="2:27" ht="21.95" customHeight="1" x14ac:dyDescent="0.15">
      <c r="B262" s="13" t="s">
        <v>1397</v>
      </c>
      <c r="C262" s="13" t="s">
        <v>414</v>
      </c>
      <c r="D262" s="12" t="s">
        <v>408</v>
      </c>
      <c r="E262" s="12" t="s">
        <v>415</v>
      </c>
      <c r="F262" s="15" t="s">
        <v>166</v>
      </c>
      <c r="G262" s="15">
        <v>1</v>
      </c>
      <c r="H262" s="15">
        <f>IF(I262&lt;&gt;0, G262-I262, "")</f>
        <v>0</v>
      </c>
      <c r="I262" s="15">
        <v>1</v>
      </c>
      <c r="J262" s="15"/>
      <c r="K262" s="12" t="s">
        <v>1372</v>
      </c>
      <c r="L262" s="15" t="s">
        <v>1004</v>
      </c>
      <c r="M262" s="15">
        <v>6.0000000000000001E-3</v>
      </c>
      <c r="N262" s="15">
        <v>150</v>
      </c>
      <c r="O262" s="15">
        <f>IF(I262*M262=0, "", I262*M262*(N262/100))</f>
        <v>9.0000000000000011E-3</v>
      </c>
      <c r="P262" s="38"/>
      <c r="Q262" s="38">
        <f>TRUNC(P262*M262*N262/100)</f>
        <v>0</v>
      </c>
      <c r="R262" s="38"/>
      <c r="S262" s="15" t="s">
        <v>1402</v>
      </c>
      <c r="T262" s="15"/>
      <c r="AA262" s="2">
        <f>O262</f>
        <v>9.0000000000000011E-3</v>
      </c>
    </row>
    <row r="263" spans="2:27" ht="21.95" customHeight="1" x14ac:dyDescent="0.15">
      <c r="B263" s="13" t="s">
        <v>1397</v>
      </c>
      <c r="C263" s="13" t="s">
        <v>1002</v>
      </c>
      <c r="D263" s="12" t="s">
        <v>1003</v>
      </c>
      <c r="E263" s="12" t="s">
        <v>1004</v>
      </c>
      <c r="F263" s="15" t="s">
        <v>999</v>
      </c>
      <c r="G263" s="15">
        <f>IF(H263*I263/100+0.000005 &lt;1, TRUNC(H263*I263/100+0.000005, 옵션!$E$13), TRUNC(H263*I263/100+0.000005, 옵션!$E$13))</f>
        <v>8.9999999999999993E-3</v>
      </c>
      <c r="H263" s="15">
        <f>옵션!$B$13</f>
        <v>100</v>
      </c>
      <c r="I263" s="15">
        <f>SUM(AA262:AA262)</f>
        <v>9.0000000000000011E-3</v>
      </c>
      <c r="J263" s="15"/>
      <c r="K263" s="12"/>
      <c r="L263" s="15"/>
      <c r="M263" s="15"/>
      <c r="N263" s="15"/>
      <c r="O263" s="15" t="str">
        <f>IF(I263*M263=0, "", I263*M263*(N263/100))</f>
        <v/>
      </c>
      <c r="P263" s="38"/>
      <c r="Q263" s="38">
        <f>TRUNC(P263*M263*N263/100)</f>
        <v>0</v>
      </c>
      <c r="R263" s="38"/>
      <c r="S263" s="15"/>
      <c r="T263" s="15"/>
      <c r="Z263" s="2" t="s">
        <v>1399</v>
      </c>
      <c r="AA263" s="2">
        <f>SUM(AA262:AA262)</f>
        <v>9.0000000000000011E-3</v>
      </c>
    </row>
    <row r="264" spans="2:27" ht="21.95" customHeight="1" x14ac:dyDescent="0.15">
      <c r="B264" s="13" t="s">
        <v>1448</v>
      </c>
      <c r="D264" s="170" t="s">
        <v>1520</v>
      </c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2"/>
    </row>
    <row r="265" spans="2:27" ht="21.95" customHeight="1" x14ac:dyDescent="0.15">
      <c r="B265" s="13" t="s">
        <v>1397</v>
      </c>
      <c r="C265" s="13" t="s">
        <v>416</v>
      </c>
      <c r="D265" s="12" t="s">
        <v>408</v>
      </c>
      <c r="E265" s="12" t="s">
        <v>417</v>
      </c>
      <c r="F265" s="15" t="s">
        <v>166</v>
      </c>
      <c r="G265" s="15">
        <v>1</v>
      </c>
      <c r="H265" s="15">
        <f>IF(I265&lt;&gt;0, G265-I265, "")</f>
        <v>0</v>
      </c>
      <c r="I265" s="15">
        <v>1</v>
      </c>
      <c r="J265" s="15"/>
      <c r="K265" s="12" t="s">
        <v>1372</v>
      </c>
      <c r="L265" s="15" t="s">
        <v>1004</v>
      </c>
      <c r="M265" s="15">
        <v>7.0000000000000001E-3</v>
      </c>
      <c r="N265" s="15">
        <v>150</v>
      </c>
      <c r="O265" s="15">
        <f>IF(I265*M265=0, "", I265*M265*(N265/100))</f>
        <v>1.0500000000000001E-2</v>
      </c>
      <c r="P265" s="38"/>
      <c r="Q265" s="38">
        <f>TRUNC(P265*M265*N265/100)</f>
        <v>0</v>
      </c>
      <c r="R265" s="38"/>
      <c r="S265" s="15" t="s">
        <v>1402</v>
      </c>
      <c r="T265" s="15"/>
      <c r="AA265" s="2">
        <f>O265</f>
        <v>1.0500000000000001E-2</v>
      </c>
    </row>
    <row r="266" spans="2:27" ht="21.95" customHeight="1" x14ac:dyDescent="0.15">
      <c r="B266" s="13" t="s">
        <v>1397</v>
      </c>
      <c r="C266" s="13" t="s">
        <v>1002</v>
      </c>
      <c r="D266" s="12" t="s">
        <v>1003</v>
      </c>
      <c r="E266" s="12" t="s">
        <v>1004</v>
      </c>
      <c r="F266" s="15" t="s">
        <v>999</v>
      </c>
      <c r="G266" s="15">
        <f>IF(H266*I266/100+0.000005 &lt;1, TRUNC(H266*I266/100+0.000005, 옵션!$E$13), TRUNC(H266*I266/100+0.000005, 옵션!$E$13))</f>
        <v>1.0500000000000001E-2</v>
      </c>
      <c r="H266" s="15">
        <f>옵션!$B$13</f>
        <v>100</v>
      </c>
      <c r="I266" s="15">
        <f>SUM(AA265:AA265)</f>
        <v>1.0500000000000001E-2</v>
      </c>
      <c r="J266" s="15"/>
      <c r="K266" s="12"/>
      <c r="L266" s="15"/>
      <c r="M266" s="15"/>
      <c r="N266" s="15"/>
      <c r="O266" s="15" t="str">
        <f>IF(I266*M266=0, "", I266*M266*(N266/100))</f>
        <v/>
      </c>
      <c r="P266" s="38"/>
      <c r="Q266" s="38">
        <f>TRUNC(P266*M266*N266/100)</f>
        <v>0</v>
      </c>
      <c r="R266" s="38"/>
      <c r="S266" s="15"/>
      <c r="T266" s="15"/>
      <c r="Z266" s="2" t="s">
        <v>1399</v>
      </c>
      <c r="AA266" s="2">
        <f>SUM(AA265:AA265)</f>
        <v>1.0500000000000001E-2</v>
      </c>
    </row>
    <row r="267" spans="2:27" ht="21.95" customHeight="1" x14ac:dyDescent="0.15">
      <c r="B267" s="13" t="s">
        <v>1448</v>
      </c>
      <c r="D267" s="170" t="s">
        <v>1521</v>
      </c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2"/>
    </row>
    <row r="268" spans="2:27" ht="21.95" customHeight="1" x14ac:dyDescent="0.15">
      <c r="B268" s="13" t="s">
        <v>1397</v>
      </c>
      <c r="C268" s="13" t="s">
        <v>418</v>
      </c>
      <c r="D268" s="12" t="s">
        <v>408</v>
      </c>
      <c r="E268" s="12" t="s">
        <v>419</v>
      </c>
      <c r="F268" s="15" t="s">
        <v>166</v>
      </c>
      <c r="G268" s="15">
        <v>1</v>
      </c>
      <c r="H268" s="15">
        <f>IF(I268&lt;&gt;0, G268-I268, "")</f>
        <v>0</v>
      </c>
      <c r="I268" s="15">
        <v>1</v>
      </c>
      <c r="J268" s="15"/>
      <c r="K268" s="12" t="s">
        <v>1372</v>
      </c>
      <c r="L268" s="15" t="s">
        <v>1004</v>
      </c>
      <c r="M268" s="15">
        <v>7.0000000000000001E-3</v>
      </c>
      <c r="N268" s="15">
        <v>150</v>
      </c>
      <c r="O268" s="15">
        <f>IF(I268*M268=0, "", I268*M268*(N268/100))</f>
        <v>1.0500000000000001E-2</v>
      </c>
      <c r="P268" s="38"/>
      <c r="Q268" s="38">
        <f>TRUNC(P268*M268*N268/100)</f>
        <v>0</v>
      </c>
      <c r="R268" s="38"/>
      <c r="S268" s="15" t="s">
        <v>1402</v>
      </c>
      <c r="T268" s="15"/>
      <c r="AA268" s="2">
        <f>O268</f>
        <v>1.0500000000000001E-2</v>
      </c>
    </row>
    <row r="269" spans="2:27" ht="21.95" customHeight="1" x14ac:dyDescent="0.15">
      <c r="B269" s="13" t="s">
        <v>1397</v>
      </c>
      <c r="C269" s="13" t="s">
        <v>1002</v>
      </c>
      <c r="D269" s="12" t="s">
        <v>1003</v>
      </c>
      <c r="E269" s="12" t="s">
        <v>1004</v>
      </c>
      <c r="F269" s="15" t="s">
        <v>999</v>
      </c>
      <c r="G269" s="15">
        <f>IF(H269*I269/100+0.000005 &lt;1, TRUNC(H269*I269/100+0.000005, 옵션!$E$13), TRUNC(H269*I269/100+0.000005, 옵션!$E$13))</f>
        <v>1.0500000000000001E-2</v>
      </c>
      <c r="H269" s="15">
        <f>옵션!$B$13</f>
        <v>100</v>
      </c>
      <c r="I269" s="15">
        <f>SUM(AA268:AA268)</f>
        <v>1.0500000000000001E-2</v>
      </c>
      <c r="J269" s="15"/>
      <c r="K269" s="12"/>
      <c r="L269" s="15"/>
      <c r="M269" s="15"/>
      <c r="N269" s="15"/>
      <c r="O269" s="15" t="str">
        <f>IF(I269*M269=0, "", I269*M269*(N269/100))</f>
        <v/>
      </c>
      <c r="P269" s="38"/>
      <c r="Q269" s="38">
        <f>TRUNC(P269*M269*N269/100)</f>
        <v>0</v>
      </c>
      <c r="R269" s="38"/>
      <c r="S269" s="15"/>
      <c r="T269" s="15"/>
      <c r="Z269" s="2" t="s">
        <v>1399</v>
      </c>
      <c r="AA269" s="2">
        <f>SUM(AA268:AA268)</f>
        <v>1.0500000000000001E-2</v>
      </c>
    </row>
    <row r="270" spans="2:27" ht="21.95" customHeight="1" x14ac:dyDescent="0.15">
      <c r="B270" s="13" t="s">
        <v>1448</v>
      </c>
      <c r="D270" s="170" t="s">
        <v>1522</v>
      </c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2"/>
    </row>
    <row r="271" spans="2:27" ht="21.95" customHeight="1" x14ac:dyDescent="0.15">
      <c r="B271" s="13" t="s">
        <v>1397</v>
      </c>
      <c r="C271" s="13" t="s">
        <v>420</v>
      </c>
      <c r="D271" s="12" t="s">
        <v>408</v>
      </c>
      <c r="E271" s="12" t="s">
        <v>421</v>
      </c>
      <c r="F271" s="15" t="s">
        <v>166</v>
      </c>
      <c r="G271" s="15">
        <v>1</v>
      </c>
      <c r="H271" s="15">
        <f>IF(I271&lt;&gt;0, G271-I271, "")</f>
        <v>0</v>
      </c>
      <c r="I271" s="15">
        <v>1</v>
      </c>
      <c r="J271" s="15"/>
      <c r="K271" s="12" t="s">
        <v>1372</v>
      </c>
      <c r="L271" s="15" t="s">
        <v>1004</v>
      </c>
      <c r="M271" s="15">
        <v>7.0000000000000001E-3</v>
      </c>
      <c r="N271" s="15">
        <v>150</v>
      </c>
      <c r="O271" s="15">
        <f>IF(I271*M271=0, "", I271*M271*(N271/100))</f>
        <v>1.0500000000000001E-2</v>
      </c>
      <c r="P271" s="38"/>
      <c r="Q271" s="38">
        <f>TRUNC(P271*M271*N271/100)</f>
        <v>0</v>
      </c>
      <c r="R271" s="38"/>
      <c r="S271" s="15" t="s">
        <v>1402</v>
      </c>
      <c r="T271" s="15"/>
      <c r="AA271" s="2">
        <f>O271</f>
        <v>1.0500000000000001E-2</v>
      </c>
    </row>
    <row r="272" spans="2:27" ht="21.95" customHeight="1" x14ac:dyDescent="0.15">
      <c r="B272" s="13" t="s">
        <v>1397</v>
      </c>
      <c r="C272" s="13" t="s">
        <v>1002</v>
      </c>
      <c r="D272" s="12" t="s">
        <v>1003</v>
      </c>
      <c r="E272" s="12" t="s">
        <v>1004</v>
      </c>
      <c r="F272" s="15" t="s">
        <v>999</v>
      </c>
      <c r="G272" s="15">
        <f>IF(H272*I272/100+0.000005 &lt;1, TRUNC(H272*I272/100+0.000005, 옵션!$E$13), TRUNC(H272*I272/100+0.000005, 옵션!$E$13))</f>
        <v>1.0500000000000001E-2</v>
      </c>
      <c r="H272" s="15">
        <f>옵션!$B$13</f>
        <v>100</v>
      </c>
      <c r="I272" s="15">
        <f>SUM(AA271:AA271)</f>
        <v>1.0500000000000001E-2</v>
      </c>
      <c r="J272" s="15"/>
      <c r="K272" s="12"/>
      <c r="L272" s="15"/>
      <c r="M272" s="15"/>
      <c r="N272" s="15"/>
      <c r="O272" s="15" t="str">
        <f>IF(I272*M272=0, "", I272*M272*(N272/100))</f>
        <v/>
      </c>
      <c r="P272" s="38"/>
      <c r="Q272" s="38">
        <f>TRUNC(P272*M272*N272/100)</f>
        <v>0</v>
      </c>
      <c r="R272" s="38"/>
      <c r="S272" s="15"/>
      <c r="T272" s="15"/>
      <c r="Z272" s="2" t="s">
        <v>1399</v>
      </c>
      <c r="AA272" s="2">
        <f>SUM(AA271:AA271)</f>
        <v>1.0500000000000001E-2</v>
      </c>
    </row>
    <row r="273" spans="2:27" ht="21.95" customHeight="1" x14ac:dyDescent="0.15">
      <c r="B273" s="13" t="s">
        <v>1448</v>
      </c>
      <c r="D273" s="170" t="s">
        <v>1523</v>
      </c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2"/>
    </row>
    <row r="274" spans="2:27" ht="21.95" customHeight="1" x14ac:dyDescent="0.15">
      <c r="B274" s="13" t="s">
        <v>1397</v>
      </c>
      <c r="C274" s="13" t="s">
        <v>422</v>
      </c>
      <c r="D274" s="12" t="s">
        <v>408</v>
      </c>
      <c r="E274" s="12" t="s">
        <v>423</v>
      </c>
      <c r="F274" s="15" t="s">
        <v>166</v>
      </c>
      <c r="G274" s="15">
        <v>1</v>
      </c>
      <c r="H274" s="15">
        <f>IF(I274&lt;&gt;0, G274-I274, "")</f>
        <v>0</v>
      </c>
      <c r="I274" s="15">
        <v>1</v>
      </c>
      <c r="J274" s="15"/>
      <c r="K274" s="12" t="s">
        <v>1372</v>
      </c>
      <c r="L274" s="15" t="s">
        <v>1004</v>
      </c>
      <c r="M274" s="15">
        <v>8.0000000000000002E-3</v>
      </c>
      <c r="N274" s="15">
        <v>150</v>
      </c>
      <c r="O274" s="15">
        <f>IF(I274*M274=0, "", I274*M274*(N274/100))</f>
        <v>1.2E-2</v>
      </c>
      <c r="P274" s="38"/>
      <c r="Q274" s="38">
        <f>TRUNC(P274*M274*N274/100)</f>
        <v>0</v>
      </c>
      <c r="R274" s="38"/>
      <c r="S274" s="15" t="s">
        <v>1402</v>
      </c>
      <c r="T274" s="15"/>
      <c r="AA274" s="2">
        <f>O274</f>
        <v>1.2E-2</v>
      </c>
    </row>
    <row r="275" spans="2:27" ht="21.95" customHeight="1" x14ac:dyDescent="0.15">
      <c r="B275" s="13" t="s">
        <v>1397</v>
      </c>
      <c r="C275" s="13" t="s">
        <v>1002</v>
      </c>
      <c r="D275" s="12" t="s">
        <v>1003</v>
      </c>
      <c r="E275" s="12" t="s">
        <v>1004</v>
      </c>
      <c r="F275" s="15" t="s">
        <v>999</v>
      </c>
      <c r="G275" s="15">
        <f>IF(H275*I275/100+0.000005 &lt;1, TRUNC(H275*I275/100+0.000005, 옵션!$E$13), TRUNC(H275*I275/100+0.000005, 옵션!$E$13))</f>
        <v>1.2E-2</v>
      </c>
      <c r="H275" s="15">
        <f>옵션!$B$13</f>
        <v>100</v>
      </c>
      <c r="I275" s="15">
        <f>SUM(AA274:AA274)</f>
        <v>1.2E-2</v>
      </c>
      <c r="J275" s="15"/>
      <c r="K275" s="12"/>
      <c r="L275" s="15"/>
      <c r="M275" s="15"/>
      <c r="N275" s="15"/>
      <c r="O275" s="15" t="str">
        <f>IF(I275*M275=0, "", I275*M275*(N275/100))</f>
        <v/>
      </c>
      <c r="P275" s="38"/>
      <c r="Q275" s="38">
        <f>TRUNC(P275*M275*N275/100)</f>
        <v>0</v>
      </c>
      <c r="R275" s="38"/>
      <c r="S275" s="15"/>
      <c r="T275" s="15"/>
      <c r="Z275" s="2" t="s">
        <v>1399</v>
      </c>
      <c r="AA275" s="2">
        <f>SUM(AA274:AA274)</f>
        <v>1.2E-2</v>
      </c>
    </row>
    <row r="276" spans="2:27" ht="21.95" customHeight="1" x14ac:dyDescent="0.15">
      <c r="B276" s="13" t="s">
        <v>1448</v>
      </c>
      <c r="D276" s="170" t="s">
        <v>1524</v>
      </c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2"/>
    </row>
    <row r="277" spans="2:27" ht="21.95" customHeight="1" x14ac:dyDescent="0.15">
      <c r="B277" s="13" t="s">
        <v>1397</v>
      </c>
      <c r="C277" s="13" t="s">
        <v>424</v>
      </c>
      <c r="D277" s="12" t="s">
        <v>408</v>
      </c>
      <c r="E277" s="12" t="s">
        <v>425</v>
      </c>
      <c r="F277" s="15" t="s">
        <v>166</v>
      </c>
      <c r="G277" s="15">
        <v>1</v>
      </c>
      <c r="H277" s="15">
        <f>IF(I277&lt;&gt;0, G277-I277, "")</f>
        <v>0</v>
      </c>
      <c r="I277" s="15">
        <v>1</v>
      </c>
      <c r="J277" s="15"/>
      <c r="K277" s="12" t="s">
        <v>1372</v>
      </c>
      <c r="L277" s="15" t="s">
        <v>1004</v>
      </c>
      <c r="M277" s="15">
        <v>8.0000000000000002E-3</v>
      </c>
      <c r="N277" s="15">
        <v>150</v>
      </c>
      <c r="O277" s="15">
        <f>IF(I277*M277=0, "", I277*M277*(N277/100))</f>
        <v>1.2E-2</v>
      </c>
      <c r="P277" s="38"/>
      <c r="Q277" s="38">
        <f>TRUNC(P277*M277*N277/100)</f>
        <v>0</v>
      </c>
      <c r="R277" s="38"/>
      <c r="S277" s="15" t="s">
        <v>1402</v>
      </c>
      <c r="T277" s="15"/>
      <c r="AA277" s="2">
        <f>O277</f>
        <v>1.2E-2</v>
      </c>
    </row>
    <row r="278" spans="2:27" ht="21.95" customHeight="1" x14ac:dyDescent="0.15">
      <c r="B278" s="13" t="s">
        <v>1397</v>
      </c>
      <c r="C278" s="13" t="s">
        <v>1002</v>
      </c>
      <c r="D278" s="12" t="s">
        <v>1003</v>
      </c>
      <c r="E278" s="12" t="s">
        <v>1004</v>
      </c>
      <c r="F278" s="15" t="s">
        <v>999</v>
      </c>
      <c r="G278" s="15">
        <f>IF(H278*I278/100+0.000005 &lt;1, TRUNC(H278*I278/100+0.000005, 옵션!$E$13), TRUNC(H278*I278/100+0.000005, 옵션!$E$13))</f>
        <v>1.2E-2</v>
      </c>
      <c r="H278" s="15">
        <f>옵션!$B$13</f>
        <v>100</v>
      </c>
      <c r="I278" s="15">
        <f>SUM(AA277:AA277)</f>
        <v>1.2E-2</v>
      </c>
      <c r="J278" s="15"/>
      <c r="K278" s="12"/>
      <c r="L278" s="15"/>
      <c r="M278" s="15"/>
      <c r="N278" s="15"/>
      <c r="O278" s="15" t="str">
        <f>IF(I278*M278=0, "", I278*M278*(N278/100))</f>
        <v/>
      </c>
      <c r="P278" s="38"/>
      <c r="Q278" s="38">
        <f>TRUNC(P278*M278*N278/100)</f>
        <v>0</v>
      </c>
      <c r="R278" s="38"/>
      <c r="S278" s="15"/>
      <c r="T278" s="15"/>
      <c r="Z278" s="2" t="s">
        <v>1399</v>
      </c>
      <c r="AA278" s="2">
        <f>SUM(AA277:AA277)</f>
        <v>1.2E-2</v>
      </c>
    </row>
    <row r="279" spans="2:27" ht="21.95" customHeight="1" x14ac:dyDescent="0.15">
      <c r="B279" s="13" t="s">
        <v>1448</v>
      </c>
      <c r="D279" s="170" t="s">
        <v>1525</v>
      </c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2"/>
    </row>
    <row r="280" spans="2:27" ht="21.95" customHeight="1" x14ac:dyDescent="0.15">
      <c r="B280" s="13" t="s">
        <v>1397</v>
      </c>
      <c r="C280" s="13" t="s">
        <v>426</v>
      </c>
      <c r="D280" s="12" t="s">
        <v>408</v>
      </c>
      <c r="E280" s="12" t="s">
        <v>427</v>
      </c>
      <c r="F280" s="15" t="s">
        <v>166</v>
      </c>
      <c r="G280" s="15">
        <v>1</v>
      </c>
      <c r="H280" s="15">
        <f>IF(I280&lt;&gt;0, G280-I280, "")</f>
        <v>0</v>
      </c>
      <c r="I280" s="15">
        <v>1</v>
      </c>
      <c r="J280" s="15"/>
      <c r="K280" s="12" t="s">
        <v>1372</v>
      </c>
      <c r="L280" s="15" t="s">
        <v>1004</v>
      </c>
      <c r="M280" s="15">
        <v>8.0000000000000002E-3</v>
      </c>
      <c r="N280" s="15">
        <v>150</v>
      </c>
      <c r="O280" s="15">
        <f>IF(I280*M280=0, "", I280*M280*(N280/100))</f>
        <v>1.2E-2</v>
      </c>
      <c r="P280" s="38"/>
      <c r="Q280" s="38">
        <f>TRUNC(P280*M280*N280/100)</f>
        <v>0</v>
      </c>
      <c r="R280" s="38"/>
      <c r="S280" s="15" t="s">
        <v>1402</v>
      </c>
      <c r="T280" s="15"/>
      <c r="AA280" s="2">
        <f>O280</f>
        <v>1.2E-2</v>
      </c>
    </row>
    <row r="281" spans="2:27" ht="21.95" customHeight="1" x14ac:dyDescent="0.15">
      <c r="B281" s="13" t="s">
        <v>1397</v>
      </c>
      <c r="C281" s="13" t="s">
        <v>1002</v>
      </c>
      <c r="D281" s="12" t="s">
        <v>1003</v>
      </c>
      <c r="E281" s="12" t="s">
        <v>1004</v>
      </c>
      <c r="F281" s="15" t="s">
        <v>999</v>
      </c>
      <c r="G281" s="15">
        <f>IF(H281*I281/100+0.000005 &lt;1, TRUNC(H281*I281/100+0.000005, 옵션!$E$13), TRUNC(H281*I281/100+0.000005, 옵션!$E$13))</f>
        <v>1.2E-2</v>
      </c>
      <c r="H281" s="15">
        <f>옵션!$B$13</f>
        <v>100</v>
      </c>
      <c r="I281" s="15">
        <f>SUM(AA280:AA280)</f>
        <v>1.2E-2</v>
      </c>
      <c r="J281" s="15"/>
      <c r="K281" s="12"/>
      <c r="L281" s="15"/>
      <c r="M281" s="15"/>
      <c r="N281" s="15"/>
      <c r="O281" s="15" t="str">
        <f>IF(I281*M281=0, "", I281*M281*(N281/100))</f>
        <v/>
      </c>
      <c r="P281" s="38"/>
      <c r="Q281" s="38">
        <f>TRUNC(P281*M281*N281/100)</f>
        <v>0</v>
      </c>
      <c r="R281" s="38"/>
      <c r="S281" s="15"/>
      <c r="T281" s="15"/>
      <c r="Z281" s="2" t="s">
        <v>1399</v>
      </c>
      <c r="AA281" s="2">
        <f>SUM(AA280:AA280)</f>
        <v>1.2E-2</v>
      </c>
    </row>
    <row r="282" spans="2:27" ht="21.95" customHeight="1" x14ac:dyDescent="0.15">
      <c r="B282" s="13" t="s">
        <v>1448</v>
      </c>
      <c r="D282" s="170" t="s">
        <v>1526</v>
      </c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2"/>
    </row>
    <row r="283" spans="2:27" ht="21.95" customHeight="1" x14ac:dyDescent="0.15">
      <c r="B283" s="13" t="s">
        <v>1397</v>
      </c>
      <c r="C283" s="13" t="s">
        <v>428</v>
      </c>
      <c r="D283" s="12" t="s">
        <v>408</v>
      </c>
      <c r="E283" s="12" t="s">
        <v>429</v>
      </c>
      <c r="F283" s="15" t="s">
        <v>166</v>
      </c>
      <c r="G283" s="15">
        <v>1</v>
      </c>
      <c r="H283" s="15">
        <f>IF(I283&lt;&gt;0, G283-I283, "")</f>
        <v>0</v>
      </c>
      <c r="I283" s="15">
        <v>1</v>
      </c>
      <c r="J283" s="15"/>
      <c r="K283" s="12" t="s">
        <v>1372</v>
      </c>
      <c r="L283" s="15" t="s">
        <v>1004</v>
      </c>
      <c r="M283" s="15">
        <v>1.0999999999999999E-2</v>
      </c>
      <c r="N283" s="15">
        <v>150</v>
      </c>
      <c r="O283" s="15">
        <f>IF(I283*M283=0, "", I283*M283*(N283/100))</f>
        <v>1.6500000000000001E-2</v>
      </c>
      <c r="P283" s="38"/>
      <c r="Q283" s="38">
        <f>TRUNC(P283*M283*N283/100)</f>
        <v>0</v>
      </c>
      <c r="R283" s="38"/>
      <c r="S283" s="15" t="s">
        <v>1402</v>
      </c>
      <c r="T283" s="15"/>
      <c r="AA283" s="2">
        <f>O283</f>
        <v>1.6500000000000001E-2</v>
      </c>
    </row>
    <row r="284" spans="2:27" ht="21.95" customHeight="1" x14ac:dyDescent="0.15">
      <c r="B284" s="13" t="s">
        <v>1397</v>
      </c>
      <c r="C284" s="13" t="s">
        <v>1002</v>
      </c>
      <c r="D284" s="12" t="s">
        <v>1003</v>
      </c>
      <c r="E284" s="12" t="s">
        <v>1004</v>
      </c>
      <c r="F284" s="15" t="s">
        <v>999</v>
      </c>
      <c r="G284" s="15">
        <f>IF(H284*I284/100+0.000005 &lt;1, TRUNC(H284*I284/100+0.000005, 옵션!$E$13), TRUNC(H284*I284/100+0.000005, 옵션!$E$13))</f>
        <v>1.6500000000000001E-2</v>
      </c>
      <c r="H284" s="15">
        <f>옵션!$B$13</f>
        <v>100</v>
      </c>
      <c r="I284" s="15">
        <f>SUM(AA283:AA283)</f>
        <v>1.6500000000000001E-2</v>
      </c>
      <c r="J284" s="15"/>
      <c r="K284" s="12"/>
      <c r="L284" s="15"/>
      <c r="M284" s="15"/>
      <c r="N284" s="15"/>
      <c r="O284" s="15" t="str">
        <f>IF(I284*M284=0, "", I284*M284*(N284/100))</f>
        <v/>
      </c>
      <c r="P284" s="38"/>
      <c r="Q284" s="38">
        <f>TRUNC(P284*M284*N284/100)</f>
        <v>0</v>
      </c>
      <c r="R284" s="38"/>
      <c r="S284" s="15"/>
      <c r="T284" s="15"/>
      <c r="Z284" s="2" t="s">
        <v>1399</v>
      </c>
      <c r="AA284" s="2">
        <f>SUM(AA283:AA283)</f>
        <v>1.6500000000000001E-2</v>
      </c>
    </row>
    <row r="285" spans="2:27" ht="21.95" customHeight="1" x14ac:dyDescent="0.15">
      <c r="B285" s="13" t="s">
        <v>1448</v>
      </c>
      <c r="D285" s="170" t="s">
        <v>1527</v>
      </c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2"/>
    </row>
    <row r="286" spans="2:27" ht="21.95" customHeight="1" x14ac:dyDescent="0.15">
      <c r="B286" s="13" t="s">
        <v>1397</v>
      </c>
      <c r="C286" s="13" t="s">
        <v>430</v>
      </c>
      <c r="D286" s="12" t="s">
        <v>431</v>
      </c>
      <c r="E286" s="12" t="s">
        <v>423</v>
      </c>
      <c r="F286" s="15" t="s">
        <v>166</v>
      </c>
      <c r="G286" s="15">
        <v>1</v>
      </c>
      <c r="H286" s="15">
        <f>IF(I286&lt;&gt;0, G286-I286, "")</f>
        <v>0</v>
      </c>
      <c r="I286" s="15">
        <v>1</v>
      </c>
      <c r="J286" s="15"/>
      <c r="K286" s="12" t="s">
        <v>1372</v>
      </c>
      <c r="L286" s="15" t="s">
        <v>1004</v>
      </c>
      <c r="M286" s="15">
        <v>8.0000000000000002E-3</v>
      </c>
      <c r="N286" s="15">
        <v>100</v>
      </c>
      <c r="O286" s="15">
        <f>IF(I286*M286=0, "", I286*M286*(N286/100))</f>
        <v>8.0000000000000002E-3</v>
      </c>
      <c r="P286" s="38"/>
      <c r="Q286" s="38">
        <f>TRUNC(P286*M286*N286/100)</f>
        <v>0</v>
      </c>
      <c r="R286" s="38"/>
      <c r="S286" s="15" t="s">
        <v>1402</v>
      </c>
      <c r="T286" s="15"/>
      <c r="AA286" s="2">
        <f>O286</f>
        <v>8.0000000000000002E-3</v>
      </c>
    </row>
    <row r="287" spans="2:27" ht="21.95" customHeight="1" x14ac:dyDescent="0.15">
      <c r="B287" s="13" t="s">
        <v>1397</v>
      </c>
      <c r="C287" s="13" t="s">
        <v>1002</v>
      </c>
      <c r="D287" s="12" t="s">
        <v>1003</v>
      </c>
      <c r="E287" s="12" t="s">
        <v>1004</v>
      </c>
      <c r="F287" s="15" t="s">
        <v>999</v>
      </c>
      <c r="G287" s="15">
        <f>IF(H287*I287/100+0.000005 &lt;1, TRUNC(H287*I287/100+0.000005, 옵션!$E$13), TRUNC(H287*I287/100+0.000005, 옵션!$E$13))</f>
        <v>8.0000000000000002E-3</v>
      </c>
      <c r="H287" s="15">
        <f>옵션!$B$13</f>
        <v>100</v>
      </c>
      <c r="I287" s="15">
        <f>SUM(AA286:AA286)</f>
        <v>8.0000000000000002E-3</v>
      </c>
      <c r="J287" s="15"/>
      <c r="K287" s="12"/>
      <c r="L287" s="15"/>
      <c r="M287" s="15"/>
      <c r="N287" s="15"/>
      <c r="O287" s="15" t="str">
        <f>IF(I287*M287=0, "", I287*M287*(N287/100))</f>
        <v/>
      </c>
      <c r="P287" s="38"/>
      <c r="Q287" s="38">
        <f>TRUNC(P287*M287*N287/100)</f>
        <v>0</v>
      </c>
      <c r="R287" s="38"/>
      <c r="S287" s="15"/>
      <c r="T287" s="15"/>
      <c r="Z287" s="2" t="s">
        <v>1399</v>
      </c>
      <c r="AA287" s="2">
        <f>SUM(AA286:AA286)</f>
        <v>8.0000000000000002E-3</v>
      </c>
    </row>
    <row r="288" spans="2:27" ht="21.95" customHeight="1" x14ac:dyDescent="0.15">
      <c r="B288" s="13" t="s">
        <v>1448</v>
      </c>
      <c r="D288" s="170" t="s">
        <v>1528</v>
      </c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2"/>
    </row>
    <row r="289" spans="2:28" ht="21.95" customHeight="1" x14ac:dyDescent="0.15">
      <c r="B289" s="13" t="s">
        <v>1397</v>
      </c>
      <c r="C289" s="13" t="s">
        <v>434</v>
      </c>
      <c r="D289" s="12" t="s">
        <v>435</v>
      </c>
      <c r="E289" s="12" t="s">
        <v>436</v>
      </c>
      <c r="F289" s="15" t="s">
        <v>166</v>
      </c>
      <c r="G289" s="15">
        <v>1</v>
      </c>
      <c r="H289" s="15">
        <f>IF(I289&lt;&gt;0, G289-I289, "")</f>
        <v>0</v>
      </c>
      <c r="I289" s="15">
        <v>1</v>
      </c>
      <c r="J289" s="15"/>
      <c r="K289" s="12" t="s">
        <v>1373</v>
      </c>
      <c r="L289" s="15" t="s">
        <v>1006</v>
      </c>
      <c r="M289" s="15">
        <v>5.1299999999999998E-2</v>
      </c>
      <c r="N289" s="15">
        <v>100</v>
      </c>
      <c r="O289" s="15">
        <f>IF(I289*M289=0, "", I289*M289*(N289/100))</f>
        <v>5.1299999999999998E-2</v>
      </c>
      <c r="P289" s="38"/>
      <c r="Q289" s="38">
        <f>TRUNC(P289*M289*N289/100)</f>
        <v>0</v>
      </c>
      <c r="R289" s="38"/>
      <c r="S289" s="15" t="s">
        <v>1420</v>
      </c>
      <c r="T289" s="15"/>
      <c r="AB289" s="2">
        <f>O289</f>
        <v>5.1299999999999998E-2</v>
      </c>
    </row>
    <row r="290" spans="2:28" ht="21.95" customHeight="1" x14ac:dyDescent="0.15">
      <c r="B290" s="13" t="s">
        <v>1397</v>
      </c>
      <c r="C290" s="13" t="s">
        <v>1005</v>
      </c>
      <c r="D290" s="12" t="s">
        <v>1003</v>
      </c>
      <c r="E290" s="12" t="s">
        <v>1006</v>
      </c>
      <c r="F290" s="15" t="s">
        <v>999</v>
      </c>
      <c r="G290" s="15">
        <f>IF(H290*I290/100+0.000005 &lt;1, TRUNC(H290*I290/100+0.000005, 옵션!$E$13), TRUNC(H290*I290/100+0.000005, 옵션!$E$13))</f>
        <v>5.1299999999999998E-2</v>
      </c>
      <c r="H290" s="15">
        <f>옵션!$B$13</f>
        <v>100</v>
      </c>
      <c r="I290" s="15">
        <f>SUM(AB289:AB289)</f>
        <v>5.1299999999999998E-2</v>
      </c>
      <c r="J290" s="15"/>
      <c r="K290" s="12"/>
      <c r="L290" s="15"/>
      <c r="M290" s="15"/>
      <c r="N290" s="15"/>
      <c r="O290" s="15" t="str">
        <f>IF(I290*M290=0, "", I290*M290*(N290/100))</f>
        <v/>
      </c>
      <c r="P290" s="38"/>
      <c r="Q290" s="38">
        <f>TRUNC(P290*M290*N290/100)</f>
        <v>0</v>
      </c>
      <c r="R290" s="38"/>
      <c r="S290" s="15"/>
      <c r="T290" s="15"/>
      <c r="Z290" s="2" t="s">
        <v>1399</v>
      </c>
      <c r="AB290" s="2">
        <f>SUM(AB289:AB289)</f>
        <v>5.1299999999999998E-2</v>
      </c>
    </row>
    <row r="291" spans="2:28" ht="21.95" customHeight="1" x14ac:dyDescent="0.15">
      <c r="B291" s="13" t="s">
        <v>1448</v>
      </c>
      <c r="D291" s="170" t="s">
        <v>1529</v>
      </c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2"/>
    </row>
    <row r="292" spans="2:28" ht="21.95" customHeight="1" x14ac:dyDescent="0.15">
      <c r="B292" s="13" t="s">
        <v>1397</v>
      </c>
      <c r="C292" s="13" t="s">
        <v>439</v>
      </c>
      <c r="D292" s="12" t="s">
        <v>440</v>
      </c>
      <c r="E292" s="12" t="s">
        <v>441</v>
      </c>
      <c r="F292" s="15" t="s">
        <v>166</v>
      </c>
      <c r="G292" s="15">
        <v>1</v>
      </c>
      <c r="H292" s="15">
        <f>IF(I292&lt;&gt;0, G292-I292, "")</f>
        <v>0</v>
      </c>
      <c r="I292" s="15">
        <v>1</v>
      </c>
      <c r="J292" s="15"/>
      <c r="K292" s="12" t="s">
        <v>1373</v>
      </c>
      <c r="L292" s="15" t="s">
        <v>1006</v>
      </c>
      <c r="M292" s="15">
        <v>3.6499999999999998E-2</v>
      </c>
      <c r="N292" s="15">
        <v>100</v>
      </c>
      <c r="O292" s="15">
        <f>IF(I292*M292=0, "", I292*M292*(N292/100))</f>
        <v>3.6499999999999998E-2</v>
      </c>
      <c r="P292" s="38"/>
      <c r="Q292" s="38">
        <f>TRUNC(P292*M292*N292/100)</f>
        <v>0</v>
      </c>
      <c r="R292" s="38"/>
      <c r="S292" s="15" t="s">
        <v>1420</v>
      </c>
      <c r="T292" s="15"/>
      <c r="AB292" s="2">
        <f>O292</f>
        <v>3.6499999999999998E-2</v>
      </c>
    </row>
    <row r="293" spans="2:28" ht="21.95" customHeight="1" x14ac:dyDescent="0.15">
      <c r="B293" s="13" t="s">
        <v>1397</v>
      </c>
      <c r="C293" s="13" t="s">
        <v>1005</v>
      </c>
      <c r="D293" s="12" t="s">
        <v>1003</v>
      </c>
      <c r="E293" s="12" t="s">
        <v>1006</v>
      </c>
      <c r="F293" s="15" t="s">
        <v>999</v>
      </c>
      <c r="G293" s="15">
        <f>IF(H293*I293/100+0.000005 &lt;1, TRUNC(H293*I293/100+0.000005, 옵션!$E$13), TRUNC(H293*I293/100+0.000005, 옵션!$E$13))</f>
        <v>3.6499999999999998E-2</v>
      </c>
      <c r="H293" s="15">
        <f>옵션!$B$13</f>
        <v>100</v>
      </c>
      <c r="I293" s="15">
        <f>SUM(AB292:AB292)</f>
        <v>3.6499999999999998E-2</v>
      </c>
      <c r="J293" s="15"/>
      <c r="K293" s="12"/>
      <c r="L293" s="15"/>
      <c r="M293" s="15"/>
      <c r="N293" s="15"/>
      <c r="O293" s="15" t="str">
        <f>IF(I293*M293=0, "", I293*M293*(N293/100))</f>
        <v/>
      </c>
      <c r="P293" s="38"/>
      <c r="Q293" s="38">
        <f>TRUNC(P293*M293*N293/100)</f>
        <v>0</v>
      </c>
      <c r="R293" s="38"/>
      <c r="S293" s="15"/>
      <c r="T293" s="15"/>
      <c r="Z293" s="2" t="s">
        <v>1399</v>
      </c>
      <c r="AB293" s="2">
        <f>SUM(AB292:AB292)</f>
        <v>3.6499999999999998E-2</v>
      </c>
    </row>
    <row r="294" spans="2:28" ht="21.95" customHeight="1" x14ac:dyDescent="0.15">
      <c r="B294" s="13" t="s">
        <v>1448</v>
      </c>
      <c r="D294" s="170" t="s">
        <v>1530</v>
      </c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2"/>
    </row>
    <row r="295" spans="2:28" ht="21.95" customHeight="1" x14ac:dyDescent="0.15">
      <c r="B295" s="13" t="s">
        <v>1397</v>
      </c>
      <c r="C295" s="13" t="s">
        <v>434</v>
      </c>
      <c r="D295" s="12" t="s">
        <v>440</v>
      </c>
      <c r="E295" s="12" t="s">
        <v>436</v>
      </c>
      <c r="F295" s="15" t="s">
        <v>166</v>
      </c>
      <c r="G295" s="15">
        <v>1</v>
      </c>
      <c r="H295" s="15">
        <f>IF(I295&lt;&gt;0, G295-I295, "")</f>
        <v>0</v>
      </c>
      <c r="I295" s="15">
        <v>1</v>
      </c>
      <c r="J295" s="15"/>
      <c r="K295" s="12" t="s">
        <v>1373</v>
      </c>
      <c r="L295" s="15" t="s">
        <v>1006</v>
      </c>
      <c r="M295" s="15">
        <v>4.8399999999999999E-2</v>
      </c>
      <c r="N295" s="15">
        <v>100</v>
      </c>
      <c r="O295" s="15">
        <f>IF(I295*M295=0, "", I295*M295*(N295/100))</f>
        <v>4.8399999999999999E-2</v>
      </c>
      <c r="P295" s="38"/>
      <c r="Q295" s="38">
        <f>TRUNC(P295*M295*N295/100)</f>
        <v>0</v>
      </c>
      <c r="R295" s="38"/>
      <c r="S295" s="15" t="s">
        <v>1420</v>
      </c>
      <c r="T295" s="15"/>
      <c r="AB295" s="2">
        <f>O295</f>
        <v>4.8399999999999999E-2</v>
      </c>
    </row>
    <row r="296" spans="2:28" ht="21.95" customHeight="1" x14ac:dyDescent="0.15">
      <c r="B296" s="13" t="s">
        <v>1397</v>
      </c>
      <c r="C296" s="13" t="s">
        <v>1005</v>
      </c>
      <c r="D296" s="12" t="s">
        <v>1003</v>
      </c>
      <c r="E296" s="12" t="s">
        <v>1006</v>
      </c>
      <c r="F296" s="15" t="s">
        <v>999</v>
      </c>
      <c r="G296" s="15">
        <f>IF(H296*I296/100+0.000005 &lt;1, TRUNC(H296*I296/100+0.000005, 옵션!$E$13), TRUNC(H296*I296/100+0.000005, 옵션!$E$13))</f>
        <v>4.8399999999999999E-2</v>
      </c>
      <c r="H296" s="15">
        <f>옵션!$B$13</f>
        <v>100</v>
      </c>
      <c r="I296" s="15">
        <f>SUM(AB295:AB295)</f>
        <v>4.8399999999999999E-2</v>
      </c>
      <c r="J296" s="15"/>
      <c r="K296" s="12"/>
      <c r="L296" s="15"/>
      <c r="M296" s="15"/>
      <c r="N296" s="15"/>
      <c r="O296" s="15" t="str">
        <f>IF(I296*M296=0, "", I296*M296*(N296/100))</f>
        <v/>
      </c>
      <c r="P296" s="38"/>
      <c r="Q296" s="38">
        <f>TRUNC(P296*M296*N296/100)</f>
        <v>0</v>
      </c>
      <c r="R296" s="38"/>
      <c r="S296" s="15"/>
      <c r="T296" s="15"/>
      <c r="Z296" s="2" t="s">
        <v>1399</v>
      </c>
      <c r="AB296" s="2">
        <f>SUM(AB295:AB295)</f>
        <v>4.8399999999999999E-2</v>
      </c>
    </row>
    <row r="297" spans="2:28" ht="21.95" customHeight="1" x14ac:dyDescent="0.15">
      <c r="B297" s="13" t="s">
        <v>1448</v>
      </c>
      <c r="D297" s="170" t="s">
        <v>1531</v>
      </c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2"/>
    </row>
    <row r="298" spans="2:28" ht="21.95" customHeight="1" x14ac:dyDescent="0.15">
      <c r="B298" s="13" t="s">
        <v>1397</v>
      </c>
      <c r="C298" s="13" t="s">
        <v>444</v>
      </c>
      <c r="D298" s="12" t="s">
        <v>445</v>
      </c>
      <c r="E298" s="12" t="s">
        <v>446</v>
      </c>
      <c r="F298" s="15" t="s">
        <v>166</v>
      </c>
      <c r="G298" s="15">
        <v>1</v>
      </c>
      <c r="H298" s="15">
        <f>IF(I298&lt;&gt;0, G298-I298, "")</f>
        <v>0</v>
      </c>
      <c r="I298" s="15">
        <v>1</v>
      </c>
      <c r="J298" s="15"/>
      <c r="K298" s="12" t="s">
        <v>1373</v>
      </c>
      <c r="L298" s="15" t="s">
        <v>1006</v>
      </c>
      <c r="M298" s="15">
        <v>1.6E-2</v>
      </c>
      <c r="N298" s="15">
        <v>100</v>
      </c>
      <c r="O298" s="15">
        <f>IF(I298*M298=0, "", I298*M298*(N298/100))</f>
        <v>1.6E-2</v>
      </c>
      <c r="P298" s="38"/>
      <c r="Q298" s="38">
        <f>TRUNC(P298*M298*N298/100)</f>
        <v>0</v>
      </c>
      <c r="R298" s="38"/>
      <c r="S298" s="15" t="s">
        <v>1421</v>
      </c>
      <c r="T298" s="15"/>
      <c r="AB298" s="2">
        <f>O298</f>
        <v>1.6E-2</v>
      </c>
    </row>
    <row r="299" spans="2:28" ht="21.95" customHeight="1" x14ac:dyDescent="0.15">
      <c r="B299" s="13" t="s">
        <v>1397</v>
      </c>
      <c r="C299" s="13" t="s">
        <v>1005</v>
      </c>
      <c r="D299" s="12" t="s">
        <v>1003</v>
      </c>
      <c r="E299" s="12" t="s">
        <v>1006</v>
      </c>
      <c r="F299" s="15" t="s">
        <v>999</v>
      </c>
      <c r="G299" s="15">
        <f>IF(H299*I299/100+0.000005 &lt;1, TRUNC(H299*I299/100+0.000005, 옵션!$E$13), TRUNC(H299*I299/100+0.000005, 옵션!$E$13))</f>
        <v>1.6E-2</v>
      </c>
      <c r="H299" s="15">
        <f>옵션!$B$13</f>
        <v>100</v>
      </c>
      <c r="I299" s="15">
        <f>SUM(AB298:AB298)</f>
        <v>1.6E-2</v>
      </c>
      <c r="J299" s="15"/>
      <c r="K299" s="12"/>
      <c r="L299" s="15"/>
      <c r="M299" s="15"/>
      <c r="N299" s="15"/>
      <c r="O299" s="15" t="str">
        <f>IF(I299*M299=0, "", I299*M299*(N299/100))</f>
        <v/>
      </c>
      <c r="P299" s="38"/>
      <c r="Q299" s="38">
        <f>TRUNC(P299*M299*N299/100)</f>
        <v>0</v>
      </c>
      <c r="R299" s="38"/>
      <c r="S299" s="15"/>
      <c r="T299" s="15"/>
      <c r="Z299" s="2" t="s">
        <v>1399</v>
      </c>
      <c r="AB299" s="2">
        <f>SUM(AB298:AB298)</f>
        <v>1.6E-2</v>
      </c>
    </row>
    <row r="300" spans="2:28" ht="21.95" customHeight="1" x14ac:dyDescent="0.15">
      <c r="B300" s="13" t="s">
        <v>1448</v>
      </c>
      <c r="D300" s="170" t="s">
        <v>1532</v>
      </c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2"/>
    </row>
    <row r="301" spans="2:28" ht="21.95" customHeight="1" x14ac:dyDescent="0.15">
      <c r="B301" s="13" t="s">
        <v>1397</v>
      </c>
      <c r="C301" s="13" t="s">
        <v>447</v>
      </c>
      <c r="D301" s="12" t="s">
        <v>445</v>
      </c>
      <c r="E301" s="12" t="s">
        <v>448</v>
      </c>
      <c r="F301" s="15" t="s">
        <v>166</v>
      </c>
      <c r="G301" s="15">
        <v>1</v>
      </c>
      <c r="H301" s="15">
        <f>IF(I301&lt;&gt;0, G301-I301, "")</f>
        <v>0</v>
      </c>
      <c r="I301" s="15">
        <v>1</v>
      </c>
      <c r="J301" s="15"/>
      <c r="K301" s="12" t="s">
        <v>1373</v>
      </c>
      <c r="L301" s="15" t="s">
        <v>1006</v>
      </c>
      <c r="M301" s="15">
        <v>1.7999999999999999E-2</v>
      </c>
      <c r="N301" s="15">
        <v>100</v>
      </c>
      <c r="O301" s="15">
        <f>IF(I301*M301=0, "", I301*M301*(N301/100))</f>
        <v>1.7999999999999999E-2</v>
      </c>
      <c r="P301" s="38"/>
      <c r="Q301" s="38">
        <f>TRUNC(P301*M301*N301/100)</f>
        <v>0</v>
      </c>
      <c r="R301" s="38"/>
      <c r="S301" s="15" t="s">
        <v>1421</v>
      </c>
      <c r="T301" s="15"/>
      <c r="AB301" s="2">
        <f>O301</f>
        <v>1.7999999999999999E-2</v>
      </c>
    </row>
    <row r="302" spans="2:28" ht="21.95" customHeight="1" x14ac:dyDescent="0.15">
      <c r="B302" s="13" t="s">
        <v>1397</v>
      </c>
      <c r="C302" s="13" t="s">
        <v>1005</v>
      </c>
      <c r="D302" s="12" t="s">
        <v>1003</v>
      </c>
      <c r="E302" s="12" t="s">
        <v>1006</v>
      </c>
      <c r="F302" s="15" t="s">
        <v>999</v>
      </c>
      <c r="G302" s="15">
        <f>IF(H302*I302/100+0.000005 &lt;1, TRUNC(H302*I302/100+0.000005, 옵션!$E$13), TRUNC(H302*I302/100+0.000005, 옵션!$E$13))</f>
        <v>1.7999999999999999E-2</v>
      </c>
      <c r="H302" s="15">
        <f>옵션!$B$13</f>
        <v>100</v>
      </c>
      <c r="I302" s="15">
        <f>SUM(AB301:AB301)</f>
        <v>1.7999999999999999E-2</v>
      </c>
      <c r="J302" s="15"/>
      <c r="K302" s="12"/>
      <c r="L302" s="15"/>
      <c r="M302" s="15"/>
      <c r="N302" s="15"/>
      <c r="O302" s="15" t="str">
        <f>IF(I302*M302=0, "", I302*M302*(N302/100))</f>
        <v/>
      </c>
      <c r="P302" s="38"/>
      <c r="Q302" s="38">
        <f>TRUNC(P302*M302*N302/100)</f>
        <v>0</v>
      </c>
      <c r="R302" s="38"/>
      <c r="S302" s="15"/>
      <c r="T302" s="15"/>
      <c r="Z302" s="2" t="s">
        <v>1399</v>
      </c>
      <c r="AB302" s="2">
        <f>SUM(AB301:AB301)</f>
        <v>1.7999999999999999E-2</v>
      </c>
    </row>
    <row r="303" spans="2:28" ht="21.95" customHeight="1" x14ac:dyDescent="0.15">
      <c r="B303" s="13" t="s">
        <v>1448</v>
      </c>
      <c r="D303" s="170" t="s">
        <v>1533</v>
      </c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2"/>
    </row>
    <row r="304" spans="2:28" ht="21.95" customHeight="1" x14ac:dyDescent="0.15">
      <c r="B304" s="13" t="s">
        <v>1397</v>
      </c>
      <c r="C304" s="13" t="s">
        <v>449</v>
      </c>
      <c r="D304" s="12" t="s">
        <v>445</v>
      </c>
      <c r="E304" s="12" t="s">
        <v>450</v>
      </c>
      <c r="F304" s="15" t="s">
        <v>166</v>
      </c>
      <c r="G304" s="15">
        <v>1</v>
      </c>
      <c r="H304" s="15">
        <f>IF(I304&lt;&gt;0, G304-I304, "")</f>
        <v>0</v>
      </c>
      <c r="I304" s="15">
        <v>1</v>
      </c>
      <c r="J304" s="15"/>
      <c r="K304" s="12" t="s">
        <v>1373</v>
      </c>
      <c r="L304" s="15" t="s">
        <v>1006</v>
      </c>
      <c r="M304" s="15">
        <v>2.5000000000000001E-2</v>
      </c>
      <c r="N304" s="15">
        <v>100</v>
      </c>
      <c r="O304" s="15">
        <f>IF(I304*M304=0, "", I304*M304*(N304/100))</f>
        <v>2.5000000000000001E-2</v>
      </c>
      <c r="P304" s="38"/>
      <c r="Q304" s="38">
        <f>TRUNC(P304*M304*N304/100)</f>
        <v>0</v>
      </c>
      <c r="R304" s="38"/>
      <c r="S304" s="15" t="s">
        <v>1421</v>
      </c>
      <c r="T304" s="15"/>
      <c r="AB304" s="2">
        <f>O304</f>
        <v>2.5000000000000001E-2</v>
      </c>
    </row>
    <row r="305" spans="2:28" ht="21.95" customHeight="1" x14ac:dyDescent="0.15">
      <c r="B305" s="13" t="s">
        <v>1397</v>
      </c>
      <c r="C305" s="13" t="s">
        <v>1005</v>
      </c>
      <c r="D305" s="12" t="s">
        <v>1003</v>
      </c>
      <c r="E305" s="12" t="s">
        <v>1006</v>
      </c>
      <c r="F305" s="15" t="s">
        <v>999</v>
      </c>
      <c r="G305" s="15">
        <f>IF(H305*I305/100+0.000005 &lt;1, TRUNC(H305*I305/100+0.000005, 옵션!$E$13), TRUNC(H305*I305/100+0.000005, 옵션!$E$13))</f>
        <v>2.5000000000000001E-2</v>
      </c>
      <c r="H305" s="15">
        <f>옵션!$B$13</f>
        <v>100</v>
      </c>
      <c r="I305" s="15">
        <f>SUM(AB304:AB304)</f>
        <v>2.5000000000000001E-2</v>
      </c>
      <c r="J305" s="15"/>
      <c r="K305" s="12"/>
      <c r="L305" s="15"/>
      <c r="M305" s="15"/>
      <c r="N305" s="15"/>
      <c r="O305" s="15" t="str">
        <f>IF(I305*M305=0, "", I305*M305*(N305/100))</f>
        <v/>
      </c>
      <c r="P305" s="38"/>
      <c r="Q305" s="38">
        <f>TRUNC(P305*M305*N305/100)</f>
        <v>0</v>
      </c>
      <c r="R305" s="38"/>
      <c r="S305" s="15"/>
      <c r="T305" s="15"/>
      <c r="Z305" s="2" t="s">
        <v>1399</v>
      </c>
      <c r="AB305" s="2">
        <f>SUM(AB304:AB304)</f>
        <v>2.5000000000000001E-2</v>
      </c>
    </row>
    <row r="306" spans="2:28" ht="21.95" customHeight="1" x14ac:dyDescent="0.15">
      <c r="B306" s="13" t="s">
        <v>1448</v>
      </c>
      <c r="D306" s="170" t="s">
        <v>1534</v>
      </c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2"/>
    </row>
    <row r="307" spans="2:28" ht="21.95" customHeight="1" x14ac:dyDescent="0.15">
      <c r="B307" s="13" t="s">
        <v>1397</v>
      </c>
      <c r="C307" s="13" t="s">
        <v>451</v>
      </c>
      <c r="D307" s="12" t="s">
        <v>445</v>
      </c>
      <c r="E307" s="12" t="s">
        <v>452</v>
      </c>
      <c r="F307" s="15" t="s">
        <v>166</v>
      </c>
      <c r="G307" s="15">
        <v>1</v>
      </c>
      <c r="H307" s="15">
        <f>IF(I307&lt;&gt;0, G307-I307, "")</f>
        <v>0</v>
      </c>
      <c r="I307" s="15">
        <v>1</v>
      </c>
      <c r="J307" s="15"/>
      <c r="K307" s="12" t="s">
        <v>1373</v>
      </c>
      <c r="L307" s="15" t="s">
        <v>1006</v>
      </c>
      <c r="M307" s="15">
        <v>2.1999999999999999E-2</v>
      </c>
      <c r="N307" s="15">
        <v>100</v>
      </c>
      <c r="O307" s="15">
        <f>IF(I307*M307=0, "", I307*M307*(N307/100))</f>
        <v>2.1999999999999999E-2</v>
      </c>
      <c r="P307" s="38"/>
      <c r="Q307" s="38">
        <f>TRUNC(P307*M307*N307/100)</f>
        <v>0</v>
      </c>
      <c r="R307" s="38"/>
      <c r="S307" s="15" t="s">
        <v>1421</v>
      </c>
      <c r="T307" s="15"/>
      <c r="AB307" s="2">
        <f>O307</f>
        <v>2.1999999999999999E-2</v>
      </c>
    </row>
    <row r="308" spans="2:28" ht="21.95" customHeight="1" x14ac:dyDescent="0.15">
      <c r="B308" s="13" t="s">
        <v>1397</v>
      </c>
      <c r="C308" s="13" t="s">
        <v>1005</v>
      </c>
      <c r="D308" s="12" t="s">
        <v>1003</v>
      </c>
      <c r="E308" s="12" t="s">
        <v>1006</v>
      </c>
      <c r="F308" s="15" t="s">
        <v>999</v>
      </c>
      <c r="G308" s="15">
        <f>IF(H308*I308/100+0.000005 &lt;1, TRUNC(H308*I308/100+0.000005, 옵션!$E$13), TRUNC(H308*I308/100+0.000005, 옵션!$E$13))</f>
        <v>2.1999999999999999E-2</v>
      </c>
      <c r="H308" s="15">
        <f>옵션!$B$13</f>
        <v>100</v>
      </c>
      <c r="I308" s="15">
        <f>SUM(AB307:AB307)</f>
        <v>2.1999999999999999E-2</v>
      </c>
      <c r="J308" s="15"/>
      <c r="K308" s="12"/>
      <c r="L308" s="15"/>
      <c r="M308" s="15"/>
      <c r="N308" s="15"/>
      <c r="O308" s="15" t="str">
        <f>IF(I308*M308=0, "", I308*M308*(N308/100))</f>
        <v/>
      </c>
      <c r="P308" s="38"/>
      <c r="Q308" s="38">
        <f>TRUNC(P308*M308*N308/100)</f>
        <v>0</v>
      </c>
      <c r="R308" s="38"/>
      <c r="S308" s="15"/>
      <c r="T308" s="15"/>
      <c r="Z308" s="2" t="s">
        <v>1399</v>
      </c>
      <c r="AB308" s="2">
        <f>SUM(AB307:AB307)</f>
        <v>2.1999999999999999E-2</v>
      </c>
    </row>
    <row r="309" spans="2:28" ht="21.95" customHeight="1" x14ac:dyDescent="0.15">
      <c r="B309" s="13" t="s">
        <v>1448</v>
      </c>
      <c r="D309" s="170" t="s">
        <v>1535</v>
      </c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2"/>
    </row>
    <row r="310" spans="2:28" ht="21.95" customHeight="1" x14ac:dyDescent="0.15">
      <c r="B310" s="13" t="s">
        <v>1397</v>
      </c>
      <c r="C310" s="13" t="s">
        <v>453</v>
      </c>
      <c r="D310" s="12" t="s">
        <v>445</v>
      </c>
      <c r="E310" s="12" t="s">
        <v>454</v>
      </c>
      <c r="F310" s="15" t="s">
        <v>166</v>
      </c>
      <c r="G310" s="15">
        <v>1</v>
      </c>
      <c r="H310" s="15">
        <f>IF(I310&lt;&gt;0, G310-I310, "")</f>
        <v>0</v>
      </c>
      <c r="I310" s="15">
        <v>1</v>
      </c>
      <c r="J310" s="15"/>
      <c r="K310" s="12" t="s">
        <v>1373</v>
      </c>
      <c r="L310" s="15" t="s">
        <v>1006</v>
      </c>
      <c r="M310" s="15">
        <v>2.5999999999999999E-2</v>
      </c>
      <c r="N310" s="15">
        <v>100</v>
      </c>
      <c r="O310" s="15">
        <f>IF(I310*M310=0, "", I310*M310*(N310/100))</f>
        <v>2.5999999999999999E-2</v>
      </c>
      <c r="P310" s="38"/>
      <c r="Q310" s="38">
        <f>TRUNC(P310*M310*N310/100)</f>
        <v>0</v>
      </c>
      <c r="R310" s="38"/>
      <c r="S310" s="15" t="s">
        <v>1421</v>
      </c>
      <c r="T310" s="15"/>
      <c r="AB310" s="2">
        <f>O310</f>
        <v>2.5999999999999999E-2</v>
      </c>
    </row>
    <row r="311" spans="2:28" ht="21.95" customHeight="1" x14ac:dyDescent="0.15">
      <c r="B311" s="13" t="s">
        <v>1397</v>
      </c>
      <c r="C311" s="13" t="s">
        <v>1005</v>
      </c>
      <c r="D311" s="12" t="s">
        <v>1003</v>
      </c>
      <c r="E311" s="12" t="s">
        <v>1006</v>
      </c>
      <c r="F311" s="15" t="s">
        <v>999</v>
      </c>
      <c r="G311" s="15">
        <f>IF(H311*I311/100+0.000005 &lt;1, TRUNC(H311*I311/100+0.000005, 옵션!$E$13), TRUNC(H311*I311/100+0.000005, 옵션!$E$13))</f>
        <v>2.5999999999999999E-2</v>
      </c>
      <c r="H311" s="15">
        <f>옵션!$B$13</f>
        <v>100</v>
      </c>
      <c r="I311" s="15">
        <f>SUM(AB310:AB310)</f>
        <v>2.5999999999999999E-2</v>
      </c>
      <c r="J311" s="15"/>
      <c r="K311" s="12"/>
      <c r="L311" s="15"/>
      <c r="M311" s="15"/>
      <c r="N311" s="15"/>
      <c r="O311" s="15" t="str">
        <f>IF(I311*M311=0, "", I311*M311*(N311/100))</f>
        <v/>
      </c>
      <c r="P311" s="38"/>
      <c r="Q311" s="38">
        <f>TRUNC(P311*M311*N311/100)</f>
        <v>0</v>
      </c>
      <c r="R311" s="38"/>
      <c r="S311" s="15"/>
      <c r="T311" s="15"/>
      <c r="Z311" s="2" t="s">
        <v>1399</v>
      </c>
      <c r="AB311" s="2">
        <f>SUM(AB310:AB310)</f>
        <v>2.5999999999999999E-2</v>
      </c>
    </row>
    <row r="312" spans="2:28" ht="21.95" customHeight="1" x14ac:dyDescent="0.15">
      <c r="B312" s="13" t="s">
        <v>1448</v>
      </c>
      <c r="D312" s="170" t="s">
        <v>1536</v>
      </c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2"/>
    </row>
    <row r="313" spans="2:28" ht="21.95" customHeight="1" x14ac:dyDescent="0.15">
      <c r="B313" s="13" t="s">
        <v>1397</v>
      </c>
      <c r="C313" s="13" t="s">
        <v>455</v>
      </c>
      <c r="D313" s="12" t="s">
        <v>445</v>
      </c>
      <c r="E313" s="12" t="s">
        <v>456</v>
      </c>
      <c r="F313" s="15" t="s">
        <v>166</v>
      </c>
      <c r="G313" s="15">
        <v>1</v>
      </c>
      <c r="H313" s="15">
        <f>IF(I313&lt;&gt;0, G313-I313, "")</f>
        <v>0</v>
      </c>
      <c r="I313" s="15">
        <v>1</v>
      </c>
      <c r="J313" s="15"/>
      <c r="K313" s="12" t="s">
        <v>1373</v>
      </c>
      <c r="L313" s="15" t="s">
        <v>1006</v>
      </c>
      <c r="M313" s="15">
        <v>3.4000000000000002E-2</v>
      </c>
      <c r="N313" s="15">
        <v>100</v>
      </c>
      <c r="O313" s="15">
        <f>IF(I313*M313=0, "", I313*M313*(N313/100))</f>
        <v>3.4000000000000002E-2</v>
      </c>
      <c r="P313" s="38"/>
      <c r="Q313" s="38">
        <f>TRUNC(P313*M313*N313/100)</f>
        <v>0</v>
      </c>
      <c r="R313" s="38"/>
      <c r="S313" s="15" t="s">
        <v>1421</v>
      </c>
      <c r="T313" s="15"/>
      <c r="AB313" s="2">
        <f>O313</f>
        <v>3.4000000000000002E-2</v>
      </c>
    </row>
    <row r="314" spans="2:28" ht="21.95" customHeight="1" x14ac:dyDescent="0.15">
      <c r="B314" s="13" t="s">
        <v>1397</v>
      </c>
      <c r="C314" s="13" t="s">
        <v>1005</v>
      </c>
      <c r="D314" s="12" t="s">
        <v>1003</v>
      </c>
      <c r="E314" s="12" t="s">
        <v>1006</v>
      </c>
      <c r="F314" s="15" t="s">
        <v>999</v>
      </c>
      <c r="G314" s="15">
        <f>IF(H314*I314/100+0.000005 &lt;1, TRUNC(H314*I314/100+0.000005, 옵션!$E$13), TRUNC(H314*I314/100+0.000005, 옵션!$E$13))</f>
        <v>3.4000000000000002E-2</v>
      </c>
      <c r="H314" s="15">
        <f>옵션!$B$13</f>
        <v>100</v>
      </c>
      <c r="I314" s="15">
        <f>SUM(AB313:AB313)</f>
        <v>3.4000000000000002E-2</v>
      </c>
      <c r="J314" s="15"/>
      <c r="K314" s="12"/>
      <c r="L314" s="15"/>
      <c r="M314" s="15"/>
      <c r="N314" s="15"/>
      <c r="O314" s="15" t="str">
        <f>IF(I314*M314=0, "", I314*M314*(N314/100))</f>
        <v/>
      </c>
      <c r="P314" s="38"/>
      <c r="Q314" s="38">
        <f>TRUNC(P314*M314*N314/100)</f>
        <v>0</v>
      </c>
      <c r="R314" s="38"/>
      <c r="S314" s="15"/>
      <c r="T314" s="15"/>
      <c r="Z314" s="2" t="s">
        <v>1399</v>
      </c>
      <c r="AB314" s="2">
        <f>SUM(AB313:AB313)</f>
        <v>3.4000000000000002E-2</v>
      </c>
    </row>
    <row r="315" spans="2:28" ht="21.95" customHeight="1" x14ac:dyDescent="0.15">
      <c r="B315" s="13" t="s">
        <v>1448</v>
      </c>
      <c r="D315" s="170" t="s">
        <v>1537</v>
      </c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2"/>
    </row>
    <row r="316" spans="2:28" ht="21.95" customHeight="1" x14ac:dyDescent="0.15">
      <c r="B316" s="13" t="s">
        <v>1397</v>
      </c>
      <c r="C316" s="13" t="s">
        <v>457</v>
      </c>
      <c r="D316" s="12" t="s">
        <v>445</v>
      </c>
      <c r="E316" s="12" t="s">
        <v>458</v>
      </c>
      <c r="F316" s="15" t="s">
        <v>166</v>
      </c>
      <c r="G316" s="15">
        <v>1</v>
      </c>
      <c r="H316" s="15">
        <f>IF(I316&lt;&gt;0, G316-I316, "")</f>
        <v>0</v>
      </c>
      <c r="I316" s="15">
        <v>1</v>
      </c>
      <c r="J316" s="15"/>
      <c r="K316" s="12" t="s">
        <v>1373</v>
      </c>
      <c r="L316" s="15" t="s">
        <v>1006</v>
      </c>
      <c r="M316" s="15">
        <v>4.9000000000000002E-2</v>
      </c>
      <c r="N316" s="15">
        <v>100</v>
      </c>
      <c r="O316" s="15">
        <f>IF(I316*M316=0, "", I316*M316*(N316/100))</f>
        <v>4.9000000000000002E-2</v>
      </c>
      <c r="P316" s="38"/>
      <c r="Q316" s="38">
        <f>TRUNC(P316*M316*N316/100)</f>
        <v>0</v>
      </c>
      <c r="R316" s="38"/>
      <c r="S316" s="15" t="s">
        <v>1421</v>
      </c>
      <c r="T316" s="15"/>
      <c r="AB316" s="2">
        <f>O316</f>
        <v>4.9000000000000002E-2</v>
      </c>
    </row>
    <row r="317" spans="2:28" ht="21.95" customHeight="1" x14ac:dyDescent="0.15">
      <c r="B317" s="13" t="s">
        <v>1397</v>
      </c>
      <c r="C317" s="13" t="s">
        <v>1005</v>
      </c>
      <c r="D317" s="12" t="s">
        <v>1003</v>
      </c>
      <c r="E317" s="12" t="s">
        <v>1006</v>
      </c>
      <c r="F317" s="15" t="s">
        <v>999</v>
      </c>
      <c r="G317" s="15">
        <f>IF(H317*I317/100+0.000005 &lt;1, TRUNC(H317*I317/100+0.000005, 옵션!$E$13), TRUNC(H317*I317/100+0.000005, 옵션!$E$13))</f>
        <v>4.9000000000000002E-2</v>
      </c>
      <c r="H317" s="15">
        <f>옵션!$B$13</f>
        <v>100</v>
      </c>
      <c r="I317" s="15">
        <f>SUM(AB316:AB316)</f>
        <v>4.9000000000000002E-2</v>
      </c>
      <c r="J317" s="15"/>
      <c r="K317" s="12"/>
      <c r="L317" s="15"/>
      <c r="M317" s="15"/>
      <c r="N317" s="15"/>
      <c r="O317" s="15" t="str">
        <f>IF(I317*M317=0, "", I317*M317*(N317/100))</f>
        <v/>
      </c>
      <c r="P317" s="38"/>
      <c r="Q317" s="38">
        <f>TRUNC(P317*M317*N317/100)</f>
        <v>0</v>
      </c>
      <c r="R317" s="38"/>
      <c r="S317" s="15"/>
      <c r="T317" s="15"/>
      <c r="Z317" s="2" t="s">
        <v>1399</v>
      </c>
      <c r="AB317" s="2">
        <f>SUM(AB316:AB316)</f>
        <v>4.9000000000000002E-2</v>
      </c>
    </row>
    <row r="318" spans="2:28" ht="21.95" customHeight="1" x14ac:dyDescent="0.15">
      <c r="B318" s="13" t="s">
        <v>1448</v>
      </c>
      <c r="D318" s="170" t="s">
        <v>1538</v>
      </c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2"/>
    </row>
    <row r="319" spans="2:28" ht="21.95" customHeight="1" x14ac:dyDescent="0.15">
      <c r="B319" s="13" t="s">
        <v>1397</v>
      </c>
      <c r="C319" s="13" t="s">
        <v>459</v>
      </c>
      <c r="D319" s="12" t="s">
        <v>445</v>
      </c>
      <c r="E319" s="12" t="s">
        <v>460</v>
      </c>
      <c r="F319" s="15" t="s">
        <v>166</v>
      </c>
      <c r="G319" s="15">
        <v>1</v>
      </c>
      <c r="H319" s="15">
        <f>IF(I319&lt;&gt;0, G319-I319, "")</f>
        <v>0</v>
      </c>
      <c r="I319" s="15">
        <v>1</v>
      </c>
      <c r="J319" s="15"/>
      <c r="K319" s="12" t="s">
        <v>1373</v>
      </c>
      <c r="L319" s="15" t="s">
        <v>1006</v>
      </c>
      <c r="M319" s="15">
        <v>5.9799999999999999E-2</v>
      </c>
      <c r="N319" s="15">
        <v>100</v>
      </c>
      <c r="O319" s="15">
        <f>IF(I319*M319=0, "", I319*M319*(N319/100))</f>
        <v>5.9799999999999999E-2</v>
      </c>
      <c r="P319" s="38"/>
      <c r="Q319" s="38">
        <f>TRUNC(P319*M319*N319/100)</f>
        <v>0</v>
      </c>
      <c r="R319" s="38"/>
      <c r="S319" s="15" t="s">
        <v>1420</v>
      </c>
      <c r="T319" s="15"/>
      <c r="AB319" s="2">
        <f>O319</f>
        <v>5.9799999999999999E-2</v>
      </c>
    </row>
    <row r="320" spans="2:28" ht="21.95" customHeight="1" x14ac:dyDescent="0.15">
      <c r="B320" s="13" t="s">
        <v>1397</v>
      </c>
      <c r="C320" s="13" t="s">
        <v>1005</v>
      </c>
      <c r="D320" s="12" t="s">
        <v>1003</v>
      </c>
      <c r="E320" s="12" t="s">
        <v>1006</v>
      </c>
      <c r="F320" s="15" t="s">
        <v>999</v>
      </c>
      <c r="G320" s="15">
        <f>IF(H320*I320/100+0.000005 &lt;1, TRUNC(H320*I320/100+0.000005, 옵션!$E$13), TRUNC(H320*I320/100+0.000005, 옵션!$E$13))</f>
        <v>5.9799999999999999E-2</v>
      </c>
      <c r="H320" s="15">
        <f>옵션!$B$13</f>
        <v>100</v>
      </c>
      <c r="I320" s="15">
        <f>SUM(AB319:AB319)</f>
        <v>5.9799999999999999E-2</v>
      </c>
      <c r="J320" s="15"/>
      <c r="K320" s="12"/>
      <c r="L320" s="15"/>
      <c r="M320" s="15"/>
      <c r="N320" s="15"/>
      <c r="O320" s="15" t="str">
        <f>IF(I320*M320=0, "", I320*M320*(N320/100))</f>
        <v/>
      </c>
      <c r="P320" s="38"/>
      <c r="Q320" s="38">
        <f>TRUNC(P320*M320*N320/100)</f>
        <v>0</v>
      </c>
      <c r="R320" s="38"/>
      <c r="S320" s="15"/>
      <c r="T320" s="15"/>
      <c r="Z320" s="2" t="s">
        <v>1399</v>
      </c>
      <c r="AB320" s="2">
        <f>SUM(AB319:AB319)</f>
        <v>5.9799999999999999E-2</v>
      </c>
    </row>
    <row r="321" spans="2:28" ht="21.95" customHeight="1" x14ac:dyDescent="0.15">
      <c r="B321" s="13" t="s">
        <v>1448</v>
      </c>
      <c r="D321" s="170" t="s">
        <v>1539</v>
      </c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2"/>
    </row>
    <row r="322" spans="2:28" ht="21.95" customHeight="1" x14ac:dyDescent="0.15">
      <c r="B322" s="13" t="s">
        <v>1397</v>
      </c>
      <c r="C322" s="13" t="s">
        <v>461</v>
      </c>
      <c r="D322" s="12" t="s">
        <v>445</v>
      </c>
      <c r="E322" s="12" t="s">
        <v>462</v>
      </c>
      <c r="F322" s="15" t="s">
        <v>166</v>
      </c>
      <c r="G322" s="15">
        <v>1</v>
      </c>
      <c r="H322" s="15">
        <f>IF(I322&lt;&gt;0, G322-I322, "")</f>
        <v>0</v>
      </c>
      <c r="I322" s="15">
        <v>1</v>
      </c>
      <c r="J322" s="15"/>
      <c r="K322" s="12" t="s">
        <v>1373</v>
      </c>
      <c r="L322" s="15" t="s">
        <v>1006</v>
      </c>
      <c r="M322" s="15">
        <v>7.8E-2</v>
      </c>
      <c r="N322" s="15">
        <v>100</v>
      </c>
      <c r="O322" s="15">
        <f>IF(I322*M322=0, "", I322*M322*(N322/100))</f>
        <v>7.8E-2</v>
      </c>
      <c r="P322" s="38"/>
      <c r="Q322" s="38">
        <f>TRUNC(P322*M322*N322/100)</f>
        <v>0</v>
      </c>
      <c r="R322" s="38"/>
      <c r="S322" s="15" t="s">
        <v>1420</v>
      </c>
      <c r="T322" s="15"/>
      <c r="AB322" s="2">
        <f>O322</f>
        <v>7.8E-2</v>
      </c>
    </row>
    <row r="323" spans="2:28" ht="21.95" customHeight="1" x14ac:dyDescent="0.15">
      <c r="B323" s="13" t="s">
        <v>1397</v>
      </c>
      <c r="C323" s="13" t="s">
        <v>1005</v>
      </c>
      <c r="D323" s="12" t="s">
        <v>1003</v>
      </c>
      <c r="E323" s="12" t="s">
        <v>1006</v>
      </c>
      <c r="F323" s="15" t="s">
        <v>999</v>
      </c>
      <c r="G323" s="15">
        <f>IF(H323*I323/100+0.000005 &lt;1, TRUNC(H323*I323/100+0.000005, 옵션!$E$13), TRUNC(H323*I323/100+0.000005, 옵션!$E$13))</f>
        <v>7.8E-2</v>
      </c>
      <c r="H323" s="15">
        <f>옵션!$B$13</f>
        <v>100</v>
      </c>
      <c r="I323" s="15">
        <f>SUM(AB322:AB322)</f>
        <v>7.8E-2</v>
      </c>
      <c r="J323" s="15"/>
      <c r="K323" s="12"/>
      <c r="L323" s="15"/>
      <c r="M323" s="15"/>
      <c r="N323" s="15"/>
      <c r="O323" s="15" t="str">
        <f>IF(I323*M323=0, "", I323*M323*(N323/100))</f>
        <v/>
      </c>
      <c r="P323" s="38"/>
      <c r="Q323" s="38">
        <f>TRUNC(P323*M323*N323/100)</f>
        <v>0</v>
      </c>
      <c r="R323" s="38"/>
      <c r="S323" s="15"/>
      <c r="T323" s="15"/>
      <c r="Z323" s="2" t="s">
        <v>1399</v>
      </c>
      <c r="AB323" s="2">
        <f>SUM(AB322:AB322)</f>
        <v>7.8E-2</v>
      </c>
    </row>
    <row r="324" spans="2:28" ht="21.95" customHeight="1" x14ac:dyDescent="0.15">
      <c r="B324" s="13" t="s">
        <v>1448</v>
      </c>
      <c r="D324" s="170" t="s">
        <v>1540</v>
      </c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2"/>
    </row>
    <row r="325" spans="2:28" ht="21.95" customHeight="1" x14ac:dyDescent="0.15">
      <c r="B325" s="13" t="s">
        <v>1397</v>
      </c>
      <c r="C325" s="13" t="s">
        <v>463</v>
      </c>
      <c r="D325" s="12" t="s">
        <v>445</v>
      </c>
      <c r="E325" s="12" t="s">
        <v>464</v>
      </c>
      <c r="F325" s="15" t="s">
        <v>166</v>
      </c>
      <c r="G325" s="15">
        <v>1</v>
      </c>
      <c r="H325" s="15">
        <f>IF(I325&lt;&gt;0, G325-I325, "")</f>
        <v>0</v>
      </c>
      <c r="I325" s="15">
        <v>1</v>
      </c>
      <c r="J325" s="15"/>
      <c r="K325" s="12" t="s">
        <v>1373</v>
      </c>
      <c r="L325" s="15" t="s">
        <v>1006</v>
      </c>
      <c r="M325" s="15">
        <v>9.3600000000000003E-2</v>
      </c>
      <c r="N325" s="15">
        <v>100</v>
      </c>
      <c r="O325" s="15">
        <f>IF(I325*M325=0, "", I325*M325*(N325/100))</f>
        <v>9.3600000000000003E-2</v>
      </c>
      <c r="P325" s="38"/>
      <c r="Q325" s="38">
        <f>TRUNC(P325*M325*N325/100)</f>
        <v>0</v>
      </c>
      <c r="R325" s="38"/>
      <c r="S325" s="15" t="s">
        <v>1420</v>
      </c>
      <c r="T325" s="15"/>
      <c r="AB325" s="2">
        <f>O325</f>
        <v>9.3600000000000003E-2</v>
      </c>
    </row>
    <row r="326" spans="2:28" ht="21.95" customHeight="1" x14ac:dyDescent="0.15">
      <c r="B326" s="13" t="s">
        <v>1397</v>
      </c>
      <c r="C326" s="13" t="s">
        <v>1005</v>
      </c>
      <c r="D326" s="12" t="s">
        <v>1003</v>
      </c>
      <c r="E326" s="12" t="s">
        <v>1006</v>
      </c>
      <c r="F326" s="15" t="s">
        <v>999</v>
      </c>
      <c r="G326" s="15">
        <f>IF(H326*I326/100+0.000005 &lt;1, TRUNC(H326*I326/100+0.000005, 옵션!$E$13), TRUNC(H326*I326/100+0.000005, 옵션!$E$13))</f>
        <v>9.3600000000000003E-2</v>
      </c>
      <c r="H326" s="15">
        <f>옵션!$B$13</f>
        <v>100</v>
      </c>
      <c r="I326" s="15">
        <f>SUM(AB325:AB325)</f>
        <v>9.3600000000000003E-2</v>
      </c>
      <c r="J326" s="15"/>
      <c r="K326" s="12"/>
      <c r="L326" s="15"/>
      <c r="M326" s="15"/>
      <c r="N326" s="15"/>
      <c r="O326" s="15" t="str">
        <f>IF(I326*M326=0, "", I326*M326*(N326/100))</f>
        <v/>
      </c>
      <c r="P326" s="38"/>
      <c r="Q326" s="38">
        <f>TRUNC(P326*M326*N326/100)</f>
        <v>0</v>
      </c>
      <c r="R326" s="38"/>
      <c r="S326" s="15"/>
      <c r="T326" s="15"/>
      <c r="Z326" s="2" t="s">
        <v>1399</v>
      </c>
      <c r="AB326" s="2">
        <f>SUM(AB325:AB325)</f>
        <v>9.3600000000000003E-2</v>
      </c>
    </row>
    <row r="327" spans="2:28" ht="21.95" customHeight="1" x14ac:dyDescent="0.15">
      <c r="B327" s="13" t="s">
        <v>1448</v>
      </c>
      <c r="D327" s="170" t="s">
        <v>1541</v>
      </c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2"/>
    </row>
    <row r="328" spans="2:28" ht="21.95" customHeight="1" x14ac:dyDescent="0.15">
      <c r="B328" s="13" t="s">
        <v>1397</v>
      </c>
      <c r="C328" s="13" t="s">
        <v>465</v>
      </c>
      <c r="D328" s="12" t="s">
        <v>466</v>
      </c>
      <c r="E328" s="12" t="s">
        <v>467</v>
      </c>
      <c r="F328" s="15" t="s">
        <v>166</v>
      </c>
      <c r="G328" s="15">
        <v>1</v>
      </c>
      <c r="H328" s="15">
        <f>IF(I328&lt;&gt;0, G328-I328, "")</f>
        <v>0</v>
      </c>
      <c r="I328" s="15">
        <v>1</v>
      </c>
      <c r="J328" s="15"/>
      <c r="K328" s="12" t="s">
        <v>1373</v>
      </c>
      <c r="L328" s="15" t="s">
        <v>1006</v>
      </c>
      <c r="M328" s="15">
        <v>0.11559999999999999</v>
      </c>
      <c r="N328" s="15">
        <v>100</v>
      </c>
      <c r="O328" s="15">
        <f>IF(I328*M328=0, "", I328*M328*(N328/100))</f>
        <v>0.11559999999999999</v>
      </c>
      <c r="P328" s="38"/>
      <c r="Q328" s="38">
        <f>TRUNC(P328*M328*N328/100)</f>
        <v>0</v>
      </c>
      <c r="R328" s="38"/>
      <c r="S328" s="15" t="s">
        <v>1420</v>
      </c>
      <c r="T328" s="15"/>
      <c r="AB328" s="2">
        <f>O328</f>
        <v>0.11559999999999999</v>
      </c>
    </row>
    <row r="329" spans="2:28" ht="21.95" customHeight="1" x14ac:dyDescent="0.15">
      <c r="B329" s="13" t="s">
        <v>1397</v>
      </c>
      <c r="C329" s="13" t="s">
        <v>1005</v>
      </c>
      <c r="D329" s="12" t="s">
        <v>1003</v>
      </c>
      <c r="E329" s="12" t="s">
        <v>1006</v>
      </c>
      <c r="F329" s="15" t="s">
        <v>999</v>
      </c>
      <c r="G329" s="15">
        <f>IF(H329*I329/100+0.000005 &lt;1, TRUNC(H329*I329/100+0.000005, 옵션!$E$13), TRUNC(H329*I329/100+0.000005, 옵션!$E$13))</f>
        <v>0.11559999999999999</v>
      </c>
      <c r="H329" s="15">
        <f>옵션!$B$13</f>
        <v>100</v>
      </c>
      <c r="I329" s="15">
        <f>SUM(AB328:AB328)</f>
        <v>0.11559999999999999</v>
      </c>
      <c r="J329" s="15"/>
      <c r="K329" s="12"/>
      <c r="L329" s="15"/>
      <c r="M329" s="15"/>
      <c r="N329" s="15"/>
      <c r="O329" s="15" t="str">
        <f>IF(I329*M329=0, "", I329*M329*(N329/100))</f>
        <v/>
      </c>
      <c r="P329" s="38"/>
      <c r="Q329" s="38">
        <f>TRUNC(P329*M329*N329/100)</f>
        <v>0</v>
      </c>
      <c r="R329" s="38"/>
      <c r="S329" s="15"/>
      <c r="T329" s="15"/>
      <c r="Z329" s="2" t="s">
        <v>1399</v>
      </c>
      <c r="AB329" s="2">
        <f>SUM(AB328:AB328)</f>
        <v>0.11559999999999999</v>
      </c>
    </row>
    <row r="330" spans="2:28" ht="21.95" customHeight="1" x14ac:dyDescent="0.15">
      <c r="B330" s="13" t="s">
        <v>1448</v>
      </c>
      <c r="D330" s="170" t="s">
        <v>1542</v>
      </c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2"/>
    </row>
    <row r="331" spans="2:28" ht="21.95" customHeight="1" x14ac:dyDescent="0.15">
      <c r="B331" s="13" t="s">
        <v>1397</v>
      </c>
      <c r="C331" s="13" t="s">
        <v>472</v>
      </c>
      <c r="D331" s="12" t="s">
        <v>466</v>
      </c>
      <c r="E331" s="12" t="s">
        <v>473</v>
      </c>
      <c r="F331" s="15" t="s">
        <v>166</v>
      </c>
      <c r="G331" s="15">
        <v>1</v>
      </c>
      <c r="H331" s="15">
        <f>IF(I331&lt;&gt;0, G331-I331, "")</f>
        <v>0</v>
      </c>
      <c r="I331" s="15">
        <v>1</v>
      </c>
      <c r="J331" s="15"/>
      <c r="K331" s="12" t="s">
        <v>1373</v>
      </c>
      <c r="L331" s="15" t="s">
        <v>1006</v>
      </c>
      <c r="M331" s="15">
        <v>1.6E-2</v>
      </c>
      <c r="N331" s="15">
        <v>100</v>
      </c>
      <c r="O331" s="15">
        <f>IF(I331*M331=0, "", I331*M331*(N331/100))</f>
        <v>1.6E-2</v>
      </c>
      <c r="P331" s="38"/>
      <c r="Q331" s="38">
        <f>TRUNC(P331*M331*N331/100)</f>
        <v>0</v>
      </c>
      <c r="R331" s="38"/>
      <c r="S331" s="15" t="s">
        <v>1421</v>
      </c>
      <c r="T331" s="15"/>
      <c r="AB331" s="2">
        <f>O331</f>
        <v>1.6E-2</v>
      </c>
    </row>
    <row r="332" spans="2:28" ht="21.95" customHeight="1" x14ac:dyDescent="0.15">
      <c r="B332" s="13" t="s">
        <v>1397</v>
      </c>
      <c r="C332" s="13" t="s">
        <v>1005</v>
      </c>
      <c r="D332" s="12" t="s">
        <v>1003</v>
      </c>
      <c r="E332" s="12" t="s">
        <v>1006</v>
      </c>
      <c r="F332" s="15" t="s">
        <v>999</v>
      </c>
      <c r="G332" s="15">
        <f>IF(H332*I332/100+0.000005 &lt;1, TRUNC(H332*I332/100+0.000005, 옵션!$E$13), TRUNC(H332*I332/100+0.000005, 옵션!$E$13))</f>
        <v>1.6E-2</v>
      </c>
      <c r="H332" s="15">
        <f>옵션!$B$13</f>
        <v>100</v>
      </c>
      <c r="I332" s="15">
        <f>SUM(AB331:AB331)</f>
        <v>1.6E-2</v>
      </c>
      <c r="J332" s="15"/>
      <c r="K332" s="12"/>
      <c r="L332" s="15"/>
      <c r="M332" s="15"/>
      <c r="N332" s="15"/>
      <c r="O332" s="15" t="str">
        <f>IF(I332*M332=0, "", I332*M332*(N332/100))</f>
        <v/>
      </c>
      <c r="P332" s="38"/>
      <c r="Q332" s="38">
        <f>TRUNC(P332*M332*N332/100)</f>
        <v>0</v>
      </c>
      <c r="R332" s="38"/>
      <c r="S332" s="15"/>
      <c r="T332" s="15"/>
      <c r="Z332" s="2" t="s">
        <v>1399</v>
      </c>
      <c r="AB332" s="2">
        <f>SUM(AB331:AB331)</f>
        <v>1.6E-2</v>
      </c>
    </row>
    <row r="333" spans="2:28" ht="21.95" customHeight="1" x14ac:dyDescent="0.15">
      <c r="B333" s="13" t="s">
        <v>1448</v>
      </c>
      <c r="D333" s="170" t="s">
        <v>1543</v>
      </c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2"/>
    </row>
    <row r="334" spans="2:28" ht="21.95" customHeight="1" x14ac:dyDescent="0.15">
      <c r="B334" s="13" t="s">
        <v>1397</v>
      </c>
      <c r="C334" s="13" t="s">
        <v>474</v>
      </c>
      <c r="D334" s="12" t="s">
        <v>466</v>
      </c>
      <c r="E334" s="12" t="s">
        <v>475</v>
      </c>
      <c r="F334" s="15" t="s">
        <v>166</v>
      </c>
      <c r="G334" s="15">
        <v>1</v>
      </c>
      <c r="H334" s="15">
        <f>IF(I334&lt;&gt;0, G334-I334, "")</f>
        <v>0</v>
      </c>
      <c r="I334" s="15">
        <v>1</v>
      </c>
      <c r="J334" s="15"/>
      <c r="K334" s="12" t="s">
        <v>1373</v>
      </c>
      <c r="L334" s="15" t="s">
        <v>1006</v>
      </c>
      <c r="M334" s="15">
        <v>2.5999999999999999E-2</v>
      </c>
      <c r="N334" s="15">
        <v>100</v>
      </c>
      <c r="O334" s="15">
        <f>IF(I334*M334=0, "", I334*M334*(N334/100))</f>
        <v>2.5999999999999999E-2</v>
      </c>
      <c r="P334" s="38"/>
      <c r="Q334" s="38">
        <f>TRUNC(P334*M334*N334/100)</f>
        <v>0</v>
      </c>
      <c r="R334" s="38"/>
      <c r="S334" s="15" t="s">
        <v>1421</v>
      </c>
      <c r="T334" s="15"/>
      <c r="AB334" s="2">
        <f>O334</f>
        <v>2.5999999999999999E-2</v>
      </c>
    </row>
    <row r="335" spans="2:28" ht="21.95" customHeight="1" x14ac:dyDescent="0.15">
      <c r="B335" s="13" t="s">
        <v>1397</v>
      </c>
      <c r="C335" s="13" t="s">
        <v>1005</v>
      </c>
      <c r="D335" s="12" t="s">
        <v>1003</v>
      </c>
      <c r="E335" s="12" t="s">
        <v>1006</v>
      </c>
      <c r="F335" s="15" t="s">
        <v>999</v>
      </c>
      <c r="G335" s="15">
        <f>IF(H335*I335/100+0.000005 &lt;1, TRUNC(H335*I335/100+0.000005, 옵션!$E$13), TRUNC(H335*I335/100+0.000005, 옵션!$E$13))</f>
        <v>2.5999999999999999E-2</v>
      </c>
      <c r="H335" s="15">
        <f>옵션!$B$13</f>
        <v>100</v>
      </c>
      <c r="I335" s="15">
        <f>SUM(AB334:AB334)</f>
        <v>2.5999999999999999E-2</v>
      </c>
      <c r="J335" s="15"/>
      <c r="K335" s="12"/>
      <c r="L335" s="15"/>
      <c r="M335" s="15"/>
      <c r="N335" s="15"/>
      <c r="O335" s="15" t="str">
        <f>IF(I335*M335=0, "", I335*M335*(N335/100))</f>
        <v/>
      </c>
      <c r="P335" s="38"/>
      <c r="Q335" s="38">
        <f>TRUNC(P335*M335*N335/100)</f>
        <v>0</v>
      </c>
      <c r="R335" s="38"/>
      <c r="S335" s="15"/>
      <c r="T335" s="15"/>
      <c r="Z335" s="2" t="s">
        <v>1399</v>
      </c>
      <c r="AB335" s="2">
        <f>SUM(AB334:AB334)</f>
        <v>2.5999999999999999E-2</v>
      </c>
    </row>
    <row r="336" spans="2:28" ht="21.95" customHeight="1" x14ac:dyDescent="0.15">
      <c r="B336" s="13" t="s">
        <v>1448</v>
      </c>
      <c r="D336" s="170" t="s">
        <v>1544</v>
      </c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2"/>
    </row>
    <row r="337" spans="2:28" ht="21.95" customHeight="1" x14ac:dyDescent="0.15">
      <c r="B337" s="13" t="s">
        <v>1397</v>
      </c>
      <c r="C337" s="13" t="s">
        <v>476</v>
      </c>
      <c r="D337" s="12" t="s">
        <v>466</v>
      </c>
      <c r="E337" s="12" t="s">
        <v>477</v>
      </c>
      <c r="F337" s="15" t="s">
        <v>166</v>
      </c>
      <c r="G337" s="15">
        <v>1</v>
      </c>
      <c r="H337" s="15">
        <f>IF(I337&lt;&gt;0, G337-I337, "")</f>
        <v>0</v>
      </c>
      <c r="I337" s="15">
        <v>1</v>
      </c>
      <c r="J337" s="15"/>
      <c r="K337" s="12" t="s">
        <v>1373</v>
      </c>
      <c r="L337" s="15" t="s">
        <v>1006</v>
      </c>
      <c r="M337" s="15">
        <v>3.5999999999999997E-2</v>
      </c>
      <c r="N337" s="15">
        <v>100</v>
      </c>
      <c r="O337" s="15">
        <f>IF(I337*M337=0, "", I337*M337*(N337/100))</f>
        <v>3.5999999999999997E-2</v>
      </c>
      <c r="P337" s="38"/>
      <c r="Q337" s="38">
        <f>TRUNC(P337*M337*N337/100)</f>
        <v>0</v>
      </c>
      <c r="R337" s="38"/>
      <c r="S337" s="15" t="s">
        <v>1421</v>
      </c>
      <c r="T337" s="15"/>
      <c r="AB337" s="2">
        <f>O337</f>
        <v>3.5999999999999997E-2</v>
      </c>
    </row>
    <row r="338" spans="2:28" ht="21.95" customHeight="1" x14ac:dyDescent="0.15">
      <c r="B338" s="13" t="s">
        <v>1397</v>
      </c>
      <c r="C338" s="13" t="s">
        <v>1005</v>
      </c>
      <c r="D338" s="12" t="s">
        <v>1003</v>
      </c>
      <c r="E338" s="12" t="s">
        <v>1006</v>
      </c>
      <c r="F338" s="15" t="s">
        <v>999</v>
      </c>
      <c r="G338" s="15">
        <f>IF(H338*I338/100+0.000005 &lt;1, TRUNC(H338*I338/100+0.000005, 옵션!$E$13), TRUNC(H338*I338/100+0.000005, 옵션!$E$13))</f>
        <v>3.5999999999999997E-2</v>
      </c>
      <c r="H338" s="15">
        <f>옵션!$B$13</f>
        <v>100</v>
      </c>
      <c r="I338" s="15">
        <f>SUM(AB337:AB337)</f>
        <v>3.5999999999999997E-2</v>
      </c>
      <c r="J338" s="15"/>
      <c r="K338" s="12"/>
      <c r="L338" s="15"/>
      <c r="M338" s="15"/>
      <c r="N338" s="15"/>
      <c r="O338" s="15" t="str">
        <f>IF(I338*M338=0, "", I338*M338*(N338/100))</f>
        <v/>
      </c>
      <c r="P338" s="38"/>
      <c r="Q338" s="38">
        <f>TRUNC(P338*M338*N338/100)</f>
        <v>0</v>
      </c>
      <c r="R338" s="38"/>
      <c r="S338" s="15"/>
      <c r="T338" s="15"/>
      <c r="Z338" s="2" t="s">
        <v>1399</v>
      </c>
      <c r="AB338" s="2">
        <f>SUM(AB337:AB337)</f>
        <v>3.5999999999999997E-2</v>
      </c>
    </row>
    <row r="339" spans="2:28" ht="21.95" customHeight="1" x14ac:dyDescent="0.15">
      <c r="B339" s="13" t="s">
        <v>1448</v>
      </c>
      <c r="D339" s="170" t="s">
        <v>1545</v>
      </c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2"/>
    </row>
    <row r="340" spans="2:28" ht="21.95" customHeight="1" x14ac:dyDescent="0.15">
      <c r="B340" s="13" t="s">
        <v>1397</v>
      </c>
      <c r="C340" s="13" t="s">
        <v>478</v>
      </c>
      <c r="D340" s="12" t="s">
        <v>466</v>
      </c>
      <c r="E340" s="12" t="s">
        <v>479</v>
      </c>
      <c r="F340" s="15" t="s">
        <v>166</v>
      </c>
      <c r="G340" s="15">
        <v>1</v>
      </c>
      <c r="H340" s="15">
        <f>IF(I340&lt;&gt;0, G340-I340, "")</f>
        <v>0</v>
      </c>
      <c r="I340" s="15">
        <v>1</v>
      </c>
      <c r="J340" s="15"/>
      <c r="K340" s="12" t="s">
        <v>1373</v>
      </c>
      <c r="L340" s="15" t="s">
        <v>1006</v>
      </c>
      <c r="M340" s="15">
        <v>4.5999999999999999E-2</v>
      </c>
      <c r="N340" s="15">
        <v>100</v>
      </c>
      <c r="O340" s="15">
        <f>IF(I340*M340=0, "", I340*M340*(N340/100))</f>
        <v>4.5999999999999999E-2</v>
      </c>
      <c r="P340" s="38"/>
      <c r="Q340" s="38">
        <f>TRUNC(P340*M340*N340/100)</f>
        <v>0</v>
      </c>
      <c r="R340" s="38"/>
      <c r="S340" s="15" t="s">
        <v>1420</v>
      </c>
      <c r="T340" s="15"/>
      <c r="AB340" s="2">
        <f>O340</f>
        <v>4.5999999999999999E-2</v>
      </c>
    </row>
    <row r="341" spans="2:28" ht="21.95" customHeight="1" x14ac:dyDescent="0.15">
      <c r="B341" s="13" t="s">
        <v>1397</v>
      </c>
      <c r="C341" s="13" t="s">
        <v>1005</v>
      </c>
      <c r="D341" s="12" t="s">
        <v>1003</v>
      </c>
      <c r="E341" s="12" t="s">
        <v>1006</v>
      </c>
      <c r="F341" s="15" t="s">
        <v>999</v>
      </c>
      <c r="G341" s="15">
        <f>IF(H341*I341/100+0.000005 &lt;1, TRUNC(H341*I341/100+0.000005, 옵션!$E$13), TRUNC(H341*I341/100+0.000005, 옵션!$E$13))</f>
        <v>4.5999999999999999E-2</v>
      </c>
      <c r="H341" s="15">
        <f>옵션!$B$13</f>
        <v>100</v>
      </c>
      <c r="I341" s="15">
        <f>SUM(AB340:AB340)</f>
        <v>4.5999999999999999E-2</v>
      </c>
      <c r="J341" s="15"/>
      <c r="K341" s="12"/>
      <c r="L341" s="15"/>
      <c r="M341" s="15"/>
      <c r="N341" s="15"/>
      <c r="O341" s="15" t="str">
        <f>IF(I341*M341=0, "", I341*M341*(N341/100))</f>
        <v/>
      </c>
      <c r="P341" s="38"/>
      <c r="Q341" s="38">
        <f>TRUNC(P341*M341*N341/100)</f>
        <v>0</v>
      </c>
      <c r="R341" s="38"/>
      <c r="S341" s="15"/>
      <c r="T341" s="15"/>
      <c r="Z341" s="2" t="s">
        <v>1399</v>
      </c>
      <c r="AB341" s="2">
        <f>SUM(AB340:AB340)</f>
        <v>4.5999999999999999E-2</v>
      </c>
    </row>
    <row r="342" spans="2:28" ht="21.95" customHeight="1" x14ac:dyDescent="0.15">
      <c r="B342" s="13" t="s">
        <v>1448</v>
      </c>
      <c r="D342" s="170" t="s">
        <v>1546</v>
      </c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2"/>
    </row>
    <row r="343" spans="2:28" ht="21.95" customHeight="1" x14ac:dyDescent="0.15">
      <c r="B343" s="13" t="s">
        <v>1397</v>
      </c>
      <c r="C343" s="13" t="s">
        <v>480</v>
      </c>
      <c r="D343" s="12" t="s">
        <v>466</v>
      </c>
      <c r="E343" s="12" t="s">
        <v>481</v>
      </c>
      <c r="F343" s="15" t="s">
        <v>166</v>
      </c>
      <c r="G343" s="15">
        <v>1</v>
      </c>
      <c r="H343" s="15">
        <f>IF(I343&lt;&gt;0, G343-I343, "")</f>
        <v>0</v>
      </c>
      <c r="I343" s="15">
        <v>1</v>
      </c>
      <c r="J343" s="15"/>
      <c r="K343" s="12" t="s">
        <v>1373</v>
      </c>
      <c r="L343" s="15" t="s">
        <v>1006</v>
      </c>
      <c r="M343" s="15">
        <v>0.06</v>
      </c>
      <c r="N343" s="15">
        <v>100</v>
      </c>
      <c r="O343" s="15">
        <f>IF(I343*M343=0, "", I343*M343*(N343/100))</f>
        <v>0.06</v>
      </c>
      <c r="P343" s="38"/>
      <c r="Q343" s="38">
        <f>TRUNC(P343*M343*N343/100)</f>
        <v>0</v>
      </c>
      <c r="R343" s="38"/>
      <c r="S343" s="15" t="s">
        <v>1420</v>
      </c>
      <c r="T343" s="15"/>
      <c r="AB343" s="2">
        <f>O343</f>
        <v>0.06</v>
      </c>
    </row>
    <row r="344" spans="2:28" ht="21.95" customHeight="1" x14ac:dyDescent="0.15">
      <c r="B344" s="13" t="s">
        <v>1397</v>
      </c>
      <c r="C344" s="13" t="s">
        <v>1005</v>
      </c>
      <c r="D344" s="12" t="s">
        <v>1003</v>
      </c>
      <c r="E344" s="12" t="s">
        <v>1006</v>
      </c>
      <c r="F344" s="15" t="s">
        <v>999</v>
      </c>
      <c r="G344" s="15">
        <f>IF(H344*I344/100+0.000005 &lt;1, TRUNC(H344*I344/100+0.000005, 옵션!$E$13), TRUNC(H344*I344/100+0.000005, 옵션!$E$13))</f>
        <v>0.06</v>
      </c>
      <c r="H344" s="15">
        <f>옵션!$B$13</f>
        <v>100</v>
      </c>
      <c r="I344" s="15">
        <f>SUM(AB343:AB343)</f>
        <v>0.06</v>
      </c>
      <c r="J344" s="15"/>
      <c r="K344" s="12"/>
      <c r="L344" s="15"/>
      <c r="M344" s="15"/>
      <c r="N344" s="15"/>
      <c r="O344" s="15" t="str">
        <f>IF(I344*M344=0, "", I344*M344*(N344/100))</f>
        <v/>
      </c>
      <c r="P344" s="38"/>
      <c r="Q344" s="38">
        <f>TRUNC(P344*M344*N344/100)</f>
        <v>0</v>
      </c>
      <c r="R344" s="38"/>
      <c r="S344" s="15"/>
      <c r="T344" s="15"/>
      <c r="Z344" s="2" t="s">
        <v>1399</v>
      </c>
      <c r="AB344" s="2">
        <f>SUM(AB343:AB343)</f>
        <v>0.06</v>
      </c>
    </row>
    <row r="345" spans="2:28" ht="21.95" customHeight="1" x14ac:dyDescent="0.15">
      <c r="B345" s="13" t="s">
        <v>1448</v>
      </c>
      <c r="D345" s="170" t="s">
        <v>1547</v>
      </c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2"/>
    </row>
    <row r="346" spans="2:28" ht="21.95" customHeight="1" x14ac:dyDescent="0.15">
      <c r="B346" s="13" t="s">
        <v>1397</v>
      </c>
      <c r="C346" s="13" t="s">
        <v>482</v>
      </c>
      <c r="D346" s="12" t="s">
        <v>466</v>
      </c>
      <c r="E346" s="12" t="s">
        <v>483</v>
      </c>
      <c r="F346" s="15" t="s">
        <v>166</v>
      </c>
      <c r="G346" s="15">
        <v>1</v>
      </c>
      <c r="H346" s="15">
        <f>IF(I346&lt;&gt;0, G346-I346, "")</f>
        <v>0</v>
      </c>
      <c r="I346" s="15">
        <v>1</v>
      </c>
      <c r="J346" s="15"/>
      <c r="K346" s="12" t="s">
        <v>1373</v>
      </c>
      <c r="L346" s="15" t="s">
        <v>1006</v>
      </c>
      <c r="M346" s="15">
        <v>5.9799999999999999E-2</v>
      </c>
      <c r="N346" s="15">
        <v>100</v>
      </c>
      <c r="O346" s="15">
        <f>IF(I346*M346=0, "", I346*M346*(N346/100))</f>
        <v>5.9799999999999999E-2</v>
      </c>
      <c r="P346" s="38"/>
      <c r="Q346" s="38">
        <f>TRUNC(P346*M346*N346/100)</f>
        <v>0</v>
      </c>
      <c r="R346" s="38"/>
      <c r="S346" s="15" t="s">
        <v>1420</v>
      </c>
      <c r="T346" s="15"/>
      <c r="AB346" s="2">
        <f>O346</f>
        <v>5.9799999999999999E-2</v>
      </c>
    </row>
    <row r="347" spans="2:28" ht="21.95" customHeight="1" x14ac:dyDescent="0.15">
      <c r="B347" s="13" t="s">
        <v>1397</v>
      </c>
      <c r="C347" s="13" t="s">
        <v>1005</v>
      </c>
      <c r="D347" s="12" t="s">
        <v>1003</v>
      </c>
      <c r="E347" s="12" t="s">
        <v>1006</v>
      </c>
      <c r="F347" s="15" t="s">
        <v>999</v>
      </c>
      <c r="G347" s="15">
        <f>IF(H347*I347/100+0.000005 &lt;1, TRUNC(H347*I347/100+0.000005, 옵션!$E$13), TRUNC(H347*I347/100+0.000005, 옵션!$E$13))</f>
        <v>5.9799999999999999E-2</v>
      </c>
      <c r="H347" s="15">
        <f>옵션!$B$13</f>
        <v>100</v>
      </c>
      <c r="I347" s="15">
        <f>SUM(AB346:AB346)</f>
        <v>5.9799999999999999E-2</v>
      </c>
      <c r="J347" s="15"/>
      <c r="K347" s="12"/>
      <c r="L347" s="15"/>
      <c r="M347" s="15"/>
      <c r="N347" s="15"/>
      <c r="O347" s="15" t="str">
        <f>IF(I347*M347=0, "", I347*M347*(N347/100))</f>
        <v/>
      </c>
      <c r="P347" s="38"/>
      <c r="Q347" s="38">
        <f>TRUNC(P347*M347*N347/100)</f>
        <v>0</v>
      </c>
      <c r="R347" s="38"/>
      <c r="S347" s="15"/>
      <c r="T347" s="15"/>
      <c r="Z347" s="2" t="s">
        <v>1399</v>
      </c>
      <c r="AB347" s="2">
        <f>SUM(AB346:AB346)</f>
        <v>5.9799999999999999E-2</v>
      </c>
    </row>
    <row r="348" spans="2:28" ht="21.95" customHeight="1" x14ac:dyDescent="0.15">
      <c r="B348" s="13" t="s">
        <v>1448</v>
      </c>
      <c r="D348" s="170" t="s">
        <v>1548</v>
      </c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2"/>
    </row>
    <row r="349" spans="2:28" ht="21.95" customHeight="1" x14ac:dyDescent="0.15">
      <c r="B349" s="13" t="s">
        <v>1397</v>
      </c>
      <c r="C349" s="13" t="s">
        <v>484</v>
      </c>
      <c r="D349" s="12" t="s">
        <v>466</v>
      </c>
      <c r="E349" s="12" t="s">
        <v>485</v>
      </c>
      <c r="F349" s="15" t="s">
        <v>166</v>
      </c>
      <c r="G349" s="15">
        <v>1</v>
      </c>
      <c r="H349" s="15">
        <f>IF(I349&lt;&gt;0, G349-I349, "")</f>
        <v>0</v>
      </c>
      <c r="I349" s="15">
        <v>1</v>
      </c>
      <c r="J349" s="15"/>
      <c r="K349" s="12" t="s">
        <v>1373</v>
      </c>
      <c r="L349" s="15" t="s">
        <v>1006</v>
      </c>
      <c r="M349" s="15">
        <v>9.3600000000000003E-2</v>
      </c>
      <c r="N349" s="15">
        <v>100</v>
      </c>
      <c r="O349" s="15">
        <f>IF(I349*M349=0, "", I349*M349*(N349/100))</f>
        <v>9.3600000000000003E-2</v>
      </c>
      <c r="P349" s="38"/>
      <c r="Q349" s="38">
        <f>TRUNC(P349*M349*N349/100)</f>
        <v>0</v>
      </c>
      <c r="R349" s="38"/>
      <c r="S349" s="15" t="s">
        <v>1420</v>
      </c>
      <c r="T349" s="15"/>
      <c r="AB349" s="2">
        <f>O349</f>
        <v>9.3600000000000003E-2</v>
      </c>
    </row>
    <row r="350" spans="2:28" ht="21.95" customHeight="1" x14ac:dyDescent="0.15">
      <c r="B350" s="13" t="s">
        <v>1397</v>
      </c>
      <c r="C350" s="13" t="s">
        <v>1005</v>
      </c>
      <c r="D350" s="12" t="s">
        <v>1003</v>
      </c>
      <c r="E350" s="12" t="s">
        <v>1006</v>
      </c>
      <c r="F350" s="15" t="s">
        <v>999</v>
      </c>
      <c r="G350" s="15">
        <f>IF(H350*I350/100+0.000005 &lt;1, TRUNC(H350*I350/100+0.000005, 옵션!$E$13), TRUNC(H350*I350/100+0.000005, 옵션!$E$13))</f>
        <v>9.3600000000000003E-2</v>
      </c>
      <c r="H350" s="15">
        <f>옵션!$B$13</f>
        <v>100</v>
      </c>
      <c r="I350" s="15">
        <f>SUM(AB349:AB349)</f>
        <v>9.3600000000000003E-2</v>
      </c>
      <c r="J350" s="15"/>
      <c r="K350" s="12"/>
      <c r="L350" s="15"/>
      <c r="M350" s="15"/>
      <c r="N350" s="15"/>
      <c r="O350" s="15" t="str">
        <f>IF(I350*M350=0, "", I350*M350*(N350/100))</f>
        <v/>
      </c>
      <c r="P350" s="38"/>
      <c r="Q350" s="38">
        <f>TRUNC(P350*M350*N350/100)</f>
        <v>0</v>
      </c>
      <c r="R350" s="38"/>
      <c r="S350" s="15"/>
      <c r="T350" s="15"/>
      <c r="Z350" s="2" t="s">
        <v>1399</v>
      </c>
      <c r="AB350" s="2">
        <f>SUM(AB349:AB349)</f>
        <v>9.3600000000000003E-2</v>
      </c>
    </row>
    <row r="351" spans="2:28" ht="21.95" customHeight="1" x14ac:dyDescent="0.15">
      <c r="B351" s="13" t="s">
        <v>1448</v>
      </c>
      <c r="D351" s="170" t="s">
        <v>1549</v>
      </c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2"/>
    </row>
    <row r="352" spans="2:28" ht="21.95" customHeight="1" x14ac:dyDescent="0.15">
      <c r="B352" s="13" t="s">
        <v>1397</v>
      </c>
      <c r="C352" s="13" t="s">
        <v>486</v>
      </c>
      <c r="D352" s="12" t="s">
        <v>487</v>
      </c>
      <c r="E352" s="12" t="s">
        <v>488</v>
      </c>
      <c r="F352" s="15" t="s">
        <v>166</v>
      </c>
      <c r="G352" s="15">
        <v>1</v>
      </c>
      <c r="H352" s="15">
        <f>IF(I352&lt;&gt;0, G352-I352, "")</f>
        <v>0</v>
      </c>
      <c r="I352" s="15">
        <v>1</v>
      </c>
      <c r="J352" s="15"/>
      <c r="K352" s="12" t="s">
        <v>1373</v>
      </c>
      <c r="L352" s="15" t="s">
        <v>1006</v>
      </c>
      <c r="M352" s="15">
        <v>1.4E-2</v>
      </c>
      <c r="N352" s="15">
        <v>120</v>
      </c>
      <c r="O352" s="15">
        <f>IF(I352*M352=0, "", I352*M352*(N352/100))</f>
        <v>1.6799999999999999E-2</v>
      </c>
      <c r="P352" s="38"/>
      <c r="Q352" s="38">
        <f>TRUNC(P352*M352*N352/100)</f>
        <v>0</v>
      </c>
      <c r="R352" s="38"/>
      <c r="S352" s="15" t="s">
        <v>1421</v>
      </c>
      <c r="T352" s="15"/>
      <c r="AB352" s="2">
        <f>O352</f>
        <v>1.6799999999999999E-2</v>
      </c>
    </row>
    <row r="353" spans="2:34" ht="21.95" customHeight="1" x14ac:dyDescent="0.15">
      <c r="B353" s="13" t="s">
        <v>1397</v>
      </c>
      <c r="C353" s="13" t="s">
        <v>1005</v>
      </c>
      <c r="D353" s="12" t="s">
        <v>1003</v>
      </c>
      <c r="E353" s="12" t="s">
        <v>1006</v>
      </c>
      <c r="F353" s="15" t="s">
        <v>999</v>
      </c>
      <c r="G353" s="15">
        <f>IF(H353*I353/100+0.000005 &lt;1, TRUNC(H353*I353/100+0.000005, 옵션!$E$13), TRUNC(H353*I353/100+0.000005, 옵션!$E$13))</f>
        <v>1.6799999999999999E-2</v>
      </c>
      <c r="H353" s="15">
        <f>옵션!$B$13</f>
        <v>100</v>
      </c>
      <c r="I353" s="15">
        <f>SUM(AB352:AB352)</f>
        <v>1.6799999999999999E-2</v>
      </c>
      <c r="J353" s="15"/>
      <c r="K353" s="12"/>
      <c r="L353" s="15"/>
      <c r="M353" s="15"/>
      <c r="N353" s="15"/>
      <c r="O353" s="15" t="str">
        <f>IF(I353*M353=0, "", I353*M353*(N353/100))</f>
        <v/>
      </c>
      <c r="P353" s="38"/>
      <c r="Q353" s="38">
        <f>TRUNC(P353*M353*N353/100)</f>
        <v>0</v>
      </c>
      <c r="R353" s="38"/>
      <c r="S353" s="15"/>
      <c r="T353" s="15"/>
      <c r="Z353" s="2" t="s">
        <v>1399</v>
      </c>
      <c r="AB353" s="2">
        <f>SUM(AB352:AB352)</f>
        <v>1.6799999999999999E-2</v>
      </c>
    </row>
    <row r="354" spans="2:34" ht="21.95" customHeight="1" x14ac:dyDescent="0.15">
      <c r="B354" s="13" t="s">
        <v>1448</v>
      </c>
      <c r="D354" s="170" t="s">
        <v>1550</v>
      </c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2"/>
    </row>
    <row r="355" spans="2:34" ht="21.95" customHeight="1" x14ac:dyDescent="0.15">
      <c r="B355" s="13" t="s">
        <v>1397</v>
      </c>
      <c r="C355" s="13" t="s">
        <v>492</v>
      </c>
      <c r="D355" s="12" t="s">
        <v>493</v>
      </c>
      <c r="E355" s="12" t="s">
        <v>494</v>
      </c>
      <c r="F355" s="15" t="s">
        <v>166</v>
      </c>
      <c r="G355" s="15">
        <v>1</v>
      </c>
      <c r="H355" s="15">
        <f>IF(I355&lt;&gt;0, G355-I355, "")</f>
        <v>0</v>
      </c>
      <c r="I355" s="15">
        <v>1</v>
      </c>
      <c r="J355" s="15"/>
      <c r="K355" s="12" t="s">
        <v>1375</v>
      </c>
      <c r="L355" s="15" t="s">
        <v>1010</v>
      </c>
      <c r="M355" s="15">
        <v>1.04E-2</v>
      </c>
      <c r="N355" s="15">
        <v>100</v>
      </c>
      <c r="O355" s="15">
        <f>IF(I355*M355=0, "", I355*M355*(N355/100))</f>
        <v>1.04E-2</v>
      </c>
      <c r="P355" s="38"/>
      <c r="Q355" s="38">
        <f>TRUNC(P355*M355*N355/100)</f>
        <v>0</v>
      </c>
      <c r="R355" s="38"/>
      <c r="S355" s="15" t="s">
        <v>1422</v>
      </c>
      <c r="T355" s="15"/>
      <c r="AD355" s="2">
        <f>O355</f>
        <v>1.04E-2</v>
      </c>
    </row>
    <row r="356" spans="2:34" ht="21.95" customHeight="1" x14ac:dyDescent="0.15">
      <c r="B356" s="13" t="s">
        <v>1397</v>
      </c>
      <c r="C356" s="13" t="s">
        <v>492</v>
      </c>
      <c r="D356" s="12"/>
      <c r="E356" s="12"/>
      <c r="F356" s="15"/>
      <c r="G356" s="15">
        <v>1</v>
      </c>
      <c r="H356" s="15">
        <f>IF(I356&lt;&gt;0, G356-I356, "")</f>
        <v>0</v>
      </c>
      <c r="I356" s="15">
        <v>1</v>
      </c>
      <c r="J356" s="15"/>
      <c r="K356" s="12" t="s">
        <v>1379</v>
      </c>
      <c r="L356" s="15" t="s">
        <v>1018</v>
      </c>
      <c r="M356" s="15">
        <v>1.04E-2</v>
      </c>
      <c r="N356" s="15">
        <v>100</v>
      </c>
      <c r="O356" s="15">
        <f>IF(I356*M356=0, "", I356*M356*(N356/100))</f>
        <v>1.04E-2</v>
      </c>
      <c r="P356" s="38"/>
      <c r="Q356" s="38">
        <f>TRUNC(P356*M356*N356/100)</f>
        <v>0</v>
      </c>
      <c r="R356" s="38"/>
      <c r="S356" s="15" t="s">
        <v>1422</v>
      </c>
      <c r="T356" s="15"/>
      <c r="AH356" s="2">
        <f>O356</f>
        <v>1.04E-2</v>
      </c>
    </row>
    <row r="357" spans="2:34" ht="21.95" customHeight="1" x14ac:dyDescent="0.15">
      <c r="B357" s="13" t="s">
        <v>1397</v>
      </c>
      <c r="C357" s="13" t="s">
        <v>1009</v>
      </c>
      <c r="D357" s="12" t="s">
        <v>1003</v>
      </c>
      <c r="E357" s="12" t="s">
        <v>1010</v>
      </c>
      <c r="F357" s="15" t="s">
        <v>999</v>
      </c>
      <c r="G357" s="15">
        <f>IF(H357*I357/100+0.000005 &lt;1, TRUNC(H357*I357/100+0.000005, 옵션!$E$13), TRUNC(H357*I357/100+0.000005, 옵션!$E$13))</f>
        <v>1.04E-2</v>
      </c>
      <c r="H357" s="15">
        <f>옵션!$B$13</f>
        <v>100</v>
      </c>
      <c r="I357" s="15">
        <f>SUM(AD355:AD356)</f>
        <v>1.04E-2</v>
      </c>
      <c r="J357" s="15"/>
      <c r="K357" s="12"/>
      <c r="L357" s="15"/>
      <c r="M357" s="15"/>
      <c r="N357" s="15"/>
      <c r="O357" s="15" t="str">
        <f>IF(I357*M357=0, "", I357*M357*(N357/100))</f>
        <v/>
      </c>
      <c r="P357" s="38"/>
      <c r="Q357" s="38">
        <f>TRUNC(P357*M357*N357/100)</f>
        <v>0</v>
      </c>
      <c r="R357" s="38"/>
      <c r="S357" s="15"/>
      <c r="T357" s="15"/>
      <c r="Z357" s="2" t="s">
        <v>1399</v>
      </c>
      <c r="AD357" s="2">
        <f>SUM(AD355:AD356)</f>
        <v>1.04E-2</v>
      </c>
      <c r="AH357" s="2">
        <f>SUM(AH355:AH356)</f>
        <v>1.04E-2</v>
      </c>
    </row>
    <row r="358" spans="2:34" ht="21.95" customHeight="1" x14ac:dyDescent="0.15">
      <c r="B358" s="13" t="s">
        <v>1397</v>
      </c>
      <c r="C358" s="13" t="s">
        <v>1017</v>
      </c>
      <c r="D358" s="12" t="s">
        <v>1003</v>
      </c>
      <c r="E358" s="12" t="s">
        <v>1018</v>
      </c>
      <c r="F358" s="15" t="s">
        <v>999</v>
      </c>
      <c r="G358" s="15">
        <f>IF(H358*I358/100+0.000005 &lt;1, TRUNC(H358*I358/100+0.000005, 옵션!$E$13), TRUNC(H358*I358/100+0.000005, 옵션!$E$13))</f>
        <v>1.04E-2</v>
      </c>
      <c r="H358" s="15">
        <f>옵션!$B$13</f>
        <v>100</v>
      </c>
      <c r="I358" s="15">
        <f>SUM(AH355:AH356)</f>
        <v>1.04E-2</v>
      </c>
      <c r="J358" s="15"/>
      <c r="K358" s="12"/>
      <c r="L358" s="15"/>
      <c r="M358" s="15"/>
      <c r="N358" s="15"/>
      <c r="O358" s="15" t="str">
        <f>IF(I358*M358=0, "", I358*M358*(N358/100))</f>
        <v/>
      </c>
      <c r="P358" s="38"/>
      <c r="Q358" s="38">
        <f>TRUNC(P358*M358*N358/100)</f>
        <v>0</v>
      </c>
      <c r="R358" s="38"/>
      <c r="S358" s="15"/>
      <c r="T358" s="15"/>
    </row>
    <row r="359" spans="2:34" ht="21.95" customHeight="1" x14ac:dyDescent="0.15">
      <c r="B359" s="13" t="s">
        <v>1448</v>
      </c>
      <c r="D359" s="170" t="s">
        <v>1551</v>
      </c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2"/>
    </row>
    <row r="360" spans="2:34" ht="21.95" customHeight="1" x14ac:dyDescent="0.15">
      <c r="B360" s="13" t="s">
        <v>1397</v>
      </c>
      <c r="C360" s="13" t="s">
        <v>498</v>
      </c>
      <c r="D360" s="12" t="s">
        <v>499</v>
      </c>
      <c r="E360" s="12" t="s">
        <v>500</v>
      </c>
      <c r="F360" s="15" t="s">
        <v>166</v>
      </c>
      <c r="G360" s="15">
        <v>1</v>
      </c>
      <c r="H360" s="15">
        <f>IF(I360&lt;&gt;0, G360-I360, "")</f>
        <v>0</v>
      </c>
      <c r="I360" s="15">
        <v>1</v>
      </c>
      <c r="J360" s="15"/>
      <c r="K360" s="12" t="s">
        <v>1377</v>
      </c>
      <c r="L360" s="15" t="s">
        <v>1014</v>
      </c>
      <c r="M360" s="15">
        <v>1.4999999999999999E-2</v>
      </c>
      <c r="N360" s="15">
        <v>100</v>
      </c>
      <c r="O360" s="15">
        <f>IF(I360*M360=0, "", I360*M360*(N360/100))</f>
        <v>1.4999999999999999E-2</v>
      </c>
      <c r="P360" s="38"/>
      <c r="Q360" s="38">
        <f>TRUNC(P360*M360*N360/100)</f>
        <v>0</v>
      </c>
      <c r="R360" s="38"/>
      <c r="S360" s="15" t="s">
        <v>1423</v>
      </c>
      <c r="T360" s="15"/>
      <c r="AF360" s="2">
        <f>O360</f>
        <v>1.4999999999999999E-2</v>
      </c>
    </row>
    <row r="361" spans="2:34" ht="21.95" customHeight="1" x14ac:dyDescent="0.15">
      <c r="B361" s="13" t="s">
        <v>1397</v>
      </c>
      <c r="C361" s="13" t="s">
        <v>1013</v>
      </c>
      <c r="D361" s="12" t="s">
        <v>1003</v>
      </c>
      <c r="E361" s="12" t="s">
        <v>1014</v>
      </c>
      <c r="F361" s="15" t="s">
        <v>999</v>
      </c>
      <c r="G361" s="15">
        <f>IF(H361*I361/100+0.000005 &lt;1, TRUNC(H361*I361/100+0.000005, 옵션!$E$13), TRUNC(H361*I361/100+0.000005, 옵션!$E$13))</f>
        <v>1.4999999999999999E-2</v>
      </c>
      <c r="H361" s="15">
        <f>옵션!$B$13</f>
        <v>100</v>
      </c>
      <c r="I361" s="15">
        <f>SUM(AF360:AF360)</f>
        <v>1.4999999999999999E-2</v>
      </c>
      <c r="J361" s="15"/>
      <c r="K361" s="12"/>
      <c r="L361" s="15"/>
      <c r="M361" s="15"/>
      <c r="N361" s="15"/>
      <c r="O361" s="15" t="str">
        <f>IF(I361*M361=0, "", I361*M361*(N361/100))</f>
        <v/>
      </c>
      <c r="P361" s="38"/>
      <c r="Q361" s="38">
        <f>TRUNC(P361*M361*N361/100)</f>
        <v>0</v>
      </c>
      <c r="R361" s="38"/>
      <c r="S361" s="15"/>
      <c r="T361" s="15"/>
      <c r="Z361" s="2" t="s">
        <v>1399</v>
      </c>
      <c r="AF361" s="2">
        <f>SUM(AF360:AF360)</f>
        <v>1.4999999999999999E-2</v>
      </c>
    </row>
    <row r="362" spans="2:34" ht="21.95" customHeight="1" x14ac:dyDescent="0.15">
      <c r="B362" s="13" t="s">
        <v>1448</v>
      </c>
      <c r="D362" s="170" t="s">
        <v>1552</v>
      </c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2"/>
    </row>
    <row r="363" spans="2:34" ht="21.95" customHeight="1" x14ac:dyDescent="0.15">
      <c r="B363" s="13" t="s">
        <v>1397</v>
      </c>
      <c r="C363" s="13" t="s">
        <v>504</v>
      </c>
      <c r="D363" s="12" t="s">
        <v>505</v>
      </c>
      <c r="E363" s="12" t="s">
        <v>506</v>
      </c>
      <c r="F363" s="15" t="s">
        <v>166</v>
      </c>
      <c r="G363" s="15">
        <v>1</v>
      </c>
      <c r="H363" s="15">
        <f>IF(I363&lt;&gt;0, G363-I363, "")</f>
        <v>0</v>
      </c>
      <c r="I363" s="15">
        <v>1</v>
      </c>
      <c r="J363" s="15"/>
      <c r="K363" s="12" t="s">
        <v>1377</v>
      </c>
      <c r="L363" s="15" t="s">
        <v>1014</v>
      </c>
      <c r="M363" s="15">
        <v>1.7999999999999999E-2</v>
      </c>
      <c r="N363" s="15">
        <v>100</v>
      </c>
      <c r="O363" s="15">
        <f>IF(I363*M363=0, "", I363*M363*(N363/100))</f>
        <v>1.7999999999999999E-2</v>
      </c>
      <c r="P363" s="38"/>
      <c r="Q363" s="38">
        <f>TRUNC(P363*M363*N363/100)</f>
        <v>0</v>
      </c>
      <c r="R363" s="38"/>
      <c r="S363" s="15" t="s">
        <v>1424</v>
      </c>
      <c r="T363" s="15"/>
      <c r="AF363" s="2">
        <f>O363</f>
        <v>1.7999999999999999E-2</v>
      </c>
    </row>
    <row r="364" spans="2:34" ht="21.95" customHeight="1" x14ac:dyDescent="0.15">
      <c r="B364" s="13" t="s">
        <v>1397</v>
      </c>
      <c r="C364" s="13" t="s">
        <v>1013</v>
      </c>
      <c r="D364" s="12" t="s">
        <v>1003</v>
      </c>
      <c r="E364" s="12" t="s">
        <v>1014</v>
      </c>
      <c r="F364" s="15" t="s">
        <v>999</v>
      </c>
      <c r="G364" s="15">
        <f>IF(H364*I364/100+0.000005 &lt;1, TRUNC(H364*I364/100+0.000005, 옵션!$E$13), TRUNC(H364*I364/100+0.000005, 옵션!$E$13))</f>
        <v>1.7999999999999999E-2</v>
      </c>
      <c r="H364" s="15">
        <f>옵션!$B$13</f>
        <v>100</v>
      </c>
      <c r="I364" s="15">
        <f>SUM(AF363:AF363)</f>
        <v>1.7999999999999999E-2</v>
      </c>
      <c r="J364" s="15"/>
      <c r="K364" s="12"/>
      <c r="L364" s="15"/>
      <c r="M364" s="15"/>
      <c r="N364" s="15"/>
      <c r="O364" s="15" t="str">
        <f>IF(I364*M364=0, "", I364*M364*(N364/100))</f>
        <v/>
      </c>
      <c r="P364" s="38"/>
      <c r="Q364" s="38">
        <f>TRUNC(P364*M364*N364/100)</f>
        <v>0</v>
      </c>
      <c r="R364" s="38"/>
      <c r="S364" s="15"/>
      <c r="T364" s="15"/>
      <c r="Z364" s="2" t="s">
        <v>1399</v>
      </c>
      <c r="AF364" s="2">
        <f>SUM(AF363:AF363)</f>
        <v>1.7999999999999999E-2</v>
      </c>
    </row>
    <row r="365" spans="2:34" ht="21.95" customHeight="1" x14ac:dyDescent="0.15">
      <c r="B365" s="13" t="s">
        <v>1448</v>
      </c>
      <c r="D365" s="170" t="s">
        <v>1553</v>
      </c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2"/>
    </row>
    <row r="366" spans="2:34" ht="21.95" customHeight="1" x14ac:dyDescent="0.15">
      <c r="B366" s="13" t="s">
        <v>1397</v>
      </c>
      <c r="C366" s="13" t="s">
        <v>507</v>
      </c>
      <c r="D366" s="12" t="s">
        <v>508</v>
      </c>
      <c r="E366" s="12" t="s">
        <v>509</v>
      </c>
      <c r="F366" s="15" t="s">
        <v>200</v>
      </c>
      <c r="G366" s="15">
        <v>1</v>
      </c>
      <c r="H366" s="15">
        <f>IF(I366&lt;&gt;0, G366-I366, "")</f>
        <v>0</v>
      </c>
      <c r="I366" s="15">
        <v>1</v>
      </c>
      <c r="J366" s="15"/>
      <c r="K366" s="12" t="s">
        <v>1372</v>
      </c>
      <c r="L366" s="15" t="s">
        <v>1004</v>
      </c>
      <c r="M366" s="15">
        <v>8.5000000000000006E-2</v>
      </c>
      <c r="N366" s="15">
        <v>100</v>
      </c>
      <c r="O366" s="15">
        <f>IF(I366*M366=0, "", I366*M366*(N366/100))</f>
        <v>8.5000000000000006E-2</v>
      </c>
      <c r="P366" s="38"/>
      <c r="Q366" s="38">
        <f>TRUNC(P366*M366*N366/100)</f>
        <v>0</v>
      </c>
      <c r="R366" s="38"/>
      <c r="S366" s="15" t="s">
        <v>1425</v>
      </c>
      <c r="T366" s="15"/>
      <c r="AA366" s="2">
        <f>O366</f>
        <v>8.5000000000000006E-2</v>
      </c>
    </row>
    <row r="367" spans="2:34" ht="21.95" customHeight="1" x14ac:dyDescent="0.15">
      <c r="B367" s="13" t="s">
        <v>1397</v>
      </c>
      <c r="C367" s="13" t="s">
        <v>1002</v>
      </c>
      <c r="D367" s="12" t="s">
        <v>1003</v>
      </c>
      <c r="E367" s="12" t="s">
        <v>1004</v>
      </c>
      <c r="F367" s="15" t="s">
        <v>999</v>
      </c>
      <c r="G367" s="15">
        <f>IF(H367*I367/100+0.000005 &lt;1, TRUNC(H367*I367/100+0.000005, 옵션!$E$13), TRUNC(H367*I367/100+0.000005, 옵션!$E$13))</f>
        <v>8.5000000000000006E-2</v>
      </c>
      <c r="H367" s="15">
        <f>옵션!$B$13</f>
        <v>100</v>
      </c>
      <c r="I367" s="15">
        <f>SUM(AA366:AA366)</f>
        <v>8.5000000000000006E-2</v>
      </c>
      <c r="J367" s="15"/>
      <c r="K367" s="12"/>
      <c r="L367" s="15"/>
      <c r="M367" s="15"/>
      <c r="N367" s="15"/>
      <c r="O367" s="15" t="str">
        <f>IF(I367*M367=0, "", I367*M367*(N367/100))</f>
        <v/>
      </c>
      <c r="P367" s="38"/>
      <c r="Q367" s="38">
        <f>TRUNC(P367*M367*N367/100)</f>
        <v>0</v>
      </c>
      <c r="R367" s="38"/>
      <c r="S367" s="15"/>
      <c r="T367" s="15"/>
      <c r="Z367" s="2" t="s">
        <v>1399</v>
      </c>
      <c r="AA367" s="2">
        <f>SUM(AA366:AA366)</f>
        <v>8.5000000000000006E-2</v>
      </c>
    </row>
    <row r="368" spans="2:34" ht="21.95" customHeight="1" x14ac:dyDescent="0.15">
      <c r="B368" s="13" t="s">
        <v>1448</v>
      </c>
      <c r="D368" s="170" t="s">
        <v>1554</v>
      </c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2"/>
    </row>
    <row r="369" spans="2:27" ht="21.95" customHeight="1" x14ac:dyDescent="0.15">
      <c r="B369" s="13" t="s">
        <v>1397</v>
      </c>
      <c r="C369" s="13" t="s">
        <v>514</v>
      </c>
      <c r="D369" s="12" t="s">
        <v>508</v>
      </c>
      <c r="E369" s="12" t="s">
        <v>515</v>
      </c>
      <c r="F369" s="15" t="s">
        <v>200</v>
      </c>
      <c r="G369" s="15">
        <v>1</v>
      </c>
      <c r="H369" s="15">
        <f>IF(I369&lt;&gt;0, G369-I369, "")</f>
        <v>0</v>
      </c>
      <c r="I369" s="15">
        <v>1</v>
      </c>
      <c r="J369" s="15"/>
      <c r="K369" s="12" t="s">
        <v>1372</v>
      </c>
      <c r="L369" s="15" t="s">
        <v>1004</v>
      </c>
      <c r="M369" s="15">
        <v>8.5000000000000006E-2</v>
      </c>
      <c r="N369" s="15">
        <v>100</v>
      </c>
      <c r="O369" s="15">
        <f>IF(I369*M369=0, "", I369*M369*(N369/100))</f>
        <v>8.5000000000000006E-2</v>
      </c>
      <c r="P369" s="38"/>
      <c r="Q369" s="38">
        <f>TRUNC(P369*M369*N369/100)</f>
        <v>0</v>
      </c>
      <c r="R369" s="38"/>
      <c r="S369" s="15" t="s">
        <v>1425</v>
      </c>
      <c r="T369" s="15"/>
      <c r="AA369" s="2">
        <f>O369</f>
        <v>8.5000000000000006E-2</v>
      </c>
    </row>
    <row r="370" spans="2:27" ht="21.95" customHeight="1" x14ac:dyDescent="0.15">
      <c r="B370" s="13" t="s">
        <v>1397</v>
      </c>
      <c r="C370" s="13" t="s">
        <v>1002</v>
      </c>
      <c r="D370" s="12" t="s">
        <v>1003</v>
      </c>
      <c r="E370" s="12" t="s">
        <v>1004</v>
      </c>
      <c r="F370" s="15" t="s">
        <v>999</v>
      </c>
      <c r="G370" s="15">
        <f>IF(H370*I370/100+0.000005 &lt;1, TRUNC(H370*I370/100+0.000005, 옵션!$E$13), TRUNC(H370*I370/100+0.000005, 옵션!$E$13))</f>
        <v>8.5000000000000006E-2</v>
      </c>
      <c r="H370" s="15">
        <f>옵션!$B$13</f>
        <v>100</v>
      </c>
      <c r="I370" s="15">
        <f>SUM(AA369:AA369)</f>
        <v>8.5000000000000006E-2</v>
      </c>
      <c r="J370" s="15"/>
      <c r="K370" s="12"/>
      <c r="L370" s="15"/>
      <c r="M370" s="15"/>
      <c r="N370" s="15"/>
      <c r="O370" s="15" t="str">
        <f>IF(I370*M370=0, "", I370*M370*(N370/100))</f>
        <v/>
      </c>
      <c r="P370" s="38"/>
      <c r="Q370" s="38">
        <f>TRUNC(P370*M370*N370/100)</f>
        <v>0</v>
      </c>
      <c r="R370" s="38"/>
      <c r="S370" s="15"/>
      <c r="T370" s="15"/>
      <c r="Z370" s="2" t="s">
        <v>1399</v>
      </c>
      <c r="AA370" s="2">
        <f>SUM(AA369:AA369)</f>
        <v>8.5000000000000006E-2</v>
      </c>
    </row>
    <row r="371" spans="2:27" ht="21.95" customHeight="1" x14ac:dyDescent="0.15">
      <c r="B371" s="13" t="s">
        <v>1448</v>
      </c>
      <c r="D371" s="170" t="s">
        <v>1555</v>
      </c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2"/>
    </row>
    <row r="372" spans="2:27" ht="21.95" customHeight="1" x14ac:dyDescent="0.15">
      <c r="B372" s="13" t="s">
        <v>1397</v>
      </c>
      <c r="C372" s="13" t="s">
        <v>516</v>
      </c>
      <c r="D372" s="12" t="s">
        <v>508</v>
      </c>
      <c r="E372" s="12" t="s">
        <v>517</v>
      </c>
      <c r="F372" s="15" t="s">
        <v>200</v>
      </c>
      <c r="G372" s="15">
        <v>1</v>
      </c>
      <c r="H372" s="15">
        <f>IF(I372&lt;&gt;0, G372-I372, "")</f>
        <v>0</v>
      </c>
      <c r="I372" s="15">
        <v>1</v>
      </c>
      <c r="J372" s="15"/>
      <c r="K372" s="12" t="s">
        <v>1372</v>
      </c>
      <c r="L372" s="15" t="s">
        <v>1004</v>
      </c>
      <c r="M372" s="15">
        <v>8.5000000000000006E-2</v>
      </c>
      <c r="N372" s="15">
        <v>100</v>
      </c>
      <c r="O372" s="15">
        <f>IF(I372*M372=0, "", I372*M372*(N372/100))</f>
        <v>8.5000000000000006E-2</v>
      </c>
      <c r="P372" s="38"/>
      <c r="Q372" s="38">
        <f>TRUNC(P372*M372*N372/100)</f>
        <v>0</v>
      </c>
      <c r="R372" s="38"/>
      <c r="S372" s="15" t="s">
        <v>1425</v>
      </c>
      <c r="T372" s="15"/>
      <c r="AA372" s="2">
        <f>O372</f>
        <v>8.5000000000000006E-2</v>
      </c>
    </row>
    <row r="373" spans="2:27" ht="21.95" customHeight="1" x14ac:dyDescent="0.15">
      <c r="B373" s="13" t="s">
        <v>1397</v>
      </c>
      <c r="C373" s="13" t="s">
        <v>1002</v>
      </c>
      <c r="D373" s="12" t="s">
        <v>1003</v>
      </c>
      <c r="E373" s="12" t="s">
        <v>1004</v>
      </c>
      <c r="F373" s="15" t="s">
        <v>999</v>
      </c>
      <c r="G373" s="15">
        <f>IF(H373*I373/100+0.000005 &lt;1, TRUNC(H373*I373/100+0.000005, 옵션!$E$13), TRUNC(H373*I373/100+0.000005, 옵션!$E$13))</f>
        <v>8.5000000000000006E-2</v>
      </c>
      <c r="H373" s="15">
        <f>옵션!$B$13</f>
        <v>100</v>
      </c>
      <c r="I373" s="15">
        <f>SUM(AA372:AA372)</f>
        <v>8.5000000000000006E-2</v>
      </c>
      <c r="J373" s="15"/>
      <c r="K373" s="12"/>
      <c r="L373" s="15"/>
      <c r="M373" s="15"/>
      <c r="N373" s="15"/>
      <c r="O373" s="15" t="str">
        <f>IF(I373*M373=0, "", I373*M373*(N373/100))</f>
        <v/>
      </c>
      <c r="P373" s="38"/>
      <c r="Q373" s="38">
        <f>TRUNC(P373*M373*N373/100)</f>
        <v>0</v>
      </c>
      <c r="R373" s="38"/>
      <c r="S373" s="15"/>
      <c r="T373" s="15"/>
      <c r="Z373" s="2" t="s">
        <v>1399</v>
      </c>
      <c r="AA373" s="2">
        <f>SUM(AA372:AA372)</f>
        <v>8.5000000000000006E-2</v>
      </c>
    </row>
    <row r="374" spans="2:27" ht="21.95" customHeight="1" x14ac:dyDescent="0.15">
      <c r="B374" s="13" t="s">
        <v>1448</v>
      </c>
      <c r="D374" s="170" t="s">
        <v>1556</v>
      </c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2"/>
    </row>
    <row r="375" spans="2:27" ht="21.95" customHeight="1" x14ac:dyDescent="0.15">
      <c r="B375" s="13" t="s">
        <v>1397</v>
      </c>
      <c r="C375" s="13" t="s">
        <v>518</v>
      </c>
      <c r="D375" s="12" t="s">
        <v>519</v>
      </c>
      <c r="E375" s="12" t="s">
        <v>520</v>
      </c>
      <c r="F375" s="15" t="s">
        <v>200</v>
      </c>
      <c r="G375" s="15">
        <v>1</v>
      </c>
      <c r="H375" s="15">
        <f>IF(I375&lt;&gt;0, G375-I375, "")</f>
        <v>0</v>
      </c>
      <c r="I375" s="15">
        <v>1</v>
      </c>
      <c r="J375" s="15"/>
      <c r="K375" s="12" t="s">
        <v>1372</v>
      </c>
      <c r="L375" s="15" t="s">
        <v>1004</v>
      </c>
      <c r="M375" s="15">
        <v>9.6000000000000002E-2</v>
      </c>
      <c r="N375" s="15">
        <v>100</v>
      </c>
      <c r="O375" s="15">
        <f>IF(I375*M375=0, "", I375*M375*(N375/100))</f>
        <v>9.6000000000000002E-2</v>
      </c>
      <c r="P375" s="38"/>
      <c r="Q375" s="38">
        <f>TRUNC(P375*M375*N375/100)</f>
        <v>0</v>
      </c>
      <c r="R375" s="38"/>
      <c r="S375" s="15" t="s">
        <v>1426</v>
      </c>
      <c r="T375" s="15"/>
      <c r="AA375" s="2">
        <f>O375</f>
        <v>9.6000000000000002E-2</v>
      </c>
    </row>
    <row r="376" spans="2:27" ht="21.95" customHeight="1" x14ac:dyDescent="0.15">
      <c r="B376" s="13" t="s">
        <v>1397</v>
      </c>
      <c r="C376" s="13" t="s">
        <v>1002</v>
      </c>
      <c r="D376" s="12" t="s">
        <v>1003</v>
      </c>
      <c r="E376" s="12" t="s">
        <v>1004</v>
      </c>
      <c r="F376" s="15" t="s">
        <v>999</v>
      </c>
      <c r="G376" s="15">
        <f>IF(H376*I376/100+0.000005 &lt;1, TRUNC(H376*I376/100+0.000005, 옵션!$E$13), TRUNC(H376*I376/100+0.000005, 옵션!$E$13))</f>
        <v>9.6000000000000002E-2</v>
      </c>
      <c r="H376" s="15">
        <f>옵션!$B$13</f>
        <v>100</v>
      </c>
      <c r="I376" s="15">
        <f>SUM(AA375:AA375)</f>
        <v>9.6000000000000002E-2</v>
      </c>
      <c r="J376" s="15"/>
      <c r="K376" s="12"/>
      <c r="L376" s="15"/>
      <c r="M376" s="15"/>
      <c r="N376" s="15"/>
      <c r="O376" s="15" t="str">
        <f>IF(I376*M376=0, "", I376*M376*(N376/100))</f>
        <v/>
      </c>
      <c r="P376" s="38"/>
      <c r="Q376" s="38">
        <f>TRUNC(P376*M376*N376/100)</f>
        <v>0</v>
      </c>
      <c r="R376" s="38"/>
      <c r="S376" s="15"/>
      <c r="T376" s="15"/>
      <c r="Z376" s="2" t="s">
        <v>1399</v>
      </c>
      <c r="AA376" s="2">
        <f>SUM(AA375:AA375)</f>
        <v>9.6000000000000002E-2</v>
      </c>
    </row>
    <row r="377" spans="2:27" ht="21.95" customHeight="1" x14ac:dyDescent="0.15">
      <c r="B377" s="13" t="s">
        <v>1448</v>
      </c>
      <c r="D377" s="170" t="s">
        <v>1557</v>
      </c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2"/>
    </row>
    <row r="378" spans="2:27" ht="21.95" customHeight="1" x14ac:dyDescent="0.15">
      <c r="B378" s="13" t="s">
        <v>1397</v>
      </c>
      <c r="C378" s="13" t="s">
        <v>522</v>
      </c>
      <c r="D378" s="12" t="s">
        <v>523</v>
      </c>
      <c r="E378" s="12" t="s">
        <v>524</v>
      </c>
      <c r="F378" s="15" t="s">
        <v>200</v>
      </c>
      <c r="G378" s="15">
        <v>1</v>
      </c>
      <c r="H378" s="15">
        <f>IF(I378&lt;&gt;0, G378-I378, "")</f>
        <v>0</v>
      </c>
      <c r="I378" s="15">
        <v>1</v>
      </c>
      <c r="J378" s="15"/>
      <c r="K378" s="12" t="s">
        <v>1372</v>
      </c>
      <c r="L378" s="15" t="s">
        <v>1004</v>
      </c>
      <c r="M378" s="15">
        <v>0.08</v>
      </c>
      <c r="N378" s="15">
        <v>100</v>
      </c>
      <c r="O378" s="15">
        <f>IF(I378*M378=0, "", I378*M378*(N378/100))</f>
        <v>0.08</v>
      </c>
      <c r="P378" s="38"/>
      <c r="Q378" s="38">
        <f>TRUNC(P378*M378*N378/100)</f>
        <v>0</v>
      </c>
      <c r="R378" s="38"/>
      <c r="S378" s="15" t="s">
        <v>1426</v>
      </c>
      <c r="T378" s="15"/>
      <c r="AA378" s="2">
        <f>O378</f>
        <v>0.08</v>
      </c>
    </row>
    <row r="379" spans="2:27" ht="21.95" customHeight="1" x14ac:dyDescent="0.15">
      <c r="B379" s="13" t="s">
        <v>1397</v>
      </c>
      <c r="C379" s="13" t="s">
        <v>1002</v>
      </c>
      <c r="D379" s="12" t="s">
        <v>1003</v>
      </c>
      <c r="E379" s="12" t="s">
        <v>1004</v>
      </c>
      <c r="F379" s="15" t="s">
        <v>999</v>
      </c>
      <c r="G379" s="15">
        <f>IF(H379*I379/100+0.000005 &lt;1, TRUNC(H379*I379/100+0.000005, 옵션!$E$13), TRUNC(H379*I379/100+0.000005, 옵션!$E$13))</f>
        <v>0.08</v>
      </c>
      <c r="H379" s="15">
        <f>옵션!$B$13</f>
        <v>100</v>
      </c>
      <c r="I379" s="15">
        <f>SUM(AA378:AA378)</f>
        <v>0.08</v>
      </c>
      <c r="J379" s="15"/>
      <c r="K379" s="12"/>
      <c r="L379" s="15"/>
      <c r="M379" s="15"/>
      <c r="N379" s="15"/>
      <c r="O379" s="15" t="str">
        <f>IF(I379*M379=0, "", I379*M379*(N379/100))</f>
        <v/>
      </c>
      <c r="P379" s="38"/>
      <c r="Q379" s="38">
        <f>TRUNC(P379*M379*N379/100)</f>
        <v>0</v>
      </c>
      <c r="R379" s="38"/>
      <c r="S379" s="15"/>
      <c r="T379" s="15"/>
      <c r="Z379" s="2" t="s">
        <v>1399</v>
      </c>
      <c r="AA379" s="2">
        <f>SUM(AA378:AA378)</f>
        <v>0.08</v>
      </c>
    </row>
    <row r="380" spans="2:27" ht="21.95" customHeight="1" x14ac:dyDescent="0.15">
      <c r="B380" s="13" t="s">
        <v>1448</v>
      </c>
      <c r="D380" s="170" t="s">
        <v>1558</v>
      </c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2"/>
    </row>
    <row r="381" spans="2:27" ht="21.95" customHeight="1" x14ac:dyDescent="0.15">
      <c r="B381" s="13" t="s">
        <v>1397</v>
      </c>
      <c r="C381" s="13" t="s">
        <v>525</v>
      </c>
      <c r="D381" s="12" t="s">
        <v>519</v>
      </c>
      <c r="E381" s="12" t="s">
        <v>526</v>
      </c>
      <c r="F381" s="15" t="s">
        <v>200</v>
      </c>
      <c r="G381" s="15">
        <v>1</v>
      </c>
      <c r="H381" s="15">
        <f>IF(I381&lt;&gt;0, G381-I381, "")</f>
        <v>0</v>
      </c>
      <c r="I381" s="15">
        <v>1</v>
      </c>
      <c r="J381" s="15"/>
      <c r="K381" s="12" t="s">
        <v>1372</v>
      </c>
      <c r="L381" s="15" t="s">
        <v>1004</v>
      </c>
      <c r="M381" s="15">
        <v>0.08</v>
      </c>
      <c r="N381" s="15">
        <v>100</v>
      </c>
      <c r="O381" s="15">
        <f>IF(I381*M381=0, "", I381*M381*(N381/100))</f>
        <v>0.08</v>
      </c>
      <c r="P381" s="38"/>
      <c r="Q381" s="38">
        <f>TRUNC(P381*M381*N381/100)</f>
        <v>0</v>
      </c>
      <c r="R381" s="38"/>
      <c r="S381" s="15" t="s">
        <v>1426</v>
      </c>
      <c r="T381" s="15"/>
      <c r="AA381" s="2">
        <f>O381</f>
        <v>0.08</v>
      </c>
    </row>
    <row r="382" spans="2:27" ht="21.95" customHeight="1" x14ac:dyDescent="0.15">
      <c r="B382" s="13" t="s">
        <v>1397</v>
      </c>
      <c r="C382" s="13" t="s">
        <v>1002</v>
      </c>
      <c r="D382" s="12" t="s">
        <v>1003</v>
      </c>
      <c r="E382" s="12" t="s">
        <v>1004</v>
      </c>
      <c r="F382" s="15" t="s">
        <v>999</v>
      </c>
      <c r="G382" s="15">
        <f>IF(H382*I382/100+0.000005 &lt;1, TRUNC(H382*I382/100+0.000005, 옵션!$E$13), TRUNC(H382*I382/100+0.000005, 옵션!$E$13))</f>
        <v>0.08</v>
      </c>
      <c r="H382" s="15">
        <f>옵션!$B$13</f>
        <v>100</v>
      </c>
      <c r="I382" s="15">
        <f>SUM(AA381:AA381)</f>
        <v>0.08</v>
      </c>
      <c r="J382" s="15"/>
      <c r="K382" s="12"/>
      <c r="L382" s="15"/>
      <c r="M382" s="15"/>
      <c r="N382" s="15"/>
      <c r="O382" s="15" t="str">
        <f>IF(I382*M382=0, "", I382*M382*(N382/100))</f>
        <v/>
      </c>
      <c r="P382" s="38"/>
      <c r="Q382" s="38">
        <f>TRUNC(P382*M382*N382/100)</f>
        <v>0</v>
      </c>
      <c r="R382" s="38"/>
      <c r="S382" s="15"/>
      <c r="T382" s="15"/>
      <c r="Z382" s="2" t="s">
        <v>1399</v>
      </c>
      <c r="AA382" s="2">
        <f>SUM(AA381:AA381)</f>
        <v>0.08</v>
      </c>
    </row>
    <row r="383" spans="2:27" ht="21.95" customHeight="1" x14ac:dyDescent="0.15">
      <c r="B383" s="13" t="s">
        <v>1448</v>
      </c>
      <c r="D383" s="170" t="s">
        <v>1559</v>
      </c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2"/>
    </row>
    <row r="384" spans="2:27" ht="21.95" customHeight="1" x14ac:dyDescent="0.15">
      <c r="B384" s="13" t="s">
        <v>1397</v>
      </c>
      <c r="C384" s="13" t="s">
        <v>528</v>
      </c>
      <c r="D384" s="12" t="s">
        <v>519</v>
      </c>
      <c r="E384" s="12" t="s">
        <v>529</v>
      </c>
      <c r="F384" s="15" t="s">
        <v>200</v>
      </c>
      <c r="G384" s="15">
        <v>1</v>
      </c>
      <c r="H384" s="15">
        <f>IF(I384&lt;&gt;0, G384-I384, "")</f>
        <v>0</v>
      </c>
      <c r="I384" s="15">
        <v>1</v>
      </c>
      <c r="J384" s="15"/>
      <c r="K384" s="12" t="s">
        <v>1372</v>
      </c>
      <c r="L384" s="15" t="s">
        <v>1004</v>
      </c>
      <c r="M384" s="15">
        <v>0.08</v>
      </c>
      <c r="N384" s="15">
        <v>100</v>
      </c>
      <c r="O384" s="15">
        <f>IF(I384*M384=0, "", I384*M384*(N384/100))</f>
        <v>0.08</v>
      </c>
      <c r="P384" s="38"/>
      <c r="Q384" s="38">
        <f>TRUNC(P384*M384*N384/100)</f>
        <v>0</v>
      </c>
      <c r="R384" s="38"/>
      <c r="S384" s="15" t="s">
        <v>1426</v>
      </c>
      <c r="T384" s="15"/>
      <c r="AA384" s="2">
        <f>O384</f>
        <v>0.08</v>
      </c>
    </row>
    <row r="385" spans="2:34" ht="21.95" customHeight="1" x14ac:dyDescent="0.15">
      <c r="B385" s="13" t="s">
        <v>1397</v>
      </c>
      <c r="C385" s="13" t="s">
        <v>1002</v>
      </c>
      <c r="D385" s="12" t="s">
        <v>1003</v>
      </c>
      <c r="E385" s="12" t="s">
        <v>1004</v>
      </c>
      <c r="F385" s="15" t="s">
        <v>999</v>
      </c>
      <c r="G385" s="15">
        <f>IF(H385*I385/100+0.000005 &lt;1, TRUNC(H385*I385/100+0.000005, 옵션!$E$13), TRUNC(H385*I385/100+0.000005, 옵션!$E$13))</f>
        <v>0.08</v>
      </c>
      <c r="H385" s="15">
        <f>옵션!$B$13</f>
        <v>100</v>
      </c>
      <c r="I385" s="15">
        <f>SUM(AA384:AA384)</f>
        <v>0.08</v>
      </c>
      <c r="J385" s="15"/>
      <c r="K385" s="12"/>
      <c r="L385" s="15"/>
      <c r="M385" s="15"/>
      <c r="N385" s="15"/>
      <c r="O385" s="15" t="str">
        <f>IF(I385*M385=0, "", I385*M385*(N385/100))</f>
        <v/>
      </c>
      <c r="P385" s="38"/>
      <c r="Q385" s="38">
        <f>TRUNC(P385*M385*N385/100)</f>
        <v>0</v>
      </c>
      <c r="R385" s="38"/>
      <c r="S385" s="15"/>
      <c r="T385" s="15"/>
      <c r="Z385" s="2" t="s">
        <v>1399</v>
      </c>
      <c r="AA385" s="2">
        <f>SUM(AA384:AA384)</f>
        <v>0.08</v>
      </c>
    </row>
    <row r="386" spans="2:34" ht="21.95" customHeight="1" x14ac:dyDescent="0.15">
      <c r="B386" s="13" t="s">
        <v>1448</v>
      </c>
      <c r="D386" s="170" t="s">
        <v>1560</v>
      </c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2"/>
    </row>
    <row r="387" spans="2:34" ht="21.95" customHeight="1" x14ac:dyDescent="0.15">
      <c r="B387" s="13" t="s">
        <v>1397</v>
      </c>
      <c r="C387" s="13" t="s">
        <v>530</v>
      </c>
      <c r="D387" s="12" t="s">
        <v>531</v>
      </c>
      <c r="E387" s="12" t="s">
        <v>526</v>
      </c>
      <c r="F387" s="15" t="s">
        <v>200</v>
      </c>
      <c r="G387" s="15">
        <v>1</v>
      </c>
      <c r="H387" s="15">
        <f>IF(I387&lt;&gt;0, G387-I387, "")</f>
        <v>0</v>
      </c>
      <c r="I387" s="15">
        <v>1</v>
      </c>
      <c r="J387" s="15"/>
      <c r="K387" s="12" t="s">
        <v>1372</v>
      </c>
      <c r="L387" s="15" t="s">
        <v>1004</v>
      </c>
      <c r="M387" s="15">
        <v>0.08</v>
      </c>
      <c r="N387" s="15">
        <v>100</v>
      </c>
      <c r="O387" s="15">
        <f>IF(I387*M387=0, "", I387*M387*(N387/100))</f>
        <v>0.08</v>
      </c>
      <c r="P387" s="38"/>
      <c r="Q387" s="38">
        <f>TRUNC(P387*M387*N387/100)</f>
        <v>0</v>
      </c>
      <c r="R387" s="38"/>
      <c r="S387" s="15" t="s">
        <v>1426</v>
      </c>
      <c r="T387" s="15"/>
      <c r="AA387" s="2">
        <f>O387</f>
        <v>0.08</v>
      </c>
    </row>
    <row r="388" spans="2:34" ht="21.95" customHeight="1" x14ac:dyDescent="0.15">
      <c r="B388" s="13" t="s">
        <v>1397</v>
      </c>
      <c r="C388" s="13" t="s">
        <v>1002</v>
      </c>
      <c r="D388" s="12" t="s">
        <v>1003</v>
      </c>
      <c r="E388" s="12" t="s">
        <v>1004</v>
      </c>
      <c r="F388" s="15" t="s">
        <v>999</v>
      </c>
      <c r="G388" s="15">
        <f>IF(H388*I388/100+0.000005 &lt;1, TRUNC(H388*I388/100+0.000005, 옵션!$E$13), TRUNC(H388*I388/100+0.000005, 옵션!$E$13))</f>
        <v>0.08</v>
      </c>
      <c r="H388" s="15">
        <f>옵션!$B$13</f>
        <v>100</v>
      </c>
      <c r="I388" s="15">
        <f>SUM(AA387:AA387)</f>
        <v>0.08</v>
      </c>
      <c r="J388" s="15"/>
      <c r="K388" s="12"/>
      <c r="L388" s="15"/>
      <c r="M388" s="15"/>
      <c r="N388" s="15"/>
      <c r="O388" s="15" t="str">
        <f>IF(I388*M388=0, "", I388*M388*(N388/100))</f>
        <v/>
      </c>
      <c r="P388" s="38"/>
      <c r="Q388" s="38">
        <f>TRUNC(P388*M388*N388/100)</f>
        <v>0</v>
      </c>
      <c r="R388" s="38"/>
      <c r="S388" s="15"/>
      <c r="T388" s="15"/>
      <c r="Z388" s="2" t="s">
        <v>1399</v>
      </c>
      <c r="AA388" s="2">
        <f>SUM(AA387:AA387)</f>
        <v>0.08</v>
      </c>
    </row>
    <row r="389" spans="2:34" ht="21.95" customHeight="1" x14ac:dyDescent="0.15">
      <c r="B389" s="13" t="s">
        <v>1448</v>
      </c>
      <c r="D389" s="170" t="s">
        <v>1561</v>
      </c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2"/>
    </row>
    <row r="390" spans="2:34" ht="21.95" customHeight="1" x14ac:dyDescent="0.15">
      <c r="B390" s="13" t="s">
        <v>1397</v>
      </c>
      <c r="C390" s="13" t="s">
        <v>532</v>
      </c>
      <c r="D390" s="12" t="s">
        <v>531</v>
      </c>
      <c r="E390" s="12" t="s">
        <v>529</v>
      </c>
      <c r="F390" s="15" t="s">
        <v>200</v>
      </c>
      <c r="G390" s="15">
        <v>1</v>
      </c>
      <c r="H390" s="15">
        <f>IF(I390&lt;&gt;0, G390-I390, "")</f>
        <v>0</v>
      </c>
      <c r="I390" s="15">
        <v>1</v>
      </c>
      <c r="J390" s="15"/>
      <c r="K390" s="12" t="s">
        <v>1372</v>
      </c>
      <c r="L390" s="15" t="s">
        <v>1004</v>
      </c>
      <c r="M390" s="15">
        <v>0.08</v>
      </c>
      <c r="N390" s="15">
        <v>100</v>
      </c>
      <c r="O390" s="15">
        <f>IF(I390*M390=0, "", I390*M390*(N390/100))</f>
        <v>0.08</v>
      </c>
      <c r="P390" s="38"/>
      <c r="Q390" s="38">
        <f>TRUNC(P390*M390*N390/100)</f>
        <v>0</v>
      </c>
      <c r="R390" s="38"/>
      <c r="S390" s="15" t="s">
        <v>1426</v>
      </c>
      <c r="T390" s="15"/>
      <c r="AA390" s="2">
        <f>O390</f>
        <v>0.08</v>
      </c>
    </row>
    <row r="391" spans="2:34" ht="21.95" customHeight="1" x14ac:dyDescent="0.15">
      <c r="B391" s="13" t="s">
        <v>1397</v>
      </c>
      <c r="C391" s="13" t="s">
        <v>1002</v>
      </c>
      <c r="D391" s="12" t="s">
        <v>1003</v>
      </c>
      <c r="E391" s="12" t="s">
        <v>1004</v>
      </c>
      <c r="F391" s="15" t="s">
        <v>999</v>
      </c>
      <c r="G391" s="15">
        <f>IF(H391*I391/100+0.000005 &lt;1, TRUNC(H391*I391/100+0.000005, 옵션!$E$13), TRUNC(H391*I391/100+0.000005, 옵션!$E$13))</f>
        <v>0.08</v>
      </c>
      <c r="H391" s="15">
        <f>옵션!$B$13</f>
        <v>100</v>
      </c>
      <c r="I391" s="15">
        <f>SUM(AA390:AA390)</f>
        <v>0.08</v>
      </c>
      <c r="J391" s="15"/>
      <c r="K391" s="12"/>
      <c r="L391" s="15"/>
      <c r="M391" s="15"/>
      <c r="N391" s="15"/>
      <c r="O391" s="15" t="str">
        <f>IF(I391*M391=0, "", I391*M391*(N391/100))</f>
        <v/>
      </c>
      <c r="P391" s="38"/>
      <c r="Q391" s="38">
        <f>TRUNC(P391*M391*N391/100)</f>
        <v>0</v>
      </c>
      <c r="R391" s="38"/>
      <c r="S391" s="15"/>
      <c r="T391" s="15"/>
      <c r="Z391" s="2" t="s">
        <v>1399</v>
      </c>
      <c r="AA391" s="2">
        <f>SUM(AA390:AA390)</f>
        <v>0.08</v>
      </c>
    </row>
    <row r="392" spans="2:34" ht="21.95" customHeight="1" x14ac:dyDescent="0.15">
      <c r="B392" s="13" t="s">
        <v>1448</v>
      </c>
      <c r="D392" s="170" t="s">
        <v>1562</v>
      </c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2"/>
    </row>
    <row r="393" spans="2:34" ht="21.95" customHeight="1" x14ac:dyDescent="0.15">
      <c r="B393" s="13" t="s">
        <v>1397</v>
      </c>
      <c r="C393" s="13" t="s">
        <v>539</v>
      </c>
      <c r="D393" s="12" t="s">
        <v>534</v>
      </c>
      <c r="E393" s="12" t="s">
        <v>540</v>
      </c>
      <c r="F393" s="15" t="s">
        <v>200</v>
      </c>
      <c r="G393" s="15">
        <v>1</v>
      </c>
      <c r="H393" s="15">
        <f>IF(I393&lt;&gt;0, G393-I393, "")</f>
        <v>0</v>
      </c>
      <c r="I393" s="15">
        <v>1</v>
      </c>
      <c r="J393" s="15"/>
      <c r="K393" s="12" t="s">
        <v>1372</v>
      </c>
      <c r="L393" s="15" t="s">
        <v>1004</v>
      </c>
      <c r="M393" s="15">
        <v>0.11</v>
      </c>
      <c r="N393" s="15">
        <v>100</v>
      </c>
      <c r="O393" s="15">
        <f>IF(I393*M393=0, "", I393*M393*(N393/100))</f>
        <v>0.11</v>
      </c>
      <c r="P393" s="38"/>
      <c r="Q393" s="38">
        <f>TRUNC(P393*M393*N393/100)</f>
        <v>0</v>
      </c>
      <c r="R393" s="38"/>
      <c r="S393" s="15" t="s">
        <v>1402</v>
      </c>
      <c r="T393" s="15"/>
      <c r="AA393" s="2">
        <f>O393</f>
        <v>0.11</v>
      </c>
    </row>
    <row r="394" spans="2:34" ht="21.95" customHeight="1" x14ac:dyDescent="0.15">
      <c r="B394" s="13" t="s">
        <v>1397</v>
      </c>
      <c r="C394" s="13" t="s">
        <v>539</v>
      </c>
      <c r="D394" s="12"/>
      <c r="E394" s="12"/>
      <c r="F394" s="15"/>
      <c r="G394" s="15">
        <v>1</v>
      </c>
      <c r="H394" s="15">
        <f>IF(I394&lt;&gt;0, G394-I394, "")</f>
        <v>0</v>
      </c>
      <c r="I394" s="15">
        <v>1</v>
      </c>
      <c r="J394" s="15"/>
      <c r="K394" s="12" t="s">
        <v>1379</v>
      </c>
      <c r="L394" s="15" t="s">
        <v>1018</v>
      </c>
      <c r="M394" s="15">
        <v>0.08</v>
      </c>
      <c r="N394" s="15">
        <v>100</v>
      </c>
      <c r="O394" s="15">
        <f>IF(I394*M394=0, "", I394*M394*(N394/100))</f>
        <v>0.08</v>
      </c>
      <c r="P394" s="38"/>
      <c r="Q394" s="38">
        <f>TRUNC(P394*M394*N394/100)</f>
        <v>0</v>
      </c>
      <c r="R394" s="38"/>
      <c r="S394" s="15" t="s">
        <v>1402</v>
      </c>
      <c r="T394" s="15"/>
      <c r="AH394" s="2">
        <f>O394</f>
        <v>0.08</v>
      </c>
    </row>
    <row r="395" spans="2:34" ht="21.95" customHeight="1" x14ac:dyDescent="0.15">
      <c r="B395" s="13" t="s">
        <v>1397</v>
      </c>
      <c r="C395" s="13" t="s">
        <v>1002</v>
      </c>
      <c r="D395" s="12" t="s">
        <v>1003</v>
      </c>
      <c r="E395" s="12" t="s">
        <v>1004</v>
      </c>
      <c r="F395" s="15" t="s">
        <v>999</v>
      </c>
      <c r="G395" s="15">
        <f>IF(H395*I395/100+0.000005 &lt;1, TRUNC(H395*I395/100+0.000005, 옵션!$E$13), TRUNC(H395*I395/100+0.000005, 옵션!$E$13))</f>
        <v>0.11</v>
      </c>
      <c r="H395" s="15">
        <f>옵션!$B$13</f>
        <v>100</v>
      </c>
      <c r="I395" s="15">
        <f>SUM(AA393:AA394)</f>
        <v>0.11</v>
      </c>
      <c r="J395" s="15"/>
      <c r="K395" s="12"/>
      <c r="L395" s="15"/>
      <c r="M395" s="15"/>
      <c r="N395" s="15"/>
      <c r="O395" s="15" t="str">
        <f>IF(I395*M395=0, "", I395*M395*(N395/100))</f>
        <v/>
      </c>
      <c r="P395" s="38"/>
      <c r="Q395" s="38">
        <f>TRUNC(P395*M395*N395/100)</f>
        <v>0</v>
      </c>
      <c r="R395" s="38"/>
      <c r="S395" s="15"/>
      <c r="T395" s="15"/>
      <c r="Z395" s="2" t="s">
        <v>1399</v>
      </c>
      <c r="AA395" s="2">
        <f>SUM(AA393:AA394)</f>
        <v>0.11</v>
      </c>
      <c r="AH395" s="2">
        <f>SUM(AH393:AH394)</f>
        <v>0.08</v>
      </c>
    </row>
    <row r="396" spans="2:34" ht="21.95" customHeight="1" x14ac:dyDescent="0.15">
      <c r="B396" s="13" t="s">
        <v>1397</v>
      </c>
      <c r="C396" s="13" t="s">
        <v>1017</v>
      </c>
      <c r="D396" s="12" t="s">
        <v>1003</v>
      </c>
      <c r="E396" s="12" t="s">
        <v>1018</v>
      </c>
      <c r="F396" s="15" t="s">
        <v>999</v>
      </c>
      <c r="G396" s="15">
        <f>IF(H396*I396/100+0.000005 &lt;1, TRUNC(H396*I396/100+0.000005, 옵션!$E$13), TRUNC(H396*I396/100+0.000005, 옵션!$E$13))</f>
        <v>0.08</v>
      </c>
      <c r="H396" s="15">
        <f>옵션!$B$13</f>
        <v>100</v>
      </c>
      <c r="I396" s="15">
        <f>SUM(AH393:AH394)</f>
        <v>0.08</v>
      </c>
      <c r="J396" s="15"/>
      <c r="K396" s="12"/>
      <c r="L396" s="15"/>
      <c r="M396" s="15"/>
      <c r="N396" s="15"/>
      <c r="O396" s="15" t="str">
        <f>IF(I396*M396=0, "", I396*M396*(N396/100))</f>
        <v/>
      </c>
      <c r="P396" s="38"/>
      <c r="Q396" s="38">
        <f>TRUNC(P396*M396*N396/100)</f>
        <v>0</v>
      </c>
      <c r="R396" s="38"/>
      <c r="S396" s="15"/>
      <c r="T396" s="15"/>
    </row>
    <row r="397" spans="2:34" ht="21.95" customHeight="1" x14ac:dyDescent="0.15">
      <c r="B397" s="13" t="s">
        <v>1448</v>
      </c>
      <c r="D397" s="170" t="s">
        <v>1563</v>
      </c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2"/>
    </row>
    <row r="398" spans="2:34" ht="21.95" customHeight="1" x14ac:dyDescent="0.15">
      <c r="B398" s="13" t="s">
        <v>1397</v>
      </c>
      <c r="C398" s="13" t="s">
        <v>541</v>
      </c>
      <c r="D398" s="12" t="s">
        <v>542</v>
      </c>
      <c r="E398" s="12" t="s">
        <v>543</v>
      </c>
      <c r="F398" s="15" t="s">
        <v>200</v>
      </c>
      <c r="G398" s="15">
        <v>1</v>
      </c>
      <c r="H398" s="15">
        <f>IF(I398&lt;&gt;0, G398-I398, "")</f>
        <v>0</v>
      </c>
      <c r="I398" s="15">
        <v>1</v>
      </c>
      <c r="J398" s="15"/>
      <c r="K398" s="12" t="s">
        <v>1372</v>
      </c>
      <c r="L398" s="15" t="s">
        <v>1004</v>
      </c>
      <c r="M398" s="15">
        <v>0.11</v>
      </c>
      <c r="N398" s="15">
        <v>100</v>
      </c>
      <c r="O398" s="15">
        <f>IF(I398*M398=0, "", I398*M398*(N398/100))</f>
        <v>0.11</v>
      </c>
      <c r="P398" s="38"/>
      <c r="Q398" s="38">
        <f>TRUNC(P398*M398*N398/100)</f>
        <v>0</v>
      </c>
      <c r="R398" s="38"/>
      <c r="S398" s="15" t="s">
        <v>1402</v>
      </c>
      <c r="T398" s="15"/>
      <c r="AA398" s="2">
        <f>O398</f>
        <v>0.11</v>
      </c>
    </row>
    <row r="399" spans="2:34" ht="21.95" customHeight="1" x14ac:dyDescent="0.15">
      <c r="B399" s="13" t="s">
        <v>1397</v>
      </c>
      <c r="C399" s="13" t="s">
        <v>541</v>
      </c>
      <c r="D399" s="12"/>
      <c r="E399" s="12"/>
      <c r="F399" s="15"/>
      <c r="G399" s="15">
        <v>1</v>
      </c>
      <c r="H399" s="15">
        <f>IF(I399&lt;&gt;0, G399-I399, "")</f>
        <v>0</v>
      </c>
      <c r="I399" s="15">
        <v>1</v>
      </c>
      <c r="J399" s="15"/>
      <c r="K399" s="12" t="s">
        <v>1379</v>
      </c>
      <c r="L399" s="15" t="s">
        <v>1018</v>
      </c>
      <c r="M399" s="15">
        <v>0.08</v>
      </c>
      <c r="N399" s="15">
        <v>100</v>
      </c>
      <c r="O399" s="15">
        <f>IF(I399*M399=0, "", I399*M399*(N399/100))</f>
        <v>0.08</v>
      </c>
      <c r="P399" s="38"/>
      <c r="Q399" s="38">
        <f>TRUNC(P399*M399*N399/100)</f>
        <v>0</v>
      </c>
      <c r="R399" s="38"/>
      <c r="S399" s="15" t="s">
        <v>1402</v>
      </c>
      <c r="T399" s="15"/>
      <c r="AH399" s="2">
        <f>O399</f>
        <v>0.08</v>
      </c>
    </row>
    <row r="400" spans="2:34" ht="21.95" customHeight="1" x14ac:dyDescent="0.15">
      <c r="B400" s="13" t="s">
        <v>1397</v>
      </c>
      <c r="C400" s="13" t="s">
        <v>1002</v>
      </c>
      <c r="D400" s="12" t="s">
        <v>1003</v>
      </c>
      <c r="E400" s="12" t="s">
        <v>1004</v>
      </c>
      <c r="F400" s="15" t="s">
        <v>999</v>
      </c>
      <c r="G400" s="15">
        <f>IF(H400*I400/100+0.000005 &lt;1, TRUNC(H400*I400/100+0.000005, 옵션!$E$13), TRUNC(H400*I400/100+0.000005, 옵션!$E$13))</f>
        <v>0.11</v>
      </c>
      <c r="H400" s="15">
        <f>옵션!$B$13</f>
        <v>100</v>
      </c>
      <c r="I400" s="15">
        <f>SUM(AA398:AA399)</f>
        <v>0.11</v>
      </c>
      <c r="J400" s="15"/>
      <c r="K400" s="12"/>
      <c r="L400" s="15"/>
      <c r="M400" s="15"/>
      <c r="N400" s="15"/>
      <c r="O400" s="15" t="str">
        <f>IF(I400*M400=0, "", I400*M400*(N400/100))</f>
        <v/>
      </c>
      <c r="P400" s="38"/>
      <c r="Q400" s="38">
        <f>TRUNC(P400*M400*N400/100)</f>
        <v>0</v>
      </c>
      <c r="R400" s="38"/>
      <c r="S400" s="15"/>
      <c r="T400" s="15"/>
      <c r="Z400" s="2" t="s">
        <v>1399</v>
      </c>
      <c r="AA400" s="2">
        <f>SUM(AA398:AA399)</f>
        <v>0.11</v>
      </c>
      <c r="AH400" s="2">
        <f>SUM(AH398:AH399)</f>
        <v>0.08</v>
      </c>
    </row>
    <row r="401" spans="2:34" ht="21.95" customHeight="1" x14ac:dyDescent="0.15">
      <c r="B401" s="13" t="s">
        <v>1397</v>
      </c>
      <c r="C401" s="13" t="s">
        <v>1017</v>
      </c>
      <c r="D401" s="12" t="s">
        <v>1003</v>
      </c>
      <c r="E401" s="12" t="s">
        <v>1018</v>
      </c>
      <c r="F401" s="15" t="s">
        <v>999</v>
      </c>
      <c r="G401" s="15">
        <f>IF(H401*I401/100+0.000005 &lt;1, TRUNC(H401*I401/100+0.000005, 옵션!$E$13), TRUNC(H401*I401/100+0.000005, 옵션!$E$13))</f>
        <v>0.08</v>
      </c>
      <c r="H401" s="15">
        <f>옵션!$B$13</f>
        <v>100</v>
      </c>
      <c r="I401" s="15">
        <f>SUM(AH398:AH399)</f>
        <v>0.08</v>
      </c>
      <c r="J401" s="15"/>
      <c r="K401" s="12"/>
      <c r="L401" s="15"/>
      <c r="M401" s="15"/>
      <c r="N401" s="15"/>
      <c r="O401" s="15" t="str">
        <f>IF(I401*M401=0, "", I401*M401*(N401/100))</f>
        <v/>
      </c>
      <c r="P401" s="38"/>
      <c r="Q401" s="38">
        <f>TRUNC(P401*M401*N401/100)</f>
        <v>0</v>
      </c>
      <c r="R401" s="38"/>
      <c r="S401" s="15"/>
      <c r="T401" s="15"/>
    </row>
    <row r="402" spans="2:34" ht="21.95" customHeight="1" x14ac:dyDescent="0.15">
      <c r="B402" s="13" t="s">
        <v>1448</v>
      </c>
      <c r="D402" s="170" t="s">
        <v>1564</v>
      </c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2"/>
    </row>
    <row r="403" spans="2:34" ht="21.95" customHeight="1" x14ac:dyDescent="0.15">
      <c r="B403" s="13" t="s">
        <v>1397</v>
      </c>
      <c r="C403" s="13" t="s">
        <v>547</v>
      </c>
      <c r="D403" s="12" t="s">
        <v>548</v>
      </c>
      <c r="E403" s="12" t="s">
        <v>549</v>
      </c>
      <c r="F403" s="15" t="s">
        <v>200</v>
      </c>
      <c r="G403" s="15">
        <v>1</v>
      </c>
      <c r="H403" s="15">
        <f>IF(I403&lt;&gt;0, G403-I403, "")</f>
        <v>0</v>
      </c>
      <c r="I403" s="15">
        <v>1</v>
      </c>
      <c r="J403" s="15"/>
      <c r="K403" s="12" t="s">
        <v>1376</v>
      </c>
      <c r="L403" s="15" t="s">
        <v>1012</v>
      </c>
      <c r="M403" s="15">
        <v>0.66</v>
      </c>
      <c r="N403" s="15">
        <v>100</v>
      </c>
      <c r="O403" s="15">
        <f>IF(I403*M403=0, "", I403*M403*(N403/100))</f>
        <v>0.66</v>
      </c>
      <c r="P403" s="38"/>
      <c r="Q403" s="38">
        <f>TRUNC(P403*M403*N403/100)</f>
        <v>0</v>
      </c>
      <c r="R403" s="38"/>
      <c r="S403" s="15" t="s">
        <v>1427</v>
      </c>
      <c r="T403" s="15"/>
      <c r="AE403" s="2">
        <f>O403</f>
        <v>0.66</v>
      </c>
    </row>
    <row r="404" spans="2:34" ht="21.95" customHeight="1" x14ac:dyDescent="0.15">
      <c r="B404" s="13" t="s">
        <v>1397</v>
      </c>
      <c r="C404" s="13" t="s">
        <v>1011</v>
      </c>
      <c r="D404" s="12" t="s">
        <v>1003</v>
      </c>
      <c r="E404" s="12" t="s">
        <v>1012</v>
      </c>
      <c r="F404" s="15" t="s">
        <v>999</v>
      </c>
      <c r="G404" s="15">
        <f>IF(H404*I404/100+0.000005 &lt;1, TRUNC(H404*I404/100+0.000005, 옵션!$E$13), TRUNC(H404*I404/100+0.000005, 옵션!$E$13))</f>
        <v>0.66</v>
      </c>
      <c r="H404" s="15">
        <f>옵션!$B$13</f>
        <v>100</v>
      </c>
      <c r="I404" s="15">
        <f>SUM(AE403:AE403)</f>
        <v>0.66</v>
      </c>
      <c r="J404" s="15"/>
      <c r="K404" s="12"/>
      <c r="L404" s="15"/>
      <c r="M404" s="15"/>
      <c r="N404" s="15"/>
      <c r="O404" s="15" t="str">
        <f>IF(I404*M404=0, "", I404*M404*(N404/100))</f>
        <v/>
      </c>
      <c r="P404" s="38"/>
      <c r="Q404" s="38">
        <f>TRUNC(P404*M404*N404/100)</f>
        <v>0</v>
      </c>
      <c r="R404" s="38"/>
      <c r="S404" s="15"/>
      <c r="T404" s="15"/>
      <c r="Z404" s="2" t="s">
        <v>1399</v>
      </c>
      <c r="AE404" s="2">
        <f>SUM(AE403:AE403)</f>
        <v>0.66</v>
      </c>
    </row>
    <row r="405" spans="2:34" ht="21.95" customHeight="1" x14ac:dyDescent="0.15">
      <c r="B405" s="13" t="s">
        <v>1448</v>
      </c>
      <c r="D405" s="170" t="s">
        <v>1565</v>
      </c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2"/>
    </row>
    <row r="406" spans="2:34" ht="21.95" customHeight="1" x14ac:dyDescent="0.15">
      <c r="B406" s="13" t="s">
        <v>1397</v>
      </c>
      <c r="C406" s="13" t="s">
        <v>551</v>
      </c>
      <c r="D406" s="12" t="s">
        <v>552</v>
      </c>
      <c r="E406" s="12" t="s">
        <v>553</v>
      </c>
      <c r="F406" s="15" t="s">
        <v>554</v>
      </c>
      <c r="G406" s="15">
        <v>1</v>
      </c>
      <c r="H406" s="15">
        <f>IF(I406&lt;&gt;0, G406-I406, "")</f>
        <v>0</v>
      </c>
      <c r="I406" s="15">
        <v>1</v>
      </c>
      <c r="J406" s="15"/>
      <c r="K406" s="12" t="s">
        <v>1372</v>
      </c>
      <c r="L406" s="15" t="s">
        <v>1004</v>
      </c>
      <c r="M406" s="15">
        <v>0.10199999999999999</v>
      </c>
      <c r="N406" s="15">
        <v>100</v>
      </c>
      <c r="O406" s="15">
        <f>IF(I406*M406=0, "", I406*M406*(N406/100))</f>
        <v>0.10199999999999999</v>
      </c>
      <c r="P406" s="38"/>
      <c r="Q406" s="38">
        <f>TRUNC(P406*M406*N406/100)</f>
        <v>0</v>
      </c>
      <c r="R406" s="38"/>
      <c r="S406" s="15" t="s">
        <v>1402</v>
      </c>
      <c r="T406" s="15"/>
      <c r="AA406" s="2">
        <f>O406</f>
        <v>0.10199999999999999</v>
      </c>
    </row>
    <row r="407" spans="2:34" ht="21.95" customHeight="1" x14ac:dyDescent="0.15">
      <c r="B407" s="13" t="s">
        <v>1397</v>
      </c>
      <c r="C407" s="13" t="s">
        <v>1002</v>
      </c>
      <c r="D407" s="12" t="s">
        <v>1003</v>
      </c>
      <c r="E407" s="12" t="s">
        <v>1004</v>
      </c>
      <c r="F407" s="15" t="s">
        <v>999</v>
      </c>
      <c r="G407" s="15">
        <f>IF(H407*I407/100+0.000005 &lt;1, TRUNC(H407*I407/100+0.000005, 옵션!$E$13), TRUNC(H407*I407/100+0.000005, 옵션!$E$13))</f>
        <v>0.10199999999999999</v>
      </c>
      <c r="H407" s="15">
        <f>옵션!$B$13</f>
        <v>100</v>
      </c>
      <c r="I407" s="15">
        <f>SUM(AA406:AA406)</f>
        <v>0.10199999999999999</v>
      </c>
      <c r="J407" s="15"/>
      <c r="K407" s="12"/>
      <c r="L407" s="15"/>
      <c r="M407" s="15"/>
      <c r="N407" s="15"/>
      <c r="O407" s="15" t="str">
        <f>IF(I407*M407=0, "", I407*M407*(N407/100))</f>
        <v/>
      </c>
      <c r="P407" s="38"/>
      <c r="Q407" s="38">
        <f>TRUNC(P407*M407*N407/100)</f>
        <v>0</v>
      </c>
      <c r="R407" s="38"/>
      <c r="S407" s="15"/>
      <c r="T407" s="15"/>
      <c r="Z407" s="2" t="s">
        <v>1399</v>
      </c>
      <c r="AA407" s="2">
        <f>SUM(AA406:AA406)</f>
        <v>0.10199999999999999</v>
      </c>
    </row>
    <row r="408" spans="2:34" ht="21.95" customHeight="1" x14ac:dyDescent="0.15">
      <c r="B408" s="13" t="s">
        <v>1448</v>
      </c>
      <c r="D408" s="170" t="s">
        <v>1566</v>
      </c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2"/>
    </row>
    <row r="409" spans="2:34" ht="21.95" customHeight="1" x14ac:dyDescent="0.15">
      <c r="B409" s="13" t="s">
        <v>1397</v>
      </c>
      <c r="C409" s="13" t="s">
        <v>556</v>
      </c>
      <c r="D409" s="12" t="s">
        <v>557</v>
      </c>
      <c r="E409" s="12" t="s">
        <v>558</v>
      </c>
      <c r="F409" s="15" t="s">
        <v>559</v>
      </c>
      <c r="G409" s="15">
        <v>1</v>
      </c>
      <c r="H409" s="15">
        <f>IF(I409&lt;&gt;0, G409-I409, "")</f>
        <v>0</v>
      </c>
      <c r="I409" s="15">
        <v>1</v>
      </c>
      <c r="J409" s="15"/>
      <c r="K409" s="12" t="s">
        <v>1372</v>
      </c>
      <c r="L409" s="15" t="s">
        <v>1004</v>
      </c>
      <c r="M409" s="15">
        <v>0.66</v>
      </c>
      <c r="N409" s="15">
        <v>100</v>
      </c>
      <c r="O409" s="15">
        <f>IF(I409*M409=0, "", I409*M409*(N409/100))</f>
        <v>0.66</v>
      </c>
      <c r="P409" s="38"/>
      <c r="Q409" s="38">
        <f>TRUNC(P409*M409*N409/100)</f>
        <v>0</v>
      </c>
      <c r="R409" s="38"/>
      <c r="S409" s="15" t="s">
        <v>1402</v>
      </c>
      <c r="T409" s="15"/>
      <c r="AA409" s="2">
        <f>O409</f>
        <v>0.66</v>
      </c>
    </row>
    <row r="410" spans="2:34" ht="21.95" customHeight="1" x14ac:dyDescent="0.15">
      <c r="B410" s="13" t="s">
        <v>1397</v>
      </c>
      <c r="C410" s="13" t="s">
        <v>1002</v>
      </c>
      <c r="D410" s="12" t="s">
        <v>1003</v>
      </c>
      <c r="E410" s="12" t="s">
        <v>1004</v>
      </c>
      <c r="F410" s="15" t="s">
        <v>999</v>
      </c>
      <c r="G410" s="15">
        <f>IF(H410*I410/100+0.000005 &lt;1, TRUNC(H410*I410/100+0.000005, 옵션!$E$13), TRUNC(H410*I410/100+0.000005, 옵션!$E$13))</f>
        <v>0.66</v>
      </c>
      <c r="H410" s="15">
        <f>옵션!$B$13</f>
        <v>100</v>
      </c>
      <c r="I410" s="15">
        <f>SUM(AA409:AA409)</f>
        <v>0.66</v>
      </c>
      <c r="J410" s="15"/>
      <c r="K410" s="12"/>
      <c r="L410" s="15"/>
      <c r="M410" s="15"/>
      <c r="N410" s="15"/>
      <c r="O410" s="15" t="str">
        <f>IF(I410*M410=0, "", I410*M410*(N410/100))</f>
        <v/>
      </c>
      <c r="P410" s="38"/>
      <c r="Q410" s="38">
        <f>TRUNC(P410*M410*N410/100)</f>
        <v>0</v>
      </c>
      <c r="R410" s="38"/>
      <c r="S410" s="15"/>
      <c r="T410" s="15"/>
      <c r="Z410" s="2" t="s">
        <v>1399</v>
      </c>
      <c r="AA410" s="2">
        <f>SUM(AA409:AA409)</f>
        <v>0.66</v>
      </c>
    </row>
    <row r="411" spans="2:34" ht="21.95" customHeight="1" x14ac:dyDescent="0.15">
      <c r="B411" s="13" t="s">
        <v>1448</v>
      </c>
      <c r="D411" s="170" t="s">
        <v>1567</v>
      </c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2"/>
    </row>
    <row r="412" spans="2:34" ht="21.95" customHeight="1" x14ac:dyDescent="0.15">
      <c r="B412" s="13" t="s">
        <v>1397</v>
      </c>
      <c r="C412" s="13" t="s">
        <v>561</v>
      </c>
      <c r="D412" s="12" t="s">
        <v>557</v>
      </c>
      <c r="E412" s="12" t="s">
        <v>562</v>
      </c>
      <c r="F412" s="15" t="s">
        <v>559</v>
      </c>
      <c r="G412" s="15">
        <v>1</v>
      </c>
      <c r="H412" s="15">
        <f>IF(I412&lt;&gt;0, G412-I412, "")</f>
        <v>0</v>
      </c>
      <c r="I412" s="15">
        <v>1</v>
      </c>
      <c r="J412" s="15"/>
      <c r="K412" s="12" t="s">
        <v>1372</v>
      </c>
      <c r="L412" s="15" t="s">
        <v>1004</v>
      </c>
      <c r="M412" s="15">
        <v>0.66</v>
      </c>
      <c r="N412" s="15">
        <v>100</v>
      </c>
      <c r="O412" s="15">
        <f>IF(I412*M412=0, "", I412*M412*(N412/100))</f>
        <v>0.66</v>
      </c>
      <c r="P412" s="38"/>
      <c r="Q412" s="38">
        <f>TRUNC(P412*M412*N412/100)</f>
        <v>0</v>
      </c>
      <c r="R412" s="38"/>
      <c r="S412" s="15" t="s">
        <v>1402</v>
      </c>
      <c r="T412" s="15"/>
      <c r="AA412" s="2">
        <f>O412</f>
        <v>0.66</v>
      </c>
    </row>
    <row r="413" spans="2:34" ht="21.95" customHeight="1" x14ac:dyDescent="0.15">
      <c r="B413" s="13" t="s">
        <v>1397</v>
      </c>
      <c r="C413" s="13" t="s">
        <v>1002</v>
      </c>
      <c r="D413" s="12" t="s">
        <v>1003</v>
      </c>
      <c r="E413" s="12" t="s">
        <v>1004</v>
      </c>
      <c r="F413" s="15" t="s">
        <v>999</v>
      </c>
      <c r="G413" s="15">
        <f>IF(H413*I413/100+0.000005 &lt;1, TRUNC(H413*I413/100+0.000005, 옵션!$E$13), TRUNC(H413*I413/100+0.000005, 옵션!$E$13))</f>
        <v>0.66</v>
      </c>
      <c r="H413" s="15">
        <f>옵션!$B$13</f>
        <v>100</v>
      </c>
      <c r="I413" s="15">
        <f>SUM(AA412:AA412)</f>
        <v>0.66</v>
      </c>
      <c r="J413" s="15"/>
      <c r="K413" s="12"/>
      <c r="L413" s="15"/>
      <c r="M413" s="15"/>
      <c r="N413" s="15"/>
      <c r="O413" s="15" t="str">
        <f>IF(I413*M413=0, "", I413*M413*(N413/100))</f>
        <v/>
      </c>
      <c r="P413" s="38"/>
      <c r="Q413" s="38">
        <f>TRUNC(P413*M413*N413/100)</f>
        <v>0</v>
      </c>
      <c r="R413" s="38"/>
      <c r="S413" s="15"/>
      <c r="T413" s="15"/>
      <c r="Z413" s="2" t="s">
        <v>1399</v>
      </c>
      <c r="AA413" s="2">
        <f>SUM(AA412:AA412)</f>
        <v>0.66</v>
      </c>
    </row>
    <row r="414" spans="2:34" ht="21.95" customHeight="1" x14ac:dyDescent="0.15">
      <c r="B414" s="13" t="s">
        <v>1448</v>
      </c>
      <c r="D414" s="170" t="s">
        <v>1568</v>
      </c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2"/>
    </row>
    <row r="415" spans="2:34" ht="21.95" customHeight="1" x14ac:dyDescent="0.15">
      <c r="B415" s="13" t="s">
        <v>1397</v>
      </c>
      <c r="C415" s="13" t="s">
        <v>564</v>
      </c>
      <c r="D415" s="12" t="s">
        <v>565</v>
      </c>
      <c r="E415" s="12" t="s">
        <v>566</v>
      </c>
      <c r="F415" s="15" t="s">
        <v>166</v>
      </c>
      <c r="G415" s="15">
        <v>1</v>
      </c>
      <c r="H415" s="15">
        <f>IF(I415&lt;&gt;0, G415-I415, "")</f>
        <v>0</v>
      </c>
      <c r="I415" s="15">
        <v>1</v>
      </c>
      <c r="J415" s="15"/>
      <c r="K415" s="12" t="s">
        <v>1374</v>
      </c>
      <c r="L415" s="15" t="s">
        <v>1008</v>
      </c>
      <c r="M415" s="15">
        <v>5.0000000000000001E-4</v>
      </c>
      <c r="N415" s="15">
        <v>100</v>
      </c>
      <c r="O415" s="15">
        <f>IF(I415*M415=0, "", I415*M415*(N415/100))</f>
        <v>5.0000000000000001E-4</v>
      </c>
      <c r="P415" s="38"/>
      <c r="Q415" s="38">
        <f>TRUNC(P415*M415*N415/100)</f>
        <v>0</v>
      </c>
      <c r="R415" s="38"/>
      <c r="S415" s="15" t="s">
        <v>1428</v>
      </c>
      <c r="T415" s="15"/>
      <c r="AC415" s="2">
        <f>O415</f>
        <v>5.0000000000000001E-4</v>
      </c>
    </row>
    <row r="416" spans="2:34" ht="21.95" customHeight="1" x14ac:dyDescent="0.15">
      <c r="B416" s="13" t="s">
        <v>1397</v>
      </c>
      <c r="C416" s="13" t="s">
        <v>564</v>
      </c>
      <c r="D416" s="12"/>
      <c r="E416" s="12"/>
      <c r="F416" s="15"/>
      <c r="G416" s="15">
        <v>1</v>
      </c>
      <c r="H416" s="15">
        <f>IF(I416&lt;&gt;0, G416-I416, "")</f>
        <v>0</v>
      </c>
      <c r="I416" s="15">
        <v>1</v>
      </c>
      <c r="J416" s="15"/>
      <c r="K416" s="12" t="s">
        <v>1379</v>
      </c>
      <c r="L416" s="15" t="s">
        <v>1018</v>
      </c>
      <c r="M416" s="15">
        <v>1E-3</v>
      </c>
      <c r="N416" s="15">
        <v>100</v>
      </c>
      <c r="O416" s="15">
        <f>IF(I416*M416=0, "", I416*M416*(N416/100))</f>
        <v>1E-3</v>
      </c>
      <c r="P416" s="38"/>
      <c r="Q416" s="38">
        <f>TRUNC(P416*M416*N416/100)</f>
        <v>0</v>
      </c>
      <c r="R416" s="38"/>
      <c r="S416" s="15" t="s">
        <v>1428</v>
      </c>
      <c r="T416" s="15"/>
      <c r="AH416" s="2">
        <f>O416</f>
        <v>1E-3</v>
      </c>
    </row>
    <row r="417" spans="2:34" ht="21.95" customHeight="1" x14ac:dyDescent="0.15">
      <c r="B417" s="13" t="s">
        <v>1397</v>
      </c>
      <c r="C417" s="13" t="s">
        <v>1007</v>
      </c>
      <c r="D417" s="12" t="s">
        <v>1003</v>
      </c>
      <c r="E417" s="12" t="s">
        <v>1008</v>
      </c>
      <c r="F417" s="15" t="s">
        <v>999</v>
      </c>
      <c r="G417" s="15">
        <f>IF(H417*I417/100+0.000005 &lt;1, TRUNC(H417*I417/100+0.000005, 옵션!$E$13), TRUNC(H417*I417/100+0.000005, 옵션!$E$13))</f>
        <v>5.0000000000000001E-4</v>
      </c>
      <c r="H417" s="15">
        <f>옵션!$B$13</f>
        <v>100</v>
      </c>
      <c r="I417" s="15">
        <f>SUM(AC415:AC416)</f>
        <v>5.0000000000000001E-4</v>
      </c>
      <c r="J417" s="15"/>
      <c r="K417" s="12"/>
      <c r="L417" s="15"/>
      <c r="M417" s="15"/>
      <c r="N417" s="15"/>
      <c r="O417" s="15" t="str">
        <f>IF(I417*M417=0, "", I417*M417*(N417/100))</f>
        <v/>
      </c>
      <c r="P417" s="38"/>
      <c r="Q417" s="38">
        <f>TRUNC(P417*M417*N417/100)</f>
        <v>0</v>
      </c>
      <c r="R417" s="38"/>
      <c r="S417" s="15"/>
      <c r="T417" s="15"/>
      <c r="Z417" s="2" t="s">
        <v>1399</v>
      </c>
      <c r="AC417" s="2">
        <f>SUM(AC415:AC416)</f>
        <v>5.0000000000000001E-4</v>
      </c>
      <c r="AH417" s="2">
        <f>SUM(AH415:AH416)</f>
        <v>1E-3</v>
      </c>
    </row>
    <row r="418" spans="2:34" ht="21.95" customHeight="1" x14ac:dyDescent="0.15">
      <c r="B418" s="13" t="s">
        <v>1397</v>
      </c>
      <c r="C418" s="13" t="s">
        <v>1017</v>
      </c>
      <c r="D418" s="12" t="s">
        <v>1003</v>
      </c>
      <c r="E418" s="12" t="s">
        <v>1018</v>
      </c>
      <c r="F418" s="15" t="s">
        <v>999</v>
      </c>
      <c r="G418" s="15">
        <f>IF(H418*I418/100+0.000005 &lt;1, TRUNC(H418*I418/100+0.000005, 옵션!$E$13), TRUNC(H418*I418/100+0.000005, 옵션!$E$13))</f>
        <v>1E-3</v>
      </c>
      <c r="H418" s="15">
        <f>옵션!$B$13</f>
        <v>100</v>
      </c>
      <c r="I418" s="15">
        <f>SUM(AH415:AH416)</f>
        <v>1E-3</v>
      </c>
      <c r="J418" s="15"/>
      <c r="K418" s="12"/>
      <c r="L418" s="15"/>
      <c r="M418" s="15"/>
      <c r="N418" s="15"/>
      <c r="O418" s="15" t="str">
        <f>IF(I418*M418=0, "", I418*M418*(N418/100))</f>
        <v/>
      </c>
      <c r="P418" s="38"/>
      <c r="Q418" s="38">
        <f>TRUNC(P418*M418*N418/100)</f>
        <v>0</v>
      </c>
      <c r="R418" s="38"/>
      <c r="S418" s="15"/>
      <c r="T418" s="15"/>
    </row>
    <row r="419" spans="2:34" ht="21.95" customHeight="1" x14ac:dyDescent="0.15">
      <c r="B419" s="13" t="s">
        <v>1448</v>
      </c>
      <c r="D419" s="170" t="s">
        <v>1569</v>
      </c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2"/>
    </row>
    <row r="420" spans="2:34" ht="21.95" customHeight="1" x14ac:dyDescent="0.15">
      <c r="B420" s="13" t="s">
        <v>1397</v>
      </c>
      <c r="C420" s="13" t="s">
        <v>567</v>
      </c>
      <c r="D420" s="12" t="s">
        <v>568</v>
      </c>
      <c r="E420" s="12" t="s">
        <v>566</v>
      </c>
      <c r="F420" s="15" t="s">
        <v>166</v>
      </c>
      <c r="G420" s="15">
        <v>1</v>
      </c>
      <c r="H420" s="15">
        <f>IF(I420&lt;&gt;0, G420-I420, "")</f>
        <v>0</v>
      </c>
      <c r="I420" s="15">
        <v>1</v>
      </c>
      <c r="J420" s="15"/>
      <c r="K420" s="12" t="s">
        <v>1374</v>
      </c>
      <c r="L420" s="15" t="s">
        <v>1008</v>
      </c>
      <c r="M420" s="15">
        <v>5.0000000000000001E-4</v>
      </c>
      <c r="N420" s="15">
        <v>100</v>
      </c>
      <c r="O420" s="15">
        <f>IF(I420*M420=0, "", I420*M420*(N420/100))</f>
        <v>5.0000000000000001E-4</v>
      </c>
      <c r="P420" s="38"/>
      <c r="Q420" s="38">
        <f>TRUNC(P420*M420*N420/100)</f>
        <v>0</v>
      </c>
      <c r="R420" s="38"/>
      <c r="S420" s="15" t="s">
        <v>1428</v>
      </c>
      <c r="T420" s="15"/>
      <c r="AC420" s="2">
        <f>O420</f>
        <v>5.0000000000000001E-4</v>
      </c>
    </row>
    <row r="421" spans="2:34" ht="21.95" customHeight="1" x14ac:dyDescent="0.15">
      <c r="B421" s="13" t="s">
        <v>1397</v>
      </c>
      <c r="C421" s="13" t="s">
        <v>567</v>
      </c>
      <c r="D421" s="12"/>
      <c r="E421" s="12"/>
      <c r="F421" s="15"/>
      <c r="G421" s="15">
        <v>1</v>
      </c>
      <c r="H421" s="15">
        <f>IF(I421&lt;&gt;0, G421-I421, "")</f>
        <v>0</v>
      </c>
      <c r="I421" s="15">
        <v>1</v>
      </c>
      <c r="J421" s="15"/>
      <c r="K421" s="12" t="s">
        <v>1379</v>
      </c>
      <c r="L421" s="15" t="s">
        <v>1018</v>
      </c>
      <c r="M421" s="15">
        <v>1E-3</v>
      </c>
      <c r="N421" s="15">
        <v>100</v>
      </c>
      <c r="O421" s="15">
        <f>IF(I421*M421=0, "", I421*M421*(N421/100))</f>
        <v>1E-3</v>
      </c>
      <c r="P421" s="38"/>
      <c r="Q421" s="38">
        <f>TRUNC(P421*M421*N421/100)</f>
        <v>0</v>
      </c>
      <c r="R421" s="38"/>
      <c r="S421" s="15" t="s">
        <v>1428</v>
      </c>
      <c r="T421" s="15"/>
      <c r="AH421" s="2">
        <f>O421</f>
        <v>1E-3</v>
      </c>
    </row>
    <row r="422" spans="2:34" ht="21.95" customHeight="1" x14ac:dyDescent="0.15">
      <c r="B422" s="13" t="s">
        <v>1397</v>
      </c>
      <c r="C422" s="13" t="s">
        <v>1007</v>
      </c>
      <c r="D422" s="12" t="s">
        <v>1003</v>
      </c>
      <c r="E422" s="12" t="s">
        <v>1008</v>
      </c>
      <c r="F422" s="15" t="s">
        <v>999</v>
      </c>
      <c r="G422" s="15">
        <f>IF(H422*I422/100+0.000005 &lt;1, TRUNC(H422*I422/100+0.000005, 옵션!$E$13), TRUNC(H422*I422/100+0.000005, 옵션!$E$13))</f>
        <v>5.0000000000000001E-4</v>
      </c>
      <c r="H422" s="15">
        <f>옵션!$B$13</f>
        <v>100</v>
      </c>
      <c r="I422" s="15">
        <f>SUM(AC420:AC421)</f>
        <v>5.0000000000000001E-4</v>
      </c>
      <c r="J422" s="15"/>
      <c r="K422" s="12"/>
      <c r="L422" s="15"/>
      <c r="M422" s="15"/>
      <c r="N422" s="15"/>
      <c r="O422" s="15" t="str">
        <f>IF(I422*M422=0, "", I422*M422*(N422/100))</f>
        <v/>
      </c>
      <c r="P422" s="38"/>
      <c r="Q422" s="38">
        <f>TRUNC(P422*M422*N422/100)</f>
        <v>0</v>
      </c>
      <c r="R422" s="38"/>
      <c r="S422" s="15"/>
      <c r="T422" s="15"/>
      <c r="Z422" s="2" t="s">
        <v>1399</v>
      </c>
      <c r="AC422" s="2">
        <f>SUM(AC420:AC421)</f>
        <v>5.0000000000000001E-4</v>
      </c>
      <c r="AH422" s="2">
        <f>SUM(AH420:AH421)</f>
        <v>1E-3</v>
      </c>
    </row>
    <row r="423" spans="2:34" ht="21.95" customHeight="1" x14ac:dyDescent="0.15">
      <c r="B423" s="13" t="s">
        <v>1397</v>
      </c>
      <c r="C423" s="13" t="s">
        <v>1017</v>
      </c>
      <c r="D423" s="12" t="s">
        <v>1003</v>
      </c>
      <c r="E423" s="12" t="s">
        <v>1018</v>
      </c>
      <c r="F423" s="15" t="s">
        <v>999</v>
      </c>
      <c r="G423" s="15">
        <f>IF(H423*I423/100+0.000005 &lt;1, TRUNC(H423*I423/100+0.000005, 옵션!$E$13), TRUNC(H423*I423/100+0.000005, 옵션!$E$13))</f>
        <v>1E-3</v>
      </c>
      <c r="H423" s="15">
        <f>옵션!$B$13</f>
        <v>100</v>
      </c>
      <c r="I423" s="15">
        <f>SUM(AH420:AH421)</f>
        <v>1E-3</v>
      </c>
      <c r="J423" s="15"/>
      <c r="K423" s="12"/>
      <c r="L423" s="15"/>
      <c r="M423" s="15"/>
      <c r="N423" s="15"/>
      <c r="O423" s="15" t="str">
        <f>IF(I423*M423=0, "", I423*M423*(N423/100))</f>
        <v/>
      </c>
      <c r="P423" s="38"/>
      <c r="Q423" s="38">
        <f>TRUNC(P423*M423*N423/100)</f>
        <v>0</v>
      </c>
      <c r="R423" s="38"/>
      <c r="S423" s="15"/>
      <c r="T423" s="15"/>
    </row>
    <row r="424" spans="2:34" ht="21.95" customHeight="1" x14ac:dyDescent="0.15">
      <c r="B424" s="13" t="s">
        <v>1448</v>
      </c>
      <c r="D424" s="170" t="s">
        <v>1570</v>
      </c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2"/>
    </row>
    <row r="425" spans="2:34" ht="21.95" customHeight="1" x14ac:dyDescent="0.15">
      <c r="B425" s="13" t="s">
        <v>1397</v>
      </c>
      <c r="C425" s="13" t="s">
        <v>575</v>
      </c>
      <c r="D425" s="12" t="s">
        <v>576</v>
      </c>
      <c r="E425" s="12" t="s">
        <v>577</v>
      </c>
      <c r="F425" s="15" t="s">
        <v>578</v>
      </c>
      <c r="G425" s="15">
        <v>1</v>
      </c>
      <c r="H425" s="15">
        <f>IF(I425&lt;&gt;0, G425-I425, "")</f>
        <v>0</v>
      </c>
      <c r="I425" s="15">
        <v>1</v>
      </c>
      <c r="J425" s="15"/>
      <c r="K425" s="12" t="s">
        <v>1375</v>
      </c>
      <c r="L425" s="15" t="s">
        <v>1010</v>
      </c>
      <c r="M425" s="15">
        <v>0.47599999999999998</v>
      </c>
      <c r="N425" s="15">
        <v>100</v>
      </c>
      <c r="O425" s="15">
        <f>IF(I425*M425=0, "", I425*M425*(N425/100))</f>
        <v>0.47599999999999998</v>
      </c>
      <c r="P425" s="38"/>
      <c r="Q425" s="38">
        <f>TRUNC(P425*M425*N425/100)</f>
        <v>0</v>
      </c>
      <c r="R425" s="38"/>
      <c r="S425" s="15" t="s">
        <v>1429</v>
      </c>
      <c r="T425" s="15"/>
      <c r="AD425" s="2">
        <f>O425</f>
        <v>0.47599999999999998</v>
      </c>
    </row>
    <row r="426" spans="2:34" ht="21.95" customHeight="1" x14ac:dyDescent="0.15">
      <c r="B426" s="13" t="s">
        <v>1397</v>
      </c>
      <c r="C426" s="13" t="s">
        <v>1009</v>
      </c>
      <c r="D426" s="12" t="s">
        <v>1003</v>
      </c>
      <c r="E426" s="12" t="s">
        <v>1010</v>
      </c>
      <c r="F426" s="15" t="s">
        <v>999</v>
      </c>
      <c r="G426" s="15">
        <f>IF(H426*I426/100+0.000005 &lt;1, TRUNC(H426*I426/100+0.000005, 옵션!$E$13), TRUNC(H426*I426/100+0.000005, 옵션!$E$13))</f>
        <v>0.47599999999999998</v>
      </c>
      <c r="H426" s="15">
        <f>옵션!$B$13</f>
        <v>100</v>
      </c>
      <c r="I426" s="15">
        <f>SUM(AD425:AD425)</f>
        <v>0.47599999999999998</v>
      </c>
      <c r="J426" s="15"/>
      <c r="K426" s="12"/>
      <c r="L426" s="15"/>
      <c r="M426" s="15"/>
      <c r="N426" s="15"/>
      <c r="O426" s="15" t="str">
        <f>IF(I426*M426=0, "", I426*M426*(N426/100))</f>
        <v/>
      </c>
      <c r="P426" s="38"/>
      <c r="Q426" s="38">
        <f>TRUNC(P426*M426*N426/100)</f>
        <v>0</v>
      </c>
      <c r="R426" s="38"/>
      <c r="S426" s="15"/>
      <c r="T426" s="15"/>
      <c r="Z426" s="2" t="s">
        <v>1399</v>
      </c>
      <c r="AD426" s="2">
        <f>SUM(AD425:AD425)</f>
        <v>0.47599999999999998</v>
      </c>
    </row>
    <row r="427" spans="2:34" ht="21.95" customHeight="1" x14ac:dyDescent="0.15">
      <c r="B427" s="13" t="s">
        <v>1448</v>
      </c>
      <c r="D427" s="170" t="s">
        <v>1571</v>
      </c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2"/>
    </row>
    <row r="428" spans="2:34" ht="21.95" customHeight="1" x14ac:dyDescent="0.15">
      <c r="B428" s="13" t="s">
        <v>1397</v>
      </c>
      <c r="C428" s="13" t="s">
        <v>582</v>
      </c>
      <c r="D428" s="12" t="s">
        <v>583</v>
      </c>
      <c r="E428" s="12" t="s">
        <v>584</v>
      </c>
      <c r="F428" s="15" t="s">
        <v>200</v>
      </c>
      <c r="G428" s="15">
        <v>1</v>
      </c>
      <c r="H428" s="15">
        <f>IF(I428&lt;&gt;0, G428-I428, "")</f>
        <v>0</v>
      </c>
      <c r="I428" s="15">
        <v>1</v>
      </c>
      <c r="J428" s="15"/>
      <c r="K428" s="12" t="s">
        <v>1373</v>
      </c>
      <c r="L428" s="15" t="s">
        <v>1006</v>
      </c>
      <c r="M428" s="15">
        <v>0.12</v>
      </c>
      <c r="N428" s="15">
        <v>120</v>
      </c>
      <c r="O428" s="15">
        <f>IF(I428*M428=0, "", I428*M428*(N428/100))</f>
        <v>0.14399999999999999</v>
      </c>
      <c r="P428" s="38"/>
      <c r="Q428" s="38">
        <f>TRUNC(P428*M428*N428/100)</f>
        <v>0</v>
      </c>
      <c r="R428" s="38"/>
      <c r="S428" s="15" t="s">
        <v>1429</v>
      </c>
      <c r="T428" s="15"/>
      <c r="AB428" s="2">
        <f>O428</f>
        <v>0.14399999999999999</v>
      </c>
    </row>
    <row r="429" spans="2:34" ht="21.95" customHeight="1" x14ac:dyDescent="0.15">
      <c r="B429" s="13" t="s">
        <v>1397</v>
      </c>
      <c r="C429" s="13" t="s">
        <v>1005</v>
      </c>
      <c r="D429" s="12" t="s">
        <v>1003</v>
      </c>
      <c r="E429" s="12" t="s">
        <v>1006</v>
      </c>
      <c r="F429" s="15" t="s">
        <v>999</v>
      </c>
      <c r="G429" s="15">
        <f>IF(H429*I429/100+0.000005 &lt;1, TRUNC(H429*I429/100+0.000005, 옵션!$E$13), TRUNC(H429*I429/100+0.000005, 옵션!$E$13))</f>
        <v>0.14399999999999999</v>
      </c>
      <c r="H429" s="15">
        <f>옵션!$B$13</f>
        <v>100</v>
      </c>
      <c r="I429" s="15">
        <f>SUM(AB428:AB428)</f>
        <v>0.14399999999999999</v>
      </c>
      <c r="J429" s="15"/>
      <c r="K429" s="12"/>
      <c r="L429" s="15"/>
      <c r="M429" s="15"/>
      <c r="N429" s="15"/>
      <c r="O429" s="15" t="str">
        <f>IF(I429*M429=0, "", I429*M429*(N429/100))</f>
        <v/>
      </c>
      <c r="P429" s="38"/>
      <c r="Q429" s="38">
        <f>TRUNC(P429*M429*N429/100)</f>
        <v>0</v>
      </c>
      <c r="R429" s="38"/>
      <c r="S429" s="15"/>
      <c r="T429" s="15"/>
      <c r="Z429" s="2" t="s">
        <v>1399</v>
      </c>
      <c r="AB429" s="2">
        <f>SUM(AB428:AB428)</f>
        <v>0.14399999999999999</v>
      </c>
    </row>
    <row r="430" spans="2:34" ht="21.95" customHeight="1" x14ac:dyDescent="0.15">
      <c r="B430" s="13" t="s">
        <v>1448</v>
      </c>
      <c r="D430" s="170" t="s">
        <v>1572</v>
      </c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2"/>
    </row>
    <row r="431" spans="2:34" ht="21.95" customHeight="1" x14ac:dyDescent="0.15">
      <c r="B431" s="13" t="s">
        <v>1397</v>
      </c>
      <c r="C431" s="13" t="s">
        <v>589</v>
      </c>
      <c r="D431" s="12" t="s">
        <v>583</v>
      </c>
      <c r="E431" s="12" t="s">
        <v>590</v>
      </c>
      <c r="F431" s="15" t="s">
        <v>200</v>
      </c>
      <c r="G431" s="15">
        <v>1</v>
      </c>
      <c r="H431" s="15">
        <f>IF(I431&lt;&gt;0, G431-I431, "")</f>
        <v>0</v>
      </c>
      <c r="I431" s="15">
        <v>1</v>
      </c>
      <c r="J431" s="15"/>
      <c r="K431" s="12" t="s">
        <v>1373</v>
      </c>
      <c r="L431" s="15" t="s">
        <v>1006</v>
      </c>
      <c r="M431" s="15">
        <v>0.14099999999999999</v>
      </c>
      <c r="N431" s="15">
        <v>120</v>
      </c>
      <c r="O431" s="15">
        <f>IF(I431*M431=0, "", I431*M431*(N431/100))</f>
        <v>0.16919999999999999</v>
      </c>
      <c r="P431" s="38"/>
      <c r="Q431" s="38">
        <f>TRUNC(P431*M431*N431/100)</f>
        <v>0</v>
      </c>
      <c r="R431" s="38"/>
      <c r="S431" s="15" t="s">
        <v>1429</v>
      </c>
      <c r="T431" s="15"/>
      <c r="AB431" s="2">
        <f>O431</f>
        <v>0.16919999999999999</v>
      </c>
    </row>
    <row r="432" spans="2:34" ht="21.95" customHeight="1" x14ac:dyDescent="0.15">
      <c r="B432" s="13" t="s">
        <v>1397</v>
      </c>
      <c r="C432" s="13" t="s">
        <v>1005</v>
      </c>
      <c r="D432" s="12" t="s">
        <v>1003</v>
      </c>
      <c r="E432" s="12" t="s">
        <v>1006</v>
      </c>
      <c r="F432" s="15" t="s">
        <v>999</v>
      </c>
      <c r="G432" s="15">
        <f>IF(H432*I432/100+0.000005 &lt;1, TRUNC(H432*I432/100+0.000005, 옵션!$E$13), TRUNC(H432*I432/100+0.000005, 옵션!$E$13))</f>
        <v>0.16919999999999999</v>
      </c>
      <c r="H432" s="15">
        <f>옵션!$B$13</f>
        <v>100</v>
      </c>
      <c r="I432" s="15">
        <f>SUM(AB431:AB431)</f>
        <v>0.16919999999999999</v>
      </c>
      <c r="J432" s="15"/>
      <c r="K432" s="12"/>
      <c r="L432" s="15"/>
      <c r="M432" s="15"/>
      <c r="N432" s="15"/>
      <c r="O432" s="15" t="str">
        <f>IF(I432*M432=0, "", I432*M432*(N432/100))</f>
        <v/>
      </c>
      <c r="P432" s="38"/>
      <c r="Q432" s="38">
        <f>TRUNC(P432*M432*N432/100)</f>
        <v>0</v>
      </c>
      <c r="R432" s="38"/>
      <c r="S432" s="15"/>
      <c r="T432" s="15"/>
      <c r="Z432" s="2" t="s">
        <v>1399</v>
      </c>
      <c r="AB432" s="2">
        <f>SUM(AB431:AB431)</f>
        <v>0.16919999999999999</v>
      </c>
    </row>
    <row r="433" spans="2:28" ht="21.95" customHeight="1" x14ac:dyDescent="0.15">
      <c r="B433" s="13" t="s">
        <v>1448</v>
      </c>
      <c r="D433" s="170" t="s">
        <v>1573</v>
      </c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2"/>
    </row>
    <row r="434" spans="2:28" ht="21.95" customHeight="1" x14ac:dyDescent="0.15">
      <c r="B434" s="13" t="s">
        <v>1397</v>
      </c>
      <c r="C434" s="13" t="s">
        <v>591</v>
      </c>
      <c r="D434" s="12" t="s">
        <v>583</v>
      </c>
      <c r="E434" s="12" t="s">
        <v>592</v>
      </c>
      <c r="F434" s="15" t="s">
        <v>200</v>
      </c>
      <c r="G434" s="15">
        <v>1</v>
      </c>
      <c r="H434" s="15">
        <f>IF(I434&lt;&gt;0, G434-I434, "")</f>
        <v>0</v>
      </c>
      <c r="I434" s="15">
        <v>1</v>
      </c>
      <c r="J434" s="15"/>
      <c r="K434" s="12" t="s">
        <v>1373</v>
      </c>
      <c r="L434" s="15" t="s">
        <v>1006</v>
      </c>
      <c r="M434" s="15">
        <v>0.23100000000000001</v>
      </c>
      <c r="N434" s="15">
        <v>120</v>
      </c>
      <c r="O434" s="15">
        <f>IF(I434*M434=0, "", I434*M434*(N434/100))</f>
        <v>0.2772</v>
      </c>
      <c r="P434" s="38"/>
      <c r="Q434" s="38">
        <f>TRUNC(P434*M434*N434/100)</f>
        <v>0</v>
      </c>
      <c r="R434" s="38"/>
      <c r="S434" s="15" t="s">
        <v>1429</v>
      </c>
      <c r="T434" s="15"/>
      <c r="AB434" s="2">
        <f>O434</f>
        <v>0.2772</v>
      </c>
    </row>
    <row r="435" spans="2:28" ht="21.95" customHeight="1" x14ac:dyDescent="0.15">
      <c r="B435" s="13" t="s">
        <v>1397</v>
      </c>
      <c r="C435" s="13" t="s">
        <v>1005</v>
      </c>
      <c r="D435" s="12" t="s">
        <v>1003</v>
      </c>
      <c r="E435" s="12" t="s">
        <v>1006</v>
      </c>
      <c r="F435" s="15" t="s">
        <v>999</v>
      </c>
      <c r="G435" s="15">
        <f>IF(H435*I435/100+0.000005 &lt;1, TRUNC(H435*I435/100+0.000005, 옵션!$E$13), TRUNC(H435*I435/100+0.000005, 옵션!$E$13))</f>
        <v>0.2772</v>
      </c>
      <c r="H435" s="15">
        <f>옵션!$B$13</f>
        <v>100</v>
      </c>
      <c r="I435" s="15">
        <f>SUM(AB434:AB434)</f>
        <v>0.2772</v>
      </c>
      <c r="J435" s="15"/>
      <c r="K435" s="12"/>
      <c r="L435" s="15"/>
      <c r="M435" s="15"/>
      <c r="N435" s="15"/>
      <c r="O435" s="15" t="str">
        <f>IF(I435*M435=0, "", I435*M435*(N435/100))</f>
        <v/>
      </c>
      <c r="P435" s="38"/>
      <c r="Q435" s="38">
        <f>TRUNC(P435*M435*N435/100)</f>
        <v>0</v>
      </c>
      <c r="R435" s="38"/>
      <c r="S435" s="15"/>
      <c r="T435" s="15"/>
      <c r="Z435" s="2" t="s">
        <v>1399</v>
      </c>
      <c r="AB435" s="2">
        <f>SUM(AB434:AB434)</f>
        <v>0.2772</v>
      </c>
    </row>
    <row r="436" spans="2:28" ht="21.95" customHeight="1" x14ac:dyDescent="0.15">
      <c r="B436" s="13" t="s">
        <v>1448</v>
      </c>
      <c r="D436" s="170" t="s">
        <v>1574</v>
      </c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2"/>
    </row>
    <row r="437" spans="2:28" ht="21.95" customHeight="1" x14ac:dyDescent="0.15">
      <c r="B437" s="13" t="s">
        <v>1397</v>
      </c>
      <c r="C437" s="13" t="s">
        <v>594</v>
      </c>
      <c r="D437" s="12" t="s">
        <v>595</v>
      </c>
      <c r="E437" s="12" t="s">
        <v>596</v>
      </c>
      <c r="F437" s="15" t="s">
        <v>200</v>
      </c>
      <c r="G437" s="15">
        <v>1</v>
      </c>
      <c r="H437" s="15">
        <f>IF(I437&lt;&gt;0, G437-I437, "")</f>
        <v>0</v>
      </c>
      <c r="I437" s="15">
        <v>1</v>
      </c>
      <c r="J437" s="15"/>
      <c r="K437" s="12" t="s">
        <v>1373</v>
      </c>
      <c r="L437" s="15" t="s">
        <v>1006</v>
      </c>
      <c r="M437" s="15">
        <v>8.1000000000000003E-2</v>
      </c>
      <c r="N437" s="15">
        <v>120</v>
      </c>
      <c r="O437" s="15">
        <f>IF(I437*M437=0, "", I437*M437*(N437/100))</f>
        <v>9.7199999999999995E-2</v>
      </c>
      <c r="P437" s="38"/>
      <c r="Q437" s="38">
        <f>TRUNC(P437*M437*N437/100)</f>
        <v>0</v>
      </c>
      <c r="R437" s="38"/>
      <c r="S437" s="15" t="s">
        <v>1429</v>
      </c>
      <c r="T437" s="15"/>
      <c r="AB437" s="2">
        <f>O437</f>
        <v>9.7199999999999995E-2</v>
      </c>
    </row>
    <row r="438" spans="2:28" ht="21.95" customHeight="1" x14ac:dyDescent="0.15">
      <c r="B438" s="13" t="s">
        <v>1397</v>
      </c>
      <c r="C438" s="13" t="s">
        <v>1005</v>
      </c>
      <c r="D438" s="12" t="s">
        <v>1003</v>
      </c>
      <c r="E438" s="12" t="s">
        <v>1006</v>
      </c>
      <c r="F438" s="15" t="s">
        <v>999</v>
      </c>
      <c r="G438" s="15">
        <f>IF(H438*I438/100+0.000005 &lt;1, TRUNC(H438*I438/100+0.000005, 옵션!$E$13), TRUNC(H438*I438/100+0.000005, 옵션!$E$13))</f>
        <v>9.7199999999999995E-2</v>
      </c>
      <c r="H438" s="15">
        <f>옵션!$B$13</f>
        <v>100</v>
      </c>
      <c r="I438" s="15">
        <f>SUM(AB437:AB437)</f>
        <v>9.7199999999999995E-2</v>
      </c>
      <c r="J438" s="15"/>
      <c r="K438" s="12"/>
      <c r="L438" s="15"/>
      <c r="M438" s="15"/>
      <c r="N438" s="15"/>
      <c r="O438" s="15" t="str">
        <f>IF(I438*M438=0, "", I438*M438*(N438/100))</f>
        <v/>
      </c>
      <c r="P438" s="38"/>
      <c r="Q438" s="38">
        <f>TRUNC(P438*M438*N438/100)</f>
        <v>0</v>
      </c>
      <c r="R438" s="38"/>
      <c r="S438" s="15"/>
      <c r="T438" s="15"/>
      <c r="Z438" s="2" t="s">
        <v>1399</v>
      </c>
      <c r="AB438" s="2">
        <f>SUM(AB437:AB437)</f>
        <v>9.7199999999999995E-2</v>
      </c>
    </row>
    <row r="439" spans="2:28" ht="21.95" customHeight="1" x14ac:dyDescent="0.15">
      <c r="B439" s="13" t="s">
        <v>1448</v>
      </c>
      <c r="D439" s="170" t="s">
        <v>1575</v>
      </c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2"/>
    </row>
    <row r="440" spans="2:28" ht="21.95" customHeight="1" x14ac:dyDescent="0.15">
      <c r="B440" s="13" t="s">
        <v>1397</v>
      </c>
      <c r="C440" s="13" t="s">
        <v>597</v>
      </c>
      <c r="D440" s="12" t="s">
        <v>595</v>
      </c>
      <c r="E440" s="12" t="s">
        <v>598</v>
      </c>
      <c r="F440" s="15" t="s">
        <v>200</v>
      </c>
      <c r="G440" s="15">
        <v>1</v>
      </c>
      <c r="H440" s="15">
        <f>IF(I440&lt;&gt;0, G440-I440, "")</f>
        <v>0</v>
      </c>
      <c r="I440" s="15">
        <v>1</v>
      </c>
      <c r="J440" s="15"/>
      <c r="K440" s="12" t="s">
        <v>1373</v>
      </c>
      <c r="L440" s="15" t="s">
        <v>1006</v>
      </c>
      <c r="M440" s="15">
        <v>9.9000000000000005E-2</v>
      </c>
      <c r="N440" s="15">
        <v>120</v>
      </c>
      <c r="O440" s="15">
        <f>IF(I440*M440=0, "", I440*M440*(N440/100))</f>
        <v>0.1188</v>
      </c>
      <c r="P440" s="38"/>
      <c r="Q440" s="38">
        <f>TRUNC(P440*M440*N440/100)</f>
        <v>0</v>
      </c>
      <c r="R440" s="38"/>
      <c r="S440" s="15" t="s">
        <v>1429</v>
      </c>
      <c r="T440" s="15"/>
      <c r="AB440" s="2">
        <f>O440</f>
        <v>0.1188</v>
      </c>
    </row>
    <row r="441" spans="2:28" ht="21.95" customHeight="1" x14ac:dyDescent="0.15">
      <c r="B441" s="13" t="s">
        <v>1397</v>
      </c>
      <c r="C441" s="13" t="s">
        <v>1005</v>
      </c>
      <c r="D441" s="12" t="s">
        <v>1003</v>
      </c>
      <c r="E441" s="12" t="s">
        <v>1006</v>
      </c>
      <c r="F441" s="15" t="s">
        <v>999</v>
      </c>
      <c r="G441" s="15">
        <f>IF(H441*I441/100+0.000005 &lt;1, TRUNC(H441*I441/100+0.000005, 옵션!$E$13), TRUNC(H441*I441/100+0.000005, 옵션!$E$13))</f>
        <v>0.1188</v>
      </c>
      <c r="H441" s="15">
        <f>옵션!$B$13</f>
        <v>100</v>
      </c>
      <c r="I441" s="15">
        <f>SUM(AB440:AB440)</f>
        <v>0.1188</v>
      </c>
      <c r="J441" s="15"/>
      <c r="K441" s="12"/>
      <c r="L441" s="15"/>
      <c r="M441" s="15"/>
      <c r="N441" s="15"/>
      <c r="O441" s="15" t="str">
        <f>IF(I441*M441=0, "", I441*M441*(N441/100))</f>
        <v/>
      </c>
      <c r="P441" s="38"/>
      <c r="Q441" s="38">
        <f>TRUNC(P441*M441*N441/100)</f>
        <v>0</v>
      </c>
      <c r="R441" s="38"/>
      <c r="S441" s="15"/>
      <c r="T441" s="15"/>
      <c r="Z441" s="2" t="s">
        <v>1399</v>
      </c>
      <c r="AB441" s="2">
        <f>SUM(AB440:AB440)</f>
        <v>0.1188</v>
      </c>
    </row>
    <row r="442" spans="2:28" ht="21.95" customHeight="1" x14ac:dyDescent="0.15">
      <c r="B442" s="13" t="s">
        <v>1448</v>
      </c>
      <c r="D442" s="170" t="s">
        <v>1576</v>
      </c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2"/>
    </row>
    <row r="443" spans="2:28" ht="21.95" customHeight="1" x14ac:dyDescent="0.15">
      <c r="B443" s="13" t="s">
        <v>1397</v>
      </c>
      <c r="C443" s="13" t="s">
        <v>599</v>
      </c>
      <c r="D443" s="12" t="s">
        <v>595</v>
      </c>
      <c r="E443" s="12" t="s">
        <v>600</v>
      </c>
      <c r="F443" s="15" t="s">
        <v>200</v>
      </c>
      <c r="G443" s="15">
        <v>1</v>
      </c>
      <c r="H443" s="15">
        <f>IF(I443&lt;&gt;0, G443-I443, "")</f>
        <v>0</v>
      </c>
      <c r="I443" s="15">
        <v>1</v>
      </c>
      <c r="J443" s="15"/>
      <c r="K443" s="12" t="s">
        <v>1373</v>
      </c>
      <c r="L443" s="15" t="s">
        <v>1006</v>
      </c>
      <c r="M443" s="15">
        <v>0.108</v>
      </c>
      <c r="N443" s="15">
        <v>120</v>
      </c>
      <c r="O443" s="15">
        <f>IF(I443*M443=0, "", I443*M443*(N443/100))</f>
        <v>0.12959999999999999</v>
      </c>
      <c r="P443" s="38"/>
      <c r="Q443" s="38">
        <f>TRUNC(P443*M443*N443/100)</f>
        <v>0</v>
      </c>
      <c r="R443" s="38"/>
      <c r="S443" s="15" t="s">
        <v>1429</v>
      </c>
      <c r="T443" s="15"/>
      <c r="AB443" s="2">
        <f>O443</f>
        <v>0.12959999999999999</v>
      </c>
    </row>
    <row r="444" spans="2:28" ht="21.95" customHeight="1" x14ac:dyDescent="0.15">
      <c r="B444" s="13" t="s">
        <v>1397</v>
      </c>
      <c r="C444" s="13" t="s">
        <v>1005</v>
      </c>
      <c r="D444" s="12" t="s">
        <v>1003</v>
      </c>
      <c r="E444" s="12" t="s">
        <v>1006</v>
      </c>
      <c r="F444" s="15" t="s">
        <v>999</v>
      </c>
      <c r="G444" s="15">
        <f>IF(H444*I444/100+0.000005 &lt;1, TRUNC(H444*I444/100+0.000005, 옵션!$E$13), TRUNC(H444*I444/100+0.000005, 옵션!$E$13))</f>
        <v>0.12959999999999999</v>
      </c>
      <c r="H444" s="15">
        <f>옵션!$B$13</f>
        <v>100</v>
      </c>
      <c r="I444" s="15">
        <f>SUM(AB443:AB443)</f>
        <v>0.12959999999999999</v>
      </c>
      <c r="J444" s="15"/>
      <c r="K444" s="12"/>
      <c r="L444" s="15"/>
      <c r="M444" s="15"/>
      <c r="N444" s="15"/>
      <c r="O444" s="15" t="str">
        <f>IF(I444*M444=0, "", I444*M444*(N444/100))</f>
        <v/>
      </c>
      <c r="P444" s="38"/>
      <c r="Q444" s="38">
        <f>TRUNC(P444*M444*N444/100)</f>
        <v>0</v>
      </c>
      <c r="R444" s="38"/>
      <c r="S444" s="15"/>
      <c r="T444" s="15"/>
      <c r="Z444" s="2" t="s">
        <v>1399</v>
      </c>
      <c r="AB444" s="2">
        <f>SUM(AB443:AB443)</f>
        <v>0.12959999999999999</v>
      </c>
    </row>
    <row r="445" spans="2:28" ht="21.95" customHeight="1" x14ac:dyDescent="0.15">
      <c r="B445" s="13" t="s">
        <v>1448</v>
      </c>
      <c r="D445" s="170" t="s">
        <v>1577</v>
      </c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2"/>
    </row>
    <row r="446" spans="2:28" ht="21.95" customHeight="1" x14ac:dyDescent="0.15">
      <c r="B446" s="13" t="s">
        <v>1397</v>
      </c>
      <c r="C446" s="13" t="s">
        <v>601</v>
      </c>
      <c r="D446" s="12" t="s">
        <v>595</v>
      </c>
      <c r="E446" s="12" t="s">
        <v>602</v>
      </c>
      <c r="F446" s="15" t="s">
        <v>200</v>
      </c>
      <c r="G446" s="15">
        <v>1</v>
      </c>
      <c r="H446" s="15">
        <f>IF(I446&lt;&gt;0, G446-I446, "")</f>
        <v>0</v>
      </c>
      <c r="I446" s="15">
        <v>1</v>
      </c>
      <c r="J446" s="15"/>
      <c r="K446" s="12" t="s">
        <v>1373</v>
      </c>
      <c r="L446" s="15" t="s">
        <v>1006</v>
      </c>
      <c r="M446" s="15">
        <v>0.12</v>
      </c>
      <c r="N446" s="15">
        <v>120</v>
      </c>
      <c r="O446" s="15">
        <f>IF(I446*M446=0, "", I446*M446*(N446/100))</f>
        <v>0.14399999999999999</v>
      </c>
      <c r="P446" s="38"/>
      <c r="Q446" s="38">
        <f>TRUNC(P446*M446*N446/100)</f>
        <v>0</v>
      </c>
      <c r="R446" s="38"/>
      <c r="S446" s="15" t="s">
        <v>1429</v>
      </c>
      <c r="T446" s="15"/>
      <c r="AB446" s="2">
        <f>O446</f>
        <v>0.14399999999999999</v>
      </c>
    </row>
    <row r="447" spans="2:28" ht="21.95" customHeight="1" x14ac:dyDescent="0.15">
      <c r="B447" s="13" t="s">
        <v>1397</v>
      </c>
      <c r="C447" s="13" t="s">
        <v>1005</v>
      </c>
      <c r="D447" s="12" t="s">
        <v>1003</v>
      </c>
      <c r="E447" s="12" t="s">
        <v>1006</v>
      </c>
      <c r="F447" s="15" t="s">
        <v>999</v>
      </c>
      <c r="G447" s="15">
        <f>IF(H447*I447/100+0.000005 &lt;1, TRUNC(H447*I447/100+0.000005, 옵션!$E$13), TRUNC(H447*I447/100+0.000005, 옵션!$E$13))</f>
        <v>0.14399999999999999</v>
      </c>
      <c r="H447" s="15">
        <f>옵션!$B$13</f>
        <v>100</v>
      </c>
      <c r="I447" s="15">
        <f>SUM(AB446:AB446)</f>
        <v>0.14399999999999999</v>
      </c>
      <c r="J447" s="15"/>
      <c r="K447" s="12"/>
      <c r="L447" s="15"/>
      <c r="M447" s="15"/>
      <c r="N447" s="15"/>
      <c r="O447" s="15" t="str">
        <f>IF(I447*M447=0, "", I447*M447*(N447/100))</f>
        <v/>
      </c>
      <c r="P447" s="38"/>
      <c r="Q447" s="38">
        <f>TRUNC(P447*M447*N447/100)</f>
        <v>0</v>
      </c>
      <c r="R447" s="38"/>
      <c r="S447" s="15"/>
      <c r="T447" s="15"/>
      <c r="Z447" s="2" t="s">
        <v>1399</v>
      </c>
      <c r="AB447" s="2">
        <f>SUM(AB446:AB446)</f>
        <v>0.14399999999999999</v>
      </c>
    </row>
    <row r="448" spans="2:28" ht="21.95" customHeight="1" x14ac:dyDescent="0.15">
      <c r="B448" s="13" t="s">
        <v>1448</v>
      </c>
      <c r="D448" s="170" t="s">
        <v>1578</v>
      </c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2"/>
    </row>
    <row r="449" spans="2:28" ht="21.95" customHeight="1" x14ac:dyDescent="0.15">
      <c r="B449" s="13" t="s">
        <v>1397</v>
      </c>
      <c r="C449" s="13" t="s">
        <v>603</v>
      </c>
      <c r="D449" s="12" t="s">
        <v>595</v>
      </c>
      <c r="E449" s="12" t="s">
        <v>604</v>
      </c>
      <c r="F449" s="15" t="s">
        <v>200</v>
      </c>
      <c r="G449" s="15">
        <v>1</v>
      </c>
      <c r="H449" s="15">
        <f>IF(I449&lt;&gt;0, G449-I449, "")</f>
        <v>0</v>
      </c>
      <c r="I449" s="15">
        <v>1</v>
      </c>
      <c r="J449" s="15"/>
      <c r="K449" s="12" t="s">
        <v>1373</v>
      </c>
      <c r="L449" s="15" t="s">
        <v>1006</v>
      </c>
      <c r="M449" s="15">
        <v>0.15</v>
      </c>
      <c r="N449" s="15">
        <v>120</v>
      </c>
      <c r="O449" s="15">
        <f>IF(I449*M449=0, "", I449*M449*(N449/100))</f>
        <v>0.18</v>
      </c>
      <c r="P449" s="38"/>
      <c r="Q449" s="38">
        <f>TRUNC(P449*M449*N449/100)</f>
        <v>0</v>
      </c>
      <c r="R449" s="38"/>
      <c r="S449" s="15" t="s">
        <v>1429</v>
      </c>
      <c r="T449" s="15"/>
      <c r="AB449" s="2">
        <f>O449</f>
        <v>0.18</v>
      </c>
    </row>
    <row r="450" spans="2:28" ht="21.95" customHeight="1" x14ac:dyDescent="0.15">
      <c r="B450" s="13" t="s">
        <v>1397</v>
      </c>
      <c r="C450" s="13" t="s">
        <v>1005</v>
      </c>
      <c r="D450" s="12" t="s">
        <v>1003</v>
      </c>
      <c r="E450" s="12" t="s">
        <v>1006</v>
      </c>
      <c r="F450" s="15" t="s">
        <v>999</v>
      </c>
      <c r="G450" s="15">
        <f>IF(H450*I450/100+0.000005 &lt;1, TRUNC(H450*I450/100+0.000005, 옵션!$E$13), TRUNC(H450*I450/100+0.000005, 옵션!$E$13))</f>
        <v>0.18</v>
      </c>
      <c r="H450" s="15">
        <f>옵션!$B$13</f>
        <v>100</v>
      </c>
      <c r="I450" s="15">
        <f>SUM(AB449:AB449)</f>
        <v>0.18</v>
      </c>
      <c r="J450" s="15"/>
      <c r="K450" s="12"/>
      <c r="L450" s="15"/>
      <c r="M450" s="15"/>
      <c r="N450" s="15"/>
      <c r="O450" s="15" t="str">
        <f>IF(I450*M450=0, "", I450*M450*(N450/100))</f>
        <v/>
      </c>
      <c r="P450" s="38"/>
      <c r="Q450" s="38">
        <f>TRUNC(P450*M450*N450/100)</f>
        <v>0</v>
      </c>
      <c r="R450" s="38"/>
      <c r="S450" s="15"/>
      <c r="T450" s="15"/>
      <c r="Z450" s="2" t="s">
        <v>1399</v>
      </c>
      <c r="AB450" s="2">
        <f>SUM(AB449:AB449)</f>
        <v>0.18</v>
      </c>
    </row>
    <row r="451" spans="2:28" ht="21.95" customHeight="1" x14ac:dyDescent="0.15">
      <c r="B451" s="13" t="s">
        <v>1448</v>
      </c>
      <c r="D451" s="170" t="s">
        <v>1579</v>
      </c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2"/>
    </row>
    <row r="452" spans="2:28" ht="21.95" customHeight="1" x14ac:dyDescent="0.15">
      <c r="B452" s="13" t="s">
        <v>1397</v>
      </c>
      <c r="C452" s="13" t="s">
        <v>605</v>
      </c>
      <c r="D452" s="12" t="s">
        <v>595</v>
      </c>
      <c r="E452" s="12" t="s">
        <v>606</v>
      </c>
      <c r="F452" s="15" t="s">
        <v>200</v>
      </c>
      <c r="G452" s="15">
        <v>1</v>
      </c>
      <c r="H452" s="15">
        <f>IF(I452&lt;&gt;0, G452-I452, "")</f>
        <v>0</v>
      </c>
      <c r="I452" s="15">
        <v>1</v>
      </c>
      <c r="J452" s="15"/>
      <c r="K452" s="12" t="s">
        <v>1373</v>
      </c>
      <c r="L452" s="15" t="s">
        <v>1006</v>
      </c>
      <c r="M452" s="15">
        <v>0.17100000000000001</v>
      </c>
      <c r="N452" s="15">
        <v>120</v>
      </c>
      <c r="O452" s="15">
        <f>IF(I452*M452=0, "", I452*M452*(N452/100))</f>
        <v>0.20520000000000002</v>
      </c>
      <c r="P452" s="38"/>
      <c r="Q452" s="38">
        <f>TRUNC(P452*M452*N452/100)</f>
        <v>0</v>
      </c>
      <c r="R452" s="38"/>
      <c r="S452" s="15" t="s">
        <v>1429</v>
      </c>
      <c r="T452" s="15"/>
      <c r="AB452" s="2">
        <f>O452</f>
        <v>0.20520000000000002</v>
      </c>
    </row>
    <row r="453" spans="2:28" ht="21.95" customHeight="1" x14ac:dyDescent="0.15">
      <c r="B453" s="13" t="s">
        <v>1397</v>
      </c>
      <c r="C453" s="13" t="s">
        <v>1005</v>
      </c>
      <c r="D453" s="12" t="s">
        <v>1003</v>
      </c>
      <c r="E453" s="12" t="s">
        <v>1006</v>
      </c>
      <c r="F453" s="15" t="s">
        <v>999</v>
      </c>
      <c r="G453" s="15">
        <f>IF(H453*I453/100+0.000005 &lt;1, TRUNC(H453*I453/100+0.000005, 옵션!$E$13), TRUNC(H453*I453/100+0.000005, 옵션!$E$13))</f>
        <v>0.20519999999999999</v>
      </c>
      <c r="H453" s="15">
        <f>옵션!$B$13</f>
        <v>100</v>
      </c>
      <c r="I453" s="15">
        <f>SUM(AB452:AB452)</f>
        <v>0.20520000000000002</v>
      </c>
      <c r="J453" s="15"/>
      <c r="K453" s="12"/>
      <c r="L453" s="15"/>
      <c r="M453" s="15"/>
      <c r="N453" s="15"/>
      <c r="O453" s="15" t="str">
        <f>IF(I453*M453=0, "", I453*M453*(N453/100))</f>
        <v/>
      </c>
      <c r="P453" s="38"/>
      <c r="Q453" s="38">
        <f>TRUNC(P453*M453*N453/100)</f>
        <v>0</v>
      </c>
      <c r="R453" s="38"/>
      <c r="S453" s="15"/>
      <c r="T453" s="15"/>
      <c r="Z453" s="2" t="s">
        <v>1399</v>
      </c>
      <c r="AB453" s="2">
        <f>SUM(AB452:AB452)</f>
        <v>0.20520000000000002</v>
      </c>
    </row>
    <row r="454" spans="2:28" ht="21.95" customHeight="1" x14ac:dyDescent="0.15">
      <c r="B454" s="13" t="s">
        <v>1448</v>
      </c>
      <c r="D454" s="170" t="s">
        <v>1580</v>
      </c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2"/>
    </row>
    <row r="455" spans="2:28" ht="21.95" customHeight="1" x14ac:dyDescent="0.15">
      <c r="B455" s="13" t="s">
        <v>1397</v>
      </c>
      <c r="C455" s="13" t="s">
        <v>607</v>
      </c>
      <c r="D455" s="12" t="s">
        <v>608</v>
      </c>
      <c r="E455" s="12" t="s">
        <v>609</v>
      </c>
      <c r="F455" s="15" t="s">
        <v>200</v>
      </c>
      <c r="G455" s="15">
        <v>1</v>
      </c>
      <c r="H455" s="15">
        <f>IF(I455&lt;&gt;0, G455-I455, "")</f>
        <v>0</v>
      </c>
      <c r="I455" s="15">
        <v>1</v>
      </c>
      <c r="J455" s="15"/>
      <c r="K455" s="12" t="s">
        <v>1373</v>
      </c>
      <c r="L455" s="15" t="s">
        <v>1006</v>
      </c>
      <c r="M455" s="15">
        <v>0.12</v>
      </c>
      <c r="N455" s="15">
        <v>120</v>
      </c>
      <c r="O455" s="15">
        <f>IF(I455*M455=0, "", I455*M455*(N455/100))</f>
        <v>0.14399999999999999</v>
      </c>
      <c r="P455" s="38"/>
      <c r="Q455" s="38">
        <f>TRUNC(P455*M455*N455/100)</f>
        <v>0</v>
      </c>
      <c r="R455" s="38"/>
      <c r="S455" s="15" t="s">
        <v>1429</v>
      </c>
      <c r="T455" s="15"/>
      <c r="AB455" s="2">
        <f>O455</f>
        <v>0.14399999999999999</v>
      </c>
    </row>
    <row r="456" spans="2:28" ht="21.95" customHeight="1" x14ac:dyDescent="0.15">
      <c r="B456" s="13" t="s">
        <v>1397</v>
      </c>
      <c r="C456" s="13" t="s">
        <v>1005</v>
      </c>
      <c r="D456" s="12" t="s">
        <v>1003</v>
      </c>
      <c r="E456" s="12" t="s">
        <v>1006</v>
      </c>
      <c r="F456" s="15" t="s">
        <v>999</v>
      </c>
      <c r="G456" s="15">
        <f>IF(H456*I456/100+0.000005 &lt;1, TRUNC(H456*I456/100+0.000005, 옵션!$E$13), TRUNC(H456*I456/100+0.000005, 옵션!$E$13))</f>
        <v>0.14399999999999999</v>
      </c>
      <c r="H456" s="15">
        <f>옵션!$B$13</f>
        <v>100</v>
      </c>
      <c r="I456" s="15">
        <f>SUM(AB455:AB455)</f>
        <v>0.14399999999999999</v>
      </c>
      <c r="J456" s="15"/>
      <c r="K456" s="12"/>
      <c r="L456" s="15"/>
      <c r="M456" s="15"/>
      <c r="N456" s="15"/>
      <c r="O456" s="15" t="str">
        <f>IF(I456*M456=0, "", I456*M456*(N456/100))</f>
        <v/>
      </c>
      <c r="P456" s="38"/>
      <c r="Q456" s="38">
        <f>TRUNC(P456*M456*N456/100)</f>
        <v>0</v>
      </c>
      <c r="R456" s="38"/>
      <c r="S456" s="15"/>
      <c r="T456" s="15"/>
      <c r="Z456" s="2" t="s">
        <v>1399</v>
      </c>
      <c r="AB456" s="2">
        <f>SUM(AB455:AB455)</f>
        <v>0.14399999999999999</v>
      </c>
    </row>
    <row r="457" spans="2:28" ht="21.95" customHeight="1" x14ac:dyDescent="0.15">
      <c r="B457" s="13" t="s">
        <v>1448</v>
      </c>
      <c r="D457" s="170" t="s">
        <v>1581</v>
      </c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2"/>
    </row>
    <row r="458" spans="2:28" ht="21.95" customHeight="1" x14ac:dyDescent="0.15">
      <c r="B458" s="13" t="s">
        <v>1397</v>
      </c>
      <c r="C458" s="13" t="s">
        <v>655</v>
      </c>
      <c r="D458" s="12" t="s">
        <v>656</v>
      </c>
      <c r="E458" s="12" t="s">
        <v>657</v>
      </c>
      <c r="F458" s="15" t="s">
        <v>166</v>
      </c>
      <c r="G458" s="15">
        <v>1</v>
      </c>
      <c r="H458" s="15">
        <f>IF(I458&lt;&gt;0, G458-I458, "")</f>
        <v>0</v>
      </c>
      <c r="I458" s="15">
        <v>1</v>
      </c>
      <c r="J458" s="15"/>
      <c r="K458" s="12" t="s">
        <v>1372</v>
      </c>
      <c r="L458" s="15" t="s">
        <v>1004</v>
      </c>
      <c r="M458" s="15">
        <v>0.05</v>
      </c>
      <c r="N458" s="15">
        <v>108</v>
      </c>
      <c r="O458" s="15">
        <f>IF(I458*M458=0, "", I458*M458*(N458/100))</f>
        <v>5.4000000000000006E-2</v>
      </c>
      <c r="P458" s="38"/>
      <c r="Q458" s="38">
        <f>TRUNC(P458*M458*N458/100)</f>
        <v>0</v>
      </c>
      <c r="R458" s="38"/>
      <c r="S458" s="15" t="s">
        <v>1411</v>
      </c>
      <c r="T458" s="15"/>
      <c r="AA458" s="2">
        <f>O458</f>
        <v>5.4000000000000006E-2</v>
      </c>
    </row>
    <row r="459" spans="2:28" ht="21.95" customHeight="1" x14ac:dyDescent="0.15">
      <c r="B459" s="13" t="s">
        <v>1397</v>
      </c>
      <c r="C459" s="13" t="s">
        <v>1002</v>
      </c>
      <c r="D459" s="12" t="s">
        <v>1003</v>
      </c>
      <c r="E459" s="12" t="s">
        <v>1004</v>
      </c>
      <c r="F459" s="15" t="s">
        <v>999</v>
      </c>
      <c r="G459" s="15">
        <f>IF(H459*I459/100+0.000005 &lt;1, TRUNC(H459*I459/100+0.000005, 옵션!$E$13), TRUNC(H459*I459/100+0.000005, 옵션!$E$13))</f>
        <v>5.3999999999999999E-2</v>
      </c>
      <c r="H459" s="15">
        <f>옵션!$B$13</f>
        <v>100</v>
      </c>
      <c r="I459" s="15">
        <f>SUM(AA458:AA458)</f>
        <v>5.4000000000000006E-2</v>
      </c>
      <c r="J459" s="15"/>
      <c r="K459" s="12"/>
      <c r="L459" s="15"/>
      <c r="M459" s="15"/>
      <c r="N459" s="15"/>
      <c r="O459" s="15" t="str">
        <f>IF(I459*M459=0, "", I459*M459*(N459/100))</f>
        <v/>
      </c>
      <c r="P459" s="38"/>
      <c r="Q459" s="38">
        <f>TRUNC(P459*M459*N459/100)</f>
        <v>0</v>
      </c>
      <c r="R459" s="38"/>
      <c r="S459" s="15"/>
      <c r="T459" s="15"/>
      <c r="Z459" s="2" t="s">
        <v>1399</v>
      </c>
      <c r="AA459" s="2">
        <f>SUM(AA458:AA458)</f>
        <v>5.4000000000000006E-2</v>
      </c>
    </row>
    <row r="460" spans="2:28" ht="21.95" customHeight="1" x14ac:dyDescent="0.15">
      <c r="B460" s="13" t="s">
        <v>1448</v>
      </c>
      <c r="D460" s="170" t="s">
        <v>1582</v>
      </c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2"/>
    </row>
    <row r="461" spans="2:28" ht="21.95" customHeight="1" x14ac:dyDescent="0.15">
      <c r="B461" s="13" t="s">
        <v>1397</v>
      </c>
      <c r="C461" s="13" t="s">
        <v>659</v>
      </c>
      <c r="D461" s="12" t="s">
        <v>656</v>
      </c>
      <c r="E461" s="12" t="s">
        <v>660</v>
      </c>
      <c r="F461" s="15" t="s">
        <v>166</v>
      </c>
      <c r="G461" s="15">
        <v>1</v>
      </c>
      <c r="H461" s="15">
        <f>IF(I461&lt;&gt;0, G461-I461, "")</f>
        <v>0</v>
      </c>
      <c r="I461" s="15">
        <v>1</v>
      </c>
      <c r="J461" s="15"/>
      <c r="K461" s="12" t="s">
        <v>1372</v>
      </c>
      <c r="L461" s="15" t="s">
        <v>1004</v>
      </c>
      <c r="M461" s="15">
        <v>0.06</v>
      </c>
      <c r="N461" s="15">
        <v>108</v>
      </c>
      <c r="O461" s="15">
        <f>IF(I461*M461=0, "", I461*M461*(N461/100))</f>
        <v>6.4799999999999996E-2</v>
      </c>
      <c r="P461" s="38"/>
      <c r="Q461" s="38">
        <f>TRUNC(P461*M461*N461/100)</f>
        <v>0</v>
      </c>
      <c r="R461" s="38"/>
      <c r="S461" s="15" t="s">
        <v>1411</v>
      </c>
      <c r="T461" s="15"/>
      <c r="AA461" s="2">
        <f>O461</f>
        <v>6.4799999999999996E-2</v>
      </c>
    </row>
    <row r="462" spans="2:28" ht="21.95" customHeight="1" x14ac:dyDescent="0.15">
      <c r="B462" s="13" t="s">
        <v>1397</v>
      </c>
      <c r="C462" s="13" t="s">
        <v>1002</v>
      </c>
      <c r="D462" s="12" t="s">
        <v>1003</v>
      </c>
      <c r="E462" s="12" t="s">
        <v>1004</v>
      </c>
      <c r="F462" s="15" t="s">
        <v>999</v>
      </c>
      <c r="G462" s="15">
        <f>IF(H462*I462/100+0.000005 &lt;1, TRUNC(H462*I462/100+0.000005, 옵션!$E$13), TRUNC(H462*I462/100+0.000005, 옵션!$E$13))</f>
        <v>6.4799999999999996E-2</v>
      </c>
      <c r="H462" s="15">
        <f>옵션!$B$13</f>
        <v>100</v>
      </c>
      <c r="I462" s="15">
        <f>SUM(AA461:AA461)</f>
        <v>6.4799999999999996E-2</v>
      </c>
      <c r="J462" s="15"/>
      <c r="K462" s="12"/>
      <c r="L462" s="15"/>
      <c r="M462" s="15"/>
      <c r="N462" s="15"/>
      <c r="O462" s="15" t="str">
        <f>IF(I462*M462=0, "", I462*M462*(N462/100))</f>
        <v/>
      </c>
      <c r="P462" s="38"/>
      <c r="Q462" s="38">
        <f>TRUNC(P462*M462*N462/100)</f>
        <v>0</v>
      </c>
      <c r="R462" s="38"/>
      <c r="S462" s="15"/>
      <c r="T462" s="15"/>
      <c r="Z462" s="2" t="s">
        <v>1399</v>
      </c>
      <c r="AA462" s="2">
        <f>SUM(AA461:AA461)</f>
        <v>6.4799999999999996E-2</v>
      </c>
    </row>
    <row r="463" spans="2:28" ht="21.95" customHeight="1" x14ac:dyDescent="0.15">
      <c r="B463" s="13" t="s">
        <v>1448</v>
      </c>
      <c r="D463" s="170" t="s">
        <v>1583</v>
      </c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2"/>
    </row>
    <row r="464" spans="2:28" ht="21.95" customHeight="1" x14ac:dyDescent="0.15">
      <c r="B464" s="13" t="s">
        <v>1397</v>
      </c>
      <c r="C464" s="13" t="s">
        <v>661</v>
      </c>
      <c r="D464" s="12" t="s">
        <v>656</v>
      </c>
      <c r="E464" s="12" t="s">
        <v>662</v>
      </c>
      <c r="F464" s="15" t="s">
        <v>166</v>
      </c>
      <c r="G464" s="15">
        <v>1</v>
      </c>
      <c r="H464" s="15">
        <f>IF(I464&lt;&gt;0, G464-I464, "")</f>
        <v>0</v>
      </c>
      <c r="I464" s="15">
        <v>1</v>
      </c>
      <c r="J464" s="15"/>
      <c r="K464" s="12" t="s">
        <v>1372</v>
      </c>
      <c r="L464" s="15" t="s">
        <v>1004</v>
      </c>
      <c r="M464" s="15">
        <v>0.08</v>
      </c>
      <c r="N464" s="15">
        <v>108</v>
      </c>
      <c r="O464" s="15">
        <f>IF(I464*M464=0, "", I464*M464*(N464/100))</f>
        <v>8.6400000000000005E-2</v>
      </c>
      <c r="P464" s="38"/>
      <c r="Q464" s="38">
        <f>TRUNC(P464*M464*N464/100)</f>
        <v>0</v>
      </c>
      <c r="R464" s="38"/>
      <c r="S464" s="15" t="s">
        <v>1411</v>
      </c>
      <c r="T464" s="15"/>
      <c r="AA464" s="2">
        <f>O464</f>
        <v>8.6400000000000005E-2</v>
      </c>
    </row>
    <row r="465" spans="2:27" ht="21.95" customHeight="1" x14ac:dyDescent="0.15">
      <c r="B465" s="13" t="s">
        <v>1397</v>
      </c>
      <c r="C465" s="13" t="s">
        <v>1002</v>
      </c>
      <c r="D465" s="12" t="s">
        <v>1003</v>
      </c>
      <c r="E465" s="12" t="s">
        <v>1004</v>
      </c>
      <c r="F465" s="15" t="s">
        <v>999</v>
      </c>
      <c r="G465" s="15">
        <f>IF(H465*I465/100+0.000005 &lt;1, TRUNC(H465*I465/100+0.000005, 옵션!$E$13), TRUNC(H465*I465/100+0.000005, 옵션!$E$13))</f>
        <v>8.6400000000000005E-2</v>
      </c>
      <c r="H465" s="15">
        <f>옵션!$B$13</f>
        <v>100</v>
      </c>
      <c r="I465" s="15">
        <f>SUM(AA464:AA464)</f>
        <v>8.6400000000000005E-2</v>
      </c>
      <c r="J465" s="15"/>
      <c r="K465" s="12"/>
      <c r="L465" s="15"/>
      <c r="M465" s="15"/>
      <c r="N465" s="15"/>
      <c r="O465" s="15" t="str">
        <f>IF(I465*M465=0, "", I465*M465*(N465/100))</f>
        <v/>
      </c>
      <c r="P465" s="38"/>
      <c r="Q465" s="38">
        <f>TRUNC(P465*M465*N465/100)</f>
        <v>0</v>
      </c>
      <c r="R465" s="38"/>
      <c r="S465" s="15"/>
      <c r="T465" s="15"/>
      <c r="Z465" s="2" t="s">
        <v>1399</v>
      </c>
      <c r="AA465" s="2">
        <f>SUM(AA464:AA464)</f>
        <v>8.6400000000000005E-2</v>
      </c>
    </row>
    <row r="466" spans="2:27" ht="21.95" customHeight="1" x14ac:dyDescent="0.15">
      <c r="B466" s="13" t="s">
        <v>1448</v>
      </c>
      <c r="D466" s="170" t="s">
        <v>1584</v>
      </c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2"/>
    </row>
    <row r="467" spans="2:27" ht="21.95" customHeight="1" x14ac:dyDescent="0.15">
      <c r="B467" s="13" t="s">
        <v>1397</v>
      </c>
      <c r="C467" s="13" t="s">
        <v>663</v>
      </c>
      <c r="D467" s="12" t="s">
        <v>656</v>
      </c>
      <c r="E467" s="12" t="s">
        <v>664</v>
      </c>
      <c r="F467" s="15" t="s">
        <v>166</v>
      </c>
      <c r="G467" s="15">
        <v>1</v>
      </c>
      <c r="H467" s="15">
        <f>IF(I467&lt;&gt;0, G467-I467, "")</f>
        <v>0</v>
      </c>
      <c r="I467" s="15">
        <v>1</v>
      </c>
      <c r="J467" s="15"/>
      <c r="K467" s="12" t="s">
        <v>1372</v>
      </c>
      <c r="L467" s="15" t="s">
        <v>1004</v>
      </c>
      <c r="M467" s="15">
        <v>0.1</v>
      </c>
      <c r="N467" s="15">
        <v>108</v>
      </c>
      <c r="O467" s="15">
        <f>IF(I467*M467=0, "", I467*M467*(N467/100))</f>
        <v>0.10800000000000001</v>
      </c>
      <c r="P467" s="38"/>
      <c r="Q467" s="38">
        <f>TRUNC(P467*M467*N467/100)</f>
        <v>0</v>
      </c>
      <c r="R467" s="38"/>
      <c r="S467" s="15" t="s">
        <v>1411</v>
      </c>
      <c r="T467" s="15"/>
      <c r="AA467" s="2">
        <f>O467</f>
        <v>0.10800000000000001</v>
      </c>
    </row>
    <row r="468" spans="2:27" ht="21.95" customHeight="1" x14ac:dyDescent="0.15">
      <c r="B468" s="13" t="s">
        <v>1397</v>
      </c>
      <c r="C468" s="13" t="s">
        <v>1002</v>
      </c>
      <c r="D468" s="12" t="s">
        <v>1003</v>
      </c>
      <c r="E468" s="12" t="s">
        <v>1004</v>
      </c>
      <c r="F468" s="15" t="s">
        <v>999</v>
      </c>
      <c r="G468" s="15">
        <f>IF(H468*I468/100+0.000005 &lt;1, TRUNC(H468*I468/100+0.000005, 옵션!$E$13), TRUNC(H468*I468/100+0.000005, 옵션!$E$13))</f>
        <v>0.108</v>
      </c>
      <c r="H468" s="15">
        <f>옵션!$B$13</f>
        <v>100</v>
      </c>
      <c r="I468" s="15">
        <f>SUM(AA467:AA467)</f>
        <v>0.10800000000000001</v>
      </c>
      <c r="J468" s="15"/>
      <c r="K468" s="12"/>
      <c r="L468" s="15"/>
      <c r="M468" s="15"/>
      <c r="N468" s="15"/>
      <c r="O468" s="15" t="str">
        <f>IF(I468*M468=0, "", I468*M468*(N468/100))</f>
        <v/>
      </c>
      <c r="P468" s="38"/>
      <c r="Q468" s="38">
        <f>TRUNC(P468*M468*N468/100)</f>
        <v>0</v>
      </c>
      <c r="R468" s="38"/>
      <c r="S468" s="15"/>
      <c r="T468" s="15"/>
      <c r="Z468" s="2" t="s">
        <v>1399</v>
      </c>
      <c r="AA468" s="2">
        <f>SUM(AA467:AA467)</f>
        <v>0.10800000000000001</v>
      </c>
    </row>
    <row r="469" spans="2:27" ht="21.95" customHeight="1" x14ac:dyDescent="0.15">
      <c r="B469" s="13" t="s">
        <v>1448</v>
      </c>
      <c r="D469" s="170" t="s">
        <v>1585</v>
      </c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2"/>
    </row>
    <row r="470" spans="2:27" ht="21.95" customHeight="1" x14ac:dyDescent="0.15">
      <c r="B470" s="13" t="s">
        <v>1397</v>
      </c>
      <c r="C470" s="13" t="s">
        <v>665</v>
      </c>
      <c r="D470" s="12" t="s">
        <v>656</v>
      </c>
      <c r="E470" s="12" t="s">
        <v>666</v>
      </c>
      <c r="F470" s="15" t="s">
        <v>166</v>
      </c>
      <c r="G470" s="15">
        <v>1</v>
      </c>
      <c r="H470" s="15">
        <f>IF(I470&lt;&gt;0, G470-I470, "")</f>
        <v>0</v>
      </c>
      <c r="I470" s="15">
        <v>1</v>
      </c>
      <c r="J470" s="15"/>
      <c r="K470" s="12" t="s">
        <v>1372</v>
      </c>
      <c r="L470" s="15" t="s">
        <v>1004</v>
      </c>
      <c r="M470" s="15">
        <v>0.13</v>
      </c>
      <c r="N470" s="15">
        <v>108</v>
      </c>
      <c r="O470" s="15">
        <f>IF(I470*M470=0, "", I470*M470*(N470/100))</f>
        <v>0.14040000000000002</v>
      </c>
      <c r="P470" s="38"/>
      <c r="Q470" s="38">
        <f>TRUNC(P470*M470*N470/100)</f>
        <v>0</v>
      </c>
      <c r="R470" s="38"/>
      <c r="S470" s="15" t="s">
        <v>1411</v>
      </c>
      <c r="T470" s="15"/>
      <c r="AA470" s="2">
        <f>O470</f>
        <v>0.14040000000000002</v>
      </c>
    </row>
    <row r="471" spans="2:27" ht="21.95" customHeight="1" x14ac:dyDescent="0.15">
      <c r="B471" s="13" t="s">
        <v>1397</v>
      </c>
      <c r="C471" s="13" t="s">
        <v>1002</v>
      </c>
      <c r="D471" s="12" t="s">
        <v>1003</v>
      </c>
      <c r="E471" s="12" t="s">
        <v>1004</v>
      </c>
      <c r="F471" s="15" t="s">
        <v>999</v>
      </c>
      <c r="G471" s="15">
        <f>IF(H471*I471/100+0.000005 &lt;1, TRUNC(H471*I471/100+0.000005, 옵션!$E$13), TRUNC(H471*I471/100+0.000005, 옵션!$E$13))</f>
        <v>0.1404</v>
      </c>
      <c r="H471" s="15">
        <f>옵션!$B$13</f>
        <v>100</v>
      </c>
      <c r="I471" s="15">
        <f>SUM(AA470:AA470)</f>
        <v>0.14040000000000002</v>
      </c>
      <c r="J471" s="15"/>
      <c r="K471" s="12"/>
      <c r="L471" s="15"/>
      <c r="M471" s="15"/>
      <c r="N471" s="15"/>
      <c r="O471" s="15" t="str">
        <f>IF(I471*M471=0, "", I471*M471*(N471/100))</f>
        <v/>
      </c>
      <c r="P471" s="38"/>
      <c r="Q471" s="38">
        <f>TRUNC(P471*M471*N471/100)</f>
        <v>0</v>
      </c>
      <c r="R471" s="38"/>
      <c r="S471" s="15"/>
      <c r="T471" s="15"/>
      <c r="Z471" s="2" t="s">
        <v>1399</v>
      </c>
      <c r="AA471" s="2">
        <f>SUM(AA470:AA470)</f>
        <v>0.14040000000000002</v>
      </c>
    </row>
    <row r="472" spans="2:27" ht="21.95" customHeight="1" x14ac:dyDescent="0.15">
      <c r="B472" s="13" t="s">
        <v>1448</v>
      </c>
      <c r="D472" s="170" t="s">
        <v>1586</v>
      </c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2"/>
    </row>
    <row r="473" spans="2:27" ht="21.95" customHeight="1" x14ac:dyDescent="0.15">
      <c r="B473" s="13" t="s">
        <v>1397</v>
      </c>
      <c r="C473" s="13" t="s">
        <v>667</v>
      </c>
      <c r="D473" s="12" t="s">
        <v>656</v>
      </c>
      <c r="E473" s="12" t="s">
        <v>668</v>
      </c>
      <c r="F473" s="15" t="s">
        <v>166</v>
      </c>
      <c r="G473" s="15">
        <v>1</v>
      </c>
      <c r="H473" s="15">
        <f>IF(I473&lt;&gt;0, G473-I473, "")</f>
        <v>0</v>
      </c>
      <c r="I473" s="15">
        <v>1</v>
      </c>
      <c r="J473" s="15"/>
      <c r="K473" s="12" t="s">
        <v>1372</v>
      </c>
      <c r="L473" s="15" t="s">
        <v>1004</v>
      </c>
      <c r="M473" s="15">
        <v>0.19</v>
      </c>
      <c r="N473" s="15">
        <v>108</v>
      </c>
      <c r="O473" s="15">
        <f>IF(I473*M473=0, "", I473*M473*(N473/100))</f>
        <v>0.20520000000000002</v>
      </c>
      <c r="P473" s="38"/>
      <c r="Q473" s="38">
        <f>TRUNC(P473*M473*N473/100)</f>
        <v>0</v>
      </c>
      <c r="R473" s="38"/>
      <c r="S473" s="15" t="s">
        <v>1411</v>
      </c>
      <c r="T473" s="15"/>
      <c r="AA473" s="2">
        <f>O473</f>
        <v>0.20520000000000002</v>
      </c>
    </row>
    <row r="474" spans="2:27" ht="21.95" customHeight="1" x14ac:dyDescent="0.15">
      <c r="B474" s="13" t="s">
        <v>1397</v>
      </c>
      <c r="C474" s="13" t="s">
        <v>1002</v>
      </c>
      <c r="D474" s="12" t="s">
        <v>1003</v>
      </c>
      <c r="E474" s="12" t="s">
        <v>1004</v>
      </c>
      <c r="F474" s="15" t="s">
        <v>999</v>
      </c>
      <c r="G474" s="15">
        <f>IF(H474*I474/100+0.000005 &lt;1, TRUNC(H474*I474/100+0.000005, 옵션!$E$13), TRUNC(H474*I474/100+0.000005, 옵션!$E$13))</f>
        <v>0.20519999999999999</v>
      </c>
      <c r="H474" s="15">
        <f>옵션!$B$13</f>
        <v>100</v>
      </c>
      <c r="I474" s="15">
        <f>SUM(AA473:AA473)</f>
        <v>0.20520000000000002</v>
      </c>
      <c r="J474" s="15"/>
      <c r="K474" s="12"/>
      <c r="L474" s="15"/>
      <c r="M474" s="15"/>
      <c r="N474" s="15"/>
      <c r="O474" s="15" t="str">
        <f>IF(I474*M474=0, "", I474*M474*(N474/100))</f>
        <v/>
      </c>
      <c r="P474" s="38"/>
      <c r="Q474" s="38">
        <f>TRUNC(P474*M474*N474/100)</f>
        <v>0</v>
      </c>
      <c r="R474" s="38"/>
      <c r="S474" s="15"/>
      <c r="T474" s="15"/>
      <c r="Z474" s="2" t="s">
        <v>1399</v>
      </c>
      <c r="AA474" s="2">
        <f>SUM(AA473:AA473)</f>
        <v>0.20520000000000002</v>
      </c>
    </row>
    <row r="475" spans="2:27" ht="21.95" customHeight="1" x14ac:dyDescent="0.15">
      <c r="B475" s="13" t="s">
        <v>1448</v>
      </c>
      <c r="D475" s="170" t="s">
        <v>1587</v>
      </c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2"/>
    </row>
    <row r="476" spans="2:27" ht="21.95" customHeight="1" x14ac:dyDescent="0.15">
      <c r="B476" s="13" t="s">
        <v>1397</v>
      </c>
      <c r="C476" s="13" t="s">
        <v>669</v>
      </c>
      <c r="D476" s="12" t="s">
        <v>656</v>
      </c>
      <c r="E476" s="12" t="s">
        <v>670</v>
      </c>
      <c r="F476" s="15" t="s">
        <v>166</v>
      </c>
      <c r="G476" s="15">
        <v>1</v>
      </c>
      <c r="H476" s="15">
        <f>IF(I476&lt;&gt;0, G476-I476, "")</f>
        <v>0</v>
      </c>
      <c r="I476" s="15">
        <v>1</v>
      </c>
      <c r="J476" s="15"/>
      <c r="K476" s="12" t="s">
        <v>1372</v>
      </c>
      <c r="L476" s="15" t="s">
        <v>1004</v>
      </c>
      <c r="M476" s="15">
        <v>0.28000000000000003</v>
      </c>
      <c r="N476" s="15">
        <v>108</v>
      </c>
      <c r="O476" s="15">
        <f>IF(I476*M476=0, "", I476*M476*(N476/100))</f>
        <v>0.30240000000000006</v>
      </c>
      <c r="P476" s="38"/>
      <c r="Q476" s="38">
        <f>TRUNC(P476*M476*N476/100)</f>
        <v>0</v>
      </c>
      <c r="R476" s="38"/>
      <c r="S476" s="15" t="s">
        <v>1411</v>
      </c>
      <c r="T476" s="15"/>
      <c r="AA476" s="2">
        <f>O476</f>
        <v>0.30240000000000006</v>
      </c>
    </row>
    <row r="477" spans="2:27" ht="21.95" customHeight="1" x14ac:dyDescent="0.15">
      <c r="B477" s="13" t="s">
        <v>1397</v>
      </c>
      <c r="C477" s="13" t="s">
        <v>1002</v>
      </c>
      <c r="D477" s="12" t="s">
        <v>1003</v>
      </c>
      <c r="E477" s="12" t="s">
        <v>1004</v>
      </c>
      <c r="F477" s="15" t="s">
        <v>999</v>
      </c>
      <c r="G477" s="15">
        <f>IF(H477*I477/100+0.000005 &lt;1, TRUNC(H477*I477/100+0.000005, 옵션!$E$13), TRUNC(H477*I477/100+0.000005, 옵션!$E$13))</f>
        <v>0.3024</v>
      </c>
      <c r="H477" s="15">
        <f>옵션!$B$13</f>
        <v>100</v>
      </c>
      <c r="I477" s="15">
        <f>SUM(AA476:AA476)</f>
        <v>0.30240000000000006</v>
      </c>
      <c r="J477" s="15"/>
      <c r="K477" s="12"/>
      <c r="L477" s="15"/>
      <c r="M477" s="15"/>
      <c r="N477" s="15"/>
      <c r="O477" s="15" t="str">
        <f>IF(I477*M477=0, "", I477*M477*(N477/100))</f>
        <v/>
      </c>
      <c r="P477" s="38"/>
      <c r="Q477" s="38">
        <f>TRUNC(P477*M477*N477/100)</f>
        <v>0</v>
      </c>
      <c r="R477" s="38"/>
      <c r="S477" s="15"/>
      <c r="T477" s="15"/>
      <c r="Z477" s="2" t="s">
        <v>1399</v>
      </c>
      <c r="AA477" s="2">
        <f>SUM(AA476:AA476)</f>
        <v>0.30240000000000006</v>
      </c>
    </row>
    <row r="478" spans="2:27" ht="21.95" customHeight="1" x14ac:dyDescent="0.15">
      <c r="B478" s="13" t="s">
        <v>1448</v>
      </c>
      <c r="D478" s="170" t="s">
        <v>1588</v>
      </c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2"/>
    </row>
    <row r="479" spans="2:27" ht="21.95" customHeight="1" x14ac:dyDescent="0.15">
      <c r="B479" s="13" t="s">
        <v>1397</v>
      </c>
      <c r="C479" s="13" t="s">
        <v>706</v>
      </c>
      <c r="D479" s="12" t="s">
        <v>707</v>
      </c>
      <c r="E479" s="12"/>
      <c r="F479" s="15" t="s">
        <v>200</v>
      </c>
      <c r="G479" s="15">
        <v>1</v>
      </c>
      <c r="H479" s="15">
        <f>IF(I479&lt;&gt;0, G479-I479, "")</f>
        <v>0</v>
      </c>
      <c r="I479" s="15">
        <v>1</v>
      </c>
      <c r="J479" s="15"/>
      <c r="K479" s="12" t="s">
        <v>1372</v>
      </c>
      <c r="L479" s="15" t="s">
        <v>1004</v>
      </c>
      <c r="M479" s="15">
        <v>0.13300000000000001</v>
      </c>
      <c r="N479" s="15">
        <v>100</v>
      </c>
      <c r="O479" s="15">
        <f>IF(I479*M479=0, "", I479*M479*(N479/100))</f>
        <v>0.13300000000000001</v>
      </c>
      <c r="P479" s="38"/>
      <c r="Q479" s="38">
        <f>TRUNC(P479*M479*N479/100)</f>
        <v>0</v>
      </c>
      <c r="R479" s="38"/>
      <c r="S479" s="15" t="s">
        <v>1430</v>
      </c>
      <c r="T479" s="15"/>
      <c r="AA479" s="2">
        <f>O479</f>
        <v>0.13300000000000001</v>
      </c>
    </row>
    <row r="480" spans="2:27" ht="21.95" customHeight="1" x14ac:dyDescent="0.15">
      <c r="B480" s="13" t="s">
        <v>1397</v>
      </c>
      <c r="C480" s="13" t="s">
        <v>1002</v>
      </c>
      <c r="D480" s="12" t="s">
        <v>1003</v>
      </c>
      <c r="E480" s="12" t="s">
        <v>1004</v>
      </c>
      <c r="F480" s="15" t="s">
        <v>999</v>
      </c>
      <c r="G480" s="15">
        <f>IF(H480*I480/100+0.000005 &lt;1, TRUNC(H480*I480/100+0.000005, 옵션!$E$13), TRUNC(H480*I480/100+0.000005, 옵션!$E$13))</f>
        <v>0.13300000000000001</v>
      </c>
      <c r="H480" s="15">
        <f>옵션!$B$13</f>
        <v>100</v>
      </c>
      <c r="I480" s="15">
        <f>SUM(AA479:AA479)</f>
        <v>0.13300000000000001</v>
      </c>
      <c r="J480" s="15"/>
      <c r="K480" s="12"/>
      <c r="L480" s="15"/>
      <c r="M480" s="15"/>
      <c r="N480" s="15"/>
      <c r="O480" s="15" t="str">
        <f>IF(I480*M480=0, "", I480*M480*(N480/100))</f>
        <v/>
      </c>
      <c r="P480" s="38"/>
      <c r="Q480" s="38">
        <f>TRUNC(P480*M480*N480/100)</f>
        <v>0</v>
      </c>
      <c r="R480" s="38"/>
      <c r="S480" s="15"/>
      <c r="T480" s="15"/>
      <c r="Z480" s="2" t="s">
        <v>1399</v>
      </c>
      <c r="AA480" s="2">
        <f>SUM(AA479:AA479)</f>
        <v>0.13300000000000001</v>
      </c>
    </row>
    <row r="481" spans="2:27" ht="21.95" customHeight="1" x14ac:dyDescent="0.15">
      <c r="B481" s="13" t="s">
        <v>1448</v>
      </c>
      <c r="D481" s="170" t="s">
        <v>1589</v>
      </c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2"/>
    </row>
    <row r="482" spans="2:27" ht="21.95" customHeight="1" x14ac:dyDescent="0.15">
      <c r="B482" s="13" t="s">
        <v>1397</v>
      </c>
      <c r="C482" s="13" t="s">
        <v>706</v>
      </c>
      <c r="D482" s="12" t="s">
        <v>708</v>
      </c>
      <c r="E482" s="12" t="s">
        <v>709</v>
      </c>
      <c r="F482" s="15" t="s">
        <v>710</v>
      </c>
      <c r="G482" s="15">
        <v>1</v>
      </c>
      <c r="H482" s="15">
        <f>IF(I482&lt;&gt;0, G482-I482, "")</f>
        <v>0</v>
      </c>
      <c r="I482" s="15">
        <v>1</v>
      </c>
      <c r="J482" s="15"/>
      <c r="K482" s="12" t="s">
        <v>1372</v>
      </c>
      <c r="L482" s="15" t="s">
        <v>1004</v>
      </c>
      <c r="M482" s="15">
        <v>0.24</v>
      </c>
      <c r="N482" s="15">
        <v>100</v>
      </c>
      <c r="O482" s="15">
        <f>IF(I482*M482=0, "", I482*M482*(N482/100))</f>
        <v>0.24</v>
      </c>
      <c r="P482" s="38"/>
      <c r="Q482" s="38">
        <f>TRUNC(P482*M482*N482/100)</f>
        <v>0</v>
      </c>
      <c r="R482" s="38"/>
      <c r="S482" s="15" t="s">
        <v>1431</v>
      </c>
      <c r="T482" s="15"/>
      <c r="AA482" s="2">
        <f>O482</f>
        <v>0.24</v>
      </c>
    </row>
    <row r="483" spans="2:27" ht="21.95" customHeight="1" x14ac:dyDescent="0.15">
      <c r="B483" s="13" t="s">
        <v>1397</v>
      </c>
      <c r="C483" s="13" t="s">
        <v>1002</v>
      </c>
      <c r="D483" s="12" t="s">
        <v>1003</v>
      </c>
      <c r="E483" s="12" t="s">
        <v>1004</v>
      </c>
      <c r="F483" s="15" t="s">
        <v>999</v>
      </c>
      <c r="G483" s="15">
        <f>IF(H483*I483/100+0.000005 &lt;1, TRUNC(H483*I483/100+0.000005, 옵션!$E$13), TRUNC(H483*I483/100+0.000005, 옵션!$E$13))</f>
        <v>0.24</v>
      </c>
      <c r="H483" s="15">
        <f>옵션!$B$13</f>
        <v>100</v>
      </c>
      <c r="I483" s="15">
        <f>SUM(AA482:AA482)</f>
        <v>0.24</v>
      </c>
      <c r="J483" s="15"/>
      <c r="K483" s="12"/>
      <c r="L483" s="15"/>
      <c r="M483" s="15"/>
      <c r="N483" s="15"/>
      <c r="O483" s="15" t="str">
        <f>IF(I483*M483=0, "", I483*M483*(N483/100))</f>
        <v/>
      </c>
      <c r="P483" s="38"/>
      <c r="Q483" s="38">
        <f>TRUNC(P483*M483*N483/100)</f>
        <v>0</v>
      </c>
      <c r="R483" s="38"/>
      <c r="S483" s="15"/>
      <c r="T483" s="15"/>
      <c r="Z483" s="2" t="s">
        <v>1399</v>
      </c>
      <c r="AA483" s="2">
        <f>SUM(AA482:AA482)</f>
        <v>0.24</v>
      </c>
    </row>
    <row r="484" spans="2:27" ht="21.95" customHeight="1" x14ac:dyDescent="0.15">
      <c r="B484" s="13" t="s">
        <v>1448</v>
      </c>
      <c r="D484" s="170" t="s">
        <v>1590</v>
      </c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2"/>
    </row>
    <row r="485" spans="2:27" ht="21.95" customHeight="1" x14ac:dyDescent="0.15">
      <c r="B485" s="13" t="s">
        <v>1397</v>
      </c>
      <c r="C485" s="13" t="s">
        <v>706</v>
      </c>
      <c r="D485" s="12" t="s">
        <v>712</v>
      </c>
      <c r="E485" s="12" t="s">
        <v>713</v>
      </c>
      <c r="F485" s="15" t="s">
        <v>289</v>
      </c>
      <c r="G485" s="15">
        <v>1</v>
      </c>
      <c r="H485" s="15">
        <f>IF(I485&lt;&gt;0, G485-I485, "")</f>
        <v>0</v>
      </c>
      <c r="I485" s="15">
        <v>1</v>
      </c>
      <c r="J485" s="15"/>
      <c r="K485" s="12" t="s">
        <v>1372</v>
      </c>
      <c r="L485" s="15" t="s">
        <v>1004</v>
      </c>
      <c r="M485" s="15">
        <v>9.7000000000000003E-2</v>
      </c>
      <c r="N485" s="15">
        <v>100</v>
      </c>
      <c r="O485" s="15">
        <f>IF(I485*M485=0, "", I485*M485*(N485/100))</f>
        <v>9.7000000000000003E-2</v>
      </c>
      <c r="P485" s="38"/>
      <c r="Q485" s="38">
        <f>TRUNC(P485*M485*N485/100)</f>
        <v>0</v>
      </c>
      <c r="R485" s="38"/>
      <c r="S485" s="15" t="s">
        <v>1402</v>
      </c>
      <c r="T485" s="15"/>
      <c r="AA485" s="2">
        <f>O485</f>
        <v>9.7000000000000003E-2</v>
      </c>
    </row>
    <row r="486" spans="2:27" ht="21.95" customHeight="1" x14ac:dyDescent="0.15">
      <c r="B486" s="13" t="s">
        <v>1397</v>
      </c>
      <c r="C486" s="13" t="s">
        <v>1002</v>
      </c>
      <c r="D486" s="12" t="s">
        <v>1003</v>
      </c>
      <c r="E486" s="12" t="s">
        <v>1004</v>
      </c>
      <c r="F486" s="15" t="s">
        <v>999</v>
      </c>
      <c r="G486" s="15">
        <f>IF(H486*I486/100+0.000005 &lt;1, TRUNC(H486*I486/100+0.000005, 옵션!$E$13), TRUNC(H486*I486/100+0.000005, 옵션!$E$13))</f>
        <v>9.7000000000000003E-2</v>
      </c>
      <c r="H486" s="15">
        <f>옵션!$B$13</f>
        <v>100</v>
      </c>
      <c r="I486" s="15">
        <f>SUM(AA485:AA485)</f>
        <v>9.7000000000000003E-2</v>
      </c>
      <c r="J486" s="15"/>
      <c r="K486" s="12"/>
      <c r="L486" s="15"/>
      <c r="M486" s="15"/>
      <c r="N486" s="15"/>
      <c r="O486" s="15" t="str">
        <f>IF(I486*M486=0, "", I486*M486*(N486/100))</f>
        <v/>
      </c>
      <c r="P486" s="38"/>
      <c r="Q486" s="38">
        <f>TRUNC(P486*M486*N486/100)</f>
        <v>0</v>
      </c>
      <c r="R486" s="38"/>
      <c r="S486" s="15"/>
      <c r="T486" s="15"/>
      <c r="Z486" s="2" t="s">
        <v>1399</v>
      </c>
      <c r="AA486" s="2">
        <f>SUM(AA485:AA485)</f>
        <v>9.7000000000000003E-2</v>
      </c>
    </row>
    <row r="487" spans="2:27" ht="21.95" customHeight="1" x14ac:dyDescent="0.15">
      <c r="B487" s="13" t="s">
        <v>1448</v>
      </c>
      <c r="D487" s="170" t="s">
        <v>1591</v>
      </c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2"/>
    </row>
    <row r="488" spans="2:27" ht="21.95" customHeight="1" x14ac:dyDescent="0.15">
      <c r="B488" s="13" t="s">
        <v>1397</v>
      </c>
      <c r="C488" s="13" t="s">
        <v>714</v>
      </c>
      <c r="D488" s="12" t="s">
        <v>715</v>
      </c>
      <c r="E488" s="12"/>
      <c r="F488" s="15" t="s">
        <v>559</v>
      </c>
      <c r="G488" s="15">
        <v>1</v>
      </c>
      <c r="H488" s="15">
        <f>IF(I488&lt;&gt;0, G488-I488, "")</f>
        <v>0</v>
      </c>
      <c r="I488" s="15">
        <v>1</v>
      </c>
      <c r="J488" s="15"/>
      <c r="K488" s="12" t="s">
        <v>1372</v>
      </c>
      <c r="L488" s="15" t="s">
        <v>1004</v>
      </c>
      <c r="M488" s="15">
        <v>0.66</v>
      </c>
      <c r="N488" s="15">
        <v>100</v>
      </c>
      <c r="O488" s="15">
        <f>IF(I488*M488=0, "", I488*M488*(N488/100))</f>
        <v>0.66</v>
      </c>
      <c r="P488" s="38"/>
      <c r="Q488" s="38">
        <f>TRUNC(P488*M488*N488/100)</f>
        <v>0</v>
      </c>
      <c r="R488" s="38"/>
      <c r="S488" s="15" t="s">
        <v>1402</v>
      </c>
      <c r="T488" s="15"/>
      <c r="AA488" s="2">
        <f>O488</f>
        <v>0.66</v>
      </c>
    </row>
    <row r="489" spans="2:27" ht="21.95" customHeight="1" x14ac:dyDescent="0.15">
      <c r="B489" s="13" t="s">
        <v>1397</v>
      </c>
      <c r="C489" s="13" t="s">
        <v>1002</v>
      </c>
      <c r="D489" s="12" t="s">
        <v>1003</v>
      </c>
      <c r="E489" s="12" t="s">
        <v>1004</v>
      </c>
      <c r="F489" s="15" t="s">
        <v>999</v>
      </c>
      <c r="G489" s="15">
        <f>IF(H489*I489/100+0.000005 &lt;1, TRUNC(H489*I489/100+0.000005, 옵션!$E$13), TRUNC(H489*I489/100+0.000005, 옵션!$E$13))</f>
        <v>0.66</v>
      </c>
      <c r="H489" s="15">
        <f>옵션!$B$13</f>
        <v>100</v>
      </c>
      <c r="I489" s="15">
        <f>SUM(AA488:AA488)</f>
        <v>0.66</v>
      </c>
      <c r="J489" s="15"/>
      <c r="K489" s="12"/>
      <c r="L489" s="15"/>
      <c r="M489" s="15"/>
      <c r="N489" s="15"/>
      <c r="O489" s="15" t="str">
        <f>IF(I489*M489=0, "", I489*M489*(N489/100))</f>
        <v/>
      </c>
      <c r="P489" s="38"/>
      <c r="Q489" s="38">
        <f>TRUNC(P489*M489*N489/100)</f>
        <v>0</v>
      </c>
      <c r="R489" s="38"/>
      <c r="S489" s="15"/>
      <c r="T489" s="15"/>
      <c r="Z489" s="2" t="s">
        <v>1399</v>
      </c>
      <c r="AA489" s="2">
        <f>SUM(AA488:AA488)</f>
        <v>0.66</v>
      </c>
    </row>
    <row r="490" spans="2:27" ht="21.95" customHeight="1" x14ac:dyDescent="0.15">
      <c r="B490" s="13" t="s">
        <v>1448</v>
      </c>
      <c r="D490" s="170" t="s">
        <v>1592</v>
      </c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2"/>
    </row>
    <row r="491" spans="2:27" ht="21.95" customHeight="1" x14ac:dyDescent="0.15">
      <c r="B491" s="13" t="s">
        <v>1397</v>
      </c>
      <c r="C491" s="13" t="s">
        <v>706</v>
      </c>
      <c r="D491" s="12" t="s">
        <v>716</v>
      </c>
      <c r="E491" s="12" t="s">
        <v>717</v>
      </c>
      <c r="F491" s="15" t="s">
        <v>200</v>
      </c>
      <c r="G491" s="15">
        <v>1</v>
      </c>
      <c r="H491" s="15">
        <f>IF(I491&lt;&gt;0, G491-I491, "")</f>
        <v>0</v>
      </c>
      <c r="I491" s="15">
        <v>1</v>
      </c>
      <c r="J491" s="15"/>
      <c r="K491" s="12" t="s">
        <v>1372</v>
      </c>
      <c r="L491" s="15" t="s">
        <v>1004</v>
      </c>
      <c r="M491" s="15">
        <v>0.08</v>
      </c>
      <c r="N491" s="15">
        <v>100</v>
      </c>
      <c r="O491" s="15">
        <f>IF(I491*M491=0, "", I491*M491*(N491/100))</f>
        <v>0.08</v>
      </c>
      <c r="P491" s="38"/>
      <c r="Q491" s="38">
        <f>TRUNC(P491*M491*N491/100)</f>
        <v>0</v>
      </c>
      <c r="R491" s="38"/>
      <c r="S491" s="15" t="s">
        <v>1426</v>
      </c>
      <c r="T491" s="15"/>
      <c r="AA491" s="2">
        <f>O491</f>
        <v>0.08</v>
      </c>
    </row>
    <row r="492" spans="2:27" ht="21.95" customHeight="1" x14ac:dyDescent="0.15">
      <c r="B492" s="13" t="s">
        <v>1397</v>
      </c>
      <c r="C492" s="13" t="s">
        <v>1002</v>
      </c>
      <c r="D492" s="12" t="s">
        <v>1003</v>
      </c>
      <c r="E492" s="12" t="s">
        <v>1004</v>
      </c>
      <c r="F492" s="15" t="s">
        <v>999</v>
      </c>
      <c r="G492" s="15">
        <f>IF(H492*I492/100+0.000005 &lt;1, TRUNC(H492*I492/100+0.000005, 옵션!$E$13), TRUNC(H492*I492/100+0.000005, 옵션!$E$13))</f>
        <v>0.08</v>
      </c>
      <c r="H492" s="15">
        <f>옵션!$B$13</f>
        <v>100</v>
      </c>
      <c r="I492" s="15">
        <f>SUM(AA491:AA491)</f>
        <v>0.08</v>
      </c>
      <c r="J492" s="15"/>
      <c r="K492" s="12"/>
      <c r="L492" s="15"/>
      <c r="M492" s="15"/>
      <c r="N492" s="15"/>
      <c r="O492" s="15" t="str">
        <f>IF(I492*M492=0, "", I492*M492*(N492/100))</f>
        <v/>
      </c>
      <c r="P492" s="38"/>
      <c r="Q492" s="38">
        <f>TRUNC(P492*M492*N492/100)</f>
        <v>0</v>
      </c>
      <c r="R492" s="38"/>
      <c r="S492" s="15"/>
      <c r="T492" s="15"/>
      <c r="Z492" s="2" t="s">
        <v>1399</v>
      </c>
      <c r="AA492" s="2">
        <f>SUM(AA491:AA491)</f>
        <v>0.08</v>
      </c>
    </row>
    <row r="493" spans="2:27" ht="21.95" customHeight="1" x14ac:dyDescent="0.15">
      <c r="B493" s="13" t="s">
        <v>1448</v>
      </c>
      <c r="D493" s="170" t="s">
        <v>1593</v>
      </c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2"/>
    </row>
    <row r="494" spans="2:27" ht="21.95" customHeight="1" x14ac:dyDescent="0.15">
      <c r="B494" s="13" t="s">
        <v>1397</v>
      </c>
      <c r="C494" s="13" t="s">
        <v>706</v>
      </c>
      <c r="D494" s="12" t="s">
        <v>716</v>
      </c>
      <c r="E494" s="12" t="s">
        <v>718</v>
      </c>
      <c r="F494" s="15" t="s">
        <v>200</v>
      </c>
      <c r="G494" s="15">
        <v>1</v>
      </c>
      <c r="H494" s="15">
        <f>IF(I494&lt;&gt;0, G494-I494, "")</f>
        <v>0</v>
      </c>
      <c r="I494" s="15">
        <v>1</v>
      </c>
      <c r="J494" s="15"/>
      <c r="K494" s="12" t="s">
        <v>1372</v>
      </c>
      <c r="L494" s="15" t="s">
        <v>1004</v>
      </c>
      <c r="M494" s="15">
        <v>0.08</v>
      </c>
      <c r="N494" s="15">
        <v>100</v>
      </c>
      <c r="O494" s="15">
        <f>IF(I494*M494=0, "", I494*M494*(N494/100))</f>
        <v>0.08</v>
      </c>
      <c r="P494" s="38"/>
      <c r="Q494" s="38">
        <f>TRUNC(P494*M494*N494/100)</f>
        <v>0</v>
      </c>
      <c r="R494" s="38"/>
      <c r="S494" s="15" t="s">
        <v>1426</v>
      </c>
      <c r="T494" s="15"/>
      <c r="AA494" s="2">
        <f>O494</f>
        <v>0.08</v>
      </c>
    </row>
    <row r="495" spans="2:27" ht="21.95" customHeight="1" x14ac:dyDescent="0.15">
      <c r="B495" s="13" t="s">
        <v>1397</v>
      </c>
      <c r="C495" s="13" t="s">
        <v>1002</v>
      </c>
      <c r="D495" s="12" t="s">
        <v>1003</v>
      </c>
      <c r="E495" s="12" t="s">
        <v>1004</v>
      </c>
      <c r="F495" s="15" t="s">
        <v>999</v>
      </c>
      <c r="G495" s="15">
        <f>IF(H495*I495/100+0.000005 &lt;1, TRUNC(H495*I495/100+0.000005, 옵션!$E$13), TRUNC(H495*I495/100+0.000005, 옵션!$E$13))</f>
        <v>0.08</v>
      </c>
      <c r="H495" s="15">
        <f>옵션!$B$13</f>
        <v>100</v>
      </c>
      <c r="I495" s="15">
        <f>SUM(AA494:AA494)</f>
        <v>0.08</v>
      </c>
      <c r="J495" s="15"/>
      <c r="K495" s="12"/>
      <c r="L495" s="15"/>
      <c r="M495" s="15"/>
      <c r="N495" s="15"/>
      <c r="O495" s="15" t="str">
        <f>IF(I495*M495=0, "", I495*M495*(N495/100))</f>
        <v/>
      </c>
      <c r="P495" s="38"/>
      <c r="Q495" s="38">
        <f>TRUNC(P495*M495*N495/100)</f>
        <v>0</v>
      </c>
      <c r="R495" s="38"/>
      <c r="S495" s="15"/>
      <c r="T495" s="15"/>
      <c r="Z495" s="2" t="s">
        <v>1399</v>
      </c>
      <c r="AA495" s="2">
        <f>SUM(AA494:AA494)</f>
        <v>0.08</v>
      </c>
    </row>
    <row r="496" spans="2:27" ht="21.95" customHeight="1" x14ac:dyDescent="0.15">
      <c r="B496" s="13" t="s">
        <v>1448</v>
      </c>
      <c r="D496" s="170" t="s">
        <v>1594</v>
      </c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2"/>
    </row>
    <row r="497" spans="2:27" ht="21.95" customHeight="1" x14ac:dyDescent="0.15">
      <c r="B497" s="13" t="s">
        <v>1397</v>
      </c>
      <c r="C497" s="13" t="s">
        <v>706</v>
      </c>
      <c r="D497" s="12" t="s">
        <v>716</v>
      </c>
      <c r="E497" s="12" t="s">
        <v>719</v>
      </c>
      <c r="F497" s="15" t="s">
        <v>200</v>
      </c>
      <c r="G497" s="15">
        <v>1</v>
      </c>
      <c r="H497" s="15">
        <f>IF(I497&lt;&gt;0, G497-I497, "")</f>
        <v>0</v>
      </c>
      <c r="I497" s="15">
        <v>1</v>
      </c>
      <c r="J497" s="15"/>
      <c r="K497" s="12" t="s">
        <v>1372</v>
      </c>
      <c r="L497" s="15" t="s">
        <v>1004</v>
      </c>
      <c r="M497" s="15">
        <v>0.08</v>
      </c>
      <c r="N497" s="15">
        <v>100</v>
      </c>
      <c r="O497" s="15">
        <f>IF(I497*M497=0, "", I497*M497*(N497/100))</f>
        <v>0.08</v>
      </c>
      <c r="P497" s="38"/>
      <c r="Q497" s="38">
        <f>TRUNC(P497*M497*N497/100)</f>
        <v>0</v>
      </c>
      <c r="R497" s="38"/>
      <c r="S497" s="15" t="s">
        <v>1426</v>
      </c>
      <c r="T497" s="15"/>
      <c r="AA497" s="2">
        <f>O497</f>
        <v>0.08</v>
      </c>
    </row>
    <row r="498" spans="2:27" ht="21.95" customHeight="1" x14ac:dyDescent="0.15">
      <c r="B498" s="13" t="s">
        <v>1397</v>
      </c>
      <c r="C498" s="13" t="s">
        <v>1002</v>
      </c>
      <c r="D498" s="12" t="s">
        <v>1003</v>
      </c>
      <c r="E498" s="12" t="s">
        <v>1004</v>
      </c>
      <c r="F498" s="15" t="s">
        <v>999</v>
      </c>
      <c r="G498" s="15">
        <f>IF(H498*I498/100+0.000005 &lt;1, TRUNC(H498*I498/100+0.000005, 옵션!$E$13), TRUNC(H498*I498/100+0.000005, 옵션!$E$13))</f>
        <v>0.08</v>
      </c>
      <c r="H498" s="15">
        <f>옵션!$B$13</f>
        <v>100</v>
      </c>
      <c r="I498" s="15">
        <f>SUM(AA497:AA497)</f>
        <v>0.08</v>
      </c>
      <c r="J498" s="15"/>
      <c r="K498" s="12"/>
      <c r="L498" s="15"/>
      <c r="M498" s="15"/>
      <c r="N498" s="15"/>
      <c r="O498" s="15" t="str">
        <f>IF(I498*M498=0, "", I498*M498*(N498/100))</f>
        <v/>
      </c>
      <c r="P498" s="38"/>
      <c r="Q498" s="38">
        <f>TRUNC(P498*M498*N498/100)</f>
        <v>0</v>
      </c>
      <c r="R498" s="38"/>
      <c r="S498" s="15"/>
      <c r="T498" s="15"/>
      <c r="Z498" s="2" t="s">
        <v>1399</v>
      </c>
      <c r="AA498" s="2">
        <f>SUM(AA497:AA497)</f>
        <v>0.08</v>
      </c>
    </row>
    <row r="499" spans="2:27" ht="21.95" customHeight="1" x14ac:dyDescent="0.15">
      <c r="B499" s="13" t="s">
        <v>1448</v>
      </c>
      <c r="D499" s="170" t="s">
        <v>1595</v>
      </c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2"/>
    </row>
    <row r="500" spans="2:27" ht="21.95" customHeight="1" x14ac:dyDescent="0.15">
      <c r="B500" s="13" t="s">
        <v>1397</v>
      </c>
      <c r="C500" s="13" t="s">
        <v>706</v>
      </c>
      <c r="D500" s="12" t="s">
        <v>720</v>
      </c>
      <c r="E500" s="12" t="s">
        <v>717</v>
      </c>
      <c r="F500" s="15" t="s">
        <v>200</v>
      </c>
      <c r="G500" s="15">
        <v>1</v>
      </c>
      <c r="H500" s="15">
        <f>IF(I500&lt;&gt;0, G500-I500, "")</f>
        <v>0</v>
      </c>
      <c r="I500" s="15">
        <v>1</v>
      </c>
      <c r="J500" s="15"/>
      <c r="K500" s="12" t="s">
        <v>1372</v>
      </c>
      <c r="L500" s="15" t="s">
        <v>1004</v>
      </c>
      <c r="M500" s="15">
        <v>0.2</v>
      </c>
      <c r="N500" s="15">
        <v>90</v>
      </c>
      <c r="O500" s="15">
        <f>IF(I500*M500=0, "", I500*M500*(N500/100))</f>
        <v>0.18000000000000002</v>
      </c>
      <c r="P500" s="38"/>
      <c r="Q500" s="38">
        <f>TRUNC(P500*M500*N500/100)</f>
        <v>0</v>
      </c>
      <c r="R500" s="38"/>
      <c r="S500" s="15" t="s">
        <v>1413</v>
      </c>
      <c r="T500" s="15"/>
      <c r="AA500" s="2">
        <f>O500</f>
        <v>0.18000000000000002</v>
      </c>
    </row>
    <row r="501" spans="2:27" ht="21.95" customHeight="1" x14ac:dyDescent="0.15">
      <c r="B501" s="13" t="s">
        <v>1397</v>
      </c>
      <c r="C501" s="13" t="s">
        <v>1002</v>
      </c>
      <c r="D501" s="12" t="s">
        <v>1003</v>
      </c>
      <c r="E501" s="12" t="s">
        <v>1004</v>
      </c>
      <c r="F501" s="15" t="s">
        <v>999</v>
      </c>
      <c r="G501" s="15">
        <f>IF(H501*I501/100+0.000005 &lt;1, TRUNC(H501*I501/100+0.000005, 옵션!$E$13), TRUNC(H501*I501/100+0.000005, 옵션!$E$13))</f>
        <v>0.18</v>
      </c>
      <c r="H501" s="15">
        <f>옵션!$B$13</f>
        <v>100</v>
      </c>
      <c r="I501" s="15">
        <f>SUM(AA500:AA500)</f>
        <v>0.18000000000000002</v>
      </c>
      <c r="J501" s="15"/>
      <c r="K501" s="12"/>
      <c r="L501" s="15"/>
      <c r="M501" s="15"/>
      <c r="N501" s="15"/>
      <c r="O501" s="15" t="str">
        <f>IF(I501*M501=0, "", I501*M501*(N501/100))</f>
        <v/>
      </c>
      <c r="P501" s="38"/>
      <c r="Q501" s="38">
        <f>TRUNC(P501*M501*N501/100)</f>
        <v>0</v>
      </c>
      <c r="R501" s="38"/>
      <c r="S501" s="15"/>
      <c r="T501" s="15"/>
      <c r="Z501" s="2" t="s">
        <v>1399</v>
      </c>
      <c r="AA501" s="2">
        <f>SUM(AA500:AA500)</f>
        <v>0.18000000000000002</v>
      </c>
    </row>
    <row r="502" spans="2:27" ht="21.95" customHeight="1" x14ac:dyDescent="0.15">
      <c r="B502" s="13" t="s">
        <v>1448</v>
      </c>
      <c r="D502" s="170" t="s">
        <v>1596</v>
      </c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2"/>
    </row>
    <row r="503" spans="2:27" ht="21.95" customHeight="1" x14ac:dyDescent="0.15">
      <c r="B503" s="13" t="s">
        <v>1397</v>
      </c>
      <c r="C503" s="13" t="s">
        <v>706</v>
      </c>
      <c r="D503" s="12" t="s">
        <v>720</v>
      </c>
      <c r="E503" s="12" t="s">
        <v>718</v>
      </c>
      <c r="F503" s="15" t="s">
        <v>200</v>
      </c>
      <c r="G503" s="15">
        <v>1</v>
      </c>
      <c r="H503" s="15">
        <f>IF(I503&lt;&gt;0, G503-I503, "")</f>
        <v>0</v>
      </c>
      <c r="I503" s="15">
        <v>1</v>
      </c>
      <c r="J503" s="15"/>
      <c r="K503" s="12" t="s">
        <v>1372</v>
      </c>
      <c r="L503" s="15" t="s">
        <v>1004</v>
      </c>
      <c r="M503" s="15">
        <v>0.2</v>
      </c>
      <c r="N503" s="15">
        <v>90</v>
      </c>
      <c r="O503" s="15">
        <f>IF(I503*M503=0, "", I503*M503*(N503/100))</f>
        <v>0.18000000000000002</v>
      </c>
      <c r="P503" s="38"/>
      <c r="Q503" s="38">
        <f>TRUNC(P503*M503*N503/100)</f>
        <v>0</v>
      </c>
      <c r="R503" s="38"/>
      <c r="S503" s="15" t="s">
        <v>1413</v>
      </c>
      <c r="T503" s="15"/>
      <c r="AA503" s="2">
        <f>O503</f>
        <v>0.18000000000000002</v>
      </c>
    </row>
    <row r="504" spans="2:27" ht="21.95" customHeight="1" x14ac:dyDescent="0.15">
      <c r="B504" s="13" t="s">
        <v>1397</v>
      </c>
      <c r="C504" s="13" t="s">
        <v>1002</v>
      </c>
      <c r="D504" s="12" t="s">
        <v>1003</v>
      </c>
      <c r="E504" s="12" t="s">
        <v>1004</v>
      </c>
      <c r="F504" s="15" t="s">
        <v>999</v>
      </c>
      <c r="G504" s="15">
        <f>IF(H504*I504/100+0.000005 &lt;1, TRUNC(H504*I504/100+0.000005, 옵션!$E$13), TRUNC(H504*I504/100+0.000005, 옵션!$E$13))</f>
        <v>0.18</v>
      </c>
      <c r="H504" s="15">
        <f>옵션!$B$13</f>
        <v>100</v>
      </c>
      <c r="I504" s="15">
        <f>SUM(AA503:AA503)</f>
        <v>0.18000000000000002</v>
      </c>
      <c r="J504" s="15"/>
      <c r="K504" s="12"/>
      <c r="L504" s="15"/>
      <c r="M504" s="15"/>
      <c r="N504" s="15"/>
      <c r="O504" s="15" t="str">
        <f>IF(I504*M504=0, "", I504*M504*(N504/100))</f>
        <v/>
      </c>
      <c r="P504" s="38"/>
      <c r="Q504" s="38">
        <f>TRUNC(P504*M504*N504/100)</f>
        <v>0</v>
      </c>
      <c r="R504" s="38"/>
      <c r="S504" s="15"/>
      <c r="T504" s="15"/>
      <c r="Z504" s="2" t="s">
        <v>1399</v>
      </c>
      <c r="AA504" s="2">
        <f>SUM(AA503:AA503)</f>
        <v>0.18000000000000002</v>
      </c>
    </row>
    <row r="505" spans="2:27" ht="21.95" customHeight="1" x14ac:dyDescent="0.15">
      <c r="B505" s="13" t="s">
        <v>1448</v>
      </c>
      <c r="D505" s="170" t="s">
        <v>1597</v>
      </c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2"/>
    </row>
    <row r="506" spans="2:27" ht="21.95" customHeight="1" x14ac:dyDescent="0.15">
      <c r="B506" s="13" t="s">
        <v>1397</v>
      </c>
      <c r="C506" s="13" t="s">
        <v>706</v>
      </c>
      <c r="D506" s="12" t="s">
        <v>720</v>
      </c>
      <c r="E506" s="12" t="s">
        <v>719</v>
      </c>
      <c r="F506" s="15" t="s">
        <v>200</v>
      </c>
      <c r="G506" s="15">
        <v>1</v>
      </c>
      <c r="H506" s="15">
        <f>IF(I506&lt;&gt;0, G506-I506, "")</f>
        <v>0</v>
      </c>
      <c r="I506" s="15">
        <v>1</v>
      </c>
      <c r="J506" s="15"/>
      <c r="K506" s="12" t="s">
        <v>1372</v>
      </c>
      <c r="L506" s="15" t="s">
        <v>1004</v>
      </c>
      <c r="M506" s="15">
        <v>0.2</v>
      </c>
      <c r="N506" s="15">
        <v>90</v>
      </c>
      <c r="O506" s="15">
        <f>IF(I506*M506=0, "", I506*M506*(N506/100))</f>
        <v>0.18000000000000002</v>
      </c>
      <c r="P506" s="38"/>
      <c r="Q506" s="38">
        <f>TRUNC(P506*M506*N506/100)</f>
        <v>0</v>
      </c>
      <c r="R506" s="38"/>
      <c r="S506" s="15" t="s">
        <v>1413</v>
      </c>
      <c r="T506" s="15"/>
      <c r="AA506" s="2">
        <f>O506</f>
        <v>0.18000000000000002</v>
      </c>
    </row>
    <row r="507" spans="2:27" ht="21.95" customHeight="1" x14ac:dyDescent="0.15">
      <c r="B507" s="13" t="s">
        <v>1397</v>
      </c>
      <c r="C507" s="13" t="s">
        <v>1002</v>
      </c>
      <c r="D507" s="12" t="s">
        <v>1003</v>
      </c>
      <c r="E507" s="12" t="s">
        <v>1004</v>
      </c>
      <c r="F507" s="15" t="s">
        <v>999</v>
      </c>
      <c r="G507" s="15">
        <f>IF(H507*I507/100+0.000005 &lt;1, TRUNC(H507*I507/100+0.000005, 옵션!$E$13), TRUNC(H507*I507/100+0.000005, 옵션!$E$13))</f>
        <v>0.18</v>
      </c>
      <c r="H507" s="15">
        <f>옵션!$B$13</f>
        <v>100</v>
      </c>
      <c r="I507" s="15">
        <f>SUM(AA506:AA506)</f>
        <v>0.18000000000000002</v>
      </c>
      <c r="J507" s="15"/>
      <c r="K507" s="12"/>
      <c r="L507" s="15"/>
      <c r="M507" s="15"/>
      <c r="N507" s="15"/>
      <c r="O507" s="15" t="str">
        <f>IF(I507*M507=0, "", I507*M507*(N507/100))</f>
        <v/>
      </c>
      <c r="P507" s="38"/>
      <c r="Q507" s="38">
        <f>TRUNC(P507*M507*N507/100)</f>
        <v>0</v>
      </c>
      <c r="R507" s="38"/>
      <c r="S507" s="15"/>
      <c r="T507" s="15"/>
      <c r="Z507" s="2" t="s">
        <v>1399</v>
      </c>
      <c r="AA507" s="2">
        <f>SUM(AA506:AA506)</f>
        <v>0.18000000000000002</v>
      </c>
    </row>
    <row r="508" spans="2:27" ht="21.95" customHeight="1" x14ac:dyDescent="0.15">
      <c r="B508" s="13" t="s">
        <v>1448</v>
      </c>
      <c r="D508" s="170" t="s">
        <v>1598</v>
      </c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2"/>
    </row>
    <row r="509" spans="2:27" ht="21.95" customHeight="1" x14ac:dyDescent="0.15">
      <c r="B509" s="13" t="s">
        <v>1397</v>
      </c>
      <c r="C509" s="13" t="s">
        <v>706</v>
      </c>
      <c r="D509" s="12" t="s">
        <v>722</v>
      </c>
      <c r="E509" s="12" t="s">
        <v>717</v>
      </c>
      <c r="F509" s="15" t="s">
        <v>200</v>
      </c>
      <c r="G509" s="15">
        <v>1</v>
      </c>
      <c r="H509" s="15">
        <f>IF(I509&lt;&gt;0, G509-I509, "")</f>
        <v>0</v>
      </c>
      <c r="I509" s="15">
        <v>1</v>
      </c>
      <c r="J509" s="15"/>
      <c r="K509" s="12" t="s">
        <v>1372</v>
      </c>
      <c r="L509" s="15" t="s">
        <v>1004</v>
      </c>
      <c r="M509" s="15">
        <v>0.2</v>
      </c>
      <c r="N509" s="15">
        <v>90</v>
      </c>
      <c r="O509" s="15">
        <f>IF(I509*M509=0, "", I509*M509*(N509/100))</f>
        <v>0.18000000000000002</v>
      </c>
      <c r="P509" s="38"/>
      <c r="Q509" s="38">
        <f>TRUNC(P509*M509*N509/100)</f>
        <v>0</v>
      </c>
      <c r="R509" s="38"/>
      <c r="S509" s="15" t="s">
        <v>1413</v>
      </c>
      <c r="T509" s="15"/>
      <c r="AA509" s="2">
        <f>O509</f>
        <v>0.18000000000000002</v>
      </c>
    </row>
    <row r="510" spans="2:27" ht="21.95" customHeight="1" x14ac:dyDescent="0.15">
      <c r="B510" s="13" t="s">
        <v>1397</v>
      </c>
      <c r="C510" s="13" t="s">
        <v>1002</v>
      </c>
      <c r="D510" s="12" t="s">
        <v>1003</v>
      </c>
      <c r="E510" s="12" t="s">
        <v>1004</v>
      </c>
      <c r="F510" s="15" t="s">
        <v>999</v>
      </c>
      <c r="G510" s="15">
        <f>IF(H510*I510/100+0.000005 &lt;1, TRUNC(H510*I510/100+0.000005, 옵션!$E$13), TRUNC(H510*I510/100+0.000005, 옵션!$E$13))</f>
        <v>0.18</v>
      </c>
      <c r="H510" s="15">
        <f>옵션!$B$13</f>
        <v>100</v>
      </c>
      <c r="I510" s="15">
        <f>SUM(AA509:AA509)</f>
        <v>0.18000000000000002</v>
      </c>
      <c r="J510" s="15"/>
      <c r="K510" s="12"/>
      <c r="L510" s="15"/>
      <c r="M510" s="15"/>
      <c r="N510" s="15"/>
      <c r="O510" s="15" t="str">
        <f>IF(I510*M510=0, "", I510*M510*(N510/100))</f>
        <v/>
      </c>
      <c r="P510" s="38"/>
      <c r="Q510" s="38">
        <f>TRUNC(P510*M510*N510/100)</f>
        <v>0</v>
      </c>
      <c r="R510" s="38"/>
      <c r="S510" s="15"/>
      <c r="T510" s="15"/>
      <c r="Z510" s="2" t="s">
        <v>1399</v>
      </c>
      <c r="AA510" s="2">
        <f>SUM(AA509:AA509)</f>
        <v>0.18000000000000002</v>
      </c>
    </row>
    <row r="511" spans="2:27" ht="21.95" customHeight="1" x14ac:dyDescent="0.15">
      <c r="B511" s="13" t="s">
        <v>1448</v>
      </c>
      <c r="D511" s="170" t="s">
        <v>1599</v>
      </c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2"/>
    </row>
    <row r="512" spans="2:27" ht="21.95" customHeight="1" x14ac:dyDescent="0.15">
      <c r="B512" s="13" t="s">
        <v>1397</v>
      </c>
      <c r="C512" s="13" t="s">
        <v>706</v>
      </c>
      <c r="D512" s="12" t="s">
        <v>722</v>
      </c>
      <c r="E512" s="12" t="s">
        <v>719</v>
      </c>
      <c r="F512" s="15" t="s">
        <v>200</v>
      </c>
      <c r="G512" s="15">
        <v>1</v>
      </c>
      <c r="H512" s="15">
        <f>IF(I512&lt;&gt;0, G512-I512, "")</f>
        <v>0</v>
      </c>
      <c r="I512" s="15">
        <v>1</v>
      </c>
      <c r="J512" s="15"/>
      <c r="K512" s="12" t="s">
        <v>1372</v>
      </c>
      <c r="L512" s="15" t="s">
        <v>1004</v>
      </c>
      <c r="M512" s="15">
        <v>0.2</v>
      </c>
      <c r="N512" s="15">
        <v>90</v>
      </c>
      <c r="O512" s="15">
        <f>IF(I512*M512=0, "", I512*M512*(N512/100))</f>
        <v>0.18000000000000002</v>
      </c>
      <c r="P512" s="38"/>
      <c r="Q512" s="38">
        <f>TRUNC(P512*M512*N512/100)</f>
        <v>0</v>
      </c>
      <c r="R512" s="38"/>
      <c r="S512" s="15" t="s">
        <v>1413</v>
      </c>
      <c r="T512" s="15"/>
      <c r="AA512" s="2">
        <f>O512</f>
        <v>0.18000000000000002</v>
      </c>
    </row>
    <row r="513" spans="2:34" ht="21.95" customHeight="1" x14ac:dyDescent="0.15">
      <c r="B513" s="13" t="s">
        <v>1397</v>
      </c>
      <c r="C513" s="13" t="s">
        <v>1002</v>
      </c>
      <c r="D513" s="12" t="s">
        <v>1003</v>
      </c>
      <c r="E513" s="12" t="s">
        <v>1004</v>
      </c>
      <c r="F513" s="15" t="s">
        <v>999</v>
      </c>
      <c r="G513" s="15">
        <f>IF(H513*I513/100+0.000005 &lt;1, TRUNC(H513*I513/100+0.000005, 옵션!$E$13), TRUNC(H513*I513/100+0.000005, 옵션!$E$13))</f>
        <v>0.18</v>
      </c>
      <c r="H513" s="15">
        <f>옵션!$B$13</f>
        <v>100</v>
      </c>
      <c r="I513" s="15">
        <f>SUM(AA512:AA512)</f>
        <v>0.18000000000000002</v>
      </c>
      <c r="J513" s="15"/>
      <c r="K513" s="12"/>
      <c r="L513" s="15"/>
      <c r="M513" s="15"/>
      <c r="N513" s="15"/>
      <c r="O513" s="15" t="str">
        <f>IF(I513*M513=0, "", I513*M513*(N513/100))</f>
        <v/>
      </c>
      <c r="P513" s="38"/>
      <c r="Q513" s="38">
        <f>TRUNC(P513*M513*N513/100)</f>
        <v>0</v>
      </c>
      <c r="R513" s="38"/>
      <c r="S513" s="15"/>
      <c r="T513" s="15"/>
      <c r="Z513" s="2" t="s">
        <v>1399</v>
      </c>
      <c r="AA513" s="2">
        <f>SUM(AA512:AA512)</f>
        <v>0.18000000000000002</v>
      </c>
    </row>
    <row r="514" spans="2:34" ht="21.95" customHeight="1" x14ac:dyDescent="0.15">
      <c r="B514" s="13" t="s">
        <v>1448</v>
      </c>
      <c r="D514" s="170" t="s">
        <v>1600</v>
      </c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2"/>
    </row>
    <row r="515" spans="2:34" ht="21.95" customHeight="1" x14ac:dyDescent="0.15">
      <c r="B515" s="13" t="s">
        <v>1397</v>
      </c>
      <c r="C515" s="13" t="s">
        <v>706</v>
      </c>
      <c r="D515" s="12" t="s">
        <v>519</v>
      </c>
      <c r="E515" s="12" t="s">
        <v>723</v>
      </c>
      <c r="F515" s="15" t="s">
        <v>200</v>
      </c>
      <c r="G515" s="15">
        <v>1</v>
      </c>
      <c r="H515" s="15">
        <f>IF(I515&lt;&gt;0, G515-I515, "")</f>
        <v>0</v>
      </c>
      <c r="I515" s="15">
        <v>1</v>
      </c>
      <c r="J515" s="15"/>
      <c r="K515" s="12" t="s">
        <v>1372</v>
      </c>
      <c r="L515" s="15" t="s">
        <v>1004</v>
      </c>
      <c r="M515" s="15">
        <v>0.08</v>
      </c>
      <c r="N515" s="15">
        <v>100</v>
      </c>
      <c r="O515" s="15">
        <f>IF(I515*M515=0, "", I515*M515*(N515/100))</f>
        <v>0.08</v>
      </c>
      <c r="P515" s="38"/>
      <c r="Q515" s="38">
        <f>TRUNC(P515*M515*N515/100)</f>
        <v>0</v>
      </c>
      <c r="R515" s="38"/>
      <c r="S515" s="15" t="s">
        <v>1426</v>
      </c>
      <c r="T515" s="15"/>
      <c r="AA515" s="2">
        <f>O515</f>
        <v>0.08</v>
      </c>
    </row>
    <row r="516" spans="2:34" ht="21.95" customHeight="1" x14ac:dyDescent="0.15">
      <c r="B516" s="13" t="s">
        <v>1397</v>
      </c>
      <c r="C516" s="13" t="s">
        <v>1002</v>
      </c>
      <c r="D516" s="12" t="s">
        <v>1003</v>
      </c>
      <c r="E516" s="12" t="s">
        <v>1004</v>
      </c>
      <c r="F516" s="15" t="s">
        <v>999</v>
      </c>
      <c r="G516" s="15">
        <f>IF(H516*I516/100+0.000005 &lt;1, TRUNC(H516*I516/100+0.000005, 옵션!$E$13), TRUNC(H516*I516/100+0.000005, 옵션!$E$13))</f>
        <v>0.08</v>
      </c>
      <c r="H516" s="15">
        <f>옵션!$B$13</f>
        <v>100</v>
      </c>
      <c r="I516" s="15">
        <f>SUM(AA515:AA515)</f>
        <v>0.08</v>
      </c>
      <c r="J516" s="15"/>
      <c r="K516" s="12"/>
      <c r="L516" s="15"/>
      <c r="M516" s="15"/>
      <c r="N516" s="15"/>
      <c r="O516" s="15" t="str">
        <f>IF(I516*M516=0, "", I516*M516*(N516/100))</f>
        <v/>
      </c>
      <c r="P516" s="38"/>
      <c r="Q516" s="38">
        <f>TRUNC(P516*M516*N516/100)</f>
        <v>0</v>
      </c>
      <c r="R516" s="38"/>
      <c r="S516" s="15"/>
      <c r="T516" s="15"/>
      <c r="Z516" s="2" t="s">
        <v>1399</v>
      </c>
      <c r="AA516" s="2">
        <f>SUM(AA515:AA515)</f>
        <v>0.08</v>
      </c>
    </row>
    <row r="517" spans="2:34" ht="21.95" customHeight="1" x14ac:dyDescent="0.15">
      <c r="B517" s="13" t="s">
        <v>1448</v>
      </c>
      <c r="D517" s="170" t="s">
        <v>1601</v>
      </c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2"/>
    </row>
    <row r="518" spans="2:34" ht="21.95" customHeight="1" x14ac:dyDescent="0.15">
      <c r="B518" s="13" t="s">
        <v>1397</v>
      </c>
      <c r="C518" s="13" t="s">
        <v>706</v>
      </c>
      <c r="D518" s="12" t="s">
        <v>724</v>
      </c>
      <c r="E518" s="12" t="s">
        <v>725</v>
      </c>
      <c r="F518" s="15" t="s">
        <v>200</v>
      </c>
      <c r="G518" s="15">
        <v>1</v>
      </c>
      <c r="H518" s="15">
        <f>IF(I518&lt;&gt;0, G518-I518, "")</f>
        <v>0</v>
      </c>
      <c r="I518" s="15">
        <v>1</v>
      </c>
      <c r="J518" s="15"/>
      <c r="K518" s="12" t="s">
        <v>1372</v>
      </c>
      <c r="L518" s="15" t="s">
        <v>1004</v>
      </c>
      <c r="M518" s="15">
        <v>0.2</v>
      </c>
      <c r="N518" s="15">
        <v>90</v>
      </c>
      <c r="O518" s="15">
        <f>IF(I518*M518=0, "", I518*M518*(N518/100))</f>
        <v>0.18000000000000002</v>
      </c>
      <c r="P518" s="38"/>
      <c r="Q518" s="38">
        <f>TRUNC(P518*M518*N518/100)</f>
        <v>0</v>
      </c>
      <c r="R518" s="38"/>
      <c r="S518" s="15" t="s">
        <v>1413</v>
      </c>
      <c r="T518" s="15"/>
      <c r="AA518" s="2">
        <f>O518</f>
        <v>0.18000000000000002</v>
      </c>
    </row>
    <row r="519" spans="2:34" ht="21.95" customHeight="1" x14ac:dyDescent="0.15">
      <c r="B519" s="13" t="s">
        <v>1397</v>
      </c>
      <c r="C519" s="13" t="s">
        <v>1002</v>
      </c>
      <c r="D519" s="12" t="s">
        <v>1003</v>
      </c>
      <c r="E519" s="12" t="s">
        <v>1004</v>
      </c>
      <c r="F519" s="15" t="s">
        <v>999</v>
      </c>
      <c r="G519" s="15">
        <f>IF(H519*I519/100+0.000005 &lt;1, TRUNC(H519*I519/100+0.000005, 옵션!$E$13), TRUNC(H519*I519/100+0.000005, 옵션!$E$13))</f>
        <v>0.18</v>
      </c>
      <c r="H519" s="15">
        <f>옵션!$B$13</f>
        <v>100</v>
      </c>
      <c r="I519" s="15">
        <f>SUM(AA518:AA518)</f>
        <v>0.18000000000000002</v>
      </c>
      <c r="J519" s="15"/>
      <c r="K519" s="12"/>
      <c r="L519" s="15"/>
      <c r="M519" s="15"/>
      <c r="N519" s="15"/>
      <c r="O519" s="15" t="str">
        <f>IF(I519*M519=0, "", I519*M519*(N519/100))</f>
        <v/>
      </c>
      <c r="P519" s="38"/>
      <c r="Q519" s="38">
        <f>TRUNC(P519*M519*N519/100)</f>
        <v>0</v>
      </c>
      <c r="R519" s="38"/>
      <c r="S519" s="15"/>
      <c r="T519" s="15"/>
      <c r="Z519" s="2" t="s">
        <v>1399</v>
      </c>
      <c r="AA519" s="2">
        <f>SUM(AA518:AA518)</f>
        <v>0.18000000000000002</v>
      </c>
    </row>
    <row r="520" spans="2:34" ht="21.95" customHeight="1" x14ac:dyDescent="0.15">
      <c r="B520" s="13" t="s">
        <v>1448</v>
      </c>
      <c r="D520" s="170" t="s">
        <v>1602</v>
      </c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2"/>
    </row>
    <row r="521" spans="2:34" ht="21.95" customHeight="1" x14ac:dyDescent="0.15">
      <c r="B521" s="13" t="s">
        <v>1397</v>
      </c>
      <c r="C521" s="13" t="s">
        <v>706</v>
      </c>
      <c r="D521" s="12" t="s">
        <v>724</v>
      </c>
      <c r="E521" s="12" t="s">
        <v>726</v>
      </c>
      <c r="F521" s="15" t="s">
        <v>200</v>
      </c>
      <c r="G521" s="15">
        <v>1</v>
      </c>
      <c r="H521" s="15">
        <f>IF(I521&lt;&gt;0, G521-I521, "")</f>
        <v>0</v>
      </c>
      <c r="I521" s="15">
        <v>1</v>
      </c>
      <c r="J521" s="15"/>
      <c r="K521" s="12" t="s">
        <v>1372</v>
      </c>
      <c r="L521" s="15" t="s">
        <v>1004</v>
      </c>
      <c r="M521" s="15">
        <v>0.2</v>
      </c>
      <c r="N521" s="15">
        <v>90</v>
      </c>
      <c r="O521" s="15">
        <f>IF(I521*M521=0, "", I521*M521*(N521/100))</f>
        <v>0.18000000000000002</v>
      </c>
      <c r="P521" s="38"/>
      <c r="Q521" s="38">
        <f>TRUNC(P521*M521*N521/100)</f>
        <v>0</v>
      </c>
      <c r="R521" s="38"/>
      <c r="S521" s="15" t="s">
        <v>1413</v>
      </c>
      <c r="T521" s="15"/>
      <c r="AA521" s="2">
        <f>O521</f>
        <v>0.18000000000000002</v>
      </c>
    </row>
    <row r="522" spans="2:34" ht="21.95" customHeight="1" x14ac:dyDescent="0.15">
      <c r="B522" s="13" t="s">
        <v>1397</v>
      </c>
      <c r="C522" s="13" t="s">
        <v>1002</v>
      </c>
      <c r="D522" s="12" t="s">
        <v>1003</v>
      </c>
      <c r="E522" s="12" t="s">
        <v>1004</v>
      </c>
      <c r="F522" s="15" t="s">
        <v>999</v>
      </c>
      <c r="G522" s="15">
        <f>IF(H522*I522/100+0.000005 &lt;1, TRUNC(H522*I522/100+0.000005, 옵션!$E$13), TRUNC(H522*I522/100+0.000005, 옵션!$E$13))</f>
        <v>0.18</v>
      </c>
      <c r="H522" s="15">
        <f>옵션!$B$13</f>
        <v>100</v>
      </c>
      <c r="I522" s="15">
        <f>SUM(AA521:AA521)</f>
        <v>0.18000000000000002</v>
      </c>
      <c r="J522" s="15"/>
      <c r="K522" s="12"/>
      <c r="L522" s="15"/>
      <c r="M522" s="15"/>
      <c r="N522" s="15"/>
      <c r="O522" s="15" t="str">
        <f>IF(I522*M522=0, "", I522*M522*(N522/100))</f>
        <v/>
      </c>
      <c r="P522" s="38"/>
      <c r="Q522" s="38">
        <f>TRUNC(P522*M522*N522/100)</f>
        <v>0</v>
      </c>
      <c r="R522" s="38"/>
      <c r="S522" s="15"/>
      <c r="T522" s="15"/>
      <c r="Z522" s="2" t="s">
        <v>1399</v>
      </c>
      <c r="AA522" s="2">
        <f>SUM(AA521:AA521)</f>
        <v>0.18000000000000002</v>
      </c>
    </row>
    <row r="523" spans="2:34" ht="21.95" customHeight="1" x14ac:dyDescent="0.15">
      <c r="B523" s="13" t="s">
        <v>1448</v>
      </c>
      <c r="D523" s="170" t="s">
        <v>1603</v>
      </c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2"/>
    </row>
    <row r="524" spans="2:34" ht="21.95" customHeight="1" x14ac:dyDescent="0.15">
      <c r="B524" s="13" t="s">
        <v>1397</v>
      </c>
      <c r="C524" s="13" t="s">
        <v>727</v>
      </c>
      <c r="D524" s="12" t="s">
        <v>728</v>
      </c>
      <c r="E524" s="12" t="s">
        <v>729</v>
      </c>
      <c r="F524" s="15" t="s">
        <v>166</v>
      </c>
      <c r="G524" s="15">
        <v>1</v>
      </c>
      <c r="H524" s="15">
        <f>IF(I524&lt;&gt;0, G524-I524, "")</f>
        <v>0</v>
      </c>
      <c r="I524" s="15">
        <v>1</v>
      </c>
      <c r="J524" s="15"/>
      <c r="K524" s="12" t="s">
        <v>1372</v>
      </c>
      <c r="L524" s="15" t="s">
        <v>1004</v>
      </c>
      <c r="M524" s="15">
        <v>1.7999999999999999E-2</v>
      </c>
      <c r="N524" s="15">
        <v>100</v>
      </c>
      <c r="O524" s="15">
        <f>IF(I524*M524=0, "", I524*M524*(N524/100))</f>
        <v>1.7999999999999999E-2</v>
      </c>
      <c r="P524" s="38"/>
      <c r="Q524" s="38">
        <f>TRUNC(P524*M524*N524/100)</f>
        <v>0</v>
      </c>
      <c r="R524" s="38"/>
      <c r="S524" s="15" t="s">
        <v>1432</v>
      </c>
      <c r="T524" s="15"/>
      <c r="AA524" s="2">
        <f>O524</f>
        <v>1.7999999999999999E-2</v>
      </c>
    </row>
    <row r="525" spans="2:34" ht="21.95" customHeight="1" x14ac:dyDescent="0.15">
      <c r="B525" s="13" t="s">
        <v>1397</v>
      </c>
      <c r="C525" s="13" t="s">
        <v>727</v>
      </c>
      <c r="D525" s="12"/>
      <c r="E525" s="12"/>
      <c r="F525" s="15"/>
      <c r="G525" s="15">
        <v>1</v>
      </c>
      <c r="H525" s="15">
        <f>IF(I525&lt;&gt;0, G525-I525, "")</f>
        <v>0</v>
      </c>
      <c r="I525" s="15">
        <v>1</v>
      </c>
      <c r="J525" s="15"/>
      <c r="K525" s="12" t="s">
        <v>1379</v>
      </c>
      <c r="L525" s="15" t="s">
        <v>1018</v>
      </c>
      <c r="M525" s="15">
        <v>0.01</v>
      </c>
      <c r="N525" s="15">
        <v>100</v>
      </c>
      <c r="O525" s="15">
        <f>IF(I525*M525=0, "", I525*M525*(N525/100))</f>
        <v>0.01</v>
      </c>
      <c r="P525" s="38"/>
      <c r="Q525" s="38">
        <f>TRUNC(P525*M525*N525/100)</f>
        <v>0</v>
      </c>
      <c r="R525" s="38"/>
      <c r="S525" s="15" t="s">
        <v>1432</v>
      </c>
      <c r="T525" s="15"/>
      <c r="AH525" s="2">
        <f>O525</f>
        <v>0.01</v>
      </c>
    </row>
    <row r="526" spans="2:34" ht="21.95" customHeight="1" x14ac:dyDescent="0.15">
      <c r="B526" s="13" t="s">
        <v>1397</v>
      </c>
      <c r="C526" s="13" t="s">
        <v>1002</v>
      </c>
      <c r="D526" s="12" t="s">
        <v>1003</v>
      </c>
      <c r="E526" s="12" t="s">
        <v>1004</v>
      </c>
      <c r="F526" s="15" t="s">
        <v>999</v>
      </c>
      <c r="G526" s="15">
        <f>IF(H526*I526/100+0.000005 &lt;1, TRUNC(H526*I526/100+0.000005, 옵션!$E$13), TRUNC(H526*I526/100+0.000005, 옵션!$E$13))</f>
        <v>1.7999999999999999E-2</v>
      </c>
      <c r="H526" s="15">
        <f>옵션!$B$13</f>
        <v>100</v>
      </c>
      <c r="I526" s="15">
        <f>SUM(AA524:AA525)</f>
        <v>1.7999999999999999E-2</v>
      </c>
      <c r="J526" s="15"/>
      <c r="K526" s="12"/>
      <c r="L526" s="15"/>
      <c r="M526" s="15"/>
      <c r="N526" s="15"/>
      <c r="O526" s="15" t="str">
        <f>IF(I526*M526=0, "", I526*M526*(N526/100))</f>
        <v/>
      </c>
      <c r="P526" s="38"/>
      <c r="Q526" s="38">
        <f>TRUNC(P526*M526*N526/100)</f>
        <v>0</v>
      </c>
      <c r="R526" s="38"/>
      <c r="S526" s="15"/>
      <c r="T526" s="15"/>
      <c r="Z526" s="2" t="s">
        <v>1399</v>
      </c>
      <c r="AA526" s="2">
        <f>SUM(AA524:AA525)</f>
        <v>1.7999999999999999E-2</v>
      </c>
      <c r="AH526" s="2">
        <f>SUM(AH524:AH525)</f>
        <v>0.01</v>
      </c>
    </row>
    <row r="527" spans="2:34" ht="21.95" customHeight="1" x14ac:dyDescent="0.15">
      <c r="B527" s="13" t="s">
        <v>1397</v>
      </c>
      <c r="C527" s="13" t="s">
        <v>1017</v>
      </c>
      <c r="D527" s="12" t="s">
        <v>1003</v>
      </c>
      <c r="E527" s="12" t="s">
        <v>1018</v>
      </c>
      <c r="F527" s="15" t="s">
        <v>999</v>
      </c>
      <c r="G527" s="15">
        <f>IF(H527*I527/100+0.000005 &lt;1, TRUNC(H527*I527/100+0.000005, 옵션!$E$13), TRUNC(H527*I527/100+0.000005, 옵션!$E$13))</f>
        <v>0.01</v>
      </c>
      <c r="H527" s="15">
        <f>옵션!$B$13</f>
        <v>100</v>
      </c>
      <c r="I527" s="15">
        <f>SUM(AH524:AH525)</f>
        <v>0.01</v>
      </c>
      <c r="J527" s="15"/>
      <c r="K527" s="12"/>
      <c r="L527" s="15"/>
      <c r="M527" s="15"/>
      <c r="N527" s="15"/>
      <c r="O527" s="15" t="str">
        <f>IF(I527*M527=0, "", I527*M527*(N527/100))</f>
        <v/>
      </c>
      <c r="P527" s="38"/>
      <c r="Q527" s="38">
        <f>TRUNC(P527*M527*N527/100)</f>
        <v>0</v>
      </c>
      <c r="R527" s="38"/>
      <c r="S527" s="15"/>
      <c r="T527" s="15"/>
    </row>
    <row r="528" spans="2:34" ht="21.95" customHeight="1" x14ac:dyDescent="0.15">
      <c r="B528" s="13" t="s">
        <v>1448</v>
      </c>
      <c r="D528" s="170" t="s">
        <v>1604</v>
      </c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2"/>
    </row>
    <row r="529" spans="2:27" ht="21.95" customHeight="1" x14ac:dyDescent="0.15">
      <c r="B529" s="13" t="s">
        <v>1397</v>
      </c>
      <c r="C529" s="13" t="s">
        <v>706</v>
      </c>
      <c r="D529" s="12" t="s">
        <v>732</v>
      </c>
      <c r="E529" s="12"/>
      <c r="F529" s="15" t="s">
        <v>289</v>
      </c>
      <c r="G529" s="15">
        <v>1</v>
      </c>
      <c r="H529" s="15">
        <f>IF(I529&lt;&gt;0, G529-I529, "")</f>
        <v>0</v>
      </c>
      <c r="I529" s="15">
        <v>1</v>
      </c>
      <c r="J529" s="15"/>
      <c r="K529" s="12" t="s">
        <v>1372</v>
      </c>
      <c r="L529" s="15" t="s">
        <v>1004</v>
      </c>
      <c r="M529" s="15">
        <v>9.7000000000000003E-2</v>
      </c>
      <c r="N529" s="15">
        <v>100</v>
      </c>
      <c r="O529" s="15">
        <f>IF(I529*M529=0, "", I529*M529*(N529/100))</f>
        <v>9.7000000000000003E-2</v>
      </c>
      <c r="P529" s="38"/>
      <c r="Q529" s="38">
        <f>TRUNC(P529*M529*N529/100)</f>
        <v>0</v>
      </c>
      <c r="R529" s="38"/>
      <c r="S529" s="15" t="s">
        <v>1402</v>
      </c>
      <c r="T529" s="15"/>
      <c r="AA529" s="2">
        <f>O529</f>
        <v>9.7000000000000003E-2</v>
      </c>
    </row>
    <row r="530" spans="2:27" ht="21.95" customHeight="1" x14ac:dyDescent="0.15">
      <c r="B530" s="13" t="s">
        <v>1397</v>
      </c>
      <c r="C530" s="13" t="s">
        <v>1002</v>
      </c>
      <c r="D530" s="12" t="s">
        <v>1003</v>
      </c>
      <c r="E530" s="12" t="s">
        <v>1004</v>
      </c>
      <c r="F530" s="15" t="s">
        <v>999</v>
      </c>
      <c r="G530" s="15">
        <f>IF(H530*I530/100+0.000005 &lt;1, TRUNC(H530*I530/100+0.000005, 옵션!$E$13), TRUNC(H530*I530/100+0.000005, 옵션!$E$13))</f>
        <v>9.7000000000000003E-2</v>
      </c>
      <c r="H530" s="15">
        <f>옵션!$B$13</f>
        <v>100</v>
      </c>
      <c r="I530" s="15">
        <f>SUM(AA529:AA529)</f>
        <v>9.7000000000000003E-2</v>
      </c>
      <c r="J530" s="15"/>
      <c r="K530" s="12"/>
      <c r="L530" s="15"/>
      <c r="M530" s="15"/>
      <c r="N530" s="15"/>
      <c r="O530" s="15" t="str">
        <f>IF(I530*M530=0, "", I530*M530*(N530/100))</f>
        <v/>
      </c>
      <c r="P530" s="38"/>
      <c r="Q530" s="38">
        <f>TRUNC(P530*M530*N530/100)</f>
        <v>0</v>
      </c>
      <c r="R530" s="38"/>
      <c r="S530" s="15"/>
      <c r="T530" s="15"/>
      <c r="Z530" s="2" t="s">
        <v>1399</v>
      </c>
      <c r="AA530" s="2">
        <f>SUM(AA529:AA529)</f>
        <v>9.7000000000000003E-2</v>
      </c>
    </row>
    <row r="531" spans="2:27" ht="21.95" customHeight="1" x14ac:dyDescent="0.15">
      <c r="B531" s="13" t="s">
        <v>1448</v>
      </c>
      <c r="D531" s="170" t="s">
        <v>1605</v>
      </c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2"/>
    </row>
    <row r="532" spans="2:27" ht="21.95" customHeight="1" x14ac:dyDescent="0.15">
      <c r="B532" s="13" t="s">
        <v>1397</v>
      </c>
      <c r="C532" s="13" t="s">
        <v>706</v>
      </c>
      <c r="D532" s="12" t="s">
        <v>736</v>
      </c>
      <c r="E532" s="12" t="s">
        <v>737</v>
      </c>
      <c r="F532" s="15" t="s">
        <v>559</v>
      </c>
      <c r="G532" s="15">
        <v>1</v>
      </c>
      <c r="H532" s="15">
        <f>IF(I532&lt;&gt;0, G532-I532, "")</f>
        <v>0</v>
      </c>
      <c r="I532" s="15">
        <v>1</v>
      </c>
      <c r="J532" s="15"/>
      <c r="K532" s="12" t="s">
        <v>1372</v>
      </c>
      <c r="L532" s="15" t="s">
        <v>1004</v>
      </c>
      <c r="M532" s="15">
        <v>0.89</v>
      </c>
      <c r="N532" s="15">
        <v>100</v>
      </c>
      <c r="O532" s="15">
        <f>IF(I532*M532=0, "", I532*M532*(N532/100))</f>
        <v>0.89</v>
      </c>
      <c r="P532" s="38"/>
      <c r="Q532" s="38">
        <f>TRUNC(P532*M532*N532/100)</f>
        <v>0</v>
      </c>
      <c r="R532" s="38"/>
      <c r="S532" s="15" t="s">
        <v>1433</v>
      </c>
      <c r="T532" s="15"/>
      <c r="AA532" s="2">
        <f>O532</f>
        <v>0.89</v>
      </c>
    </row>
    <row r="533" spans="2:27" ht="21.95" customHeight="1" x14ac:dyDescent="0.15">
      <c r="B533" s="13" t="s">
        <v>1397</v>
      </c>
      <c r="C533" s="13" t="s">
        <v>1002</v>
      </c>
      <c r="D533" s="12" t="s">
        <v>1003</v>
      </c>
      <c r="E533" s="12" t="s">
        <v>1004</v>
      </c>
      <c r="F533" s="15" t="s">
        <v>999</v>
      </c>
      <c r="G533" s="15">
        <f>IF(H533*I533/100+0.000005 &lt;1, TRUNC(H533*I533/100+0.000005, 옵션!$E$13), TRUNC(H533*I533/100+0.000005, 옵션!$E$13))</f>
        <v>0.89</v>
      </c>
      <c r="H533" s="15">
        <f>옵션!$B$13</f>
        <v>100</v>
      </c>
      <c r="I533" s="15">
        <f>SUM(AA532:AA532)</f>
        <v>0.89</v>
      </c>
      <c r="J533" s="15"/>
      <c r="K533" s="12"/>
      <c r="L533" s="15"/>
      <c r="M533" s="15"/>
      <c r="N533" s="15"/>
      <c r="O533" s="15" t="str">
        <f>IF(I533*M533=0, "", I533*M533*(N533/100))</f>
        <v/>
      </c>
      <c r="P533" s="38"/>
      <c r="Q533" s="38">
        <f>TRUNC(P533*M533*N533/100)</f>
        <v>0</v>
      </c>
      <c r="R533" s="38"/>
      <c r="S533" s="15"/>
      <c r="T533" s="15"/>
      <c r="Z533" s="2" t="s">
        <v>1399</v>
      </c>
      <c r="AA533" s="2">
        <f>SUM(AA532:AA532)</f>
        <v>0.89</v>
      </c>
    </row>
    <row r="534" spans="2:27" ht="21.95" customHeight="1" x14ac:dyDescent="0.15">
      <c r="B534" s="13" t="s">
        <v>1448</v>
      </c>
      <c r="D534" s="170" t="s">
        <v>1606</v>
      </c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2"/>
    </row>
    <row r="535" spans="2:27" ht="21.95" customHeight="1" x14ac:dyDescent="0.15">
      <c r="B535" s="13" t="s">
        <v>1397</v>
      </c>
      <c r="C535" s="13" t="s">
        <v>706</v>
      </c>
      <c r="D535" s="12" t="s">
        <v>754</v>
      </c>
      <c r="E535" s="12" t="s">
        <v>755</v>
      </c>
      <c r="F535" s="15" t="s">
        <v>710</v>
      </c>
      <c r="G535" s="15">
        <v>1</v>
      </c>
      <c r="H535" s="15">
        <f>IF(I535&lt;&gt;0, G535-I535, "")</f>
        <v>0</v>
      </c>
      <c r="I535" s="15">
        <v>1</v>
      </c>
      <c r="J535" s="15"/>
      <c r="K535" s="12" t="s">
        <v>1372</v>
      </c>
      <c r="L535" s="15" t="s">
        <v>1004</v>
      </c>
      <c r="M535" s="15">
        <v>0.23599999999999999</v>
      </c>
      <c r="N535" s="15">
        <v>100</v>
      </c>
      <c r="O535" s="15">
        <f>IF(I535*M535=0, "", I535*M535*(N535/100))</f>
        <v>0.23599999999999999</v>
      </c>
      <c r="P535" s="38"/>
      <c r="Q535" s="38">
        <f>TRUNC(P535*M535*N535/100)</f>
        <v>0</v>
      </c>
      <c r="R535" s="38"/>
      <c r="S535" s="15" t="s">
        <v>1434</v>
      </c>
      <c r="T535" s="15"/>
      <c r="AA535" s="2">
        <f>O535</f>
        <v>0.23599999999999999</v>
      </c>
    </row>
    <row r="536" spans="2:27" ht="21.95" customHeight="1" x14ac:dyDescent="0.15">
      <c r="B536" s="13" t="s">
        <v>1397</v>
      </c>
      <c r="C536" s="13" t="s">
        <v>1002</v>
      </c>
      <c r="D536" s="12" t="s">
        <v>1003</v>
      </c>
      <c r="E536" s="12" t="s">
        <v>1004</v>
      </c>
      <c r="F536" s="15" t="s">
        <v>999</v>
      </c>
      <c r="G536" s="15">
        <f>IF(H536*I536/100+0.000005 &lt;1, TRUNC(H536*I536/100+0.000005, 옵션!$E$13), TRUNC(H536*I536/100+0.000005, 옵션!$E$13))</f>
        <v>0.23599999999999999</v>
      </c>
      <c r="H536" s="15">
        <f>옵션!$B$13</f>
        <v>100</v>
      </c>
      <c r="I536" s="15">
        <f>SUM(AA535:AA535)</f>
        <v>0.23599999999999999</v>
      </c>
      <c r="J536" s="15"/>
      <c r="K536" s="12"/>
      <c r="L536" s="15"/>
      <c r="M536" s="15"/>
      <c r="N536" s="15"/>
      <c r="O536" s="15" t="str">
        <f>IF(I536*M536=0, "", I536*M536*(N536/100))</f>
        <v/>
      </c>
      <c r="P536" s="38"/>
      <c r="Q536" s="38">
        <f>TRUNC(P536*M536*N536/100)</f>
        <v>0</v>
      </c>
      <c r="R536" s="38"/>
      <c r="S536" s="15"/>
      <c r="T536" s="15"/>
      <c r="Z536" s="2" t="s">
        <v>1399</v>
      </c>
      <c r="AA536" s="2">
        <f>SUM(AA535:AA535)</f>
        <v>0.23599999999999999</v>
      </c>
    </row>
    <row r="537" spans="2:27" ht="21.95" customHeight="1" x14ac:dyDescent="0.15">
      <c r="B537" s="13" t="s">
        <v>1448</v>
      </c>
      <c r="D537" s="170" t="s">
        <v>1607</v>
      </c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2"/>
    </row>
    <row r="538" spans="2:27" ht="21.95" customHeight="1" x14ac:dyDescent="0.15">
      <c r="B538" s="13" t="s">
        <v>1397</v>
      </c>
      <c r="C538" s="13" t="s">
        <v>706</v>
      </c>
      <c r="D538" s="12" t="s">
        <v>759</v>
      </c>
      <c r="E538" s="12" t="s">
        <v>760</v>
      </c>
      <c r="F538" s="15" t="s">
        <v>710</v>
      </c>
      <c r="G538" s="15">
        <v>1</v>
      </c>
      <c r="H538" s="15">
        <f>IF(I538&lt;&gt;0, G538-I538, "")</f>
        <v>0</v>
      </c>
      <c r="I538" s="15">
        <v>1</v>
      </c>
      <c r="J538" s="15"/>
      <c r="K538" s="12" t="s">
        <v>1372</v>
      </c>
      <c r="L538" s="15" t="s">
        <v>1004</v>
      </c>
      <c r="M538" s="15">
        <v>0.13900000000000001</v>
      </c>
      <c r="N538" s="15">
        <v>100</v>
      </c>
      <c r="O538" s="15">
        <f>IF(I538*M538=0, "", I538*M538*(N538/100))</f>
        <v>0.13900000000000001</v>
      </c>
      <c r="P538" s="38"/>
      <c r="Q538" s="38">
        <f>TRUNC(P538*M538*N538/100)</f>
        <v>0</v>
      </c>
      <c r="R538" s="38"/>
      <c r="S538" s="15" t="s">
        <v>1435</v>
      </c>
      <c r="T538" s="15"/>
      <c r="AA538" s="2">
        <f>O538</f>
        <v>0.13900000000000001</v>
      </c>
    </row>
    <row r="539" spans="2:27" ht="21.95" customHeight="1" x14ac:dyDescent="0.15">
      <c r="B539" s="13" t="s">
        <v>1397</v>
      </c>
      <c r="C539" s="13" t="s">
        <v>1002</v>
      </c>
      <c r="D539" s="12" t="s">
        <v>1003</v>
      </c>
      <c r="E539" s="12" t="s">
        <v>1004</v>
      </c>
      <c r="F539" s="15" t="s">
        <v>999</v>
      </c>
      <c r="G539" s="15">
        <f>IF(H539*I539/100+0.000005 &lt;1, TRUNC(H539*I539/100+0.000005, 옵션!$E$13), TRUNC(H539*I539/100+0.000005, 옵션!$E$13))</f>
        <v>0.13900000000000001</v>
      </c>
      <c r="H539" s="15">
        <f>옵션!$B$13</f>
        <v>100</v>
      </c>
      <c r="I539" s="15">
        <f>SUM(AA538:AA538)</f>
        <v>0.13900000000000001</v>
      </c>
      <c r="J539" s="15"/>
      <c r="K539" s="12"/>
      <c r="L539" s="15"/>
      <c r="M539" s="15"/>
      <c r="N539" s="15"/>
      <c r="O539" s="15" t="str">
        <f>IF(I539*M539=0, "", I539*M539*(N539/100))</f>
        <v/>
      </c>
      <c r="P539" s="38"/>
      <c r="Q539" s="38">
        <f>TRUNC(P539*M539*N539/100)</f>
        <v>0</v>
      </c>
      <c r="R539" s="38"/>
      <c r="S539" s="15"/>
      <c r="T539" s="15"/>
      <c r="Z539" s="2" t="s">
        <v>1399</v>
      </c>
      <c r="AA539" s="2">
        <f>SUM(AA538:AA538)</f>
        <v>0.13900000000000001</v>
      </c>
    </row>
    <row r="540" spans="2:27" ht="21.95" customHeight="1" x14ac:dyDescent="0.15">
      <c r="B540" s="13" t="s">
        <v>1448</v>
      </c>
      <c r="D540" s="170" t="s">
        <v>1608</v>
      </c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2"/>
    </row>
    <row r="541" spans="2:27" ht="21.95" customHeight="1" x14ac:dyDescent="0.15">
      <c r="B541" s="13" t="s">
        <v>1397</v>
      </c>
      <c r="C541" s="13" t="s">
        <v>706</v>
      </c>
      <c r="D541" s="12" t="s">
        <v>761</v>
      </c>
      <c r="E541" s="12" t="s">
        <v>762</v>
      </c>
      <c r="F541" s="15" t="s">
        <v>710</v>
      </c>
      <c r="G541" s="15">
        <v>1</v>
      </c>
      <c r="H541" s="15">
        <f>IF(I541&lt;&gt;0, G541-I541, "")</f>
        <v>0</v>
      </c>
      <c r="I541" s="15">
        <v>1</v>
      </c>
      <c r="J541" s="15"/>
      <c r="K541" s="12" t="s">
        <v>1372</v>
      </c>
      <c r="L541" s="15" t="s">
        <v>1004</v>
      </c>
      <c r="M541" s="15">
        <v>0.13900000000000001</v>
      </c>
      <c r="N541" s="15">
        <v>100</v>
      </c>
      <c r="O541" s="15">
        <f>IF(I541*M541=0, "", I541*M541*(N541/100))</f>
        <v>0.13900000000000001</v>
      </c>
      <c r="P541" s="38"/>
      <c r="Q541" s="38">
        <f>TRUNC(P541*M541*N541/100)</f>
        <v>0</v>
      </c>
      <c r="R541" s="38"/>
      <c r="S541" s="15" t="s">
        <v>1435</v>
      </c>
      <c r="T541" s="15"/>
      <c r="AA541" s="2">
        <f>O541</f>
        <v>0.13900000000000001</v>
      </c>
    </row>
    <row r="542" spans="2:27" ht="21.95" customHeight="1" x14ac:dyDescent="0.15">
      <c r="B542" s="13" t="s">
        <v>1397</v>
      </c>
      <c r="C542" s="13" t="s">
        <v>1002</v>
      </c>
      <c r="D542" s="12" t="s">
        <v>1003</v>
      </c>
      <c r="E542" s="12" t="s">
        <v>1004</v>
      </c>
      <c r="F542" s="15" t="s">
        <v>999</v>
      </c>
      <c r="G542" s="15">
        <f>IF(H542*I542/100+0.000005 &lt;1, TRUNC(H542*I542/100+0.000005, 옵션!$E$13), TRUNC(H542*I542/100+0.000005, 옵션!$E$13))</f>
        <v>0.13900000000000001</v>
      </c>
      <c r="H542" s="15">
        <f>옵션!$B$13</f>
        <v>100</v>
      </c>
      <c r="I542" s="15">
        <f>SUM(AA541:AA541)</f>
        <v>0.13900000000000001</v>
      </c>
      <c r="J542" s="15"/>
      <c r="K542" s="12"/>
      <c r="L542" s="15"/>
      <c r="M542" s="15"/>
      <c r="N542" s="15"/>
      <c r="O542" s="15" t="str">
        <f>IF(I542*M542=0, "", I542*M542*(N542/100))</f>
        <v/>
      </c>
      <c r="P542" s="38"/>
      <c r="Q542" s="38">
        <f>TRUNC(P542*M542*N542/100)</f>
        <v>0</v>
      </c>
      <c r="R542" s="38"/>
      <c r="S542" s="15"/>
      <c r="T542" s="15"/>
      <c r="Z542" s="2" t="s">
        <v>1399</v>
      </c>
      <c r="AA542" s="2">
        <f>SUM(AA541:AA541)</f>
        <v>0.13900000000000001</v>
      </c>
    </row>
    <row r="543" spans="2:27" ht="21.95" customHeight="1" x14ac:dyDescent="0.15">
      <c r="B543" s="13" t="s">
        <v>1448</v>
      </c>
      <c r="D543" s="170" t="s">
        <v>1609</v>
      </c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2"/>
    </row>
    <row r="544" spans="2:27" ht="21.95" customHeight="1" x14ac:dyDescent="0.15">
      <c r="B544" s="13" t="s">
        <v>1397</v>
      </c>
      <c r="C544" s="13" t="s">
        <v>706</v>
      </c>
      <c r="D544" s="12" t="s">
        <v>775</v>
      </c>
      <c r="E544" s="12"/>
      <c r="F544" s="15" t="s">
        <v>289</v>
      </c>
      <c r="G544" s="15">
        <v>1</v>
      </c>
      <c r="H544" s="15">
        <f>IF(I544&lt;&gt;0, G544-I544, "")</f>
        <v>0</v>
      </c>
      <c r="I544" s="15">
        <v>1</v>
      </c>
      <c r="J544" s="15"/>
      <c r="K544" s="12" t="s">
        <v>1372</v>
      </c>
      <c r="L544" s="15" t="s">
        <v>1004</v>
      </c>
      <c r="M544" s="15">
        <v>2.7E-2</v>
      </c>
      <c r="N544" s="15">
        <v>100</v>
      </c>
      <c r="O544" s="15">
        <f>IF(I544*M544=0, "", I544*M544*(N544/100))</f>
        <v>2.7E-2</v>
      </c>
      <c r="P544" s="38"/>
      <c r="Q544" s="38">
        <f>TRUNC(P544*M544*N544/100)</f>
        <v>0</v>
      </c>
      <c r="R544" s="38"/>
      <c r="S544" s="15" t="s">
        <v>1402</v>
      </c>
      <c r="T544" s="15"/>
      <c r="AA544" s="2">
        <f>O544</f>
        <v>2.7E-2</v>
      </c>
    </row>
    <row r="545" spans="2:32" ht="21.95" customHeight="1" x14ac:dyDescent="0.15">
      <c r="B545" s="13" t="s">
        <v>1397</v>
      </c>
      <c r="C545" s="13" t="s">
        <v>1002</v>
      </c>
      <c r="D545" s="12" t="s">
        <v>1003</v>
      </c>
      <c r="E545" s="12" t="s">
        <v>1004</v>
      </c>
      <c r="F545" s="15" t="s">
        <v>999</v>
      </c>
      <c r="G545" s="15">
        <f>IF(H545*I545/100+0.000005 &lt;1, TRUNC(H545*I545/100+0.000005, 옵션!$E$13), TRUNC(H545*I545/100+0.000005, 옵션!$E$13))</f>
        <v>2.7E-2</v>
      </c>
      <c r="H545" s="15">
        <f>옵션!$B$13</f>
        <v>100</v>
      </c>
      <c r="I545" s="15">
        <f>SUM(AA544:AA544)</f>
        <v>2.7E-2</v>
      </c>
      <c r="J545" s="15"/>
      <c r="K545" s="12"/>
      <c r="L545" s="15"/>
      <c r="M545" s="15"/>
      <c r="N545" s="15"/>
      <c r="O545" s="15" t="str">
        <f>IF(I545*M545=0, "", I545*M545*(N545/100))</f>
        <v/>
      </c>
      <c r="P545" s="38"/>
      <c r="Q545" s="38">
        <f>TRUNC(P545*M545*N545/100)</f>
        <v>0</v>
      </c>
      <c r="R545" s="38"/>
      <c r="S545" s="15"/>
      <c r="T545" s="15"/>
      <c r="Z545" s="2" t="s">
        <v>1399</v>
      </c>
      <c r="AA545" s="2">
        <f>SUM(AA544:AA544)</f>
        <v>2.7E-2</v>
      </c>
    </row>
    <row r="546" spans="2:32" ht="21.95" customHeight="1" x14ac:dyDescent="0.15">
      <c r="B546" s="13" t="s">
        <v>1448</v>
      </c>
      <c r="D546" s="170" t="s">
        <v>1610</v>
      </c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2"/>
    </row>
    <row r="547" spans="2:32" ht="21.95" customHeight="1" x14ac:dyDescent="0.15">
      <c r="B547" s="13" t="s">
        <v>1397</v>
      </c>
      <c r="C547" s="13" t="s">
        <v>795</v>
      </c>
      <c r="D547" s="12" t="s">
        <v>796</v>
      </c>
      <c r="E547" s="12" t="s">
        <v>797</v>
      </c>
      <c r="F547" s="15" t="s">
        <v>166</v>
      </c>
      <c r="G547" s="15">
        <v>1</v>
      </c>
      <c r="H547" s="15">
        <f>IF(I547&lt;&gt;0, G547-I547, "")</f>
        <v>0</v>
      </c>
      <c r="I547" s="15">
        <v>1</v>
      </c>
      <c r="J547" s="15"/>
      <c r="K547" s="12" t="s">
        <v>1377</v>
      </c>
      <c r="L547" s="15" t="s">
        <v>1014</v>
      </c>
      <c r="M547" s="15">
        <v>1.7000000000000001E-2</v>
      </c>
      <c r="N547" s="15">
        <v>120</v>
      </c>
      <c r="O547" s="15">
        <f>IF(I547*M547=0, "", I547*M547*(N547/100))</f>
        <v>2.0400000000000001E-2</v>
      </c>
      <c r="P547" s="38"/>
      <c r="Q547" s="38">
        <f>TRUNC(P547*M547*N547/100)</f>
        <v>0</v>
      </c>
      <c r="R547" s="38"/>
      <c r="S547" s="15" t="s">
        <v>1424</v>
      </c>
      <c r="T547" s="15"/>
      <c r="AF547" s="2">
        <f>O547</f>
        <v>2.0400000000000001E-2</v>
      </c>
    </row>
    <row r="548" spans="2:32" ht="21.95" customHeight="1" x14ac:dyDescent="0.15">
      <c r="B548" s="13" t="s">
        <v>1397</v>
      </c>
      <c r="C548" s="13" t="s">
        <v>1013</v>
      </c>
      <c r="D548" s="12" t="s">
        <v>1003</v>
      </c>
      <c r="E548" s="12" t="s">
        <v>1014</v>
      </c>
      <c r="F548" s="15" t="s">
        <v>999</v>
      </c>
      <c r="G548" s="15">
        <f>IF(H548*I548/100+0.000005 &lt;1, TRUNC(H548*I548/100+0.000005, 옵션!$E$13), TRUNC(H548*I548/100+0.000005, 옵션!$E$13))</f>
        <v>2.0400000000000001E-2</v>
      </c>
      <c r="H548" s="15">
        <f>옵션!$B$13</f>
        <v>100</v>
      </c>
      <c r="I548" s="15">
        <f>SUM(AF547:AF547)</f>
        <v>2.0400000000000001E-2</v>
      </c>
      <c r="J548" s="15"/>
      <c r="K548" s="12"/>
      <c r="L548" s="15"/>
      <c r="M548" s="15"/>
      <c r="N548" s="15"/>
      <c r="O548" s="15" t="str">
        <f>IF(I548*M548=0, "", I548*M548*(N548/100))</f>
        <v/>
      </c>
      <c r="P548" s="38"/>
      <c r="Q548" s="38">
        <f>TRUNC(P548*M548*N548/100)</f>
        <v>0</v>
      </c>
      <c r="R548" s="38"/>
      <c r="S548" s="15"/>
      <c r="T548" s="15"/>
      <c r="Z548" s="2" t="s">
        <v>1399</v>
      </c>
      <c r="AF548" s="2">
        <f>SUM(AF547:AF547)</f>
        <v>2.0400000000000001E-2</v>
      </c>
    </row>
    <row r="549" spans="2:32" ht="21.95" customHeight="1" x14ac:dyDescent="0.15">
      <c r="B549" s="13" t="s">
        <v>1448</v>
      </c>
      <c r="D549" s="170" t="s">
        <v>1611</v>
      </c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2"/>
    </row>
    <row r="550" spans="2:32" ht="21.95" customHeight="1" x14ac:dyDescent="0.15">
      <c r="B550" s="13" t="s">
        <v>1397</v>
      </c>
      <c r="C550" s="13" t="s">
        <v>857</v>
      </c>
      <c r="D550" s="12" t="s">
        <v>858</v>
      </c>
      <c r="E550" s="12" t="s">
        <v>859</v>
      </c>
      <c r="F550" s="15" t="s">
        <v>559</v>
      </c>
      <c r="G550" s="15">
        <v>1</v>
      </c>
      <c r="H550" s="15">
        <f>IF(I550&lt;&gt;0, G550-I550, "")</f>
        <v>0</v>
      </c>
      <c r="I550" s="15">
        <v>1</v>
      </c>
      <c r="J550" s="15"/>
      <c r="K550" s="12" t="s">
        <v>1372</v>
      </c>
      <c r="L550" s="15" t="s">
        <v>1004</v>
      </c>
      <c r="M550" s="15">
        <v>1.23</v>
      </c>
      <c r="N550" s="15">
        <v>100</v>
      </c>
      <c r="O550" s="15">
        <f>IF(I550*M550=0, "", I550*M550*(N550/100))</f>
        <v>1.23</v>
      </c>
      <c r="P550" s="38"/>
      <c r="Q550" s="38">
        <f>TRUNC(P550*M550*N550/100)</f>
        <v>0</v>
      </c>
      <c r="R550" s="38"/>
      <c r="S550" s="15"/>
      <c r="T550" s="15" t="s">
        <v>1436</v>
      </c>
      <c r="AA550" s="2">
        <f>O550</f>
        <v>1.23</v>
      </c>
    </row>
    <row r="551" spans="2:32" ht="21.95" customHeight="1" x14ac:dyDescent="0.15">
      <c r="B551" s="13" t="s">
        <v>1397</v>
      </c>
      <c r="C551" s="13" t="s">
        <v>1002</v>
      </c>
      <c r="D551" s="12" t="s">
        <v>1003</v>
      </c>
      <c r="E551" s="12" t="s">
        <v>1004</v>
      </c>
      <c r="F551" s="15" t="s">
        <v>999</v>
      </c>
      <c r="G551" s="15">
        <f>IF(H551*I551/100+0.000005 &lt;1, TRUNC(H551*I551/100+0.000005, 옵션!$E$13), TRUNC(H551*I551/100+0.000005, 옵션!$E$13))</f>
        <v>1.23</v>
      </c>
      <c r="H551" s="15">
        <f>옵션!$B$13</f>
        <v>100</v>
      </c>
      <c r="I551" s="15">
        <f>SUM(AA550:AA550)</f>
        <v>1.23</v>
      </c>
      <c r="J551" s="15"/>
      <c r="K551" s="12"/>
      <c r="L551" s="15"/>
      <c r="M551" s="15"/>
      <c r="N551" s="15"/>
      <c r="O551" s="15" t="str">
        <f>IF(I551*M551=0, "", I551*M551*(N551/100))</f>
        <v/>
      </c>
      <c r="P551" s="38"/>
      <c r="Q551" s="38">
        <f>TRUNC(P551*M551*N551/100)</f>
        <v>0</v>
      </c>
      <c r="R551" s="38"/>
      <c r="S551" s="15"/>
      <c r="T551" s="15"/>
      <c r="Z551" s="2" t="s">
        <v>1399</v>
      </c>
      <c r="AA551" s="2">
        <f>SUM(AA550:AA550)</f>
        <v>1.23</v>
      </c>
    </row>
    <row r="552" spans="2:32" ht="21.95" customHeight="1" x14ac:dyDescent="0.15">
      <c r="B552" s="13" t="s">
        <v>1448</v>
      </c>
      <c r="D552" s="170" t="s">
        <v>1612</v>
      </c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2"/>
    </row>
    <row r="553" spans="2:32" ht="21.95" customHeight="1" x14ac:dyDescent="0.15">
      <c r="B553" s="13" t="s">
        <v>1397</v>
      </c>
      <c r="C553" s="13" t="s">
        <v>860</v>
      </c>
      <c r="D553" s="12" t="s">
        <v>858</v>
      </c>
      <c r="E553" s="12" t="s">
        <v>861</v>
      </c>
      <c r="F553" s="15" t="s">
        <v>559</v>
      </c>
      <c r="G553" s="15">
        <v>1</v>
      </c>
      <c r="H553" s="15">
        <f>IF(I553&lt;&gt;0, G553-I553, "")</f>
        <v>0</v>
      </c>
      <c r="I553" s="15">
        <v>1</v>
      </c>
      <c r="J553" s="15"/>
      <c r="K553" s="12" t="s">
        <v>1372</v>
      </c>
      <c r="L553" s="15" t="s">
        <v>1004</v>
      </c>
      <c r="M553" s="15">
        <v>1.23</v>
      </c>
      <c r="N553" s="15">
        <v>100</v>
      </c>
      <c r="O553" s="15">
        <f>IF(I553*M553=0, "", I553*M553*(N553/100))</f>
        <v>1.23</v>
      </c>
      <c r="P553" s="38"/>
      <c r="Q553" s="38">
        <f>TRUNC(P553*M553*N553/100)</f>
        <v>0</v>
      </c>
      <c r="R553" s="38"/>
      <c r="S553" s="15"/>
      <c r="T553" s="15" t="s">
        <v>1436</v>
      </c>
      <c r="AA553" s="2">
        <f>O553</f>
        <v>1.23</v>
      </c>
    </row>
    <row r="554" spans="2:32" ht="21.95" customHeight="1" x14ac:dyDescent="0.15">
      <c r="B554" s="13" t="s">
        <v>1397</v>
      </c>
      <c r="C554" s="13" t="s">
        <v>1002</v>
      </c>
      <c r="D554" s="12" t="s">
        <v>1003</v>
      </c>
      <c r="E554" s="12" t="s">
        <v>1004</v>
      </c>
      <c r="F554" s="15" t="s">
        <v>999</v>
      </c>
      <c r="G554" s="15">
        <f>IF(H554*I554/100+0.000005 &lt;1, TRUNC(H554*I554/100+0.000005, 옵션!$E$13), TRUNC(H554*I554/100+0.000005, 옵션!$E$13))</f>
        <v>1.23</v>
      </c>
      <c r="H554" s="15">
        <f>옵션!$B$13</f>
        <v>100</v>
      </c>
      <c r="I554" s="15">
        <f>SUM(AA553:AA553)</f>
        <v>1.23</v>
      </c>
      <c r="J554" s="15"/>
      <c r="K554" s="12"/>
      <c r="L554" s="15"/>
      <c r="M554" s="15"/>
      <c r="N554" s="15"/>
      <c r="O554" s="15" t="str">
        <f>IF(I554*M554=0, "", I554*M554*(N554/100))</f>
        <v/>
      </c>
      <c r="P554" s="38"/>
      <c r="Q554" s="38">
        <f>TRUNC(P554*M554*N554/100)</f>
        <v>0</v>
      </c>
      <c r="R554" s="38"/>
      <c r="S554" s="15"/>
      <c r="T554" s="15"/>
      <c r="Z554" s="2" t="s">
        <v>1399</v>
      </c>
      <c r="AA554" s="2">
        <f>SUM(AA553:AA553)</f>
        <v>1.23</v>
      </c>
    </row>
    <row r="555" spans="2:32" ht="21.95" customHeight="1" x14ac:dyDescent="0.15">
      <c r="B555" s="13" t="s">
        <v>1448</v>
      </c>
      <c r="D555" s="170" t="s">
        <v>1613</v>
      </c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2"/>
    </row>
    <row r="556" spans="2:32" ht="21.95" customHeight="1" x14ac:dyDescent="0.15">
      <c r="B556" s="13" t="s">
        <v>1397</v>
      </c>
      <c r="C556" s="13" t="s">
        <v>862</v>
      </c>
      <c r="D556" s="12" t="s">
        <v>858</v>
      </c>
      <c r="E556" s="12" t="s">
        <v>863</v>
      </c>
      <c r="F556" s="15" t="s">
        <v>559</v>
      </c>
      <c r="G556" s="15">
        <v>1</v>
      </c>
      <c r="H556" s="15">
        <f>IF(I556&lt;&gt;0, G556-I556, "")</f>
        <v>0</v>
      </c>
      <c r="I556" s="15">
        <v>1</v>
      </c>
      <c r="J556" s="15"/>
      <c r="K556" s="12" t="s">
        <v>1372</v>
      </c>
      <c r="L556" s="15" t="s">
        <v>1004</v>
      </c>
      <c r="M556" s="15">
        <v>1.23</v>
      </c>
      <c r="N556" s="15">
        <v>100</v>
      </c>
      <c r="O556" s="15">
        <f>IF(I556*M556=0, "", I556*M556*(N556/100))</f>
        <v>1.23</v>
      </c>
      <c r="P556" s="38"/>
      <c r="Q556" s="38">
        <f>TRUNC(P556*M556*N556/100)</f>
        <v>0</v>
      </c>
      <c r="R556" s="38"/>
      <c r="S556" s="15"/>
      <c r="T556" s="15" t="s">
        <v>1436</v>
      </c>
      <c r="AA556" s="2">
        <f>O556</f>
        <v>1.23</v>
      </c>
    </row>
    <row r="557" spans="2:32" ht="21.95" customHeight="1" x14ac:dyDescent="0.15">
      <c r="B557" s="13" t="s">
        <v>1397</v>
      </c>
      <c r="C557" s="13" t="s">
        <v>1002</v>
      </c>
      <c r="D557" s="12" t="s">
        <v>1003</v>
      </c>
      <c r="E557" s="12" t="s">
        <v>1004</v>
      </c>
      <c r="F557" s="15" t="s">
        <v>999</v>
      </c>
      <c r="G557" s="15">
        <f>IF(H557*I557/100+0.000005 &lt;1, TRUNC(H557*I557/100+0.000005, 옵션!$E$13), TRUNC(H557*I557/100+0.000005, 옵션!$E$13))</f>
        <v>1.23</v>
      </c>
      <c r="H557" s="15">
        <f>옵션!$B$13</f>
        <v>100</v>
      </c>
      <c r="I557" s="15">
        <f>SUM(AA556:AA556)</f>
        <v>1.23</v>
      </c>
      <c r="J557" s="15"/>
      <c r="K557" s="12"/>
      <c r="L557" s="15"/>
      <c r="M557" s="15"/>
      <c r="N557" s="15"/>
      <c r="O557" s="15" t="str">
        <f>IF(I557*M557=0, "", I557*M557*(N557/100))</f>
        <v/>
      </c>
      <c r="P557" s="38"/>
      <c r="Q557" s="38">
        <f>TRUNC(P557*M557*N557/100)</f>
        <v>0</v>
      </c>
      <c r="R557" s="38"/>
      <c r="S557" s="15"/>
      <c r="T557" s="15"/>
      <c r="Z557" s="2" t="s">
        <v>1399</v>
      </c>
      <c r="AA557" s="2">
        <f>SUM(AA556:AA556)</f>
        <v>1.23</v>
      </c>
    </row>
    <row r="558" spans="2:32" ht="21.95" customHeight="1" x14ac:dyDescent="0.15">
      <c r="B558" s="13" t="s">
        <v>1448</v>
      </c>
      <c r="D558" s="170" t="s">
        <v>1614</v>
      </c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2"/>
    </row>
    <row r="559" spans="2:32" ht="21.95" customHeight="1" x14ac:dyDescent="0.15">
      <c r="B559" s="13" t="s">
        <v>1397</v>
      </c>
      <c r="C559" s="13" t="s">
        <v>864</v>
      </c>
      <c r="D559" s="12" t="s">
        <v>858</v>
      </c>
      <c r="E559" s="12" t="s">
        <v>865</v>
      </c>
      <c r="F559" s="15" t="s">
        <v>559</v>
      </c>
      <c r="G559" s="15">
        <v>1</v>
      </c>
      <c r="H559" s="15">
        <f>IF(I559&lt;&gt;0, G559-I559, "")</f>
        <v>0</v>
      </c>
      <c r="I559" s="15">
        <v>1</v>
      </c>
      <c r="J559" s="15"/>
      <c r="K559" s="12" t="s">
        <v>1372</v>
      </c>
      <c r="L559" s="15" t="s">
        <v>1004</v>
      </c>
      <c r="M559" s="15">
        <v>1.23</v>
      </c>
      <c r="N559" s="15">
        <v>100</v>
      </c>
      <c r="O559" s="15">
        <f>IF(I559*M559=0, "", I559*M559*(N559/100))</f>
        <v>1.23</v>
      </c>
      <c r="P559" s="38"/>
      <c r="Q559" s="38">
        <f>TRUNC(P559*M559*N559/100)</f>
        <v>0</v>
      </c>
      <c r="R559" s="38"/>
      <c r="S559" s="15"/>
      <c r="T559" s="15" t="s">
        <v>1436</v>
      </c>
      <c r="AA559" s="2">
        <f>O559</f>
        <v>1.23</v>
      </c>
    </row>
    <row r="560" spans="2:32" ht="21.95" customHeight="1" x14ac:dyDescent="0.15">
      <c r="B560" s="13" t="s">
        <v>1397</v>
      </c>
      <c r="C560" s="13" t="s">
        <v>1002</v>
      </c>
      <c r="D560" s="12" t="s">
        <v>1003</v>
      </c>
      <c r="E560" s="12" t="s">
        <v>1004</v>
      </c>
      <c r="F560" s="15" t="s">
        <v>999</v>
      </c>
      <c r="G560" s="15">
        <f>IF(H560*I560/100+0.000005 &lt;1, TRUNC(H560*I560/100+0.000005, 옵션!$E$13), TRUNC(H560*I560/100+0.000005, 옵션!$E$13))</f>
        <v>1.23</v>
      </c>
      <c r="H560" s="15">
        <f>옵션!$B$13</f>
        <v>100</v>
      </c>
      <c r="I560" s="15">
        <f>SUM(AA559:AA559)</f>
        <v>1.23</v>
      </c>
      <c r="J560" s="15"/>
      <c r="K560" s="12"/>
      <c r="L560" s="15"/>
      <c r="M560" s="15"/>
      <c r="N560" s="15"/>
      <c r="O560" s="15" t="str">
        <f>IF(I560*M560=0, "", I560*M560*(N560/100))</f>
        <v/>
      </c>
      <c r="P560" s="38"/>
      <c r="Q560" s="38">
        <f>TRUNC(P560*M560*N560/100)</f>
        <v>0</v>
      </c>
      <c r="R560" s="38"/>
      <c r="S560" s="15"/>
      <c r="T560" s="15"/>
      <c r="Z560" s="2" t="s">
        <v>1399</v>
      </c>
      <c r="AA560" s="2">
        <f>SUM(AA559:AA559)</f>
        <v>1.23</v>
      </c>
    </row>
    <row r="561" spans="2:27" ht="21.95" customHeight="1" x14ac:dyDescent="0.15">
      <c r="B561" s="13" t="s">
        <v>1448</v>
      </c>
      <c r="D561" s="170" t="s">
        <v>1615</v>
      </c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2"/>
    </row>
    <row r="562" spans="2:27" ht="21.95" customHeight="1" x14ac:dyDescent="0.15">
      <c r="B562" s="13" t="s">
        <v>1397</v>
      </c>
      <c r="C562" s="13" t="s">
        <v>866</v>
      </c>
      <c r="D562" s="12" t="s">
        <v>858</v>
      </c>
      <c r="E562" s="12" t="s">
        <v>867</v>
      </c>
      <c r="F562" s="15" t="s">
        <v>559</v>
      </c>
      <c r="G562" s="15">
        <v>1</v>
      </c>
      <c r="H562" s="15">
        <f>IF(I562&lt;&gt;0, G562-I562, "")</f>
        <v>0</v>
      </c>
      <c r="I562" s="15">
        <v>1</v>
      </c>
      <c r="J562" s="15"/>
      <c r="K562" s="12" t="s">
        <v>1372</v>
      </c>
      <c r="L562" s="15" t="s">
        <v>1004</v>
      </c>
      <c r="M562" s="15">
        <v>1.23</v>
      </c>
      <c r="N562" s="15">
        <v>100</v>
      </c>
      <c r="O562" s="15">
        <f>IF(I562*M562=0, "", I562*M562*(N562/100))</f>
        <v>1.23</v>
      </c>
      <c r="P562" s="38"/>
      <c r="Q562" s="38">
        <f>TRUNC(P562*M562*N562/100)</f>
        <v>0</v>
      </c>
      <c r="R562" s="38"/>
      <c r="S562" s="15"/>
      <c r="T562" s="15" t="s">
        <v>1436</v>
      </c>
      <c r="AA562" s="2">
        <f>O562</f>
        <v>1.23</v>
      </c>
    </row>
    <row r="563" spans="2:27" ht="21.95" customHeight="1" x14ac:dyDescent="0.15">
      <c r="B563" s="13" t="s">
        <v>1397</v>
      </c>
      <c r="C563" s="13" t="s">
        <v>1002</v>
      </c>
      <c r="D563" s="12" t="s">
        <v>1003</v>
      </c>
      <c r="E563" s="12" t="s">
        <v>1004</v>
      </c>
      <c r="F563" s="15" t="s">
        <v>999</v>
      </c>
      <c r="G563" s="15">
        <f>IF(H563*I563/100+0.000005 &lt;1, TRUNC(H563*I563/100+0.000005, 옵션!$E$13), TRUNC(H563*I563/100+0.000005, 옵션!$E$13))</f>
        <v>1.23</v>
      </c>
      <c r="H563" s="15">
        <f>옵션!$B$13</f>
        <v>100</v>
      </c>
      <c r="I563" s="15">
        <f>SUM(AA562:AA562)</f>
        <v>1.23</v>
      </c>
      <c r="J563" s="15"/>
      <c r="K563" s="12"/>
      <c r="L563" s="15"/>
      <c r="M563" s="15"/>
      <c r="N563" s="15"/>
      <c r="O563" s="15" t="str">
        <f>IF(I563*M563=0, "", I563*M563*(N563/100))</f>
        <v/>
      </c>
      <c r="P563" s="38"/>
      <c r="Q563" s="38">
        <f>TRUNC(P563*M563*N563/100)</f>
        <v>0</v>
      </c>
      <c r="R563" s="38"/>
      <c r="S563" s="15"/>
      <c r="T563" s="15"/>
      <c r="Z563" s="2" t="s">
        <v>1399</v>
      </c>
      <c r="AA563" s="2">
        <f>SUM(AA562:AA562)</f>
        <v>1.23</v>
      </c>
    </row>
    <row r="564" spans="2:27" ht="21.95" customHeight="1" x14ac:dyDescent="0.15">
      <c r="B564" s="13" t="s">
        <v>1448</v>
      </c>
      <c r="D564" s="170" t="s">
        <v>1616</v>
      </c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2"/>
    </row>
    <row r="565" spans="2:27" ht="21.95" customHeight="1" x14ac:dyDescent="0.15">
      <c r="B565" s="13" t="s">
        <v>1397</v>
      </c>
      <c r="C565" s="13" t="s">
        <v>868</v>
      </c>
      <c r="D565" s="12" t="s">
        <v>858</v>
      </c>
      <c r="E565" s="12" t="s">
        <v>869</v>
      </c>
      <c r="F565" s="15" t="s">
        <v>559</v>
      </c>
      <c r="G565" s="15">
        <v>1</v>
      </c>
      <c r="H565" s="15">
        <f>IF(I565&lt;&gt;0, G565-I565, "")</f>
        <v>0</v>
      </c>
      <c r="I565" s="15">
        <v>1</v>
      </c>
      <c r="J565" s="15"/>
      <c r="K565" s="12" t="s">
        <v>1372</v>
      </c>
      <c r="L565" s="15" t="s">
        <v>1004</v>
      </c>
      <c r="M565" s="15">
        <v>1.23</v>
      </c>
      <c r="N565" s="15">
        <v>100</v>
      </c>
      <c r="O565" s="15">
        <f>IF(I565*M565=0, "", I565*M565*(N565/100))</f>
        <v>1.23</v>
      </c>
      <c r="P565" s="38"/>
      <c r="Q565" s="38">
        <f>TRUNC(P565*M565*N565/100)</f>
        <v>0</v>
      </c>
      <c r="R565" s="38"/>
      <c r="S565" s="15"/>
      <c r="T565" s="15" t="s">
        <v>1436</v>
      </c>
      <c r="AA565" s="2">
        <f>O565</f>
        <v>1.23</v>
      </c>
    </row>
    <row r="566" spans="2:27" ht="21.95" customHeight="1" x14ac:dyDescent="0.15">
      <c r="B566" s="13" t="s">
        <v>1397</v>
      </c>
      <c r="C566" s="13" t="s">
        <v>1002</v>
      </c>
      <c r="D566" s="12" t="s">
        <v>1003</v>
      </c>
      <c r="E566" s="12" t="s">
        <v>1004</v>
      </c>
      <c r="F566" s="15" t="s">
        <v>999</v>
      </c>
      <c r="G566" s="15">
        <f>IF(H566*I566/100+0.000005 &lt;1, TRUNC(H566*I566/100+0.000005, 옵션!$E$13), TRUNC(H566*I566/100+0.000005, 옵션!$E$13))</f>
        <v>1.23</v>
      </c>
      <c r="H566" s="15">
        <f>옵션!$B$13</f>
        <v>100</v>
      </c>
      <c r="I566" s="15">
        <f>SUM(AA565:AA565)</f>
        <v>1.23</v>
      </c>
      <c r="J566" s="15"/>
      <c r="K566" s="12"/>
      <c r="L566" s="15"/>
      <c r="M566" s="15"/>
      <c r="N566" s="15"/>
      <c r="O566" s="15" t="str">
        <f>IF(I566*M566=0, "", I566*M566*(N566/100))</f>
        <v/>
      </c>
      <c r="P566" s="38"/>
      <c r="Q566" s="38">
        <f>TRUNC(P566*M566*N566/100)</f>
        <v>0</v>
      </c>
      <c r="R566" s="38"/>
      <c r="S566" s="15"/>
      <c r="T566" s="15"/>
      <c r="Z566" s="2" t="s">
        <v>1399</v>
      </c>
      <c r="AA566" s="2">
        <f>SUM(AA565:AA565)</f>
        <v>1.23</v>
      </c>
    </row>
    <row r="567" spans="2:27" ht="21.95" customHeight="1" x14ac:dyDescent="0.15">
      <c r="B567" s="13" t="s">
        <v>1448</v>
      </c>
      <c r="D567" s="170" t="s">
        <v>1617</v>
      </c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2"/>
    </row>
    <row r="568" spans="2:27" ht="21.95" customHeight="1" x14ac:dyDescent="0.15">
      <c r="B568" s="13" t="s">
        <v>1397</v>
      </c>
      <c r="C568" s="13" t="s">
        <v>870</v>
      </c>
      <c r="D568" s="12" t="s">
        <v>858</v>
      </c>
      <c r="E568" s="12" t="s">
        <v>871</v>
      </c>
      <c r="F568" s="15" t="s">
        <v>559</v>
      </c>
      <c r="G568" s="15">
        <v>1</v>
      </c>
      <c r="H568" s="15">
        <f>IF(I568&lt;&gt;0, G568-I568, "")</f>
        <v>0</v>
      </c>
      <c r="I568" s="15">
        <v>1</v>
      </c>
      <c r="J568" s="15"/>
      <c r="K568" s="12" t="s">
        <v>1372</v>
      </c>
      <c r="L568" s="15" t="s">
        <v>1004</v>
      </c>
      <c r="M568" s="15">
        <v>1.23</v>
      </c>
      <c r="N568" s="15">
        <v>100</v>
      </c>
      <c r="O568" s="15">
        <f>IF(I568*M568=0, "", I568*M568*(N568/100))</f>
        <v>1.23</v>
      </c>
      <c r="P568" s="38"/>
      <c r="Q568" s="38">
        <f>TRUNC(P568*M568*N568/100)</f>
        <v>0</v>
      </c>
      <c r="R568" s="38"/>
      <c r="S568" s="15"/>
      <c r="T568" s="15" t="s">
        <v>1436</v>
      </c>
      <c r="AA568" s="2">
        <f>O568</f>
        <v>1.23</v>
      </c>
    </row>
    <row r="569" spans="2:27" ht="21.95" customHeight="1" x14ac:dyDescent="0.15">
      <c r="B569" s="13" t="s">
        <v>1397</v>
      </c>
      <c r="C569" s="13" t="s">
        <v>1002</v>
      </c>
      <c r="D569" s="12" t="s">
        <v>1003</v>
      </c>
      <c r="E569" s="12" t="s">
        <v>1004</v>
      </c>
      <c r="F569" s="15" t="s">
        <v>999</v>
      </c>
      <c r="G569" s="15">
        <f>IF(H569*I569/100+0.000005 &lt;1, TRUNC(H569*I569/100+0.000005, 옵션!$E$13), TRUNC(H569*I569/100+0.000005, 옵션!$E$13))</f>
        <v>1.23</v>
      </c>
      <c r="H569" s="15">
        <f>옵션!$B$13</f>
        <v>100</v>
      </c>
      <c r="I569" s="15">
        <f>SUM(AA568:AA568)</f>
        <v>1.23</v>
      </c>
      <c r="J569" s="15"/>
      <c r="K569" s="12"/>
      <c r="L569" s="15"/>
      <c r="M569" s="15"/>
      <c r="N569" s="15"/>
      <c r="O569" s="15" t="str">
        <f>IF(I569*M569=0, "", I569*M569*(N569/100))</f>
        <v/>
      </c>
      <c r="P569" s="38"/>
      <c r="Q569" s="38">
        <f>TRUNC(P569*M569*N569/100)</f>
        <v>0</v>
      </c>
      <c r="R569" s="38"/>
      <c r="S569" s="15"/>
      <c r="T569" s="15"/>
      <c r="Z569" s="2" t="s">
        <v>1399</v>
      </c>
      <c r="AA569" s="2">
        <f>SUM(AA568:AA568)</f>
        <v>1.23</v>
      </c>
    </row>
    <row r="570" spans="2:27" ht="21.95" customHeight="1" x14ac:dyDescent="0.15">
      <c r="B570" s="13" t="s">
        <v>1448</v>
      </c>
      <c r="D570" s="170" t="s">
        <v>1618</v>
      </c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2"/>
    </row>
    <row r="571" spans="2:27" ht="21.95" customHeight="1" x14ac:dyDescent="0.15">
      <c r="B571" s="13" t="s">
        <v>1397</v>
      </c>
      <c r="C571" s="13" t="s">
        <v>872</v>
      </c>
      <c r="D571" s="12" t="s">
        <v>858</v>
      </c>
      <c r="E571" s="12" t="s">
        <v>873</v>
      </c>
      <c r="F571" s="15" t="s">
        <v>559</v>
      </c>
      <c r="G571" s="15">
        <v>1</v>
      </c>
      <c r="H571" s="15">
        <f>IF(I571&lt;&gt;0, G571-I571, "")</f>
        <v>0</v>
      </c>
      <c r="I571" s="15">
        <v>1</v>
      </c>
      <c r="J571" s="15"/>
      <c r="K571" s="12" t="s">
        <v>1372</v>
      </c>
      <c r="L571" s="15" t="s">
        <v>1004</v>
      </c>
      <c r="M571" s="15">
        <v>1.23</v>
      </c>
      <c r="N571" s="15">
        <v>100</v>
      </c>
      <c r="O571" s="15">
        <f>IF(I571*M571=0, "", I571*M571*(N571/100))</f>
        <v>1.23</v>
      </c>
      <c r="P571" s="38"/>
      <c r="Q571" s="38">
        <f>TRUNC(P571*M571*N571/100)</f>
        <v>0</v>
      </c>
      <c r="R571" s="38"/>
      <c r="S571" s="15"/>
      <c r="T571" s="15" t="s">
        <v>1436</v>
      </c>
      <c r="AA571" s="2">
        <f>O571</f>
        <v>1.23</v>
      </c>
    </row>
    <row r="572" spans="2:27" ht="21.95" customHeight="1" x14ac:dyDescent="0.15">
      <c r="B572" s="13" t="s">
        <v>1397</v>
      </c>
      <c r="C572" s="13" t="s">
        <v>1002</v>
      </c>
      <c r="D572" s="12" t="s">
        <v>1003</v>
      </c>
      <c r="E572" s="12" t="s">
        <v>1004</v>
      </c>
      <c r="F572" s="15" t="s">
        <v>999</v>
      </c>
      <c r="G572" s="15">
        <f>IF(H572*I572/100+0.000005 &lt;1, TRUNC(H572*I572/100+0.000005, 옵션!$E$13), TRUNC(H572*I572/100+0.000005, 옵션!$E$13))</f>
        <v>1.23</v>
      </c>
      <c r="H572" s="15">
        <f>옵션!$B$13</f>
        <v>100</v>
      </c>
      <c r="I572" s="15">
        <f>SUM(AA571:AA571)</f>
        <v>1.23</v>
      </c>
      <c r="J572" s="15"/>
      <c r="K572" s="12"/>
      <c r="L572" s="15"/>
      <c r="M572" s="15"/>
      <c r="N572" s="15"/>
      <c r="O572" s="15" t="str">
        <f>IF(I572*M572=0, "", I572*M572*(N572/100))</f>
        <v/>
      </c>
      <c r="P572" s="38"/>
      <c r="Q572" s="38">
        <f>TRUNC(P572*M572*N572/100)</f>
        <v>0</v>
      </c>
      <c r="R572" s="38"/>
      <c r="S572" s="15"/>
      <c r="T572" s="15"/>
      <c r="Z572" s="2" t="s">
        <v>1399</v>
      </c>
      <c r="AA572" s="2">
        <f>SUM(AA571:AA571)</f>
        <v>1.23</v>
      </c>
    </row>
    <row r="573" spans="2:27" ht="21.95" customHeight="1" x14ac:dyDescent="0.15">
      <c r="B573" s="13" t="s">
        <v>1448</v>
      </c>
      <c r="D573" s="170" t="s">
        <v>1619</v>
      </c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2"/>
    </row>
    <row r="574" spans="2:27" ht="21.95" customHeight="1" x14ac:dyDescent="0.15">
      <c r="B574" s="13" t="s">
        <v>1397</v>
      </c>
      <c r="C574" s="13" t="s">
        <v>874</v>
      </c>
      <c r="D574" s="12" t="s">
        <v>858</v>
      </c>
      <c r="E574" s="12" t="s">
        <v>875</v>
      </c>
      <c r="F574" s="15" t="s">
        <v>559</v>
      </c>
      <c r="G574" s="15">
        <v>1</v>
      </c>
      <c r="H574" s="15">
        <f>IF(I574&lt;&gt;0, G574-I574, "")</f>
        <v>0</v>
      </c>
      <c r="I574" s="15">
        <v>1</v>
      </c>
      <c r="J574" s="15"/>
      <c r="K574" s="12" t="s">
        <v>1372</v>
      </c>
      <c r="L574" s="15" t="s">
        <v>1004</v>
      </c>
      <c r="M574" s="15">
        <v>1.23</v>
      </c>
      <c r="N574" s="15">
        <v>100</v>
      </c>
      <c r="O574" s="15">
        <f>IF(I574*M574=0, "", I574*M574*(N574/100))</f>
        <v>1.23</v>
      </c>
      <c r="P574" s="38"/>
      <c r="Q574" s="38">
        <f>TRUNC(P574*M574*N574/100)</f>
        <v>0</v>
      </c>
      <c r="R574" s="38"/>
      <c r="S574" s="15"/>
      <c r="T574" s="15" t="s">
        <v>1436</v>
      </c>
      <c r="AA574" s="2">
        <f>O574</f>
        <v>1.23</v>
      </c>
    </row>
    <row r="575" spans="2:27" ht="21.95" customHeight="1" x14ac:dyDescent="0.15">
      <c r="B575" s="13" t="s">
        <v>1397</v>
      </c>
      <c r="C575" s="13" t="s">
        <v>1002</v>
      </c>
      <c r="D575" s="12" t="s">
        <v>1003</v>
      </c>
      <c r="E575" s="12" t="s">
        <v>1004</v>
      </c>
      <c r="F575" s="15" t="s">
        <v>999</v>
      </c>
      <c r="G575" s="15">
        <f>IF(H575*I575/100+0.000005 &lt;1, TRUNC(H575*I575/100+0.000005, 옵션!$E$13), TRUNC(H575*I575/100+0.000005, 옵션!$E$13))</f>
        <v>1.23</v>
      </c>
      <c r="H575" s="15">
        <f>옵션!$B$13</f>
        <v>100</v>
      </c>
      <c r="I575" s="15">
        <f>SUM(AA574:AA574)</f>
        <v>1.23</v>
      </c>
      <c r="J575" s="15"/>
      <c r="K575" s="12"/>
      <c r="L575" s="15"/>
      <c r="M575" s="15"/>
      <c r="N575" s="15"/>
      <c r="O575" s="15" t="str">
        <f>IF(I575*M575=0, "", I575*M575*(N575/100))</f>
        <v/>
      </c>
      <c r="P575" s="38"/>
      <c r="Q575" s="38">
        <f>TRUNC(P575*M575*N575/100)</f>
        <v>0</v>
      </c>
      <c r="R575" s="38"/>
      <c r="S575" s="15"/>
      <c r="T575" s="15"/>
      <c r="Z575" s="2" t="s">
        <v>1399</v>
      </c>
      <c r="AA575" s="2">
        <f>SUM(AA574:AA574)</f>
        <v>1.23</v>
      </c>
    </row>
    <row r="576" spans="2:27" ht="21.95" customHeight="1" x14ac:dyDescent="0.15">
      <c r="B576" s="13" t="s">
        <v>1448</v>
      </c>
      <c r="D576" s="170" t="s">
        <v>1620</v>
      </c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2"/>
    </row>
    <row r="577" spans="2:27" ht="21.95" customHeight="1" x14ac:dyDescent="0.15">
      <c r="B577" s="13" t="s">
        <v>1397</v>
      </c>
      <c r="C577" s="13" t="s">
        <v>876</v>
      </c>
      <c r="D577" s="12" t="s">
        <v>858</v>
      </c>
      <c r="E577" s="12" t="s">
        <v>877</v>
      </c>
      <c r="F577" s="15" t="s">
        <v>559</v>
      </c>
      <c r="G577" s="15">
        <v>1</v>
      </c>
      <c r="H577" s="15">
        <f>IF(I577&lt;&gt;0, G577-I577, "")</f>
        <v>0</v>
      </c>
      <c r="I577" s="15">
        <v>1</v>
      </c>
      <c r="J577" s="15"/>
      <c r="K577" s="12" t="s">
        <v>1372</v>
      </c>
      <c r="L577" s="15" t="s">
        <v>1004</v>
      </c>
      <c r="M577" s="15">
        <v>1.23</v>
      </c>
      <c r="N577" s="15">
        <v>100</v>
      </c>
      <c r="O577" s="15">
        <f>IF(I577*M577=0, "", I577*M577*(N577/100))</f>
        <v>1.23</v>
      </c>
      <c r="P577" s="38"/>
      <c r="Q577" s="38">
        <f>TRUNC(P577*M577*N577/100)</f>
        <v>0</v>
      </c>
      <c r="R577" s="38"/>
      <c r="S577" s="15"/>
      <c r="T577" s="15" t="s">
        <v>1436</v>
      </c>
      <c r="AA577" s="2">
        <f>O577</f>
        <v>1.23</v>
      </c>
    </row>
    <row r="578" spans="2:27" ht="21.95" customHeight="1" x14ac:dyDescent="0.15">
      <c r="B578" s="13" t="s">
        <v>1397</v>
      </c>
      <c r="C578" s="13" t="s">
        <v>1002</v>
      </c>
      <c r="D578" s="12" t="s">
        <v>1003</v>
      </c>
      <c r="E578" s="12" t="s">
        <v>1004</v>
      </c>
      <c r="F578" s="15" t="s">
        <v>999</v>
      </c>
      <c r="G578" s="15">
        <f>IF(H578*I578/100+0.000005 &lt;1, TRUNC(H578*I578/100+0.000005, 옵션!$E$13), TRUNC(H578*I578/100+0.000005, 옵션!$E$13))</f>
        <v>1.23</v>
      </c>
      <c r="H578" s="15">
        <f>옵션!$B$13</f>
        <v>100</v>
      </c>
      <c r="I578" s="15">
        <f>SUM(AA577:AA577)</f>
        <v>1.23</v>
      </c>
      <c r="J578" s="15"/>
      <c r="K578" s="12"/>
      <c r="L578" s="15"/>
      <c r="M578" s="15"/>
      <c r="N578" s="15"/>
      <c r="O578" s="15" t="str">
        <f>IF(I578*M578=0, "", I578*M578*(N578/100))</f>
        <v/>
      </c>
      <c r="P578" s="38"/>
      <c r="Q578" s="38">
        <f>TRUNC(P578*M578*N578/100)</f>
        <v>0</v>
      </c>
      <c r="R578" s="38"/>
      <c r="S578" s="15"/>
      <c r="T578" s="15"/>
      <c r="Z578" s="2" t="s">
        <v>1399</v>
      </c>
      <c r="AA578" s="2">
        <f>SUM(AA577:AA577)</f>
        <v>1.23</v>
      </c>
    </row>
    <row r="579" spans="2:27" ht="21.95" customHeight="1" x14ac:dyDescent="0.15">
      <c r="B579" s="13" t="s">
        <v>1448</v>
      </c>
      <c r="D579" s="170" t="s">
        <v>1621</v>
      </c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2"/>
    </row>
    <row r="580" spans="2:27" ht="21.95" customHeight="1" x14ac:dyDescent="0.15">
      <c r="B580" s="13" t="s">
        <v>1397</v>
      </c>
      <c r="C580" s="13" t="s">
        <v>878</v>
      </c>
      <c r="D580" s="12" t="s">
        <v>858</v>
      </c>
      <c r="E580" s="12" t="s">
        <v>879</v>
      </c>
      <c r="F580" s="15" t="s">
        <v>559</v>
      </c>
      <c r="G580" s="15">
        <v>1</v>
      </c>
      <c r="H580" s="15">
        <f>IF(I580&lt;&gt;0, G580-I580, "")</f>
        <v>0</v>
      </c>
      <c r="I580" s="15">
        <v>1</v>
      </c>
      <c r="J580" s="15"/>
      <c r="K580" s="12" t="s">
        <v>1372</v>
      </c>
      <c r="L580" s="15" t="s">
        <v>1004</v>
      </c>
      <c r="M580" s="15">
        <v>1.23</v>
      </c>
      <c r="N580" s="15">
        <v>100</v>
      </c>
      <c r="O580" s="15">
        <f>IF(I580*M580=0, "", I580*M580*(N580/100))</f>
        <v>1.23</v>
      </c>
      <c r="P580" s="38"/>
      <c r="Q580" s="38">
        <f>TRUNC(P580*M580*N580/100)</f>
        <v>0</v>
      </c>
      <c r="R580" s="38"/>
      <c r="S580" s="15"/>
      <c r="T580" s="15" t="s">
        <v>1436</v>
      </c>
      <c r="AA580" s="2">
        <f>O580</f>
        <v>1.23</v>
      </c>
    </row>
    <row r="581" spans="2:27" ht="21.95" customHeight="1" x14ac:dyDescent="0.15">
      <c r="B581" s="13" t="s">
        <v>1397</v>
      </c>
      <c r="C581" s="13" t="s">
        <v>1002</v>
      </c>
      <c r="D581" s="12" t="s">
        <v>1003</v>
      </c>
      <c r="E581" s="12" t="s">
        <v>1004</v>
      </c>
      <c r="F581" s="15" t="s">
        <v>999</v>
      </c>
      <c r="G581" s="15">
        <f>IF(H581*I581/100+0.000005 &lt;1, TRUNC(H581*I581/100+0.000005, 옵션!$E$13), TRUNC(H581*I581/100+0.000005, 옵션!$E$13))</f>
        <v>1.23</v>
      </c>
      <c r="H581" s="15">
        <f>옵션!$B$13</f>
        <v>100</v>
      </c>
      <c r="I581" s="15">
        <f>SUM(AA580:AA580)</f>
        <v>1.23</v>
      </c>
      <c r="J581" s="15"/>
      <c r="K581" s="12"/>
      <c r="L581" s="15"/>
      <c r="M581" s="15"/>
      <c r="N581" s="15"/>
      <c r="O581" s="15" t="str">
        <f>IF(I581*M581=0, "", I581*M581*(N581/100))</f>
        <v/>
      </c>
      <c r="P581" s="38"/>
      <c r="Q581" s="38">
        <f>TRUNC(P581*M581*N581/100)</f>
        <v>0</v>
      </c>
      <c r="R581" s="38"/>
      <c r="S581" s="15"/>
      <c r="T581" s="15"/>
      <c r="Z581" s="2" t="s">
        <v>1399</v>
      </c>
      <c r="AA581" s="2">
        <f>SUM(AA580:AA580)</f>
        <v>1.23</v>
      </c>
    </row>
    <row r="582" spans="2:27" ht="21.95" customHeight="1" x14ac:dyDescent="0.15">
      <c r="B582" s="13" t="s">
        <v>1448</v>
      </c>
      <c r="D582" s="170" t="s">
        <v>1622</v>
      </c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2"/>
    </row>
    <row r="583" spans="2:27" ht="21.95" customHeight="1" x14ac:dyDescent="0.15">
      <c r="B583" s="13" t="s">
        <v>1397</v>
      </c>
      <c r="C583" s="13" t="s">
        <v>880</v>
      </c>
      <c r="D583" s="12" t="s">
        <v>858</v>
      </c>
      <c r="E583" s="12" t="s">
        <v>881</v>
      </c>
      <c r="F583" s="15" t="s">
        <v>559</v>
      </c>
      <c r="G583" s="15">
        <v>1</v>
      </c>
      <c r="H583" s="15">
        <f>IF(I583&lt;&gt;0, G583-I583, "")</f>
        <v>0</v>
      </c>
      <c r="I583" s="15">
        <v>1</v>
      </c>
      <c r="J583" s="15"/>
      <c r="K583" s="12" t="s">
        <v>1372</v>
      </c>
      <c r="L583" s="15" t="s">
        <v>1004</v>
      </c>
      <c r="M583" s="15">
        <v>1.23</v>
      </c>
      <c r="N583" s="15">
        <v>100</v>
      </c>
      <c r="O583" s="15">
        <f>IF(I583*M583=0, "", I583*M583*(N583/100))</f>
        <v>1.23</v>
      </c>
      <c r="P583" s="38"/>
      <c r="Q583" s="38">
        <f>TRUNC(P583*M583*N583/100)</f>
        <v>0</v>
      </c>
      <c r="R583" s="38"/>
      <c r="S583" s="15"/>
      <c r="T583" s="15" t="s">
        <v>1436</v>
      </c>
      <c r="AA583" s="2">
        <f>O583</f>
        <v>1.23</v>
      </c>
    </row>
    <row r="584" spans="2:27" ht="21.95" customHeight="1" x14ac:dyDescent="0.15">
      <c r="B584" s="13" t="s">
        <v>1397</v>
      </c>
      <c r="C584" s="13" t="s">
        <v>1002</v>
      </c>
      <c r="D584" s="12" t="s">
        <v>1003</v>
      </c>
      <c r="E584" s="12" t="s">
        <v>1004</v>
      </c>
      <c r="F584" s="15" t="s">
        <v>999</v>
      </c>
      <c r="G584" s="15">
        <f>IF(H584*I584/100+0.000005 &lt;1, TRUNC(H584*I584/100+0.000005, 옵션!$E$13), TRUNC(H584*I584/100+0.000005, 옵션!$E$13))</f>
        <v>1.23</v>
      </c>
      <c r="H584" s="15">
        <f>옵션!$B$13</f>
        <v>100</v>
      </c>
      <c r="I584" s="15">
        <f>SUM(AA583:AA583)</f>
        <v>1.23</v>
      </c>
      <c r="J584" s="15"/>
      <c r="K584" s="12"/>
      <c r="L584" s="15"/>
      <c r="M584" s="15"/>
      <c r="N584" s="15"/>
      <c r="O584" s="15" t="str">
        <f>IF(I584*M584=0, "", I584*M584*(N584/100))</f>
        <v/>
      </c>
      <c r="P584" s="38"/>
      <c r="Q584" s="38">
        <f>TRUNC(P584*M584*N584/100)</f>
        <v>0</v>
      </c>
      <c r="R584" s="38"/>
      <c r="S584" s="15"/>
      <c r="T584" s="15"/>
      <c r="Z584" s="2" t="s">
        <v>1399</v>
      </c>
      <c r="AA584" s="2">
        <f>SUM(AA583:AA583)</f>
        <v>1.23</v>
      </c>
    </row>
    <row r="585" spans="2:27" ht="21.95" customHeight="1" x14ac:dyDescent="0.15">
      <c r="B585" s="13" t="s">
        <v>1448</v>
      </c>
      <c r="D585" s="170" t="s">
        <v>1623</v>
      </c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2"/>
    </row>
    <row r="586" spans="2:27" ht="21.95" customHeight="1" x14ac:dyDescent="0.15">
      <c r="B586" s="13" t="s">
        <v>1397</v>
      </c>
      <c r="C586" s="13" t="s">
        <v>882</v>
      </c>
      <c r="D586" s="12" t="s">
        <v>858</v>
      </c>
      <c r="E586" s="12" t="s">
        <v>883</v>
      </c>
      <c r="F586" s="15" t="s">
        <v>559</v>
      </c>
      <c r="G586" s="15">
        <v>1</v>
      </c>
      <c r="H586" s="15">
        <f>IF(I586&lt;&gt;0, G586-I586, "")</f>
        <v>0</v>
      </c>
      <c r="I586" s="15">
        <v>1</v>
      </c>
      <c r="J586" s="15"/>
      <c r="K586" s="12" t="s">
        <v>1372</v>
      </c>
      <c r="L586" s="15" t="s">
        <v>1004</v>
      </c>
      <c r="M586" s="15">
        <v>1.23</v>
      </c>
      <c r="N586" s="15">
        <v>100</v>
      </c>
      <c r="O586" s="15">
        <f>IF(I586*M586=0, "", I586*M586*(N586/100))</f>
        <v>1.23</v>
      </c>
      <c r="P586" s="38"/>
      <c r="Q586" s="38">
        <f>TRUNC(P586*M586*N586/100)</f>
        <v>0</v>
      </c>
      <c r="R586" s="38"/>
      <c r="S586" s="15"/>
      <c r="T586" s="15" t="s">
        <v>1436</v>
      </c>
      <c r="AA586" s="2">
        <f>O586</f>
        <v>1.23</v>
      </c>
    </row>
    <row r="587" spans="2:27" ht="21.95" customHeight="1" x14ac:dyDescent="0.15">
      <c r="B587" s="13" t="s">
        <v>1397</v>
      </c>
      <c r="C587" s="13" t="s">
        <v>1002</v>
      </c>
      <c r="D587" s="12" t="s">
        <v>1003</v>
      </c>
      <c r="E587" s="12" t="s">
        <v>1004</v>
      </c>
      <c r="F587" s="15" t="s">
        <v>999</v>
      </c>
      <c r="G587" s="15">
        <f>IF(H587*I587/100+0.000005 &lt;1, TRUNC(H587*I587/100+0.000005, 옵션!$E$13), TRUNC(H587*I587/100+0.000005, 옵션!$E$13))</f>
        <v>1.23</v>
      </c>
      <c r="H587" s="15">
        <f>옵션!$B$13</f>
        <v>100</v>
      </c>
      <c r="I587" s="15">
        <f>SUM(AA586:AA586)</f>
        <v>1.23</v>
      </c>
      <c r="J587" s="15"/>
      <c r="K587" s="12"/>
      <c r="L587" s="15"/>
      <c r="M587" s="15"/>
      <c r="N587" s="15"/>
      <c r="O587" s="15" t="str">
        <f>IF(I587*M587=0, "", I587*M587*(N587/100))</f>
        <v/>
      </c>
      <c r="P587" s="38"/>
      <c r="Q587" s="38">
        <f>TRUNC(P587*M587*N587/100)</f>
        <v>0</v>
      </c>
      <c r="R587" s="38"/>
      <c r="S587" s="15"/>
      <c r="T587" s="15"/>
      <c r="Z587" s="2" t="s">
        <v>1399</v>
      </c>
      <c r="AA587" s="2">
        <f>SUM(AA586:AA586)</f>
        <v>1.23</v>
      </c>
    </row>
    <row r="588" spans="2:27" ht="21.95" customHeight="1" x14ac:dyDescent="0.15">
      <c r="B588" s="13" t="s">
        <v>1448</v>
      </c>
      <c r="D588" s="170" t="s">
        <v>1624</v>
      </c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2"/>
    </row>
    <row r="589" spans="2:27" ht="21.95" customHeight="1" x14ac:dyDescent="0.15">
      <c r="B589" s="13" t="s">
        <v>1397</v>
      </c>
      <c r="C589" s="13" t="s">
        <v>884</v>
      </c>
      <c r="D589" s="12" t="s">
        <v>858</v>
      </c>
      <c r="E589" s="12" t="s">
        <v>885</v>
      </c>
      <c r="F589" s="15" t="s">
        <v>559</v>
      </c>
      <c r="G589" s="15">
        <v>1</v>
      </c>
      <c r="H589" s="15">
        <f>IF(I589&lt;&gt;0, G589-I589, "")</f>
        <v>0</v>
      </c>
      <c r="I589" s="15">
        <v>1</v>
      </c>
      <c r="J589" s="15"/>
      <c r="K589" s="12" t="s">
        <v>1372</v>
      </c>
      <c r="L589" s="15" t="s">
        <v>1004</v>
      </c>
      <c r="M589" s="15">
        <v>1.23</v>
      </c>
      <c r="N589" s="15">
        <v>100</v>
      </c>
      <c r="O589" s="15">
        <f>IF(I589*M589=0, "", I589*M589*(N589/100))</f>
        <v>1.23</v>
      </c>
      <c r="P589" s="38"/>
      <c r="Q589" s="38">
        <f>TRUNC(P589*M589*N589/100)</f>
        <v>0</v>
      </c>
      <c r="R589" s="38"/>
      <c r="S589" s="15"/>
      <c r="T589" s="15" t="s">
        <v>1436</v>
      </c>
      <c r="AA589" s="2">
        <f>O589</f>
        <v>1.23</v>
      </c>
    </row>
    <row r="590" spans="2:27" ht="21.95" customHeight="1" x14ac:dyDescent="0.15">
      <c r="B590" s="13" t="s">
        <v>1397</v>
      </c>
      <c r="C590" s="13" t="s">
        <v>1002</v>
      </c>
      <c r="D590" s="12" t="s">
        <v>1003</v>
      </c>
      <c r="E590" s="12" t="s">
        <v>1004</v>
      </c>
      <c r="F590" s="15" t="s">
        <v>999</v>
      </c>
      <c r="G590" s="15">
        <f>IF(H590*I590/100+0.000005 &lt;1, TRUNC(H590*I590/100+0.000005, 옵션!$E$13), TRUNC(H590*I590/100+0.000005, 옵션!$E$13))</f>
        <v>1.23</v>
      </c>
      <c r="H590" s="15">
        <f>옵션!$B$13</f>
        <v>100</v>
      </c>
      <c r="I590" s="15">
        <f>SUM(AA589:AA589)</f>
        <v>1.23</v>
      </c>
      <c r="J590" s="15"/>
      <c r="K590" s="12"/>
      <c r="L590" s="15"/>
      <c r="M590" s="15"/>
      <c r="N590" s="15"/>
      <c r="O590" s="15" t="str">
        <f>IF(I590*M590=0, "", I590*M590*(N590/100))</f>
        <v/>
      </c>
      <c r="P590" s="38"/>
      <c r="Q590" s="38">
        <f>TRUNC(P590*M590*N590/100)</f>
        <v>0</v>
      </c>
      <c r="R590" s="38"/>
      <c r="S590" s="15"/>
      <c r="T590" s="15"/>
      <c r="Z590" s="2" t="s">
        <v>1399</v>
      </c>
      <c r="AA590" s="2">
        <f>SUM(AA589:AA589)</f>
        <v>1.23</v>
      </c>
    </row>
    <row r="591" spans="2:27" ht="21.95" customHeight="1" x14ac:dyDescent="0.15">
      <c r="B591" s="13" t="s">
        <v>1448</v>
      </c>
      <c r="D591" s="170" t="s">
        <v>1625</v>
      </c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2"/>
    </row>
    <row r="592" spans="2:27" ht="21.95" customHeight="1" x14ac:dyDescent="0.15">
      <c r="B592" s="13" t="s">
        <v>1397</v>
      </c>
      <c r="C592" s="13" t="s">
        <v>886</v>
      </c>
      <c r="D592" s="12" t="s">
        <v>858</v>
      </c>
      <c r="E592" s="12" t="s">
        <v>887</v>
      </c>
      <c r="F592" s="15" t="s">
        <v>559</v>
      </c>
      <c r="G592" s="15">
        <v>1</v>
      </c>
      <c r="H592" s="15">
        <f>IF(I592&lt;&gt;0, G592-I592, "")</f>
        <v>0</v>
      </c>
      <c r="I592" s="15">
        <v>1</v>
      </c>
      <c r="J592" s="15"/>
      <c r="K592" s="12" t="s">
        <v>1372</v>
      </c>
      <c r="L592" s="15" t="s">
        <v>1004</v>
      </c>
      <c r="M592" s="15">
        <v>1.23</v>
      </c>
      <c r="N592" s="15">
        <v>100</v>
      </c>
      <c r="O592" s="15">
        <f>IF(I592*M592=0, "", I592*M592*(N592/100))</f>
        <v>1.23</v>
      </c>
      <c r="P592" s="38"/>
      <c r="Q592" s="38">
        <f>TRUNC(P592*M592*N592/100)</f>
        <v>0</v>
      </c>
      <c r="R592" s="38"/>
      <c r="S592" s="15"/>
      <c r="T592" s="15" t="s">
        <v>1436</v>
      </c>
      <c r="AA592" s="2">
        <f>O592</f>
        <v>1.23</v>
      </c>
    </row>
    <row r="593" spans="2:27" ht="21.95" customHeight="1" x14ac:dyDescent="0.15">
      <c r="B593" s="13" t="s">
        <v>1397</v>
      </c>
      <c r="C593" s="13" t="s">
        <v>1002</v>
      </c>
      <c r="D593" s="12" t="s">
        <v>1003</v>
      </c>
      <c r="E593" s="12" t="s">
        <v>1004</v>
      </c>
      <c r="F593" s="15" t="s">
        <v>999</v>
      </c>
      <c r="G593" s="15">
        <f>IF(H593*I593/100+0.000005 &lt;1, TRUNC(H593*I593/100+0.000005, 옵션!$E$13), TRUNC(H593*I593/100+0.000005, 옵션!$E$13))</f>
        <v>1.23</v>
      </c>
      <c r="H593" s="15">
        <f>옵션!$B$13</f>
        <v>100</v>
      </c>
      <c r="I593" s="15">
        <f>SUM(AA592:AA592)</f>
        <v>1.23</v>
      </c>
      <c r="J593" s="15"/>
      <c r="K593" s="12"/>
      <c r="L593" s="15"/>
      <c r="M593" s="15"/>
      <c r="N593" s="15"/>
      <c r="O593" s="15" t="str">
        <f>IF(I593*M593=0, "", I593*M593*(N593/100))</f>
        <v/>
      </c>
      <c r="P593" s="38"/>
      <c r="Q593" s="38">
        <f>TRUNC(P593*M593*N593/100)</f>
        <v>0</v>
      </c>
      <c r="R593" s="38"/>
      <c r="S593" s="15"/>
      <c r="T593" s="15"/>
      <c r="Z593" s="2" t="s">
        <v>1399</v>
      </c>
      <c r="AA593" s="2">
        <f>SUM(AA592:AA592)</f>
        <v>1.23</v>
      </c>
    </row>
    <row r="594" spans="2:27" ht="21.95" customHeight="1" x14ac:dyDescent="0.15">
      <c r="B594" s="13" t="s">
        <v>1448</v>
      </c>
      <c r="D594" s="170" t="s">
        <v>1626</v>
      </c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2"/>
    </row>
    <row r="595" spans="2:27" ht="21.95" customHeight="1" x14ac:dyDescent="0.15">
      <c r="B595" s="13" t="s">
        <v>1397</v>
      </c>
      <c r="C595" s="13" t="s">
        <v>888</v>
      </c>
      <c r="D595" s="12" t="s">
        <v>858</v>
      </c>
      <c r="E595" s="12" t="s">
        <v>889</v>
      </c>
      <c r="F595" s="15" t="s">
        <v>559</v>
      </c>
      <c r="G595" s="15">
        <v>1</v>
      </c>
      <c r="H595" s="15">
        <f>IF(I595&lt;&gt;0, G595-I595, "")</f>
        <v>0</v>
      </c>
      <c r="I595" s="15">
        <v>1</v>
      </c>
      <c r="J595" s="15"/>
      <c r="K595" s="12" t="s">
        <v>1372</v>
      </c>
      <c r="L595" s="15" t="s">
        <v>1004</v>
      </c>
      <c r="M595" s="15">
        <v>1.23</v>
      </c>
      <c r="N595" s="15">
        <v>100</v>
      </c>
      <c r="O595" s="15">
        <f>IF(I595*M595=0, "", I595*M595*(N595/100))</f>
        <v>1.23</v>
      </c>
      <c r="P595" s="38"/>
      <c r="Q595" s="38">
        <f>TRUNC(P595*M595*N595/100)</f>
        <v>0</v>
      </c>
      <c r="R595" s="38"/>
      <c r="S595" s="15"/>
      <c r="T595" s="15" t="s">
        <v>1436</v>
      </c>
      <c r="AA595" s="2">
        <f>O595</f>
        <v>1.23</v>
      </c>
    </row>
    <row r="596" spans="2:27" ht="21.95" customHeight="1" x14ac:dyDescent="0.15">
      <c r="B596" s="13" t="s">
        <v>1397</v>
      </c>
      <c r="C596" s="13" t="s">
        <v>1002</v>
      </c>
      <c r="D596" s="12" t="s">
        <v>1003</v>
      </c>
      <c r="E596" s="12" t="s">
        <v>1004</v>
      </c>
      <c r="F596" s="15" t="s">
        <v>999</v>
      </c>
      <c r="G596" s="15">
        <f>IF(H596*I596/100+0.000005 &lt;1, TRUNC(H596*I596/100+0.000005, 옵션!$E$13), TRUNC(H596*I596/100+0.000005, 옵션!$E$13))</f>
        <v>1.23</v>
      </c>
      <c r="H596" s="15">
        <f>옵션!$B$13</f>
        <v>100</v>
      </c>
      <c r="I596" s="15">
        <f>SUM(AA595:AA595)</f>
        <v>1.23</v>
      </c>
      <c r="J596" s="15"/>
      <c r="K596" s="12"/>
      <c r="L596" s="15"/>
      <c r="M596" s="15"/>
      <c r="N596" s="15"/>
      <c r="O596" s="15" t="str">
        <f>IF(I596*M596=0, "", I596*M596*(N596/100))</f>
        <v/>
      </c>
      <c r="P596" s="38"/>
      <c r="Q596" s="38">
        <f>TRUNC(P596*M596*N596/100)</f>
        <v>0</v>
      </c>
      <c r="R596" s="38"/>
      <c r="S596" s="15"/>
      <c r="T596" s="15"/>
      <c r="Z596" s="2" t="s">
        <v>1399</v>
      </c>
      <c r="AA596" s="2">
        <f>SUM(AA595:AA595)</f>
        <v>1.23</v>
      </c>
    </row>
    <row r="597" spans="2:27" ht="21.95" customHeight="1" x14ac:dyDescent="0.15">
      <c r="B597" s="13" t="s">
        <v>1448</v>
      </c>
      <c r="D597" s="170" t="s">
        <v>1627</v>
      </c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2"/>
    </row>
    <row r="598" spans="2:27" ht="21.95" customHeight="1" x14ac:dyDescent="0.15">
      <c r="B598" s="13" t="s">
        <v>1397</v>
      </c>
      <c r="C598" s="13" t="s">
        <v>890</v>
      </c>
      <c r="D598" s="12" t="s">
        <v>858</v>
      </c>
      <c r="E598" s="12" t="s">
        <v>891</v>
      </c>
      <c r="F598" s="15" t="s">
        <v>559</v>
      </c>
      <c r="G598" s="15">
        <v>1</v>
      </c>
      <c r="H598" s="15">
        <f>IF(I598&lt;&gt;0, G598-I598, "")</f>
        <v>0</v>
      </c>
      <c r="I598" s="15">
        <v>1</v>
      </c>
      <c r="J598" s="15"/>
      <c r="K598" s="12" t="s">
        <v>1372</v>
      </c>
      <c r="L598" s="15" t="s">
        <v>1004</v>
      </c>
      <c r="M598" s="15">
        <v>1.23</v>
      </c>
      <c r="N598" s="15">
        <v>100</v>
      </c>
      <c r="O598" s="15">
        <f>IF(I598*M598=0, "", I598*M598*(N598/100))</f>
        <v>1.23</v>
      </c>
      <c r="P598" s="38"/>
      <c r="Q598" s="38">
        <f>TRUNC(P598*M598*N598/100)</f>
        <v>0</v>
      </c>
      <c r="R598" s="38"/>
      <c r="S598" s="15"/>
      <c r="T598" s="15" t="s">
        <v>1436</v>
      </c>
      <c r="AA598" s="2">
        <f>O598</f>
        <v>1.23</v>
      </c>
    </row>
    <row r="599" spans="2:27" ht="21.95" customHeight="1" x14ac:dyDescent="0.15">
      <c r="B599" s="13" t="s">
        <v>1397</v>
      </c>
      <c r="C599" s="13" t="s">
        <v>1002</v>
      </c>
      <c r="D599" s="12" t="s">
        <v>1003</v>
      </c>
      <c r="E599" s="12" t="s">
        <v>1004</v>
      </c>
      <c r="F599" s="15" t="s">
        <v>999</v>
      </c>
      <c r="G599" s="15">
        <f>IF(H599*I599/100+0.000005 &lt;1, TRUNC(H599*I599/100+0.000005, 옵션!$E$13), TRUNC(H599*I599/100+0.000005, 옵션!$E$13))</f>
        <v>1.23</v>
      </c>
      <c r="H599" s="15">
        <f>옵션!$B$13</f>
        <v>100</v>
      </c>
      <c r="I599" s="15">
        <f>SUM(AA598:AA598)</f>
        <v>1.23</v>
      </c>
      <c r="J599" s="15"/>
      <c r="K599" s="12"/>
      <c r="L599" s="15"/>
      <c r="M599" s="15"/>
      <c r="N599" s="15"/>
      <c r="O599" s="15" t="str">
        <f>IF(I599*M599=0, "", I599*M599*(N599/100))</f>
        <v/>
      </c>
      <c r="P599" s="38"/>
      <c r="Q599" s="38">
        <f>TRUNC(P599*M599*N599/100)</f>
        <v>0</v>
      </c>
      <c r="R599" s="38"/>
      <c r="S599" s="15"/>
      <c r="T599" s="15"/>
      <c r="Z599" s="2" t="s">
        <v>1399</v>
      </c>
      <c r="AA599" s="2">
        <f>SUM(AA598:AA598)</f>
        <v>1.23</v>
      </c>
    </row>
    <row r="600" spans="2:27" ht="21.95" customHeight="1" x14ac:dyDescent="0.15">
      <c r="B600" s="13" t="s">
        <v>1448</v>
      </c>
      <c r="D600" s="170" t="s">
        <v>1628</v>
      </c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2"/>
    </row>
    <row r="601" spans="2:27" ht="21.95" customHeight="1" x14ac:dyDescent="0.15">
      <c r="B601" s="13" t="s">
        <v>1397</v>
      </c>
      <c r="C601" s="13" t="s">
        <v>892</v>
      </c>
      <c r="D601" s="12" t="s">
        <v>858</v>
      </c>
      <c r="E601" s="12" t="s">
        <v>893</v>
      </c>
      <c r="F601" s="15" t="s">
        <v>559</v>
      </c>
      <c r="G601" s="15">
        <v>1</v>
      </c>
      <c r="H601" s="15">
        <f>IF(I601&lt;&gt;0, G601-I601, "")</f>
        <v>0</v>
      </c>
      <c r="I601" s="15">
        <v>1</v>
      </c>
      <c r="J601" s="15"/>
      <c r="K601" s="12" t="s">
        <v>1372</v>
      </c>
      <c r="L601" s="15" t="s">
        <v>1004</v>
      </c>
      <c r="M601" s="15">
        <v>1.23</v>
      </c>
      <c r="N601" s="15">
        <v>100</v>
      </c>
      <c r="O601" s="15">
        <f>IF(I601*M601=0, "", I601*M601*(N601/100))</f>
        <v>1.23</v>
      </c>
      <c r="P601" s="38"/>
      <c r="Q601" s="38">
        <f>TRUNC(P601*M601*N601/100)</f>
        <v>0</v>
      </c>
      <c r="R601" s="38"/>
      <c r="S601" s="15"/>
      <c r="T601" s="15" t="s">
        <v>1436</v>
      </c>
      <c r="AA601" s="2">
        <f>O601</f>
        <v>1.23</v>
      </c>
    </row>
    <row r="602" spans="2:27" ht="21.95" customHeight="1" x14ac:dyDescent="0.15">
      <c r="B602" s="13" t="s">
        <v>1397</v>
      </c>
      <c r="C602" s="13" t="s">
        <v>1002</v>
      </c>
      <c r="D602" s="12" t="s">
        <v>1003</v>
      </c>
      <c r="E602" s="12" t="s">
        <v>1004</v>
      </c>
      <c r="F602" s="15" t="s">
        <v>999</v>
      </c>
      <c r="G602" s="15">
        <f>IF(H602*I602/100+0.000005 &lt;1, TRUNC(H602*I602/100+0.000005, 옵션!$E$13), TRUNC(H602*I602/100+0.000005, 옵션!$E$13))</f>
        <v>1.23</v>
      </c>
      <c r="H602" s="15">
        <f>옵션!$B$13</f>
        <v>100</v>
      </c>
      <c r="I602" s="15">
        <f>SUM(AA601:AA601)</f>
        <v>1.23</v>
      </c>
      <c r="J602" s="15"/>
      <c r="K602" s="12"/>
      <c r="L602" s="15"/>
      <c r="M602" s="15"/>
      <c r="N602" s="15"/>
      <c r="O602" s="15" t="str">
        <f>IF(I602*M602=0, "", I602*M602*(N602/100))</f>
        <v/>
      </c>
      <c r="P602" s="38"/>
      <c r="Q602" s="38">
        <f>TRUNC(P602*M602*N602/100)</f>
        <v>0</v>
      </c>
      <c r="R602" s="38"/>
      <c r="S602" s="15"/>
      <c r="T602" s="15"/>
      <c r="Z602" s="2" t="s">
        <v>1399</v>
      </c>
      <c r="AA602" s="2">
        <f>SUM(AA601:AA601)</f>
        <v>1.23</v>
      </c>
    </row>
    <row r="603" spans="2:27" ht="21.95" customHeight="1" x14ac:dyDescent="0.15">
      <c r="B603" s="13" t="s">
        <v>1448</v>
      </c>
      <c r="D603" s="170" t="s">
        <v>1629</v>
      </c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2"/>
    </row>
    <row r="604" spans="2:27" ht="21.95" customHeight="1" x14ac:dyDescent="0.15">
      <c r="B604" s="13" t="s">
        <v>1397</v>
      </c>
      <c r="C604" s="13" t="s">
        <v>894</v>
      </c>
      <c r="D604" s="12" t="s">
        <v>858</v>
      </c>
      <c r="E604" s="12" t="s">
        <v>895</v>
      </c>
      <c r="F604" s="15" t="s">
        <v>559</v>
      </c>
      <c r="G604" s="15">
        <v>1</v>
      </c>
      <c r="H604" s="15">
        <f>IF(I604&lt;&gt;0, G604-I604, "")</f>
        <v>0</v>
      </c>
      <c r="I604" s="15">
        <v>1</v>
      </c>
      <c r="J604" s="15"/>
      <c r="K604" s="12" t="s">
        <v>1372</v>
      </c>
      <c r="L604" s="15" t="s">
        <v>1004</v>
      </c>
      <c r="M604" s="15">
        <v>1.23</v>
      </c>
      <c r="N604" s="15">
        <v>100</v>
      </c>
      <c r="O604" s="15">
        <f>IF(I604*M604=0, "", I604*M604*(N604/100))</f>
        <v>1.23</v>
      </c>
      <c r="P604" s="38"/>
      <c r="Q604" s="38">
        <f>TRUNC(P604*M604*N604/100)</f>
        <v>0</v>
      </c>
      <c r="R604" s="38"/>
      <c r="S604" s="15"/>
      <c r="T604" s="15" t="s">
        <v>1436</v>
      </c>
      <c r="AA604" s="2">
        <f>O604</f>
        <v>1.23</v>
      </c>
    </row>
    <row r="605" spans="2:27" ht="21.95" customHeight="1" x14ac:dyDescent="0.15">
      <c r="B605" s="13" t="s">
        <v>1397</v>
      </c>
      <c r="C605" s="13" t="s">
        <v>1002</v>
      </c>
      <c r="D605" s="12" t="s">
        <v>1003</v>
      </c>
      <c r="E605" s="12" t="s">
        <v>1004</v>
      </c>
      <c r="F605" s="15" t="s">
        <v>999</v>
      </c>
      <c r="G605" s="15">
        <f>IF(H605*I605/100+0.000005 &lt;1, TRUNC(H605*I605/100+0.000005, 옵션!$E$13), TRUNC(H605*I605/100+0.000005, 옵션!$E$13))</f>
        <v>1.23</v>
      </c>
      <c r="H605" s="15">
        <f>옵션!$B$13</f>
        <v>100</v>
      </c>
      <c r="I605" s="15">
        <f>SUM(AA604:AA604)</f>
        <v>1.23</v>
      </c>
      <c r="J605" s="15"/>
      <c r="K605" s="12"/>
      <c r="L605" s="15"/>
      <c r="M605" s="15"/>
      <c r="N605" s="15"/>
      <c r="O605" s="15" t="str">
        <f>IF(I605*M605=0, "", I605*M605*(N605/100))</f>
        <v/>
      </c>
      <c r="P605" s="38"/>
      <c r="Q605" s="38">
        <f>TRUNC(P605*M605*N605/100)</f>
        <v>0</v>
      </c>
      <c r="R605" s="38"/>
      <c r="S605" s="15"/>
      <c r="T605" s="15"/>
      <c r="Z605" s="2" t="s">
        <v>1399</v>
      </c>
      <c r="AA605" s="2">
        <f>SUM(AA604:AA604)</f>
        <v>1.23</v>
      </c>
    </row>
    <row r="606" spans="2:27" ht="21.95" customHeight="1" x14ac:dyDescent="0.15">
      <c r="B606" s="13" t="s">
        <v>1448</v>
      </c>
      <c r="D606" s="170" t="s">
        <v>1630</v>
      </c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2"/>
    </row>
    <row r="607" spans="2:27" ht="21.95" customHeight="1" x14ac:dyDescent="0.15">
      <c r="B607" s="13" t="s">
        <v>1397</v>
      </c>
      <c r="C607" s="13" t="s">
        <v>896</v>
      </c>
      <c r="D607" s="12" t="s">
        <v>858</v>
      </c>
      <c r="E607" s="12" t="s">
        <v>897</v>
      </c>
      <c r="F607" s="15" t="s">
        <v>559</v>
      </c>
      <c r="G607" s="15">
        <v>1</v>
      </c>
      <c r="H607" s="15">
        <f>IF(I607&lt;&gt;0, G607-I607, "")</f>
        <v>0</v>
      </c>
      <c r="I607" s="15">
        <v>1</v>
      </c>
      <c r="J607" s="15"/>
      <c r="K607" s="12" t="s">
        <v>1372</v>
      </c>
      <c r="L607" s="15" t="s">
        <v>1004</v>
      </c>
      <c r="M607" s="15">
        <v>1.23</v>
      </c>
      <c r="N607" s="15">
        <v>100</v>
      </c>
      <c r="O607" s="15">
        <f>IF(I607*M607=0, "", I607*M607*(N607/100))</f>
        <v>1.23</v>
      </c>
      <c r="P607" s="38"/>
      <c r="Q607" s="38">
        <f>TRUNC(P607*M607*N607/100)</f>
        <v>0</v>
      </c>
      <c r="R607" s="38"/>
      <c r="S607" s="15"/>
      <c r="T607" s="15" t="s">
        <v>1436</v>
      </c>
      <c r="AA607" s="2">
        <f>O607</f>
        <v>1.23</v>
      </c>
    </row>
    <row r="608" spans="2:27" ht="21.95" customHeight="1" x14ac:dyDescent="0.15">
      <c r="B608" s="13" t="s">
        <v>1397</v>
      </c>
      <c r="C608" s="13" t="s">
        <v>1002</v>
      </c>
      <c r="D608" s="12" t="s">
        <v>1003</v>
      </c>
      <c r="E608" s="12" t="s">
        <v>1004</v>
      </c>
      <c r="F608" s="15" t="s">
        <v>999</v>
      </c>
      <c r="G608" s="15">
        <f>IF(H608*I608/100+0.000005 &lt;1, TRUNC(H608*I608/100+0.000005, 옵션!$E$13), TRUNC(H608*I608/100+0.000005, 옵션!$E$13))</f>
        <v>1.23</v>
      </c>
      <c r="H608" s="15">
        <f>옵션!$B$13</f>
        <v>100</v>
      </c>
      <c r="I608" s="15">
        <f>SUM(AA607:AA607)</f>
        <v>1.23</v>
      </c>
      <c r="J608" s="15"/>
      <c r="K608" s="12"/>
      <c r="L608" s="15"/>
      <c r="M608" s="15"/>
      <c r="N608" s="15"/>
      <c r="O608" s="15" t="str">
        <f>IF(I608*M608=0, "", I608*M608*(N608/100))</f>
        <v/>
      </c>
      <c r="P608" s="38"/>
      <c r="Q608" s="38">
        <f>TRUNC(P608*M608*N608/100)</f>
        <v>0</v>
      </c>
      <c r="R608" s="38"/>
      <c r="S608" s="15"/>
      <c r="T608" s="15"/>
      <c r="Z608" s="2" t="s">
        <v>1399</v>
      </c>
      <c r="AA608" s="2">
        <f>SUM(AA607:AA607)</f>
        <v>1.23</v>
      </c>
    </row>
    <row r="609" spans="2:27" ht="21.95" customHeight="1" x14ac:dyDescent="0.15">
      <c r="B609" s="13" t="s">
        <v>1448</v>
      </c>
      <c r="D609" s="170" t="s">
        <v>1631</v>
      </c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2"/>
    </row>
    <row r="610" spans="2:27" ht="21.95" customHeight="1" x14ac:dyDescent="0.15">
      <c r="B610" s="13" t="s">
        <v>1397</v>
      </c>
      <c r="C610" s="13" t="s">
        <v>898</v>
      </c>
      <c r="D610" s="12" t="s">
        <v>858</v>
      </c>
      <c r="E610" s="12" t="s">
        <v>899</v>
      </c>
      <c r="F610" s="15" t="s">
        <v>559</v>
      </c>
      <c r="G610" s="15">
        <v>1</v>
      </c>
      <c r="H610" s="15">
        <f>IF(I610&lt;&gt;0, G610-I610, "")</f>
        <v>0</v>
      </c>
      <c r="I610" s="15">
        <v>1</v>
      </c>
      <c r="J610" s="15"/>
      <c r="K610" s="12" t="s">
        <v>1372</v>
      </c>
      <c r="L610" s="15" t="s">
        <v>1004</v>
      </c>
      <c r="M610" s="15">
        <v>1.23</v>
      </c>
      <c r="N610" s="15">
        <v>100</v>
      </c>
      <c r="O610" s="15">
        <f>IF(I610*M610=0, "", I610*M610*(N610/100))</f>
        <v>1.23</v>
      </c>
      <c r="P610" s="38"/>
      <c r="Q610" s="38">
        <f>TRUNC(P610*M610*N610/100)</f>
        <v>0</v>
      </c>
      <c r="R610" s="38"/>
      <c r="S610" s="15"/>
      <c r="T610" s="15" t="s">
        <v>1436</v>
      </c>
      <c r="AA610" s="2">
        <f>O610</f>
        <v>1.23</v>
      </c>
    </row>
    <row r="611" spans="2:27" ht="21.95" customHeight="1" x14ac:dyDescent="0.15">
      <c r="B611" s="13" t="s">
        <v>1397</v>
      </c>
      <c r="C611" s="13" t="s">
        <v>1002</v>
      </c>
      <c r="D611" s="12" t="s">
        <v>1003</v>
      </c>
      <c r="E611" s="12" t="s">
        <v>1004</v>
      </c>
      <c r="F611" s="15" t="s">
        <v>999</v>
      </c>
      <c r="G611" s="15">
        <f>IF(H611*I611/100+0.000005 &lt;1, TRUNC(H611*I611/100+0.000005, 옵션!$E$13), TRUNC(H611*I611/100+0.000005, 옵션!$E$13))</f>
        <v>1.23</v>
      </c>
      <c r="H611" s="15">
        <f>옵션!$B$13</f>
        <v>100</v>
      </c>
      <c r="I611" s="15">
        <f>SUM(AA610:AA610)</f>
        <v>1.23</v>
      </c>
      <c r="J611" s="15"/>
      <c r="K611" s="12"/>
      <c r="L611" s="15"/>
      <c r="M611" s="15"/>
      <c r="N611" s="15"/>
      <c r="O611" s="15" t="str">
        <f>IF(I611*M611=0, "", I611*M611*(N611/100))</f>
        <v/>
      </c>
      <c r="P611" s="38"/>
      <c r="Q611" s="38">
        <f>TRUNC(P611*M611*N611/100)</f>
        <v>0</v>
      </c>
      <c r="R611" s="38"/>
      <c r="S611" s="15"/>
      <c r="T611" s="15"/>
      <c r="Z611" s="2" t="s">
        <v>1399</v>
      </c>
      <c r="AA611" s="2">
        <f>SUM(AA610:AA610)</f>
        <v>1.23</v>
      </c>
    </row>
    <row r="612" spans="2:27" ht="21.95" customHeight="1" x14ac:dyDescent="0.15">
      <c r="B612" s="13" t="s">
        <v>1448</v>
      </c>
      <c r="D612" s="170" t="s">
        <v>1632</v>
      </c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2"/>
    </row>
    <row r="613" spans="2:27" ht="21.95" customHeight="1" x14ac:dyDescent="0.15">
      <c r="B613" s="13" t="s">
        <v>1397</v>
      </c>
      <c r="C613" s="13" t="s">
        <v>900</v>
      </c>
      <c r="D613" s="12" t="s">
        <v>858</v>
      </c>
      <c r="E613" s="12" t="s">
        <v>901</v>
      </c>
      <c r="F613" s="15" t="s">
        <v>559</v>
      </c>
      <c r="G613" s="15">
        <v>1</v>
      </c>
      <c r="H613" s="15">
        <f>IF(I613&lt;&gt;0, G613-I613, "")</f>
        <v>0</v>
      </c>
      <c r="I613" s="15">
        <v>1</v>
      </c>
      <c r="J613" s="15"/>
      <c r="K613" s="12" t="s">
        <v>1372</v>
      </c>
      <c r="L613" s="15" t="s">
        <v>1004</v>
      </c>
      <c r="M613" s="15">
        <v>1.23</v>
      </c>
      <c r="N613" s="15">
        <v>100</v>
      </c>
      <c r="O613" s="15">
        <f>IF(I613*M613=0, "", I613*M613*(N613/100))</f>
        <v>1.23</v>
      </c>
      <c r="P613" s="38"/>
      <c r="Q613" s="38">
        <f>TRUNC(P613*M613*N613/100)</f>
        <v>0</v>
      </c>
      <c r="R613" s="38"/>
      <c r="S613" s="15"/>
      <c r="T613" s="15" t="s">
        <v>1436</v>
      </c>
      <c r="AA613" s="2">
        <f>O613</f>
        <v>1.23</v>
      </c>
    </row>
    <row r="614" spans="2:27" ht="21.95" customHeight="1" x14ac:dyDescent="0.15">
      <c r="B614" s="13" t="s">
        <v>1397</v>
      </c>
      <c r="C614" s="13" t="s">
        <v>1002</v>
      </c>
      <c r="D614" s="12" t="s">
        <v>1003</v>
      </c>
      <c r="E614" s="12" t="s">
        <v>1004</v>
      </c>
      <c r="F614" s="15" t="s">
        <v>999</v>
      </c>
      <c r="G614" s="15">
        <f>IF(H614*I614/100+0.000005 &lt;1, TRUNC(H614*I614/100+0.000005, 옵션!$E$13), TRUNC(H614*I614/100+0.000005, 옵션!$E$13))</f>
        <v>1.23</v>
      </c>
      <c r="H614" s="15">
        <f>옵션!$B$13</f>
        <v>100</v>
      </c>
      <c r="I614" s="15">
        <f>SUM(AA613:AA613)</f>
        <v>1.23</v>
      </c>
      <c r="J614" s="15"/>
      <c r="K614" s="12"/>
      <c r="L614" s="15"/>
      <c r="M614" s="15"/>
      <c r="N614" s="15"/>
      <c r="O614" s="15" t="str">
        <f>IF(I614*M614=0, "", I614*M614*(N614/100))</f>
        <v/>
      </c>
      <c r="P614" s="38"/>
      <c r="Q614" s="38">
        <f>TRUNC(P614*M614*N614/100)</f>
        <v>0</v>
      </c>
      <c r="R614" s="38"/>
      <c r="S614" s="15"/>
      <c r="T614" s="15"/>
      <c r="Z614" s="2" t="s">
        <v>1399</v>
      </c>
      <c r="AA614" s="2">
        <f>SUM(AA613:AA613)</f>
        <v>1.23</v>
      </c>
    </row>
    <row r="615" spans="2:27" ht="21.95" customHeight="1" x14ac:dyDescent="0.15">
      <c r="B615" s="13" t="s">
        <v>1448</v>
      </c>
      <c r="D615" s="170" t="s">
        <v>1633</v>
      </c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2"/>
    </row>
    <row r="616" spans="2:27" ht="21.95" customHeight="1" x14ac:dyDescent="0.15">
      <c r="B616" s="13" t="s">
        <v>1397</v>
      </c>
      <c r="C616" s="13" t="s">
        <v>902</v>
      </c>
      <c r="D616" s="12" t="s">
        <v>858</v>
      </c>
      <c r="E616" s="12" t="s">
        <v>903</v>
      </c>
      <c r="F616" s="15" t="s">
        <v>559</v>
      </c>
      <c r="G616" s="15">
        <v>1</v>
      </c>
      <c r="H616" s="15">
        <f>IF(I616&lt;&gt;0, G616-I616, "")</f>
        <v>0</v>
      </c>
      <c r="I616" s="15">
        <v>1</v>
      </c>
      <c r="J616" s="15"/>
      <c r="K616" s="12" t="s">
        <v>1372</v>
      </c>
      <c r="L616" s="15" t="s">
        <v>1004</v>
      </c>
      <c r="M616" s="15">
        <v>1.23</v>
      </c>
      <c r="N616" s="15">
        <v>100</v>
      </c>
      <c r="O616" s="15">
        <f>IF(I616*M616=0, "", I616*M616*(N616/100))</f>
        <v>1.23</v>
      </c>
      <c r="P616" s="38"/>
      <c r="Q616" s="38">
        <f>TRUNC(P616*M616*N616/100)</f>
        <v>0</v>
      </c>
      <c r="R616" s="38"/>
      <c r="S616" s="15"/>
      <c r="T616" s="15" t="s">
        <v>1436</v>
      </c>
      <c r="AA616" s="2">
        <f>O616</f>
        <v>1.23</v>
      </c>
    </row>
    <row r="617" spans="2:27" ht="21.95" customHeight="1" x14ac:dyDescent="0.15">
      <c r="B617" s="13" t="s">
        <v>1397</v>
      </c>
      <c r="C617" s="13" t="s">
        <v>1002</v>
      </c>
      <c r="D617" s="12" t="s">
        <v>1003</v>
      </c>
      <c r="E617" s="12" t="s">
        <v>1004</v>
      </c>
      <c r="F617" s="15" t="s">
        <v>999</v>
      </c>
      <c r="G617" s="15">
        <f>IF(H617*I617/100+0.000005 &lt;1, TRUNC(H617*I617/100+0.000005, 옵션!$E$13), TRUNC(H617*I617/100+0.000005, 옵션!$E$13))</f>
        <v>1.23</v>
      </c>
      <c r="H617" s="15">
        <f>옵션!$B$13</f>
        <v>100</v>
      </c>
      <c r="I617" s="15">
        <f>SUM(AA616:AA616)</f>
        <v>1.23</v>
      </c>
      <c r="J617" s="15"/>
      <c r="K617" s="12"/>
      <c r="L617" s="15"/>
      <c r="M617" s="15"/>
      <c r="N617" s="15"/>
      <c r="O617" s="15" t="str">
        <f>IF(I617*M617=0, "", I617*M617*(N617/100))</f>
        <v/>
      </c>
      <c r="P617" s="38"/>
      <c r="Q617" s="38">
        <f>TRUNC(P617*M617*N617/100)</f>
        <v>0</v>
      </c>
      <c r="R617" s="38"/>
      <c r="S617" s="15"/>
      <c r="T617" s="15"/>
      <c r="Z617" s="2" t="s">
        <v>1399</v>
      </c>
      <c r="AA617" s="2">
        <f>SUM(AA616:AA616)</f>
        <v>1.23</v>
      </c>
    </row>
    <row r="618" spans="2:27" ht="21.95" customHeight="1" x14ac:dyDescent="0.15">
      <c r="B618" s="13" t="s">
        <v>1448</v>
      </c>
      <c r="D618" s="170" t="s">
        <v>1634</v>
      </c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2"/>
    </row>
    <row r="619" spans="2:27" ht="21.95" customHeight="1" x14ac:dyDescent="0.15">
      <c r="B619" s="13" t="s">
        <v>1397</v>
      </c>
      <c r="C619" s="13" t="s">
        <v>904</v>
      </c>
      <c r="D619" s="12" t="s">
        <v>858</v>
      </c>
      <c r="E619" s="12" t="s">
        <v>905</v>
      </c>
      <c r="F619" s="15" t="s">
        <v>559</v>
      </c>
      <c r="G619" s="15">
        <v>1</v>
      </c>
      <c r="H619" s="15">
        <f>IF(I619&lt;&gt;0, G619-I619, "")</f>
        <v>0</v>
      </c>
      <c r="I619" s="15">
        <v>1</v>
      </c>
      <c r="J619" s="15"/>
      <c r="K619" s="12" t="s">
        <v>1372</v>
      </c>
      <c r="L619" s="15" t="s">
        <v>1004</v>
      </c>
      <c r="M619" s="15">
        <v>1.23</v>
      </c>
      <c r="N619" s="15">
        <v>100</v>
      </c>
      <c r="O619" s="15">
        <f>IF(I619*M619=0, "", I619*M619*(N619/100))</f>
        <v>1.23</v>
      </c>
      <c r="P619" s="38"/>
      <c r="Q619" s="38">
        <f>TRUNC(P619*M619*N619/100)</f>
        <v>0</v>
      </c>
      <c r="R619" s="38"/>
      <c r="S619" s="15"/>
      <c r="T619" s="15" t="s">
        <v>1436</v>
      </c>
      <c r="AA619" s="2">
        <f>O619</f>
        <v>1.23</v>
      </c>
    </row>
    <row r="620" spans="2:27" ht="21.95" customHeight="1" x14ac:dyDescent="0.15">
      <c r="B620" s="13" t="s">
        <v>1397</v>
      </c>
      <c r="C620" s="13" t="s">
        <v>1002</v>
      </c>
      <c r="D620" s="12" t="s">
        <v>1003</v>
      </c>
      <c r="E620" s="12" t="s">
        <v>1004</v>
      </c>
      <c r="F620" s="15" t="s">
        <v>999</v>
      </c>
      <c r="G620" s="15">
        <f>IF(H620*I620/100+0.000005 &lt;1, TRUNC(H620*I620/100+0.000005, 옵션!$E$13), TRUNC(H620*I620/100+0.000005, 옵션!$E$13))</f>
        <v>1.23</v>
      </c>
      <c r="H620" s="15">
        <f>옵션!$B$13</f>
        <v>100</v>
      </c>
      <c r="I620" s="15">
        <f>SUM(AA619:AA619)</f>
        <v>1.23</v>
      </c>
      <c r="J620" s="15"/>
      <c r="K620" s="12"/>
      <c r="L620" s="15"/>
      <c r="M620" s="15"/>
      <c r="N620" s="15"/>
      <c r="O620" s="15" t="str">
        <f>IF(I620*M620=0, "", I620*M620*(N620/100))</f>
        <v/>
      </c>
      <c r="P620" s="38"/>
      <c r="Q620" s="38">
        <f>TRUNC(P620*M620*N620/100)</f>
        <v>0</v>
      </c>
      <c r="R620" s="38"/>
      <c r="S620" s="15"/>
      <c r="T620" s="15"/>
      <c r="Z620" s="2" t="s">
        <v>1399</v>
      </c>
      <c r="AA620" s="2">
        <f>SUM(AA619:AA619)</f>
        <v>1.23</v>
      </c>
    </row>
    <row r="621" spans="2:27" ht="21.95" customHeight="1" x14ac:dyDescent="0.15">
      <c r="B621" s="13" t="s">
        <v>1448</v>
      </c>
      <c r="D621" s="170" t="s">
        <v>1635</v>
      </c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2"/>
    </row>
    <row r="622" spans="2:27" ht="21.95" customHeight="1" x14ac:dyDescent="0.15">
      <c r="B622" s="13" t="s">
        <v>1397</v>
      </c>
      <c r="C622" s="13" t="s">
        <v>906</v>
      </c>
      <c r="D622" s="12" t="s">
        <v>858</v>
      </c>
      <c r="E622" s="12" t="s">
        <v>907</v>
      </c>
      <c r="F622" s="15" t="s">
        <v>559</v>
      </c>
      <c r="G622" s="15">
        <v>1</v>
      </c>
      <c r="H622" s="15">
        <f>IF(I622&lt;&gt;0, G622-I622, "")</f>
        <v>0</v>
      </c>
      <c r="I622" s="15">
        <v>1</v>
      </c>
      <c r="J622" s="15"/>
      <c r="K622" s="12" t="s">
        <v>1372</v>
      </c>
      <c r="L622" s="15" t="s">
        <v>1004</v>
      </c>
      <c r="M622" s="15">
        <v>1.23</v>
      </c>
      <c r="N622" s="15">
        <v>100</v>
      </c>
      <c r="O622" s="15">
        <f>IF(I622*M622=0, "", I622*M622*(N622/100))</f>
        <v>1.23</v>
      </c>
      <c r="P622" s="38"/>
      <c r="Q622" s="38">
        <f>TRUNC(P622*M622*N622/100)</f>
        <v>0</v>
      </c>
      <c r="R622" s="38"/>
      <c r="S622" s="15"/>
      <c r="T622" s="15" t="s">
        <v>1436</v>
      </c>
      <c r="AA622" s="2">
        <f>O622</f>
        <v>1.23</v>
      </c>
    </row>
    <row r="623" spans="2:27" ht="21.95" customHeight="1" x14ac:dyDescent="0.15">
      <c r="B623" s="13" t="s">
        <v>1397</v>
      </c>
      <c r="C623" s="13" t="s">
        <v>1002</v>
      </c>
      <c r="D623" s="12" t="s">
        <v>1003</v>
      </c>
      <c r="E623" s="12" t="s">
        <v>1004</v>
      </c>
      <c r="F623" s="15" t="s">
        <v>999</v>
      </c>
      <c r="G623" s="15">
        <f>IF(H623*I623/100+0.000005 &lt;1, TRUNC(H623*I623/100+0.000005, 옵션!$E$13), TRUNC(H623*I623/100+0.000005, 옵션!$E$13))</f>
        <v>1.23</v>
      </c>
      <c r="H623" s="15">
        <f>옵션!$B$13</f>
        <v>100</v>
      </c>
      <c r="I623" s="15">
        <f>SUM(AA622:AA622)</f>
        <v>1.23</v>
      </c>
      <c r="J623" s="15"/>
      <c r="K623" s="12"/>
      <c r="L623" s="15"/>
      <c r="M623" s="15"/>
      <c r="N623" s="15"/>
      <c r="O623" s="15" t="str">
        <f>IF(I623*M623=0, "", I623*M623*(N623/100))</f>
        <v/>
      </c>
      <c r="P623" s="38"/>
      <c r="Q623" s="38">
        <f>TRUNC(P623*M623*N623/100)</f>
        <v>0</v>
      </c>
      <c r="R623" s="38"/>
      <c r="S623" s="15"/>
      <c r="T623" s="15"/>
      <c r="Z623" s="2" t="s">
        <v>1399</v>
      </c>
      <c r="AA623" s="2">
        <f>SUM(AA622:AA622)</f>
        <v>1.23</v>
      </c>
    </row>
    <row r="624" spans="2:27" ht="21.95" customHeight="1" x14ac:dyDescent="0.15">
      <c r="B624" s="13" t="s">
        <v>1448</v>
      </c>
      <c r="D624" s="170" t="s">
        <v>1636</v>
      </c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2"/>
    </row>
    <row r="625" spans="2:27" ht="21.95" customHeight="1" x14ac:dyDescent="0.15">
      <c r="B625" s="13" t="s">
        <v>1397</v>
      </c>
      <c r="C625" s="13" t="s">
        <v>908</v>
      </c>
      <c r="D625" s="12" t="s">
        <v>858</v>
      </c>
      <c r="E625" s="12" t="s">
        <v>909</v>
      </c>
      <c r="F625" s="15" t="s">
        <v>559</v>
      </c>
      <c r="G625" s="15">
        <v>1</v>
      </c>
      <c r="H625" s="15">
        <f>IF(I625&lt;&gt;0, G625-I625, "")</f>
        <v>0</v>
      </c>
      <c r="I625" s="15">
        <v>1</v>
      </c>
      <c r="J625" s="15"/>
      <c r="K625" s="12" t="s">
        <v>1372</v>
      </c>
      <c r="L625" s="15" t="s">
        <v>1004</v>
      </c>
      <c r="M625" s="15">
        <v>1.23</v>
      </c>
      <c r="N625" s="15">
        <v>100</v>
      </c>
      <c r="O625" s="15">
        <f>IF(I625*M625=0, "", I625*M625*(N625/100))</f>
        <v>1.23</v>
      </c>
      <c r="P625" s="38"/>
      <c r="Q625" s="38">
        <f>TRUNC(P625*M625*N625/100)</f>
        <v>0</v>
      </c>
      <c r="R625" s="38"/>
      <c r="S625" s="15"/>
      <c r="T625" s="15" t="s">
        <v>1436</v>
      </c>
      <c r="AA625" s="2">
        <f>O625</f>
        <v>1.23</v>
      </c>
    </row>
    <row r="626" spans="2:27" ht="21.95" customHeight="1" x14ac:dyDescent="0.15">
      <c r="B626" s="13" t="s">
        <v>1397</v>
      </c>
      <c r="C626" s="13" t="s">
        <v>1002</v>
      </c>
      <c r="D626" s="12" t="s">
        <v>1003</v>
      </c>
      <c r="E626" s="12" t="s">
        <v>1004</v>
      </c>
      <c r="F626" s="15" t="s">
        <v>999</v>
      </c>
      <c r="G626" s="15">
        <f>IF(H626*I626/100+0.000005 &lt;1, TRUNC(H626*I626/100+0.000005, 옵션!$E$13), TRUNC(H626*I626/100+0.000005, 옵션!$E$13))</f>
        <v>1.23</v>
      </c>
      <c r="H626" s="15">
        <f>옵션!$B$13</f>
        <v>100</v>
      </c>
      <c r="I626" s="15">
        <f>SUM(AA625:AA625)</f>
        <v>1.23</v>
      </c>
      <c r="J626" s="15"/>
      <c r="K626" s="12"/>
      <c r="L626" s="15"/>
      <c r="M626" s="15"/>
      <c r="N626" s="15"/>
      <c r="O626" s="15" t="str">
        <f>IF(I626*M626=0, "", I626*M626*(N626/100))</f>
        <v/>
      </c>
      <c r="P626" s="38"/>
      <c r="Q626" s="38">
        <f>TRUNC(P626*M626*N626/100)</f>
        <v>0</v>
      </c>
      <c r="R626" s="38"/>
      <c r="S626" s="15"/>
      <c r="T626" s="15"/>
      <c r="Z626" s="2" t="s">
        <v>1399</v>
      </c>
      <c r="AA626" s="2">
        <f>SUM(AA625:AA625)</f>
        <v>1.23</v>
      </c>
    </row>
    <row r="627" spans="2:27" ht="21.95" customHeight="1" x14ac:dyDescent="0.15">
      <c r="B627" s="13" t="s">
        <v>1448</v>
      </c>
      <c r="D627" s="170" t="s">
        <v>1637</v>
      </c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2"/>
    </row>
    <row r="628" spans="2:27" ht="21.95" customHeight="1" x14ac:dyDescent="0.15">
      <c r="B628" s="13" t="s">
        <v>1397</v>
      </c>
      <c r="C628" s="13" t="s">
        <v>910</v>
      </c>
      <c r="D628" s="12" t="s">
        <v>858</v>
      </c>
      <c r="E628" s="12" t="s">
        <v>911</v>
      </c>
      <c r="F628" s="15" t="s">
        <v>559</v>
      </c>
      <c r="G628" s="15">
        <v>1</v>
      </c>
      <c r="H628" s="15">
        <f>IF(I628&lt;&gt;0, G628-I628, "")</f>
        <v>0</v>
      </c>
      <c r="I628" s="15">
        <v>1</v>
      </c>
      <c r="J628" s="15"/>
      <c r="K628" s="12" t="s">
        <v>1372</v>
      </c>
      <c r="L628" s="15" t="s">
        <v>1004</v>
      </c>
      <c r="M628" s="15">
        <v>1.23</v>
      </c>
      <c r="N628" s="15">
        <v>100</v>
      </c>
      <c r="O628" s="15">
        <f>IF(I628*M628=0, "", I628*M628*(N628/100))</f>
        <v>1.23</v>
      </c>
      <c r="P628" s="38"/>
      <c r="Q628" s="38">
        <f>TRUNC(P628*M628*N628/100)</f>
        <v>0</v>
      </c>
      <c r="R628" s="38"/>
      <c r="S628" s="15"/>
      <c r="T628" s="15" t="s">
        <v>1436</v>
      </c>
      <c r="AA628" s="2">
        <f>O628</f>
        <v>1.23</v>
      </c>
    </row>
    <row r="629" spans="2:27" ht="21.95" customHeight="1" x14ac:dyDescent="0.15">
      <c r="B629" s="13" t="s">
        <v>1397</v>
      </c>
      <c r="C629" s="13" t="s">
        <v>1002</v>
      </c>
      <c r="D629" s="12" t="s">
        <v>1003</v>
      </c>
      <c r="E629" s="12" t="s">
        <v>1004</v>
      </c>
      <c r="F629" s="15" t="s">
        <v>999</v>
      </c>
      <c r="G629" s="15">
        <f>IF(H629*I629/100+0.000005 &lt;1, TRUNC(H629*I629/100+0.000005, 옵션!$E$13), TRUNC(H629*I629/100+0.000005, 옵션!$E$13))</f>
        <v>1.23</v>
      </c>
      <c r="H629" s="15">
        <f>옵션!$B$13</f>
        <v>100</v>
      </c>
      <c r="I629" s="15">
        <f>SUM(AA628:AA628)</f>
        <v>1.23</v>
      </c>
      <c r="J629" s="15"/>
      <c r="K629" s="12"/>
      <c r="L629" s="15"/>
      <c r="M629" s="15"/>
      <c r="N629" s="15"/>
      <c r="O629" s="15" t="str">
        <f>IF(I629*M629=0, "", I629*M629*(N629/100))</f>
        <v/>
      </c>
      <c r="P629" s="38"/>
      <c r="Q629" s="38">
        <f>TRUNC(P629*M629*N629/100)</f>
        <v>0</v>
      </c>
      <c r="R629" s="38"/>
      <c r="S629" s="15"/>
      <c r="T629" s="15"/>
      <c r="Z629" s="2" t="s">
        <v>1399</v>
      </c>
      <c r="AA629" s="2">
        <f>SUM(AA628:AA628)</f>
        <v>1.23</v>
      </c>
    </row>
    <row r="630" spans="2:27" ht="21.95" customHeight="1" x14ac:dyDescent="0.15">
      <c r="B630" s="13" t="s">
        <v>1448</v>
      </c>
      <c r="D630" s="170" t="s">
        <v>1638</v>
      </c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2"/>
    </row>
    <row r="631" spans="2:27" ht="21.95" customHeight="1" x14ac:dyDescent="0.15">
      <c r="B631" s="13" t="s">
        <v>1397</v>
      </c>
      <c r="C631" s="13" t="s">
        <v>912</v>
      </c>
      <c r="D631" s="12" t="s">
        <v>858</v>
      </c>
      <c r="E631" s="12" t="s">
        <v>913</v>
      </c>
      <c r="F631" s="15" t="s">
        <v>559</v>
      </c>
      <c r="G631" s="15">
        <v>1</v>
      </c>
      <c r="H631" s="15">
        <f>IF(I631&lt;&gt;0, G631-I631, "")</f>
        <v>0</v>
      </c>
      <c r="I631" s="15">
        <v>1</v>
      </c>
      <c r="J631" s="15"/>
      <c r="K631" s="12" t="s">
        <v>1372</v>
      </c>
      <c r="L631" s="15" t="s">
        <v>1004</v>
      </c>
      <c r="M631" s="15">
        <v>1.23</v>
      </c>
      <c r="N631" s="15">
        <v>100</v>
      </c>
      <c r="O631" s="15">
        <f>IF(I631*M631=0, "", I631*M631*(N631/100))</f>
        <v>1.23</v>
      </c>
      <c r="P631" s="38"/>
      <c r="Q631" s="38">
        <f>TRUNC(P631*M631*N631/100)</f>
        <v>0</v>
      </c>
      <c r="R631" s="38"/>
      <c r="S631" s="15"/>
      <c r="T631" s="15" t="s">
        <v>1436</v>
      </c>
      <c r="AA631" s="2">
        <f>O631</f>
        <v>1.23</v>
      </c>
    </row>
    <row r="632" spans="2:27" ht="21.95" customHeight="1" x14ac:dyDescent="0.15">
      <c r="B632" s="13" t="s">
        <v>1397</v>
      </c>
      <c r="C632" s="13" t="s">
        <v>1002</v>
      </c>
      <c r="D632" s="12" t="s">
        <v>1003</v>
      </c>
      <c r="E632" s="12" t="s">
        <v>1004</v>
      </c>
      <c r="F632" s="15" t="s">
        <v>999</v>
      </c>
      <c r="G632" s="15">
        <f>IF(H632*I632/100+0.000005 &lt;1, TRUNC(H632*I632/100+0.000005, 옵션!$E$13), TRUNC(H632*I632/100+0.000005, 옵션!$E$13))</f>
        <v>1.23</v>
      </c>
      <c r="H632" s="15">
        <f>옵션!$B$13</f>
        <v>100</v>
      </c>
      <c r="I632" s="15">
        <f>SUM(AA631:AA631)</f>
        <v>1.23</v>
      </c>
      <c r="J632" s="15"/>
      <c r="K632" s="12"/>
      <c r="L632" s="15"/>
      <c r="M632" s="15"/>
      <c r="N632" s="15"/>
      <c r="O632" s="15" t="str">
        <f>IF(I632*M632=0, "", I632*M632*(N632/100))</f>
        <v/>
      </c>
      <c r="P632" s="38"/>
      <c r="Q632" s="38">
        <f>TRUNC(P632*M632*N632/100)</f>
        <v>0</v>
      </c>
      <c r="R632" s="38"/>
      <c r="S632" s="15"/>
      <c r="T632" s="15"/>
      <c r="Z632" s="2" t="s">
        <v>1399</v>
      </c>
      <c r="AA632" s="2">
        <f>SUM(AA631:AA631)</f>
        <v>1.23</v>
      </c>
    </row>
    <row r="633" spans="2:27" ht="21.95" customHeight="1" x14ac:dyDescent="0.15">
      <c r="B633" s="13" t="s">
        <v>1448</v>
      </c>
      <c r="D633" s="170" t="s">
        <v>1639</v>
      </c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2"/>
    </row>
    <row r="634" spans="2:27" ht="21.95" customHeight="1" x14ac:dyDescent="0.15">
      <c r="B634" s="13" t="s">
        <v>1397</v>
      </c>
      <c r="C634" s="13" t="s">
        <v>930</v>
      </c>
      <c r="D634" s="12" t="s">
        <v>931</v>
      </c>
      <c r="E634" s="12" t="s">
        <v>932</v>
      </c>
      <c r="F634" s="15" t="s">
        <v>710</v>
      </c>
      <c r="G634" s="15">
        <v>1</v>
      </c>
      <c r="H634" s="15">
        <f>IF(I634&lt;&gt;0, G634-I634, "")</f>
        <v>0</v>
      </c>
      <c r="I634" s="15">
        <v>1</v>
      </c>
      <c r="J634" s="15"/>
      <c r="K634" s="12" t="s">
        <v>1372</v>
      </c>
      <c r="L634" s="15" t="s">
        <v>1004</v>
      </c>
      <c r="M634" s="15">
        <v>0.224</v>
      </c>
      <c r="N634" s="15">
        <v>100</v>
      </c>
      <c r="O634" s="15">
        <f>IF(I634*M634=0, "", I634*M634*(N634/100))</f>
        <v>0.224</v>
      </c>
      <c r="P634" s="38"/>
      <c r="Q634" s="38">
        <f>TRUNC(P634*M634*N634/100)</f>
        <v>0</v>
      </c>
      <c r="R634" s="38"/>
      <c r="S634" s="15" t="s">
        <v>1435</v>
      </c>
      <c r="T634" s="15" t="s">
        <v>1436</v>
      </c>
      <c r="AA634" s="2">
        <f>O634</f>
        <v>0.224</v>
      </c>
    </row>
    <row r="635" spans="2:27" ht="21.95" customHeight="1" x14ac:dyDescent="0.15">
      <c r="B635" s="13" t="s">
        <v>1397</v>
      </c>
      <c r="C635" s="13" t="s">
        <v>1002</v>
      </c>
      <c r="D635" s="12" t="s">
        <v>1003</v>
      </c>
      <c r="E635" s="12" t="s">
        <v>1004</v>
      </c>
      <c r="F635" s="15" t="s">
        <v>999</v>
      </c>
      <c r="G635" s="15">
        <f>IF(H635*I635/100+0.000005 &lt;1, TRUNC(H635*I635/100+0.000005, 옵션!$E$13), TRUNC(H635*I635/100+0.000005, 옵션!$E$13))</f>
        <v>0.224</v>
      </c>
      <c r="H635" s="15">
        <f>옵션!$B$13</f>
        <v>100</v>
      </c>
      <c r="I635" s="15">
        <f>SUM(AA634:AA634)</f>
        <v>0.224</v>
      </c>
      <c r="J635" s="15"/>
      <c r="K635" s="12"/>
      <c r="L635" s="15"/>
      <c r="M635" s="15"/>
      <c r="N635" s="15"/>
      <c r="O635" s="15" t="str">
        <f>IF(I635*M635=0, "", I635*M635*(N635/100))</f>
        <v/>
      </c>
      <c r="P635" s="38"/>
      <c r="Q635" s="38">
        <f>TRUNC(P635*M635*N635/100)</f>
        <v>0</v>
      </c>
      <c r="R635" s="38"/>
      <c r="S635" s="15"/>
      <c r="T635" s="15"/>
      <c r="Z635" s="2" t="s">
        <v>1399</v>
      </c>
      <c r="AA635" s="2">
        <f>SUM(AA634:AA634)</f>
        <v>0.224</v>
      </c>
    </row>
    <row r="636" spans="2:27" ht="21.95" customHeight="1" x14ac:dyDescent="0.15">
      <c r="B636" s="13" t="s">
        <v>1448</v>
      </c>
      <c r="D636" s="170" t="s">
        <v>1640</v>
      </c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2"/>
    </row>
    <row r="637" spans="2:27" ht="21.95" customHeight="1" x14ac:dyDescent="0.15">
      <c r="B637" s="13" t="s">
        <v>1397</v>
      </c>
      <c r="C637" s="13" t="s">
        <v>933</v>
      </c>
      <c r="D637" s="12" t="s">
        <v>934</v>
      </c>
      <c r="E637" s="12" t="s">
        <v>935</v>
      </c>
      <c r="F637" s="15" t="s">
        <v>710</v>
      </c>
      <c r="G637" s="15">
        <v>1</v>
      </c>
      <c r="H637" s="15">
        <f>IF(I637&lt;&gt;0, G637-I637, "")</f>
        <v>0</v>
      </c>
      <c r="I637" s="15">
        <v>1</v>
      </c>
      <c r="J637" s="15"/>
      <c r="K637" s="12" t="s">
        <v>1372</v>
      </c>
      <c r="L637" s="15" t="s">
        <v>1004</v>
      </c>
      <c r="M637" s="15">
        <v>0.19800000000000001</v>
      </c>
      <c r="N637" s="15">
        <v>100</v>
      </c>
      <c r="O637" s="15">
        <f>IF(I637*M637=0, "", I637*M637*(N637/100))</f>
        <v>0.19800000000000001</v>
      </c>
      <c r="P637" s="38"/>
      <c r="Q637" s="38">
        <f>TRUNC(P637*M637*N637/100)</f>
        <v>0</v>
      </c>
      <c r="R637" s="38"/>
      <c r="S637" s="15" t="s">
        <v>1435</v>
      </c>
      <c r="T637" s="15" t="s">
        <v>1436</v>
      </c>
      <c r="AA637" s="2">
        <f>O637</f>
        <v>0.19800000000000001</v>
      </c>
    </row>
    <row r="638" spans="2:27" ht="21.95" customHeight="1" x14ac:dyDescent="0.15">
      <c r="B638" s="13" t="s">
        <v>1397</v>
      </c>
      <c r="C638" s="13" t="s">
        <v>1002</v>
      </c>
      <c r="D638" s="12" t="s">
        <v>1003</v>
      </c>
      <c r="E638" s="12" t="s">
        <v>1004</v>
      </c>
      <c r="F638" s="15" t="s">
        <v>999</v>
      </c>
      <c r="G638" s="15">
        <f>IF(H638*I638/100+0.000005 &lt;1, TRUNC(H638*I638/100+0.000005, 옵션!$E$13), TRUNC(H638*I638/100+0.000005, 옵션!$E$13))</f>
        <v>0.19800000000000001</v>
      </c>
      <c r="H638" s="15">
        <f>옵션!$B$13</f>
        <v>100</v>
      </c>
      <c r="I638" s="15">
        <f>SUM(AA637:AA637)</f>
        <v>0.19800000000000001</v>
      </c>
      <c r="J638" s="15"/>
      <c r="K638" s="12"/>
      <c r="L638" s="15"/>
      <c r="M638" s="15"/>
      <c r="N638" s="15"/>
      <c r="O638" s="15" t="str">
        <f>IF(I638*M638=0, "", I638*M638*(N638/100))</f>
        <v/>
      </c>
      <c r="P638" s="38"/>
      <c r="Q638" s="38">
        <f>TRUNC(P638*M638*N638/100)</f>
        <v>0</v>
      </c>
      <c r="R638" s="38"/>
      <c r="S638" s="15"/>
      <c r="T638" s="15"/>
      <c r="Z638" s="2" t="s">
        <v>1399</v>
      </c>
      <c r="AA638" s="2">
        <f>SUM(AA637:AA637)</f>
        <v>0.19800000000000001</v>
      </c>
    </row>
    <row r="639" spans="2:27" ht="21.95" customHeight="1" x14ac:dyDescent="0.15">
      <c r="B639" s="13" t="s">
        <v>1448</v>
      </c>
      <c r="D639" s="170" t="s">
        <v>1641</v>
      </c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2"/>
    </row>
    <row r="640" spans="2:27" ht="21.95" customHeight="1" x14ac:dyDescent="0.15">
      <c r="B640" s="13" t="s">
        <v>1397</v>
      </c>
      <c r="C640" s="13" t="s">
        <v>936</v>
      </c>
      <c r="D640" s="12" t="s">
        <v>937</v>
      </c>
      <c r="E640" s="12" t="s">
        <v>938</v>
      </c>
      <c r="F640" s="15" t="s">
        <v>710</v>
      </c>
      <c r="G640" s="15">
        <v>1</v>
      </c>
      <c r="H640" s="15">
        <f>IF(I640&lt;&gt;0, G640-I640, "")</f>
        <v>0</v>
      </c>
      <c r="I640" s="15">
        <v>1</v>
      </c>
      <c r="J640" s="15"/>
      <c r="K640" s="12" t="s">
        <v>1372</v>
      </c>
      <c r="L640" s="15" t="s">
        <v>1004</v>
      </c>
      <c r="M640" s="15">
        <v>0.20799999999999999</v>
      </c>
      <c r="N640" s="15">
        <v>100</v>
      </c>
      <c r="O640" s="15">
        <f>IF(I640*M640=0, "", I640*M640*(N640/100))</f>
        <v>0.20799999999999999</v>
      </c>
      <c r="P640" s="38"/>
      <c r="Q640" s="38">
        <f>TRUNC(P640*M640*N640/100)</f>
        <v>0</v>
      </c>
      <c r="R640" s="38"/>
      <c r="S640" s="15" t="s">
        <v>1435</v>
      </c>
      <c r="T640" s="15" t="s">
        <v>1436</v>
      </c>
      <c r="AA640" s="2">
        <f>O640</f>
        <v>0.20799999999999999</v>
      </c>
    </row>
    <row r="641" spans="2:27" ht="21.95" customHeight="1" x14ac:dyDescent="0.15">
      <c r="B641" s="13" t="s">
        <v>1397</v>
      </c>
      <c r="C641" s="13" t="s">
        <v>1002</v>
      </c>
      <c r="D641" s="12" t="s">
        <v>1003</v>
      </c>
      <c r="E641" s="12" t="s">
        <v>1004</v>
      </c>
      <c r="F641" s="15" t="s">
        <v>999</v>
      </c>
      <c r="G641" s="15">
        <f>IF(H641*I641/100+0.000005 &lt;1, TRUNC(H641*I641/100+0.000005, 옵션!$E$13), TRUNC(H641*I641/100+0.000005, 옵션!$E$13))</f>
        <v>0.20799999999999999</v>
      </c>
      <c r="H641" s="15">
        <f>옵션!$B$13</f>
        <v>100</v>
      </c>
      <c r="I641" s="15">
        <f>SUM(AA640:AA640)</f>
        <v>0.20799999999999999</v>
      </c>
      <c r="J641" s="15"/>
      <c r="K641" s="12"/>
      <c r="L641" s="15"/>
      <c r="M641" s="15"/>
      <c r="N641" s="15"/>
      <c r="O641" s="15" t="str">
        <f>IF(I641*M641=0, "", I641*M641*(N641/100))</f>
        <v/>
      </c>
      <c r="P641" s="38"/>
      <c r="Q641" s="38">
        <f>TRUNC(P641*M641*N641/100)</f>
        <v>0</v>
      </c>
      <c r="R641" s="38"/>
      <c r="S641" s="15"/>
      <c r="T641" s="15"/>
      <c r="Z641" s="2" t="s">
        <v>1399</v>
      </c>
      <c r="AA641" s="2">
        <f>SUM(AA640:AA640)</f>
        <v>0.20799999999999999</v>
      </c>
    </row>
    <row r="642" spans="2:27" ht="21.95" customHeight="1" x14ac:dyDescent="0.15">
      <c r="B642" s="13" t="s">
        <v>1448</v>
      </c>
      <c r="D642" s="170" t="s">
        <v>1642</v>
      </c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2"/>
    </row>
    <row r="643" spans="2:27" ht="21.95" customHeight="1" x14ac:dyDescent="0.15">
      <c r="B643" s="13" t="s">
        <v>1397</v>
      </c>
      <c r="C643" s="13" t="s">
        <v>939</v>
      </c>
      <c r="D643" s="12" t="s">
        <v>940</v>
      </c>
      <c r="E643" s="12" t="s">
        <v>755</v>
      </c>
      <c r="F643" s="15" t="s">
        <v>710</v>
      </c>
      <c r="G643" s="15">
        <v>1</v>
      </c>
      <c r="H643" s="15">
        <f>IF(I643&lt;&gt;0, G643-I643, "")</f>
        <v>0</v>
      </c>
      <c r="I643" s="15">
        <v>1</v>
      </c>
      <c r="J643" s="15"/>
      <c r="K643" s="12" t="s">
        <v>1372</v>
      </c>
      <c r="L643" s="15" t="s">
        <v>1004</v>
      </c>
      <c r="M643" s="15">
        <v>0.23599999999999999</v>
      </c>
      <c r="N643" s="15">
        <v>100</v>
      </c>
      <c r="O643" s="15">
        <f>IF(I643*M643=0, "", I643*M643*(N643/100))</f>
        <v>0.23599999999999999</v>
      </c>
      <c r="P643" s="38"/>
      <c r="Q643" s="38">
        <f>TRUNC(P643*M643*N643/100)</f>
        <v>0</v>
      </c>
      <c r="R643" s="38"/>
      <c r="S643" s="15" t="s">
        <v>1434</v>
      </c>
      <c r="T643" s="15" t="s">
        <v>1436</v>
      </c>
      <c r="AA643" s="2">
        <f>O643</f>
        <v>0.23599999999999999</v>
      </c>
    </row>
    <row r="644" spans="2:27" ht="21.95" customHeight="1" x14ac:dyDescent="0.15">
      <c r="B644" s="13" t="s">
        <v>1397</v>
      </c>
      <c r="C644" s="13" t="s">
        <v>1002</v>
      </c>
      <c r="D644" s="12" t="s">
        <v>1003</v>
      </c>
      <c r="E644" s="12" t="s">
        <v>1004</v>
      </c>
      <c r="F644" s="15" t="s">
        <v>999</v>
      </c>
      <c r="G644" s="15">
        <f>IF(H644*I644/100+0.000005 &lt;1, TRUNC(H644*I644/100+0.000005, 옵션!$E$13), TRUNC(H644*I644/100+0.000005, 옵션!$E$13))</f>
        <v>0.23599999999999999</v>
      </c>
      <c r="H644" s="15">
        <f>옵션!$B$13</f>
        <v>100</v>
      </c>
      <c r="I644" s="15">
        <f>SUM(AA643:AA643)</f>
        <v>0.23599999999999999</v>
      </c>
      <c r="J644" s="15"/>
      <c r="K644" s="12"/>
      <c r="L644" s="15"/>
      <c r="M644" s="15"/>
      <c r="N644" s="15"/>
      <c r="O644" s="15" t="str">
        <f>IF(I644*M644=0, "", I644*M644*(N644/100))</f>
        <v/>
      </c>
      <c r="P644" s="38"/>
      <c r="Q644" s="38">
        <f>TRUNC(P644*M644*N644/100)</f>
        <v>0</v>
      </c>
      <c r="R644" s="38"/>
      <c r="S644" s="15"/>
      <c r="T644" s="15"/>
      <c r="Z644" s="2" t="s">
        <v>1399</v>
      </c>
      <c r="AA644" s="2">
        <f>SUM(AA643:AA643)</f>
        <v>0.23599999999999999</v>
      </c>
    </row>
    <row r="645" spans="2:27" ht="21.95" customHeight="1" x14ac:dyDescent="0.15">
      <c r="B645" s="13" t="s">
        <v>1448</v>
      </c>
      <c r="D645" s="170" t="s">
        <v>1643</v>
      </c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2"/>
    </row>
    <row r="646" spans="2:27" ht="21.95" customHeight="1" x14ac:dyDescent="0.15">
      <c r="B646" s="13" t="s">
        <v>1397</v>
      </c>
      <c r="C646" s="13" t="s">
        <v>941</v>
      </c>
      <c r="D646" s="12" t="s">
        <v>942</v>
      </c>
      <c r="E646" s="12" t="s">
        <v>760</v>
      </c>
      <c r="F646" s="15" t="s">
        <v>710</v>
      </c>
      <c r="G646" s="15">
        <v>1</v>
      </c>
      <c r="H646" s="15">
        <f>IF(I646&lt;&gt;0, G646-I646, "")</f>
        <v>0</v>
      </c>
      <c r="I646" s="15">
        <v>1</v>
      </c>
      <c r="J646" s="15"/>
      <c r="K646" s="12" t="s">
        <v>1372</v>
      </c>
      <c r="L646" s="15" t="s">
        <v>1004</v>
      </c>
      <c r="M646" s="15">
        <v>0.13900000000000001</v>
      </c>
      <c r="N646" s="15">
        <v>100</v>
      </c>
      <c r="O646" s="15">
        <f>IF(I646*M646=0, "", I646*M646*(N646/100))</f>
        <v>0.13900000000000001</v>
      </c>
      <c r="P646" s="38"/>
      <c r="Q646" s="38">
        <f>TRUNC(P646*M646*N646/100)</f>
        <v>0</v>
      </c>
      <c r="R646" s="38"/>
      <c r="S646" s="15" t="s">
        <v>1435</v>
      </c>
      <c r="T646" s="15" t="s">
        <v>1436</v>
      </c>
      <c r="AA646" s="2">
        <f>O646</f>
        <v>0.13900000000000001</v>
      </c>
    </row>
    <row r="647" spans="2:27" ht="21.95" customHeight="1" x14ac:dyDescent="0.15">
      <c r="B647" s="13" t="s">
        <v>1397</v>
      </c>
      <c r="C647" s="13" t="s">
        <v>1002</v>
      </c>
      <c r="D647" s="12" t="s">
        <v>1003</v>
      </c>
      <c r="E647" s="12" t="s">
        <v>1004</v>
      </c>
      <c r="F647" s="15" t="s">
        <v>999</v>
      </c>
      <c r="G647" s="15">
        <f>IF(H647*I647/100+0.000005 &lt;1, TRUNC(H647*I647/100+0.000005, 옵션!$E$13), TRUNC(H647*I647/100+0.000005, 옵션!$E$13))</f>
        <v>0.13900000000000001</v>
      </c>
      <c r="H647" s="15">
        <f>옵션!$B$13</f>
        <v>100</v>
      </c>
      <c r="I647" s="15">
        <f>SUM(AA646:AA646)</f>
        <v>0.13900000000000001</v>
      </c>
      <c r="J647" s="15"/>
      <c r="K647" s="12"/>
      <c r="L647" s="15"/>
      <c r="M647" s="15"/>
      <c r="N647" s="15"/>
      <c r="O647" s="15" t="str">
        <f>IF(I647*M647=0, "", I647*M647*(N647/100))</f>
        <v/>
      </c>
      <c r="P647" s="38"/>
      <c r="Q647" s="38">
        <f>TRUNC(P647*M647*N647/100)</f>
        <v>0</v>
      </c>
      <c r="R647" s="38"/>
      <c r="S647" s="15"/>
      <c r="T647" s="15"/>
      <c r="Z647" s="2" t="s">
        <v>1399</v>
      </c>
      <c r="AA647" s="2">
        <f>SUM(AA646:AA646)</f>
        <v>0.13900000000000001</v>
      </c>
    </row>
    <row r="648" spans="2:27" ht="21.95" customHeight="1" x14ac:dyDescent="0.15">
      <c r="B648" s="13" t="s">
        <v>1448</v>
      </c>
      <c r="D648" s="170" t="s">
        <v>1644</v>
      </c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2"/>
    </row>
    <row r="649" spans="2:27" ht="21.95" customHeight="1" x14ac:dyDescent="0.15">
      <c r="B649" s="13" t="s">
        <v>1397</v>
      </c>
      <c r="C649" s="13" t="s">
        <v>943</v>
      </c>
      <c r="D649" s="12" t="s">
        <v>944</v>
      </c>
      <c r="E649" s="12" t="s">
        <v>762</v>
      </c>
      <c r="F649" s="15" t="s">
        <v>710</v>
      </c>
      <c r="G649" s="15">
        <v>1</v>
      </c>
      <c r="H649" s="15">
        <f>IF(I649&lt;&gt;0, G649-I649, "")</f>
        <v>0</v>
      </c>
      <c r="I649" s="15">
        <v>1</v>
      </c>
      <c r="J649" s="15"/>
      <c r="K649" s="12" t="s">
        <v>1372</v>
      </c>
      <c r="L649" s="15" t="s">
        <v>1004</v>
      </c>
      <c r="M649" s="15">
        <v>0.13900000000000001</v>
      </c>
      <c r="N649" s="15">
        <v>100</v>
      </c>
      <c r="O649" s="15">
        <f>IF(I649*M649=0, "", I649*M649*(N649/100))</f>
        <v>0.13900000000000001</v>
      </c>
      <c r="P649" s="38"/>
      <c r="Q649" s="38">
        <f>TRUNC(P649*M649*N649/100)</f>
        <v>0</v>
      </c>
      <c r="R649" s="38"/>
      <c r="S649" s="15" t="s">
        <v>1435</v>
      </c>
      <c r="T649" s="15" t="s">
        <v>1436</v>
      </c>
      <c r="AA649" s="2">
        <f>O649</f>
        <v>0.13900000000000001</v>
      </c>
    </row>
    <row r="650" spans="2:27" ht="21.95" customHeight="1" x14ac:dyDescent="0.15">
      <c r="B650" s="13" t="s">
        <v>1397</v>
      </c>
      <c r="C650" s="13" t="s">
        <v>1002</v>
      </c>
      <c r="D650" s="12" t="s">
        <v>1003</v>
      </c>
      <c r="E650" s="12" t="s">
        <v>1004</v>
      </c>
      <c r="F650" s="15" t="s">
        <v>999</v>
      </c>
      <c r="G650" s="15">
        <f>IF(H650*I650/100+0.000005 &lt;1, TRUNC(H650*I650/100+0.000005, 옵션!$E$13), TRUNC(H650*I650/100+0.000005, 옵션!$E$13))</f>
        <v>0.13900000000000001</v>
      </c>
      <c r="H650" s="15">
        <f>옵션!$B$13</f>
        <v>100</v>
      </c>
      <c r="I650" s="15">
        <f>SUM(AA649:AA649)</f>
        <v>0.13900000000000001</v>
      </c>
      <c r="J650" s="15"/>
      <c r="K650" s="12"/>
      <c r="L650" s="15"/>
      <c r="M650" s="15"/>
      <c r="N650" s="15"/>
      <c r="O650" s="15" t="str">
        <f>IF(I650*M650=0, "", I650*M650*(N650/100))</f>
        <v/>
      </c>
      <c r="P650" s="38"/>
      <c r="Q650" s="38">
        <f>TRUNC(P650*M650*N650/100)</f>
        <v>0</v>
      </c>
      <c r="R650" s="38"/>
      <c r="S650" s="15"/>
      <c r="T650" s="15"/>
      <c r="Z650" s="2" t="s">
        <v>1399</v>
      </c>
      <c r="AA650" s="2">
        <f>SUM(AA649:AA649)</f>
        <v>0.13900000000000001</v>
      </c>
    </row>
    <row r="651" spans="2:27" ht="21.95" customHeight="1" x14ac:dyDescent="0.15">
      <c r="B651" s="13" t="s">
        <v>1448</v>
      </c>
      <c r="D651" s="170" t="s">
        <v>1645</v>
      </c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2"/>
    </row>
    <row r="652" spans="2:27" ht="21.95" customHeight="1" x14ac:dyDescent="0.15">
      <c r="B652" s="13" t="s">
        <v>1397</v>
      </c>
      <c r="C652" s="13" t="s">
        <v>945</v>
      </c>
      <c r="D652" s="12" t="s">
        <v>946</v>
      </c>
      <c r="E652" s="12" t="s">
        <v>947</v>
      </c>
      <c r="F652" s="15" t="s">
        <v>710</v>
      </c>
      <c r="G652" s="15">
        <v>1</v>
      </c>
      <c r="H652" s="15">
        <f>IF(I652&lt;&gt;0, G652-I652, "")</f>
        <v>0</v>
      </c>
      <c r="I652" s="15">
        <v>1</v>
      </c>
      <c r="J652" s="15"/>
      <c r="K652" s="12" t="s">
        <v>1372</v>
      </c>
      <c r="L652" s="15" t="s">
        <v>1004</v>
      </c>
      <c r="M652" s="15">
        <v>0.105</v>
      </c>
      <c r="N652" s="15">
        <v>100</v>
      </c>
      <c r="O652" s="15">
        <f>IF(I652*M652=0, "", I652*M652*(N652/100))</f>
        <v>0.105</v>
      </c>
      <c r="P652" s="38"/>
      <c r="Q652" s="38">
        <f>TRUNC(P652*M652*N652/100)</f>
        <v>0</v>
      </c>
      <c r="R652" s="38"/>
      <c r="S652" s="15" t="s">
        <v>1435</v>
      </c>
      <c r="T652" s="15" t="s">
        <v>1436</v>
      </c>
      <c r="AA652" s="2">
        <f>O652</f>
        <v>0.105</v>
      </c>
    </row>
    <row r="653" spans="2:27" ht="21.95" customHeight="1" x14ac:dyDescent="0.15">
      <c r="B653" s="13" t="s">
        <v>1397</v>
      </c>
      <c r="C653" s="13" t="s">
        <v>1002</v>
      </c>
      <c r="D653" s="12" t="s">
        <v>1003</v>
      </c>
      <c r="E653" s="12" t="s">
        <v>1004</v>
      </c>
      <c r="F653" s="15" t="s">
        <v>999</v>
      </c>
      <c r="G653" s="15">
        <f>IF(H653*I653/100+0.000005 &lt;1, TRUNC(H653*I653/100+0.000005, 옵션!$E$13), TRUNC(H653*I653/100+0.000005, 옵션!$E$13))</f>
        <v>0.105</v>
      </c>
      <c r="H653" s="15">
        <f>옵션!$B$13</f>
        <v>100</v>
      </c>
      <c r="I653" s="15">
        <f>SUM(AA652:AA652)</f>
        <v>0.105</v>
      </c>
      <c r="J653" s="15"/>
      <c r="K653" s="12"/>
      <c r="L653" s="15"/>
      <c r="M653" s="15"/>
      <c r="N653" s="15"/>
      <c r="O653" s="15" t="str">
        <f>IF(I653*M653=0, "", I653*M653*(N653/100))</f>
        <v/>
      </c>
      <c r="P653" s="38"/>
      <c r="Q653" s="38">
        <f>TRUNC(P653*M653*N653/100)</f>
        <v>0</v>
      </c>
      <c r="R653" s="38"/>
      <c r="S653" s="15"/>
      <c r="T653" s="15"/>
      <c r="Z653" s="2" t="s">
        <v>1399</v>
      </c>
      <c r="AA653" s="2">
        <f>SUM(AA652:AA652)</f>
        <v>0.105</v>
      </c>
    </row>
    <row r="654" spans="2:27" ht="21.95" customHeight="1" x14ac:dyDescent="0.15">
      <c r="B654" s="13" t="s">
        <v>1448</v>
      </c>
      <c r="D654" s="170" t="s">
        <v>1646</v>
      </c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2"/>
    </row>
    <row r="655" spans="2:27" ht="21.95" customHeight="1" x14ac:dyDescent="0.15">
      <c r="B655" s="13" t="s">
        <v>1397</v>
      </c>
      <c r="C655" s="13" t="s">
        <v>948</v>
      </c>
      <c r="D655" s="12" t="s">
        <v>949</v>
      </c>
      <c r="E655" s="12" t="s">
        <v>950</v>
      </c>
      <c r="F655" s="15" t="s">
        <v>710</v>
      </c>
      <c r="G655" s="15">
        <v>1</v>
      </c>
      <c r="H655" s="15">
        <f>IF(I655&lt;&gt;0, G655-I655, "")</f>
        <v>0</v>
      </c>
      <c r="I655" s="15">
        <v>1</v>
      </c>
      <c r="J655" s="15"/>
      <c r="K655" s="12" t="s">
        <v>1372</v>
      </c>
      <c r="L655" s="15" t="s">
        <v>1004</v>
      </c>
      <c r="M655" s="15">
        <v>0.105</v>
      </c>
      <c r="N655" s="15">
        <v>100</v>
      </c>
      <c r="O655" s="15">
        <f>IF(I655*M655=0, "", I655*M655*(N655/100))</f>
        <v>0.105</v>
      </c>
      <c r="P655" s="38"/>
      <c r="Q655" s="38">
        <f>TRUNC(P655*M655*N655/100)</f>
        <v>0</v>
      </c>
      <c r="R655" s="38"/>
      <c r="S655" s="15" t="s">
        <v>1435</v>
      </c>
      <c r="T655" s="15" t="s">
        <v>1436</v>
      </c>
      <c r="AA655" s="2">
        <f>O655</f>
        <v>0.105</v>
      </c>
    </row>
    <row r="656" spans="2:27" ht="21.95" customHeight="1" x14ac:dyDescent="0.15">
      <c r="B656" s="13" t="s">
        <v>1397</v>
      </c>
      <c r="C656" s="13" t="s">
        <v>1002</v>
      </c>
      <c r="D656" s="12" t="s">
        <v>1003</v>
      </c>
      <c r="E656" s="12" t="s">
        <v>1004</v>
      </c>
      <c r="F656" s="15" t="s">
        <v>999</v>
      </c>
      <c r="G656" s="15">
        <f>IF(H656*I656/100+0.000005 &lt;1, TRUNC(H656*I656/100+0.000005, 옵션!$E$13), TRUNC(H656*I656/100+0.000005, 옵션!$E$13))</f>
        <v>0.105</v>
      </c>
      <c r="H656" s="15">
        <f>옵션!$B$13</f>
        <v>100</v>
      </c>
      <c r="I656" s="15">
        <f>SUM(AA655:AA655)</f>
        <v>0.105</v>
      </c>
      <c r="J656" s="15"/>
      <c r="K656" s="12"/>
      <c r="L656" s="15"/>
      <c r="M656" s="15"/>
      <c r="N656" s="15"/>
      <c r="O656" s="15" t="str">
        <f>IF(I656*M656=0, "", I656*M656*(N656/100))</f>
        <v/>
      </c>
      <c r="P656" s="38"/>
      <c r="Q656" s="38">
        <f>TRUNC(P656*M656*N656/100)</f>
        <v>0</v>
      </c>
      <c r="R656" s="38"/>
      <c r="S656" s="15"/>
      <c r="T656" s="15"/>
      <c r="Z656" s="2" t="s">
        <v>1399</v>
      </c>
      <c r="AA656" s="2">
        <f>SUM(AA655:AA655)</f>
        <v>0.105</v>
      </c>
    </row>
    <row r="657" spans="2:27" ht="21.95" customHeight="1" x14ac:dyDescent="0.15">
      <c r="B657" s="13" t="s">
        <v>1448</v>
      </c>
      <c r="D657" s="170" t="s">
        <v>1647</v>
      </c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2"/>
    </row>
    <row r="658" spans="2:27" ht="21.95" customHeight="1" x14ac:dyDescent="0.15">
      <c r="B658" s="13" t="s">
        <v>1397</v>
      </c>
      <c r="C658" s="13" t="s">
        <v>958</v>
      </c>
      <c r="D658" s="12" t="s">
        <v>959</v>
      </c>
      <c r="E658" s="12" t="s">
        <v>765</v>
      </c>
      <c r="F658" s="15" t="s">
        <v>710</v>
      </c>
      <c r="G658" s="15">
        <v>1</v>
      </c>
      <c r="H658" s="15">
        <f>IF(I658&lt;&gt;0, G658-I658, "")</f>
        <v>0</v>
      </c>
      <c r="I658" s="15">
        <v>1</v>
      </c>
      <c r="J658" s="15"/>
      <c r="K658" s="12" t="s">
        <v>1372</v>
      </c>
      <c r="L658" s="15" t="s">
        <v>1004</v>
      </c>
      <c r="M658" s="15">
        <v>0.105</v>
      </c>
      <c r="N658" s="15">
        <v>100</v>
      </c>
      <c r="O658" s="15">
        <f>IF(I658*M658=0, "", I658*M658*(N658/100))</f>
        <v>0.105</v>
      </c>
      <c r="P658" s="38"/>
      <c r="Q658" s="38">
        <f>TRUNC(P658*M658*N658/100)</f>
        <v>0</v>
      </c>
      <c r="R658" s="38"/>
      <c r="S658" s="15" t="s">
        <v>1435</v>
      </c>
      <c r="T658" s="15" t="s">
        <v>1436</v>
      </c>
      <c r="AA658" s="2">
        <f>O658</f>
        <v>0.105</v>
      </c>
    </row>
    <row r="659" spans="2:27" ht="21.95" customHeight="1" x14ac:dyDescent="0.15">
      <c r="B659" s="13" t="s">
        <v>1397</v>
      </c>
      <c r="C659" s="13" t="s">
        <v>1002</v>
      </c>
      <c r="D659" s="12" t="s">
        <v>1003</v>
      </c>
      <c r="E659" s="12" t="s">
        <v>1004</v>
      </c>
      <c r="F659" s="15" t="s">
        <v>999</v>
      </c>
      <c r="G659" s="15">
        <f>IF(H659*I659/100+0.000005 &lt;1, TRUNC(H659*I659/100+0.000005, 옵션!$E$13), TRUNC(H659*I659/100+0.000005, 옵션!$E$13))</f>
        <v>0.105</v>
      </c>
      <c r="H659" s="15">
        <f>옵션!$B$13</f>
        <v>100</v>
      </c>
      <c r="I659" s="15">
        <f>SUM(AA658:AA658)</f>
        <v>0.105</v>
      </c>
      <c r="J659" s="15"/>
      <c r="K659" s="12"/>
      <c r="L659" s="15"/>
      <c r="M659" s="15"/>
      <c r="N659" s="15"/>
      <c r="O659" s="15" t="str">
        <f>IF(I659*M659=0, "", I659*M659*(N659/100))</f>
        <v/>
      </c>
      <c r="P659" s="38"/>
      <c r="Q659" s="38">
        <f>TRUNC(P659*M659*N659/100)</f>
        <v>0</v>
      </c>
      <c r="R659" s="38"/>
      <c r="S659" s="15"/>
      <c r="T659" s="15"/>
      <c r="Z659" s="2" t="s">
        <v>1399</v>
      </c>
      <c r="AA659" s="2">
        <f>SUM(AA658:AA658)</f>
        <v>0.105</v>
      </c>
    </row>
    <row r="660" spans="2:27" ht="21.95" customHeight="1" x14ac:dyDescent="0.15">
      <c r="B660" s="13" t="s">
        <v>1448</v>
      </c>
      <c r="D660" s="170" t="s">
        <v>1648</v>
      </c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2"/>
    </row>
    <row r="661" spans="2:27" ht="21.95" customHeight="1" x14ac:dyDescent="0.15">
      <c r="B661" s="13" t="s">
        <v>1397</v>
      </c>
      <c r="C661" s="13" t="s">
        <v>960</v>
      </c>
      <c r="D661" s="12" t="s">
        <v>959</v>
      </c>
      <c r="E661" s="12" t="s">
        <v>764</v>
      </c>
      <c r="F661" s="15" t="s">
        <v>710</v>
      </c>
      <c r="G661" s="15">
        <v>1</v>
      </c>
      <c r="H661" s="15">
        <f>IF(I661&lt;&gt;0, G661-I661, "")</f>
        <v>0</v>
      </c>
      <c r="I661" s="15">
        <v>1</v>
      </c>
      <c r="J661" s="15"/>
      <c r="K661" s="12" t="s">
        <v>1372</v>
      </c>
      <c r="L661" s="15" t="s">
        <v>1004</v>
      </c>
      <c r="M661" s="15">
        <v>0.105</v>
      </c>
      <c r="N661" s="15">
        <v>100</v>
      </c>
      <c r="O661" s="15">
        <f>IF(I661*M661=0, "", I661*M661*(N661/100))</f>
        <v>0.105</v>
      </c>
      <c r="P661" s="38"/>
      <c r="Q661" s="38">
        <f>TRUNC(P661*M661*N661/100)</f>
        <v>0</v>
      </c>
      <c r="R661" s="38"/>
      <c r="S661" s="15" t="s">
        <v>1435</v>
      </c>
      <c r="T661" s="15" t="s">
        <v>1436</v>
      </c>
      <c r="AA661" s="2">
        <f>O661</f>
        <v>0.105</v>
      </c>
    </row>
    <row r="662" spans="2:27" ht="21.95" customHeight="1" x14ac:dyDescent="0.15">
      <c r="B662" s="13" t="s">
        <v>1397</v>
      </c>
      <c r="C662" s="13" t="s">
        <v>1002</v>
      </c>
      <c r="D662" s="12" t="s">
        <v>1003</v>
      </c>
      <c r="E662" s="12" t="s">
        <v>1004</v>
      </c>
      <c r="F662" s="15" t="s">
        <v>999</v>
      </c>
      <c r="G662" s="15">
        <f>IF(H662*I662/100+0.000005 &lt;1, TRUNC(H662*I662/100+0.000005, 옵션!$E$13), TRUNC(H662*I662/100+0.000005, 옵션!$E$13))</f>
        <v>0.105</v>
      </c>
      <c r="H662" s="15">
        <f>옵션!$B$13</f>
        <v>100</v>
      </c>
      <c r="I662" s="15">
        <f>SUM(AA661:AA661)</f>
        <v>0.105</v>
      </c>
      <c r="J662" s="15"/>
      <c r="K662" s="12"/>
      <c r="L662" s="15"/>
      <c r="M662" s="15"/>
      <c r="N662" s="15"/>
      <c r="O662" s="15" t="str">
        <f>IF(I662*M662=0, "", I662*M662*(N662/100))</f>
        <v/>
      </c>
      <c r="P662" s="38"/>
      <c r="Q662" s="38">
        <f>TRUNC(P662*M662*N662/100)</f>
        <v>0</v>
      </c>
      <c r="R662" s="38"/>
      <c r="S662" s="15"/>
      <c r="T662" s="15"/>
      <c r="Z662" s="2" t="s">
        <v>1399</v>
      </c>
      <c r="AA662" s="2">
        <f>SUM(AA661:AA661)</f>
        <v>0.105</v>
      </c>
    </row>
    <row r="663" spans="2:27" ht="21.95" customHeight="1" x14ac:dyDescent="0.15">
      <c r="B663" s="13" t="s">
        <v>1448</v>
      </c>
      <c r="D663" s="170" t="s">
        <v>1649</v>
      </c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2"/>
    </row>
    <row r="664" spans="2:27" ht="21.95" customHeight="1" x14ac:dyDescent="0.15">
      <c r="B664" s="13" t="s">
        <v>1397</v>
      </c>
      <c r="C664" s="13" t="s">
        <v>961</v>
      </c>
      <c r="D664" s="12" t="s">
        <v>962</v>
      </c>
      <c r="E664" s="12" t="s">
        <v>963</v>
      </c>
      <c r="F664" s="15" t="s">
        <v>710</v>
      </c>
      <c r="G664" s="15">
        <v>1</v>
      </c>
      <c r="H664" s="15">
        <f>IF(I664&lt;&gt;0, G664-I664, "")</f>
        <v>0</v>
      </c>
      <c r="I664" s="15">
        <v>1</v>
      </c>
      <c r="J664" s="15"/>
      <c r="K664" s="12" t="s">
        <v>1372</v>
      </c>
      <c r="L664" s="15" t="s">
        <v>1004</v>
      </c>
      <c r="M664" s="15">
        <v>0.13900000000000001</v>
      </c>
      <c r="N664" s="15">
        <v>100</v>
      </c>
      <c r="O664" s="15">
        <f>IF(I664*M664=0, "", I664*M664*(N664/100))</f>
        <v>0.13900000000000001</v>
      </c>
      <c r="P664" s="38"/>
      <c r="Q664" s="38">
        <f>TRUNC(P664*M664*N664/100)</f>
        <v>0</v>
      </c>
      <c r="R664" s="38"/>
      <c r="S664" s="15" t="s">
        <v>1435</v>
      </c>
      <c r="T664" s="15" t="s">
        <v>1436</v>
      </c>
      <c r="AA664" s="2">
        <f>O664</f>
        <v>0.13900000000000001</v>
      </c>
    </row>
    <row r="665" spans="2:27" ht="21.95" customHeight="1" x14ac:dyDescent="0.15">
      <c r="B665" s="13" t="s">
        <v>1397</v>
      </c>
      <c r="C665" s="13" t="s">
        <v>1002</v>
      </c>
      <c r="D665" s="12" t="s">
        <v>1003</v>
      </c>
      <c r="E665" s="12" t="s">
        <v>1004</v>
      </c>
      <c r="F665" s="15" t="s">
        <v>999</v>
      </c>
      <c r="G665" s="15">
        <f>IF(H665*I665/100+0.000005 &lt;1, TRUNC(H665*I665/100+0.000005, 옵션!$E$13), TRUNC(H665*I665/100+0.000005, 옵션!$E$13))</f>
        <v>0.13900000000000001</v>
      </c>
      <c r="H665" s="15">
        <f>옵션!$B$13</f>
        <v>100</v>
      </c>
      <c r="I665" s="15">
        <f>SUM(AA664:AA664)</f>
        <v>0.13900000000000001</v>
      </c>
      <c r="J665" s="15"/>
      <c r="K665" s="12"/>
      <c r="L665" s="15"/>
      <c r="M665" s="15"/>
      <c r="N665" s="15"/>
      <c r="O665" s="15" t="str">
        <f>IF(I665*M665=0, "", I665*M665*(N665/100))</f>
        <v/>
      </c>
      <c r="P665" s="38"/>
      <c r="Q665" s="38">
        <f>TRUNC(P665*M665*N665/100)</f>
        <v>0</v>
      </c>
      <c r="R665" s="38"/>
      <c r="S665" s="15"/>
      <c r="T665" s="15"/>
      <c r="Z665" s="2" t="s">
        <v>1399</v>
      </c>
      <c r="AA665" s="2">
        <f>SUM(AA664:AA664)</f>
        <v>0.13900000000000001</v>
      </c>
    </row>
    <row r="666" spans="2:27" ht="21.95" customHeight="1" x14ac:dyDescent="0.15">
      <c r="B666" s="13" t="s">
        <v>1448</v>
      </c>
      <c r="D666" s="170" t="s">
        <v>1650</v>
      </c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2"/>
    </row>
    <row r="667" spans="2:27" ht="21.95" customHeight="1" x14ac:dyDescent="0.15">
      <c r="B667" s="13" t="s">
        <v>1397</v>
      </c>
      <c r="C667" s="13" t="s">
        <v>964</v>
      </c>
      <c r="D667" s="12" t="s">
        <v>962</v>
      </c>
      <c r="E667" s="12" t="s">
        <v>965</v>
      </c>
      <c r="F667" s="15" t="s">
        <v>710</v>
      </c>
      <c r="G667" s="15">
        <v>1</v>
      </c>
      <c r="H667" s="15">
        <f>IF(I667&lt;&gt;0, G667-I667, "")</f>
        <v>0</v>
      </c>
      <c r="I667" s="15">
        <v>1</v>
      </c>
      <c r="J667" s="15"/>
      <c r="K667" s="12" t="s">
        <v>1372</v>
      </c>
      <c r="L667" s="15" t="s">
        <v>1004</v>
      </c>
      <c r="M667" s="15">
        <v>0.13900000000000001</v>
      </c>
      <c r="N667" s="15">
        <v>100</v>
      </c>
      <c r="O667" s="15">
        <f>IF(I667*M667=0, "", I667*M667*(N667/100))</f>
        <v>0.13900000000000001</v>
      </c>
      <c r="P667" s="38"/>
      <c r="Q667" s="38">
        <f>TRUNC(P667*M667*N667/100)</f>
        <v>0</v>
      </c>
      <c r="R667" s="38"/>
      <c r="S667" s="15" t="s">
        <v>1435</v>
      </c>
      <c r="T667" s="15" t="s">
        <v>1436</v>
      </c>
      <c r="AA667" s="2">
        <f>O667</f>
        <v>0.13900000000000001</v>
      </c>
    </row>
    <row r="668" spans="2:27" ht="21.95" customHeight="1" x14ac:dyDescent="0.15">
      <c r="B668" s="13" t="s">
        <v>1397</v>
      </c>
      <c r="C668" s="13" t="s">
        <v>1002</v>
      </c>
      <c r="D668" s="12" t="s">
        <v>1003</v>
      </c>
      <c r="E668" s="12" t="s">
        <v>1004</v>
      </c>
      <c r="F668" s="15" t="s">
        <v>999</v>
      </c>
      <c r="G668" s="15">
        <f>IF(H668*I668/100+0.000005 &lt;1, TRUNC(H668*I668/100+0.000005, 옵션!$E$13), TRUNC(H668*I668/100+0.000005, 옵션!$E$13))</f>
        <v>0.13900000000000001</v>
      </c>
      <c r="H668" s="15">
        <f>옵션!$B$13</f>
        <v>100</v>
      </c>
      <c r="I668" s="15">
        <f>SUM(AA667:AA667)</f>
        <v>0.13900000000000001</v>
      </c>
      <c r="J668" s="15"/>
      <c r="K668" s="12"/>
      <c r="L668" s="15"/>
      <c r="M668" s="15"/>
      <c r="N668" s="15"/>
      <c r="O668" s="15" t="str">
        <f>IF(I668*M668=0, "", I668*M668*(N668/100))</f>
        <v/>
      </c>
      <c r="P668" s="38"/>
      <c r="Q668" s="38">
        <f>TRUNC(P668*M668*N668/100)</f>
        <v>0</v>
      </c>
      <c r="R668" s="38"/>
      <c r="S668" s="15"/>
      <c r="T668" s="15"/>
      <c r="Z668" s="2" t="s">
        <v>1399</v>
      </c>
      <c r="AA668" s="2">
        <f>SUM(AA667:AA667)</f>
        <v>0.13900000000000001</v>
      </c>
    </row>
    <row r="669" spans="2:27" ht="21.95" customHeight="1" x14ac:dyDescent="0.15">
      <c r="B669" s="13" t="s">
        <v>1448</v>
      </c>
      <c r="D669" s="170" t="s">
        <v>1651</v>
      </c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2"/>
    </row>
    <row r="670" spans="2:27" ht="21.95" customHeight="1" x14ac:dyDescent="0.15">
      <c r="B670" s="13" t="s">
        <v>1397</v>
      </c>
      <c r="C670" s="13" t="s">
        <v>966</v>
      </c>
      <c r="D670" s="12" t="s">
        <v>962</v>
      </c>
      <c r="E670" s="12" t="s">
        <v>967</v>
      </c>
      <c r="F670" s="15" t="s">
        <v>710</v>
      </c>
      <c r="G670" s="15">
        <v>1</v>
      </c>
      <c r="H670" s="15">
        <f>IF(I670&lt;&gt;0, G670-I670, "")</f>
        <v>0</v>
      </c>
      <c r="I670" s="15">
        <v>1</v>
      </c>
      <c r="J670" s="15"/>
      <c r="K670" s="12" t="s">
        <v>1372</v>
      </c>
      <c r="L670" s="15" t="s">
        <v>1004</v>
      </c>
      <c r="M670" s="15">
        <v>0.105</v>
      </c>
      <c r="N670" s="15">
        <v>100</v>
      </c>
      <c r="O670" s="15">
        <f>IF(I670*M670=0, "", I670*M670*(N670/100))</f>
        <v>0.105</v>
      </c>
      <c r="P670" s="38"/>
      <c r="Q670" s="38">
        <f>TRUNC(P670*M670*N670/100)</f>
        <v>0</v>
      </c>
      <c r="R670" s="38"/>
      <c r="S670" s="15" t="s">
        <v>1435</v>
      </c>
      <c r="T670" s="15" t="s">
        <v>1436</v>
      </c>
      <c r="AA670" s="2">
        <f>O670</f>
        <v>0.105</v>
      </c>
    </row>
    <row r="671" spans="2:27" ht="21.95" customHeight="1" x14ac:dyDescent="0.15">
      <c r="B671" s="13" t="s">
        <v>1397</v>
      </c>
      <c r="C671" s="13" t="s">
        <v>1002</v>
      </c>
      <c r="D671" s="12" t="s">
        <v>1003</v>
      </c>
      <c r="E671" s="12" t="s">
        <v>1004</v>
      </c>
      <c r="F671" s="15" t="s">
        <v>999</v>
      </c>
      <c r="G671" s="15">
        <f>IF(H671*I671/100+0.000005 &lt;1, TRUNC(H671*I671/100+0.000005, 옵션!$E$13), TRUNC(H671*I671/100+0.000005, 옵션!$E$13))</f>
        <v>0.105</v>
      </c>
      <c r="H671" s="15">
        <f>옵션!$B$13</f>
        <v>100</v>
      </c>
      <c r="I671" s="15">
        <f>SUM(AA670:AA670)</f>
        <v>0.105</v>
      </c>
      <c r="J671" s="15"/>
      <c r="K671" s="12"/>
      <c r="L671" s="15"/>
      <c r="M671" s="15"/>
      <c r="N671" s="15"/>
      <c r="O671" s="15" t="str">
        <f>IF(I671*M671=0, "", I671*M671*(N671/100))</f>
        <v/>
      </c>
      <c r="P671" s="38"/>
      <c r="Q671" s="38">
        <f>TRUNC(P671*M671*N671/100)</f>
        <v>0</v>
      </c>
      <c r="R671" s="38"/>
      <c r="S671" s="15"/>
      <c r="T671" s="15"/>
      <c r="Z671" s="2" t="s">
        <v>1399</v>
      </c>
      <c r="AA671" s="2">
        <f>SUM(AA670:AA670)</f>
        <v>0.105</v>
      </c>
    </row>
    <row r="672" spans="2:27" ht="21.95" customHeight="1" x14ac:dyDescent="0.15">
      <c r="B672" s="13" t="s">
        <v>1448</v>
      </c>
      <c r="D672" s="170" t="s">
        <v>1652</v>
      </c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2"/>
    </row>
    <row r="673" spans="2:34" ht="21.95" customHeight="1" x14ac:dyDescent="0.15">
      <c r="B673" s="13" t="s">
        <v>1397</v>
      </c>
      <c r="C673" s="13" t="s">
        <v>968</v>
      </c>
      <c r="D673" s="12" t="s">
        <v>962</v>
      </c>
      <c r="E673" s="12" t="s">
        <v>767</v>
      </c>
      <c r="F673" s="15" t="s">
        <v>710</v>
      </c>
      <c r="G673" s="15">
        <v>1</v>
      </c>
      <c r="H673" s="15">
        <f>IF(I673&lt;&gt;0, G673-I673, "")</f>
        <v>0</v>
      </c>
      <c r="I673" s="15">
        <v>1</v>
      </c>
      <c r="J673" s="15"/>
      <c r="K673" s="12" t="s">
        <v>1372</v>
      </c>
      <c r="L673" s="15" t="s">
        <v>1004</v>
      </c>
      <c r="M673" s="15">
        <v>0.13900000000000001</v>
      </c>
      <c r="N673" s="15">
        <v>100</v>
      </c>
      <c r="O673" s="15">
        <f>IF(I673*M673=0, "", I673*M673*(N673/100))</f>
        <v>0.13900000000000001</v>
      </c>
      <c r="P673" s="38"/>
      <c r="Q673" s="38">
        <f>TRUNC(P673*M673*N673/100)</f>
        <v>0</v>
      </c>
      <c r="R673" s="38"/>
      <c r="S673" s="15" t="s">
        <v>1435</v>
      </c>
      <c r="T673" s="15" t="s">
        <v>1436</v>
      </c>
      <c r="AA673" s="2">
        <f>O673</f>
        <v>0.13900000000000001</v>
      </c>
    </row>
    <row r="674" spans="2:34" ht="21.95" customHeight="1" x14ac:dyDescent="0.15">
      <c r="B674" s="13" t="s">
        <v>1397</v>
      </c>
      <c r="C674" s="13" t="s">
        <v>1002</v>
      </c>
      <c r="D674" s="12" t="s">
        <v>1003</v>
      </c>
      <c r="E674" s="12" t="s">
        <v>1004</v>
      </c>
      <c r="F674" s="15" t="s">
        <v>999</v>
      </c>
      <c r="G674" s="15">
        <f>IF(H674*I674/100+0.000005 &lt;1, TRUNC(H674*I674/100+0.000005, 옵션!$E$13), TRUNC(H674*I674/100+0.000005, 옵션!$E$13))</f>
        <v>0.13900000000000001</v>
      </c>
      <c r="H674" s="15">
        <f>옵션!$B$13</f>
        <v>100</v>
      </c>
      <c r="I674" s="15">
        <f>SUM(AA673:AA673)</f>
        <v>0.13900000000000001</v>
      </c>
      <c r="J674" s="15"/>
      <c r="K674" s="12"/>
      <c r="L674" s="15"/>
      <c r="M674" s="15"/>
      <c r="N674" s="15"/>
      <c r="O674" s="15" t="str">
        <f>IF(I674*M674=0, "", I674*M674*(N674/100))</f>
        <v/>
      </c>
      <c r="P674" s="38"/>
      <c r="Q674" s="38">
        <f>TRUNC(P674*M674*N674/100)</f>
        <v>0</v>
      </c>
      <c r="R674" s="38"/>
      <c r="S674" s="15"/>
      <c r="T674" s="15"/>
      <c r="Z674" s="2" t="s">
        <v>1399</v>
      </c>
      <c r="AA674" s="2">
        <f>SUM(AA673:AA673)</f>
        <v>0.13900000000000001</v>
      </c>
    </row>
    <row r="675" spans="2:34" ht="21.95" customHeight="1" x14ac:dyDescent="0.15">
      <c r="B675" s="13" t="s">
        <v>1448</v>
      </c>
      <c r="D675" s="170" t="s">
        <v>1653</v>
      </c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2"/>
    </row>
    <row r="676" spans="2:34" ht="21.95" customHeight="1" x14ac:dyDescent="0.15">
      <c r="B676" s="13" t="s">
        <v>1397</v>
      </c>
      <c r="C676" s="13" t="s">
        <v>969</v>
      </c>
      <c r="D676" s="12" t="s">
        <v>962</v>
      </c>
      <c r="E676" s="12" t="s">
        <v>970</v>
      </c>
      <c r="F676" s="15" t="s">
        <v>710</v>
      </c>
      <c r="G676" s="15">
        <v>1</v>
      </c>
      <c r="H676" s="15">
        <f>IF(I676&lt;&gt;0, G676-I676, "")</f>
        <v>0</v>
      </c>
      <c r="I676" s="15">
        <v>1</v>
      </c>
      <c r="J676" s="15"/>
      <c r="K676" s="12" t="s">
        <v>1372</v>
      </c>
      <c r="L676" s="15" t="s">
        <v>1004</v>
      </c>
      <c r="M676" s="15">
        <v>0.105</v>
      </c>
      <c r="N676" s="15">
        <v>100</v>
      </c>
      <c r="O676" s="15">
        <f>IF(I676*M676=0, "", I676*M676*(N676/100))</f>
        <v>0.105</v>
      </c>
      <c r="P676" s="38"/>
      <c r="Q676" s="38">
        <f>TRUNC(P676*M676*N676/100)</f>
        <v>0</v>
      </c>
      <c r="R676" s="38"/>
      <c r="S676" s="15" t="s">
        <v>1435</v>
      </c>
      <c r="T676" s="15" t="s">
        <v>1436</v>
      </c>
      <c r="AA676" s="2">
        <f>O676</f>
        <v>0.105</v>
      </c>
    </row>
    <row r="677" spans="2:34" ht="21.95" customHeight="1" x14ac:dyDescent="0.15">
      <c r="B677" s="13" t="s">
        <v>1397</v>
      </c>
      <c r="C677" s="13" t="s">
        <v>1002</v>
      </c>
      <c r="D677" s="12" t="s">
        <v>1003</v>
      </c>
      <c r="E677" s="12" t="s">
        <v>1004</v>
      </c>
      <c r="F677" s="15" t="s">
        <v>999</v>
      </c>
      <c r="G677" s="15">
        <f>IF(H677*I677/100+0.000005 &lt;1, TRUNC(H677*I677/100+0.000005, 옵션!$E$13), TRUNC(H677*I677/100+0.000005, 옵션!$E$13))</f>
        <v>0.105</v>
      </c>
      <c r="H677" s="15">
        <f>옵션!$B$13</f>
        <v>100</v>
      </c>
      <c r="I677" s="15">
        <f>SUM(AA676:AA676)</f>
        <v>0.105</v>
      </c>
      <c r="J677" s="15"/>
      <c r="K677" s="12"/>
      <c r="L677" s="15"/>
      <c r="M677" s="15"/>
      <c r="N677" s="15"/>
      <c r="O677" s="15" t="str">
        <f>IF(I677*M677=0, "", I677*M677*(N677/100))</f>
        <v/>
      </c>
      <c r="P677" s="38"/>
      <c r="Q677" s="38">
        <f>TRUNC(P677*M677*N677/100)</f>
        <v>0</v>
      </c>
      <c r="R677" s="38"/>
      <c r="S677" s="15"/>
      <c r="T677" s="15"/>
      <c r="Z677" s="2" t="s">
        <v>1399</v>
      </c>
      <c r="AA677" s="2">
        <f>SUM(AA676:AA676)</f>
        <v>0.105</v>
      </c>
    </row>
    <row r="678" spans="2:34" ht="21.95" customHeight="1" x14ac:dyDescent="0.15">
      <c r="B678" s="13" t="s">
        <v>1448</v>
      </c>
      <c r="D678" s="170" t="s">
        <v>1654</v>
      </c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2"/>
    </row>
    <row r="679" spans="2:34" ht="21.95" customHeight="1" x14ac:dyDescent="0.15">
      <c r="B679" s="13" t="s">
        <v>1397</v>
      </c>
      <c r="C679" s="13" t="s">
        <v>971</v>
      </c>
      <c r="D679" s="12" t="s">
        <v>962</v>
      </c>
      <c r="E679" s="12" t="s">
        <v>972</v>
      </c>
      <c r="F679" s="15" t="s">
        <v>710</v>
      </c>
      <c r="G679" s="15">
        <v>1</v>
      </c>
      <c r="H679" s="15">
        <f>IF(I679&lt;&gt;0, G679-I679, "")</f>
        <v>0</v>
      </c>
      <c r="I679" s="15">
        <v>1</v>
      </c>
      <c r="J679" s="15"/>
      <c r="K679" s="12" t="s">
        <v>1372</v>
      </c>
      <c r="L679" s="15" t="s">
        <v>1004</v>
      </c>
      <c r="M679" s="15">
        <v>0.217</v>
      </c>
      <c r="N679" s="15">
        <v>100</v>
      </c>
      <c r="O679" s="15">
        <f>IF(I679*M679=0, "", I679*M679*(N679/100))</f>
        <v>0.217</v>
      </c>
      <c r="P679" s="38"/>
      <c r="Q679" s="38">
        <f>TRUNC(P679*M679*N679/100)</f>
        <v>0</v>
      </c>
      <c r="R679" s="38"/>
      <c r="S679" s="15" t="s">
        <v>1435</v>
      </c>
      <c r="T679" s="15" t="s">
        <v>1436</v>
      </c>
      <c r="AA679" s="2">
        <f>O679</f>
        <v>0.217</v>
      </c>
    </row>
    <row r="680" spans="2:34" ht="21.95" customHeight="1" x14ac:dyDescent="0.15">
      <c r="B680" s="13" t="s">
        <v>1397</v>
      </c>
      <c r="C680" s="13" t="s">
        <v>1002</v>
      </c>
      <c r="D680" s="12" t="s">
        <v>1003</v>
      </c>
      <c r="E680" s="12" t="s">
        <v>1004</v>
      </c>
      <c r="F680" s="15" t="s">
        <v>999</v>
      </c>
      <c r="G680" s="15">
        <f>IF(H680*I680/100+0.000005 &lt;1, TRUNC(H680*I680/100+0.000005, 옵션!$E$13), TRUNC(H680*I680/100+0.000005, 옵션!$E$13))</f>
        <v>0.217</v>
      </c>
      <c r="H680" s="15">
        <f>옵션!$B$13</f>
        <v>100</v>
      </c>
      <c r="I680" s="15">
        <f>SUM(AA679:AA679)</f>
        <v>0.217</v>
      </c>
      <c r="J680" s="15"/>
      <c r="K680" s="12"/>
      <c r="L680" s="15"/>
      <c r="M680" s="15"/>
      <c r="N680" s="15"/>
      <c r="O680" s="15" t="str">
        <f>IF(I680*M680=0, "", I680*M680*(N680/100))</f>
        <v/>
      </c>
      <c r="P680" s="38"/>
      <c r="Q680" s="38">
        <f>TRUNC(P680*M680*N680/100)</f>
        <v>0</v>
      </c>
      <c r="R680" s="38"/>
      <c r="S680" s="15"/>
      <c r="T680" s="15"/>
      <c r="Z680" s="2" t="s">
        <v>1399</v>
      </c>
      <c r="AA680" s="2">
        <f>SUM(AA679:AA679)</f>
        <v>0.217</v>
      </c>
    </row>
    <row r="681" spans="2:34" ht="21.95" customHeight="1" x14ac:dyDescent="0.15">
      <c r="B681" s="13" t="s">
        <v>1448</v>
      </c>
      <c r="D681" s="170" t="s">
        <v>1655</v>
      </c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2"/>
    </row>
    <row r="682" spans="2:34" ht="21.95" customHeight="1" x14ac:dyDescent="0.15">
      <c r="B682" s="13" t="s">
        <v>1397</v>
      </c>
      <c r="C682" s="13" t="s">
        <v>973</v>
      </c>
      <c r="D682" s="12" t="s">
        <v>962</v>
      </c>
      <c r="E682" s="12" t="s">
        <v>974</v>
      </c>
      <c r="F682" s="15" t="s">
        <v>710</v>
      </c>
      <c r="G682" s="15">
        <v>1</v>
      </c>
      <c r="H682" s="15">
        <f>IF(I682&lt;&gt;0, G682-I682, "")</f>
        <v>0</v>
      </c>
      <c r="I682" s="15">
        <v>1</v>
      </c>
      <c r="J682" s="15"/>
      <c r="K682" s="12" t="s">
        <v>1372</v>
      </c>
      <c r="L682" s="15" t="s">
        <v>1004</v>
      </c>
      <c r="M682" s="15">
        <v>0.19800000000000001</v>
      </c>
      <c r="N682" s="15">
        <v>100</v>
      </c>
      <c r="O682" s="15">
        <f>IF(I682*M682=0, "", I682*M682*(N682/100))</f>
        <v>0.19800000000000001</v>
      </c>
      <c r="P682" s="38"/>
      <c r="Q682" s="38">
        <f>TRUNC(P682*M682*N682/100)</f>
        <v>0</v>
      </c>
      <c r="R682" s="38"/>
      <c r="S682" s="15" t="s">
        <v>1435</v>
      </c>
      <c r="T682" s="15" t="s">
        <v>1436</v>
      </c>
      <c r="AA682" s="2">
        <f>O682</f>
        <v>0.19800000000000001</v>
      </c>
    </row>
    <row r="683" spans="2:34" ht="21.95" customHeight="1" x14ac:dyDescent="0.15">
      <c r="B683" s="13" t="s">
        <v>1397</v>
      </c>
      <c r="C683" s="13" t="s">
        <v>1002</v>
      </c>
      <c r="D683" s="12" t="s">
        <v>1003</v>
      </c>
      <c r="E683" s="12" t="s">
        <v>1004</v>
      </c>
      <c r="F683" s="15" t="s">
        <v>999</v>
      </c>
      <c r="G683" s="15">
        <f>IF(H683*I683/100+0.000005 &lt;1, TRUNC(H683*I683/100+0.000005, 옵션!$E$13), TRUNC(H683*I683/100+0.000005, 옵션!$E$13))</f>
        <v>0.19800000000000001</v>
      </c>
      <c r="H683" s="15">
        <f>옵션!$B$13</f>
        <v>100</v>
      </c>
      <c r="I683" s="15">
        <f>SUM(AA682:AA682)</f>
        <v>0.19800000000000001</v>
      </c>
      <c r="J683" s="15"/>
      <c r="K683" s="12"/>
      <c r="L683" s="15"/>
      <c r="M683" s="15"/>
      <c r="N683" s="15"/>
      <c r="O683" s="15" t="str">
        <f>IF(I683*M683=0, "", I683*M683*(N683/100))</f>
        <v/>
      </c>
      <c r="P683" s="38"/>
      <c r="Q683" s="38">
        <f>TRUNC(P683*M683*N683/100)</f>
        <v>0</v>
      </c>
      <c r="R683" s="38"/>
      <c r="S683" s="15"/>
      <c r="T683" s="15"/>
      <c r="Z683" s="2" t="s">
        <v>1399</v>
      </c>
      <c r="AA683" s="2">
        <f>SUM(AA682:AA682)</f>
        <v>0.19800000000000001</v>
      </c>
    </row>
    <row r="684" spans="2:34" ht="21.95" customHeight="1" x14ac:dyDescent="0.15">
      <c r="B684" s="13" t="s">
        <v>1448</v>
      </c>
      <c r="D684" s="170" t="s">
        <v>1656</v>
      </c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2"/>
    </row>
    <row r="685" spans="2:34" ht="21.95" customHeight="1" x14ac:dyDescent="0.15">
      <c r="B685" s="13" t="s">
        <v>1397</v>
      </c>
      <c r="C685" s="13" t="s">
        <v>975</v>
      </c>
      <c r="D685" s="12" t="s">
        <v>962</v>
      </c>
      <c r="E685" s="12" t="s">
        <v>976</v>
      </c>
      <c r="F685" s="15" t="s">
        <v>710</v>
      </c>
      <c r="G685" s="15">
        <v>1</v>
      </c>
      <c r="H685" s="15">
        <f>IF(I685&lt;&gt;0, G685-I685, "")</f>
        <v>0</v>
      </c>
      <c r="I685" s="15">
        <v>1</v>
      </c>
      <c r="J685" s="15"/>
      <c r="K685" s="12" t="s">
        <v>1372</v>
      </c>
      <c r="L685" s="15" t="s">
        <v>1004</v>
      </c>
      <c r="M685" s="15">
        <v>0.22800000000000001</v>
      </c>
      <c r="N685" s="15">
        <v>100</v>
      </c>
      <c r="O685" s="15">
        <f>IF(I685*M685=0, "", I685*M685*(N685/100))</f>
        <v>0.22800000000000001</v>
      </c>
      <c r="P685" s="38"/>
      <c r="Q685" s="38">
        <f>TRUNC(P685*M685*N685/100)</f>
        <v>0</v>
      </c>
      <c r="R685" s="38"/>
      <c r="S685" s="15" t="s">
        <v>1435</v>
      </c>
      <c r="T685" s="15" t="s">
        <v>1436</v>
      </c>
      <c r="AA685" s="2">
        <f>O685</f>
        <v>0.22800000000000001</v>
      </c>
    </row>
    <row r="686" spans="2:34" ht="21.95" customHeight="1" x14ac:dyDescent="0.15">
      <c r="B686" s="13" t="s">
        <v>1397</v>
      </c>
      <c r="C686" s="13" t="s">
        <v>1002</v>
      </c>
      <c r="D686" s="12" t="s">
        <v>1003</v>
      </c>
      <c r="E686" s="12" t="s">
        <v>1004</v>
      </c>
      <c r="F686" s="15" t="s">
        <v>999</v>
      </c>
      <c r="G686" s="15">
        <f>IF(H686*I686/100+0.000005 &lt;1, TRUNC(H686*I686/100+0.000005, 옵션!$E$13), TRUNC(H686*I686/100+0.000005, 옵션!$E$13))</f>
        <v>0.22800000000000001</v>
      </c>
      <c r="H686" s="15">
        <f>옵션!$B$13</f>
        <v>100</v>
      </c>
      <c r="I686" s="15">
        <f>SUM(AA685:AA685)</f>
        <v>0.22800000000000001</v>
      </c>
      <c r="J686" s="15"/>
      <c r="K686" s="12"/>
      <c r="L686" s="15"/>
      <c r="M686" s="15"/>
      <c r="N686" s="15"/>
      <c r="O686" s="15" t="str">
        <f>IF(I686*M686=0, "", I686*M686*(N686/100))</f>
        <v/>
      </c>
      <c r="P686" s="38"/>
      <c r="Q686" s="38">
        <f>TRUNC(P686*M686*N686/100)</f>
        <v>0</v>
      </c>
      <c r="R686" s="38"/>
      <c r="S686" s="15"/>
      <c r="T686" s="15"/>
      <c r="Z686" s="2" t="s">
        <v>1399</v>
      </c>
      <c r="AA686" s="2">
        <f>SUM(AA685:AA685)</f>
        <v>0.22800000000000001</v>
      </c>
    </row>
    <row r="687" spans="2:34" ht="21.95" customHeight="1" x14ac:dyDescent="0.15">
      <c r="B687" s="13" t="s">
        <v>1448</v>
      </c>
      <c r="D687" s="170" t="s">
        <v>1657</v>
      </c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2"/>
    </row>
    <row r="688" spans="2:34" ht="21.95" customHeight="1" x14ac:dyDescent="0.15">
      <c r="B688" s="13" t="s">
        <v>1397</v>
      </c>
      <c r="C688" s="13" t="s">
        <v>1437</v>
      </c>
      <c r="D688" s="12" t="s">
        <v>1406</v>
      </c>
      <c r="E688" s="12" t="s">
        <v>1438</v>
      </c>
      <c r="F688" s="15" t="s">
        <v>792</v>
      </c>
      <c r="G688" s="15">
        <v>1</v>
      </c>
      <c r="H688" s="15">
        <f>IF(I688&lt;&gt;0, G688-I688, "")</f>
        <v>0</v>
      </c>
      <c r="I688" s="15">
        <v>1</v>
      </c>
      <c r="J688" s="15"/>
      <c r="K688" s="12" t="s">
        <v>1379</v>
      </c>
      <c r="L688" s="15" t="s">
        <v>1018</v>
      </c>
      <c r="M688" s="15">
        <v>0.2</v>
      </c>
      <c r="N688" s="15">
        <v>100</v>
      </c>
      <c r="O688" s="15">
        <f>IF(I688*M688=0, "", I688*M688*(N688/100))</f>
        <v>0.2</v>
      </c>
      <c r="P688" s="38"/>
      <c r="Q688" s="38">
        <f>TRUNC(P688*M688*N688/100)</f>
        <v>0</v>
      </c>
      <c r="R688" s="38"/>
      <c r="S688" s="15" t="s">
        <v>1439</v>
      </c>
      <c r="T688" s="15"/>
      <c r="AH688" s="2">
        <f>O688</f>
        <v>0.2</v>
      </c>
    </row>
    <row r="689" spans="2:34" ht="21.95" customHeight="1" x14ac:dyDescent="0.15">
      <c r="B689" s="13" t="s">
        <v>1397</v>
      </c>
      <c r="C689" s="13" t="s">
        <v>1017</v>
      </c>
      <c r="D689" s="12" t="s">
        <v>1003</v>
      </c>
      <c r="E689" s="12" t="s">
        <v>1018</v>
      </c>
      <c r="F689" s="15" t="s">
        <v>999</v>
      </c>
      <c r="G689" s="15">
        <f>IF(H689*I689/100+0.000005 &lt;1, TRUNC(H689*I689/100+0.000005, 옵션!$E$13), TRUNC(H689*I689/100+0.000005, 옵션!$E$13))</f>
        <v>0.2</v>
      </c>
      <c r="H689" s="15">
        <f>옵션!$B$13</f>
        <v>100</v>
      </c>
      <c r="I689" s="15">
        <f>SUM(AH688:AH688)</f>
        <v>0.2</v>
      </c>
      <c r="J689" s="15"/>
      <c r="K689" s="12"/>
      <c r="L689" s="15"/>
      <c r="M689" s="15"/>
      <c r="N689" s="15"/>
      <c r="O689" s="15" t="str">
        <f>IF(I689*M689=0, "", I689*M689*(N689/100))</f>
        <v/>
      </c>
      <c r="P689" s="38"/>
      <c r="Q689" s="38">
        <f>TRUNC(P689*M689*N689/100)</f>
        <v>0</v>
      </c>
      <c r="R689" s="38"/>
      <c r="S689" s="15"/>
      <c r="T689" s="15"/>
      <c r="Z689" s="2" t="s">
        <v>1399</v>
      </c>
      <c r="AH689" s="2">
        <f>SUM(AH688:AH688)</f>
        <v>0.2</v>
      </c>
    </row>
    <row r="690" spans="2:34" ht="21.95" customHeight="1" x14ac:dyDescent="0.15">
      <c r="B690" s="13" t="s">
        <v>1448</v>
      </c>
      <c r="D690" s="170" t="s">
        <v>1658</v>
      </c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2"/>
    </row>
    <row r="691" spans="2:34" ht="21.95" customHeight="1" x14ac:dyDescent="0.15">
      <c r="B691" s="13" t="s">
        <v>1397</v>
      </c>
      <c r="C691" s="13" t="s">
        <v>1440</v>
      </c>
      <c r="D691" s="12" t="s">
        <v>1406</v>
      </c>
      <c r="E691" s="12" t="s">
        <v>1441</v>
      </c>
      <c r="F691" s="15" t="s">
        <v>792</v>
      </c>
      <c r="G691" s="15">
        <v>1</v>
      </c>
      <c r="H691" s="15">
        <f>IF(I691&lt;&gt;0, G691-I691, "")</f>
        <v>0</v>
      </c>
      <c r="I691" s="15">
        <v>1</v>
      </c>
      <c r="J691" s="15"/>
      <c r="K691" s="12" t="s">
        <v>1379</v>
      </c>
      <c r="L691" s="15" t="s">
        <v>1018</v>
      </c>
      <c r="M691" s="15">
        <v>0.1</v>
      </c>
      <c r="N691" s="15">
        <v>100</v>
      </c>
      <c r="O691" s="15">
        <f>IF(I691*M691=0, "", I691*M691*(N691/100))</f>
        <v>0.1</v>
      </c>
      <c r="P691" s="38"/>
      <c r="Q691" s="38">
        <f>TRUNC(P691*M691*N691/100)</f>
        <v>0</v>
      </c>
      <c r="R691" s="38"/>
      <c r="S691" s="15" t="s">
        <v>1439</v>
      </c>
      <c r="T691" s="15"/>
      <c r="AH691" s="2">
        <f>O691</f>
        <v>0.1</v>
      </c>
    </row>
    <row r="692" spans="2:34" ht="21.95" customHeight="1" x14ac:dyDescent="0.15">
      <c r="B692" s="13" t="s">
        <v>1397</v>
      </c>
      <c r="C692" s="13" t="s">
        <v>1017</v>
      </c>
      <c r="D692" s="12" t="s">
        <v>1003</v>
      </c>
      <c r="E692" s="12" t="s">
        <v>1018</v>
      </c>
      <c r="F692" s="15" t="s">
        <v>999</v>
      </c>
      <c r="G692" s="15">
        <f>IF(H692*I692/100+0.000005 &lt;1, TRUNC(H692*I692/100+0.000005, 옵션!$E$13), TRUNC(H692*I692/100+0.000005, 옵션!$E$13))</f>
        <v>0.1</v>
      </c>
      <c r="H692" s="15">
        <f>옵션!$B$13</f>
        <v>100</v>
      </c>
      <c r="I692" s="15">
        <f>SUM(AH691:AH691)</f>
        <v>0.1</v>
      </c>
      <c r="J692" s="15"/>
      <c r="K692" s="12"/>
      <c r="L692" s="15"/>
      <c r="M692" s="15"/>
      <c r="N692" s="15"/>
      <c r="O692" s="15" t="str">
        <f>IF(I692*M692=0, "", I692*M692*(N692/100))</f>
        <v/>
      </c>
      <c r="P692" s="38"/>
      <c r="Q692" s="38">
        <f>TRUNC(P692*M692*N692/100)</f>
        <v>0</v>
      </c>
      <c r="R692" s="38"/>
      <c r="S692" s="15"/>
      <c r="T692" s="15"/>
      <c r="Z692" s="2" t="s">
        <v>1399</v>
      </c>
      <c r="AH692" s="2">
        <f>SUM(AH691:AH691)</f>
        <v>0.1</v>
      </c>
    </row>
    <row r="693" spans="2:34" ht="21.95" customHeight="1" x14ac:dyDescent="0.15">
      <c r="B693" s="13" t="s">
        <v>1448</v>
      </c>
      <c r="D693" s="170" t="s">
        <v>1659</v>
      </c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2"/>
    </row>
    <row r="694" spans="2:34" ht="21.95" customHeight="1" x14ac:dyDescent="0.15">
      <c r="B694" s="13" t="s">
        <v>1397</v>
      </c>
      <c r="C694" s="13" t="s">
        <v>1442</v>
      </c>
      <c r="D694" s="12" t="s">
        <v>1406</v>
      </c>
      <c r="E694" s="12" t="s">
        <v>1443</v>
      </c>
      <c r="F694" s="15" t="s">
        <v>792</v>
      </c>
      <c r="G694" s="15">
        <v>1</v>
      </c>
      <c r="H694" s="15">
        <f>IF(I694&lt;&gt;0, G694-I694, "")</f>
        <v>0</v>
      </c>
      <c r="I694" s="15">
        <v>1</v>
      </c>
      <c r="J694" s="15"/>
      <c r="K694" s="12" t="s">
        <v>1379</v>
      </c>
      <c r="L694" s="15" t="s">
        <v>1018</v>
      </c>
      <c r="M694" s="15">
        <v>0.2</v>
      </c>
      <c r="N694" s="15">
        <v>100</v>
      </c>
      <c r="O694" s="15">
        <f>IF(I694*M694=0, "", I694*M694*(N694/100))</f>
        <v>0.2</v>
      </c>
      <c r="P694" s="38"/>
      <c r="Q694" s="38">
        <f>TRUNC(P694*M694*N694/100)</f>
        <v>0</v>
      </c>
      <c r="R694" s="38"/>
      <c r="S694" s="15" t="s">
        <v>1439</v>
      </c>
      <c r="T694" s="15"/>
      <c r="AH694" s="2">
        <f>O694</f>
        <v>0.2</v>
      </c>
    </row>
    <row r="695" spans="2:34" ht="21.95" customHeight="1" x14ac:dyDescent="0.15">
      <c r="B695" s="13" t="s">
        <v>1397</v>
      </c>
      <c r="C695" s="13" t="s">
        <v>1017</v>
      </c>
      <c r="D695" s="12" t="s">
        <v>1003</v>
      </c>
      <c r="E695" s="12" t="s">
        <v>1018</v>
      </c>
      <c r="F695" s="15" t="s">
        <v>999</v>
      </c>
      <c r="G695" s="15">
        <f>IF(H695*I695/100+0.000005 &lt;1, TRUNC(H695*I695/100+0.000005, 옵션!$E$13), TRUNC(H695*I695/100+0.000005, 옵션!$E$13))</f>
        <v>0.2</v>
      </c>
      <c r="H695" s="15">
        <f>옵션!$B$13</f>
        <v>100</v>
      </c>
      <c r="I695" s="15">
        <f>SUM(AH694:AH694)</f>
        <v>0.2</v>
      </c>
      <c r="J695" s="15"/>
      <c r="K695" s="12"/>
      <c r="L695" s="15"/>
      <c r="M695" s="15"/>
      <c r="N695" s="15"/>
      <c r="O695" s="15" t="str">
        <f>IF(I695*M695=0, "", I695*M695*(N695/100))</f>
        <v/>
      </c>
      <c r="P695" s="38"/>
      <c r="Q695" s="38">
        <f>TRUNC(P695*M695*N695/100)</f>
        <v>0</v>
      </c>
      <c r="R695" s="38"/>
      <c r="S695" s="15"/>
      <c r="T695" s="15"/>
      <c r="Z695" s="2" t="s">
        <v>1399</v>
      </c>
      <c r="AH695" s="2">
        <f>SUM(AH694:AH694)</f>
        <v>0.2</v>
      </c>
    </row>
    <row r="696" spans="2:34" ht="21.95" customHeight="1" x14ac:dyDescent="0.15">
      <c r="B696" s="13" t="s">
        <v>1448</v>
      </c>
      <c r="D696" s="170" t="s">
        <v>1660</v>
      </c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2"/>
    </row>
    <row r="697" spans="2:34" ht="21.95" customHeight="1" x14ac:dyDescent="0.15">
      <c r="B697" s="13" t="s">
        <v>1397</v>
      </c>
      <c r="C697" s="13" t="s">
        <v>1444</v>
      </c>
      <c r="D697" s="12" t="s">
        <v>1406</v>
      </c>
      <c r="E697" s="12" t="s">
        <v>1445</v>
      </c>
      <c r="F697" s="15" t="s">
        <v>792</v>
      </c>
      <c r="G697" s="15">
        <v>1</v>
      </c>
      <c r="H697" s="15">
        <f>IF(I697&lt;&gt;0, G697-I697, "")</f>
        <v>0</v>
      </c>
      <c r="I697" s="15">
        <v>1</v>
      </c>
      <c r="J697" s="15"/>
      <c r="K697" s="12" t="s">
        <v>1379</v>
      </c>
      <c r="L697" s="15" t="s">
        <v>1018</v>
      </c>
      <c r="M697" s="15">
        <v>1.1000000000000001</v>
      </c>
      <c r="N697" s="15">
        <v>100</v>
      </c>
      <c r="O697" s="15">
        <f>IF(I697*M697=0, "", I697*M697*(N697/100))</f>
        <v>1.1000000000000001</v>
      </c>
      <c r="P697" s="38"/>
      <c r="Q697" s="38">
        <f>TRUNC(P697*M697*N697/100)</f>
        <v>0</v>
      </c>
      <c r="R697" s="38"/>
      <c r="S697" s="15" t="s">
        <v>1446</v>
      </c>
      <c r="T697" s="15"/>
      <c r="AH697" s="2">
        <f>O697</f>
        <v>1.1000000000000001</v>
      </c>
    </row>
    <row r="698" spans="2:34" ht="21.95" customHeight="1" x14ac:dyDescent="0.15">
      <c r="B698" s="13" t="s">
        <v>1397</v>
      </c>
      <c r="C698" s="13" t="s">
        <v>1017</v>
      </c>
      <c r="D698" s="12" t="s">
        <v>1003</v>
      </c>
      <c r="E698" s="12" t="s">
        <v>1018</v>
      </c>
      <c r="F698" s="15" t="s">
        <v>999</v>
      </c>
      <c r="G698" s="15">
        <f>IF(H698*I698/100+0.000005 &lt;1, TRUNC(H698*I698/100+0.000005, 옵션!$E$13), TRUNC(H698*I698/100+0.000005, 옵션!$E$13))</f>
        <v>1.1000000000000001</v>
      </c>
      <c r="H698" s="15">
        <f>옵션!$B$13</f>
        <v>100</v>
      </c>
      <c r="I698" s="15">
        <f>SUM(AH697:AH697)</f>
        <v>1.1000000000000001</v>
      </c>
      <c r="J698" s="15"/>
      <c r="K698" s="12"/>
      <c r="L698" s="15"/>
      <c r="M698" s="15"/>
      <c r="N698" s="15"/>
      <c r="O698" s="15" t="str">
        <f>IF(I698*M698=0, "", I698*M698*(N698/100))</f>
        <v/>
      </c>
      <c r="P698" s="38"/>
      <c r="Q698" s="38">
        <f>TRUNC(P698*M698*N698/100)</f>
        <v>0</v>
      </c>
      <c r="R698" s="38"/>
      <c r="S698" s="15"/>
      <c r="T698" s="15"/>
      <c r="Z698" s="2" t="s">
        <v>1399</v>
      </c>
      <c r="AH698" s="2">
        <f>SUM(AH697:AH697)</f>
        <v>1.1000000000000001</v>
      </c>
    </row>
    <row r="699" spans="2:34" ht="21.95" customHeight="1" x14ac:dyDescent="0.15">
      <c r="D699" s="12"/>
      <c r="E699" s="12"/>
      <c r="F699" s="15"/>
      <c r="G699" s="15"/>
      <c r="H699" s="15"/>
      <c r="I699" s="15"/>
      <c r="J699" s="15"/>
      <c r="K699" s="12"/>
      <c r="L699" s="15"/>
      <c r="M699" s="15"/>
      <c r="N699" s="15"/>
      <c r="O699" s="15"/>
      <c r="P699" s="38"/>
      <c r="Q699" s="38"/>
      <c r="R699" s="38"/>
      <c r="S699" s="15"/>
      <c r="T699" s="15"/>
    </row>
    <row r="700" spans="2:34" ht="21.95" customHeight="1" x14ac:dyDescent="0.15">
      <c r="D700" s="12"/>
      <c r="E700" s="12"/>
      <c r="F700" s="15"/>
      <c r="G700" s="15"/>
      <c r="H700" s="15"/>
      <c r="I700" s="15"/>
      <c r="J700" s="15"/>
      <c r="K700" s="12"/>
      <c r="L700" s="15"/>
      <c r="M700" s="15"/>
      <c r="N700" s="15"/>
      <c r="O700" s="15"/>
      <c r="P700" s="38"/>
      <c r="Q700" s="38"/>
      <c r="R700" s="38"/>
      <c r="S700" s="15"/>
      <c r="T700" s="15"/>
    </row>
    <row r="701" spans="2:34" ht="21.95" customHeight="1" x14ac:dyDescent="0.15">
      <c r="D701" s="12"/>
      <c r="E701" s="12"/>
      <c r="F701" s="15"/>
      <c r="G701" s="15"/>
      <c r="H701" s="15"/>
      <c r="I701" s="15"/>
      <c r="J701" s="15"/>
      <c r="K701" s="12"/>
      <c r="L701" s="15"/>
      <c r="M701" s="15"/>
      <c r="N701" s="15"/>
      <c r="O701" s="15"/>
      <c r="P701" s="38"/>
      <c r="Q701" s="38"/>
      <c r="R701" s="38"/>
      <c r="S701" s="15"/>
      <c r="T701" s="15"/>
    </row>
    <row r="702" spans="2:34" ht="21.95" customHeight="1" x14ac:dyDescent="0.15">
      <c r="D702" s="12"/>
      <c r="E702" s="12"/>
      <c r="F702" s="15"/>
      <c r="G702" s="15"/>
      <c r="H702" s="15"/>
      <c r="I702" s="15"/>
      <c r="J702" s="15"/>
      <c r="K702" s="12"/>
      <c r="L702" s="15"/>
      <c r="M702" s="15"/>
      <c r="N702" s="15"/>
      <c r="O702" s="15"/>
      <c r="P702" s="38"/>
      <c r="Q702" s="38"/>
      <c r="R702" s="38"/>
      <c r="S702" s="15"/>
      <c r="T702" s="15"/>
    </row>
    <row r="703" spans="2:34" ht="21.95" customHeight="1" x14ac:dyDescent="0.15">
      <c r="D703" s="12"/>
      <c r="E703" s="12"/>
      <c r="F703" s="15"/>
      <c r="G703" s="15"/>
      <c r="H703" s="15"/>
      <c r="I703" s="15"/>
      <c r="J703" s="15"/>
      <c r="K703" s="12"/>
      <c r="L703" s="15"/>
      <c r="M703" s="15"/>
      <c r="N703" s="15"/>
      <c r="O703" s="15"/>
      <c r="P703" s="38"/>
      <c r="Q703" s="38"/>
      <c r="R703" s="38"/>
      <c r="S703" s="15"/>
      <c r="T703" s="15"/>
    </row>
    <row r="704" spans="2:34" ht="21.95" customHeight="1" x14ac:dyDescent="0.15">
      <c r="D704" s="12"/>
      <c r="E704" s="12"/>
      <c r="F704" s="15"/>
      <c r="G704" s="15"/>
      <c r="H704" s="15"/>
      <c r="I704" s="15"/>
      <c r="J704" s="15"/>
      <c r="K704" s="12"/>
      <c r="L704" s="15"/>
      <c r="M704" s="15"/>
      <c r="N704" s="15"/>
      <c r="O704" s="15"/>
      <c r="P704" s="38"/>
      <c r="Q704" s="38"/>
      <c r="R704" s="38"/>
      <c r="S704" s="15"/>
      <c r="T704" s="15"/>
    </row>
    <row r="705" spans="4:20" ht="21.95" customHeight="1" x14ac:dyDescent="0.15">
      <c r="D705" s="12"/>
      <c r="E705" s="12"/>
      <c r="F705" s="15"/>
      <c r="G705" s="15"/>
      <c r="H705" s="15"/>
      <c r="I705" s="15"/>
      <c r="J705" s="15"/>
      <c r="K705" s="12"/>
      <c r="L705" s="15"/>
      <c r="M705" s="15"/>
      <c r="N705" s="15"/>
      <c r="O705" s="15"/>
      <c r="P705" s="38"/>
      <c r="Q705" s="38"/>
      <c r="R705" s="38"/>
      <c r="S705" s="15"/>
      <c r="T705" s="15"/>
    </row>
  </sheetData>
  <mergeCells count="226">
    <mergeCell ref="D690:T690"/>
    <mergeCell ref="D693:T693"/>
    <mergeCell ref="D696:T696"/>
    <mergeCell ref="D675:T675"/>
    <mergeCell ref="D678:T678"/>
    <mergeCell ref="D681:T681"/>
    <mergeCell ref="D684:T684"/>
    <mergeCell ref="D687:T687"/>
    <mergeCell ref="D660:T660"/>
    <mergeCell ref="D663:T663"/>
    <mergeCell ref="D666:T666"/>
    <mergeCell ref="D669:T669"/>
    <mergeCell ref="D672:T672"/>
    <mergeCell ref="D645:T645"/>
    <mergeCell ref="D648:T648"/>
    <mergeCell ref="D651:T651"/>
    <mergeCell ref="D654:T654"/>
    <mergeCell ref="D657:T657"/>
    <mergeCell ref="D630:T630"/>
    <mergeCell ref="D633:T633"/>
    <mergeCell ref="D636:T636"/>
    <mergeCell ref="D639:T639"/>
    <mergeCell ref="D642:T642"/>
    <mergeCell ref="D615:T615"/>
    <mergeCell ref="D618:T618"/>
    <mergeCell ref="D621:T621"/>
    <mergeCell ref="D624:T624"/>
    <mergeCell ref="D627:T627"/>
    <mergeCell ref="D600:T600"/>
    <mergeCell ref="D603:T603"/>
    <mergeCell ref="D606:T606"/>
    <mergeCell ref="D609:T609"/>
    <mergeCell ref="D612:T612"/>
    <mergeCell ref="D585:T585"/>
    <mergeCell ref="D588:T588"/>
    <mergeCell ref="D591:T591"/>
    <mergeCell ref="D594:T594"/>
    <mergeCell ref="D597:T597"/>
    <mergeCell ref="D570:T570"/>
    <mergeCell ref="D573:T573"/>
    <mergeCell ref="D576:T576"/>
    <mergeCell ref="D579:T579"/>
    <mergeCell ref="D582:T582"/>
    <mergeCell ref="D555:T555"/>
    <mergeCell ref="D558:T558"/>
    <mergeCell ref="D561:T561"/>
    <mergeCell ref="D564:T564"/>
    <mergeCell ref="D567:T567"/>
    <mergeCell ref="D540:T540"/>
    <mergeCell ref="D543:T543"/>
    <mergeCell ref="D546:T546"/>
    <mergeCell ref="D549:T549"/>
    <mergeCell ref="D552:T552"/>
    <mergeCell ref="D523:T523"/>
    <mergeCell ref="D528:T528"/>
    <mergeCell ref="D531:T531"/>
    <mergeCell ref="D534:T534"/>
    <mergeCell ref="D537:T537"/>
    <mergeCell ref="D508:T508"/>
    <mergeCell ref="D511:T511"/>
    <mergeCell ref="D514:T514"/>
    <mergeCell ref="D517:T517"/>
    <mergeCell ref="D520:T520"/>
    <mergeCell ref="D493:T493"/>
    <mergeCell ref="D496:T496"/>
    <mergeCell ref="D499:T499"/>
    <mergeCell ref="D502:T502"/>
    <mergeCell ref="D505:T505"/>
    <mergeCell ref="D478:T478"/>
    <mergeCell ref="D481:T481"/>
    <mergeCell ref="D484:T484"/>
    <mergeCell ref="D487:T487"/>
    <mergeCell ref="D490:T490"/>
    <mergeCell ref="D463:T463"/>
    <mergeCell ref="D466:T466"/>
    <mergeCell ref="D469:T469"/>
    <mergeCell ref="D472:T472"/>
    <mergeCell ref="D475:T475"/>
    <mergeCell ref="D448:T448"/>
    <mergeCell ref="D451:T451"/>
    <mergeCell ref="D454:T454"/>
    <mergeCell ref="D457:T457"/>
    <mergeCell ref="D460:T460"/>
    <mergeCell ref="D433:T433"/>
    <mergeCell ref="D436:T436"/>
    <mergeCell ref="D439:T439"/>
    <mergeCell ref="D442:T442"/>
    <mergeCell ref="D445:T445"/>
    <mergeCell ref="D414:T414"/>
    <mergeCell ref="D419:T419"/>
    <mergeCell ref="D424:T424"/>
    <mergeCell ref="D427:T427"/>
    <mergeCell ref="D430:T430"/>
    <mergeCell ref="D397:T397"/>
    <mergeCell ref="D402:T402"/>
    <mergeCell ref="D405:T405"/>
    <mergeCell ref="D408:T408"/>
    <mergeCell ref="D411:T411"/>
    <mergeCell ref="D380:T380"/>
    <mergeCell ref="D383:T383"/>
    <mergeCell ref="D386:T386"/>
    <mergeCell ref="D389:T389"/>
    <mergeCell ref="D392:T392"/>
    <mergeCell ref="D365:T365"/>
    <mergeCell ref="D368:T368"/>
    <mergeCell ref="D371:T371"/>
    <mergeCell ref="D374:T374"/>
    <mergeCell ref="D377:T377"/>
    <mergeCell ref="D348:T348"/>
    <mergeCell ref="D351:T351"/>
    <mergeCell ref="D354:T354"/>
    <mergeCell ref="D359:T359"/>
    <mergeCell ref="D362:T362"/>
    <mergeCell ref="D333:T333"/>
    <mergeCell ref="D336:T336"/>
    <mergeCell ref="D339:T339"/>
    <mergeCell ref="D342:T342"/>
    <mergeCell ref="D345:T345"/>
    <mergeCell ref="D318:T318"/>
    <mergeCell ref="D321:T321"/>
    <mergeCell ref="D324:T324"/>
    <mergeCell ref="D327:T327"/>
    <mergeCell ref="D330:T330"/>
    <mergeCell ref="D303:T303"/>
    <mergeCell ref="D306:T306"/>
    <mergeCell ref="D309:T309"/>
    <mergeCell ref="D312:T312"/>
    <mergeCell ref="D315:T315"/>
    <mergeCell ref="D288:T288"/>
    <mergeCell ref="D291:T291"/>
    <mergeCell ref="D294:T294"/>
    <mergeCell ref="D297:T297"/>
    <mergeCell ref="D300:T300"/>
    <mergeCell ref="D273:T273"/>
    <mergeCell ref="D276:T276"/>
    <mergeCell ref="D279:T279"/>
    <mergeCell ref="D282:T282"/>
    <mergeCell ref="D285:T285"/>
    <mergeCell ref="D258:T258"/>
    <mergeCell ref="D261:T261"/>
    <mergeCell ref="D264:T264"/>
    <mergeCell ref="D267:T267"/>
    <mergeCell ref="D270:T270"/>
    <mergeCell ref="D243:T243"/>
    <mergeCell ref="D246:T246"/>
    <mergeCell ref="D249:T249"/>
    <mergeCell ref="D252:T252"/>
    <mergeCell ref="D255:T255"/>
    <mergeCell ref="D228:T228"/>
    <mergeCell ref="D231:T231"/>
    <mergeCell ref="D234:T234"/>
    <mergeCell ref="D237:T237"/>
    <mergeCell ref="D240:T240"/>
    <mergeCell ref="D213:T213"/>
    <mergeCell ref="D216:T216"/>
    <mergeCell ref="D219:T219"/>
    <mergeCell ref="D222:T222"/>
    <mergeCell ref="D225:T225"/>
    <mergeCell ref="D198:T198"/>
    <mergeCell ref="D201:T201"/>
    <mergeCell ref="D204:T204"/>
    <mergeCell ref="D207:T207"/>
    <mergeCell ref="D210:T210"/>
    <mergeCell ref="D183:T183"/>
    <mergeCell ref="D186:T186"/>
    <mergeCell ref="D189:T189"/>
    <mergeCell ref="D192:T192"/>
    <mergeCell ref="D195:T195"/>
    <mergeCell ref="D168:T168"/>
    <mergeCell ref="D171:T171"/>
    <mergeCell ref="D174:T174"/>
    <mergeCell ref="D177:T177"/>
    <mergeCell ref="D180:T180"/>
    <mergeCell ref="D149:T149"/>
    <mergeCell ref="D154:T154"/>
    <mergeCell ref="D159:T159"/>
    <mergeCell ref="D162:T162"/>
    <mergeCell ref="D165:T165"/>
    <mergeCell ref="D130:T130"/>
    <mergeCell ref="D133:T133"/>
    <mergeCell ref="D136:T136"/>
    <mergeCell ref="D139:T139"/>
    <mergeCell ref="D144:T144"/>
    <mergeCell ref="D115:T115"/>
    <mergeCell ref="D118:T118"/>
    <mergeCell ref="D121:T121"/>
    <mergeCell ref="D124:T124"/>
    <mergeCell ref="D127:T127"/>
    <mergeCell ref="D98:T98"/>
    <mergeCell ref="D103:T103"/>
    <mergeCell ref="D106:T106"/>
    <mergeCell ref="D109:T109"/>
    <mergeCell ref="D112:T112"/>
    <mergeCell ref="D49:T49"/>
    <mergeCell ref="D67:T67"/>
    <mergeCell ref="D82:T82"/>
    <mergeCell ref="D88:T88"/>
    <mergeCell ref="D93:T93"/>
    <mergeCell ref="D34:T34"/>
    <mergeCell ref="D37:T37"/>
    <mergeCell ref="D40:T40"/>
    <mergeCell ref="D43:T43"/>
    <mergeCell ref="D46:T46"/>
    <mergeCell ref="D19:T19"/>
    <mergeCell ref="D22:T22"/>
    <mergeCell ref="D25:T25"/>
    <mergeCell ref="D28:T28"/>
    <mergeCell ref="D31:T31"/>
    <mergeCell ref="D4:T4"/>
    <mergeCell ref="D7:T7"/>
    <mergeCell ref="D10:T10"/>
    <mergeCell ref="D13:T13"/>
    <mergeCell ref="D16:T16"/>
    <mergeCell ref="D1:O1"/>
    <mergeCell ref="S2:S3"/>
    <mergeCell ref="K2:K3"/>
    <mergeCell ref="P2:R2"/>
    <mergeCell ref="T2:T3"/>
    <mergeCell ref="L2:O2"/>
    <mergeCell ref="G2:J2"/>
    <mergeCell ref="A2:A3"/>
    <mergeCell ref="B2:B3"/>
    <mergeCell ref="E2:E3"/>
    <mergeCell ref="F2:F3"/>
    <mergeCell ref="C2:C3"/>
    <mergeCell ref="D2:D3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7"/>
  <sheetViews>
    <sheetView topLeftCell="C1" zoomScaleNormal="100" workbookViewId="0">
      <pane ySplit="3" topLeftCell="A4" activePane="bottomLeft" state="frozen"/>
      <selection activeCell="C1" sqref="C1"/>
      <selection pane="bottomLeft" activeCell="C2" sqref="C2:C3"/>
    </sheetView>
  </sheetViews>
  <sheetFormatPr defaultRowHeight="21.6" customHeight="1" x14ac:dyDescent="0.15"/>
  <cols>
    <col min="1" max="1" width="6.6640625" style="32" hidden="1" customWidth="1"/>
    <col min="2" max="2" width="8.5546875" style="13" hidden="1" customWidth="1"/>
    <col min="3" max="3" width="16.77734375" style="13" customWidth="1"/>
    <col min="4" max="4" width="24.33203125" style="13" customWidth="1"/>
    <col min="5" max="5" width="25.33203125" style="13" customWidth="1"/>
    <col min="6" max="6" width="4.77734375" style="30" customWidth="1"/>
    <col min="7" max="7" width="11.21875" style="2" customWidth="1"/>
    <col min="8" max="8" width="13.88671875" style="35" customWidth="1"/>
    <col min="9" max="9" width="11.6640625" style="35" customWidth="1"/>
    <col min="10" max="10" width="10" style="35" customWidth="1"/>
    <col min="11" max="11" width="7" style="35" customWidth="1"/>
    <col min="12" max="12" width="14.6640625" style="35" customWidth="1"/>
    <col min="13" max="13" width="12.33203125" style="2" customWidth="1"/>
    <col min="14" max="16384" width="8.88671875" style="2"/>
  </cols>
  <sheetData>
    <row r="1" spans="1:13" ht="21.6" customHeight="1" x14ac:dyDescent="0.15">
      <c r="B1" s="13" t="s">
        <v>1384</v>
      </c>
      <c r="C1" s="180" t="s">
        <v>3264</v>
      </c>
      <c r="D1" s="180"/>
      <c r="E1" s="180"/>
      <c r="F1" s="180"/>
      <c r="G1" s="180"/>
      <c r="H1" s="180"/>
      <c r="K1" s="184"/>
      <c r="L1" s="184"/>
    </row>
    <row r="2" spans="1:13" s="9" customFormat="1" ht="21.6" customHeight="1" x14ac:dyDescent="0.15">
      <c r="A2" s="14" t="s">
        <v>51</v>
      </c>
      <c r="B2" s="52" t="s">
        <v>54</v>
      </c>
      <c r="C2" s="168" t="s">
        <v>22</v>
      </c>
      <c r="D2" s="168" t="s">
        <v>57</v>
      </c>
      <c r="E2" s="168" t="s">
        <v>58</v>
      </c>
      <c r="F2" s="169" t="s">
        <v>0</v>
      </c>
      <c r="G2" s="169" t="s">
        <v>1</v>
      </c>
      <c r="H2" s="164" t="s">
        <v>29</v>
      </c>
      <c r="I2" s="164" t="s">
        <v>30</v>
      </c>
      <c r="J2" s="164" t="s">
        <v>31</v>
      </c>
      <c r="K2" s="164" t="s">
        <v>32</v>
      </c>
      <c r="L2" s="164" t="s">
        <v>12</v>
      </c>
      <c r="M2" s="169" t="s">
        <v>55</v>
      </c>
    </row>
    <row r="3" spans="1:13" ht="21.6" customHeight="1" x14ac:dyDescent="0.15">
      <c r="C3" s="181"/>
      <c r="D3" s="181"/>
      <c r="E3" s="181"/>
      <c r="F3" s="182"/>
      <c r="G3" s="183"/>
      <c r="H3" s="183"/>
      <c r="I3" s="183"/>
      <c r="J3" s="183"/>
      <c r="K3" s="183"/>
      <c r="L3" s="183"/>
      <c r="M3" s="183"/>
    </row>
    <row r="4" spans="1:13" ht="21.6" customHeight="1" x14ac:dyDescent="0.15">
      <c r="B4" s="13" t="s">
        <v>1028</v>
      </c>
      <c r="C4" s="12" t="s">
        <v>163</v>
      </c>
      <c r="D4" s="12" t="s">
        <v>164</v>
      </c>
      <c r="E4" s="12" t="s">
        <v>165</v>
      </c>
      <c r="F4" s="31" t="s">
        <v>166</v>
      </c>
      <c r="G4" s="15">
        <v>105.6</v>
      </c>
      <c r="H4" s="38">
        <f>ROUNDDOWN(단가조사!G4*옵션!$D$11, 0)</f>
        <v>294</v>
      </c>
      <c r="I4" s="38"/>
      <c r="J4" s="38"/>
      <c r="K4" s="38"/>
      <c r="L4" s="38">
        <f t="shared" ref="L4:L67" si="0">SUM(H4,I4,J4)</f>
        <v>294</v>
      </c>
      <c r="M4" s="15"/>
    </row>
    <row r="5" spans="1:13" ht="21.6" customHeight="1" x14ac:dyDescent="0.15">
      <c r="B5" s="13" t="s">
        <v>1029</v>
      </c>
      <c r="C5" s="12" t="s">
        <v>171</v>
      </c>
      <c r="D5" s="12" t="s">
        <v>164</v>
      </c>
      <c r="E5" s="12" t="s">
        <v>172</v>
      </c>
      <c r="F5" s="31" t="s">
        <v>166</v>
      </c>
      <c r="G5" s="15">
        <v>46.2</v>
      </c>
      <c r="H5" s="38">
        <f>ROUNDDOWN(단가조사!G5*옵션!$D$11, 0)</f>
        <v>700</v>
      </c>
      <c r="I5" s="38"/>
      <c r="J5" s="38"/>
      <c r="K5" s="38"/>
      <c r="L5" s="38">
        <f t="shared" si="0"/>
        <v>700</v>
      </c>
      <c r="M5" s="15"/>
    </row>
    <row r="6" spans="1:13" ht="21.6" customHeight="1" x14ac:dyDescent="0.15">
      <c r="B6" s="13" t="s">
        <v>1030</v>
      </c>
      <c r="C6" s="12" t="s">
        <v>173</v>
      </c>
      <c r="D6" s="12" t="s">
        <v>164</v>
      </c>
      <c r="E6" s="12" t="s">
        <v>174</v>
      </c>
      <c r="F6" s="31" t="s">
        <v>166</v>
      </c>
      <c r="G6" s="15">
        <v>17.600000000000001</v>
      </c>
      <c r="H6" s="38">
        <f>ROUNDDOWN(단가조사!G6*옵션!$D$11, 0)</f>
        <v>1007</v>
      </c>
      <c r="I6" s="38"/>
      <c r="J6" s="38"/>
      <c r="K6" s="38"/>
      <c r="L6" s="38">
        <f t="shared" si="0"/>
        <v>1007</v>
      </c>
      <c r="M6" s="15"/>
    </row>
    <row r="7" spans="1:13" ht="21.6" customHeight="1" x14ac:dyDescent="0.15">
      <c r="B7" s="13" t="s">
        <v>1031</v>
      </c>
      <c r="C7" s="12" t="s">
        <v>175</v>
      </c>
      <c r="D7" s="12" t="s">
        <v>164</v>
      </c>
      <c r="E7" s="12" t="s">
        <v>176</v>
      </c>
      <c r="F7" s="31" t="s">
        <v>166</v>
      </c>
      <c r="G7" s="15">
        <v>215.6</v>
      </c>
      <c r="H7" s="38">
        <f>ROUNDDOWN(단가조사!G7*옵션!$D$11, 0)</f>
        <v>1245</v>
      </c>
      <c r="I7" s="38"/>
      <c r="J7" s="38"/>
      <c r="K7" s="38"/>
      <c r="L7" s="38">
        <f t="shared" si="0"/>
        <v>1245</v>
      </c>
      <c r="M7" s="15"/>
    </row>
    <row r="8" spans="1:13" ht="21.6" customHeight="1" x14ac:dyDescent="0.15">
      <c r="B8" s="13" t="s">
        <v>1032</v>
      </c>
      <c r="C8" s="12" t="s">
        <v>177</v>
      </c>
      <c r="D8" s="12" t="s">
        <v>178</v>
      </c>
      <c r="E8" s="12" t="s">
        <v>179</v>
      </c>
      <c r="F8" s="31" t="s">
        <v>166</v>
      </c>
      <c r="G8" s="15">
        <v>15360.4</v>
      </c>
      <c r="H8" s="38">
        <f>ROUNDDOWN(단가조사!G8*옵션!$D$11, 0)</f>
        <v>168</v>
      </c>
      <c r="I8" s="38"/>
      <c r="J8" s="38"/>
      <c r="K8" s="38"/>
      <c r="L8" s="38">
        <f t="shared" si="0"/>
        <v>168</v>
      </c>
      <c r="M8" s="15"/>
    </row>
    <row r="9" spans="1:13" ht="21.6" customHeight="1" x14ac:dyDescent="0.15">
      <c r="B9" s="13" t="s">
        <v>1033</v>
      </c>
      <c r="C9" s="12" t="s">
        <v>183</v>
      </c>
      <c r="D9" s="12" t="s">
        <v>178</v>
      </c>
      <c r="E9" s="12" t="s">
        <v>184</v>
      </c>
      <c r="F9" s="31" t="s">
        <v>166</v>
      </c>
      <c r="G9" s="15">
        <v>759</v>
      </c>
      <c r="H9" s="38">
        <f>ROUNDDOWN(단가조사!G9*옵션!$D$11, 0)</f>
        <v>253</v>
      </c>
      <c r="I9" s="38"/>
      <c r="J9" s="38"/>
      <c r="K9" s="38"/>
      <c r="L9" s="38">
        <f t="shared" si="0"/>
        <v>253</v>
      </c>
      <c r="M9" s="15"/>
    </row>
    <row r="10" spans="1:13" ht="21.6" customHeight="1" x14ac:dyDescent="0.15">
      <c r="B10" s="13" t="s">
        <v>1034</v>
      </c>
      <c r="C10" s="12" t="s">
        <v>185</v>
      </c>
      <c r="D10" s="12" t="s">
        <v>186</v>
      </c>
      <c r="E10" s="12" t="s">
        <v>187</v>
      </c>
      <c r="F10" s="31" t="s">
        <v>166</v>
      </c>
      <c r="G10" s="15">
        <v>37.08</v>
      </c>
      <c r="H10" s="38">
        <f>ROUNDDOWN(단가조사!G10*옵션!$D$11, 0)</f>
        <v>343</v>
      </c>
      <c r="I10" s="38"/>
      <c r="J10" s="38"/>
      <c r="K10" s="38"/>
      <c r="L10" s="38">
        <f t="shared" si="0"/>
        <v>343</v>
      </c>
      <c r="M10" s="15"/>
    </row>
    <row r="11" spans="1:13" ht="21.6" customHeight="1" x14ac:dyDescent="0.15">
      <c r="B11" s="13" t="s">
        <v>1035</v>
      </c>
      <c r="C11" s="12" t="s">
        <v>189</v>
      </c>
      <c r="D11" s="12" t="s">
        <v>186</v>
      </c>
      <c r="E11" s="12" t="s">
        <v>190</v>
      </c>
      <c r="F11" s="31" t="s">
        <v>166</v>
      </c>
      <c r="G11" s="15">
        <v>153.47</v>
      </c>
      <c r="H11" s="38">
        <f>ROUNDDOWN(단가조사!G11*옵션!$D$11, 0)</f>
        <v>523</v>
      </c>
      <c r="I11" s="38"/>
      <c r="J11" s="38"/>
      <c r="K11" s="38"/>
      <c r="L11" s="38">
        <f t="shared" si="0"/>
        <v>523</v>
      </c>
      <c r="M11" s="15"/>
    </row>
    <row r="12" spans="1:13" ht="21.6" customHeight="1" x14ac:dyDescent="0.15">
      <c r="B12" s="13" t="s">
        <v>1036</v>
      </c>
      <c r="C12" s="12" t="s">
        <v>192</v>
      </c>
      <c r="D12" s="12" t="s">
        <v>186</v>
      </c>
      <c r="E12" s="12" t="s">
        <v>193</v>
      </c>
      <c r="F12" s="31" t="s">
        <v>166</v>
      </c>
      <c r="G12" s="15">
        <v>23.69</v>
      </c>
      <c r="H12" s="38">
        <f>ROUNDDOWN(단가조사!G12*옵션!$D$11, 0)</f>
        <v>990</v>
      </c>
      <c r="I12" s="38"/>
      <c r="J12" s="38"/>
      <c r="K12" s="38"/>
      <c r="L12" s="38">
        <f t="shared" si="0"/>
        <v>990</v>
      </c>
      <c r="M12" s="15"/>
    </row>
    <row r="13" spans="1:13" ht="21.6" customHeight="1" x14ac:dyDescent="0.15">
      <c r="B13" s="13" t="s">
        <v>1037</v>
      </c>
      <c r="C13" s="12" t="s">
        <v>195</v>
      </c>
      <c r="D13" s="12" t="s">
        <v>186</v>
      </c>
      <c r="E13" s="12" t="s">
        <v>196</v>
      </c>
      <c r="F13" s="31" t="s">
        <v>166</v>
      </c>
      <c r="G13" s="15">
        <v>123.6</v>
      </c>
      <c r="H13" s="38">
        <f>ROUNDDOWN(단가조사!G13*옵션!$D$11, 0)</f>
        <v>2796</v>
      </c>
      <c r="I13" s="38"/>
      <c r="J13" s="38"/>
      <c r="K13" s="38"/>
      <c r="L13" s="38">
        <f t="shared" si="0"/>
        <v>2796</v>
      </c>
      <c r="M13" s="15"/>
    </row>
    <row r="14" spans="1:13" ht="21.6" customHeight="1" x14ac:dyDescent="0.15">
      <c r="B14" s="13" t="s">
        <v>1038</v>
      </c>
      <c r="C14" s="12" t="s">
        <v>197</v>
      </c>
      <c r="D14" s="12" t="s">
        <v>198</v>
      </c>
      <c r="E14" s="12" t="s">
        <v>199</v>
      </c>
      <c r="F14" s="31" t="s">
        <v>200</v>
      </c>
      <c r="G14" s="15">
        <v>2992</v>
      </c>
      <c r="H14" s="38">
        <f>ROUNDDOWN(단가조사!G14*옵션!$D$11, 0)</f>
        <v>340</v>
      </c>
      <c r="I14" s="38"/>
      <c r="J14" s="38"/>
      <c r="K14" s="38"/>
      <c r="L14" s="38">
        <f t="shared" si="0"/>
        <v>340</v>
      </c>
      <c r="M14" s="15"/>
    </row>
    <row r="15" spans="1:13" ht="21.6" customHeight="1" x14ac:dyDescent="0.15">
      <c r="B15" s="13" t="s">
        <v>1039</v>
      </c>
      <c r="C15" s="12" t="s">
        <v>203</v>
      </c>
      <c r="D15" s="12" t="s">
        <v>198</v>
      </c>
      <c r="E15" s="12" t="s">
        <v>204</v>
      </c>
      <c r="F15" s="31" t="s">
        <v>200</v>
      </c>
      <c r="G15" s="15">
        <v>2</v>
      </c>
      <c r="H15" s="38">
        <f>ROUNDDOWN(단가조사!G15*옵션!$D$11, 0)</f>
        <v>545</v>
      </c>
      <c r="I15" s="38"/>
      <c r="J15" s="38"/>
      <c r="K15" s="38"/>
      <c r="L15" s="38">
        <f t="shared" si="0"/>
        <v>545</v>
      </c>
      <c r="M15" s="15"/>
    </row>
    <row r="16" spans="1:13" ht="21.6" customHeight="1" x14ac:dyDescent="0.15">
      <c r="B16" s="13" t="s">
        <v>1040</v>
      </c>
      <c r="C16" s="12" t="s">
        <v>205</v>
      </c>
      <c r="D16" s="12" t="s">
        <v>198</v>
      </c>
      <c r="E16" s="12" t="s">
        <v>206</v>
      </c>
      <c r="F16" s="31" t="s">
        <v>200</v>
      </c>
      <c r="G16" s="15">
        <v>12</v>
      </c>
      <c r="H16" s="38">
        <f>ROUNDDOWN(단가조사!G16*옵션!$D$11, 0)</f>
        <v>1175</v>
      </c>
      <c r="I16" s="38"/>
      <c r="J16" s="38"/>
      <c r="K16" s="38"/>
      <c r="L16" s="38">
        <f t="shared" si="0"/>
        <v>1175</v>
      </c>
      <c r="M16" s="15"/>
    </row>
    <row r="17" spans="2:13" ht="21.6" customHeight="1" x14ac:dyDescent="0.15">
      <c r="B17" s="13" t="s">
        <v>1041</v>
      </c>
      <c r="C17" s="12" t="s">
        <v>207</v>
      </c>
      <c r="D17" s="12" t="s">
        <v>198</v>
      </c>
      <c r="E17" s="12" t="s">
        <v>208</v>
      </c>
      <c r="F17" s="31" t="s">
        <v>200</v>
      </c>
      <c r="G17" s="15">
        <v>16</v>
      </c>
      <c r="H17" s="38">
        <f>ROUNDDOWN(단가조사!G17*옵션!$D$11, 0)</f>
        <v>1300</v>
      </c>
      <c r="I17" s="38"/>
      <c r="J17" s="38"/>
      <c r="K17" s="38"/>
      <c r="L17" s="38">
        <f t="shared" si="0"/>
        <v>1300</v>
      </c>
      <c r="M17" s="15"/>
    </row>
    <row r="18" spans="2:13" ht="21.6" customHeight="1" x14ac:dyDescent="0.15">
      <c r="B18" s="13" t="s">
        <v>1042</v>
      </c>
      <c r="C18" s="12" t="s">
        <v>209</v>
      </c>
      <c r="D18" s="12" t="s">
        <v>198</v>
      </c>
      <c r="E18" s="12" t="s">
        <v>210</v>
      </c>
      <c r="F18" s="31" t="s">
        <v>200</v>
      </c>
      <c r="G18" s="15">
        <v>22</v>
      </c>
      <c r="H18" s="38">
        <f>ROUNDDOWN(단가조사!G18*옵션!$D$11, 0)</f>
        <v>1900</v>
      </c>
      <c r="I18" s="38"/>
      <c r="J18" s="38"/>
      <c r="K18" s="38"/>
      <c r="L18" s="38">
        <f t="shared" si="0"/>
        <v>1900</v>
      </c>
      <c r="M18" s="15"/>
    </row>
    <row r="19" spans="2:13" ht="21.6" customHeight="1" x14ac:dyDescent="0.15">
      <c r="B19" s="13" t="s">
        <v>1043</v>
      </c>
      <c r="C19" s="12" t="s">
        <v>211</v>
      </c>
      <c r="D19" s="12" t="s">
        <v>198</v>
      </c>
      <c r="E19" s="12" t="s">
        <v>212</v>
      </c>
      <c r="F19" s="31" t="s">
        <v>200</v>
      </c>
      <c r="G19" s="15">
        <v>6</v>
      </c>
      <c r="H19" s="38">
        <f>ROUNDDOWN(단가조사!G19*옵션!$D$11, 0)</f>
        <v>2750</v>
      </c>
      <c r="I19" s="38"/>
      <c r="J19" s="38"/>
      <c r="K19" s="38"/>
      <c r="L19" s="38">
        <f t="shared" si="0"/>
        <v>2750</v>
      </c>
      <c r="M19" s="15"/>
    </row>
    <row r="20" spans="2:13" ht="21.6" customHeight="1" x14ac:dyDescent="0.15">
      <c r="B20" s="13" t="s">
        <v>1044</v>
      </c>
      <c r="C20" s="12" t="s">
        <v>213</v>
      </c>
      <c r="D20" s="12" t="s">
        <v>198</v>
      </c>
      <c r="E20" s="12" t="s">
        <v>214</v>
      </c>
      <c r="F20" s="31" t="s">
        <v>200</v>
      </c>
      <c r="G20" s="15">
        <v>4</v>
      </c>
      <c r="H20" s="38">
        <f>ROUNDDOWN(단가조사!G20*옵션!$D$11, 0)</f>
        <v>3740</v>
      </c>
      <c r="I20" s="38"/>
      <c r="J20" s="38"/>
      <c r="K20" s="38"/>
      <c r="L20" s="38">
        <f t="shared" si="0"/>
        <v>3740</v>
      </c>
      <c r="M20" s="15"/>
    </row>
    <row r="21" spans="2:13" ht="21.6" customHeight="1" x14ac:dyDescent="0.15">
      <c r="B21" s="13" t="s">
        <v>1045</v>
      </c>
      <c r="C21" s="12" t="s">
        <v>215</v>
      </c>
      <c r="D21" s="12" t="s">
        <v>198</v>
      </c>
      <c r="E21" s="12" t="s">
        <v>216</v>
      </c>
      <c r="F21" s="31" t="s">
        <v>166</v>
      </c>
      <c r="G21" s="15">
        <v>1277.0999999999999</v>
      </c>
      <c r="H21" s="38">
        <f>ROUNDDOWN(단가조사!G21*옵션!$D$11, 0)</f>
        <v>432</v>
      </c>
      <c r="I21" s="38"/>
      <c r="J21" s="38"/>
      <c r="K21" s="38"/>
      <c r="L21" s="38">
        <f t="shared" si="0"/>
        <v>432</v>
      </c>
      <c r="M21" s="15"/>
    </row>
    <row r="22" spans="2:13" ht="21.6" customHeight="1" x14ac:dyDescent="0.15">
      <c r="B22" s="13" t="s">
        <v>1046</v>
      </c>
      <c r="C22" s="12" t="s">
        <v>217</v>
      </c>
      <c r="D22" s="12" t="s">
        <v>198</v>
      </c>
      <c r="E22" s="12" t="s">
        <v>218</v>
      </c>
      <c r="F22" s="31" t="s">
        <v>166</v>
      </c>
      <c r="G22" s="15">
        <v>2.2000000000000002</v>
      </c>
      <c r="H22" s="38">
        <f>ROUNDDOWN(단가조사!G22*옵션!$D$11, 0)</f>
        <v>707</v>
      </c>
      <c r="I22" s="38"/>
      <c r="J22" s="38"/>
      <c r="K22" s="38"/>
      <c r="L22" s="38">
        <f t="shared" si="0"/>
        <v>707</v>
      </c>
      <c r="M22" s="15"/>
    </row>
    <row r="23" spans="2:13" ht="21.6" customHeight="1" x14ac:dyDescent="0.15">
      <c r="B23" s="13" t="s">
        <v>1047</v>
      </c>
      <c r="C23" s="12" t="s">
        <v>219</v>
      </c>
      <c r="D23" s="12" t="s">
        <v>198</v>
      </c>
      <c r="E23" s="12" t="s">
        <v>220</v>
      </c>
      <c r="F23" s="31" t="s">
        <v>166</v>
      </c>
      <c r="G23" s="15">
        <v>50.6</v>
      </c>
      <c r="H23" s="38">
        <f>ROUNDDOWN(단가조사!G23*옵션!$D$11, 0)</f>
        <v>854</v>
      </c>
      <c r="I23" s="38"/>
      <c r="J23" s="38"/>
      <c r="K23" s="38"/>
      <c r="L23" s="38">
        <f t="shared" si="0"/>
        <v>854</v>
      </c>
      <c r="M23" s="15"/>
    </row>
    <row r="24" spans="2:13" ht="21.6" customHeight="1" x14ac:dyDescent="0.15">
      <c r="B24" s="13" t="s">
        <v>1048</v>
      </c>
      <c r="C24" s="12" t="s">
        <v>221</v>
      </c>
      <c r="D24" s="12" t="s">
        <v>198</v>
      </c>
      <c r="E24" s="12" t="s">
        <v>222</v>
      </c>
      <c r="F24" s="31" t="s">
        <v>166</v>
      </c>
      <c r="G24" s="15">
        <v>17.600000000000001</v>
      </c>
      <c r="H24" s="38">
        <f>ROUNDDOWN(단가조사!G24*옵션!$D$11, 0)</f>
        <v>1950</v>
      </c>
      <c r="I24" s="38"/>
      <c r="J24" s="38"/>
      <c r="K24" s="38"/>
      <c r="L24" s="38">
        <f t="shared" si="0"/>
        <v>1950</v>
      </c>
      <c r="M24" s="15"/>
    </row>
    <row r="25" spans="2:13" ht="21.6" customHeight="1" x14ac:dyDescent="0.15">
      <c r="B25" s="13" t="s">
        <v>1049</v>
      </c>
      <c r="C25" s="12" t="s">
        <v>223</v>
      </c>
      <c r="D25" s="12" t="s">
        <v>198</v>
      </c>
      <c r="E25" s="12" t="s">
        <v>224</v>
      </c>
      <c r="F25" s="31" t="s">
        <v>166</v>
      </c>
      <c r="G25" s="15">
        <v>27.5</v>
      </c>
      <c r="H25" s="38">
        <f>ROUNDDOWN(단가조사!G25*옵션!$D$11, 0)</f>
        <v>2710</v>
      </c>
      <c r="I25" s="38"/>
      <c r="J25" s="38"/>
      <c r="K25" s="38"/>
      <c r="L25" s="38">
        <f t="shared" si="0"/>
        <v>2710</v>
      </c>
      <c r="M25" s="15"/>
    </row>
    <row r="26" spans="2:13" ht="21.6" customHeight="1" x14ac:dyDescent="0.15">
      <c r="B26" s="13" t="s">
        <v>1050</v>
      </c>
      <c r="C26" s="12" t="s">
        <v>225</v>
      </c>
      <c r="D26" s="12" t="s">
        <v>198</v>
      </c>
      <c r="E26" s="12" t="s">
        <v>226</v>
      </c>
      <c r="F26" s="31" t="s">
        <v>166</v>
      </c>
      <c r="G26" s="15">
        <v>11</v>
      </c>
      <c r="H26" s="38">
        <f>ROUNDDOWN(단가조사!G26*옵션!$D$11, 0)</f>
        <v>3570</v>
      </c>
      <c r="I26" s="38"/>
      <c r="J26" s="38"/>
      <c r="K26" s="38"/>
      <c r="L26" s="38">
        <f t="shared" si="0"/>
        <v>3570</v>
      </c>
      <c r="M26" s="15"/>
    </row>
    <row r="27" spans="2:13" ht="21.6" customHeight="1" x14ac:dyDescent="0.15">
      <c r="B27" s="13" t="s">
        <v>1051</v>
      </c>
      <c r="C27" s="12" t="s">
        <v>227</v>
      </c>
      <c r="D27" s="12" t="s">
        <v>228</v>
      </c>
      <c r="E27" s="12" t="s">
        <v>229</v>
      </c>
      <c r="F27" s="31" t="s">
        <v>200</v>
      </c>
      <c r="G27" s="15">
        <v>2</v>
      </c>
      <c r="H27" s="38">
        <f>ROUNDDOWN(단가조사!G27*옵션!$D$11, 0)</f>
        <v>18200</v>
      </c>
      <c r="I27" s="38"/>
      <c r="J27" s="38"/>
      <c r="K27" s="38"/>
      <c r="L27" s="38">
        <f t="shared" si="0"/>
        <v>18200</v>
      </c>
      <c r="M27" s="15"/>
    </row>
    <row r="28" spans="2:13" ht="21.6" customHeight="1" x14ac:dyDescent="0.15">
      <c r="B28" s="13" t="s">
        <v>1052</v>
      </c>
      <c r="C28" s="12" t="s">
        <v>230</v>
      </c>
      <c r="D28" s="12" t="s">
        <v>228</v>
      </c>
      <c r="E28" s="12" t="s">
        <v>231</v>
      </c>
      <c r="F28" s="31" t="s">
        <v>200</v>
      </c>
      <c r="G28" s="15">
        <v>2</v>
      </c>
      <c r="H28" s="38">
        <f>ROUNDDOWN(단가조사!G28*옵션!$D$11, 0)</f>
        <v>30282</v>
      </c>
      <c r="I28" s="38"/>
      <c r="J28" s="38"/>
      <c r="K28" s="38"/>
      <c r="L28" s="38">
        <f t="shared" si="0"/>
        <v>30282</v>
      </c>
      <c r="M28" s="15"/>
    </row>
    <row r="29" spans="2:13" ht="21.6" customHeight="1" x14ac:dyDescent="0.15">
      <c r="B29" s="13" t="s">
        <v>1053</v>
      </c>
      <c r="C29" s="12" t="s">
        <v>232</v>
      </c>
      <c r="D29" s="12" t="s">
        <v>233</v>
      </c>
      <c r="E29" s="12"/>
      <c r="F29" s="31" t="s">
        <v>200</v>
      </c>
      <c r="G29" s="15">
        <v>4</v>
      </c>
      <c r="H29" s="38">
        <f>ROUNDDOWN(단가조사!G29*옵션!$D$11, 0)</f>
        <v>2472</v>
      </c>
      <c r="I29" s="38"/>
      <c r="J29" s="38"/>
      <c r="K29" s="38"/>
      <c r="L29" s="38">
        <f t="shared" si="0"/>
        <v>2472</v>
      </c>
      <c r="M29" s="15"/>
    </row>
    <row r="30" spans="2:13" ht="21.6" customHeight="1" x14ac:dyDescent="0.15">
      <c r="B30" s="13" t="s">
        <v>1054</v>
      </c>
      <c r="C30" s="12" t="s">
        <v>234</v>
      </c>
      <c r="D30" s="12" t="s">
        <v>235</v>
      </c>
      <c r="E30" s="12" t="s">
        <v>236</v>
      </c>
      <c r="F30" s="31" t="s">
        <v>200</v>
      </c>
      <c r="G30" s="15">
        <v>1</v>
      </c>
      <c r="H30" s="38">
        <f>ROUNDDOWN(단가조사!G30*옵션!$D$11, 0)</f>
        <v>11752</v>
      </c>
      <c r="I30" s="38"/>
      <c r="J30" s="38"/>
      <c r="K30" s="38"/>
      <c r="L30" s="38">
        <f t="shared" si="0"/>
        <v>11752</v>
      </c>
      <c r="M30" s="15"/>
    </row>
    <row r="31" spans="2:13" ht="21.6" customHeight="1" x14ac:dyDescent="0.15">
      <c r="B31" s="13" t="s">
        <v>1055</v>
      </c>
      <c r="C31" s="12" t="s">
        <v>237</v>
      </c>
      <c r="D31" s="12" t="s">
        <v>235</v>
      </c>
      <c r="E31" s="12" t="s">
        <v>238</v>
      </c>
      <c r="F31" s="31" t="s">
        <v>200</v>
      </c>
      <c r="G31" s="15">
        <v>1</v>
      </c>
      <c r="H31" s="38">
        <f>ROUNDDOWN(단가조사!G31*옵션!$D$11, 0)</f>
        <v>13389</v>
      </c>
      <c r="I31" s="38"/>
      <c r="J31" s="38"/>
      <c r="K31" s="38"/>
      <c r="L31" s="38">
        <f t="shared" si="0"/>
        <v>13389</v>
      </c>
      <c r="M31" s="15"/>
    </row>
    <row r="32" spans="2:13" ht="21.6" customHeight="1" x14ac:dyDescent="0.15">
      <c r="B32" s="13" t="s">
        <v>1056</v>
      </c>
      <c r="C32" s="12" t="s">
        <v>239</v>
      </c>
      <c r="D32" s="12" t="s">
        <v>235</v>
      </c>
      <c r="E32" s="12" t="s">
        <v>240</v>
      </c>
      <c r="F32" s="31" t="s">
        <v>200</v>
      </c>
      <c r="G32" s="15">
        <v>2</v>
      </c>
      <c r="H32" s="38">
        <f>ROUNDDOWN(단가조사!G32*옵션!$D$11, 0)</f>
        <v>27097</v>
      </c>
      <c r="I32" s="38"/>
      <c r="J32" s="38"/>
      <c r="K32" s="38"/>
      <c r="L32" s="38">
        <f t="shared" si="0"/>
        <v>27097</v>
      </c>
      <c r="M32" s="15"/>
    </row>
    <row r="33" spans="2:13" ht="21.6" customHeight="1" x14ac:dyDescent="0.15">
      <c r="B33" s="13" t="s">
        <v>1057</v>
      </c>
      <c r="C33" s="12" t="s">
        <v>241</v>
      </c>
      <c r="D33" s="12" t="s">
        <v>242</v>
      </c>
      <c r="E33" s="12" t="s">
        <v>243</v>
      </c>
      <c r="F33" s="31" t="s">
        <v>200</v>
      </c>
      <c r="G33" s="15">
        <v>1</v>
      </c>
      <c r="H33" s="38">
        <f>ROUNDDOWN(단가조사!G33*옵션!$D$11, 0)</f>
        <v>2709</v>
      </c>
      <c r="I33" s="38"/>
      <c r="J33" s="38"/>
      <c r="K33" s="38"/>
      <c r="L33" s="38">
        <f t="shared" si="0"/>
        <v>2709</v>
      </c>
      <c r="M33" s="15"/>
    </row>
    <row r="34" spans="2:13" ht="21.6" customHeight="1" x14ac:dyDescent="0.15">
      <c r="B34" s="13" t="s">
        <v>1058</v>
      </c>
      <c r="C34" s="12" t="s">
        <v>245</v>
      </c>
      <c r="D34" s="12" t="s">
        <v>242</v>
      </c>
      <c r="E34" s="12" t="s">
        <v>246</v>
      </c>
      <c r="F34" s="31" t="s">
        <v>200</v>
      </c>
      <c r="G34" s="15">
        <v>1</v>
      </c>
      <c r="H34" s="38">
        <f>ROUNDDOWN(단가조사!G34*옵션!$D$11, 0)</f>
        <v>2978</v>
      </c>
      <c r="I34" s="38"/>
      <c r="J34" s="38"/>
      <c r="K34" s="38"/>
      <c r="L34" s="38">
        <f t="shared" si="0"/>
        <v>2978</v>
      </c>
      <c r="M34" s="15"/>
    </row>
    <row r="35" spans="2:13" ht="21.6" customHeight="1" x14ac:dyDescent="0.15">
      <c r="B35" s="13" t="s">
        <v>1059</v>
      </c>
      <c r="C35" s="12" t="s">
        <v>247</v>
      </c>
      <c r="D35" s="12" t="s">
        <v>242</v>
      </c>
      <c r="E35" s="12" t="s">
        <v>248</v>
      </c>
      <c r="F35" s="31" t="s">
        <v>200</v>
      </c>
      <c r="G35" s="15">
        <v>2</v>
      </c>
      <c r="H35" s="38">
        <f>ROUNDDOWN(단가조사!G35*옵션!$D$11, 0)</f>
        <v>6773</v>
      </c>
      <c r="I35" s="38"/>
      <c r="J35" s="38"/>
      <c r="K35" s="38"/>
      <c r="L35" s="38">
        <f t="shared" si="0"/>
        <v>6773</v>
      </c>
      <c r="M35" s="15"/>
    </row>
    <row r="36" spans="2:13" ht="21.6" customHeight="1" x14ac:dyDescent="0.15">
      <c r="B36" s="13" t="s">
        <v>1060</v>
      </c>
      <c r="C36" s="12" t="s">
        <v>249</v>
      </c>
      <c r="D36" s="12" t="s">
        <v>250</v>
      </c>
      <c r="E36" s="12" t="s">
        <v>251</v>
      </c>
      <c r="F36" s="31" t="s">
        <v>200</v>
      </c>
      <c r="G36" s="15">
        <v>2</v>
      </c>
      <c r="H36" s="38">
        <f>ROUNDDOWN(단가조사!G36*옵션!$D$11, 0)</f>
        <v>3043</v>
      </c>
      <c r="I36" s="38"/>
      <c r="J36" s="38"/>
      <c r="K36" s="38"/>
      <c r="L36" s="38">
        <f t="shared" si="0"/>
        <v>3043</v>
      </c>
      <c r="M36" s="15"/>
    </row>
    <row r="37" spans="2:13" ht="21.6" customHeight="1" x14ac:dyDescent="0.15">
      <c r="B37" s="13" t="s">
        <v>1061</v>
      </c>
      <c r="C37" s="12" t="s">
        <v>252</v>
      </c>
      <c r="D37" s="12" t="s">
        <v>253</v>
      </c>
      <c r="E37" s="12" t="s">
        <v>254</v>
      </c>
      <c r="F37" s="31" t="s">
        <v>200</v>
      </c>
      <c r="G37" s="15">
        <v>4</v>
      </c>
      <c r="H37" s="38">
        <f>ROUNDDOWN(단가조사!G37*옵션!$D$11, 0)</f>
        <v>859</v>
      </c>
      <c r="I37" s="38"/>
      <c r="J37" s="38"/>
      <c r="K37" s="38"/>
      <c r="L37" s="38">
        <f t="shared" si="0"/>
        <v>859</v>
      </c>
      <c r="M37" s="15"/>
    </row>
    <row r="38" spans="2:13" ht="21.6" customHeight="1" x14ac:dyDescent="0.15">
      <c r="B38" s="13" t="s">
        <v>1062</v>
      </c>
      <c r="C38" s="12" t="s">
        <v>255</v>
      </c>
      <c r="D38" s="12" t="s">
        <v>253</v>
      </c>
      <c r="E38" s="12" t="s">
        <v>256</v>
      </c>
      <c r="F38" s="31" t="s">
        <v>200</v>
      </c>
      <c r="G38" s="15">
        <v>2</v>
      </c>
      <c r="H38" s="38">
        <f>ROUNDDOWN(단가조사!G38*옵션!$D$11, 0)</f>
        <v>1009</v>
      </c>
      <c r="I38" s="38"/>
      <c r="J38" s="38"/>
      <c r="K38" s="38"/>
      <c r="L38" s="38">
        <f t="shared" si="0"/>
        <v>1009</v>
      </c>
      <c r="M38" s="15"/>
    </row>
    <row r="39" spans="2:13" ht="21.6" customHeight="1" x14ac:dyDescent="0.15">
      <c r="B39" s="13" t="s">
        <v>1063</v>
      </c>
      <c r="C39" s="12" t="s">
        <v>257</v>
      </c>
      <c r="D39" s="12" t="s">
        <v>253</v>
      </c>
      <c r="E39" s="12" t="s">
        <v>258</v>
      </c>
      <c r="F39" s="31" t="s">
        <v>200</v>
      </c>
      <c r="G39" s="15">
        <v>28</v>
      </c>
      <c r="H39" s="38">
        <f>ROUNDDOWN(단가조사!G39*옵션!$D$11, 0)</f>
        <v>1335</v>
      </c>
      <c r="I39" s="38"/>
      <c r="J39" s="38"/>
      <c r="K39" s="38"/>
      <c r="L39" s="38">
        <f t="shared" si="0"/>
        <v>1335</v>
      </c>
      <c r="M39" s="15"/>
    </row>
    <row r="40" spans="2:13" ht="21.6" customHeight="1" x14ac:dyDescent="0.15">
      <c r="B40" s="13" t="s">
        <v>1064</v>
      </c>
      <c r="C40" s="12" t="s">
        <v>259</v>
      </c>
      <c r="D40" s="12" t="s">
        <v>260</v>
      </c>
      <c r="E40" s="12" t="s">
        <v>261</v>
      </c>
      <c r="F40" s="31" t="s">
        <v>200</v>
      </c>
      <c r="G40" s="15">
        <v>1073</v>
      </c>
      <c r="H40" s="38">
        <f>ROUNDDOWN(단가조사!G40*옵션!$D$11, 0)</f>
        <v>627</v>
      </c>
      <c r="I40" s="38"/>
      <c r="J40" s="38"/>
      <c r="K40" s="38"/>
      <c r="L40" s="38">
        <f t="shared" si="0"/>
        <v>627</v>
      </c>
      <c r="M40" s="15"/>
    </row>
    <row r="41" spans="2:13" ht="21.6" customHeight="1" x14ac:dyDescent="0.15">
      <c r="B41" s="13" t="s">
        <v>1065</v>
      </c>
      <c r="C41" s="12" t="s">
        <v>266</v>
      </c>
      <c r="D41" s="12" t="s">
        <v>260</v>
      </c>
      <c r="E41" s="12" t="s">
        <v>267</v>
      </c>
      <c r="F41" s="31" t="s">
        <v>200</v>
      </c>
      <c r="G41" s="15">
        <v>179</v>
      </c>
      <c r="H41" s="38">
        <f>ROUNDDOWN(단가조사!G41*옵션!$D$11, 0)</f>
        <v>730</v>
      </c>
      <c r="I41" s="38"/>
      <c r="J41" s="38"/>
      <c r="K41" s="38"/>
      <c r="L41" s="38">
        <f t="shared" si="0"/>
        <v>730</v>
      </c>
      <c r="M41" s="15"/>
    </row>
    <row r="42" spans="2:13" ht="21.6" customHeight="1" x14ac:dyDescent="0.15">
      <c r="B42" s="13" t="s">
        <v>1066</v>
      </c>
      <c r="C42" s="12" t="s">
        <v>268</v>
      </c>
      <c r="D42" s="12" t="s">
        <v>269</v>
      </c>
      <c r="E42" s="12" t="s">
        <v>270</v>
      </c>
      <c r="F42" s="31" t="s">
        <v>200</v>
      </c>
      <c r="G42" s="15">
        <v>865</v>
      </c>
      <c r="H42" s="38">
        <f>ROUNDDOWN(단가조사!G42*옵션!$D$11, 0)</f>
        <v>592</v>
      </c>
      <c r="I42" s="38"/>
      <c r="J42" s="38"/>
      <c r="K42" s="38"/>
      <c r="L42" s="38">
        <f t="shared" si="0"/>
        <v>592</v>
      </c>
      <c r="M42" s="15"/>
    </row>
    <row r="43" spans="2:13" ht="21.6" customHeight="1" x14ac:dyDescent="0.15">
      <c r="B43" s="13" t="s">
        <v>1067</v>
      </c>
      <c r="C43" s="12" t="s">
        <v>271</v>
      </c>
      <c r="D43" s="12" t="s">
        <v>269</v>
      </c>
      <c r="E43" s="12" t="s">
        <v>272</v>
      </c>
      <c r="F43" s="31" t="s">
        <v>200</v>
      </c>
      <c r="G43" s="15">
        <v>637</v>
      </c>
      <c r="H43" s="38">
        <f>ROUNDDOWN(단가조사!G43*옵션!$D$11, 0)</f>
        <v>726</v>
      </c>
      <c r="I43" s="38"/>
      <c r="J43" s="38"/>
      <c r="K43" s="38"/>
      <c r="L43" s="38">
        <f t="shared" si="0"/>
        <v>726</v>
      </c>
      <c r="M43" s="15"/>
    </row>
    <row r="44" spans="2:13" ht="21.6" customHeight="1" x14ac:dyDescent="0.15">
      <c r="B44" s="13" t="s">
        <v>1068</v>
      </c>
      <c r="C44" s="12" t="s">
        <v>273</v>
      </c>
      <c r="D44" s="12" t="s">
        <v>274</v>
      </c>
      <c r="E44" s="12" t="s">
        <v>275</v>
      </c>
      <c r="F44" s="31" t="s">
        <v>200</v>
      </c>
      <c r="G44" s="15">
        <v>590</v>
      </c>
      <c r="H44" s="38">
        <f>ROUNDDOWN(단가조사!G44*옵션!$D$11, 0)</f>
        <v>724</v>
      </c>
      <c r="I44" s="38"/>
      <c r="J44" s="38"/>
      <c r="K44" s="38"/>
      <c r="L44" s="38">
        <f t="shared" si="0"/>
        <v>724</v>
      </c>
      <c r="M44" s="15"/>
    </row>
    <row r="45" spans="2:13" ht="21.6" customHeight="1" x14ac:dyDescent="0.15">
      <c r="B45" s="13" t="s">
        <v>1069</v>
      </c>
      <c r="C45" s="12" t="s">
        <v>276</v>
      </c>
      <c r="D45" s="12" t="s">
        <v>277</v>
      </c>
      <c r="E45" s="12" t="s">
        <v>278</v>
      </c>
      <c r="F45" s="31" t="s">
        <v>200</v>
      </c>
      <c r="G45" s="15">
        <v>1068</v>
      </c>
      <c r="H45" s="38">
        <f>ROUNDDOWN(단가조사!G45*옵션!$D$11, 0)</f>
        <v>282</v>
      </c>
      <c r="I45" s="38"/>
      <c r="J45" s="38"/>
      <c r="K45" s="38"/>
      <c r="L45" s="38">
        <f t="shared" si="0"/>
        <v>282</v>
      </c>
      <c r="M45" s="15"/>
    </row>
    <row r="46" spans="2:13" ht="21.6" customHeight="1" x14ac:dyDescent="0.15">
      <c r="B46" s="13" t="s">
        <v>1070</v>
      </c>
      <c r="C46" s="12" t="s">
        <v>279</v>
      </c>
      <c r="D46" s="12" t="s">
        <v>277</v>
      </c>
      <c r="E46" s="12" t="s">
        <v>280</v>
      </c>
      <c r="F46" s="31" t="s">
        <v>200</v>
      </c>
      <c r="G46" s="15">
        <v>124</v>
      </c>
      <c r="H46" s="38">
        <f>ROUNDDOWN(단가조사!G46*옵션!$D$11, 0)</f>
        <v>293</v>
      </c>
      <c r="I46" s="38"/>
      <c r="J46" s="38"/>
      <c r="K46" s="38"/>
      <c r="L46" s="38">
        <f t="shared" si="0"/>
        <v>293</v>
      </c>
      <c r="M46" s="15"/>
    </row>
    <row r="47" spans="2:13" ht="21.6" customHeight="1" x14ac:dyDescent="0.15">
      <c r="B47" s="13" t="s">
        <v>1071</v>
      </c>
      <c r="C47" s="12" t="s">
        <v>281</v>
      </c>
      <c r="D47" s="12" t="s">
        <v>277</v>
      </c>
      <c r="E47" s="12" t="s">
        <v>282</v>
      </c>
      <c r="F47" s="31" t="s">
        <v>200</v>
      </c>
      <c r="G47" s="15">
        <v>513</v>
      </c>
      <c r="H47" s="38">
        <f>ROUNDDOWN(단가조사!G47*옵션!$D$11, 0)</f>
        <v>283</v>
      </c>
      <c r="I47" s="38"/>
      <c r="J47" s="38"/>
      <c r="K47" s="38"/>
      <c r="L47" s="38">
        <f t="shared" si="0"/>
        <v>283</v>
      </c>
      <c r="M47" s="15"/>
    </row>
    <row r="48" spans="2:13" ht="21.6" customHeight="1" x14ac:dyDescent="0.15">
      <c r="B48" s="13" t="s">
        <v>1072</v>
      </c>
      <c r="C48" s="12" t="s">
        <v>283</v>
      </c>
      <c r="D48" s="12" t="s">
        <v>284</v>
      </c>
      <c r="E48" s="12" t="s">
        <v>285</v>
      </c>
      <c r="F48" s="31" t="s">
        <v>200</v>
      </c>
      <c r="G48" s="15">
        <v>5</v>
      </c>
      <c r="H48" s="38">
        <f>ROUNDDOWN(단가조사!G48*옵션!$D$11, 0)</f>
        <v>23850</v>
      </c>
      <c r="I48" s="38"/>
      <c r="J48" s="38"/>
      <c r="K48" s="38"/>
      <c r="L48" s="38">
        <f t="shared" si="0"/>
        <v>23850</v>
      </c>
      <c r="M48" s="15"/>
    </row>
    <row r="49" spans="2:13" ht="21.6" customHeight="1" x14ac:dyDescent="0.15">
      <c r="B49" s="13" t="s">
        <v>1073</v>
      </c>
      <c r="C49" s="12" t="s">
        <v>286</v>
      </c>
      <c r="D49" s="12" t="s">
        <v>287</v>
      </c>
      <c r="E49" s="12" t="s">
        <v>288</v>
      </c>
      <c r="F49" s="31" t="s">
        <v>289</v>
      </c>
      <c r="G49" s="15">
        <v>4</v>
      </c>
      <c r="H49" s="38">
        <f>ROUNDDOWN(단가조사!G49*옵션!$D$11, 0)</f>
        <v>2690</v>
      </c>
      <c r="I49" s="38"/>
      <c r="J49" s="38"/>
      <c r="K49" s="38"/>
      <c r="L49" s="38">
        <f t="shared" si="0"/>
        <v>2690</v>
      </c>
      <c r="M49" s="15"/>
    </row>
    <row r="50" spans="2:13" ht="21.6" customHeight="1" x14ac:dyDescent="0.15">
      <c r="B50" s="13" t="s">
        <v>1074</v>
      </c>
      <c r="C50" s="12" t="s">
        <v>290</v>
      </c>
      <c r="D50" s="12" t="s">
        <v>291</v>
      </c>
      <c r="E50" s="12" t="s">
        <v>292</v>
      </c>
      <c r="F50" s="31" t="s">
        <v>200</v>
      </c>
      <c r="G50" s="15">
        <v>162</v>
      </c>
      <c r="H50" s="38">
        <f>ROUNDDOWN(단가조사!G50*옵션!$D$11, 0)</f>
        <v>2284</v>
      </c>
      <c r="I50" s="38"/>
      <c r="J50" s="38"/>
      <c r="K50" s="38"/>
      <c r="L50" s="38">
        <f t="shared" si="0"/>
        <v>2284</v>
      </c>
      <c r="M50" s="15"/>
    </row>
    <row r="51" spans="2:13" ht="21.6" customHeight="1" x14ac:dyDescent="0.15">
      <c r="B51" s="13" t="s">
        <v>1075</v>
      </c>
      <c r="C51" s="12" t="s">
        <v>293</v>
      </c>
      <c r="D51" s="12" t="s">
        <v>291</v>
      </c>
      <c r="E51" s="12" t="s">
        <v>294</v>
      </c>
      <c r="F51" s="31" t="s">
        <v>200</v>
      </c>
      <c r="G51" s="15">
        <v>48</v>
      </c>
      <c r="H51" s="38">
        <f>ROUNDDOWN(단가조사!G51*옵션!$D$11, 0)</f>
        <v>2854</v>
      </c>
      <c r="I51" s="38"/>
      <c r="J51" s="38"/>
      <c r="K51" s="38"/>
      <c r="L51" s="38">
        <f t="shared" si="0"/>
        <v>2854</v>
      </c>
      <c r="M51" s="15"/>
    </row>
    <row r="52" spans="2:13" ht="21.6" customHeight="1" x14ac:dyDescent="0.15">
      <c r="B52" s="13" t="s">
        <v>1076</v>
      </c>
      <c r="C52" s="12" t="s">
        <v>295</v>
      </c>
      <c r="D52" s="12" t="s">
        <v>291</v>
      </c>
      <c r="E52" s="12" t="s">
        <v>296</v>
      </c>
      <c r="F52" s="31" t="s">
        <v>200</v>
      </c>
      <c r="G52" s="15">
        <v>1</v>
      </c>
      <c r="H52" s="38">
        <f>ROUNDDOWN(단가조사!G52*옵션!$D$11, 0)</f>
        <v>47523</v>
      </c>
      <c r="I52" s="38"/>
      <c r="J52" s="38"/>
      <c r="K52" s="38"/>
      <c r="L52" s="38">
        <f t="shared" si="0"/>
        <v>47523</v>
      </c>
      <c r="M52" s="15"/>
    </row>
    <row r="53" spans="2:13" ht="21.6" customHeight="1" x14ac:dyDescent="0.15">
      <c r="B53" s="13" t="s">
        <v>1077</v>
      </c>
      <c r="C53" s="12" t="s">
        <v>297</v>
      </c>
      <c r="D53" s="12" t="s">
        <v>298</v>
      </c>
      <c r="E53" s="12" t="s">
        <v>299</v>
      </c>
      <c r="F53" s="31" t="s">
        <v>166</v>
      </c>
      <c r="G53" s="15">
        <v>278.25</v>
      </c>
      <c r="H53" s="38">
        <f>ROUNDDOWN(단가조사!G53*옵션!$D$11, 0)</f>
        <v>2499</v>
      </c>
      <c r="I53" s="38"/>
      <c r="J53" s="38"/>
      <c r="K53" s="38"/>
      <c r="L53" s="38">
        <f t="shared" si="0"/>
        <v>2499</v>
      </c>
      <c r="M53" s="15"/>
    </row>
    <row r="54" spans="2:13" ht="21.6" customHeight="1" x14ac:dyDescent="0.15">
      <c r="B54" s="13" t="s">
        <v>1078</v>
      </c>
      <c r="C54" s="12" t="s">
        <v>302</v>
      </c>
      <c r="D54" s="12" t="s">
        <v>298</v>
      </c>
      <c r="E54" s="12" t="s">
        <v>303</v>
      </c>
      <c r="F54" s="31" t="s">
        <v>166</v>
      </c>
      <c r="G54" s="15">
        <v>265</v>
      </c>
      <c r="H54" s="38">
        <f>ROUNDDOWN(단가조사!G54*옵션!$D$11, 0)</f>
        <v>881</v>
      </c>
      <c r="I54" s="38"/>
      <c r="J54" s="38"/>
      <c r="K54" s="38"/>
      <c r="L54" s="38">
        <f t="shared" si="0"/>
        <v>881</v>
      </c>
      <c r="M54" s="15"/>
    </row>
    <row r="55" spans="2:13" ht="21.6" customHeight="1" x14ac:dyDescent="0.15">
      <c r="B55" s="13" t="s">
        <v>1079</v>
      </c>
      <c r="C55" s="12" t="s">
        <v>304</v>
      </c>
      <c r="D55" s="12" t="s">
        <v>298</v>
      </c>
      <c r="E55" s="12" t="s">
        <v>305</v>
      </c>
      <c r="F55" s="31" t="s">
        <v>200</v>
      </c>
      <c r="G55" s="15">
        <v>88</v>
      </c>
      <c r="H55" s="38">
        <f>ROUNDDOWN(단가조사!G55*옵션!$D$11, 0)</f>
        <v>511</v>
      </c>
      <c r="I55" s="38"/>
      <c r="J55" s="38"/>
      <c r="K55" s="38"/>
      <c r="L55" s="38">
        <f t="shared" si="0"/>
        <v>511</v>
      </c>
      <c r="M55" s="15"/>
    </row>
    <row r="56" spans="2:13" ht="21.6" customHeight="1" x14ac:dyDescent="0.15">
      <c r="B56" s="13" t="s">
        <v>1080</v>
      </c>
      <c r="C56" s="12" t="s">
        <v>306</v>
      </c>
      <c r="D56" s="12" t="s">
        <v>298</v>
      </c>
      <c r="E56" s="12" t="s">
        <v>307</v>
      </c>
      <c r="F56" s="31" t="s">
        <v>200</v>
      </c>
      <c r="G56" s="15">
        <v>12</v>
      </c>
      <c r="H56" s="38">
        <f>ROUNDDOWN(단가조사!G56*옵션!$D$11, 0)</f>
        <v>387</v>
      </c>
      <c r="I56" s="38"/>
      <c r="J56" s="38"/>
      <c r="K56" s="38"/>
      <c r="L56" s="38">
        <f t="shared" si="0"/>
        <v>387</v>
      </c>
      <c r="M56" s="15"/>
    </row>
    <row r="57" spans="2:13" ht="21.6" customHeight="1" x14ac:dyDescent="0.15">
      <c r="B57" s="13" t="s">
        <v>1081</v>
      </c>
      <c r="C57" s="12" t="s">
        <v>308</v>
      </c>
      <c r="D57" s="12" t="s">
        <v>298</v>
      </c>
      <c r="E57" s="12" t="s">
        <v>309</v>
      </c>
      <c r="F57" s="31" t="s">
        <v>200</v>
      </c>
      <c r="G57" s="15">
        <v>176</v>
      </c>
      <c r="H57" s="38">
        <f>ROUNDDOWN(단가조사!G57*옵션!$D$11, 0)</f>
        <v>432</v>
      </c>
      <c r="I57" s="38"/>
      <c r="J57" s="38"/>
      <c r="K57" s="38"/>
      <c r="L57" s="38">
        <f t="shared" si="0"/>
        <v>432</v>
      </c>
      <c r="M57" s="15"/>
    </row>
    <row r="58" spans="2:13" ht="21.6" customHeight="1" x14ac:dyDescent="0.15">
      <c r="B58" s="13" t="s">
        <v>1082</v>
      </c>
      <c r="C58" s="12" t="s">
        <v>310</v>
      </c>
      <c r="D58" s="12" t="s">
        <v>298</v>
      </c>
      <c r="E58" s="12" t="s">
        <v>311</v>
      </c>
      <c r="F58" s="31" t="s">
        <v>200</v>
      </c>
      <c r="G58" s="15">
        <v>7</v>
      </c>
      <c r="H58" s="38">
        <f>ROUNDDOWN(단가조사!G58*옵션!$D$11, 0)</f>
        <v>980</v>
      </c>
      <c r="I58" s="38"/>
      <c r="J58" s="38"/>
      <c r="K58" s="38"/>
      <c r="L58" s="38">
        <f t="shared" si="0"/>
        <v>980</v>
      </c>
      <c r="M58" s="15"/>
    </row>
    <row r="59" spans="2:13" ht="21.6" customHeight="1" x14ac:dyDescent="0.15">
      <c r="B59" s="13" t="s">
        <v>1083</v>
      </c>
      <c r="C59" s="12" t="s">
        <v>312</v>
      </c>
      <c r="D59" s="12" t="s">
        <v>298</v>
      </c>
      <c r="E59" s="12" t="s">
        <v>313</v>
      </c>
      <c r="F59" s="31" t="s">
        <v>200</v>
      </c>
      <c r="G59" s="15">
        <v>110</v>
      </c>
      <c r="H59" s="38">
        <f>ROUNDDOWN(단가조사!G59*옵션!$D$11, 0)</f>
        <v>360</v>
      </c>
      <c r="I59" s="38"/>
      <c r="J59" s="38"/>
      <c r="K59" s="38"/>
      <c r="L59" s="38">
        <f t="shared" si="0"/>
        <v>360</v>
      </c>
      <c r="M59" s="15"/>
    </row>
    <row r="60" spans="2:13" ht="21.6" customHeight="1" x14ac:dyDescent="0.15">
      <c r="B60" s="13" t="s">
        <v>1084</v>
      </c>
      <c r="C60" s="12" t="s">
        <v>314</v>
      </c>
      <c r="D60" s="12" t="s">
        <v>298</v>
      </c>
      <c r="E60" s="12" t="s">
        <v>315</v>
      </c>
      <c r="F60" s="31" t="s">
        <v>200</v>
      </c>
      <c r="G60" s="15">
        <v>21</v>
      </c>
      <c r="H60" s="38">
        <f>ROUNDDOWN(단가조사!G60*옵션!$D$11, 0)</f>
        <v>2334</v>
      </c>
      <c r="I60" s="38"/>
      <c r="J60" s="38"/>
      <c r="K60" s="38"/>
      <c r="L60" s="38">
        <f t="shared" si="0"/>
        <v>2334</v>
      </c>
      <c r="M60" s="15"/>
    </row>
    <row r="61" spans="2:13" ht="21.6" customHeight="1" x14ac:dyDescent="0.15">
      <c r="B61" s="13" t="s">
        <v>1085</v>
      </c>
      <c r="C61" s="12" t="s">
        <v>316</v>
      </c>
      <c r="D61" s="12" t="s">
        <v>317</v>
      </c>
      <c r="E61" s="12" t="s">
        <v>318</v>
      </c>
      <c r="F61" s="31" t="s">
        <v>166</v>
      </c>
      <c r="G61" s="15">
        <v>96.6</v>
      </c>
      <c r="H61" s="38">
        <f>ROUNDDOWN(단가조사!G61*옵션!$D$11, 0)</f>
        <v>30740</v>
      </c>
      <c r="I61" s="38"/>
      <c r="J61" s="38"/>
      <c r="K61" s="38"/>
      <c r="L61" s="38">
        <f t="shared" si="0"/>
        <v>30740</v>
      </c>
      <c r="M61" s="15"/>
    </row>
    <row r="62" spans="2:13" ht="21.6" customHeight="1" x14ac:dyDescent="0.15">
      <c r="B62" s="13" t="s">
        <v>1086</v>
      </c>
      <c r="C62" s="12" t="s">
        <v>321</v>
      </c>
      <c r="D62" s="12" t="s">
        <v>322</v>
      </c>
      <c r="E62" s="12" t="s">
        <v>323</v>
      </c>
      <c r="F62" s="31" t="s">
        <v>200</v>
      </c>
      <c r="G62" s="15">
        <v>3</v>
      </c>
      <c r="H62" s="38">
        <f>ROUNDDOWN(단가조사!G62*옵션!$D$11, 0)</f>
        <v>46230</v>
      </c>
      <c r="I62" s="38"/>
      <c r="J62" s="38"/>
      <c r="K62" s="38"/>
      <c r="L62" s="38">
        <f t="shared" si="0"/>
        <v>46230</v>
      </c>
      <c r="M62" s="15"/>
    </row>
    <row r="63" spans="2:13" ht="21.6" customHeight="1" x14ac:dyDescent="0.15">
      <c r="B63" s="13" t="s">
        <v>1087</v>
      </c>
      <c r="C63" s="12" t="s">
        <v>324</v>
      </c>
      <c r="D63" s="12" t="s">
        <v>322</v>
      </c>
      <c r="E63" s="12" t="s">
        <v>325</v>
      </c>
      <c r="F63" s="31" t="s">
        <v>200</v>
      </c>
      <c r="G63" s="15">
        <v>1</v>
      </c>
      <c r="H63" s="38">
        <f>ROUNDDOWN(단가조사!G63*옵션!$D$11, 0)</f>
        <v>46230</v>
      </c>
      <c r="I63" s="38"/>
      <c r="J63" s="38"/>
      <c r="K63" s="38"/>
      <c r="L63" s="38">
        <f t="shared" si="0"/>
        <v>46230</v>
      </c>
      <c r="M63" s="15"/>
    </row>
    <row r="64" spans="2:13" ht="21.6" customHeight="1" x14ac:dyDescent="0.15">
      <c r="B64" s="13" t="s">
        <v>1088</v>
      </c>
      <c r="C64" s="12" t="s">
        <v>326</v>
      </c>
      <c r="D64" s="12" t="s">
        <v>322</v>
      </c>
      <c r="E64" s="12" t="s">
        <v>327</v>
      </c>
      <c r="F64" s="31" t="s">
        <v>200</v>
      </c>
      <c r="G64" s="15">
        <v>83</v>
      </c>
      <c r="H64" s="38">
        <f>ROUNDDOWN(단가조사!G64*옵션!$D$11, 0)</f>
        <v>754</v>
      </c>
      <c r="I64" s="38"/>
      <c r="J64" s="38"/>
      <c r="K64" s="38"/>
      <c r="L64" s="38">
        <f t="shared" si="0"/>
        <v>754</v>
      </c>
      <c r="M64" s="15"/>
    </row>
    <row r="65" spans="2:13" ht="21.6" customHeight="1" x14ac:dyDescent="0.15">
      <c r="B65" s="13" t="s">
        <v>1089</v>
      </c>
      <c r="C65" s="12" t="s">
        <v>329</v>
      </c>
      <c r="D65" s="12" t="s">
        <v>322</v>
      </c>
      <c r="E65" s="12" t="s">
        <v>330</v>
      </c>
      <c r="F65" s="31" t="s">
        <v>200</v>
      </c>
      <c r="G65" s="15">
        <v>4830</v>
      </c>
      <c r="H65" s="38">
        <f>ROUNDDOWN(단가조사!G65*옵션!$D$11, 0)</f>
        <v>55</v>
      </c>
      <c r="I65" s="38"/>
      <c r="J65" s="38"/>
      <c r="K65" s="38"/>
      <c r="L65" s="38">
        <f t="shared" si="0"/>
        <v>55</v>
      </c>
      <c r="M65" s="15"/>
    </row>
    <row r="66" spans="2:13" ht="21.6" customHeight="1" x14ac:dyDescent="0.15">
      <c r="B66" s="13" t="s">
        <v>1090</v>
      </c>
      <c r="C66" s="12" t="s">
        <v>331</v>
      </c>
      <c r="D66" s="12" t="s">
        <v>322</v>
      </c>
      <c r="E66" s="12" t="s">
        <v>332</v>
      </c>
      <c r="F66" s="31" t="s">
        <v>200</v>
      </c>
      <c r="G66" s="15">
        <v>241</v>
      </c>
      <c r="H66" s="38">
        <f>ROUNDDOWN(단가조사!G66*옵션!$D$11, 0)</f>
        <v>2760</v>
      </c>
      <c r="I66" s="38"/>
      <c r="J66" s="38"/>
      <c r="K66" s="38"/>
      <c r="L66" s="38">
        <f t="shared" si="0"/>
        <v>2760</v>
      </c>
      <c r="M66" s="15"/>
    </row>
    <row r="67" spans="2:13" ht="21.6" customHeight="1" x14ac:dyDescent="0.15">
      <c r="B67" s="13" t="s">
        <v>1091</v>
      </c>
      <c r="C67" s="12" t="s">
        <v>333</v>
      </c>
      <c r="D67" s="12" t="s">
        <v>322</v>
      </c>
      <c r="E67" s="12" t="s">
        <v>334</v>
      </c>
      <c r="F67" s="31" t="s">
        <v>200</v>
      </c>
      <c r="G67" s="15">
        <v>690</v>
      </c>
      <c r="H67" s="38">
        <f>ROUNDDOWN(단가조사!G67*옵션!$D$11, 0)</f>
        <v>547</v>
      </c>
      <c r="I67" s="38"/>
      <c r="J67" s="38"/>
      <c r="K67" s="38"/>
      <c r="L67" s="38">
        <f t="shared" si="0"/>
        <v>547</v>
      </c>
      <c r="M67" s="15"/>
    </row>
    <row r="68" spans="2:13" ht="21.6" customHeight="1" x14ac:dyDescent="0.15">
      <c r="B68" s="13" t="s">
        <v>1092</v>
      </c>
      <c r="C68" s="12" t="s">
        <v>335</v>
      </c>
      <c r="D68" s="12" t="s">
        <v>322</v>
      </c>
      <c r="E68" s="12" t="s">
        <v>336</v>
      </c>
      <c r="F68" s="31" t="s">
        <v>200</v>
      </c>
      <c r="G68" s="15">
        <v>784</v>
      </c>
      <c r="H68" s="38">
        <f>ROUNDDOWN(단가조사!G68*옵션!$D$11, 0)</f>
        <v>320</v>
      </c>
      <c r="I68" s="38"/>
      <c r="J68" s="38"/>
      <c r="K68" s="38"/>
      <c r="L68" s="38">
        <f t="shared" ref="L68:L131" si="1">SUM(H68,I68,J68)</f>
        <v>320</v>
      </c>
      <c r="M68" s="15"/>
    </row>
    <row r="69" spans="2:13" ht="21.6" customHeight="1" x14ac:dyDescent="0.15">
      <c r="B69" s="13" t="s">
        <v>1093</v>
      </c>
      <c r="C69" s="12" t="s">
        <v>337</v>
      </c>
      <c r="D69" s="12" t="s">
        <v>322</v>
      </c>
      <c r="E69" s="12" t="s">
        <v>338</v>
      </c>
      <c r="F69" s="31" t="s">
        <v>200</v>
      </c>
      <c r="G69" s="15">
        <v>42</v>
      </c>
      <c r="H69" s="38">
        <f>ROUNDDOWN(단가조사!G69*옵션!$D$11, 0)</f>
        <v>320</v>
      </c>
      <c r="I69" s="38"/>
      <c r="J69" s="38"/>
      <c r="K69" s="38"/>
      <c r="L69" s="38">
        <f t="shared" si="1"/>
        <v>320</v>
      </c>
      <c r="M69" s="15"/>
    </row>
    <row r="70" spans="2:13" ht="21.6" customHeight="1" x14ac:dyDescent="0.15">
      <c r="B70" s="13" t="s">
        <v>1094</v>
      </c>
      <c r="C70" s="12" t="s">
        <v>339</v>
      </c>
      <c r="D70" s="12" t="s">
        <v>322</v>
      </c>
      <c r="E70" s="12" t="s">
        <v>340</v>
      </c>
      <c r="F70" s="31" t="s">
        <v>166</v>
      </c>
      <c r="G70" s="15">
        <v>243.142</v>
      </c>
      <c r="H70" s="38">
        <f>ROUNDDOWN(단가조사!G70*옵션!$D$11, 0)</f>
        <v>3900</v>
      </c>
      <c r="I70" s="38"/>
      <c r="J70" s="38"/>
      <c r="K70" s="38"/>
      <c r="L70" s="38">
        <f t="shared" si="1"/>
        <v>3900</v>
      </c>
      <c r="M70" s="15"/>
    </row>
    <row r="71" spans="2:13" ht="21.6" customHeight="1" x14ac:dyDescent="0.15">
      <c r="B71" s="13" t="s">
        <v>1095</v>
      </c>
      <c r="C71" s="12" t="s">
        <v>341</v>
      </c>
      <c r="D71" s="12" t="s">
        <v>317</v>
      </c>
      <c r="E71" s="12" t="s">
        <v>342</v>
      </c>
      <c r="F71" s="31" t="s">
        <v>166</v>
      </c>
      <c r="G71" s="15">
        <v>466.2</v>
      </c>
      <c r="H71" s="38">
        <f>ROUNDDOWN(단가조사!G71*옵션!$D$11, 0)</f>
        <v>11070</v>
      </c>
      <c r="I71" s="38"/>
      <c r="J71" s="38"/>
      <c r="K71" s="38"/>
      <c r="L71" s="38">
        <f t="shared" si="1"/>
        <v>11070</v>
      </c>
      <c r="M71" s="15"/>
    </row>
    <row r="72" spans="2:13" ht="21.6" customHeight="1" x14ac:dyDescent="0.15">
      <c r="B72" s="13" t="s">
        <v>1096</v>
      </c>
      <c r="C72" s="12" t="s">
        <v>343</v>
      </c>
      <c r="D72" s="12" t="s">
        <v>322</v>
      </c>
      <c r="E72" s="12" t="s">
        <v>344</v>
      </c>
      <c r="F72" s="31" t="s">
        <v>200</v>
      </c>
      <c r="G72" s="15">
        <v>4</v>
      </c>
      <c r="H72" s="38">
        <f>ROUNDDOWN(단가조사!G72*옵션!$D$11, 0)</f>
        <v>12910</v>
      </c>
      <c r="I72" s="38"/>
      <c r="J72" s="38"/>
      <c r="K72" s="38"/>
      <c r="L72" s="38">
        <f t="shared" si="1"/>
        <v>12910</v>
      </c>
      <c r="M72" s="15"/>
    </row>
    <row r="73" spans="2:13" ht="21.6" customHeight="1" x14ac:dyDescent="0.15">
      <c r="B73" s="13" t="s">
        <v>1097</v>
      </c>
      <c r="C73" s="12" t="s">
        <v>345</v>
      </c>
      <c r="D73" s="12" t="s">
        <v>322</v>
      </c>
      <c r="E73" s="12" t="s">
        <v>346</v>
      </c>
      <c r="F73" s="31" t="s">
        <v>200</v>
      </c>
      <c r="G73" s="15">
        <v>24</v>
      </c>
      <c r="H73" s="38">
        <f>ROUNDDOWN(단가조사!G73*옵션!$D$11, 0)</f>
        <v>18200</v>
      </c>
      <c r="I73" s="38"/>
      <c r="J73" s="38"/>
      <c r="K73" s="38"/>
      <c r="L73" s="38">
        <f t="shared" si="1"/>
        <v>18200</v>
      </c>
      <c r="M73" s="15"/>
    </row>
    <row r="74" spans="2:13" ht="21.6" customHeight="1" x14ac:dyDescent="0.15">
      <c r="B74" s="13" t="s">
        <v>1098</v>
      </c>
      <c r="C74" s="12" t="s">
        <v>347</v>
      </c>
      <c r="D74" s="12" t="s">
        <v>322</v>
      </c>
      <c r="E74" s="12" t="s">
        <v>348</v>
      </c>
      <c r="F74" s="31" t="s">
        <v>200</v>
      </c>
      <c r="G74" s="15">
        <v>395</v>
      </c>
      <c r="H74" s="38">
        <f>ROUNDDOWN(단가조사!G74*옵션!$D$11, 0)</f>
        <v>1800</v>
      </c>
      <c r="I74" s="38"/>
      <c r="J74" s="38"/>
      <c r="K74" s="38"/>
      <c r="L74" s="38">
        <f t="shared" si="1"/>
        <v>1800</v>
      </c>
      <c r="M74" s="15"/>
    </row>
    <row r="75" spans="2:13" ht="21.6" customHeight="1" x14ac:dyDescent="0.15">
      <c r="B75" s="13" t="s">
        <v>1099</v>
      </c>
      <c r="C75" s="12" t="s">
        <v>350</v>
      </c>
      <c r="D75" s="12" t="s">
        <v>351</v>
      </c>
      <c r="E75" s="12" t="s">
        <v>352</v>
      </c>
      <c r="F75" s="31" t="s">
        <v>166</v>
      </c>
      <c r="G75" s="15">
        <v>18.899999999999999</v>
      </c>
      <c r="H75" s="38">
        <f>ROUNDDOWN(단가조사!G75*옵션!$D$11, 0)</f>
        <v>13189</v>
      </c>
      <c r="I75" s="38"/>
      <c r="J75" s="38"/>
      <c r="K75" s="38"/>
      <c r="L75" s="38">
        <f t="shared" si="1"/>
        <v>13189</v>
      </c>
      <c r="M75" s="15"/>
    </row>
    <row r="76" spans="2:13" ht="21.6" customHeight="1" x14ac:dyDescent="0.15">
      <c r="B76" s="13" t="s">
        <v>1100</v>
      </c>
      <c r="C76" s="12" t="s">
        <v>353</v>
      </c>
      <c r="D76" s="12" t="s">
        <v>354</v>
      </c>
      <c r="E76" s="12" t="s">
        <v>355</v>
      </c>
      <c r="F76" s="31" t="s">
        <v>200</v>
      </c>
      <c r="G76" s="15">
        <v>1</v>
      </c>
      <c r="H76" s="38">
        <f>ROUNDDOWN(단가조사!G76*옵션!$D$11, 0)</f>
        <v>18097</v>
      </c>
      <c r="I76" s="38"/>
      <c r="J76" s="38"/>
      <c r="K76" s="38"/>
      <c r="L76" s="38">
        <f t="shared" si="1"/>
        <v>18097</v>
      </c>
      <c r="M76" s="15"/>
    </row>
    <row r="77" spans="2:13" ht="21.6" customHeight="1" x14ac:dyDescent="0.15">
      <c r="B77" s="13" t="s">
        <v>1101</v>
      </c>
      <c r="C77" s="12" t="s">
        <v>356</v>
      </c>
      <c r="D77" s="12" t="s">
        <v>354</v>
      </c>
      <c r="E77" s="12" t="s">
        <v>357</v>
      </c>
      <c r="F77" s="31" t="s">
        <v>200</v>
      </c>
      <c r="G77" s="15">
        <v>1</v>
      </c>
      <c r="H77" s="38">
        <f>ROUNDDOWN(단가조사!G77*옵션!$D$11, 0)</f>
        <v>18097</v>
      </c>
      <c r="I77" s="38"/>
      <c r="J77" s="38"/>
      <c r="K77" s="38"/>
      <c r="L77" s="38">
        <f t="shared" si="1"/>
        <v>18097</v>
      </c>
      <c r="M77" s="15"/>
    </row>
    <row r="78" spans="2:13" ht="21.6" customHeight="1" x14ac:dyDescent="0.15">
      <c r="B78" s="13" t="s">
        <v>1102</v>
      </c>
      <c r="C78" s="12" t="s">
        <v>358</v>
      </c>
      <c r="D78" s="12" t="s">
        <v>359</v>
      </c>
      <c r="E78" s="12" t="s">
        <v>360</v>
      </c>
      <c r="F78" s="31" t="s">
        <v>200</v>
      </c>
      <c r="G78" s="15">
        <v>7</v>
      </c>
      <c r="H78" s="38">
        <f>ROUNDDOWN(단가조사!G78*옵션!$D$11, 0)</f>
        <v>175</v>
      </c>
      <c r="I78" s="38"/>
      <c r="J78" s="38"/>
      <c r="K78" s="38"/>
      <c r="L78" s="38">
        <f t="shared" si="1"/>
        <v>175</v>
      </c>
      <c r="M78" s="15"/>
    </row>
    <row r="79" spans="2:13" ht="21.6" customHeight="1" x14ac:dyDescent="0.15">
      <c r="B79" s="13" t="s">
        <v>1103</v>
      </c>
      <c r="C79" s="12" t="s">
        <v>362</v>
      </c>
      <c r="D79" s="12" t="s">
        <v>359</v>
      </c>
      <c r="E79" s="12" t="s">
        <v>363</v>
      </c>
      <c r="F79" s="31" t="s">
        <v>200</v>
      </c>
      <c r="G79" s="15">
        <v>10</v>
      </c>
      <c r="H79" s="38">
        <f>ROUNDDOWN(단가조사!G79*옵션!$D$11, 0)</f>
        <v>223</v>
      </c>
      <c r="I79" s="38"/>
      <c r="J79" s="38"/>
      <c r="K79" s="38"/>
      <c r="L79" s="38">
        <f t="shared" si="1"/>
        <v>223</v>
      </c>
      <c r="M79" s="15"/>
    </row>
    <row r="80" spans="2:13" ht="21.6" customHeight="1" x14ac:dyDescent="0.15">
      <c r="B80" s="13" t="s">
        <v>1104</v>
      </c>
      <c r="C80" s="12" t="s">
        <v>364</v>
      </c>
      <c r="D80" s="12" t="s">
        <v>359</v>
      </c>
      <c r="E80" s="12" t="s">
        <v>365</v>
      </c>
      <c r="F80" s="31" t="s">
        <v>200</v>
      </c>
      <c r="G80" s="15">
        <v>3</v>
      </c>
      <c r="H80" s="38">
        <f>ROUNDDOWN(단가조사!G80*옵션!$D$11, 0)</f>
        <v>261</v>
      </c>
      <c r="I80" s="38"/>
      <c r="J80" s="38"/>
      <c r="K80" s="38"/>
      <c r="L80" s="38">
        <f t="shared" si="1"/>
        <v>261</v>
      </c>
      <c r="M80" s="15"/>
    </row>
    <row r="81" spans="2:13" ht="21.6" customHeight="1" x14ac:dyDescent="0.15">
      <c r="B81" s="13" t="s">
        <v>1105</v>
      </c>
      <c r="C81" s="12" t="s">
        <v>366</v>
      </c>
      <c r="D81" s="12" t="s">
        <v>359</v>
      </c>
      <c r="E81" s="12" t="s">
        <v>367</v>
      </c>
      <c r="F81" s="31" t="s">
        <v>200</v>
      </c>
      <c r="G81" s="15">
        <v>2</v>
      </c>
      <c r="H81" s="38">
        <f>ROUNDDOWN(단가조사!G81*옵션!$D$11, 0)</f>
        <v>288</v>
      </c>
      <c r="I81" s="38"/>
      <c r="J81" s="38"/>
      <c r="K81" s="38"/>
      <c r="L81" s="38">
        <f t="shared" si="1"/>
        <v>288</v>
      </c>
      <c r="M81" s="15"/>
    </row>
    <row r="82" spans="2:13" ht="21.6" customHeight="1" x14ac:dyDescent="0.15">
      <c r="B82" s="13" t="s">
        <v>1106</v>
      </c>
      <c r="C82" s="12" t="s">
        <v>368</v>
      </c>
      <c r="D82" s="12" t="s">
        <v>359</v>
      </c>
      <c r="E82" s="12" t="s">
        <v>369</v>
      </c>
      <c r="F82" s="31" t="s">
        <v>200</v>
      </c>
      <c r="G82" s="15">
        <v>99</v>
      </c>
      <c r="H82" s="38">
        <f>ROUNDDOWN(단가조사!G82*옵션!$D$11, 0)</f>
        <v>343</v>
      </c>
      <c r="I82" s="38"/>
      <c r="J82" s="38"/>
      <c r="K82" s="38"/>
      <c r="L82" s="38">
        <f t="shared" si="1"/>
        <v>343</v>
      </c>
      <c r="M82" s="15"/>
    </row>
    <row r="83" spans="2:13" ht="21.6" customHeight="1" x14ac:dyDescent="0.15">
      <c r="B83" s="13" t="s">
        <v>1107</v>
      </c>
      <c r="C83" s="12" t="s">
        <v>372</v>
      </c>
      <c r="D83" s="12" t="s">
        <v>359</v>
      </c>
      <c r="E83" s="12" t="s">
        <v>373</v>
      </c>
      <c r="F83" s="31" t="s">
        <v>200</v>
      </c>
      <c r="G83" s="15">
        <v>33</v>
      </c>
      <c r="H83" s="38">
        <f>ROUNDDOWN(단가조사!G83*옵션!$D$11, 0)</f>
        <v>348</v>
      </c>
      <c r="I83" s="38"/>
      <c r="J83" s="38"/>
      <c r="K83" s="38"/>
      <c r="L83" s="38">
        <f t="shared" si="1"/>
        <v>348</v>
      </c>
      <c r="M83" s="15"/>
    </row>
    <row r="84" spans="2:13" ht="21.6" customHeight="1" x14ac:dyDescent="0.15">
      <c r="B84" s="13" t="s">
        <v>1108</v>
      </c>
      <c r="C84" s="12" t="s">
        <v>374</v>
      </c>
      <c r="D84" s="12" t="s">
        <v>359</v>
      </c>
      <c r="E84" s="12" t="s">
        <v>375</v>
      </c>
      <c r="F84" s="31" t="s">
        <v>200</v>
      </c>
      <c r="G84" s="15">
        <v>593</v>
      </c>
      <c r="H84" s="38">
        <f>ROUNDDOWN(단가조사!G84*옵션!$D$11, 0)</f>
        <v>370</v>
      </c>
      <c r="I84" s="38"/>
      <c r="J84" s="38"/>
      <c r="K84" s="38"/>
      <c r="L84" s="38">
        <f t="shared" si="1"/>
        <v>370</v>
      </c>
      <c r="M84" s="15"/>
    </row>
    <row r="85" spans="2:13" ht="21.6" customHeight="1" x14ac:dyDescent="0.15">
      <c r="B85" s="13" t="s">
        <v>1109</v>
      </c>
      <c r="C85" s="12" t="s">
        <v>376</v>
      </c>
      <c r="D85" s="12" t="s">
        <v>359</v>
      </c>
      <c r="E85" s="12" t="s">
        <v>377</v>
      </c>
      <c r="F85" s="31" t="s">
        <v>200</v>
      </c>
      <c r="G85" s="15">
        <v>143</v>
      </c>
      <c r="H85" s="38">
        <f>ROUNDDOWN(단가조사!G85*옵션!$D$11, 0)</f>
        <v>394</v>
      </c>
      <c r="I85" s="38"/>
      <c r="J85" s="38"/>
      <c r="K85" s="38"/>
      <c r="L85" s="38">
        <f t="shared" si="1"/>
        <v>394</v>
      </c>
      <c r="M85" s="15"/>
    </row>
    <row r="86" spans="2:13" ht="21.6" customHeight="1" x14ac:dyDescent="0.15">
      <c r="B86" s="13" t="s">
        <v>1110</v>
      </c>
      <c r="C86" s="12" t="s">
        <v>378</v>
      </c>
      <c r="D86" s="12" t="s">
        <v>359</v>
      </c>
      <c r="E86" s="12" t="s">
        <v>379</v>
      </c>
      <c r="F86" s="31" t="s">
        <v>200</v>
      </c>
      <c r="G86" s="15">
        <v>183</v>
      </c>
      <c r="H86" s="38">
        <f>ROUNDDOWN(단가조사!G86*옵션!$D$11, 0)</f>
        <v>431</v>
      </c>
      <c r="I86" s="38"/>
      <c r="J86" s="38"/>
      <c r="K86" s="38"/>
      <c r="L86" s="38">
        <f t="shared" si="1"/>
        <v>431</v>
      </c>
      <c r="M86" s="15"/>
    </row>
    <row r="87" spans="2:13" ht="21.6" customHeight="1" x14ac:dyDescent="0.15">
      <c r="B87" s="13" t="s">
        <v>1111</v>
      </c>
      <c r="C87" s="12" t="s">
        <v>380</v>
      </c>
      <c r="D87" s="12" t="s">
        <v>359</v>
      </c>
      <c r="E87" s="12" t="s">
        <v>381</v>
      </c>
      <c r="F87" s="31" t="s">
        <v>200</v>
      </c>
      <c r="G87" s="15">
        <v>68</v>
      </c>
      <c r="H87" s="38">
        <f>ROUNDDOWN(단가조사!G87*옵션!$D$11, 0)</f>
        <v>625</v>
      </c>
      <c r="I87" s="38"/>
      <c r="J87" s="38"/>
      <c r="K87" s="38"/>
      <c r="L87" s="38">
        <f t="shared" si="1"/>
        <v>625</v>
      </c>
      <c r="M87" s="15"/>
    </row>
    <row r="88" spans="2:13" ht="21.6" customHeight="1" x14ac:dyDescent="0.15">
      <c r="B88" s="13" t="s">
        <v>1112</v>
      </c>
      <c r="C88" s="12" t="s">
        <v>382</v>
      </c>
      <c r="D88" s="12" t="s">
        <v>359</v>
      </c>
      <c r="E88" s="12" t="s">
        <v>383</v>
      </c>
      <c r="F88" s="31" t="s">
        <v>200</v>
      </c>
      <c r="G88" s="15">
        <v>17</v>
      </c>
      <c r="H88" s="38">
        <f>ROUNDDOWN(단가조사!G88*옵션!$D$11, 0)</f>
        <v>675</v>
      </c>
      <c r="I88" s="38"/>
      <c r="J88" s="38"/>
      <c r="K88" s="38"/>
      <c r="L88" s="38">
        <f t="shared" si="1"/>
        <v>675</v>
      </c>
      <c r="M88" s="15"/>
    </row>
    <row r="89" spans="2:13" ht="21.6" customHeight="1" x14ac:dyDescent="0.15">
      <c r="B89" s="13" t="s">
        <v>1113</v>
      </c>
      <c r="C89" s="12" t="s">
        <v>384</v>
      </c>
      <c r="D89" s="12" t="s">
        <v>385</v>
      </c>
      <c r="E89" s="12" t="s">
        <v>386</v>
      </c>
      <c r="F89" s="31" t="s">
        <v>200</v>
      </c>
      <c r="G89" s="15">
        <v>88</v>
      </c>
      <c r="H89" s="38">
        <f>ROUNDDOWN(단가조사!G89*옵션!$D$11, 0)</f>
        <v>4360</v>
      </c>
      <c r="I89" s="38"/>
      <c r="J89" s="38"/>
      <c r="K89" s="38"/>
      <c r="L89" s="38">
        <f t="shared" si="1"/>
        <v>4360</v>
      </c>
      <c r="M89" s="15"/>
    </row>
    <row r="90" spans="2:13" ht="21.6" customHeight="1" x14ac:dyDescent="0.15">
      <c r="B90" s="13" t="s">
        <v>1114</v>
      </c>
      <c r="C90" s="12" t="s">
        <v>387</v>
      </c>
      <c r="D90" s="12" t="s">
        <v>388</v>
      </c>
      <c r="E90" s="12" t="s">
        <v>389</v>
      </c>
      <c r="F90" s="31" t="s">
        <v>200</v>
      </c>
      <c r="G90" s="15">
        <v>1868</v>
      </c>
      <c r="H90" s="38">
        <f>ROUNDDOWN(단가조사!G90*옵션!$D$11, 0)</f>
        <v>18000</v>
      </c>
      <c r="I90" s="38"/>
      <c r="J90" s="38"/>
      <c r="K90" s="38"/>
      <c r="L90" s="38">
        <f t="shared" si="1"/>
        <v>18000</v>
      </c>
      <c r="M90" s="15"/>
    </row>
    <row r="91" spans="2:13" ht="21.6" customHeight="1" x14ac:dyDescent="0.15">
      <c r="B91" s="13" t="s">
        <v>1115</v>
      </c>
      <c r="C91" s="12" t="s">
        <v>391</v>
      </c>
      <c r="D91" s="12" t="s">
        <v>392</v>
      </c>
      <c r="E91" s="12" t="s">
        <v>393</v>
      </c>
      <c r="F91" s="31" t="s">
        <v>200</v>
      </c>
      <c r="G91" s="15">
        <v>1826</v>
      </c>
      <c r="H91" s="38">
        <f>ROUNDDOWN(단가조사!G91*옵션!$D$11, 0)</f>
        <v>920</v>
      </c>
      <c r="I91" s="38"/>
      <c r="J91" s="38"/>
      <c r="K91" s="38"/>
      <c r="L91" s="38">
        <f t="shared" si="1"/>
        <v>920</v>
      </c>
      <c r="M91" s="15"/>
    </row>
    <row r="92" spans="2:13" ht="21.6" customHeight="1" x14ac:dyDescent="0.15">
      <c r="B92" s="13" t="s">
        <v>1116</v>
      </c>
      <c r="C92" s="12" t="s">
        <v>396</v>
      </c>
      <c r="D92" s="12" t="s">
        <v>397</v>
      </c>
      <c r="E92" s="12" t="s">
        <v>398</v>
      </c>
      <c r="F92" s="31" t="s">
        <v>166</v>
      </c>
      <c r="G92" s="15">
        <v>5.5</v>
      </c>
      <c r="H92" s="38">
        <f>ROUNDDOWN(단가조사!G92*옵션!$D$11, 0)</f>
        <v>331</v>
      </c>
      <c r="I92" s="38"/>
      <c r="J92" s="38"/>
      <c r="K92" s="38"/>
      <c r="L92" s="38">
        <f t="shared" si="1"/>
        <v>331</v>
      </c>
      <c r="M92" s="15"/>
    </row>
    <row r="93" spans="2:13" ht="21.6" customHeight="1" x14ac:dyDescent="0.15">
      <c r="B93" s="13" t="s">
        <v>1117</v>
      </c>
      <c r="C93" s="12" t="s">
        <v>403</v>
      </c>
      <c r="D93" s="12" t="s">
        <v>397</v>
      </c>
      <c r="E93" s="12" t="s">
        <v>404</v>
      </c>
      <c r="F93" s="31" t="s">
        <v>166</v>
      </c>
      <c r="G93" s="15">
        <v>58869.8</v>
      </c>
      <c r="H93" s="38">
        <f>ROUNDDOWN(단가조사!G93*옵션!$D$11, 0)</f>
        <v>494</v>
      </c>
      <c r="I93" s="38"/>
      <c r="J93" s="38"/>
      <c r="K93" s="38"/>
      <c r="L93" s="38">
        <f t="shared" si="1"/>
        <v>494</v>
      </c>
      <c r="M93" s="15"/>
    </row>
    <row r="94" spans="2:13" ht="21.6" customHeight="1" x14ac:dyDescent="0.15">
      <c r="B94" s="13" t="s">
        <v>1118</v>
      </c>
      <c r="C94" s="12" t="s">
        <v>405</v>
      </c>
      <c r="D94" s="12" t="s">
        <v>397</v>
      </c>
      <c r="E94" s="12" t="s">
        <v>406</v>
      </c>
      <c r="F94" s="31" t="s">
        <v>166</v>
      </c>
      <c r="G94" s="15">
        <v>360.8</v>
      </c>
      <c r="H94" s="38">
        <f>ROUNDDOWN(단가조사!G94*옵션!$D$11, 0)</f>
        <v>757</v>
      </c>
      <c r="I94" s="38"/>
      <c r="J94" s="38"/>
      <c r="K94" s="38"/>
      <c r="L94" s="38">
        <f t="shared" si="1"/>
        <v>757</v>
      </c>
      <c r="M94" s="15"/>
    </row>
    <row r="95" spans="2:13" ht="21.6" customHeight="1" x14ac:dyDescent="0.15">
      <c r="B95" s="13" t="s">
        <v>1119</v>
      </c>
      <c r="C95" s="12" t="s">
        <v>407</v>
      </c>
      <c r="D95" s="12" t="s">
        <v>408</v>
      </c>
      <c r="E95" s="12" t="s">
        <v>409</v>
      </c>
      <c r="F95" s="31" t="s">
        <v>166</v>
      </c>
      <c r="G95" s="15">
        <v>381.7</v>
      </c>
      <c r="H95" s="38">
        <f>ROUNDDOWN(단가조사!G95*옵션!$D$11, 0)</f>
        <v>925</v>
      </c>
      <c r="I95" s="38"/>
      <c r="J95" s="38"/>
      <c r="K95" s="38"/>
      <c r="L95" s="38">
        <f t="shared" si="1"/>
        <v>925</v>
      </c>
      <c r="M95" s="15"/>
    </row>
    <row r="96" spans="2:13" ht="21.6" customHeight="1" x14ac:dyDescent="0.15">
      <c r="B96" s="13" t="s">
        <v>1120</v>
      </c>
      <c r="C96" s="12" t="s">
        <v>412</v>
      </c>
      <c r="D96" s="12" t="s">
        <v>408</v>
      </c>
      <c r="E96" s="12" t="s">
        <v>413</v>
      </c>
      <c r="F96" s="31" t="s">
        <v>166</v>
      </c>
      <c r="G96" s="15">
        <v>250.8</v>
      </c>
      <c r="H96" s="38">
        <f>ROUNDDOWN(단가조사!G96*옵션!$D$11, 0)</f>
        <v>1031</v>
      </c>
      <c r="I96" s="38"/>
      <c r="J96" s="38"/>
      <c r="K96" s="38"/>
      <c r="L96" s="38">
        <f t="shared" si="1"/>
        <v>1031</v>
      </c>
      <c r="M96" s="15"/>
    </row>
    <row r="97" spans="2:13" ht="21.6" customHeight="1" x14ac:dyDescent="0.15">
      <c r="B97" s="13" t="s">
        <v>1121</v>
      </c>
      <c r="C97" s="12" t="s">
        <v>414</v>
      </c>
      <c r="D97" s="12" t="s">
        <v>408</v>
      </c>
      <c r="E97" s="12" t="s">
        <v>415</v>
      </c>
      <c r="F97" s="31" t="s">
        <v>166</v>
      </c>
      <c r="G97" s="15">
        <v>1342</v>
      </c>
      <c r="H97" s="38">
        <f>ROUNDDOWN(단가조사!G97*옵션!$D$11, 0)</f>
        <v>1870</v>
      </c>
      <c r="I97" s="38"/>
      <c r="J97" s="38"/>
      <c r="K97" s="38"/>
      <c r="L97" s="38">
        <f t="shared" si="1"/>
        <v>1870</v>
      </c>
      <c r="M97" s="15"/>
    </row>
    <row r="98" spans="2:13" ht="21.6" customHeight="1" x14ac:dyDescent="0.15">
      <c r="B98" s="13" t="s">
        <v>1122</v>
      </c>
      <c r="C98" s="12" t="s">
        <v>416</v>
      </c>
      <c r="D98" s="12" t="s">
        <v>408</v>
      </c>
      <c r="E98" s="12" t="s">
        <v>417</v>
      </c>
      <c r="F98" s="31" t="s">
        <v>166</v>
      </c>
      <c r="G98" s="15">
        <v>459.8</v>
      </c>
      <c r="H98" s="38">
        <f>ROUNDDOWN(단가조사!G98*옵션!$D$11, 0)</f>
        <v>2365</v>
      </c>
      <c r="I98" s="38"/>
      <c r="J98" s="38"/>
      <c r="K98" s="38"/>
      <c r="L98" s="38">
        <f t="shared" si="1"/>
        <v>2365</v>
      </c>
      <c r="M98" s="15"/>
    </row>
    <row r="99" spans="2:13" ht="21.6" customHeight="1" x14ac:dyDescent="0.15">
      <c r="B99" s="13" t="s">
        <v>1123</v>
      </c>
      <c r="C99" s="12" t="s">
        <v>418</v>
      </c>
      <c r="D99" s="12" t="s">
        <v>408</v>
      </c>
      <c r="E99" s="12" t="s">
        <v>419</v>
      </c>
      <c r="F99" s="31" t="s">
        <v>166</v>
      </c>
      <c r="G99" s="15">
        <v>16.5</v>
      </c>
      <c r="H99" s="38">
        <f>ROUNDDOWN(단가조사!G99*옵션!$D$11, 0)</f>
        <v>3796</v>
      </c>
      <c r="I99" s="38"/>
      <c r="J99" s="38"/>
      <c r="K99" s="38"/>
      <c r="L99" s="38">
        <f t="shared" si="1"/>
        <v>3796</v>
      </c>
      <c r="M99" s="15"/>
    </row>
    <row r="100" spans="2:13" ht="21.6" customHeight="1" x14ac:dyDescent="0.15">
      <c r="B100" s="13" t="s">
        <v>1124</v>
      </c>
      <c r="C100" s="12" t="s">
        <v>420</v>
      </c>
      <c r="D100" s="12" t="s">
        <v>408</v>
      </c>
      <c r="E100" s="12" t="s">
        <v>421</v>
      </c>
      <c r="F100" s="31" t="s">
        <v>166</v>
      </c>
      <c r="G100" s="15">
        <v>78.099999999999994</v>
      </c>
      <c r="H100" s="38">
        <f>ROUNDDOWN(단가조사!G100*옵션!$D$11, 0)</f>
        <v>5377</v>
      </c>
      <c r="I100" s="38"/>
      <c r="J100" s="38"/>
      <c r="K100" s="38"/>
      <c r="L100" s="38">
        <f t="shared" si="1"/>
        <v>5377</v>
      </c>
      <c r="M100" s="15"/>
    </row>
    <row r="101" spans="2:13" ht="21.6" customHeight="1" x14ac:dyDescent="0.15">
      <c r="B101" s="13" t="s">
        <v>1125</v>
      </c>
      <c r="C101" s="12" t="s">
        <v>422</v>
      </c>
      <c r="D101" s="12" t="s">
        <v>408</v>
      </c>
      <c r="E101" s="12" t="s">
        <v>423</v>
      </c>
      <c r="F101" s="31" t="s">
        <v>166</v>
      </c>
      <c r="G101" s="15">
        <v>166.1</v>
      </c>
      <c r="H101" s="38">
        <f>ROUNDDOWN(단가조사!G101*옵션!$D$11, 0)</f>
        <v>7083</v>
      </c>
      <c r="I101" s="38"/>
      <c r="J101" s="38"/>
      <c r="K101" s="38"/>
      <c r="L101" s="38">
        <f t="shared" si="1"/>
        <v>7083</v>
      </c>
      <c r="M101" s="15"/>
    </row>
    <row r="102" spans="2:13" ht="21.6" customHeight="1" x14ac:dyDescent="0.15">
      <c r="B102" s="13" t="s">
        <v>1126</v>
      </c>
      <c r="C102" s="12" t="s">
        <v>424</v>
      </c>
      <c r="D102" s="12" t="s">
        <v>408</v>
      </c>
      <c r="E102" s="12" t="s">
        <v>425</v>
      </c>
      <c r="F102" s="31" t="s">
        <v>166</v>
      </c>
      <c r="G102" s="15">
        <v>154</v>
      </c>
      <c r="H102" s="38">
        <f>ROUNDDOWN(단가조사!G102*옵션!$D$11, 0)</f>
        <v>10058</v>
      </c>
      <c r="I102" s="38"/>
      <c r="J102" s="38"/>
      <c r="K102" s="38"/>
      <c r="L102" s="38">
        <f t="shared" si="1"/>
        <v>10058</v>
      </c>
      <c r="M102" s="15"/>
    </row>
    <row r="103" spans="2:13" ht="21.6" customHeight="1" x14ac:dyDescent="0.15">
      <c r="B103" s="13" t="s">
        <v>1127</v>
      </c>
      <c r="C103" s="12" t="s">
        <v>426</v>
      </c>
      <c r="D103" s="12" t="s">
        <v>408</v>
      </c>
      <c r="E103" s="12" t="s">
        <v>427</v>
      </c>
      <c r="F103" s="31" t="s">
        <v>166</v>
      </c>
      <c r="G103" s="15">
        <v>751.3</v>
      </c>
      <c r="H103" s="38">
        <f>ROUNDDOWN(단가조사!G103*옵션!$D$11, 0)</f>
        <v>13492</v>
      </c>
      <c r="I103" s="38"/>
      <c r="J103" s="38"/>
      <c r="K103" s="38"/>
      <c r="L103" s="38">
        <f t="shared" si="1"/>
        <v>13492</v>
      </c>
      <c r="M103" s="15"/>
    </row>
    <row r="104" spans="2:13" ht="21.6" customHeight="1" x14ac:dyDescent="0.15">
      <c r="B104" s="13" t="s">
        <v>1128</v>
      </c>
      <c r="C104" s="12" t="s">
        <v>428</v>
      </c>
      <c r="D104" s="12" t="s">
        <v>408</v>
      </c>
      <c r="E104" s="12" t="s">
        <v>429</v>
      </c>
      <c r="F104" s="31" t="s">
        <v>166</v>
      </c>
      <c r="G104" s="15">
        <v>53.9</v>
      </c>
      <c r="H104" s="38">
        <f>ROUNDDOWN(단가조사!G104*옵션!$D$11, 0)</f>
        <v>16965</v>
      </c>
      <c r="I104" s="38"/>
      <c r="J104" s="38"/>
      <c r="K104" s="38"/>
      <c r="L104" s="38">
        <f t="shared" si="1"/>
        <v>16965</v>
      </c>
      <c r="M104" s="15"/>
    </row>
    <row r="105" spans="2:13" ht="21.6" customHeight="1" x14ac:dyDescent="0.15">
      <c r="B105" s="13" t="s">
        <v>1129</v>
      </c>
      <c r="C105" s="12" t="s">
        <v>430</v>
      </c>
      <c r="D105" s="12" t="s">
        <v>431</v>
      </c>
      <c r="E105" s="12" t="s">
        <v>423</v>
      </c>
      <c r="F105" s="31" t="s">
        <v>166</v>
      </c>
      <c r="G105" s="15">
        <v>1101.0999999999999</v>
      </c>
      <c r="H105" s="38">
        <f>ROUNDDOWN(단가조사!G105*옵션!$D$11, 0)</f>
        <v>7573</v>
      </c>
      <c r="I105" s="38"/>
      <c r="J105" s="38"/>
      <c r="K105" s="38"/>
      <c r="L105" s="38">
        <f t="shared" si="1"/>
        <v>7573</v>
      </c>
      <c r="M105" s="15"/>
    </row>
    <row r="106" spans="2:13" ht="21.6" customHeight="1" x14ac:dyDescent="0.15">
      <c r="B106" s="13" t="s">
        <v>1130</v>
      </c>
      <c r="C106" s="12" t="s">
        <v>434</v>
      </c>
      <c r="D106" s="12" t="s">
        <v>435</v>
      </c>
      <c r="E106" s="12" t="s">
        <v>436</v>
      </c>
      <c r="F106" s="31" t="s">
        <v>166</v>
      </c>
      <c r="G106" s="15">
        <v>36.75</v>
      </c>
      <c r="H106" s="38">
        <f>ROUNDDOWN(단가조사!G106*옵션!$D$11, 0)</f>
        <v>12139</v>
      </c>
      <c r="I106" s="38"/>
      <c r="J106" s="38"/>
      <c r="K106" s="38"/>
      <c r="L106" s="38">
        <f t="shared" si="1"/>
        <v>12139</v>
      </c>
      <c r="M106" s="15"/>
    </row>
    <row r="107" spans="2:13" ht="21.6" customHeight="1" x14ac:dyDescent="0.15">
      <c r="B107" s="13" t="s">
        <v>1131</v>
      </c>
      <c r="C107" s="12" t="s">
        <v>439</v>
      </c>
      <c r="D107" s="12" t="s">
        <v>440</v>
      </c>
      <c r="E107" s="12" t="s">
        <v>441</v>
      </c>
      <c r="F107" s="31" t="s">
        <v>166</v>
      </c>
      <c r="G107" s="15">
        <v>507.15</v>
      </c>
      <c r="H107" s="38">
        <f>ROUNDDOWN(단가조사!G107*옵션!$D$11, 0)</f>
        <v>8645</v>
      </c>
      <c r="I107" s="38"/>
      <c r="J107" s="38"/>
      <c r="K107" s="38"/>
      <c r="L107" s="38">
        <f t="shared" si="1"/>
        <v>8645</v>
      </c>
      <c r="M107" s="15"/>
    </row>
    <row r="108" spans="2:13" ht="21.6" customHeight="1" x14ac:dyDescent="0.15">
      <c r="B108" s="13" t="s">
        <v>1132</v>
      </c>
      <c r="C108" s="12" t="s">
        <v>434</v>
      </c>
      <c r="D108" s="12" t="s">
        <v>440</v>
      </c>
      <c r="E108" s="12" t="s">
        <v>436</v>
      </c>
      <c r="F108" s="31" t="s">
        <v>166</v>
      </c>
      <c r="G108" s="15">
        <v>572.25</v>
      </c>
      <c r="H108" s="38">
        <f>ROUNDDOWN(단가조사!G108*옵션!$D$11, 0)</f>
        <v>12139</v>
      </c>
      <c r="I108" s="38"/>
      <c r="J108" s="38"/>
      <c r="K108" s="38"/>
      <c r="L108" s="38">
        <f t="shared" si="1"/>
        <v>12139</v>
      </c>
      <c r="M108" s="15"/>
    </row>
    <row r="109" spans="2:13" ht="21.6" customHeight="1" x14ac:dyDescent="0.15">
      <c r="B109" s="13" t="s">
        <v>1133</v>
      </c>
      <c r="C109" s="12" t="s">
        <v>444</v>
      </c>
      <c r="D109" s="12" t="s">
        <v>445</v>
      </c>
      <c r="E109" s="12" t="s">
        <v>446</v>
      </c>
      <c r="F109" s="31" t="s">
        <v>166</v>
      </c>
      <c r="G109" s="15">
        <v>365.4</v>
      </c>
      <c r="H109" s="38">
        <f>ROUNDDOWN(단가조사!G109*옵션!$D$11, 0)</f>
        <v>2106</v>
      </c>
      <c r="I109" s="38"/>
      <c r="J109" s="38"/>
      <c r="K109" s="38"/>
      <c r="L109" s="38">
        <f t="shared" si="1"/>
        <v>2106</v>
      </c>
      <c r="M109" s="15"/>
    </row>
    <row r="110" spans="2:13" ht="21.6" customHeight="1" x14ac:dyDescent="0.15">
      <c r="B110" s="13" t="s">
        <v>1134</v>
      </c>
      <c r="C110" s="12" t="s">
        <v>447</v>
      </c>
      <c r="D110" s="12" t="s">
        <v>445</v>
      </c>
      <c r="E110" s="12" t="s">
        <v>448</v>
      </c>
      <c r="F110" s="31" t="s">
        <v>166</v>
      </c>
      <c r="G110" s="15">
        <v>30.45</v>
      </c>
      <c r="H110" s="38">
        <f>ROUNDDOWN(단가조사!G110*옵션!$D$11, 0)</f>
        <v>2772</v>
      </c>
      <c r="I110" s="38"/>
      <c r="J110" s="38"/>
      <c r="K110" s="38"/>
      <c r="L110" s="38">
        <f t="shared" si="1"/>
        <v>2772</v>
      </c>
      <c r="M110" s="15"/>
    </row>
    <row r="111" spans="2:13" ht="21.6" customHeight="1" x14ac:dyDescent="0.15">
      <c r="B111" s="13" t="s">
        <v>1135</v>
      </c>
      <c r="C111" s="12" t="s">
        <v>449</v>
      </c>
      <c r="D111" s="12" t="s">
        <v>445</v>
      </c>
      <c r="E111" s="12" t="s">
        <v>450</v>
      </c>
      <c r="F111" s="31" t="s">
        <v>166</v>
      </c>
      <c r="G111" s="15">
        <v>2326.8000000000002</v>
      </c>
      <c r="H111" s="38">
        <f>ROUNDDOWN(단가조사!G111*옵션!$D$11, 0)</f>
        <v>4101</v>
      </c>
      <c r="I111" s="38"/>
      <c r="J111" s="38"/>
      <c r="K111" s="38"/>
      <c r="L111" s="38">
        <f t="shared" si="1"/>
        <v>4101</v>
      </c>
      <c r="M111" s="15"/>
    </row>
    <row r="112" spans="2:13" ht="21.6" customHeight="1" x14ac:dyDescent="0.15">
      <c r="B112" s="13" t="s">
        <v>1136</v>
      </c>
      <c r="C112" s="12" t="s">
        <v>451</v>
      </c>
      <c r="D112" s="12" t="s">
        <v>445</v>
      </c>
      <c r="E112" s="12" t="s">
        <v>452</v>
      </c>
      <c r="F112" s="31" t="s">
        <v>166</v>
      </c>
      <c r="G112" s="15">
        <v>332.85</v>
      </c>
      <c r="H112" s="38">
        <f>ROUNDDOWN(단가조사!G112*옵션!$D$11, 0)</f>
        <v>2800</v>
      </c>
      <c r="I112" s="38"/>
      <c r="J112" s="38"/>
      <c r="K112" s="38"/>
      <c r="L112" s="38">
        <f t="shared" si="1"/>
        <v>2800</v>
      </c>
      <c r="M112" s="15"/>
    </row>
    <row r="113" spans="2:13" ht="21.6" customHeight="1" x14ac:dyDescent="0.15">
      <c r="B113" s="13" t="s">
        <v>1137</v>
      </c>
      <c r="C113" s="12" t="s">
        <v>453</v>
      </c>
      <c r="D113" s="12" t="s">
        <v>445</v>
      </c>
      <c r="E113" s="12" t="s">
        <v>454</v>
      </c>
      <c r="F113" s="31" t="s">
        <v>166</v>
      </c>
      <c r="G113" s="15">
        <v>150.15</v>
      </c>
      <c r="H113" s="38">
        <f>ROUNDDOWN(단가조사!G113*옵션!$D$11, 0)</f>
        <v>3807</v>
      </c>
      <c r="I113" s="38"/>
      <c r="J113" s="38"/>
      <c r="K113" s="38"/>
      <c r="L113" s="38">
        <f t="shared" si="1"/>
        <v>3807</v>
      </c>
      <c r="M113" s="15"/>
    </row>
    <row r="114" spans="2:13" ht="21.6" customHeight="1" x14ac:dyDescent="0.15">
      <c r="B114" s="13" t="s">
        <v>1138</v>
      </c>
      <c r="C114" s="12" t="s">
        <v>455</v>
      </c>
      <c r="D114" s="12" t="s">
        <v>445</v>
      </c>
      <c r="E114" s="12" t="s">
        <v>456</v>
      </c>
      <c r="F114" s="31" t="s">
        <v>166</v>
      </c>
      <c r="G114" s="15">
        <v>210</v>
      </c>
      <c r="H114" s="38">
        <f>ROUNDDOWN(단가조사!G114*옵션!$D$11, 0)</f>
        <v>4896</v>
      </c>
      <c r="I114" s="38"/>
      <c r="J114" s="38"/>
      <c r="K114" s="38"/>
      <c r="L114" s="38">
        <f t="shared" si="1"/>
        <v>4896</v>
      </c>
      <c r="M114" s="15"/>
    </row>
    <row r="115" spans="2:13" ht="21.6" customHeight="1" x14ac:dyDescent="0.15">
      <c r="B115" s="13" t="s">
        <v>1139</v>
      </c>
      <c r="C115" s="12" t="s">
        <v>457</v>
      </c>
      <c r="D115" s="12" t="s">
        <v>445</v>
      </c>
      <c r="E115" s="12" t="s">
        <v>458</v>
      </c>
      <c r="F115" s="31" t="s">
        <v>166</v>
      </c>
      <c r="G115" s="15">
        <v>592.20000000000005</v>
      </c>
      <c r="H115" s="38">
        <f>ROUNDDOWN(단가조사!G115*옵션!$D$11, 0)</f>
        <v>7660</v>
      </c>
      <c r="I115" s="38"/>
      <c r="J115" s="38"/>
      <c r="K115" s="38"/>
      <c r="L115" s="38">
        <f t="shared" si="1"/>
        <v>7660</v>
      </c>
      <c r="M115" s="15"/>
    </row>
    <row r="116" spans="2:13" ht="21.6" customHeight="1" x14ac:dyDescent="0.15">
      <c r="B116" s="13" t="s">
        <v>1140</v>
      </c>
      <c r="C116" s="12" t="s">
        <v>459</v>
      </c>
      <c r="D116" s="12" t="s">
        <v>445</v>
      </c>
      <c r="E116" s="12" t="s">
        <v>460</v>
      </c>
      <c r="F116" s="31" t="s">
        <v>166</v>
      </c>
      <c r="G116" s="15">
        <v>366.45</v>
      </c>
      <c r="H116" s="38">
        <f>ROUNDDOWN(단가조사!G116*옵션!$D$11, 0)</f>
        <v>12749</v>
      </c>
      <c r="I116" s="38"/>
      <c r="J116" s="38"/>
      <c r="K116" s="38"/>
      <c r="L116" s="38">
        <f t="shared" si="1"/>
        <v>12749</v>
      </c>
      <c r="M116" s="15"/>
    </row>
    <row r="117" spans="2:13" ht="21.6" customHeight="1" x14ac:dyDescent="0.15">
      <c r="B117" s="13" t="s">
        <v>1141</v>
      </c>
      <c r="C117" s="12" t="s">
        <v>461</v>
      </c>
      <c r="D117" s="12" t="s">
        <v>445</v>
      </c>
      <c r="E117" s="12" t="s">
        <v>462</v>
      </c>
      <c r="F117" s="31" t="s">
        <v>166</v>
      </c>
      <c r="G117" s="15">
        <v>108.15</v>
      </c>
      <c r="H117" s="38">
        <f>ROUNDDOWN(단가조사!G117*옵션!$D$11, 0)</f>
        <v>19667</v>
      </c>
      <c r="I117" s="38"/>
      <c r="J117" s="38"/>
      <c r="K117" s="38"/>
      <c r="L117" s="38">
        <f t="shared" si="1"/>
        <v>19667</v>
      </c>
      <c r="M117" s="15"/>
    </row>
    <row r="118" spans="2:13" ht="21.6" customHeight="1" x14ac:dyDescent="0.15">
      <c r="B118" s="13" t="s">
        <v>1142</v>
      </c>
      <c r="C118" s="12" t="s">
        <v>463</v>
      </c>
      <c r="D118" s="12" t="s">
        <v>445</v>
      </c>
      <c r="E118" s="12" t="s">
        <v>464</v>
      </c>
      <c r="F118" s="31" t="s">
        <v>166</v>
      </c>
      <c r="G118" s="15">
        <v>541.79999999999995</v>
      </c>
      <c r="H118" s="38">
        <f>ROUNDDOWN(단가조사!G118*옵션!$D$11, 0)</f>
        <v>20314</v>
      </c>
      <c r="I118" s="38"/>
      <c r="J118" s="38"/>
      <c r="K118" s="38"/>
      <c r="L118" s="38">
        <f t="shared" si="1"/>
        <v>20314</v>
      </c>
      <c r="M118" s="15"/>
    </row>
    <row r="119" spans="2:13" ht="21.6" customHeight="1" x14ac:dyDescent="0.15">
      <c r="B119" s="13" t="s">
        <v>1143</v>
      </c>
      <c r="C119" s="12" t="s">
        <v>465</v>
      </c>
      <c r="D119" s="12" t="s">
        <v>466</v>
      </c>
      <c r="E119" s="12" t="s">
        <v>467</v>
      </c>
      <c r="F119" s="31" t="s">
        <v>166</v>
      </c>
      <c r="G119" s="15">
        <v>247.8</v>
      </c>
      <c r="H119" s="38">
        <f>ROUNDDOWN(단가조사!G119*옵션!$D$11, 0)</f>
        <v>37481</v>
      </c>
      <c r="I119" s="38"/>
      <c r="J119" s="38"/>
      <c r="K119" s="38"/>
      <c r="L119" s="38">
        <f t="shared" si="1"/>
        <v>37481</v>
      </c>
      <c r="M119" s="15"/>
    </row>
    <row r="120" spans="2:13" ht="21.6" customHeight="1" x14ac:dyDescent="0.15">
      <c r="B120" s="13" t="s">
        <v>1144</v>
      </c>
      <c r="C120" s="12" t="s">
        <v>472</v>
      </c>
      <c r="D120" s="12" t="s">
        <v>466</v>
      </c>
      <c r="E120" s="12" t="s">
        <v>473</v>
      </c>
      <c r="F120" s="31" t="s">
        <v>166</v>
      </c>
      <c r="G120" s="15">
        <v>67.2</v>
      </c>
      <c r="H120" s="38">
        <f>ROUNDDOWN(단가조사!G120*옵션!$D$11, 0)</f>
        <v>3311</v>
      </c>
      <c r="I120" s="38"/>
      <c r="J120" s="38"/>
      <c r="K120" s="38"/>
      <c r="L120" s="38">
        <f t="shared" si="1"/>
        <v>3311</v>
      </c>
      <c r="M120" s="15"/>
    </row>
    <row r="121" spans="2:13" ht="21.6" customHeight="1" x14ac:dyDescent="0.15">
      <c r="B121" s="13" t="s">
        <v>1145</v>
      </c>
      <c r="C121" s="12" t="s">
        <v>474</v>
      </c>
      <c r="D121" s="12" t="s">
        <v>466</v>
      </c>
      <c r="E121" s="12" t="s">
        <v>475</v>
      </c>
      <c r="F121" s="31" t="s">
        <v>166</v>
      </c>
      <c r="G121" s="15">
        <v>57.75</v>
      </c>
      <c r="H121" s="38">
        <f>ROUNDDOWN(단가조사!G121*옵션!$D$11, 0)</f>
        <v>5494</v>
      </c>
      <c r="I121" s="38"/>
      <c r="J121" s="38"/>
      <c r="K121" s="38"/>
      <c r="L121" s="38">
        <f t="shared" si="1"/>
        <v>5494</v>
      </c>
      <c r="M121" s="15"/>
    </row>
    <row r="122" spans="2:13" ht="21.6" customHeight="1" x14ac:dyDescent="0.15">
      <c r="B122" s="13" t="s">
        <v>1146</v>
      </c>
      <c r="C122" s="12" t="s">
        <v>476</v>
      </c>
      <c r="D122" s="12" t="s">
        <v>466</v>
      </c>
      <c r="E122" s="12" t="s">
        <v>477</v>
      </c>
      <c r="F122" s="31" t="s">
        <v>166</v>
      </c>
      <c r="G122" s="15">
        <v>8.4</v>
      </c>
      <c r="H122" s="38">
        <f>ROUNDDOWN(단가조사!G122*옵션!$D$11, 0)</f>
        <v>8128</v>
      </c>
      <c r="I122" s="38"/>
      <c r="J122" s="38"/>
      <c r="K122" s="38"/>
      <c r="L122" s="38">
        <f t="shared" si="1"/>
        <v>8128</v>
      </c>
      <c r="M122" s="15"/>
    </row>
    <row r="123" spans="2:13" ht="21.6" customHeight="1" x14ac:dyDescent="0.15">
      <c r="B123" s="13" t="s">
        <v>1147</v>
      </c>
      <c r="C123" s="12" t="s">
        <v>478</v>
      </c>
      <c r="D123" s="12" t="s">
        <v>466</v>
      </c>
      <c r="E123" s="12" t="s">
        <v>479</v>
      </c>
      <c r="F123" s="31" t="s">
        <v>166</v>
      </c>
      <c r="G123" s="15">
        <v>60.9</v>
      </c>
      <c r="H123" s="38">
        <f>ROUNDDOWN(단가조사!G123*옵션!$D$11, 0)</f>
        <v>10287</v>
      </c>
      <c r="I123" s="38"/>
      <c r="J123" s="38"/>
      <c r="K123" s="38"/>
      <c r="L123" s="38">
        <f t="shared" si="1"/>
        <v>10287</v>
      </c>
      <c r="M123" s="15"/>
    </row>
    <row r="124" spans="2:13" ht="21.6" customHeight="1" x14ac:dyDescent="0.15">
      <c r="B124" s="13" t="s">
        <v>1148</v>
      </c>
      <c r="C124" s="12" t="s">
        <v>480</v>
      </c>
      <c r="D124" s="12" t="s">
        <v>466</v>
      </c>
      <c r="E124" s="12" t="s">
        <v>481</v>
      </c>
      <c r="F124" s="31" t="s">
        <v>166</v>
      </c>
      <c r="G124" s="15">
        <v>78.75</v>
      </c>
      <c r="H124" s="38">
        <f>ROUNDDOWN(단가조사!G124*옵션!$D$11, 0)</f>
        <v>15654</v>
      </c>
      <c r="I124" s="38"/>
      <c r="J124" s="38"/>
      <c r="K124" s="38"/>
      <c r="L124" s="38">
        <f t="shared" si="1"/>
        <v>15654</v>
      </c>
      <c r="M124" s="15"/>
    </row>
    <row r="125" spans="2:13" ht="21.6" customHeight="1" x14ac:dyDescent="0.15">
      <c r="B125" s="13" t="s">
        <v>1149</v>
      </c>
      <c r="C125" s="12" t="s">
        <v>482</v>
      </c>
      <c r="D125" s="12" t="s">
        <v>466</v>
      </c>
      <c r="E125" s="12" t="s">
        <v>483</v>
      </c>
      <c r="F125" s="31" t="s">
        <v>166</v>
      </c>
      <c r="G125" s="15">
        <v>108.15</v>
      </c>
      <c r="H125" s="38">
        <f>ROUNDDOWN(단가조사!G125*옵션!$D$11, 0)</f>
        <v>13668</v>
      </c>
      <c r="I125" s="38"/>
      <c r="J125" s="38"/>
      <c r="K125" s="38"/>
      <c r="L125" s="38">
        <f t="shared" si="1"/>
        <v>13668</v>
      </c>
      <c r="M125" s="15"/>
    </row>
    <row r="126" spans="2:13" ht="21.6" customHeight="1" x14ac:dyDescent="0.15">
      <c r="B126" s="13" t="s">
        <v>1150</v>
      </c>
      <c r="C126" s="12" t="s">
        <v>484</v>
      </c>
      <c r="D126" s="12" t="s">
        <v>466</v>
      </c>
      <c r="E126" s="12" t="s">
        <v>485</v>
      </c>
      <c r="F126" s="31" t="s">
        <v>166</v>
      </c>
      <c r="G126" s="15">
        <v>45.15</v>
      </c>
      <c r="H126" s="38">
        <f>ROUNDDOWN(단가조사!G126*옵션!$D$11, 0)</f>
        <v>29299</v>
      </c>
      <c r="I126" s="38"/>
      <c r="J126" s="38"/>
      <c r="K126" s="38"/>
      <c r="L126" s="38">
        <f t="shared" si="1"/>
        <v>29299</v>
      </c>
      <c r="M126" s="15"/>
    </row>
    <row r="127" spans="2:13" ht="21.6" customHeight="1" x14ac:dyDescent="0.15">
      <c r="B127" s="13" t="s">
        <v>1151</v>
      </c>
      <c r="C127" s="12" t="s">
        <v>486</v>
      </c>
      <c r="D127" s="12" t="s">
        <v>487</v>
      </c>
      <c r="E127" s="12" t="s">
        <v>488</v>
      </c>
      <c r="F127" s="31" t="s">
        <v>166</v>
      </c>
      <c r="G127" s="15">
        <v>9.4499999999999993</v>
      </c>
      <c r="H127" s="38">
        <f>ROUNDDOWN(단가조사!G127*옵션!$D$11, 0)</f>
        <v>1473</v>
      </c>
      <c r="I127" s="38"/>
      <c r="J127" s="38"/>
      <c r="K127" s="38"/>
      <c r="L127" s="38">
        <f t="shared" si="1"/>
        <v>1473</v>
      </c>
      <c r="M127" s="15"/>
    </row>
    <row r="128" spans="2:13" ht="21.6" customHeight="1" x14ac:dyDescent="0.15">
      <c r="B128" s="13" t="s">
        <v>1152</v>
      </c>
      <c r="C128" s="12" t="s">
        <v>492</v>
      </c>
      <c r="D128" s="12" t="s">
        <v>493</v>
      </c>
      <c r="E128" s="12" t="s">
        <v>494</v>
      </c>
      <c r="F128" s="31" t="s">
        <v>166</v>
      </c>
      <c r="G128" s="15">
        <v>268.8</v>
      </c>
      <c r="H128" s="38">
        <f>ROUNDDOWN(단가조사!G128*옵션!$D$11, 0)</f>
        <v>17478</v>
      </c>
      <c r="I128" s="38"/>
      <c r="J128" s="38"/>
      <c r="K128" s="38"/>
      <c r="L128" s="38">
        <f t="shared" si="1"/>
        <v>17478</v>
      </c>
      <c r="M128" s="15"/>
    </row>
    <row r="129" spans="2:13" ht="21.6" customHeight="1" x14ac:dyDescent="0.15">
      <c r="B129" s="13" t="s">
        <v>1153</v>
      </c>
      <c r="C129" s="12" t="s">
        <v>498</v>
      </c>
      <c r="D129" s="12" t="s">
        <v>499</v>
      </c>
      <c r="E129" s="12" t="s">
        <v>500</v>
      </c>
      <c r="F129" s="31" t="s">
        <v>166</v>
      </c>
      <c r="G129" s="15">
        <v>3865.7</v>
      </c>
      <c r="H129" s="38">
        <f>ROUNDDOWN(단가조사!G129*옵션!$D$11, 0)</f>
        <v>400</v>
      </c>
      <c r="I129" s="38"/>
      <c r="J129" s="38"/>
      <c r="K129" s="38"/>
      <c r="L129" s="38">
        <f t="shared" si="1"/>
        <v>400</v>
      </c>
      <c r="M129" s="15"/>
    </row>
    <row r="130" spans="2:13" ht="21.6" customHeight="1" x14ac:dyDescent="0.15">
      <c r="B130" s="13" t="s">
        <v>1154</v>
      </c>
      <c r="C130" s="12" t="s">
        <v>504</v>
      </c>
      <c r="D130" s="12" t="s">
        <v>505</v>
      </c>
      <c r="E130" s="12" t="s">
        <v>506</v>
      </c>
      <c r="F130" s="31" t="s">
        <v>166</v>
      </c>
      <c r="G130" s="15">
        <v>241.875</v>
      </c>
      <c r="H130" s="38">
        <f>ROUNDDOWN(단가조사!G130*옵션!$D$11, 0)</f>
        <v>1500</v>
      </c>
      <c r="I130" s="38"/>
      <c r="J130" s="38"/>
      <c r="K130" s="38"/>
      <c r="L130" s="38">
        <f t="shared" si="1"/>
        <v>1500</v>
      </c>
      <c r="M130" s="15"/>
    </row>
    <row r="131" spans="2:13" ht="21.6" customHeight="1" x14ac:dyDescent="0.15">
      <c r="B131" s="13" t="s">
        <v>1155</v>
      </c>
      <c r="C131" s="12" t="s">
        <v>507</v>
      </c>
      <c r="D131" s="12" t="s">
        <v>508</v>
      </c>
      <c r="E131" s="12" t="s">
        <v>509</v>
      </c>
      <c r="F131" s="31" t="s">
        <v>200</v>
      </c>
      <c r="G131" s="15">
        <v>270</v>
      </c>
      <c r="H131" s="38">
        <f>ROUNDDOWN(단가조사!G131*옵션!$D$11, 0)</f>
        <v>1324</v>
      </c>
      <c r="I131" s="38"/>
      <c r="J131" s="38"/>
      <c r="K131" s="38"/>
      <c r="L131" s="38">
        <f t="shared" si="1"/>
        <v>1324</v>
      </c>
      <c r="M131" s="15"/>
    </row>
    <row r="132" spans="2:13" ht="21.6" customHeight="1" x14ac:dyDescent="0.15">
      <c r="B132" s="13" t="s">
        <v>1156</v>
      </c>
      <c r="C132" s="12" t="s">
        <v>514</v>
      </c>
      <c r="D132" s="12" t="s">
        <v>508</v>
      </c>
      <c r="E132" s="12" t="s">
        <v>515</v>
      </c>
      <c r="F132" s="31" t="s">
        <v>200</v>
      </c>
      <c r="G132" s="15">
        <v>35</v>
      </c>
      <c r="H132" s="38">
        <f>ROUNDDOWN(단가조사!G132*옵션!$D$11, 0)</f>
        <v>1853</v>
      </c>
      <c r="I132" s="38"/>
      <c r="J132" s="38"/>
      <c r="K132" s="38"/>
      <c r="L132" s="38">
        <f t="shared" ref="L132:L195" si="2">SUM(H132,I132,J132)</f>
        <v>1853</v>
      </c>
      <c r="M132" s="15"/>
    </row>
    <row r="133" spans="2:13" ht="21.6" customHeight="1" x14ac:dyDescent="0.15">
      <c r="B133" s="13" t="s">
        <v>1157</v>
      </c>
      <c r="C133" s="12" t="s">
        <v>516</v>
      </c>
      <c r="D133" s="12" t="s">
        <v>508</v>
      </c>
      <c r="E133" s="12" t="s">
        <v>517</v>
      </c>
      <c r="F133" s="31" t="s">
        <v>200</v>
      </c>
      <c r="G133" s="15">
        <v>139</v>
      </c>
      <c r="H133" s="38">
        <f>ROUNDDOWN(단가조사!G133*옵션!$D$11, 0)</f>
        <v>2395</v>
      </c>
      <c r="I133" s="38"/>
      <c r="J133" s="38"/>
      <c r="K133" s="38"/>
      <c r="L133" s="38">
        <f t="shared" si="2"/>
        <v>2395</v>
      </c>
      <c r="M133" s="15"/>
    </row>
    <row r="134" spans="2:13" ht="21.6" customHeight="1" x14ac:dyDescent="0.15">
      <c r="B134" s="13" t="s">
        <v>1158</v>
      </c>
      <c r="C134" s="12" t="s">
        <v>518</v>
      </c>
      <c r="D134" s="12" t="s">
        <v>519</v>
      </c>
      <c r="E134" s="12" t="s">
        <v>520</v>
      </c>
      <c r="F134" s="31" t="s">
        <v>200</v>
      </c>
      <c r="G134" s="15">
        <v>4</v>
      </c>
      <c r="H134" s="38">
        <f>ROUNDDOWN(단가조사!G134*옵션!$D$11, 0)</f>
        <v>1822</v>
      </c>
      <c r="I134" s="38"/>
      <c r="J134" s="38"/>
      <c r="K134" s="38"/>
      <c r="L134" s="38">
        <f t="shared" si="2"/>
        <v>1822</v>
      </c>
      <c r="M134" s="15"/>
    </row>
    <row r="135" spans="2:13" ht="21.6" customHeight="1" x14ac:dyDescent="0.15">
      <c r="B135" s="13" t="s">
        <v>1159</v>
      </c>
      <c r="C135" s="12" t="s">
        <v>522</v>
      </c>
      <c r="D135" s="12" t="s">
        <v>523</v>
      </c>
      <c r="E135" s="12" t="s">
        <v>524</v>
      </c>
      <c r="F135" s="31" t="s">
        <v>200</v>
      </c>
      <c r="G135" s="15">
        <v>35</v>
      </c>
      <c r="H135" s="38">
        <f>ROUNDDOWN(단가조사!G135*옵션!$D$11, 0)</f>
        <v>42200</v>
      </c>
      <c r="I135" s="38"/>
      <c r="J135" s="38"/>
      <c r="K135" s="38"/>
      <c r="L135" s="38">
        <f t="shared" si="2"/>
        <v>42200</v>
      </c>
      <c r="M135" s="15"/>
    </row>
    <row r="136" spans="2:13" ht="21.6" customHeight="1" x14ac:dyDescent="0.15">
      <c r="B136" s="13" t="s">
        <v>1160</v>
      </c>
      <c r="C136" s="12" t="s">
        <v>525</v>
      </c>
      <c r="D136" s="12" t="s">
        <v>519</v>
      </c>
      <c r="E136" s="12" t="s">
        <v>526</v>
      </c>
      <c r="F136" s="31" t="s">
        <v>200</v>
      </c>
      <c r="G136" s="15">
        <v>244</v>
      </c>
      <c r="H136" s="38">
        <f>ROUNDDOWN(단가조사!G136*옵션!$D$11, 0)</f>
        <v>935</v>
      </c>
      <c r="I136" s="38"/>
      <c r="J136" s="38"/>
      <c r="K136" s="38"/>
      <c r="L136" s="38">
        <f t="shared" si="2"/>
        <v>935</v>
      </c>
      <c r="M136" s="15"/>
    </row>
    <row r="137" spans="2:13" ht="21.6" customHeight="1" x14ac:dyDescent="0.15">
      <c r="B137" s="13" t="s">
        <v>1161</v>
      </c>
      <c r="C137" s="12" t="s">
        <v>528</v>
      </c>
      <c r="D137" s="12" t="s">
        <v>519</v>
      </c>
      <c r="E137" s="12" t="s">
        <v>529</v>
      </c>
      <c r="F137" s="31" t="s">
        <v>200</v>
      </c>
      <c r="G137" s="15">
        <v>860</v>
      </c>
      <c r="H137" s="38">
        <f>ROUNDDOWN(단가조사!G137*옵션!$D$11, 0)</f>
        <v>1385</v>
      </c>
      <c r="I137" s="38"/>
      <c r="J137" s="38"/>
      <c r="K137" s="38"/>
      <c r="L137" s="38">
        <f t="shared" si="2"/>
        <v>1385</v>
      </c>
      <c r="M137" s="15"/>
    </row>
    <row r="138" spans="2:13" ht="21.6" customHeight="1" x14ac:dyDescent="0.15">
      <c r="B138" s="13" t="s">
        <v>1162</v>
      </c>
      <c r="C138" s="12" t="s">
        <v>530</v>
      </c>
      <c r="D138" s="12" t="s">
        <v>531</v>
      </c>
      <c r="E138" s="12" t="s">
        <v>526</v>
      </c>
      <c r="F138" s="31" t="s">
        <v>200</v>
      </c>
      <c r="G138" s="15">
        <v>162</v>
      </c>
      <c r="H138" s="38">
        <f>ROUNDDOWN(단가조사!G138*옵션!$D$11, 0)</f>
        <v>2037</v>
      </c>
      <c r="I138" s="38"/>
      <c r="J138" s="38"/>
      <c r="K138" s="38"/>
      <c r="L138" s="38">
        <f t="shared" si="2"/>
        <v>2037</v>
      </c>
      <c r="M138" s="15"/>
    </row>
    <row r="139" spans="2:13" ht="21.6" customHeight="1" x14ac:dyDescent="0.15">
      <c r="B139" s="13" t="s">
        <v>1163</v>
      </c>
      <c r="C139" s="12" t="s">
        <v>532</v>
      </c>
      <c r="D139" s="12" t="s">
        <v>531</v>
      </c>
      <c r="E139" s="12" t="s">
        <v>529</v>
      </c>
      <c r="F139" s="31" t="s">
        <v>200</v>
      </c>
      <c r="G139" s="15">
        <v>87</v>
      </c>
      <c r="H139" s="38">
        <f>ROUNDDOWN(단가조사!G139*옵션!$D$11, 0)</f>
        <v>2123</v>
      </c>
      <c r="I139" s="38"/>
      <c r="J139" s="38"/>
      <c r="K139" s="38"/>
      <c r="L139" s="38">
        <f t="shared" si="2"/>
        <v>2123</v>
      </c>
      <c r="M139" s="15"/>
    </row>
    <row r="140" spans="2:13" ht="21.6" customHeight="1" x14ac:dyDescent="0.15">
      <c r="B140" s="13" t="s">
        <v>1164</v>
      </c>
      <c r="C140" s="12" t="s">
        <v>533</v>
      </c>
      <c r="D140" s="12" t="s">
        <v>534</v>
      </c>
      <c r="E140" s="12" t="s">
        <v>535</v>
      </c>
      <c r="F140" s="31" t="s">
        <v>200</v>
      </c>
      <c r="G140" s="15">
        <v>6</v>
      </c>
      <c r="H140" s="38">
        <f>ROUNDDOWN(단가조사!G140*옵션!$D$11, 0)</f>
        <v>3318</v>
      </c>
      <c r="I140" s="38"/>
      <c r="J140" s="38"/>
      <c r="K140" s="38"/>
      <c r="L140" s="38">
        <f t="shared" si="2"/>
        <v>3318</v>
      </c>
      <c r="M140" s="15"/>
    </row>
    <row r="141" spans="2:13" ht="21.6" customHeight="1" x14ac:dyDescent="0.15">
      <c r="B141" s="13" t="s">
        <v>1165</v>
      </c>
      <c r="C141" s="12" t="s">
        <v>539</v>
      </c>
      <c r="D141" s="12" t="s">
        <v>534</v>
      </c>
      <c r="E141" s="12" t="s">
        <v>540</v>
      </c>
      <c r="F141" s="31" t="s">
        <v>200</v>
      </c>
      <c r="G141" s="15">
        <v>22</v>
      </c>
      <c r="H141" s="38">
        <f>ROUNDDOWN(단가조사!G141*옵션!$D$11, 0)</f>
        <v>5023</v>
      </c>
      <c r="I141" s="38"/>
      <c r="J141" s="38"/>
      <c r="K141" s="38"/>
      <c r="L141" s="38">
        <f t="shared" si="2"/>
        <v>5023</v>
      </c>
      <c r="M141" s="15"/>
    </row>
    <row r="142" spans="2:13" ht="21.6" customHeight="1" x14ac:dyDescent="0.15">
      <c r="B142" s="13" t="s">
        <v>1166</v>
      </c>
      <c r="C142" s="12" t="s">
        <v>541</v>
      </c>
      <c r="D142" s="12" t="s">
        <v>542</v>
      </c>
      <c r="E142" s="12" t="s">
        <v>543</v>
      </c>
      <c r="F142" s="31" t="s">
        <v>200</v>
      </c>
      <c r="G142" s="15">
        <v>7</v>
      </c>
      <c r="H142" s="38">
        <f>ROUNDDOWN(단가조사!G142*옵션!$D$11, 0)</f>
        <v>1306</v>
      </c>
      <c r="I142" s="38"/>
      <c r="J142" s="38"/>
      <c r="K142" s="38"/>
      <c r="L142" s="38">
        <f t="shared" si="2"/>
        <v>1306</v>
      </c>
      <c r="M142" s="15"/>
    </row>
    <row r="143" spans="2:13" ht="21.6" customHeight="1" x14ac:dyDescent="0.15">
      <c r="B143" s="13" t="s">
        <v>1167</v>
      </c>
      <c r="C143" s="12" t="s">
        <v>544</v>
      </c>
      <c r="D143" s="12" t="s">
        <v>545</v>
      </c>
      <c r="E143" s="12" t="s">
        <v>546</v>
      </c>
      <c r="F143" s="31" t="s">
        <v>200</v>
      </c>
      <c r="G143" s="15">
        <v>254</v>
      </c>
      <c r="H143" s="38">
        <f>ROUNDDOWN(단가조사!G143*옵션!$D$11, 0)</f>
        <v>10035</v>
      </c>
      <c r="I143" s="38"/>
      <c r="J143" s="38"/>
      <c r="K143" s="38"/>
      <c r="L143" s="38">
        <f t="shared" si="2"/>
        <v>10035</v>
      </c>
      <c r="M143" s="15"/>
    </row>
    <row r="144" spans="2:13" ht="21.6" customHeight="1" x14ac:dyDescent="0.15">
      <c r="B144" s="13" t="s">
        <v>1168</v>
      </c>
      <c r="C144" s="12" t="s">
        <v>547</v>
      </c>
      <c r="D144" s="12" t="s">
        <v>548</v>
      </c>
      <c r="E144" s="12" t="s">
        <v>549</v>
      </c>
      <c r="F144" s="31" t="s">
        <v>200</v>
      </c>
      <c r="G144" s="15">
        <v>2</v>
      </c>
      <c r="H144" s="38">
        <f>ROUNDDOWN(단가조사!G144*옵션!$D$11, 0)</f>
        <v>42000</v>
      </c>
      <c r="I144" s="38"/>
      <c r="J144" s="38"/>
      <c r="K144" s="38"/>
      <c r="L144" s="38">
        <f t="shared" si="2"/>
        <v>42000</v>
      </c>
      <c r="M144" s="15"/>
    </row>
    <row r="145" spans="2:13" ht="21.6" customHeight="1" x14ac:dyDescent="0.15">
      <c r="B145" s="13" t="s">
        <v>1169</v>
      </c>
      <c r="C145" s="12" t="s">
        <v>551</v>
      </c>
      <c r="D145" s="12" t="s">
        <v>552</v>
      </c>
      <c r="E145" s="12" t="s">
        <v>553</v>
      </c>
      <c r="F145" s="31" t="s">
        <v>554</v>
      </c>
      <c r="G145" s="15">
        <v>26</v>
      </c>
      <c r="H145" s="38">
        <f>ROUNDDOWN(단가조사!G145*옵션!$D$11, 0)</f>
        <v>10000</v>
      </c>
      <c r="I145" s="38"/>
      <c r="J145" s="38"/>
      <c r="K145" s="38"/>
      <c r="L145" s="38">
        <f t="shared" si="2"/>
        <v>10000</v>
      </c>
      <c r="M145" s="15"/>
    </row>
    <row r="146" spans="2:13" ht="21.6" customHeight="1" x14ac:dyDescent="0.15">
      <c r="B146" s="13" t="s">
        <v>1170</v>
      </c>
      <c r="C146" s="12" t="s">
        <v>556</v>
      </c>
      <c r="D146" s="12" t="s">
        <v>557</v>
      </c>
      <c r="E146" s="12" t="s">
        <v>558</v>
      </c>
      <c r="F146" s="31" t="s">
        <v>559</v>
      </c>
      <c r="G146" s="15">
        <v>2</v>
      </c>
      <c r="H146" s="38">
        <f>ROUNDDOWN(단가조사!G146*옵션!$D$11, 0)</f>
        <v>114040</v>
      </c>
      <c r="I146" s="38"/>
      <c r="J146" s="38"/>
      <c r="K146" s="38"/>
      <c r="L146" s="38">
        <f t="shared" si="2"/>
        <v>114040</v>
      </c>
      <c r="M146" s="15"/>
    </row>
    <row r="147" spans="2:13" ht="21.6" customHeight="1" x14ac:dyDescent="0.15">
      <c r="B147" s="13" t="s">
        <v>1171</v>
      </c>
      <c r="C147" s="12" t="s">
        <v>561</v>
      </c>
      <c r="D147" s="12" t="s">
        <v>557</v>
      </c>
      <c r="E147" s="12" t="s">
        <v>562</v>
      </c>
      <c r="F147" s="31" t="s">
        <v>559</v>
      </c>
      <c r="G147" s="15">
        <v>1</v>
      </c>
      <c r="H147" s="38">
        <f>ROUNDDOWN(단가조사!G147*옵션!$D$11, 0)</f>
        <v>300000</v>
      </c>
      <c r="I147" s="38"/>
      <c r="J147" s="38"/>
      <c r="K147" s="38"/>
      <c r="L147" s="38">
        <f t="shared" si="2"/>
        <v>300000</v>
      </c>
      <c r="M147" s="15"/>
    </row>
    <row r="148" spans="2:13" ht="21.6" customHeight="1" x14ac:dyDescent="0.15">
      <c r="B148" s="13" t="s">
        <v>1172</v>
      </c>
      <c r="C148" s="12" t="s">
        <v>564</v>
      </c>
      <c r="D148" s="12" t="s">
        <v>565</v>
      </c>
      <c r="E148" s="12" t="s">
        <v>566</v>
      </c>
      <c r="F148" s="31" t="s">
        <v>166</v>
      </c>
      <c r="G148" s="15">
        <v>169</v>
      </c>
      <c r="H148" s="38">
        <f>ROUNDDOWN(단가조사!G148*옵션!$D$11, 0)</f>
        <v>250</v>
      </c>
      <c r="I148" s="38"/>
      <c r="J148" s="38"/>
      <c r="K148" s="38"/>
      <c r="L148" s="38">
        <f t="shared" si="2"/>
        <v>250</v>
      </c>
      <c r="M148" s="15"/>
    </row>
    <row r="149" spans="2:13" ht="21.6" customHeight="1" x14ac:dyDescent="0.15">
      <c r="B149" s="13" t="s">
        <v>1173</v>
      </c>
      <c r="C149" s="12" t="s">
        <v>567</v>
      </c>
      <c r="D149" s="12" t="s">
        <v>568</v>
      </c>
      <c r="E149" s="12" t="s">
        <v>566</v>
      </c>
      <c r="F149" s="31" t="s">
        <v>166</v>
      </c>
      <c r="G149" s="15">
        <v>60</v>
      </c>
      <c r="H149" s="38">
        <f>ROUNDDOWN(단가조사!G149*옵션!$D$11, 0)</f>
        <v>450</v>
      </c>
      <c r="I149" s="38"/>
      <c r="J149" s="38"/>
      <c r="K149" s="38"/>
      <c r="L149" s="38">
        <f t="shared" si="2"/>
        <v>450</v>
      </c>
      <c r="M149" s="15"/>
    </row>
    <row r="150" spans="2:13" ht="21.6" customHeight="1" x14ac:dyDescent="0.15">
      <c r="B150" s="13" t="s">
        <v>1174</v>
      </c>
      <c r="C150" s="12" t="s">
        <v>569</v>
      </c>
      <c r="D150" s="12" t="s">
        <v>570</v>
      </c>
      <c r="E150" s="12" t="s">
        <v>571</v>
      </c>
      <c r="F150" s="31" t="s">
        <v>289</v>
      </c>
      <c r="G150" s="15">
        <v>2</v>
      </c>
      <c r="H150" s="38">
        <f>ROUNDDOWN(단가조사!G150*옵션!$D$11, 0)</f>
        <v>6800</v>
      </c>
      <c r="I150" s="38"/>
      <c r="J150" s="38"/>
      <c r="K150" s="38"/>
      <c r="L150" s="38">
        <f t="shared" si="2"/>
        <v>6800</v>
      </c>
      <c r="M150" s="15"/>
    </row>
    <row r="151" spans="2:13" ht="21.6" customHeight="1" x14ac:dyDescent="0.15">
      <c r="B151" s="13" t="s">
        <v>1175</v>
      </c>
      <c r="C151" s="12" t="s">
        <v>572</v>
      </c>
      <c r="D151" s="12" t="s">
        <v>573</v>
      </c>
      <c r="E151" s="12" t="s">
        <v>574</v>
      </c>
      <c r="F151" s="31" t="s">
        <v>289</v>
      </c>
      <c r="G151" s="15">
        <v>2</v>
      </c>
      <c r="H151" s="38">
        <f>ROUNDDOWN(단가조사!G151*옵션!$D$11, 0)</f>
        <v>10200</v>
      </c>
      <c r="I151" s="38"/>
      <c r="J151" s="38"/>
      <c r="K151" s="38"/>
      <c r="L151" s="38">
        <f t="shared" si="2"/>
        <v>10200</v>
      </c>
      <c r="M151" s="15"/>
    </row>
    <row r="152" spans="2:13" ht="21.6" customHeight="1" x14ac:dyDescent="0.15">
      <c r="B152" s="13" t="s">
        <v>1176</v>
      </c>
      <c r="C152" s="12" t="s">
        <v>575</v>
      </c>
      <c r="D152" s="12" t="s">
        <v>576</v>
      </c>
      <c r="E152" s="12" t="s">
        <v>577</v>
      </c>
      <c r="F152" s="31" t="s">
        <v>578</v>
      </c>
      <c r="G152" s="15">
        <v>6</v>
      </c>
      <c r="H152" s="38">
        <f>ROUNDDOWN(단가조사!G152*옵션!$D$11, 0)</f>
        <v>179040</v>
      </c>
      <c r="I152" s="38"/>
      <c r="J152" s="38"/>
      <c r="K152" s="38"/>
      <c r="L152" s="38">
        <f t="shared" si="2"/>
        <v>179040</v>
      </c>
      <c r="M152" s="15"/>
    </row>
    <row r="153" spans="2:13" ht="21.6" customHeight="1" x14ac:dyDescent="0.15">
      <c r="B153" s="13" t="s">
        <v>1177</v>
      </c>
      <c r="C153" s="12" t="s">
        <v>582</v>
      </c>
      <c r="D153" s="12" t="s">
        <v>583</v>
      </c>
      <c r="E153" s="12" t="s">
        <v>584</v>
      </c>
      <c r="F153" s="31" t="s">
        <v>200</v>
      </c>
      <c r="G153" s="15">
        <v>16</v>
      </c>
      <c r="H153" s="38">
        <f>ROUNDDOWN(단가조사!G153*옵션!$D$11, 0)</f>
        <v>446</v>
      </c>
      <c r="I153" s="38"/>
      <c r="J153" s="38"/>
      <c r="K153" s="38"/>
      <c r="L153" s="38">
        <f t="shared" si="2"/>
        <v>446</v>
      </c>
      <c r="M153" s="15"/>
    </row>
    <row r="154" spans="2:13" ht="21.6" customHeight="1" x14ac:dyDescent="0.15">
      <c r="B154" s="13" t="s">
        <v>1178</v>
      </c>
      <c r="C154" s="12" t="s">
        <v>589</v>
      </c>
      <c r="D154" s="12" t="s">
        <v>583</v>
      </c>
      <c r="E154" s="12" t="s">
        <v>590</v>
      </c>
      <c r="F154" s="31" t="s">
        <v>200</v>
      </c>
      <c r="G154" s="15">
        <v>28</v>
      </c>
      <c r="H154" s="38">
        <f>ROUNDDOWN(단가조사!G154*옵션!$D$11, 0)</f>
        <v>689</v>
      </c>
      <c r="I154" s="38"/>
      <c r="J154" s="38"/>
      <c r="K154" s="38"/>
      <c r="L154" s="38">
        <f t="shared" si="2"/>
        <v>689</v>
      </c>
      <c r="M154" s="15"/>
    </row>
    <row r="155" spans="2:13" ht="21.6" customHeight="1" x14ac:dyDescent="0.15">
      <c r="B155" s="13" t="s">
        <v>1179</v>
      </c>
      <c r="C155" s="12" t="s">
        <v>591</v>
      </c>
      <c r="D155" s="12" t="s">
        <v>583</v>
      </c>
      <c r="E155" s="12" t="s">
        <v>592</v>
      </c>
      <c r="F155" s="31" t="s">
        <v>200</v>
      </c>
      <c r="G155" s="15">
        <v>16</v>
      </c>
      <c r="H155" s="38">
        <f>ROUNDDOWN(단가조사!G155*옵션!$D$11, 0)</f>
        <v>2947</v>
      </c>
      <c r="I155" s="38"/>
      <c r="J155" s="38"/>
      <c r="K155" s="38"/>
      <c r="L155" s="38">
        <f t="shared" si="2"/>
        <v>2947</v>
      </c>
      <c r="M155" s="15"/>
    </row>
    <row r="156" spans="2:13" ht="21.6" customHeight="1" x14ac:dyDescent="0.15">
      <c r="B156" s="13" t="s">
        <v>1180</v>
      </c>
      <c r="C156" s="12" t="s">
        <v>594</v>
      </c>
      <c r="D156" s="12" t="s">
        <v>595</v>
      </c>
      <c r="E156" s="12" t="s">
        <v>596</v>
      </c>
      <c r="F156" s="31" t="s">
        <v>200</v>
      </c>
      <c r="G156" s="15">
        <v>126</v>
      </c>
      <c r="H156" s="38">
        <f>ROUNDDOWN(단가조사!G156*옵션!$D$11, 0)</f>
        <v>127</v>
      </c>
      <c r="I156" s="38"/>
      <c r="J156" s="38"/>
      <c r="K156" s="38"/>
      <c r="L156" s="38">
        <f t="shared" si="2"/>
        <v>127</v>
      </c>
      <c r="M156" s="15"/>
    </row>
    <row r="157" spans="2:13" ht="21.6" customHeight="1" x14ac:dyDescent="0.15">
      <c r="B157" s="13" t="s">
        <v>1181</v>
      </c>
      <c r="C157" s="12" t="s">
        <v>597</v>
      </c>
      <c r="D157" s="12" t="s">
        <v>595</v>
      </c>
      <c r="E157" s="12" t="s">
        <v>598</v>
      </c>
      <c r="F157" s="31" t="s">
        <v>200</v>
      </c>
      <c r="G157" s="15">
        <v>52</v>
      </c>
      <c r="H157" s="38">
        <f>ROUNDDOWN(단가조사!G157*옵션!$D$11, 0)</f>
        <v>187</v>
      </c>
      <c r="I157" s="38"/>
      <c r="J157" s="38"/>
      <c r="K157" s="38"/>
      <c r="L157" s="38">
        <f t="shared" si="2"/>
        <v>187</v>
      </c>
      <c r="M157" s="15"/>
    </row>
    <row r="158" spans="2:13" ht="21.6" customHeight="1" x14ac:dyDescent="0.15">
      <c r="B158" s="13" t="s">
        <v>1182</v>
      </c>
      <c r="C158" s="12" t="s">
        <v>599</v>
      </c>
      <c r="D158" s="12" t="s">
        <v>595</v>
      </c>
      <c r="E158" s="12" t="s">
        <v>600</v>
      </c>
      <c r="F158" s="31" t="s">
        <v>200</v>
      </c>
      <c r="G158" s="15">
        <v>64</v>
      </c>
      <c r="H158" s="38">
        <f>ROUNDDOWN(단가조사!G158*옵션!$D$11, 0)</f>
        <v>242</v>
      </c>
      <c r="I158" s="38"/>
      <c r="J158" s="38"/>
      <c r="K158" s="38"/>
      <c r="L158" s="38">
        <f t="shared" si="2"/>
        <v>242</v>
      </c>
      <c r="M158" s="15"/>
    </row>
    <row r="159" spans="2:13" ht="21.6" customHeight="1" x14ac:dyDescent="0.15">
      <c r="B159" s="13" t="s">
        <v>1183</v>
      </c>
      <c r="C159" s="12" t="s">
        <v>601</v>
      </c>
      <c r="D159" s="12" t="s">
        <v>595</v>
      </c>
      <c r="E159" s="12" t="s">
        <v>602</v>
      </c>
      <c r="F159" s="31" t="s">
        <v>200</v>
      </c>
      <c r="G159" s="15">
        <v>4</v>
      </c>
      <c r="H159" s="38">
        <f>ROUNDDOWN(단가조사!G159*옵션!$D$11, 0)</f>
        <v>403</v>
      </c>
      <c r="I159" s="38"/>
      <c r="J159" s="38"/>
      <c r="K159" s="38"/>
      <c r="L159" s="38">
        <f t="shared" si="2"/>
        <v>403</v>
      </c>
      <c r="M159" s="15"/>
    </row>
    <row r="160" spans="2:13" ht="21.6" customHeight="1" x14ac:dyDescent="0.15">
      <c r="B160" s="13" t="s">
        <v>1184</v>
      </c>
      <c r="C160" s="12" t="s">
        <v>603</v>
      </c>
      <c r="D160" s="12" t="s">
        <v>595</v>
      </c>
      <c r="E160" s="12" t="s">
        <v>604</v>
      </c>
      <c r="F160" s="31" t="s">
        <v>200</v>
      </c>
      <c r="G160" s="15">
        <v>21</v>
      </c>
      <c r="H160" s="38">
        <f>ROUNDDOWN(단가조사!G160*옵션!$D$11, 0)</f>
        <v>858</v>
      </c>
      <c r="I160" s="38"/>
      <c r="J160" s="38"/>
      <c r="K160" s="38"/>
      <c r="L160" s="38">
        <f t="shared" si="2"/>
        <v>858</v>
      </c>
      <c r="M160" s="15"/>
    </row>
    <row r="161" spans="2:13" ht="21.6" customHeight="1" x14ac:dyDescent="0.15">
      <c r="B161" s="13" t="s">
        <v>1185</v>
      </c>
      <c r="C161" s="12" t="s">
        <v>605</v>
      </c>
      <c r="D161" s="12" t="s">
        <v>595</v>
      </c>
      <c r="E161" s="12" t="s">
        <v>606</v>
      </c>
      <c r="F161" s="31" t="s">
        <v>200</v>
      </c>
      <c r="G161" s="15">
        <v>4</v>
      </c>
      <c r="H161" s="38">
        <f>ROUNDDOWN(단가조사!G161*옵션!$D$11, 0)</f>
        <v>2103</v>
      </c>
      <c r="I161" s="38"/>
      <c r="J161" s="38"/>
      <c r="K161" s="38"/>
      <c r="L161" s="38">
        <f t="shared" si="2"/>
        <v>2103</v>
      </c>
      <c r="M161" s="15"/>
    </row>
    <row r="162" spans="2:13" ht="21.6" customHeight="1" x14ac:dyDescent="0.15">
      <c r="B162" s="13" t="s">
        <v>1186</v>
      </c>
      <c r="C162" s="12" t="s">
        <v>607</v>
      </c>
      <c r="D162" s="12" t="s">
        <v>608</v>
      </c>
      <c r="E162" s="12" t="s">
        <v>609</v>
      </c>
      <c r="F162" s="31" t="s">
        <v>200</v>
      </c>
      <c r="G162" s="15">
        <v>184</v>
      </c>
      <c r="H162" s="38">
        <f>ROUNDDOWN(단가조사!G162*옵션!$D$11, 0)</f>
        <v>1900</v>
      </c>
      <c r="I162" s="38"/>
      <c r="J162" s="38"/>
      <c r="K162" s="38"/>
      <c r="L162" s="38">
        <f t="shared" si="2"/>
        <v>1900</v>
      </c>
      <c r="M162" s="15"/>
    </row>
    <row r="163" spans="2:13" ht="21.6" customHeight="1" x14ac:dyDescent="0.15">
      <c r="B163" s="13" t="s">
        <v>1187</v>
      </c>
      <c r="C163" s="12" t="s">
        <v>610</v>
      </c>
      <c r="D163" s="12" t="s">
        <v>611</v>
      </c>
      <c r="E163" s="12" t="s">
        <v>612</v>
      </c>
      <c r="F163" s="31" t="s">
        <v>200</v>
      </c>
      <c r="G163" s="15">
        <v>4</v>
      </c>
      <c r="H163" s="38">
        <f>ROUNDDOWN(단가조사!G163*옵션!$D$11, 0)</f>
        <v>828</v>
      </c>
      <c r="I163" s="38"/>
      <c r="J163" s="38"/>
      <c r="K163" s="38"/>
      <c r="L163" s="38">
        <f t="shared" si="2"/>
        <v>828</v>
      </c>
      <c r="M163" s="15"/>
    </row>
    <row r="164" spans="2:13" ht="21.6" customHeight="1" x14ac:dyDescent="0.15">
      <c r="B164" s="13" t="s">
        <v>1188</v>
      </c>
      <c r="C164" s="12" t="s">
        <v>613</v>
      </c>
      <c r="D164" s="12" t="s">
        <v>614</v>
      </c>
      <c r="E164" s="12" t="s">
        <v>615</v>
      </c>
      <c r="F164" s="31" t="s">
        <v>289</v>
      </c>
      <c r="G164" s="15">
        <v>4</v>
      </c>
      <c r="H164" s="38">
        <f>ROUNDDOWN(단가조사!G164*옵션!$D$11, 0)</f>
        <v>2000</v>
      </c>
      <c r="I164" s="38"/>
      <c r="J164" s="38"/>
      <c r="K164" s="38"/>
      <c r="L164" s="38">
        <f t="shared" si="2"/>
        <v>2000</v>
      </c>
      <c r="M164" s="15"/>
    </row>
    <row r="165" spans="2:13" ht="21.6" customHeight="1" x14ac:dyDescent="0.15">
      <c r="B165" s="13" t="s">
        <v>1189</v>
      </c>
      <c r="C165" s="12" t="s">
        <v>616</v>
      </c>
      <c r="D165" s="12" t="s">
        <v>614</v>
      </c>
      <c r="E165" s="12" t="s">
        <v>617</v>
      </c>
      <c r="F165" s="31" t="s">
        <v>289</v>
      </c>
      <c r="G165" s="15">
        <v>4</v>
      </c>
      <c r="H165" s="38">
        <f>ROUNDDOWN(단가조사!G165*옵션!$D$11, 0)</f>
        <v>13500</v>
      </c>
      <c r="I165" s="38"/>
      <c r="J165" s="38"/>
      <c r="K165" s="38"/>
      <c r="L165" s="38">
        <f t="shared" si="2"/>
        <v>13500</v>
      </c>
      <c r="M165" s="15"/>
    </row>
    <row r="166" spans="2:13" ht="21.6" customHeight="1" x14ac:dyDescent="0.15">
      <c r="B166" s="13" t="s">
        <v>1190</v>
      </c>
      <c r="C166" s="12" t="s">
        <v>618</v>
      </c>
      <c r="D166" s="12" t="s">
        <v>619</v>
      </c>
      <c r="E166" s="12" t="s">
        <v>620</v>
      </c>
      <c r="F166" s="31" t="s">
        <v>578</v>
      </c>
      <c r="G166" s="15">
        <v>1</v>
      </c>
      <c r="H166" s="38">
        <f>ROUNDDOWN(단가조사!G166*옵션!$D$11, 0)</f>
        <v>220000</v>
      </c>
      <c r="I166" s="38"/>
      <c r="J166" s="38"/>
      <c r="K166" s="38"/>
      <c r="L166" s="38">
        <f t="shared" si="2"/>
        <v>220000</v>
      </c>
      <c r="M166" s="15"/>
    </row>
    <row r="167" spans="2:13" ht="21.6" customHeight="1" x14ac:dyDescent="0.15">
      <c r="B167" s="13" t="s">
        <v>1191</v>
      </c>
      <c r="C167" s="12" t="s">
        <v>622</v>
      </c>
      <c r="D167" s="12" t="s">
        <v>619</v>
      </c>
      <c r="E167" s="12" t="s">
        <v>623</v>
      </c>
      <c r="F167" s="31" t="s">
        <v>578</v>
      </c>
      <c r="G167" s="15">
        <v>1</v>
      </c>
      <c r="H167" s="38">
        <f>ROUNDDOWN(단가조사!G167*옵션!$D$11, 0)</f>
        <v>450000</v>
      </c>
      <c r="I167" s="38"/>
      <c r="J167" s="38"/>
      <c r="K167" s="38"/>
      <c r="L167" s="38">
        <f t="shared" si="2"/>
        <v>450000</v>
      </c>
      <c r="M167" s="15"/>
    </row>
    <row r="168" spans="2:13" ht="21.6" customHeight="1" x14ac:dyDescent="0.15">
      <c r="B168" s="13" t="s">
        <v>1192</v>
      </c>
      <c r="C168" s="12" t="s">
        <v>624</v>
      </c>
      <c r="D168" s="12" t="s">
        <v>625</v>
      </c>
      <c r="E168" s="12" t="s">
        <v>626</v>
      </c>
      <c r="F168" s="31" t="s">
        <v>627</v>
      </c>
      <c r="G168" s="15">
        <v>2</v>
      </c>
      <c r="H168" s="38">
        <f>ROUNDDOWN(단가조사!G168*옵션!$D$11, 0)</f>
        <v>370000</v>
      </c>
      <c r="I168" s="38"/>
      <c r="J168" s="38"/>
      <c r="K168" s="38"/>
      <c r="L168" s="38">
        <f t="shared" si="2"/>
        <v>370000</v>
      </c>
      <c r="M168" s="15"/>
    </row>
    <row r="169" spans="2:13" ht="21.6" customHeight="1" x14ac:dyDescent="0.15">
      <c r="B169" s="13" t="s">
        <v>1193</v>
      </c>
      <c r="C169" s="12" t="s">
        <v>628</v>
      </c>
      <c r="D169" s="12" t="s">
        <v>629</v>
      </c>
      <c r="E169" s="12" t="s">
        <v>630</v>
      </c>
      <c r="F169" s="31" t="s">
        <v>631</v>
      </c>
      <c r="G169" s="15">
        <v>110</v>
      </c>
      <c r="H169" s="38">
        <f>ROUNDDOWN(단가조사!G169*옵션!$D$11, 0)</f>
        <v>925</v>
      </c>
      <c r="I169" s="38"/>
      <c r="J169" s="38"/>
      <c r="K169" s="38"/>
      <c r="L169" s="38">
        <f t="shared" si="2"/>
        <v>925</v>
      </c>
      <c r="M169" s="15"/>
    </row>
    <row r="170" spans="2:13" ht="21.6" customHeight="1" x14ac:dyDescent="0.15">
      <c r="B170" s="13" t="s">
        <v>1194</v>
      </c>
      <c r="C170" s="12" t="s">
        <v>633</v>
      </c>
      <c r="D170" s="12" t="s">
        <v>634</v>
      </c>
      <c r="E170" s="12" t="s">
        <v>635</v>
      </c>
      <c r="F170" s="31" t="s">
        <v>631</v>
      </c>
      <c r="G170" s="15">
        <v>38.06</v>
      </c>
      <c r="H170" s="38">
        <f>ROUNDDOWN(단가조사!G170*옵션!$D$11, 0)</f>
        <v>990</v>
      </c>
      <c r="I170" s="38"/>
      <c r="J170" s="38"/>
      <c r="K170" s="38"/>
      <c r="L170" s="38">
        <f t="shared" si="2"/>
        <v>990</v>
      </c>
      <c r="M170" s="15"/>
    </row>
    <row r="171" spans="2:13" ht="21.6" customHeight="1" x14ac:dyDescent="0.15">
      <c r="B171" s="13" t="s">
        <v>1195</v>
      </c>
      <c r="C171" s="12" t="s">
        <v>637</v>
      </c>
      <c r="D171" s="12" t="s">
        <v>638</v>
      </c>
      <c r="E171" s="12" t="s">
        <v>639</v>
      </c>
      <c r="F171" s="31" t="s">
        <v>200</v>
      </c>
      <c r="G171" s="15">
        <v>44</v>
      </c>
      <c r="H171" s="38">
        <f>ROUNDDOWN(단가조사!G171*옵션!$D$11, 0)</f>
        <v>66</v>
      </c>
      <c r="I171" s="38"/>
      <c r="J171" s="38"/>
      <c r="K171" s="38"/>
      <c r="L171" s="38">
        <f t="shared" si="2"/>
        <v>66</v>
      </c>
      <c r="M171" s="15"/>
    </row>
    <row r="172" spans="2:13" ht="21.6" customHeight="1" x14ac:dyDescent="0.15">
      <c r="B172" s="13" t="s">
        <v>1196</v>
      </c>
      <c r="C172" s="12" t="s">
        <v>642</v>
      </c>
      <c r="D172" s="12" t="s">
        <v>643</v>
      </c>
      <c r="E172" s="12" t="s">
        <v>644</v>
      </c>
      <c r="F172" s="31" t="s">
        <v>200</v>
      </c>
      <c r="G172" s="15">
        <v>84</v>
      </c>
      <c r="H172" s="38">
        <f>ROUNDDOWN(단가조사!G172*옵션!$D$11, 0)</f>
        <v>28</v>
      </c>
      <c r="I172" s="38"/>
      <c r="J172" s="38"/>
      <c r="K172" s="38"/>
      <c r="L172" s="38">
        <f t="shared" si="2"/>
        <v>28</v>
      </c>
      <c r="M172" s="15"/>
    </row>
    <row r="173" spans="2:13" ht="21.6" customHeight="1" x14ac:dyDescent="0.15">
      <c r="B173" s="13" t="s">
        <v>1197</v>
      </c>
      <c r="C173" s="12" t="s">
        <v>646</v>
      </c>
      <c r="D173" s="12" t="s">
        <v>643</v>
      </c>
      <c r="E173" s="12" t="s">
        <v>639</v>
      </c>
      <c r="F173" s="31" t="s">
        <v>289</v>
      </c>
      <c r="G173" s="15">
        <v>3696</v>
      </c>
      <c r="H173" s="38">
        <f>ROUNDDOWN(단가조사!G173*옵션!$D$11, 0)</f>
        <v>28</v>
      </c>
      <c r="I173" s="38"/>
      <c r="J173" s="38"/>
      <c r="K173" s="38"/>
      <c r="L173" s="38">
        <f t="shared" si="2"/>
        <v>28</v>
      </c>
      <c r="M173" s="15"/>
    </row>
    <row r="174" spans="2:13" ht="21.6" customHeight="1" x14ac:dyDescent="0.15">
      <c r="B174" s="13" t="s">
        <v>1198</v>
      </c>
      <c r="C174" s="12" t="s">
        <v>647</v>
      </c>
      <c r="D174" s="12" t="s">
        <v>648</v>
      </c>
      <c r="E174" s="12" t="s">
        <v>649</v>
      </c>
      <c r="F174" s="31" t="s">
        <v>289</v>
      </c>
      <c r="G174" s="15">
        <v>3736</v>
      </c>
      <c r="H174" s="38">
        <f>ROUNDDOWN(단가조사!G174*옵션!$D$11, 0)</f>
        <v>9</v>
      </c>
      <c r="I174" s="38"/>
      <c r="J174" s="38"/>
      <c r="K174" s="38"/>
      <c r="L174" s="38">
        <f t="shared" si="2"/>
        <v>9</v>
      </c>
      <c r="M174" s="15"/>
    </row>
    <row r="175" spans="2:13" ht="21.6" customHeight="1" x14ac:dyDescent="0.15">
      <c r="B175" s="13" t="s">
        <v>1199</v>
      </c>
      <c r="C175" s="12" t="s">
        <v>651</v>
      </c>
      <c r="D175" s="12" t="s">
        <v>652</v>
      </c>
      <c r="E175" s="12" t="s">
        <v>653</v>
      </c>
      <c r="F175" s="31" t="s">
        <v>654</v>
      </c>
      <c r="G175" s="15">
        <v>46.81</v>
      </c>
      <c r="H175" s="38">
        <f>ROUNDDOWN(단가조사!G175*옵션!$D$11, 0)</f>
        <v>25021</v>
      </c>
      <c r="I175" s="38"/>
      <c r="J175" s="38"/>
      <c r="K175" s="38"/>
      <c r="L175" s="38">
        <f t="shared" si="2"/>
        <v>25021</v>
      </c>
      <c r="M175" s="15"/>
    </row>
    <row r="176" spans="2:13" ht="21.6" customHeight="1" x14ac:dyDescent="0.15">
      <c r="B176" s="13" t="s">
        <v>1200</v>
      </c>
      <c r="C176" s="12" t="s">
        <v>655</v>
      </c>
      <c r="D176" s="12" t="s">
        <v>656</v>
      </c>
      <c r="E176" s="12" t="s">
        <v>657</v>
      </c>
      <c r="F176" s="31" t="s">
        <v>166</v>
      </c>
      <c r="G176" s="15">
        <v>163.9</v>
      </c>
      <c r="H176" s="38">
        <f>ROUNDDOWN(단가조사!G176*옵션!$D$11, 0)</f>
        <v>2200</v>
      </c>
      <c r="I176" s="38"/>
      <c r="J176" s="38"/>
      <c r="K176" s="38"/>
      <c r="L176" s="38">
        <f t="shared" si="2"/>
        <v>2200</v>
      </c>
      <c r="M176" s="15"/>
    </row>
    <row r="177" spans="2:13" ht="21.6" customHeight="1" x14ac:dyDescent="0.15">
      <c r="B177" s="13" t="s">
        <v>1201</v>
      </c>
      <c r="C177" s="12" t="s">
        <v>659</v>
      </c>
      <c r="D177" s="12" t="s">
        <v>656</v>
      </c>
      <c r="E177" s="12" t="s">
        <v>660</v>
      </c>
      <c r="F177" s="31" t="s">
        <v>166</v>
      </c>
      <c r="G177" s="15">
        <v>53.9</v>
      </c>
      <c r="H177" s="38">
        <f>ROUNDDOWN(단가조사!G177*옵션!$D$11, 0)</f>
        <v>2870</v>
      </c>
      <c r="I177" s="38"/>
      <c r="J177" s="38"/>
      <c r="K177" s="38"/>
      <c r="L177" s="38">
        <f t="shared" si="2"/>
        <v>2870</v>
      </c>
      <c r="M177" s="15"/>
    </row>
    <row r="178" spans="2:13" ht="21.6" customHeight="1" x14ac:dyDescent="0.15">
      <c r="B178" s="13" t="s">
        <v>1202</v>
      </c>
      <c r="C178" s="12" t="s">
        <v>661</v>
      </c>
      <c r="D178" s="12" t="s">
        <v>656</v>
      </c>
      <c r="E178" s="12" t="s">
        <v>662</v>
      </c>
      <c r="F178" s="31" t="s">
        <v>166</v>
      </c>
      <c r="G178" s="15">
        <v>976.8</v>
      </c>
      <c r="H178" s="38">
        <f>ROUNDDOWN(단가조사!G178*옵션!$D$11, 0)</f>
        <v>3889</v>
      </c>
      <c r="I178" s="38"/>
      <c r="J178" s="38"/>
      <c r="K178" s="38"/>
      <c r="L178" s="38">
        <f t="shared" si="2"/>
        <v>3889</v>
      </c>
      <c r="M178" s="15"/>
    </row>
    <row r="179" spans="2:13" ht="21.6" customHeight="1" x14ac:dyDescent="0.15">
      <c r="B179" s="13" t="s">
        <v>1203</v>
      </c>
      <c r="C179" s="12" t="s">
        <v>663</v>
      </c>
      <c r="D179" s="12" t="s">
        <v>656</v>
      </c>
      <c r="E179" s="12" t="s">
        <v>664</v>
      </c>
      <c r="F179" s="31" t="s">
        <v>166</v>
      </c>
      <c r="G179" s="15">
        <v>236.5</v>
      </c>
      <c r="H179" s="38">
        <f>ROUNDDOWN(단가조사!G179*옵션!$D$11, 0)</f>
        <v>4623</v>
      </c>
      <c r="I179" s="38"/>
      <c r="J179" s="38"/>
      <c r="K179" s="38"/>
      <c r="L179" s="38">
        <f t="shared" si="2"/>
        <v>4623</v>
      </c>
      <c r="M179" s="15"/>
    </row>
    <row r="180" spans="2:13" ht="21.6" customHeight="1" x14ac:dyDescent="0.15">
      <c r="B180" s="13" t="s">
        <v>1204</v>
      </c>
      <c r="C180" s="12" t="s">
        <v>665</v>
      </c>
      <c r="D180" s="12" t="s">
        <v>656</v>
      </c>
      <c r="E180" s="12" t="s">
        <v>666</v>
      </c>
      <c r="F180" s="31" t="s">
        <v>166</v>
      </c>
      <c r="G180" s="15">
        <v>305.8</v>
      </c>
      <c r="H180" s="38">
        <f>ROUNDDOWN(단가조사!G180*옵션!$D$11, 0)</f>
        <v>6139</v>
      </c>
      <c r="I180" s="38"/>
      <c r="J180" s="38"/>
      <c r="K180" s="38"/>
      <c r="L180" s="38">
        <f t="shared" si="2"/>
        <v>6139</v>
      </c>
      <c r="M180" s="15"/>
    </row>
    <row r="181" spans="2:13" ht="21.6" customHeight="1" x14ac:dyDescent="0.15">
      <c r="B181" s="13" t="s">
        <v>1205</v>
      </c>
      <c r="C181" s="12" t="s">
        <v>667</v>
      </c>
      <c r="D181" s="12" t="s">
        <v>656</v>
      </c>
      <c r="E181" s="12" t="s">
        <v>668</v>
      </c>
      <c r="F181" s="31" t="s">
        <v>166</v>
      </c>
      <c r="G181" s="15">
        <v>144.1</v>
      </c>
      <c r="H181" s="38">
        <f>ROUNDDOWN(단가조사!G181*옵션!$D$11, 0)</f>
        <v>8509</v>
      </c>
      <c r="I181" s="38"/>
      <c r="J181" s="38"/>
      <c r="K181" s="38"/>
      <c r="L181" s="38">
        <f t="shared" si="2"/>
        <v>8509</v>
      </c>
      <c r="M181" s="15"/>
    </row>
    <row r="182" spans="2:13" ht="21.6" customHeight="1" x14ac:dyDescent="0.15">
      <c r="B182" s="13" t="s">
        <v>1206</v>
      </c>
      <c r="C182" s="12" t="s">
        <v>669</v>
      </c>
      <c r="D182" s="12" t="s">
        <v>656</v>
      </c>
      <c r="E182" s="12" t="s">
        <v>670</v>
      </c>
      <c r="F182" s="31" t="s">
        <v>166</v>
      </c>
      <c r="G182" s="15">
        <v>44</v>
      </c>
      <c r="H182" s="38">
        <f>ROUNDDOWN(단가조사!G182*옵션!$D$11, 0)</f>
        <v>11273</v>
      </c>
      <c r="I182" s="38"/>
      <c r="J182" s="38"/>
      <c r="K182" s="38"/>
      <c r="L182" s="38">
        <f t="shared" si="2"/>
        <v>11273</v>
      </c>
      <c r="M182" s="15"/>
    </row>
    <row r="183" spans="2:13" ht="21.6" customHeight="1" x14ac:dyDescent="0.15">
      <c r="B183" s="13" t="s">
        <v>1207</v>
      </c>
      <c r="C183" s="12" t="s">
        <v>671</v>
      </c>
      <c r="D183" s="12" t="s">
        <v>672</v>
      </c>
      <c r="E183" s="12" t="s">
        <v>673</v>
      </c>
      <c r="F183" s="31" t="s">
        <v>200</v>
      </c>
      <c r="G183" s="15">
        <v>41</v>
      </c>
      <c r="H183" s="38">
        <f>ROUNDDOWN(단가조사!G183*옵션!$D$11, 0)</f>
        <v>830</v>
      </c>
      <c r="I183" s="38"/>
      <c r="J183" s="38"/>
      <c r="K183" s="38"/>
      <c r="L183" s="38">
        <f t="shared" si="2"/>
        <v>830</v>
      </c>
      <c r="M183" s="15"/>
    </row>
    <row r="184" spans="2:13" ht="21.6" customHeight="1" x14ac:dyDescent="0.15">
      <c r="B184" s="13" t="s">
        <v>1208</v>
      </c>
      <c r="C184" s="12" t="s">
        <v>674</v>
      </c>
      <c r="D184" s="12" t="s">
        <v>672</v>
      </c>
      <c r="E184" s="12" t="s">
        <v>675</v>
      </c>
      <c r="F184" s="31" t="s">
        <v>200</v>
      </c>
      <c r="G184" s="15">
        <v>13</v>
      </c>
      <c r="H184" s="38">
        <f>ROUNDDOWN(단가조사!G184*옵션!$D$11, 0)</f>
        <v>1014</v>
      </c>
      <c r="I184" s="38"/>
      <c r="J184" s="38"/>
      <c r="K184" s="38"/>
      <c r="L184" s="38">
        <f t="shared" si="2"/>
        <v>1014</v>
      </c>
      <c r="M184" s="15"/>
    </row>
    <row r="185" spans="2:13" ht="21.6" customHeight="1" x14ac:dyDescent="0.15">
      <c r="B185" s="13" t="s">
        <v>1209</v>
      </c>
      <c r="C185" s="12" t="s">
        <v>676</v>
      </c>
      <c r="D185" s="12" t="s">
        <v>672</v>
      </c>
      <c r="E185" s="12" t="s">
        <v>677</v>
      </c>
      <c r="F185" s="31" t="s">
        <v>200</v>
      </c>
      <c r="G185" s="15">
        <v>246</v>
      </c>
      <c r="H185" s="38">
        <f>ROUNDDOWN(단가조사!G185*옵션!$D$11, 0)</f>
        <v>1246</v>
      </c>
      <c r="I185" s="38"/>
      <c r="J185" s="38"/>
      <c r="K185" s="38"/>
      <c r="L185" s="38">
        <f t="shared" si="2"/>
        <v>1246</v>
      </c>
      <c r="M185" s="15"/>
    </row>
    <row r="186" spans="2:13" ht="21.6" customHeight="1" x14ac:dyDescent="0.15">
      <c r="B186" s="13" t="s">
        <v>1210</v>
      </c>
      <c r="C186" s="12" t="s">
        <v>678</v>
      </c>
      <c r="D186" s="12" t="s">
        <v>672</v>
      </c>
      <c r="E186" s="12" t="s">
        <v>679</v>
      </c>
      <c r="F186" s="31" t="s">
        <v>200</v>
      </c>
      <c r="G186" s="15">
        <v>56</v>
      </c>
      <c r="H186" s="38">
        <f>ROUNDDOWN(단가조사!G186*옵션!$D$11, 0)</f>
        <v>1811</v>
      </c>
      <c r="I186" s="38"/>
      <c r="J186" s="38"/>
      <c r="K186" s="38"/>
      <c r="L186" s="38">
        <f t="shared" si="2"/>
        <v>1811</v>
      </c>
      <c r="M186" s="15"/>
    </row>
    <row r="187" spans="2:13" ht="21.6" customHeight="1" x14ac:dyDescent="0.15">
      <c r="B187" s="13" t="s">
        <v>1211</v>
      </c>
      <c r="C187" s="12" t="s">
        <v>680</v>
      </c>
      <c r="D187" s="12" t="s">
        <v>672</v>
      </c>
      <c r="E187" s="12" t="s">
        <v>681</v>
      </c>
      <c r="F187" s="31" t="s">
        <v>200</v>
      </c>
      <c r="G187" s="15">
        <v>76</v>
      </c>
      <c r="H187" s="38">
        <f>ROUNDDOWN(단가조사!G187*옵션!$D$11, 0)</f>
        <v>2721</v>
      </c>
      <c r="I187" s="38"/>
      <c r="J187" s="38"/>
      <c r="K187" s="38"/>
      <c r="L187" s="38">
        <f t="shared" si="2"/>
        <v>2721</v>
      </c>
      <c r="M187" s="15"/>
    </row>
    <row r="188" spans="2:13" ht="21.6" customHeight="1" x14ac:dyDescent="0.15">
      <c r="B188" s="13" t="s">
        <v>1212</v>
      </c>
      <c r="C188" s="12" t="s">
        <v>682</v>
      </c>
      <c r="D188" s="12" t="s">
        <v>672</v>
      </c>
      <c r="E188" s="12" t="s">
        <v>683</v>
      </c>
      <c r="F188" s="31" t="s">
        <v>200</v>
      </c>
      <c r="G188" s="15">
        <v>35</v>
      </c>
      <c r="H188" s="38">
        <f>ROUNDDOWN(단가조사!G188*옵션!$D$11, 0)</f>
        <v>3586</v>
      </c>
      <c r="I188" s="38"/>
      <c r="J188" s="38"/>
      <c r="K188" s="38"/>
      <c r="L188" s="38">
        <f t="shared" si="2"/>
        <v>3586</v>
      </c>
      <c r="M188" s="15"/>
    </row>
    <row r="189" spans="2:13" ht="21.6" customHeight="1" x14ac:dyDescent="0.15">
      <c r="B189" s="13" t="s">
        <v>1213</v>
      </c>
      <c r="C189" s="12" t="s">
        <v>684</v>
      </c>
      <c r="D189" s="12" t="s">
        <v>672</v>
      </c>
      <c r="E189" s="12" t="s">
        <v>685</v>
      </c>
      <c r="F189" s="31" t="s">
        <v>200</v>
      </c>
      <c r="G189" s="15">
        <v>9</v>
      </c>
      <c r="H189" s="38">
        <f>ROUNDDOWN(단가조사!G189*옵션!$D$11, 0)</f>
        <v>4442</v>
      </c>
      <c r="I189" s="38"/>
      <c r="J189" s="38"/>
      <c r="K189" s="38"/>
      <c r="L189" s="38">
        <f t="shared" si="2"/>
        <v>4442</v>
      </c>
      <c r="M189" s="15"/>
    </row>
    <row r="190" spans="2:13" ht="21.6" customHeight="1" x14ac:dyDescent="0.15">
      <c r="B190" s="13" t="s">
        <v>1214</v>
      </c>
      <c r="C190" s="12" t="s">
        <v>686</v>
      </c>
      <c r="D190" s="12" t="s">
        <v>672</v>
      </c>
      <c r="E190" s="12" t="s">
        <v>687</v>
      </c>
      <c r="F190" s="31" t="s">
        <v>200</v>
      </c>
      <c r="G190" s="15">
        <v>20</v>
      </c>
      <c r="H190" s="38">
        <f>ROUNDDOWN(단가조사!G190*옵션!$D$11, 0)</f>
        <v>1087</v>
      </c>
      <c r="I190" s="38"/>
      <c r="J190" s="38"/>
      <c r="K190" s="38"/>
      <c r="L190" s="38">
        <f t="shared" si="2"/>
        <v>1087</v>
      </c>
      <c r="M190" s="15"/>
    </row>
    <row r="191" spans="2:13" ht="21.6" customHeight="1" x14ac:dyDescent="0.15">
      <c r="B191" s="13" t="s">
        <v>1215</v>
      </c>
      <c r="C191" s="12" t="s">
        <v>688</v>
      </c>
      <c r="D191" s="12" t="s">
        <v>672</v>
      </c>
      <c r="E191" s="12" t="s">
        <v>689</v>
      </c>
      <c r="F191" s="31" t="s">
        <v>200</v>
      </c>
      <c r="G191" s="15">
        <v>10</v>
      </c>
      <c r="H191" s="38">
        <f>ROUNDDOWN(단가조사!G191*옵션!$D$11, 0)</f>
        <v>1258</v>
      </c>
      <c r="I191" s="38"/>
      <c r="J191" s="38"/>
      <c r="K191" s="38"/>
      <c r="L191" s="38">
        <f t="shared" si="2"/>
        <v>1258</v>
      </c>
      <c r="M191" s="15"/>
    </row>
    <row r="192" spans="2:13" ht="21.6" customHeight="1" x14ac:dyDescent="0.15">
      <c r="B192" s="13" t="s">
        <v>1216</v>
      </c>
      <c r="C192" s="12" t="s">
        <v>690</v>
      </c>
      <c r="D192" s="12" t="s">
        <v>672</v>
      </c>
      <c r="E192" s="12" t="s">
        <v>691</v>
      </c>
      <c r="F192" s="31" t="s">
        <v>200</v>
      </c>
      <c r="G192" s="15">
        <v>184</v>
      </c>
      <c r="H192" s="38">
        <f>ROUNDDOWN(단가조사!G192*옵션!$D$11, 0)</f>
        <v>1513</v>
      </c>
      <c r="I192" s="38"/>
      <c r="J192" s="38"/>
      <c r="K192" s="38"/>
      <c r="L192" s="38">
        <f t="shared" si="2"/>
        <v>1513</v>
      </c>
      <c r="M192" s="15"/>
    </row>
    <row r="193" spans="2:13" ht="21.6" customHeight="1" x14ac:dyDescent="0.15">
      <c r="B193" s="13" t="s">
        <v>1217</v>
      </c>
      <c r="C193" s="12" t="s">
        <v>692</v>
      </c>
      <c r="D193" s="12" t="s">
        <v>672</v>
      </c>
      <c r="E193" s="12" t="s">
        <v>693</v>
      </c>
      <c r="F193" s="31" t="s">
        <v>200</v>
      </c>
      <c r="G193" s="15">
        <v>44</v>
      </c>
      <c r="H193" s="38">
        <f>ROUNDDOWN(단가조사!G193*옵션!$D$11, 0)</f>
        <v>1983</v>
      </c>
      <c r="I193" s="38"/>
      <c r="J193" s="38"/>
      <c r="K193" s="38"/>
      <c r="L193" s="38">
        <f t="shared" si="2"/>
        <v>1983</v>
      </c>
      <c r="M193" s="15"/>
    </row>
    <row r="194" spans="2:13" ht="21.6" customHeight="1" x14ac:dyDescent="0.15">
      <c r="B194" s="13" t="s">
        <v>1218</v>
      </c>
      <c r="C194" s="12" t="s">
        <v>694</v>
      </c>
      <c r="D194" s="12" t="s">
        <v>672</v>
      </c>
      <c r="E194" s="12" t="s">
        <v>695</v>
      </c>
      <c r="F194" s="31" t="s">
        <v>200</v>
      </c>
      <c r="G194" s="15">
        <v>46</v>
      </c>
      <c r="H194" s="38">
        <f>ROUNDDOWN(단가조사!G194*옵션!$D$11, 0)</f>
        <v>2981</v>
      </c>
      <c r="I194" s="38"/>
      <c r="J194" s="38"/>
      <c r="K194" s="38"/>
      <c r="L194" s="38">
        <f t="shared" si="2"/>
        <v>2981</v>
      </c>
      <c r="M194" s="15"/>
    </row>
    <row r="195" spans="2:13" ht="21.6" customHeight="1" x14ac:dyDescent="0.15">
      <c r="B195" s="13" t="s">
        <v>1219</v>
      </c>
      <c r="C195" s="12" t="s">
        <v>696</v>
      </c>
      <c r="D195" s="12" t="s">
        <v>672</v>
      </c>
      <c r="E195" s="12" t="s">
        <v>697</v>
      </c>
      <c r="F195" s="31" t="s">
        <v>200</v>
      </c>
      <c r="G195" s="15">
        <v>44</v>
      </c>
      <c r="H195" s="38">
        <f>ROUNDDOWN(단가조사!G195*옵션!$D$11, 0)</f>
        <v>3800</v>
      </c>
      <c r="I195" s="38"/>
      <c r="J195" s="38"/>
      <c r="K195" s="38"/>
      <c r="L195" s="38">
        <f t="shared" si="2"/>
        <v>3800</v>
      </c>
      <c r="M195" s="15"/>
    </row>
    <row r="196" spans="2:13" ht="21.6" customHeight="1" x14ac:dyDescent="0.15">
      <c r="B196" s="13" t="s">
        <v>1220</v>
      </c>
      <c r="C196" s="12" t="s">
        <v>698</v>
      </c>
      <c r="D196" s="12" t="s">
        <v>672</v>
      </c>
      <c r="E196" s="12" t="s">
        <v>699</v>
      </c>
      <c r="F196" s="31" t="s">
        <v>200</v>
      </c>
      <c r="G196" s="15">
        <v>14</v>
      </c>
      <c r="H196" s="38">
        <f>ROUNDDOWN(단가조사!G196*옵션!$D$11, 0)</f>
        <v>5002</v>
      </c>
      <c r="I196" s="38"/>
      <c r="J196" s="38"/>
      <c r="K196" s="38"/>
      <c r="L196" s="38">
        <f t="shared" ref="L196:L259" si="3">SUM(H196,I196,J196)</f>
        <v>5002</v>
      </c>
      <c r="M196" s="15"/>
    </row>
    <row r="197" spans="2:13" ht="21.6" customHeight="1" x14ac:dyDescent="0.15">
      <c r="B197" s="13" t="s">
        <v>1221</v>
      </c>
      <c r="C197" s="12" t="s">
        <v>700</v>
      </c>
      <c r="D197" s="12" t="s">
        <v>701</v>
      </c>
      <c r="E197" s="12" t="s">
        <v>662</v>
      </c>
      <c r="F197" s="31" t="s">
        <v>200</v>
      </c>
      <c r="G197" s="15">
        <v>190</v>
      </c>
      <c r="H197" s="38">
        <f>ROUNDDOWN(단가조사!G197*옵션!$D$11, 0)</f>
        <v>3467</v>
      </c>
      <c r="I197" s="38"/>
      <c r="J197" s="38"/>
      <c r="K197" s="38"/>
      <c r="L197" s="38">
        <f t="shared" si="3"/>
        <v>3467</v>
      </c>
      <c r="M197" s="15"/>
    </row>
    <row r="198" spans="2:13" ht="21.6" customHeight="1" x14ac:dyDescent="0.15">
      <c r="B198" s="13" t="s">
        <v>1222</v>
      </c>
      <c r="C198" s="12" t="s">
        <v>702</v>
      </c>
      <c r="D198" s="12" t="s">
        <v>701</v>
      </c>
      <c r="E198" s="12" t="s">
        <v>664</v>
      </c>
      <c r="F198" s="31" t="s">
        <v>200</v>
      </c>
      <c r="G198" s="15">
        <v>46</v>
      </c>
      <c r="H198" s="38">
        <f>ROUNDDOWN(단가조사!G198*옵션!$D$11, 0)</f>
        <v>4640</v>
      </c>
      <c r="I198" s="38"/>
      <c r="J198" s="38"/>
      <c r="K198" s="38"/>
      <c r="L198" s="38">
        <f t="shared" si="3"/>
        <v>4640</v>
      </c>
      <c r="M198" s="15"/>
    </row>
    <row r="199" spans="2:13" ht="21.6" customHeight="1" x14ac:dyDescent="0.15">
      <c r="B199" s="13" t="s">
        <v>1223</v>
      </c>
      <c r="C199" s="12" t="s">
        <v>703</v>
      </c>
      <c r="D199" s="12" t="s">
        <v>701</v>
      </c>
      <c r="E199" s="12" t="s">
        <v>666</v>
      </c>
      <c r="F199" s="31" t="s">
        <v>200</v>
      </c>
      <c r="G199" s="15">
        <v>34</v>
      </c>
      <c r="H199" s="38">
        <f>ROUNDDOWN(단가조사!G199*옵션!$D$11, 0)</f>
        <v>6705</v>
      </c>
      <c r="I199" s="38"/>
      <c r="J199" s="38"/>
      <c r="K199" s="38"/>
      <c r="L199" s="38">
        <f t="shared" si="3"/>
        <v>6705</v>
      </c>
      <c r="M199" s="15"/>
    </row>
    <row r="200" spans="2:13" ht="21.6" customHeight="1" x14ac:dyDescent="0.15">
      <c r="B200" s="13" t="s">
        <v>1224</v>
      </c>
      <c r="C200" s="12" t="s">
        <v>704</v>
      </c>
      <c r="D200" s="12" t="s">
        <v>701</v>
      </c>
      <c r="E200" s="12" t="s">
        <v>668</v>
      </c>
      <c r="F200" s="31" t="s">
        <v>200</v>
      </c>
      <c r="G200" s="15">
        <v>39</v>
      </c>
      <c r="H200" s="38">
        <f>ROUNDDOWN(단가조사!G200*옵션!$D$11, 0)</f>
        <v>10240</v>
      </c>
      <c r="I200" s="38"/>
      <c r="J200" s="38"/>
      <c r="K200" s="38"/>
      <c r="L200" s="38">
        <f t="shared" si="3"/>
        <v>10240</v>
      </c>
      <c r="M200" s="15"/>
    </row>
    <row r="201" spans="2:13" ht="21.6" customHeight="1" x14ac:dyDescent="0.15">
      <c r="B201" s="13" t="s">
        <v>1225</v>
      </c>
      <c r="C201" s="12" t="s">
        <v>705</v>
      </c>
      <c r="D201" s="12" t="s">
        <v>701</v>
      </c>
      <c r="E201" s="12" t="s">
        <v>670</v>
      </c>
      <c r="F201" s="31" t="s">
        <v>200</v>
      </c>
      <c r="G201" s="15">
        <v>9</v>
      </c>
      <c r="H201" s="38">
        <f>ROUNDDOWN(단가조사!G201*옵션!$D$11, 0)</f>
        <v>16888</v>
      </c>
      <c r="I201" s="38"/>
      <c r="J201" s="38"/>
      <c r="K201" s="38"/>
      <c r="L201" s="38">
        <f t="shared" si="3"/>
        <v>16888</v>
      </c>
      <c r="M201" s="15"/>
    </row>
    <row r="202" spans="2:13" ht="21.6" customHeight="1" x14ac:dyDescent="0.15">
      <c r="B202" s="13" t="s">
        <v>1226</v>
      </c>
      <c r="C202" s="12" t="s">
        <v>706</v>
      </c>
      <c r="D202" s="12" t="s">
        <v>707</v>
      </c>
      <c r="E202" s="12"/>
      <c r="F202" s="31" t="s">
        <v>200</v>
      </c>
      <c r="G202" s="15">
        <v>9</v>
      </c>
      <c r="H202" s="38">
        <f>ROUNDDOWN(단가조사!G202*옵션!$D$11, 0)</f>
        <v>50000</v>
      </c>
      <c r="I202" s="38"/>
      <c r="J202" s="38"/>
      <c r="K202" s="38"/>
      <c r="L202" s="38">
        <f t="shared" si="3"/>
        <v>50000</v>
      </c>
      <c r="M202" s="15"/>
    </row>
    <row r="203" spans="2:13" ht="21.6" customHeight="1" x14ac:dyDescent="0.15">
      <c r="B203" s="13" t="s">
        <v>1227</v>
      </c>
      <c r="C203" s="12" t="s">
        <v>706</v>
      </c>
      <c r="D203" s="12" t="s">
        <v>708</v>
      </c>
      <c r="E203" s="12" t="s">
        <v>709</v>
      </c>
      <c r="F203" s="31" t="s">
        <v>710</v>
      </c>
      <c r="G203" s="15">
        <v>4</v>
      </c>
      <c r="H203" s="38">
        <f>ROUNDDOWN(단가조사!G203*옵션!$D$11, 0)</f>
        <v>50000</v>
      </c>
      <c r="I203" s="38"/>
      <c r="J203" s="38"/>
      <c r="K203" s="38"/>
      <c r="L203" s="38">
        <f t="shared" si="3"/>
        <v>50000</v>
      </c>
      <c r="M203" s="15"/>
    </row>
    <row r="204" spans="2:13" ht="21.6" customHeight="1" x14ac:dyDescent="0.15">
      <c r="B204" s="13" t="s">
        <v>1228</v>
      </c>
      <c r="C204" s="12" t="s">
        <v>706</v>
      </c>
      <c r="D204" s="12" t="s">
        <v>712</v>
      </c>
      <c r="E204" s="12" t="s">
        <v>713</v>
      </c>
      <c r="F204" s="31" t="s">
        <v>289</v>
      </c>
      <c r="G204" s="15">
        <v>196</v>
      </c>
      <c r="H204" s="38">
        <f>ROUNDDOWN(단가조사!G204*옵션!$D$11, 0)</f>
        <v>10000</v>
      </c>
      <c r="I204" s="38"/>
      <c r="J204" s="38"/>
      <c r="K204" s="38"/>
      <c r="L204" s="38">
        <f t="shared" si="3"/>
        <v>10000</v>
      </c>
      <c r="M204" s="15"/>
    </row>
    <row r="205" spans="2:13" ht="21.6" customHeight="1" x14ac:dyDescent="0.15">
      <c r="B205" s="13" t="s">
        <v>1229</v>
      </c>
      <c r="C205" s="12" t="s">
        <v>714</v>
      </c>
      <c r="D205" s="12" t="s">
        <v>715</v>
      </c>
      <c r="E205" s="12"/>
      <c r="F205" s="31" t="s">
        <v>559</v>
      </c>
      <c r="G205" s="15">
        <v>2</v>
      </c>
      <c r="H205" s="38">
        <f>ROUNDDOWN(단가조사!G205*옵션!$D$11, 0)</f>
        <v>136800</v>
      </c>
      <c r="I205" s="38"/>
      <c r="J205" s="38"/>
      <c r="K205" s="38"/>
      <c r="L205" s="38">
        <f t="shared" si="3"/>
        <v>136800</v>
      </c>
      <c r="M205" s="15"/>
    </row>
    <row r="206" spans="2:13" ht="21.6" customHeight="1" x14ac:dyDescent="0.15">
      <c r="B206" s="13" t="s">
        <v>1230</v>
      </c>
      <c r="C206" s="12" t="s">
        <v>706</v>
      </c>
      <c r="D206" s="12" t="s">
        <v>716</v>
      </c>
      <c r="E206" s="12" t="s">
        <v>717</v>
      </c>
      <c r="F206" s="31" t="s">
        <v>200</v>
      </c>
      <c r="G206" s="15">
        <v>80</v>
      </c>
      <c r="H206" s="38">
        <f>ROUNDDOWN(단가조사!G206*옵션!$D$11, 0)</f>
        <v>45000</v>
      </c>
      <c r="I206" s="38"/>
      <c r="J206" s="38"/>
      <c r="K206" s="38"/>
      <c r="L206" s="38">
        <f t="shared" si="3"/>
        <v>45000</v>
      </c>
      <c r="M206" s="15"/>
    </row>
    <row r="207" spans="2:13" ht="21.6" customHeight="1" x14ac:dyDescent="0.15">
      <c r="B207" s="13" t="s">
        <v>1231</v>
      </c>
      <c r="C207" s="12" t="s">
        <v>706</v>
      </c>
      <c r="D207" s="12" t="s">
        <v>716</v>
      </c>
      <c r="E207" s="12" t="s">
        <v>718</v>
      </c>
      <c r="F207" s="31" t="s">
        <v>200</v>
      </c>
      <c r="G207" s="15">
        <v>20</v>
      </c>
      <c r="H207" s="38">
        <f>ROUNDDOWN(단가조사!G207*옵션!$D$11, 0)</f>
        <v>45000</v>
      </c>
      <c r="I207" s="38"/>
      <c r="J207" s="38"/>
      <c r="K207" s="38"/>
      <c r="L207" s="38">
        <f t="shared" si="3"/>
        <v>45000</v>
      </c>
      <c r="M207" s="15"/>
    </row>
    <row r="208" spans="2:13" ht="21.6" customHeight="1" x14ac:dyDescent="0.15">
      <c r="B208" s="13" t="s">
        <v>1232</v>
      </c>
      <c r="C208" s="12" t="s">
        <v>706</v>
      </c>
      <c r="D208" s="12" t="s">
        <v>716</v>
      </c>
      <c r="E208" s="12" t="s">
        <v>719</v>
      </c>
      <c r="F208" s="31" t="s">
        <v>200</v>
      </c>
      <c r="G208" s="15">
        <v>120</v>
      </c>
      <c r="H208" s="38">
        <f>ROUNDDOWN(단가조사!G208*옵션!$D$11, 0)</f>
        <v>35000</v>
      </c>
      <c r="I208" s="38"/>
      <c r="J208" s="38"/>
      <c r="K208" s="38"/>
      <c r="L208" s="38">
        <f t="shared" si="3"/>
        <v>35000</v>
      </c>
      <c r="M208" s="15"/>
    </row>
    <row r="209" spans="2:13" ht="21.6" customHeight="1" x14ac:dyDescent="0.15">
      <c r="B209" s="13" t="s">
        <v>1233</v>
      </c>
      <c r="C209" s="12" t="s">
        <v>706</v>
      </c>
      <c r="D209" s="12" t="s">
        <v>720</v>
      </c>
      <c r="E209" s="12" t="s">
        <v>717</v>
      </c>
      <c r="F209" s="31" t="s">
        <v>200</v>
      </c>
      <c r="G209" s="15">
        <v>20</v>
      </c>
      <c r="H209" s="38">
        <f>ROUNDDOWN(단가조사!G209*옵션!$D$11, 0)</f>
        <v>4500</v>
      </c>
      <c r="I209" s="38"/>
      <c r="J209" s="38"/>
      <c r="K209" s="38"/>
      <c r="L209" s="38">
        <f t="shared" si="3"/>
        <v>4500</v>
      </c>
      <c r="M209" s="15"/>
    </row>
    <row r="210" spans="2:13" ht="21.6" customHeight="1" x14ac:dyDescent="0.15">
      <c r="B210" s="13" t="s">
        <v>1234</v>
      </c>
      <c r="C210" s="12" t="s">
        <v>706</v>
      </c>
      <c r="D210" s="12" t="s">
        <v>720</v>
      </c>
      <c r="E210" s="12" t="s">
        <v>718</v>
      </c>
      <c r="F210" s="31" t="s">
        <v>200</v>
      </c>
      <c r="G210" s="15">
        <v>20</v>
      </c>
      <c r="H210" s="38">
        <f>ROUNDDOWN(단가조사!G210*옵션!$D$11, 0)</f>
        <v>3840</v>
      </c>
      <c r="I210" s="38"/>
      <c r="J210" s="38"/>
      <c r="K210" s="38"/>
      <c r="L210" s="38">
        <f t="shared" si="3"/>
        <v>3840</v>
      </c>
      <c r="M210" s="15"/>
    </row>
    <row r="211" spans="2:13" ht="21.6" customHeight="1" x14ac:dyDescent="0.15">
      <c r="B211" s="13" t="s">
        <v>1235</v>
      </c>
      <c r="C211" s="12" t="s">
        <v>706</v>
      </c>
      <c r="D211" s="12" t="s">
        <v>720</v>
      </c>
      <c r="E211" s="12" t="s">
        <v>719</v>
      </c>
      <c r="F211" s="31" t="s">
        <v>200</v>
      </c>
      <c r="G211" s="15">
        <v>116</v>
      </c>
      <c r="H211" s="38">
        <f>ROUNDDOWN(단가조사!G211*옵션!$D$11, 0)</f>
        <v>4000</v>
      </c>
      <c r="I211" s="38"/>
      <c r="J211" s="38"/>
      <c r="K211" s="38"/>
      <c r="L211" s="38">
        <f t="shared" si="3"/>
        <v>4000</v>
      </c>
      <c r="M211" s="15"/>
    </row>
    <row r="212" spans="2:13" ht="21.6" customHeight="1" x14ac:dyDescent="0.15">
      <c r="B212" s="13" t="s">
        <v>1236</v>
      </c>
      <c r="C212" s="12" t="s">
        <v>706</v>
      </c>
      <c r="D212" s="12" t="s">
        <v>722</v>
      </c>
      <c r="E212" s="12" t="s">
        <v>717</v>
      </c>
      <c r="F212" s="31" t="s">
        <v>200</v>
      </c>
      <c r="G212" s="15">
        <v>60</v>
      </c>
      <c r="H212" s="38">
        <f>ROUNDDOWN(단가조사!G212*옵션!$D$11, 0)</f>
        <v>1500</v>
      </c>
      <c r="I212" s="38"/>
      <c r="J212" s="38"/>
      <c r="K212" s="38"/>
      <c r="L212" s="38">
        <f t="shared" si="3"/>
        <v>1500</v>
      </c>
      <c r="M212" s="15"/>
    </row>
    <row r="213" spans="2:13" ht="21.6" customHeight="1" x14ac:dyDescent="0.15">
      <c r="B213" s="13" t="s">
        <v>1237</v>
      </c>
      <c r="C213" s="12" t="s">
        <v>706</v>
      </c>
      <c r="D213" s="12" t="s">
        <v>722</v>
      </c>
      <c r="E213" s="12" t="s">
        <v>719</v>
      </c>
      <c r="F213" s="31" t="s">
        <v>200</v>
      </c>
      <c r="G213" s="15">
        <v>4</v>
      </c>
      <c r="H213" s="38">
        <f>ROUNDDOWN(단가조사!G213*옵션!$D$11, 0)</f>
        <v>1500</v>
      </c>
      <c r="I213" s="38"/>
      <c r="J213" s="38"/>
      <c r="K213" s="38"/>
      <c r="L213" s="38">
        <f t="shared" si="3"/>
        <v>1500</v>
      </c>
      <c r="M213" s="15"/>
    </row>
    <row r="214" spans="2:13" ht="21.6" customHeight="1" x14ac:dyDescent="0.15">
      <c r="B214" s="13" t="s">
        <v>1238</v>
      </c>
      <c r="C214" s="12" t="s">
        <v>706</v>
      </c>
      <c r="D214" s="12" t="s">
        <v>519</v>
      </c>
      <c r="E214" s="12" t="s">
        <v>723</v>
      </c>
      <c r="F214" s="31" t="s">
        <v>200</v>
      </c>
      <c r="G214" s="15">
        <v>80</v>
      </c>
      <c r="H214" s="38">
        <f>ROUNDDOWN(단가조사!G214*옵션!$D$11, 0)</f>
        <v>1345</v>
      </c>
      <c r="I214" s="38"/>
      <c r="J214" s="38"/>
      <c r="K214" s="38"/>
      <c r="L214" s="38">
        <f t="shared" si="3"/>
        <v>1345</v>
      </c>
      <c r="M214" s="15"/>
    </row>
    <row r="215" spans="2:13" ht="21.6" customHeight="1" x14ac:dyDescent="0.15">
      <c r="B215" s="13" t="s">
        <v>1239</v>
      </c>
      <c r="C215" s="12" t="s">
        <v>706</v>
      </c>
      <c r="D215" s="12" t="s">
        <v>724</v>
      </c>
      <c r="E215" s="12" t="s">
        <v>725</v>
      </c>
      <c r="F215" s="31" t="s">
        <v>200</v>
      </c>
      <c r="G215" s="15">
        <v>297</v>
      </c>
      <c r="H215" s="38">
        <f>ROUNDDOWN(단가조사!G215*옵션!$D$11, 0)</f>
        <v>1300</v>
      </c>
      <c r="I215" s="38"/>
      <c r="J215" s="38"/>
      <c r="K215" s="38"/>
      <c r="L215" s="38">
        <f t="shared" si="3"/>
        <v>1300</v>
      </c>
      <c r="M215" s="15"/>
    </row>
    <row r="216" spans="2:13" ht="21.6" customHeight="1" x14ac:dyDescent="0.15">
      <c r="B216" s="13" t="s">
        <v>1240</v>
      </c>
      <c r="C216" s="12" t="s">
        <v>706</v>
      </c>
      <c r="D216" s="12" t="s">
        <v>724</v>
      </c>
      <c r="E216" s="12" t="s">
        <v>726</v>
      </c>
      <c r="F216" s="31" t="s">
        <v>200</v>
      </c>
      <c r="G216" s="15">
        <v>229</v>
      </c>
      <c r="H216" s="38">
        <f>ROUNDDOWN(단가조사!G216*옵션!$D$11, 0)</f>
        <v>1500</v>
      </c>
      <c r="I216" s="38"/>
      <c r="J216" s="38"/>
      <c r="K216" s="38"/>
      <c r="L216" s="38">
        <f t="shared" si="3"/>
        <v>1500</v>
      </c>
      <c r="M216" s="15"/>
    </row>
    <row r="217" spans="2:13" ht="21.6" customHeight="1" x14ac:dyDescent="0.15">
      <c r="B217" s="13" t="s">
        <v>1241</v>
      </c>
      <c r="C217" s="12" t="s">
        <v>727</v>
      </c>
      <c r="D217" s="12" t="s">
        <v>728</v>
      </c>
      <c r="E217" s="12" t="s">
        <v>729</v>
      </c>
      <c r="F217" s="31" t="s">
        <v>166</v>
      </c>
      <c r="G217" s="15">
        <v>198</v>
      </c>
      <c r="H217" s="38">
        <f>ROUNDDOWN(단가조사!G217*옵션!$D$11, 0)</f>
        <v>7000</v>
      </c>
      <c r="I217" s="38"/>
      <c r="J217" s="38"/>
      <c r="K217" s="38"/>
      <c r="L217" s="38">
        <f t="shared" si="3"/>
        <v>7000</v>
      </c>
      <c r="M217" s="15"/>
    </row>
    <row r="218" spans="2:13" ht="21.6" customHeight="1" x14ac:dyDescent="0.15">
      <c r="B218" s="13" t="s">
        <v>1242</v>
      </c>
      <c r="C218" s="12" t="s">
        <v>706</v>
      </c>
      <c r="D218" s="12" t="s">
        <v>730</v>
      </c>
      <c r="E218" s="12" t="s">
        <v>731</v>
      </c>
      <c r="F218" s="31" t="s">
        <v>554</v>
      </c>
      <c r="G218" s="15">
        <v>198</v>
      </c>
      <c r="H218" s="38">
        <f>ROUNDDOWN(단가조사!G218*옵션!$D$11, 0)</f>
        <v>5000</v>
      </c>
      <c r="I218" s="38"/>
      <c r="J218" s="38"/>
      <c r="K218" s="38"/>
      <c r="L218" s="38">
        <f t="shared" si="3"/>
        <v>5000</v>
      </c>
      <c r="M218" s="15"/>
    </row>
    <row r="219" spans="2:13" ht="21.6" customHeight="1" x14ac:dyDescent="0.15">
      <c r="B219" s="13" t="s">
        <v>1243</v>
      </c>
      <c r="C219" s="12" t="s">
        <v>706</v>
      </c>
      <c r="D219" s="12" t="s">
        <v>732</v>
      </c>
      <c r="E219" s="12"/>
      <c r="F219" s="31" t="s">
        <v>289</v>
      </c>
      <c r="G219" s="15">
        <v>9</v>
      </c>
      <c r="H219" s="38">
        <f>ROUNDDOWN(단가조사!G219*옵션!$D$11, 0)</f>
        <v>13000</v>
      </c>
      <c r="I219" s="38"/>
      <c r="J219" s="38"/>
      <c r="K219" s="38"/>
      <c r="L219" s="38">
        <f t="shared" si="3"/>
        <v>13000</v>
      </c>
      <c r="M219" s="15"/>
    </row>
    <row r="220" spans="2:13" ht="21.6" customHeight="1" x14ac:dyDescent="0.15">
      <c r="B220" s="13" t="s">
        <v>1244</v>
      </c>
      <c r="C220" s="12" t="s">
        <v>706</v>
      </c>
      <c r="D220" s="12" t="s">
        <v>733</v>
      </c>
      <c r="E220" s="12" t="s">
        <v>734</v>
      </c>
      <c r="F220" s="31" t="s">
        <v>289</v>
      </c>
      <c r="G220" s="15">
        <v>99</v>
      </c>
      <c r="H220" s="38">
        <f>ROUNDDOWN(단가조사!G220*옵션!$D$11, 0)</f>
        <v>3500</v>
      </c>
      <c r="I220" s="38"/>
      <c r="J220" s="38"/>
      <c r="K220" s="38"/>
      <c r="L220" s="38">
        <f t="shared" si="3"/>
        <v>3500</v>
      </c>
      <c r="M220" s="15"/>
    </row>
    <row r="221" spans="2:13" ht="21.6" customHeight="1" x14ac:dyDescent="0.15">
      <c r="B221" s="13" t="s">
        <v>1245</v>
      </c>
      <c r="C221" s="12" t="s">
        <v>706</v>
      </c>
      <c r="D221" s="12" t="s">
        <v>735</v>
      </c>
      <c r="E221" s="12"/>
      <c r="F221" s="31" t="s">
        <v>289</v>
      </c>
      <c r="G221" s="15">
        <v>80</v>
      </c>
      <c r="H221" s="38">
        <f>ROUNDDOWN(단가조사!G221*옵션!$D$11, 0)</f>
        <v>50000</v>
      </c>
      <c r="I221" s="38"/>
      <c r="J221" s="38"/>
      <c r="K221" s="38"/>
      <c r="L221" s="38">
        <f t="shared" si="3"/>
        <v>50000</v>
      </c>
      <c r="M221" s="15"/>
    </row>
    <row r="222" spans="2:13" ht="21.6" customHeight="1" x14ac:dyDescent="0.15">
      <c r="B222" s="13" t="s">
        <v>1246</v>
      </c>
      <c r="C222" s="12" t="s">
        <v>706</v>
      </c>
      <c r="D222" s="12" t="s">
        <v>736</v>
      </c>
      <c r="E222" s="12" t="s">
        <v>737</v>
      </c>
      <c r="F222" s="31" t="s">
        <v>559</v>
      </c>
      <c r="G222" s="15">
        <v>80</v>
      </c>
      <c r="H222" s="38">
        <f>ROUNDDOWN(단가조사!G222*옵션!$D$11, 0)</f>
        <v>200350</v>
      </c>
      <c r="I222" s="38"/>
      <c r="J222" s="38"/>
      <c r="K222" s="38"/>
      <c r="L222" s="38">
        <f t="shared" si="3"/>
        <v>200350</v>
      </c>
      <c r="M222" s="15"/>
    </row>
    <row r="223" spans="2:13" ht="21.6" customHeight="1" x14ac:dyDescent="0.15">
      <c r="B223" s="13" t="s">
        <v>1247</v>
      </c>
      <c r="C223" s="12" t="s">
        <v>706</v>
      </c>
      <c r="D223" s="12" t="s">
        <v>739</v>
      </c>
      <c r="E223" s="12"/>
      <c r="F223" s="31" t="s">
        <v>740</v>
      </c>
      <c r="G223" s="15">
        <v>1</v>
      </c>
      <c r="H223" s="38">
        <f>ROUNDDOWN(단가조사!G223*옵션!$D$11, 0)</f>
        <v>14300000</v>
      </c>
      <c r="I223" s="38"/>
      <c r="J223" s="38"/>
      <c r="K223" s="38"/>
      <c r="L223" s="38">
        <f t="shared" si="3"/>
        <v>14300000</v>
      </c>
      <c r="M223" s="15"/>
    </row>
    <row r="224" spans="2:13" ht="21.6" customHeight="1" x14ac:dyDescent="0.15">
      <c r="B224" s="13" t="s">
        <v>1248</v>
      </c>
      <c r="C224" s="12" t="s">
        <v>706</v>
      </c>
      <c r="D224" s="12" t="s">
        <v>744</v>
      </c>
      <c r="E224" s="12"/>
      <c r="F224" s="31" t="s">
        <v>740</v>
      </c>
      <c r="G224" s="15">
        <v>1</v>
      </c>
      <c r="H224" s="38">
        <f>ROUNDDOWN(단가조사!G224*옵션!$D$11, 0)</f>
        <v>13500000</v>
      </c>
      <c r="I224" s="38"/>
      <c r="J224" s="38"/>
      <c r="K224" s="38"/>
      <c r="L224" s="38">
        <f t="shared" si="3"/>
        <v>13500000</v>
      </c>
      <c r="M224" s="15"/>
    </row>
    <row r="225" spans="2:13" ht="21.6" customHeight="1" x14ac:dyDescent="0.15">
      <c r="B225" s="13" t="s">
        <v>1249</v>
      </c>
      <c r="C225" s="12" t="s">
        <v>706</v>
      </c>
      <c r="D225" s="12" t="s">
        <v>745</v>
      </c>
      <c r="E225" s="12" t="s">
        <v>746</v>
      </c>
      <c r="F225" s="31" t="s">
        <v>559</v>
      </c>
      <c r="G225" s="15">
        <v>1</v>
      </c>
      <c r="H225" s="38">
        <f>ROUNDDOWN(단가조사!G225*옵션!$D$11, 0)</f>
        <v>15623000</v>
      </c>
      <c r="I225" s="38"/>
      <c r="J225" s="38"/>
      <c r="K225" s="38"/>
      <c r="L225" s="38">
        <f t="shared" si="3"/>
        <v>15623000</v>
      </c>
      <c r="M225" s="15"/>
    </row>
    <row r="226" spans="2:13" ht="21.6" customHeight="1" x14ac:dyDescent="0.15">
      <c r="B226" s="13" t="s">
        <v>1250</v>
      </c>
      <c r="C226" s="12" t="s">
        <v>706</v>
      </c>
      <c r="D226" s="12" t="s">
        <v>745</v>
      </c>
      <c r="E226" s="12" t="s">
        <v>748</v>
      </c>
      <c r="F226" s="31" t="s">
        <v>559</v>
      </c>
      <c r="G226" s="15">
        <v>1</v>
      </c>
      <c r="H226" s="38">
        <f>ROUNDDOWN(단가조사!G226*옵션!$D$11, 0)</f>
        <v>18819000</v>
      </c>
      <c r="I226" s="38"/>
      <c r="J226" s="38"/>
      <c r="K226" s="38"/>
      <c r="L226" s="38">
        <f t="shared" si="3"/>
        <v>18819000</v>
      </c>
      <c r="M226" s="15"/>
    </row>
    <row r="227" spans="2:13" ht="21.6" customHeight="1" x14ac:dyDescent="0.15">
      <c r="B227" s="13" t="s">
        <v>1251</v>
      </c>
      <c r="C227" s="12" t="s">
        <v>706</v>
      </c>
      <c r="D227" s="12" t="s">
        <v>745</v>
      </c>
      <c r="E227" s="12" t="s">
        <v>749</v>
      </c>
      <c r="F227" s="31" t="s">
        <v>559</v>
      </c>
      <c r="G227" s="15">
        <v>1</v>
      </c>
      <c r="H227" s="38">
        <f>ROUNDDOWN(단가조사!G227*옵션!$D$11, 0)</f>
        <v>41612000</v>
      </c>
      <c r="I227" s="38"/>
      <c r="J227" s="38"/>
      <c r="K227" s="38"/>
      <c r="L227" s="38">
        <f t="shared" si="3"/>
        <v>41612000</v>
      </c>
      <c r="M227" s="15"/>
    </row>
    <row r="228" spans="2:13" ht="21.6" customHeight="1" x14ac:dyDescent="0.15">
      <c r="B228" s="13" t="s">
        <v>1252</v>
      </c>
      <c r="C228" s="12" t="s">
        <v>706</v>
      </c>
      <c r="D228" s="12" t="s">
        <v>745</v>
      </c>
      <c r="E228" s="12" t="s">
        <v>750</v>
      </c>
      <c r="F228" s="31" t="s">
        <v>559</v>
      </c>
      <c r="G228" s="15">
        <v>1</v>
      </c>
      <c r="H228" s="38">
        <f>ROUNDDOWN(단가조사!G228*옵션!$D$11, 0)</f>
        <v>26977000</v>
      </c>
      <c r="I228" s="38"/>
      <c r="J228" s="38"/>
      <c r="K228" s="38"/>
      <c r="L228" s="38">
        <f t="shared" si="3"/>
        <v>26977000</v>
      </c>
      <c r="M228" s="15"/>
    </row>
    <row r="229" spans="2:13" ht="21.6" customHeight="1" x14ac:dyDescent="0.15">
      <c r="B229" s="13" t="s">
        <v>1253</v>
      </c>
      <c r="C229" s="12" t="s">
        <v>706</v>
      </c>
      <c r="D229" s="12" t="s">
        <v>745</v>
      </c>
      <c r="E229" s="12" t="s">
        <v>751</v>
      </c>
      <c r="F229" s="31" t="s">
        <v>559</v>
      </c>
      <c r="G229" s="15">
        <v>1</v>
      </c>
      <c r="H229" s="38">
        <f>ROUNDDOWN(단가조사!G229*옵션!$D$11, 0)</f>
        <v>17281000</v>
      </c>
      <c r="I229" s="38"/>
      <c r="J229" s="38"/>
      <c r="K229" s="38"/>
      <c r="L229" s="38">
        <f t="shared" si="3"/>
        <v>17281000</v>
      </c>
      <c r="M229" s="15"/>
    </row>
    <row r="230" spans="2:13" ht="21.6" customHeight="1" x14ac:dyDescent="0.15">
      <c r="B230" s="13" t="s">
        <v>1254</v>
      </c>
      <c r="C230" s="12" t="s">
        <v>706</v>
      </c>
      <c r="D230" s="12" t="s">
        <v>745</v>
      </c>
      <c r="E230" s="12" t="s">
        <v>752</v>
      </c>
      <c r="F230" s="31" t="s">
        <v>559</v>
      </c>
      <c r="G230" s="15">
        <v>1</v>
      </c>
      <c r="H230" s="38">
        <f>ROUNDDOWN(단가조사!G230*옵션!$D$11, 0)</f>
        <v>20643000</v>
      </c>
      <c r="I230" s="38"/>
      <c r="J230" s="38"/>
      <c r="K230" s="38"/>
      <c r="L230" s="38">
        <f t="shared" si="3"/>
        <v>20643000</v>
      </c>
      <c r="M230" s="15"/>
    </row>
    <row r="231" spans="2:13" ht="21.6" customHeight="1" x14ac:dyDescent="0.15">
      <c r="B231" s="13" t="s">
        <v>1255</v>
      </c>
      <c r="C231" s="12" t="s">
        <v>706</v>
      </c>
      <c r="D231" s="12" t="s">
        <v>745</v>
      </c>
      <c r="E231" s="12" t="s">
        <v>753</v>
      </c>
      <c r="F231" s="31" t="s">
        <v>559</v>
      </c>
      <c r="G231" s="15">
        <v>1</v>
      </c>
      <c r="H231" s="38">
        <f>ROUNDDOWN(단가조사!G231*옵션!$D$11, 0)</f>
        <v>17281000</v>
      </c>
      <c r="I231" s="38"/>
      <c r="J231" s="38"/>
      <c r="K231" s="38"/>
      <c r="L231" s="38">
        <f t="shared" si="3"/>
        <v>17281000</v>
      </c>
      <c r="M231" s="15"/>
    </row>
    <row r="232" spans="2:13" ht="21.6" customHeight="1" x14ac:dyDescent="0.15">
      <c r="B232" s="13" t="s">
        <v>1256</v>
      </c>
      <c r="C232" s="12" t="s">
        <v>706</v>
      </c>
      <c r="D232" s="12" t="s">
        <v>754</v>
      </c>
      <c r="E232" s="12" t="s">
        <v>755</v>
      </c>
      <c r="F232" s="31" t="s">
        <v>710</v>
      </c>
      <c r="G232" s="15">
        <v>35</v>
      </c>
      <c r="H232" s="38">
        <f>ROUNDDOWN(단가조사!G232*옵션!$D$11, 0)</f>
        <v>88000</v>
      </c>
      <c r="I232" s="38"/>
      <c r="J232" s="38"/>
      <c r="K232" s="38"/>
      <c r="L232" s="38">
        <f t="shared" si="3"/>
        <v>88000</v>
      </c>
      <c r="M232" s="15"/>
    </row>
    <row r="233" spans="2:13" ht="21.6" customHeight="1" x14ac:dyDescent="0.15">
      <c r="B233" s="13" t="s">
        <v>1257</v>
      </c>
      <c r="C233" s="12" t="s">
        <v>706</v>
      </c>
      <c r="D233" s="12" t="s">
        <v>759</v>
      </c>
      <c r="E233" s="12" t="s">
        <v>760</v>
      </c>
      <c r="F233" s="31" t="s">
        <v>710</v>
      </c>
      <c r="G233" s="15">
        <v>4</v>
      </c>
      <c r="H233" s="38">
        <f>ROUNDDOWN(단가조사!G233*옵션!$D$11, 0)</f>
        <v>40000</v>
      </c>
      <c r="I233" s="38"/>
      <c r="J233" s="38"/>
      <c r="K233" s="38"/>
      <c r="L233" s="38">
        <f t="shared" si="3"/>
        <v>40000</v>
      </c>
      <c r="M233" s="15"/>
    </row>
    <row r="234" spans="2:13" ht="21.6" customHeight="1" x14ac:dyDescent="0.15">
      <c r="B234" s="13" t="s">
        <v>1258</v>
      </c>
      <c r="C234" s="12" t="s">
        <v>706</v>
      </c>
      <c r="D234" s="12" t="s">
        <v>761</v>
      </c>
      <c r="E234" s="12" t="s">
        <v>762</v>
      </c>
      <c r="F234" s="31" t="s">
        <v>710</v>
      </c>
      <c r="G234" s="15">
        <v>1</v>
      </c>
      <c r="H234" s="38">
        <f>ROUNDDOWN(단가조사!G234*옵션!$D$11, 0)</f>
        <v>40000</v>
      </c>
      <c r="I234" s="38"/>
      <c r="J234" s="38"/>
      <c r="K234" s="38"/>
      <c r="L234" s="38">
        <f t="shared" si="3"/>
        <v>40000</v>
      </c>
      <c r="M234" s="15"/>
    </row>
    <row r="235" spans="2:13" ht="21.6" customHeight="1" x14ac:dyDescent="0.15">
      <c r="B235" s="13" t="s">
        <v>1259</v>
      </c>
      <c r="C235" s="12" t="s">
        <v>706</v>
      </c>
      <c r="D235" s="12" t="s">
        <v>763</v>
      </c>
      <c r="E235" s="12" t="s">
        <v>764</v>
      </c>
      <c r="F235" s="31" t="s">
        <v>710</v>
      </c>
      <c r="G235" s="15">
        <v>122</v>
      </c>
      <c r="H235" s="38">
        <f>ROUNDDOWN(단가조사!G235*옵션!$D$11, 0)</f>
        <v>55000</v>
      </c>
      <c r="I235" s="38"/>
      <c r="J235" s="38"/>
      <c r="K235" s="38"/>
      <c r="L235" s="38">
        <f t="shared" si="3"/>
        <v>55000</v>
      </c>
      <c r="M235" s="15"/>
    </row>
    <row r="236" spans="2:13" ht="21.6" customHeight="1" x14ac:dyDescent="0.15">
      <c r="B236" s="13" t="s">
        <v>1260</v>
      </c>
      <c r="C236" s="12" t="s">
        <v>706</v>
      </c>
      <c r="D236" s="12" t="s">
        <v>763</v>
      </c>
      <c r="E236" s="12" t="s">
        <v>765</v>
      </c>
      <c r="F236" s="31" t="s">
        <v>710</v>
      </c>
      <c r="G236" s="15">
        <v>42</v>
      </c>
      <c r="H236" s="38">
        <f>ROUNDDOWN(단가조사!G236*옵션!$D$11, 0)</f>
        <v>55000</v>
      </c>
      <c r="I236" s="38"/>
      <c r="J236" s="38"/>
      <c r="K236" s="38"/>
      <c r="L236" s="38">
        <f t="shared" si="3"/>
        <v>55000</v>
      </c>
      <c r="M236" s="15"/>
    </row>
    <row r="237" spans="2:13" ht="21.6" customHeight="1" x14ac:dyDescent="0.15">
      <c r="B237" s="13" t="s">
        <v>1261</v>
      </c>
      <c r="C237" s="12" t="s">
        <v>706</v>
      </c>
      <c r="D237" s="12" t="s">
        <v>766</v>
      </c>
      <c r="E237" s="12" t="s">
        <v>767</v>
      </c>
      <c r="F237" s="31" t="s">
        <v>710</v>
      </c>
      <c r="G237" s="15">
        <v>76</v>
      </c>
      <c r="H237" s="38">
        <f>ROUNDDOWN(단가조사!G237*옵션!$D$11, 0)</f>
        <v>50000</v>
      </c>
      <c r="I237" s="38"/>
      <c r="J237" s="38"/>
      <c r="K237" s="38"/>
      <c r="L237" s="38">
        <f t="shared" si="3"/>
        <v>50000</v>
      </c>
      <c r="M237" s="15"/>
    </row>
    <row r="238" spans="2:13" ht="21.6" customHeight="1" x14ac:dyDescent="0.15">
      <c r="B238" s="13" t="s">
        <v>1262</v>
      </c>
      <c r="C238" s="12" t="s">
        <v>706</v>
      </c>
      <c r="D238" s="12" t="s">
        <v>768</v>
      </c>
      <c r="E238" s="12" t="s">
        <v>769</v>
      </c>
      <c r="F238" s="31" t="s">
        <v>289</v>
      </c>
      <c r="G238" s="15">
        <v>1</v>
      </c>
      <c r="H238" s="38">
        <f>ROUNDDOWN(단가조사!G238*옵션!$D$11, 0)</f>
        <v>70570000</v>
      </c>
      <c r="I238" s="38"/>
      <c r="J238" s="38"/>
      <c r="K238" s="38"/>
      <c r="L238" s="38">
        <f t="shared" si="3"/>
        <v>70570000</v>
      </c>
      <c r="M238" s="15">
        <v>25337225</v>
      </c>
    </row>
    <row r="239" spans="2:13" ht="21.6" customHeight="1" x14ac:dyDescent="0.15">
      <c r="B239" s="13" t="s">
        <v>1263</v>
      </c>
      <c r="C239" s="12" t="s">
        <v>706</v>
      </c>
      <c r="D239" s="12" t="s">
        <v>771</v>
      </c>
      <c r="E239" s="12" t="s">
        <v>772</v>
      </c>
      <c r="F239" s="31" t="s">
        <v>289</v>
      </c>
      <c r="G239" s="15">
        <v>1</v>
      </c>
      <c r="H239" s="38">
        <f>ROUNDDOWN(단가조사!G239*옵션!$D$11, 0)</f>
        <v>62134000</v>
      </c>
      <c r="I239" s="38"/>
      <c r="J239" s="38"/>
      <c r="K239" s="38"/>
      <c r="L239" s="38">
        <f t="shared" si="3"/>
        <v>62134000</v>
      </c>
      <c r="M239" s="15">
        <v>25337223</v>
      </c>
    </row>
    <row r="240" spans="2:13" ht="21.6" customHeight="1" x14ac:dyDescent="0.15">
      <c r="B240" s="13" t="s">
        <v>1264</v>
      </c>
      <c r="C240" s="12" t="s">
        <v>706</v>
      </c>
      <c r="D240" s="12" t="s">
        <v>773</v>
      </c>
      <c r="E240" s="12" t="s">
        <v>774</v>
      </c>
      <c r="F240" s="31" t="s">
        <v>289</v>
      </c>
      <c r="G240" s="15">
        <v>1</v>
      </c>
      <c r="H240" s="38">
        <f>ROUNDDOWN(단가조사!G240*옵션!$D$11, 0)</f>
        <v>5290000</v>
      </c>
      <c r="I240" s="38"/>
      <c r="J240" s="38"/>
      <c r="K240" s="38"/>
      <c r="L240" s="38">
        <f t="shared" si="3"/>
        <v>5290000</v>
      </c>
      <c r="M240" s="15">
        <v>23961235</v>
      </c>
    </row>
    <row r="241" spans="2:13" ht="21.6" customHeight="1" x14ac:dyDescent="0.15">
      <c r="B241" s="13" t="s">
        <v>1265</v>
      </c>
      <c r="C241" s="12" t="s">
        <v>706</v>
      </c>
      <c r="D241" s="12" t="s">
        <v>775</v>
      </c>
      <c r="E241" s="12"/>
      <c r="F241" s="31" t="s">
        <v>289</v>
      </c>
      <c r="G241" s="15">
        <v>78</v>
      </c>
      <c r="H241" s="38">
        <f>ROUNDDOWN(단가조사!G241*옵션!$D$11, 0)</f>
        <v>3500</v>
      </c>
      <c r="I241" s="38"/>
      <c r="J241" s="38"/>
      <c r="K241" s="38"/>
      <c r="L241" s="38">
        <f t="shared" si="3"/>
        <v>3500</v>
      </c>
      <c r="M241" s="15"/>
    </row>
    <row r="242" spans="2:13" ht="21.6" customHeight="1" x14ac:dyDescent="0.15">
      <c r="B242" s="13" t="s">
        <v>1266</v>
      </c>
      <c r="C242" s="12" t="s">
        <v>706</v>
      </c>
      <c r="D242" s="12" t="s">
        <v>777</v>
      </c>
      <c r="E242" s="12"/>
      <c r="F242" s="31" t="s">
        <v>289</v>
      </c>
      <c r="G242" s="15">
        <v>80</v>
      </c>
      <c r="H242" s="38">
        <f>ROUNDDOWN(단가조사!G242*옵션!$D$11, 0)</f>
        <v>0</v>
      </c>
      <c r="I242" s="38"/>
      <c r="J242" s="38"/>
      <c r="K242" s="38"/>
      <c r="L242" s="38">
        <f t="shared" si="3"/>
        <v>0</v>
      </c>
      <c r="M242" s="15"/>
    </row>
    <row r="243" spans="2:13" ht="21.6" customHeight="1" x14ac:dyDescent="0.15">
      <c r="B243" s="13" t="s">
        <v>1267</v>
      </c>
      <c r="C243" s="12" t="s">
        <v>706</v>
      </c>
      <c r="D243" s="12" t="s">
        <v>778</v>
      </c>
      <c r="E243" s="12" t="s">
        <v>779</v>
      </c>
      <c r="F243" s="31" t="s">
        <v>289</v>
      </c>
      <c r="G243" s="15">
        <v>82</v>
      </c>
      <c r="H243" s="38">
        <f>ROUNDDOWN(단가조사!G243*옵션!$D$11, 0)</f>
        <v>70000</v>
      </c>
      <c r="I243" s="38"/>
      <c r="J243" s="38"/>
      <c r="K243" s="38"/>
      <c r="L243" s="38">
        <f t="shared" si="3"/>
        <v>70000</v>
      </c>
      <c r="M243" s="15"/>
    </row>
    <row r="244" spans="2:13" ht="21.6" customHeight="1" x14ac:dyDescent="0.15">
      <c r="B244" s="13" t="s">
        <v>1268</v>
      </c>
      <c r="C244" s="12" t="s">
        <v>706</v>
      </c>
      <c r="D244" s="12" t="s">
        <v>778</v>
      </c>
      <c r="E244" s="12" t="s">
        <v>781</v>
      </c>
      <c r="F244" s="31" t="s">
        <v>289</v>
      </c>
      <c r="G244" s="15">
        <v>2</v>
      </c>
      <c r="H244" s="38">
        <f>ROUNDDOWN(단가조사!G244*옵션!$D$11, 0)</f>
        <v>150000</v>
      </c>
      <c r="I244" s="38"/>
      <c r="J244" s="38"/>
      <c r="K244" s="38"/>
      <c r="L244" s="38">
        <f t="shared" si="3"/>
        <v>150000</v>
      </c>
      <c r="M244" s="15"/>
    </row>
    <row r="245" spans="2:13" ht="21.6" customHeight="1" x14ac:dyDescent="0.15">
      <c r="B245" s="13" t="s">
        <v>1269</v>
      </c>
      <c r="C245" s="12" t="s">
        <v>706</v>
      </c>
      <c r="D245" s="12" t="s">
        <v>778</v>
      </c>
      <c r="E245" s="12" t="s">
        <v>782</v>
      </c>
      <c r="F245" s="31" t="s">
        <v>289</v>
      </c>
      <c r="G245" s="15">
        <v>2</v>
      </c>
      <c r="H245" s="38">
        <f>ROUNDDOWN(단가조사!G245*옵션!$D$11, 0)</f>
        <v>180000</v>
      </c>
      <c r="I245" s="38"/>
      <c r="J245" s="38"/>
      <c r="K245" s="38"/>
      <c r="L245" s="38">
        <f t="shared" si="3"/>
        <v>180000</v>
      </c>
      <c r="M245" s="15"/>
    </row>
    <row r="246" spans="2:13" ht="21.6" customHeight="1" x14ac:dyDescent="0.15">
      <c r="B246" s="13" t="s">
        <v>1270</v>
      </c>
      <c r="C246" s="12" t="s">
        <v>706</v>
      </c>
      <c r="D246" s="12" t="s">
        <v>778</v>
      </c>
      <c r="E246" s="12" t="s">
        <v>783</v>
      </c>
      <c r="F246" s="31" t="s">
        <v>289</v>
      </c>
      <c r="G246" s="15">
        <v>1</v>
      </c>
      <c r="H246" s="38">
        <f>ROUNDDOWN(단가조사!G246*옵션!$D$11, 0)</f>
        <v>200000</v>
      </c>
      <c r="I246" s="38"/>
      <c r="J246" s="38"/>
      <c r="K246" s="38"/>
      <c r="L246" s="38">
        <f t="shared" si="3"/>
        <v>200000</v>
      </c>
      <c r="M246" s="15"/>
    </row>
    <row r="247" spans="2:13" ht="21.6" customHeight="1" x14ac:dyDescent="0.15">
      <c r="B247" s="13" t="s">
        <v>1271</v>
      </c>
      <c r="C247" s="12" t="s">
        <v>706</v>
      </c>
      <c r="D247" s="12" t="s">
        <v>784</v>
      </c>
      <c r="E247" s="12" t="s">
        <v>785</v>
      </c>
      <c r="F247" s="31" t="s">
        <v>289</v>
      </c>
      <c r="G247" s="15">
        <v>46</v>
      </c>
      <c r="H247" s="38">
        <f>ROUNDDOWN(단가조사!G247*옵션!$D$11, 0)</f>
        <v>70000</v>
      </c>
      <c r="I247" s="38"/>
      <c r="J247" s="38"/>
      <c r="K247" s="38"/>
      <c r="L247" s="38">
        <f t="shared" si="3"/>
        <v>70000</v>
      </c>
      <c r="M247" s="15"/>
    </row>
    <row r="248" spans="2:13" ht="21.6" customHeight="1" x14ac:dyDescent="0.15">
      <c r="B248" s="13" t="s">
        <v>1272</v>
      </c>
      <c r="C248" s="12" t="s">
        <v>706</v>
      </c>
      <c r="D248" s="12" t="s">
        <v>786</v>
      </c>
      <c r="E248" s="12" t="s">
        <v>787</v>
      </c>
      <c r="F248" s="31" t="s">
        <v>289</v>
      </c>
      <c r="G248" s="15">
        <v>1</v>
      </c>
      <c r="H248" s="38">
        <f>ROUNDDOWN(단가조사!G248*옵션!$D$11, 0)</f>
        <v>600000</v>
      </c>
      <c r="I248" s="38"/>
      <c r="J248" s="38"/>
      <c r="K248" s="38"/>
      <c r="L248" s="38">
        <f t="shared" si="3"/>
        <v>600000</v>
      </c>
      <c r="M248" s="15"/>
    </row>
    <row r="249" spans="2:13" ht="21.6" customHeight="1" x14ac:dyDescent="0.15">
      <c r="B249" s="13" t="s">
        <v>1273</v>
      </c>
      <c r="C249" s="12" t="s">
        <v>706</v>
      </c>
      <c r="D249" s="12" t="s">
        <v>788</v>
      </c>
      <c r="E249" s="12" t="s">
        <v>789</v>
      </c>
      <c r="F249" s="31" t="s">
        <v>289</v>
      </c>
      <c r="G249" s="15">
        <v>1</v>
      </c>
      <c r="H249" s="38">
        <f>ROUNDDOWN(단가조사!G249*옵션!$D$11, 0)</f>
        <v>900000</v>
      </c>
      <c r="I249" s="38"/>
      <c r="J249" s="38"/>
      <c r="K249" s="38"/>
      <c r="L249" s="38">
        <f t="shared" si="3"/>
        <v>900000</v>
      </c>
      <c r="M249" s="15"/>
    </row>
    <row r="250" spans="2:13" ht="21.6" customHeight="1" x14ac:dyDescent="0.15">
      <c r="B250" s="13" t="s">
        <v>1274</v>
      </c>
      <c r="C250" s="12" t="s">
        <v>706</v>
      </c>
      <c r="D250" s="12" t="s">
        <v>790</v>
      </c>
      <c r="E250" s="12" t="s">
        <v>791</v>
      </c>
      <c r="F250" s="31" t="s">
        <v>792</v>
      </c>
      <c r="G250" s="15">
        <v>1</v>
      </c>
      <c r="H250" s="38">
        <f>ROUNDDOWN(단가조사!G250*옵션!$D$11, 0)</f>
        <v>9000000</v>
      </c>
      <c r="I250" s="38"/>
      <c r="J250" s="38"/>
      <c r="K250" s="38"/>
      <c r="L250" s="38">
        <f t="shared" si="3"/>
        <v>9000000</v>
      </c>
      <c r="M250" s="15"/>
    </row>
    <row r="251" spans="2:13" ht="21.6" customHeight="1" x14ac:dyDescent="0.15">
      <c r="B251" s="13" t="s">
        <v>1275</v>
      </c>
      <c r="C251" s="12" t="s">
        <v>706</v>
      </c>
      <c r="D251" s="12" t="s">
        <v>793</v>
      </c>
      <c r="E251" s="12" t="s">
        <v>794</v>
      </c>
      <c r="F251" s="31" t="s">
        <v>792</v>
      </c>
      <c r="G251" s="15">
        <v>1</v>
      </c>
      <c r="H251" s="38">
        <f>ROUNDDOWN(단가조사!G251*옵션!$D$11, 0)</f>
        <v>26624363</v>
      </c>
      <c r="I251" s="38"/>
      <c r="J251" s="38"/>
      <c r="K251" s="38"/>
      <c r="L251" s="38">
        <f t="shared" si="3"/>
        <v>26624363</v>
      </c>
      <c r="M251" s="15"/>
    </row>
    <row r="252" spans="2:13" ht="21.6" customHeight="1" x14ac:dyDescent="0.15">
      <c r="B252" s="13" t="s">
        <v>1276</v>
      </c>
      <c r="C252" s="12" t="s">
        <v>795</v>
      </c>
      <c r="D252" s="12" t="s">
        <v>796</v>
      </c>
      <c r="E252" s="12" t="s">
        <v>797</v>
      </c>
      <c r="F252" s="31" t="s">
        <v>166</v>
      </c>
      <c r="G252" s="15">
        <v>91.375</v>
      </c>
      <c r="H252" s="38">
        <f>ROUNDDOWN(단가조사!G252*옵션!$D$11, 0)</f>
        <v>680</v>
      </c>
      <c r="I252" s="38"/>
      <c r="J252" s="38"/>
      <c r="K252" s="38"/>
      <c r="L252" s="38">
        <f t="shared" si="3"/>
        <v>680</v>
      </c>
      <c r="M252" s="15"/>
    </row>
    <row r="253" spans="2:13" ht="21.6" customHeight="1" x14ac:dyDescent="0.15">
      <c r="B253" s="13" t="s">
        <v>1277</v>
      </c>
      <c r="C253" s="12" t="s">
        <v>706</v>
      </c>
      <c r="D253" s="12" t="s">
        <v>799</v>
      </c>
      <c r="E253" s="12" t="s">
        <v>800</v>
      </c>
      <c r="F253" s="31" t="s">
        <v>289</v>
      </c>
      <c r="G253" s="15">
        <v>1</v>
      </c>
      <c r="H253" s="38">
        <f>ROUNDDOWN(단가조사!G253*옵션!$D$11, 0)</f>
        <v>0</v>
      </c>
      <c r="I253" s="38"/>
      <c r="J253" s="38"/>
      <c r="K253" s="38"/>
      <c r="L253" s="38">
        <f t="shared" si="3"/>
        <v>0</v>
      </c>
      <c r="M253" s="15"/>
    </row>
    <row r="254" spans="2:13" ht="21.6" customHeight="1" x14ac:dyDescent="0.15">
      <c r="B254" s="13" t="s">
        <v>1278</v>
      </c>
      <c r="C254" s="12" t="s">
        <v>706</v>
      </c>
      <c r="D254" s="12" t="s">
        <v>801</v>
      </c>
      <c r="E254" s="12" t="s">
        <v>802</v>
      </c>
      <c r="F254" s="31" t="s">
        <v>289</v>
      </c>
      <c r="G254" s="15">
        <v>1</v>
      </c>
      <c r="H254" s="38">
        <f>ROUNDDOWN(단가조사!G254*옵션!$D$11, 0)</f>
        <v>0</v>
      </c>
      <c r="I254" s="38"/>
      <c r="J254" s="38"/>
      <c r="K254" s="38"/>
      <c r="L254" s="38">
        <f t="shared" si="3"/>
        <v>0</v>
      </c>
      <c r="M254" s="15"/>
    </row>
    <row r="255" spans="2:13" ht="21.6" customHeight="1" x14ac:dyDescent="0.15">
      <c r="B255" s="13" t="s">
        <v>1279</v>
      </c>
      <c r="C255" s="12" t="s">
        <v>706</v>
      </c>
      <c r="D255" s="12" t="s">
        <v>803</v>
      </c>
      <c r="E255" s="12" t="s">
        <v>804</v>
      </c>
      <c r="F255" s="31" t="s">
        <v>289</v>
      </c>
      <c r="G255" s="15">
        <v>1</v>
      </c>
      <c r="H255" s="38">
        <f>ROUNDDOWN(단가조사!G255*옵션!$D$11, 0)</f>
        <v>0</v>
      </c>
      <c r="I255" s="38"/>
      <c r="J255" s="38"/>
      <c r="K255" s="38"/>
      <c r="L255" s="38">
        <f t="shared" si="3"/>
        <v>0</v>
      </c>
      <c r="M255" s="15"/>
    </row>
    <row r="256" spans="2:13" ht="21.6" customHeight="1" x14ac:dyDescent="0.15">
      <c r="B256" s="13" t="s">
        <v>1280</v>
      </c>
      <c r="C256" s="12" t="s">
        <v>706</v>
      </c>
      <c r="D256" s="12" t="s">
        <v>805</v>
      </c>
      <c r="E256" s="12" t="s">
        <v>806</v>
      </c>
      <c r="F256" s="31" t="s">
        <v>289</v>
      </c>
      <c r="G256" s="15">
        <v>1</v>
      </c>
      <c r="H256" s="38">
        <f>ROUNDDOWN(단가조사!G256*옵션!$D$11, 0)</f>
        <v>0</v>
      </c>
      <c r="I256" s="38"/>
      <c r="J256" s="38"/>
      <c r="K256" s="38"/>
      <c r="L256" s="38">
        <f t="shared" si="3"/>
        <v>0</v>
      </c>
      <c r="M256" s="15"/>
    </row>
    <row r="257" spans="2:13" ht="21.6" customHeight="1" x14ac:dyDescent="0.15">
      <c r="B257" s="13" t="s">
        <v>1281</v>
      </c>
      <c r="C257" s="12" t="s">
        <v>706</v>
      </c>
      <c r="D257" s="12" t="s">
        <v>807</v>
      </c>
      <c r="E257" s="12" t="s">
        <v>808</v>
      </c>
      <c r="F257" s="31" t="s">
        <v>289</v>
      </c>
      <c r="G257" s="15">
        <v>1</v>
      </c>
      <c r="H257" s="38">
        <f>ROUNDDOWN(단가조사!G257*옵션!$D$11, 0)</f>
        <v>0</v>
      </c>
      <c r="I257" s="38"/>
      <c r="J257" s="38"/>
      <c r="K257" s="38"/>
      <c r="L257" s="38">
        <f t="shared" si="3"/>
        <v>0</v>
      </c>
      <c r="M257" s="15"/>
    </row>
    <row r="258" spans="2:13" ht="21.6" customHeight="1" x14ac:dyDescent="0.15">
      <c r="B258" s="13" t="s">
        <v>1282</v>
      </c>
      <c r="C258" s="12" t="s">
        <v>706</v>
      </c>
      <c r="D258" s="12" t="s">
        <v>809</v>
      </c>
      <c r="E258" s="12" t="s">
        <v>810</v>
      </c>
      <c r="F258" s="31" t="s">
        <v>289</v>
      </c>
      <c r="G258" s="15">
        <v>1</v>
      </c>
      <c r="H258" s="38">
        <f>ROUNDDOWN(단가조사!G258*옵션!$D$11, 0)</f>
        <v>0</v>
      </c>
      <c r="I258" s="38"/>
      <c r="J258" s="38"/>
      <c r="K258" s="38"/>
      <c r="L258" s="38">
        <f t="shared" si="3"/>
        <v>0</v>
      </c>
      <c r="M258" s="15"/>
    </row>
    <row r="259" spans="2:13" ht="21.6" customHeight="1" x14ac:dyDescent="0.15">
      <c r="B259" s="13" t="s">
        <v>1283</v>
      </c>
      <c r="C259" s="12" t="s">
        <v>706</v>
      </c>
      <c r="D259" s="12" t="s">
        <v>811</v>
      </c>
      <c r="E259" s="12" t="s">
        <v>812</v>
      </c>
      <c r="F259" s="31" t="s">
        <v>289</v>
      </c>
      <c r="G259" s="15">
        <v>1</v>
      </c>
      <c r="H259" s="38">
        <f>ROUNDDOWN(단가조사!G259*옵션!$D$11, 0)</f>
        <v>0</v>
      </c>
      <c r="I259" s="38"/>
      <c r="J259" s="38"/>
      <c r="K259" s="38"/>
      <c r="L259" s="38">
        <f t="shared" si="3"/>
        <v>0</v>
      </c>
      <c r="M259" s="15"/>
    </row>
    <row r="260" spans="2:13" ht="21.6" customHeight="1" x14ac:dyDescent="0.15">
      <c r="B260" s="13" t="s">
        <v>1284</v>
      </c>
      <c r="C260" s="12" t="s">
        <v>706</v>
      </c>
      <c r="D260" s="12" t="s">
        <v>813</v>
      </c>
      <c r="E260" s="12" t="s">
        <v>814</v>
      </c>
      <c r="F260" s="31" t="s">
        <v>289</v>
      </c>
      <c r="G260" s="15">
        <v>1</v>
      </c>
      <c r="H260" s="38">
        <f>ROUNDDOWN(단가조사!G260*옵션!$D$11, 0)</f>
        <v>0</v>
      </c>
      <c r="I260" s="38"/>
      <c r="J260" s="38"/>
      <c r="K260" s="38"/>
      <c r="L260" s="38">
        <f t="shared" ref="L260:L323" si="4">SUM(H260,I260,J260)</f>
        <v>0</v>
      </c>
      <c r="M260" s="15"/>
    </row>
    <row r="261" spans="2:13" ht="21.6" customHeight="1" x14ac:dyDescent="0.15">
      <c r="B261" s="13" t="s">
        <v>1285</v>
      </c>
      <c r="C261" s="12" t="s">
        <v>706</v>
      </c>
      <c r="D261" s="12" t="s">
        <v>815</v>
      </c>
      <c r="E261" s="12"/>
      <c r="F261" s="31" t="s">
        <v>710</v>
      </c>
      <c r="G261" s="15">
        <v>1</v>
      </c>
      <c r="H261" s="38">
        <f>ROUNDDOWN(단가조사!G261*옵션!$D$11, 0)</f>
        <v>0</v>
      </c>
      <c r="I261" s="38"/>
      <c r="J261" s="38"/>
      <c r="K261" s="38"/>
      <c r="L261" s="38">
        <f t="shared" si="4"/>
        <v>0</v>
      </c>
      <c r="M261" s="15"/>
    </row>
    <row r="262" spans="2:13" ht="21.6" customHeight="1" x14ac:dyDescent="0.15">
      <c r="B262" s="13" t="s">
        <v>1286</v>
      </c>
      <c r="C262" s="12" t="s">
        <v>706</v>
      </c>
      <c r="D262" s="12" t="s">
        <v>816</v>
      </c>
      <c r="E262" s="12" t="s">
        <v>817</v>
      </c>
      <c r="F262" s="31" t="s">
        <v>710</v>
      </c>
      <c r="G262" s="15">
        <v>1</v>
      </c>
      <c r="H262" s="38">
        <f>ROUNDDOWN(단가조사!G262*옵션!$D$11, 0)</f>
        <v>0</v>
      </c>
      <c r="I262" s="38"/>
      <c r="J262" s="38"/>
      <c r="K262" s="38"/>
      <c r="L262" s="38">
        <f t="shared" si="4"/>
        <v>0</v>
      </c>
      <c r="M262" s="15"/>
    </row>
    <row r="263" spans="2:13" ht="21.6" customHeight="1" x14ac:dyDescent="0.15">
      <c r="B263" s="13" t="s">
        <v>1287</v>
      </c>
      <c r="C263" s="12" t="s">
        <v>706</v>
      </c>
      <c r="D263" s="12" t="s">
        <v>818</v>
      </c>
      <c r="E263" s="12" t="s">
        <v>819</v>
      </c>
      <c r="F263" s="31" t="s">
        <v>289</v>
      </c>
      <c r="G263" s="15">
        <v>1</v>
      </c>
      <c r="H263" s="38">
        <f>ROUNDDOWN(단가조사!G263*옵션!$D$11, 0)</f>
        <v>0</v>
      </c>
      <c r="I263" s="38"/>
      <c r="J263" s="38"/>
      <c r="K263" s="38"/>
      <c r="L263" s="38">
        <f t="shared" si="4"/>
        <v>0</v>
      </c>
      <c r="M263" s="15"/>
    </row>
    <row r="264" spans="2:13" ht="21.6" customHeight="1" x14ac:dyDescent="0.15">
      <c r="B264" s="13" t="s">
        <v>1288</v>
      </c>
      <c r="C264" s="12" t="s">
        <v>706</v>
      </c>
      <c r="D264" s="12" t="s">
        <v>820</v>
      </c>
      <c r="E264" s="12" t="s">
        <v>821</v>
      </c>
      <c r="F264" s="31" t="s">
        <v>289</v>
      </c>
      <c r="G264" s="15">
        <v>2</v>
      </c>
      <c r="H264" s="38">
        <f>ROUNDDOWN(단가조사!G264*옵션!$D$11, 0)</f>
        <v>0</v>
      </c>
      <c r="I264" s="38"/>
      <c r="J264" s="38"/>
      <c r="K264" s="38"/>
      <c r="L264" s="38">
        <f t="shared" si="4"/>
        <v>0</v>
      </c>
      <c r="M264" s="15"/>
    </row>
    <row r="265" spans="2:13" ht="21.6" customHeight="1" x14ac:dyDescent="0.15">
      <c r="B265" s="13" t="s">
        <v>1289</v>
      </c>
      <c r="C265" s="12" t="s">
        <v>706</v>
      </c>
      <c r="D265" s="12" t="s">
        <v>822</v>
      </c>
      <c r="E265" s="12" t="s">
        <v>823</v>
      </c>
      <c r="F265" s="31" t="s">
        <v>792</v>
      </c>
      <c r="G265" s="15">
        <v>1</v>
      </c>
      <c r="H265" s="38">
        <f>ROUNDDOWN(단가조사!G265*옵션!$D$11, 0)</f>
        <v>0</v>
      </c>
      <c r="I265" s="38"/>
      <c r="J265" s="38"/>
      <c r="K265" s="38"/>
      <c r="L265" s="38">
        <f t="shared" si="4"/>
        <v>0</v>
      </c>
      <c r="M265" s="15"/>
    </row>
    <row r="266" spans="2:13" ht="21.6" customHeight="1" x14ac:dyDescent="0.15">
      <c r="B266" s="13" t="s">
        <v>1290</v>
      </c>
      <c r="C266" s="12" t="s">
        <v>706</v>
      </c>
      <c r="D266" s="12" t="s">
        <v>824</v>
      </c>
      <c r="E266" s="12" t="s">
        <v>825</v>
      </c>
      <c r="F266" s="31" t="s">
        <v>826</v>
      </c>
      <c r="G266" s="15">
        <v>330</v>
      </c>
      <c r="H266" s="38">
        <f>ROUNDDOWN(단가조사!G266*옵션!$D$11, 0)</f>
        <v>0</v>
      </c>
      <c r="I266" s="38"/>
      <c r="J266" s="38"/>
      <c r="K266" s="38"/>
      <c r="L266" s="38">
        <f t="shared" si="4"/>
        <v>0</v>
      </c>
      <c r="M266" s="15"/>
    </row>
    <row r="267" spans="2:13" ht="21.6" customHeight="1" x14ac:dyDescent="0.15">
      <c r="B267" s="13" t="s">
        <v>1291</v>
      </c>
      <c r="C267" s="12" t="s">
        <v>706</v>
      </c>
      <c r="D267" s="12" t="s">
        <v>824</v>
      </c>
      <c r="E267" s="12" t="s">
        <v>827</v>
      </c>
      <c r="F267" s="31" t="s">
        <v>828</v>
      </c>
      <c r="G267" s="15">
        <v>1</v>
      </c>
      <c r="H267" s="38">
        <f>ROUNDDOWN(단가조사!G267*옵션!$D$11, 0)</f>
        <v>0</v>
      </c>
      <c r="I267" s="38"/>
      <c r="J267" s="38"/>
      <c r="K267" s="38"/>
      <c r="L267" s="38">
        <f t="shared" si="4"/>
        <v>0</v>
      </c>
      <c r="M267" s="15"/>
    </row>
    <row r="268" spans="2:13" ht="21.6" customHeight="1" x14ac:dyDescent="0.15">
      <c r="B268" s="13" t="s">
        <v>1292</v>
      </c>
      <c r="C268" s="12" t="s">
        <v>706</v>
      </c>
      <c r="D268" s="12" t="s">
        <v>824</v>
      </c>
      <c r="E268" s="12" t="s">
        <v>829</v>
      </c>
      <c r="F268" s="31" t="s">
        <v>826</v>
      </c>
      <c r="G268" s="15">
        <v>330</v>
      </c>
      <c r="H268" s="38">
        <f>ROUNDDOWN(단가조사!G268*옵션!$D$11, 0)</f>
        <v>0</v>
      </c>
      <c r="I268" s="38"/>
      <c r="J268" s="38"/>
      <c r="K268" s="38"/>
      <c r="L268" s="38">
        <f t="shared" si="4"/>
        <v>0</v>
      </c>
      <c r="M268" s="15"/>
    </row>
    <row r="269" spans="2:13" ht="21.6" customHeight="1" x14ac:dyDescent="0.15">
      <c r="B269" s="13" t="s">
        <v>1293</v>
      </c>
      <c r="C269" s="12" t="s">
        <v>830</v>
      </c>
      <c r="D269" s="12" t="s">
        <v>831</v>
      </c>
      <c r="E269" s="12" t="s">
        <v>832</v>
      </c>
      <c r="F269" s="31" t="s">
        <v>710</v>
      </c>
      <c r="G269" s="15">
        <v>2</v>
      </c>
      <c r="H269" s="38">
        <f>ROUNDDOWN(단가조사!G269*옵션!$D$11, 0)</f>
        <v>450000</v>
      </c>
      <c r="I269" s="38"/>
      <c r="J269" s="38"/>
      <c r="K269" s="38"/>
      <c r="L269" s="38">
        <f t="shared" si="4"/>
        <v>450000</v>
      </c>
      <c r="M269" s="15"/>
    </row>
    <row r="270" spans="2:13" ht="21.6" customHeight="1" x14ac:dyDescent="0.15">
      <c r="B270" s="13" t="s">
        <v>1294</v>
      </c>
      <c r="C270" s="12" t="s">
        <v>706</v>
      </c>
      <c r="D270" s="12" t="s">
        <v>835</v>
      </c>
      <c r="E270" s="12" t="s">
        <v>836</v>
      </c>
      <c r="F270" s="31" t="s">
        <v>289</v>
      </c>
      <c r="G270" s="15">
        <v>9</v>
      </c>
      <c r="H270" s="38">
        <f>ROUNDDOWN(단가조사!G270*옵션!$D$11, 0)</f>
        <v>100000</v>
      </c>
      <c r="I270" s="38"/>
      <c r="J270" s="38"/>
      <c r="K270" s="38"/>
      <c r="L270" s="38">
        <f t="shared" si="4"/>
        <v>100000</v>
      </c>
      <c r="M270" s="15"/>
    </row>
    <row r="271" spans="2:13" ht="21.6" customHeight="1" x14ac:dyDescent="0.15">
      <c r="B271" s="13" t="s">
        <v>1295</v>
      </c>
      <c r="C271" s="12" t="s">
        <v>706</v>
      </c>
      <c r="D271" s="12" t="s">
        <v>838</v>
      </c>
      <c r="E271" s="12" t="s">
        <v>839</v>
      </c>
      <c r="F271" s="31" t="s">
        <v>840</v>
      </c>
      <c r="G271" s="15">
        <v>25.245000000000001</v>
      </c>
      <c r="H271" s="38">
        <f>ROUNDDOWN(단가조사!G271*옵션!$D$11, 0)</f>
        <v>1273</v>
      </c>
      <c r="I271" s="38"/>
      <c r="J271" s="38">
        <v>39750</v>
      </c>
      <c r="K271" s="38"/>
      <c r="L271" s="38">
        <f t="shared" si="4"/>
        <v>41023</v>
      </c>
      <c r="M271" s="15"/>
    </row>
    <row r="272" spans="2:13" ht="21.6" customHeight="1" x14ac:dyDescent="0.15">
      <c r="B272" s="13" t="s">
        <v>1296</v>
      </c>
      <c r="C272" s="12" t="s">
        <v>706</v>
      </c>
      <c r="D272" s="12" t="s">
        <v>841</v>
      </c>
      <c r="E272" s="12" t="s">
        <v>842</v>
      </c>
      <c r="F272" s="31" t="s">
        <v>792</v>
      </c>
      <c r="G272" s="15">
        <v>4.95</v>
      </c>
      <c r="H272" s="38">
        <f>ROUNDDOWN(단가조사!G272*옵션!$D$11, 0)</f>
        <v>1298</v>
      </c>
      <c r="I272" s="38"/>
      <c r="J272" s="38"/>
      <c r="K272" s="38"/>
      <c r="L272" s="38">
        <f t="shared" si="4"/>
        <v>1298</v>
      </c>
      <c r="M272" s="15"/>
    </row>
    <row r="273" spans="2:13" ht="21.6" customHeight="1" x14ac:dyDescent="0.15">
      <c r="B273" s="13" t="s">
        <v>1297</v>
      </c>
      <c r="C273" s="12" t="s">
        <v>843</v>
      </c>
      <c r="D273" s="12" t="s">
        <v>844</v>
      </c>
      <c r="E273" s="12" t="s">
        <v>845</v>
      </c>
      <c r="F273" s="31" t="s">
        <v>710</v>
      </c>
      <c r="G273" s="15">
        <v>1</v>
      </c>
      <c r="H273" s="38">
        <f>ROUNDDOWN(단가조사!G273*옵션!$D$11, 0)</f>
        <v>56400000</v>
      </c>
      <c r="I273" s="38"/>
      <c r="J273" s="38"/>
      <c r="K273" s="38"/>
      <c r="L273" s="38">
        <f t="shared" si="4"/>
        <v>56400000</v>
      </c>
      <c r="M273" s="15"/>
    </row>
    <row r="274" spans="2:13" ht="21.6" customHeight="1" x14ac:dyDescent="0.15">
      <c r="B274" s="13" t="s">
        <v>1298</v>
      </c>
      <c r="C274" s="12" t="s">
        <v>846</v>
      </c>
      <c r="D274" s="12" t="s">
        <v>847</v>
      </c>
      <c r="E274" s="12" t="s">
        <v>746</v>
      </c>
      <c r="F274" s="31" t="s">
        <v>559</v>
      </c>
      <c r="G274" s="15">
        <v>1</v>
      </c>
      <c r="H274" s="38">
        <f>ROUNDDOWN(단가조사!G274*옵션!$D$11, 0)</f>
        <v>15623000</v>
      </c>
      <c r="I274" s="38"/>
      <c r="J274" s="38"/>
      <c r="K274" s="38"/>
      <c r="L274" s="38">
        <f t="shared" si="4"/>
        <v>15623000</v>
      </c>
      <c r="M274" s="15"/>
    </row>
    <row r="275" spans="2:13" ht="21.6" customHeight="1" x14ac:dyDescent="0.15">
      <c r="B275" s="13" t="s">
        <v>1299</v>
      </c>
      <c r="C275" s="12" t="s">
        <v>848</v>
      </c>
      <c r="D275" s="12" t="s">
        <v>847</v>
      </c>
      <c r="E275" s="12" t="s">
        <v>748</v>
      </c>
      <c r="F275" s="31" t="s">
        <v>559</v>
      </c>
      <c r="G275" s="15">
        <v>1</v>
      </c>
      <c r="H275" s="38">
        <f>ROUNDDOWN(단가조사!G275*옵션!$D$11, 0)</f>
        <v>18819000</v>
      </c>
      <c r="I275" s="38"/>
      <c r="J275" s="38"/>
      <c r="K275" s="38"/>
      <c r="L275" s="38">
        <f t="shared" si="4"/>
        <v>18819000</v>
      </c>
      <c r="M275" s="15"/>
    </row>
    <row r="276" spans="2:13" ht="21.6" customHeight="1" x14ac:dyDescent="0.15">
      <c r="B276" s="13" t="s">
        <v>1300</v>
      </c>
      <c r="C276" s="12" t="s">
        <v>849</v>
      </c>
      <c r="D276" s="12" t="s">
        <v>847</v>
      </c>
      <c r="E276" s="12" t="s">
        <v>751</v>
      </c>
      <c r="F276" s="31" t="s">
        <v>559</v>
      </c>
      <c r="G276" s="15">
        <v>1</v>
      </c>
      <c r="H276" s="38">
        <f>ROUNDDOWN(단가조사!G276*옵션!$D$11, 0)</f>
        <v>16614000</v>
      </c>
      <c r="I276" s="38"/>
      <c r="J276" s="38"/>
      <c r="K276" s="38"/>
      <c r="L276" s="38">
        <f t="shared" si="4"/>
        <v>16614000</v>
      </c>
      <c r="M276" s="15"/>
    </row>
    <row r="277" spans="2:13" ht="21.6" customHeight="1" x14ac:dyDescent="0.15">
      <c r="B277" s="13" t="s">
        <v>1301</v>
      </c>
      <c r="C277" s="12" t="s">
        <v>850</v>
      </c>
      <c r="D277" s="12" t="s">
        <v>847</v>
      </c>
      <c r="E277" s="12" t="s">
        <v>752</v>
      </c>
      <c r="F277" s="31" t="s">
        <v>559</v>
      </c>
      <c r="G277" s="15">
        <v>1</v>
      </c>
      <c r="H277" s="38">
        <f>ROUNDDOWN(단가조사!G277*옵션!$D$11, 0)</f>
        <v>19714000</v>
      </c>
      <c r="I277" s="38"/>
      <c r="J277" s="38"/>
      <c r="K277" s="38"/>
      <c r="L277" s="38">
        <f t="shared" si="4"/>
        <v>19714000</v>
      </c>
      <c r="M277" s="15"/>
    </row>
    <row r="278" spans="2:13" ht="21.6" customHeight="1" x14ac:dyDescent="0.15">
      <c r="B278" s="13" t="s">
        <v>1302</v>
      </c>
      <c r="C278" s="12" t="s">
        <v>851</v>
      </c>
      <c r="D278" s="12" t="s">
        <v>847</v>
      </c>
      <c r="E278" s="12" t="s">
        <v>753</v>
      </c>
      <c r="F278" s="31" t="s">
        <v>559</v>
      </c>
      <c r="G278" s="15">
        <v>1</v>
      </c>
      <c r="H278" s="38">
        <f>ROUNDDOWN(단가조사!G278*옵션!$D$11, 0)</f>
        <v>16614000</v>
      </c>
      <c r="I278" s="38"/>
      <c r="J278" s="38"/>
      <c r="K278" s="38"/>
      <c r="L278" s="38">
        <f t="shared" si="4"/>
        <v>16614000</v>
      </c>
      <c r="M278" s="15"/>
    </row>
    <row r="279" spans="2:13" ht="21.6" customHeight="1" x14ac:dyDescent="0.15">
      <c r="B279" s="13" t="s">
        <v>1303</v>
      </c>
      <c r="C279" s="12" t="s">
        <v>852</v>
      </c>
      <c r="D279" s="12" t="s">
        <v>847</v>
      </c>
      <c r="E279" s="12" t="s">
        <v>750</v>
      </c>
      <c r="F279" s="31" t="s">
        <v>559</v>
      </c>
      <c r="G279" s="15">
        <v>1</v>
      </c>
      <c r="H279" s="38">
        <f>ROUNDDOWN(단가조사!G279*옵션!$D$11, 0)</f>
        <v>23022000</v>
      </c>
      <c r="I279" s="38"/>
      <c r="J279" s="38"/>
      <c r="K279" s="38"/>
      <c r="L279" s="38">
        <f t="shared" si="4"/>
        <v>23022000</v>
      </c>
      <c r="M279" s="15"/>
    </row>
    <row r="280" spans="2:13" ht="21.6" customHeight="1" x14ac:dyDescent="0.15">
      <c r="B280" s="13" t="s">
        <v>1304</v>
      </c>
      <c r="C280" s="12" t="s">
        <v>853</v>
      </c>
      <c r="D280" s="12" t="s">
        <v>847</v>
      </c>
      <c r="E280" s="12" t="s">
        <v>749</v>
      </c>
      <c r="F280" s="31" t="s">
        <v>559</v>
      </c>
      <c r="G280" s="15">
        <v>1</v>
      </c>
      <c r="H280" s="38">
        <f>ROUNDDOWN(단가조사!G280*옵션!$D$11, 0)</f>
        <v>41612000</v>
      </c>
      <c r="I280" s="38"/>
      <c r="J280" s="38"/>
      <c r="K280" s="38"/>
      <c r="L280" s="38">
        <f t="shared" si="4"/>
        <v>41612000</v>
      </c>
      <c r="M280" s="15"/>
    </row>
    <row r="281" spans="2:13" ht="21.6" customHeight="1" x14ac:dyDescent="0.15">
      <c r="B281" s="13" t="s">
        <v>1305</v>
      </c>
      <c r="C281" s="12" t="s">
        <v>854</v>
      </c>
      <c r="D281" s="12" t="s">
        <v>855</v>
      </c>
      <c r="E281" s="12" t="s">
        <v>856</v>
      </c>
      <c r="F281" s="31" t="s">
        <v>792</v>
      </c>
      <c r="G281" s="15">
        <v>1</v>
      </c>
      <c r="H281" s="38">
        <f>ROUNDDOWN(단가조사!G281*옵션!$D$11, 0)</f>
        <v>6616363</v>
      </c>
      <c r="I281" s="38"/>
      <c r="J281" s="38"/>
      <c r="K281" s="38"/>
      <c r="L281" s="38">
        <f t="shared" si="4"/>
        <v>6616363</v>
      </c>
      <c r="M281" s="15"/>
    </row>
    <row r="282" spans="2:13" ht="21.6" customHeight="1" x14ac:dyDescent="0.15">
      <c r="B282" s="13" t="s">
        <v>1306</v>
      </c>
      <c r="C282" s="12" t="s">
        <v>857</v>
      </c>
      <c r="D282" s="12" t="s">
        <v>858</v>
      </c>
      <c r="E282" s="12" t="s">
        <v>859</v>
      </c>
      <c r="F282" s="31" t="s">
        <v>559</v>
      </c>
      <c r="G282" s="15">
        <v>1</v>
      </c>
      <c r="H282" s="38">
        <f>ROUNDDOWN(단가조사!G282*옵션!$D$11, 0)</f>
        <v>3139000</v>
      </c>
      <c r="I282" s="38"/>
      <c r="J282" s="38"/>
      <c r="K282" s="38"/>
      <c r="L282" s="38">
        <f t="shared" si="4"/>
        <v>3139000</v>
      </c>
      <c r="M282" s="15"/>
    </row>
    <row r="283" spans="2:13" ht="21.6" customHeight="1" x14ac:dyDescent="0.15">
      <c r="B283" s="13" t="s">
        <v>1307</v>
      </c>
      <c r="C283" s="12" t="s">
        <v>860</v>
      </c>
      <c r="D283" s="12" t="s">
        <v>858</v>
      </c>
      <c r="E283" s="12" t="s">
        <v>861</v>
      </c>
      <c r="F283" s="31" t="s">
        <v>559</v>
      </c>
      <c r="G283" s="15">
        <v>1</v>
      </c>
      <c r="H283" s="38">
        <f>ROUNDDOWN(단가조사!G283*옵션!$D$11, 0)</f>
        <v>4948000</v>
      </c>
      <c r="I283" s="38"/>
      <c r="J283" s="38"/>
      <c r="K283" s="38"/>
      <c r="L283" s="38">
        <f t="shared" si="4"/>
        <v>4948000</v>
      </c>
      <c r="M283" s="15"/>
    </row>
    <row r="284" spans="2:13" ht="21.6" customHeight="1" x14ac:dyDescent="0.15">
      <c r="B284" s="13" t="s">
        <v>1308</v>
      </c>
      <c r="C284" s="12" t="s">
        <v>862</v>
      </c>
      <c r="D284" s="12" t="s">
        <v>858</v>
      </c>
      <c r="E284" s="12" t="s">
        <v>863</v>
      </c>
      <c r="F284" s="31" t="s">
        <v>559</v>
      </c>
      <c r="G284" s="15">
        <v>1</v>
      </c>
      <c r="H284" s="38">
        <f>ROUNDDOWN(단가조사!G284*옵션!$D$11, 0)</f>
        <v>4003000</v>
      </c>
      <c r="I284" s="38"/>
      <c r="J284" s="38"/>
      <c r="K284" s="38"/>
      <c r="L284" s="38">
        <f t="shared" si="4"/>
        <v>4003000</v>
      </c>
      <c r="M284" s="15"/>
    </row>
    <row r="285" spans="2:13" ht="21.6" customHeight="1" x14ac:dyDescent="0.15">
      <c r="B285" s="13" t="s">
        <v>1309</v>
      </c>
      <c r="C285" s="12" t="s">
        <v>864</v>
      </c>
      <c r="D285" s="12" t="s">
        <v>858</v>
      </c>
      <c r="E285" s="12" t="s">
        <v>865</v>
      </c>
      <c r="F285" s="31" t="s">
        <v>559</v>
      </c>
      <c r="G285" s="15">
        <v>1</v>
      </c>
      <c r="H285" s="38">
        <f>ROUNDDOWN(단가조사!G285*옵션!$D$11, 0)</f>
        <v>2901000</v>
      </c>
      <c r="I285" s="38"/>
      <c r="J285" s="38"/>
      <c r="K285" s="38"/>
      <c r="L285" s="38">
        <f t="shared" si="4"/>
        <v>2901000</v>
      </c>
      <c r="M285" s="15"/>
    </row>
    <row r="286" spans="2:13" ht="21.6" customHeight="1" x14ac:dyDescent="0.15">
      <c r="B286" s="13" t="s">
        <v>1310</v>
      </c>
      <c r="C286" s="12" t="s">
        <v>866</v>
      </c>
      <c r="D286" s="12" t="s">
        <v>858</v>
      </c>
      <c r="E286" s="12" t="s">
        <v>867</v>
      </c>
      <c r="F286" s="31" t="s">
        <v>559</v>
      </c>
      <c r="G286" s="15">
        <v>1</v>
      </c>
      <c r="H286" s="38">
        <f>ROUNDDOWN(단가조사!G286*옵션!$D$11, 0)</f>
        <v>3412000</v>
      </c>
      <c r="I286" s="38"/>
      <c r="J286" s="38"/>
      <c r="K286" s="38"/>
      <c r="L286" s="38">
        <f t="shared" si="4"/>
        <v>3412000</v>
      </c>
      <c r="M286" s="15"/>
    </row>
    <row r="287" spans="2:13" ht="21.6" customHeight="1" x14ac:dyDescent="0.15">
      <c r="B287" s="13" t="s">
        <v>1311</v>
      </c>
      <c r="C287" s="12" t="s">
        <v>868</v>
      </c>
      <c r="D287" s="12" t="s">
        <v>858</v>
      </c>
      <c r="E287" s="12" t="s">
        <v>869</v>
      </c>
      <c r="F287" s="31" t="s">
        <v>559</v>
      </c>
      <c r="G287" s="15">
        <v>1</v>
      </c>
      <c r="H287" s="38">
        <f>ROUNDDOWN(단가조사!G287*옵션!$D$11, 0)</f>
        <v>5193000</v>
      </c>
      <c r="I287" s="38"/>
      <c r="J287" s="38"/>
      <c r="K287" s="38"/>
      <c r="L287" s="38">
        <f t="shared" si="4"/>
        <v>5193000</v>
      </c>
      <c r="M287" s="15"/>
    </row>
    <row r="288" spans="2:13" ht="21.6" customHeight="1" x14ac:dyDescent="0.15">
      <c r="B288" s="13" t="s">
        <v>1312</v>
      </c>
      <c r="C288" s="12" t="s">
        <v>870</v>
      </c>
      <c r="D288" s="12" t="s">
        <v>858</v>
      </c>
      <c r="E288" s="12" t="s">
        <v>871</v>
      </c>
      <c r="F288" s="31" t="s">
        <v>559</v>
      </c>
      <c r="G288" s="15">
        <v>1</v>
      </c>
      <c r="H288" s="38">
        <f>ROUNDDOWN(단가조사!G288*옵션!$D$11, 0)</f>
        <v>3052000</v>
      </c>
      <c r="I288" s="38"/>
      <c r="J288" s="38"/>
      <c r="K288" s="38"/>
      <c r="L288" s="38">
        <f t="shared" si="4"/>
        <v>3052000</v>
      </c>
      <c r="M288" s="15"/>
    </row>
    <row r="289" spans="2:13" ht="21.6" customHeight="1" x14ac:dyDescent="0.15">
      <c r="B289" s="13" t="s">
        <v>1313</v>
      </c>
      <c r="C289" s="12" t="s">
        <v>872</v>
      </c>
      <c r="D289" s="12" t="s">
        <v>858</v>
      </c>
      <c r="E289" s="12" t="s">
        <v>873</v>
      </c>
      <c r="F289" s="31" t="s">
        <v>559</v>
      </c>
      <c r="G289" s="15">
        <v>1</v>
      </c>
      <c r="H289" s="38">
        <f>ROUNDDOWN(단가조사!G289*옵션!$D$11, 0)</f>
        <v>4254000</v>
      </c>
      <c r="I289" s="38"/>
      <c r="J289" s="38"/>
      <c r="K289" s="38"/>
      <c r="L289" s="38">
        <f t="shared" si="4"/>
        <v>4254000</v>
      </c>
      <c r="M289" s="15"/>
    </row>
    <row r="290" spans="2:13" ht="21.6" customHeight="1" x14ac:dyDescent="0.15">
      <c r="B290" s="13" t="s">
        <v>1314</v>
      </c>
      <c r="C290" s="12" t="s">
        <v>874</v>
      </c>
      <c r="D290" s="12" t="s">
        <v>858</v>
      </c>
      <c r="E290" s="12" t="s">
        <v>875</v>
      </c>
      <c r="F290" s="31" t="s">
        <v>559</v>
      </c>
      <c r="G290" s="15">
        <v>1</v>
      </c>
      <c r="H290" s="38">
        <f>ROUNDDOWN(단가조사!G290*옵션!$D$11, 0)</f>
        <v>2575000</v>
      </c>
      <c r="I290" s="38"/>
      <c r="J290" s="38"/>
      <c r="K290" s="38"/>
      <c r="L290" s="38">
        <f t="shared" si="4"/>
        <v>2575000</v>
      </c>
      <c r="M290" s="15"/>
    </row>
    <row r="291" spans="2:13" ht="21.6" customHeight="1" x14ac:dyDescent="0.15">
      <c r="B291" s="13" t="s">
        <v>1315</v>
      </c>
      <c r="C291" s="12" t="s">
        <v>876</v>
      </c>
      <c r="D291" s="12" t="s">
        <v>858</v>
      </c>
      <c r="E291" s="12" t="s">
        <v>877</v>
      </c>
      <c r="F291" s="31" t="s">
        <v>559</v>
      </c>
      <c r="G291" s="15">
        <v>1</v>
      </c>
      <c r="H291" s="38">
        <f>ROUNDDOWN(단가조사!G291*옵션!$D$11, 0)</f>
        <v>2040000</v>
      </c>
      <c r="I291" s="38"/>
      <c r="J291" s="38"/>
      <c r="K291" s="38"/>
      <c r="L291" s="38">
        <f t="shared" si="4"/>
        <v>2040000</v>
      </c>
      <c r="M291" s="15"/>
    </row>
    <row r="292" spans="2:13" ht="21.6" customHeight="1" x14ac:dyDescent="0.15">
      <c r="B292" s="13" t="s">
        <v>1316</v>
      </c>
      <c r="C292" s="12" t="s">
        <v>878</v>
      </c>
      <c r="D292" s="12" t="s">
        <v>858</v>
      </c>
      <c r="E292" s="12" t="s">
        <v>879</v>
      </c>
      <c r="F292" s="31" t="s">
        <v>559</v>
      </c>
      <c r="G292" s="15">
        <v>1</v>
      </c>
      <c r="H292" s="38">
        <f>ROUNDDOWN(단가조사!G292*옵션!$D$11, 0)</f>
        <v>3412000</v>
      </c>
      <c r="I292" s="38"/>
      <c r="J292" s="38"/>
      <c r="K292" s="38"/>
      <c r="L292" s="38">
        <f t="shared" si="4"/>
        <v>3412000</v>
      </c>
      <c r="M292" s="15"/>
    </row>
    <row r="293" spans="2:13" ht="21.6" customHeight="1" x14ac:dyDescent="0.15">
      <c r="B293" s="13" t="s">
        <v>1317</v>
      </c>
      <c r="C293" s="12" t="s">
        <v>880</v>
      </c>
      <c r="D293" s="12" t="s">
        <v>858</v>
      </c>
      <c r="E293" s="12" t="s">
        <v>881</v>
      </c>
      <c r="F293" s="31" t="s">
        <v>559</v>
      </c>
      <c r="G293" s="15">
        <v>1</v>
      </c>
      <c r="H293" s="38">
        <f>ROUNDDOWN(단가조사!G293*옵션!$D$11, 0)</f>
        <v>5193000</v>
      </c>
      <c r="I293" s="38"/>
      <c r="J293" s="38"/>
      <c r="K293" s="38"/>
      <c r="L293" s="38">
        <f t="shared" si="4"/>
        <v>5193000</v>
      </c>
      <c r="M293" s="15"/>
    </row>
    <row r="294" spans="2:13" ht="21.6" customHeight="1" x14ac:dyDescent="0.15">
      <c r="B294" s="13" t="s">
        <v>1318</v>
      </c>
      <c r="C294" s="12" t="s">
        <v>882</v>
      </c>
      <c r="D294" s="12" t="s">
        <v>858</v>
      </c>
      <c r="E294" s="12" t="s">
        <v>883</v>
      </c>
      <c r="F294" s="31" t="s">
        <v>559</v>
      </c>
      <c r="G294" s="15">
        <v>1</v>
      </c>
      <c r="H294" s="38">
        <f>ROUNDDOWN(단가조사!G294*옵션!$D$11, 0)</f>
        <v>4355000</v>
      </c>
      <c r="I294" s="38"/>
      <c r="J294" s="38"/>
      <c r="K294" s="38"/>
      <c r="L294" s="38">
        <f t="shared" si="4"/>
        <v>4355000</v>
      </c>
      <c r="M294" s="15"/>
    </row>
    <row r="295" spans="2:13" ht="21.6" customHeight="1" x14ac:dyDescent="0.15">
      <c r="B295" s="13" t="s">
        <v>1319</v>
      </c>
      <c r="C295" s="12" t="s">
        <v>884</v>
      </c>
      <c r="D295" s="12" t="s">
        <v>858</v>
      </c>
      <c r="E295" s="12" t="s">
        <v>885</v>
      </c>
      <c r="F295" s="31" t="s">
        <v>559</v>
      </c>
      <c r="G295" s="15">
        <v>1</v>
      </c>
      <c r="H295" s="38">
        <f>ROUNDDOWN(단가조사!G295*옵션!$D$11, 0)</f>
        <v>5193000</v>
      </c>
      <c r="I295" s="38"/>
      <c r="J295" s="38"/>
      <c r="K295" s="38"/>
      <c r="L295" s="38">
        <f t="shared" si="4"/>
        <v>5193000</v>
      </c>
      <c r="M295" s="15"/>
    </row>
    <row r="296" spans="2:13" ht="21.6" customHeight="1" x14ac:dyDescent="0.15">
      <c r="B296" s="13" t="s">
        <v>1320</v>
      </c>
      <c r="C296" s="12" t="s">
        <v>886</v>
      </c>
      <c r="D296" s="12" t="s">
        <v>858</v>
      </c>
      <c r="E296" s="12" t="s">
        <v>887</v>
      </c>
      <c r="F296" s="31" t="s">
        <v>559</v>
      </c>
      <c r="G296" s="15">
        <v>1</v>
      </c>
      <c r="H296" s="38">
        <f>ROUNDDOWN(단가조사!G296*옵션!$D$11, 0)</f>
        <v>4000000</v>
      </c>
      <c r="I296" s="38"/>
      <c r="J296" s="38"/>
      <c r="K296" s="38"/>
      <c r="L296" s="38">
        <f t="shared" si="4"/>
        <v>4000000</v>
      </c>
      <c r="M296" s="15"/>
    </row>
    <row r="297" spans="2:13" ht="21.6" customHeight="1" x14ac:dyDescent="0.15">
      <c r="B297" s="13" t="s">
        <v>1321</v>
      </c>
      <c r="C297" s="12" t="s">
        <v>888</v>
      </c>
      <c r="D297" s="12" t="s">
        <v>858</v>
      </c>
      <c r="E297" s="12" t="s">
        <v>889</v>
      </c>
      <c r="F297" s="31" t="s">
        <v>559</v>
      </c>
      <c r="G297" s="15">
        <v>1</v>
      </c>
      <c r="H297" s="38">
        <f>ROUNDDOWN(단가조사!G297*옵션!$D$11, 0)</f>
        <v>4761000</v>
      </c>
      <c r="I297" s="38"/>
      <c r="J297" s="38"/>
      <c r="K297" s="38"/>
      <c r="L297" s="38">
        <f t="shared" si="4"/>
        <v>4761000</v>
      </c>
      <c r="M297" s="15"/>
    </row>
    <row r="298" spans="2:13" ht="21.6" customHeight="1" x14ac:dyDescent="0.15">
      <c r="B298" s="13" t="s">
        <v>1322</v>
      </c>
      <c r="C298" s="12" t="s">
        <v>890</v>
      </c>
      <c r="D298" s="12" t="s">
        <v>858</v>
      </c>
      <c r="E298" s="12" t="s">
        <v>891</v>
      </c>
      <c r="F298" s="31" t="s">
        <v>559</v>
      </c>
      <c r="G298" s="15">
        <v>1</v>
      </c>
      <c r="H298" s="38">
        <f>ROUNDDOWN(단가조사!G298*옵션!$D$11, 0)</f>
        <v>2525000</v>
      </c>
      <c r="I298" s="38"/>
      <c r="J298" s="38"/>
      <c r="K298" s="38"/>
      <c r="L298" s="38">
        <f t="shared" si="4"/>
        <v>2525000</v>
      </c>
      <c r="M298" s="15"/>
    </row>
    <row r="299" spans="2:13" ht="21.6" customHeight="1" x14ac:dyDescent="0.15">
      <c r="B299" s="13" t="s">
        <v>1323</v>
      </c>
      <c r="C299" s="12" t="s">
        <v>892</v>
      </c>
      <c r="D299" s="12" t="s">
        <v>858</v>
      </c>
      <c r="E299" s="12" t="s">
        <v>893</v>
      </c>
      <c r="F299" s="31" t="s">
        <v>559</v>
      </c>
      <c r="G299" s="15">
        <v>1</v>
      </c>
      <c r="H299" s="38">
        <f>ROUNDDOWN(단가조사!G299*옵션!$D$11, 0)</f>
        <v>3337000</v>
      </c>
      <c r="I299" s="38"/>
      <c r="J299" s="38"/>
      <c r="K299" s="38"/>
      <c r="L299" s="38">
        <f t="shared" si="4"/>
        <v>3337000</v>
      </c>
      <c r="M299" s="15"/>
    </row>
    <row r="300" spans="2:13" ht="21.6" customHeight="1" x14ac:dyDescent="0.15">
      <c r="B300" s="13" t="s">
        <v>1324</v>
      </c>
      <c r="C300" s="12" t="s">
        <v>894</v>
      </c>
      <c r="D300" s="12" t="s">
        <v>858</v>
      </c>
      <c r="E300" s="12" t="s">
        <v>895</v>
      </c>
      <c r="F300" s="31" t="s">
        <v>559</v>
      </c>
      <c r="G300" s="15">
        <v>1</v>
      </c>
      <c r="H300" s="38">
        <f>ROUNDDOWN(단가조사!G300*옵션!$D$11, 0)</f>
        <v>2040000</v>
      </c>
      <c r="I300" s="38"/>
      <c r="J300" s="38"/>
      <c r="K300" s="38"/>
      <c r="L300" s="38">
        <f t="shared" si="4"/>
        <v>2040000</v>
      </c>
      <c r="M300" s="15"/>
    </row>
    <row r="301" spans="2:13" ht="21.6" customHeight="1" x14ac:dyDescent="0.15">
      <c r="B301" s="13" t="s">
        <v>1325</v>
      </c>
      <c r="C301" s="12" t="s">
        <v>896</v>
      </c>
      <c r="D301" s="12" t="s">
        <v>858</v>
      </c>
      <c r="E301" s="12" t="s">
        <v>897</v>
      </c>
      <c r="F301" s="31" t="s">
        <v>559</v>
      </c>
      <c r="G301" s="15">
        <v>1</v>
      </c>
      <c r="H301" s="38">
        <f>ROUNDDOWN(단가조사!G301*옵션!$D$11, 0)</f>
        <v>3861000</v>
      </c>
      <c r="I301" s="38"/>
      <c r="J301" s="38"/>
      <c r="K301" s="38"/>
      <c r="L301" s="38">
        <f t="shared" si="4"/>
        <v>3861000</v>
      </c>
      <c r="M301" s="15"/>
    </row>
    <row r="302" spans="2:13" ht="21.6" customHeight="1" x14ac:dyDescent="0.15">
      <c r="B302" s="13" t="s">
        <v>1326</v>
      </c>
      <c r="C302" s="12" t="s">
        <v>898</v>
      </c>
      <c r="D302" s="12" t="s">
        <v>858</v>
      </c>
      <c r="E302" s="12" t="s">
        <v>899</v>
      </c>
      <c r="F302" s="31" t="s">
        <v>559</v>
      </c>
      <c r="G302" s="15">
        <v>1</v>
      </c>
      <c r="H302" s="38">
        <f>ROUNDDOWN(단가조사!G302*옵션!$D$11, 0)</f>
        <v>3165000</v>
      </c>
      <c r="I302" s="38"/>
      <c r="J302" s="38"/>
      <c r="K302" s="38"/>
      <c r="L302" s="38">
        <f t="shared" si="4"/>
        <v>3165000</v>
      </c>
      <c r="M302" s="15"/>
    </row>
    <row r="303" spans="2:13" ht="21.6" customHeight="1" x14ac:dyDescent="0.15">
      <c r="B303" s="13" t="s">
        <v>1327</v>
      </c>
      <c r="C303" s="12" t="s">
        <v>900</v>
      </c>
      <c r="D303" s="12" t="s">
        <v>858</v>
      </c>
      <c r="E303" s="12" t="s">
        <v>901</v>
      </c>
      <c r="F303" s="31" t="s">
        <v>559</v>
      </c>
      <c r="G303" s="15">
        <v>1</v>
      </c>
      <c r="H303" s="38">
        <f>ROUNDDOWN(단가조사!G303*옵션!$D$11, 0)</f>
        <v>7007000</v>
      </c>
      <c r="I303" s="38"/>
      <c r="J303" s="38"/>
      <c r="K303" s="38"/>
      <c r="L303" s="38">
        <f t="shared" si="4"/>
        <v>7007000</v>
      </c>
      <c r="M303" s="15"/>
    </row>
    <row r="304" spans="2:13" ht="21.6" customHeight="1" x14ac:dyDescent="0.15">
      <c r="B304" s="13" t="s">
        <v>1328</v>
      </c>
      <c r="C304" s="12" t="s">
        <v>902</v>
      </c>
      <c r="D304" s="12" t="s">
        <v>858</v>
      </c>
      <c r="E304" s="12" t="s">
        <v>903</v>
      </c>
      <c r="F304" s="31" t="s">
        <v>559</v>
      </c>
      <c r="G304" s="15">
        <v>1</v>
      </c>
      <c r="H304" s="38">
        <f>ROUNDDOWN(단가조사!G304*옵션!$D$11, 0)</f>
        <v>7007000</v>
      </c>
      <c r="I304" s="38"/>
      <c r="J304" s="38"/>
      <c r="K304" s="38"/>
      <c r="L304" s="38">
        <f t="shared" si="4"/>
        <v>7007000</v>
      </c>
      <c r="M304" s="15"/>
    </row>
    <row r="305" spans="2:13" ht="21.6" customHeight="1" x14ac:dyDescent="0.15">
      <c r="B305" s="13" t="s">
        <v>1329</v>
      </c>
      <c r="C305" s="12" t="s">
        <v>904</v>
      </c>
      <c r="D305" s="12" t="s">
        <v>858</v>
      </c>
      <c r="E305" s="12" t="s">
        <v>905</v>
      </c>
      <c r="F305" s="31" t="s">
        <v>559</v>
      </c>
      <c r="G305" s="15">
        <v>1</v>
      </c>
      <c r="H305" s="38">
        <f>ROUNDDOWN(단가조사!G305*옵션!$D$11, 0)</f>
        <v>9988000</v>
      </c>
      <c r="I305" s="38"/>
      <c r="J305" s="38"/>
      <c r="K305" s="38"/>
      <c r="L305" s="38">
        <f t="shared" si="4"/>
        <v>9988000</v>
      </c>
      <c r="M305" s="15"/>
    </row>
    <row r="306" spans="2:13" ht="21.6" customHeight="1" x14ac:dyDescent="0.15">
      <c r="B306" s="13" t="s">
        <v>1330</v>
      </c>
      <c r="C306" s="12" t="s">
        <v>906</v>
      </c>
      <c r="D306" s="12" t="s">
        <v>858</v>
      </c>
      <c r="E306" s="12" t="s">
        <v>907</v>
      </c>
      <c r="F306" s="31" t="s">
        <v>559</v>
      </c>
      <c r="G306" s="15">
        <v>1</v>
      </c>
      <c r="H306" s="38">
        <f>ROUNDDOWN(단가조사!G306*옵션!$D$11, 0)</f>
        <v>9988000</v>
      </c>
      <c r="I306" s="38"/>
      <c r="J306" s="38"/>
      <c r="K306" s="38"/>
      <c r="L306" s="38">
        <f t="shared" si="4"/>
        <v>9988000</v>
      </c>
      <c r="M306" s="15"/>
    </row>
    <row r="307" spans="2:13" ht="21.6" customHeight="1" x14ac:dyDescent="0.15">
      <c r="B307" s="13" t="s">
        <v>1331</v>
      </c>
      <c r="C307" s="12" t="s">
        <v>908</v>
      </c>
      <c r="D307" s="12" t="s">
        <v>858</v>
      </c>
      <c r="E307" s="12" t="s">
        <v>909</v>
      </c>
      <c r="F307" s="31" t="s">
        <v>559</v>
      </c>
      <c r="G307" s="15">
        <v>1</v>
      </c>
      <c r="H307" s="38">
        <f>ROUNDDOWN(단가조사!G307*옵션!$D$11, 0)</f>
        <v>4673000</v>
      </c>
      <c r="I307" s="38"/>
      <c r="J307" s="38"/>
      <c r="K307" s="38"/>
      <c r="L307" s="38">
        <f t="shared" si="4"/>
        <v>4673000</v>
      </c>
      <c r="M307" s="15"/>
    </row>
    <row r="308" spans="2:13" ht="21.6" customHeight="1" x14ac:dyDescent="0.15">
      <c r="B308" s="13" t="s">
        <v>1332</v>
      </c>
      <c r="C308" s="12" t="s">
        <v>910</v>
      </c>
      <c r="D308" s="12" t="s">
        <v>858</v>
      </c>
      <c r="E308" s="12" t="s">
        <v>911</v>
      </c>
      <c r="F308" s="31" t="s">
        <v>559</v>
      </c>
      <c r="G308" s="15">
        <v>1</v>
      </c>
      <c r="H308" s="38">
        <f>ROUNDDOWN(단가조사!G308*옵션!$D$11, 0)</f>
        <v>5193000</v>
      </c>
      <c r="I308" s="38"/>
      <c r="J308" s="38"/>
      <c r="K308" s="38"/>
      <c r="L308" s="38">
        <f t="shared" si="4"/>
        <v>5193000</v>
      </c>
      <c r="M308" s="15"/>
    </row>
    <row r="309" spans="2:13" ht="21.6" customHeight="1" x14ac:dyDescent="0.15">
      <c r="B309" s="13" t="s">
        <v>1333</v>
      </c>
      <c r="C309" s="12" t="s">
        <v>912</v>
      </c>
      <c r="D309" s="12" t="s">
        <v>858</v>
      </c>
      <c r="E309" s="12" t="s">
        <v>913</v>
      </c>
      <c r="F309" s="31" t="s">
        <v>559</v>
      </c>
      <c r="G309" s="15">
        <v>1</v>
      </c>
      <c r="H309" s="38">
        <f>ROUNDDOWN(단가조사!G309*옵션!$D$11, 0)</f>
        <v>2604000</v>
      </c>
      <c r="I309" s="38"/>
      <c r="J309" s="38"/>
      <c r="K309" s="38"/>
      <c r="L309" s="38">
        <f t="shared" si="4"/>
        <v>2604000</v>
      </c>
      <c r="M309" s="15"/>
    </row>
    <row r="310" spans="2:13" ht="21.6" customHeight="1" x14ac:dyDescent="0.15">
      <c r="B310" s="13" t="s">
        <v>1334</v>
      </c>
      <c r="C310" s="12" t="s">
        <v>914</v>
      </c>
      <c r="D310" s="12" t="s">
        <v>915</v>
      </c>
      <c r="E310" s="12"/>
      <c r="F310" s="31" t="s">
        <v>792</v>
      </c>
      <c r="G310" s="15">
        <v>1</v>
      </c>
      <c r="H310" s="38">
        <f>ROUNDDOWN(단가조사!G310*옵션!$D$11, 0)</f>
        <v>72520000</v>
      </c>
      <c r="I310" s="38"/>
      <c r="J310" s="38"/>
      <c r="K310" s="38"/>
      <c r="L310" s="38">
        <f t="shared" si="4"/>
        <v>72520000</v>
      </c>
      <c r="M310" s="15"/>
    </row>
    <row r="311" spans="2:13" ht="21.6" customHeight="1" x14ac:dyDescent="0.15">
      <c r="B311" s="13" t="s">
        <v>1335</v>
      </c>
      <c r="C311" s="12" t="s">
        <v>917</v>
      </c>
      <c r="D311" s="12" t="s">
        <v>918</v>
      </c>
      <c r="E311" s="12" t="s">
        <v>919</v>
      </c>
      <c r="F311" s="31" t="s">
        <v>792</v>
      </c>
      <c r="G311" s="15">
        <v>1</v>
      </c>
      <c r="H311" s="38">
        <f>ROUNDDOWN(단가조사!G311*옵션!$D$11, 0)</f>
        <v>477171</v>
      </c>
      <c r="I311" s="38"/>
      <c r="J311" s="38"/>
      <c r="K311" s="38"/>
      <c r="L311" s="38">
        <f t="shared" si="4"/>
        <v>477171</v>
      </c>
      <c r="M311" s="15"/>
    </row>
    <row r="312" spans="2:13" ht="21.6" customHeight="1" x14ac:dyDescent="0.15">
      <c r="B312" s="13" t="s">
        <v>1336</v>
      </c>
      <c r="C312" s="12" t="s">
        <v>920</v>
      </c>
      <c r="D312" s="12" t="s">
        <v>921</v>
      </c>
      <c r="E312" s="12" t="s">
        <v>919</v>
      </c>
      <c r="F312" s="31" t="s">
        <v>792</v>
      </c>
      <c r="G312" s="15">
        <v>1</v>
      </c>
      <c r="H312" s="38">
        <f>ROUNDDOWN(단가조사!G312*옵션!$D$11, 0)</f>
        <v>606830</v>
      </c>
      <c r="I312" s="38"/>
      <c r="J312" s="38"/>
      <c r="K312" s="38"/>
      <c r="L312" s="38">
        <f t="shared" si="4"/>
        <v>606830</v>
      </c>
      <c r="M312" s="15"/>
    </row>
    <row r="313" spans="2:13" ht="21.6" customHeight="1" x14ac:dyDescent="0.15">
      <c r="B313" s="13" t="s">
        <v>1337</v>
      </c>
      <c r="C313" s="12" t="s">
        <v>922</v>
      </c>
      <c r="D313" s="12" t="s">
        <v>923</v>
      </c>
      <c r="E313" s="12" t="s">
        <v>919</v>
      </c>
      <c r="F313" s="31" t="s">
        <v>792</v>
      </c>
      <c r="G313" s="15">
        <v>1</v>
      </c>
      <c r="H313" s="38">
        <f>ROUNDDOWN(단가조사!G313*옵션!$D$11, 0)</f>
        <v>854474</v>
      </c>
      <c r="I313" s="38"/>
      <c r="J313" s="38"/>
      <c r="K313" s="38"/>
      <c r="L313" s="38">
        <f t="shared" si="4"/>
        <v>854474</v>
      </c>
      <c r="M313" s="15"/>
    </row>
    <row r="314" spans="2:13" ht="21.6" customHeight="1" x14ac:dyDescent="0.15">
      <c r="B314" s="13" t="s">
        <v>1338</v>
      </c>
      <c r="C314" s="12" t="s">
        <v>924</v>
      </c>
      <c r="D314" s="12" t="s">
        <v>925</v>
      </c>
      <c r="E314" s="12" t="s">
        <v>919</v>
      </c>
      <c r="F314" s="31" t="s">
        <v>792</v>
      </c>
      <c r="G314" s="15">
        <v>1</v>
      </c>
      <c r="H314" s="38">
        <f>ROUNDDOWN(단가조사!G314*옵션!$D$11, 0)</f>
        <v>304560</v>
      </c>
      <c r="I314" s="38"/>
      <c r="J314" s="38"/>
      <c r="K314" s="38"/>
      <c r="L314" s="38">
        <f t="shared" si="4"/>
        <v>304560</v>
      </c>
      <c r="M314" s="15"/>
    </row>
    <row r="315" spans="2:13" ht="21.6" customHeight="1" x14ac:dyDescent="0.15">
      <c r="B315" s="13" t="s">
        <v>1339</v>
      </c>
      <c r="C315" s="12" t="s">
        <v>926</v>
      </c>
      <c r="D315" s="12" t="s">
        <v>927</v>
      </c>
      <c r="E315" s="12" t="s">
        <v>919</v>
      </c>
      <c r="F315" s="31" t="s">
        <v>792</v>
      </c>
      <c r="G315" s="15">
        <v>1</v>
      </c>
      <c r="H315" s="38">
        <f>ROUNDDOWN(단가조사!G315*옵션!$D$11, 0)</f>
        <v>745167</v>
      </c>
      <c r="I315" s="38"/>
      <c r="J315" s="38"/>
      <c r="K315" s="38"/>
      <c r="L315" s="38">
        <f t="shared" si="4"/>
        <v>745167</v>
      </c>
      <c r="M315" s="15"/>
    </row>
    <row r="316" spans="2:13" ht="21.6" customHeight="1" x14ac:dyDescent="0.15">
      <c r="B316" s="13" t="s">
        <v>1340</v>
      </c>
      <c r="C316" s="12" t="s">
        <v>928</v>
      </c>
      <c r="D316" s="12" t="s">
        <v>929</v>
      </c>
      <c r="E316" s="12" t="s">
        <v>919</v>
      </c>
      <c r="F316" s="31" t="s">
        <v>792</v>
      </c>
      <c r="G316" s="15">
        <v>1</v>
      </c>
      <c r="H316" s="38">
        <f>ROUNDDOWN(단가조사!G316*옵션!$D$11, 0)</f>
        <v>393012</v>
      </c>
      <c r="I316" s="38"/>
      <c r="J316" s="38"/>
      <c r="K316" s="38"/>
      <c r="L316" s="38">
        <f t="shared" si="4"/>
        <v>393012</v>
      </c>
      <c r="M316" s="15"/>
    </row>
    <row r="317" spans="2:13" ht="21.6" customHeight="1" x14ac:dyDescent="0.15">
      <c r="B317" s="13" t="s">
        <v>1341</v>
      </c>
      <c r="C317" s="12" t="s">
        <v>930</v>
      </c>
      <c r="D317" s="12" t="s">
        <v>931</v>
      </c>
      <c r="E317" s="12" t="s">
        <v>932</v>
      </c>
      <c r="F317" s="31" t="s">
        <v>710</v>
      </c>
      <c r="G317" s="15">
        <v>10</v>
      </c>
      <c r="H317" s="38">
        <f>ROUNDDOWN(단가조사!G317*옵션!$D$11, 0)</f>
        <v>120000</v>
      </c>
      <c r="I317" s="38"/>
      <c r="J317" s="38"/>
      <c r="K317" s="38"/>
      <c r="L317" s="38">
        <f t="shared" si="4"/>
        <v>120000</v>
      </c>
      <c r="M317" s="15"/>
    </row>
    <row r="318" spans="2:13" ht="21.6" customHeight="1" x14ac:dyDescent="0.15">
      <c r="B318" s="13" t="s">
        <v>1342</v>
      </c>
      <c r="C318" s="12" t="s">
        <v>933</v>
      </c>
      <c r="D318" s="12" t="s">
        <v>934</v>
      </c>
      <c r="E318" s="12" t="s">
        <v>935</v>
      </c>
      <c r="F318" s="31" t="s">
        <v>710</v>
      </c>
      <c r="G318" s="15">
        <v>55</v>
      </c>
      <c r="H318" s="38">
        <f>ROUNDDOWN(단가조사!G318*옵션!$D$11, 0)</f>
        <v>83000</v>
      </c>
      <c r="I318" s="38"/>
      <c r="J318" s="38"/>
      <c r="K318" s="38"/>
      <c r="L318" s="38">
        <f t="shared" si="4"/>
        <v>83000</v>
      </c>
      <c r="M318" s="15"/>
    </row>
    <row r="319" spans="2:13" ht="21.6" customHeight="1" x14ac:dyDescent="0.15">
      <c r="B319" s="13" t="s">
        <v>1343</v>
      </c>
      <c r="C319" s="12" t="s">
        <v>936</v>
      </c>
      <c r="D319" s="12" t="s">
        <v>937</v>
      </c>
      <c r="E319" s="12" t="s">
        <v>938</v>
      </c>
      <c r="F319" s="31" t="s">
        <v>710</v>
      </c>
      <c r="G319" s="15">
        <v>18</v>
      </c>
      <c r="H319" s="38">
        <f>ROUNDDOWN(단가조사!G319*옵션!$D$11, 0)</f>
        <v>160000</v>
      </c>
      <c r="I319" s="38"/>
      <c r="J319" s="38"/>
      <c r="K319" s="38"/>
      <c r="L319" s="38">
        <f t="shared" si="4"/>
        <v>160000</v>
      </c>
      <c r="M319" s="15"/>
    </row>
    <row r="320" spans="2:13" ht="21.6" customHeight="1" x14ac:dyDescent="0.15">
      <c r="B320" s="13" t="s">
        <v>1344</v>
      </c>
      <c r="C320" s="12" t="s">
        <v>939</v>
      </c>
      <c r="D320" s="12" t="s">
        <v>940</v>
      </c>
      <c r="E320" s="12" t="s">
        <v>755</v>
      </c>
      <c r="F320" s="31" t="s">
        <v>710</v>
      </c>
      <c r="G320" s="15">
        <v>2</v>
      </c>
      <c r="H320" s="38">
        <f>ROUNDDOWN(단가조사!G320*옵션!$D$11, 0)</f>
        <v>88000</v>
      </c>
      <c r="I320" s="38"/>
      <c r="J320" s="38"/>
      <c r="K320" s="38"/>
      <c r="L320" s="38">
        <f t="shared" si="4"/>
        <v>88000</v>
      </c>
      <c r="M320" s="15"/>
    </row>
    <row r="321" spans="2:13" ht="21.6" customHeight="1" x14ac:dyDescent="0.15">
      <c r="B321" s="13" t="s">
        <v>1345</v>
      </c>
      <c r="C321" s="12" t="s">
        <v>941</v>
      </c>
      <c r="D321" s="12" t="s">
        <v>942</v>
      </c>
      <c r="E321" s="12" t="s">
        <v>760</v>
      </c>
      <c r="F321" s="31" t="s">
        <v>710</v>
      </c>
      <c r="G321" s="15">
        <v>63</v>
      </c>
      <c r="H321" s="38">
        <f>ROUNDDOWN(단가조사!G321*옵션!$D$11, 0)</f>
        <v>40000</v>
      </c>
      <c r="I321" s="38"/>
      <c r="J321" s="38"/>
      <c r="K321" s="38"/>
      <c r="L321" s="38">
        <f t="shared" si="4"/>
        <v>40000</v>
      </c>
      <c r="M321" s="15"/>
    </row>
    <row r="322" spans="2:13" ht="21.6" customHeight="1" x14ac:dyDescent="0.15">
      <c r="B322" s="13" t="s">
        <v>1346</v>
      </c>
      <c r="C322" s="12" t="s">
        <v>943</v>
      </c>
      <c r="D322" s="12" t="s">
        <v>944</v>
      </c>
      <c r="E322" s="12" t="s">
        <v>762</v>
      </c>
      <c r="F322" s="31" t="s">
        <v>710</v>
      </c>
      <c r="G322" s="15">
        <v>7</v>
      </c>
      <c r="H322" s="38">
        <f>ROUNDDOWN(단가조사!G322*옵션!$D$11, 0)</f>
        <v>40000</v>
      </c>
      <c r="I322" s="38"/>
      <c r="J322" s="38"/>
      <c r="K322" s="38"/>
      <c r="L322" s="38">
        <f t="shared" si="4"/>
        <v>40000</v>
      </c>
      <c r="M322" s="15"/>
    </row>
    <row r="323" spans="2:13" ht="21.6" customHeight="1" x14ac:dyDescent="0.15">
      <c r="B323" s="13" t="s">
        <v>1347</v>
      </c>
      <c r="C323" s="12" t="s">
        <v>945</v>
      </c>
      <c r="D323" s="12" t="s">
        <v>946</v>
      </c>
      <c r="E323" s="12" t="s">
        <v>947</v>
      </c>
      <c r="F323" s="31" t="s">
        <v>710</v>
      </c>
      <c r="G323" s="15">
        <v>46</v>
      </c>
      <c r="H323" s="38">
        <f>ROUNDDOWN(단가조사!G323*옵션!$D$11, 0)</f>
        <v>55000</v>
      </c>
      <c r="I323" s="38"/>
      <c r="J323" s="38"/>
      <c r="K323" s="38"/>
      <c r="L323" s="38">
        <f t="shared" si="4"/>
        <v>55000</v>
      </c>
      <c r="M323" s="15"/>
    </row>
    <row r="324" spans="2:13" ht="21.6" customHeight="1" x14ac:dyDescent="0.15">
      <c r="B324" s="13" t="s">
        <v>1348</v>
      </c>
      <c r="C324" s="12" t="s">
        <v>948</v>
      </c>
      <c r="D324" s="12" t="s">
        <v>949</v>
      </c>
      <c r="E324" s="12" t="s">
        <v>950</v>
      </c>
      <c r="F324" s="31" t="s">
        <v>710</v>
      </c>
      <c r="G324" s="15">
        <v>9</v>
      </c>
      <c r="H324" s="38">
        <f>ROUNDDOWN(단가조사!G324*옵션!$D$11, 0)</f>
        <v>60000</v>
      </c>
      <c r="I324" s="38"/>
      <c r="J324" s="38"/>
      <c r="K324" s="38"/>
      <c r="L324" s="38">
        <f t="shared" ref="L324:L356" si="5">SUM(H324,I324,J324)</f>
        <v>60000</v>
      </c>
      <c r="M324" s="15"/>
    </row>
    <row r="325" spans="2:13" ht="21.6" customHeight="1" x14ac:dyDescent="0.15">
      <c r="B325" s="13" t="s">
        <v>1349</v>
      </c>
      <c r="C325" s="12" t="s">
        <v>951</v>
      </c>
      <c r="D325" s="12" t="s">
        <v>952</v>
      </c>
      <c r="E325" s="12" t="s">
        <v>953</v>
      </c>
      <c r="F325" s="31" t="s">
        <v>710</v>
      </c>
      <c r="G325" s="15">
        <v>9</v>
      </c>
      <c r="H325" s="38">
        <f>ROUNDDOWN(단가조사!G325*옵션!$D$11, 0)</f>
        <v>300000</v>
      </c>
      <c r="I325" s="38"/>
      <c r="J325" s="38"/>
      <c r="K325" s="38"/>
      <c r="L325" s="38">
        <f t="shared" si="5"/>
        <v>300000</v>
      </c>
      <c r="M325" s="15"/>
    </row>
    <row r="326" spans="2:13" ht="21.6" customHeight="1" x14ac:dyDescent="0.15">
      <c r="B326" s="13" t="s">
        <v>1350</v>
      </c>
      <c r="C326" s="12" t="s">
        <v>954</v>
      </c>
      <c r="D326" s="12" t="s">
        <v>952</v>
      </c>
      <c r="E326" s="12" t="s">
        <v>955</v>
      </c>
      <c r="F326" s="31" t="s">
        <v>710</v>
      </c>
      <c r="G326" s="15">
        <v>9</v>
      </c>
      <c r="H326" s="38">
        <f>ROUNDDOWN(단가조사!G326*옵션!$D$11, 0)</f>
        <v>36000</v>
      </c>
      <c r="I326" s="38"/>
      <c r="J326" s="38"/>
      <c r="K326" s="38"/>
      <c r="L326" s="38">
        <f t="shared" si="5"/>
        <v>36000</v>
      </c>
      <c r="M326" s="15"/>
    </row>
    <row r="327" spans="2:13" ht="21.6" customHeight="1" x14ac:dyDescent="0.15">
      <c r="B327" s="13" t="s">
        <v>1351</v>
      </c>
      <c r="C327" s="12" t="s">
        <v>956</v>
      </c>
      <c r="D327" s="12" t="s">
        <v>952</v>
      </c>
      <c r="E327" s="12" t="s">
        <v>957</v>
      </c>
      <c r="F327" s="31" t="s">
        <v>710</v>
      </c>
      <c r="G327" s="15">
        <v>9</v>
      </c>
      <c r="H327" s="38">
        <f>ROUNDDOWN(단가조사!G327*옵션!$D$11, 0)</f>
        <v>870000</v>
      </c>
      <c r="I327" s="38"/>
      <c r="J327" s="38"/>
      <c r="K327" s="38"/>
      <c r="L327" s="38">
        <f t="shared" si="5"/>
        <v>870000</v>
      </c>
      <c r="M327" s="15"/>
    </row>
    <row r="328" spans="2:13" ht="21.6" customHeight="1" x14ac:dyDescent="0.15">
      <c r="B328" s="13" t="s">
        <v>1352</v>
      </c>
      <c r="C328" s="12" t="s">
        <v>958</v>
      </c>
      <c r="D328" s="12" t="s">
        <v>959</v>
      </c>
      <c r="E328" s="12" t="s">
        <v>765</v>
      </c>
      <c r="F328" s="31" t="s">
        <v>710</v>
      </c>
      <c r="G328" s="15">
        <v>42</v>
      </c>
      <c r="H328" s="38">
        <f>ROUNDDOWN(단가조사!G328*옵션!$D$11, 0)</f>
        <v>55000</v>
      </c>
      <c r="I328" s="38"/>
      <c r="J328" s="38"/>
      <c r="K328" s="38"/>
      <c r="L328" s="38">
        <f t="shared" si="5"/>
        <v>55000</v>
      </c>
      <c r="M328" s="15"/>
    </row>
    <row r="329" spans="2:13" ht="21.6" customHeight="1" x14ac:dyDescent="0.15">
      <c r="B329" s="13" t="s">
        <v>1353</v>
      </c>
      <c r="C329" s="12" t="s">
        <v>960</v>
      </c>
      <c r="D329" s="12" t="s">
        <v>959</v>
      </c>
      <c r="E329" s="12" t="s">
        <v>764</v>
      </c>
      <c r="F329" s="31" t="s">
        <v>710</v>
      </c>
      <c r="G329" s="15">
        <v>122</v>
      </c>
      <c r="H329" s="38">
        <f>ROUNDDOWN(단가조사!G329*옵션!$D$11, 0)</f>
        <v>55000</v>
      </c>
      <c r="I329" s="38"/>
      <c r="J329" s="38"/>
      <c r="K329" s="38"/>
      <c r="L329" s="38">
        <f t="shared" si="5"/>
        <v>55000</v>
      </c>
      <c r="M329" s="15"/>
    </row>
    <row r="330" spans="2:13" ht="21.6" customHeight="1" x14ac:dyDescent="0.15">
      <c r="B330" s="13" t="s">
        <v>1354</v>
      </c>
      <c r="C330" s="12" t="s">
        <v>961</v>
      </c>
      <c r="D330" s="12" t="s">
        <v>962</v>
      </c>
      <c r="E330" s="12" t="s">
        <v>963</v>
      </c>
      <c r="F330" s="31" t="s">
        <v>710</v>
      </c>
      <c r="G330" s="15">
        <v>80</v>
      </c>
      <c r="H330" s="38">
        <f>ROUNDDOWN(단가조사!G330*옵션!$D$11, 0)</f>
        <v>50000</v>
      </c>
      <c r="I330" s="38"/>
      <c r="J330" s="38"/>
      <c r="K330" s="38"/>
      <c r="L330" s="38">
        <f t="shared" si="5"/>
        <v>50000</v>
      </c>
      <c r="M330" s="15"/>
    </row>
    <row r="331" spans="2:13" ht="21.6" customHeight="1" x14ac:dyDescent="0.15">
      <c r="B331" s="13" t="s">
        <v>1355</v>
      </c>
      <c r="C331" s="12" t="s">
        <v>964</v>
      </c>
      <c r="D331" s="12" t="s">
        <v>962</v>
      </c>
      <c r="E331" s="12" t="s">
        <v>965</v>
      </c>
      <c r="F331" s="31" t="s">
        <v>710</v>
      </c>
      <c r="G331" s="15">
        <v>60</v>
      </c>
      <c r="H331" s="38">
        <f>ROUNDDOWN(단가조사!G331*옵션!$D$11, 0)</f>
        <v>50000</v>
      </c>
      <c r="I331" s="38"/>
      <c r="J331" s="38"/>
      <c r="K331" s="38"/>
      <c r="L331" s="38">
        <f t="shared" si="5"/>
        <v>50000</v>
      </c>
      <c r="M331" s="15"/>
    </row>
    <row r="332" spans="2:13" ht="21.6" customHeight="1" x14ac:dyDescent="0.15">
      <c r="B332" s="13" t="s">
        <v>1356</v>
      </c>
      <c r="C332" s="12" t="s">
        <v>966</v>
      </c>
      <c r="D332" s="12" t="s">
        <v>962</v>
      </c>
      <c r="E332" s="12" t="s">
        <v>967</v>
      </c>
      <c r="F332" s="31" t="s">
        <v>710</v>
      </c>
      <c r="G332" s="15">
        <v>140</v>
      </c>
      <c r="H332" s="38">
        <f>ROUNDDOWN(단가조사!G332*옵션!$D$11, 0)</f>
        <v>50000</v>
      </c>
      <c r="I332" s="38"/>
      <c r="J332" s="38"/>
      <c r="K332" s="38"/>
      <c r="L332" s="38">
        <f t="shared" si="5"/>
        <v>50000</v>
      </c>
      <c r="M332" s="15"/>
    </row>
    <row r="333" spans="2:13" ht="21.6" customHeight="1" x14ac:dyDescent="0.15">
      <c r="B333" s="13" t="s">
        <v>1357</v>
      </c>
      <c r="C333" s="12" t="s">
        <v>968</v>
      </c>
      <c r="D333" s="12" t="s">
        <v>962</v>
      </c>
      <c r="E333" s="12" t="s">
        <v>767</v>
      </c>
      <c r="F333" s="31" t="s">
        <v>710</v>
      </c>
      <c r="G333" s="15">
        <v>76</v>
      </c>
      <c r="H333" s="38">
        <f>ROUNDDOWN(단가조사!G333*옵션!$D$11, 0)</f>
        <v>35000</v>
      </c>
      <c r="I333" s="38"/>
      <c r="J333" s="38"/>
      <c r="K333" s="38"/>
      <c r="L333" s="38">
        <f t="shared" si="5"/>
        <v>35000</v>
      </c>
      <c r="M333" s="15"/>
    </row>
    <row r="334" spans="2:13" ht="21.6" customHeight="1" x14ac:dyDescent="0.15">
      <c r="B334" s="13" t="s">
        <v>1358</v>
      </c>
      <c r="C334" s="12" t="s">
        <v>969</v>
      </c>
      <c r="D334" s="12" t="s">
        <v>962</v>
      </c>
      <c r="E334" s="12" t="s">
        <v>970</v>
      </c>
      <c r="F334" s="31" t="s">
        <v>710</v>
      </c>
      <c r="G334" s="15">
        <v>80</v>
      </c>
      <c r="H334" s="38">
        <f>ROUNDDOWN(단가조사!G334*옵션!$D$11, 0)</f>
        <v>55000</v>
      </c>
      <c r="I334" s="38"/>
      <c r="J334" s="38"/>
      <c r="K334" s="38"/>
      <c r="L334" s="38">
        <f t="shared" si="5"/>
        <v>55000</v>
      </c>
      <c r="M334" s="15"/>
    </row>
    <row r="335" spans="2:13" ht="21.6" customHeight="1" x14ac:dyDescent="0.15">
      <c r="B335" s="13" t="s">
        <v>1359</v>
      </c>
      <c r="C335" s="12" t="s">
        <v>971</v>
      </c>
      <c r="D335" s="12" t="s">
        <v>962</v>
      </c>
      <c r="E335" s="12" t="s">
        <v>972</v>
      </c>
      <c r="F335" s="31" t="s">
        <v>710</v>
      </c>
      <c r="G335" s="15">
        <v>80</v>
      </c>
      <c r="H335" s="38">
        <f>ROUNDDOWN(단가조사!G335*옵션!$D$11, 0)</f>
        <v>70000</v>
      </c>
      <c r="I335" s="38"/>
      <c r="J335" s="38"/>
      <c r="K335" s="38"/>
      <c r="L335" s="38">
        <f t="shared" si="5"/>
        <v>70000</v>
      </c>
      <c r="M335" s="15"/>
    </row>
    <row r="336" spans="2:13" ht="21.6" customHeight="1" x14ac:dyDescent="0.15">
      <c r="B336" s="13" t="s">
        <v>1360</v>
      </c>
      <c r="C336" s="12" t="s">
        <v>973</v>
      </c>
      <c r="D336" s="12" t="s">
        <v>962</v>
      </c>
      <c r="E336" s="12" t="s">
        <v>974</v>
      </c>
      <c r="F336" s="31" t="s">
        <v>710</v>
      </c>
      <c r="G336" s="15">
        <v>80</v>
      </c>
      <c r="H336" s="38">
        <f>ROUNDDOWN(단가조사!G336*옵션!$D$11, 0)</f>
        <v>105000</v>
      </c>
      <c r="I336" s="38"/>
      <c r="J336" s="38"/>
      <c r="K336" s="38"/>
      <c r="L336" s="38">
        <f t="shared" si="5"/>
        <v>105000</v>
      </c>
      <c r="M336" s="15"/>
    </row>
    <row r="337" spans="2:13" ht="21.6" customHeight="1" x14ac:dyDescent="0.15">
      <c r="B337" s="13" t="s">
        <v>1361</v>
      </c>
      <c r="C337" s="12" t="s">
        <v>975</v>
      </c>
      <c r="D337" s="12" t="s">
        <v>962</v>
      </c>
      <c r="E337" s="12" t="s">
        <v>976</v>
      </c>
      <c r="F337" s="31" t="s">
        <v>710</v>
      </c>
      <c r="G337" s="15">
        <v>200</v>
      </c>
      <c r="H337" s="38">
        <f>ROUNDDOWN(단가조사!G337*옵션!$D$11, 0)</f>
        <v>88000</v>
      </c>
      <c r="I337" s="38"/>
      <c r="J337" s="38"/>
      <c r="K337" s="38"/>
      <c r="L337" s="38">
        <f t="shared" si="5"/>
        <v>88000</v>
      </c>
      <c r="M337" s="15"/>
    </row>
    <row r="338" spans="2:13" ht="21.6" customHeight="1" x14ac:dyDescent="0.15">
      <c r="B338" s="13" t="s">
        <v>1362</v>
      </c>
      <c r="C338" s="12" t="s">
        <v>977</v>
      </c>
      <c r="D338" s="12" t="s">
        <v>978</v>
      </c>
      <c r="E338" s="12" t="s">
        <v>979</v>
      </c>
      <c r="F338" s="31" t="s">
        <v>980</v>
      </c>
      <c r="G338" s="15">
        <v>112.992</v>
      </c>
      <c r="H338" s="38">
        <f>단가조사!H338</f>
        <v>427</v>
      </c>
      <c r="I338" s="38">
        <f>단가조사!J338</f>
        <v>1309</v>
      </c>
      <c r="J338" s="38">
        <f>단가조사!L338</f>
        <v>523</v>
      </c>
      <c r="K338" s="38"/>
      <c r="L338" s="38">
        <f t="shared" si="5"/>
        <v>2259</v>
      </c>
      <c r="M338" s="15" t="s">
        <v>1363</v>
      </c>
    </row>
    <row r="339" spans="2:13" ht="21.6" customHeight="1" x14ac:dyDescent="0.15">
      <c r="B339" s="13" t="s">
        <v>1364</v>
      </c>
      <c r="C339" s="12" t="s">
        <v>984</v>
      </c>
      <c r="D339" s="12" t="s">
        <v>985</v>
      </c>
      <c r="E339" s="12" t="s">
        <v>979</v>
      </c>
      <c r="F339" s="31" t="s">
        <v>980</v>
      </c>
      <c r="G339" s="15">
        <v>81.12</v>
      </c>
      <c r="H339" s="38">
        <f>단가조사!H339</f>
        <v>427</v>
      </c>
      <c r="I339" s="38">
        <f>단가조사!J339</f>
        <v>1309</v>
      </c>
      <c r="J339" s="38">
        <f>단가조사!L339</f>
        <v>523</v>
      </c>
      <c r="K339" s="38"/>
      <c r="L339" s="38">
        <f t="shared" si="5"/>
        <v>2259</v>
      </c>
      <c r="M339" s="15" t="s">
        <v>1365</v>
      </c>
    </row>
    <row r="340" spans="2:13" ht="21.6" customHeight="1" x14ac:dyDescent="0.15">
      <c r="B340" s="13" t="s">
        <v>1366</v>
      </c>
      <c r="C340" s="12" t="s">
        <v>986</v>
      </c>
      <c r="D340" s="12" t="s">
        <v>987</v>
      </c>
      <c r="E340" s="12" t="s">
        <v>988</v>
      </c>
      <c r="F340" s="31" t="s">
        <v>989</v>
      </c>
      <c r="G340" s="15">
        <v>274</v>
      </c>
      <c r="H340" s="38">
        <f>단가조사!H340</f>
        <v>308</v>
      </c>
      <c r="I340" s="38">
        <f>단가조사!J340</f>
        <v>825</v>
      </c>
      <c r="J340" s="38">
        <f>단가조사!L340</f>
        <v>376</v>
      </c>
      <c r="K340" s="38"/>
      <c r="L340" s="38">
        <f t="shared" si="5"/>
        <v>1509</v>
      </c>
      <c r="M340" s="15" t="s">
        <v>1367</v>
      </c>
    </row>
    <row r="341" spans="2:13" ht="21.6" customHeight="1" x14ac:dyDescent="0.15">
      <c r="B341" s="13" t="s">
        <v>1368</v>
      </c>
      <c r="C341" s="12" t="s">
        <v>990</v>
      </c>
      <c r="D341" s="12" t="s">
        <v>991</v>
      </c>
      <c r="E341" s="12"/>
      <c r="F341" s="31" t="s">
        <v>792</v>
      </c>
      <c r="G341" s="15">
        <v>1</v>
      </c>
      <c r="H341" s="38">
        <f>단가조사!H341</f>
        <v>0</v>
      </c>
      <c r="I341" s="38">
        <f>단가조사!J341</f>
        <v>0</v>
      </c>
      <c r="J341" s="38">
        <f>단가조사!L341</f>
        <v>3070332</v>
      </c>
      <c r="K341" s="38"/>
      <c r="L341" s="38">
        <f t="shared" si="5"/>
        <v>3070332</v>
      </c>
      <c r="M341" s="15"/>
    </row>
    <row r="342" spans="2:13" ht="21.6" customHeight="1" x14ac:dyDescent="0.15">
      <c r="B342" s="13" t="s">
        <v>1369</v>
      </c>
      <c r="C342" s="12" t="s">
        <v>993</v>
      </c>
      <c r="D342" s="12" t="s">
        <v>994</v>
      </c>
      <c r="E342" s="12" t="s">
        <v>995</v>
      </c>
      <c r="F342" s="31" t="s">
        <v>740</v>
      </c>
      <c r="G342" s="15">
        <v>1.286</v>
      </c>
      <c r="H342" s="38">
        <f>단가조사!H342</f>
        <v>0</v>
      </c>
      <c r="I342" s="38">
        <f>단가조사!J342</f>
        <v>0</v>
      </c>
      <c r="J342" s="38">
        <f>단가조사!L342</f>
        <v>39750</v>
      </c>
      <c r="K342" s="38"/>
      <c r="L342" s="38">
        <f t="shared" si="5"/>
        <v>39750</v>
      </c>
      <c r="M342" s="15"/>
    </row>
    <row r="343" spans="2:13" ht="21.6" customHeight="1" x14ac:dyDescent="0.15">
      <c r="B343" s="13" t="s">
        <v>1370</v>
      </c>
      <c r="C343" s="12" t="s">
        <v>996</v>
      </c>
      <c r="D343" s="12" t="s">
        <v>997</v>
      </c>
      <c r="E343" s="12" t="s">
        <v>998</v>
      </c>
      <c r="F343" s="31" t="s">
        <v>999</v>
      </c>
      <c r="G343" s="15">
        <v>4.95</v>
      </c>
      <c r="H343" s="38">
        <f>단가조사!H343</f>
        <v>0</v>
      </c>
      <c r="I343" s="38">
        <f>단가조사!J343</f>
        <v>50142.7</v>
      </c>
      <c r="J343" s="38">
        <f>단가조사!L343</f>
        <v>0</v>
      </c>
      <c r="K343" s="38"/>
      <c r="L343" s="38">
        <f t="shared" si="5"/>
        <v>50142.7</v>
      </c>
      <c r="M343" s="15"/>
    </row>
    <row r="344" spans="2:13" ht="21.6" customHeight="1" x14ac:dyDescent="0.15">
      <c r="B344" s="13" t="s">
        <v>1371</v>
      </c>
      <c r="C344" s="12" t="s">
        <v>990</v>
      </c>
      <c r="D344" s="12" t="s">
        <v>1000</v>
      </c>
      <c r="E344" s="12" t="s">
        <v>1001</v>
      </c>
      <c r="F344" s="31" t="s">
        <v>792</v>
      </c>
      <c r="G344" s="15">
        <v>4.95</v>
      </c>
      <c r="H344" s="38">
        <f>단가조사!H344</f>
        <v>0</v>
      </c>
      <c r="I344" s="38">
        <f>단가조사!J344</f>
        <v>0</v>
      </c>
      <c r="J344" s="38">
        <f>단가조사!L344</f>
        <v>68260</v>
      </c>
      <c r="K344" s="38"/>
      <c r="L344" s="38">
        <f t="shared" si="5"/>
        <v>68260</v>
      </c>
      <c r="M344" s="15"/>
    </row>
    <row r="345" spans="2:13" ht="21.6" customHeight="1" x14ac:dyDescent="0.15">
      <c r="B345" s="13" t="s">
        <v>1372</v>
      </c>
      <c r="C345" s="12" t="s">
        <v>1002</v>
      </c>
      <c r="D345" s="12" t="s">
        <v>1003</v>
      </c>
      <c r="E345" s="12" t="s">
        <v>1004</v>
      </c>
      <c r="F345" s="31" t="s">
        <v>999</v>
      </c>
      <c r="G345" s="15">
        <v>2744.2901999999999</v>
      </c>
      <c r="H345" s="38"/>
      <c r="I345" s="38">
        <f>ROUNDDOWN(단가조사!G345, 0)</f>
        <v>273676</v>
      </c>
      <c r="J345" s="38"/>
      <c r="K345" s="38"/>
      <c r="L345" s="38">
        <f t="shared" si="5"/>
        <v>273676</v>
      </c>
      <c r="M345" s="15"/>
    </row>
    <row r="346" spans="2:13" ht="21.6" customHeight="1" x14ac:dyDescent="0.15">
      <c r="B346" s="13" t="s">
        <v>1373</v>
      </c>
      <c r="C346" s="12" t="s">
        <v>1005</v>
      </c>
      <c r="D346" s="12" t="s">
        <v>1003</v>
      </c>
      <c r="E346" s="12" t="s">
        <v>1006</v>
      </c>
      <c r="F346" s="31" t="s">
        <v>999</v>
      </c>
      <c r="G346" s="15">
        <v>347.01859999999999</v>
      </c>
      <c r="H346" s="38"/>
      <c r="I346" s="38">
        <f>ROUNDDOWN(단가조사!G346, 0)</f>
        <v>304156</v>
      </c>
      <c r="J346" s="38"/>
      <c r="K346" s="38"/>
      <c r="L346" s="38">
        <f t="shared" si="5"/>
        <v>304156</v>
      </c>
      <c r="M346" s="15"/>
    </row>
    <row r="347" spans="2:13" ht="21.6" customHeight="1" x14ac:dyDescent="0.15">
      <c r="B347" s="13" t="s">
        <v>1374</v>
      </c>
      <c r="C347" s="12" t="s">
        <v>1007</v>
      </c>
      <c r="D347" s="12" t="s">
        <v>1003</v>
      </c>
      <c r="E347" s="12" t="s">
        <v>1008</v>
      </c>
      <c r="F347" s="31" t="s">
        <v>999</v>
      </c>
      <c r="G347" s="15">
        <v>0.1145</v>
      </c>
      <c r="H347" s="38"/>
      <c r="I347" s="38">
        <f>ROUNDDOWN(단가조사!G347, 0)</f>
        <v>373640</v>
      </c>
      <c r="J347" s="38"/>
      <c r="K347" s="38"/>
      <c r="L347" s="38">
        <f t="shared" si="5"/>
        <v>373640</v>
      </c>
      <c r="M347" s="15"/>
    </row>
    <row r="348" spans="2:13" ht="21.6" customHeight="1" x14ac:dyDescent="0.15">
      <c r="B348" s="13" t="s">
        <v>1375</v>
      </c>
      <c r="C348" s="12" t="s">
        <v>1009</v>
      </c>
      <c r="D348" s="12" t="s">
        <v>1003</v>
      </c>
      <c r="E348" s="12" t="s">
        <v>1010</v>
      </c>
      <c r="F348" s="31" t="s">
        <v>999</v>
      </c>
      <c r="G348" s="15">
        <v>6.0464000000000002</v>
      </c>
      <c r="H348" s="38"/>
      <c r="I348" s="38">
        <f>ROUNDDOWN(단가조사!G348, 0)</f>
        <v>440616</v>
      </c>
      <c r="J348" s="38"/>
      <c r="K348" s="38"/>
      <c r="L348" s="38">
        <f t="shared" si="5"/>
        <v>440616</v>
      </c>
      <c r="M348" s="15"/>
    </row>
    <row r="349" spans="2:13" ht="21.6" customHeight="1" x14ac:dyDescent="0.15">
      <c r="B349" s="13" t="s">
        <v>1376</v>
      </c>
      <c r="C349" s="12" t="s">
        <v>1011</v>
      </c>
      <c r="D349" s="12" t="s">
        <v>1003</v>
      </c>
      <c r="E349" s="12" t="s">
        <v>1012</v>
      </c>
      <c r="F349" s="31" t="s">
        <v>999</v>
      </c>
      <c r="G349" s="15">
        <v>4.9539999999999997</v>
      </c>
      <c r="H349" s="38"/>
      <c r="I349" s="38">
        <f>ROUNDDOWN(단가조사!G349, 0)</f>
        <v>414968</v>
      </c>
      <c r="J349" s="38"/>
      <c r="K349" s="38"/>
      <c r="L349" s="38">
        <f t="shared" si="5"/>
        <v>414968</v>
      </c>
      <c r="M349" s="15"/>
    </row>
    <row r="350" spans="2:13" ht="21.6" customHeight="1" x14ac:dyDescent="0.15">
      <c r="B350" s="13" t="s">
        <v>1377</v>
      </c>
      <c r="C350" s="12" t="s">
        <v>1013</v>
      </c>
      <c r="D350" s="12" t="s">
        <v>1003</v>
      </c>
      <c r="E350" s="12" t="s">
        <v>1014</v>
      </c>
      <c r="F350" s="31" t="s">
        <v>999</v>
      </c>
      <c r="G350" s="15">
        <v>59.723999999999997</v>
      </c>
      <c r="H350" s="38"/>
      <c r="I350" s="38">
        <f>ROUNDDOWN(단가조사!G350, 0)</f>
        <v>436224</v>
      </c>
      <c r="J350" s="38"/>
      <c r="K350" s="38"/>
      <c r="L350" s="38">
        <f t="shared" si="5"/>
        <v>436224</v>
      </c>
      <c r="M350" s="15"/>
    </row>
    <row r="351" spans="2:13" ht="21.6" customHeight="1" x14ac:dyDescent="0.15">
      <c r="B351" s="13" t="s">
        <v>1378</v>
      </c>
      <c r="C351" s="12" t="s">
        <v>1015</v>
      </c>
      <c r="D351" s="12" t="s">
        <v>1003</v>
      </c>
      <c r="E351" s="12" t="s">
        <v>1016</v>
      </c>
      <c r="F351" s="31" t="s">
        <v>999</v>
      </c>
      <c r="G351" s="15">
        <v>1.56</v>
      </c>
      <c r="H351" s="38"/>
      <c r="I351" s="38">
        <f>ROUNDDOWN(단가조사!G351, 0)</f>
        <v>408942</v>
      </c>
      <c r="J351" s="38"/>
      <c r="K351" s="38"/>
      <c r="L351" s="38">
        <f t="shared" si="5"/>
        <v>408942</v>
      </c>
      <c r="M351" s="15"/>
    </row>
    <row r="352" spans="2:13" ht="21.6" customHeight="1" x14ac:dyDescent="0.15">
      <c r="B352" s="13" t="s">
        <v>1379</v>
      </c>
      <c r="C352" s="12" t="s">
        <v>1017</v>
      </c>
      <c r="D352" s="12" t="s">
        <v>1003</v>
      </c>
      <c r="E352" s="12" t="s">
        <v>1018</v>
      </c>
      <c r="F352" s="31" t="s">
        <v>999</v>
      </c>
      <c r="G352" s="15">
        <v>33.354999999999997</v>
      </c>
      <c r="H352" s="38"/>
      <c r="I352" s="38">
        <f>ROUNDDOWN(단가조사!G352, 0)</f>
        <v>172068</v>
      </c>
      <c r="J352" s="38"/>
      <c r="K352" s="38"/>
      <c r="L352" s="38">
        <f t="shared" si="5"/>
        <v>172068</v>
      </c>
      <c r="M352" s="15"/>
    </row>
    <row r="353" spans="2:13" ht="21.6" customHeight="1" x14ac:dyDescent="0.15">
      <c r="B353" s="13" t="s">
        <v>1380</v>
      </c>
      <c r="C353" s="12" t="s">
        <v>1019</v>
      </c>
      <c r="D353" s="12" t="s">
        <v>1003</v>
      </c>
      <c r="E353" s="12" t="s">
        <v>1020</v>
      </c>
      <c r="F353" s="31" t="s">
        <v>999</v>
      </c>
      <c r="G353" s="15">
        <v>2.66</v>
      </c>
      <c r="H353" s="38"/>
      <c r="I353" s="38">
        <f>ROUNDDOWN(단가조사!G353, 0)</f>
        <v>226122</v>
      </c>
      <c r="J353" s="38"/>
      <c r="K353" s="38"/>
      <c r="L353" s="38">
        <f t="shared" si="5"/>
        <v>226122</v>
      </c>
      <c r="M353" s="15"/>
    </row>
    <row r="354" spans="2:13" ht="21.6" customHeight="1" x14ac:dyDescent="0.15">
      <c r="B354" s="13" t="s">
        <v>1381</v>
      </c>
      <c r="C354" s="12" t="s">
        <v>1021</v>
      </c>
      <c r="D354" s="12" t="s">
        <v>1003</v>
      </c>
      <c r="E354" s="12" t="s">
        <v>1022</v>
      </c>
      <c r="F354" s="31" t="s">
        <v>999</v>
      </c>
      <c r="G354" s="15">
        <v>11.234400000000001</v>
      </c>
      <c r="H354" s="38"/>
      <c r="I354" s="38">
        <f>ROUNDDOWN(단가조사!G354, 0)</f>
        <v>228286</v>
      </c>
      <c r="J354" s="38"/>
      <c r="K354" s="38"/>
      <c r="L354" s="38">
        <f t="shared" si="5"/>
        <v>228286</v>
      </c>
      <c r="M354" s="15"/>
    </row>
    <row r="355" spans="2:13" ht="21.6" customHeight="1" x14ac:dyDescent="0.15">
      <c r="B355" s="13" t="s">
        <v>1382</v>
      </c>
      <c r="C355" s="12" t="s">
        <v>1023</v>
      </c>
      <c r="D355" s="12" t="s">
        <v>1003</v>
      </c>
      <c r="E355" s="12" t="s">
        <v>1024</v>
      </c>
      <c r="F355" s="31" t="s">
        <v>999</v>
      </c>
      <c r="G355" s="15">
        <v>0.1</v>
      </c>
      <c r="H355" s="38"/>
      <c r="I355" s="38">
        <f>ROUNDDOWN(단가조사!G355, 0)</f>
        <v>211653</v>
      </c>
      <c r="J355" s="38"/>
      <c r="K355" s="38"/>
      <c r="L355" s="38">
        <f t="shared" si="5"/>
        <v>211653</v>
      </c>
      <c r="M355" s="15"/>
    </row>
    <row r="356" spans="2:13" ht="21.6" customHeight="1" x14ac:dyDescent="0.15">
      <c r="B356" s="13" t="s">
        <v>1383</v>
      </c>
      <c r="C356" s="12" t="s">
        <v>1025</v>
      </c>
      <c r="D356" s="12" t="s">
        <v>1003</v>
      </c>
      <c r="E356" s="12" t="s">
        <v>1026</v>
      </c>
      <c r="F356" s="31" t="s">
        <v>999</v>
      </c>
      <c r="G356" s="15">
        <v>0.68</v>
      </c>
      <c r="H356" s="38"/>
      <c r="I356" s="38">
        <f>ROUNDDOWN(단가조사!G356, 0)</f>
        <v>215907</v>
      </c>
      <c r="J356" s="38"/>
      <c r="K356" s="38"/>
      <c r="L356" s="38">
        <f t="shared" si="5"/>
        <v>215907</v>
      </c>
      <c r="M356" s="15"/>
    </row>
    <row r="357" spans="2:13" ht="21.6" customHeight="1" x14ac:dyDescent="0.15">
      <c r="C357" s="12"/>
      <c r="D357" s="12"/>
      <c r="E357" s="12"/>
      <c r="F357" s="31"/>
      <c r="G357" s="15"/>
      <c r="H357" s="38"/>
      <c r="I357" s="38"/>
      <c r="J357" s="38"/>
      <c r="K357" s="38"/>
      <c r="L357" s="38"/>
      <c r="M357" s="15"/>
    </row>
    <row r="358" spans="2:13" ht="21.6" customHeight="1" x14ac:dyDescent="0.15">
      <c r="C358" s="12"/>
      <c r="D358" s="12"/>
      <c r="E358" s="12"/>
      <c r="F358" s="31"/>
      <c r="G358" s="15"/>
      <c r="H358" s="38"/>
      <c r="I358" s="38"/>
      <c r="J358" s="38"/>
      <c r="K358" s="38"/>
      <c r="L358" s="38"/>
      <c r="M358" s="15"/>
    </row>
    <row r="359" spans="2:13" ht="21.6" customHeight="1" x14ac:dyDescent="0.15">
      <c r="C359" s="12"/>
      <c r="D359" s="12"/>
      <c r="E359" s="12"/>
      <c r="F359" s="31"/>
      <c r="G359" s="15"/>
      <c r="H359" s="38"/>
      <c r="I359" s="38"/>
      <c r="J359" s="38"/>
      <c r="K359" s="38"/>
      <c r="L359" s="38"/>
      <c r="M359" s="15"/>
    </row>
    <row r="360" spans="2:13" ht="21.6" customHeight="1" x14ac:dyDescent="0.15">
      <c r="C360" s="12"/>
      <c r="D360" s="12"/>
      <c r="E360" s="12"/>
      <c r="F360" s="31"/>
      <c r="G360" s="15"/>
      <c r="H360" s="38"/>
      <c r="I360" s="38"/>
      <c r="J360" s="38"/>
      <c r="K360" s="38"/>
      <c r="L360" s="38"/>
      <c r="M360" s="15"/>
    </row>
    <row r="361" spans="2:13" ht="21.6" customHeight="1" x14ac:dyDescent="0.15">
      <c r="C361" s="12"/>
      <c r="D361" s="12"/>
      <c r="E361" s="12"/>
      <c r="F361" s="31"/>
      <c r="G361" s="15"/>
      <c r="H361" s="38"/>
      <c r="I361" s="38"/>
      <c r="J361" s="38"/>
      <c r="K361" s="38"/>
      <c r="L361" s="38"/>
      <c r="M361" s="15"/>
    </row>
    <row r="362" spans="2:13" ht="21.6" customHeight="1" x14ac:dyDescent="0.15">
      <c r="C362" s="12"/>
      <c r="D362" s="12"/>
      <c r="E362" s="12"/>
      <c r="F362" s="31"/>
      <c r="G362" s="15"/>
      <c r="H362" s="38"/>
      <c r="I362" s="38"/>
      <c r="J362" s="38"/>
      <c r="K362" s="38"/>
      <c r="L362" s="38"/>
      <c r="M362" s="15"/>
    </row>
    <row r="363" spans="2:13" ht="21.6" customHeight="1" x14ac:dyDescent="0.15">
      <c r="C363" s="12"/>
      <c r="D363" s="12"/>
      <c r="E363" s="12"/>
      <c r="F363" s="31"/>
      <c r="G363" s="15"/>
      <c r="H363" s="38"/>
      <c r="I363" s="38"/>
      <c r="J363" s="38"/>
      <c r="K363" s="38"/>
      <c r="L363" s="38"/>
      <c r="M363" s="15"/>
    </row>
    <row r="364" spans="2:13" ht="21.6" customHeight="1" x14ac:dyDescent="0.15">
      <c r="C364" s="12"/>
      <c r="D364" s="12"/>
      <c r="E364" s="12"/>
      <c r="F364" s="31"/>
      <c r="G364" s="15"/>
      <c r="H364" s="38"/>
      <c r="I364" s="38"/>
      <c r="J364" s="38"/>
      <c r="K364" s="38"/>
      <c r="L364" s="38"/>
      <c r="M364" s="15"/>
    </row>
    <row r="365" spans="2:13" ht="21.6" customHeight="1" x14ac:dyDescent="0.15">
      <c r="C365" s="12"/>
      <c r="D365" s="12"/>
      <c r="E365" s="12"/>
      <c r="F365" s="31"/>
      <c r="G365" s="15"/>
      <c r="H365" s="38"/>
      <c r="I365" s="38"/>
      <c r="J365" s="38"/>
      <c r="K365" s="38"/>
      <c r="L365" s="38"/>
      <c r="M365" s="15"/>
    </row>
    <row r="366" spans="2:13" ht="21.6" customHeight="1" x14ac:dyDescent="0.15">
      <c r="C366" s="12"/>
      <c r="D366" s="12"/>
      <c r="E366" s="12"/>
      <c r="F366" s="31"/>
      <c r="G366" s="15"/>
      <c r="H366" s="38"/>
      <c r="I366" s="38"/>
      <c r="J366" s="38"/>
      <c r="K366" s="38"/>
      <c r="L366" s="38"/>
      <c r="M366" s="15"/>
    </row>
    <row r="367" spans="2:13" ht="21.6" customHeight="1" x14ac:dyDescent="0.15">
      <c r="C367" s="12"/>
      <c r="D367" s="12"/>
      <c r="E367" s="12"/>
      <c r="F367" s="31"/>
      <c r="G367" s="15"/>
      <c r="H367" s="38"/>
      <c r="I367" s="38"/>
      <c r="J367" s="38"/>
      <c r="K367" s="38"/>
      <c r="L367" s="38"/>
      <c r="M367" s="15"/>
    </row>
  </sheetData>
  <mergeCells count="13">
    <mergeCell ref="L2:L3"/>
    <mergeCell ref="M2:M3"/>
    <mergeCell ref="K2:K3"/>
    <mergeCell ref="K1:L1"/>
    <mergeCell ref="I2:I3"/>
    <mergeCell ref="J2:J3"/>
    <mergeCell ref="C1:H1"/>
    <mergeCell ref="C2:C3"/>
    <mergeCell ref="D2:D3"/>
    <mergeCell ref="E2:E3"/>
    <mergeCell ref="F2:F3"/>
    <mergeCell ref="G2:G3"/>
    <mergeCell ref="H2:H3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3"/>
  <sheetViews>
    <sheetView topLeftCell="D1" workbookViewId="0">
      <pane ySplit="3" topLeftCell="A291" activePane="bottomLeft" state="frozen"/>
      <selection activeCell="D1" sqref="D1"/>
      <selection pane="bottomLeft" activeCell="M146" sqref="M146"/>
    </sheetView>
  </sheetViews>
  <sheetFormatPr defaultRowHeight="18.95" customHeight="1" x14ac:dyDescent="0.15"/>
  <cols>
    <col min="1" max="1" width="6.21875" style="13" hidden="1" customWidth="1"/>
    <col min="2" max="2" width="10.33203125" style="13" hidden="1" customWidth="1"/>
    <col min="3" max="3" width="15.44140625" style="13" hidden="1" customWidth="1"/>
    <col min="4" max="5" width="22.77734375" style="13" customWidth="1"/>
    <col min="6" max="6" width="4.5546875" style="8" customWidth="1"/>
    <col min="7" max="7" width="11.109375" style="35" customWidth="1"/>
    <col min="8" max="8" width="9.88671875" style="34" customWidth="1"/>
    <col min="9" max="9" width="11.21875" style="1" hidden="1" customWidth="1"/>
    <col min="10" max="10" width="9.88671875" style="34" customWidth="1"/>
    <col min="11" max="11" width="5.44140625" style="7" customWidth="1"/>
    <col min="12" max="12" width="11.21875" style="34" bestFit="1" customWidth="1"/>
    <col min="13" max="13" width="5.44140625" style="7" customWidth="1"/>
    <col min="14" max="14" width="9.88671875" style="34" customWidth="1"/>
    <col min="15" max="15" width="5.44140625" style="7" customWidth="1"/>
    <col min="16" max="16" width="9.88671875" style="34" customWidth="1"/>
    <col min="17" max="17" width="5.44140625" style="7" customWidth="1"/>
    <col min="18" max="18" width="3" style="34" hidden="1" customWidth="1"/>
    <col min="19" max="19" width="4.88671875" style="7" hidden="1" customWidth="1"/>
    <col min="20" max="20" width="10.77734375" style="13" customWidth="1"/>
    <col min="21" max="16384" width="8.88671875" style="2"/>
  </cols>
  <sheetData>
    <row r="1" spans="1:20" ht="18.95" customHeight="1" x14ac:dyDescent="0.15">
      <c r="B1" s="13" t="s">
        <v>1027</v>
      </c>
      <c r="D1" s="187" t="s">
        <v>3349</v>
      </c>
      <c r="E1" s="175"/>
      <c r="F1" s="175"/>
      <c r="G1" s="175"/>
      <c r="H1" s="175"/>
      <c r="I1" s="175"/>
      <c r="J1" s="175"/>
      <c r="K1" s="175"/>
      <c r="L1" s="185" t="s">
        <v>2</v>
      </c>
      <c r="M1" s="186"/>
      <c r="N1" s="186"/>
      <c r="O1" s="186"/>
      <c r="P1" s="186"/>
      <c r="Q1" s="2"/>
      <c r="R1" s="59"/>
      <c r="S1" s="2"/>
    </row>
    <row r="2" spans="1:20" ht="18.95" customHeight="1" x14ac:dyDescent="0.15">
      <c r="A2" s="167" t="s">
        <v>50</v>
      </c>
      <c r="B2" s="167" t="s">
        <v>27</v>
      </c>
      <c r="C2" s="167" t="s">
        <v>23</v>
      </c>
      <c r="D2" s="168" t="s">
        <v>57</v>
      </c>
      <c r="E2" s="168" t="s">
        <v>58</v>
      </c>
      <c r="F2" s="168" t="s">
        <v>24</v>
      </c>
      <c r="G2" s="164" t="s">
        <v>59</v>
      </c>
      <c r="H2" s="56" t="s">
        <v>126</v>
      </c>
      <c r="I2" s="56"/>
      <c r="J2" s="168" t="s">
        <v>122</v>
      </c>
      <c r="K2" s="168"/>
      <c r="L2" s="168" t="s">
        <v>25</v>
      </c>
      <c r="M2" s="168"/>
      <c r="N2" s="168" t="s">
        <v>162</v>
      </c>
      <c r="O2" s="168"/>
      <c r="P2" s="168" t="s">
        <v>123</v>
      </c>
      <c r="Q2" s="168"/>
      <c r="R2" s="168" t="s">
        <v>124</v>
      </c>
      <c r="S2" s="168"/>
      <c r="T2" s="168" t="s">
        <v>86</v>
      </c>
    </row>
    <row r="3" spans="1:20" ht="18.95" customHeight="1" x14ac:dyDescent="0.15">
      <c r="A3" s="167"/>
      <c r="B3" s="167"/>
      <c r="C3" s="167"/>
      <c r="D3" s="168"/>
      <c r="E3" s="168"/>
      <c r="F3" s="168"/>
      <c r="G3" s="164"/>
      <c r="H3" s="58" t="s">
        <v>26</v>
      </c>
      <c r="I3" s="56" t="s">
        <v>22</v>
      </c>
      <c r="J3" s="58" t="s">
        <v>26</v>
      </c>
      <c r="K3" s="56" t="s">
        <v>60</v>
      </c>
      <c r="L3" s="58" t="s">
        <v>26</v>
      </c>
      <c r="M3" s="56" t="s">
        <v>61</v>
      </c>
      <c r="N3" s="58" t="s">
        <v>87</v>
      </c>
      <c r="O3" s="56" t="s">
        <v>61</v>
      </c>
      <c r="P3" s="58" t="s">
        <v>87</v>
      </c>
      <c r="Q3" s="56" t="s">
        <v>61</v>
      </c>
      <c r="R3" s="58" t="s">
        <v>87</v>
      </c>
      <c r="S3" s="56" t="s">
        <v>61</v>
      </c>
      <c r="T3" s="168"/>
    </row>
    <row r="4" spans="1:20" ht="18.95" customHeight="1" x14ac:dyDescent="0.15">
      <c r="C4" s="13" t="s">
        <v>163</v>
      </c>
      <c r="D4" s="54" t="s">
        <v>164</v>
      </c>
      <c r="E4" s="54" t="s">
        <v>165</v>
      </c>
      <c r="F4" s="10" t="s">
        <v>166</v>
      </c>
      <c r="G4" s="38">
        <v>294</v>
      </c>
      <c r="H4" s="33">
        <v>294</v>
      </c>
      <c r="I4" s="3"/>
      <c r="J4" s="33">
        <v>332</v>
      </c>
      <c r="K4" s="11" t="s">
        <v>167</v>
      </c>
      <c r="L4" s="33">
        <v>440</v>
      </c>
      <c r="M4" s="11" t="s">
        <v>168</v>
      </c>
      <c r="N4" s="33">
        <v>390</v>
      </c>
      <c r="O4" s="11" t="s">
        <v>169</v>
      </c>
      <c r="P4" s="33"/>
      <c r="Q4" s="11"/>
      <c r="R4" s="33">
        <v>440</v>
      </c>
      <c r="S4" s="11" t="s">
        <v>170</v>
      </c>
      <c r="T4" s="12"/>
    </row>
    <row r="5" spans="1:20" ht="18.95" customHeight="1" x14ac:dyDescent="0.15">
      <c r="C5" s="13" t="s">
        <v>171</v>
      </c>
      <c r="D5" s="54" t="s">
        <v>164</v>
      </c>
      <c r="E5" s="54" t="s">
        <v>172</v>
      </c>
      <c r="F5" s="10" t="s">
        <v>166</v>
      </c>
      <c r="G5" s="38">
        <v>700</v>
      </c>
      <c r="H5" s="33">
        <v>700</v>
      </c>
      <c r="I5" s="3"/>
      <c r="J5" s="33">
        <v>774</v>
      </c>
      <c r="K5" s="11" t="s">
        <v>167</v>
      </c>
      <c r="L5" s="33">
        <v>1021</v>
      </c>
      <c r="M5" s="11" t="s">
        <v>168</v>
      </c>
      <c r="N5" s="33">
        <v>890</v>
      </c>
      <c r="O5" s="11" t="s">
        <v>169</v>
      </c>
      <c r="P5" s="33"/>
      <c r="Q5" s="11"/>
      <c r="R5" s="33">
        <v>1021</v>
      </c>
      <c r="S5" s="11" t="s">
        <v>170</v>
      </c>
      <c r="T5" s="12"/>
    </row>
    <row r="6" spans="1:20" ht="18.95" customHeight="1" x14ac:dyDescent="0.15">
      <c r="C6" s="13" t="s">
        <v>173</v>
      </c>
      <c r="D6" s="54" t="s">
        <v>164</v>
      </c>
      <c r="E6" s="54" t="s">
        <v>174</v>
      </c>
      <c r="F6" s="10" t="s">
        <v>166</v>
      </c>
      <c r="G6" s="38">
        <v>1007</v>
      </c>
      <c r="H6" s="33">
        <v>1007</v>
      </c>
      <c r="I6" s="3"/>
      <c r="J6" s="33">
        <v>1121</v>
      </c>
      <c r="K6" s="11" t="s">
        <v>167</v>
      </c>
      <c r="L6" s="33">
        <v>1373</v>
      </c>
      <c r="M6" s="11" t="s">
        <v>168</v>
      </c>
      <c r="N6" s="33">
        <v>1440</v>
      </c>
      <c r="O6" s="11" t="s">
        <v>169</v>
      </c>
      <c r="P6" s="33"/>
      <c r="Q6" s="11"/>
      <c r="R6" s="33">
        <v>1373</v>
      </c>
      <c r="S6" s="11" t="s">
        <v>170</v>
      </c>
      <c r="T6" s="12"/>
    </row>
    <row r="7" spans="1:20" ht="18.95" customHeight="1" x14ac:dyDescent="0.15">
      <c r="C7" s="13" t="s">
        <v>175</v>
      </c>
      <c r="D7" s="54" t="s">
        <v>164</v>
      </c>
      <c r="E7" s="54" t="s">
        <v>176</v>
      </c>
      <c r="F7" s="10" t="s">
        <v>166</v>
      </c>
      <c r="G7" s="38">
        <v>1245</v>
      </c>
      <c r="H7" s="33">
        <v>1245</v>
      </c>
      <c r="I7" s="3"/>
      <c r="J7" s="33">
        <v>1466</v>
      </c>
      <c r="K7" s="11" t="s">
        <v>167</v>
      </c>
      <c r="L7" s="33">
        <v>1794</v>
      </c>
      <c r="M7" s="11" t="s">
        <v>168</v>
      </c>
      <c r="N7" s="33">
        <v>1710</v>
      </c>
      <c r="O7" s="11" t="s">
        <v>169</v>
      </c>
      <c r="P7" s="33"/>
      <c r="Q7" s="11"/>
      <c r="R7" s="33">
        <v>1794</v>
      </c>
      <c r="S7" s="11" t="s">
        <v>170</v>
      </c>
      <c r="T7" s="12"/>
    </row>
    <row r="8" spans="1:20" ht="18.95" customHeight="1" x14ac:dyDescent="0.15">
      <c r="C8" s="13" t="s">
        <v>177</v>
      </c>
      <c r="D8" s="54" t="s">
        <v>178</v>
      </c>
      <c r="E8" s="54" t="s">
        <v>179</v>
      </c>
      <c r="F8" s="10" t="s">
        <v>166</v>
      </c>
      <c r="G8" s="38">
        <v>168</v>
      </c>
      <c r="H8" s="33">
        <v>168</v>
      </c>
      <c r="I8" s="3"/>
      <c r="J8" s="33">
        <v>267</v>
      </c>
      <c r="K8" s="11" t="s">
        <v>180</v>
      </c>
      <c r="L8" s="33">
        <v>275</v>
      </c>
      <c r="M8" s="11" t="s">
        <v>168</v>
      </c>
      <c r="N8" s="33">
        <v>200</v>
      </c>
      <c r="O8" s="11" t="s">
        <v>181</v>
      </c>
      <c r="P8" s="33"/>
      <c r="Q8" s="11"/>
      <c r="R8" s="33">
        <v>267</v>
      </c>
      <c r="S8" s="11" t="s">
        <v>182</v>
      </c>
      <c r="T8" s="12"/>
    </row>
    <row r="9" spans="1:20" ht="18.95" customHeight="1" x14ac:dyDescent="0.15">
      <c r="C9" s="13" t="s">
        <v>183</v>
      </c>
      <c r="D9" s="54" t="s">
        <v>178</v>
      </c>
      <c r="E9" s="54" t="s">
        <v>184</v>
      </c>
      <c r="F9" s="10" t="s">
        <v>166</v>
      </c>
      <c r="G9" s="38">
        <v>253</v>
      </c>
      <c r="H9" s="33">
        <v>253</v>
      </c>
      <c r="I9" s="3"/>
      <c r="J9" s="33">
        <v>373</v>
      </c>
      <c r="K9" s="11" t="s">
        <v>180</v>
      </c>
      <c r="L9" s="33">
        <v>412</v>
      </c>
      <c r="M9" s="11" t="s">
        <v>168</v>
      </c>
      <c r="N9" s="33">
        <v>300</v>
      </c>
      <c r="O9" s="11" t="s">
        <v>181</v>
      </c>
      <c r="P9" s="33"/>
      <c r="Q9" s="11"/>
      <c r="R9" s="33">
        <v>373</v>
      </c>
      <c r="S9" s="11" t="s">
        <v>182</v>
      </c>
      <c r="T9" s="12"/>
    </row>
    <row r="10" spans="1:20" ht="18.95" customHeight="1" x14ac:dyDescent="0.15">
      <c r="C10" s="13" t="s">
        <v>185</v>
      </c>
      <c r="D10" s="54" t="s">
        <v>186</v>
      </c>
      <c r="E10" s="54" t="s">
        <v>187</v>
      </c>
      <c r="F10" s="10" t="s">
        <v>166</v>
      </c>
      <c r="G10" s="38">
        <v>343</v>
      </c>
      <c r="H10" s="33">
        <v>343</v>
      </c>
      <c r="I10" s="3"/>
      <c r="J10" s="33">
        <v>391</v>
      </c>
      <c r="K10" s="11" t="s">
        <v>180</v>
      </c>
      <c r="L10" s="33">
        <v>480</v>
      </c>
      <c r="M10" s="11" t="s">
        <v>168</v>
      </c>
      <c r="N10" s="33">
        <v>360</v>
      </c>
      <c r="O10" s="11" t="s">
        <v>181</v>
      </c>
      <c r="P10" s="33"/>
      <c r="Q10" s="11"/>
      <c r="R10" s="33">
        <v>480</v>
      </c>
      <c r="S10" s="11" t="s">
        <v>188</v>
      </c>
      <c r="T10" s="12"/>
    </row>
    <row r="11" spans="1:20" ht="18.95" customHeight="1" x14ac:dyDescent="0.15">
      <c r="C11" s="13" t="s">
        <v>189</v>
      </c>
      <c r="D11" s="54" t="s">
        <v>186</v>
      </c>
      <c r="E11" s="54" t="s">
        <v>190</v>
      </c>
      <c r="F11" s="10" t="s">
        <v>166</v>
      </c>
      <c r="G11" s="38">
        <v>523</v>
      </c>
      <c r="H11" s="33">
        <v>523</v>
      </c>
      <c r="I11" s="3"/>
      <c r="J11" s="33">
        <v>563</v>
      </c>
      <c r="K11" s="11" t="s">
        <v>180</v>
      </c>
      <c r="L11" s="33">
        <v>607</v>
      </c>
      <c r="M11" s="11" t="s">
        <v>168</v>
      </c>
      <c r="N11" s="33">
        <v>550</v>
      </c>
      <c r="O11" s="11" t="s">
        <v>191</v>
      </c>
      <c r="P11" s="33"/>
      <c r="Q11" s="11"/>
      <c r="R11" s="33">
        <v>607</v>
      </c>
      <c r="S11" s="11" t="s">
        <v>188</v>
      </c>
      <c r="T11" s="12"/>
    </row>
    <row r="12" spans="1:20" ht="18.95" customHeight="1" x14ac:dyDescent="0.15">
      <c r="C12" s="13" t="s">
        <v>192</v>
      </c>
      <c r="D12" s="54" t="s">
        <v>186</v>
      </c>
      <c r="E12" s="54" t="s">
        <v>193</v>
      </c>
      <c r="F12" s="10" t="s">
        <v>166</v>
      </c>
      <c r="G12" s="38">
        <v>990</v>
      </c>
      <c r="H12" s="33">
        <v>990</v>
      </c>
      <c r="I12" s="3"/>
      <c r="J12" s="33">
        <v>1250</v>
      </c>
      <c r="K12" s="11" t="s">
        <v>180</v>
      </c>
      <c r="L12" s="33">
        <v>1239</v>
      </c>
      <c r="M12" s="11" t="s">
        <v>168</v>
      </c>
      <c r="N12" s="33">
        <v>1090</v>
      </c>
      <c r="O12" s="11" t="s">
        <v>194</v>
      </c>
      <c r="P12" s="33"/>
      <c r="Q12" s="11"/>
      <c r="R12" s="33">
        <v>1239</v>
      </c>
      <c r="S12" s="11" t="s">
        <v>188</v>
      </c>
      <c r="T12" s="12"/>
    </row>
    <row r="13" spans="1:20" ht="18.95" customHeight="1" x14ac:dyDescent="0.15">
      <c r="C13" s="13" t="s">
        <v>195</v>
      </c>
      <c r="D13" s="54" t="s">
        <v>186</v>
      </c>
      <c r="E13" s="54" t="s">
        <v>196</v>
      </c>
      <c r="F13" s="10" t="s">
        <v>166</v>
      </c>
      <c r="G13" s="38">
        <v>2796</v>
      </c>
      <c r="H13" s="33">
        <v>2796</v>
      </c>
      <c r="I13" s="3"/>
      <c r="J13" s="33">
        <v>3204</v>
      </c>
      <c r="K13" s="11" t="s">
        <v>180</v>
      </c>
      <c r="L13" s="33">
        <v>3440</v>
      </c>
      <c r="M13" s="11" t="s">
        <v>168</v>
      </c>
      <c r="N13" s="33">
        <v>3040</v>
      </c>
      <c r="O13" s="11" t="s">
        <v>191</v>
      </c>
      <c r="P13" s="33"/>
      <c r="Q13" s="11"/>
      <c r="R13" s="33">
        <v>3440</v>
      </c>
      <c r="S13" s="11" t="s">
        <v>188</v>
      </c>
      <c r="T13" s="12"/>
    </row>
    <row r="14" spans="1:20" ht="18.95" customHeight="1" x14ac:dyDescent="0.15">
      <c r="C14" s="13" t="s">
        <v>197</v>
      </c>
      <c r="D14" s="54" t="s">
        <v>198</v>
      </c>
      <c r="E14" s="54" t="s">
        <v>199</v>
      </c>
      <c r="F14" s="10" t="s">
        <v>200</v>
      </c>
      <c r="G14" s="38">
        <v>340</v>
      </c>
      <c r="H14" s="33">
        <v>354</v>
      </c>
      <c r="I14" s="3"/>
      <c r="J14" s="33">
        <v>1100</v>
      </c>
      <c r="K14" s="11"/>
      <c r="L14" s="33">
        <v>520</v>
      </c>
      <c r="M14" s="11" t="s">
        <v>201</v>
      </c>
      <c r="N14" s="33">
        <v>340</v>
      </c>
      <c r="O14" s="11" t="s">
        <v>202</v>
      </c>
      <c r="P14" s="33"/>
      <c r="Q14" s="11"/>
      <c r="R14" s="33"/>
      <c r="S14" s="11"/>
      <c r="T14" s="12"/>
    </row>
    <row r="15" spans="1:20" ht="18.95" customHeight="1" x14ac:dyDescent="0.15">
      <c r="C15" s="13" t="s">
        <v>203</v>
      </c>
      <c r="D15" s="54" t="s">
        <v>198</v>
      </c>
      <c r="E15" s="54" t="s">
        <v>204</v>
      </c>
      <c r="F15" s="10" t="s">
        <v>200</v>
      </c>
      <c r="G15" s="38">
        <v>545</v>
      </c>
      <c r="H15" s="33">
        <v>821</v>
      </c>
      <c r="I15" s="3"/>
      <c r="J15" s="33">
        <v>1830</v>
      </c>
      <c r="K15" s="11"/>
      <c r="L15" s="33">
        <v>545</v>
      </c>
      <c r="M15" s="11"/>
      <c r="N15" s="33">
        <v>880</v>
      </c>
      <c r="O15" s="11" t="s">
        <v>202</v>
      </c>
      <c r="P15" s="33"/>
      <c r="Q15" s="11"/>
      <c r="R15" s="33"/>
      <c r="S15" s="11"/>
      <c r="T15" s="12"/>
    </row>
    <row r="16" spans="1:20" ht="18.95" customHeight="1" x14ac:dyDescent="0.15">
      <c r="C16" s="13" t="s">
        <v>205</v>
      </c>
      <c r="D16" s="54" t="s">
        <v>198</v>
      </c>
      <c r="E16" s="54" t="s">
        <v>206</v>
      </c>
      <c r="F16" s="10" t="s">
        <v>200</v>
      </c>
      <c r="G16" s="38">
        <v>1175</v>
      </c>
      <c r="H16" s="33">
        <v>1175</v>
      </c>
      <c r="I16" s="3"/>
      <c r="J16" s="33">
        <v>2650</v>
      </c>
      <c r="K16" s="11"/>
      <c r="L16" s="33"/>
      <c r="M16" s="11"/>
      <c r="N16" s="33"/>
      <c r="O16" s="11"/>
      <c r="P16" s="33"/>
      <c r="Q16" s="11"/>
      <c r="R16" s="33"/>
      <c r="S16" s="11"/>
      <c r="T16" s="12"/>
    </row>
    <row r="17" spans="3:20" ht="18.95" customHeight="1" x14ac:dyDescent="0.15">
      <c r="C17" s="13" t="s">
        <v>207</v>
      </c>
      <c r="D17" s="54" t="s">
        <v>198</v>
      </c>
      <c r="E17" s="54" t="s">
        <v>208</v>
      </c>
      <c r="F17" s="10" t="s">
        <v>200</v>
      </c>
      <c r="G17" s="38">
        <v>1300</v>
      </c>
      <c r="H17" s="33">
        <v>2367</v>
      </c>
      <c r="I17" s="3"/>
      <c r="J17" s="33">
        <v>3980</v>
      </c>
      <c r="K17" s="11"/>
      <c r="L17" s="33">
        <v>1300</v>
      </c>
      <c r="M17" s="11" t="s">
        <v>201</v>
      </c>
      <c r="N17" s="33">
        <v>1500</v>
      </c>
      <c r="O17" s="11" t="s">
        <v>202</v>
      </c>
      <c r="P17" s="33"/>
      <c r="Q17" s="11"/>
      <c r="R17" s="33"/>
      <c r="S17" s="11"/>
      <c r="T17" s="12"/>
    </row>
    <row r="18" spans="3:20" ht="18.95" customHeight="1" x14ac:dyDescent="0.15">
      <c r="C18" s="13" t="s">
        <v>209</v>
      </c>
      <c r="D18" s="54" t="s">
        <v>198</v>
      </c>
      <c r="E18" s="54" t="s">
        <v>210</v>
      </c>
      <c r="F18" s="10" t="s">
        <v>200</v>
      </c>
      <c r="G18" s="38">
        <v>1900</v>
      </c>
      <c r="H18" s="33">
        <v>3252</v>
      </c>
      <c r="I18" s="3"/>
      <c r="J18" s="33">
        <v>5290</v>
      </c>
      <c r="K18" s="11"/>
      <c r="L18" s="33">
        <v>1900</v>
      </c>
      <c r="M18" s="11" t="s">
        <v>201</v>
      </c>
      <c r="N18" s="33">
        <v>1980</v>
      </c>
      <c r="O18" s="11" t="s">
        <v>202</v>
      </c>
      <c r="P18" s="33"/>
      <c r="Q18" s="11"/>
      <c r="R18" s="33"/>
      <c r="S18" s="11"/>
      <c r="T18" s="12"/>
    </row>
    <row r="19" spans="3:20" ht="18.95" customHeight="1" x14ac:dyDescent="0.15">
      <c r="C19" s="13" t="s">
        <v>211</v>
      </c>
      <c r="D19" s="54" t="s">
        <v>198</v>
      </c>
      <c r="E19" s="54" t="s">
        <v>212</v>
      </c>
      <c r="F19" s="10" t="s">
        <v>200</v>
      </c>
      <c r="G19" s="38">
        <v>2750</v>
      </c>
      <c r="H19" s="33">
        <v>3868</v>
      </c>
      <c r="I19" s="3"/>
      <c r="J19" s="33">
        <v>6740</v>
      </c>
      <c r="K19" s="11"/>
      <c r="L19" s="33">
        <v>2800</v>
      </c>
      <c r="M19" s="11" t="s">
        <v>201</v>
      </c>
      <c r="N19" s="33">
        <v>2750</v>
      </c>
      <c r="O19" s="11" t="s">
        <v>202</v>
      </c>
      <c r="P19" s="33"/>
      <c r="Q19" s="11"/>
      <c r="R19" s="33"/>
      <c r="S19" s="11"/>
      <c r="T19" s="12"/>
    </row>
    <row r="20" spans="3:20" ht="18.95" customHeight="1" x14ac:dyDescent="0.15">
      <c r="C20" s="13" t="s">
        <v>213</v>
      </c>
      <c r="D20" s="54" t="s">
        <v>198</v>
      </c>
      <c r="E20" s="54" t="s">
        <v>214</v>
      </c>
      <c r="F20" s="10" t="s">
        <v>200</v>
      </c>
      <c r="G20" s="38">
        <v>3740</v>
      </c>
      <c r="H20" s="33">
        <v>5241</v>
      </c>
      <c r="I20" s="3"/>
      <c r="J20" s="33">
        <v>8690</v>
      </c>
      <c r="K20" s="11"/>
      <c r="L20" s="33"/>
      <c r="M20" s="11"/>
      <c r="N20" s="33">
        <v>3740</v>
      </c>
      <c r="O20" s="11" t="s">
        <v>202</v>
      </c>
      <c r="P20" s="33"/>
      <c r="Q20" s="11"/>
      <c r="R20" s="33"/>
      <c r="S20" s="11"/>
      <c r="T20" s="12"/>
    </row>
    <row r="21" spans="3:20" ht="18.95" customHeight="1" x14ac:dyDescent="0.15">
      <c r="C21" s="13" t="s">
        <v>215</v>
      </c>
      <c r="D21" s="54" t="s">
        <v>198</v>
      </c>
      <c r="E21" s="54" t="s">
        <v>216</v>
      </c>
      <c r="F21" s="10" t="s">
        <v>166</v>
      </c>
      <c r="G21" s="38">
        <v>432</v>
      </c>
      <c r="H21" s="33">
        <v>600</v>
      </c>
      <c r="I21" s="3"/>
      <c r="J21" s="33">
        <v>1380</v>
      </c>
      <c r="K21" s="11"/>
      <c r="L21" s="33">
        <v>432</v>
      </c>
      <c r="M21" s="11"/>
      <c r="N21" s="33">
        <v>720</v>
      </c>
      <c r="O21" s="11" t="s">
        <v>202</v>
      </c>
      <c r="P21" s="33"/>
      <c r="Q21" s="11"/>
      <c r="R21" s="33"/>
      <c r="S21" s="11"/>
      <c r="T21" s="12"/>
    </row>
    <row r="22" spans="3:20" ht="18.95" customHeight="1" x14ac:dyDescent="0.15">
      <c r="C22" s="13" t="s">
        <v>217</v>
      </c>
      <c r="D22" s="54" t="s">
        <v>198</v>
      </c>
      <c r="E22" s="54" t="s">
        <v>218</v>
      </c>
      <c r="F22" s="10" t="s">
        <v>166</v>
      </c>
      <c r="G22" s="38">
        <v>707</v>
      </c>
      <c r="H22" s="33">
        <v>894</v>
      </c>
      <c r="I22" s="3"/>
      <c r="J22" s="33">
        <v>2180</v>
      </c>
      <c r="K22" s="11"/>
      <c r="L22" s="33">
        <v>707</v>
      </c>
      <c r="M22" s="11"/>
      <c r="N22" s="33">
        <v>1380</v>
      </c>
      <c r="O22" s="11" t="s">
        <v>202</v>
      </c>
      <c r="P22" s="33"/>
      <c r="Q22" s="11"/>
      <c r="R22" s="33"/>
      <c r="S22" s="11"/>
      <c r="T22" s="12"/>
    </row>
    <row r="23" spans="3:20" ht="18.95" customHeight="1" x14ac:dyDescent="0.15">
      <c r="C23" s="13" t="s">
        <v>219</v>
      </c>
      <c r="D23" s="54" t="s">
        <v>198</v>
      </c>
      <c r="E23" s="54" t="s">
        <v>220</v>
      </c>
      <c r="F23" s="10" t="s">
        <v>166</v>
      </c>
      <c r="G23" s="38">
        <v>854</v>
      </c>
      <c r="H23" s="33">
        <v>1885</v>
      </c>
      <c r="I23" s="3"/>
      <c r="J23" s="33">
        <v>2870</v>
      </c>
      <c r="K23" s="11"/>
      <c r="L23" s="33">
        <v>854</v>
      </c>
      <c r="M23" s="11"/>
      <c r="N23" s="33">
        <v>1970</v>
      </c>
      <c r="O23" s="11" t="s">
        <v>202</v>
      </c>
      <c r="P23" s="33"/>
      <c r="Q23" s="11"/>
      <c r="R23" s="33"/>
      <c r="S23" s="11"/>
      <c r="T23" s="12"/>
    </row>
    <row r="24" spans="3:20" ht="18.95" customHeight="1" x14ac:dyDescent="0.15">
      <c r="C24" s="13" t="s">
        <v>221</v>
      </c>
      <c r="D24" s="54" t="s">
        <v>198</v>
      </c>
      <c r="E24" s="54" t="s">
        <v>222</v>
      </c>
      <c r="F24" s="10" t="s">
        <v>166</v>
      </c>
      <c r="G24" s="38">
        <v>1950</v>
      </c>
      <c r="H24" s="33">
        <v>2282</v>
      </c>
      <c r="I24" s="3"/>
      <c r="J24" s="33">
        <v>4680</v>
      </c>
      <c r="K24" s="11"/>
      <c r="L24" s="33">
        <v>2184</v>
      </c>
      <c r="M24" s="11"/>
      <c r="N24" s="33">
        <v>1950</v>
      </c>
      <c r="O24" s="11" t="s">
        <v>202</v>
      </c>
      <c r="P24" s="33"/>
      <c r="Q24" s="11"/>
      <c r="R24" s="33"/>
      <c r="S24" s="11"/>
      <c r="T24" s="12"/>
    </row>
    <row r="25" spans="3:20" ht="18.95" customHeight="1" x14ac:dyDescent="0.15">
      <c r="C25" s="13" t="s">
        <v>223</v>
      </c>
      <c r="D25" s="54" t="s">
        <v>198</v>
      </c>
      <c r="E25" s="54" t="s">
        <v>224</v>
      </c>
      <c r="F25" s="10" t="s">
        <v>166</v>
      </c>
      <c r="G25" s="38">
        <v>2710</v>
      </c>
      <c r="H25" s="33">
        <v>3323</v>
      </c>
      <c r="I25" s="3"/>
      <c r="J25" s="33">
        <v>6830</v>
      </c>
      <c r="K25" s="11"/>
      <c r="L25" s="33">
        <v>3180</v>
      </c>
      <c r="M25" s="11"/>
      <c r="N25" s="33">
        <v>2710</v>
      </c>
      <c r="O25" s="11" t="s">
        <v>202</v>
      </c>
      <c r="P25" s="33"/>
      <c r="Q25" s="11"/>
      <c r="R25" s="33"/>
      <c r="S25" s="11"/>
      <c r="T25" s="12"/>
    </row>
    <row r="26" spans="3:20" ht="18.95" customHeight="1" x14ac:dyDescent="0.15">
      <c r="C26" s="13" t="s">
        <v>225</v>
      </c>
      <c r="D26" s="54" t="s">
        <v>198</v>
      </c>
      <c r="E26" s="54" t="s">
        <v>226</v>
      </c>
      <c r="F26" s="10" t="s">
        <v>166</v>
      </c>
      <c r="G26" s="38">
        <v>3570</v>
      </c>
      <c r="H26" s="33">
        <v>5104</v>
      </c>
      <c r="I26" s="3"/>
      <c r="J26" s="33">
        <v>10380</v>
      </c>
      <c r="K26" s="11"/>
      <c r="L26" s="33">
        <v>4680</v>
      </c>
      <c r="M26" s="11"/>
      <c r="N26" s="33">
        <v>3570</v>
      </c>
      <c r="O26" s="11" t="s">
        <v>202</v>
      </c>
      <c r="P26" s="33"/>
      <c r="Q26" s="11"/>
      <c r="R26" s="33"/>
      <c r="S26" s="11"/>
      <c r="T26" s="12"/>
    </row>
    <row r="27" spans="3:20" ht="18.95" customHeight="1" x14ac:dyDescent="0.15">
      <c r="C27" s="13" t="s">
        <v>227</v>
      </c>
      <c r="D27" s="54" t="s">
        <v>228</v>
      </c>
      <c r="E27" s="54" t="s">
        <v>229</v>
      </c>
      <c r="F27" s="10" t="s">
        <v>200</v>
      </c>
      <c r="G27" s="38">
        <v>18200</v>
      </c>
      <c r="H27" s="33">
        <v>21720</v>
      </c>
      <c r="I27" s="3"/>
      <c r="J27" s="33"/>
      <c r="K27" s="11"/>
      <c r="L27" s="33">
        <v>18200</v>
      </c>
      <c r="M27" s="11"/>
      <c r="N27" s="33"/>
      <c r="O27" s="11"/>
      <c r="P27" s="33"/>
      <c r="Q27" s="11"/>
      <c r="R27" s="33"/>
      <c r="S27" s="11"/>
      <c r="T27" s="12"/>
    </row>
    <row r="28" spans="3:20" ht="18.95" customHeight="1" x14ac:dyDescent="0.15">
      <c r="C28" s="13" t="s">
        <v>230</v>
      </c>
      <c r="D28" s="54" t="s">
        <v>228</v>
      </c>
      <c r="E28" s="54" t="s">
        <v>231</v>
      </c>
      <c r="F28" s="10" t="s">
        <v>200</v>
      </c>
      <c r="G28" s="38">
        <v>30282</v>
      </c>
      <c r="H28" s="33">
        <v>30282</v>
      </c>
      <c r="I28" s="3"/>
      <c r="J28" s="33"/>
      <c r="K28" s="11"/>
      <c r="L28" s="33"/>
      <c r="M28" s="11"/>
      <c r="N28" s="33"/>
      <c r="O28" s="11"/>
      <c r="P28" s="33"/>
      <c r="Q28" s="11"/>
      <c r="R28" s="33"/>
      <c r="S28" s="11"/>
      <c r="T28" s="12"/>
    </row>
    <row r="29" spans="3:20" ht="18.95" customHeight="1" x14ac:dyDescent="0.15">
      <c r="C29" s="13" t="s">
        <v>232</v>
      </c>
      <c r="D29" s="54" t="s">
        <v>233</v>
      </c>
      <c r="E29" s="54"/>
      <c r="F29" s="10" t="s">
        <v>200</v>
      </c>
      <c r="G29" s="38">
        <v>2472</v>
      </c>
      <c r="H29" s="33">
        <v>2472</v>
      </c>
      <c r="I29" s="3"/>
      <c r="J29" s="33">
        <v>3030</v>
      </c>
      <c r="K29" s="11" t="s">
        <v>201</v>
      </c>
      <c r="L29" s="33">
        <v>3030</v>
      </c>
      <c r="M29" s="11" t="s">
        <v>201</v>
      </c>
      <c r="N29" s="33"/>
      <c r="O29" s="11"/>
      <c r="P29" s="33"/>
      <c r="Q29" s="11"/>
      <c r="R29" s="33"/>
      <c r="S29" s="11"/>
      <c r="T29" s="12"/>
    </row>
    <row r="30" spans="3:20" ht="18.95" customHeight="1" x14ac:dyDescent="0.15">
      <c r="C30" s="13" t="s">
        <v>234</v>
      </c>
      <c r="D30" s="54" t="s">
        <v>235</v>
      </c>
      <c r="E30" s="54" t="s">
        <v>236</v>
      </c>
      <c r="F30" s="10" t="s">
        <v>200</v>
      </c>
      <c r="G30" s="38">
        <v>11752</v>
      </c>
      <c r="H30" s="33">
        <v>11752</v>
      </c>
      <c r="I30" s="3"/>
      <c r="J30" s="33"/>
      <c r="K30" s="11"/>
      <c r="L30" s="33">
        <v>16380</v>
      </c>
      <c r="M30" s="11"/>
      <c r="N30" s="33">
        <v>11880</v>
      </c>
      <c r="O30" s="11" t="s">
        <v>191</v>
      </c>
      <c r="P30" s="33"/>
      <c r="Q30" s="11"/>
      <c r="R30" s="33"/>
      <c r="S30" s="11"/>
      <c r="T30" s="12"/>
    </row>
    <row r="31" spans="3:20" ht="18.95" customHeight="1" x14ac:dyDescent="0.15">
      <c r="C31" s="13" t="s">
        <v>237</v>
      </c>
      <c r="D31" s="54" t="s">
        <v>235</v>
      </c>
      <c r="E31" s="54" t="s">
        <v>238</v>
      </c>
      <c r="F31" s="10" t="s">
        <v>200</v>
      </c>
      <c r="G31" s="38">
        <v>13389</v>
      </c>
      <c r="H31" s="33">
        <v>13389</v>
      </c>
      <c r="I31" s="3"/>
      <c r="J31" s="33"/>
      <c r="K31" s="11"/>
      <c r="L31" s="33">
        <v>18720</v>
      </c>
      <c r="M31" s="11"/>
      <c r="N31" s="33">
        <v>13860</v>
      </c>
      <c r="O31" s="11" t="s">
        <v>191</v>
      </c>
      <c r="P31" s="33"/>
      <c r="Q31" s="11"/>
      <c r="R31" s="33"/>
      <c r="S31" s="11"/>
      <c r="T31" s="12"/>
    </row>
    <row r="32" spans="3:20" ht="18.95" customHeight="1" x14ac:dyDescent="0.15">
      <c r="C32" s="13" t="s">
        <v>239</v>
      </c>
      <c r="D32" s="54" t="s">
        <v>235</v>
      </c>
      <c r="E32" s="54" t="s">
        <v>240</v>
      </c>
      <c r="F32" s="10" t="s">
        <v>200</v>
      </c>
      <c r="G32" s="38">
        <v>27097</v>
      </c>
      <c r="H32" s="33">
        <v>27097</v>
      </c>
      <c r="I32" s="3"/>
      <c r="J32" s="33"/>
      <c r="K32" s="11"/>
      <c r="L32" s="33">
        <v>28340</v>
      </c>
      <c r="M32" s="11"/>
      <c r="N32" s="33">
        <v>35750</v>
      </c>
      <c r="O32" s="11" t="s">
        <v>191</v>
      </c>
      <c r="P32" s="33"/>
      <c r="Q32" s="11"/>
      <c r="R32" s="33"/>
      <c r="S32" s="11"/>
      <c r="T32" s="12"/>
    </row>
    <row r="33" spans="3:20" ht="18.95" customHeight="1" x14ac:dyDescent="0.15">
      <c r="C33" s="13" t="s">
        <v>241</v>
      </c>
      <c r="D33" s="54" t="s">
        <v>242</v>
      </c>
      <c r="E33" s="54" t="s">
        <v>243</v>
      </c>
      <c r="F33" s="10" t="s">
        <v>200</v>
      </c>
      <c r="G33" s="38">
        <v>2709</v>
      </c>
      <c r="H33" s="33">
        <v>2709</v>
      </c>
      <c r="I33" s="3"/>
      <c r="J33" s="33"/>
      <c r="K33" s="11"/>
      <c r="L33" s="33"/>
      <c r="M33" s="11"/>
      <c r="N33" s="33">
        <v>3300</v>
      </c>
      <c r="O33" s="11" t="s">
        <v>244</v>
      </c>
      <c r="P33" s="33"/>
      <c r="Q33" s="11"/>
      <c r="R33" s="33"/>
      <c r="S33" s="11"/>
      <c r="T33" s="12"/>
    </row>
    <row r="34" spans="3:20" ht="18.95" customHeight="1" x14ac:dyDescent="0.15">
      <c r="C34" s="13" t="s">
        <v>245</v>
      </c>
      <c r="D34" s="54" t="s">
        <v>242</v>
      </c>
      <c r="E34" s="54" t="s">
        <v>246</v>
      </c>
      <c r="F34" s="10" t="s">
        <v>200</v>
      </c>
      <c r="G34" s="38">
        <v>2978</v>
      </c>
      <c r="H34" s="33">
        <v>2978</v>
      </c>
      <c r="I34" s="3"/>
      <c r="J34" s="33"/>
      <c r="K34" s="11"/>
      <c r="L34" s="33"/>
      <c r="M34" s="11"/>
      <c r="N34" s="33">
        <v>4950</v>
      </c>
      <c r="O34" s="11" t="s">
        <v>244</v>
      </c>
      <c r="P34" s="33"/>
      <c r="Q34" s="11"/>
      <c r="R34" s="33"/>
      <c r="S34" s="11"/>
      <c r="T34" s="12"/>
    </row>
    <row r="35" spans="3:20" ht="18.95" customHeight="1" x14ac:dyDescent="0.15">
      <c r="C35" s="13" t="s">
        <v>247</v>
      </c>
      <c r="D35" s="54" t="s">
        <v>242</v>
      </c>
      <c r="E35" s="54" t="s">
        <v>248</v>
      </c>
      <c r="F35" s="10" t="s">
        <v>200</v>
      </c>
      <c r="G35" s="38">
        <v>6773</v>
      </c>
      <c r="H35" s="33">
        <v>6773</v>
      </c>
      <c r="I35" s="3"/>
      <c r="J35" s="33"/>
      <c r="K35" s="11"/>
      <c r="L35" s="33"/>
      <c r="M35" s="11"/>
      <c r="N35" s="33">
        <v>13950</v>
      </c>
      <c r="O35" s="11" t="s">
        <v>244</v>
      </c>
      <c r="P35" s="33"/>
      <c r="Q35" s="11"/>
      <c r="R35" s="33"/>
      <c r="S35" s="11"/>
      <c r="T35" s="12"/>
    </row>
    <row r="36" spans="3:20" ht="18.95" customHeight="1" x14ac:dyDescent="0.15">
      <c r="C36" s="13" t="s">
        <v>249</v>
      </c>
      <c r="D36" s="54" t="s">
        <v>250</v>
      </c>
      <c r="E36" s="54" t="s">
        <v>251</v>
      </c>
      <c r="F36" s="10" t="s">
        <v>200</v>
      </c>
      <c r="G36" s="38">
        <v>3043</v>
      </c>
      <c r="H36" s="33">
        <v>3043</v>
      </c>
      <c r="I36" s="3"/>
      <c r="J36" s="33">
        <v>3440</v>
      </c>
      <c r="K36" s="11"/>
      <c r="L36" s="33"/>
      <c r="M36" s="11"/>
      <c r="N36" s="33">
        <v>3140</v>
      </c>
      <c r="O36" s="11" t="s">
        <v>202</v>
      </c>
      <c r="P36" s="33"/>
      <c r="Q36" s="11"/>
      <c r="R36" s="33"/>
      <c r="S36" s="11"/>
      <c r="T36" s="12"/>
    </row>
    <row r="37" spans="3:20" ht="18.95" customHeight="1" x14ac:dyDescent="0.15">
      <c r="C37" s="13" t="s">
        <v>252</v>
      </c>
      <c r="D37" s="54" t="s">
        <v>253</v>
      </c>
      <c r="E37" s="54" t="s">
        <v>254</v>
      </c>
      <c r="F37" s="10" t="s">
        <v>200</v>
      </c>
      <c r="G37" s="38">
        <v>859</v>
      </c>
      <c r="H37" s="33">
        <v>859</v>
      </c>
      <c r="I37" s="3"/>
      <c r="J37" s="33">
        <v>1292</v>
      </c>
      <c r="K37" s="11" t="s">
        <v>180</v>
      </c>
      <c r="L37" s="33">
        <v>1452</v>
      </c>
      <c r="M37" s="11" t="s">
        <v>168</v>
      </c>
      <c r="N37" s="33">
        <v>1090</v>
      </c>
      <c r="O37" s="11" t="s">
        <v>169</v>
      </c>
      <c r="P37" s="33"/>
      <c r="Q37" s="11"/>
      <c r="R37" s="33">
        <v>1193</v>
      </c>
      <c r="S37" s="11" t="s">
        <v>182</v>
      </c>
      <c r="T37" s="12"/>
    </row>
    <row r="38" spans="3:20" ht="18.95" customHeight="1" x14ac:dyDescent="0.15">
      <c r="C38" s="13" t="s">
        <v>255</v>
      </c>
      <c r="D38" s="54" t="s">
        <v>253</v>
      </c>
      <c r="E38" s="54" t="s">
        <v>256</v>
      </c>
      <c r="F38" s="10" t="s">
        <v>200</v>
      </c>
      <c r="G38" s="38">
        <v>1009</v>
      </c>
      <c r="H38" s="33">
        <v>1009</v>
      </c>
      <c r="I38" s="3"/>
      <c r="J38" s="33">
        <v>1473</v>
      </c>
      <c r="K38" s="11" t="s">
        <v>180</v>
      </c>
      <c r="L38" s="33">
        <v>2040</v>
      </c>
      <c r="M38" s="11" t="s">
        <v>168</v>
      </c>
      <c r="N38" s="33">
        <v>1220</v>
      </c>
      <c r="O38" s="11" t="s">
        <v>169</v>
      </c>
      <c r="P38" s="33"/>
      <c r="Q38" s="11"/>
      <c r="R38" s="33">
        <v>1360</v>
      </c>
      <c r="S38" s="11" t="s">
        <v>182</v>
      </c>
      <c r="T38" s="12"/>
    </row>
    <row r="39" spans="3:20" ht="18.95" customHeight="1" x14ac:dyDescent="0.15">
      <c r="C39" s="13" t="s">
        <v>257</v>
      </c>
      <c r="D39" s="54" t="s">
        <v>253</v>
      </c>
      <c r="E39" s="54" t="s">
        <v>258</v>
      </c>
      <c r="F39" s="10" t="s">
        <v>200</v>
      </c>
      <c r="G39" s="38">
        <v>1335</v>
      </c>
      <c r="H39" s="33">
        <v>1335</v>
      </c>
      <c r="I39" s="3"/>
      <c r="J39" s="33">
        <v>1973</v>
      </c>
      <c r="K39" s="11" t="s">
        <v>180</v>
      </c>
      <c r="L39" s="33">
        <v>2580</v>
      </c>
      <c r="M39" s="11" t="s">
        <v>168</v>
      </c>
      <c r="N39" s="33">
        <v>1590</v>
      </c>
      <c r="O39" s="11" t="s">
        <v>169</v>
      </c>
      <c r="P39" s="33"/>
      <c r="Q39" s="11"/>
      <c r="R39" s="33">
        <v>1822</v>
      </c>
      <c r="S39" s="11" t="s">
        <v>182</v>
      </c>
      <c r="T39" s="12"/>
    </row>
    <row r="40" spans="3:20" ht="18.95" customHeight="1" x14ac:dyDescent="0.15">
      <c r="C40" s="13" t="s">
        <v>259</v>
      </c>
      <c r="D40" s="54" t="s">
        <v>260</v>
      </c>
      <c r="E40" s="54" t="s">
        <v>261</v>
      </c>
      <c r="F40" s="10" t="s">
        <v>200</v>
      </c>
      <c r="G40" s="38">
        <v>627</v>
      </c>
      <c r="H40" s="33">
        <v>627</v>
      </c>
      <c r="I40" s="3"/>
      <c r="J40" s="33">
        <v>800</v>
      </c>
      <c r="K40" s="11" t="s">
        <v>262</v>
      </c>
      <c r="L40" s="33">
        <v>845</v>
      </c>
      <c r="M40" s="11" t="s">
        <v>263</v>
      </c>
      <c r="N40" s="33">
        <v>790</v>
      </c>
      <c r="O40" s="11" t="s">
        <v>264</v>
      </c>
      <c r="P40" s="33"/>
      <c r="Q40" s="11"/>
      <c r="R40" s="33">
        <v>845</v>
      </c>
      <c r="S40" s="11" t="s">
        <v>265</v>
      </c>
      <c r="T40" s="12"/>
    </row>
    <row r="41" spans="3:20" ht="18.95" customHeight="1" x14ac:dyDescent="0.15">
      <c r="C41" s="13" t="s">
        <v>266</v>
      </c>
      <c r="D41" s="54" t="s">
        <v>260</v>
      </c>
      <c r="E41" s="54" t="s">
        <v>267</v>
      </c>
      <c r="F41" s="10" t="s">
        <v>200</v>
      </c>
      <c r="G41" s="38">
        <v>730</v>
      </c>
      <c r="H41" s="33">
        <v>730</v>
      </c>
      <c r="I41" s="3"/>
      <c r="J41" s="33">
        <v>3100</v>
      </c>
      <c r="K41" s="11" t="s">
        <v>262</v>
      </c>
      <c r="L41" s="33">
        <v>973</v>
      </c>
      <c r="M41" s="11" t="s">
        <v>263</v>
      </c>
      <c r="N41" s="33">
        <v>920</v>
      </c>
      <c r="O41" s="11" t="s">
        <v>264</v>
      </c>
      <c r="P41" s="33"/>
      <c r="Q41" s="11"/>
      <c r="R41" s="33"/>
      <c r="S41" s="11"/>
      <c r="T41" s="12"/>
    </row>
    <row r="42" spans="3:20" ht="18.95" customHeight="1" x14ac:dyDescent="0.15">
      <c r="C42" s="13" t="s">
        <v>268</v>
      </c>
      <c r="D42" s="54" t="s">
        <v>269</v>
      </c>
      <c r="E42" s="54" t="s">
        <v>270</v>
      </c>
      <c r="F42" s="10" t="s">
        <v>200</v>
      </c>
      <c r="G42" s="38">
        <v>592</v>
      </c>
      <c r="H42" s="33">
        <v>592</v>
      </c>
      <c r="I42" s="3"/>
      <c r="J42" s="33">
        <v>650</v>
      </c>
      <c r="K42" s="11" t="s">
        <v>262</v>
      </c>
      <c r="L42" s="33">
        <v>700</v>
      </c>
      <c r="M42" s="11" t="s">
        <v>263</v>
      </c>
      <c r="N42" s="33">
        <v>650</v>
      </c>
      <c r="O42" s="11" t="s">
        <v>264</v>
      </c>
      <c r="P42" s="33"/>
      <c r="Q42" s="11"/>
      <c r="R42" s="33">
        <v>700</v>
      </c>
      <c r="S42" s="11" t="s">
        <v>265</v>
      </c>
      <c r="T42" s="12"/>
    </row>
    <row r="43" spans="3:20" ht="18.95" customHeight="1" x14ac:dyDescent="0.15">
      <c r="C43" s="13" t="s">
        <v>271</v>
      </c>
      <c r="D43" s="54" t="s">
        <v>269</v>
      </c>
      <c r="E43" s="54" t="s">
        <v>272</v>
      </c>
      <c r="F43" s="10" t="s">
        <v>200</v>
      </c>
      <c r="G43" s="38">
        <v>726</v>
      </c>
      <c r="H43" s="33">
        <v>824</v>
      </c>
      <c r="I43" s="3"/>
      <c r="J43" s="33">
        <v>1000</v>
      </c>
      <c r="K43" s="11" t="s">
        <v>262</v>
      </c>
      <c r="L43" s="33">
        <v>726</v>
      </c>
      <c r="M43" s="11" t="s">
        <v>263</v>
      </c>
      <c r="N43" s="33">
        <v>920</v>
      </c>
      <c r="O43" s="11" t="s">
        <v>264</v>
      </c>
      <c r="P43" s="33"/>
      <c r="Q43" s="11"/>
      <c r="R43" s="33">
        <v>973</v>
      </c>
      <c r="S43" s="11" t="s">
        <v>265</v>
      </c>
      <c r="T43" s="12"/>
    </row>
    <row r="44" spans="3:20" ht="18.95" customHeight="1" x14ac:dyDescent="0.15">
      <c r="C44" s="13" t="s">
        <v>273</v>
      </c>
      <c r="D44" s="54" t="s">
        <v>274</v>
      </c>
      <c r="E44" s="54" t="s">
        <v>275</v>
      </c>
      <c r="F44" s="10" t="s">
        <v>200</v>
      </c>
      <c r="G44" s="38">
        <v>724</v>
      </c>
      <c r="H44" s="33">
        <v>724</v>
      </c>
      <c r="I44" s="3"/>
      <c r="J44" s="33"/>
      <c r="K44" s="11"/>
      <c r="L44" s="33">
        <v>724</v>
      </c>
      <c r="M44" s="11"/>
      <c r="N44" s="33">
        <v>740</v>
      </c>
      <c r="O44" s="11" t="s">
        <v>264</v>
      </c>
      <c r="P44" s="33"/>
      <c r="Q44" s="11"/>
      <c r="R44" s="33"/>
      <c r="S44" s="11"/>
      <c r="T44" s="12"/>
    </row>
    <row r="45" spans="3:20" ht="18.95" customHeight="1" x14ac:dyDescent="0.15">
      <c r="C45" s="13" t="s">
        <v>276</v>
      </c>
      <c r="D45" s="54" t="s">
        <v>277</v>
      </c>
      <c r="E45" s="54" t="s">
        <v>278</v>
      </c>
      <c r="F45" s="10" t="s">
        <v>200</v>
      </c>
      <c r="G45" s="38">
        <v>282</v>
      </c>
      <c r="H45" s="33">
        <v>282</v>
      </c>
      <c r="I45" s="3"/>
      <c r="J45" s="33">
        <v>400</v>
      </c>
      <c r="K45" s="11" t="s">
        <v>262</v>
      </c>
      <c r="L45" s="33">
        <v>343</v>
      </c>
      <c r="M45" s="11" t="s">
        <v>263</v>
      </c>
      <c r="N45" s="33">
        <v>400</v>
      </c>
      <c r="O45" s="11" t="s">
        <v>264</v>
      </c>
      <c r="P45" s="33"/>
      <c r="Q45" s="11"/>
      <c r="R45" s="33"/>
      <c r="S45" s="11"/>
      <c r="T45" s="12"/>
    </row>
    <row r="46" spans="3:20" ht="18.95" customHeight="1" x14ac:dyDescent="0.15">
      <c r="C46" s="13" t="s">
        <v>279</v>
      </c>
      <c r="D46" s="54" t="s">
        <v>277</v>
      </c>
      <c r="E46" s="54" t="s">
        <v>280</v>
      </c>
      <c r="F46" s="10" t="s">
        <v>200</v>
      </c>
      <c r="G46" s="38">
        <v>293</v>
      </c>
      <c r="H46" s="33">
        <v>293</v>
      </c>
      <c r="I46" s="3"/>
      <c r="J46" s="33">
        <v>400</v>
      </c>
      <c r="K46" s="11" t="s">
        <v>262</v>
      </c>
      <c r="L46" s="33">
        <v>343</v>
      </c>
      <c r="M46" s="11" t="s">
        <v>263</v>
      </c>
      <c r="N46" s="33">
        <v>400</v>
      </c>
      <c r="O46" s="11" t="s">
        <v>264</v>
      </c>
      <c r="P46" s="33"/>
      <c r="Q46" s="11"/>
      <c r="R46" s="33"/>
      <c r="S46" s="11"/>
      <c r="T46" s="12"/>
    </row>
    <row r="47" spans="3:20" ht="18.95" customHeight="1" x14ac:dyDescent="0.15">
      <c r="C47" s="13" t="s">
        <v>281</v>
      </c>
      <c r="D47" s="54" t="s">
        <v>277</v>
      </c>
      <c r="E47" s="54" t="s">
        <v>282</v>
      </c>
      <c r="F47" s="10" t="s">
        <v>200</v>
      </c>
      <c r="G47" s="38">
        <v>283</v>
      </c>
      <c r="H47" s="33">
        <v>283</v>
      </c>
      <c r="I47" s="3"/>
      <c r="J47" s="33">
        <v>400</v>
      </c>
      <c r="K47" s="11" t="s">
        <v>262</v>
      </c>
      <c r="L47" s="33">
        <v>343</v>
      </c>
      <c r="M47" s="11" t="s">
        <v>263</v>
      </c>
      <c r="N47" s="33">
        <v>400</v>
      </c>
      <c r="O47" s="11" t="s">
        <v>264</v>
      </c>
      <c r="P47" s="33"/>
      <c r="Q47" s="11"/>
      <c r="R47" s="33"/>
      <c r="S47" s="11"/>
      <c r="T47" s="12"/>
    </row>
    <row r="48" spans="3:20" ht="18.95" customHeight="1" x14ac:dyDescent="0.15">
      <c r="C48" s="13" t="s">
        <v>283</v>
      </c>
      <c r="D48" s="54" t="s">
        <v>284</v>
      </c>
      <c r="E48" s="54" t="s">
        <v>285</v>
      </c>
      <c r="F48" s="10" t="s">
        <v>200</v>
      </c>
      <c r="G48" s="38">
        <v>23850</v>
      </c>
      <c r="H48" s="33"/>
      <c r="I48" s="3"/>
      <c r="J48" s="33">
        <v>23850</v>
      </c>
      <c r="K48" s="11"/>
      <c r="L48" s="33"/>
      <c r="M48" s="11"/>
      <c r="N48" s="33"/>
      <c r="O48" s="11"/>
      <c r="P48" s="33"/>
      <c r="Q48" s="11"/>
      <c r="R48" s="33"/>
      <c r="S48" s="11"/>
      <c r="T48" s="12"/>
    </row>
    <row r="49" spans="3:20" ht="18.95" customHeight="1" x14ac:dyDescent="0.15">
      <c r="C49" s="13" t="s">
        <v>286</v>
      </c>
      <c r="D49" s="54" t="s">
        <v>287</v>
      </c>
      <c r="E49" s="54" t="s">
        <v>288</v>
      </c>
      <c r="F49" s="10" t="s">
        <v>289</v>
      </c>
      <c r="G49" s="38">
        <v>2690</v>
      </c>
      <c r="H49" s="33"/>
      <c r="I49" s="3"/>
      <c r="J49" s="33">
        <v>4200</v>
      </c>
      <c r="K49" s="11" t="s">
        <v>262</v>
      </c>
      <c r="L49" s="33">
        <v>2690</v>
      </c>
      <c r="M49" s="11" t="s">
        <v>263</v>
      </c>
      <c r="N49" s="33"/>
      <c r="O49" s="11"/>
      <c r="P49" s="33"/>
      <c r="Q49" s="11"/>
      <c r="R49" s="33">
        <v>2690</v>
      </c>
      <c r="S49" s="11" t="s">
        <v>265</v>
      </c>
      <c r="T49" s="12"/>
    </row>
    <row r="50" spans="3:20" ht="18.95" customHeight="1" x14ac:dyDescent="0.15">
      <c r="C50" s="13" t="s">
        <v>290</v>
      </c>
      <c r="D50" s="54" t="s">
        <v>291</v>
      </c>
      <c r="E50" s="54" t="s">
        <v>292</v>
      </c>
      <c r="F50" s="10" t="s">
        <v>200</v>
      </c>
      <c r="G50" s="38">
        <v>2284</v>
      </c>
      <c r="H50" s="33">
        <v>2284</v>
      </c>
      <c r="I50" s="3"/>
      <c r="J50" s="33">
        <v>4200</v>
      </c>
      <c r="K50" s="11" t="s">
        <v>262</v>
      </c>
      <c r="L50" s="33">
        <v>2690</v>
      </c>
      <c r="M50" s="11" t="s">
        <v>263</v>
      </c>
      <c r="N50" s="33"/>
      <c r="O50" s="11"/>
      <c r="P50" s="33"/>
      <c r="Q50" s="11"/>
      <c r="R50" s="33">
        <v>2690</v>
      </c>
      <c r="S50" s="11" t="s">
        <v>265</v>
      </c>
      <c r="T50" s="12"/>
    </row>
    <row r="51" spans="3:20" ht="18.95" customHeight="1" x14ac:dyDescent="0.15">
      <c r="C51" s="13" t="s">
        <v>293</v>
      </c>
      <c r="D51" s="54" t="s">
        <v>291</v>
      </c>
      <c r="E51" s="54" t="s">
        <v>294</v>
      </c>
      <c r="F51" s="10" t="s">
        <v>200</v>
      </c>
      <c r="G51" s="38">
        <v>2854</v>
      </c>
      <c r="H51" s="33">
        <v>2854</v>
      </c>
      <c r="I51" s="3"/>
      <c r="J51" s="33">
        <v>7510</v>
      </c>
      <c r="K51" s="11" t="s">
        <v>262</v>
      </c>
      <c r="L51" s="33">
        <v>3360</v>
      </c>
      <c r="M51" s="11" t="s">
        <v>263</v>
      </c>
      <c r="N51" s="33">
        <v>3870</v>
      </c>
      <c r="O51" s="11" t="s">
        <v>264</v>
      </c>
      <c r="P51" s="33"/>
      <c r="Q51" s="11"/>
      <c r="R51" s="33">
        <v>3360</v>
      </c>
      <c r="S51" s="11" t="s">
        <v>265</v>
      </c>
      <c r="T51" s="12"/>
    </row>
    <row r="52" spans="3:20" ht="18.95" customHeight="1" x14ac:dyDescent="0.15">
      <c r="C52" s="13" t="s">
        <v>295</v>
      </c>
      <c r="D52" s="54" t="s">
        <v>291</v>
      </c>
      <c r="E52" s="54" t="s">
        <v>296</v>
      </c>
      <c r="F52" s="10" t="s">
        <v>200</v>
      </c>
      <c r="G52" s="38">
        <v>47523</v>
      </c>
      <c r="H52" s="33">
        <v>47523</v>
      </c>
      <c r="I52" s="3"/>
      <c r="J52" s="33">
        <v>52470</v>
      </c>
      <c r="K52" s="11"/>
      <c r="L52" s="33">
        <v>55910</v>
      </c>
      <c r="M52" s="11" t="s">
        <v>263</v>
      </c>
      <c r="N52" s="33"/>
      <c r="O52" s="11"/>
      <c r="P52" s="33"/>
      <c r="Q52" s="11"/>
      <c r="R52" s="33">
        <v>55910</v>
      </c>
      <c r="S52" s="11" t="s">
        <v>265</v>
      </c>
      <c r="T52" s="12"/>
    </row>
    <row r="53" spans="3:20" ht="18.95" customHeight="1" x14ac:dyDescent="0.15">
      <c r="C53" s="13" t="s">
        <v>297</v>
      </c>
      <c r="D53" s="54" t="s">
        <v>298</v>
      </c>
      <c r="E53" s="54" t="s">
        <v>299</v>
      </c>
      <c r="F53" s="10" t="s">
        <v>166</v>
      </c>
      <c r="G53" s="38">
        <v>2499</v>
      </c>
      <c r="H53" s="33">
        <v>2499</v>
      </c>
      <c r="I53" s="3"/>
      <c r="J53" s="33">
        <v>2500</v>
      </c>
      <c r="K53" s="11" t="s">
        <v>300</v>
      </c>
      <c r="L53" s="33">
        <v>5640</v>
      </c>
      <c r="M53" s="11" t="s">
        <v>301</v>
      </c>
      <c r="N53" s="33">
        <v>2970</v>
      </c>
      <c r="O53" s="11"/>
      <c r="P53" s="33"/>
      <c r="Q53" s="11"/>
      <c r="R53" s="33"/>
      <c r="S53" s="11"/>
      <c r="T53" s="12"/>
    </row>
    <row r="54" spans="3:20" ht="18.95" customHeight="1" x14ac:dyDescent="0.15">
      <c r="C54" s="13" t="s">
        <v>302</v>
      </c>
      <c r="D54" s="54" t="s">
        <v>298</v>
      </c>
      <c r="E54" s="54" t="s">
        <v>303</v>
      </c>
      <c r="F54" s="10" t="s">
        <v>166</v>
      </c>
      <c r="G54" s="38">
        <v>881</v>
      </c>
      <c r="H54" s="33">
        <v>881</v>
      </c>
      <c r="I54" s="3"/>
      <c r="J54" s="33">
        <v>1000</v>
      </c>
      <c r="K54" s="11" t="s">
        <v>300</v>
      </c>
      <c r="L54" s="33">
        <v>1840</v>
      </c>
      <c r="M54" s="11" t="s">
        <v>301</v>
      </c>
      <c r="N54" s="33">
        <v>980</v>
      </c>
      <c r="O54" s="11"/>
      <c r="P54" s="33"/>
      <c r="Q54" s="11"/>
      <c r="R54" s="33"/>
      <c r="S54" s="11"/>
      <c r="T54" s="12"/>
    </row>
    <row r="55" spans="3:20" ht="18.95" customHeight="1" x14ac:dyDescent="0.15">
      <c r="C55" s="13" t="s">
        <v>304</v>
      </c>
      <c r="D55" s="54" t="s">
        <v>298</v>
      </c>
      <c r="E55" s="54" t="s">
        <v>305</v>
      </c>
      <c r="F55" s="10" t="s">
        <v>200</v>
      </c>
      <c r="G55" s="38">
        <v>511</v>
      </c>
      <c r="H55" s="33">
        <v>511</v>
      </c>
      <c r="I55" s="3"/>
      <c r="J55" s="33">
        <v>680</v>
      </c>
      <c r="K55" s="11" t="s">
        <v>300</v>
      </c>
      <c r="L55" s="33">
        <v>1320</v>
      </c>
      <c r="M55" s="11" t="s">
        <v>301</v>
      </c>
      <c r="N55" s="33">
        <v>690</v>
      </c>
      <c r="O55" s="11"/>
      <c r="P55" s="33"/>
      <c r="Q55" s="11"/>
      <c r="R55" s="33"/>
      <c r="S55" s="11"/>
      <c r="T55" s="12"/>
    </row>
    <row r="56" spans="3:20" ht="18.95" customHeight="1" x14ac:dyDescent="0.15">
      <c r="C56" s="13" t="s">
        <v>306</v>
      </c>
      <c r="D56" s="54" t="s">
        <v>298</v>
      </c>
      <c r="E56" s="54" t="s">
        <v>307</v>
      </c>
      <c r="F56" s="10" t="s">
        <v>200</v>
      </c>
      <c r="G56" s="38">
        <v>387</v>
      </c>
      <c r="H56" s="33">
        <v>387</v>
      </c>
      <c r="I56" s="3"/>
      <c r="J56" s="33">
        <v>480</v>
      </c>
      <c r="K56" s="11" t="s">
        <v>300</v>
      </c>
      <c r="L56" s="33">
        <v>1180</v>
      </c>
      <c r="M56" s="11" t="s">
        <v>301</v>
      </c>
      <c r="N56" s="33">
        <v>510</v>
      </c>
      <c r="O56" s="11"/>
      <c r="P56" s="33"/>
      <c r="Q56" s="11"/>
      <c r="R56" s="33"/>
      <c r="S56" s="11"/>
      <c r="T56" s="12"/>
    </row>
    <row r="57" spans="3:20" ht="18.95" customHeight="1" x14ac:dyDescent="0.15">
      <c r="C57" s="13" t="s">
        <v>308</v>
      </c>
      <c r="D57" s="54" t="s">
        <v>298</v>
      </c>
      <c r="E57" s="54" t="s">
        <v>309</v>
      </c>
      <c r="F57" s="10" t="s">
        <v>200</v>
      </c>
      <c r="G57" s="38">
        <v>432</v>
      </c>
      <c r="H57" s="33">
        <v>432</v>
      </c>
      <c r="I57" s="3"/>
      <c r="J57" s="33">
        <v>680</v>
      </c>
      <c r="K57" s="11" t="s">
        <v>300</v>
      </c>
      <c r="L57" s="33">
        <v>1100</v>
      </c>
      <c r="M57" s="11" t="s">
        <v>301</v>
      </c>
      <c r="N57" s="33">
        <v>680</v>
      </c>
      <c r="O57" s="11"/>
      <c r="P57" s="33"/>
      <c r="Q57" s="11"/>
      <c r="R57" s="33"/>
      <c r="S57" s="11"/>
      <c r="T57" s="12"/>
    </row>
    <row r="58" spans="3:20" ht="18.95" customHeight="1" x14ac:dyDescent="0.15">
      <c r="C58" s="13" t="s">
        <v>310</v>
      </c>
      <c r="D58" s="54" t="s">
        <v>298</v>
      </c>
      <c r="E58" s="54" t="s">
        <v>311</v>
      </c>
      <c r="F58" s="10" t="s">
        <v>200</v>
      </c>
      <c r="G58" s="38">
        <v>980</v>
      </c>
      <c r="H58" s="33">
        <v>980</v>
      </c>
      <c r="I58" s="3"/>
      <c r="J58" s="33">
        <v>980</v>
      </c>
      <c r="K58" s="11" t="s">
        <v>300</v>
      </c>
      <c r="L58" s="33">
        <v>3380</v>
      </c>
      <c r="M58" s="11" t="s">
        <v>301</v>
      </c>
      <c r="N58" s="33">
        <v>1890</v>
      </c>
      <c r="O58" s="11"/>
      <c r="P58" s="33"/>
      <c r="Q58" s="11"/>
      <c r="R58" s="33"/>
      <c r="S58" s="11"/>
      <c r="T58" s="12"/>
    </row>
    <row r="59" spans="3:20" ht="18.95" customHeight="1" x14ac:dyDescent="0.15">
      <c r="C59" s="13" t="s">
        <v>312</v>
      </c>
      <c r="D59" s="54" t="s">
        <v>298</v>
      </c>
      <c r="E59" s="54" t="s">
        <v>313</v>
      </c>
      <c r="F59" s="10" t="s">
        <v>200</v>
      </c>
      <c r="G59" s="38">
        <v>360</v>
      </c>
      <c r="H59" s="33">
        <v>360</v>
      </c>
      <c r="I59" s="3"/>
      <c r="J59" s="33">
        <v>420</v>
      </c>
      <c r="K59" s="11"/>
      <c r="L59" s="33">
        <v>440</v>
      </c>
      <c r="M59" s="11" t="s">
        <v>301</v>
      </c>
      <c r="N59" s="33"/>
      <c r="O59" s="11"/>
      <c r="P59" s="33"/>
      <c r="Q59" s="11"/>
      <c r="R59" s="33"/>
      <c r="S59" s="11"/>
      <c r="T59" s="12"/>
    </row>
    <row r="60" spans="3:20" ht="18.95" customHeight="1" x14ac:dyDescent="0.15">
      <c r="C60" s="13" t="s">
        <v>314</v>
      </c>
      <c r="D60" s="54" t="s">
        <v>298</v>
      </c>
      <c r="E60" s="54" t="s">
        <v>315</v>
      </c>
      <c r="F60" s="10" t="s">
        <v>200</v>
      </c>
      <c r="G60" s="38">
        <v>2334</v>
      </c>
      <c r="H60" s="33">
        <v>2334</v>
      </c>
      <c r="I60" s="3"/>
      <c r="J60" s="33">
        <v>2400</v>
      </c>
      <c r="K60" s="11" t="s">
        <v>300</v>
      </c>
      <c r="L60" s="33"/>
      <c r="M60" s="11"/>
      <c r="N60" s="33">
        <v>2830</v>
      </c>
      <c r="O60" s="11"/>
      <c r="P60" s="33"/>
      <c r="Q60" s="11"/>
      <c r="R60" s="33"/>
      <c r="S60" s="11"/>
      <c r="T60" s="12"/>
    </row>
    <row r="61" spans="3:20" ht="18.95" customHeight="1" x14ac:dyDescent="0.15">
      <c r="C61" s="13" t="s">
        <v>316</v>
      </c>
      <c r="D61" s="54" t="s">
        <v>317</v>
      </c>
      <c r="E61" s="54" t="s">
        <v>318</v>
      </c>
      <c r="F61" s="10" t="s">
        <v>166</v>
      </c>
      <c r="G61" s="38">
        <v>30740</v>
      </c>
      <c r="H61" s="33"/>
      <c r="I61" s="3"/>
      <c r="J61" s="33">
        <v>30740</v>
      </c>
      <c r="K61" s="11" t="s">
        <v>319</v>
      </c>
      <c r="L61" s="33">
        <v>35390</v>
      </c>
      <c r="M61" s="11" t="s">
        <v>320</v>
      </c>
      <c r="N61" s="33">
        <v>35370</v>
      </c>
      <c r="O61" s="11"/>
      <c r="P61" s="33"/>
      <c r="Q61" s="11"/>
      <c r="R61" s="33"/>
      <c r="S61" s="11"/>
      <c r="T61" s="12"/>
    </row>
    <row r="62" spans="3:20" ht="18.95" customHeight="1" x14ac:dyDescent="0.15">
      <c r="C62" s="13" t="s">
        <v>321</v>
      </c>
      <c r="D62" s="54" t="s">
        <v>322</v>
      </c>
      <c r="E62" s="54" t="s">
        <v>323</v>
      </c>
      <c r="F62" s="10" t="s">
        <v>200</v>
      </c>
      <c r="G62" s="38">
        <v>46230</v>
      </c>
      <c r="H62" s="33"/>
      <c r="I62" s="3"/>
      <c r="J62" s="33">
        <v>46230</v>
      </c>
      <c r="K62" s="11" t="s">
        <v>319</v>
      </c>
      <c r="L62" s="33">
        <v>69270</v>
      </c>
      <c r="M62" s="11" t="s">
        <v>320</v>
      </c>
      <c r="N62" s="33">
        <v>73660</v>
      </c>
      <c r="O62" s="11"/>
      <c r="P62" s="33"/>
      <c r="Q62" s="11"/>
      <c r="R62" s="33"/>
      <c r="S62" s="11"/>
      <c r="T62" s="12"/>
    </row>
    <row r="63" spans="3:20" ht="18.95" customHeight="1" x14ac:dyDescent="0.15">
      <c r="C63" s="13" t="s">
        <v>324</v>
      </c>
      <c r="D63" s="54" t="s">
        <v>322</v>
      </c>
      <c r="E63" s="54" t="s">
        <v>325</v>
      </c>
      <c r="F63" s="10" t="s">
        <v>200</v>
      </c>
      <c r="G63" s="38">
        <v>46230</v>
      </c>
      <c r="H63" s="33"/>
      <c r="I63" s="3"/>
      <c r="J63" s="33">
        <v>46230</v>
      </c>
      <c r="K63" s="11" t="s">
        <v>319</v>
      </c>
      <c r="L63" s="33">
        <v>54840</v>
      </c>
      <c r="M63" s="11" t="s">
        <v>320</v>
      </c>
      <c r="N63" s="33">
        <v>73660</v>
      </c>
      <c r="O63" s="11"/>
      <c r="P63" s="33"/>
      <c r="Q63" s="11"/>
      <c r="R63" s="33"/>
      <c r="S63" s="11"/>
      <c r="T63" s="12"/>
    </row>
    <row r="64" spans="3:20" ht="18.95" customHeight="1" x14ac:dyDescent="0.15">
      <c r="C64" s="13" t="s">
        <v>326</v>
      </c>
      <c r="D64" s="54" t="s">
        <v>322</v>
      </c>
      <c r="E64" s="54" t="s">
        <v>327</v>
      </c>
      <c r="F64" s="10" t="s">
        <v>200</v>
      </c>
      <c r="G64" s="38">
        <v>754</v>
      </c>
      <c r="H64" s="33">
        <v>754</v>
      </c>
      <c r="I64" s="3"/>
      <c r="J64" s="33"/>
      <c r="K64" s="11"/>
      <c r="L64" s="33">
        <v>1200</v>
      </c>
      <c r="M64" s="11"/>
      <c r="N64" s="33">
        <v>1680</v>
      </c>
      <c r="O64" s="11" t="s">
        <v>328</v>
      </c>
      <c r="P64" s="33"/>
      <c r="Q64" s="11"/>
      <c r="R64" s="33"/>
      <c r="S64" s="11"/>
      <c r="T64" s="12"/>
    </row>
    <row r="65" spans="3:20" ht="18.95" customHeight="1" x14ac:dyDescent="0.15">
      <c r="C65" s="13" t="s">
        <v>329</v>
      </c>
      <c r="D65" s="54" t="s">
        <v>322</v>
      </c>
      <c r="E65" s="54" t="s">
        <v>330</v>
      </c>
      <c r="F65" s="10" t="s">
        <v>200</v>
      </c>
      <c r="G65" s="38">
        <v>55</v>
      </c>
      <c r="H65" s="33">
        <v>55</v>
      </c>
      <c r="I65" s="3"/>
      <c r="J65" s="33"/>
      <c r="K65" s="11"/>
      <c r="L65" s="33">
        <v>90</v>
      </c>
      <c r="M65" s="11"/>
      <c r="N65" s="33">
        <v>210</v>
      </c>
      <c r="O65" s="11" t="s">
        <v>328</v>
      </c>
      <c r="P65" s="33"/>
      <c r="Q65" s="11"/>
      <c r="R65" s="33"/>
      <c r="S65" s="11"/>
      <c r="T65" s="12"/>
    </row>
    <row r="66" spans="3:20" ht="18.95" customHeight="1" x14ac:dyDescent="0.15">
      <c r="C66" s="13" t="s">
        <v>331</v>
      </c>
      <c r="D66" s="54" t="s">
        <v>322</v>
      </c>
      <c r="E66" s="54" t="s">
        <v>332</v>
      </c>
      <c r="F66" s="10" t="s">
        <v>200</v>
      </c>
      <c r="G66" s="38">
        <v>2760</v>
      </c>
      <c r="H66" s="33">
        <v>2760</v>
      </c>
      <c r="I66" s="3"/>
      <c r="J66" s="33"/>
      <c r="K66" s="11"/>
      <c r="L66" s="33">
        <v>4740</v>
      </c>
      <c r="M66" s="11" t="s">
        <v>320</v>
      </c>
      <c r="N66" s="33"/>
      <c r="O66" s="11"/>
      <c r="P66" s="33"/>
      <c r="Q66" s="11"/>
      <c r="R66" s="33"/>
      <c r="S66" s="11"/>
      <c r="T66" s="12"/>
    </row>
    <row r="67" spans="3:20" ht="18.95" customHeight="1" x14ac:dyDescent="0.15">
      <c r="C67" s="13" t="s">
        <v>333</v>
      </c>
      <c r="D67" s="54" t="s">
        <v>322</v>
      </c>
      <c r="E67" s="54" t="s">
        <v>334</v>
      </c>
      <c r="F67" s="10" t="s">
        <v>200</v>
      </c>
      <c r="G67" s="38">
        <v>547</v>
      </c>
      <c r="H67" s="33">
        <v>547</v>
      </c>
      <c r="I67" s="3"/>
      <c r="J67" s="33"/>
      <c r="K67" s="11"/>
      <c r="L67" s="33"/>
      <c r="M67" s="11"/>
      <c r="N67" s="33"/>
      <c r="O67" s="11"/>
      <c r="P67" s="33"/>
      <c r="Q67" s="11"/>
      <c r="R67" s="33"/>
      <c r="S67" s="11"/>
      <c r="T67" s="12"/>
    </row>
    <row r="68" spans="3:20" ht="18.95" customHeight="1" x14ac:dyDescent="0.15">
      <c r="C68" s="13" t="s">
        <v>335</v>
      </c>
      <c r="D68" s="54" t="s">
        <v>322</v>
      </c>
      <c r="E68" s="54" t="s">
        <v>336</v>
      </c>
      <c r="F68" s="10" t="s">
        <v>200</v>
      </c>
      <c r="G68" s="38">
        <v>320</v>
      </c>
      <c r="H68" s="33">
        <v>332</v>
      </c>
      <c r="I68" s="3"/>
      <c r="J68" s="33"/>
      <c r="K68" s="11"/>
      <c r="L68" s="33">
        <v>320</v>
      </c>
      <c r="M68" s="11"/>
      <c r="N68" s="33"/>
      <c r="O68" s="11"/>
      <c r="P68" s="33"/>
      <c r="Q68" s="11"/>
      <c r="R68" s="33"/>
      <c r="S68" s="11"/>
      <c r="T68" s="12"/>
    </row>
    <row r="69" spans="3:20" ht="18.95" customHeight="1" x14ac:dyDescent="0.15">
      <c r="C69" s="13" t="s">
        <v>337</v>
      </c>
      <c r="D69" s="54" t="s">
        <v>322</v>
      </c>
      <c r="E69" s="54" t="s">
        <v>338</v>
      </c>
      <c r="F69" s="10" t="s">
        <v>200</v>
      </c>
      <c r="G69" s="38">
        <v>320</v>
      </c>
      <c r="H69" s="33">
        <v>458</v>
      </c>
      <c r="I69" s="3"/>
      <c r="J69" s="33"/>
      <c r="K69" s="11"/>
      <c r="L69" s="33">
        <v>320</v>
      </c>
      <c r="M69" s="11"/>
      <c r="N69" s="33">
        <v>840</v>
      </c>
      <c r="O69" s="11" t="s">
        <v>328</v>
      </c>
      <c r="P69" s="33"/>
      <c r="Q69" s="11"/>
      <c r="R69" s="33"/>
      <c r="S69" s="11"/>
      <c r="T69" s="12"/>
    </row>
    <row r="70" spans="3:20" ht="18.95" customHeight="1" x14ac:dyDescent="0.15">
      <c r="C70" s="13" t="s">
        <v>339</v>
      </c>
      <c r="D70" s="54" t="s">
        <v>322</v>
      </c>
      <c r="E70" s="54" t="s">
        <v>340</v>
      </c>
      <c r="F70" s="10" t="s">
        <v>166</v>
      </c>
      <c r="G70" s="38">
        <v>3900</v>
      </c>
      <c r="H70" s="33">
        <v>4811</v>
      </c>
      <c r="I70" s="3"/>
      <c r="J70" s="33"/>
      <c r="K70" s="11"/>
      <c r="L70" s="33">
        <v>3900</v>
      </c>
      <c r="M70" s="11"/>
      <c r="N70" s="33">
        <v>9100</v>
      </c>
      <c r="O70" s="11" t="s">
        <v>328</v>
      </c>
      <c r="P70" s="33"/>
      <c r="Q70" s="11"/>
      <c r="R70" s="33"/>
      <c r="S70" s="11"/>
      <c r="T70" s="12"/>
    </row>
    <row r="71" spans="3:20" ht="18.95" customHeight="1" x14ac:dyDescent="0.15">
      <c r="C71" s="13" t="s">
        <v>341</v>
      </c>
      <c r="D71" s="54" t="s">
        <v>317</v>
      </c>
      <c r="E71" s="54" t="s">
        <v>342</v>
      </c>
      <c r="F71" s="10" t="s">
        <v>166</v>
      </c>
      <c r="G71" s="38">
        <v>11070</v>
      </c>
      <c r="H71" s="33">
        <v>11070</v>
      </c>
      <c r="I71" s="3"/>
      <c r="J71" s="33"/>
      <c r="K71" s="11"/>
      <c r="L71" s="33"/>
      <c r="M71" s="11"/>
      <c r="N71" s="33"/>
      <c r="O71" s="11"/>
      <c r="P71" s="33"/>
      <c r="Q71" s="11"/>
      <c r="R71" s="33"/>
      <c r="S71" s="11"/>
      <c r="T71" s="12"/>
    </row>
    <row r="72" spans="3:20" ht="18.95" customHeight="1" x14ac:dyDescent="0.15">
      <c r="C72" s="13" t="s">
        <v>343</v>
      </c>
      <c r="D72" s="54" t="s">
        <v>322</v>
      </c>
      <c r="E72" s="54" t="s">
        <v>344</v>
      </c>
      <c r="F72" s="10" t="s">
        <v>200</v>
      </c>
      <c r="G72" s="38">
        <v>12910</v>
      </c>
      <c r="H72" s="33">
        <v>13550</v>
      </c>
      <c r="I72" s="3"/>
      <c r="J72" s="33">
        <v>12910</v>
      </c>
      <c r="K72" s="11"/>
      <c r="L72" s="33">
        <v>12910</v>
      </c>
      <c r="M72" s="11"/>
      <c r="N72" s="33"/>
      <c r="O72" s="11"/>
      <c r="P72" s="33"/>
      <c r="Q72" s="11"/>
      <c r="R72" s="33"/>
      <c r="S72" s="11"/>
      <c r="T72" s="12"/>
    </row>
    <row r="73" spans="3:20" ht="18.95" customHeight="1" x14ac:dyDescent="0.15">
      <c r="C73" s="13" t="s">
        <v>345</v>
      </c>
      <c r="D73" s="54" t="s">
        <v>322</v>
      </c>
      <c r="E73" s="54" t="s">
        <v>346</v>
      </c>
      <c r="F73" s="10" t="s">
        <v>200</v>
      </c>
      <c r="G73" s="38">
        <v>18200</v>
      </c>
      <c r="H73" s="33">
        <v>23000</v>
      </c>
      <c r="I73" s="3"/>
      <c r="J73" s="33">
        <v>18200</v>
      </c>
      <c r="K73" s="11"/>
      <c r="L73" s="33">
        <v>18200</v>
      </c>
      <c r="M73" s="11"/>
      <c r="N73" s="33"/>
      <c r="O73" s="11"/>
      <c r="P73" s="33"/>
      <c r="Q73" s="11"/>
      <c r="R73" s="33"/>
      <c r="S73" s="11"/>
      <c r="T73" s="12"/>
    </row>
    <row r="74" spans="3:20" ht="18.95" customHeight="1" x14ac:dyDescent="0.15">
      <c r="C74" s="13" t="s">
        <v>347</v>
      </c>
      <c r="D74" s="54" t="s">
        <v>322</v>
      </c>
      <c r="E74" s="54" t="s">
        <v>348</v>
      </c>
      <c r="F74" s="10" t="s">
        <v>200</v>
      </c>
      <c r="G74" s="38">
        <v>1800</v>
      </c>
      <c r="H74" s="33"/>
      <c r="I74" s="3"/>
      <c r="J74" s="33">
        <v>1800</v>
      </c>
      <c r="K74" s="11" t="s">
        <v>349</v>
      </c>
      <c r="L74" s="33"/>
      <c r="M74" s="11"/>
      <c r="N74" s="33"/>
      <c r="O74" s="11"/>
      <c r="P74" s="33"/>
      <c r="Q74" s="11"/>
      <c r="R74" s="33"/>
      <c r="S74" s="11"/>
      <c r="T74" s="12"/>
    </row>
    <row r="75" spans="3:20" ht="18.95" customHeight="1" x14ac:dyDescent="0.15">
      <c r="C75" s="13" t="s">
        <v>350</v>
      </c>
      <c r="D75" s="54" t="s">
        <v>351</v>
      </c>
      <c r="E75" s="54" t="s">
        <v>352</v>
      </c>
      <c r="F75" s="10" t="s">
        <v>166</v>
      </c>
      <c r="G75" s="38">
        <v>13189</v>
      </c>
      <c r="H75" s="33">
        <v>13189</v>
      </c>
      <c r="I75" s="3"/>
      <c r="J75" s="33">
        <v>14190</v>
      </c>
      <c r="K75" s="11" t="s">
        <v>300</v>
      </c>
      <c r="L75" s="33">
        <v>14190</v>
      </c>
      <c r="M75" s="11"/>
      <c r="N75" s="33"/>
      <c r="O75" s="11"/>
      <c r="P75" s="33"/>
      <c r="Q75" s="11"/>
      <c r="R75" s="33"/>
      <c r="S75" s="11"/>
      <c r="T75" s="12"/>
    </row>
    <row r="76" spans="3:20" ht="18.95" customHeight="1" x14ac:dyDescent="0.15">
      <c r="C76" s="13" t="s">
        <v>353</v>
      </c>
      <c r="D76" s="54" t="s">
        <v>354</v>
      </c>
      <c r="E76" s="54" t="s">
        <v>355</v>
      </c>
      <c r="F76" s="10" t="s">
        <v>200</v>
      </c>
      <c r="G76" s="38">
        <v>18097</v>
      </c>
      <c r="H76" s="33">
        <v>18097</v>
      </c>
      <c r="I76" s="3"/>
      <c r="J76" s="33">
        <v>31260</v>
      </c>
      <c r="K76" s="11" t="s">
        <v>300</v>
      </c>
      <c r="L76" s="33">
        <v>31260</v>
      </c>
      <c r="M76" s="11"/>
      <c r="N76" s="33"/>
      <c r="O76" s="11"/>
      <c r="P76" s="33"/>
      <c r="Q76" s="11"/>
      <c r="R76" s="33"/>
      <c r="S76" s="11"/>
      <c r="T76" s="12"/>
    </row>
    <row r="77" spans="3:20" ht="18.95" customHeight="1" x14ac:dyDescent="0.15">
      <c r="C77" s="13" t="s">
        <v>356</v>
      </c>
      <c r="D77" s="54" t="s">
        <v>354</v>
      </c>
      <c r="E77" s="54" t="s">
        <v>357</v>
      </c>
      <c r="F77" s="10" t="s">
        <v>200</v>
      </c>
      <c r="G77" s="38">
        <v>18097</v>
      </c>
      <c r="H77" s="33">
        <v>18097</v>
      </c>
      <c r="I77" s="3"/>
      <c r="J77" s="33">
        <v>31260</v>
      </c>
      <c r="K77" s="11" t="s">
        <v>300</v>
      </c>
      <c r="L77" s="33">
        <v>31260</v>
      </c>
      <c r="M77" s="11"/>
      <c r="N77" s="33"/>
      <c r="O77" s="11"/>
      <c r="P77" s="33"/>
      <c r="Q77" s="11"/>
      <c r="R77" s="33"/>
      <c r="S77" s="11"/>
      <c r="T77" s="12"/>
    </row>
    <row r="78" spans="3:20" ht="18.95" customHeight="1" x14ac:dyDescent="0.15">
      <c r="C78" s="13" t="s">
        <v>358</v>
      </c>
      <c r="D78" s="54" t="s">
        <v>359</v>
      </c>
      <c r="E78" s="54" t="s">
        <v>360</v>
      </c>
      <c r="F78" s="10" t="s">
        <v>200</v>
      </c>
      <c r="G78" s="38">
        <v>175</v>
      </c>
      <c r="H78" s="33">
        <v>175</v>
      </c>
      <c r="I78" s="3"/>
      <c r="J78" s="33"/>
      <c r="K78" s="11"/>
      <c r="L78" s="33"/>
      <c r="M78" s="11"/>
      <c r="N78" s="33">
        <v>220</v>
      </c>
      <c r="O78" s="11" t="s">
        <v>202</v>
      </c>
      <c r="P78" s="33"/>
      <c r="Q78" s="11"/>
      <c r="R78" s="33">
        <v>217</v>
      </c>
      <c r="S78" s="11" t="s">
        <v>361</v>
      </c>
      <c r="T78" s="12"/>
    </row>
    <row r="79" spans="3:20" ht="18.95" customHeight="1" x14ac:dyDescent="0.15">
      <c r="C79" s="13" t="s">
        <v>362</v>
      </c>
      <c r="D79" s="54" t="s">
        <v>359</v>
      </c>
      <c r="E79" s="54" t="s">
        <v>363</v>
      </c>
      <c r="F79" s="10" t="s">
        <v>200</v>
      </c>
      <c r="G79" s="38">
        <v>223</v>
      </c>
      <c r="H79" s="33">
        <v>223</v>
      </c>
      <c r="I79" s="3"/>
      <c r="J79" s="33"/>
      <c r="K79" s="11"/>
      <c r="L79" s="33"/>
      <c r="M79" s="11"/>
      <c r="N79" s="33">
        <v>260</v>
      </c>
      <c r="O79" s="11" t="s">
        <v>202</v>
      </c>
      <c r="P79" s="33"/>
      <c r="Q79" s="11"/>
      <c r="R79" s="33">
        <v>265</v>
      </c>
      <c r="S79" s="11" t="s">
        <v>361</v>
      </c>
      <c r="T79" s="12"/>
    </row>
    <row r="80" spans="3:20" ht="18.95" customHeight="1" x14ac:dyDescent="0.15">
      <c r="C80" s="13" t="s">
        <v>364</v>
      </c>
      <c r="D80" s="54" t="s">
        <v>359</v>
      </c>
      <c r="E80" s="54" t="s">
        <v>365</v>
      </c>
      <c r="F80" s="10" t="s">
        <v>200</v>
      </c>
      <c r="G80" s="38">
        <v>261</v>
      </c>
      <c r="H80" s="33">
        <v>261</v>
      </c>
      <c r="I80" s="3"/>
      <c r="J80" s="33"/>
      <c r="K80" s="11"/>
      <c r="L80" s="33"/>
      <c r="M80" s="11"/>
      <c r="N80" s="33">
        <v>300</v>
      </c>
      <c r="O80" s="11" t="s">
        <v>202</v>
      </c>
      <c r="P80" s="33"/>
      <c r="Q80" s="11"/>
      <c r="R80" s="33">
        <v>317</v>
      </c>
      <c r="S80" s="11" t="s">
        <v>361</v>
      </c>
      <c r="T80" s="12"/>
    </row>
    <row r="81" spans="3:20" ht="18.95" customHeight="1" x14ac:dyDescent="0.15">
      <c r="C81" s="13" t="s">
        <v>366</v>
      </c>
      <c r="D81" s="54" t="s">
        <v>359</v>
      </c>
      <c r="E81" s="54" t="s">
        <v>367</v>
      </c>
      <c r="F81" s="10" t="s">
        <v>200</v>
      </c>
      <c r="G81" s="38">
        <v>288</v>
      </c>
      <c r="H81" s="33">
        <v>288</v>
      </c>
      <c r="I81" s="3"/>
      <c r="J81" s="33"/>
      <c r="K81" s="11"/>
      <c r="L81" s="33"/>
      <c r="M81" s="11"/>
      <c r="N81" s="33">
        <v>380</v>
      </c>
      <c r="O81" s="11" t="s">
        <v>202</v>
      </c>
      <c r="P81" s="33"/>
      <c r="Q81" s="11"/>
      <c r="R81" s="33">
        <v>348</v>
      </c>
      <c r="S81" s="11" t="s">
        <v>361</v>
      </c>
      <c r="T81" s="12"/>
    </row>
    <row r="82" spans="3:20" ht="18.95" customHeight="1" x14ac:dyDescent="0.15">
      <c r="C82" s="13" t="s">
        <v>368</v>
      </c>
      <c r="D82" s="54" t="s">
        <v>359</v>
      </c>
      <c r="E82" s="54" t="s">
        <v>369</v>
      </c>
      <c r="F82" s="10" t="s">
        <v>200</v>
      </c>
      <c r="G82" s="38">
        <v>343</v>
      </c>
      <c r="H82" s="33">
        <v>343</v>
      </c>
      <c r="I82" s="3"/>
      <c r="J82" s="33">
        <v>360</v>
      </c>
      <c r="K82" s="11" t="s">
        <v>370</v>
      </c>
      <c r="L82" s="33">
        <v>727</v>
      </c>
      <c r="M82" s="11" t="s">
        <v>371</v>
      </c>
      <c r="N82" s="33">
        <v>620</v>
      </c>
      <c r="O82" s="11" t="s">
        <v>202</v>
      </c>
      <c r="P82" s="33"/>
      <c r="Q82" s="11"/>
      <c r="R82" s="33">
        <v>727</v>
      </c>
      <c r="S82" s="11" t="s">
        <v>361</v>
      </c>
      <c r="T82" s="12"/>
    </row>
    <row r="83" spans="3:20" ht="18.95" customHeight="1" x14ac:dyDescent="0.15">
      <c r="C83" s="13" t="s">
        <v>372</v>
      </c>
      <c r="D83" s="54" t="s">
        <v>359</v>
      </c>
      <c r="E83" s="54" t="s">
        <v>373</v>
      </c>
      <c r="F83" s="10" t="s">
        <v>200</v>
      </c>
      <c r="G83" s="38">
        <v>348</v>
      </c>
      <c r="H83" s="33">
        <v>348</v>
      </c>
      <c r="I83" s="3"/>
      <c r="J83" s="33">
        <v>370</v>
      </c>
      <c r="K83" s="11" t="s">
        <v>370</v>
      </c>
      <c r="L83" s="33">
        <v>745</v>
      </c>
      <c r="M83" s="11" t="s">
        <v>371</v>
      </c>
      <c r="N83" s="33">
        <v>650</v>
      </c>
      <c r="O83" s="11" t="s">
        <v>202</v>
      </c>
      <c r="P83" s="33"/>
      <c r="Q83" s="11"/>
      <c r="R83" s="33">
        <v>745</v>
      </c>
      <c r="S83" s="11" t="s">
        <v>361</v>
      </c>
      <c r="T83" s="12"/>
    </row>
    <row r="84" spans="3:20" ht="18.95" customHeight="1" x14ac:dyDescent="0.15">
      <c r="C84" s="13" t="s">
        <v>374</v>
      </c>
      <c r="D84" s="54" t="s">
        <v>359</v>
      </c>
      <c r="E84" s="54" t="s">
        <v>375</v>
      </c>
      <c r="F84" s="10" t="s">
        <v>200</v>
      </c>
      <c r="G84" s="38">
        <v>370</v>
      </c>
      <c r="H84" s="33">
        <v>370</v>
      </c>
      <c r="I84" s="3"/>
      <c r="J84" s="33">
        <v>410</v>
      </c>
      <c r="K84" s="11" t="s">
        <v>370</v>
      </c>
      <c r="L84" s="33">
        <v>782</v>
      </c>
      <c r="M84" s="11" t="s">
        <v>371</v>
      </c>
      <c r="N84" s="33">
        <v>680</v>
      </c>
      <c r="O84" s="11" t="s">
        <v>202</v>
      </c>
      <c r="P84" s="33"/>
      <c r="Q84" s="11"/>
      <c r="R84" s="33">
        <v>782</v>
      </c>
      <c r="S84" s="11" t="s">
        <v>361</v>
      </c>
      <c r="T84" s="12"/>
    </row>
    <row r="85" spans="3:20" ht="18.95" customHeight="1" x14ac:dyDescent="0.15">
      <c r="C85" s="13" t="s">
        <v>376</v>
      </c>
      <c r="D85" s="54" t="s">
        <v>359</v>
      </c>
      <c r="E85" s="54" t="s">
        <v>377</v>
      </c>
      <c r="F85" s="10" t="s">
        <v>200</v>
      </c>
      <c r="G85" s="38">
        <v>394</v>
      </c>
      <c r="H85" s="33">
        <v>394</v>
      </c>
      <c r="I85" s="3"/>
      <c r="J85" s="33">
        <v>420</v>
      </c>
      <c r="K85" s="11" t="s">
        <v>370</v>
      </c>
      <c r="L85" s="33">
        <v>828</v>
      </c>
      <c r="M85" s="11" t="s">
        <v>371</v>
      </c>
      <c r="N85" s="33">
        <v>720</v>
      </c>
      <c r="O85" s="11" t="s">
        <v>202</v>
      </c>
      <c r="P85" s="33"/>
      <c r="Q85" s="11"/>
      <c r="R85" s="33">
        <v>828</v>
      </c>
      <c r="S85" s="11" t="s">
        <v>361</v>
      </c>
      <c r="T85" s="12"/>
    </row>
    <row r="86" spans="3:20" ht="18.95" customHeight="1" x14ac:dyDescent="0.15">
      <c r="C86" s="13" t="s">
        <v>378</v>
      </c>
      <c r="D86" s="54" t="s">
        <v>359</v>
      </c>
      <c r="E86" s="54" t="s">
        <v>379</v>
      </c>
      <c r="F86" s="10" t="s">
        <v>200</v>
      </c>
      <c r="G86" s="38">
        <v>431</v>
      </c>
      <c r="H86" s="33">
        <v>431</v>
      </c>
      <c r="I86" s="3"/>
      <c r="J86" s="33">
        <v>450</v>
      </c>
      <c r="K86" s="11" t="s">
        <v>370</v>
      </c>
      <c r="L86" s="33">
        <v>904</v>
      </c>
      <c r="M86" s="11" t="s">
        <v>371</v>
      </c>
      <c r="N86" s="33">
        <v>760</v>
      </c>
      <c r="O86" s="11" t="s">
        <v>202</v>
      </c>
      <c r="P86" s="33"/>
      <c r="Q86" s="11"/>
      <c r="R86" s="33">
        <v>904</v>
      </c>
      <c r="S86" s="11" t="s">
        <v>361</v>
      </c>
      <c r="T86" s="12"/>
    </row>
    <row r="87" spans="3:20" ht="18.95" customHeight="1" x14ac:dyDescent="0.15">
      <c r="C87" s="13" t="s">
        <v>380</v>
      </c>
      <c r="D87" s="54" t="s">
        <v>359</v>
      </c>
      <c r="E87" s="54" t="s">
        <v>381</v>
      </c>
      <c r="F87" s="10" t="s">
        <v>200</v>
      </c>
      <c r="G87" s="38">
        <v>625</v>
      </c>
      <c r="H87" s="33">
        <v>625</v>
      </c>
      <c r="I87" s="3"/>
      <c r="J87" s="33">
        <v>660</v>
      </c>
      <c r="K87" s="11" t="s">
        <v>370</v>
      </c>
      <c r="L87" s="33">
        <v>1272</v>
      </c>
      <c r="M87" s="11" t="s">
        <v>371</v>
      </c>
      <c r="N87" s="33">
        <v>1050</v>
      </c>
      <c r="O87" s="11" t="s">
        <v>202</v>
      </c>
      <c r="P87" s="33"/>
      <c r="Q87" s="11"/>
      <c r="R87" s="33">
        <v>1272</v>
      </c>
      <c r="S87" s="11" t="s">
        <v>361</v>
      </c>
      <c r="T87" s="12"/>
    </row>
    <row r="88" spans="3:20" ht="18.95" customHeight="1" x14ac:dyDescent="0.15">
      <c r="C88" s="13" t="s">
        <v>382</v>
      </c>
      <c r="D88" s="54" t="s">
        <v>359</v>
      </c>
      <c r="E88" s="54" t="s">
        <v>383</v>
      </c>
      <c r="F88" s="10" t="s">
        <v>200</v>
      </c>
      <c r="G88" s="38">
        <v>675</v>
      </c>
      <c r="H88" s="33">
        <v>675</v>
      </c>
      <c r="I88" s="3"/>
      <c r="J88" s="33">
        <v>700</v>
      </c>
      <c r="K88" s="11" t="s">
        <v>370</v>
      </c>
      <c r="L88" s="33">
        <v>1422</v>
      </c>
      <c r="M88" s="11" t="s">
        <v>371</v>
      </c>
      <c r="N88" s="33">
        <v>1210</v>
      </c>
      <c r="O88" s="11" t="s">
        <v>202</v>
      </c>
      <c r="P88" s="33"/>
      <c r="Q88" s="11"/>
      <c r="R88" s="33">
        <v>1422</v>
      </c>
      <c r="S88" s="11" t="s">
        <v>361</v>
      </c>
      <c r="T88" s="12"/>
    </row>
    <row r="89" spans="3:20" ht="18.95" customHeight="1" x14ac:dyDescent="0.15">
      <c r="C89" s="13" t="s">
        <v>384</v>
      </c>
      <c r="D89" s="54" t="s">
        <v>385</v>
      </c>
      <c r="E89" s="54" t="s">
        <v>386</v>
      </c>
      <c r="F89" s="10" t="s">
        <v>200</v>
      </c>
      <c r="G89" s="38">
        <v>4360</v>
      </c>
      <c r="H89" s="33"/>
      <c r="I89" s="3"/>
      <c r="J89" s="33">
        <v>4360</v>
      </c>
      <c r="K89" s="11"/>
      <c r="L89" s="33"/>
      <c r="M89" s="11"/>
      <c r="N89" s="33"/>
      <c r="O89" s="11"/>
      <c r="P89" s="33"/>
      <c r="Q89" s="11"/>
      <c r="R89" s="33"/>
      <c r="S89" s="11"/>
      <c r="T89" s="12"/>
    </row>
    <row r="90" spans="3:20" ht="18.95" customHeight="1" x14ac:dyDescent="0.15">
      <c r="C90" s="13" t="s">
        <v>387</v>
      </c>
      <c r="D90" s="54" t="s">
        <v>388</v>
      </c>
      <c r="E90" s="54" t="s">
        <v>389</v>
      </c>
      <c r="F90" s="10" t="s">
        <v>200</v>
      </c>
      <c r="G90" s="38">
        <v>18000</v>
      </c>
      <c r="H90" s="33"/>
      <c r="I90" s="3"/>
      <c r="J90" s="33">
        <v>18000</v>
      </c>
      <c r="K90" s="11"/>
      <c r="L90" s="33"/>
      <c r="M90" s="11"/>
      <c r="N90" s="33"/>
      <c r="O90" s="11"/>
      <c r="P90" s="33">
        <v>18000</v>
      </c>
      <c r="Q90" s="11" t="s">
        <v>390</v>
      </c>
      <c r="R90" s="33"/>
      <c r="S90" s="11"/>
      <c r="T90" s="12"/>
    </row>
    <row r="91" spans="3:20" ht="18.95" customHeight="1" x14ac:dyDescent="0.15">
      <c r="C91" s="13" t="s">
        <v>391</v>
      </c>
      <c r="D91" s="54" t="s">
        <v>392</v>
      </c>
      <c r="E91" s="54" t="s">
        <v>393</v>
      </c>
      <c r="F91" s="10" t="s">
        <v>200</v>
      </c>
      <c r="G91" s="38">
        <v>920</v>
      </c>
      <c r="H91" s="33">
        <v>920</v>
      </c>
      <c r="I91" s="3"/>
      <c r="J91" s="33">
        <v>1170</v>
      </c>
      <c r="K91" s="11"/>
      <c r="L91" s="33">
        <v>1226</v>
      </c>
      <c r="M91" s="11" t="s">
        <v>394</v>
      </c>
      <c r="N91" s="33"/>
      <c r="O91" s="11"/>
      <c r="P91" s="33"/>
      <c r="Q91" s="11"/>
      <c r="R91" s="33">
        <v>1179</v>
      </c>
      <c r="S91" s="11" t="s">
        <v>395</v>
      </c>
      <c r="T91" s="12"/>
    </row>
    <row r="92" spans="3:20" ht="18.95" customHeight="1" x14ac:dyDescent="0.15">
      <c r="C92" s="13" t="s">
        <v>396</v>
      </c>
      <c r="D92" s="54" t="s">
        <v>397</v>
      </c>
      <c r="E92" s="54" t="s">
        <v>398</v>
      </c>
      <c r="F92" s="10" t="s">
        <v>166</v>
      </c>
      <c r="G92" s="38">
        <v>331</v>
      </c>
      <c r="H92" s="33">
        <v>331</v>
      </c>
      <c r="I92" s="3"/>
      <c r="J92" s="33">
        <v>363</v>
      </c>
      <c r="K92" s="11" t="s">
        <v>399</v>
      </c>
      <c r="L92" s="33">
        <v>437</v>
      </c>
      <c r="M92" s="11" t="s">
        <v>400</v>
      </c>
      <c r="N92" s="33">
        <v>351</v>
      </c>
      <c r="O92" s="11" t="s">
        <v>401</v>
      </c>
      <c r="P92" s="33"/>
      <c r="Q92" s="11"/>
      <c r="R92" s="33">
        <v>460</v>
      </c>
      <c r="S92" s="11" t="s">
        <v>402</v>
      </c>
      <c r="T92" s="12"/>
    </row>
    <row r="93" spans="3:20" ht="18.95" customHeight="1" x14ac:dyDescent="0.15">
      <c r="C93" s="13" t="s">
        <v>403</v>
      </c>
      <c r="D93" s="54" t="s">
        <v>397</v>
      </c>
      <c r="E93" s="54" t="s">
        <v>404</v>
      </c>
      <c r="F93" s="10" t="s">
        <v>166</v>
      </c>
      <c r="G93" s="38">
        <v>494</v>
      </c>
      <c r="H93" s="33">
        <v>494</v>
      </c>
      <c r="I93" s="3"/>
      <c r="J93" s="33">
        <v>552</v>
      </c>
      <c r="K93" s="11" t="s">
        <v>399</v>
      </c>
      <c r="L93" s="33">
        <v>720</v>
      </c>
      <c r="M93" s="11" t="s">
        <v>400</v>
      </c>
      <c r="N93" s="33">
        <v>515</v>
      </c>
      <c r="O93" s="11" t="s">
        <v>401</v>
      </c>
      <c r="P93" s="33"/>
      <c r="Q93" s="11"/>
      <c r="R93" s="33">
        <v>742</v>
      </c>
      <c r="S93" s="11" t="s">
        <v>402</v>
      </c>
      <c r="T93" s="12"/>
    </row>
    <row r="94" spans="3:20" ht="18.95" customHeight="1" x14ac:dyDescent="0.15">
      <c r="C94" s="13" t="s">
        <v>405</v>
      </c>
      <c r="D94" s="54" t="s">
        <v>397</v>
      </c>
      <c r="E94" s="54" t="s">
        <v>406</v>
      </c>
      <c r="F94" s="10" t="s">
        <v>166</v>
      </c>
      <c r="G94" s="38">
        <v>757</v>
      </c>
      <c r="H94" s="33">
        <v>757</v>
      </c>
      <c r="I94" s="3"/>
      <c r="J94" s="33">
        <v>836</v>
      </c>
      <c r="K94" s="11" t="s">
        <v>399</v>
      </c>
      <c r="L94" s="33">
        <v>1121</v>
      </c>
      <c r="M94" s="11" t="s">
        <v>400</v>
      </c>
      <c r="N94" s="33">
        <v>784</v>
      </c>
      <c r="O94" s="11" t="s">
        <v>401</v>
      </c>
      <c r="P94" s="33"/>
      <c r="Q94" s="11"/>
      <c r="R94" s="33">
        <v>1110</v>
      </c>
      <c r="S94" s="11" t="s">
        <v>402</v>
      </c>
      <c r="T94" s="12"/>
    </row>
    <row r="95" spans="3:20" ht="18.95" customHeight="1" x14ac:dyDescent="0.15">
      <c r="C95" s="13" t="s">
        <v>407</v>
      </c>
      <c r="D95" s="54" t="s">
        <v>408</v>
      </c>
      <c r="E95" s="54" t="s">
        <v>409</v>
      </c>
      <c r="F95" s="10" t="s">
        <v>166</v>
      </c>
      <c r="G95" s="38">
        <v>925</v>
      </c>
      <c r="H95" s="33">
        <v>925</v>
      </c>
      <c r="I95" s="3"/>
      <c r="J95" s="33">
        <v>1175</v>
      </c>
      <c r="K95" s="11" t="s">
        <v>410</v>
      </c>
      <c r="L95" s="33">
        <v>1144</v>
      </c>
      <c r="M95" s="11" t="s">
        <v>400</v>
      </c>
      <c r="N95" s="33">
        <v>1128</v>
      </c>
      <c r="O95" s="11" t="s">
        <v>411</v>
      </c>
      <c r="P95" s="33"/>
      <c r="Q95" s="11"/>
      <c r="R95" s="33">
        <v>1238</v>
      </c>
      <c r="S95" s="11" t="s">
        <v>402</v>
      </c>
      <c r="T95" s="12"/>
    </row>
    <row r="96" spans="3:20" ht="18.95" customHeight="1" x14ac:dyDescent="0.15">
      <c r="C96" s="13" t="s">
        <v>412</v>
      </c>
      <c r="D96" s="54" t="s">
        <v>408</v>
      </c>
      <c r="E96" s="54" t="s">
        <v>413</v>
      </c>
      <c r="F96" s="10" t="s">
        <v>166</v>
      </c>
      <c r="G96" s="38">
        <v>1031</v>
      </c>
      <c r="H96" s="33">
        <v>1031</v>
      </c>
      <c r="I96" s="3"/>
      <c r="J96" s="33">
        <v>1385</v>
      </c>
      <c r="K96" s="11" t="s">
        <v>410</v>
      </c>
      <c r="L96" s="33">
        <v>1302</v>
      </c>
      <c r="M96" s="11" t="s">
        <v>400</v>
      </c>
      <c r="N96" s="33">
        <v>1478</v>
      </c>
      <c r="O96" s="11" t="s">
        <v>411</v>
      </c>
      <c r="P96" s="33"/>
      <c r="Q96" s="11"/>
      <c r="R96" s="33">
        <v>1422</v>
      </c>
      <c r="S96" s="11" t="s">
        <v>402</v>
      </c>
      <c r="T96" s="12"/>
    </row>
    <row r="97" spans="3:20" ht="18.95" customHeight="1" x14ac:dyDescent="0.15">
      <c r="C97" s="13" t="s">
        <v>414</v>
      </c>
      <c r="D97" s="54" t="s">
        <v>408</v>
      </c>
      <c r="E97" s="54" t="s">
        <v>415</v>
      </c>
      <c r="F97" s="10" t="s">
        <v>166</v>
      </c>
      <c r="G97" s="38">
        <v>1870</v>
      </c>
      <c r="H97" s="33">
        <v>1870</v>
      </c>
      <c r="I97" s="3"/>
      <c r="J97" s="33">
        <v>2190</v>
      </c>
      <c r="K97" s="11" t="s">
        <v>410</v>
      </c>
      <c r="L97" s="33">
        <v>2194</v>
      </c>
      <c r="M97" s="11" t="s">
        <v>400</v>
      </c>
      <c r="N97" s="33">
        <v>2243</v>
      </c>
      <c r="O97" s="11" t="s">
        <v>411</v>
      </c>
      <c r="P97" s="33"/>
      <c r="Q97" s="11"/>
      <c r="R97" s="33">
        <v>2394</v>
      </c>
      <c r="S97" s="11" t="s">
        <v>402</v>
      </c>
      <c r="T97" s="12"/>
    </row>
    <row r="98" spans="3:20" ht="18.95" customHeight="1" x14ac:dyDescent="0.15">
      <c r="C98" s="13" t="s">
        <v>416</v>
      </c>
      <c r="D98" s="54" t="s">
        <v>408</v>
      </c>
      <c r="E98" s="54" t="s">
        <v>417</v>
      </c>
      <c r="F98" s="10" t="s">
        <v>166</v>
      </c>
      <c r="G98" s="38">
        <v>2365</v>
      </c>
      <c r="H98" s="33">
        <v>2365</v>
      </c>
      <c r="I98" s="3"/>
      <c r="J98" s="33">
        <v>3348</v>
      </c>
      <c r="K98" s="11" t="s">
        <v>410</v>
      </c>
      <c r="L98" s="33">
        <v>2995</v>
      </c>
      <c r="M98" s="11" t="s">
        <v>400</v>
      </c>
      <c r="N98" s="33">
        <v>3152</v>
      </c>
      <c r="O98" s="11" t="s">
        <v>411</v>
      </c>
      <c r="P98" s="33"/>
      <c r="Q98" s="11"/>
      <c r="R98" s="33">
        <v>3269</v>
      </c>
      <c r="S98" s="11" t="s">
        <v>402</v>
      </c>
      <c r="T98" s="12"/>
    </row>
    <row r="99" spans="3:20" ht="18.95" customHeight="1" x14ac:dyDescent="0.15">
      <c r="C99" s="13" t="s">
        <v>418</v>
      </c>
      <c r="D99" s="54" t="s">
        <v>408</v>
      </c>
      <c r="E99" s="54" t="s">
        <v>419</v>
      </c>
      <c r="F99" s="10" t="s">
        <v>166</v>
      </c>
      <c r="G99" s="38">
        <v>3796</v>
      </c>
      <c r="H99" s="33">
        <v>3796</v>
      </c>
      <c r="I99" s="3"/>
      <c r="J99" s="33">
        <v>4834</v>
      </c>
      <c r="K99" s="11" t="s">
        <v>410</v>
      </c>
      <c r="L99" s="33">
        <v>4600</v>
      </c>
      <c r="M99" s="11" t="s">
        <v>400</v>
      </c>
      <c r="N99" s="33">
        <v>4888</v>
      </c>
      <c r="O99" s="11" t="s">
        <v>411</v>
      </c>
      <c r="P99" s="33"/>
      <c r="Q99" s="11"/>
      <c r="R99" s="33">
        <v>5035</v>
      </c>
      <c r="S99" s="11" t="s">
        <v>402</v>
      </c>
      <c r="T99" s="12"/>
    </row>
    <row r="100" spans="3:20" ht="18.95" customHeight="1" x14ac:dyDescent="0.15">
      <c r="C100" s="13" t="s">
        <v>420</v>
      </c>
      <c r="D100" s="54" t="s">
        <v>408</v>
      </c>
      <c r="E100" s="54" t="s">
        <v>421</v>
      </c>
      <c r="F100" s="10" t="s">
        <v>166</v>
      </c>
      <c r="G100" s="38">
        <v>5377</v>
      </c>
      <c r="H100" s="33">
        <v>5377</v>
      </c>
      <c r="I100" s="3"/>
      <c r="J100" s="33">
        <v>6645</v>
      </c>
      <c r="K100" s="11" t="s">
        <v>410</v>
      </c>
      <c r="L100" s="33">
        <v>6497</v>
      </c>
      <c r="M100" s="11" t="s">
        <v>400</v>
      </c>
      <c r="N100" s="33">
        <v>6647</v>
      </c>
      <c r="O100" s="11" t="s">
        <v>411</v>
      </c>
      <c r="P100" s="33"/>
      <c r="Q100" s="11"/>
      <c r="R100" s="33">
        <v>7111</v>
      </c>
      <c r="S100" s="11" t="s">
        <v>402</v>
      </c>
      <c r="T100" s="12"/>
    </row>
    <row r="101" spans="3:20" ht="18.95" customHeight="1" x14ac:dyDescent="0.15">
      <c r="C101" s="13" t="s">
        <v>422</v>
      </c>
      <c r="D101" s="54" t="s">
        <v>408</v>
      </c>
      <c r="E101" s="54" t="s">
        <v>423</v>
      </c>
      <c r="F101" s="10" t="s">
        <v>166</v>
      </c>
      <c r="G101" s="38">
        <v>7083</v>
      </c>
      <c r="H101" s="33">
        <v>7083</v>
      </c>
      <c r="I101" s="3"/>
      <c r="J101" s="33">
        <v>9337</v>
      </c>
      <c r="K101" s="11" t="s">
        <v>410</v>
      </c>
      <c r="L101" s="33">
        <v>8832</v>
      </c>
      <c r="M101" s="11" t="s">
        <v>400</v>
      </c>
      <c r="N101" s="33">
        <v>8959</v>
      </c>
      <c r="O101" s="11" t="s">
        <v>411</v>
      </c>
      <c r="P101" s="33"/>
      <c r="Q101" s="11"/>
      <c r="R101" s="33">
        <v>9679</v>
      </c>
      <c r="S101" s="11" t="s">
        <v>402</v>
      </c>
      <c r="T101" s="12"/>
    </row>
    <row r="102" spans="3:20" ht="18.95" customHeight="1" x14ac:dyDescent="0.15">
      <c r="C102" s="13" t="s">
        <v>424</v>
      </c>
      <c r="D102" s="54" t="s">
        <v>408</v>
      </c>
      <c r="E102" s="54" t="s">
        <v>425</v>
      </c>
      <c r="F102" s="10" t="s">
        <v>166</v>
      </c>
      <c r="G102" s="38">
        <v>10058</v>
      </c>
      <c r="H102" s="33">
        <v>10058</v>
      </c>
      <c r="I102" s="3"/>
      <c r="J102" s="33">
        <v>13039</v>
      </c>
      <c r="K102" s="11" t="s">
        <v>410</v>
      </c>
      <c r="L102" s="33">
        <v>12438</v>
      </c>
      <c r="M102" s="11" t="s">
        <v>400</v>
      </c>
      <c r="N102" s="33">
        <v>12432</v>
      </c>
      <c r="O102" s="11" t="s">
        <v>411</v>
      </c>
      <c r="P102" s="33"/>
      <c r="Q102" s="11"/>
      <c r="R102" s="33">
        <v>13627</v>
      </c>
      <c r="S102" s="11" t="s">
        <v>402</v>
      </c>
      <c r="T102" s="12"/>
    </row>
    <row r="103" spans="3:20" ht="18.95" customHeight="1" x14ac:dyDescent="0.15">
      <c r="C103" s="13" t="s">
        <v>426</v>
      </c>
      <c r="D103" s="54" t="s">
        <v>408</v>
      </c>
      <c r="E103" s="54" t="s">
        <v>427</v>
      </c>
      <c r="F103" s="10" t="s">
        <v>166</v>
      </c>
      <c r="G103" s="38">
        <v>13492</v>
      </c>
      <c r="H103" s="33">
        <v>13492</v>
      </c>
      <c r="I103" s="3"/>
      <c r="J103" s="33">
        <v>17619</v>
      </c>
      <c r="K103" s="11" t="s">
        <v>410</v>
      </c>
      <c r="L103" s="33">
        <v>16743</v>
      </c>
      <c r="M103" s="11" t="s">
        <v>400</v>
      </c>
      <c r="N103" s="33">
        <v>17170</v>
      </c>
      <c r="O103" s="11" t="s">
        <v>411</v>
      </c>
      <c r="P103" s="33"/>
      <c r="Q103" s="11"/>
      <c r="R103" s="33">
        <v>18347</v>
      </c>
      <c r="S103" s="11" t="s">
        <v>402</v>
      </c>
      <c r="T103" s="12"/>
    </row>
    <row r="104" spans="3:20" ht="18.95" customHeight="1" x14ac:dyDescent="0.15">
      <c r="C104" s="13" t="s">
        <v>428</v>
      </c>
      <c r="D104" s="54" t="s">
        <v>408</v>
      </c>
      <c r="E104" s="54" t="s">
        <v>429</v>
      </c>
      <c r="F104" s="10" t="s">
        <v>166</v>
      </c>
      <c r="G104" s="38">
        <v>16965</v>
      </c>
      <c r="H104" s="33">
        <v>16965</v>
      </c>
      <c r="I104" s="3"/>
      <c r="J104" s="33">
        <v>20969</v>
      </c>
      <c r="K104" s="11" t="s">
        <v>410</v>
      </c>
      <c r="L104" s="33">
        <v>20473</v>
      </c>
      <c r="M104" s="11" t="s">
        <v>400</v>
      </c>
      <c r="N104" s="33">
        <v>21620</v>
      </c>
      <c r="O104" s="11" t="s">
        <v>411</v>
      </c>
      <c r="P104" s="33"/>
      <c r="Q104" s="11"/>
      <c r="R104" s="33">
        <v>22452</v>
      </c>
      <c r="S104" s="11" t="s">
        <v>402</v>
      </c>
      <c r="T104" s="12"/>
    </row>
    <row r="105" spans="3:20" ht="18.95" customHeight="1" x14ac:dyDescent="0.15">
      <c r="C105" s="13" t="s">
        <v>430</v>
      </c>
      <c r="D105" s="54" t="s">
        <v>431</v>
      </c>
      <c r="E105" s="54" t="s">
        <v>423</v>
      </c>
      <c r="F105" s="10" t="s">
        <v>166</v>
      </c>
      <c r="G105" s="38">
        <v>7573</v>
      </c>
      <c r="H105" s="33"/>
      <c r="I105" s="3"/>
      <c r="J105" s="33">
        <v>9390</v>
      </c>
      <c r="K105" s="11" t="s">
        <v>432</v>
      </c>
      <c r="L105" s="33">
        <v>7573</v>
      </c>
      <c r="M105" s="11" t="s">
        <v>433</v>
      </c>
      <c r="N105" s="33">
        <v>9590</v>
      </c>
      <c r="O105" s="11"/>
      <c r="P105" s="33"/>
      <c r="Q105" s="11"/>
      <c r="R105" s="33"/>
      <c r="S105" s="11"/>
      <c r="T105" s="12"/>
    </row>
    <row r="106" spans="3:20" ht="18.95" customHeight="1" x14ac:dyDescent="0.15">
      <c r="C106" s="13" t="s">
        <v>434</v>
      </c>
      <c r="D106" s="54" t="s">
        <v>435</v>
      </c>
      <c r="E106" s="54" t="s">
        <v>436</v>
      </c>
      <c r="F106" s="10" t="s">
        <v>166</v>
      </c>
      <c r="G106" s="38">
        <v>12139</v>
      </c>
      <c r="H106" s="33">
        <v>12139</v>
      </c>
      <c r="I106" s="3"/>
      <c r="J106" s="33">
        <v>14156</v>
      </c>
      <c r="K106" s="11" t="s">
        <v>399</v>
      </c>
      <c r="L106" s="33">
        <v>12766</v>
      </c>
      <c r="M106" s="11" t="s">
        <v>437</v>
      </c>
      <c r="N106" s="33">
        <v>13772</v>
      </c>
      <c r="O106" s="11" t="s">
        <v>411</v>
      </c>
      <c r="P106" s="33"/>
      <c r="Q106" s="11"/>
      <c r="R106" s="33">
        <v>13254</v>
      </c>
      <c r="S106" s="11" t="s">
        <v>438</v>
      </c>
      <c r="T106" s="12"/>
    </row>
    <row r="107" spans="3:20" ht="18.95" customHeight="1" x14ac:dyDescent="0.15">
      <c r="C107" s="13" t="s">
        <v>439</v>
      </c>
      <c r="D107" s="54" t="s">
        <v>440</v>
      </c>
      <c r="E107" s="54" t="s">
        <v>441</v>
      </c>
      <c r="F107" s="10" t="s">
        <v>166</v>
      </c>
      <c r="G107" s="38">
        <v>8645</v>
      </c>
      <c r="H107" s="33">
        <v>8645</v>
      </c>
      <c r="I107" s="3"/>
      <c r="J107" s="33">
        <v>10152</v>
      </c>
      <c r="K107" s="11" t="s">
        <v>399</v>
      </c>
      <c r="L107" s="33">
        <v>9155</v>
      </c>
      <c r="M107" s="11" t="s">
        <v>437</v>
      </c>
      <c r="N107" s="33">
        <v>9385</v>
      </c>
      <c r="O107" s="11" t="s">
        <v>442</v>
      </c>
      <c r="P107" s="33"/>
      <c r="Q107" s="11"/>
      <c r="R107" s="33">
        <v>9566</v>
      </c>
      <c r="S107" s="11" t="s">
        <v>443</v>
      </c>
      <c r="T107" s="12"/>
    </row>
    <row r="108" spans="3:20" ht="18.95" customHeight="1" x14ac:dyDescent="0.15">
      <c r="C108" s="13" t="s">
        <v>434</v>
      </c>
      <c r="D108" s="54" t="s">
        <v>440</v>
      </c>
      <c r="E108" s="54" t="s">
        <v>436</v>
      </c>
      <c r="F108" s="10" t="s">
        <v>166</v>
      </c>
      <c r="G108" s="38">
        <v>12139</v>
      </c>
      <c r="H108" s="33">
        <v>12139</v>
      </c>
      <c r="I108" s="3"/>
      <c r="J108" s="33">
        <v>14156</v>
      </c>
      <c r="K108" s="11" t="s">
        <v>399</v>
      </c>
      <c r="L108" s="33">
        <v>12766</v>
      </c>
      <c r="M108" s="11" t="s">
        <v>437</v>
      </c>
      <c r="N108" s="33">
        <v>13772</v>
      </c>
      <c r="O108" s="11" t="s">
        <v>411</v>
      </c>
      <c r="P108" s="33"/>
      <c r="Q108" s="11"/>
      <c r="R108" s="33">
        <v>13254</v>
      </c>
      <c r="S108" s="11" t="s">
        <v>438</v>
      </c>
      <c r="T108" s="12"/>
    </row>
    <row r="109" spans="3:20" ht="18.95" customHeight="1" x14ac:dyDescent="0.15">
      <c r="C109" s="13" t="s">
        <v>444</v>
      </c>
      <c r="D109" s="54" t="s">
        <v>445</v>
      </c>
      <c r="E109" s="54" t="s">
        <v>446</v>
      </c>
      <c r="F109" s="10" t="s">
        <v>166</v>
      </c>
      <c r="G109" s="38">
        <v>2106</v>
      </c>
      <c r="H109" s="33">
        <v>2106</v>
      </c>
      <c r="I109" s="3"/>
      <c r="J109" s="33">
        <v>2613</v>
      </c>
      <c r="K109" s="11" t="s">
        <v>399</v>
      </c>
      <c r="L109" s="33">
        <v>2197</v>
      </c>
      <c r="M109" s="11" t="s">
        <v>437</v>
      </c>
      <c r="N109" s="33">
        <v>2331</v>
      </c>
      <c r="O109" s="11" t="s">
        <v>411</v>
      </c>
      <c r="P109" s="33"/>
      <c r="Q109" s="11"/>
      <c r="R109" s="33">
        <v>2270</v>
      </c>
      <c r="S109" s="11" t="s">
        <v>438</v>
      </c>
      <c r="T109" s="12"/>
    </row>
    <row r="110" spans="3:20" ht="18.95" customHeight="1" x14ac:dyDescent="0.15">
      <c r="C110" s="13" t="s">
        <v>447</v>
      </c>
      <c r="D110" s="54" t="s">
        <v>445</v>
      </c>
      <c r="E110" s="54" t="s">
        <v>448</v>
      </c>
      <c r="F110" s="10" t="s">
        <v>166</v>
      </c>
      <c r="G110" s="38">
        <v>2772</v>
      </c>
      <c r="H110" s="33">
        <v>2772</v>
      </c>
      <c r="I110" s="3"/>
      <c r="J110" s="33">
        <v>3534</v>
      </c>
      <c r="K110" s="11" t="s">
        <v>399</v>
      </c>
      <c r="L110" s="33">
        <v>2972</v>
      </c>
      <c r="M110" s="11" t="s">
        <v>437</v>
      </c>
      <c r="N110" s="33">
        <v>3135</v>
      </c>
      <c r="O110" s="11" t="s">
        <v>411</v>
      </c>
      <c r="P110" s="33"/>
      <c r="Q110" s="11"/>
      <c r="R110" s="33">
        <v>3080</v>
      </c>
      <c r="S110" s="11" t="s">
        <v>438</v>
      </c>
      <c r="T110" s="12"/>
    </row>
    <row r="111" spans="3:20" ht="18.95" customHeight="1" x14ac:dyDescent="0.15">
      <c r="C111" s="13" t="s">
        <v>449</v>
      </c>
      <c r="D111" s="54" t="s">
        <v>445</v>
      </c>
      <c r="E111" s="54" t="s">
        <v>450</v>
      </c>
      <c r="F111" s="10" t="s">
        <v>166</v>
      </c>
      <c r="G111" s="38">
        <v>4101</v>
      </c>
      <c r="H111" s="33">
        <v>4101</v>
      </c>
      <c r="I111" s="3"/>
      <c r="J111" s="33">
        <v>5377</v>
      </c>
      <c r="K111" s="11" t="s">
        <v>399</v>
      </c>
      <c r="L111" s="33">
        <v>4522</v>
      </c>
      <c r="M111" s="11" t="s">
        <v>437</v>
      </c>
      <c r="N111" s="33">
        <v>4805</v>
      </c>
      <c r="O111" s="11" t="s">
        <v>411</v>
      </c>
      <c r="P111" s="33"/>
      <c r="Q111" s="11"/>
      <c r="R111" s="33">
        <v>4548</v>
      </c>
      <c r="S111" s="11" t="s">
        <v>438</v>
      </c>
      <c r="T111" s="12"/>
    </row>
    <row r="112" spans="3:20" ht="18.95" customHeight="1" x14ac:dyDescent="0.15">
      <c r="C112" s="13" t="s">
        <v>451</v>
      </c>
      <c r="D112" s="54" t="s">
        <v>445</v>
      </c>
      <c r="E112" s="54" t="s">
        <v>452</v>
      </c>
      <c r="F112" s="10" t="s">
        <v>166</v>
      </c>
      <c r="G112" s="38">
        <v>2800</v>
      </c>
      <c r="H112" s="33">
        <v>2800</v>
      </c>
      <c r="I112" s="3"/>
      <c r="J112" s="33">
        <v>3459</v>
      </c>
      <c r="K112" s="11" t="s">
        <v>399</v>
      </c>
      <c r="L112" s="33">
        <v>2909</v>
      </c>
      <c r="M112" s="11" t="s">
        <v>437</v>
      </c>
      <c r="N112" s="33">
        <v>3200</v>
      </c>
      <c r="O112" s="11" t="s">
        <v>411</v>
      </c>
      <c r="P112" s="33"/>
      <c r="Q112" s="11"/>
      <c r="R112" s="33">
        <v>3002</v>
      </c>
      <c r="S112" s="11" t="s">
        <v>438</v>
      </c>
      <c r="T112" s="12"/>
    </row>
    <row r="113" spans="3:20" ht="18.95" customHeight="1" x14ac:dyDescent="0.15">
      <c r="C113" s="13" t="s">
        <v>453</v>
      </c>
      <c r="D113" s="54" t="s">
        <v>445</v>
      </c>
      <c r="E113" s="54" t="s">
        <v>454</v>
      </c>
      <c r="F113" s="10" t="s">
        <v>166</v>
      </c>
      <c r="G113" s="38">
        <v>3807</v>
      </c>
      <c r="H113" s="33">
        <v>3807</v>
      </c>
      <c r="I113" s="3"/>
      <c r="J113" s="33">
        <v>4775</v>
      </c>
      <c r="K113" s="11" t="s">
        <v>399</v>
      </c>
      <c r="L113" s="33">
        <v>4017</v>
      </c>
      <c r="M113" s="11" t="s">
        <v>437</v>
      </c>
      <c r="N113" s="33">
        <v>4356</v>
      </c>
      <c r="O113" s="11" t="s">
        <v>411</v>
      </c>
      <c r="P113" s="33"/>
      <c r="Q113" s="11"/>
      <c r="R113" s="33">
        <v>4134</v>
      </c>
      <c r="S113" s="11" t="s">
        <v>438</v>
      </c>
      <c r="T113" s="12"/>
    </row>
    <row r="114" spans="3:20" ht="18.95" customHeight="1" x14ac:dyDescent="0.15">
      <c r="C114" s="13" t="s">
        <v>455</v>
      </c>
      <c r="D114" s="54" t="s">
        <v>445</v>
      </c>
      <c r="E114" s="54" t="s">
        <v>456</v>
      </c>
      <c r="F114" s="10" t="s">
        <v>166</v>
      </c>
      <c r="G114" s="38">
        <v>4896</v>
      </c>
      <c r="H114" s="33">
        <v>4896</v>
      </c>
      <c r="I114" s="3"/>
      <c r="J114" s="33">
        <v>6148</v>
      </c>
      <c r="K114" s="11" t="s">
        <v>399</v>
      </c>
      <c r="L114" s="33">
        <v>5135</v>
      </c>
      <c r="M114" s="11" t="s">
        <v>437</v>
      </c>
      <c r="N114" s="33">
        <v>5541</v>
      </c>
      <c r="O114" s="11" t="s">
        <v>411</v>
      </c>
      <c r="P114" s="33"/>
      <c r="Q114" s="11"/>
      <c r="R114" s="33">
        <v>5216</v>
      </c>
      <c r="S114" s="11" t="s">
        <v>438</v>
      </c>
      <c r="T114" s="12"/>
    </row>
    <row r="115" spans="3:20" ht="18.95" customHeight="1" x14ac:dyDescent="0.15">
      <c r="C115" s="13" t="s">
        <v>457</v>
      </c>
      <c r="D115" s="54" t="s">
        <v>445</v>
      </c>
      <c r="E115" s="54" t="s">
        <v>458</v>
      </c>
      <c r="F115" s="10" t="s">
        <v>166</v>
      </c>
      <c r="G115" s="38">
        <v>7660</v>
      </c>
      <c r="H115" s="33">
        <v>7660</v>
      </c>
      <c r="I115" s="3"/>
      <c r="J115" s="33">
        <v>9757</v>
      </c>
      <c r="K115" s="11" t="s">
        <v>399</v>
      </c>
      <c r="L115" s="33">
        <v>8149</v>
      </c>
      <c r="M115" s="11" t="s">
        <v>437</v>
      </c>
      <c r="N115" s="33">
        <v>9096</v>
      </c>
      <c r="O115" s="11" t="s">
        <v>411</v>
      </c>
      <c r="P115" s="33"/>
      <c r="Q115" s="11"/>
      <c r="R115" s="33">
        <v>8525</v>
      </c>
      <c r="S115" s="11" t="s">
        <v>438</v>
      </c>
      <c r="T115" s="12"/>
    </row>
    <row r="116" spans="3:20" ht="18.95" customHeight="1" x14ac:dyDescent="0.15">
      <c r="C116" s="13" t="s">
        <v>459</v>
      </c>
      <c r="D116" s="54" t="s">
        <v>445</v>
      </c>
      <c r="E116" s="54" t="s">
        <v>460</v>
      </c>
      <c r="F116" s="10" t="s">
        <v>166</v>
      </c>
      <c r="G116" s="38">
        <v>12749</v>
      </c>
      <c r="H116" s="33">
        <v>12749</v>
      </c>
      <c r="I116" s="3"/>
      <c r="J116" s="33">
        <v>14638</v>
      </c>
      <c r="K116" s="11" t="s">
        <v>399</v>
      </c>
      <c r="L116" s="33">
        <v>13108</v>
      </c>
      <c r="M116" s="11" t="s">
        <v>437</v>
      </c>
      <c r="N116" s="33">
        <v>13431</v>
      </c>
      <c r="O116" s="11" t="s">
        <v>411</v>
      </c>
      <c r="P116" s="33"/>
      <c r="Q116" s="11"/>
      <c r="R116" s="33">
        <v>13479</v>
      </c>
      <c r="S116" s="11" t="s">
        <v>438</v>
      </c>
      <c r="T116" s="12"/>
    </row>
    <row r="117" spans="3:20" ht="18.95" customHeight="1" x14ac:dyDescent="0.15">
      <c r="C117" s="13" t="s">
        <v>461</v>
      </c>
      <c r="D117" s="54" t="s">
        <v>445</v>
      </c>
      <c r="E117" s="54" t="s">
        <v>462</v>
      </c>
      <c r="F117" s="10" t="s">
        <v>166</v>
      </c>
      <c r="G117" s="38">
        <v>19667</v>
      </c>
      <c r="H117" s="33">
        <v>19667</v>
      </c>
      <c r="I117" s="3"/>
      <c r="J117" s="33">
        <v>22598</v>
      </c>
      <c r="K117" s="11" t="s">
        <v>399</v>
      </c>
      <c r="L117" s="33">
        <v>20237</v>
      </c>
      <c r="M117" s="11" t="s">
        <v>437</v>
      </c>
      <c r="N117" s="33">
        <v>21163</v>
      </c>
      <c r="O117" s="11" t="s">
        <v>411</v>
      </c>
      <c r="P117" s="33"/>
      <c r="Q117" s="11"/>
      <c r="R117" s="33">
        <v>20923</v>
      </c>
      <c r="S117" s="11" t="s">
        <v>438</v>
      </c>
      <c r="T117" s="12"/>
    </row>
    <row r="118" spans="3:20" ht="18.95" customHeight="1" x14ac:dyDescent="0.15">
      <c r="C118" s="13" t="s">
        <v>463</v>
      </c>
      <c r="D118" s="54" t="s">
        <v>445</v>
      </c>
      <c r="E118" s="54" t="s">
        <v>464</v>
      </c>
      <c r="F118" s="10" t="s">
        <v>166</v>
      </c>
      <c r="G118" s="38">
        <v>20314</v>
      </c>
      <c r="H118" s="33">
        <v>25840</v>
      </c>
      <c r="I118" s="3"/>
      <c r="J118" s="33">
        <v>30174</v>
      </c>
      <c r="K118" s="11" t="s">
        <v>399</v>
      </c>
      <c r="L118" s="33">
        <v>27022</v>
      </c>
      <c r="M118" s="11" t="s">
        <v>437</v>
      </c>
      <c r="N118" s="33">
        <v>28253</v>
      </c>
      <c r="O118" s="11" t="s">
        <v>442</v>
      </c>
      <c r="P118" s="33"/>
      <c r="Q118" s="11"/>
      <c r="R118" s="33">
        <v>20314</v>
      </c>
      <c r="S118" s="11" t="s">
        <v>438</v>
      </c>
      <c r="T118" s="12"/>
    </row>
    <row r="119" spans="3:20" ht="18.95" customHeight="1" x14ac:dyDescent="0.15">
      <c r="C119" s="13" t="s">
        <v>465</v>
      </c>
      <c r="D119" s="54" t="s">
        <v>466</v>
      </c>
      <c r="E119" s="54" t="s">
        <v>467</v>
      </c>
      <c r="F119" s="10" t="s">
        <v>166</v>
      </c>
      <c r="G119" s="38">
        <v>37481</v>
      </c>
      <c r="H119" s="33">
        <v>37481</v>
      </c>
      <c r="I119" s="3"/>
      <c r="J119" s="33">
        <v>41473</v>
      </c>
      <c r="K119" s="11" t="s">
        <v>468</v>
      </c>
      <c r="L119" s="33">
        <v>42961</v>
      </c>
      <c r="M119" s="11" t="s">
        <v>469</v>
      </c>
      <c r="N119" s="33">
        <v>61338</v>
      </c>
      <c r="O119" s="11" t="s">
        <v>470</v>
      </c>
      <c r="P119" s="33"/>
      <c r="Q119" s="11"/>
      <c r="R119" s="33">
        <v>44760</v>
      </c>
      <c r="S119" s="11" t="s">
        <v>471</v>
      </c>
      <c r="T119" s="12"/>
    </row>
    <row r="120" spans="3:20" ht="18.95" customHeight="1" x14ac:dyDescent="0.15">
      <c r="C120" s="13" t="s">
        <v>472</v>
      </c>
      <c r="D120" s="54" t="s">
        <v>466</v>
      </c>
      <c r="E120" s="54" t="s">
        <v>473</v>
      </c>
      <c r="F120" s="10" t="s">
        <v>166</v>
      </c>
      <c r="G120" s="38">
        <v>3311</v>
      </c>
      <c r="H120" s="33">
        <v>3311</v>
      </c>
      <c r="I120" s="3"/>
      <c r="J120" s="33">
        <v>3327</v>
      </c>
      <c r="K120" s="11" t="s">
        <v>468</v>
      </c>
      <c r="L120" s="33">
        <v>3907</v>
      </c>
      <c r="M120" s="11" t="s">
        <v>469</v>
      </c>
      <c r="N120" s="33">
        <v>4946</v>
      </c>
      <c r="O120" s="11" t="s">
        <v>470</v>
      </c>
      <c r="P120" s="33"/>
      <c r="Q120" s="11"/>
      <c r="R120" s="33">
        <v>4050</v>
      </c>
      <c r="S120" s="11" t="s">
        <v>471</v>
      </c>
      <c r="T120" s="12"/>
    </row>
    <row r="121" spans="3:20" ht="18.95" customHeight="1" x14ac:dyDescent="0.15">
      <c r="C121" s="13" t="s">
        <v>474</v>
      </c>
      <c r="D121" s="54" t="s">
        <v>466</v>
      </c>
      <c r="E121" s="54" t="s">
        <v>475</v>
      </c>
      <c r="F121" s="10" t="s">
        <v>166</v>
      </c>
      <c r="G121" s="38">
        <v>5494</v>
      </c>
      <c r="H121" s="33">
        <v>5494</v>
      </c>
      <c r="I121" s="3"/>
      <c r="J121" s="33">
        <v>5839</v>
      </c>
      <c r="K121" s="11" t="s">
        <v>468</v>
      </c>
      <c r="L121" s="33">
        <v>6759</v>
      </c>
      <c r="M121" s="11" t="s">
        <v>469</v>
      </c>
      <c r="N121" s="33">
        <v>8460</v>
      </c>
      <c r="O121" s="11" t="s">
        <v>470</v>
      </c>
      <c r="P121" s="33"/>
      <c r="Q121" s="11"/>
      <c r="R121" s="33">
        <v>7025</v>
      </c>
      <c r="S121" s="11" t="s">
        <v>471</v>
      </c>
      <c r="T121" s="12"/>
    </row>
    <row r="122" spans="3:20" ht="18.95" customHeight="1" x14ac:dyDescent="0.15">
      <c r="C122" s="13" t="s">
        <v>476</v>
      </c>
      <c r="D122" s="54" t="s">
        <v>466</v>
      </c>
      <c r="E122" s="54" t="s">
        <v>477</v>
      </c>
      <c r="F122" s="10" t="s">
        <v>166</v>
      </c>
      <c r="G122" s="38">
        <v>8128</v>
      </c>
      <c r="H122" s="33">
        <v>8128</v>
      </c>
      <c r="I122" s="3"/>
      <c r="J122" s="33">
        <v>11100</v>
      </c>
      <c r="K122" s="11" t="s">
        <v>468</v>
      </c>
      <c r="L122" s="33">
        <v>9738</v>
      </c>
      <c r="M122" s="11" t="s">
        <v>469</v>
      </c>
      <c r="N122" s="33">
        <v>12275</v>
      </c>
      <c r="O122" s="11" t="s">
        <v>470</v>
      </c>
      <c r="P122" s="33"/>
      <c r="Q122" s="11"/>
      <c r="R122" s="33">
        <v>10123</v>
      </c>
      <c r="S122" s="11" t="s">
        <v>471</v>
      </c>
      <c r="T122" s="12"/>
    </row>
    <row r="123" spans="3:20" ht="18.95" customHeight="1" x14ac:dyDescent="0.15">
      <c r="C123" s="13" t="s">
        <v>478</v>
      </c>
      <c r="D123" s="54" t="s">
        <v>466</v>
      </c>
      <c r="E123" s="54" t="s">
        <v>479</v>
      </c>
      <c r="F123" s="10" t="s">
        <v>166</v>
      </c>
      <c r="G123" s="38">
        <v>10287</v>
      </c>
      <c r="H123" s="33">
        <v>10287</v>
      </c>
      <c r="I123" s="3"/>
      <c r="J123" s="33">
        <v>14134</v>
      </c>
      <c r="K123" s="11" t="s">
        <v>468</v>
      </c>
      <c r="L123" s="33">
        <v>11725</v>
      </c>
      <c r="M123" s="11" t="s">
        <v>469</v>
      </c>
      <c r="N123" s="33">
        <v>19733</v>
      </c>
      <c r="O123" s="11" t="s">
        <v>470</v>
      </c>
      <c r="P123" s="33"/>
      <c r="Q123" s="11"/>
      <c r="R123" s="33"/>
      <c r="S123" s="11"/>
      <c r="T123" s="12"/>
    </row>
    <row r="124" spans="3:20" ht="18.95" customHeight="1" x14ac:dyDescent="0.15">
      <c r="C124" s="13" t="s">
        <v>480</v>
      </c>
      <c r="D124" s="54" t="s">
        <v>466</v>
      </c>
      <c r="E124" s="54" t="s">
        <v>481</v>
      </c>
      <c r="F124" s="10" t="s">
        <v>166</v>
      </c>
      <c r="G124" s="38">
        <v>15654</v>
      </c>
      <c r="H124" s="33">
        <v>15654</v>
      </c>
      <c r="I124" s="3"/>
      <c r="J124" s="33">
        <v>17169</v>
      </c>
      <c r="K124" s="11" t="s">
        <v>468</v>
      </c>
      <c r="L124" s="33">
        <v>17849</v>
      </c>
      <c r="M124" s="11" t="s">
        <v>469</v>
      </c>
      <c r="N124" s="33">
        <v>27713</v>
      </c>
      <c r="O124" s="11" t="s">
        <v>470</v>
      </c>
      <c r="P124" s="33"/>
      <c r="Q124" s="11"/>
      <c r="R124" s="33"/>
      <c r="S124" s="11"/>
      <c r="T124" s="12"/>
    </row>
    <row r="125" spans="3:20" ht="18.95" customHeight="1" x14ac:dyDescent="0.15">
      <c r="C125" s="13" t="s">
        <v>482</v>
      </c>
      <c r="D125" s="54" t="s">
        <v>466</v>
      </c>
      <c r="E125" s="54" t="s">
        <v>483</v>
      </c>
      <c r="F125" s="10" t="s">
        <v>166</v>
      </c>
      <c r="G125" s="38">
        <v>13668</v>
      </c>
      <c r="H125" s="33">
        <v>13668</v>
      </c>
      <c r="I125" s="3"/>
      <c r="J125" s="33">
        <v>21673</v>
      </c>
      <c r="K125" s="11" t="s">
        <v>468</v>
      </c>
      <c r="L125" s="33">
        <v>15577</v>
      </c>
      <c r="M125" s="11" t="s">
        <v>469</v>
      </c>
      <c r="N125" s="33">
        <v>24754</v>
      </c>
      <c r="O125" s="11" t="s">
        <v>470</v>
      </c>
      <c r="P125" s="33"/>
      <c r="Q125" s="11"/>
      <c r="R125" s="33">
        <v>16210</v>
      </c>
      <c r="S125" s="11" t="s">
        <v>471</v>
      </c>
      <c r="T125" s="12"/>
    </row>
    <row r="126" spans="3:20" ht="18.95" customHeight="1" x14ac:dyDescent="0.15">
      <c r="C126" s="13" t="s">
        <v>484</v>
      </c>
      <c r="D126" s="54" t="s">
        <v>466</v>
      </c>
      <c r="E126" s="54" t="s">
        <v>485</v>
      </c>
      <c r="F126" s="10" t="s">
        <v>166</v>
      </c>
      <c r="G126" s="38">
        <v>29299</v>
      </c>
      <c r="H126" s="33">
        <v>29299</v>
      </c>
      <c r="I126" s="3"/>
      <c r="J126" s="33">
        <v>35445</v>
      </c>
      <c r="K126" s="11" t="s">
        <v>468</v>
      </c>
      <c r="L126" s="33">
        <v>33359</v>
      </c>
      <c r="M126" s="11" t="s">
        <v>469</v>
      </c>
      <c r="N126" s="33">
        <v>45912</v>
      </c>
      <c r="O126" s="11" t="s">
        <v>470</v>
      </c>
      <c r="P126" s="33"/>
      <c r="Q126" s="11"/>
      <c r="R126" s="33">
        <v>34749</v>
      </c>
      <c r="S126" s="11" t="s">
        <v>471</v>
      </c>
      <c r="T126" s="12"/>
    </row>
    <row r="127" spans="3:20" ht="18.95" customHeight="1" x14ac:dyDescent="0.15">
      <c r="C127" s="13" t="s">
        <v>486</v>
      </c>
      <c r="D127" s="54" t="s">
        <v>487</v>
      </c>
      <c r="E127" s="54" t="s">
        <v>488</v>
      </c>
      <c r="F127" s="10" t="s">
        <v>166</v>
      </c>
      <c r="G127" s="38">
        <v>1473</v>
      </c>
      <c r="H127" s="33">
        <v>1473</v>
      </c>
      <c r="I127" s="3"/>
      <c r="J127" s="33">
        <v>1815</v>
      </c>
      <c r="K127" s="11" t="s">
        <v>489</v>
      </c>
      <c r="L127" s="33">
        <v>2219</v>
      </c>
      <c r="M127" s="11" t="s">
        <v>490</v>
      </c>
      <c r="N127" s="33">
        <v>1764</v>
      </c>
      <c r="O127" s="11" t="s">
        <v>491</v>
      </c>
      <c r="P127" s="33"/>
      <c r="Q127" s="11"/>
      <c r="R127" s="33">
        <v>2403</v>
      </c>
      <c r="S127" s="11" t="s">
        <v>438</v>
      </c>
      <c r="T127" s="12"/>
    </row>
    <row r="128" spans="3:20" ht="18.95" customHeight="1" x14ac:dyDescent="0.15">
      <c r="C128" s="13" t="s">
        <v>492</v>
      </c>
      <c r="D128" s="54" t="s">
        <v>493</v>
      </c>
      <c r="E128" s="54" t="s">
        <v>494</v>
      </c>
      <c r="F128" s="10" t="s">
        <v>166</v>
      </c>
      <c r="G128" s="38">
        <v>17478</v>
      </c>
      <c r="H128" s="33">
        <v>17478</v>
      </c>
      <c r="I128" s="3"/>
      <c r="J128" s="33">
        <v>21129</v>
      </c>
      <c r="K128" s="11" t="s">
        <v>495</v>
      </c>
      <c r="L128" s="33">
        <v>21191</v>
      </c>
      <c r="M128" s="11" t="s">
        <v>496</v>
      </c>
      <c r="N128" s="33">
        <v>23668</v>
      </c>
      <c r="O128" s="11" t="s">
        <v>401</v>
      </c>
      <c r="P128" s="33"/>
      <c r="Q128" s="11"/>
      <c r="R128" s="33">
        <v>20900</v>
      </c>
      <c r="S128" s="11" t="s">
        <v>497</v>
      </c>
      <c r="T128" s="12"/>
    </row>
    <row r="129" spans="3:20" ht="18.95" customHeight="1" x14ac:dyDescent="0.15">
      <c r="C129" s="13" t="s">
        <v>498</v>
      </c>
      <c r="D129" s="54" t="s">
        <v>499</v>
      </c>
      <c r="E129" s="54" t="s">
        <v>500</v>
      </c>
      <c r="F129" s="10" t="s">
        <v>166</v>
      </c>
      <c r="G129" s="38">
        <v>400</v>
      </c>
      <c r="H129" s="33">
        <v>400</v>
      </c>
      <c r="I129" s="3"/>
      <c r="J129" s="33">
        <v>470</v>
      </c>
      <c r="K129" s="11" t="s">
        <v>501</v>
      </c>
      <c r="L129" s="33"/>
      <c r="M129" s="11"/>
      <c r="N129" s="33">
        <v>790</v>
      </c>
      <c r="O129" s="11" t="s">
        <v>502</v>
      </c>
      <c r="P129" s="33"/>
      <c r="Q129" s="11"/>
      <c r="R129" s="33">
        <v>790</v>
      </c>
      <c r="S129" s="11" t="s">
        <v>503</v>
      </c>
      <c r="T129" s="12"/>
    </row>
    <row r="130" spans="3:20" ht="18.95" customHeight="1" x14ac:dyDescent="0.15">
      <c r="C130" s="13" t="s">
        <v>504</v>
      </c>
      <c r="D130" s="54" t="s">
        <v>505</v>
      </c>
      <c r="E130" s="54" t="s">
        <v>506</v>
      </c>
      <c r="F130" s="10" t="s">
        <v>166</v>
      </c>
      <c r="G130" s="38">
        <v>1500</v>
      </c>
      <c r="H130" s="33"/>
      <c r="I130" s="3"/>
      <c r="J130" s="33"/>
      <c r="K130" s="11"/>
      <c r="L130" s="33"/>
      <c r="M130" s="11"/>
      <c r="N130" s="33">
        <v>1500</v>
      </c>
      <c r="O130" s="11" t="s">
        <v>502</v>
      </c>
      <c r="P130" s="33"/>
      <c r="Q130" s="11"/>
      <c r="R130" s="33"/>
      <c r="S130" s="11"/>
      <c r="T130" s="12"/>
    </row>
    <row r="131" spans="3:20" ht="18.95" customHeight="1" x14ac:dyDescent="0.15">
      <c r="C131" s="13" t="s">
        <v>507</v>
      </c>
      <c r="D131" s="54" t="s">
        <v>508</v>
      </c>
      <c r="E131" s="54" t="s">
        <v>509</v>
      </c>
      <c r="F131" s="10" t="s">
        <v>200</v>
      </c>
      <c r="G131" s="38">
        <v>1324</v>
      </c>
      <c r="H131" s="33">
        <v>1324</v>
      </c>
      <c r="I131" s="3"/>
      <c r="J131" s="33">
        <v>3920</v>
      </c>
      <c r="K131" s="11" t="s">
        <v>510</v>
      </c>
      <c r="L131" s="33">
        <v>2333</v>
      </c>
      <c r="M131" s="11" t="s">
        <v>511</v>
      </c>
      <c r="N131" s="33">
        <v>1880</v>
      </c>
      <c r="O131" s="11" t="s">
        <v>512</v>
      </c>
      <c r="P131" s="33"/>
      <c r="Q131" s="11"/>
      <c r="R131" s="33">
        <v>3967</v>
      </c>
      <c r="S131" s="11" t="s">
        <v>513</v>
      </c>
      <c r="T131" s="12"/>
    </row>
    <row r="132" spans="3:20" ht="18.95" customHeight="1" x14ac:dyDescent="0.15">
      <c r="C132" s="13" t="s">
        <v>514</v>
      </c>
      <c r="D132" s="54" t="s">
        <v>508</v>
      </c>
      <c r="E132" s="54" t="s">
        <v>515</v>
      </c>
      <c r="F132" s="10" t="s">
        <v>200</v>
      </c>
      <c r="G132" s="38">
        <v>1853</v>
      </c>
      <c r="H132" s="33">
        <v>1853</v>
      </c>
      <c r="I132" s="3"/>
      <c r="J132" s="33">
        <v>5500</v>
      </c>
      <c r="K132" s="11" t="s">
        <v>510</v>
      </c>
      <c r="L132" s="33">
        <v>4425</v>
      </c>
      <c r="M132" s="11" t="s">
        <v>511</v>
      </c>
      <c r="N132" s="33">
        <v>2820</v>
      </c>
      <c r="O132" s="11" t="s">
        <v>512</v>
      </c>
      <c r="P132" s="33"/>
      <c r="Q132" s="11"/>
      <c r="R132" s="33">
        <v>5934</v>
      </c>
      <c r="S132" s="11" t="s">
        <v>513</v>
      </c>
      <c r="T132" s="12"/>
    </row>
    <row r="133" spans="3:20" ht="18.95" customHeight="1" x14ac:dyDescent="0.15">
      <c r="C133" s="13" t="s">
        <v>516</v>
      </c>
      <c r="D133" s="54" t="s">
        <v>508</v>
      </c>
      <c r="E133" s="54" t="s">
        <v>517</v>
      </c>
      <c r="F133" s="10" t="s">
        <v>200</v>
      </c>
      <c r="G133" s="38">
        <v>2395</v>
      </c>
      <c r="H133" s="33">
        <v>2395</v>
      </c>
      <c r="I133" s="3"/>
      <c r="J133" s="33">
        <v>7070</v>
      </c>
      <c r="K133" s="11" t="s">
        <v>510</v>
      </c>
      <c r="L133" s="33">
        <v>5580</v>
      </c>
      <c r="M133" s="11" t="s">
        <v>511</v>
      </c>
      <c r="N133" s="33">
        <v>3640</v>
      </c>
      <c r="O133" s="11" t="s">
        <v>512</v>
      </c>
      <c r="P133" s="33"/>
      <c r="Q133" s="11"/>
      <c r="R133" s="33">
        <v>7900</v>
      </c>
      <c r="S133" s="11" t="s">
        <v>513</v>
      </c>
      <c r="T133" s="12"/>
    </row>
    <row r="134" spans="3:20" ht="18.95" customHeight="1" x14ac:dyDescent="0.15">
      <c r="C134" s="13" t="s">
        <v>518</v>
      </c>
      <c r="D134" s="54" t="s">
        <v>519</v>
      </c>
      <c r="E134" s="54" t="s">
        <v>520</v>
      </c>
      <c r="F134" s="10" t="s">
        <v>200</v>
      </c>
      <c r="G134" s="38">
        <v>1822</v>
      </c>
      <c r="H134" s="33"/>
      <c r="I134" s="3"/>
      <c r="J134" s="33"/>
      <c r="K134" s="11"/>
      <c r="L134" s="33">
        <v>1822</v>
      </c>
      <c r="M134" s="11" t="s">
        <v>511</v>
      </c>
      <c r="N134" s="33">
        <v>2880</v>
      </c>
      <c r="O134" s="11" t="s">
        <v>521</v>
      </c>
      <c r="P134" s="33"/>
      <c r="Q134" s="11"/>
      <c r="R134" s="33"/>
      <c r="S134" s="11"/>
      <c r="T134" s="12"/>
    </row>
    <row r="135" spans="3:20" ht="18.95" customHeight="1" x14ac:dyDescent="0.15">
      <c r="C135" s="13" t="s">
        <v>522</v>
      </c>
      <c r="D135" s="54" t="s">
        <v>523</v>
      </c>
      <c r="E135" s="54" t="s">
        <v>524</v>
      </c>
      <c r="F135" s="10" t="s">
        <v>200</v>
      </c>
      <c r="G135" s="38">
        <v>42200</v>
      </c>
      <c r="H135" s="33"/>
      <c r="I135" s="3"/>
      <c r="J135" s="33">
        <v>59500</v>
      </c>
      <c r="K135" s="11" t="s">
        <v>502</v>
      </c>
      <c r="L135" s="33"/>
      <c r="M135" s="11"/>
      <c r="N135" s="33">
        <v>42200</v>
      </c>
      <c r="O135" s="11" t="s">
        <v>512</v>
      </c>
      <c r="P135" s="33"/>
      <c r="Q135" s="11"/>
      <c r="R135" s="33"/>
      <c r="S135" s="11"/>
      <c r="T135" s="12"/>
    </row>
    <row r="136" spans="3:20" ht="18.95" customHeight="1" x14ac:dyDescent="0.15">
      <c r="C136" s="13" t="s">
        <v>525</v>
      </c>
      <c r="D136" s="54" t="s">
        <v>519</v>
      </c>
      <c r="E136" s="54" t="s">
        <v>526</v>
      </c>
      <c r="F136" s="10" t="s">
        <v>200</v>
      </c>
      <c r="G136" s="38">
        <v>935</v>
      </c>
      <c r="H136" s="33">
        <v>935</v>
      </c>
      <c r="I136" s="3"/>
      <c r="J136" s="33">
        <v>2417</v>
      </c>
      <c r="K136" s="11" t="s">
        <v>527</v>
      </c>
      <c r="L136" s="33">
        <v>1843</v>
      </c>
      <c r="M136" s="11" t="s">
        <v>511</v>
      </c>
      <c r="N136" s="33">
        <v>2000</v>
      </c>
      <c r="O136" s="11" t="s">
        <v>521</v>
      </c>
      <c r="P136" s="33"/>
      <c r="Q136" s="11"/>
      <c r="R136" s="33"/>
      <c r="S136" s="11"/>
      <c r="T136" s="12"/>
    </row>
    <row r="137" spans="3:20" ht="18.95" customHeight="1" x14ac:dyDescent="0.15">
      <c r="C137" s="13" t="s">
        <v>528</v>
      </c>
      <c r="D137" s="54" t="s">
        <v>519</v>
      </c>
      <c r="E137" s="54" t="s">
        <v>529</v>
      </c>
      <c r="F137" s="10" t="s">
        <v>200</v>
      </c>
      <c r="G137" s="38">
        <v>1385</v>
      </c>
      <c r="H137" s="33">
        <v>1385</v>
      </c>
      <c r="I137" s="3"/>
      <c r="J137" s="33">
        <v>2834</v>
      </c>
      <c r="K137" s="11" t="s">
        <v>527</v>
      </c>
      <c r="L137" s="33">
        <v>2273</v>
      </c>
      <c r="M137" s="11" t="s">
        <v>511</v>
      </c>
      <c r="N137" s="33">
        <v>2200</v>
      </c>
      <c r="O137" s="11" t="s">
        <v>521</v>
      </c>
      <c r="P137" s="33"/>
      <c r="Q137" s="11"/>
      <c r="R137" s="33"/>
      <c r="S137" s="11"/>
      <c r="T137" s="12"/>
    </row>
    <row r="138" spans="3:20" ht="18.95" customHeight="1" x14ac:dyDescent="0.15">
      <c r="C138" s="13" t="s">
        <v>530</v>
      </c>
      <c r="D138" s="54" t="s">
        <v>531</v>
      </c>
      <c r="E138" s="54" t="s">
        <v>526</v>
      </c>
      <c r="F138" s="10" t="s">
        <v>200</v>
      </c>
      <c r="G138" s="38">
        <v>2037</v>
      </c>
      <c r="H138" s="33">
        <v>2037</v>
      </c>
      <c r="I138" s="3"/>
      <c r="J138" s="33">
        <v>3567</v>
      </c>
      <c r="K138" s="11" t="s">
        <v>527</v>
      </c>
      <c r="L138" s="33">
        <v>2773</v>
      </c>
      <c r="M138" s="11"/>
      <c r="N138" s="33">
        <v>3600</v>
      </c>
      <c r="O138" s="11" t="s">
        <v>521</v>
      </c>
      <c r="P138" s="33"/>
      <c r="Q138" s="11"/>
      <c r="R138" s="33"/>
      <c r="S138" s="11"/>
      <c r="T138" s="12"/>
    </row>
    <row r="139" spans="3:20" ht="18.95" customHeight="1" x14ac:dyDescent="0.15">
      <c r="C139" s="13" t="s">
        <v>532</v>
      </c>
      <c r="D139" s="54" t="s">
        <v>531</v>
      </c>
      <c r="E139" s="54" t="s">
        <v>529</v>
      </c>
      <c r="F139" s="10" t="s">
        <v>200</v>
      </c>
      <c r="G139" s="38">
        <v>2123</v>
      </c>
      <c r="H139" s="33">
        <v>2123</v>
      </c>
      <c r="I139" s="3"/>
      <c r="J139" s="33">
        <v>4251</v>
      </c>
      <c r="K139" s="11" t="s">
        <v>527</v>
      </c>
      <c r="L139" s="33">
        <v>3088</v>
      </c>
      <c r="M139" s="11"/>
      <c r="N139" s="33">
        <v>4400</v>
      </c>
      <c r="O139" s="11" t="s">
        <v>521</v>
      </c>
      <c r="P139" s="33"/>
      <c r="Q139" s="11"/>
      <c r="R139" s="33"/>
      <c r="S139" s="11"/>
      <c r="T139" s="12"/>
    </row>
    <row r="140" spans="3:20" ht="18.95" customHeight="1" x14ac:dyDescent="0.15">
      <c r="C140" s="13" t="s">
        <v>533</v>
      </c>
      <c r="D140" s="54" t="s">
        <v>534</v>
      </c>
      <c r="E140" s="54" t="s">
        <v>535</v>
      </c>
      <c r="F140" s="10" t="s">
        <v>200</v>
      </c>
      <c r="G140" s="38">
        <v>3318</v>
      </c>
      <c r="H140" s="33">
        <v>3318</v>
      </c>
      <c r="I140" s="3"/>
      <c r="J140" s="33"/>
      <c r="K140" s="11"/>
      <c r="L140" s="33">
        <v>6500</v>
      </c>
      <c r="M140" s="11" t="s">
        <v>536</v>
      </c>
      <c r="N140" s="33">
        <v>5780</v>
      </c>
      <c r="O140" s="11" t="s">
        <v>537</v>
      </c>
      <c r="P140" s="33"/>
      <c r="Q140" s="11"/>
      <c r="R140" s="33">
        <v>3900</v>
      </c>
      <c r="S140" s="11" t="s">
        <v>538</v>
      </c>
      <c r="T140" s="12"/>
    </row>
    <row r="141" spans="3:20" ht="18.95" customHeight="1" x14ac:dyDescent="0.15">
      <c r="C141" s="13" t="s">
        <v>539</v>
      </c>
      <c r="D141" s="54" t="s">
        <v>534</v>
      </c>
      <c r="E141" s="54" t="s">
        <v>540</v>
      </c>
      <c r="F141" s="10" t="s">
        <v>200</v>
      </c>
      <c r="G141" s="38">
        <v>5023</v>
      </c>
      <c r="H141" s="33">
        <v>5023</v>
      </c>
      <c r="I141" s="3"/>
      <c r="J141" s="33">
        <v>5400</v>
      </c>
      <c r="K141" s="11"/>
      <c r="L141" s="33">
        <v>10500</v>
      </c>
      <c r="M141" s="11" t="s">
        <v>536</v>
      </c>
      <c r="N141" s="33">
        <v>6900</v>
      </c>
      <c r="O141" s="11"/>
      <c r="P141" s="33"/>
      <c r="Q141" s="11"/>
      <c r="R141" s="33"/>
      <c r="S141" s="11"/>
      <c r="T141" s="12"/>
    </row>
    <row r="142" spans="3:20" ht="18.95" customHeight="1" x14ac:dyDescent="0.15">
      <c r="C142" s="13" t="s">
        <v>541</v>
      </c>
      <c r="D142" s="54" t="s">
        <v>542</v>
      </c>
      <c r="E142" s="54" t="s">
        <v>543</v>
      </c>
      <c r="F142" s="10" t="s">
        <v>200</v>
      </c>
      <c r="G142" s="38">
        <v>1306</v>
      </c>
      <c r="H142" s="33">
        <v>1306</v>
      </c>
      <c r="I142" s="3"/>
      <c r="J142" s="33"/>
      <c r="K142" s="11"/>
      <c r="L142" s="33"/>
      <c r="M142" s="11"/>
      <c r="N142" s="33">
        <v>65100</v>
      </c>
      <c r="O142" s="11" t="s">
        <v>537</v>
      </c>
      <c r="P142" s="33"/>
      <c r="Q142" s="11"/>
      <c r="R142" s="33">
        <v>46500</v>
      </c>
      <c r="S142" s="11" t="s">
        <v>538</v>
      </c>
      <c r="T142" s="12"/>
    </row>
    <row r="143" spans="3:20" ht="18.95" customHeight="1" x14ac:dyDescent="0.15">
      <c r="C143" s="13" t="s">
        <v>544</v>
      </c>
      <c r="D143" s="54" t="s">
        <v>545</v>
      </c>
      <c r="E143" s="54" t="s">
        <v>546</v>
      </c>
      <c r="F143" s="10" t="s">
        <v>200</v>
      </c>
      <c r="G143" s="38">
        <v>10035</v>
      </c>
      <c r="H143" s="33">
        <v>10035</v>
      </c>
      <c r="I143" s="3"/>
      <c r="J143" s="33"/>
      <c r="K143" s="11"/>
      <c r="L143" s="33"/>
      <c r="M143" s="11"/>
      <c r="N143" s="33">
        <v>10500</v>
      </c>
      <c r="O143" s="11" t="s">
        <v>537</v>
      </c>
      <c r="P143" s="33"/>
      <c r="Q143" s="11"/>
      <c r="R143" s="33">
        <v>10500</v>
      </c>
      <c r="S143" s="11" t="s">
        <v>538</v>
      </c>
      <c r="T143" s="12"/>
    </row>
    <row r="144" spans="3:20" ht="18.95" customHeight="1" x14ac:dyDescent="0.15">
      <c r="C144" s="13" t="s">
        <v>547</v>
      </c>
      <c r="D144" s="54" t="s">
        <v>548</v>
      </c>
      <c r="E144" s="54" t="s">
        <v>549</v>
      </c>
      <c r="F144" s="10" t="s">
        <v>200</v>
      </c>
      <c r="G144" s="38">
        <v>42000</v>
      </c>
      <c r="H144" s="33"/>
      <c r="I144" s="3"/>
      <c r="J144" s="33">
        <v>96000</v>
      </c>
      <c r="K144" s="11" t="s">
        <v>401</v>
      </c>
      <c r="L144" s="33">
        <v>65000</v>
      </c>
      <c r="M144" s="11" t="s">
        <v>550</v>
      </c>
      <c r="N144" s="33">
        <v>42000</v>
      </c>
      <c r="O144" s="11" t="s">
        <v>537</v>
      </c>
      <c r="P144" s="33"/>
      <c r="Q144" s="11"/>
      <c r="R144" s="33"/>
      <c r="S144" s="11"/>
      <c r="T144" s="12"/>
    </row>
    <row r="145" spans="3:20" ht="18.95" customHeight="1" x14ac:dyDescent="0.15">
      <c r="C145" s="13" t="s">
        <v>551</v>
      </c>
      <c r="D145" s="54" t="s">
        <v>552</v>
      </c>
      <c r="E145" s="54" t="s">
        <v>553</v>
      </c>
      <c r="F145" s="10" t="s">
        <v>554</v>
      </c>
      <c r="G145" s="38">
        <v>10000</v>
      </c>
      <c r="H145" s="33"/>
      <c r="I145" s="3"/>
      <c r="J145" s="33"/>
      <c r="K145" s="11"/>
      <c r="L145" s="33"/>
      <c r="M145" s="11"/>
      <c r="N145" s="33">
        <v>10000</v>
      </c>
      <c r="O145" s="11" t="s">
        <v>555</v>
      </c>
      <c r="P145" s="33"/>
      <c r="Q145" s="11"/>
      <c r="R145" s="33"/>
      <c r="S145" s="11"/>
      <c r="T145" s="12"/>
    </row>
    <row r="146" spans="3:20" ht="18.95" customHeight="1" x14ac:dyDescent="0.15">
      <c r="C146" s="13" t="s">
        <v>556</v>
      </c>
      <c r="D146" s="54" t="s">
        <v>557</v>
      </c>
      <c r="E146" s="54" t="s">
        <v>558</v>
      </c>
      <c r="F146" s="10" t="s">
        <v>559</v>
      </c>
      <c r="G146" s="38">
        <v>114040</v>
      </c>
      <c r="H146" s="33">
        <v>157319</v>
      </c>
      <c r="I146" s="3"/>
      <c r="J146" s="33"/>
      <c r="K146" s="11"/>
      <c r="L146" s="33">
        <v>114040</v>
      </c>
      <c r="M146" s="11" t="s">
        <v>560</v>
      </c>
      <c r="N146" s="33">
        <v>261000</v>
      </c>
      <c r="O146" s="11" t="s">
        <v>537</v>
      </c>
      <c r="P146" s="33"/>
      <c r="Q146" s="11"/>
      <c r="R146" s="33">
        <v>217500</v>
      </c>
      <c r="S146" s="11" t="s">
        <v>538</v>
      </c>
      <c r="T146" s="12"/>
    </row>
    <row r="147" spans="3:20" ht="18.95" customHeight="1" x14ac:dyDescent="0.15">
      <c r="C147" s="13" t="s">
        <v>561</v>
      </c>
      <c r="D147" s="54" t="s">
        <v>557</v>
      </c>
      <c r="E147" s="54" t="s">
        <v>562</v>
      </c>
      <c r="F147" s="10" t="s">
        <v>559</v>
      </c>
      <c r="G147" s="38">
        <v>300000</v>
      </c>
      <c r="H147" s="33">
        <v>308800</v>
      </c>
      <c r="I147" s="3"/>
      <c r="J147" s="33"/>
      <c r="K147" s="11"/>
      <c r="L147" s="33"/>
      <c r="M147" s="11"/>
      <c r="N147" s="33"/>
      <c r="O147" s="11"/>
      <c r="P147" s="33">
        <v>300000</v>
      </c>
      <c r="Q147" s="11" t="s">
        <v>563</v>
      </c>
      <c r="R147" s="33"/>
      <c r="S147" s="11"/>
      <c r="T147" s="12"/>
    </row>
    <row r="148" spans="3:20" ht="18.95" customHeight="1" x14ac:dyDescent="0.15">
      <c r="C148" s="13" t="s">
        <v>564</v>
      </c>
      <c r="D148" s="54" t="s">
        <v>565</v>
      </c>
      <c r="E148" s="54" t="s">
        <v>566</v>
      </c>
      <c r="F148" s="10" t="s">
        <v>166</v>
      </c>
      <c r="G148" s="38">
        <v>250</v>
      </c>
      <c r="H148" s="33"/>
      <c r="I148" s="3"/>
      <c r="J148" s="33"/>
      <c r="K148" s="11"/>
      <c r="L148" s="33">
        <v>250</v>
      </c>
      <c r="M148" s="11"/>
      <c r="N148" s="33">
        <v>450</v>
      </c>
      <c r="O148" s="11" t="s">
        <v>537</v>
      </c>
      <c r="P148" s="33"/>
      <c r="Q148" s="11"/>
      <c r="R148" s="33"/>
      <c r="S148" s="11"/>
      <c r="T148" s="12"/>
    </row>
    <row r="149" spans="3:20" ht="18.95" customHeight="1" x14ac:dyDescent="0.15">
      <c r="C149" s="13" t="s">
        <v>567</v>
      </c>
      <c r="D149" s="54" t="s">
        <v>568</v>
      </c>
      <c r="E149" s="54" t="s">
        <v>566</v>
      </c>
      <c r="F149" s="10" t="s">
        <v>166</v>
      </c>
      <c r="G149" s="38">
        <v>450</v>
      </c>
      <c r="H149" s="33"/>
      <c r="I149" s="3"/>
      <c r="J149" s="33"/>
      <c r="K149" s="11"/>
      <c r="L149" s="33"/>
      <c r="M149" s="11"/>
      <c r="N149" s="33">
        <v>450</v>
      </c>
      <c r="O149" s="11" t="s">
        <v>537</v>
      </c>
      <c r="P149" s="33"/>
      <c r="Q149" s="11"/>
      <c r="R149" s="33"/>
      <c r="S149" s="11"/>
      <c r="T149" s="12"/>
    </row>
    <row r="150" spans="3:20" ht="18.95" customHeight="1" x14ac:dyDescent="0.15">
      <c r="C150" s="13" t="s">
        <v>569</v>
      </c>
      <c r="D150" s="54" t="s">
        <v>570</v>
      </c>
      <c r="E150" s="54" t="s">
        <v>571</v>
      </c>
      <c r="F150" s="10" t="s">
        <v>289</v>
      </c>
      <c r="G150" s="38">
        <v>6800</v>
      </c>
      <c r="H150" s="33">
        <v>6800</v>
      </c>
      <c r="I150" s="3"/>
      <c r="J150" s="33">
        <v>6800</v>
      </c>
      <c r="K150" s="11" t="s">
        <v>201</v>
      </c>
      <c r="L150" s="33">
        <v>6800</v>
      </c>
      <c r="M150" s="11" t="s">
        <v>201</v>
      </c>
      <c r="N150" s="33"/>
      <c r="O150" s="11"/>
      <c r="P150" s="33"/>
      <c r="Q150" s="11"/>
      <c r="R150" s="33"/>
      <c r="S150" s="11"/>
      <c r="T150" s="12"/>
    </row>
    <row r="151" spans="3:20" ht="18.95" customHeight="1" x14ac:dyDescent="0.15">
      <c r="C151" s="13" t="s">
        <v>572</v>
      </c>
      <c r="D151" s="54" t="s">
        <v>573</v>
      </c>
      <c r="E151" s="54" t="s">
        <v>574</v>
      </c>
      <c r="F151" s="10" t="s">
        <v>289</v>
      </c>
      <c r="G151" s="38">
        <v>10200</v>
      </c>
      <c r="H151" s="33">
        <v>10200</v>
      </c>
      <c r="I151" s="3"/>
      <c r="J151" s="33">
        <v>10200</v>
      </c>
      <c r="K151" s="11" t="s">
        <v>201</v>
      </c>
      <c r="L151" s="33">
        <v>10200</v>
      </c>
      <c r="M151" s="11" t="s">
        <v>201</v>
      </c>
      <c r="N151" s="33"/>
      <c r="O151" s="11"/>
      <c r="P151" s="33"/>
      <c r="Q151" s="11"/>
      <c r="R151" s="33"/>
      <c r="S151" s="11"/>
      <c r="T151" s="12"/>
    </row>
    <row r="152" spans="3:20" ht="18.95" customHeight="1" x14ac:dyDescent="0.15">
      <c r="C152" s="13" t="s">
        <v>575</v>
      </c>
      <c r="D152" s="54" t="s">
        <v>576</v>
      </c>
      <c r="E152" s="54" t="s">
        <v>577</v>
      </c>
      <c r="F152" s="10" t="s">
        <v>578</v>
      </c>
      <c r="G152" s="38">
        <v>179040</v>
      </c>
      <c r="H152" s="33">
        <v>179040</v>
      </c>
      <c r="I152" s="3"/>
      <c r="J152" s="33">
        <v>222000</v>
      </c>
      <c r="K152" s="11" t="s">
        <v>579</v>
      </c>
      <c r="L152" s="33"/>
      <c r="M152" s="11"/>
      <c r="N152" s="33">
        <v>278000</v>
      </c>
      <c r="O152" s="11" t="s">
        <v>580</v>
      </c>
      <c r="P152" s="33"/>
      <c r="Q152" s="11"/>
      <c r="R152" s="33">
        <v>222000</v>
      </c>
      <c r="S152" s="11" t="s">
        <v>581</v>
      </c>
      <c r="T152" s="12"/>
    </row>
    <row r="153" spans="3:20" ht="18.95" customHeight="1" x14ac:dyDescent="0.15">
      <c r="C153" s="13" t="s">
        <v>582</v>
      </c>
      <c r="D153" s="54" t="s">
        <v>583</v>
      </c>
      <c r="E153" s="54" t="s">
        <v>584</v>
      </c>
      <c r="F153" s="10" t="s">
        <v>200</v>
      </c>
      <c r="G153" s="38">
        <v>446</v>
      </c>
      <c r="H153" s="33">
        <v>446</v>
      </c>
      <c r="I153" s="3"/>
      <c r="J153" s="33">
        <v>1889</v>
      </c>
      <c r="K153" s="11" t="s">
        <v>585</v>
      </c>
      <c r="L153" s="33">
        <v>1940</v>
      </c>
      <c r="M153" s="11" t="s">
        <v>586</v>
      </c>
      <c r="N153" s="33">
        <v>1340</v>
      </c>
      <c r="O153" s="11" t="s">
        <v>587</v>
      </c>
      <c r="P153" s="33"/>
      <c r="Q153" s="11"/>
      <c r="R153" s="33">
        <v>2067</v>
      </c>
      <c r="S153" s="11" t="s">
        <v>588</v>
      </c>
      <c r="T153" s="12"/>
    </row>
    <row r="154" spans="3:20" ht="18.95" customHeight="1" x14ac:dyDescent="0.15">
      <c r="C154" s="13" t="s">
        <v>589</v>
      </c>
      <c r="D154" s="54" t="s">
        <v>583</v>
      </c>
      <c r="E154" s="54" t="s">
        <v>590</v>
      </c>
      <c r="F154" s="10" t="s">
        <v>200</v>
      </c>
      <c r="G154" s="38">
        <v>689</v>
      </c>
      <c r="H154" s="33">
        <v>689</v>
      </c>
      <c r="I154" s="3"/>
      <c r="J154" s="33">
        <v>2737</v>
      </c>
      <c r="K154" s="11" t="s">
        <v>585</v>
      </c>
      <c r="L154" s="33">
        <v>3232</v>
      </c>
      <c r="M154" s="11" t="s">
        <v>586</v>
      </c>
      <c r="N154" s="33">
        <v>2210</v>
      </c>
      <c r="O154" s="11" t="s">
        <v>587</v>
      </c>
      <c r="P154" s="33"/>
      <c r="Q154" s="11"/>
      <c r="R154" s="33">
        <v>4088</v>
      </c>
      <c r="S154" s="11" t="s">
        <v>588</v>
      </c>
      <c r="T154" s="12"/>
    </row>
    <row r="155" spans="3:20" ht="18.95" customHeight="1" x14ac:dyDescent="0.15">
      <c r="C155" s="13" t="s">
        <v>591</v>
      </c>
      <c r="D155" s="54" t="s">
        <v>583</v>
      </c>
      <c r="E155" s="54" t="s">
        <v>592</v>
      </c>
      <c r="F155" s="10" t="s">
        <v>200</v>
      </c>
      <c r="G155" s="38">
        <v>2947</v>
      </c>
      <c r="H155" s="33">
        <v>2947</v>
      </c>
      <c r="I155" s="3"/>
      <c r="J155" s="33">
        <v>8427</v>
      </c>
      <c r="K155" s="11" t="s">
        <v>585</v>
      </c>
      <c r="L155" s="33">
        <v>13039</v>
      </c>
      <c r="M155" s="11" t="s">
        <v>586</v>
      </c>
      <c r="N155" s="33">
        <v>9330</v>
      </c>
      <c r="O155" s="11" t="s">
        <v>587</v>
      </c>
      <c r="P155" s="33"/>
      <c r="Q155" s="11"/>
      <c r="R155" s="33">
        <v>16493</v>
      </c>
      <c r="S155" s="11" t="s">
        <v>593</v>
      </c>
      <c r="T155" s="12"/>
    </row>
    <row r="156" spans="3:20" ht="18.95" customHeight="1" x14ac:dyDescent="0.15">
      <c r="C156" s="13" t="s">
        <v>594</v>
      </c>
      <c r="D156" s="54" t="s">
        <v>595</v>
      </c>
      <c r="E156" s="54" t="s">
        <v>596</v>
      </c>
      <c r="F156" s="10" t="s">
        <v>200</v>
      </c>
      <c r="G156" s="38">
        <v>127</v>
      </c>
      <c r="H156" s="33">
        <v>127</v>
      </c>
      <c r="I156" s="3"/>
      <c r="J156" s="33">
        <v>200</v>
      </c>
      <c r="K156" s="11" t="s">
        <v>585</v>
      </c>
      <c r="L156" s="33">
        <v>528</v>
      </c>
      <c r="M156" s="11" t="s">
        <v>586</v>
      </c>
      <c r="N156" s="33">
        <v>147</v>
      </c>
      <c r="O156" s="11" t="s">
        <v>587</v>
      </c>
      <c r="P156" s="33"/>
      <c r="Q156" s="11"/>
      <c r="R156" s="33"/>
      <c r="S156" s="11"/>
      <c r="T156" s="12"/>
    </row>
    <row r="157" spans="3:20" ht="18.95" customHeight="1" x14ac:dyDescent="0.15">
      <c r="C157" s="13" t="s">
        <v>597</v>
      </c>
      <c r="D157" s="54" t="s">
        <v>595</v>
      </c>
      <c r="E157" s="54" t="s">
        <v>598</v>
      </c>
      <c r="F157" s="10" t="s">
        <v>200</v>
      </c>
      <c r="G157" s="38">
        <v>187</v>
      </c>
      <c r="H157" s="33">
        <v>187</v>
      </c>
      <c r="I157" s="3"/>
      <c r="J157" s="33">
        <v>260</v>
      </c>
      <c r="K157" s="11" t="s">
        <v>585</v>
      </c>
      <c r="L157" s="33">
        <v>647</v>
      </c>
      <c r="M157" s="11" t="s">
        <v>586</v>
      </c>
      <c r="N157" s="33">
        <v>200</v>
      </c>
      <c r="O157" s="11" t="s">
        <v>587</v>
      </c>
      <c r="P157" s="33"/>
      <c r="Q157" s="11"/>
      <c r="R157" s="33"/>
      <c r="S157" s="11"/>
      <c r="T157" s="12"/>
    </row>
    <row r="158" spans="3:20" ht="18.95" customHeight="1" x14ac:dyDescent="0.15">
      <c r="C158" s="13" t="s">
        <v>599</v>
      </c>
      <c r="D158" s="54" t="s">
        <v>595</v>
      </c>
      <c r="E158" s="54" t="s">
        <v>600</v>
      </c>
      <c r="F158" s="10" t="s">
        <v>200</v>
      </c>
      <c r="G158" s="38">
        <v>242</v>
      </c>
      <c r="H158" s="33">
        <v>242</v>
      </c>
      <c r="I158" s="3"/>
      <c r="J158" s="33">
        <v>316</v>
      </c>
      <c r="K158" s="11" t="s">
        <v>585</v>
      </c>
      <c r="L158" s="33">
        <v>822</v>
      </c>
      <c r="M158" s="11" t="s">
        <v>586</v>
      </c>
      <c r="N158" s="33">
        <v>305</v>
      </c>
      <c r="O158" s="11" t="s">
        <v>587</v>
      </c>
      <c r="P158" s="33"/>
      <c r="Q158" s="11"/>
      <c r="R158" s="33"/>
      <c r="S158" s="11"/>
      <c r="T158" s="12"/>
    </row>
    <row r="159" spans="3:20" ht="18.95" customHeight="1" x14ac:dyDescent="0.15">
      <c r="C159" s="13" t="s">
        <v>601</v>
      </c>
      <c r="D159" s="54" t="s">
        <v>595</v>
      </c>
      <c r="E159" s="54" t="s">
        <v>602</v>
      </c>
      <c r="F159" s="10" t="s">
        <v>200</v>
      </c>
      <c r="G159" s="38">
        <v>403</v>
      </c>
      <c r="H159" s="33">
        <v>403</v>
      </c>
      <c r="I159" s="3"/>
      <c r="J159" s="33">
        <v>551</v>
      </c>
      <c r="K159" s="11" t="s">
        <v>585</v>
      </c>
      <c r="L159" s="33">
        <v>1064</v>
      </c>
      <c r="M159" s="11" t="s">
        <v>586</v>
      </c>
      <c r="N159" s="33">
        <v>548</v>
      </c>
      <c r="O159" s="11" t="s">
        <v>587</v>
      </c>
      <c r="P159" s="33"/>
      <c r="Q159" s="11"/>
      <c r="R159" s="33"/>
      <c r="S159" s="11"/>
      <c r="T159" s="12"/>
    </row>
    <row r="160" spans="3:20" ht="18.95" customHeight="1" x14ac:dyDescent="0.15">
      <c r="C160" s="13" t="s">
        <v>603</v>
      </c>
      <c r="D160" s="54" t="s">
        <v>595</v>
      </c>
      <c r="E160" s="54" t="s">
        <v>604</v>
      </c>
      <c r="F160" s="10" t="s">
        <v>200</v>
      </c>
      <c r="G160" s="38">
        <v>858</v>
      </c>
      <c r="H160" s="33">
        <v>858</v>
      </c>
      <c r="I160" s="3"/>
      <c r="J160" s="33">
        <v>1136</v>
      </c>
      <c r="K160" s="11" t="s">
        <v>585</v>
      </c>
      <c r="L160" s="33">
        <v>1912</v>
      </c>
      <c r="M160" s="11" t="s">
        <v>586</v>
      </c>
      <c r="N160" s="33"/>
      <c r="O160" s="11"/>
      <c r="P160" s="33"/>
      <c r="Q160" s="11"/>
      <c r="R160" s="33"/>
      <c r="S160" s="11"/>
      <c r="T160" s="12"/>
    </row>
    <row r="161" spans="3:20" ht="18.95" customHeight="1" x14ac:dyDescent="0.15">
      <c r="C161" s="13" t="s">
        <v>605</v>
      </c>
      <c r="D161" s="54" t="s">
        <v>595</v>
      </c>
      <c r="E161" s="54" t="s">
        <v>606</v>
      </c>
      <c r="F161" s="10" t="s">
        <v>200</v>
      </c>
      <c r="G161" s="38">
        <v>2103</v>
      </c>
      <c r="H161" s="33"/>
      <c r="I161" s="3"/>
      <c r="J161" s="33">
        <v>2103</v>
      </c>
      <c r="K161" s="11" t="s">
        <v>585</v>
      </c>
      <c r="L161" s="33">
        <v>2863</v>
      </c>
      <c r="M161" s="11" t="s">
        <v>586</v>
      </c>
      <c r="N161" s="33"/>
      <c r="O161" s="11"/>
      <c r="P161" s="33"/>
      <c r="Q161" s="11"/>
      <c r="R161" s="33"/>
      <c r="S161" s="11"/>
      <c r="T161" s="12"/>
    </row>
    <row r="162" spans="3:20" ht="18.95" customHeight="1" x14ac:dyDescent="0.15">
      <c r="C162" s="13" t="s">
        <v>607</v>
      </c>
      <c r="D162" s="54" t="s">
        <v>608</v>
      </c>
      <c r="E162" s="54" t="s">
        <v>609</v>
      </c>
      <c r="F162" s="10" t="s">
        <v>200</v>
      </c>
      <c r="G162" s="38">
        <v>1900</v>
      </c>
      <c r="H162" s="33"/>
      <c r="I162" s="3"/>
      <c r="J162" s="33"/>
      <c r="K162" s="11"/>
      <c r="L162" s="33">
        <v>1900</v>
      </c>
      <c r="M162" s="11" t="s">
        <v>201</v>
      </c>
      <c r="N162" s="33"/>
      <c r="O162" s="11"/>
      <c r="P162" s="33"/>
      <c r="Q162" s="11"/>
      <c r="R162" s="33"/>
      <c r="S162" s="11"/>
      <c r="T162" s="12"/>
    </row>
    <row r="163" spans="3:20" ht="18.95" customHeight="1" x14ac:dyDescent="0.15">
      <c r="C163" s="13" t="s">
        <v>610</v>
      </c>
      <c r="D163" s="54" t="s">
        <v>611</v>
      </c>
      <c r="E163" s="54" t="s">
        <v>612</v>
      </c>
      <c r="F163" s="10" t="s">
        <v>200</v>
      </c>
      <c r="G163" s="38">
        <v>828</v>
      </c>
      <c r="H163" s="33">
        <v>828</v>
      </c>
      <c r="I163" s="3"/>
      <c r="J163" s="33"/>
      <c r="K163" s="11"/>
      <c r="L163" s="33">
        <v>1500</v>
      </c>
      <c r="M163" s="11"/>
      <c r="N163" s="33"/>
      <c r="O163" s="11"/>
      <c r="P163" s="33"/>
      <c r="Q163" s="11"/>
      <c r="R163" s="33">
        <v>1200</v>
      </c>
      <c r="S163" s="11" t="s">
        <v>538</v>
      </c>
      <c r="T163" s="12"/>
    </row>
    <row r="164" spans="3:20" ht="18.95" customHeight="1" x14ac:dyDescent="0.15">
      <c r="C164" s="13" t="s">
        <v>613</v>
      </c>
      <c r="D164" s="54" t="s">
        <v>614</v>
      </c>
      <c r="E164" s="54" t="s">
        <v>615</v>
      </c>
      <c r="F164" s="10" t="s">
        <v>289</v>
      </c>
      <c r="G164" s="38">
        <v>2000</v>
      </c>
      <c r="H164" s="33">
        <v>2000</v>
      </c>
      <c r="I164" s="3"/>
      <c r="J164" s="33">
        <v>2000</v>
      </c>
      <c r="K164" s="11" t="s">
        <v>201</v>
      </c>
      <c r="L164" s="33">
        <v>2000</v>
      </c>
      <c r="M164" s="11" t="s">
        <v>201</v>
      </c>
      <c r="N164" s="33"/>
      <c r="O164" s="11"/>
      <c r="P164" s="33"/>
      <c r="Q164" s="11"/>
      <c r="R164" s="33"/>
      <c r="S164" s="11"/>
      <c r="T164" s="12"/>
    </row>
    <row r="165" spans="3:20" ht="18.95" customHeight="1" x14ac:dyDescent="0.15">
      <c r="C165" s="13" t="s">
        <v>616</v>
      </c>
      <c r="D165" s="54" t="s">
        <v>614</v>
      </c>
      <c r="E165" s="54" t="s">
        <v>617</v>
      </c>
      <c r="F165" s="10" t="s">
        <v>289</v>
      </c>
      <c r="G165" s="38">
        <v>13500</v>
      </c>
      <c r="H165" s="33">
        <v>13500</v>
      </c>
      <c r="I165" s="3"/>
      <c r="J165" s="33"/>
      <c r="K165" s="11"/>
      <c r="L165" s="33">
        <v>13500</v>
      </c>
      <c r="M165" s="11" t="s">
        <v>201</v>
      </c>
      <c r="N165" s="33"/>
      <c r="O165" s="11"/>
      <c r="P165" s="33"/>
      <c r="Q165" s="11"/>
      <c r="R165" s="33"/>
      <c r="S165" s="11"/>
      <c r="T165" s="12"/>
    </row>
    <row r="166" spans="3:20" ht="18.95" customHeight="1" x14ac:dyDescent="0.15">
      <c r="C166" s="13" t="s">
        <v>618</v>
      </c>
      <c r="D166" s="54" t="s">
        <v>619</v>
      </c>
      <c r="E166" s="54" t="s">
        <v>620</v>
      </c>
      <c r="F166" s="10" t="s">
        <v>578</v>
      </c>
      <c r="G166" s="38">
        <v>220000</v>
      </c>
      <c r="H166" s="33"/>
      <c r="I166" s="3"/>
      <c r="J166" s="33"/>
      <c r="K166" s="11"/>
      <c r="L166" s="33">
        <v>220000</v>
      </c>
      <c r="M166" s="11" t="s">
        <v>621</v>
      </c>
      <c r="N166" s="33"/>
      <c r="O166" s="11"/>
      <c r="P166" s="33"/>
      <c r="Q166" s="11"/>
      <c r="R166" s="33"/>
      <c r="S166" s="11"/>
      <c r="T166" s="12"/>
    </row>
    <row r="167" spans="3:20" ht="18.95" customHeight="1" x14ac:dyDescent="0.15">
      <c r="C167" s="13" t="s">
        <v>622</v>
      </c>
      <c r="D167" s="54" t="s">
        <v>619</v>
      </c>
      <c r="E167" s="54" t="s">
        <v>623</v>
      </c>
      <c r="F167" s="10" t="s">
        <v>578</v>
      </c>
      <c r="G167" s="38">
        <v>450000</v>
      </c>
      <c r="H167" s="33"/>
      <c r="I167" s="3"/>
      <c r="J167" s="33"/>
      <c r="K167" s="11"/>
      <c r="L167" s="33">
        <v>450000</v>
      </c>
      <c r="M167" s="11" t="s">
        <v>621</v>
      </c>
      <c r="N167" s="33"/>
      <c r="O167" s="11"/>
      <c r="P167" s="33"/>
      <c r="Q167" s="11"/>
      <c r="R167" s="33"/>
      <c r="S167" s="11"/>
      <c r="T167" s="12"/>
    </row>
    <row r="168" spans="3:20" ht="18.95" customHeight="1" x14ac:dyDescent="0.15">
      <c r="C168" s="13" t="s">
        <v>624</v>
      </c>
      <c r="D168" s="54" t="s">
        <v>625</v>
      </c>
      <c r="E168" s="54" t="s">
        <v>626</v>
      </c>
      <c r="F168" s="10" t="s">
        <v>627</v>
      </c>
      <c r="G168" s="38">
        <v>370000</v>
      </c>
      <c r="H168" s="33"/>
      <c r="I168" s="3"/>
      <c r="J168" s="33"/>
      <c r="K168" s="11"/>
      <c r="L168" s="33">
        <v>370000</v>
      </c>
      <c r="M168" s="11"/>
      <c r="N168" s="33"/>
      <c r="O168" s="11"/>
      <c r="P168" s="33"/>
      <c r="Q168" s="11"/>
      <c r="R168" s="33"/>
      <c r="S168" s="11"/>
      <c r="T168" s="12"/>
    </row>
    <row r="169" spans="3:20" ht="18.95" customHeight="1" x14ac:dyDescent="0.15">
      <c r="C169" s="13" t="s">
        <v>628</v>
      </c>
      <c r="D169" s="54" t="s">
        <v>629</v>
      </c>
      <c r="E169" s="54" t="s">
        <v>630</v>
      </c>
      <c r="F169" s="10" t="s">
        <v>631</v>
      </c>
      <c r="G169" s="38">
        <v>925</v>
      </c>
      <c r="H169" s="33"/>
      <c r="I169" s="3"/>
      <c r="J169" s="33">
        <v>1266</v>
      </c>
      <c r="K169" s="11"/>
      <c r="L169" s="33">
        <v>925</v>
      </c>
      <c r="M169" s="11" t="s">
        <v>632</v>
      </c>
      <c r="N169" s="33"/>
      <c r="O169" s="11"/>
      <c r="P169" s="33"/>
      <c r="Q169" s="11"/>
      <c r="R169" s="33"/>
      <c r="S169" s="11"/>
      <c r="T169" s="12"/>
    </row>
    <row r="170" spans="3:20" ht="18.95" customHeight="1" x14ac:dyDescent="0.15">
      <c r="C170" s="13" t="s">
        <v>633</v>
      </c>
      <c r="D170" s="54" t="s">
        <v>634</v>
      </c>
      <c r="E170" s="54" t="s">
        <v>635</v>
      </c>
      <c r="F170" s="10" t="s">
        <v>631</v>
      </c>
      <c r="G170" s="38">
        <v>990</v>
      </c>
      <c r="H170" s="33"/>
      <c r="I170" s="3"/>
      <c r="J170" s="33">
        <v>990</v>
      </c>
      <c r="K170" s="11"/>
      <c r="L170" s="33">
        <v>7420</v>
      </c>
      <c r="M170" s="11" t="s">
        <v>636</v>
      </c>
      <c r="N170" s="33"/>
      <c r="O170" s="11"/>
      <c r="P170" s="33"/>
      <c r="Q170" s="11"/>
      <c r="R170" s="33"/>
      <c r="S170" s="11"/>
      <c r="T170" s="12"/>
    </row>
    <row r="171" spans="3:20" ht="18.95" customHeight="1" x14ac:dyDescent="0.15">
      <c r="C171" s="13" t="s">
        <v>637</v>
      </c>
      <c r="D171" s="54" t="s">
        <v>638</v>
      </c>
      <c r="E171" s="54" t="s">
        <v>639</v>
      </c>
      <c r="F171" s="10" t="s">
        <v>200</v>
      </c>
      <c r="G171" s="38">
        <v>66</v>
      </c>
      <c r="H171" s="33">
        <v>66</v>
      </c>
      <c r="I171" s="3"/>
      <c r="J171" s="33">
        <v>75</v>
      </c>
      <c r="K171" s="11"/>
      <c r="L171" s="33">
        <v>270.60000000000002</v>
      </c>
      <c r="M171" s="11" t="s">
        <v>640</v>
      </c>
      <c r="N171" s="33"/>
      <c r="O171" s="11"/>
      <c r="P171" s="33"/>
      <c r="Q171" s="11"/>
      <c r="R171" s="33">
        <v>84</v>
      </c>
      <c r="S171" s="11" t="s">
        <v>641</v>
      </c>
      <c r="T171" s="12"/>
    </row>
    <row r="172" spans="3:20" ht="18.95" customHeight="1" x14ac:dyDescent="0.15">
      <c r="C172" s="13" t="s">
        <v>642</v>
      </c>
      <c r="D172" s="54" t="s">
        <v>643</v>
      </c>
      <c r="E172" s="54" t="s">
        <v>644</v>
      </c>
      <c r="F172" s="10" t="s">
        <v>200</v>
      </c>
      <c r="G172" s="38">
        <v>28</v>
      </c>
      <c r="H172" s="33"/>
      <c r="I172" s="3"/>
      <c r="J172" s="33">
        <v>30</v>
      </c>
      <c r="K172" s="11"/>
      <c r="L172" s="33">
        <v>28</v>
      </c>
      <c r="M172" s="11" t="s">
        <v>645</v>
      </c>
      <c r="N172" s="33"/>
      <c r="O172" s="11"/>
      <c r="P172" s="33"/>
      <c r="Q172" s="11"/>
      <c r="R172" s="33"/>
      <c r="S172" s="11"/>
      <c r="T172" s="12"/>
    </row>
    <row r="173" spans="3:20" ht="18.95" customHeight="1" x14ac:dyDescent="0.15">
      <c r="C173" s="13" t="s">
        <v>646</v>
      </c>
      <c r="D173" s="54" t="s">
        <v>643</v>
      </c>
      <c r="E173" s="54" t="s">
        <v>639</v>
      </c>
      <c r="F173" s="10" t="s">
        <v>289</v>
      </c>
      <c r="G173" s="38">
        <v>28</v>
      </c>
      <c r="H173" s="33"/>
      <c r="I173" s="3"/>
      <c r="J173" s="33">
        <v>30</v>
      </c>
      <c r="K173" s="11"/>
      <c r="L173" s="33">
        <v>28</v>
      </c>
      <c r="M173" s="11" t="s">
        <v>645</v>
      </c>
      <c r="N173" s="33"/>
      <c r="O173" s="11"/>
      <c r="P173" s="33"/>
      <c r="Q173" s="11"/>
      <c r="R173" s="33"/>
      <c r="S173" s="11"/>
      <c r="T173" s="12"/>
    </row>
    <row r="174" spans="3:20" ht="18.95" customHeight="1" x14ac:dyDescent="0.15">
      <c r="C174" s="13" t="s">
        <v>647</v>
      </c>
      <c r="D174" s="54" t="s">
        <v>648</v>
      </c>
      <c r="E174" s="54" t="s">
        <v>649</v>
      </c>
      <c r="F174" s="10" t="s">
        <v>289</v>
      </c>
      <c r="G174" s="38">
        <v>9</v>
      </c>
      <c r="H174" s="33"/>
      <c r="I174" s="3"/>
      <c r="J174" s="33">
        <v>10</v>
      </c>
      <c r="K174" s="11"/>
      <c r="L174" s="33">
        <v>10</v>
      </c>
      <c r="M174" s="11" t="s">
        <v>394</v>
      </c>
      <c r="N174" s="33"/>
      <c r="O174" s="11"/>
      <c r="P174" s="33"/>
      <c r="Q174" s="11"/>
      <c r="R174" s="33">
        <v>9</v>
      </c>
      <c r="S174" s="11" t="s">
        <v>650</v>
      </c>
      <c r="T174" s="12"/>
    </row>
    <row r="175" spans="3:20" ht="18.95" customHeight="1" x14ac:dyDescent="0.15">
      <c r="C175" s="13" t="s">
        <v>651</v>
      </c>
      <c r="D175" s="54" t="s">
        <v>652</v>
      </c>
      <c r="E175" s="54" t="s">
        <v>653</v>
      </c>
      <c r="F175" s="10" t="s">
        <v>654</v>
      </c>
      <c r="G175" s="38">
        <v>25021</v>
      </c>
      <c r="H175" s="33">
        <v>25021</v>
      </c>
      <c r="I175" s="3"/>
      <c r="J175" s="33"/>
      <c r="K175" s="11"/>
      <c r="L175" s="33"/>
      <c r="M175" s="11"/>
      <c r="N175" s="33"/>
      <c r="O175" s="11"/>
      <c r="P175" s="33"/>
      <c r="Q175" s="11"/>
      <c r="R175" s="33"/>
      <c r="S175" s="11"/>
      <c r="T175" s="12"/>
    </row>
    <row r="176" spans="3:20" ht="18.95" customHeight="1" x14ac:dyDescent="0.15">
      <c r="C176" s="13" t="s">
        <v>655</v>
      </c>
      <c r="D176" s="54" t="s">
        <v>656</v>
      </c>
      <c r="E176" s="54" t="s">
        <v>657</v>
      </c>
      <c r="F176" s="10" t="s">
        <v>166</v>
      </c>
      <c r="G176" s="38">
        <v>2200</v>
      </c>
      <c r="H176" s="33"/>
      <c r="I176" s="3"/>
      <c r="J176" s="33">
        <v>2200</v>
      </c>
      <c r="K176" s="11" t="s">
        <v>370</v>
      </c>
      <c r="L176" s="33">
        <v>2547</v>
      </c>
      <c r="M176" s="11" t="s">
        <v>658</v>
      </c>
      <c r="N176" s="33"/>
      <c r="O176" s="11"/>
      <c r="P176" s="33"/>
      <c r="Q176" s="11"/>
      <c r="R176" s="33"/>
      <c r="S176" s="11"/>
      <c r="T176" s="12"/>
    </row>
    <row r="177" spans="3:20" ht="18.95" customHeight="1" x14ac:dyDescent="0.15">
      <c r="C177" s="13" t="s">
        <v>659</v>
      </c>
      <c r="D177" s="54" t="s">
        <v>656</v>
      </c>
      <c r="E177" s="54" t="s">
        <v>660</v>
      </c>
      <c r="F177" s="10" t="s">
        <v>166</v>
      </c>
      <c r="G177" s="38">
        <v>2870</v>
      </c>
      <c r="H177" s="33"/>
      <c r="I177" s="3"/>
      <c r="J177" s="33">
        <v>2870</v>
      </c>
      <c r="K177" s="11" t="s">
        <v>370</v>
      </c>
      <c r="L177" s="33">
        <v>3354</v>
      </c>
      <c r="M177" s="11" t="s">
        <v>658</v>
      </c>
      <c r="N177" s="33"/>
      <c r="O177" s="11"/>
      <c r="P177" s="33"/>
      <c r="Q177" s="11"/>
      <c r="R177" s="33"/>
      <c r="S177" s="11"/>
      <c r="T177" s="12"/>
    </row>
    <row r="178" spans="3:20" ht="18.95" customHeight="1" x14ac:dyDescent="0.15">
      <c r="C178" s="13" t="s">
        <v>661</v>
      </c>
      <c r="D178" s="54" t="s">
        <v>656</v>
      </c>
      <c r="E178" s="54" t="s">
        <v>662</v>
      </c>
      <c r="F178" s="10" t="s">
        <v>166</v>
      </c>
      <c r="G178" s="38">
        <v>3889</v>
      </c>
      <c r="H178" s="33"/>
      <c r="I178" s="3"/>
      <c r="J178" s="33">
        <v>3889</v>
      </c>
      <c r="K178" s="11" t="s">
        <v>370</v>
      </c>
      <c r="L178" s="33">
        <v>4696</v>
      </c>
      <c r="M178" s="11" t="s">
        <v>658</v>
      </c>
      <c r="N178" s="33"/>
      <c r="O178" s="11"/>
      <c r="P178" s="33"/>
      <c r="Q178" s="11"/>
      <c r="R178" s="33"/>
      <c r="S178" s="11"/>
      <c r="T178" s="12"/>
    </row>
    <row r="179" spans="3:20" ht="18.95" customHeight="1" x14ac:dyDescent="0.15">
      <c r="C179" s="13" t="s">
        <v>663</v>
      </c>
      <c r="D179" s="54" t="s">
        <v>656</v>
      </c>
      <c r="E179" s="54" t="s">
        <v>664</v>
      </c>
      <c r="F179" s="10" t="s">
        <v>166</v>
      </c>
      <c r="G179" s="38">
        <v>4623</v>
      </c>
      <c r="H179" s="33"/>
      <c r="I179" s="3"/>
      <c r="J179" s="33">
        <v>4623</v>
      </c>
      <c r="K179" s="11" t="s">
        <v>370</v>
      </c>
      <c r="L179" s="33">
        <v>5840</v>
      </c>
      <c r="M179" s="11" t="s">
        <v>658</v>
      </c>
      <c r="N179" s="33"/>
      <c r="O179" s="11"/>
      <c r="P179" s="33"/>
      <c r="Q179" s="11"/>
      <c r="R179" s="33"/>
      <c r="S179" s="11"/>
      <c r="T179" s="12"/>
    </row>
    <row r="180" spans="3:20" ht="18.95" customHeight="1" x14ac:dyDescent="0.15">
      <c r="C180" s="13" t="s">
        <v>665</v>
      </c>
      <c r="D180" s="54" t="s">
        <v>656</v>
      </c>
      <c r="E180" s="54" t="s">
        <v>666</v>
      </c>
      <c r="F180" s="10" t="s">
        <v>166</v>
      </c>
      <c r="G180" s="38">
        <v>6139</v>
      </c>
      <c r="H180" s="33"/>
      <c r="I180" s="3"/>
      <c r="J180" s="33">
        <v>6139</v>
      </c>
      <c r="K180" s="11" t="s">
        <v>370</v>
      </c>
      <c r="L180" s="33">
        <v>7784</v>
      </c>
      <c r="M180" s="11" t="s">
        <v>658</v>
      </c>
      <c r="N180" s="33"/>
      <c r="O180" s="11"/>
      <c r="P180" s="33"/>
      <c r="Q180" s="11"/>
      <c r="R180" s="33"/>
      <c r="S180" s="11"/>
      <c r="T180" s="12"/>
    </row>
    <row r="181" spans="3:20" ht="18.95" customHeight="1" x14ac:dyDescent="0.15">
      <c r="C181" s="13" t="s">
        <v>667</v>
      </c>
      <c r="D181" s="54" t="s">
        <v>656</v>
      </c>
      <c r="E181" s="54" t="s">
        <v>668</v>
      </c>
      <c r="F181" s="10" t="s">
        <v>166</v>
      </c>
      <c r="G181" s="38">
        <v>8509</v>
      </c>
      <c r="H181" s="33"/>
      <c r="I181" s="3"/>
      <c r="J181" s="33">
        <v>8509</v>
      </c>
      <c r="K181" s="11" t="s">
        <v>370</v>
      </c>
      <c r="L181" s="33">
        <v>11138</v>
      </c>
      <c r="M181" s="11" t="s">
        <v>658</v>
      </c>
      <c r="N181" s="33"/>
      <c r="O181" s="11"/>
      <c r="P181" s="33"/>
      <c r="Q181" s="11"/>
      <c r="R181" s="33"/>
      <c r="S181" s="11"/>
      <c r="T181" s="12"/>
    </row>
    <row r="182" spans="3:20" ht="18.95" customHeight="1" x14ac:dyDescent="0.15">
      <c r="C182" s="13" t="s">
        <v>669</v>
      </c>
      <c r="D182" s="54" t="s">
        <v>656</v>
      </c>
      <c r="E182" s="54" t="s">
        <v>670</v>
      </c>
      <c r="F182" s="10" t="s">
        <v>166</v>
      </c>
      <c r="G182" s="38">
        <v>11273</v>
      </c>
      <c r="H182" s="33"/>
      <c r="I182" s="3"/>
      <c r="J182" s="33">
        <v>11273</v>
      </c>
      <c r="K182" s="11" t="s">
        <v>370</v>
      </c>
      <c r="L182" s="33">
        <v>14049</v>
      </c>
      <c r="M182" s="11" t="s">
        <v>658</v>
      </c>
      <c r="N182" s="33"/>
      <c r="O182" s="11"/>
      <c r="P182" s="33"/>
      <c r="Q182" s="11"/>
      <c r="R182" s="33"/>
      <c r="S182" s="11"/>
      <c r="T182" s="12"/>
    </row>
    <row r="183" spans="3:20" ht="18.95" customHeight="1" x14ac:dyDescent="0.15">
      <c r="C183" s="13" t="s">
        <v>671</v>
      </c>
      <c r="D183" s="54" t="s">
        <v>672</v>
      </c>
      <c r="E183" s="54" t="s">
        <v>673</v>
      </c>
      <c r="F183" s="10" t="s">
        <v>200</v>
      </c>
      <c r="G183" s="38">
        <v>830</v>
      </c>
      <c r="H183" s="33">
        <v>830</v>
      </c>
      <c r="I183" s="3"/>
      <c r="J183" s="33"/>
      <c r="K183" s="11"/>
      <c r="L183" s="33">
        <v>977</v>
      </c>
      <c r="M183" s="11" t="s">
        <v>658</v>
      </c>
      <c r="N183" s="33"/>
      <c r="O183" s="11"/>
      <c r="P183" s="33"/>
      <c r="Q183" s="11"/>
      <c r="R183" s="33"/>
      <c r="S183" s="11"/>
      <c r="T183" s="12"/>
    </row>
    <row r="184" spans="3:20" ht="18.95" customHeight="1" x14ac:dyDescent="0.15">
      <c r="C184" s="13" t="s">
        <v>674</v>
      </c>
      <c r="D184" s="54" t="s">
        <v>672</v>
      </c>
      <c r="E184" s="54" t="s">
        <v>675</v>
      </c>
      <c r="F184" s="10" t="s">
        <v>200</v>
      </c>
      <c r="G184" s="38">
        <v>1014</v>
      </c>
      <c r="H184" s="33">
        <v>1014</v>
      </c>
      <c r="I184" s="3"/>
      <c r="J184" s="33"/>
      <c r="K184" s="11"/>
      <c r="L184" s="33">
        <v>1193</v>
      </c>
      <c r="M184" s="11" t="s">
        <v>658</v>
      </c>
      <c r="N184" s="33"/>
      <c r="O184" s="11"/>
      <c r="P184" s="33"/>
      <c r="Q184" s="11"/>
      <c r="R184" s="33"/>
      <c r="S184" s="11"/>
      <c r="T184" s="12"/>
    </row>
    <row r="185" spans="3:20" ht="18.95" customHeight="1" x14ac:dyDescent="0.15">
      <c r="C185" s="13" t="s">
        <v>676</v>
      </c>
      <c r="D185" s="54" t="s">
        <v>672</v>
      </c>
      <c r="E185" s="54" t="s">
        <v>677</v>
      </c>
      <c r="F185" s="10" t="s">
        <v>200</v>
      </c>
      <c r="G185" s="38">
        <v>1246</v>
      </c>
      <c r="H185" s="33">
        <v>1246</v>
      </c>
      <c r="I185" s="3"/>
      <c r="J185" s="33"/>
      <c r="K185" s="11"/>
      <c r="L185" s="33">
        <v>1467</v>
      </c>
      <c r="M185" s="11" t="s">
        <v>658</v>
      </c>
      <c r="N185" s="33"/>
      <c r="O185" s="11"/>
      <c r="P185" s="33"/>
      <c r="Q185" s="11"/>
      <c r="R185" s="33"/>
      <c r="S185" s="11"/>
      <c r="T185" s="12"/>
    </row>
    <row r="186" spans="3:20" ht="18.95" customHeight="1" x14ac:dyDescent="0.15">
      <c r="C186" s="13" t="s">
        <v>678</v>
      </c>
      <c r="D186" s="54" t="s">
        <v>672</v>
      </c>
      <c r="E186" s="54" t="s">
        <v>679</v>
      </c>
      <c r="F186" s="10" t="s">
        <v>200</v>
      </c>
      <c r="G186" s="38">
        <v>1811</v>
      </c>
      <c r="H186" s="33">
        <v>1811</v>
      </c>
      <c r="I186" s="3"/>
      <c r="J186" s="33"/>
      <c r="K186" s="11"/>
      <c r="L186" s="33">
        <v>2131</v>
      </c>
      <c r="M186" s="11" t="s">
        <v>658</v>
      </c>
      <c r="N186" s="33"/>
      <c r="O186" s="11"/>
      <c r="P186" s="33"/>
      <c r="Q186" s="11"/>
      <c r="R186" s="33"/>
      <c r="S186" s="11"/>
      <c r="T186" s="12"/>
    </row>
    <row r="187" spans="3:20" ht="18.95" customHeight="1" x14ac:dyDescent="0.15">
      <c r="C187" s="13" t="s">
        <v>680</v>
      </c>
      <c r="D187" s="54" t="s">
        <v>672</v>
      </c>
      <c r="E187" s="54" t="s">
        <v>681</v>
      </c>
      <c r="F187" s="10" t="s">
        <v>200</v>
      </c>
      <c r="G187" s="38">
        <v>2721</v>
      </c>
      <c r="H187" s="33">
        <v>2721</v>
      </c>
      <c r="I187" s="3"/>
      <c r="J187" s="33"/>
      <c r="K187" s="11"/>
      <c r="L187" s="33">
        <v>3203</v>
      </c>
      <c r="M187" s="11" t="s">
        <v>658</v>
      </c>
      <c r="N187" s="33"/>
      <c r="O187" s="11"/>
      <c r="P187" s="33"/>
      <c r="Q187" s="11"/>
      <c r="R187" s="33"/>
      <c r="S187" s="11"/>
      <c r="T187" s="12"/>
    </row>
    <row r="188" spans="3:20" ht="18.95" customHeight="1" x14ac:dyDescent="0.15">
      <c r="C188" s="13" t="s">
        <v>682</v>
      </c>
      <c r="D188" s="54" t="s">
        <v>672</v>
      </c>
      <c r="E188" s="54" t="s">
        <v>683</v>
      </c>
      <c r="F188" s="10" t="s">
        <v>200</v>
      </c>
      <c r="G188" s="38">
        <v>3586</v>
      </c>
      <c r="H188" s="33">
        <v>3586</v>
      </c>
      <c r="I188" s="3"/>
      <c r="J188" s="33"/>
      <c r="K188" s="11"/>
      <c r="L188" s="33">
        <v>4220</v>
      </c>
      <c r="M188" s="11" t="s">
        <v>658</v>
      </c>
      <c r="N188" s="33"/>
      <c r="O188" s="11"/>
      <c r="P188" s="33"/>
      <c r="Q188" s="11"/>
      <c r="R188" s="33"/>
      <c r="S188" s="11"/>
      <c r="T188" s="12"/>
    </row>
    <row r="189" spans="3:20" ht="18.95" customHeight="1" x14ac:dyDescent="0.15">
      <c r="C189" s="13" t="s">
        <v>684</v>
      </c>
      <c r="D189" s="54" t="s">
        <v>672</v>
      </c>
      <c r="E189" s="54" t="s">
        <v>685</v>
      </c>
      <c r="F189" s="10" t="s">
        <v>200</v>
      </c>
      <c r="G189" s="38">
        <v>4442</v>
      </c>
      <c r="H189" s="33">
        <v>4442</v>
      </c>
      <c r="I189" s="3"/>
      <c r="J189" s="33"/>
      <c r="K189" s="11"/>
      <c r="L189" s="33">
        <v>5227</v>
      </c>
      <c r="M189" s="11" t="s">
        <v>658</v>
      </c>
      <c r="N189" s="33"/>
      <c r="O189" s="11"/>
      <c r="P189" s="33"/>
      <c r="Q189" s="11"/>
      <c r="R189" s="33"/>
      <c r="S189" s="11"/>
      <c r="T189" s="12"/>
    </row>
    <row r="190" spans="3:20" ht="18.95" customHeight="1" x14ac:dyDescent="0.15">
      <c r="C190" s="13" t="s">
        <v>686</v>
      </c>
      <c r="D190" s="54" t="s">
        <v>672</v>
      </c>
      <c r="E190" s="54" t="s">
        <v>687</v>
      </c>
      <c r="F190" s="10" t="s">
        <v>200</v>
      </c>
      <c r="G190" s="38">
        <v>1087</v>
      </c>
      <c r="H190" s="33">
        <v>1087</v>
      </c>
      <c r="I190" s="3"/>
      <c r="J190" s="33"/>
      <c r="K190" s="11"/>
      <c r="L190" s="33">
        <v>1279</v>
      </c>
      <c r="M190" s="11" t="s">
        <v>658</v>
      </c>
      <c r="N190" s="33"/>
      <c r="O190" s="11"/>
      <c r="P190" s="33"/>
      <c r="Q190" s="11"/>
      <c r="R190" s="33"/>
      <c r="S190" s="11"/>
      <c r="T190" s="12"/>
    </row>
    <row r="191" spans="3:20" ht="18.95" customHeight="1" x14ac:dyDescent="0.15">
      <c r="C191" s="13" t="s">
        <v>688</v>
      </c>
      <c r="D191" s="54" t="s">
        <v>672</v>
      </c>
      <c r="E191" s="54" t="s">
        <v>689</v>
      </c>
      <c r="F191" s="10" t="s">
        <v>200</v>
      </c>
      <c r="G191" s="38">
        <v>1258</v>
      </c>
      <c r="H191" s="33">
        <v>1258</v>
      </c>
      <c r="I191" s="3"/>
      <c r="J191" s="33"/>
      <c r="K191" s="11"/>
      <c r="L191" s="33">
        <v>1480</v>
      </c>
      <c r="M191" s="11" t="s">
        <v>658</v>
      </c>
      <c r="N191" s="33"/>
      <c r="O191" s="11"/>
      <c r="P191" s="33"/>
      <c r="Q191" s="11"/>
      <c r="R191" s="33"/>
      <c r="S191" s="11"/>
      <c r="T191" s="12"/>
    </row>
    <row r="192" spans="3:20" ht="18.95" customHeight="1" x14ac:dyDescent="0.15">
      <c r="C192" s="13" t="s">
        <v>690</v>
      </c>
      <c r="D192" s="54" t="s">
        <v>672</v>
      </c>
      <c r="E192" s="54" t="s">
        <v>691</v>
      </c>
      <c r="F192" s="10" t="s">
        <v>200</v>
      </c>
      <c r="G192" s="38">
        <v>1513</v>
      </c>
      <c r="H192" s="33">
        <v>1513</v>
      </c>
      <c r="I192" s="3"/>
      <c r="J192" s="33"/>
      <c r="K192" s="11"/>
      <c r="L192" s="33">
        <v>1781</v>
      </c>
      <c r="M192" s="11" t="s">
        <v>658</v>
      </c>
      <c r="N192" s="33"/>
      <c r="O192" s="11"/>
      <c r="P192" s="33"/>
      <c r="Q192" s="11"/>
      <c r="R192" s="33"/>
      <c r="S192" s="11"/>
      <c r="T192" s="12"/>
    </row>
    <row r="193" spans="3:20" ht="18.95" customHeight="1" x14ac:dyDescent="0.15">
      <c r="C193" s="13" t="s">
        <v>692</v>
      </c>
      <c r="D193" s="54" t="s">
        <v>672</v>
      </c>
      <c r="E193" s="54" t="s">
        <v>693</v>
      </c>
      <c r="F193" s="10" t="s">
        <v>200</v>
      </c>
      <c r="G193" s="38">
        <v>1983</v>
      </c>
      <c r="H193" s="33">
        <v>1983</v>
      </c>
      <c r="I193" s="3"/>
      <c r="J193" s="33"/>
      <c r="K193" s="11"/>
      <c r="L193" s="33">
        <v>2334</v>
      </c>
      <c r="M193" s="11" t="s">
        <v>658</v>
      </c>
      <c r="N193" s="33"/>
      <c r="O193" s="11"/>
      <c r="P193" s="33"/>
      <c r="Q193" s="11"/>
      <c r="R193" s="33"/>
      <c r="S193" s="11"/>
      <c r="T193" s="12"/>
    </row>
    <row r="194" spans="3:20" ht="18.95" customHeight="1" x14ac:dyDescent="0.15">
      <c r="C194" s="13" t="s">
        <v>694</v>
      </c>
      <c r="D194" s="54" t="s">
        <v>672</v>
      </c>
      <c r="E194" s="54" t="s">
        <v>695</v>
      </c>
      <c r="F194" s="10" t="s">
        <v>200</v>
      </c>
      <c r="G194" s="38">
        <v>2981</v>
      </c>
      <c r="H194" s="33">
        <v>2981</v>
      </c>
      <c r="I194" s="3"/>
      <c r="J194" s="33"/>
      <c r="K194" s="11"/>
      <c r="L194" s="33">
        <v>3508</v>
      </c>
      <c r="M194" s="11" t="s">
        <v>658</v>
      </c>
      <c r="N194" s="33"/>
      <c r="O194" s="11"/>
      <c r="P194" s="33"/>
      <c r="Q194" s="11"/>
      <c r="R194" s="33"/>
      <c r="S194" s="11"/>
      <c r="T194" s="12"/>
    </row>
    <row r="195" spans="3:20" ht="18.95" customHeight="1" x14ac:dyDescent="0.15">
      <c r="C195" s="13" t="s">
        <v>696</v>
      </c>
      <c r="D195" s="54" t="s">
        <v>672</v>
      </c>
      <c r="E195" s="54" t="s">
        <v>697</v>
      </c>
      <c r="F195" s="10" t="s">
        <v>200</v>
      </c>
      <c r="G195" s="38">
        <v>3800</v>
      </c>
      <c r="H195" s="33">
        <v>3800</v>
      </c>
      <c r="I195" s="3"/>
      <c r="J195" s="33"/>
      <c r="K195" s="11"/>
      <c r="L195" s="33">
        <v>4471</v>
      </c>
      <c r="M195" s="11" t="s">
        <v>658</v>
      </c>
      <c r="N195" s="33"/>
      <c r="O195" s="11"/>
      <c r="P195" s="33"/>
      <c r="Q195" s="11"/>
      <c r="R195" s="33"/>
      <c r="S195" s="11"/>
      <c r="T195" s="12"/>
    </row>
    <row r="196" spans="3:20" ht="18.95" customHeight="1" x14ac:dyDescent="0.15">
      <c r="C196" s="13" t="s">
        <v>698</v>
      </c>
      <c r="D196" s="54" t="s">
        <v>672</v>
      </c>
      <c r="E196" s="54" t="s">
        <v>699</v>
      </c>
      <c r="F196" s="10" t="s">
        <v>200</v>
      </c>
      <c r="G196" s="38">
        <v>5002</v>
      </c>
      <c r="H196" s="33">
        <v>5002</v>
      </c>
      <c r="I196" s="3"/>
      <c r="J196" s="33"/>
      <c r="K196" s="11"/>
      <c r="L196" s="33">
        <v>5885</v>
      </c>
      <c r="M196" s="11" t="s">
        <v>658</v>
      </c>
      <c r="N196" s="33"/>
      <c r="O196" s="11"/>
      <c r="P196" s="33"/>
      <c r="Q196" s="11"/>
      <c r="R196" s="33"/>
      <c r="S196" s="11"/>
      <c r="T196" s="12"/>
    </row>
    <row r="197" spans="3:20" ht="18.95" customHeight="1" x14ac:dyDescent="0.15">
      <c r="C197" s="13" t="s">
        <v>700</v>
      </c>
      <c r="D197" s="54" t="s">
        <v>701</v>
      </c>
      <c r="E197" s="54" t="s">
        <v>662</v>
      </c>
      <c r="F197" s="10" t="s">
        <v>200</v>
      </c>
      <c r="G197" s="38">
        <v>3467</v>
      </c>
      <c r="H197" s="33">
        <v>3467</v>
      </c>
      <c r="I197" s="3"/>
      <c r="J197" s="33"/>
      <c r="K197" s="11"/>
      <c r="L197" s="33">
        <v>4200</v>
      </c>
      <c r="M197" s="11" t="s">
        <v>658</v>
      </c>
      <c r="N197" s="33"/>
      <c r="O197" s="11"/>
      <c r="P197" s="33"/>
      <c r="Q197" s="11"/>
      <c r="R197" s="33"/>
      <c r="S197" s="11"/>
      <c r="T197" s="12"/>
    </row>
    <row r="198" spans="3:20" ht="18.95" customHeight="1" x14ac:dyDescent="0.15">
      <c r="C198" s="13" t="s">
        <v>702</v>
      </c>
      <c r="D198" s="54" t="s">
        <v>701</v>
      </c>
      <c r="E198" s="54" t="s">
        <v>664</v>
      </c>
      <c r="F198" s="10" t="s">
        <v>200</v>
      </c>
      <c r="G198" s="38">
        <v>4640</v>
      </c>
      <c r="H198" s="33">
        <v>4640</v>
      </c>
      <c r="I198" s="3"/>
      <c r="J198" s="33"/>
      <c r="K198" s="11"/>
      <c r="L198" s="33">
        <v>5620</v>
      </c>
      <c r="M198" s="11" t="s">
        <v>658</v>
      </c>
      <c r="N198" s="33"/>
      <c r="O198" s="11"/>
      <c r="P198" s="33"/>
      <c r="Q198" s="11"/>
      <c r="R198" s="33"/>
      <c r="S198" s="11"/>
      <c r="T198" s="12"/>
    </row>
    <row r="199" spans="3:20" ht="18.95" customHeight="1" x14ac:dyDescent="0.15">
      <c r="C199" s="13" t="s">
        <v>703</v>
      </c>
      <c r="D199" s="54" t="s">
        <v>701</v>
      </c>
      <c r="E199" s="54" t="s">
        <v>666</v>
      </c>
      <c r="F199" s="10" t="s">
        <v>200</v>
      </c>
      <c r="G199" s="38">
        <v>6705</v>
      </c>
      <c r="H199" s="33">
        <v>6705</v>
      </c>
      <c r="I199" s="3"/>
      <c r="J199" s="33"/>
      <c r="K199" s="11"/>
      <c r="L199" s="33">
        <v>8120</v>
      </c>
      <c r="M199" s="11" t="s">
        <v>658</v>
      </c>
      <c r="N199" s="33"/>
      <c r="O199" s="11"/>
      <c r="P199" s="33"/>
      <c r="Q199" s="11"/>
      <c r="R199" s="33"/>
      <c r="S199" s="11"/>
      <c r="T199" s="12"/>
    </row>
    <row r="200" spans="3:20" ht="18.95" customHeight="1" x14ac:dyDescent="0.15">
      <c r="C200" s="13" t="s">
        <v>704</v>
      </c>
      <c r="D200" s="54" t="s">
        <v>701</v>
      </c>
      <c r="E200" s="54" t="s">
        <v>668</v>
      </c>
      <c r="F200" s="10" t="s">
        <v>200</v>
      </c>
      <c r="G200" s="38">
        <v>10240</v>
      </c>
      <c r="H200" s="33">
        <v>10240</v>
      </c>
      <c r="I200" s="3"/>
      <c r="J200" s="33"/>
      <c r="K200" s="11"/>
      <c r="L200" s="33">
        <v>12400</v>
      </c>
      <c r="M200" s="11" t="s">
        <v>658</v>
      </c>
      <c r="N200" s="33"/>
      <c r="O200" s="11"/>
      <c r="P200" s="33"/>
      <c r="Q200" s="11"/>
      <c r="R200" s="33"/>
      <c r="S200" s="11"/>
      <c r="T200" s="12"/>
    </row>
    <row r="201" spans="3:20" ht="18.95" customHeight="1" x14ac:dyDescent="0.15">
      <c r="C201" s="13" t="s">
        <v>705</v>
      </c>
      <c r="D201" s="54" t="s">
        <v>701</v>
      </c>
      <c r="E201" s="54" t="s">
        <v>670</v>
      </c>
      <c r="F201" s="10" t="s">
        <v>200</v>
      </c>
      <c r="G201" s="38">
        <v>16888</v>
      </c>
      <c r="H201" s="33">
        <v>16888</v>
      </c>
      <c r="I201" s="3"/>
      <c r="J201" s="33"/>
      <c r="K201" s="11"/>
      <c r="L201" s="33">
        <v>20450</v>
      </c>
      <c r="M201" s="11" t="s">
        <v>658</v>
      </c>
      <c r="N201" s="33"/>
      <c r="O201" s="11"/>
      <c r="P201" s="33"/>
      <c r="Q201" s="11"/>
      <c r="R201" s="33"/>
      <c r="S201" s="11"/>
      <c r="T201" s="12"/>
    </row>
    <row r="202" spans="3:20" ht="18.95" customHeight="1" x14ac:dyDescent="0.15">
      <c r="C202" s="13" t="s">
        <v>706</v>
      </c>
      <c r="D202" s="54" t="s">
        <v>707</v>
      </c>
      <c r="E202" s="54"/>
      <c r="F202" s="10" t="s">
        <v>200</v>
      </c>
      <c r="G202" s="38">
        <v>50000</v>
      </c>
      <c r="H202" s="33"/>
      <c r="I202" s="3"/>
      <c r="J202" s="33"/>
      <c r="K202" s="11"/>
      <c r="L202" s="33"/>
      <c r="M202" s="11"/>
      <c r="N202" s="33"/>
      <c r="O202" s="11"/>
      <c r="P202" s="33">
        <v>50000</v>
      </c>
      <c r="Q202" s="11" t="s">
        <v>563</v>
      </c>
      <c r="R202" s="33"/>
      <c r="S202" s="11"/>
      <c r="T202" s="12"/>
    </row>
    <row r="203" spans="3:20" ht="18.95" customHeight="1" x14ac:dyDescent="0.15">
      <c r="C203" s="13" t="s">
        <v>706</v>
      </c>
      <c r="D203" s="54" t="s">
        <v>708</v>
      </c>
      <c r="E203" s="54" t="s">
        <v>709</v>
      </c>
      <c r="F203" s="10" t="s">
        <v>710</v>
      </c>
      <c r="G203" s="38">
        <v>50000</v>
      </c>
      <c r="H203" s="33"/>
      <c r="I203" s="3"/>
      <c r="J203" s="33"/>
      <c r="K203" s="11"/>
      <c r="L203" s="33"/>
      <c r="M203" s="11"/>
      <c r="N203" s="33">
        <v>50000</v>
      </c>
      <c r="O203" s="11" t="s">
        <v>711</v>
      </c>
      <c r="P203" s="33"/>
      <c r="Q203" s="11"/>
      <c r="R203" s="33"/>
      <c r="S203" s="11"/>
      <c r="T203" s="12"/>
    </row>
    <row r="204" spans="3:20" ht="18.95" customHeight="1" x14ac:dyDescent="0.15">
      <c r="C204" s="13" t="s">
        <v>706</v>
      </c>
      <c r="D204" s="54" t="s">
        <v>712</v>
      </c>
      <c r="E204" s="54" t="s">
        <v>713</v>
      </c>
      <c r="F204" s="10" t="s">
        <v>289</v>
      </c>
      <c r="G204" s="38">
        <v>10000</v>
      </c>
      <c r="H204" s="33"/>
      <c r="I204" s="3"/>
      <c r="J204" s="33"/>
      <c r="K204" s="11"/>
      <c r="L204" s="33"/>
      <c r="M204" s="11"/>
      <c r="N204" s="33">
        <v>10000</v>
      </c>
      <c r="O204" s="11" t="s">
        <v>555</v>
      </c>
      <c r="P204" s="33"/>
      <c r="Q204" s="11"/>
      <c r="R204" s="33"/>
      <c r="S204" s="11"/>
      <c r="T204" s="12"/>
    </row>
    <row r="205" spans="3:20" ht="18.95" customHeight="1" x14ac:dyDescent="0.15">
      <c r="C205" s="13" t="s">
        <v>714</v>
      </c>
      <c r="D205" s="54" t="s">
        <v>715</v>
      </c>
      <c r="E205" s="54"/>
      <c r="F205" s="10" t="s">
        <v>559</v>
      </c>
      <c r="G205" s="38">
        <v>136800</v>
      </c>
      <c r="H205" s="33"/>
      <c r="I205" s="3"/>
      <c r="J205" s="33"/>
      <c r="K205" s="11"/>
      <c r="L205" s="33"/>
      <c r="M205" s="11"/>
      <c r="N205" s="33">
        <v>136800</v>
      </c>
      <c r="O205" s="11" t="s">
        <v>537</v>
      </c>
      <c r="P205" s="33"/>
      <c r="Q205" s="11"/>
      <c r="R205" s="33"/>
      <c r="S205" s="11"/>
      <c r="T205" s="12"/>
    </row>
    <row r="206" spans="3:20" ht="18.95" customHeight="1" x14ac:dyDescent="0.15">
      <c r="C206" s="13" t="s">
        <v>706</v>
      </c>
      <c r="D206" s="54" t="s">
        <v>716</v>
      </c>
      <c r="E206" s="54" t="s">
        <v>717</v>
      </c>
      <c r="F206" s="10" t="s">
        <v>200</v>
      </c>
      <c r="G206" s="38">
        <v>45000</v>
      </c>
      <c r="H206" s="33"/>
      <c r="I206" s="3"/>
      <c r="J206" s="33"/>
      <c r="K206" s="11"/>
      <c r="L206" s="33"/>
      <c r="M206" s="11"/>
      <c r="N206" s="33"/>
      <c r="O206" s="11"/>
      <c r="P206" s="33">
        <v>45000</v>
      </c>
      <c r="Q206" s="11"/>
      <c r="R206" s="33"/>
      <c r="S206" s="11"/>
      <c r="T206" s="12"/>
    </row>
    <row r="207" spans="3:20" ht="18.95" customHeight="1" x14ac:dyDescent="0.15">
      <c r="C207" s="13" t="s">
        <v>706</v>
      </c>
      <c r="D207" s="54" t="s">
        <v>716</v>
      </c>
      <c r="E207" s="54" t="s">
        <v>718</v>
      </c>
      <c r="F207" s="10" t="s">
        <v>200</v>
      </c>
      <c r="G207" s="38">
        <v>45000</v>
      </c>
      <c r="H207" s="33"/>
      <c r="I207" s="3"/>
      <c r="J207" s="33"/>
      <c r="K207" s="11"/>
      <c r="L207" s="33"/>
      <c r="M207" s="11"/>
      <c r="N207" s="33"/>
      <c r="O207" s="11"/>
      <c r="P207" s="33">
        <v>45000</v>
      </c>
      <c r="Q207" s="11"/>
      <c r="R207" s="33"/>
      <c r="S207" s="11"/>
      <c r="T207" s="12"/>
    </row>
    <row r="208" spans="3:20" ht="18.95" customHeight="1" x14ac:dyDescent="0.15">
      <c r="C208" s="13" t="s">
        <v>706</v>
      </c>
      <c r="D208" s="54" t="s">
        <v>716</v>
      </c>
      <c r="E208" s="54" t="s">
        <v>719</v>
      </c>
      <c r="F208" s="10" t="s">
        <v>200</v>
      </c>
      <c r="G208" s="38">
        <v>35000</v>
      </c>
      <c r="H208" s="33"/>
      <c r="I208" s="3"/>
      <c r="J208" s="33"/>
      <c r="K208" s="11"/>
      <c r="L208" s="33"/>
      <c r="M208" s="11"/>
      <c r="N208" s="33"/>
      <c r="O208" s="11"/>
      <c r="P208" s="33">
        <v>35000</v>
      </c>
      <c r="Q208" s="11"/>
      <c r="R208" s="33"/>
      <c r="S208" s="11"/>
      <c r="T208" s="12"/>
    </row>
    <row r="209" spans="3:20" ht="18.95" customHeight="1" x14ac:dyDescent="0.15">
      <c r="C209" s="13" t="s">
        <v>706</v>
      </c>
      <c r="D209" s="54" t="s">
        <v>720</v>
      </c>
      <c r="E209" s="54" t="s">
        <v>717</v>
      </c>
      <c r="F209" s="10" t="s">
        <v>200</v>
      </c>
      <c r="G209" s="38">
        <v>4500</v>
      </c>
      <c r="H209" s="33"/>
      <c r="I209" s="3"/>
      <c r="J209" s="33"/>
      <c r="K209" s="11"/>
      <c r="L209" s="33"/>
      <c r="M209" s="11"/>
      <c r="N209" s="33"/>
      <c r="O209" s="11"/>
      <c r="P209" s="33">
        <v>4500</v>
      </c>
      <c r="Q209" s="11"/>
      <c r="R209" s="33"/>
      <c r="S209" s="11"/>
      <c r="T209" s="12"/>
    </row>
    <row r="210" spans="3:20" ht="18.95" customHeight="1" x14ac:dyDescent="0.15">
      <c r="C210" s="13" t="s">
        <v>706</v>
      </c>
      <c r="D210" s="54" t="s">
        <v>720</v>
      </c>
      <c r="E210" s="54" t="s">
        <v>718</v>
      </c>
      <c r="F210" s="10" t="s">
        <v>200</v>
      </c>
      <c r="G210" s="38">
        <v>3840</v>
      </c>
      <c r="H210" s="33"/>
      <c r="I210" s="3"/>
      <c r="J210" s="33"/>
      <c r="K210" s="11"/>
      <c r="L210" s="33"/>
      <c r="M210" s="11"/>
      <c r="N210" s="33">
        <v>3840</v>
      </c>
      <c r="O210" s="11" t="s">
        <v>721</v>
      </c>
      <c r="P210" s="33"/>
      <c r="Q210" s="11"/>
      <c r="R210" s="33"/>
      <c r="S210" s="11"/>
      <c r="T210" s="12"/>
    </row>
    <row r="211" spans="3:20" ht="18.95" customHeight="1" x14ac:dyDescent="0.15">
      <c r="C211" s="13" t="s">
        <v>706</v>
      </c>
      <c r="D211" s="54" t="s">
        <v>720</v>
      </c>
      <c r="E211" s="54" t="s">
        <v>719</v>
      </c>
      <c r="F211" s="10" t="s">
        <v>200</v>
      </c>
      <c r="G211" s="38">
        <v>4000</v>
      </c>
      <c r="H211" s="33"/>
      <c r="I211" s="3"/>
      <c r="J211" s="33"/>
      <c r="K211" s="11"/>
      <c r="L211" s="33"/>
      <c r="M211" s="11"/>
      <c r="N211" s="33"/>
      <c r="O211" s="11"/>
      <c r="P211" s="33">
        <v>4000</v>
      </c>
      <c r="Q211" s="11"/>
      <c r="R211" s="33"/>
      <c r="S211" s="11"/>
      <c r="T211" s="12"/>
    </row>
    <row r="212" spans="3:20" ht="18.95" customHeight="1" x14ac:dyDescent="0.15">
      <c r="C212" s="13" t="s">
        <v>706</v>
      </c>
      <c r="D212" s="54" t="s">
        <v>722</v>
      </c>
      <c r="E212" s="54" t="s">
        <v>717</v>
      </c>
      <c r="F212" s="10" t="s">
        <v>200</v>
      </c>
      <c r="G212" s="38">
        <v>1500</v>
      </c>
      <c r="H212" s="33"/>
      <c r="I212" s="3"/>
      <c r="J212" s="33"/>
      <c r="K212" s="11"/>
      <c r="L212" s="33"/>
      <c r="M212" s="11"/>
      <c r="N212" s="33"/>
      <c r="O212" s="11"/>
      <c r="P212" s="33">
        <v>1500</v>
      </c>
      <c r="Q212" s="11"/>
      <c r="R212" s="33"/>
      <c r="S212" s="11"/>
      <c r="T212" s="12"/>
    </row>
    <row r="213" spans="3:20" ht="18.95" customHeight="1" x14ac:dyDescent="0.15">
      <c r="C213" s="13" t="s">
        <v>706</v>
      </c>
      <c r="D213" s="54" t="s">
        <v>722</v>
      </c>
      <c r="E213" s="54" t="s">
        <v>719</v>
      </c>
      <c r="F213" s="10" t="s">
        <v>200</v>
      </c>
      <c r="G213" s="38">
        <v>1500</v>
      </c>
      <c r="H213" s="33"/>
      <c r="I213" s="3"/>
      <c r="J213" s="33"/>
      <c r="K213" s="11"/>
      <c r="L213" s="33"/>
      <c r="M213" s="11"/>
      <c r="N213" s="33"/>
      <c r="O213" s="11"/>
      <c r="P213" s="33">
        <v>1500</v>
      </c>
      <c r="Q213" s="11"/>
      <c r="R213" s="33"/>
      <c r="S213" s="11"/>
      <c r="T213" s="12"/>
    </row>
    <row r="214" spans="3:20" ht="18.95" customHeight="1" x14ac:dyDescent="0.15">
      <c r="C214" s="13" t="s">
        <v>706</v>
      </c>
      <c r="D214" s="54" t="s">
        <v>519</v>
      </c>
      <c r="E214" s="54" t="s">
        <v>723</v>
      </c>
      <c r="F214" s="10" t="s">
        <v>200</v>
      </c>
      <c r="G214" s="38">
        <v>1345</v>
      </c>
      <c r="H214" s="33"/>
      <c r="I214" s="3"/>
      <c r="J214" s="33"/>
      <c r="K214" s="11"/>
      <c r="L214" s="33"/>
      <c r="M214" s="11"/>
      <c r="N214" s="33"/>
      <c r="O214" s="11"/>
      <c r="P214" s="33">
        <v>1345</v>
      </c>
      <c r="Q214" s="11"/>
      <c r="R214" s="33"/>
      <c r="S214" s="11"/>
      <c r="T214" s="12"/>
    </row>
    <row r="215" spans="3:20" ht="18.95" customHeight="1" x14ac:dyDescent="0.15">
      <c r="C215" s="13" t="s">
        <v>706</v>
      </c>
      <c r="D215" s="54" t="s">
        <v>724</v>
      </c>
      <c r="E215" s="54" t="s">
        <v>725</v>
      </c>
      <c r="F215" s="10" t="s">
        <v>200</v>
      </c>
      <c r="G215" s="38">
        <v>1300</v>
      </c>
      <c r="H215" s="33"/>
      <c r="I215" s="3"/>
      <c r="J215" s="33"/>
      <c r="K215" s="11"/>
      <c r="L215" s="33"/>
      <c r="M215" s="11"/>
      <c r="N215" s="33"/>
      <c r="O215" s="11"/>
      <c r="P215" s="33">
        <v>1300</v>
      </c>
      <c r="Q215" s="11"/>
      <c r="R215" s="33"/>
      <c r="S215" s="11"/>
      <c r="T215" s="12"/>
    </row>
    <row r="216" spans="3:20" ht="18.95" customHeight="1" x14ac:dyDescent="0.15">
      <c r="C216" s="13" t="s">
        <v>706</v>
      </c>
      <c r="D216" s="54" t="s">
        <v>724</v>
      </c>
      <c r="E216" s="54" t="s">
        <v>726</v>
      </c>
      <c r="F216" s="10" t="s">
        <v>200</v>
      </c>
      <c r="G216" s="38">
        <v>1500</v>
      </c>
      <c r="H216" s="33"/>
      <c r="I216" s="3"/>
      <c r="J216" s="33"/>
      <c r="K216" s="11"/>
      <c r="L216" s="33"/>
      <c r="M216" s="11"/>
      <c r="N216" s="33"/>
      <c r="O216" s="11"/>
      <c r="P216" s="33">
        <v>1500</v>
      </c>
      <c r="Q216" s="11"/>
      <c r="R216" s="33"/>
      <c r="S216" s="11"/>
      <c r="T216" s="12"/>
    </row>
    <row r="217" spans="3:20" ht="18.95" customHeight="1" x14ac:dyDescent="0.15">
      <c r="C217" s="13" t="s">
        <v>727</v>
      </c>
      <c r="D217" s="54" t="s">
        <v>728</v>
      </c>
      <c r="E217" s="54" t="s">
        <v>729</v>
      </c>
      <c r="F217" s="10" t="s">
        <v>166</v>
      </c>
      <c r="G217" s="38">
        <v>7000</v>
      </c>
      <c r="H217" s="33"/>
      <c r="I217" s="3"/>
      <c r="J217" s="33"/>
      <c r="K217" s="11"/>
      <c r="L217" s="33"/>
      <c r="M217" s="11"/>
      <c r="N217" s="33"/>
      <c r="O217" s="11"/>
      <c r="P217" s="33">
        <v>7000</v>
      </c>
      <c r="Q217" s="11"/>
      <c r="R217" s="33"/>
      <c r="S217" s="11"/>
      <c r="T217" s="12"/>
    </row>
    <row r="218" spans="3:20" ht="18.95" customHeight="1" x14ac:dyDescent="0.15">
      <c r="C218" s="13" t="s">
        <v>706</v>
      </c>
      <c r="D218" s="54" t="s">
        <v>730</v>
      </c>
      <c r="E218" s="54" t="s">
        <v>731</v>
      </c>
      <c r="F218" s="10" t="s">
        <v>554</v>
      </c>
      <c r="G218" s="38">
        <v>5000</v>
      </c>
      <c r="H218" s="33"/>
      <c r="I218" s="3"/>
      <c r="J218" s="33"/>
      <c r="K218" s="11"/>
      <c r="L218" s="33"/>
      <c r="M218" s="11"/>
      <c r="N218" s="33"/>
      <c r="O218" s="11"/>
      <c r="P218" s="33">
        <v>5000</v>
      </c>
      <c r="Q218" s="11"/>
      <c r="R218" s="33"/>
      <c r="S218" s="11"/>
      <c r="T218" s="12"/>
    </row>
    <row r="219" spans="3:20" ht="18.95" customHeight="1" x14ac:dyDescent="0.15">
      <c r="C219" s="13" t="s">
        <v>706</v>
      </c>
      <c r="D219" s="54" t="s">
        <v>732</v>
      </c>
      <c r="E219" s="54"/>
      <c r="F219" s="10" t="s">
        <v>289</v>
      </c>
      <c r="G219" s="38">
        <v>13000</v>
      </c>
      <c r="H219" s="33"/>
      <c r="I219" s="3"/>
      <c r="J219" s="33"/>
      <c r="K219" s="11"/>
      <c r="L219" s="33"/>
      <c r="M219" s="11"/>
      <c r="N219" s="33"/>
      <c r="O219" s="11"/>
      <c r="P219" s="33">
        <v>13000</v>
      </c>
      <c r="Q219" s="11"/>
      <c r="R219" s="33"/>
      <c r="S219" s="11"/>
      <c r="T219" s="12"/>
    </row>
    <row r="220" spans="3:20" ht="18.95" customHeight="1" x14ac:dyDescent="0.15">
      <c r="C220" s="13" t="s">
        <v>706</v>
      </c>
      <c r="D220" s="54" t="s">
        <v>733</v>
      </c>
      <c r="E220" s="54" t="s">
        <v>734</v>
      </c>
      <c r="F220" s="10" t="s">
        <v>289</v>
      </c>
      <c r="G220" s="38">
        <v>3500</v>
      </c>
      <c r="H220" s="33"/>
      <c r="I220" s="3"/>
      <c r="J220" s="33"/>
      <c r="K220" s="11"/>
      <c r="L220" s="33"/>
      <c r="M220" s="11"/>
      <c r="N220" s="33"/>
      <c r="O220" s="11"/>
      <c r="P220" s="33">
        <v>3500</v>
      </c>
      <c r="Q220" s="11"/>
      <c r="R220" s="33"/>
      <c r="S220" s="11"/>
      <c r="T220" s="12"/>
    </row>
    <row r="221" spans="3:20" ht="18.95" customHeight="1" x14ac:dyDescent="0.15">
      <c r="C221" s="13" t="s">
        <v>706</v>
      </c>
      <c r="D221" s="54" t="s">
        <v>735</v>
      </c>
      <c r="E221" s="54"/>
      <c r="F221" s="10" t="s">
        <v>289</v>
      </c>
      <c r="G221" s="38">
        <v>50000</v>
      </c>
      <c r="H221" s="33"/>
      <c r="I221" s="3"/>
      <c r="J221" s="33"/>
      <c r="K221" s="11"/>
      <c r="L221" s="33"/>
      <c r="M221" s="11"/>
      <c r="N221" s="33"/>
      <c r="O221" s="11"/>
      <c r="P221" s="33">
        <v>50000</v>
      </c>
      <c r="Q221" s="11"/>
      <c r="R221" s="33"/>
      <c r="S221" s="11"/>
      <c r="T221" s="12"/>
    </row>
    <row r="222" spans="3:20" ht="18.95" customHeight="1" x14ac:dyDescent="0.15">
      <c r="C222" s="13" t="s">
        <v>706</v>
      </c>
      <c r="D222" s="54" t="s">
        <v>736</v>
      </c>
      <c r="E222" s="54" t="s">
        <v>737</v>
      </c>
      <c r="F222" s="10" t="s">
        <v>559</v>
      </c>
      <c r="G222" s="38">
        <v>200350</v>
      </c>
      <c r="H222" s="33"/>
      <c r="I222" s="3"/>
      <c r="J222" s="33"/>
      <c r="K222" s="11"/>
      <c r="L222" s="33"/>
      <c r="M222" s="11"/>
      <c r="N222" s="33">
        <v>200350</v>
      </c>
      <c r="O222" s="11" t="s">
        <v>738</v>
      </c>
      <c r="P222" s="33"/>
      <c r="Q222" s="11"/>
      <c r="R222" s="33"/>
      <c r="S222" s="11"/>
      <c r="T222" s="12"/>
    </row>
    <row r="223" spans="3:20" ht="18.95" customHeight="1" x14ac:dyDescent="0.15">
      <c r="C223" s="13" t="s">
        <v>706</v>
      </c>
      <c r="D223" s="54" t="s">
        <v>739</v>
      </c>
      <c r="E223" s="54"/>
      <c r="F223" s="10" t="s">
        <v>740</v>
      </c>
      <c r="G223" s="38">
        <v>14300000</v>
      </c>
      <c r="H223" s="33"/>
      <c r="I223" s="3"/>
      <c r="J223" s="33">
        <v>31130000</v>
      </c>
      <c r="K223" s="11" t="s">
        <v>741</v>
      </c>
      <c r="L223" s="33">
        <v>25850000</v>
      </c>
      <c r="M223" s="11" t="s">
        <v>742</v>
      </c>
      <c r="N223" s="33"/>
      <c r="O223" s="11"/>
      <c r="P223" s="33">
        <v>14300000</v>
      </c>
      <c r="Q223" s="11" t="s">
        <v>743</v>
      </c>
      <c r="R223" s="33"/>
      <c r="S223" s="11"/>
      <c r="T223" s="12"/>
    </row>
    <row r="224" spans="3:20" ht="18.95" customHeight="1" x14ac:dyDescent="0.15">
      <c r="C224" s="13" t="s">
        <v>706</v>
      </c>
      <c r="D224" s="54" t="s">
        <v>744</v>
      </c>
      <c r="E224" s="54"/>
      <c r="F224" s="10" t="s">
        <v>740</v>
      </c>
      <c r="G224" s="38">
        <v>13500000</v>
      </c>
      <c r="H224" s="33"/>
      <c r="I224" s="3"/>
      <c r="J224" s="33">
        <v>14500000</v>
      </c>
      <c r="K224" s="11" t="s">
        <v>741</v>
      </c>
      <c r="L224" s="33">
        <v>13500000</v>
      </c>
      <c r="M224" s="11" t="s">
        <v>742</v>
      </c>
      <c r="N224" s="33"/>
      <c r="O224" s="11"/>
      <c r="P224" s="33"/>
      <c r="Q224" s="11"/>
      <c r="R224" s="33"/>
      <c r="S224" s="11"/>
      <c r="T224" s="12"/>
    </row>
    <row r="225" spans="3:20" ht="18.95" customHeight="1" x14ac:dyDescent="0.15">
      <c r="C225" s="13" t="s">
        <v>706</v>
      </c>
      <c r="D225" s="54" t="s">
        <v>745</v>
      </c>
      <c r="E225" s="54" t="s">
        <v>746</v>
      </c>
      <c r="F225" s="10" t="s">
        <v>559</v>
      </c>
      <c r="G225" s="38">
        <v>15623000</v>
      </c>
      <c r="H225" s="33"/>
      <c r="I225" s="3"/>
      <c r="J225" s="33"/>
      <c r="K225" s="11"/>
      <c r="L225" s="33"/>
      <c r="M225" s="11"/>
      <c r="N225" s="33"/>
      <c r="O225" s="11"/>
      <c r="P225" s="33">
        <v>15623000</v>
      </c>
      <c r="Q225" s="11" t="s">
        <v>747</v>
      </c>
      <c r="R225" s="33"/>
      <c r="S225" s="11"/>
      <c r="T225" s="12"/>
    </row>
    <row r="226" spans="3:20" ht="18.95" customHeight="1" x14ac:dyDescent="0.15">
      <c r="C226" s="13" t="s">
        <v>706</v>
      </c>
      <c r="D226" s="54" t="s">
        <v>745</v>
      </c>
      <c r="E226" s="54" t="s">
        <v>748</v>
      </c>
      <c r="F226" s="10" t="s">
        <v>559</v>
      </c>
      <c r="G226" s="38">
        <v>18819000</v>
      </c>
      <c r="H226" s="33"/>
      <c r="I226" s="3"/>
      <c r="J226" s="33"/>
      <c r="K226" s="11"/>
      <c r="L226" s="33"/>
      <c r="M226" s="11"/>
      <c r="N226" s="33"/>
      <c r="O226" s="11"/>
      <c r="P226" s="33">
        <v>18819000</v>
      </c>
      <c r="Q226" s="11" t="s">
        <v>747</v>
      </c>
      <c r="R226" s="33"/>
      <c r="S226" s="11"/>
      <c r="T226" s="12"/>
    </row>
    <row r="227" spans="3:20" ht="18.95" customHeight="1" x14ac:dyDescent="0.15">
      <c r="C227" s="13" t="s">
        <v>706</v>
      </c>
      <c r="D227" s="54" t="s">
        <v>745</v>
      </c>
      <c r="E227" s="54" t="s">
        <v>749</v>
      </c>
      <c r="F227" s="10" t="s">
        <v>559</v>
      </c>
      <c r="G227" s="38">
        <v>41612000</v>
      </c>
      <c r="H227" s="33"/>
      <c r="I227" s="3"/>
      <c r="J227" s="33"/>
      <c r="K227" s="11"/>
      <c r="L227" s="33"/>
      <c r="M227" s="11"/>
      <c r="N227" s="33"/>
      <c r="O227" s="11"/>
      <c r="P227" s="33">
        <v>41612000</v>
      </c>
      <c r="Q227" s="11" t="s">
        <v>747</v>
      </c>
      <c r="R227" s="33"/>
      <c r="S227" s="11"/>
      <c r="T227" s="12"/>
    </row>
    <row r="228" spans="3:20" ht="18.95" customHeight="1" x14ac:dyDescent="0.15">
      <c r="C228" s="13" t="s">
        <v>706</v>
      </c>
      <c r="D228" s="54" t="s">
        <v>745</v>
      </c>
      <c r="E228" s="54" t="s">
        <v>750</v>
      </c>
      <c r="F228" s="10" t="s">
        <v>559</v>
      </c>
      <c r="G228" s="38">
        <v>26977000</v>
      </c>
      <c r="H228" s="33"/>
      <c r="I228" s="3"/>
      <c r="J228" s="33"/>
      <c r="K228" s="11"/>
      <c r="L228" s="33"/>
      <c r="M228" s="11"/>
      <c r="N228" s="33"/>
      <c r="O228" s="11"/>
      <c r="P228" s="33">
        <v>26977000</v>
      </c>
      <c r="Q228" s="11" t="s">
        <v>747</v>
      </c>
      <c r="R228" s="33"/>
      <c r="S228" s="11"/>
      <c r="T228" s="12"/>
    </row>
    <row r="229" spans="3:20" ht="18.95" customHeight="1" x14ac:dyDescent="0.15">
      <c r="C229" s="13" t="s">
        <v>706</v>
      </c>
      <c r="D229" s="54" t="s">
        <v>745</v>
      </c>
      <c r="E229" s="54" t="s">
        <v>751</v>
      </c>
      <c r="F229" s="10" t="s">
        <v>559</v>
      </c>
      <c r="G229" s="38">
        <v>17281000</v>
      </c>
      <c r="H229" s="33"/>
      <c r="I229" s="3"/>
      <c r="J229" s="33"/>
      <c r="K229" s="11"/>
      <c r="L229" s="33"/>
      <c r="M229" s="11"/>
      <c r="N229" s="33"/>
      <c r="O229" s="11"/>
      <c r="P229" s="33">
        <v>17281000</v>
      </c>
      <c r="Q229" s="11" t="s">
        <v>747</v>
      </c>
      <c r="R229" s="33"/>
      <c r="S229" s="11"/>
      <c r="T229" s="12"/>
    </row>
    <row r="230" spans="3:20" ht="18.95" customHeight="1" x14ac:dyDescent="0.15">
      <c r="C230" s="13" t="s">
        <v>706</v>
      </c>
      <c r="D230" s="54" t="s">
        <v>745</v>
      </c>
      <c r="E230" s="54" t="s">
        <v>752</v>
      </c>
      <c r="F230" s="10" t="s">
        <v>559</v>
      </c>
      <c r="G230" s="38">
        <v>20643000</v>
      </c>
      <c r="H230" s="33"/>
      <c r="I230" s="3"/>
      <c r="J230" s="33"/>
      <c r="K230" s="11"/>
      <c r="L230" s="33"/>
      <c r="M230" s="11"/>
      <c r="N230" s="33"/>
      <c r="O230" s="11"/>
      <c r="P230" s="33">
        <v>20643000</v>
      </c>
      <c r="Q230" s="11" t="s">
        <v>747</v>
      </c>
      <c r="R230" s="33"/>
      <c r="S230" s="11"/>
      <c r="T230" s="12"/>
    </row>
    <row r="231" spans="3:20" ht="18.95" customHeight="1" x14ac:dyDescent="0.15">
      <c r="C231" s="13" t="s">
        <v>706</v>
      </c>
      <c r="D231" s="54" t="s">
        <v>745</v>
      </c>
      <c r="E231" s="54" t="s">
        <v>753</v>
      </c>
      <c r="F231" s="10" t="s">
        <v>559</v>
      </c>
      <c r="G231" s="38">
        <v>17281000</v>
      </c>
      <c r="H231" s="33"/>
      <c r="I231" s="3"/>
      <c r="J231" s="33"/>
      <c r="K231" s="11"/>
      <c r="L231" s="33"/>
      <c r="M231" s="11"/>
      <c r="N231" s="33"/>
      <c r="O231" s="11"/>
      <c r="P231" s="33">
        <v>17281000</v>
      </c>
      <c r="Q231" s="11" t="s">
        <v>747</v>
      </c>
      <c r="R231" s="33"/>
      <c r="S231" s="11"/>
      <c r="T231" s="12"/>
    </row>
    <row r="232" spans="3:20" ht="18.95" customHeight="1" x14ac:dyDescent="0.15">
      <c r="C232" s="13" t="s">
        <v>706</v>
      </c>
      <c r="D232" s="54" t="s">
        <v>754</v>
      </c>
      <c r="E232" s="54" t="s">
        <v>755</v>
      </c>
      <c r="F232" s="10" t="s">
        <v>710</v>
      </c>
      <c r="G232" s="38">
        <v>88000</v>
      </c>
      <c r="H232" s="33"/>
      <c r="I232" s="3"/>
      <c r="J232" s="33">
        <v>90000</v>
      </c>
      <c r="K232" s="11" t="s">
        <v>756</v>
      </c>
      <c r="L232" s="33">
        <v>104000</v>
      </c>
      <c r="M232" s="11" t="s">
        <v>757</v>
      </c>
      <c r="N232" s="33"/>
      <c r="O232" s="11"/>
      <c r="P232" s="33">
        <v>88000</v>
      </c>
      <c r="Q232" s="11" t="s">
        <v>758</v>
      </c>
      <c r="R232" s="33"/>
      <c r="S232" s="11"/>
      <c r="T232" s="12"/>
    </row>
    <row r="233" spans="3:20" ht="18.95" customHeight="1" x14ac:dyDescent="0.15">
      <c r="C233" s="13" t="s">
        <v>706</v>
      </c>
      <c r="D233" s="54" t="s">
        <v>759</v>
      </c>
      <c r="E233" s="54" t="s">
        <v>760</v>
      </c>
      <c r="F233" s="10" t="s">
        <v>710</v>
      </c>
      <c r="G233" s="38">
        <v>40000</v>
      </c>
      <c r="H233" s="33"/>
      <c r="I233" s="3"/>
      <c r="J233" s="33">
        <v>43000</v>
      </c>
      <c r="K233" s="11" t="s">
        <v>756</v>
      </c>
      <c r="L233" s="33">
        <v>60000</v>
      </c>
      <c r="M233" s="11" t="s">
        <v>757</v>
      </c>
      <c r="N233" s="33"/>
      <c r="O233" s="11"/>
      <c r="P233" s="33">
        <v>40000</v>
      </c>
      <c r="Q233" s="11" t="s">
        <v>758</v>
      </c>
      <c r="R233" s="33"/>
      <c r="S233" s="11"/>
      <c r="T233" s="12"/>
    </row>
    <row r="234" spans="3:20" ht="18.95" customHeight="1" x14ac:dyDescent="0.15">
      <c r="C234" s="13" t="s">
        <v>706</v>
      </c>
      <c r="D234" s="54" t="s">
        <v>761</v>
      </c>
      <c r="E234" s="54" t="s">
        <v>762</v>
      </c>
      <c r="F234" s="10" t="s">
        <v>710</v>
      </c>
      <c r="G234" s="38">
        <v>40000</v>
      </c>
      <c r="H234" s="33"/>
      <c r="I234" s="3"/>
      <c r="J234" s="33">
        <v>43000</v>
      </c>
      <c r="K234" s="11" t="s">
        <v>756</v>
      </c>
      <c r="L234" s="33">
        <v>60000</v>
      </c>
      <c r="M234" s="11" t="s">
        <v>757</v>
      </c>
      <c r="N234" s="33"/>
      <c r="O234" s="11"/>
      <c r="P234" s="33">
        <v>40000</v>
      </c>
      <c r="Q234" s="11" t="s">
        <v>758</v>
      </c>
      <c r="R234" s="33"/>
      <c r="S234" s="11"/>
      <c r="T234" s="12"/>
    </row>
    <row r="235" spans="3:20" ht="18.95" customHeight="1" x14ac:dyDescent="0.15">
      <c r="C235" s="13" t="s">
        <v>706</v>
      </c>
      <c r="D235" s="54" t="s">
        <v>763</v>
      </c>
      <c r="E235" s="54" t="s">
        <v>764</v>
      </c>
      <c r="F235" s="10" t="s">
        <v>710</v>
      </c>
      <c r="G235" s="38">
        <v>55000</v>
      </c>
      <c r="H235" s="33"/>
      <c r="I235" s="3"/>
      <c r="J235" s="33">
        <v>70000</v>
      </c>
      <c r="K235" s="11" t="s">
        <v>756</v>
      </c>
      <c r="L235" s="33">
        <v>58000</v>
      </c>
      <c r="M235" s="11" t="s">
        <v>757</v>
      </c>
      <c r="N235" s="33"/>
      <c r="O235" s="11"/>
      <c r="P235" s="33">
        <v>55000</v>
      </c>
      <c r="Q235" s="11" t="s">
        <v>758</v>
      </c>
      <c r="R235" s="33"/>
      <c r="S235" s="11"/>
      <c r="T235" s="12"/>
    </row>
    <row r="236" spans="3:20" ht="18.95" customHeight="1" x14ac:dyDescent="0.15">
      <c r="C236" s="13" t="s">
        <v>706</v>
      </c>
      <c r="D236" s="54" t="s">
        <v>763</v>
      </c>
      <c r="E236" s="54" t="s">
        <v>765</v>
      </c>
      <c r="F236" s="10" t="s">
        <v>710</v>
      </c>
      <c r="G236" s="38">
        <v>55000</v>
      </c>
      <c r="H236" s="33"/>
      <c r="I236" s="3"/>
      <c r="J236" s="33">
        <v>70000</v>
      </c>
      <c r="K236" s="11" t="s">
        <v>756</v>
      </c>
      <c r="L236" s="33">
        <v>58000</v>
      </c>
      <c r="M236" s="11" t="s">
        <v>757</v>
      </c>
      <c r="N236" s="33"/>
      <c r="O236" s="11"/>
      <c r="P236" s="33">
        <v>55000</v>
      </c>
      <c r="Q236" s="11" t="s">
        <v>758</v>
      </c>
      <c r="R236" s="33"/>
      <c r="S236" s="11"/>
      <c r="T236" s="12"/>
    </row>
    <row r="237" spans="3:20" ht="18.95" customHeight="1" x14ac:dyDescent="0.15">
      <c r="C237" s="13" t="s">
        <v>706</v>
      </c>
      <c r="D237" s="54" t="s">
        <v>766</v>
      </c>
      <c r="E237" s="54" t="s">
        <v>767</v>
      </c>
      <c r="F237" s="10" t="s">
        <v>710</v>
      </c>
      <c r="G237" s="38">
        <v>50000</v>
      </c>
      <c r="H237" s="33"/>
      <c r="I237" s="3"/>
      <c r="J237" s="33">
        <v>70000</v>
      </c>
      <c r="K237" s="11" t="s">
        <v>756</v>
      </c>
      <c r="L237" s="33">
        <v>70000</v>
      </c>
      <c r="M237" s="11" t="s">
        <v>757</v>
      </c>
      <c r="N237" s="33"/>
      <c r="O237" s="11"/>
      <c r="P237" s="33">
        <v>50000</v>
      </c>
      <c r="Q237" s="11" t="s">
        <v>758</v>
      </c>
      <c r="R237" s="33"/>
      <c r="S237" s="11"/>
      <c r="T237" s="12"/>
    </row>
    <row r="238" spans="3:20" ht="18.95" customHeight="1" x14ac:dyDescent="0.15">
      <c r="C238" s="13" t="s">
        <v>706</v>
      </c>
      <c r="D238" s="54" t="s">
        <v>768</v>
      </c>
      <c r="E238" s="54" t="s">
        <v>769</v>
      </c>
      <c r="F238" s="10" t="s">
        <v>289</v>
      </c>
      <c r="G238" s="38">
        <v>70570000</v>
      </c>
      <c r="H238" s="33"/>
      <c r="I238" s="3"/>
      <c r="J238" s="33">
        <v>66250000</v>
      </c>
      <c r="K238" s="11" t="s">
        <v>743</v>
      </c>
      <c r="L238" s="33">
        <v>26380000</v>
      </c>
      <c r="M238" s="11" t="s">
        <v>3252</v>
      </c>
      <c r="N238" s="33"/>
      <c r="O238" s="11"/>
      <c r="P238" s="33">
        <v>70570000</v>
      </c>
      <c r="Q238" s="11" t="s">
        <v>770</v>
      </c>
      <c r="R238" s="33"/>
      <c r="S238" s="11"/>
      <c r="T238" s="12"/>
    </row>
    <row r="239" spans="3:20" ht="18.95" customHeight="1" x14ac:dyDescent="0.15">
      <c r="C239" s="13" t="s">
        <v>706</v>
      </c>
      <c r="D239" s="54" t="s">
        <v>771</v>
      </c>
      <c r="E239" s="54" t="s">
        <v>772</v>
      </c>
      <c r="F239" s="10" t="s">
        <v>289</v>
      </c>
      <c r="G239" s="38">
        <v>62134000</v>
      </c>
      <c r="H239" s="33"/>
      <c r="I239" s="3"/>
      <c r="J239" s="33">
        <v>79500000</v>
      </c>
      <c r="K239" s="11" t="s">
        <v>743</v>
      </c>
      <c r="L239" s="33">
        <v>109850000</v>
      </c>
      <c r="M239" s="11" t="s">
        <v>3252</v>
      </c>
      <c r="N239" s="33"/>
      <c r="O239" s="11"/>
      <c r="P239" s="33">
        <v>62134000</v>
      </c>
      <c r="Q239" s="11" t="s">
        <v>770</v>
      </c>
      <c r="R239" s="33"/>
      <c r="S239" s="11"/>
      <c r="T239" s="12"/>
    </row>
    <row r="240" spans="3:20" ht="18.95" customHeight="1" x14ac:dyDescent="0.15">
      <c r="C240" s="13" t="s">
        <v>706</v>
      </c>
      <c r="D240" s="54" t="s">
        <v>773</v>
      </c>
      <c r="E240" s="54" t="s">
        <v>774</v>
      </c>
      <c r="F240" s="10" t="s">
        <v>289</v>
      </c>
      <c r="G240" s="38">
        <v>5290000</v>
      </c>
      <c r="H240" s="33"/>
      <c r="I240" s="3"/>
      <c r="J240" s="33">
        <v>3272000</v>
      </c>
      <c r="K240" s="11" t="s">
        <v>743</v>
      </c>
      <c r="L240" s="33">
        <v>4480000</v>
      </c>
      <c r="M240" s="11" t="s">
        <v>3252</v>
      </c>
      <c r="N240" s="33"/>
      <c r="O240" s="11"/>
      <c r="P240" s="33">
        <v>5290000</v>
      </c>
      <c r="Q240" s="11" t="s">
        <v>770</v>
      </c>
      <c r="R240" s="33"/>
      <c r="S240" s="11"/>
      <c r="T240" s="12"/>
    </row>
    <row r="241" spans="3:20" ht="18.95" customHeight="1" x14ac:dyDescent="0.15">
      <c r="C241" s="13" t="s">
        <v>706</v>
      </c>
      <c r="D241" s="54" t="s">
        <v>775</v>
      </c>
      <c r="E241" s="54"/>
      <c r="F241" s="10" t="s">
        <v>289</v>
      </c>
      <c r="G241" s="38">
        <v>3500</v>
      </c>
      <c r="H241" s="33"/>
      <c r="I241" s="3"/>
      <c r="J241" s="33"/>
      <c r="K241" s="11"/>
      <c r="L241" s="33"/>
      <c r="M241" s="11"/>
      <c r="N241" s="33"/>
      <c r="O241" s="11"/>
      <c r="P241" s="33">
        <v>3500</v>
      </c>
      <c r="Q241" s="11" t="s">
        <v>776</v>
      </c>
      <c r="R241" s="33"/>
      <c r="S241" s="11"/>
      <c r="T241" s="12"/>
    </row>
    <row r="242" spans="3:20" ht="18.95" customHeight="1" x14ac:dyDescent="0.15">
      <c r="C242" s="13" t="s">
        <v>706</v>
      </c>
      <c r="D242" s="54" t="s">
        <v>777</v>
      </c>
      <c r="E242" s="54"/>
      <c r="F242" s="10" t="s">
        <v>289</v>
      </c>
      <c r="G242" s="38"/>
      <c r="H242" s="33"/>
      <c r="I242" s="3"/>
      <c r="J242" s="33"/>
      <c r="K242" s="11"/>
      <c r="L242" s="33"/>
      <c r="M242" s="11"/>
      <c r="N242" s="33"/>
      <c r="O242" s="11"/>
      <c r="P242" s="33"/>
      <c r="Q242" s="11"/>
      <c r="R242" s="33"/>
      <c r="S242" s="11"/>
      <c r="T242" s="12"/>
    </row>
    <row r="243" spans="3:20" ht="18.95" customHeight="1" x14ac:dyDescent="0.15">
      <c r="C243" s="13" t="s">
        <v>706</v>
      </c>
      <c r="D243" s="54" t="s">
        <v>778</v>
      </c>
      <c r="E243" s="54" t="s">
        <v>779</v>
      </c>
      <c r="F243" s="10" t="s">
        <v>289</v>
      </c>
      <c r="G243" s="38">
        <v>70000</v>
      </c>
      <c r="H243" s="33"/>
      <c r="I243" s="3"/>
      <c r="J243" s="33"/>
      <c r="K243" s="11"/>
      <c r="L243" s="33"/>
      <c r="M243" s="11"/>
      <c r="N243" s="33"/>
      <c r="O243" s="11"/>
      <c r="P243" s="33">
        <v>70000</v>
      </c>
      <c r="Q243" s="11" t="s">
        <v>780</v>
      </c>
      <c r="R243" s="33"/>
      <c r="S243" s="11"/>
      <c r="T243" s="12"/>
    </row>
    <row r="244" spans="3:20" ht="18.95" customHeight="1" x14ac:dyDescent="0.15">
      <c r="C244" s="13" t="s">
        <v>706</v>
      </c>
      <c r="D244" s="54" t="s">
        <v>778</v>
      </c>
      <c r="E244" s="54" t="s">
        <v>781</v>
      </c>
      <c r="F244" s="10" t="s">
        <v>289</v>
      </c>
      <c r="G244" s="38">
        <v>150000</v>
      </c>
      <c r="H244" s="33"/>
      <c r="I244" s="3"/>
      <c r="J244" s="33"/>
      <c r="K244" s="11"/>
      <c r="L244" s="33"/>
      <c r="M244" s="11"/>
      <c r="N244" s="33"/>
      <c r="O244" s="11"/>
      <c r="P244" s="33">
        <v>150000</v>
      </c>
      <c r="Q244" s="11" t="s">
        <v>780</v>
      </c>
      <c r="R244" s="33"/>
      <c r="S244" s="11"/>
      <c r="T244" s="12"/>
    </row>
    <row r="245" spans="3:20" ht="18.95" customHeight="1" x14ac:dyDescent="0.15">
      <c r="C245" s="13" t="s">
        <v>706</v>
      </c>
      <c r="D245" s="54" t="s">
        <v>778</v>
      </c>
      <c r="E245" s="54" t="s">
        <v>782</v>
      </c>
      <c r="F245" s="10" t="s">
        <v>289</v>
      </c>
      <c r="G245" s="38">
        <v>180000</v>
      </c>
      <c r="H245" s="33"/>
      <c r="I245" s="3"/>
      <c r="J245" s="33"/>
      <c r="K245" s="11"/>
      <c r="L245" s="33"/>
      <c r="M245" s="11"/>
      <c r="N245" s="33"/>
      <c r="O245" s="11"/>
      <c r="P245" s="33">
        <v>180000</v>
      </c>
      <c r="Q245" s="11" t="s">
        <v>780</v>
      </c>
      <c r="R245" s="33"/>
      <c r="S245" s="11"/>
      <c r="T245" s="12"/>
    </row>
    <row r="246" spans="3:20" ht="18.95" customHeight="1" x14ac:dyDescent="0.15">
      <c r="C246" s="13" t="s">
        <v>706</v>
      </c>
      <c r="D246" s="54" t="s">
        <v>778</v>
      </c>
      <c r="E246" s="54" t="s">
        <v>783</v>
      </c>
      <c r="F246" s="10" t="s">
        <v>289</v>
      </c>
      <c r="G246" s="38">
        <v>200000</v>
      </c>
      <c r="H246" s="33"/>
      <c r="I246" s="3"/>
      <c r="J246" s="33"/>
      <c r="K246" s="11"/>
      <c r="L246" s="33"/>
      <c r="M246" s="11"/>
      <c r="N246" s="33"/>
      <c r="O246" s="11"/>
      <c r="P246" s="33">
        <v>200000</v>
      </c>
      <c r="Q246" s="11" t="s">
        <v>780</v>
      </c>
      <c r="R246" s="33"/>
      <c r="S246" s="11"/>
      <c r="T246" s="12"/>
    </row>
    <row r="247" spans="3:20" ht="18.95" customHeight="1" x14ac:dyDescent="0.15">
      <c r="C247" s="13" t="s">
        <v>706</v>
      </c>
      <c r="D247" s="54" t="s">
        <v>784</v>
      </c>
      <c r="E247" s="54" t="s">
        <v>785</v>
      </c>
      <c r="F247" s="10" t="s">
        <v>289</v>
      </c>
      <c r="G247" s="38">
        <v>70000</v>
      </c>
      <c r="H247" s="33"/>
      <c r="I247" s="3"/>
      <c r="J247" s="33"/>
      <c r="K247" s="11"/>
      <c r="L247" s="33"/>
      <c r="M247" s="11"/>
      <c r="N247" s="33"/>
      <c r="O247" s="11"/>
      <c r="P247" s="33">
        <v>70000</v>
      </c>
      <c r="Q247" s="11" t="s">
        <v>780</v>
      </c>
      <c r="R247" s="33"/>
      <c r="S247" s="11"/>
      <c r="T247" s="12"/>
    </row>
    <row r="248" spans="3:20" ht="18.95" customHeight="1" x14ac:dyDescent="0.15">
      <c r="C248" s="13" t="s">
        <v>706</v>
      </c>
      <c r="D248" s="54" t="s">
        <v>786</v>
      </c>
      <c r="E248" s="54" t="s">
        <v>787</v>
      </c>
      <c r="F248" s="10" t="s">
        <v>289</v>
      </c>
      <c r="G248" s="38">
        <v>600000</v>
      </c>
      <c r="H248" s="33"/>
      <c r="I248" s="3"/>
      <c r="J248" s="33"/>
      <c r="K248" s="11"/>
      <c r="L248" s="33"/>
      <c r="M248" s="11"/>
      <c r="N248" s="33"/>
      <c r="O248" s="11"/>
      <c r="P248" s="33">
        <v>600000</v>
      </c>
      <c r="Q248" s="11" t="s">
        <v>780</v>
      </c>
      <c r="R248" s="33"/>
      <c r="S248" s="11"/>
      <c r="T248" s="12"/>
    </row>
    <row r="249" spans="3:20" ht="18.95" customHeight="1" x14ac:dyDescent="0.15">
      <c r="C249" s="13" t="s">
        <v>706</v>
      </c>
      <c r="D249" s="54" t="s">
        <v>788</v>
      </c>
      <c r="E249" s="54" t="s">
        <v>789</v>
      </c>
      <c r="F249" s="10" t="s">
        <v>289</v>
      </c>
      <c r="G249" s="38">
        <v>900000</v>
      </c>
      <c r="H249" s="33"/>
      <c r="I249" s="3"/>
      <c r="J249" s="33"/>
      <c r="K249" s="11"/>
      <c r="L249" s="33"/>
      <c r="M249" s="11"/>
      <c r="N249" s="33"/>
      <c r="O249" s="11"/>
      <c r="P249" s="33">
        <v>900000</v>
      </c>
      <c r="Q249" s="11" t="s">
        <v>780</v>
      </c>
      <c r="R249" s="33"/>
      <c r="S249" s="11"/>
      <c r="T249" s="12"/>
    </row>
    <row r="250" spans="3:20" ht="18.95" customHeight="1" x14ac:dyDescent="0.15">
      <c r="C250" s="13" t="s">
        <v>706</v>
      </c>
      <c r="D250" s="54" t="s">
        <v>790</v>
      </c>
      <c r="E250" s="54" t="s">
        <v>791</v>
      </c>
      <c r="F250" s="10" t="s">
        <v>792</v>
      </c>
      <c r="G250" s="38">
        <v>9000000</v>
      </c>
      <c r="H250" s="33"/>
      <c r="I250" s="3"/>
      <c r="J250" s="33"/>
      <c r="K250" s="11"/>
      <c r="L250" s="33"/>
      <c r="M250" s="11"/>
      <c r="N250" s="33"/>
      <c r="O250" s="11"/>
      <c r="P250" s="33">
        <v>9000000</v>
      </c>
      <c r="Q250" s="11" t="s">
        <v>780</v>
      </c>
      <c r="R250" s="33"/>
      <c r="S250" s="11"/>
      <c r="T250" s="12"/>
    </row>
    <row r="251" spans="3:20" ht="18.95" customHeight="1" x14ac:dyDescent="0.15">
      <c r="C251" s="13" t="s">
        <v>706</v>
      </c>
      <c r="D251" s="54" t="s">
        <v>793</v>
      </c>
      <c r="E251" s="54" t="s">
        <v>794</v>
      </c>
      <c r="F251" s="10" t="s">
        <v>792</v>
      </c>
      <c r="G251" s="38">
        <v>26624363</v>
      </c>
      <c r="H251" s="33"/>
      <c r="I251" s="3"/>
      <c r="J251" s="33"/>
      <c r="K251" s="11"/>
      <c r="L251" s="33"/>
      <c r="M251" s="11"/>
      <c r="N251" s="33"/>
      <c r="O251" s="11"/>
      <c r="P251" s="33">
        <v>26624363</v>
      </c>
      <c r="Q251" s="11" t="s">
        <v>780</v>
      </c>
      <c r="R251" s="33"/>
      <c r="S251" s="11"/>
      <c r="T251" s="12"/>
    </row>
    <row r="252" spans="3:20" ht="18.95" customHeight="1" x14ac:dyDescent="0.15">
      <c r="C252" s="13" t="s">
        <v>795</v>
      </c>
      <c r="D252" s="54" t="s">
        <v>796</v>
      </c>
      <c r="E252" s="54" t="s">
        <v>797</v>
      </c>
      <c r="F252" s="10" t="s">
        <v>166</v>
      </c>
      <c r="G252" s="38">
        <v>680</v>
      </c>
      <c r="H252" s="33"/>
      <c r="I252" s="3"/>
      <c r="J252" s="33"/>
      <c r="K252" s="11"/>
      <c r="L252" s="33"/>
      <c r="M252" s="11"/>
      <c r="N252" s="33">
        <v>680</v>
      </c>
      <c r="O252" s="11" t="s">
        <v>798</v>
      </c>
      <c r="P252" s="33"/>
      <c r="Q252" s="11"/>
      <c r="R252" s="33"/>
      <c r="S252" s="11"/>
      <c r="T252" s="12"/>
    </row>
    <row r="253" spans="3:20" ht="18.95" customHeight="1" x14ac:dyDescent="0.15">
      <c r="C253" s="13" t="s">
        <v>706</v>
      </c>
      <c r="D253" s="54" t="s">
        <v>799</v>
      </c>
      <c r="E253" s="54" t="s">
        <v>800</v>
      </c>
      <c r="F253" s="10" t="s">
        <v>289</v>
      </c>
      <c r="G253" s="38"/>
      <c r="H253" s="33"/>
      <c r="I253" s="3"/>
      <c r="J253" s="33"/>
      <c r="K253" s="11"/>
      <c r="L253" s="33"/>
      <c r="M253" s="11"/>
      <c r="N253" s="33"/>
      <c r="O253" s="11"/>
      <c r="P253" s="33"/>
      <c r="Q253" s="11"/>
      <c r="R253" s="33"/>
      <c r="S253" s="11"/>
      <c r="T253" s="12"/>
    </row>
    <row r="254" spans="3:20" ht="18.95" customHeight="1" x14ac:dyDescent="0.15">
      <c r="C254" s="13" t="s">
        <v>706</v>
      </c>
      <c r="D254" s="54" t="s">
        <v>801</v>
      </c>
      <c r="E254" s="54" t="s">
        <v>802</v>
      </c>
      <c r="F254" s="10" t="s">
        <v>289</v>
      </c>
      <c r="G254" s="38"/>
      <c r="H254" s="33"/>
      <c r="I254" s="3"/>
      <c r="J254" s="33"/>
      <c r="K254" s="11"/>
      <c r="L254" s="33"/>
      <c r="M254" s="11"/>
      <c r="N254" s="33"/>
      <c r="O254" s="11"/>
      <c r="P254" s="33"/>
      <c r="Q254" s="11"/>
      <c r="R254" s="33"/>
      <c r="S254" s="11"/>
      <c r="T254" s="12"/>
    </row>
    <row r="255" spans="3:20" ht="18.95" customHeight="1" x14ac:dyDescent="0.15">
      <c r="C255" s="13" t="s">
        <v>706</v>
      </c>
      <c r="D255" s="54" t="s">
        <v>803</v>
      </c>
      <c r="E255" s="54" t="s">
        <v>804</v>
      </c>
      <c r="F255" s="10" t="s">
        <v>289</v>
      </c>
      <c r="G255" s="38"/>
      <c r="H255" s="33"/>
      <c r="I255" s="3"/>
      <c r="J255" s="33"/>
      <c r="K255" s="11"/>
      <c r="L255" s="33"/>
      <c r="M255" s="11"/>
      <c r="N255" s="33"/>
      <c r="O255" s="11"/>
      <c r="P255" s="33"/>
      <c r="Q255" s="11"/>
      <c r="R255" s="33"/>
      <c r="S255" s="11"/>
      <c r="T255" s="12"/>
    </row>
    <row r="256" spans="3:20" ht="18.95" customHeight="1" x14ac:dyDescent="0.15">
      <c r="C256" s="13" t="s">
        <v>706</v>
      </c>
      <c r="D256" s="54" t="s">
        <v>805</v>
      </c>
      <c r="E256" s="54" t="s">
        <v>806</v>
      </c>
      <c r="F256" s="10" t="s">
        <v>289</v>
      </c>
      <c r="G256" s="38"/>
      <c r="H256" s="33"/>
      <c r="I256" s="3"/>
      <c r="J256" s="33"/>
      <c r="K256" s="11"/>
      <c r="L256" s="33"/>
      <c r="M256" s="11"/>
      <c r="N256" s="33"/>
      <c r="O256" s="11"/>
      <c r="P256" s="33"/>
      <c r="Q256" s="11"/>
      <c r="R256" s="33"/>
      <c r="S256" s="11"/>
      <c r="T256" s="12"/>
    </row>
    <row r="257" spans="3:20" ht="18.95" customHeight="1" x14ac:dyDescent="0.15">
      <c r="C257" s="13" t="s">
        <v>706</v>
      </c>
      <c r="D257" s="54" t="s">
        <v>807</v>
      </c>
      <c r="E257" s="54" t="s">
        <v>808</v>
      </c>
      <c r="F257" s="10" t="s">
        <v>289</v>
      </c>
      <c r="G257" s="38"/>
      <c r="H257" s="33"/>
      <c r="I257" s="3"/>
      <c r="J257" s="33"/>
      <c r="K257" s="11"/>
      <c r="L257" s="33"/>
      <c r="M257" s="11"/>
      <c r="N257" s="33"/>
      <c r="O257" s="11"/>
      <c r="P257" s="33"/>
      <c r="Q257" s="11"/>
      <c r="R257" s="33"/>
      <c r="S257" s="11"/>
      <c r="T257" s="12"/>
    </row>
    <row r="258" spans="3:20" ht="18.95" customHeight="1" x14ac:dyDescent="0.15">
      <c r="C258" s="13" t="s">
        <v>706</v>
      </c>
      <c r="D258" s="54" t="s">
        <v>809</v>
      </c>
      <c r="E258" s="54" t="s">
        <v>810</v>
      </c>
      <c r="F258" s="10" t="s">
        <v>289</v>
      </c>
      <c r="G258" s="38"/>
      <c r="H258" s="33"/>
      <c r="I258" s="3"/>
      <c r="J258" s="33"/>
      <c r="K258" s="11"/>
      <c r="L258" s="33"/>
      <c r="M258" s="11"/>
      <c r="N258" s="33"/>
      <c r="O258" s="11"/>
      <c r="P258" s="33"/>
      <c r="Q258" s="11"/>
      <c r="R258" s="33"/>
      <c r="S258" s="11"/>
      <c r="T258" s="12"/>
    </row>
    <row r="259" spans="3:20" ht="18.95" customHeight="1" x14ac:dyDescent="0.15">
      <c r="C259" s="13" t="s">
        <v>706</v>
      </c>
      <c r="D259" s="54" t="s">
        <v>811</v>
      </c>
      <c r="E259" s="54" t="s">
        <v>812</v>
      </c>
      <c r="F259" s="10" t="s">
        <v>289</v>
      </c>
      <c r="G259" s="38"/>
      <c r="H259" s="33"/>
      <c r="I259" s="3"/>
      <c r="J259" s="33"/>
      <c r="K259" s="11"/>
      <c r="L259" s="33"/>
      <c r="M259" s="11"/>
      <c r="N259" s="33"/>
      <c r="O259" s="11"/>
      <c r="P259" s="33"/>
      <c r="Q259" s="11"/>
      <c r="R259" s="33"/>
      <c r="S259" s="11"/>
      <c r="T259" s="12"/>
    </row>
    <row r="260" spans="3:20" ht="18.95" customHeight="1" x14ac:dyDescent="0.15">
      <c r="C260" s="13" t="s">
        <v>706</v>
      </c>
      <c r="D260" s="54" t="s">
        <v>813</v>
      </c>
      <c r="E260" s="54" t="s">
        <v>814</v>
      </c>
      <c r="F260" s="10" t="s">
        <v>289</v>
      </c>
      <c r="G260" s="38"/>
      <c r="H260" s="33"/>
      <c r="I260" s="3"/>
      <c r="J260" s="33"/>
      <c r="K260" s="11"/>
      <c r="L260" s="33"/>
      <c r="M260" s="11"/>
      <c r="N260" s="33"/>
      <c r="O260" s="11"/>
      <c r="P260" s="33"/>
      <c r="Q260" s="11"/>
      <c r="R260" s="33"/>
      <c r="S260" s="11"/>
      <c r="T260" s="12"/>
    </row>
    <row r="261" spans="3:20" ht="18.95" customHeight="1" x14ac:dyDescent="0.15">
      <c r="C261" s="13" t="s">
        <v>706</v>
      </c>
      <c r="D261" s="54" t="s">
        <v>815</v>
      </c>
      <c r="E261" s="54"/>
      <c r="F261" s="10" t="s">
        <v>710</v>
      </c>
      <c r="G261" s="38"/>
      <c r="H261" s="33"/>
      <c r="I261" s="3"/>
      <c r="J261" s="33"/>
      <c r="K261" s="11"/>
      <c r="L261" s="33"/>
      <c r="M261" s="11"/>
      <c r="N261" s="33"/>
      <c r="O261" s="11"/>
      <c r="P261" s="33"/>
      <c r="Q261" s="11"/>
      <c r="R261" s="33"/>
      <c r="S261" s="11"/>
      <c r="T261" s="12"/>
    </row>
    <row r="262" spans="3:20" ht="18.95" customHeight="1" x14ac:dyDescent="0.15">
      <c r="C262" s="13" t="s">
        <v>706</v>
      </c>
      <c r="D262" s="54" t="s">
        <v>816</v>
      </c>
      <c r="E262" s="54" t="s">
        <v>817</v>
      </c>
      <c r="F262" s="10" t="s">
        <v>710</v>
      </c>
      <c r="G262" s="38"/>
      <c r="H262" s="33"/>
      <c r="I262" s="3"/>
      <c r="J262" s="33"/>
      <c r="K262" s="11"/>
      <c r="L262" s="33"/>
      <c r="M262" s="11"/>
      <c r="N262" s="33"/>
      <c r="O262" s="11"/>
      <c r="P262" s="33"/>
      <c r="Q262" s="11"/>
      <c r="R262" s="33"/>
      <c r="S262" s="11"/>
      <c r="T262" s="12"/>
    </row>
    <row r="263" spans="3:20" ht="18.95" customHeight="1" x14ac:dyDescent="0.15">
      <c r="C263" s="13" t="s">
        <v>706</v>
      </c>
      <c r="D263" s="54" t="s">
        <v>818</v>
      </c>
      <c r="E263" s="54" t="s">
        <v>819</v>
      </c>
      <c r="F263" s="10" t="s">
        <v>289</v>
      </c>
      <c r="G263" s="38"/>
      <c r="H263" s="33"/>
      <c r="I263" s="3"/>
      <c r="J263" s="33"/>
      <c r="K263" s="11"/>
      <c r="L263" s="33"/>
      <c r="M263" s="11"/>
      <c r="N263" s="33"/>
      <c r="O263" s="11"/>
      <c r="P263" s="33"/>
      <c r="Q263" s="11"/>
      <c r="R263" s="33"/>
      <c r="S263" s="11"/>
      <c r="T263" s="12"/>
    </row>
    <row r="264" spans="3:20" ht="18.95" customHeight="1" x14ac:dyDescent="0.15">
      <c r="C264" s="13" t="s">
        <v>706</v>
      </c>
      <c r="D264" s="54" t="s">
        <v>820</v>
      </c>
      <c r="E264" s="54" t="s">
        <v>821</v>
      </c>
      <c r="F264" s="10" t="s">
        <v>289</v>
      </c>
      <c r="G264" s="38"/>
      <c r="H264" s="33"/>
      <c r="I264" s="3"/>
      <c r="J264" s="33"/>
      <c r="K264" s="11"/>
      <c r="L264" s="33"/>
      <c r="M264" s="11"/>
      <c r="N264" s="33"/>
      <c r="O264" s="11"/>
      <c r="P264" s="33"/>
      <c r="Q264" s="11"/>
      <c r="R264" s="33"/>
      <c r="S264" s="11"/>
      <c r="T264" s="12"/>
    </row>
    <row r="265" spans="3:20" ht="18.95" customHeight="1" x14ac:dyDescent="0.15">
      <c r="C265" s="13" t="s">
        <v>706</v>
      </c>
      <c r="D265" s="54" t="s">
        <v>822</v>
      </c>
      <c r="E265" s="54" t="s">
        <v>823</v>
      </c>
      <c r="F265" s="10" t="s">
        <v>792</v>
      </c>
      <c r="G265" s="38"/>
      <c r="H265" s="33"/>
      <c r="I265" s="3"/>
      <c r="J265" s="33"/>
      <c r="K265" s="11"/>
      <c r="L265" s="33"/>
      <c r="M265" s="11"/>
      <c r="N265" s="33"/>
      <c r="O265" s="11"/>
      <c r="P265" s="33"/>
      <c r="Q265" s="11"/>
      <c r="R265" s="33"/>
      <c r="S265" s="11"/>
      <c r="T265" s="12"/>
    </row>
    <row r="266" spans="3:20" ht="18.95" customHeight="1" x14ac:dyDescent="0.15">
      <c r="C266" s="13" t="s">
        <v>706</v>
      </c>
      <c r="D266" s="54" t="s">
        <v>824</v>
      </c>
      <c r="E266" s="54" t="s">
        <v>825</v>
      </c>
      <c r="F266" s="10" t="s">
        <v>826</v>
      </c>
      <c r="G266" s="38"/>
      <c r="H266" s="33"/>
      <c r="I266" s="3"/>
      <c r="J266" s="33"/>
      <c r="K266" s="11"/>
      <c r="L266" s="33"/>
      <c r="M266" s="11"/>
      <c r="N266" s="33"/>
      <c r="O266" s="11"/>
      <c r="P266" s="33"/>
      <c r="Q266" s="11"/>
      <c r="R266" s="33"/>
      <c r="S266" s="11"/>
      <c r="T266" s="12"/>
    </row>
    <row r="267" spans="3:20" ht="18.95" customHeight="1" x14ac:dyDescent="0.15">
      <c r="C267" s="13" t="s">
        <v>706</v>
      </c>
      <c r="D267" s="54" t="s">
        <v>824</v>
      </c>
      <c r="E267" s="54" t="s">
        <v>827</v>
      </c>
      <c r="F267" s="10" t="s">
        <v>828</v>
      </c>
      <c r="G267" s="38"/>
      <c r="H267" s="33"/>
      <c r="I267" s="3"/>
      <c r="J267" s="33"/>
      <c r="K267" s="11"/>
      <c r="L267" s="33"/>
      <c r="M267" s="11"/>
      <c r="N267" s="33"/>
      <c r="O267" s="11"/>
      <c r="P267" s="33"/>
      <c r="Q267" s="11"/>
      <c r="R267" s="33"/>
      <c r="S267" s="11"/>
      <c r="T267" s="12"/>
    </row>
    <row r="268" spans="3:20" ht="18.95" customHeight="1" x14ac:dyDescent="0.15">
      <c r="C268" s="13" t="s">
        <v>706</v>
      </c>
      <c r="D268" s="54" t="s">
        <v>824</v>
      </c>
      <c r="E268" s="54" t="s">
        <v>829</v>
      </c>
      <c r="F268" s="10" t="s">
        <v>826</v>
      </c>
      <c r="G268" s="38"/>
      <c r="H268" s="33"/>
      <c r="I268" s="3"/>
      <c r="J268" s="33"/>
      <c r="K268" s="11"/>
      <c r="L268" s="33"/>
      <c r="M268" s="11"/>
      <c r="N268" s="33"/>
      <c r="O268" s="11"/>
      <c r="P268" s="33"/>
      <c r="Q268" s="11"/>
      <c r="R268" s="33"/>
      <c r="S268" s="11"/>
      <c r="T268" s="12"/>
    </row>
    <row r="269" spans="3:20" ht="18.95" customHeight="1" x14ac:dyDescent="0.15">
      <c r="C269" s="13" t="s">
        <v>830</v>
      </c>
      <c r="D269" s="54" t="s">
        <v>831</v>
      </c>
      <c r="E269" s="54" t="s">
        <v>832</v>
      </c>
      <c r="F269" s="10" t="s">
        <v>710</v>
      </c>
      <c r="G269" s="38">
        <v>450000</v>
      </c>
      <c r="H269" s="33"/>
      <c r="I269" s="3"/>
      <c r="J269" s="33">
        <v>540000</v>
      </c>
      <c r="K269" s="11" t="s">
        <v>833</v>
      </c>
      <c r="L269" s="33">
        <v>562500</v>
      </c>
      <c r="M269" s="11" t="s">
        <v>834</v>
      </c>
      <c r="N269" s="33"/>
      <c r="O269" s="11"/>
      <c r="P269" s="33">
        <v>450000</v>
      </c>
      <c r="Q269" s="11" t="s">
        <v>776</v>
      </c>
      <c r="R269" s="33"/>
      <c r="S269" s="11"/>
      <c r="T269" s="12"/>
    </row>
    <row r="270" spans="3:20" ht="18.95" customHeight="1" x14ac:dyDescent="0.15">
      <c r="C270" s="13" t="s">
        <v>706</v>
      </c>
      <c r="D270" s="54" t="s">
        <v>835</v>
      </c>
      <c r="E270" s="54" t="s">
        <v>836</v>
      </c>
      <c r="F270" s="10" t="s">
        <v>289</v>
      </c>
      <c r="G270" s="38">
        <v>100000</v>
      </c>
      <c r="H270" s="33"/>
      <c r="I270" s="3"/>
      <c r="J270" s="33"/>
      <c r="K270" s="11"/>
      <c r="L270" s="33"/>
      <c r="M270" s="11"/>
      <c r="N270" s="33">
        <v>100000</v>
      </c>
      <c r="O270" s="11" t="s">
        <v>837</v>
      </c>
      <c r="P270" s="33"/>
      <c r="Q270" s="11"/>
      <c r="R270" s="33"/>
      <c r="S270" s="11"/>
      <c r="T270" s="12"/>
    </row>
    <row r="271" spans="3:20" ht="18.95" customHeight="1" x14ac:dyDescent="0.15">
      <c r="C271" s="13" t="s">
        <v>706</v>
      </c>
      <c r="D271" s="54" t="s">
        <v>838</v>
      </c>
      <c r="E271" s="54" t="s">
        <v>839</v>
      </c>
      <c r="F271" s="10" t="s">
        <v>840</v>
      </c>
      <c r="G271" s="38">
        <v>1273</v>
      </c>
      <c r="H271" s="33"/>
      <c r="I271" s="3"/>
      <c r="J271" s="33"/>
      <c r="K271" s="11"/>
      <c r="L271" s="33">
        <v>1273</v>
      </c>
      <c r="M271" s="11"/>
      <c r="N271" s="33"/>
      <c r="O271" s="11"/>
      <c r="P271" s="33"/>
      <c r="Q271" s="11"/>
      <c r="R271" s="33"/>
      <c r="S271" s="11"/>
      <c r="T271" s="12"/>
    </row>
    <row r="272" spans="3:20" ht="18.95" customHeight="1" x14ac:dyDescent="0.15">
      <c r="C272" s="13" t="s">
        <v>706</v>
      </c>
      <c r="D272" s="54" t="s">
        <v>841</v>
      </c>
      <c r="E272" s="54" t="s">
        <v>842</v>
      </c>
      <c r="F272" s="10" t="s">
        <v>792</v>
      </c>
      <c r="G272" s="38">
        <v>1298.46</v>
      </c>
      <c r="H272" s="33"/>
      <c r="I272" s="3"/>
      <c r="J272" s="33"/>
      <c r="K272" s="11"/>
      <c r="L272" s="33">
        <v>1298.46</v>
      </c>
      <c r="M272" s="11"/>
      <c r="N272" s="33"/>
      <c r="O272" s="11"/>
      <c r="P272" s="33"/>
      <c r="Q272" s="11"/>
      <c r="R272" s="33"/>
      <c r="S272" s="11"/>
      <c r="T272" s="12"/>
    </row>
    <row r="273" spans="3:20" ht="18.95" customHeight="1" x14ac:dyDescent="0.15">
      <c r="C273" s="13" t="s">
        <v>843</v>
      </c>
      <c r="D273" s="54" t="s">
        <v>844</v>
      </c>
      <c r="E273" s="54" t="s">
        <v>845</v>
      </c>
      <c r="F273" s="10" t="s">
        <v>710</v>
      </c>
      <c r="G273" s="38">
        <v>56400000</v>
      </c>
      <c r="H273" s="33"/>
      <c r="I273" s="3"/>
      <c r="J273" s="33">
        <v>58000000</v>
      </c>
      <c r="K273" s="11" t="s">
        <v>741</v>
      </c>
      <c r="L273" s="33">
        <v>72748000</v>
      </c>
      <c r="M273" s="11" t="s">
        <v>743</v>
      </c>
      <c r="N273" s="33"/>
      <c r="O273" s="11"/>
      <c r="P273" s="33">
        <v>56400000</v>
      </c>
      <c r="Q273" s="11" t="s">
        <v>742</v>
      </c>
      <c r="R273" s="33"/>
      <c r="S273" s="11"/>
      <c r="T273" s="12"/>
    </row>
    <row r="274" spans="3:20" ht="18.95" customHeight="1" x14ac:dyDescent="0.15">
      <c r="C274" s="13" t="s">
        <v>846</v>
      </c>
      <c r="D274" s="54" t="s">
        <v>847</v>
      </c>
      <c r="E274" s="54" t="s">
        <v>746</v>
      </c>
      <c r="F274" s="10" t="s">
        <v>559</v>
      </c>
      <c r="G274" s="38">
        <v>15623000</v>
      </c>
      <c r="H274" s="33"/>
      <c r="I274" s="3"/>
      <c r="J274" s="33"/>
      <c r="K274" s="11"/>
      <c r="L274" s="33"/>
      <c r="M274" s="11"/>
      <c r="N274" s="33"/>
      <c r="O274" s="11"/>
      <c r="P274" s="33">
        <v>15623000</v>
      </c>
      <c r="Q274" s="11" t="s">
        <v>747</v>
      </c>
      <c r="R274" s="33"/>
      <c r="S274" s="11"/>
      <c r="T274" s="12"/>
    </row>
    <row r="275" spans="3:20" ht="18.95" customHeight="1" x14ac:dyDescent="0.15">
      <c r="C275" s="13" t="s">
        <v>848</v>
      </c>
      <c r="D275" s="54" t="s">
        <v>847</v>
      </c>
      <c r="E275" s="54" t="s">
        <v>748</v>
      </c>
      <c r="F275" s="10" t="s">
        <v>559</v>
      </c>
      <c r="G275" s="38">
        <v>18819000</v>
      </c>
      <c r="H275" s="33"/>
      <c r="I275" s="3"/>
      <c r="J275" s="33"/>
      <c r="K275" s="11"/>
      <c r="L275" s="33"/>
      <c r="M275" s="11"/>
      <c r="N275" s="33"/>
      <c r="O275" s="11"/>
      <c r="P275" s="33">
        <v>18819000</v>
      </c>
      <c r="Q275" s="11" t="s">
        <v>747</v>
      </c>
      <c r="R275" s="33"/>
      <c r="S275" s="11"/>
      <c r="T275" s="12"/>
    </row>
    <row r="276" spans="3:20" ht="18.95" customHeight="1" x14ac:dyDescent="0.15">
      <c r="C276" s="13" t="s">
        <v>849</v>
      </c>
      <c r="D276" s="54" t="s">
        <v>847</v>
      </c>
      <c r="E276" s="54" t="s">
        <v>751</v>
      </c>
      <c r="F276" s="10" t="s">
        <v>559</v>
      </c>
      <c r="G276" s="38">
        <v>16614000</v>
      </c>
      <c r="H276" s="33"/>
      <c r="I276" s="3"/>
      <c r="J276" s="33"/>
      <c r="K276" s="11"/>
      <c r="L276" s="33"/>
      <c r="M276" s="11"/>
      <c r="N276" s="33"/>
      <c r="O276" s="11"/>
      <c r="P276" s="33">
        <v>16614000</v>
      </c>
      <c r="Q276" s="11" t="s">
        <v>747</v>
      </c>
      <c r="R276" s="33"/>
      <c r="S276" s="11"/>
      <c r="T276" s="12"/>
    </row>
    <row r="277" spans="3:20" ht="18.95" customHeight="1" x14ac:dyDescent="0.15">
      <c r="C277" s="13" t="s">
        <v>850</v>
      </c>
      <c r="D277" s="54" t="s">
        <v>847</v>
      </c>
      <c r="E277" s="54" t="s">
        <v>752</v>
      </c>
      <c r="F277" s="10" t="s">
        <v>559</v>
      </c>
      <c r="G277" s="38">
        <v>19714000</v>
      </c>
      <c r="H277" s="33"/>
      <c r="I277" s="3"/>
      <c r="J277" s="33"/>
      <c r="K277" s="11"/>
      <c r="L277" s="33"/>
      <c r="M277" s="11"/>
      <c r="N277" s="33"/>
      <c r="O277" s="11"/>
      <c r="P277" s="33">
        <v>19714000</v>
      </c>
      <c r="Q277" s="11" t="s">
        <v>747</v>
      </c>
      <c r="R277" s="33"/>
      <c r="S277" s="11"/>
      <c r="T277" s="12"/>
    </row>
    <row r="278" spans="3:20" ht="18.95" customHeight="1" x14ac:dyDescent="0.15">
      <c r="C278" s="13" t="s">
        <v>851</v>
      </c>
      <c r="D278" s="54" t="s">
        <v>847</v>
      </c>
      <c r="E278" s="54" t="s">
        <v>753</v>
      </c>
      <c r="F278" s="10" t="s">
        <v>559</v>
      </c>
      <c r="G278" s="38">
        <v>16614000</v>
      </c>
      <c r="H278" s="33"/>
      <c r="I278" s="3"/>
      <c r="J278" s="33"/>
      <c r="K278" s="11"/>
      <c r="L278" s="33"/>
      <c r="M278" s="11"/>
      <c r="N278" s="33"/>
      <c r="O278" s="11"/>
      <c r="P278" s="33">
        <v>16614000</v>
      </c>
      <c r="Q278" s="11" t="s">
        <v>747</v>
      </c>
      <c r="R278" s="33"/>
      <c r="S278" s="11"/>
      <c r="T278" s="12"/>
    </row>
    <row r="279" spans="3:20" ht="18.95" customHeight="1" x14ac:dyDescent="0.15">
      <c r="C279" s="13" t="s">
        <v>852</v>
      </c>
      <c r="D279" s="54" t="s">
        <v>847</v>
      </c>
      <c r="E279" s="54" t="s">
        <v>750</v>
      </c>
      <c r="F279" s="10" t="s">
        <v>559</v>
      </c>
      <c r="G279" s="38">
        <v>23022000</v>
      </c>
      <c r="H279" s="33"/>
      <c r="I279" s="3"/>
      <c r="J279" s="33"/>
      <c r="K279" s="11"/>
      <c r="L279" s="33"/>
      <c r="M279" s="11"/>
      <c r="N279" s="33"/>
      <c r="O279" s="11"/>
      <c r="P279" s="33">
        <v>23022000</v>
      </c>
      <c r="Q279" s="11" t="s">
        <v>747</v>
      </c>
      <c r="R279" s="33"/>
      <c r="S279" s="11"/>
      <c r="T279" s="12"/>
    </row>
    <row r="280" spans="3:20" ht="18.95" customHeight="1" x14ac:dyDescent="0.15">
      <c r="C280" s="13" t="s">
        <v>853</v>
      </c>
      <c r="D280" s="54" t="s">
        <v>847</v>
      </c>
      <c r="E280" s="54" t="s">
        <v>749</v>
      </c>
      <c r="F280" s="10" t="s">
        <v>559</v>
      </c>
      <c r="G280" s="38">
        <v>41612000</v>
      </c>
      <c r="H280" s="33"/>
      <c r="I280" s="3"/>
      <c r="J280" s="33"/>
      <c r="K280" s="11"/>
      <c r="L280" s="33"/>
      <c r="M280" s="11"/>
      <c r="N280" s="33"/>
      <c r="O280" s="11"/>
      <c r="P280" s="33">
        <v>41612000</v>
      </c>
      <c r="Q280" s="11" t="s">
        <v>747</v>
      </c>
      <c r="R280" s="33"/>
      <c r="S280" s="11"/>
      <c r="T280" s="12"/>
    </row>
    <row r="281" spans="3:20" ht="18.95" customHeight="1" x14ac:dyDescent="0.15">
      <c r="C281" s="13" t="s">
        <v>854</v>
      </c>
      <c r="D281" s="54" t="s">
        <v>855</v>
      </c>
      <c r="E281" s="54" t="s">
        <v>856</v>
      </c>
      <c r="F281" s="10" t="s">
        <v>792</v>
      </c>
      <c r="G281" s="38">
        <v>6616363</v>
      </c>
      <c r="H281" s="33"/>
      <c r="I281" s="3"/>
      <c r="J281" s="33"/>
      <c r="K281" s="11"/>
      <c r="L281" s="33"/>
      <c r="M281" s="11"/>
      <c r="N281" s="33"/>
      <c r="O281" s="11"/>
      <c r="P281" s="33"/>
      <c r="Q281" s="11"/>
      <c r="R281" s="33"/>
      <c r="S281" s="11"/>
      <c r="T281" s="12"/>
    </row>
    <row r="282" spans="3:20" ht="18.95" customHeight="1" x14ac:dyDescent="0.15">
      <c r="C282" s="13" t="s">
        <v>857</v>
      </c>
      <c r="D282" s="54" t="s">
        <v>858</v>
      </c>
      <c r="E282" s="54" t="s">
        <v>859</v>
      </c>
      <c r="F282" s="10" t="s">
        <v>559</v>
      </c>
      <c r="G282" s="38">
        <v>3139000</v>
      </c>
      <c r="H282" s="33"/>
      <c r="I282" s="3"/>
      <c r="J282" s="33"/>
      <c r="K282" s="11"/>
      <c r="L282" s="33"/>
      <c r="M282" s="11"/>
      <c r="N282" s="33"/>
      <c r="O282" s="11"/>
      <c r="P282" s="33">
        <v>3139000</v>
      </c>
      <c r="Q282" s="11" t="s">
        <v>747</v>
      </c>
      <c r="R282" s="33"/>
      <c r="S282" s="11"/>
      <c r="T282" s="12"/>
    </row>
    <row r="283" spans="3:20" ht="18.95" customHeight="1" x14ac:dyDescent="0.15">
      <c r="C283" s="13" t="s">
        <v>860</v>
      </c>
      <c r="D283" s="54" t="s">
        <v>858</v>
      </c>
      <c r="E283" s="54" t="s">
        <v>861</v>
      </c>
      <c r="F283" s="10" t="s">
        <v>559</v>
      </c>
      <c r="G283" s="38">
        <v>4948000</v>
      </c>
      <c r="H283" s="33"/>
      <c r="I283" s="3"/>
      <c r="J283" s="33"/>
      <c r="K283" s="11"/>
      <c r="L283" s="33"/>
      <c r="M283" s="11"/>
      <c r="N283" s="33"/>
      <c r="O283" s="11"/>
      <c r="P283" s="33">
        <v>4948000</v>
      </c>
      <c r="Q283" s="11" t="s">
        <v>747</v>
      </c>
      <c r="R283" s="33"/>
      <c r="S283" s="11"/>
      <c r="T283" s="12"/>
    </row>
    <row r="284" spans="3:20" ht="18.95" customHeight="1" x14ac:dyDescent="0.15">
      <c r="C284" s="13" t="s">
        <v>862</v>
      </c>
      <c r="D284" s="54" t="s">
        <v>858</v>
      </c>
      <c r="E284" s="54" t="s">
        <v>863</v>
      </c>
      <c r="F284" s="10" t="s">
        <v>559</v>
      </c>
      <c r="G284" s="38">
        <v>4003000</v>
      </c>
      <c r="H284" s="33"/>
      <c r="I284" s="3"/>
      <c r="J284" s="33"/>
      <c r="K284" s="11"/>
      <c r="L284" s="33"/>
      <c r="M284" s="11"/>
      <c r="N284" s="33"/>
      <c r="O284" s="11"/>
      <c r="P284" s="33">
        <v>4003000</v>
      </c>
      <c r="Q284" s="11" t="s">
        <v>747</v>
      </c>
      <c r="R284" s="33"/>
      <c r="S284" s="11"/>
      <c r="T284" s="12"/>
    </row>
    <row r="285" spans="3:20" ht="18.95" customHeight="1" x14ac:dyDescent="0.15">
      <c r="C285" s="13" t="s">
        <v>864</v>
      </c>
      <c r="D285" s="54" t="s">
        <v>858</v>
      </c>
      <c r="E285" s="54" t="s">
        <v>865</v>
      </c>
      <c r="F285" s="10" t="s">
        <v>559</v>
      </c>
      <c r="G285" s="38">
        <v>2901000</v>
      </c>
      <c r="H285" s="33"/>
      <c r="I285" s="3"/>
      <c r="J285" s="33"/>
      <c r="K285" s="11"/>
      <c r="L285" s="33"/>
      <c r="M285" s="11"/>
      <c r="N285" s="33"/>
      <c r="O285" s="11"/>
      <c r="P285" s="33">
        <v>2901000</v>
      </c>
      <c r="Q285" s="11" t="s">
        <v>747</v>
      </c>
      <c r="R285" s="33"/>
      <c r="S285" s="11"/>
      <c r="T285" s="12"/>
    </row>
    <row r="286" spans="3:20" ht="18.95" customHeight="1" x14ac:dyDescent="0.15">
      <c r="C286" s="13" t="s">
        <v>866</v>
      </c>
      <c r="D286" s="54" t="s">
        <v>858</v>
      </c>
      <c r="E286" s="54" t="s">
        <v>867</v>
      </c>
      <c r="F286" s="10" t="s">
        <v>559</v>
      </c>
      <c r="G286" s="38">
        <v>3412000</v>
      </c>
      <c r="H286" s="33"/>
      <c r="I286" s="3"/>
      <c r="J286" s="33"/>
      <c r="K286" s="11"/>
      <c r="L286" s="33"/>
      <c r="M286" s="11"/>
      <c r="N286" s="33"/>
      <c r="O286" s="11"/>
      <c r="P286" s="33">
        <v>3412000</v>
      </c>
      <c r="Q286" s="11" t="s">
        <v>747</v>
      </c>
      <c r="R286" s="33"/>
      <c r="S286" s="11"/>
      <c r="T286" s="12"/>
    </row>
    <row r="287" spans="3:20" ht="18.95" customHeight="1" x14ac:dyDescent="0.15">
      <c r="C287" s="13" t="s">
        <v>868</v>
      </c>
      <c r="D287" s="54" t="s">
        <v>858</v>
      </c>
      <c r="E287" s="54" t="s">
        <v>869</v>
      </c>
      <c r="F287" s="10" t="s">
        <v>559</v>
      </c>
      <c r="G287" s="38">
        <v>5193000</v>
      </c>
      <c r="H287" s="33"/>
      <c r="I287" s="3"/>
      <c r="J287" s="33"/>
      <c r="K287" s="11"/>
      <c r="L287" s="33"/>
      <c r="M287" s="11"/>
      <c r="N287" s="33"/>
      <c r="O287" s="11"/>
      <c r="P287" s="33">
        <v>5193000</v>
      </c>
      <c r="Q287" s="11" t="s">
        <v>747</v>
      </c>
      <c r="R287" s="33"/>
      <c r="S287" s="11"/>
      <c r="T287" s="12"/>
    </row>
    <row r="288" spans="3:20" ht="18.95" customHeight="1" x14ac:dyDescent="0.15">
      <c r="C288" s="13" t="s">
        <v>870</v>
      </c>
      <c r="D288" s="54" t="s">
        <v>858</v>
      </c>
      <c r="E288" s="54" t="s">
        <v>871</v>
      </c>
      <c r="F288" s="10" t="s">
        <v>559</v>
      </c>
      <c r="G288" s="38">
        <v>3052000</v>
      </c>
      <c r="H288" s="33"/>
      <c r="I288" s="3"/>
      <c r="J288" s="33"/>
      <c r="K288" s="11"/>
      <c r="L288" s="33"/>
      <c r="M288" s="11"/>
      <c r="N288" s="33"/>
      <c r="O288" s="11"/>
      <c r="P288" s="33">
        <v>3052000</v>
      </c>
      <c r="Q288" s="11" t="s">
        <v>747</v>
      </c>
      <c r="R288" s="33"/>
      <c r="S288" s="11"/>
      <c r="T288" s="12"/>
    </row>
    <row r="289" spans="3:20" ht="18.95" customHeight="1" x14ac:dyDescent="0.15">
      <c r="C289" s="13" t="s">
        <v>872</v>
      </c>
      <c r="D289" s="54" t="s">
        <v>858</v>
      </c>
      <c r="E289" s="54" t="s">
        <v>873</v>
      </c>
      <c r="F289" s="10" t="s">
        <v>559</v>
      </c>
      <c r="G289" s="38">
        <v>4254000</v>
      </c>
      <c r="H289" s="33"/>
      <c r="I289" s="3"/>
      <c r="J289" s="33"/>
      <c r="K289" s="11"/>
      <c r="L289" s="33"/>
      <c r="M289" s="11"/>
      <c r="N289" s="33"/>
      <c r="O289" s="11"/>
      <c r="P289" s="33">
        <v>4254000</v>
      </c>
      <c r="Q289" s="11" t="s">
        <v>747</v>
      </c>
      <c r="R289" s="33"/>
      <c r="S289" s="11"/>
      <c r="T289" s="12"/>
    </row>
    <row r="290" spans="3:20" ht="18.95" customHeight="1" x14ac:dyDescent="0.15">
      <c r="C290" s="13" t="s">
        <v>874</v>
      </c>
      <c r="D290" s="54" t="s">
        <v>858</v>
      </c>
      <c r="E290" s="54" t="s">
        <v>875</v>
      </c>
      <c r="F290" s="10" t="s">
        <v>559</v>
      </c>
      <c r="G290" s="38">
        <v>2575000</v>
      </c>
      <c r="H290" s="33"/>
      <c r="I290" s="3"/>
      <c r="J290" s="33"/>
      <c r="K290" s="11"/>
      <c r="L290" s="33"/>
      <c r="M290" s="11"/>
      <c r="N290" s="33"/>
      <c r="O290" s="11"/>
      <c r="P290" s="33">
        <v>2575000</v>
      </c>
      <c r="Q290" s="11" t="s">
        <v>747</v>
      </c>
      <c r="R290" s="33"/>
      <c r="S290" s="11"/>
      <c r="T290" s="12"/>
    </row>
    <row r="291" spans="3:20" ht="18.95" customHeight="1" x14ac:dyDescent="0.15">
      <c r="C291" s="13" t="s">
        <v>876</v>
      </c>
      <c r="D291" s="54" t="s">
        <v>858</v>
      </c>
      <c r="E291" s="54" t="s">
        <v>877</v>
      </c>
      <c r="F291" s="10" t="s">
        <v>559</v>
      </c>
      <c r="G291" s="38">
        <v>2040000</v>
      </c>
      <c r="H291" s="33"/>
      <c r="I291" s="3"/>
      <c r="J291" s="33"/>
      <c r="K291" s="11"/>
      <c r="L291" s="33"/>
      <c r="M291" s="11"/>
      <c r="N291" s="33"/>
      <c r="O291" s="11"/>
      <c r="P291" s="33">
        <v>2040000</v>
      </c>
      <c r="Q291" s="11" t="s">
        <v>747</v>
      </c>
      <c r="R291" s="33"/>
      <c r="S291" s="11"/>
      <c r="T291" s="12"/>
    </row>
    <row r="292" spans="3:20" ht="18.95" customHeight="1" x14ac:dyDescent="0.15">
      <c r="C292" s="13" t="s">
        <v>878</v>
      </c>
      <c r="D292" s="54" t="s">
        <v>858</v>
      </c>
      <c r="E292" s="54" t="s">
        <v>879</v>
      </c>
      <c r="F292" s="10" t="s">
        <v>559</v>
      </c>
      <c r="G292" s="38">
        <v>3412000</v>
      </c>
      <c r="H292" s="33"/>
      <c r="I292" s="3"/>
      <c r="J292" s="33"/>
      <c r="K292" s="11"/>
      <c r="L292" s="33"/>
      <c r="M292" s="11"/>
      <c r="N292" s="33"/>
      <c r="O292" s="11"/>
      <c r="P292" s="33">
        <v>3412000</v>
      </c>
      <c r="Q292" s="11" t="s">
        <v>747</v>
      </c>
      <c r="R292" s="33"/>
      <c r="S292" s="11"/>
      <c r="T292" s="12"/>
    </row>
    <row r="293" spans="3:20" ht="18.95" customHeight="1" x14ac:dyDescent="0.15">
      <c r="C293" s="13" t="s">
        <v>880</v>
      </c>
      <c r="D293" s="54" t="s">
        <v>858</v>
      </c>
      <c r="E293" s="54" t="s">
        <v>881</v>
      </c>
      <c r="F293" s="10" t="s">
        <v>559</v>
      </c>
      <c r="G293" s="38">
        <v>5193000</v>
      </c>
      <c r="H293" s="33"/>
      <c r="I293" s="3"/>
      <c r="J293" s="33"/>
      <c r="K293" s="11"/>
      <c r="L293" s="33"/>
      <c r="M293" s="11"/>
      <c r="N293" s="33"/>
      <c r="O293" s="11"/>
      <c r="P293" s="33">
        <v>5193000</v>
      </c>
      <c r="Q293" s="11" t="s">
        <v>747</v>
      </c>
      <c r="R293" s="33"/>
      <c r="S293" s="11"/>
      <c r="T293" s="12"/>
    </row>
    <row r="294" spans="3:20" ht="18.95" customHeight="1" x14ac:dyDescent="0.15">
      <c r="C294" s="13" t="s">
        <v>882</v>
      </c>
      <c r="D294" s="54" t="s">
        <v>858</v>
      </c>
      <c r="E294" s="54" t="s">
        <v>883</v>
      </c>
      <c r="F294" s="10" t="s">
        <v>559</v>
      </c>
      <c r="G294" s="38">
        <v>4355000</v>
      </c>
      <c r="H294" s="33"/>
      <c r="I294" s="3"/>
      <c r="J294" s="33"/>
      <c r="K294" s="11"/>
      <c r="L294" s="33"/>
      <c r="M294" s="11"/>
      <c r="N294" s="33"/>
      <c r="O294" s="11"/>
      <c r="P294" s="33">
        <v>4355000</v>
      </c>
      <c r="Q294" s="11" t="s">
        <v>747</v>
      </c>
      <c r="R294" s="33"/>
      <c r="S294" s="11"/>
      <c r="T294" s="12"/>
    </row>
    <row r="295" spans="3:20" ht="18.95" customHeight="1" x14ac:dyDescent="0.15">
      <c r="C295" s="13" t="s">
        <v>884</v>
      </c>
      <c r="D295" s="54" t="s">
        <v>858</v>
      </c>
      <c r="E295" s="54" t="s">
        <v>885</v>
      </c>
      <c r="F295" s="10" t="s">
        <v>559</v>
      </c>
      <c r="G295" s="38">
        <v>5193000</v>
      </c>
      <c r="H295" s="33"/>
      <c r="I295" s="3"/>
      <c r="J295" s="33"/>
      <c r="K295" s="11"/>
      <c r="L295" s="33"/>
      <c r="M295" s="11"/>
      <c r="N295" s="33"/>
      <c r="O295" s="11"/>
      <c r="P295" s="33">
        <v>5193000</v>
      </c>
      <c r="Q295" s="11" t="s">
        <v>747</v>
      </c>
      <c r="R295" s="33"/>
      <c r="S295" s="11"/>
      <c r="T295" s="12"/>
    </row>
    <row r="296" spans="3:20" ht="18.95" customHeight="1" x14ac:dyDescent="0.15">
      <c r="C296" s="13" t="s">
        <v>886</v>
      </c>
      <c r="D296" s="54" t="s">
        <v>858</v>
      </c>
      <c r="E296" s="54" t="s">
        <v>887</v>
      </c>
      <c r="F296" s="10" t="s">
        <v>559</v>
      </c>
      <c r="G296" s="38">
        <v>4000000</v>
      </c>
      <c r="H296" s="33"/>
      <c r="I296" s="3"/>
      <c r="J296" s="33"/>
      <c r="K296" s="11"/>
      <c r="L296" s="33"/>
      <c r="M296" s="11"/>
      <c r="N296" s="33"/>
      <c r="O296" s="11"/>
      <c r="P296" s="33">
        <v>4000000</v>
      </c>
      <c r="Q296" s="11" t="s">
        <v>747</v>
      </c>
      <c r="R296" s="33"/>
      <c r="S296" s="11"/>
      <c r="T296" s="12"/>
    </row>
    <row r="297" spans="3:20" ht="18.95" customHeight="1" x14ac:dyDescent="0.15">
      <c r="C297" s="13" t="s">
        <v>888</v>
      </c>
      <c r="D297" s="54" t="s">
        <v>858</v>
      </c>
      <c r="E297" s="54" t="s">
        <v>889</v>
      </c>
      <c r="F297" s="10" t="s">
        <v>559</v>
      </c>
      <c r="G297" s="38">
        <v>4761000</v>
      </c>
      <c r="H297" s="33"/>
      <c r="I297" s="3"/>
      <c r="J297" s="33"/>
      <c r="K297" s="11"/>
      <c r="L297" s="33"/>
      <c r="M297" s="11"/>
      <c r="N297" s="33"/>
      <c r="O297" s="11"/>
      <c r="P297" s="33">
        <v>4761000</v>
      </c>
      <c r="Q297" s="11" t="s">
        <v>747</v>
      </c>
      <c r="R297" s="33"/>
      <c r="S297" s="11"/>
      <c r="T297" s="12"/>
    </row>
    <row r="298" spans="3:20" ht="18.95" customHeight="1" x14ac:dyDescent="0.15">
      <c r="C298" s="13" t="s">
        <v>890</v>
      </c>
      <c r="D298" s="54" t="s">
        <v>858</v>
      </c>
      <c r="E298" s="54" t="s">
        <v>891</v>
      </c>
      <c r="F298" s="10" t="s">
        <v>559</v>
      </c>
      <c r="G298" s="38">
        <v>2525000</v>
      </c>
      <c r="H298" s="33"/>
      <c r="I298" s="3"/>
      <c r="J298" s="33"/>
      <c r="K298" s="11"/>
      <c r="L298" s="33"/>
      <c r="M298" s="11"/>
      <c r="N298" s="33"/>
      <c r="O298" s="11"/>
      <c r="P298" s="33">
        <v>2525000</v>
      </c>
      <c r="Q298" s="11" t="s">
        <v>747</v>
      </c>
      <c r="R298" s="33"/>
      <c r="S298" s="11"/>
      <c r="T298" s="12"/>
    </row>
    <row r="299" spans="3:20" ht="18.95" customHeight="1" x14ac:dyDescent="0.15">
      <c r="C299" s="13" t="s">
        <v>892</v>
      </c>
      <c r="D299" s="54" t="s">
        <v>858</v>
      </c>
      <c r="E299" s="54" t="s">
        <v>893</v>
      </c>
      <c r="F299" s="10" t="s">
        <v>559</v>
      </c>
      <c r="G299" s="38">
        <v>3337000</v>
      </c>
      <c r="H299" s="33"/>
      <c r="I299" s="3"/>
      <c r="J299" s="33"/>
      <c r="K299" s="11"/>
      <c r="L299" s="33"/>
      <c r="M299" s="11"/>
      <c r="N299" s="33"/>
      <c r="O299" s="11"/>
      <c r="P299" s="33">
        <v>3337000</v>
      </c>
      <c r="Q299" s="11" t="s">
        <v>747</v>
      </c>
      <c r="R299" s="33"/>
      <c r="S299" s="11"/>
      <c r="T299" s="12"/>
    </row>
    <row r="300" spans="3:20" ht="18.95" customHeight="1" x14ac:dyDescent="0.15">
      <c r="C300" s="13" t="s">
        <v>894</v>
      </c>
      <c r="D300" s="54" t="s">
        <v>858</v>
      </c>
      <c r="E300" s="54" t="s">
        <v>895</v>
      </c>
      <c r="F300" s="10" t="s">
        <v>559</v>
      </c>
      <c r="G300" s="38">
        <v>2040000</v>
      </c>
      <c r="H300" s="33"/>
      <c r="I300" s="3"/>
      <c r="J300" s="33"/>
      <c r="K300" s="11"/>
      <c r="L300" s="33"/>
      <c r="M300" s="11"/>
      <c r="N300" s="33"/>
      <c r="O300" s="11"/>
      <c r="P300" s="33">
        <v>2040000</v>
      </c>
      <c r="Q300" s="11" t="s">
        <v>747</v>
      </c>
      <c r="R300" s="33"/>
      <c r="S300" s="11"/>
      <c r="T300" s="12"/>
    </row>
    <row r="301" spans="3:20" ht="18.95" customHeight="1" x14ac:dyDescent="0.15">
      <c r="C301" s="13" t="s">
        <v>896</v>
      </c>
      <c r="D301" s="54" t="s">
        <v>858</v>
      </c>
      <c r="E301" s="54" t="s">
        <v>897</v>
      </c>
      <c r="F301" s="10" t="s">
        <v>559</v>
      </c>
      <c r="G301" s="38">
        <v>3861000</v>
      </c>
      <c r="H301" s="33"/>
      <c r="I301" s="3"/>
      <c r="J301" s="33"/>
      <c r="K301" s="11"/>
      <c r="L301" s="33"/>
      <c r="M301" s="11"/>
      <c r="N301" s="33"/>
      <c r="O301" s="11"/>
      <c r="P301" s="33">
        <v>3861000</v>
      </c>
      <c r="Q301" s="11" t="s">
        <v>747</v>
      </c>
      <c r="R301" s="33"/>
      <c r="S301" s="11"/>
      <c r="T301" s="12"/>
    </row>
    <row r="302" spans="3:20" ht="18.95" customHeight="1" x14ac:dyDescent="0.15">
      <c r="C302" s="13" t="s">
        <v>898</v>
      </c>
      <c r="D302" s="54" t="s">
        <v>858</v>
      </c>
      <c r="E302" s="54" t="s">
        <v>899</v>
      </c>
      <c r="F302" s="10" t="s">
        <v>559</v>
      </c>
      <c r="G302" s="38">
        <v>3165000</v>
      </c>
      <c r="H302" s="33"/>
      <c r="I302" s="3"/>
      <c r="J302" s="33"/>
      <c r="K302" s="11"/>
      <c r="L302" s="33"/>
      <c r="M302" s="11"/>
      <c r="N302" s="33"/>
      <c r="O302" s="11"/>
      <c r="P302" s="33">
        <v>3165000</v>
      </c>
      <c r="Q302" s="11" t="s">
        <v>747</v>
      </c>
      <c r="R302" s="33"/>
      <c r="S302" s="11"/>
      <c r="T302" s="12"/>
    </row>
    <row r="303" spans="3:20" ht="18.95" customHeight="1" x14ac:dyDescent="0.15">
      <c r="C303" s="13" t="s">
        <v>900</v>
      </c>
      <c r="D303" s="54" t="s">
        <v>858</v>
      </c>
      <c r="E303" s="54" t="s">
        <v>901</v>
      </c>
      <c r="F303" s="10" t="s">
        <v>559</v>
      </c>
      <c r="G303" s="38">
        <v>7007000</v>
      </c>
      <c r="H303" s="33"/>
      <c r="I303" s="3"/>
      <c r="J303" s="33"/>
      <c r="K303" s="11"/>
      <c r="L303" s="33"/>
      <c r="M303" s="11"/>
      <c r="N303" s="33"/>
      <c r="O303" s="11"/>
      <c r="P303" s="33">
        <v>7007000</v>
      </c>
      <c r="Q303" s="11" t="s">
        <v>747</v>
      </c>
      <c r="R303" s="33"/>
      <c r="S303" s="11"/>
      <c r="T303" s="12"/>
    </row>
    <row r="304" spans="3:20" ht="18.95" customHeight="1" x14ac:dyDescent="0.15">
      <c r="C304" s="13" t="s">
        <v>902</v>
      </c>
      <c r="D304" s="54" t="s">
        <v>858</v>
      </c>
      <c r="E304" s="54" t="s">
        <v>903</v>
      </c>
      <c r="F304" s="10" t="s">
        <v>559</v>
      </c>
      <c r="G304" s="38">
        <v>7007000</v>
      </c>
      <c r="H304" s="33"/>
      <c r="I304" s="3"/>
      <c r="J304" s="33"/>
      <c r="K304" s="11"/>
      <c r="L304" s="33"/>
      <c r="M304" s="11"/>
      <c r="N304" s="33"/>
      <c r="O304" s="11"/>
      <c r="P304" s="33">
        <v>7007000</v>
      </c>
      <c r="Q304" s="11" t="s">
        <v>747</v>
      </c>
      <c r="R304" s="33"/>
      <c r="S304" s="11"/>
      <c r="T304" s="12"/>
    </row>
    <row r="305" spans="3:20" ht="18.95" customHeight="1" x14ac:dyDescent="0.15">
      <c r="C305" s="13" t="s">
        <v>904</v>
      </c>
      <c r="D305" s="54" t="s">
        <v>858</v>
      </c>
      <c r="E305" s="54" t="s">
        <v>905</v>
      </c>
      <c r="F305" s="10" t="s">
        <v>559</v>
      </c>
      <c r="G305" s="38">
        <v>9988000</v>
      </c>
      <c r="H305" s="33"/>
      <c r="I305" s="3"/>
      <c r="J305" s="33"/>
      <c r="K305" s="11"/>
      <c r="L305" s="33"/>
      <c r="M305" s="11"/>
      <c r="N305" s="33"/>
      <c r="O305" s="11"/>
      <c r="P305" s="33">
        <v>9988000</v>
      </c>
      <c r="Q305" s="11" t="s">
        <v>747</v>
      </c>
      <c r="R305" s="33"/>
      <c r="S305" s="11"/>
      <c r="T305" s="12"/>
    </row>
    <row r="306" spans="3:20" ht="18.95" customHeight="1" x14ac:dyDescent="0.15">
      <c r="C306" s="13" t="s">
        <v>906</v>
      </c>
      <c r="D306" s="54" t="s">
        <v>858</v>
      </c>
      <c r="E306" s="54" t="s">
        <v>907</v>
      </c>
      <c r="F306" s="10" t="s">
        <v>559</v>
      </c>
      <c r="G306" s="38">
        <v>9988000</v>
      </c>
      <c r="H306" s="33"/>
      <c r="I306" s="3"/>
      <c r="J306" s="33"/>
      <c r="K306" s="11"/>
      <c r="L306" s="33"/>
      <c r="M306" s="11"/>
      <c r="N306" s="33"/>
      <c r="O306" s="11"/>
      <c r="P306" s="33">
        <v>9988000</v>
      </c>
      <c r="Q306" s="11" t="s">
        <v>747</v>
      </c>
      <c r="R306" s="33"/>
      <c r="S306" s="11"/>
      <c r="T306" s="12"/>
    </row>
    <row r="307" spans="3:20" ht="18.95" customHeight="1" x14ac:dyDescent="0.15">
      <c r="C307" s="13" t="s">
        <v>908</v>
      </c>
      <c r="D307" s="54" t="s">
        <v>858</v>
      </c>
      <c r="E307" s="54" t="s">
        <v>909</v>
      </c>
      <c r="F307" s="10" t="s">
        <v>559</v>
      </c>
      <c r="G307" s="38">
        <v>4673000</v>
      </c>
      <c r="H307" s="33"/>
      <c r="I307" s="3"/>
      <c r="J307" s="33"/>
      <c r="K307" s="11"/>
      <c r="L307" s="33"/>
      <c r="M307" s="11"/>
      <c r="N307" s="33"/>
      <c r="O307" s="11"/>
      <c r="P307" s="33">
        <v>4673000</v>
      </c>
      <c r="Q307" s="11" t="s">
        <v>747</v>
      </c>
      <c r="R307" s="33"/>
      <c r="S307" s="11"/>
      <c r="T307" s="12"/>
    </row>
    <row r="308" spans="3:20" ht="18.95" customHeight="1" x14ac:dyDescent="0.15">
      <c r="C308" s="13" t="s">
        <v>910</v>
      </c>
      <c r="D308" s="54" t="s">
        <v>858</v>
      </c>
      <c r="E308" s="54" t="s">
        <v>911</v>
      </c>
      <c r="F308" s="10" t="s">
        <v>559</v>
      </c>
      <c r="G308" s="38">
        <v>5193000</v>
      </c>
      <c r="H308" s="33"/>
      <c r="I308" s="3"/>
      <c r="J308" s="33"/>
      <c r="K308" s="11"/>
      <c r="L308" s="33"/>
      <c r="M308" s="11"/>
      <c r="N308" s="33"/>
      <c r="O308" s="11"/>
      <c r="P308" s="33">
        <v>5193000</v>
      </c>
      <c r="Q308" s="11" t="s">
        <v>747</v>
      </c>
      <c r="R308" s="33"/>
      <c r="S308" s="11"/>
      <c r="T308" s="12"/>
    </row>
    <row r="309" spans="3:20" ht="18.95" customHeight="1" x14ac:dyDescent="0.15">
      <c r="C309" s="13" t="s">
        <v>912</v>
      </c>
      <c r="D309" s="54" t="s">
        <v>858</v>
      </c>
      <c r="E309" s="54" t="s">
        <v>913</v>
      </c>
      <c r="F309" s="10" t="s">
        <v>559</v>
      </c>
      <c r="G309" s="38">
        <v>2604000</v>
      </c>
      <c r="H309" s="33"/>
      <c r="I309" s="3"/>
      <c r="J309" s="33"/>
      <c r="K309" s="11"/>
      <c r="L309" s="33"/>
      <c r="M309" s="11"/>
      <c r="N309" s="33"/>
      <c r="O309" s="11"/>
      <c r="P309" s="33">
        <v>2604000</v>
      </c>
      <c r="Q309" s="11" t="s">
        <v>747</v>
      </c>
      <c r="R309" s="33"/>
      <c r="S309" s="11"/>
      <c r="T309" s="12"/>
    </row>
    <row r="310" spans="3:20" ht="18.95" customHeight="1" x14ac:dyDescent="0.15">
      <c r="C310" s="13" t="s">
        <v>914</v>
      </c>
      <c r="D310" s="54" t="s">
        <v>915</v>
      </c>
      <c r="E310" s="54"/>
      <c r="F310" s="10" t="s">
        <v>792</v>
      </c>
      <c r="G310" s="38">
        <v>72520000</v>
      </c>
      <c r="H310" s="33"/>
      <c r="I310" s="3"/>
      <c r="J310" s="33"/>
      <c r="K310" s="11"/>
      <c r="L310" s="33"/>
      <c r="M310" s="11"/>
      <c r="N310" s="33"/>
      <c r="O310" s="11"/>
      <c r="P310" s="33">
        <v>72520000</v>
      </c>
      <c r="Q310" s="11" t="s">
        <v>916</v>
      </c>
      <c r="R310" s="33"/>
      <c r="S310" s="11"/>
      <c r="T310" s="12"/>
    </row>
    <row r="311" spans="3:20" ht="18.95" customHeight="1" x14ac:dyDescent="0.15">
      <c r="C311" s="13" t="s">
        <v>917</v>
      </c>
      <c r="D311" s="54" t="s">
        <v>918</v>
      </c>
      <c r="E311" s="54" t="s">
        <v>919</v>
      </c>
      <c r="F311" s="10" t="s">
        <v>792</v>
      </c>
      <c r="G311" s="38">
        <v>477171</v>
      </c>
      <c r="H311" s="33"/>
      <c r="I311" s="3"/>
      <c r="J311" s="33"/>
      <c r="K311" s="11"/>
      <c r="L311" s="33"/>
      <c r="M311" s="11"/>
      <c r="N311" s="33"/>
      <c r="O311" s="11"/>
      <c r="P311" s="33"/>
      <c r="Q311" s="11"/>
      <c r="R311" s="33"/>
      <c r="S311" s="11"/>
      <c r="T311" s="12"/>
    </row>
    <row r="312" spans="3:20" ht="18.95" customHeight="1" x14ac:dyDescent="0.15">
      <c r="C312" s="13" t="s">
        <v>920</v>
      </c>
      <c r="D312" s="54" t="s">
        <v>921</v>
      </c>
      <c r="E312" s="54" t="s">
        <v>919</v>
      </c>
      <c r="F312" s="10" t="s">
        <v>792</v>
      </c>
      <c r="G312" s="38">
        <v>606830</v>
      </c>
      <c r="H312" s="33"/>
      <c r="I312" s="3"/>
      <c r="J312" s="33"/>
      <c r="K312" s="11"/>
      <c r="L312" s="33"/>
      <c r="M312" s="11"/>
      <c r="N312" s="33"/>
      <c r="O312" s="11"/>
      <c r="P312" s="33"/>
      <c r="Q312" s="11"/>
      <c r="R312" s="33"/>
      <c r="S312" s="11"/>
      <c r="T312" s="12"/>
    </row>
    <row r="313" spans="3:20" ht="18.95" customHeight="1" x14ac:dyDescent="0.15">
      <c r="C313" s="13" t="s">
        <v>922</v>
      </c>
      <c r="D313" s="54" t="s">
        <v>923</v>
      </c>
      <c r="E313" s="54" t="s">
        <v>919</v>
      </c>
      <c r="F313" s="10" t="s">
        <v>792</v>
      </c>
      <c r="G313" s="38">
        <v>854474</v>
      </c>
      <c r="H313" s="33"/>
      <c r="I313" s="3"/>
      <c r="J313" s="33"/>
      <c r="K313" s="11"/>
      <c r="L313" s="33"/>
      <c r="M313" s="11"/>
      <c r="N313" s="33"/>
      <c r="O313" s="11"/>
      <c r="P313" s="33"/>
      <c r="Q313" s="11"/>
      <c r="R313" s="33"/>
      <c r="S313" s="11"/>
      <c r="T313" s="12"/>
    </row>
    <row r="314" spans="3:20" ht="18.95" customHeight="1" x14ac:dyDescent="0.15">
      <c r="C314" s="13" t="s">
        <v>924</v>
      </c>
      <c r="D314" s="54" t="s">
        <v>925</v>
      </c>
      <c r="E314" s="54" t="s">
        <v>919</v>
      </c>
      <c r="F314" s="10" t="s">
        <v>792</v>
      </c>
      <c r="G314" s="38">
        <v>304560</v>
      </c>
      <c r="H314" s="33"/>
      <c r="I314" s="3"/>
      <c r="J314" s="33"/>
      <c r="K314" s="11"/>
      <c r="L314" s="33"/>
      <c r="M314" s="11"/>
      <c r="N314" s="33"/>
      <c r="O314" s="11"/>
      <c r="P314" s="33"/>
      <c r="Q314" s="11"/>
      <c r="R314" s="33"/>
      <c r="S314" s="11"/>
      <c r="T314" s="12"/>
    </row>
    <row r="315" spans="3:20" ht="18.95" customHeight="1" x14ac:dyDescent="0.15">
      <c r="C315" s="13" t="s">
        <v>926</v>
      </c>
      <c r="D315" s="54" t="s">
        <v>927</v>
      </c>
      <c r="E315" s="54" t="s">
        <v>919</v>
      </c>
      <c r="F315" s="10" t="s">
        <v>792</v>
      </c>
      <c r="G315" s="38">
        <v>745167</v>
      </c>
      <c r="H315" s="33"/>
      <c r="I315" s="3"/>
      <c r="J315" s="33"/>
      <c r="K315" s="11"/>
      <c r="L315" s="33"/>
      <c r="M315" s="11"/>
      <c r="N315" s="33"/>
      <c r="O315" s="11"/>
      <c r="P315" s="33"/>
      <c r="Q315" s="11"/>
      <c r="R315" s="33"/>
      <c r="S315" s="11"/>
      <c r="T315" s="12"/>
    </row>
    <row r="316" spans="3:20" ht="18.95" customHeight="1" x14ac:dyDescent="0.15">
      <c r="C316" s="13" t="s">
        <v>928</v>
      </c>
      <c r="D316" s="54" t="s">
        <v>929</v>
      </c>
      <c r="E316" s="54" t="s">
        <v>919</v>
      </c>
      <c r="F316" s="10" t="s">
        <v>792</v>
      </c>
      <c r="G316" s="38">
        <v>393012</v>
      </c>
      <c r="H316" s="33"/>
      <c r="I316" s="3"/>
      <c r="J316" s="33"/>
      <c r="K316" s="11"/>
      <c r="L316" s="33"/>
      <c r="M316" s="11"/>
      <c r="N316" s="33"/>
      <c r="O316" s="11"/>
      <c r="P316" s="33"/>
      <c r="Q316" s="11"/>
      <c r="R316" s="33"/>
      <c r="S316" s="11"/>
      <c r="T316" s="12"/>
    </row>
    <row r="317" spans="3:20" ht="18.95" customHeight="1" x14ac:dyDescent="0.15">
      <c r="C317" s="13" t="s">
        <v>930</v>
      </c>
      <c r="D317" s="54" t="s">
        <v>931</v>
      </c>
      <c r="E317" s="54" t="s">
        <v>932</v>
      </c>
      <c r="F317" s="10" t="s">
        <v>710</v>
      </c>
      <c r="G317" s="38">
        <v>120000</v>
      </c>
      <c r="H317" s="33"/>
      <c r="I317" s="3"/>
      <c r="J317" s="33">
        <v>135000</v>
      </c>
      <c r="K317" s="11" t="s">
        <v>756</v>
      </c>
      <c r="L317" s="33">
        <v>126000</v>
      </c>
      <c r="M317" s="11" t="s">
        <v>757</v>
      </c>
      <c r="N317" s="33"/>
      <c r="O317" s="11"/>
      <c r="P317" s="33">
        <v>120000</v>
      </c>
      <c r="Q317" s="11" t="s">
        <v>758</v>
      </c>
      <c r="R317" s="33"/>
      <c r="S317" s="11"/>
      <c r="T317" s="12"/>
    </row>
    <row r="318" spans="3:20" ht="18.95" customHeight="1" x14ac:dyDescent="0.15">
      <c r="C318" s="13" t="s">
        <v>933</v>
      </c>
      <c r="D318" s="54" t="s">
        <v>934</v>
      </c>
      <c r="E318" s="54" t="s">
        <v>935</v>
      </c>
      <c r="F318" s="10" t="s">
        <v>710</v>
      </c>
      <c r="G318" s="38">
        <v>83000</v>
      </c>
      <c r="H318" s="33"/>
      <c r="I318" s="3"/>
      <c r="J318" s="33">
        <v>89000</v>
      </c>
      <c r="K318" s="11" t="s">
        <v>756</v>
      </c>
      <c r="L318" s="33">
        <v>123000</v>
      </c>
      <c r="M318" s="11" t="s">
        <v>757</v>
      </c>
      <c r="N318" s="33"/>
      <c r="O318" s="11"/>
      <c r="P318" s="33">
        <v>83000</v>
      </c>
      <c r="Q318" s="11" t="s">
        <v>758</v>
      </c>
      <c r="R318" s="33"/>
      <c r="S318" s="11"/>
      <c r="T318" s="12"/>
    </row>
    <row r="319" spans="3:20" ht="18.95" customHeight="1" x14ac:dyDescent="0.15">
      <c r="C319" s="13" t="s">
        <v>936</v>
      </c>
      <c r="D319" s="54" t="s">
        <v>937</v>
      </c>
      <c r="E319" s="54" t="s">
        <v>938</v>
      </c>
      <c r="F319" s="10" t="s">
        <v>710</v>
      </c>
      <c r="G319" s="38">
        <v>160000</v>
      </c>
      <c r="H319" s="33"/>
      <c r="I319" s="3"/>
      <c r="J319" s="33">
        <v>250000</v>
      </c>
      <c r="K319" s="11" t="s">
        <v>756</v>
      </c>
      <c r="L319" s="33">
        <v>193000</v>
      </c>
      <c r="M319" s="11" t="s">
        <v>757</v>
      </c>
      <c r="N319" s="33"/>
      <c r="O319" s="11"/>
      <c r="P319" s="33">
        <v>160000</v>
      </c>
      <c r="Q319" s="11" t="s">
        <v>758</v>
      </c>
      <c r="R319" s="33"/>
      <c r="S319" s="11"/>
      <c r="T319" s="12"/>
    </row>
    <row r="320" spans="3:20" ht="18.95" customHeight="1" x14ac:dyDescent="0.15">
      <c r="C320" s="13" t="s">
        <v>939</v>
      </c>
      <c r="D320" s="54" t="s">
        <v>940</v>
      </c>
      <c r="E320" s="54" t="s">
        <v>755</v>
      </c>
      <c r="F320" s="10" t="s">
        <v>710</v>
      </c>
      <c r="G320" s="38">
        <v>88000</v>
      </c>
      <c r="H320" s="33"/>
      <c r="I320" s="3"/>
      <c r="J320" s="33">
        <v>90000</v>
      </c>
      <c r="K320" s="11" t="s">
        <v>756</v>
      </c>
      <c r="L320" s="33">
        <v>104000</v>
      </c>
      <c r="M320" s="11" t="s">
        <v>757</v>
      </c>
      <c r="N320" s="33"/>
      <c r="O320" s="11"/>
      <c r="P320" s="33">
        <v>88000</v>
      </c>
      <c r="Q320" s="11" t="s">
        <v>758</v>
      </c>
      <c r="R320" s="33"/>
      <c r="S320" s="11"/>
      <c r="T320" s="12"/>
    </row>
    <row r="321" spans="3:20" ht="18.95" customHeight="1" x14ac:dyDescent="0.15">
      <c r="C321" s="13" t="s">
        <v>941</v>
      </c>
      <c r="D321" s="54" t="s">
        <v>942</v>
      </c>
      <c r="E321" s="54" t="s">
        <v>760</v>
      </c>
      <c r="F321" s="10" t="s">
        <v>710</v>
      </c>
      <c r="G321" s="38">
        <v>40000</v>
      </c>
      <c r="H321" s="33"/>
      <c r="I321" s="3"/>
      <c r="J321" s="33">
        <v>43000</v>
      </c>
      <c r="K321" s="11" t="s">
        <v>756</v>
      </c>
      <c r="L321" s="33">
        <v>60000</v>
      </c>
      <c r="M321" s="11" t="s">
        <v>757</v>
      </c>
      <c r="N321" s="33"/>
      <c r="O321" s="11"/>
      <c r="P321" s="33">
        <v>40000</v>
      </c>
      <c r="Q321" s="11" t="s">
        <v>758</v>
      </c>
      <c r="R321" s="33"/>
      <c r="S321" s="11"/>
      <c r="T321" s="12"/>
    </row>
    <row r="322" spans="3:20" ht="18.95" customHeight="1" x14ac:dyDescent="0.15">
      <c r="C322" s="13" t="s">
        <v>943</v>
      </c>
      <c r="D322" s="54" t="s">
        <v>944</v>
      </c>
      <c r="E322" s="54" t="s">
        <v>762</v>
      </c>
      <c r="F322" s="10" t="s">
        <v>710</v>
      </c>
      <c r="G322" s="38">
        <v>40000</v>
      </c>
      <c r="H322" s="33"/>
      <c r="I322" s="3"/>
      <c r="J322" s="33">
        <v>43000</v>
      </c>
      <c r="K322" s="11" t="s">
        <v>756</v>
      </c>
      <c r="L322" s="33">
        <v>60000</v>
      </c>
      <c r="M322" s="11" t="s">
        <v>757</v>
      </c>
      <c r="N322" s="33"/>
      <c r="O322" s="11"/>
      <c r="P322" s="33">
        <v>40000</v>
      </c>
      <c r="Q322" s="11" t="s">
        <v>758</v>
      </c>
      <c r="R322" s="33"/>
      <c r="S322" s="11"/>
      <c r="T322" s="12"/>
    </row>
    <row r="323" spans="3:20" ht="18.95" customHeight="1" x14ac:dyDescent="0.15">
      <c r="C323" s="13" t="s">
        <v>945</v>
      </c>
      <c r="D323" s="54" t="s">
        <v>946</v>
      </c>
      <c r="E323" s="54" t="s">
        <v>947</v>
      </c>
      <c r="F323" s="10" t="s">
        <v>710</v>
      </c>
      <c r="G323" s="38">
        <v>55000</v>
      </c>
      <c r="H323" s="33"/>
      <c r="I323" s="3"/>
      <c r="J323" s="33">
        <v>70000</v>
      </c>
      <c r="K323" s="11" t="s">
        <v>756</v>
      </c>
      <c r="L323" s="33">
        <v>58000</v>
      </c>
      <c r="M323" s="11" t="s">
        <v>757</v>
      </c>
      <c r="N323" s="33"/>
      <c r="O323" s="11"/>
      <c r="P323" s="33">
        <v>55000</v>
      </c>
      <c r="Q323" s="11" t="s">
        <v>758</v>
      </c>
      <c r="R323" s="33"/>
      <c r="S323" s="11"/>
      <c r="T323" s="12"/>
    </row>
    <row r="324" spans="3:20" ht="18.95" customHeight="1" x14ac:dyDescent="0.15">
      <c r="C324" s="13" t="s">
        <v>948</v>
      </c>
      <c r="D324" s="54" t="s">
        <v>949</v>
      </c>
      <c r="E324" s="54" t="s">
        <v>950</v>
      </c>
      <c r="F324" s="10" t="s">
        <v>710</v>
      </c>
      <c r="G324" s="38">
        <v>60000</v>
      </c>
      <c r="H324" s="33"/>
      <c r="I324" s="3"/>
      <c r="J324" s="33">
        <v>93500</v>
      </c>
      <c r="K324" s="11" t="s">
        <v>756</v>
      </c>
      <c r="L324" s="33">
        <v>168500</v>
      </c>
      <c r="M324" s="11" t="s">
        <v>757</v>
      </c>
      <c r="N324" s="33"/>
      <c r="O324" s="11"/>
      <c r="P324" s="33">
        <v>60000</v>
      </c>
      <c r="Q324" s="11" t="s">
        <v>758</v>
      </c>
      <c r="R324" s="33"/>
      <c r="S324" s="11"/>
      <c r="T324" s="12"/>
    </row>
    <row r="325" spans="3:20" ht="18.95" customHeight="1" x14ac:dyDescent="0.15">
      <c r="C325" s="13" t="s">
        <v>951</v>
      </c>
      <c r="D325" s="54" t="s">
        <v>952</v>
      </c>
      <c r="E325" s="54" t="s">
        <v>953</v>
      </c>
      <c r="F325" s="10" t="s">
        <v>710</v>
      </c>
      <c r="G325" s="38">
        <v>300000</v>
      </c>
      <c r="H325" s="33"/>
      <c r="I325" s="3"/>
      <c r="J325" s="33">
        <v>320000</v>
      </c>
      <c r="K325" s="11" t="s">
        <v>756</v>
      </c>
      <c r="L325" s="33">
        <v>310000</v>
      </c>
      <c r="M325" s="11" t="s">
        <v>757</v>
      </c>
      <c r="N325" s="33"/>
      <c r="O325" s="11"/>
      <c r="P325" s="33">
        <v>300000</v>
      </c>
      <c r="Q325" s="11" t="s">
        <v>758</v>
      </c>
      <c r="R325" s="33"/>
      <c r="S325" s="11"/>
      <c r="T325" s="12"/>
    </row>
    <row r="326" spans="3:20" ht="18.95" customHeight="1" x14ac:dyDescent="0.15">
      <c r="C326" s="13" t="s">
        <v>954</v>
      </c>
      <c r="D326" s="54" t="s">
        <v>952</v>
      </c>
      <c r="E326" s="54" t="s">
        <v>955</v>
      </c>
      <c r="F326" s="10" t="s">
        <v>710</v>
      </c>
      <c r="G326" s="38">
        <v>36000</v>
      </c>
      <c r="H326" s="33"/>
      <c r="I326" s="3"/>
      <c r="J326" s="33">
        <v>66000</v>
      </c>
      <c r="K326" s="11" t="s">
        <v>756</v>
      </c>
      <c r="L326" s="33">
        <v>41000</v>
      </c>
      <c r="M326" s="11" t="s">
        <v>757</v>
      </c>
      <c r="N326" s="33"/>
      <c r="O326" s="11"/>
      <c r="P326" s="33">
        <v>36000</v>
      </c>
      <c r="Q326" s="11" t="s">
        <v>758</v>
      </c>
      <c r="R326" s="33"/>
      <c r="S326" s="11"/>
      <c r="T326" s="12"/>
    </row>
    <row r="327" spans="3:20" ht="18.95" customHeight="1" x14ac:dyDescent="0.15">
      <c r="C327" s="13" t="s">
        <v>956</v>
      </c>
      <c r="D327" s="54" t="s">
        <v>952</v>
      </c>
      <c r="E327" s="54" t="s">
        <v>957</v>
      </c>
      <c r="F327" s="10" t="s">
        <v>710</v>
      </c>
      <c r="G327" s="38">
        <v>870000</v>
      </c>
      <c r="H327" s="33"/>
      <c r="I327" s="3"/>
      <c r="J327" s="33">
        <v>870000</v>
      </c>
      <c r="K327" s="11" t="s">
        <v>756</v>
      </c>
      <c r="L327" s="33">
        <v>950000</v>
      </c>
      <c r="M327" s="11" t="s">
        <v>757</v>
      </c>
      <c r="N327" s="33"/>
      <c r="O327" s="11"/>
      <c r="P327" s="33">
        <v>870000</v>
      </c>
      <c r="Q327" s="11" t="s">
        <v>758</v>
      </c>
      <c r="R327" s="33"/>
      <c r="S327" s="11"/>
      <c r="T327" s="12"/>
    </row>
    <row r="328" spans="3:20" ht="18.95" customHeight="1" x14ac:dyDescent="0.15">
      <c r="C328" s="13" t="s">
        <v>958</v>
      </c>
      <c r="D328" s="54" t="s">
        <v>959</v>
      </c>
      <c r="E328" s="54" t="s">
        <v>765</v>
      </c>
      <c r="F328" s="10" t="s">
        <v>710</v>
      </c>
      <c r="G328" s="38">
        <v>55000</v>
      </c>
      <c r="H328" s="33"/>
      <c r="I328" s="3"/>
      <c r="J328" s="33">
        <v>70000</v>
      </c>
      <c r="K328" s="11" t="s">
        <v>756</v>
      </c>
      <c r="L328" s="33">
        <v>58000</v>
      </c>
      <c r="M328" s="11" t="s">
        <v>757</v>
      </c>
      <c r="N328" s="33"/>
      <c r="O328" s="11"/>
      <c r="P328" s="33">
        <v>55000</v>
      </c>
      <c r="Q328" s="11" t="s">
        <v>758</v>
      </c>
      <c r="R328" s="33"/>
      <c r="S328" s="11"/>
      <c r="T328" s="12"/>
    </row>
    <row r="329" spans="3:20" ht="18.95" customHeight="1" x14ac:dyDescent="0.15">
      <c r="C329" s="13" t="s">
        <v>960</v>
      </c>
      <c r="D329" s="54" t="s">
        <v>959</v>
      </c>
      <c r="E329" s="54" t="s">
        <v>764</v>
      </c>
      <c r="F329" s="10" t="s">
        <v>710</v>
      </c>
      <c r="G329" s="38">
        <v>55000</v>
      </c>
      <c r="H329" s="33"/>
      <c r="I329" s="3"/>
      <c r="J329" s="33">
        <v>70000</v>
      </c>
      <c r="K329" s="11" t="s">
        <v>756</v>
      </c>
      <c r="L329" s="33">
        <v>58000</v>
      </c>
      <c r="M329" s="11" t="s">
        <v>757</v>
      </c>
      <c r="N329" s="33"/>
      <c r="O329" s="11"/>
      <c r="P329" s="33">
        <v>55000</v>
      </c>
      <c r="Q329" s="11" t="s">
        <v>758</v>
      </c>
      <c r="R329" s="33"/>
      <c r="S329" s="11"/>
      <c r="T329" s="12"/>
    </row>
    <row r="330" spans="3:20" ht="18.95" customHeight="1" x14ac:dyDescent="0.15">
      <c r="C330" s="13" t="s">
        <v>961</v>
      </c>
      <c r="D330" s="54" t="s">
        <v>962</v>
      </c>
      <c r="E330" s="54" t="s">
        <v>963</v>
      </c>
      <c r="F330" s="10" t="s">
        <v>710</v>
      </c>
      <c r="G330" s="38">
        <v>50000</v>
      </c>
      <c r="H330" s="33"/>
      <c r="I330" s="3"/>
      <c r="J330" s="33">
        <v>70000</v>
      </c>
      <c r="K330" s="11" t="s">
        <v>756</v>
      </c>
      <c r="L330" s="33">
        <v>70000</v>
      </c>
      <c r="M330" s="11" t="s">
        <v>757</v>
      </c>
      <c r="N330" s="33"/>
      <c r="O330" s="11"/>
      <c r="P330" s="33">
        <v>50000</v>
      </c>
      <c r="Q330" s="11" t="s">
        <v>758</v>
      </c>
      <c r="R330" s="33"/>
      <c r="S330" s="11"/>
      <c r="T330" s="12"/>
    </row>
    <row r="331" spans="3:20" ht="18.95" customHeight="1" x14ac:dyDescent="0.15">
      <c r="C331" s="13" t="s">
        <v>964</v>
      </c>
      <c r="D331" s="54" t="s">
        <v>962</v>
      </c>
      <c r="E331" s="54" t="s">
        <v>965</v>
      </c>
      <c r="F331" s="10" t="s">
        <v>710</v>
      </c>
      <c r="G331" s="38">
        <v>50000</v>
      </c>
      <c r="H331" s="33"/>
      <c r="I331" s="3"/>
      <c r="J331" s="33">
        <v>70000</v>
      </c>
      <c r="K331" s="11" t="s">
        <v>756</v>
      </c>
      <c r="L331" s="33">
        <v>70000</v>
      </c>
      <c r="M331" s="11" t="s">
        <v>757</v>
      </c>
      <c r="N331" s="33"/>
      <c r="O331" s="11"/>
      <c r="P331" s="33">
        <v>50000</v>
      </c>
      <c r="Q331" s="11" t="s">
        <v>758</v>
      </c>
      <c r="R331" s="33"/>
      <c r="S331" s="11"/>
      <c r="T331" s="12"/>
    </row>
    <row r="332" spans="3:20" ht="18.95" customHeight="1" x14ac:dyDescent="0.15">
      <c r="C332" s="13" t="s">
        <v>966</v>
      </c>
      <c r="D332" s="54" t="s">
        <v>962</v>
      </c>
      <c r="E332" s="54" t="s">
        <v>967</v>
      </c>
      <c r="F332" s="10" t="s">
        <v>710</v>
      </c>
      <c r="G332" s="38">
        <v>50000</v>
      </c>
      <c r="H332" s="33"/>
      <c r="I332" s="3"/>
      <c r="J332" s="33">
        <v>70000</v>
      </c>
      <c r="K332" s="11" t="s">
        <v>756</v>
      </c>
      <c r="L332" s="33">
        <v>70000</v>
      </c>
      <c r="M332" s="11" t="s">
        <v>757</v>
      </c>
      <c r="N332" s="33"/>
      <c r="O332" s="11"/>
      <c r="P332" s="33">
        <v>50000</v>
      </c>
      <c r="Q332" s="11" t="s">
        <v>758</v>
      </c>
      <c r="R332" s="33"/>
      <c r="S332" s="11"/>
      <c r="T332" s="12"/>
    </row>
    <row r="333" spans="3:20" ht="18.95" customHeight="1" x14ac:dyDescent="0.15">
      <c r="C333" s="13" t="s">
        <v>968</v>
      </c>
      <c r="D333" s="54" t="s">
        <v>962</v>
      </c>
      <c r="E333" s="54" t="s">
        <v>767</v>
      </c>
      <c r="F333" s="10" t="s">
        <v>710</v>
      </c>
      <c r="G333" s="38">
        <v>35000</v>
      </c>
      <c r="H333" s="33"/>
      <c r="I333" s="3"/>
      <c r="J333" s="33">
        <v>40000</v>
      </c>
      <c r="K333" s="11" t="s">
        <v>756</v>
      </c>
      <c r="L333" s="33">
        <v>44500</v>
      </c>
      <c r="M333" s="11" t="s">
        <v>757</v>
      </c>
      <c r="N333" s="33"/>
      <c r="O333" s="11"/>
      <c r="P333" s="33">
        <v>35000</v>
      </c>
      <c r="Q333" s="11" t="s">
        <v>758</v>
      </c>
      <c r="R333" s="33"/>
      <c r="S333" s="11"/>
      <c r="T333" s="12"/>
    </row>
    <row r="334" spans="3:20" ht="18.95" customHeight="1" x14ac:dyDescent="0.15">
      <c r="C334" s="13" t="s">
        <v>969</v>
      </c>
      <c r="D334" s="54" t="s">
        <v>962</v>
      </c>
      <c r="E334" s="54" t="s">
        <v>970</v>
      </c>
      <c r="F334" s="10" t="s">
        <v>710</v>
      </c>
      <c r="G334" s="38">
        <v>55000</v>
      </c>
      <c r="H334" s="33"/>
      <c r="I334" s="3"/>
      <c r="J334" s="33">
        <v>70000</v>
      </c>
      <c r="K334" s="11" t="s">
        <v>756</v>
      </c>
      <c r="L334" s="33">
        <v>70000</v>
      </c>
      <c r="M334" s="11" t="s">
        <v>757</v>
      </c>
      <c r="N334" s="33"/>
      <c r="O334" s="11"/>
      <c r="P334" s="33">
        <v>55000</v>
      </c>
      <c r="Q334" s="11" t="s">
        <v>758</v>
      </c>
      <c r="R334" s="33"/>
      <c r="S334" s="11"/>
      <c r="T334" s="12"/>
    </row>
    <row r="335" spans="3:20" ht="18.95" customHeight="1" x14ac:dyDescent="0.15">
      <c r="C335" s="13" t="s">
        <v>971</v>
      </c>
      <c r="D335" s="54" t="s">
        <v>962</v>
      </c>
      <c r="E335" s="54" t="s">
        <v>972</v>
      </c>
      <c r="F335" s="10" t="s">
        <v>710</v>
      </c>
      <c r="G335" s="38">
        <v>70000</v>
      </c>
      <c r="H335" s="33"/>
      <c r="I335" s="3"/>
      <c r="J335" s="33">
        <v>79000</v>
      </c>
      <c r="K335" s="11" t="s">
        <v>756</v>
      </c>
      <c r="L335" s="33">
        <v>120000</v>
      </c>
      <c r="M335" s="11" t="s">
        <v>757</v>
      </c>
      <c r="N335" s="33"/>
      <c r="O335" s="11"/>
      <c r="P335" s="33">
        <v>70000</v>
      </c>
      <c r="Q335" s="11" t="s">
        <v>758</v>
      </c>
      <c r="R335" s="33"/>
      <c r="S335" s="11"/>
      <c r="T335" s="12"/>
    </row>
    <row r="336" spans="3:20" ht="18.95" customHeight="1" x14ac:dyDescent="0.15">
      <c r="C336" s="13" t="s">
        <v>973</v>
      </c>
      <c r="D336" s="54" t="s">
        <v>962</v>
      </c>
      <c r="E336" s="54" t="s">
        <v>974</v>
      </c>
      <c r="F336" s="10" t="s">
        <v>710</v>
      </c>
      <c r="G336" s="38">
        <v>105000</v>
      </c>
      <c r="H336" s="33"/>
      <c r="I336" s="3"/>
      <c r="J336" s="33">
        <v>117000</v>
      </c>
      <c r="K336" s="11" t="s">
        <v>756</v>
      </c>
      <c r="L336" s="33">
        <v>120000</v>
      </c>
      <c r="M336" s="11" t="s">
        <v>757</v>
      </c>
      <c r="N336" s="33"/>
      <c r="O336" s="11"/>
      <c r="P336" s="33">
        <v>105000</v>
      </c>
      <c r="Q336" s="11" t="s">
        <v>758</v>
      </c>
      <c r="R336" s="33"/>
      <c r="S336" s="11"/>
      <c r="T336" s="12"/>
    </row>
    <row r="337" spans="3:20" ht="18.95" customHeight="1" x14ac:dyDescent="0.15">
      <c r="C337" s="13" t="s">
        <v>975</v>
      </c>
      <c r="D337" s="54" t="s">
        <v>962</v>
      </c>
      <c r="E337" s="54" t="s">
        <v>976</v>
      </c>
      <c r="F337" s="10" t="s">
        <v>710</v>
      </c>
      <c r="G337" s="38">
        <v>88000</v>
      </c>
      <c r="H337" s="33"/>
      <c r="I337" s="3"/>
      <c r="J337" s="33">
        <v>119000</v>
      </c>
      <c r="K337" s="11" t="s">
        <v>756</v>
      </c>
      <c r="L337" s="33">
        <v>108000</v>
      </c>
      <c r="M337" s="11" t="s">
        <v>757</v>
      </c>
      <c r="N337" s="33"/>
      <c r="O337" s="11"/>
      <c r="P337" s="33">
        <v>88000</v>
      </c>
      <c r="Q337" s="11" t="s">
        <v>758</v>
      </c>
      <c r="R337" s="33"/>
      <c r="S337" s="11"/>
      <c r="T337" s="12"/>
    </row>
    <row r="338" spans="3:20" ht="18.95" customHeight="1" x14ac:dyDescent="0.15">
      <c r="C338" s="13" t="s">
        <v>977</v>
      </c>
      <c r="D338" s="54" t="s">
        <v>978</v>
      </c>
      <c r="E338" s="54" t="s">
        <v>979</v>
      </c>
      <c r="F338" s="10" t="s">
        <v>980</v>
      </c>
      <c r="G338" s="38" t="s">
        <v>981</v>
      </c>
      <c r="H338" s="33">
        <v>427</v>
      </c>
      <c r="I338" s="3" t="s">
        <v>982</v>
      </c>
      <c r="J338" s="33">
        <v>1309</v>
      </c>
      <c r="K338" s="11" t="s">
        <v>983</v>
      </c>
      <c r="L338" s="33">
        <v>523</v>
      </c>
      <c r="M338" s="11" t="s">
        <v>981</v>
      </c>
      <c r="N338" s="33"/>
      <c r="O338" s="11"/>
      <c r="P338" s="33"/>
      <c r="Q338" s="11"/>
      <c r="R338" s="33"/>
      <c r="S338" s="11"/>
      <c r="T338" s="12"/>
    </row>
    <row r="339" spans="3:20" ht="18.95" customHeight="1" x14ac:dyDescent="0.15">
      <c r="C339" s="13" t="s">
        <v>984</v>
      </c>
      <c r="D339" s="54" t="s">
        <v>985</v>
      </c>
      <c r="E339" s="54" t="s">
        <v>979</v>
      </c>
      <c r="F339" s="10" t="s">
        <v>980</v>
      </c>
      <c r="G339" s="38" t="s">
        <v>981</v>
      </c>
      <c r="H339" s="33">
        <v>427</v>
      </c>
      <c r="I339" s="3" t="s">
        <v>982</v>
      </c>
      <c r="J339" s="33">
        <v>1309</v>
      </c>
      <c r="K339" s="11" t="s">
        <v>983</v>
      </c>
      <c r="L339" s="33">
        <v>523</v>
      </c>
      <c r="M339" s="11" t="s">
        <v>981</v>
      </c>
      <c r="N339" s="33"/>
      <c r="O339" s="11"/>
      <c r="P339" s="33"/>
      <c r="Q339" s="11"/>
      <c r="R339" s="33"/>
      <c r="S339" s="11"/>
      <c r="T339" s="12"/>
    </row>
    <row r="340" spans="3:20" ht="18.95" customHeight="1" x14ac:dyDescent="0.15">
      <c r="C340" s="13" t="s">
        <v>986</v>
      </c>
      <c r="D340" s="54" t="s">
        <v>987</v>
      </c>
      <c r="E340" s="54" t="s">
        <v>988</v>
      </c>
      <c r="F340" s="10" t="s">
        <v>989</v>
      </c>
      <c r="G340" s="38" t="s">
        <v>981</v>
      </c>
      <c r="H340" s="33">
        <v>308</v>
      </c>
      <c r="I340" s="3" t="s">
        <v>982</v>
      </c>
      <c r="J340" s="33">
        <v>825</v>
      </c>
      <c r="K340" s="11" t="s">
        <v>983</v>
      </c>
      <c r="L340" s="33">
        <v>376</v>
      </c>
      <c r="M340" s="11" t="s">
        <v>981</v>
      </c>
      <c r="N340" s="33"/>
      <c r="O340" s="11"/>
      <c r="P340" s="33"/>
      <c r="Q340" s="11"/>
      <c r="R340" s="33"/>
      <c r="S340" s="11"/>
      <c r="T340" s="12"/>
    </row>
    <row r="341" spans="3:20" ht="18.95" customHeight="1" x14ac:dyDescent="0.15">
      <c r="C341" s="13" t="s">
        <v>990</v>
      </c>
      <c r="D341" s="54" t="s">
        <v>991</v>
      </c>
      <c r="E341" s="54"/>
      <c r="F341" s="10" t="s">
        <v>792</v>
      </c>
      <c r="G341" s="38" t="s">
        <v>992</v>
      </c>
      <c r="H341" s="33"/>
      <c r="I341" s="3" t="s">
        <v>982</v>
      </c>
      <c r="J341" s="33"/>
      <c r="K341" s="11" t="s">
        <v>983</v>
      </c>
      <c r="L341" s="33">
        <v>3070332</v>
      </c>
      <c r="M341" s="11" t="s">
        <v>981</v>
      </c>
      <c r="N341" s="33"/>
      <c r="O341" s="11"/>
      <c r="P341" s="33"/>
      <c r="Q341" s="11"/>
      <c r="R341" s="33"/>
      <c r="S341" s="11"/>
      <c r="T341" s="12"/>
    </row>
    <row r="342" spans="3:20" ht="18.95" customHeight="1" x14ac:dyDescent="0.15">
      <c r="C342" s="13" t="s">
        <v>993</v>
      </c>
      <c r="D342" s="54" t="s">
        <v>994</v>
      </c>
      <c r="E342" s="54" t="s">
        <v>995</v>
      </c>
      <c r="F342" s="10" t="s">
        <v>740</v>
      </c>
      <c r="G342" s="38" t="s">
        <v>992</v>
      </c>
      <c r="H342" s="33"/>
      <c r="I342" s="3" t="s">
        <v>982</v>
      </c>
      <c r="J342" s="33"/>
      <c r="K342" s="11" t="s">
        <v>983</v>
      </c>
      <c r="L342" s="33">
        <v>39750</v>
      </c>
      <c r="M342" s="11" t="s">
        <v>981</v>
      </c>
      <c r="N342" s="33"/>
      <c r="O342" s="11"/>
      <c r="P342" s="33"/>
      <c r="Q342" s="11"/>
      <c r="R342" s="33"/>
      <c r="S342" s="11"/>
      <c r="T342" s="12"/>
    </row>
    <row r="343" spans="3:20" ht="18.95" customHeight="1" x14ac:dyDescent="0.15">
      <c r="C343" s="13" t="s">
        <v>996</v>
      </c>
      <c r="D343" s="54" t="s">
        <v>997</v>
      </c>
      <c r="E343" s="54" t="s">
        <v>998</v>
      </c>
      <c r="F343" s="10" t="s">
        <v>999</v>
      </c>
      <c r="G343" s="38" t="s">
        <v>992</v>
      </c>
      <c r="H343" s="33"/>
      <c r="I343" s="3" t="s">
        <v>982</v>
      </c>
      <c r="J343" s="33">
        <v>50142.7</v>
      </c>
      <c r="K343" s="11" t="s">
        <v>983</v>
      </c>
      <c r="L343" s="33"/>
      <c r="M343" s="11" t="s">
        <v>981</v>
      </c>
      <c r="N343" s="33"/>
      <c r="O343" s="11"/>
      <c r="P343" s="33"/>
      <c r="Q343" s="11"/>
      <c r="R343" s="33"/>
      <c r="S343" s="11"/>
      <c r="T343" s="12"/>
    </row>
    <row r="344" spans="3:20" ht="18.95" customHeight="1" x14ac:dyDescent="0.15">
      <c r="C344" s="13" t="s">
        <v>990</v>
      </c>
      <c r="D344" s="54" t="s">
        <v>1000</v>
      </c>
      <c r="E344" s="54" t="s">
        <v>1001</v>
      </c>
      <c r="F344" s="10" t="s">
        <v>792</v>
      </c>
      <c r="G344" s="38" t="s">
        <v>992</v>
      </c>
      <c r="H344" s="33"/>
      <c r="I344" s="3" t="s">
        <v>982</v>
      </c>
      <c r="J344" s="33"/>
      <c r="K344" s="11" t="s">
        <v>983</v>
      </c>
      <c r="L344" s="33">
        <v>68260</v>
      </c>
      <c r="M344" s="11" t="s">
        <v>981</v>
      </c>
      <c r="N344" s="33"/>
      <c r="O344" s="11"/>
      <c r="P344" s="33"/>
      <c r="Q344" s="11"/>
      <c r="R344" s="33"/>
      <c r="S344" s="11"/>
      <c r="T344" s="12"/>
    </row>
    <row r="345" spans="3:20" ht="18.95" customHeight="1" x14ac:dyDescent="0.15">
      <c r="C345" s="13" t="s">
        <v>1002</v>
      </c>
      <c r="D345" s="54" t="s">
        <v>1003</v>
      </c>
      <c r="E345" s="54" t="s">
        <v>1004</v>
      </c>
      <c r="F345" s="10" t="s">
        <v>999</v>
      </c>
      <c r="G345" s="38">
        <v>273676</v>
      </c>
      <c r="H345" s="33"/>
      <c r="I345" s="3"/>
      <c r="J345" s="33"/>
      <c r="K345" s="11"/>
      <c r="L345" s="33"/>
      <c r="M345" s="11"/>
      <c r="N345" s="33"/>
      <c r="O345" s="11"/>
      <c r="P345" s="33"/>
      <c r="Q345" s="11"/>
      <c r="R345" s="33"/>
      <c r="S345" s="11"/>
      <c r="T345" s="12"/>
    </row>
    <row r="346" spans="3:20" ht="18.95" customHeight="1" x14ac:dyDescent="0.15">
      <c r="C346" s="13" t="s">
        <v>1005</v>
      </c>
      <c r="D346" s="54" t="s">
        <v>1003</v>
      </c>
      <c r="E346" s="54" t="s">
        <v>1006</v>
      </c>
      <c r="F346" s="10" t="s">
        <v>999</v>
      </c>
      <c r="G346" s="38">
        <v>304156</v>
      </c>
      <c r="H346" s="33"/>
      <c r="I346" s="3"/>
      <c r="J346" s="33"/>
      <c r="K346" s="11"/>
      <c r="L346" s="33"/>
      <c r="M346" s="11"/>
      <c r="N346" s="33"/>
      <c r="O346" s="11"/>
      <c r="P346" s="33"/>
      <c r="Q346" s="11"/>
      <c r="R346" s="33"/>
      <c r="S346" s="11"/>
      <c r="T346" s="12"/>
    </row>
    <row r="347" spans="3:20" ht="18.95" customHeight="1" x14ac:dyDescent="0.15">
      <c r="C347" s="13" t="s">
        <v>1007</v>
      </c>
      <c r="D347" s="54" t="s">
        <v>1003</v>
      </c>
      <c r="E347" s="54" t="s">
        <v>1008</v>
      </c>
      <c r="F347" s="10" t="s">
        <v>999</v>
      </c>
      <c r="G347" s="38">
        <v>373640</v>
      </c>
      <c r="H347" s="33"/>
      <c r="I347" s="3"/>
      <c r="J347" s="33"/>
      <c r="K347" s="11"/>
      <c r="L347" s="33"/>
      <c r="M347" s="11"/>
      <c r="N347" s="33"/>
      <c r="O347" s="11"/>
      <c r="P347" s="33"/>
      <c r="Q347" s="11"/>
      <c r="R347" s="33"/>
      <c r="S347" s="11"/>
      <c r="T347" s="12"/>
    </row>
    <row r="348" spans="3:20" ht="18.95" customHeight="1" x14ac:dyDescent="0.15">
      <c r="C348" s="13" t="s">
        <v>1009</v>
      </c>
      <c r="D348" s="54" t="s">
        <v>1003</v>
      </c>
      <c r="E348" s="54" t="s">
        <v>1010</v>
      </c>
      <c r="F348" s="10" t="s">
        <v>999</v>
      </c>
      <c r="G348" s="38">
        <v>440616</v>
      </c>
      <c r="H348" s="33"/>
      <c r="I348" s="3"/>
      <c r="J348" s="33"/>
      <c r="K348" s="11"/>
      <c r="L348" s="33"/>
      <c r="M348" s="11"/>
      <c r="N348" s="33"/>
      <c r="O348" s="11"/>
      <c r="P348" s="33"/>
      <c r="Q348" s="11"/>
      <c r="R348" s="33"/>
      <c r="S348" s="11"/>
      <c r="T348" s="12"/>
    </row>
    <row r="349" spans="3:20" ht="18.95" customHeight="1" x14ac:dyDescent="0.15">
      <c r="C349" s="13" t="s">
        <v>1011</v>
      </c>
      <c r="D349" s="54" t="s">
        <v>1003</v>
      </c>
      <c r="E349" s="54" t="s">
        <v>1012</v>
      </c>
      <c r="F349" s="10" t="s">
        <v>999</v>
      </c>
      <c r="G349" s="38">
        <v>414968</v>
      </c>
      <c r="H349" s="33"/>
      <c r="I349" s="3"/>
      <c r="J349" s="33"/>
      <c r="K349" s="11"/>
      <c r="L349" s="33"/>
      <c r="M349" s="11"/>
      <c r="N349" s="33"/>
      <c r="O349" s="11"/>
      <c r="P349" s="33"/>
      <c r="Q349" s="11"/>
      <c r="R349" s="33"/>
      <c r="S349" s="11"/>
      <c r="T349" s="12"/>
    </row>
    <row r="350" spans="3:20" ht="18.95" customHeight="1" x14ac:dyDescent="0.15">
      <c r="C350" s="13" t="s">
        <v>1013</v>
      </c>
      <c r="D350" s="54" t="s">
        <v>1003</v>
      </c>
      <c r="E350" s="54" t="s">
        <v>1014</v>
      </c>
      <c r="F350" s="10" t="s">
        <v>999</v>
      </c>
      <c r="G350" s="38">
        <v>436224</v>
      </c>
      <c r="H350" s="33"/>
      <c r="I350" s="3"/>
      <c r="J350" s="33"/>
      <c r="K350" s="11"/>
      <c r="L350" s="33"/>
      <c r="M350" s="11"/>
      <c r="N350" s="33"/>
      <c r="O350" s="11"/>
      <c r="P350" s="33"/>
      <c r="Q350" s="11"/>
      <c r="R350" s="33"/>
      <c r="S350" s="11"/>
      <c r="T350" s="12"/>
    </row>
    <row r="351" spans="3:20" ht="18.95" customHeight="1" x14ac:dyDescent="0.15">
      <c r="C351" s="13" t="s">
        <v>1015</v>
      </c>
      <c r="D351" s="54" t="s">
        <v>1003</v>
      </c>
      <c r="E351" s="54" t="s">
        <v>1016</v>
      </c>
      <c r="F351" s="10" t="s">
        <v>999</v>
      </c>
      <c r="G351" s="38">
        <v>408942</v>
      </c>
      <c r="H351" s="33"/>
      <c r="I351" s="3"/>
      <c r="J351" s="33"/>
      <c r="K351" s="11"/>
      <c r="L351" s="33"/>
      <c r="M351" s="11"/>
      <c r="N351" s="33"/>
      <c r="O351" s="11"/>
      <c r="P351" s="33"/>
      <c r="Q351" s="11"/>
      <c r="R351" s="33"/>
      <c r="S351" s="11"/>
      <c r="T351" s="12"/>
    </row>
    <row r="352" spans="3:20" ht="18.95" customHeight="1" x14ac:dyDescent="0.15">
      <c r="C352" s="13" t="s">
        <v>1017</v>
      </c>
      <c r="D352" s="54" t="s">
        <v>1003</v>
      </c>
      <c r="E352" s="54" t="s">
        <v>1018</v>
      </c>
      <c r="F352" s="10" t="s">
        <v>999</v>
      </c>
      <c r="G352" s="38">
        <v>172068</v>
      </c>
      <c r="H352" s="33"/>
      <c r="I352" s="3"/>
      <c r="J352" s="33"/>
      <c r="K352" s="11"/>
      <c r="L352" s="33"/>
      <c r="M352" s="11"/>
      <c r="N352" s="33"/>
      <c r="O352" s="11"/>
      <c r="P352" s="33"/>
      <c r="Q352" s="11"/>
      <c r="R352" s="33"/>
      <c r="S352" s="11"/>
      <c r="T352" s="12"/>
    </row>
    <row r="353" spans="3:20" ht="18.95" customHeight="1" x14ac:dyDescent="0.15">
      <c r="C353" s="13" t="s">
        <v>1019</v>
      </c>
      <c r="D353" s="54" t="s">
        <v>1003</v>
      </c>
      <c r="E353" s="54" t="s">
        <v>1020</v>
      </c>
      <c r="F353" s="10" t="s">
        <v>999</v>
      </c>
      <c r="G353" s="38">
        <v>226122</v>
      </c>
      <c r="H353" s="33"/>
      <c r="I353" s="3"/>
      <c r="J353" s="33"/>
      <c r="K353" s="11"/>
      <c r="L353" s="33"/>
      <c r="M353" s="11"/>
      <c r="N353" s="33"/>
      <c r="O353" s="11"/>
      <c r="P353" s="33"/>
      <c r="Q353" s="11"/>
      <c r="R353" s="33"/>
      <c r="S353" s="11"/>
      <c r="T353" s="12"/>
    </row>
    <row r="354" spans="3:20" ht="18.95" customHeight="1" x14ac:dyDescent="0.15">
      <c r="C354" s="13" t="s">
        <v>1021</v>
      </c>
      <c r="D354" s="54" t="s">
        <v>1003</v>
      </c>
      <c r="E354" s="54" t="s">
        <v>1022</v>
      </c>
      <c r="F354" s="10" t="s">
        <v>999</v>
      </c>
      <c r="G354" s="38">
        <v>228286</v>
      </c>
      <c r="H354" s="33"/>
      <c r="I354" s="3"/>
      <c r="J354" s="33"/>
      <c r="K354" s="11"/>
      <c r="L354" s="33"/>
      <c r="M354" s="11"/>
      <c r="N354" s="33"/>
      <c r="O354" s="11"/>
      <c r="P354" s="33"/>
      <c r="Q354" s="11"/>
      <c r="R354" s="33"/>
      <c r="S354" s="11"/>
      <c r="T354" s="12"/>
    </row>
    <row r="355" spans="3:20" ht="18.95" customHeight="1" x14ac:dyDescent="0.15">
      <c r="C355" s="13" t="s">
        <v>1023</v>
      </c>
      <c r="D355" s="54" t="s">
        <v>1003</v>
      </c>
      <c r="E355" s="54" t="s">
        <v>1024</v>
      </c>
      <c r="F355" s="10" t="s">
        <v>999</v>
      </c>
      <c r="G355" s="38">
        <v>211653</v>
      </c>
      <c r="H355" s="33"/>
      <c r="I355" s="3"/>
      <c r="J355" s="33"/>
      <c r="K355" s="11"/>
      <c r="L355" s="33"/>
      <c r="M355" s="11"/>
      <c r="N355" s="33"/>
      <c r="O355" s="11"/>
      <c r="P355" s="33"/>
      <c r="Q355" s="11"/>
      <c r="R355" s="33"/>
      <c r="S355" s="11"/>
      <c r="T355" s="12"/>
    </row>
    <row r="356" spans="3:20" ht="18.95" customHeight="1" x14ac:dyDescent="0.15">
      <c r="C356" s="13" t="s">
        <v>1025</v>
      </c>
      <c r="D356" s="54" t="s">
        <v>1003</v>
      </c>
      <c r="E356" s="54" t="s">
        <v>1026</v>
      </c>
      <c r="F356" s="10" t="s">
        <v>999</v>
      </c>
      <c r="G356" s="38">
        <v>215907</v>
      </c>
      <c r="H356" s="33"/>
      <c r="I356" s="3"/>
      <c r="J356" s="33"/>
      <c r="K356" s="11"/>
      <c r="L356" s="33"/>
      <c r="M356" s="11"/>
      <c r="N356" s="33"/>
      <c r="O356" s="11"/>
      <c r="P356" s="33"/>
      <c r="Q356" s="11"/>
      <c r="R356" s="33"/>
      <c r="S356" s="11"/>
      <c r="T356" s="12"/>
    </row>
    <row r="357" spans="3:20" ht="18.95" customHeight="1" x14ac:dyDescent="0.15">
      <c r="D357" s="54"/>
      <c r="E357" s="54"/>
      <c r="F357" s="10"/>
      <c r="G357" s="38"/>
      <c r="H357" s="33"/>
      <c r="I357" s="3"/>
      <c r="J357" s="33"/>
      <c r="K357" s="11"/>
      <c r="L357" s="33"/>
      <c r="M357" s="11"/>
      <c r="N357" s="33"/>
      <c r="O357" s="11"/>
      <c r="P357" s="33"/>
      <c r="Q357" s="11"/>
      <c r="R357" s="33"/>
      <c r="S357" s="11"/>
      <c r="T357" s="12"/>
    </row>
    <row r="358" spans="3:20" ht="18.95" customHeight="1" x14ac:dyDescent="0.15">
      <c r="D358" s="54"/>
      <c r="E358" s="54"/>
      <c r="F358" s="10"/>
      <c r="G358" s="38"/>
      <c r="H358" s="33"/>
      <c r="I358" s="3"/>
      <c r="J358" s="33"/>
      <c r="K358" s="11"/>
      <c r="L358" s="33"/>
      <c r="M358" s="11"/>
      <c r="N358" s="33"/>
      <c r="O358" s="11"/>
      <c r="P358" s="33"/>
      <c r="Q358" s="11"/>
      <c r="R358" s="33"/>
      <c r="S358" s="11"/>
      <c r="T358" s="12"/>
    </row>
    <row r="359" spans="3:20" ht="18.95" customHeight="1" x14ac:dyDescent="0.15">
      <c r="D359" s="54"/>
      <c r="E359" s="54"/>
      <c r="F359" s="10"/>
      <c r="G359" s="38"/>
      <c r="H359" s="33"/>
      <c r="I359" s="3"/>
      <c r="J359" s="33"/>
      <c r="K359" s="11"/>
      <c r="L359" s="33"/>
      <c r="M359" s="11"/>
      <c r="N359" s="33"/>
      <c r="O359" s="11"/>
      <c r="P359" s="33"/>
      <c r="Q359" s="11"/>
      <c r="R359" s="33"/>
      <c r="S359" s="11"/>
      <c r="T359" s="12"/>
    </row>
    <row r="360" spans="3:20" ht="18.95" customHeight="1" x14ac:dyDescent="0.15">
      <c r="D360" s="54"/>
      <c r="E360" s="54"/>
      <c r="F360" s="10"/>
      <c r="G360" s="38"/>
      <c r="H360" s="33"/>
      <c r="I360" s="3"/>
      <c r="J360" s="33"/>
      <c r="K360" s="11"/>
      <c r="L360" s="33"/>
      <c r="M360" s="11"/>
      <c r="N360" s="33"/>
      <c r="O360" s="11"/>
      <c r="P360" s="33"/>
      <c r="Q360" s="11"/>
      <c r="R360" s="33"/>
      <c r="S360" s="11"/>
      <c r="T360" s="12"/>
    </row>
    <row r="361" spans="3:20" ht="18.95" customHeight="1" x14ac:dyDescent="0.15">
      <c r="D361" s="54"/>
      <c r="E361" s="54"/>
      <c r="F361" s="10"/>
      <c r="G361" s="38"/>
      <c r="H361" s="33"/>
      <c r="I361" s="3"/>
      <c r="J361" s="33"/>
      <c r="K361" s="11"/>
      <c r="L361" s="33"/>
      <c r="M361" s="11"/>
      <c r="N361" s="33"/>
      <c r="O361" s="11"/>
      <c r="P361" s="33"/>
      <c r="Q361" s="11"/>
      <c r="R361" s="33"/>
      <c r="S361" s="11"/>
      <c r="T361" s="12"/>
    </row>
    <row r="362" spans="3:20" ht="18.95" customHeight="1" x14ac:dyDescent="0.15">
      <c r="D362" s="54"/>
      <c r="E362" s="54"/>
      <c r="F362" s="10"/>
      <c r="G362" s="38"/>
      <c r="H362" s="33"/>
      <c r="I362" s="3"/>
      <c r="J362" s="33"/>
      <c r="K362" s="11"/>
      <c r="L362" s="33"/>
      <c r="M362" s="11"/>
      <c r="N362" s="33"/>
      <c r="O362" s="11"/>
      <c r="P362" s="33"/>
      <c r="Q362" s="11"/>
      <c r="R362" s="33"/>
      <c r="S362" s="11"/>
      <c r="T362" s="12"/>
    </row>
    <row r="363" spans="3:20" ht="18.95" customHeight="1" x14ac:dyDescent="0.15">
      <c r="D363" s="54"/>
      <c r="E363" s="54"/>
      <c r="F363" s="10"/>
      <c r="G363" s="38"/>
      <c r="H363" s="33"/>
      <c r="I363" s="3"/>
      <c r="J363" s="33"/>
      <c r="K363" s="11"/>
      <c r="L363" s="33"/>
      <c r="M363" s="11"/>
      <c r="N363" s="33"/>
      <c r="O363" s="11"/>
      <c r="P363" s="33"/>
      <c r="Q363" s="11"/>
      <c r="R363" s="33"/>
      <c r="S363" s="11"/>
      <c r="T363" s="12"/>
    </row>
  </sheetData>
  <mergeCells count="15">
    <mergeCell ref="R2:S2"/>
    <mergeCell ref="T2:T3"/>
    <mergeCell ref="A2:A3"/>
    <mergeCell ref="L2:M2"/>
    <mergeCell ref="B2:B3"/>
    <mergeCell ref="C2:C3"/>
    <mergeCell ref="L1:P1"/>
    <mergeCell ref="F2:F3"/>
    <mergeCell ref="G2:G3"/>
    <mergeCell ref="J2:K2"/>
    <mergeCell ref="N2:O2"/>
    <mergeCell ref="D1:K1"/>
    <mergeCell ref="E2:E3"/>
    <mergeCell ref="D2:D3"/>
    <mergeCell ref="P2:Q2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0" orientation="landscape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D89"/>
  <sheetViews>
    <sheetView showZeros="0" view="pageBreakPreview" topLeftCell="A60" zoomScaleNormal="100" zoomScaleSheetLayoutView="100" workbookViewId="0">
      <selection activeCell="P14" sqref="P14"/>
    </sheetView>
  </sheetViews>
  <sheetFormatPr defaultColWidth="8" defaultRowHeight="39.950000000000003" customHeight="1" x14ac:dyDescent="0.3"/>
  <cols>
    <col min="1" max="1" width="5.44140625" style="62" customWidth="1"/>
    <col min="2" max="2" width="1" style="62" customWidth="1"/>
    <col min="3" max="3" width="2.33203125" style="62" customWidth="1"/>
    <col min="4" max="4" width="8.6640625" style="62" customWidth="1"/>
    <col min="5" max="5" width="27.5546875" style="62" customWidth="1"/>
    <col min="6" max="6" width="13.6640625" style="62" customWidth="1"/>
    <col min="7" max="7" width="9.21875" style="62" customWidth="1"/>
    <col min="8" max="8" width="4.6640625" style="63" customWidth="1"/>
    <col min="9" max="9" width="7.77734375" style="64" customWidth="1"/>
    <col min="10" max="10" width="13" style="62" customWidth="1"/>
    <col min="11" max="11" width="8.5546875" style="62" customWidth="1"/>
    <col min="12" max="12" width="1.21875" style="62" customWidth="1"/>
    <col min="13" max="13" width="2.109375" style="62" customWidth="1"/>
    <col min="14" max="14" width="9.88671875" style="65" bestFit="1" customWidth="1"/>
    <col min="15" max="16" width="21.44140625" style="62" bestFit="1" customWidth="1"/>
    <col min="17" max="256" width="8" style="62"/>
    <col min="257" max="257" width="5.44140625" style="62" customWidth="1"/>
    <col min="258" max="258" width="1" style="62" customWidth="1"/>
    <col min="259" max="259" width="2.33203125" style="62" customWidth="1"/>
    <col min="260" max="260" width="8.6640625" style="62" customWidth="1"/>
    <col min="261" max="261" width="27.5546875" style="62" customWidth="1"/>
    <col min="262" max="262" width="13.6640625" style="62" customWidth="1"/>
    <col min="263" max="263" width="9.21875" style="62" customWidth="1"/>
    <col min="264" max="264" width="4.6640625" style="62" customWidth="1"/>
    <col min="265" max="265" width="7.77734375" style="62" customWidth="1"/>
    <col min="266" max="266" width="13" style="62" customWidth="1"/>
    <col min="267" max="267" width="8.5546875" style="62" customWidth="1"/>
    <col min="268" max="268" width="1.21875" style="62" customWidth="1"/>
    <col min="269" max="269" width="2.109375" style="62" customWidth="1"/>
    <col min="270" max="270" width="9.88671875" style="62" bestFit="1" customWidth="1"/>
    <col min="271" max="272" width="21.44140625" style="62" bestFit="1" customWidth="1"/>
    <col min="273" max="512" width="8" style="62"/>
    <col min="513" max="513" width="5.44140625" style="62" customWidth="1"/>
    <col min="514" max="514" width="1" style="62" customWidth="1"/>
    <col min="515" max="515" width="2.33203125" style="62" customWidth="1"/>
    <col min="516" max="516" width="8.6640625" style="62" customWidth="1"/>
    <col min="517" max="517" width="27.5546875" style="62" customWidth="1"/>
    <col min="518" max="518" width="13.6640625" style="62" customWidth="1"/>
    <col min="519" max="519" width="9.21875" style="62" customWidth="1"/>
    <col min="520" max="520" width="4.6640625" style="62" customWidth="1"/>
    <col min="521" max="521" width="7.77734375" style="62" customWidth="1"/>
    <col min="522" max="522" width="13" style="62" customWidth="1"/>
    <col min="523" max="523" width="8.5546875" style="62" customWidth="1"/>
    <col min="524" max="524" width="1.21875" style="62" customWidth="1"/>
    <col min="525" max="525" width="2.109375" style="62" customWidth="1"/>
    <col min="526" max="526" width="9.88671875" style="62" bestFit="1" customWidth="1"/>
    <col min="527" max="528" width="21.44140625" style="62" bestFit="1" customWidth="1"/>
    <col min="529" max="768" width="8" style="62"/>
    <col min="769" max="769" width="5.44140625" style="62" customWidth="1"/>
    <col min="770" max="770" width="1" style="62" customWidth="1"/>
    <col min="771" max="771" width="2.33203125" style="62" customWidth="1"/>
    <col min="772" max="772" width="8.6640625" style="62" customWidth="1"/>
    <col min="773" max="773" width="27.5546875" style="62" customWidth="1"/>
    <col min="774" max="774" width="13.6640625" style="62" customWidth="1"/>
    <col min="775" max="775" width="9.21875" style="62" customWidth="1"/>
    <col min="776" max="776" width="4.6640625" style="62" customWidth="1"/>
    <col min="777" max="777" width="7.77734375" style="62" customWidth="1"/>
    <col min="778" max="778" width="13" style="62" customWidth="1"/>
    <col min="779" max="779" width="8.5546875" style="62" customWidth="1"/>
    <col min="780" max="780" width="1.21875" style="62" customWidth="1"/>
    <col min="781" max="781" width="2.109375" style="62" customWidth="1"/>
    <col min="782" max="782" width="9.88671875" style="62" bestFit="1" customWidth="1"/>
    <col min="783" max="784" width="21.44140625" style="62" bestFit="1" customWidth="1"/>
    <col min="785" max="1024" width="8" style="62"/>
    <col min="1025" max="1025" width="5.44140625" style="62" customWidth="1"/>
    <col min="1026" max="1026" width="1" style="62" customWidth="1"/>
    <col min="1027" max="1027" width="2.33203125" style="62" customWidth="1"/>
    <col min="1028" max="1028" width="8.6640625" style="62" customWidth="1"/>
    <col min="1029" max="1029" width="27.5546875" style="62" customWidth="1"/>
    <col min="1030" max="1030" width="13.6640625" style="62" customWidth="1"/>
    <col min="1031" max="1031" width="9.21875" style="62" customWidth="1"/>
    <col min="1032" max="1032" width="4.6640625" style="62" customWidth="1"/>
    <col min="1033" max="1033" width="7.77734375" style="62" customWidth="1"/>
    <col min="1034" max="1034" width="13" style="62" customWidth="1"/>
    <col min="1035" max="1035" width="8.5546875" style="62" customWidth="1"/>
    <col min="1036" max="1036" width="1.21875" style="62" customWidth="1"/>
    <col min="1037" max="1037" width="2.109375" style="62" customWidth="1"/>
    <col min="1038" max="1038" width="9.88671875" style="62" bestFit="1" customWidth="1"/>
    <col min="1039" max="1040" width="21.44140625" style="62" bestFit="1" customWidth="1"/>
    <col min="1041" max="1280" width="8" style="62"/>
    <col min="1281" max="1281" width="5.44140625" style="62" customWidth="1"/>
    <col min="1282" max="1282" width="1" style="62" customWidth="1"/>
    <col min="1283" max="1283" width="2.33203125" style="62" customWidth="1"/>
    <col min="1284" max="1284" width="8.6640625" style="62" customWidth="1"/>
    <col min="1285" max="1285" width="27.5546875" style="62" customWidth="1"/>
    <col min="1286" max="1286" width="13.6640625" style="62" customWidth="1"/>
    <col min="1287" max="1287" width="9.21875" style="62" customWidth="1"/>
    <col min="1288" max="1288" width="4.6640625" style="62" customWidth="1"/>
    <col min="1289" max="1289" width="7.77734375" style="62" customWidth="1"/>
    <col min="1290" max="1290" width="13" style="62" customWidth="1"/>
    <col min="1291" max="1291" width="8.5546875" style="62" customWidth="1"/>
    <col min="1292" max="1292" width="1.21875" style="62" customWidth="1"/>
    <col min="1293" max="1293" width="2.109375" style="62" customWidth="1"/>
    <col min="1294" max="1294" width="9.88671875" style="62" bestFit="1" customWidth="1"/>
    <col min="1295" max="1296" width="21.44140625" style="62" bestFit="1" customWidth="1"/>
    <col min="1297" max="1536" width="8" style="62"/>
    <col min="1537" max="1537" width="5.44140625" style="62" customWidth="1"/>
    <col min="1538" max="1538" width="1" style="62" customWidth="1"/>
    <col min="1539" max="1539" width="2.33203125" style="62" customWidth="1"/>
    <col min="1540" max="1540" width="8.6640625" style="62" customWidth="1"/>
    <col min="1541" max="1541" width="27.5546875" style="62" customWidth="1"/>
    <col min="1542" max="1542" width="13.6640625" style="62" customWidth="1"/>
    <col min="1543" max="1543" width="9.21875" style="62" customWidth="1"/>
    <col min="1544" max="1544" width="4.6640625" style="62" customWidth="1"/>
    <col min="1545" max="1545" width="7.77734375" style="62" customWidth="1"/>
    <col min="1546" max="1546" width="13" style="62" customWidth="1"/>
    <col min="1547" max="1547" width="8.5546875" style="62" customWidth="1"/>
    <col min="1548" max="1548" width="1.21875" style="62" customWidth="1"/>
    <col min="1549" max="1549" width="2.109375" style="62" customWidth="1"/>
    <col min="1550" max="1550" width="9.88671875" style="62" bestFit="1" customWidth="1"/>
    <col min="1551" max="1552" width="21.44140625" style="62" bestFit="1" customWidth="1"/>
    <col min="1553" max="1792" width="8" style="62"/>
    <col min="1793" max="1793" width="5.44140625" style="62" customWidth="1"/>
    <col min="1794" max="1794" width="1" style="62" customWidth="1"/>
    <col min="1795" max="1795" width="2.33203125" style="62" customWidth="1"/>
    <col min="1796" max="1796" width="8.6640625" style="62" customWidth="1"/>
    <col min="1797" max="1797" width="27.5546875" style="62" customWidth="1"/>
    <col min="1798" max="1798" width="13.6640625" style="62" customWidth="1"/>
    <col min="1799" max="1799" width="9.21875" style="62" customWidth="1"/>
    <col min="1800" max="1800" width="4.6640625" style="62" customWidth="1"/>
    <col min="1801" max="1801" width="7.77734375" style="62" customWidth="1"/>
    <col min="1802" max="1802" width="13" style="62" customWidth="1"/>
    <col min="1803" max="1803" width="8.5546875" style="62" customWidth="1"/>
    <col min="1804" max="1804" width="1.21875" style="62" customWidth="1"/>
    <col min="1805" max="1805" width="2.109375" style="62" customWidth="1"/>
    <col min="1806" max="1806" width="9.88671875" style="62" bestFit="1" customWidth="1"/>
    <col min="1807" max="1808" width="21.44140625" style="62" bestFit="1" customWidth="1"/>
    <col min="1809" max="2048" width="8" style="62"/>
    <col min="2049" max="2049" width="5.44140625" style="62" customWidth="1"/>
    <col min="2050" max="2050" width="1" style="62" customWidth="1"/>
    <col min="2051" max="2051" width="2.33203125" style="62" customWidth="1"/>
    <col min="2052" max="2052" width="8.6640625" style="62" customWidth="1"/>
    <col min="2053" max="2053" width="27.5546875" style="62" customWidth="1"/>
    <col min="2054" max="2054" width="13.6640625" style="62" customWidth="1"/>
    <col min="2055" max="2055" width="9.21875" style="62" customWidth="1"/>
    <col min="2056" max="2056" width="4.6640625" style="62" customWidth="1"/>
    <col min="2057" max="2057" width="7.77734375" style="62" customWidth="1"/>
    <col min="2058" max="2058" width="13" style="62" customWidth="1"/>
    <col min="2059" max="2059" width="8.5546875" style="62" customWidth="1"/>
    <col min="2060" max="2060" width="1.21875" style="62" customWidth="1"/>
    <col min="2061" max="2061" width="2.109375" style="62" customWidth="1"/>
    <col min="2062" max="2062" width="9.88671875" style="62" bestFit="1" customWidth="1"/>
    <col min="2063" max="2064" width="21.44140625" style="62" bestFit="1" customWidth="1"/>
    <col min="2065" max="2304" width="8" style="62"/>
    <col min="2305" max="2305" width="5.44140625" style="62" customWidth="1"/>
    <col min="2306" max="2306" width="1" style="62" customWidth="1"/>
    <col min="2307" max="2307" width="2.33203125" style="62" customWidth="1"/>
    <col min="2308" max="2308" width="8.6640625" style="62" customWidth="1"/>
    <col min="2309" max="2309" width="27.5546875" style="62" customWidth="1"/>
    <col min="2310" max="2310" width="13.6640625" style="62" customWidth="1"/>
    <col min="2311" max="2311" width="9.21875" style="62" customWidth="1"/>
    <col min="2312" max="2312" width="4.6640625" style="62" customWidth="1"/>
    <col min="2313" max="2313" width="7.77734375" style="62" customWidth="1"/>
    <col min="2314" max="2314" width="13" style="62" customWidth="1"/>
    <col min="2315" max="2315" width="8.5546875" style="62" customWidth="1"/>
    <col min="2316" max="2316" width="1.21875" style="62" customWidth="1"/>
    <col min="2317" max="2317" width="2.109375" style="62" customWidth="1"/>
    <col min="2318" max="2318" width="9.88671875" style="62" bestFit="1" customWidth="1"/>
    <col min="2319" max="2320" width="21.44140625" style="62" bestFit="1" customWidth="1"/>
    <col min="2321" max="2560" width="8" style="62"/>
    <col min="2561" max="2561" width="5.44140625" style="62" customWidth="1"/>
    <col min="2562" max="2562" width="1" style="62" customWidth="1"/>
    <col min="2563" max="2563" width="2.33203125" style="62" customWidth="1"/>
    <col min="2564" max="2564" width="8.6640625" style="62" customWidth="1"/>
    <col min="2565" max="2565" width="27.5546875" style="62" customWidth="1"/>
    <col min="2566" max="2566" width="13.6640625" style="62" customWidth="1"/>
    <col min="2567" max="2567" width="9.21875" style="62" customWidth="1"/>
    <col min="2568" max="2568" width="4.6640625" style="62" customWidth="1"/>
    <col min="2569" max="2569" width="7.77734375" style="62" customWidth="1"/>
    <col min="2570" max="2570" width="13" style="62" customWidth="1"/>
    <col min="2571" max="2571" width="8.5546875" style="62" customWidth="1"/>
    <col min="2572" max="2572" width="1.21875" style="62" customWidth="1"/>
    <col min="2573" max="2573" width="2.109375" style="62" customWidth="1"/>
    <col min="2574" max="2574" width="9.88671875" style="62" bestFit="1" customWidth="1"/>
    <col min="2575" max="2576" width="21.44140625" style="62" bestFit="1" customWidth="1"/>
    <col min="2577" max="2816" width="8" style="62"/>
    <col min="2817" max="2817" width="5.44140625" style="62" customWidth="1"/>
    <col min="2818" max="2818" width="1" style="62" customWidth="1"/>
    <col min="2819" max="2819" width="2.33203125" style="62" customWidth="1"/>
    <col min="2820" max="2820" width="8.6640625" style="62" customWidth="1"/>
    <col min="2821" max="2821" width="27.5546875" style="62" customWidth="1"/>
    <col min="2822" max="2822" width="13.6640625" style="62" customWidth="1"/>
    <col min="2823" max="2823" width="9.21875" style="62" customWidth="1"/>
    <col min="2824" max="2824" width="4.6640625" style="62" customWidth="1"/>
    <col min="2825" max="2825" width="7.77734375" style="62" customWidth="1"/>
    <col min="2826" max="2826" width="13" style="62" customWidth="1"/>
    <col min="2827" max="2827" width="8.5546875" style="62" customWidth="1"/>
    <col min="2828" max="2828" width="1.21875" style="62" customWidth="1"/>
    <col min="2829" max="2829" width="2.109375" style="62" customWidth="1"/>
    <col min="2830" max="2830" width="9.88671875" style="62" bestFit="1" customWidth="1"/>
    <col min="2831" max="2832" width="21.44140625" style="62" bestFit="1" customWidth="1"/>
    <col min="2833" max="3072" width="8" style="62"/>
    <col min="3073" max="3073" width="5.44140625" style="62" customWidth="1"/>
    <col min="3074" max="3074" width="1" style="62" customWidth="1"/>
    <col min="3075" max="3075" width="2.33203125" style="62" customWidth="1"/>
    <col min="3076" max="3076" width="8.6640625" style="62" customWidth="1"/>
    <col min="3077" max="3077" width="27.5546875" style="62" customWidth="1"/>
    <col min="3078" max="3078" width="13.6640625" style="62" customWidth="1"/>
    <col min="3079" max="3079" width="9.21875" style="62" customWidth="1"/>
    <col min="3080" max="3080" width="4.6640625" style="62" customWidth="1"/>
    <col min="3081" max="3081" width="7.77734375" style="62" customWidth="1"/>
    <col min="3082" max="3082" width="13" style="62" customWidth="1"/>
    <col min="3083" max="3083" width="8.5546875" style="62" customWidth="1"/>
    <col min="3084" max="3084" width="1.21875" style="62" customWidth="1"/>
    <col min="3085" max="3085" width="2.109375" style="62" customWidth="1"/>
    <col min="3086" max="3086" width="9.88671875" style="62" bestFit="1" customWidth="1"/>
    <col min="3087" max="3088" width="21.44140625" style="62" bestFit="1" customWidth="1"/>
    <col min="3089" max="3328" width="8" style="62"/>
    <col min="3329" max="3329" width="5.44140625" style="62" customWidth="1"/>
    <col min="3330" max="3330" width="1" style="62" customWidth="1"/>
    <col min="3331" max="3331" width="2.33203125" style="62" customWidth="1"/>
    <col min="3332" max="3332" width="8.6640625" style="62" customWidth="1"/>
    <col min="3333" max="3333" width="27.5546875" style="62" customWidth="1"/>
    <col min="3334" max="3334" width="13.6640625" style="62" customWidth="1"/>
    <col min="3335" max="3335" width="9.21875" style="62" customWidth="1"/>
    <col min="3336" max="3336" width="4.6640625" style="62" customWidth="1"/>
    <col min="3337" max="3337" width="7.77734375" style="62" customWidth="1"/>
    <col min="3338" max="3338" width="13" style="62" customWidth="1"/>
    <col min="3339" max="3339" width="8.5546875" style="62" customWidth="1"/>
    <col min="3340" max="3340" width="1.21875" style="62" customWidth="1"/>
    <col min="3341" max="3341" width="2.109375" style="62" customWidth="1"/>
    <col min="3342" max="3342" width="9.88671875" style="62" bestFit="1" customWidth="1"/>
    <col min="3343" max="3344" width="21.44140625" style="62" bestFit="1" customWidth="1"/>
    <col min="3345" max="3584" width="8" style="62"/>
    <col min="3585" max="3585" width="5.44140625" style="62" customWidth="1"/>
    <col min="3586" max="3586" width="1" style="62" customWidth="1"/>
    <col min="3587" max="3587" width="2.33203125" style="62" customWidth="1"/>
    <col min="3588" max="3588" width="8.6640625" style="62" customWidth="1"/>
    <col min="3589" max="3589" width="27.5546875" style="62" customWidth="1"/>
    <col min="3590" max="3590" width="13.6640625" style="62" customWidth="1"/>
    <col min="3591" max="3591" width="9.21875" style="62" customWidth="1"/>
    <col min="3592" max="3592" width="4.6640625" style="62" customWidth="1"/>
    <col min="3593" max="3593" width="7.77734375" style="62" customWidth="1"/>
    <col min="3594" max="3594" width="13" style="62" customWidth="1"/>
    <col min="3595" max="3595" width="8.5546875" style="62" customWidth="1"/>
    <col min="3596" max="3596" width="1.21875" style="62" customWidth="1"/>
    <col min="3597" max="3597" width="2.109375" style="62" customWidth="1"/>
    <col min="3598" max="3598" width="9.88671875" style="62" bestFit="1" customWidth="1"/>
    <col min="3599" max="3600" width="21.44140625" style="62" bestFit="1" customWidth="1"/>
    <col min="3601" max="3840" width="8" style="62"/>
    <col min="3841" max="3841" width="5.44140625" style="62" customWidth="1"/>
    <col min="3842" max="3842" width="1" style="62" customWidth="1"/>
    <col min="3843" max="3843" width="2.33203125" style="62" customWidth="1"/>
    <col min="3844" max="3844" width="8.6640625" style="62" customWidth="1"/>
    <col min="3845" max="3845" width="27.5546875" style="62" customWidth="1"/>
    <col min="3846" max="3846" width="13.6640625" style="62" customWidth="1"/>
    <col min="3847" max="3847" width="9.21875" style="62" customWidth="1"/>
    <col min="3848" max="3848" width="4.6640625" style="62" customWidth="1"/>
    <col min="3849" max="3849" width="7.77734375" style="62" customWidth="1"/>
    <col min="3850" max="3850" width="13" style="62" customWidth="1"/>
    <col min="3851" max="3851" width="8.5546875" style="62" customWidth="1"/>
    <col min="3852" max="3852" width="1.21875" style="62" customWidth="1"/>
    <col min="3853" max="3853" width="2.109375" style="62" customWidth="1"/>
    <col min="3854" max="3854" width="9.88671875" style="62" bestFit="1" customWidth="1"/>
    <col min="3855" max="3856" width="21.44140625" style="62" bestFit="1" customWidth="1"/>
    <col min="3857" max="4096" width="8" style="62"/>
    <col min="4097" max="4097" width="5.44140625" style="62" customWidth="1"/>
    <col min="4098" max="4098" width="1" style="62" customWidth="1"/>
    <col min="4099" max="4099" width="2.33203125" style="62" customWidth="1"/>
    <col min="4100" max="4100" width="8.6640625" style="62" customWidth="1"/>
    <col min="4101" max="4101" width="27.5546875" style="62" customWidth="1"/>
    <col min="4102" max="4102" width="13.6640625" style="62" customWidth="1"/>
    <col min="4103" max="4103" width="9.21875" style="62" customWidth="1"/>
    <col min="4104" max="4104" width="4.6640625" style="62" customWidth="1"/>
    <col min="4105" max="4105" width="7.77734375" style="62" customWidth="1"/>
    <col min="4106" max="4106" width="13" style="62" customWidth="1"/>
    <col min="4107" max="4107" width="8.5546875" style="62" customWidth="1"/>
    <col min="4108" max="4108" width="1.21875" style="62" customWidth="1"/>
    <col min="4109" max="4109" width="2.109375" style="62" customWidth="1"/>
    <col min="4110" max="4110" width="9.88671875" style="62" bestFit="1" customWidth="1"/>
    <col min="4111" max="4112" width="21.44140625" style="62" bestFit="1" customWidth="1"/>
    <col min="4113" max="4352" width="8" style="62"/>
    <col min="4353" max="4353" width="5.44140625" style="62" customWidth="1"/>
    <col min="4354" max="4354" width="1" style="62" customWidth="1"/>
    <col min="4355" max="4355" width="2.33203125" style="62" customWidth="1"/>
    <col min="4356" max="4356" width="8.6640625" style="62" customWidth="1"/>
    <col min="4357" max="4357" width="27.5546875" style="62" customWidth="1"/>
    <col min="4358" max="4358" width="13.6640625" style="62" customWidth="1"/>
    <col min="4359" max="4359" width="9.21875" style="62" customWidth="1"/>
    <col min="4360" max="4360" width="4.6640625" style="62" customWidth="1"/>
    <col min="4361" max="4361" width="7.77734375" style="62" customWidth="1"/>
    <col min="4362" max="4362" width="13" style="62" customWidth="1"/>
    <col min="4363" max="4363" width="8.5546875" style="62" customWidth="1"/>
    <col min="4364" max="4364" width="1.21875" style="62" customWidth="1"/>
    <col min="4365" max="4365" width="2.109375" style="62" customWidth="1"/>
    <col min="4366" max="4366" width="9.88671875" style="62" bestFit="1" customWidth="1"/>
    <col min="4367" max="4368" width="21.44140625" style="62" bestFit="1" customWidth="1"/>
    <col min="4369" max="4608" width="8" style="62"/>
    <col min="4609" max="4609" width="5.44140625" style="62" customWidth="1"/>
    <col min="4610" max="4610" width="1" style="62" customWidth="1"/>
    <col min="4611" max="4611" width="2.33203125" style="62" customWidth="1"/>
    <col min="4612" max="4612" width="8.6640625" style="62" customWidth="1"/>
    <col min="4613" max="4613" width="27.5546875" style="62" customWidth="1"/>
    <col min="4614" max="4614" width="13.6640625" style="62" customWidth="1"/>
    <col min="4615" max="4615" width="9.21875" style="62" customWidth="1"/>
    <col min="4616" max="4616" width="4.6640625" style="62" customWidth="1"/>
    <col min="4617" max="4617" width="7.77734375" style="62" customWidth="1"/>
    <col min="4618" max="4618" width="13" style="62" customWidth="1"/>
    <col min="4619" max="4619" width="8.5546875" style="62" customWidth="1"/>
    <col min="4620" max="4620" width="1.21875" style="62" customWidth="1"/>
    <col min="4621" max="4621" width="2.109375" style="62" customWidth="1"/>
    <col min="4622" max="4622" width="9.88671875" style="62" bestFit="1" customWidth="1"/>
    <col min="4623" max="4624" width="21.44140625" style="62" bestFit="1" customWidth="1"/>
    <col min="4625" max="4864" width="8" style="62"/>
    <col min="4865" max="4865" width="5.44140625" style="62" customWidth="1"/>
    <col min="4866" max="4866" width="1" style="62" customWidth="1"/>
    <col min="4867" max="4867" width="2.33203125" style="62" customWidth="1"/>
    <col min="4868" max="4868" width="8.6640625" style="62" customWidth="1"/>
    <col min="4869" max="4869" width="27.5546875" style="62" customWidth="1"/>
    <col min="4870" max="4870" width="13.6640625" style="62" customWidth="1"/>
    <col min="4871" max="4871" width="9.21875" style="62" customWidth="1"/>
    <col min="4872" max="4872" width="4.6640625" style="62" customWidth="1"/>
    <col min="4873" max="4873" width="7.77734375" style="62" customWidth="1"/>
    <col min="4874" max="4874" width="13" style="62" customWidth="1"/>
    <col min="4875" max="4875" width="8.5546875" style="62" customWidth="1"/>
    <col min="4876" max="4876" width="1.21875" style="62" customWidth="1"/>
    <col min="4877" max="4877" width="2.109375" style="62" customWidth="1"/>
    <col min="4878" max="4878" width="9.88671875" style="62" bestFit="1" customWidth="1"/>
    <col min="4879" max="4880" width="21.44140625" style="62" bestFit="1" customWidth="1"/>
    <col min="4881" max="5120" width="8" style="62"/>
    <col min="5121" max="5121" width="5.44140625" style="62" customWidth="1"/>
    <col min="5122" max="5122" width="1" style="62" customWidth="1"/>
    <col min="5123" max="5123" width="2.33203125" style="62" customWidth="1"/>
    <col min="5124" max="5124" width="8.6640625" style="62" customWidth="1"/>
    <col min="5125" max="5125" width="27.5546875" style="62" customWidth="1"/>
    <col min="5126" max="5126" width="13.6640625" style="62" customWidth="1"/>
    <col min="5127" max="5127" width="9.21875" style="62" customWidth="1"/>
    <col min="5128" max="5128" width="4.6640625" style="62" customWidth="1"/>
    <col min="5129" max="5129" width="7.77734375" style="62" customWidth="1"/>
    <col min="5130" max="5130" width="13" style="62" customWidth="1"/>
    <col min="5131" max="5131" width="8.5546875" style="62" customWidth="1"/>
    <col min="5132" max="5132" width="1.21875" style="62" customWidth="1"/>
    <col min="5133" max="5133" width="2.109375" style="62" customWidth="1"/>
    <col min="5134" max="5134" width="9.88671875" style="62" bestFit="1" customWidth="1"/>
    <col min="5135" max="5136" width="21.44140625" style="62" bestFit="1" customWidth="1"/>
    <col min="5137" max="5376" width="8" style="62"/>
    <col min="5377" max="5377" width="5.44140625" style="62" customWidth="1"/>
    <col min="5378" max="5378" width="1" style="62" customWidth="1"/>
    <col min="5379" max="5379" width="2.33203125" style="62" customWidth="1"/>
    <col min="5380" max="5380" width="8.6640625" style="62" customWidth="1"/>
    <col min="5381" max="5381" width="27.5546875" style="62" customWidth="1"/>
    <col min="5382" max="5382" width="13.6640625" style="62" customWidth="1"/>
    <col min="5383" max="5383" width="9.21875" style="62" customWidth="1"/>
    <col min="5384" max="5384" width="4.6640625" style="62" customWidth="1"/>
    <col min="5385" max="5385" width="7.77734375" style="62" customWidth="1"/>
    <col min="5386" max="5386" width="13" style="62" customWidth="1"/>
    <col min="5387" max="5387" width="8.5546875" style="62" customWidth="1"/>
    <col min="5388" max="5388" width="1.21875" style="62" customWidth="1"/>
    <col min="5389" max="5389" width="2.109375" style="62" customWidth="1"/>
    <col min="5390" max="5390" width="9.88671875" style="62" bestFit="1" customWidth="1"/>
    <col min="5391" max="5392" width="21.44140625" style="62" bestFit="1" customWidth="1"/>
    <col min="5393" max="5632" width="8" style="62"/>
    <col min="5633" max="5633" width="5.44140625" style="62" customWidth="1"/>
    <col min="5634" max="5634" width="1" style="62" customWidth="1"/>
    <col min="5635" max="5635" width="2.33203125" style="62" customWidth="1"/>
    <col min="5636" max="5636" width="8.6640625" style="62" customWidth="1"/>
    <col min="5637" max="5637" width="27.5546875" style="62" customWidth="1"/>
    <col min="5638" max="5638" width="13.6640625" style="62" customWidth="1"/>
    <col min="5639" max="5639" width="9.21875" style="62" customWidth="1"/>
    <col min="5640" max="5640" width="4.6640625" style="62" customWidth="1"/>
    <col min="5641" max="5641" width="7.77734375" style="62" customWidth="1"/>
    <col min="5642" max="5642" width="13" style="62" customWidth="1"/>
    <col min="5643" max="5643" width="8.5546875" style="62" customWidth="1"/>
    <col min="5644" max="5644" width="1.21875" style="62" customWidth="1"/>
    <col min="5645" max="5645" width="2.109375" style="62" customWidth="1"/>
    <col min="5646" max="5646" width="9.88671875" style="62" bestFit="1" customWidth="1"/>
    <col min="5647" max="5648" width="21.44140625" style="62" bestFit="1" customWidth="1"/>
    <col min="5649" max="5888" width="8" style="62"/>
    <col min="5889" max="5889" width="5.44140625" style="62" customWidth="1"/>
    <col min="5890" max="5890" width="1" style="62" customWidth="1"/>
    <col min="5891" max="5891" width="2.33203125" style="62" customWidth="1"/>
    <col min="5892" max="5892" width="8.6640625" style="62" customWidth="1"/>
    <col min="5893" max="5893" width="27.5546875" style="62" customWidth="1"/>
    <col min="5894" max="5894" width="13.6640625" style="62" customWidth="1"/>
    <col min="5895" max="5895" width="9.21875" style="62" customWidth="1"/>
    <col min="5896" max="5896" width="4.6640625" style="62" customWidth="1"/>
    <col min="5897" max="5897" width="7.77734375" style="62" customWidth="1"/>
    <col min="5898" max="5898" width="13" style="62" customWidth="1"/>
    <col min="5899" max="5899" width="8.5546875" style="62" customWidth="1"/>
    <col min="5900" max="5900" width="1.21875" style="62" customWidth="1"/>
    <col min="5901" max="5901" width="2.109375" style="62" customWidth="1"/>
    <col min="5902" max="5902" width="9.88671875" style="62" bestFit="1" customWidth="1"/>
    <col min="5903" max="5904" width="21.44140625" style="62" bestFit="1" customWidth="1"/>
    <col min="5905" max="6144" width="8" style="62"/>
    <col min="6145" max="6145" width="5.44140625" style="62" customWidth="1"/>
    <col min="6146" max="6146" width="1" style="62" customWidth="1"/>
    <col min="6147" max="6147" width="2.33203125" style="62" customWidth="1"/>
    <col min="6148" max="6148" width="8.6640625" style="62" customWidth="1"/>
    <col min="6149" max="6149" width="27.5546875" style="62" customWidth="1"/>
    <col min="6150" max="6150" width="13.6640625" style="62" customWidth="1"/>
    <col min="6151" max="6151" width="9.21875" style="62" customWidth="1"/>
    <col min="6152" max="6152" width="4.6640625" style="62" customWidth="1"/>
    <col min="6153" max="6153" width="7.77734375" style="62" customWidth="1"/>
    <col min="6154" max="6154" width="13" style="62" customWidth="1"/>
    <col min="6155" max="6155" width="8.5546875" style="62" customWidth="1"/>
    <col min="6156" max="6156" width="1.21875" style="62" customWidth="1"/>
    <col min="6157" max="6157" width="2.109375" style="62" customWidth="1"/>
    <col min="6158" max="6158" width="9.88671875" style="62" bestFit="1" customWidth="1"/>
    <col min="6159" max="6160" width="21.44140625" style="62" bestFit="1" customWidth="1"/>
    <col min="6161" max="6400" width="8" style="62"/>
    <col min="6401" max="6401" width="5.44140625" style="62" customWidth="1"/>
    <col min="6402" max="6402" width="1" style="62" customWidth="1"/>
    <col min="6403" max="6403" width="2.33203125" style="62" customWidth="1"/>
    <col min="6404" max="6404" width="8.6640625" style="62" customWidth="1"/>
    <col min="6405" max="6405" width="27.5546875" style="62" customWidth="1"/>
    <col min="6406" max="6406" width="13.6640625" style="62" customWidth="1"/>
    <col min="6407" max="6407" width="9.21875" style="62" customWidth="1"/>
    <col min="6408" max="6408" width="4.6640625" style="62" customWidth="1"/>
    <col min="6409" max="6409" width="7.77734375" style="62" customWidth="1"/>
    <col min="6410" max="6410" width="13" style="62" customWidth="1"/>
    <col min="6411" max="6411" width="8.5546875" style="62" customWidth="1"/>
    <col min="6412" max="6412" width="1.21875" style="62" customWidth="1"/>
    <col min="6413" max="6413" width="2.109375" style="62" customWidth="1"/>
    <col min="6414" max="6414" width="9.88671875" style="62" bestFit="1" customWidth="1"/>
    <col min="6415" max="6416" width="21.44140625" style="62" bestFit="1" customWidth="1"/>
    <col min="6417" max="6656" width="8" style="62"/>
    <col min="6657" max="6657" width="5.44140625" style="62" customWidth="1"/>
    <col min="6658" max="6658" width="1" style="62" customWidth="1"/>
    <col min="6659" max="6659" width="2.33203125" style="62" customWidth="1"/>
    <col min="6660" max="6660" width="8.6640625" style="62" customWidth="1"/>
    <col min="6661" max="6661" width="27.5546875" style="62" customWidth="1"/>
    <col min="6662" max="6662" width="13.6640625" style="62" customWidth="1"/>
    <col min="6663" max="6663" width="9.21875" style="62" customWidth="1"/>
    <col min="6664" max="6664" width="4.6640625" style="62" customWidth="1"/>
    <col min="6665" max="6665" width="7.77734375" style="62" customWidth="1"/>
    <col min="6666" max="6666" width="13" style="62" customWidth="1"/>
    <col min="6667" max="6667" width="8.5546875" style="62" customWidth="1"/>
    <col min="6668" max="6668" width="1.21875" style="62" customWidth="1"/>
    <col min="6669" max="6669" width="2.109375" style="62" customWidth="1"/>
    <col min="6670" max="6670" width="9.88671875" style="62" bestFit="1" customWidth="1"/>
    <col min="6671" max="6672" width="21.44140625" style="62" bestFit="1" customWidth="1"/>
    <col min="6673" max="6912" width="8" style="62"/>
    <col min="6913" max="6913" width="5.44140625" style="62" customWidth="1"/>
    <col min="6914" max="6914" width="1" style="62" customWidth="1"/>
    <col min="6915" max="6915" width="2.33203125" style="62" customWidth="1"/>
    <col min="6916" max="6916" width="8.6640625" style="62" customWidth="1"/>
    <col min="6917" max="6917" width="27.5546875" style="62" customWidth="1"/>
    <col min="6918" max="6918" width="13.6640625" style="62" customWidth="1"/>
    <col min="6919" max="6919" width="9.21875" style="62" customWidth="1"/>
    <col min="6920" max="6920" width="4.6640625" style="62" customWidth="1"/>
    <col min="6921" max="6921" width="7.77734375" style="62" customWidth="1"/>
    <col min="6922" max="6922" width="13" style="62" customWidth="1"/>
    <col min="6923" max="6923" width="8.5546875" style="62" customWidth="1"/>
    <col min="6924" max="6924" width="1.21875" style="62" customWidth="1"/>
    <col min="6925" max="6925" width="2.109375" style="62" customWidth="1"/>
    <col min="6926" max="6926" width="9.88671875" style="62" bestFit="1" customWidth="1"/>
    <col min="6927" max="6928" width="21.44140625" style="62" bestFit="1" customWidth="1"/>
    <col min="6929" max="7168" width="8" style="62"/>
    <col min="7169" max="7169" width="5.44140625" style="62" customWidth="1"/>
    <col min="7170" max="7170" width="1" style="62" customWidth="1"/>
    <col min="7171" max="7171" width="2.33203125" style="62" customWidth="1"/>
    <col min="7172" max="7172" width="8.6640625" style="62" customWidth="1"/>
    <col min="7173" max="7173" width="27.5546875" style="62" customWidth="1"/>
    <col min="7174" max="7174" width="13.6640625" style="62" customWidth="1"/>
    <col min="7175" max="7175" width="9.21875" style="62" customWidth="1"/>
    <col min="7176" max="7176" width="4.6640625" style="62" customWidth="1"/>
    <col min="7177" max="7177" width="7.77734375" style="62" customWidth="1"/>
    <col min="7178" max="7178" width="13" style="62" customWidth="1"/>
    <col min="7179" max="7179" width="8.5546875" style="62" customWidth="1"/>
    <col min="7180" max="7180" width="1.21875" style="62" customWidth="1"/>
    <col min="7181" max="7181" width="2.109375" style="62" customWidth="1"/>
    <col min="7182" max="7182" width="9.88671875" style="62" bestFit="1" customWidth="1"/>
    <col min="7183" max="7184" width="21.44140625" style="62" bestFit="1" customWidth="1"/>
    <col min="7185" max="7424" width="8" style="62"/>
    <col min="7425" max="7425" width="5.44140625" style="62" customWidth="1"/>
    <col min="7426" max="7426" width="1" style="62" customWidth="1"/>
    <col min="7427" max="7427" width="2.33203125" style="62" customWidth="1"/>
    <col min="7428" max="7428" width="8.6640625" style="62" customWidth="1"/>
    <col min="7429" max="7429" width="27.5546875" style="62" customWidth="1"/>
    <col min="7430" max="7430" width="13.6640625" style="62" customWidth="1"/>
    <col min="7431" max="7431" width="9.21875" style="62" customWidth="1"/>
    <col min="7432" max="7432" width="4.6640625" style="62" customWidth="1"/>
    <col min="7433" max="7433" width="7.77734375" style="62" customWidth="1"/>
    <col min="7434" max="7434" width="13" style="62" customWidth="1"/>
    <col min="7435" max="7435" width="8.5546875" style="62" customWidth="1"/>
    <col min="7436" max="7436" width="1.21875" style="62" customWidth="1"/>
    <col min="7437" max="7437" width="2.109375" style="62" customWidth="1"/>
    <col min="7438" max="7438" width="9.88671875" style="62" bestFit="1" customWidth="1"/>
    <col min="7439" max="7440" width="21.44140625" style="62" bestFit="1" customWidth="1"/>
    <col min="7441" max="7680" width="8" style="62"/>
    <col min="7681" max="7681" width="5.44140625" style="62" customWidth="1"/>
    <col min="7682" max="7682" width="1" style="62" customWidth="1"/>
    <col min="7683" max="7683" width="2.33203125" style="62" customWidth="1"/>
    <col min="7684" max="7684" width="8.6640625" style="62" customWidth="1"/>
    <col min="7685" max="7685" width="27.5546875" style="62" customWidth="1"/>
    <col min="7686" max="7686" width="13.6640625" style="62" customWidth="1"/>
    <col min="7687" max="7687" width="9.21875" style="62" customWidth="1"/>
    <col min="7688" max="7688" width="4.6640625" style="62" customWidth="1"/>
    <col min="7689" max="7689" width="7.77734375" style="62" customWidth="1"/>
    <col min="7690" max="7690" width="13" style="62" customWidth="1"/>
    <col min="7691" max="7691" width="8.5546875" style="62" customWidth="1"/>
    <col min="7692" max="7692" width="1.21875" style="62" customWidth="1"/>
    <col min="7693" max="7693" width="2.109375" style="62" customWidth="1"/>
    <col min="7694" max="7694" width="9.88671875" style="62" bestFit="1" customWidth="1"/>
    <col min="7695" max="7696" width="21.44140625" style="62" bestFit="1" customWidth="1"/>
    <col min="7697" max="7936" width="8" style="62"/>
    <col min="7937" max="7937" width="5.44140625" style="62" customWidth="1"/>
    <col min="7938" max="7938" width="1" style="62" customWidth="1"/>
    <col min="7939" max="7939" width="2.33203125" style="62" customWidth="1"/>
    <col min="7940" max="7940" width="8.6640625" style="62" customWidth="1"/>
    <col min="7941" max="7941" width="27.5546875" style="62" customWidth="1"/>
    <col min="7942" max="7942" width="13.6640625" style="62" customWidth="1"/>
    <col min="7943" max="7943" width="9.21875" style="62" customWidth="1"/>
    <col min="7944" max="7944" width="4.6640625" style="62" customWidth="1"/>
    <col min="7945" max="7945" width="7.77734375" style="62" customWidth="1"/>
    <col min="7946" max="7946" width="13" style="62" customWidth="1"/>
    <col min="7947" max="7947" width="8.5546875" style="62" customWidth="1"/>
    <col min="7948" max="7948" width="1.21875" style="62" customWidth="1"/>
    <col min="7949" max="7949" width="2.109375" style="62" customWidth="1"/>
    <col min="7950" max="7950" width="9.88671875" style="62" bestFit="1" customWidth="1"/>
    <col min="7951" max="7952" width="21.44140625" style="62" bestFit="1" customWidth="1"/>
    <col min="7953" max="8192" width="8" style="62"/>
    <col min="8193" max="8193" width="5.44140625" style="62" customWidth="1"/>
    <col min="8194" max="8194" width="1" style="62" customWidth="1"/>
    <col min="8195" max="8195" width="2.33203125" style="62" customWidth="1"/>
    <col min="8196" max="8196" width="8.6640625" style="62" customWidth="1"/>
    <col min="8197" max="8197" width="27.5546875" style="62" customWidth="1"/>
    <col min="8198" max="8198" width="13.6640625" style="62" customWidth="1"/>
    <col min="8199" max="8199" width="9.21875" style="62" customWidth="1"/>
    <col min="8200" max="8200" width="4.6640625" style="62" customWidth="1"/>
    <col min="8201" max="8201" width="7.77734375" style="62" customWidth="1"/>
    <col min="8202" max="8202" width="13" style="62" customWidth="1"/>
    <col min="8203" max="8203" width="8.5546875" style="62" customWidth="1"/>
    <col min="8204" max="8204" width="1.21875" style="62" customWidth="1"/>
    <col min="8205" max="8205" width="2.109375" style="62" customWidth="1"/>
    <col min="8206" max="8206" width="9.88671875" style="62" bestFit="1" customWidth="1"/>
    <col min="8207" max="8208" width="21.44140625" style="62" bestFit="1" customWidth="1"/>
    <col min="8209" max="8448" width="8" style="62"/>
    <col min="8449" max="8449" width="5.44140625" style="62" customWidth="1"/>
    <col min="8450" max="8450" width="1" style="62" customWidth="1"/>
    <col min="8451" max="8451" width="2.33203125" style="62" customWidth="1"/>
    <col min="8452" max="8452" width="8.6640625" style="62" customWidth="1"/>
    <col min="8453" max="8453" width="27.5546875" style="62" customWidth="1"/>
    <col min="8454" max="8454" width="13.6640625" style="62" customWidth="1"/>
    <col min="8455" max="8455" width="9.21875" style="62" customWidth="1"/>
    <col min="8456" max="8456" width="4.6640625" style="62" customWidth="1"/>
    <col min="8457" max="8457" width="7.77734375" style="62" customWidth="1"/>
    <col min="8458" max="8458" width="13" style="62" customWidth="1"/>
    <col min="8459" max="8459" width="8.5546875" style="62" customWidth="1"/>
    <col min="8460" max="8460" width="1.21875" style="62" customWidth="1"/>
    <col min="8461" max="8461" width="2.109375" style="62" customWidth="1"/>
    <col min="8462" max="8462" width="9.88671875" style="62" bestFit="1" customWidth="1"/>
    <col min="8463" max="8464" width="21.44140625" style="62" bestFit="1" customWidth="1"/>
    <col min="8465" max="8704" width="8" style="62"/>
    <col min="8705" max="8705" width="5.44140625" style="62" customWidth="1"/>
    <col min="8706" max="8706" width="1" style="62" customWidth="1"/>
    <col min="8707" max="8707" width="2.33203125" style="62" customWidth="1"/>
    <col min="8708" max="8708" width="8.6640625" style="62" customWidth="1"/>
    <col min="8709" max="8709" width="27.5546875" style="62" customWidth="1"/>
    <col min="8710" max="8710" width="13.6640625" style="62" customWidth="1"/>
    <col min="8711" max="8711" width="9.21875" style="62" customWidth="1"/>
    <col min="8712" max="8712" width="4.6640625" style="62" customWidth="1"/>
    <col min="8713" max="8713" width="7.77734375" style="62" customWidth="1"/>
    <col min="8714" max="8714" width="13" style="62" customWidth="1"/>
    <col min="8715" max="8715" width="8.5546875" style="62" customWidth="1"/>
    <col min="8716" max="8716" width="1.21875" style="62" customWidth="1"/>
    <col min="8717" max="8717" width="2.109375" style="62" customWidth="1"/>
    <col min="8718" max="8718" width="9.88671875" style="62" bestFit="1" customWidth="1"/>
    <col min="8719" max="8720" width="21.44140625" style="62" bestFit="1" customWidth="1"/>
    <col min="8721" max="8960" width="8" style="62"/>
    <col min="8961" max="8961" width="5.44140625" style="62" customWidth="1"/>
    <col min="8962" max="8962" width="1" style="62" customWidth="1"/>
    <col min="8963" max="8963" width="2.33203125" style="62" customWidth="1"/>
    <col min="8964" max="8964" width="8.6640625" style="62" customWidth="1"/>
    <col min="8965" max="8965" width="27.5546875" style="62" customWidth="1"/>
    <col min="8966" max="8966" width="13.6640625" style="62" customWidth="1"/>
    <col min="8967" max="8967" width="9.21875" style="62" customWidth="1"/>
    <col min="8968" max="8968" width="4.6640625" style="62" customWidth="1"/>
    <col min="8969" max="8969" width="7.77734375" style="62" customWidth="1"/>
    <col min="8970" max="8970" width="13" style="62" customWidth="1"/>
    <col min="8971" max="8971" width="8.5546875" style="62" customWidth="1"/>
    <col min="8972" max="8972" width="1.21875" style="62" customWidth="1"/>
    <col min="8973" max="8973" width="2.109375" style="62" customWidth="1"/>
    <col min="8974" max="8974" width="9.88671875" style="62" bestFit="1" customWidth="1"/>
    <col min="8975" max="8976" width="21.44140625" style="62" bestFit="1" customWidth="1"/>
    <col min="8977" max="9216" width="8" style="62"/>
    <col min="9217" max="9217" width="5.44140625" style="62" customWidth="1"/>
    <col min="9218" max="9218" width="1" style="62" customWidth="1"/>
    <col min="9219" max="9219" width="2.33203125" style="62" customWidth="1"/>
    <col min="9220" max="9220" width="8.6640625" style="62" customWidth="1"/>
    <col min="9221" max="9221" width="27.5546875" style="62" customWidth="1"/>
    <col min="9222" max="9222" width="13.6640625" style="62" customWidth="1"/>
    <col min="9223" max="9223" width="9.21875" style="62" customWidth="1"/>
    <col min="9224" max="9224" width="4.6640625" style="62" customWidth="1"/>
    <col min="9225" max="9225" width="7.77734375" style="62" customWidth="1"/>
    <col min="9226" max="9226" width="13" style="62" customWidth="1"/>
    <col min="9227" max="9227" width="8.5546875" style="62" customWidth="1"/>
    <col min="9228" max="9228" width="1.21875" style="62" customWidth="1"/>
    <col min="9229" max="9229" width="2.109375" style="62" customWidth="1"/>
    <col min="9230" max="9230" width="9.88671875" style="62" bestFit="1" customWidth="1"/>
    <col min="9231" max="9232" width="21.44140625" style="62" bestFit="1" customWidth="1"/>
    <col min="9233" max="9472" width="8" style="62"/>
    <col min="9473" max="9473" width="5.44140625" style="62" customWidth="1"/>
    <col min="9474" max="9474" width="1" style="62" customWidth="1"/>
    <col min="9475" max="9475" width="2.33203125" style="62" customWidth="1"/>
    <col min="9476" max="9476" width="8.6640625" style="62" customWidth="1"/>
    <col min="9477" max="9477" width="27.5546875" style="62" customWidth="1"/>
    <col min="9478" max="9478" width="13.6640625" style="62" customWidth="1"/>
    <col min="9479" max="9479" width="9.21875" style="62" customWidth="1"/>
    <col min="9480" max="9480" width="4.6640625" style="62" customWidth="1"/>
    <col min="9481" max="9481" width="7.77734375" style="62" customWidth="1"/>
    <col min="9482" max="9482" width="13" style="62" customWidth="1"/>
    <col min="9483" max="9483" width="8.5546875" style="62" customWidth="1"/>
    <col min="9484" max="9484" width="1.21875" style="62" customWidth="1"/>
    <col min="9485" max="9485" width="2.109375" style="62" customWidth="1"/>
    <col min="9486" max="9486" width="9.88671875" style="62" bestFit="1" customWidth="1"/>
    <col min="9487" max="9488" width="21.44140625" style="62" bestFit="1" customWidth="1"/>
    <col min="9489" max="9728" width="8" style="62"/>
    <col min="9729" max="9729" width="5.44140625" style="62" customWidth="1"/>
    <col min="9730" max="9730" width="1" style="62" customWidth="1"/>
    <col min="9731" max="9731" width="2.33203125" style="62" customWidth="1"/>
    <col min="9732" max="9732" width="8.6640625" style="62" customWidth="1"/>
    <col min="9733" max="9733" width="27.5546875" style="62" customWidth="1"/>
    <col min="9734" max="9734" width="13.6640625" style="62" customWidth="1"/>
    <col min="9735" max="9735" width="9.21875" style="62" customWidth="1"/>
    <col min="9736" max="9736" width="4.6640625" style="62" customWidth="1"/>
    <col min="9737" max="9737" width="7.77734375" style="62" customWidth="1"/>
    <col min="9738" max="9738" width="13" style="62" customWidth="1"/>
    <col min="9739" max="9739" width="8.5546875" style="62" customWidth="1"/>
    <col min="9740" max="9740" width="1.21875" style="62" customWidth="1"/>
    <col min="9741" max="9741" width="2.109375" style="62" customWidth="1"/>
    <col min="9742" max="9742" width="9.88671875" style="62" bestFit="1" customWidth="1"/>
    <col min="9743" max="9744" width="21.44140625" style="62" bestFit="1" customWidth="1"/>
    <col min="9745" max="9984" width="8" style="62"/>
    <col min="9985" max="9985" width="5.44140625" style="62" customWidth="1"/>
    <col min="9986" max="9986" width="1" style="62" customWidth="1"/>
    <col min="9987" max="9987" width="2.33203125" style="62" customWidth="1"/>
    <col min="9988" max="9988" width="8.6640625" style="62" customWidth="1"/>
    <col min="9989" max="9989" width="27.5546875" style="62" customWidth="1"/>
    <col min="9990" max="9990" width="13.6640625" style="62" customWidth="1"/>
    <col min="9991" max="9991" width="9.21875" style="62" customWidth="1"/>
    <col min="9992" max="9992" width="4.6640625" style="62" customWidth="1"/>
    <col min="9993" max="9993" width="7.77734375" style="62" customWidth="1"/>
    <col min="9994" max="9994" width="13" style="62" customWidth="1"/>
    <col min="9995" max="9995" width="8.5546875" style="62" customWidth="1"/>
    <col min="9996" max="9996" width="1.21875" style="62" customWidth="1"/>
    <col min="9997" max="9997" width="2.109375" style="62" customWidth="1"/>
    <col min="9998" max="9998" width="9.88671875" style="62" bestFit="1" customWidth="1"/>
    <col min="9999" max="10000" width="21.44140625" style="62" bestFit="1" customWidth="1"/>
    <col min="10001" max="10240" width="8" style="62"/>
    <col min="10241" max="10241" width="5.44140625" style="62" customWidth="1"/>
    <col min="10242" max="10242" width="1" style="62" customWidth="1"/>
    <col min="10243" max="10243" width="2.33203125" style="62" customWidth="1"/>
    <col min="10244" max="10244" width="8.6640625" style="62" customWidth="1"/>
    <col min="10245" max="10245" width="27.5546875" style="62" customWidth="1"/>
    <col min="10246" max="10246" width="13.6640625" style="62" customWidth="1"/>
    <col min="10247" max="10247" width="9.21875" style="62" customWidth="1"/>
    <col min="10248" max="10248" width="4.6640625" style="62" customWidth="1"/>
    <col min="10249" max="10249" width="7.77734375" style="62" customWidth="1"/>
    <col min="10250" max="10250" width="13" style="62" customWidth="1"/>
    <col min="10251" max="10251" width="8.5546875" style="62" customWidth="1"/>
    <col min="10252" max="10252" width="1.21875" style="62" customWidth="1"/>
    <col min="10253" max="10253" width="2.109375" style="62" customWidth="1"/>
    <col min="10254" max="10254" width="9.88671875" style="62" bestFit="1" customWidth="1"/>
    <col min="10255" max="10256" width="21.44140625" style="62" bestFit="1" customWidth="1"/>
    <col min="10257" max="10496" width="8" style="62"/>
    <col min="10497" max="10497" width="5.44140625" style="62" customWidth="1"/>
    <col min="10498" max="10498" width="1" style="62" customWidth="1"/>
    <col min="10499" max="10499" width="2.33203125" style="62" customWidth="1"/>
    <col min="10500" max="10500" width="8.6640625" style="62" customWidth="1"/>
    <col min="10501" max="10501" width="27.5546875" style="62" customWidth="1"/>
    <col min="10502" max="10502" width="13.6640625" style="62" customWidth="1"/>
    <col min="10503" max="10503" width="9.21875" style="62" customWidth="1"/>
    <col min="10504" max="10504" width="4.6640625" style="62" customWidth="1"/>
    <col min="10505" max="10505" width="7.77734375" style="62" customWidth="1"/>
    <col min="10506" max="10506" width="13" style="62" customWidth="1"/>
    <col min="10507" max="10507" width="8.5546875" style="62" customWidth="1"/>
    <col min="10508" max="10508" width="1.21875" style="62" customWidth="1"/>
    <col min="10509" max="10509" width="2.109375" style="62" customWidth="1"/>
    <col min="10510" max="10510" width="9.88671875" style="62" bestFit="1" customWidth="1"/>
    <col min="10511" max="10512" width="21.44140625" style="62" bestFit="1" customWidth="1"/>
    <col min="10513" max="10752" width="8" style="62"/>
    <col min="10753" max="10753" width="5.44140625" style="62" customWidth="1"/>
    <col min="10754" max="10754" width="1" style="62" customWidth="1"/>
    <col min="10755" max="10755" width="2.33203125" style="62" customWidth="1"/>
    <col min="10756" max="10756" width="8.6640625" style="62" customWidth="1"/>
    <col min="10757" max="10757" width="27.5546875" style="62" customWidth="1"/>
    <col min="10758" max="10758" width="13.6640625" style="62" customWidth="1"/>
    <col min="10759" max="10759" width="9.21875" style="62" customWidth="1"/>
    <col min="10760" max="10760" width="4.6640625" style="62" customWidth="1"/>
    <col min="10761" max="10761" width="7.77734375" style="62" customWidth="1"/>
    <col min="10762" max="10762" width="13" style="62" customWidth="1"/>
    <col min="10763" max="10763" width="8.5546875" style="62" customWidth="1"/>
    <col min="10764" max="10764" width="1.21875" style="62" customWidth="1"/>
    <col min="10765" max="10765" width="2.109375" style="62" customWidth="1"/>
    <col min="10766" max="10766" width="9.88671875" style="62" bestFit="1" customWidth="1"/>
    <col min="10767" max="10768" width="21.44140625" style="62" bestFit="1" customWidth="1"/>
    <col min="10769" max="11008" width="8" style="62"/>
    <col min="11009" max="11009" width="5.44140625" style="62" customWidth="1"/>
    <col min="11010" max="11010" width="1" style="62" customWidth="1"/>
    <col min="11011" max="11011" width="2.33203125" style="62" customWidth="1"/>
    <col min="11012" max="11012" width="8.6640625" style="62" customWidth="1"/>
    <col min="11013" max="11013" width="27.5546875" style="62" customWidth="1"/>
    <col min="11014" max="11014" width="13.6640625" style="62" customWidth="1"/>
    <col min="11015" max="11015" width="9.21875" style="62" customWidth="1"/>
    <col min="11016" max="11016" width="4.6640625" style="62" customWidth="1"/>
    <col min="11017" max="11017" width="7.77734375" style="62" customWidth="1"/>
    <col min="11018" max="11018" width="13" style="62" customWidth="1"/>
    <col min="11019" max="11019" width="8.5546875" style="62" customWidth="1"/>
    <col min="11020" max="11020" width="1.21875" style="62" customWidth="1"/>
    <col min="11021" max="11021" width="2.109375" style="62" customWidth="1"/>
    <col min="11022" max="11022" width="9.88671875" style="62" bestFit="1" customWidth="1"/>
    <col min="11023" max="11024" width="21.44140625" style="62" bestFit="1" customWidth="1"/>
    <col min="11025" max="11264" width="8" style="62"/>
    <col min="11265" max="11265" width="5.44140625" style="62" customWidth="1"/>
    <col min="11266" max="11266" width="1" style="62" customWidth="1"/>
    <col min="11267" max="11267" width="2.33203125" style="62" customWidth="1"/>
    <col min="11268" max="11268" width="8.6640625" style="62" customWidth="1"/>
    <col min="11269" max="11269" width="27.5546875" style="62" customWidth="1"/>
    <col min="11270" max="11270" width="13.6640625" style="62" customWidth="1"/>
    <col min="11271" max="11271" width="9.21875" style="62" customWidth="1"/>
    <col min="11272" max="11272" width="4.6640625" style="62" customWidth="1"/>
    <col min="11273" max="11273" width="7.77734375" style="62" customWidth="1"/>
    <col min="11274" max="11274" width="13" style="62" customWidth="1"/>
    <col min="11275" max="11275" width="8.5546875" style="62" customWidth="1"/>
    <col min="11276" max="11276" width="1.21875" style="62" customWidth="1"/>
    <col min="11277" max="11277" width="2.109375" style="62" customWidth="1"/>
    <col min="11278" max="11278" width="9.88671875" style="62" bestFit="1" customWidth="1"/>
    <col min="11279" max="11280" width="21.44140625" style="62" bestFit="1" customWidth="1"/>
    <col min="11281" max="11520" width="8" style="62"/>
    <col min="11521" max="11521" width="5.44140625" style="62" customWidth="1"/>
    <col min="11522" max="11522" width="1" style="62" customWidth="1"/>
    <col min="11523" max="11523" width="2.33203125" style="62" customWidth="1"/>
    <col min="11524" max="11524" width="8.6640625" style="62" customWidth="1"/>
    <col min="11525" max="11525" width="27.5546875" style="62" customWidth="1"/>
    <col min="11526" max="11526" width="13.6640625" style="62" customWidth="1"/>
    <col min="11527" max="11527" width="9.21875" style="62" customWidth="1"/>
    <col min="11528" max="11528" width="4.6640625" style="62" customWidth="1"/>
    <col min="11529" max="11529" width="7.77734375" style="62" customWidth="1"/>
    <col min="11530" max="11530" width="13" style="62" customWidth="1"/>
    <col min="11531" max="11531" width="8.5546875" style="62" customWidth="1"/>
    <col min="11532" max="11532" width="1.21875" style="62" customWidth="1"/>
    <col min="11533" max="11533" width="2.109375" style="62" customWidth="1"/>
    <col min="11534" max="11534" width="9.88671875" style="62" bestFit="1" customWidth="1"/>
    <col min="11535" max="11536" width="21.44140625" style="62" bestFit="1" customWidth="1"/>
    <col min="11537" max="11776" width="8" style="62"/>
    <col min="11777" max="11777" width="5.44140625" style="62" customWidth="1"/>
    <col min="11778" max="11778" width="1" style="62" customWidth="1"/>
    <col min="11779" max="11779" width="2.33203125" style="62" customWidth="1"/>
    <col min="11780" max="11780" width="8.6640625" style="62" customWidth="1"/>
    <col min="11781" max="11781" width="27.5546875" style="62" customWidth="1"/>
    <col min="11782" max="11782" width="13.6640625" style="62" customWidth="1"/>
    <col min="11783" max="11783" width="9.21875" style="62" customWidth="1"/>
    <col min="11784" max="11784" width="4.6640625" style="62" customWidth="1"/>
    <col min="11785" max="11785" width="7.77734375" style="62" customWidth="1"/>
    <col min="11786" max="11786" width="13" style="62" customWidth="1"/>
    <col min="11787" max="11787" width="8.5546875" style="62" customWidth="1"/>
    <col min="11788" max="11788" width="1.21875" style="62" customWidth="1"/>
    <col min="11789" max="11789" width="2.109375" style="62" customWidth="1"/>
    <col min="11790" max="11790" width="9.88671875" style="62" bestFit="1" customWidth="1"/>
    <col min="11791" max="11792" width="21.44140625" style="62" bestFit="1" customWidth="1"/>
    <col min="11793" max="12032" width="8" style="62"/>
    <col min="12033" max="12033" width="5.44140625" style="62" customWidth="1"/>
    <col min="12034" max="12034" width="1" style="62" customWidth="1"/>
    <col min="12035" max="12035" width="2.33203125" style="62" customWidth="1"/>
    <col min="12036" max="12036" width="8.6640625" style="62" customWidth="1"/>
    <col min="12037" max="12037" width="27.5546875" style="62" customWidth="1"/>
    <col min="12038" max="12038" width="13.6640625" style="62" customWidth="1"/>
    <col min="12039" max="12039" width="9.21875" style="62" customWidth="1"/>
    <col min="12040" max="12040" width="4.6640625" style="62" customWidth="1"/>
    <col min="12041" max="12041" width="7.77734375" style="62" customWidth="1"/>
    <col min="12042" max="12042" width="13" style="62" customWidth="1"/>
    <col min="12043" max="12043" width="8.5546875" style="62" customWidth="1"/>
    <col min="12044" max="12044" width="1.21875" style="62" customWidth="1"/>
    <col min="12045" max="12045" width="2.109375" style="62" customWidth="1"/>
    <col min="12046" max="12046" width="9.88671875" style="62" bestFit="1" customWidth="1"/>
    <col min="12047" max="12048" width="21.44140625" style="62" bestFit="1" customWidth="1"/>
    <col min="12049" max="12288" width="8" style="62"/>
    <col min="12289" max="12289" width="5.44140625" style="62" customWidth="1"/>
    <col min="12290" max="12290" width="1" style="62" customWidth="1"/>
    <col min="12291" max="12291" width="2.33203125" style="62" customWidth="1"/>
    <col min="12292" max="12292" width="8.6640625" style="62" customWidth="1"/>
    <col min="12293" max="12293" width="27.5546875" style="62" customWidth="1"/>
    <col min="12294" max="12294" width="13.6640625" style="62" customWidth="1"/>
    <col min="12295" max="12295" width="9.21875" style="62" customWidth="1"/>
    <col min="12296" max="12296" width="4.6640625" style="62" customWidth="1"/>
    <col min="12297" max="12297" width="7.77734375" style="62" customWidth="1"/>
    <col min="12298" max="12298" width="13" style="62" customWidth="1"/>
    <col min="12299" max="12299" width="8.5546875" style="62" customWidth="1"/>
    <col min="12300" max="12300" width="1.21875" style="62" customWidth="1"/>
    <col min="12301" max="12301" width="2.109375" style="62" customWidth="1"/>
    <col min="12302" max="12302" width="9.88671875" style="62" bestFit="1" customWidth="1"/>
    <col min="12303" max="12304" width="21.44140625" style="62" bestFit="1" customWidth="1"/>
    <col min="12305" max="12544" width="8" style="62"/>
    <col min="12545" max="12545" width="5.44140625" style="62" customWidth="1"/>
    <col min="12546" max="12546" width="1" style="62" customWidth="1"/>
    <col min="12547" max="12547" width="2.33203125" style="62" customWidth="1"/>
    <col min="12548" max="12548" width="8.6640625" style="62" customWidth="1"/>
    <col min="12549" max="12549" width="27.5546875" style="62" customWidth="1"/>
    <col min="12550" max="12550" width="13.6640625" style="62" customWidth="1"/>
    <col min="12551" max="12551" width="9.21875" style="62" customWidth="1"/>
    <col min="12552" max="12552" width="4.6640625" style="62" customWidth="1"/>
    <col min="12553" max="12553" width="7.77734375" style="62" customWidth="1"/>
    <col min="12554" max="12554" width="13" style="62" customWidth="1"/>
    <col min="12555" max="12555" width="8.5546875" style="62" customWidth="1"/>
    <col min="12556" max="12556" width="1.21875" style="62" customWidth="1"/>
    <col min="12557" max="12557" width="2.109375" style="62" customWidth="1"/>
    <col min="12558" max="12558" width="9.88671875" style="62" bestFit="1" customWidth="1"/>
    <col min="12559" max="12560" width="21.44140625" style="62" bestFit="1" customWidth="1"/>
    <col min="12561" max="12800" width="8" style="62"/>
    <col min="12801" max="12801" width="5.44140625" style="62" customWidth="1"/>
    <col min="12802" max="12802" width="1" style="62" customWidth="1"/>
    <col min="12803" max="12803" width="2.33203125" style="62" customWidth="1"/>
    <col min="12804" max="12804" width="8.6640625" style="62" customWidth="1"/>
    <col min="12805" max="12805" width="27.5546875" style="62" customWidth="1"/>
    <col min="12806" max="12806" width="13.6640625" style="62" customWidth="1"/>
    <col min="12807" max="12807" width="9.21875" style="62" customWidth="1"/>
    <col min="12808" max="12808" width="4.6640625" style="62" customWidth="1"/>
    <col min="12809" max="12809" width="7.77734375" style="62" customWidth="1"/>
    <col min="12810" max="12810" width="13" style="62" customWidth="1"/>
    <col min="12811" max="12811" width="8.5546875" style="62" customWidth="1"/>
    <col min="12812" max="12812" width="1.21875" style="62" customWidth="1"/>
    <col min="12813" max="12813" width="2.109375" style="62" customWidth="1"/>
    <col min="12814" max="12814" width="9.88671875" style="62" bestFit="1" customWidth="1"/>
    <col min="12815" max="12816" width="21.44140625" style="62" bestFit="1" customWidth="1"/>
    <col min="12817" max="13056" width="8" style="62"/>
    <col min="13057" max="13057" width="5.44140625" style="62" customWidth="1"/>
    <col min="13058" max="13058" width="1" style="62" customWidth="1"/>
    <col min="13059" max="13059" width="2.33203125" style="62" customWidth="1"/>
    <col min="13060" max="13060" width="8.6640625" style="62" customWidth="1"/>
    <col min="13061" max="13061" width="27.5546875" style="62" customWidth="1"/>
    <col min="13062" max="13062" width="13.6640625" style="62" customWidth="1"/>
    <col min="13063" max="13063" width="9.21875" style="62" customWidth="1"/>
    <col min="13064" max="13064" width="4.6640625" style="62" customWidth="1"/>
    <col min="13065" max="13065" width="7.77734375" style="62" customWidth="1"/>
    <col min="13066" max="13066" width="13" style="62" customWidth="1"/>
    <col min="13067" max="13067" width="8.5546875" style="62" customWidth="1"/>
    <col min="13068" max="13068" width="1.21875" style="62" customWidth="1"/>
    <col min="13069" max="13069" width="2.109375" style="62" customWidth="1"/>
    <col min="13070" max="13070" width="9.88671875" style="62" bestFit="1" customWidth="1"/>
    <col min="13071" max="13072" width="21.44140625" style="62" bestFit="1" customWidth="1"/>
    <col min="13073" max="13312" width="8" style="62"/>
    <col min="13313" max="13313" width="5.44140625" style="62" customWidth="1"/>
    <col min="13314" max="13314" width="1" style="62" customWidth="1"/>
    <col min="13315" max="13315" width="2.33203125" style="62" customWidth="1"/>
    <col min="13316" max="13316" width="8.6640625" style="62" customWidth="1"/>
    <col min="13317" max="13317" width="27.5546875" style="62" customWidth="1"/>
    <col min="13318" max="13318" width="13.6640625" style="62" customWidth="1"/>
    <col min="13319" max="13319" width="9.21875" style="62" customWidth="1"/>
    <col min="13320" max="13320" width="4.6640625" style="62" customWidth="1"/>
    <col min="13321" max="13321" width="7.77734375" style="62" customWidth="1"/>
    <col min="13322" max="13322" width="13" style="62" customWidth="1"/>
    <col min="13323" max="13323" width="8.5546875" style="62" customWidth="1"/>
    <col min="13324" max="13324" width="1.21875" style="62" customWidth="1"/>
    <col min="13325" max="13325" width="2.109375" style="62" customWidth="1"/>
    <col min="13326" max="13326" width="9.88671875" style="62" bestFit="1" customWidth="1"/>
    <col min="13327" max="13328" width="21.44140625" style="62" bestFit="1" customWidth="1"/>
    <col min="13329" max="13568" width="8" style="62"/>
    <col min="13569" max="13569" width="5.44140625" style="62" customWidth="1"/>
    <col min="13570" max="13570" width="1" style="62" customWidth="1"/>
    <col min="13571" max="13571" width="2.33203125" style="62" customWidth="1"/>
    <col min="13572" max="13572" width="8.6640625" style="62" customWidth="1"/>
    <col min="13573" max="13573" width="27.5546875" style="62" customWidth="1"/>
    <col min="13574" max="13574" width="13.6640625" style="62" customWidth="1"/>
    <col min="13575" max="13575" width="9.21875" style="62" customWidth="1"/>
    <col min="13576" max="13576" width="4.6640625" style="62" customWidth="1"/>
    <col min="13577" max="13577" width="7.77734375" style="62" customWidth="1"/>
    <col min="13578" max="13578" width="13" style="62" customWidth="1"/>
    <col min="13579" max="13579" width="8.5546875" style="62" customWidth="1"/>
    <col min="13580" max="13580" width="1.21875" style="62" customWidth="1"/>
    <col min="13581" max="13581" width="2.109375" style="62" customWidth="1"/>
    <col min="13582" max="13582" width="9.88671875" style="62" bestFit="1" customWidth="1"/>
    <col min="13583" max="13584" width="21.44140625" style="62" bestFit="1" customWidth="1"/>
    <col min="13585" max="13824" width="8" style="62"/>
    <col min="13825" max="13825" width="5.44140625" style="62" customWidth="1"/>
    <col min="13826" max="13826" width="1" style="62" customWidth="1"/>
    <col min="13827" max="13827" width="2.33203125" style="62" customWidth="1"/>
    <col min="13828" max="13828" width="8.6640625" style="62" customWidth="1"/>
    <col min="13829" max="13829" width="27.5546875" style="62" customWidth="1"/>
    <col min="13830" max="13830" width="13.6640625" style="62" customWidth="1"/>
    <col min="13831" max="13831" width="9.21875" style="62" customWidth="1"/>
    <col min="13832" max="13832" width="4.6640625" style="62" customWidth="1"/>
    <col min="13833" max="13833" width="7.77734375" style="62" customWidth="1"/>
    <col min="13834" max="13834" width="13" style="62" customWidth="1"/>
    <col min="13835" max="13835" width="8.5546875" style="62" customWidth="1"/>
    <col min="13836" max="13836" width="1.21875" style="62" customWidth="1"/>
    <col min="13837" max="13837" width="2.109375" style="62" customWidth="1"/>
    <col min="13838" max="13838" width="9.88671875" style="62" bestFit="1" customWidth="1"/>
    <col min="13839" max="13840" width="21.44140625" style="62" bestFit="1" customWidth="1"/>
    <col min="13841" max="14080" width="8" style="62"/>
    <col min="14081" max="14081" width="5.44140625" style="62" customWidth="1"/>
    <col min="14082" max="14082" width="1" style="62" customWidth="1"/>
    <col min="14083" max="14083" width="2.33203125" style="62" customWidth="1"/>
    <col min="14084" max="14084" width="8.6640625" style="62" customWidth="1"/>
    <col min="14085" max="14085" width="27.5546875" style="62" customWidth="1"/>
    <col min="14086" max="14086" width="13.6640625" style="62" customWidth="1"/>
    <col min="14087" max="14087" width="9.21875" style="62" customWidth="1"/>
    <col min="14088" max="14088" width="4.6640625" style="62" customWidth="1"/>
    <col min="14089" max="14089" width="7.77734375" style="62" customWidth="1"/>
    <col min="14090" max="14090" width="13" style="62" customWidth="1"/>
    <col min="14091" max="14091" width="8.5546875" style="62" customWidth="1"/>
    <col min="14092" max="14092" width="1.21875" style="62" customWidth="1"/>
    <col min="14093" max="14093" width="2.109375" style="62" customWidth="1"/>
    <col min="14094" max="14094" width="9.88671875" style="62" bestFit="1" customWidth="1"/>
    <col min="14095" max="14096" width="21.44140625" style="62" bestFit="1" customWidth="1"/>
    <col min="14097" max="14336" width="8" style="62"/>
    <col min="14337" max="14337" width="5.44140625" style="62" customWidth="1"/>
    <col min="14338" max="14338" width="1" style="62" customWidth="1"/>
    <col min="14339" max="14339" width="2.33203125" style="62" customWidth="1"/>
    <col min="14340" max="14340" width="8.6640625" style="62" customWidth="1"/>
    <col min="14341" max="14341" width="27.5546875" style="62" customWidth="1"/>
    <col min="14342" max="14342" width="13.6640625" style="62" customWidth="1"/>
    <col min="14343" max="14343" width="9.21875" style="62" customWidth="1"/>
    <col min="14344" max="14344" width="4.6640625" style="62" customWidth="1"/>
    <col min="14345" max="14345" width="7.77734375" style="62" customWidth="1"/>
    <col min="14346" max="14346" width="13" style="62" customWidth="1"/>
    <col min="14347" max="14347" width="8.5546875" style="62" customWidth="1"/>
    <col min="14348" max="14348" width="1.21875" style="62" customWidth="1"/>
    <col min="14349" max="14349" width="2.109375" style="62" customWidth="1"/>
    <col min="14350" max="14350" width="9.88671875" style="62" bestFit="1" customWidth="1"/>
    <col min="14351" max="14352" width="21.44140625" style="62" bestFit="1" customWidth="1"/>
    <col min="14353" max="14592" width="8" style="62"/>
    <col min="14593" max="14593" width="5.44140625" style="62" customWidth="1"/>
    <col min="14594" max="14594" width="1" style="62" customWidth="1"/>
    <col min="14595" max="14595" width="2.33203125" style="62" customWidth="1"/>
    <col min="14596" max="14596" width="8.6640625" style="62" customWidth="1"/>
    <col min="14597" max="14597" width="27.5546875" style="62" customWidth="1"/>
    <col min="14598" max="14598" width="13.6640625" style="62" customWidth="1"/>
    <col min="14599" max="14599" width="9.21875" style="62" customWidth="1"/>
    <col min="14600" max="14600" width="4.6640625" style="62" customWidth="1"/>
    <col min="14601" max="14601" width="7.77734375" style="62" customWidth="1"/>
    <col min="14602" max="14602" width="13" style="62" customWidth="1"/>
    <col min="14603" max="14603" width="8.5546875" style="62" customWidth="1"/>
    <col min="14604" max="14604" width="1.21875" style="62" customWidth="1"/>
    <col min="14605" max="14605" width="2.109375" style="62" customWidth="1"/>
    <col min="14606" max="14606" width="9.88671875" style="62" bestFit="1" customWidth="1"/>
    <col min="14607" max="14608" width="21.44140625" style="62" bestFit="1" customWidth="1"/>
    <col min="14609" max="14848" width="8" style="62"/>
    <col min="14849" max="14849" width="5.44140625" style="62" customWidth="1"/>
    <col min="14850" max="14850" width="1" style="62" customWidth="1"/>
    <col min="14851" max="14851" width="2.33203125" style="62" customWidth="1"/>
    <col min="14852" max="14852" width="8.6640625" style="62" customWidth="1"/>
    <col min="14853" max="14853" width="27.5546875" style="62" customWidth="1"/>
    <col min="14854" max="14854" width="13.6640625" style="62" customWidth="1"/>
    <col min="14855" max="14855" width="9.21875" style="62" customWidth="1"/>
    <col min="14856" max="14856" width="4.6640625" style="62" customWidth="1"/>
    <col min="14857" max="14857" width="7.77734375" style="62" customWidth="1"/>
    <col min="14858" max="14858" width="13" style="62" customWidth="1"/>
    <col min="14859" max="14859" width="8.5546875" style="62" customWidth="1"/>
    <col min="14860" max="14860" width="1.21875" style="62" customWidth="1"/>
    <col min="14861" max="14861" width="2.109375" style="62" customWidth="1"/>
    <col min="14862" max="14862" width="9.88671875" style="62" bestFit="1" customWidth="1"/>
    <col min="14863" max="14864" width="21.44140625" style="62" bestFit="1" customWidth="1"/>
    <col min="14865" max="15104" width="8" style="62"/>
    <col min="15105" max="15105" width="5.44140625" style="62" customWidth="1"/>
    <col min="15106" max="15106" width="1" style="62" customWidth="1"/>
    <col min="15107" max="15107" width="2.33203125" style="62" customWidth="1"/>
    <col min="15108" max="15108" width="8.6640625" style="62" customWidth="1"/>
    <col min="15109" max="15109" width="27.5546875" style="62" customWidth="1"/>
    <col min="15110" max="15110" width="13.6640625" style="62" customWidth="1"/>
    <col min="15111" max="15111" width="9.21875" style="62" customWidth="1"/>
    <col min="15112" max="15112" width="4.6640625" style="62" customWidth="1"/>
    <col min="15113" max="15113" width="7.77734375" style="62" customWidth="1"/>
    <col min="15114" max="15114" width="13" style="62" customWidth="1"/>
    <col min="15115" max="15115" width="8.5546875" style="62" customWidth="1"/>
    <col min="15116" max="15116" width="1.21875" style="62" customWidth="1"/>
    <col min="15117" max="15117" width="2.109375" style="62" customWidth="1"/>
    <col min="15118" max="15118" width="9.88671875" style="62" bestFit="1" customWidth="1"/>
    <col min="15119" max="15120" width="21.44140625" style="62" bestFit="1" customWidth="1"/>
    <col min="15121" max="15360" width="8" style="62"/>
    <col min="15361" max="15361" width="5.44140625" style="62" customWidth="1"/>
    <col min="15362" max="15362" width="1" style="62" customWidth="1"/>
    <col min="15363" max="15363" width="2.33203125" style="62" customWidth="1"/>
    <col min="15364" max="15364" width="8.6640625" style="62" customWidth="1"/>
    <col min="15365" max="15365" width="27.5546875" style="62" customWidth="1"/>
    <col min="15366" max="15366" width="13.6640625" style="62" customWidth="1"/>
    <col min="15367" max="15367" width="9.21875" style="62" customWidth="1"/>
    <col min="15368" max="15368" width="4.6640625" style="62" customWidth="1"/>
    <col min="15369" max="15369" width="7.77734375" style="62" customWidth="1"/>
    <col min="15370" max="15370" width="13" style="62" customWidth="1"/>
    <col min="15371" max="15371" width="8.5546875" style="62" customWidth="1"/>
    <col min="15372" max="15372" width="1.21875" style="62" customWidth="1"/>
    <col min="15373" max="15373" width="2.109375" style="62" customWidth="1"/>
    <col min="15374" max="15374" width="9.88671875" style="62" bestFit="1" customWidth="1"/>
    <col min="15375" max="15376" width="21.44140625" style="62" bestFit="1" customWidth="1"/>
    <col min="15377" max="15616" width="8" style="62"/>
    <col min="15617" max="15617" width="5.44140625" style="62" customWidth="1"/>
    <col min="15618" max="15618" width="1" style="62" customWidth="1"/>
    <col min="15619" max="15619" width="2.33203125" style="62" customWidth="1"/>
    <col min="15620" max="15620" width="8.6640625" style="62" customWidth="1"/>
    <col min="15621" max="15621" width="27.5546875" style="62" customWidth="1"/>
    <col min="15622" max="15622" width="13.6640625" style="62" customWidth="1"/>
    <col min="15623" max="15623" width="9.21875" style="62" customWidth="1"/>
    <col min="15624" max="15624" width="4.6640625" style="62" customWidth="1"/>
    <col min="15625" max="15625" width="7.77734375" style="62" customWidth="1"/>
    <col min="15626" max="15626" width="13" style="62" customWidth="1"/>
    <col min="15627" max="15627" width="8.5546875" style="62" customWidth="1"/>
    <col min="15628" max="15628" width="1.21875" style="62" customWidth="1"/>
    <col min="15629" max="15629" width="2.109375" style="62" customWidth="1"/>
    <col min="15630" max="15630" width="9.88671875" style="62" bestFit="1" customWidth="1"/>
    <col min="15631" max="15632" width="21.44140625" style="62" bestFit="1" customWidth="1"/>
    <col min="15633" max="15872" width="8" style="62"/>
    <col min="15873" max="15873" width="5.44140625" style="62" customWidth="1"/>
    <col min="15874" max="15874" width="1" style="62" customWidth="1"/>
    <col min="15875" max="15875" width="2.33203125" style="62" customWidth="1"/>
    <col min="15876" max="15876" width="8.6640625" style="62" customWidth="1"/>
    <col min="15877" max="15877" width="27.5546875" style="62" customWidth="1"/>
    <col min="15878" max="15878" width="13.6640625" style="62" customWidth="1"/>
    <col min="15879" max="15879" width="9.21875" style="62" customWidth="1"/>
    <col min="15880" max="15880" width="4.6640625" style="62" customWidth="1"/>
    <col min="15881" max="15881" width="7.77734375" style="62" customWidth="1"/>
    <col min="15882" max="15882" width="13" style="62" customWidth="1"/>
    <col min="15883" max="15883" width="8.5546875" style="62" customWidth="1"/>
    <col min="15884" max="15884" width="1.21875" style="62" customWidth="1"/>
    <col min="15885" max="15885" width="2.109375" style="62" customWidth="1"/>
    <col min="15886" max="15886" width="9.88671875" style="62" bestFit="1" customWidth="1"/>
    <col min="15887" max="15888" width="21.44140625" style="62" bestFit="1" customWidth="1"/>
    <col min="15889" max="16128" width="8" style="62"/>
    <col min="16129" max="16129" width="5.44140625" style="62" customWidth="1"/>
    <col min="16130" max="16130" width="1" style="62" customWidth="1"/>
    <col min="16131" max="16131" width="2.33203125" style="62" customWidth="1"/>
    <col min="16132" max="16132" width="8.6640625" style="62" customWidth="1"/>
    <col min="16133" max="16133" width="27.5546875" style="62" customWidth="1"/>
    <col min="16134" max="16134" width="13.6640625" style="62" customWidth="1"/>
    <col min="16135" max="16135" width="9.21875" style="62" customWidth="1"/>
    <col min="16136" max="16136" width="4.6640625" style="62" customWidth="1"/>
    <col min="16137" max="16137" width="7.77734375" style="62" customWidth="1"/>
    <col min="16138" max="16138" width="13" style="62" customWidth="1"/>
    <col min="16139" max="16139" width="8.5546875" style="62" customWidth="1"/>
    <col min="16140" max="16140" width="1.21875" style="62" customWidth="1"/>
    <col min="16141" max="16141" width="2.109375" style="62" customWidth="1"/>
    <col min="16142" max="16142" width="9.88671875" style="62" bestFit="1" customWidth="1"/>
    <col min="16143" max="16144" width="21.44140625" style="62" bestFit="1" customWidth="1"/>
    <col min="16145" max="16384" width="8" style="62"/>
  </cols>
  <sheetData>
    <row r="1" spans="2:30" ht="13.5" customHeight="1" x14ac:dyDescent="0.3"/>
    <row r="2" spans="2:30" ht="27" customHeight="1" x14ac:dyDescent="0.3">
      <c r="B2" s="198" t="s">
        <v>3269</v>
      </c>
      <c r="C2" s="198"/>
      <c r="D2" s="198"/>
      <c r="E2" s="198"/>
      <c r="F2" s="198"/>
      <c r="G2" s="198"/>
      <c r="H2" s="198"/>
      <c r="I2" s="198"/>
      <c r="J2" s="198"/>
      <c r="K2" s="198"/>
      <c r="L2" s="66"/>
      <c r="M2" s="67"/>
    </row>
    <row r="3" spans="2:30" s="74" customFormat="1" ht="24.75" customHeight="1" x14ac:dyDescent="0.15">
      <c r="B3" s="199" t="s">
        <v>3270</v>
      </c>
      <c r="C3" s="199"/>
      <c r="D3" s="199"/>
      <c r="E3" s="199"/>
      <c r="F3" s="199"/>
      <c r="G3" s="68"/>
      <c r="H3" s="68"/>
      <c r="I3" s="69"/>
      <c r="J3" s="68"/>
      <c r="K3" s="70"/>
      <c r="L3" s="71"/>
      <c r="M3" s="71"/>
      <c r="N3" s="72"/>
      <c r="O3" s="73"/>
      <c r="W3" s="192"/>
    </row>
    <row r="4" spans="2:30" s="74" customFormat="1" ht="14.25" customHeight="1" x14ac:dyDescent="0.15">
      <c r="B4" s="76"/>
      <c r="C4" s="76"/>
      <c r="D4" s="77" t="s">
        <v>3271</v>
      </c>
      <c r="E4" s="76"/>
      <c r="F4" s="76"/>
      <c r="G4" s="76"/>
      <c r="H4" s="76"/>
      <c r="I4" s="76"/>
      <c r="J4" s="76"/>
      <c r="K4" s="76"/>
      <c r="L4" s="76"/>
      <c r="M4" s="76"/>
      <c r="N4" s="72"/>
      <c r="W4" s="192"/>
    </row>
    <row r="5" spans="2:30" s="82" customFormat="1" ht="17.25" customHeight="1" x14ac:dyDescent="0.15">
      <c r="B5" s="200" t="s">
        <v>3272</v>
      </c>
      <c r="C5" s="201"/>
      <c r="D5" s="201"/>
      <c r="E5" s="201"/>
      <c r="F5" s="202"/>
      <c r="G5" s="78" t="s">
        <v>3273</v>
      </c>
      <c r="H5" s="78" t="s">
        <v>3274</v>
      </c>
      <c r="I5" s="79" t="s">
        <v>3275</v>
      </c>
      <c r="J5" s="78" t="s">
        <v>3276</v>
      </c>
      <c r="K5" s="200" t="s">
        <v>3277</v>
      </c>
      <c r="L5" s="202"/>
      <c r="M5" s="80"/>
      <c r="N5" s="81"/>
      <c r="W5" s="192"/>
      <c r="X5" s="74"/>
      <c r="Y5" s="74"/>
      <c r="Z5" s="74"/>
      <c r="AA5" s="74"/>
      <c r="AB5" s="74"/>
      <c r="AC5" s="74"/>
      <c r="AD5" s="74"/>
    </row>
    <row r="6" spans="2:30" s="87" customFormat="1" ht="14.1" customHeight="1" x14ac:dyDescent="0.15">
      <c r="B6" s="83" t="s">
        <v>3278</v>
      </c>
      <c r="C6" s="76"/>
      <c r="D6" s="76"/>
      <c r="E6" s="76"/>
      <c r="F6" s="76"/>
      <c r="G6" s="76"/>
      <c r="H6" s="71"/>
      <c r="I6" s="84"/>
      <c r="J6" s="76"/>
      <c r="K6" s="76"/>
      <c r="L6" s="85"/>
      <c r="M6" s="76"/>
      <c r="N6" s="86"/>
      <c r="O6" s="86"/>
      <c r="P6" s="86"/>
      <c r="W6" s="192"/>
      <c r="X6" s="74"/>
      <c r="Y6" s="74"/>
      <c r="Z6" s="74"/>
      <c r="AA6" s="74"/>
      <c r="AB6" s="74"/>
      <c r="AC6" s="74"/>
      <c r="AD6" s="74"/>
    </row>
    <row r="7" spans="2:30" s="87" customFormat="1" ht="14.1" customHeight="1" x14ac:dyDescent="0.15">
      <c r="B7" s="88"/>
      <c r="C7" s="76" t="s">
        <v>3279</v>
      </c>
      <c r="D7" s="76"/>
      <c r="E7" s="76"/>
      <c r="F7" s="76"/>
      <c r="G7" s="76"/>
      <c r="H7" s="71"/>
      <c r="I7" s="84"/>
      <c r="J7" s="76"/>
      <c r="K7" s="89"/>
      <c r="L7" s="85"/>
      <c r="M7" s="76"/>
      <c r="N7" s="86"/>
      <c r="O7" s="86"/>
      <c r="P7" s="86"/>
      <c r="W7" s="192"/>
      <c r="X7" s="74"/>
      <c r="Y7" s="74"/>
      <c r="Z7" s="74"/>
      <c r="AA7" s="74"/>
      <c r="AB7" s="74"/>
      <c r="AC7" s="74"/>
      <c r="AD7" s="74"/>
    </row>
    <row r="8" spans="2:30" s="87" customFormat="1" ht="14.1" customHeight="1" x14ac:dyDescent="0.15">
      <c r="B8" s="88"/>
      <c r="C8" s="76"/>
      <c r="D8" s="193" t="s">
        <v>3280</v>
      </c>
      <c r="E8" s="91" t="s">
        <v>3281</v>
      </c>
      <c r="F8" s="91" t="s">
        <v>3282</v>
      </c>
      <c r="G8" s="92">
        <v>306000</v>
      </c>
      <c r="H8" s="93" t="s">
        <v>3283</v>
      </c>
      <c r="I8" s="94"/>
      <c r="J8" s="95">
        <f t="shared" ref="J8:J13" si="0">G8*I8</f>
        <v>0</v>
      </c>
      <c r="K8" s="96"/>
      <c r="L8" s="85"/>
      <c r="M8" s="76"/>
      <c r="N8" s="194" t="s">
        <v>3284</v>
      </c>
      <c r="O8" s="194"/>
      <c r="P8" s="194"/>
      <c r="Q8" s="194"/>
      <c r="R8" s="194"/>
      <c r="S8" s="194"/>
      <c r="W8" s="192"/>
      <c r="X8" s="74"/>
      <c r="Y8" s="74"/>
      <c r="Z8" s="74"/>
      <c r="AA8" s="74"/>
      <c r="AB8" s="74"/>
      <c r="AC8" s="74"/>
      <c r="AD8" s="74"/>
    </row>
    <row r="9" spans="2:30" s="87" customFormat="1" ht="14.1" customHeight="1" x14ac:dyDescent="0.15">
      <c r="B9" s="88"/>
      <c r="C9" s="76"/>
      <c r="D9" s="193"/>
      <c r="E9" s="91" t="s">
        <v>3285</v>
      </c>
      <c r="F9" s="91" t="s">
        <v>3282</v>
      </c>
      <c r="G9" s="92">
        <v>121000</v>
      </c>
      <c r="H9" s="93" t="s">
        <v>3286</v>
      </c>
      <c r="I9" s="94"/>
      <c r="J9" s="95">
        <f t="shared" si="0"/>
        <v>0</v>
      </c>
      <c r="K9" s="96"/>
      <c r="L9" s="85"/>
      <c r="M9" s="76"/>
      <c r="N9" s="194"/>
      <c r="O9" s="194"/>
      <c r="P9" s="194"/>
      <c r="Q9" s="194"/>
      <c r="R9" s="194"/>
      <c r="S9" s="194"/>
      <c r="W9" s="192"/>
      <c r="X9" s="74"/>
      <c r="Y9" s="74"/>
      <c r="Z9" s="74"/>
      <c r="AA9" s="74"/>
      <c r="AB9" s="74"/>
      <c r="AC9" s="74"/>
      <c r="AD9" s="74"/>
    </row>
    <row r="10" spans="2:30" s="87" customFormat="1" ht="14.1" customHeight="1" x14ac:dyDescent="0.15">
      <c r="B10" s="88"/>
      <c r="C10" s="76"/>
      <c r="D10" s="193"/>
      <c r="E10" s="91" t="s">
        <v>3287</v>
      </c>
      <c r="F10" s="91" t="s">
        <v>3288</v>
      </c>
      <c r="G10" s="92">
        <v>24000</v>
      </c>
      <c r="H10" s="93" t="s">
        <v>3286</v>
      </c>
      <c r="I10" s="94">
        <v>500</v>
      </c>
      <c r="J10" s="95">
        <f t="shared" si="0"/>
        <v>12000000</v>
      </c>
      <c r="K10" s="96"/>
      <c r="L10" s="85"/>
      <c r="M10" s="76"/>
      <c r="N10" s="194"/>
      <c r="O10" s="194"/>
      <c r="P10" s="194"/>
      <c r="Q10" s="194"/>
      <c r="R10" s="194"/>
      <c r="S10" s="194"/>
      <c r="W10" s="192"/>
      <c r="X10" s="74"/>
      <c r="Y10" s="74"/>
      <c r="Z10" s="74"/>
      <c r="AA10" s="74"/>
      <c r="AB10" s="74"/>
      <c r="AC10" s="74"/>
      <c r="AD10" s="74"/>
    </row>
    <row r="11" spans="2:30" s="87" customFormat="1" ht="14.1" customHeight="1" x14ac:dyDescent="0.15">
      <c r="B11" s="88"/>
      <c r="C11" s="76"/>
      <c r="D11" s="193" t="s">
        <v>3289</v>
      </c>
      <c r="E11" s="91" t="s">
        <v>3281</v>
      </c>
      <c r="F11" s="91" t="s">
        <v>3282</v>
      </c>
      <c r="G11" s="92">
        <v>588000</v>
      </c>
      <c r="H11" s="93" t="s">
        <v>3283</v>
      </c>
      <c r="I11" s="94">
        <v>0</v>
      </c>
      <c r="J11" s="95">
        <f t="shared" si="0"/>
        <v>0</v>
      </c>
      <c r="K11" s="96"/>
      <c r="L11" s="85"/>
      <c r="M11" s="76"/>
      <c r="N11" s="194"/>
      <c r="O11" s="194"/>
      <c r="P11" s="194"/>
      <c r="Q11" s="194"/>
      <c r="R11" s="194"/>
      <c r="S11" s="194"/>
      <c r="W11" s="192"/>
      <c r="X11" s="74"/>
      <c r="Y11" s="74"/>
      <c r="Z11" s="74"/>
      <c r="AA11" s="74"/>
      <c r="AB11" s="74"/>
      <c r="AC11" s="74"/>
      <c r="AD11" s="74"/>
    </row>
    <row r="12" spans="2:30" s="87" customFormat="1" ht="14.1" customHeight="1" x14ac:dyDescent="0.15">
      <c r="B12" s="88"/>
      <c r="C12" s="76"/>
      <c r="D12" s="193"/>
      <c r="E12" s="91" t="s">
        <v>3285</v>
      </c>
      <c r="F12" s="91" t="s">
        <v>3282</v>
      </c>
      <c r="G12" s="92">
        <v>141000</v>
      </c>
      <c r="H12" s="93" t="s">
        <v>3286</v>
      </c>
      <c r="I12" s="94">
        <v>0</v>
      </c>
      <c r="J12" s="95">
        <f t="shared" si="0"/>
        <v>0</v>
      </c>
      <c r="K12" s="96"/>
      <c r="L12" s="85"/>
      <c r="M12" s="76"/>
      <c r="N12" s="194"/>
      <c r="O12" s="194"/>
      <c r="P12" s="194"/>
      <c r="Q12" s="194"/>
      <c r="R12" s="194"/>
      <c r="S12" s="194"/>
      <c r="W12" s="192"/>
      <c r="X12" s="74"/>
      <c r="Y12" s="74"/>
      <c r="Z12" s="74"/>
      <c r="AA12" s="74"/>
      <c r="AB12" s="74"/>
      <c r="AC12" s="74"/>
      <c r="AD12" s="74"/>
    </row>
    <row r="13" spans="2:30" s="87" customFormat="1" ht="14.1" customHeight="1" x14ac:dyDescent="0.15">
      <c r="B13" s="88"/>
      <c r="C13" s="76"/>
      <c r="D13" s="193"/>
      <c r="E13" s="91" t="s">
        <v>3287</v>
      </c>
      <c r="F13" s="91" t="s">
        <v>3288</v>
      </c>
      <c r="G13" s="92">
        <v>50000</v>
      </c>
      <c r="H13" s="93" t="s">
        <v>3286</v>
      </c>
      <c r="I13" s="94"/>
      <c r="J13" s="95">
        <f t="shared" si="0"/>
        <v>0</v>
      </c>
      <c r="K13" s="96"/>
      <c r="L13" s="85"/>
      <c r="M13" s="76"/>
      <c r="N13" s="194"/>
      <c r="O13" s="194"/>
      <c r="P13" s="194"/>
      <c r="Q13" s="194"/>
      <c r="R13" s="194"/>
      <c r="S13" s="194"/>
      <c r="W13" s="75"/>
      <c r="X13" s="74"/>
      <c r="Y13" s="74"/>
      <c r="Z13" s="74"/>
      <c r="AA13" s="74"/>
      <c r="AB13" s="74"/>
      <c r="AC13" s="74"/>
      <c r="AD13" s="74"/>
    </row>
    <row r="14" spans="2:30" s="87" customFormat="1" ht="14.1" customHeight="1" x14ac:dyDescent="0.15">
      <c r="B14" s="88"/>
      <c r="C14" s="76"/>
      <c r="D14" s="97"/>
      <c r="E14" s="97"/>
      <c r="F14" s="97"/>
      <c r="G14" s="98"/>
      <c r="H14" s="99" t="s">
        <v>3290</v>
      </c>
      <c r="I14" s="99"/>
      <c r="J14" s="98">
        <f>SUM(J8:J13)</f>
        <v>12000000</v>
      </c>
      <c r="K14" s="100"/>
      <c r="L14" s="85"/>
      <c r="M14" s="76"/>
      <c r="N14" s="86"/>
      <c r="O14" s="86"/>
      <c r="P14" s="86"/>
      <c r="W14" s="75"/>
      <c r="X14" s="74"/>
      <c r="Y14" s="74"/>
      <c r="Z14" s="74"/>
      <c r="AA14" s="74"/>
      <c r="AB14" s="74"/>
      <c r="AC14" s="74"/>
      <c r="AD14" s="74"/>
    </row>
    <row r="15" spans="2:30" s="87" customFormat="1" ht="14.1" customHeight="1" x14ac:dyDescent="0.15">
      <c r="B15" s="88"/>
      <c r="C15" s="76" t="s">
        <v>3291</v>
      </c>
      <c r="D15" s="101"/>
      <c r="E15" s="102"/>
      <c r="F15" s="101"/>
      <c r="G15" s="103"/>
      <c r="H15" s="104"/>
      <c r="I15" s="84"/>
      <c r="J15" s="76"/>
      <c r="K15" s="105"/>
      <c r="L15" s="85"/>
      <c r="M15" s="76"/>
      <c r="N15" s="86"/>
      <c r="O15" s="86"/>
      <c r="P15" s="86"/>
      <c r="W15" s="75"/>
      <c r="X15" s="74"/>
      <c r="Y15" s="74"/>
      <c r="Z15" s="74"/>
      <c r="AA15" s="74"/>
      <c r="AB15" s="74"/>
      <c r="AC15" s="74"/>
      <c r="AD15" s="74"/>
    </row>
    <row r="16" spans="2:30" s="87" customFormat="1" ht="14.1" customHeight="1" x14ac:dyDescent="0.15">
      <c r="B16" s="88"/>
      <c r="C16" s="76"/>
      <c r="D16" s="191" t="s">
        <v>3280</v>
      </c>
      <c r="E16" s="197" t="s">
        <v>3292</v>
      </c>
      <c r="F16" s="91" t="s">
        <v>3293</v>
      </c>
      <c r="G16" s="92">
        <v>48000</v>
      </c>
      <c r="H16" s="93" t="s">
        <v>166</v>
      </c>
      <c r="I16" s="94"/>
      <c r="J16" s="95">
        <f>G16*I16</f>
        <v>0</v>
      </c>
      <c r="K16" s="96"/>
      <c r="L16" s="85"/>
      <c r="M16" s="76"/>
      <c r="N16" s="195" t="s">
        <v>3294</v>
      </c>
      <c r="O16" s="195"/>
      <c r="P16" s="195"/>
      <c r="Q16" s="195"/>
      <c r="R16" s="195"/>
      <c r="S16" s="195"/>
      <c r="T16" s="195"/>
      <c r="W16" s="74"/>
      <c r="X16" s="74"/>
      <c r="Y16" s="74"/>
      <c r="Z16" s="74"/>
      <c r="AA16" s="74"/>
      <c r="AB16" s="74"/>
      <c r="AC16" s="74"/>
      <c r="AD16" s="74"/>
    </row>
    <row r="17" spans="2:30" s="87" customFormat="1" ht="14.1" customHeight="1" x14ac:dyDescent="0.15">
      <c r="B17" s="88"/>
      <c r="C17" s="76"/>
      <c r="D17" s="191"/>
      <c r="E17" s="197"/>
      <c r="F17" s="91" t="s">
        <v>3295</v>
      </c>
      <c r="G17" s="92">
        <v>53000</v>
      </c>
      <c r="H17" s="93" t="s">
        <v>166</v>
      </c>
      <c r="I17" s="94"/>
      <c r="J17" s="95">
        <f>G17*I17</f>
        <v>0</v>
      </c>
      <c r="K17" s="96"/>
      <c r="L17" s="85"/>
      <c r="M17" s="76"/>
      <c r="N17" s="195"/>
      <c r="O17" s="195"/>
      <c r="P17" s="195"/>
      <c r="Q17" s="195"/>
      <c r="R17" s="195"/>
      <c r="S17" s="195"/>
      <c r="T17" s="195"/>
      <c r="W17" s="74"/>
      <c r="X17" s="74"/>
      <c r="Y17" s="74"/>
      <c r="Z17" s="74"/>
      <c r="AA17" s="74"/>
      <c r="AB17" s="74"/>
      <c r="AC17" s="74"/>
      <c r="AD17" s="74"/>
    </row>
    <row r="18" spans="2:30" s="87" customFormat="1" ht="14.1" customHeight="1" x14ac:dyDescent="0.15">
      <c r="B18" s="88"/>
      <c r="C18" s="76"/>
      <c r="D18" s="191"/>
      <c r="E18" s="197"/>
      <c r="F18" s="91" t="s">
        <v>3288</v>
      </c>
      <c r="G18" s="92">
        <v>53000</v>
      </c>
      <c r="H18" s="93" t="s">
        <v>166</v>
      </c>
      <c r="I18" s="94"/>
      <c r="J18" s="95">
        <f>G18*I18</f>
        <v>0</v>
      </c>
      <c r="K18" s="96"/>
      <c r="L18" s="85"/>
      <c r="M18" s="76"/>
      <c r="N18" s="195"/>
      <c r="O18" s="195"/>
      <c r="P18" s="195"/>
      <c r="Q18" s="195"/>
      <c r="R18" s="195"/>
      <c r="S18" s="195"/>
      <c r="T18" s="195"/>
      <c r="W18" s="74"/>
      <c r="X18" s="74"/>
      <c r="Y18" s="74"/>
      <c r="Z18" s="74"/>
      <c r="AA18" s="74"/>
      <c r="AB18" s="74"/>
      <c r="AC18" s="74"/>
      <c r="AD18" s="74"/>
    </row>
    <row r="19" spans="2:30" s="87" customFormat="1" ht="14.1" customHeight="1" x14ac:dyDescent="0.15">
      <c r="B19" s="88"/>
      <c r="C19" s="76"/>
      <c r="D19" s="191" t="s">
        <v>3289</v>
      </c>
      <c r="E19" s="197" t="s">
        <v>3296</v>
      </c>
      <c r="F19" s="91" t="s">
        <v>3282</v>
      </c>
      <c r="G19" s="92">
        <v>75000</v>
      </c>
      <c r="H19" s="90" t="s">
        <v>166</v>
      </c>
      <c r="I19" s="94"/>
      <c r="J19" s="95">
        <f>G19*I19</f>
        <v>0</v>
      </c>
      <c r="K19" s="96"/>
      <c r="L19" s="85"/>
      <c r="M19" s="76"/>
      <c r="N19" s="195"/>
      <c r="O19" s="195"/>
      <c r="P19" s="195"/>
      <c r="Q19" s="195"/>
      <c r="R19" s="195"/>
      <c r="S19" s="195"/>
      <c r="T19" s="195"/>
      <c r="W19" s="74"/>
      <c r="X19" s="74"/>
      <c r="Y19" s="74"/>
      <c r="Z19" s="74"/>
      <c r="AA19" s="74"/>
      <c r="AB19" s="74"/>
      <c r="AC19" s="74"/>
      <c r="AD19" s="74"/>
    </row>
    <row r="20" spans="2:30" s="87" customFormat="1" ht="14.1" customHeight="1" x14ac:dyDescent="0.15">
      <c r="B20" s="88"/>
      <c r="C20" s="76"/>
      <c r="D20" s="191"/>
      <c r="E20" s="197"/>
      <c r="F20" s="91" t="s">
        <v>3288</v>
      </c>
      <c r="G20" s="92">
        <v>137000</v>
      </c>
      <c r="H20" s="90" t="s">
        <v>166</v>
      </c>
      <c r="I20" s="94"/>
      <c r="J20" s="95">
        <f>G20*I20</f>
        <v>0</v>
      </c>
      <c r="K20" s="96"/>
      <c r="L20" s="85"/>
      <c r="M20" s="76"/>
      <c r="N20" s="195"/>
      <c r="O20" s="195"/>
      <c r="P20" s="195"/>
      <c r="Q20" s="195"/>
      <c r="R20" s="195"/>
      <c r="S20" s="195"/>
      <c r="T20" s="195"/>
      <c r="W20" s="74"/>
      <c r="X20" s="74"/>
      <c r="Y20" s="74"/>
      <c r="Z20" s="74"/>
      <c r="AA20" s="74"/>
      <c r="AB20" s="74"/>
      <c r="AC20" s="74"/>
      <c r="AD20" s="74"/>
    </row>
    <row r="21" spans="2:30" s="87" customFormat="1" ht="14.1" customHeight="1" x14ac:dyDescent="0.15">
      <c r="B21" s="88"/>
      <c r="C21" s="76" t="s">
        <v>3297</v>
      </c>
      <c r="D21" s="76"/>
      <c r="E21" s="76"/>
      <c r="F21" s="76"/>
      <c r="G21" s="76"/>
      <c r="H21" s="71"/>
      <c r="I21" s="84"/>
      <c r="J21" s="76"/>
      <c r="K21" s="105"/>
      <c r="L21" s="85"/>
      <c r="M21" s="76"/>
      <c r="N21" s="195"/>
      <c r="O21" s="195"/>
      <c r="P21" s="195"/>
      <c r="Q21" s="195"/>
      <c r="R21" s="195"/>
      <c r="S21" s="195"/>
      <c r="T21" s="195"/>
      <c r="W21" s="74"/>
      <c r="X21" s="74"/>
      <c r="Y21" s="74"/>
      <c r="Z21" s="74"/>
      <c r="AA21" s="74"/>
      <c r="AB21" s="74"/>
      <c r="AC21" s="74"/>
      <c r="AD21" s="74"/>
    </row>
    <row r="22" spans="2:30" s="87" customFormat="1" ht="14.1" customHeight="1" x14ac:dyDescent="0.15">
      <c r="B22" s="88"/>
      <c r="C22" s="76"/>
      <c r="D22" s="191" t="s">
        <v>3280</v>
      </c>
      <c r="E22" s="197" t="s">
        <v>3298</v>
      </c>
      <c r="F22" s="91" t="s">
        <v>3282</v>
      </c>
      <c r="G22" s="92">
        <v>7000</v>
      </c>
      <c r="H22" s="90" t="s">
        <v>166</v>
      </c>
      <c r="I22" s="94"/>
      <c r="J22" s="95">
        <f>G22*I22</f>
        <v>0</v>
      </c>
      <c r="K22" s="96"/>
      <c r="L22" s="85"/>
      <c r="M22" s="76"/>
      <c r="N22" s="195"/>
      <c r="O22" s="195"/>
      <c r="P22" s="195"/>
      <c r="Q22" s="195"/>
      <c r="R22" s="195"/>
      <c r="S22" s="195"/>
      <c r="T22" s="195"/>
      <c r="W22" s="74"/>
      <c r="X22" s="74"/>
      <c r="Y22" s="74"/>
      <c r="Z22" s="74"/>
      <c r="AA22" s="74"/>
      <c r="AB22" s="74"/>
      <c r="AC22" s="74"/>
      <c r="AD22" s="74"/>
    </row>
    <row r="23" spans="2:30" s="87" customFormat="1" ht="14.1" customHeight="1" x14ac:dyDescent="0.15">
      <c r="B23" s="88"/>
      <c r="C23" s="76"/>
      <c r="D23" s="191"/>
      <c r="E23" s="197"/>
      <c r="F23" s="91" t="s">
        <v>3288</v>
      </c>
      <c r="G23" s="92">
        <v>12000</v>
      </c>
      <c r="H23" s="90" t="s">
        <v>166</v>
      </c>
      <c r="I23" s="94"/>
      <c r="J23" s="95">
        <f>G23*I23</f>
        <v>0</v>
      </c>
      <c r="K23" s="96"/>
      <c r="L23" s="85"/>
      <c r="M23" s="76"/>
      <c r="N23" s="195"/>
      <c r="O23" s="195"/>
      <c r="P23" s="195"/>
      <c r="Q23" s="195"/>
      <c r="R23" s="195"/>
      <c r="S23" s="195"/>
      <c r="T23" s="195"/>
      <c r="W23" s="74"/>
      <c r="X23" s="74"/>
      <c r="Y23" s="74"/>
      <c r="Z23" s="74"/>
      <c r="AA23" s="74"/>
      <c r="AB23" s="74"/>
      <c r="AC23" s="74"/>
      <c r="AD23" s="74"/>
    </row>
    <row r="24" spans="2:30" s="87" customFormat="1" ht="14.1" customHeight="1" x14ac:dyDescent="0.15">
      <c r="B24" s="88"/>
      <c r="C24" s="76"/>
      <c r="D24" s="100"/>
      <c r="E24" s="100"/>
      <c r="F24" s="100"/>
      <c r="G24" s="98"/>
      <c r="H24" s="99" t="s">
        <v>3290</v>
      </c>
      <c r="I24" s="99"/>
      <c r="J24" s="98">
        <f>SUM(J16:J23)</f>
        <v>0</v>
      </c>
      <c r="K24" s="100"/>
      <c r="L24" s="85"/>
      <c r="M24" s="76"/>
      <c r="N24" s="106"/>
      <c r="W24" s="74"/>
      <c r="X24" s="74"/>
      <c r="Y24" s="74"/>
      <c r="Z24" s="74"/>
      <c r="AA24" s="74"/>
      <c r="AB24" s="74"/>
      <c r="AC24" s="74"/>
      <c r="AD24" s="74"/>
    </row>
    <row r="25" spans="2:30" s="87" customFormat="1" ht="14.1" customHeight="1" x14ac:dyDescent="0.15">
      <c r="B25" s="88"/>
      <c r="C25" s="76"/>
      <c r="D25" s="107"/>
      <c r="E25" s="107"/>
      <c r="F25" s="107"/>
      <c r="G25" s="108"/>
      <c r="H25" s="109" t="s">
        <v>3299</v>
      </c>
      <c r="I25" s="109"/>
      <c r="J25" s="110">
        <f>J24+J14</f>
        <v>12000000</v>
      </c>
      <c r="K25" s="107"/>
      <c r="L25" s="85"/>
      <c r="M25" s="76"/>
      <c r="N25" s="106">
        <f>J25</f>
        <v>12000000</v>
      </c>
      <c r="O25" s="111">
        <f>N25*10%</f>
        <v>1200000</v>
      </c>
      <c r="P25" s="111">
        <f>N25+O25</f>
        <v>13200000</v>
      </c>
      <c r="W25" s="74"/>
      <c r="X25" s="74"/>
      <c r="Y25" s="74"/>
      <c r="Z25" s="74"/>
      <c r="AA25" s="74"/>
      <c r="AB25" s="74"/>
      <c r="AC25" s="74"/>
      <c r="AD25" s="74"/>
    </row>
    <row r="26" spans="2:30" s="87" customFormat="1" ht="14.1" customHeight="1" x14ac:dyDescent="0.15">
      <c r="B26" s="83" t="s">
        <v>3300</v>
      </c>
      <c r="C26" s="76"/>
      <c r="D26" s="76"/>
      <c r="E26" s="76"/>
      <c r="F26" s="76"/>
      <c r="G26" s="103"/>
      <c r="H26" s="104"/>
      <c r="I26" s="112"/>
      <c r="J26" s="103"/>
      <c r="K26" s="113"/>
      <c r="L26" s="85"/>
      <c r="M26" s="76"/>
      <c r="N26" s="106"/>
      <c r="W26" s="74"/>
      <c r="X26" s="74"/>
      <c r="Y26" s="74"/>
      <c r="Z26" s="74"/>
      <c r="AA26" s="74"/>
      <c r="AB26" s="74"/>
      <c r="AC26" s="74"/>
      <c r="AD26" s="74"/>
    </row>
    <row r="27" spans="2:30" s="74" customFormat="1" ht="14.1" customHeight="1" x14ac:dyDescent="0.15">
      <c r="B27" s="88"/>
      <c r="C27" s="76" t="s">
        <v>3301</v>
      </c>
      <c r="D27" s="76"/>
      <c r="E27" s="76"/>
      <c r="F27" s="76"/>
      <c r="G27" s="103"/>
      <c r="H27" s="104"/>
      <c r="I27" s="112"/>
      <c r="J27" s="103"/>
      <c r="K27" s="89"/>
      <c r="L27" s="85"/>
      <c r="M27" s="76"/>
      <c r="N27" s="86"/>
      <c r="O27" s="86"/>
      <c r="P27" s="86"/>
      <c r="Q27" s="114"/>
      <c r="R27" s="114"/>
      <c r="S27" s="114"/>
      <c r="T27" s="114"/>
      <c r="U27" s="114"/>
    </row>
    <row r="28" spans="2:30" s="74" customFormat="1" ht="14.1" customHeight="1" x14ac:dyDescent="0.15">
      <c r="B28" s="88"/>
      <c r="C28" s="76"/>
      <c r="D28" s="191" t="s">
        <v>3302</v>
      </c>
      <c r="E28" s="96" t="s">
        <v>3282</v>
      </c>
      <c r="F28" s="96" t="s">
        <v>3302</v>
      </c>
      <c r="G28" s="92">
        <v>94000</v>
      </c>
      <c r="H28" s="90" t="s">
        <v>3283</v>
      </c>
      <c r="I28" s="115">
        <v>0</v>
      </c>
      <c r="J28" s="95">
        <f t="shared" ref="J28:J34" si="1">G28*I28</f>
        <v>0</v>
      </c>
      <c r="K28" s="96"/>
      <c r="L28" s="85"/>
      <c r="M28" s="76"/>
      <c r="N28" s="106"/>
      <c r="O28" s="116"/>
      <c r="P28" s="116"/>
    </row>
    <row r="29" spans="2:30" s="74" customFormat="1" ht="14.1" customHeight="1" x14ac:dyDescent="0.15">
      <c r="B29" s="88"/>
      <c r="C29" s="76"/>
      <c r="D29" s="191"/>
      <c r="E29" s="96" t="s">
        <v>3303</v>
      </c>
      <c r="F29" s="96" t="s">
        <v>3302</v>
      </c>
      <c r="G29" s="92">
        <v>298000</v>
      </c>
      <c r="H29" s="90" t="s">
        <v>3283</v>
      </c>
      <c r="I29" s="115"/>
      <c r="J29" s="95">
        <f t="shared" si="1"/>
        <v>0</v>
      </c>
      <c r="K29" s="96"/>
      <c r="L29" s="85"/>
      <c r="M29" s="76"/>
      <c r="N29" s="106"/>
      <c r="O29" s="116"/>
      <c r="P29" s="116"/>
    </row>
    <row r="30" spans="2:30" s="74" customFormat="1" ht="14.1" customHeight="1" x14ac:dyDescent="0.15">
      <c r="B30" s="88"/>
      <c r="C30" s="76"/>
      <c r="D30" s="191"/>
      <c r="E30" s="96" t="s">
        <v>3304</v>
      </c>
      <c r="F30" s="96" t="s">
        <v>3302</v>
      </c>
      <c r="G30" s="92">
        <v>559000</v>
      </c>
      <c r="H30" s="90" t="s">
        <v>3283</v>
      </c>
      <c r="I30" s="115">
        <v>1</v>
      </c>
      <c r="J30" s="95">
        <f t="shared" si="1"/>
        <v>559000</v>
      </c>
      <c r="K30" s="96"/>
      <c r="L30" s="85"/>
      <c r="M30" s="76"/>
      <c r="N30" s="106"/>
      <c r="O30" s="116"/>
      <c r="P30" s="116"/>
      <c r="V30" s="192"/>
    </row>
    <row r="31" spans="2:30" s="74" customFormat="1" ht="14.1" customHeight="1" x14ac:dyDescent="0.15">
      <c r="B31" s="88"/>
      <c r="C31" s="76"/>
      <c r="D31" s="191"/>
      <c r="E31" s="96" t="s">
        <v>3305</v>
      </c>
      <c r="F31" s="96" t="s">
        <v>3302</v>
      </c>
      <c r="G31" s="92">
        <v>678000</v>
      </c>
      <c r="H31" s="90" t="s">
        <v>3283</v>
      </c>
      <c r="I31" s="115"/>
      <c r="J31" s="95">
        <f t="shared" si="1"/>
        <v>0</v>
      </c>
      <c r="K31" s="96"/>
      <c r="L31" s="85"/>
      <c r="M31" s="76"/>
      <c r="N31" s="106"/>
      <c r="O31" s="116"/>
      <c r="P31" s="116"/>
      <c r="V31" s="192"/>
    </row>
    <row r="32" spans="2:30" s="74" customFormat="1" ht="14.1" customHeight="1" x14ac:dyDescent="0.15">
      <c r="B32" s="88"/>
      <c r="C32" s="76"/>
      <c r="D32" s="193" t="s">
        <v>3306</v>
      </c>
      <c r="E32" s="96" t="s">
        <v>3282</v>
      </c>
      <c r="F32" s="96" t="s">
        <v>3307</v>
      </c>
      <c r="G32" s="92">
        <v>391</v>
      </c>
      <c r="H32" s="90" t="s">
        <v>3286</v>
      </c>
      <c r="I32" s="115">
        <v>0</v>
      </c>
      <c r="J32" s="95">
        <f t="shared" si="1"/>
        <v>0</v>
      </c>
      <c r="K32" s="96"/>
      <c r="L32" s="85"/>
      <c r="M32" s="76"/>
      <c r="N32" s="194" t="s">
        <v>3308</v>
      </c>
      <c r="O32" s="195"/>
      <c r="P32" s="195"/>
      <c r="Q32" s="195"/>
      <c r="R32" s="195"/>
      <c r="S32" s="195"/>
      <c r="V32" s="192"/>
    </row>
    <row r="33" spans="2:22" s="74" customFormat="1" ht="14.1" customHeight="1" x14ac:dyDescent="0.15">
      <c r="B33" s="88"/>
      <c r="C33" s="76"/>
      <c r="D33" s="193"/>
      <c r="E33" s="96" t="s">
        <v>3303</v>
      </c>
      <c r="F33" s="96" t="s">
        <v>3307</v>
      </c>
      <c r="G33" s="92">
        <v>660</v>
      </c>
      <c r="H33" s="90" t="s">
        <v>3286</v>
      </c>
      <c r="I33" s="115"/>
      <c r="J33" s="95">
        <f t="shared" si="1"/>
        <v>0</v>
      </c>
      <c r="K33" s="96"/>
      <c r="L33" s="85"/>
      <c r="M33" s="76"/>
      <c r="N33" s="195"/>
      <c r="O33" s="195"/>
      <c r="P33" s="195"/>
      <c r="Q33" s="195"/>
      <c r="R33" s="195"/>
      <c r="S33" s="195"/>
      <c r="V33" s="192"/>
    </row>
    <row r="34" spans="2:22" s="74" customFormat="1" ht="14.1" customHeight="1" x14ac:dyDescent="0.15">
      <c r="B34" s="88"/>
      <c r="C34" s="76"/>
      <c r="D34" s="193"/>
      <c r="E34" s="96" t="s">
        <v>3304</v>
      </c>
      <c r="F34" s="96" t="s">
        <v>3307</v>
      </c>
      <c r="G34" s="92">
        <v>315</v>
      </c>
      <c r="H34" s="90" t="s">
        <v>3286</v>
      </c>
      <c r="I34" s="115">
        <v>500</v>
      </c>
      <c r="J34" s="95">
        <f t="shared" si="1"/>
        <v>157500</v>
      </c>
      <c r="K34" s="96"/>
      <c r="L34" s="85"/>
      <c r="M34" s="76"/>
      <c r="N34" s="195"/>
      <c r="O34" s="195"/>
      <c r="P34" s="195"/>
      <c r="Q34" s="195"/>
      <c r="R34" s="195"/>
      <c r="S34" s="195"/>
      <c r="V34" s="192"/>
    </row>
    <row r="35" spans="2:22" s="74" customFormat="1" ht="14.1" customHeight="1" x14ac:dyDescent="0.15">
      <c r="B35" s="88"/>
      <c r="C35" s="76"/>
      <c r="D35" s="193"/>
      <c r="E35" s="96" t="s">
        <v>3309</v>
      </c>
      <c r="F35" s="96" t="s">
        <v>3307</v>
      </c>
      <c r="G35" s="92">
        <v>268</v>
      </c>
      <c r="H35" s="90" t="s">
        <v>3286</v>
      </c>
      <c r="I35" s="115"/>
      <c r="J35" s="95">
        <f>(G35*I35)*2</f>
        <v>0</v>
      </c>
      <c r="K35" s="96"/>
      <c r="L35" s="85"/>
      <c r="M35" s="76"/>
      <c r="N35" s="195"/>
      <c r="O35" s="195"/>
      <c r="P35" s="195"/>
      <c r="Q35" s="195"/>
      <c r="R35" s="195"/>
      <c r="S35" s="195"/>
      <c r="V35" s="192"/>
    </row>
    <row r="36" spans="2:22" s="74" customFormat="1" ht="14.1" customHeight="1" x14ac:dyDescent="0.15">
      <c r="B36" s="88"/>
      <c r="C36" s="76"/>
      <c r="D36" s="193"/>
      <c r="E36" s="96" t="s">
        <v>3310</v>
      </c>
      <c r="F36" s="96" t="s">
        <v>3307</v>
      </c>
      <c r="G36" s="92">
        <v>152</v>
      </c>
      <c r="H36" s="90" t="s">
        <v>3286</v>
      </c>
      <c r="I36" s="115"/>
      <c r="J36" s="95">
        <f>(G36*I36)*2</f>
        <v>0</v>
      </c>
      <c r="K36" s="96"/>
      <c r="L36" s="85"/>
      <c r="M36" s="76"/>
      <c r="N36" s="195"/>
      <c r="O36" s="195"/>
      <c r="P36" s="195"/>
      <c r="Q36" s="195"/>
      <c r="R36" s="195"/>
      <c r="S36" s="195"/>
      <c r="V36" s="192"/>
    </row>
    <row r="37" spans="2:22" s="74" customFormat="1" ht="14.1" customHeight="1" x14ac:dyDescent="0.15">
      <c r="B37" s="88"/>
      <c r="C37" s="76"/>
      <c r="D37" s="193"/>
      <c r="E37" s="96" t="s">
        <v>3311</v>
      </c>
      <c r="F37" s="96" t="s">
        <v>3307</v>
      </c>
      <c r="G37" s="92">
        <v>32</v>
      </c>
      <c r="H37" s="90" t="s">
        <v>3286</v>
      </c>
      <c r="I37" s="115"/>
      <c r="J37" s="95">
        <f>G37*I37</f>
        <v>0</v>
      </c>
      <c r="K37" s="96"/>
      <c r="L37" s="85"/>
      <c r="M37" s="76"/>
      <c r="N37" s="195"/>
      <c r="O37" s="195"/>
      <c r="P37" s="195"/>
      <c r="Q37" s="195"/>
      <c r="R37" s="195"/>
      <c r="S37" s="195"/>
      <c r="V37" s="192"/>
    </row>
    <row r="38" spans="2:22" s="74" customFormat="1" ht="14.1" customHeight="1" x14ac:dyDescent="0.15">
      <c r="B38" s="88"/>
      <c r="C38" s="76"/>
      <c r="D38" s="100"/>
      <c r="E38" s="100"/>
      <c r="F38" s="100"/>
      <c r="G38" s="98"/>
      <c r="H38" s="99" t="s">
        <v>3290</v>
      </c>
      <c r="I38" s="99"/>
      <c r="J38" s="98">
        <f>SUM(J28:J37)</f>
        <v>716500</v>
      </c>
      <c r="K38" s="100"/>
      <c r="L38" s="85"/>
      <c r="M38" s="76"/>
      <c r="N38" s="106" t="s">
        <v>3312</v>
      </c>
      <c r="O38" s="116"/>
      <c r="P38" s="116"/>
      <c r="V38" s="192"/>
    </row>
    <row r="39" spans="2:22" s="74" customFormat="1" ht="14.1" customHeight="1" x14ac:dyDescent="0.15">
      <c r="B39" s="88"/>
      <c r="C39" s="76" t="s">
        <v>3313</v>
      </c>
      <c r="D39" s="76"/>
      <c r="E39" s="76"/>
      <c r="F39" s="76"/>
      <c r="G39" s="103"/>
      <c r="H39" s="104"/>
      <c r="I39" s="112"/>
      <c r="J39" s="103"/>
      <c r="K39" s="117"/>
      <c r="L39" s="85"/>
      <c r="M39" s="76"/>
      <c r="N39" s="103"/>
      <c r="O39" s="116"/>
      <c r="P39" s="116"/>
      <c r="V39" s="192"/>
    </row>
    <row r="40" spans="2:22" s="74" customFormat="1" ht="14.1" customHeight="1" x14ac:dyDescent="0.15">
      <c r="B40" s="88"/>
      <c r="C40" s="76"/>
      <c r="D40" s="191" t="s">
        <v>3302</v>
      </c>
      <c r="E40" s="96" t="s">
        <v>3314</v>
      </c>
      <c r="F40" s="96" t="s">
        <v>3302</v>
      </c>
      <c r="G40" s="92">
        <v>88000</v>
      </c>
      <c r="H40" s="93" t="s">
        <v>3283</v>
      </c>
      <c r="I40" s="115"/>
      <c r="J40" s="95">
        <f t="shared" ref="J40:J50" si="2">G40*I40</f>
        <v>0</v>
      </c>
      <c r="K40" s="96"/>
      <c r="L40" s="85"/>
      <c r="M40" s="76"/>
      <c r="N40" s="118" t="s">
        <v>3315</v>
      </c>
      <c r="O40" s="118"/>
      <c r="P40" s="118"/>
      <c r="Q40" s="119"/>
      <c r="V40" s="75"/>
    </row>
    <row r="41" spans="2:22" s="74" customFormat="1" ht="14.1" customHeight="1" x14ac:dyDescent="0.15">
      <c r="B41" s="88"/>
      <c r="C41" s="76"/>
      <c r="D41" s="191"/>
      <c r="E41" s="96" t="s">
        <v>3316</v>
      </c>
      <c r="F41" s="96" t="s">
        <v>3302</v>
      </c>
      <c r="G41" s="92">
        <v>293000</v>
      </c>
      <c r="H41" s="93" t="s">
        <v>3283</v>
      </c>
      <c r="I41" s="115">
        <v>1</v>
      </c>
      <c r="J41" s="95">
        <f t="shared" si="2"/>
        <v>293000</v>
      </c>
      <c r="K41" s="96"/>
      <c r="L41" s="85"/>
      <c r="M41" s="76"/>
      <c r="N41" s="118"/>
      <c r="O41" s="118"/>
      <c r="P41" s="118"/>
      <c r="Q41" s="119"/>
      <c r="V41" s="75"/>
    </row>
    <row r="42" spans="2:22" s="74" customFormat="1" ht="14.1" customHeight="1" x14ac:dyDescent="0.15">
      <c r="B42" s="88"/>
      <c r="C42" s="76"/>
      <c r="D42" s="191"/>
      <c r="E42" s="96" t="s">
        <v>3317</v>
      </c>
      <c r="F42" s="96" t="s">
        <v>3302</v>
      </c>
      <c r="G42" s="92">
        <v>3804000</v>
      </c>
      <c r="H42" s="93" t="s">
        <v>3283</v>
      </c>
      <c r="I42" s="115"/>
      <c r="J42" s="95">
        <f t="shared" si="2"/>
        <v>0</v>
      </c>
      <c r="K42" s="96"/>
      <c r="L42" s="85"/>
      <c r="M42" s="76"/>
      <c r="N42" s="118"/>
      <c r="O42" s="118"/>
      <c r="P42" s="118"/>
      <c r="Q42" s="119"/>
      <c r="V42" s="75"/>
    </row>
    <row r="43" spans="2:22" s="74" customFormat="1" ht="14.1" customHeight="1" x14ac:dyDescent="0.15">
      <c r="B43" s="88"/>
      <c r="C43" s="76"/>
      <c r="D43" s="193" t="s">
        <v>3306</v>
      </c>
      <c r="E43" s="96" t="s">
        <v>3314</v>
      </c>
      <c r="F43" s="120"/>
      <c r="G43" s="92">
        <v>203</v>
      </c>
      <c r="H43" s="90" t="s">
        <v>3286</v>
      </c>
      <c r="I43" s="115"/>
      <c r="J43" s="95">
        <f t="shared" si="2"/>
        <v>0</v>
      </c>
      <c r="K43" s="96"/>
      <c r="L43" s="85"/>
      <c r="M43" s="76"/>
      <c r="N43" s="103"/>
      <c r="O43" s="121"/>
      <c r="P43" s="116"/>
    </row>
    <row r="44" spans="2:22" s="74" customFormat="1" ht="14.1" customHeight="1" x14ac:dyDescent="0.15">
      <c r="B44" s="88"/>
      <c r="C44" s="76"/>
      <c r="D44" s="193"/>
      <c r="E44" s="196" t="s">
        <v>3316</v>
      </c>
      <c r="F44" s="120" t="s">
        <v>3318</v>
      </c>
      <c r="G44" s="92">
        <v>177</v>
      </c>
      <c r="H44" s="90" t="s">
        <v>3286</v>
      </c>
      <c r="I44" s="115">
        <v>360</v>
      </c>
      <c r="J44" s="95">
        <f t="shared" si="2"/>
        <v>63720</v>
      </c>
      <c r="K44" s="96"/>
      <c r="L44" s="85"/>
      <c r="M44" s="76"/>
      <c r="N44" s="103"/>
      <c r="O44" s="121"/>
      <c r="P44" s="116"/>
    </row>
    <row r="45" spans="2:22" s="74" customFormat="1" ht="14.1" customHeight="1" x14ac:dyDescent="0.15">
      <c r="B45" s="88"/>
      <c r="C45" s="76"/>
      <c r="D45" s="193"/>
      <c r="E45" s="196"/>
      <c r="F45" s="120" t="s">
        <v>3319</v>
      </c>
      <c r="G45" s="92">
        <v>109</v>
      </c>
      <c r="H45" s="90" t="s">
        <v>3286</v>
      </c>
      <c r="I45" s="115"/>
      <c r="J45" s="95">
        <f t="shared" si="2"/>
        <v>0</v>
      </c>
      <c r="K45" s="96"/>
      <c r="L45" s="85"/>
      <c r="M45" s="76"/>
      <c r="N45" s="103"/>
      <c r="O45" s="121"/>
      <c r="P45" s="116"/>
    </row>
    <row r="46" spans="2:22" s="74" customFormat="1" ht="14.1" customHeight="1" x14ac:dyDescent="0.15">
      <c r="B46" s="88"/>
      <c r="C46" s="76"/>
      <c r="D46" s="193"/>
      <c r="E46" s="196"/>
      <c r="F46" s="120" t="s">
        <v>3320</v>
      </c>
      <c r="G46" s="92">
        <v>86</v>
      </c>
      <c r="H46" s="90" t="s">
        <v>3286</v>
      </c>
      <c r="I46" s="115"/>
      <c r="J46" s="95">
        <f t="shared" si="2"/>
        <v>0</v>
      </c>
      <c r="K46" s="96"/>
      <c r="L46" s="85"/>
      <c r="M46" s="76"/>
      <c r="N46" s="103"/>
      <c r="O46" s="121"/>
      <c r="P46" s="116"/>
    </row>
    <row r="47" spans="2:22" s="74" customFormat="1" ht="14.1" customHeight="1" x14ac:dyDescent="0.15">
      <c r="B47" s="88"/>
      <c r="C47" s="76"/>
      <c r="D47" s="193"/>
      <c r="E47" s="196"/>
      <c r="F47" s="120" t="s">
        <v>3321</v>
      </c>
      <c r="G47" s="92">
        <v>47</v>
      </c>
      <c r="H47" s="90" t="s">
        <v>3286</v>
      </c>
      <c r="I47" s="115"/>
      <c r="J47" s="95">
        <f t="shared" si="2"/>
        <v>0</v>
      </c>
      <c r="K47" s="96"/>
      <c r="L47" s="85"/>
      <c r="M47" s="76"/>
      <c r="N47" s="103"/>
      <c r="O47" s="121"/>
      <c r="P47" s="116"/>
    </row>
    <row r="48" spans="2:22" s="74" customFormat="1" ht="14.1" customHeight="1" x14ac:dyDescent="0.15">
      <c r="B48" s="88"/>
      <c r="C48" s="76"/>
      <c r="D48" s="193"/>
      <c r="E48" s="196"/>
      <c r="F48" s="120" t="s">
        <v>3322</v>
      </c>
      <c r="G48" s="92">
        <v>7</v>
      </c>
      <c r="H48" s="90" t="s">
        <v>3286</v>
      </c>
      <c r="I48" s="115"/>
      <c r="J48" s="95">
        <f t="shared" si="2"/>
        <v>0</v>
      </c>
      <c r="K48" s="96"/>
      <c r="L48" s="85"/>
      <c r="M48" s="76"/>
      <c r="N48" s="103"/>
      <c r="O48" s="121"/>
      <c r="P48" s="116"/>
    </row>
    <row r="49" spans="2:16" s="74" customFormat="1" ht="14.1" customHeight="1" x14ac:dyDescent="0.15">
      <c r="B49" s="88"/>
      <c r="C49" s="76"/>
      <c r="D49" s="193"/>
      <c r="E49" s="196" t="s">
        <v>3317</v>
      </c>
      <c r="F49" s="120" t="s">
        <v>3323</v>
      </c>
      <c r="G49" s="92">
        <v>34</v>
      </c>
      <c r="H49" s="90" t="s">
        <v>3286</v>
      </c>
      <c r="I49" s="115"/>
      <c r="J49" s="95">
        <f t="shared" si="2"/>
        <v>0</v>
      </c>
      <c r="K49" s="96"/>
      <c r="L49" s="85"/>
      <c r="M49" s="76"/>
      <c r="N49" s="103"/>
      <c r="O49" s="121"/>
      <c r="P49" s="116"/>
    </row>
    <row r="50" spans="2:16" s="74" customFormat="1" ht="14.1" customHeight="1" x14ac:dyDescent="0.15">
      <c r="B50" s="88"/>
      <c r="C50" s="76"/>
      <c r="D50" s="193"/>
      <c r="E50" s="196"/>
      <c r="F50" s="120" t="s">
        <v>3324</v>
      </c>
      <c r="G50" s="92">
        <v>18</v>
      </c>
      <c r="H50" s="90" t="s">
        <v>3286</v>
      </c>
      <c r="I50" s="115"/>
      <c r="J50" s="95">
        <f t="shared" si="2"/>
        <v>0</v>
      </c>
      <c r="K50" s="96"/>
      <c r="L50" s="85"/>
      <c r="M50" s="76"/>
      <c r="N50" s="103"/>
      <c r="O50" s="121"/>
      <c r="P50" s="116"/>
    </row>
    <row r="51" spans="2:16" s="74" customFormat="1" ht="14.1" customHeight="1" x14ac:dyDescent="0.15">
      <c r="B51" s="88"/>
      <c r="C51" s="76"/>
      <c r="D51" s="96"/>
      <c r="E51" s="100"/>
      <c r="F51" s="100"/>
      <c r="G51" s="98"/>
      <c r="H51" s="99" t="s">
        <v>3290</v>
      </c>
      <c r="I51" s="99"/>
      <c r="J51" s="98">
        <f>SUM(J40:J50)</f>
        <v>356720</v>
      </c>
      <c r="K51" s="100"/>
      <c r="L51" s="85"/>
      <c r="M51" s="76"/>
      <c r="N51" s="103"/>
    </row>
    <row r="52" spans="2:16" s="74" customFormat="1" ht="14.1" customHeight="1" x14ac:dyDescent="0.15">
      <c r="B52" s="88"/>
      <c r="C52" s="76" t="s">
        <v>3325</v>
      </c>
      <c r="D52" s="117"/>
      <c r="E52" s="117"/>
      <c r="F52" s="117"/>
      <c r="G52" s="122"/>
      <c r="H52" s="123"/>
      <c r="I52" s="124"/>
      <c r="J52" s="122"/>
      <c r="K52" s="117"/>
      <c r="L52" s="85"/>
      <c r="M52" s="76"/>
      <c r="N52" s="106"/>
    </row>
    <row r="53" spans="2:16" s="74" customFormat="1" ht="14.1" customHeight="1" x14ac:dyDescent="0.15">
      <c r="B53" s="88"/>
      <c r="C53" s="76"/>
      <c r="D53" s="188" t="s">
        <v>3302</v>
      </c>
      <c r="E53" s="96" t="s">
        <v>3326</v>
      </c>
      <c r="F53" s="96" t="s">
        <v>3302</v>
      </c>
      <c r="G53" s="92">
        <v>81300</v>
      </c>
      <c r="H53" s="90" t="s">
        <v>3283</v>
      </c>
      <c r="I53" s="115"/>
      <c r="J53" s="95">
        <f t="shared" ref="J53:J59" si="3">G53*I53</f>
        <v>0</v>
      </c>
      <c r="K53" s="96"/>
      <c r="L53" s="85"/>
      <c r="M53" s="76"/>
      <c r="N53" s="106"/>
    </row>
    <row r="54" spans="2:16" s="74" customFormat="1" ht="14.1" customHeight="1" x14ac:dyDescent="0.15">
      <c r="B54" s="88"/>
      <c r="C54" s="76"/>
      <c r="D54" s="189"/>
      <c r="E54" s="96" t="s">
        <v>3327</v>
      </c>
      <c r="F54" s="96" t="s">
        <v>3302</v>
      </c>
      <c r="G54" s="92">
        <v>138000</v>
      </c>
      <c r="H54" s="90" t="s">
        <v>3283</v>
      </c>
      <c r="I54" s="115">
        <v>0</v>
      </c>
      <c r="J54" s="95">
        <f t="shared" si="3"/>
        <v>0</v>
      </c>
      <c r="K54" s="96"/>
      <c r="L54" s="85"/>
      <c r="M54" s="76"/>
      <c r="N54" s="116" t="s">
        <v>3328</v>
      </c>
      <c r="P54" s="116"/>
    </row>
    <row r="55" spans="2:16" s="74" customFormat="1" ht="14.1" customHeight="1" x14ac:dyDescent="0.15">
      <c r="B55" s="88"/>
      <c r="C55" s="76"/>
      <c r="D55" s="189"/>
      <c r="E55" s="96" t="s">
        <v>3329</v>
      </c>
      <c r="F55" s="96" t="s">
        <v>3302</v>
      </c>
      <c r="G55" s="92">
        <v>239600</v>
      </c>
      <c r="H55" s="90" t="s">
        <v>3283</v>
      </c>
      <c r="I55" s="115">
        <v>1</v>
      </c>
      <c r="J55" s="95">
        <f>G55*I55</f>
        <v>239600</v>
      </c>
      <c r="K55" s="96"/>
      <c r="L55" s="85"/>
      <c r="M55" s="76"/>
      <c r="N55" s="106"/>
    </row>
    <row r="56" spans="2:16" s="74" customFormat="1" ht="14.1" customHeight="1" x14ac:dyDescent="0.15">
      <c r="B56" s="88"/>
      <c r="C56" s="76"/>
      <c r="D56" s="190"/>
      <c r="E56" s="96" t="s">
        <v>3330</v>
      </c>
      <c r="F56" s="96" t="s">
        <v>3302</v>
      </c>
      <c r="G56" s="92">
        <v>351900</v>
      </c>
      <c r="H56" s="90" t="s">
        <v>3283</v>
      </c>
      <c r="I56" s="115"/>
      <c r="J56" s="95">
        <f>G56*I56</f>
        <v>0</v>
      </c>
      <c r="K56" s="96"/>
      <c r="L56" s="85"/>
      <c r="M56" s="76"/>
      <c r="N56" s="116" t="s">
        <v>3328</v>
      </c>
      <c r="P56" s="116"/>
    </row>
    <row r="57" spans="2:16" s="74" customFormat="1" ht="14.1" customHeight="1" x14ac:dyDescent="0.15">
      <c r="B57" s="88"/>
      <c r="C57" s="76"/>
      <c r="D57" s="188" t="s">
        <v>3306</v>
      </c>
      <c r="E57" s="96" t="s">
        <v>3326</v>
      </c>
      <c r="F57" s="96" t="s">
        <v>3307</v>
      </c>
      <c r="G57" s="92">
        <v>292</v>
      </c>
      <c r="H57" s="90" t="s">
        <v>3286</v>
      </c>
      <c r="I57" s="115"/>
      <c r="J57" s="95">
        <f t="shared" si="3"/>
        <v>0</v>
      </c>
      <c r="K57" s="96"/>
      <c r="L57" s="85"/>
      <c r="M57" s="76"/>
      <c r="N57" s="116"/>
      <c r="P57" s="116"/>
    </row>
    <row r="58" spans="2:16" s="74" customFormat="1" ht="14.1" customHeight="1" x14ac:dyDescent="0.15">
      <c r="B58" s="88"/>
      <c r="C58" s="76"/>
      <c r="D58" s="189"/>
      <c r="E58" s="96" t="s">
        <v>3327</v>
      </c>
      <c r="F58" s="96" t="s">
        <v>3307</v>
      </c>
      <c r="G58" s="92">
        <v>611</v>
      </c>
      <c r="H58" s="90" t="s">
        <v>3286</v>
      </c>
      <c r="I58" s="125">
        <v>0</v>
      </c>
      <c r="J58" s="95">
        <f t="shared" si="3"/>
        <v>0</v>
      </c>
      <c r="K58" s="96"/>
      <c r="L58" s="85"/>
      <c r="M58" s="76"/>
      <c r="N58" s="116"/>
      <c r="P58" s="116"/>
    </row>
    <row r="59" spans="2:16" s="74" customFormat="1" ht="14.1" customHeight="1" x14ac:dyDescent="0.15">
      <c r="B59" s="88"/>
      <c r="C59" s="76"/>
      <c r="D59" s="189"/>
      <c r="E59" s="96" t="s">
        <v>3329</v>
      </c>
      <c r="F59" s="96" t="s">
        <v>3307</v>
      </c>
      <c r="G59" s="92">
        <v>426</v>
      </c>
      <c r="H59" s="90" t="s">
        <v>3286</v>
      </c>
      <c r="I59" s="126">
        <v>56</v>
      </c>
      <c r="J59" s="95">
        <f t="shared" si="3"/>
        <v>23856</v>
      </c>
      <c r="K59" s="96"/>
      <c r="L59" s="85"/>
      <c r="M59" s="76"/>
      <c r="N59" s="116"/>
      <c r="P59" s="116"/>
    </row>
    <row r="60" spans="2:16" s="74" customFormat="1" ht="14.1" customHeight="1" x14ac:dyDescent="0.15">
      <c r="B60" s="88"/>
      <c r="C60" s="76"/>
      <c r="D60" s="190"/>
      <c r="E60" s="96" t="s">
        <v>3330</v>
      </c>
      <c r="F60" s="96" t="s">
        <v>3307</v>
      </c>
      <c r="G60" s="92">
        <v>349</v>
      </c>
      <c r="H60" s="90" t="s">
        <v>3286</v>
      </c>
      <c r="I60" s="126"/>
      <c r="J60" s="95"/>
      <c r="K60" s="96"/>
      <c r="L60" s="85"/>
      <c r="M60" s="76"/>
      <c r="N60" s="116"/>
      <c r="P60" s="116"/>
    </row>
    <row r="61" spans="2:16" s="74" customFormat="1" ht="14.1" customHeight="1" x14ac:dyDescent="0.15">
      <c r="B61" s="88"/>
      <c r="C61" s="76"/>
      <c r="D61" s="127"/>
      <c r="E61" s="100"/>
      <c r="F61" s="100"/>
      <c r="G61" s="98"/>
      <c r="H61" s="128" t="s">
        <v>3331</v>
      </c>
      <c r="I61" s="129"/>
      <c r="J61" s="98">
        <f>SUM(J53:J60)</f>
        <v>263456</v>
      </c>
      <c r="K61" s="100"/>
      <c r="L61" s="85"/>
      <c r="M61" s="76"/>
      <c r="N61" s="116"/>
      <c r="P61" s="116"/>
    </row>
    <row r="62" spans="2:16" s="74" customFormat="1" ht="14.1" customHeight="1" x14ac:dyDescent="0.15">
      <c r="B62" s="88"/>
      <c r="C62" s="76" t="s">
        <v>3332</v>
      </c>
      <c r="D62" s="117"/>
      <c r="E62" s="117"/>
      <c r="F62" s="117"/>
      <c r="G62" s="122"/>
      <c r="H62" s="123"/>
      <c r="I62" s="124"/>
      <c r="J62" s="122"/>
      <c r="K62" s="117"/>
      <c r="L62" s="85"/>
      <c r="M62" s="76"/>
      <c r="N62" s="106"/>
    </row>
    <row r="63" spans="2:16" s="74" customFormat="1" ht="14.1" customHeight="1" x14ac:dyDescent="0.15">
      <c r="B63" s="88"/>
      <c r="C63" s="76"/>
      <c r="D63" s="188" t="s">
        <v>3302</v>
      </c>
      <c r="E63" s="96" t="s">
        <v>3333</v>
      </c>
      <c r="F63" s="96" t="s">
        <v>3302</v>
      </c>
      <c r="G63" s="92">
        <v>83500</v>
      </c>
      <c r="H63" s="90" t="s">
        <v>3283</v>
      </c>
      <c r="I63" s="115"/>
      <c r="J63" s="95">
        <f t="shared" ref="J63:J68" si="4">G63*I63</f>
        <v>0</v>
      </c>
      <c r="K63" s="96"/>
      <c r="L63" s="85"/>
      <c r="M63" s="76"/>
      <c r="N63" s="106"/>
    </row>
    <row r="64" spans="2:16" s="74" customFormat="1" ht="14.1" customHeight="1" x14ac:dyDescent="0.15">
      <c r="B64" s="88"/>
      <c r="C64" s="76"/>
      <c r="D64" s="189"/>
      <c r="E64" s="96" t="s">
        <v>3334</v>
      </c>
      <c r="F64" s="96" t="s">
        <v>3302</v>
      </c>
      <c r="G64" s="92">
        <v>1000300</v>
      </c>
      <c r="H64" s="90" t="s">
        <v>3283</v>
      </c>
      <c r="I64" s="115"/>
      <c r="J64" s="95">
        <f t="shared" si="4"/>
        <v>0</v>
      </c>
      <c r="K64" s="96"/>
      <c r="L64" s="85"/>
      <c r="M64" s="76"/>
      <c r="N64" s="116" t="s">
        <v>3328</v>
      </c>
      <c r="P64" s="116"/>
    </row>
    <row r="65" spans="2:16" s="74" customFormat="1" ht="14.1" customHeight="1" x14ac:dyDescent="0.15">
      <c r="B65" s="88"/>
      <c r="C65" s="76"/>
      <c r="D65" s="190"/>
      <c r="E65" s="96" t="s">
        <v>3335</v>
      </c>
      <c r="F65" s="96" t="s">
        <v>3302</v>
      </c>
      <c r="G65" s="92">
        <v>1668200</v>
      </c>
      <c r="H65" s="90" t="s">
        <v>3283</v>
      </c>
      <c r="I65" s="115"/>
      <c r="J65" s="95">
        <f t="shared" si="4"/>
        <v>0</v>
      </c>
      <c r="K65" s="96"/>
      <c r="L65" s="85"/>
      <c r="M65" s="76"/>
      <c r="N65" s="116" t="s">
        <v>3328</v>
      </c>
      <c r="P65" s="116"/>
    </row>
    <row r="66" spans="2:16" s="74" customFormat="1" ht="14.1" customHeight="1" x14ac:dyDescent="0.15">
      <c r="B66" s="88"/>
      <c r="C66" s="76"/>
      <c r="D66" s="188" t="s">
        <v>3306</v>
      </c>
      <c r="E66" s="96" t="s">
        <v>3333</v>
      </c>
      <c r="F66" s="96" t="s">
        <v>3307</v>
      </c>
      <c r="G66" s="92">
        <v>469</v>
      </c>
      <c r="H66" s="90" t="s">
        <v>3286</v>
      </c>
      <c r="I66" s="115"/>
      <c r="J66" s="95">
        <f t="shared" si="4"/>
        <v>0</v>
      </c>
      <c r="K66" s="96"/>
      <c r="L66" s="85"/>
      <c r="M66" s="76"/>
      <c r="N66" s="116"/>
      <c r="P66" s="116"/>
    </row>
    <row r="67" spans="2:16" s="74" customFormat="1" ht="14.1" customHeight="1" x14ac:dyDescent="0.15">
      <c r="B67" s="88"/>
      <c r="C67" s="76"/>
      <c r="D67" s="189"/>
      <c r="E67" s="96" t="s">
        <v>3334</v>
      </c>
      <c r="F67" s="96" t="s">
        <v>3307</v>
      </c>
      <c r="G67" s="92">
        <v>267</v>
      </c>
      <c r="H67" s="90" t="s">
        <v>3286</v>
      </c>
      <c r="I67" s="126"/>
      <c r="J67" s="95">
        <f t="shared" si="4"/>
        <v>0</v>
      </c>
      <c r="K67" s="96"/>
      <c r="L67" s="85"/>
      <c r="M67" s="76"/>
      <c r="N67" s="116"/>
      <c r="P67" s="116"/>
    </row>
    <row r="68" spans="2:16" s="74" customFormat="1" ht="14.1" customHeight="1" x14ac:dyDescent="0.15">
      <c r="B68" s="88"/>
      <c r="C68" s="76"/>
      <c r="D68" s="189"/>
      <c r="E68" s="96" t="s">
        <v>3335</v>
      </c>
      <c r="F68" s="96" t="s">
        <v>3307</v>
      </c>
      <c r="G68" s="92">
        <v>137</v>
      </c>
      <c r="H68" s="90" t="s">
        <v>3286</v>
      </c>
      <c r="I68" s="126"/>
      <c r="J68" s="95">
        <f t="shared" si="4"/>
        <v>0</v>
      </c>
      <c r="K68" s="96"/>
      <c r="L68" s="85"/>
      <c r="M68" s="76"/>
      <c r="N68" s="116"/>
      <c r="P68" s="116"/>
    </row>
    <row r="69" spans="2:16" s="74" customFormat="1" ht="14.1" customHeight="1" x14ac:dyDescent="0.15">
      <c r="B69" s="88"/>
      <c r="C69" s="76"/>
      <c r="D69" s="127"/>
      <c r="E69" s="100"/>
      <c r="F69" s="100"/>
      <c r="G69" s="98"/>
      <c r="H69" s="128" t="s">
        <v>3331</v>
      </c>
      <c r="I69" s="129"/>
      <c r="J69" s="98">
        <f>SUM(J63:J68)</f>
        <v>0</v>
      </c>
      <c r="K69" s="100"/>
      <c r="L69" s="85"/>
      <c r="M69" s="76"/>
      <c r="N69" s="116"/>
      <c r="P69" s="116"/>
    </row>
    <row r="70" spans="2:16" s="74" customFormat="1" ht="14.1" customHeight="1" x14ac:dyDescent="0.15">
      <c r="B70" s="88"/>
      <c r="C70" s="76" t="s">
        <v>3336</v>
      </c>
      <c r="D70" s="117"/>
      <c r="E70" s="117"/>
      <c r="F70" s="117"/>
      <c r="G70" s="122"/>
      <c r="H70" s="123"/>
      <c r="I70" s="124"/>
      <c r="J70" s="122"/>
      <c r="K70" s="117"/>
      <c r="L70" s="85"/>
      <c r="M70" s="76"/>
      <c r="N70" s="106"/>
    </row>
    <row r="71" spans="2:16" s="74" customFormat="1" ht="14.1" customHeight="1" x14ac:dyDescent="0.15">
      <c r="B71" s="88"/>
      <c r="C71" s="76"/>
      <c r="D71" s="188" t="s">
        <v>3302</v>
      </c>
      <c r="E71" s="96" t="s">
        <v>3337</v>
      </c>
      <c r="F71" s="96" t="s">
        <v>3302</v>
      </c>
      <c r="G71" s="92">
        <v>236400</v>
      </c>
      <c r="H71" s="90" t="s">
        <v>3283</v>
      </c>
      <c r="I71" s="115"/>
      <c r="J71" s="95">
        <f t="shared" ref="J71:J77" si="5">G71*I71</f>
        <v>0</v>
      </c>
      <c r="K71" s="96"/>
      <c r="L71" s="85"/>
      <c r="M71" s="76"/>
      <c r="N71" s="106"/>
    </row>
    <row r="72" spans="2:16" s="74" customFormat="1" ht="14.1" customHeight="1" x14ac:dyDescent="0.15">
      <c r="B72" s="88"/>
      <c r="C72" s="76"/>
      <c r="D72" s="189"/>
      <c r="E72" s="96" t="s">
        <v>3338</v>
      </c>
      <c r="F72" s="96" t="s">
        <v>3302</v>
      </c>
      <c r="G72" s="92">
        <v>331200</v>
      </c>
      <c r="H72" s="90" t="s">
        <v>3283</v>
      </c>
      <c r="I72" s="115"/>
      <c r="J72" s="95">
        <f t="shared" si="5"/>
        <v>0</v>
      </c>
      <c r="K72" s="96"/>
      <c r="L72" s="85"/>
      <c r="M72" s="76"/>
      <c r="N72" s="116" t="s">
        <v>3328</v>
      </c>
      <c r="P72" s="116"/>
    </row>
    <row r="73" spans="2:16" s="74" customFormat="1" ht="14.1" customHeight="1" x14ac:dyDescent="0.15">
      <c r="B73" s="88"/>
      <c r="C73" s="76"/>
      <c r="D73" s="189"/>
      <c r="E73" s="96" t="s">
        <v>3339</v>
      </c>
      <c r="F73" s="96" t="s">
        <v>3302</v>
      </c>
      <c r="G73" s="92">
        <v>532700</v>
      </c>
      <c r="H73" s="90" t="s">
        <v>3283</v>
      </c>
      <c r="I73" s="115"/>
      <c r="J73" s="95">
        <f t="shared" si="5"/>
        <v>0</v>
      </c>
      <c r="K73" s="96"/>
      <c r="L73" s="85"/>
      <c r="M73" s="76"/>
      <c r="N73" s="106"/>
    </row>
    <row r="74" spans="2:16" s="74" customFormat="1" ht="14.1" customHeight="1" x14ac:dyDescent="0.15">
      <c r="B74" s="88"/>
      <c r="C74" s="76"/>
      <c r="D74" s="190"/>
      <c r="E74" s="96" t="s">
        <v>3340</v>
      </c>
      <c r="F74" s="96" t="s">
        <v>3302</v>
      </c>
      <c r="G74" s="92">
        <v>612200</v>
      </c>
      <c r="H74" s="90" t="s">
        <v>3283</v>
      </c>
      <c r="I74" s="115"/>
      <c r="J74" s="95">
        <f t="shared" si="5"/>
        <v>0</v>
      </c>
      <c r="K74" s="96"/>
      <c r="L74" s="85"/>
      <c r="M74" s="76"/>
      <c r="N74" s="116" t="s">
        <v>3328</v>
      </c>
      <c r="P74" s="116"/>
    </row>
    <row r="75" spans="2:16" s="74" customFormat="1" ht="14.1" customHeight="1" x14ac:dyDescent="0.15">
      <c r="B75" s="88"/>
      <c r="C75" s="76"/>
      <c r="D75" s="188" t="s">
        <v>3306</v>
      </c>
      <c r="E75" s="96" t="s">
        <v>3337</v>
      </c>
      <c r="F75" s="96" t="s">
        <v>3307</v>
      </c>
      <c r="G75" s="92">
        <v>1557</v>
      </c>
      <c r="H75" s="90" t="s">
        <v>3286</v>
      </c>
      <c r="I75" s="115"/>
      <c r="J75" s="95">
        <f t="shared" si="5"/>
        <v>0</v>
      </c>
      <c r="K75" s="96"/>
      <c r="L75" s="85"/>
      <c r="M75" s="76"/>
      <c r="N75" s="116"/>
      <c r="P75" s="116"/>
    </row>
    <row r="76" spans="2:16" s="74" customFormat="1" ht="14.1" customHeight="1" x14ac:dyDescent="0.15">
      <c r="B76" s="88"/>
      <c r="C76" s="76"/>
      <c r="D76" s="189"/>
      <c r="E76" s="96" t="s">
        <v>3338</v>
      </c>
      <c r="F76" s="96" t="s">
        <v>3307</v>
      </c>
      <c r="G76" s="92">
        <v>869</v>
      </c>
      <c r="H76" s="90" t="s">
        <v>3286</v>
      </c>
      <c r="I76" s="126"/>
      <c r="J76" s="95">
        <f t="shared" si="5"/>
        <v>0</v>
      </c>
      <c r="K76" s="96"/>
      <c r="L76" s="85"/>
      <c r="M76" s="76"/>
      <c r="N76" s="116"/>
      <c r="P76" s="116"/>
    </row>
    <row r="77" spans="2:16" s="74" customFormat="1" ht="14.1" customHeight="1" x14ac:dyDescent="0.15">
      <c r="B77" s="88"/>
      <c r="C77" s="76"/>
      <c r="D77" s="189"/>
      <c r="E77" s="96" t="s">
        <v>3339</v>
      </c>
      <c r="F77" s="96" t="s">
        <v>3307</v>
      </c>
      <c r="G77" s="92">
        <v>687</v>
      </c>
      <c r="H77" s="90" t="s">
        <v>3286</v>
      </c>
      <c r="I77" s="126"/>
      <c r="J77" s="95">
        <f t="shared" si="5"/>
        <v>0</v>
      </c>
      <c r="K77" s="96"/>
      <c r="L77" s="85"/>
      <c r="M77" s="76"/>
      <c r="N77" s="116"/>
      <c r="P77" s="116"/>
    </row>
    <row r="78" spans="2:16" s="74" customFormat="1" ht="14.1" customHeight="1" x14ac:dyDescent="0.15">
      <c r="B78" s="88"/>
      <c r="C78" s="76"/>
      <c r="D78" s="190"/>
      <c r="E78" s="96" t="s">
        <v>3340</v>
      </c>
      <c r="F78" s="96" t="s">
        <v>3307</v>
      </c>
      <c r="G78" s="92">
        <v>610</v>
      </c>
      <c r="H78" s="90" t="s">
        <v>3286</v>
      </c>
      <c r="I78" s="126"/>
      <c r="J78" s="95"/>
      <c r="K78" s="96"/>
      <c r="L78" s="85"/>
      <c r="M78" s="76"/>
      <c r="N78" s="116"/>
      <c r="P78" s="116"/>
    </row>
    <row r="79" spans="2:16" s="74" customFormat="1" ht="14.1" customHeight="1" x14ac:dyDescent="0.15">
      <c r="B79" s="88"/>
      <c r="C79" s="76"/>
      <c r="D79" s="127"/>
      <c r="E79" s="100"/>
      <c r="F79" s="100"/>
      <c r="G79" s="98"/>
      <c r="H79" s="128" t="s">
        <v>3331</v>
      </c>
      <c r="I79" s="129"/>
      <c r="J79" s="98">
        <f>SUM(J71:J78)</f>
        <v>0</v>
      </c>
      <c r="K79" s="100"/>
      <c r="L79" s="85"/>
      <c r="M79" s="76"/>
      <c r="N79" s="116"/>
      <c r="P79" s="116"/>
    </row>
    <row r="80" spans="2:16" s="87" customFormat="1" ht="14.1" customHeight="1" x14ac:dyDescent="0.15">
      <c r="B80" s="88"/>
      <c r="C80" s="76"/>
      <c r="D80" s="107"/>
      <c r="E80" s="107"/>
      <c r="F80" s="107"/>
      <c r="G80" s="108"/>
      <c r="H80" s="109" t="s">
        <v>3299</v>
      </c>
      <c r="I80" s="109"/>
      <c r="J80" s="110">
        <f>SUM(J38+J51+J61+J69+J79)</f>
        <v>1336676</v>
      </c>
      <c r="K80" s="107"/>
      <c r="L80" s="85"/>
      <c r="M80" s="76"/>
      <c r="N80" s="106">
        <f>J80</f>
        <v>1336676</v>
      </c>
      <c r="O80" s="111">
        <f>N80*10%</f>
        <v>133667.6</v>
      </c>
      <c r="P80" s="111">
        <f>N80+O80</f>
        <v>1470343.6</v>
      </c>
    </row>
    <row r="81" spans="2:19" s="74" customFormat="1" ht="14.1" customHeight="1" x14ac:dyDescent="0.15">
      <c r="B81" s="88"/>
      <c r="C81" s="76"/>
      <c r="D81" s="117"/>
      <c r="E81" s="117"/>
      <c r="F81" s="117"/>
      <c r="G81" s="122"/>
      <c r="H81" s="123"/>
      <c r="I81" s="124"/>
      <c r="J81" s="122"/>
      <c r="K81" s="117"/>
      <c r="L81" s="85"/>
      <c r="M81" s="76"/>
      <c r="N81" s="106"/>
    </row>
    <row r="82" spans="2:19" s="74" customFormat="1" ht="14.1" customHeight="1" x14ac:dyDescent="0.15">
      <c r="B82" s="88"/>
      <c r="C82" s="76"/>
      <c r="D82" s="130"/>
      <c r="E82" s="130"/>
      <c r="F82" s="130" t="s">
        <v>3341</v>
      </c>
      <c r="G82" s="130"/>
      <c r="H82" s="131" t="s">
        <v>3342</v>
      </c>
      <c r="I82" s="132"/>
      <c r="J82" s="133">
        <f>J25+J80</f>
        <v>13336676</v>
      </c>
      <c r="K82" s="96"/>
      <c r="L82" s="85"/>
      <c r="M82" s="76"/>
      <c r="N82" s="106"/>
      <c r="O82" s="134"/>
      <c r="P82" s="87"/>
    </row>
    <row r="83" spans="2:19" s="74" customFormat="1" ht="14.1" customHeight="1" x14ac:dyDescent="0.15">
      <c r="B83" s="88"/>
      <c r="C83" s="76"/>
      <c r="D83" s="130"/>
      <c r="E83" s="135"/>
      <c r="F83" s="130" t="s">
        <v>3343</v>
      </c>
      <c r="G83" s="135">
        <v>0.1</v>
      </c>
      <c r="H83" s="131" t="s">
        <v>3342</v>
      </c>
      <c r="I83" s="132"/>
      <c r="J83" s="133">
        <f>J82*10%</f>
        <v>1333667.6000000001</v>
      </c>
      <c r="K83" s="96"/>
      <c r="L83" s="85"/>
      <c r="M83" s="76"/>
      <c r="N83" s="106"/>
    </row>
    <row r="84" spans="2:19" s="74" customFormat="1" ht="14.1" customHeight="1" x14ac:dyDescent="0.15">
      <c r="B84" s="136"/>
      <c r="D84" s="130"/>
      <c r="E84" s="137"/>
      <c r="F84" s="130" t="s">
        <v>3344</v>
      </c>
      <c r="G84" s="137"/>
      <c r="H84" s="131" t="s">
        <v>3342</v>
      </c>
      <c r="I84" s="132"/>
      <c r="J84" s="133">
        <f>ROUNDDOWN((J82+J83),-3)</f>
        <v>14670000</v>
      </c>
      <c r="K84" s="138"/>
      <c r="L84" s="139"/>
      <c r="N84" s="72"/>
      <c r="P84" s="111">
        <f>P25+P80</f>
        <v>14670343.6</v>
      </c>
    </row>
    <row r="85" spans="2:19" ht="6" customHeight="1" x14ac:dyDescent="0.3">
      <c r="B85" s="140"/>
      <c r="C85" s="141"/>
      <c r="D85" s="141"/>
      <c r="E85" s="141"/>
      <c r="F85" s="141"/>
      <c r="G85" s="141"/>
      <c r="H85" s="142"/>
      <c r="I85" s="143"/>
      <c r="J85" s="141"/>
      <c r="K85" s="144"/>
      <c r="L85" s="145"/>
    </row>
    <row r="86" spans="2:19" ht="15" customHeight="1" x14ac:dyDescent="0.3"/>
    <row r="87" spans="2:19" ht="15" customHeight="1" x14ac:dyDescent="0.3">
      <c r="D87" s="146" t="s">
        <v>3345</v>
      </c>
      <c r="E87" s="146" t="s">
        <v>3346</v>
      </c>
      <c r="S87" s="147"/>
    </row>
    <row r="88" spans="2:19" ht="15" customHeight="1" x14ac:dyDescent="0.3">
      <c r="D88" s="146" t="s">
        <v>3347</v>
      </c>
      <c r="E88" s="148" t="s">
        <v>3348</v>
      </c>
      <c r="S88" s="147"/>
    </row>
    <row r="89" spans="2:19" ht="15" customHeight="1" x14ac:dyDescent="0.3">
      <c r="E89" s="149"/>
    </row>
  </sheetData>
  <mergeCells count="29">
    <mergeCell ref="B2:K2"/>
    <mergeCell ref="B3:F3"/>
    <mergeCell ref="W3:W12"/>
    <mergeCell ref="B5:F5"/>
    <mergeCell ref="K5:L5"/>
    <mergeCell ref="D8:D10"/>
    <mergeCell ref="N8:S13"/>
    <mergeCell ref="D11:D13"/>
    <mergeCell ref="D16:D18"/>
    <mergeCell ref="E16:E18"/>
    <mergeCell ref="N16:T23"/>
    <mergeCell ref="D19:D20"/>
    <mergeCell ref="E19:E20"/>
    <mergeCell ref="D22:D23"/>
    <mergeCell ref="E22:E23"/>
    <mergeCell ref="D75:D78"/>
    <mergeCell ref="D28:D31"/>
    <mergeCell ref="V30:V39"/>
    <mergeCell ref="D32:D37"/>
    <mergeCell ref="N32:S37"/>
    <mergeCell ref="D40:D42"/>
    <mergeCell ref="D43:D50"/>
    <mergeCell ref="E44:E48"/>
    <mergeCell ref="E49:E50"/>
    <mergeCell ref="D53:D56"/>
    <mergeCell ref="D57:D60"/>
    <mergeCell ref="D63:D65"/>
    <mergeCell ref="D66:D68"/>
    <mergeCell ref="D71:D74"/>
  </mergeCells>
  <phoneticPr fontId="2" type="noConversion"/>
  <printOptions horizontalCentered="1"/>
  <pageMargins left="0.27541667222976685" right="0.39347222447395325" top="0.47236111760139465" bottom="0.27541667222976685" header="0.43291667103767395" footer="0.19666667282581329"/>
  <pageSetup paperSize="9" scale="65" orientation="portrait" horizontalDpi="4294967292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workbookViewId="0">
      <selection activeCell="A11" sqref="A11"/>
    </sheetView>
  </sheetViews>
  <sheetFormatPr defaultRowHeight="13.5" x14ac:dyDescent="0.15"/>
  <cols>
    <col min="1" max="1" width="36.109375" style="1" customWidth="1"/>
    <col min="2" max="2" width="15.109375" style="2" bestFit="1" customWidth="1"/>
    <col min="3" max="6" width="15.109375" style="2" customWidth="1"/>
    <col min="7" max="7" width="8.6640625" style="2" customWidth="1"/>
    <col min="8" max="8" width="8.77734375" style="2" customWidth="1"/>
    <col min="9" max="16384" width="8.88671875" style="2"/>
  </cols>
  <sheetData>
    <row r="1" spans="1:13" ht="14.25" thickBot="1" x14ac:dyDescent="0.2">
      <c r="A1" s="46" t="s">
        <v>3</v>
      </c>
      <c r="B1" s="47" t="s">
        <v>11</v>
      </c>
      <c r="C1" s="47" t="s">
        <v>9</v>
      </c>
      <c r="D1" s="47" t="s">
        <v>10</v>
      </c>
      <c r="E1" s="47" t="s">
        <v>62</v>
      </c>
      <c r="F1" s="48" t="s">
        <v>12</v>
      </c>
      <c r="H1" s="41"/>
    </row>
    <row r="2" spans="1:13" x14ac:dyDescent="0.15">
      <c r="A2" s="5" t="s">
        <v>13</v>
      </c>
      <c r="B2" s="37">
        <f>총괄표!I29</f>
        <v>344292005</v>
      </c>
      <c r="C2" s="37">
        <f>총괄표!L29</f>
        <v>897549290</v>
      </c>
      <c r="D2" s="37">
        <f>총괄표!N29</f>
        <v>542331</v>
      </c>
      <c r="E2" s="37"/>
      <c r="F2" s="37">
        <f t="shared" ref="F2:F8" si="0">SUM(B2,C2,D2)</f>
        <v>1242383626</v>
      </c>
    </row>
    <row r="3" spans="1:13" x14ac:dyDescent="0.15">
      <c r="A3" s="3" t="s">
        <v>3219</v>
      </c>
      <c r="B3" s="38">
        <f>총괄표!I211</f>
        <v>201825001</v>
      </c>
      <c r="C3" s="38">
        <f>총괄표!L211</f>
        <v>0</v>
      </c>
      <c r="D3" s="38">
        <f>총괄표!N211</f>
        <v>0</v>
      </c>
      <c r="E3" s="38"/>
      <c r="F3" s="37">
        <f t="shared" si="0"/>
        <v>201825001</v>
      </c>
      <c r="H3" s="209" t="s">
        <v>127</v>
      </c>
      <c r="I3" s="210"/>
      <c r="J3" s="210"/>
      <c r="K3" s="210"/>
      <c r="L3" s="210"/>
      <c r="M3" s="211"/>
    </row>
    <row r="4" spans="1:13" x14ac:dyDescent="0.15">
      <c r="A4" s="3" t="s">
        <v>3220</v>
      </c>
      <c r="B4" s="38">
        <f>총괄표!I237</f>
        <v>424636881</v>
      </c>
      <c r="C4" s="38">
        <f>총괄표!L237</f>
        <v>0</v>
      </c>
      <c r="D4" s="38">
        <f>총괄표!N237</f>
        <v>3070332</v>
      </c>
      <c r="E4" s="38"/>
      <c r="F4" s="38">
        <f t="shared" si="0"/>
        <v>427707213</v>
      </c>
      <c r="H4" s="212"/>
      <c r="I4" s="213"/>
      <c r="J4" s="213"/>
      <c r="K4" s="213"/>
      <c r="L4" s="213"/>
      <c r="M4" s="214"/>
    </row>
    <row r="5" spans="1:13" x14ac:dyDescent="0.15">
      <c r="A5" s="3" t="s">
        <v>3</v>
      </c>
      <c r="B5" s="38"/>
      <c r="C5" s="38" t="s">
        <v>8</v>
      </c>
      <c r="D5" s="38"/>
      <c r="E5" s="38"/>
      <c r="F5" s="38">
        <f t="shared" si="0"/>
        <v>0</v>
      </c>
    </row>
    <row r="6" spans="1:13" x14ac:dyDescent="0.15">
      <c r="A6" s="3" t="s">
        <v>3</v>
      </c>
      <c r="B6" s="38"/>
      <c r="C6" s="38"/>
      <c r="D6" s="38"/>
      <c r="E6" s="38"/>
      <c r="F6" s="38">
        <f t="shared" si="0"/>
        <v>0</v>
      </c>
      <c r="H6" s="203" t="s">
        <v>128</v>
      </c>
      <c r="I6" s="204"/>
      <c r="J6" s="204"/>
      <c r="K6" s="204"/>
      <c r="L6" s="204"/>
      <c r="M6" s="205"/>
    </row>
    <row r="7" spans="1:13" x14ac:dyDescent="0.15">
      <c r="A7" s="3"/>
      <c r="B7" s="38"/>
      <c r="C7" s="38"/>
      <c r="D7" s="38"/>
      <c r="E7" s="38"/>
      <c r="F7" s="38">
        <f t="shared" si="0"/>
        <v>0</v>
      </c>
      <c r="H7" s="206"/>
      <c r="I7" s="207"/>
      <c r="J7" s="207"/>
      <c r="K7" s="207"/>
      <c r="L7" s="207"/>
      <c r="M7" s="208"/>
    </row>
    <row r="8" spans="1:13" x14ac:dyDescent="0.15">
      <c r="A8" s="3"/>
      <c r="B8" s="38"/>
      <c r="C8" s="38"/>
      <c r="D8" s="38"/>
      <c r="E8" s="38"/>
      <c r="F8" s="38">
        <f t="shared" si="0"/>
        <v>0</v>
      </c>
    </row>
    <row r="9" spans="1:13" ht="14.25" thickBot="1" x14ac:dyDescent="0.2">
      <c r="B9" s="50"/>
      <c r="C9" s="50"/>
      <c r="D9" s="50"/>
      <c r="E9" s="50"/>
      <c r="F9" s="50"/>
      <c r="H9" s="203" t="s">
        <v>129</v>
      </c>
      <c r="I9" s="204"/>
      <c r="J9" s="204"/>
      <c r="K9" s="204"/>
      <c r="L9" s="204"/>
      <c r="M9" s="205"/>
    </row>
    <row r="10" spans="1:13" ht="14.25" thickBot="1" x14ac:dyDescent="0.2">
      <c r="A10" s="46"/>
      <c r="B10" s="47" t="s">
        <v>15</v>
      </c>
      <c r="C10" s="47" t="s">
        <v>17</v>
      </c>
      <c r="D10" s="47" t="s">
        <v>78</v>
      </c>
      <c r="E10" s="47" t="s">
        <v>96</v>
      </c>
      <c r="F10" s="48"/>
      <c r="H10" s="206"/>
      <c r="I10" s="207"/>
      <c r="J10" s="207"/>
      <c r="K10" s="207"/>
      <c r="L10" s="207"/>
      <c r="M10" s="208"/>
    </row>
    <row r="11" spans="1:13" x14ac:dyDescent="0.15">
      <c r="A11" s="5" t="s">
        <v>119</v>
      </c>
      <c r="B11" s="29">
        <v>100</v>
      </c>
      <c r="C11" s="29">
        <v>1</v>
      </c>
      <c r="D11" s="29">
        <f>$B$11/100</f>
        <v>1</v>
      </c>
      <c r="E11" s="29"/>
      <c r="F11" s="29"/>
    </row>
    <row r="12" spans="1:13" x14ac:dyDescent="0.15">
      <c r="A12" s="3" t="s">
        <v>120</v>
      </c>
      <c r="B12" s="15">
        <v>100</v>
      </c>
      <c r="C12" s="15">
        <v>1</v>
      </c>
      <c r="D12" s="29">
        <f>$B$12/100</f>
        <v>1</v>
      </c>
      <c r="E12" s="15">
        <v>2</v>
      </c>
      <c r="F12" s="15"/>
      <c r="H12" s="203" t="s">
        <v>130</v>
      </c>
      <c r="I12" s="204"/>
      <c r="J12" s="204"/>
      <c r="K12" s="204"/>
      <c r="L12" s="204"/>
      <c r="M12" s="205"/>
    </row>
    <row r="13" spans="1:13" x14ac:dyDescent="0.15">
      <c r="A13" s="3" t="s">
        <v>121</v>
      </c>
      <c r="B13" s="15">
        <v>100</v>
      </c>
      <c r="C13" s="15">
        <v>1</v>
      </c>
      <c r="D13" s="29">
        <f>$B$13/100</f>
        <v>1</v>
      </c>
      <c r="E13" s="15">
        <v>5</v>
      </c>
      <c r="F13" s="15"/>
      <c r="H13" s="206"/>
      <c r="I13" s="207"/>
      <c r="J13" s="207"/>
      <c r="K13" s="207"/>
      <c r="L13" s="207"/>
      <c r="M13" s="208"/>
    </row>
    <row r="14" spans="1:13" x14ac:dyDescent="0.15">
      <c r="A14" s="3"/>
      <c r="B14" s="15"/>
      <c r="C14" s="15"/>
      <c r="D14" s="15"/>
      <c r="E14" s="15"/>
      <c r="F14" s="15"/>
    </row>
    <row r="15" spans="1:13" x14ac:dyDescent="0.15">
      <c r="A15" s="3"/>
      <c r="B15" s="15"/>
      <c r="C15" s="15"/>
      <c r="D15" s="15"/>
      <c r="E15" s="15"/>
      <c r="F15" s="15"/>
    </row>
    <row r="16" spans="1:13" x14ac:dyDescent="0.15">
      <c r="A16" s="3"/>
      <c r="B16" s="15"/>
      <c r="C16" s="15"/>
      <c r="D16" s="15"/>
      <c r="E16" s="15"/>
      <c r="F16" s="15"/>
    </row>
    <row r="17" spans="1:6" x14ac:dyDescent="0.15">
      <c r="A17" s="3"/>
      <c r="B17" s="15"/>
      <c r="C17" s="15"/>
      <c r="D17" s="15"/>
      <c r="E17" s="15"/>
      <c r="F17" s="15"/>
    </row>
    <row r="18" spans="1:6" x14ac:dyDescent="0.15">
      <c r="A18" s="3" t="s">
        <v>2</v>
      </c>
      <c r="B18" s="15"/>
      <c r="C18" s="15"/>
      <c r="D18" s="15"/>
      <c r="E18" s="15"/>
      <c r="F18" s="15"/>
    </row>
    <row r="19" spans="1:6" ht="14.25" thickBot="1" x14ac:dyDescent="0.2">
      <c r="A19" s="4" t="s">
        <v>8</v>
      </c>
      <c r="B19" s="49"/>
      <c r="C19" s="49"/>
      <c r="D19" s="49"/>
      <c r="E19" s="49"/>
      <c r="F19" s="49"/>
    </row>
    <row r="20" spans="1:6" ht="14.25" thickBot="1" x14ac:dyDescent="0.2">
      <c r="A20" s="46" t="s">
        <v>72</v>
      </c>
      <c r="B20" s="47" t="s">
        <v>15</v>
      </c>
      <c r="C20" s="47"/>
      <c r="D20" s="47" t="s">
        <v>78</v>
      </c>
      <c r="E20" s="47"/>
      <c r="F20" s="48"/>
    </row>
    <row r="21" spans="1:6" x14ac:dyDescent="0.15">
      <c r="A21" s="5" t="s">
        <v>73</v>
      </c>
      <c r="B21" s="29">
        <f>B11</f>
        <v>100</v>
      </c>
      <c r="C21" s="29"/>
      <c r="D21" s="29">
        <f>$B$21/100</f>
        <v>1</v>
      </c>
      <c r="E21" s="29"/>
      <c r="F21" s="29"/>
    </row>
    <row r="22" spans="1:6" x14ac:dyDescent="0.15">
      <c r="A22" s="3" t="s">
        <v>74</v>
      </c>
      <c r="B22" s="15">
        <f>B11</f>
        <v>100</v>
      </c>
      <c r="C22" s="29"/>
      <c r="D22" s="29">
        <f>$B$22/100</f>
        <v>1</v>
      </c>
      <c r="E22" s="15"/>
      <c r="F22" s="15"/>
    </row>
    <row r="23" spans="1:6" x14ac:dyDescent="0.15">
      <c r="A23" s="3" t="s">
        <v>77</v>
      </c>
      <c r="B23" s="15">
        <f>B11</f>
        <v>100</v>
      </c>
      <c r="C23" s="29"/>
      <c r="D23" s="29">
        <f>$B$23/100</f>
        <v>1</v>
      </c>
      <c r="E23" s="15"/>
      <c r="F23" s="15"/>
    </row>
    <row r="24" spans="1:6" x14ac:dyDescent="0.15">
      <c r="A24" s="3" t="s">
        <v>75</v>
      </c>
      <c r="B24" s="15">
        <f>B11</f>
        <v>100</v>
      </c>
      <c r="C24" s="29"/>
      <c r="D24" s="29">
        <f>$B$24/100</f>
        <v>1</v>
      </c>
      <c r="E24" s="15"/>
      <c r="F24" s="15"/>
    </row>
    <row r="25" spans="1:6" x14ac:dyDescent="0.15">
      <c r="A25" s="3" t="s">
        <v>76</v>
      </c>
      <c r="B25" s="15">
        <f>B11</f>
        <v>100</v>
      </c>
      <c r="C25" s="29"/>
      <c r="D25" s="29">
        <f>$B$25/100</f>
        <v>1</v>
      </c>
      <c r="E25" s="15"/>
      <c r="F25" s="15"/>
    </row>
    <row r="26" spans="1:6" x14ac:dyDescent="0.15">
      <c r="A26" s="3"/>
      <c r="B26" s="15"/>
      <c r="C26" s="15"/>
      <c r="D26" s="15"/>
      <c r="E26" s="15"/>
      <c r="F26" s="15"/>
    </row>
    <row r="27" spans="1:6" x14ac:dyDescent="0.15">
      <c r="A27" s="3"/>
      <c r="B27" s="15"/>
      <c r="C27" s="15"/>
      <c r="D27" s="15"/>
      <c r="E27" s="15"/>
      <c r="F27" s="15"/>
    </row>
    <row r="28" spans="1:6" x14ac:dyDescent="0.15">
      <c r="A28" s="3"/>
      <c r="B28" s="15"/>
      <c r="C28" s="15"/>
      <c r="D28" s="15"/>
      <c r="E28" s="15"/>
      <c r="F28" s="15"/>
    </row>
    <row r="29" spans="1:6" ht="14.25" customHeight="1" thickBot="1" x14ac:dyDescent="0.2">
      <c r="A29" s="4"/>
      <c r="B29" s="49"/>
      <c r="C29" s="49"/>
      <c r="D29" s="49"/>
      <c r="E29" s="49"/>
      <c r="F29" s="49"/>
    </row>
    <row r="30" spans="1:6" ht="14.25" customHeight="1" thickBot="1" x14ac:dyDescent="0.2">
      <c r="A30" s="46" t="s">
        <v>89</v>
      </c>
      <c r="B30" s="47" t="s">
        <v>90</v>
      </c>
      <c r="C30" s="47" t="s">
        <v>91</v>
      </c>
      <c r="D30" s="47" t="s">
        <v>92</v>
      </c>
      <c r="E30" s="47"/>
      <c r="F30" s="48"/>
    </row>
    <row r="31" spans="1:6" x14ac:dyDescent="0.15">
      <c r="A31" s="5" t="s">
        <v>93</v>
      </c>
      <c r="B31" s="29">
        <v>15</v>
      </c>
      <c r="C31" s="29">
        <v>15</v>
      </c>
      <c r="D31" s="29">
        <v>20</v>
      </c>
      <c r="E31" s="29"/>
      <c r="F31" s="29"/>
    </row>
    <row r="32" spans="1:6" x14ac:dyDescent="0.15">
      <c r="A32" s="5" t="s">
        <v>88</v>
      </c>
      <c r="B32" s="15">
        <v>40</v>
      </c>
      <c r="C32" s="15">
        <v>40</v>
      </c>
      <c r="D32" s="15">
        <v>40</v>
      </c>
      <c r="E32" s="15"/>
      <c r="F32" s="15"/>
    </row>
    <row r="33" spans="1:13" x14ac:dyDescent="0.15">
      <c r="A33" s="3" t="s">
        <v>18</v>
      </c>
      <c r="B33" s="15">
        <v>2</v>
      </c>
      <c r="C33" s="15"/>
      <c r="D33" s="15"/>
      <c r="E33" s="15"/>
      <c r="F33" s="15"/>
      <c r="H33" s="203" t="s">
        <v>3251</v>
      </c>
      <c r="I33" s="204"/>
      <c r="J33" s="204"/>
      <c r="K33" s="204"/>
      <c r="L33" s="204"/>
      <c r="M33" s="205"/>
    </row>
    <row r="34" spans="1:13" x14ac:dyDescent="0.15">
      <c r="A34" s="3" t="s">
        <v>19</v>
      </c>
      <c r="B34" s="15"/>
      <c r="C34" s="15"/>
      <c r="D34" s="15"/>
      <c r="E34" s="15"/>
      <c r="F34" s="15"/>
      <c r="H34" s="206"/>
      <c r="I34" s="207"/>
      <c r="J34" s="207"/>
      <c r="K34" s="207"/>
      <c r="L34" s="207"/>
      <c r="M34" s="208"/>
    </row>
    <row r="35" spans="1:13" x14ac:dyDescent="0.15">
      <c r="A35" s="3" t="s">
        <v>20</v>
      </c>
      <c r="B35" s="15">
        <v>2</v>
      </c>
      <c r="C35" s="15"/>
      <c r="D35" s="15"/>
      <c r="E35" s="15"/>
      <c r="F35" s="15"/>
    </row>
    <row r="36" spans="1:13" x14ac:dyDescent="0.15">
      <c r="A36" s="3" t="s">
        <v>21</v>
      </c>
      <c r="B36" s="15">
        <v>3</v>
      </c>
      <c r="C36" s="15"/>
      <c r="D36" s="15"/>
      <c r="E36" s="15"/>
      <c r="F36" s="15"/>
    </row>
    <row r="37" spans="1:13" x14ac:dyDescent="0.15">
      <c r="A37" s="3"/>
      <c r="B37" s="15"/>
      <c r="C37" s="15"/>
      <c r="D37" s="15"/>
      <c r="E37" s="15"/>
      <c r="F37" s="15"/>
    </row>
    <row r="38" spans="1:13" x14ac:dyDescent="0.15">
      <c r="A38" s="3"/>
      <c r="B38" s="15"/>
      <c r="C38" s="15"/>
      <c r="D38" s="15"/>
      <c r="E38" s="15"/>
      <c r="F38" s="15"/>
    </row>
    <row r="39" spans="1:13" ht="14.25" thickBot="1" x14ac:dyDescent="0.2">
      <c r="A39" s="4"/>
      <c r="B39" s="49"/>
      <c r="C39" s="49"/>
      <c r="D39" s="49"/>
      <c r="E39" s="49"/>
      <c r="F39" s="49"/>
    </row>
    <row r="40" spans="1:13" ht="14.25" thickBot="1" x14ac:dyDescent="0.2">
      <c r="A40" s="46" t="s">
        <v>14</v>
      </c>
      <c r="B40" s="47" t="s">
        <v>15</v>
      </c>
      <c r="C40" s="47" t="s">
        <v>16</v>
      </c>
      <c r="D40" s="47"/>
      <c r="E40" s="47"/>
      <c r="F40" s="48"/>
    </row>
    <row r="41" spans="1:13" x14ac:dyDescent="0.15">
      <c r="A41" s="1" t="s">
        <v>131</v>
      </c>
      <c r="B41" s="2">
        <v>100</v>
      </c>
      <c r="C41" s="2">
        <v>3</v>
      </c>
    </row>
    <row r="42" spans="1:13" x14ac:dyDescent="0.15">
      <c r="A42" s="1" t="s">
        <v>132</v>
      </c>
      <c r="B42" s="2">
        <v>100</v>
      </c>
      <c r="C42" s="2">
        <v>3</v>
      </c>
    </row>
    <row r="43" spans="1:13" x14ac:dyDescent="0.15">
      <c r="A43" s="1" t="s">
        <v>133</v>
      </c>
      <c r="B43" s="2">
        <v>100</v>
      </c>
      <c r="C43" s="2">
        <v>3</v>
      </c>
    </row>
    <row r="44" spans="1:13" x14ac:dyDescent="0.15">
      <c r="A44" s="1" t="s">
        <v>134</v>
      </c>
      <c r="B44" s="2">
        <v>100</v>
      </c>
      <c r="C44" s="2">
        <v>3</v>
      </c>
    </row>
    <row r="45" spans="1:13" x14ac:dyDescent="0.15">
      <c r="A45" s="1" t="s">
        <v>135</v>
      </c>
      <c r="B45" s="2">
        <v>100</v>
      </c>
      <c r="C45" s="2">
        <v>3</v>
      </c>
    </row>
    <row r="46" spans="1:13" x14ac:dyDescent="0.15">
      <c r="A46" s="1" t="s">
        <v>136</v>
      </c>
      <c r="B46" s="2">
        <v>100</v>
      </c>
      <c r="C46" s="2">
        <v>3</v>
      </c>
    </row>
    <row r="47" spans="1:13" x14ac:dyDescent="0.15">
      <c r="A47" s="1" t="s">
        <v>137</v>
      </c>
      <c r="B47" s="2">
        <v>100</v>
      </c>
      <c r="C47" s="2">
        <v>3</v>
      </c>
    </row>
    <row r="48" spans="1:13" x14ac:dyDescent="0.15">
      <c r="A48" s="1" t="s">
        <v>138</v>
      </c>
      <c r="B48" s="2">
        <v>100</v>
      </c>
      <c r="C48" s="2">
        <v>3</v>
      </c>
    </row>
    <row r="49" spans="1:3" x14ac:dyDescent="0.15">
      <c r="A49" s="1" t="s">
        <v>139</v>
      </c>
      <c r="B49" s="2">
        <v>100</v>
      </c>
      <c r="C49" s="2">
        <v>3</v>
      </c>
    </row>
    <row r="50" spans="1:3" x14ac:dyDescent="0.15">
      <c r="A50" s="1" t="s">
        <v>140</v>
      </c>
      <c r="B50" s="2">
        <v>100</v>
      </c>
      <c r="C50" s="2">
        <v>3</v>
      </c>
    </row>
    <row r="51" spans="1:3" x14ac:dyDescent="0.15">
      <c r="A51" s="1" t="s">
        <v>141</v>
      </c>
      <c r="B51" s="2">
        <v>100</v>
      </c>
      <c r="C51" s="2">
        <v>3</v>
      </c>
    </row>
    <row r="52" spans="1:3" x14ac:dyDescent="0.15">
      <c r="A52" s="1" t="s">
        <v>142</v>
      </c>
      <c r="B52" s="2">
        <v>100</v>
      </c>
      <c r="C52" s="2">
        <v>3</v>
      </c>
    </row>
    <row r="53" spans="1:3" x14ac:dyDescent="0.15">
      <c r="A53" s="1" t="s">
        <v>143</v>
      </c>
      <c r="B53" s="2">
        <v>100</v>
      </c>
      <c r="C53" s="2">
        <v>3</v>
      </c>
    </row>
    <row r="54" spans="1:3" x14ac:dyDescent="0.15">
      <c r="A54" s="1" t="s">
        <v>144</v>
      </c>
      <c r="B54" s="2">
        <v>100</v>
      </c>
      <c r="C54" s="2">
        <v>3</v>
      </c>
    </row>
    <row r="55" spans="1:3" x14ac:dyDescent="0.15">
      <c r="A55" s="1" t="s">
        <v>145</v>
      </c>
      <c r="B55" s="2">
        <v>100</v>
      </c>
      <c r="C55" s="2">
        <v>3</v>
      </c>
    </row>
    <row r="56" spans="1:3" x14ac:dyDescent="0.15">
      <c r="A56" s="1" t="s">
        <v>146</v>
      </c>
      <c r="B56" s="2">
        <v>100</v>
      </c>
      <c r="C56" s="2">
        <v>3</v>
      </c>
    </row>
    <row r="57" spans="1:3" x14ac:dyDescent="0.15">
      <c r="A57" s="1" t="s">
        <v>147</v>
      </c>
      <c r="B57" s="2">
        <v>100</v>
      </c>
      <c r="C57" s="2">
        <v>3</v>
      </c>
    </row>
    <row r="58" spans="1:3" x14ac:dyDescent="0.15">
      <c r="A58" s="1" t="s">
        <v>148</v>
      </c>
      <c r="B58" s="2">
        <v>100</v>
      </c>
      <c r="C58" s="2">
        <v>3</v>
      </c>
    </row>
    <row r="59" spans="1:3" x14ac:dyDescent="0.15">
      <c r="A59" s="1" t="s">
        <v>149</v>
      </c>
      <c r="B59" s="2">
        <v>100</v>
      </c>
      <c r="C59" s="2">
        <v>3</v>
      </c>
    </row>
    <row r="60" spans="1:3" x14ac:dyDescent="0.15">
      <c r="A60" s="1" t="s">
        <v>150</v>
      </c>
      <c r="B60" s="2">
        <v>100</v>
      </c>
      <c r="C60" s="2">
        <v>3</v>
      </c>
    </row>
    <row r="61" spans="1:3" x14ac:dyDescent="0.15">
      <c r="A61" s="1" t="s">
        <v>151</v>
      </c>
      <c r="B61" s="2">
        <v>100</v>
      </c>
      <c r="C61" s="2">
        <v>3</v>
      </c>
    </row>
    <row r="62" spans="1:3" x14ac:dyDescent="0.15">
      <c r="A62" s="1" t="s">
        <v>152</v>
      </c>
      <c r="B62" s="2">
        <v>100</v>
      </c>
      <c r="C62" s="2">
        <v>3</v>
      </c>
    </row>
    <row r="63" spans="1:3" x14ac:dyDescent="0.15">
      <c r="A63" s="1" t="s">
        <v>153</v>
      </c>
      <c r="B63" s="2">
        <v>100</v>
      </c>
      <c r="C63" s="2">
        <v>3</v>
      </c>
    </row>
    <row r="64" spans="1:3" x14ac:dyDescent="0.15">
      <c r="A64" s="1" t="s">
        <v>154</v>
      </c>
      <c r="B64" s="2">
        <v>100</v>
      </c>
      <c r="C64" s="2">
        <v>3</v>
      </c>
    </row>
    <row r="65" spans="1:3" x14ac:dyDescent="0.15">
      <c r="A65" s="1" t="s">
        <v>155</v>
      </c>
      <c r="B65" s="2">
        <v>100</v>
      </c>
      <c r="C65" s="2">
        <v>3</v>
      </c>
    </row>
    <row r="66" spans="1:3" x14ac:dyDescent="0.15">
      <c r="A66" s="1" t="s">
        <v>156</v>
      </c>
      <c r="C66" s="2">
        <v>0</v>
      </c>
    </row>
    <row r="67" spans="1:3" x14ac:dyDescent="0.15">
      <c r="A67" s="1" t="s">
        <v>157</v>
      </c>
      <c r="C67" s="2">
        <v>0</v>
      </c>
    </row>
    <row r="68" spans="1:3" x14ac:dyDescent="0.15">
      <c r="A68" s="1" t="s">
        <v>158</v>
      </c>
      <c r="B68" s="2">
        <v>100</v>
      </c>
      <c r="C68" s="2">
        <v>0</v>
      </c>
    </row>
    <row r="69" spans="1:3" x14ac:dyDescent="0.15">
      <c r="A69" s="1" t="s">
        <v>159</v>
      </c>
      <c r="B69" s="2">
        <v>100</v>
      </c>
      <c r="C69" s="2">
        <v>0</v>
      </c>
    </row>
    <row r="70" spans="1:3" x14ac:dyDescent="0.15">
      <c r="A70" s="1" t="s">
        <v>160</v>
      </c>
      <c r="B70" s="2">
        <v>100</v>
      </c>
      <c r="C70" s="2">
        <v>0</v>
      </c>
    </row>
    <row r="71" spans="1:3" x14ac:dyDescent="0.15">
      <c r="A71" s="1" t="s">
        <v>161</v>
      </c>
      <c r="B71" s="2">
        <v>100</v>
      </c>
      <c r="C71" s="2">
        <v>0</v>
      </c>
    </row>
  </sheetData>
  <mergeCells count="5">
    <mergeCell ref="H33:M34"/>
    <mergeCell ref="H3:M4"/>
    <mergeCell ref="H6:M7"/>
    <mergeCell ref="H9:M10"/>
    <mergeCell ref="H12:M13"/>
  </mergeCells>
  <phoneticPr fontId="2" type="noConversion"/>
  <printOptions horizontalCentered="1"/>
  <pageMargins left="0.35433070866141736" right="0.35433070866141736" top="0.59055118110236227" bottom="0.59055118110236227" header="0.51181102362204722" footer="0.51181102362204722"/>
  <pageSetup paperSize="9" orientation="landscape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13</vt:i4>
      </vt:variant>
    </vt:vector>
  </HeadingPairs>
  <TitlesOfParts>
    <vt:vector size="23" baseType="lpstr">
      <vt:lpstr>원가</vt:lpstr>
      <vt:lpstr>총괄표</vt:lpstr>
      <vt:lpstr>내역서</vt:lpstr>
      <vt:lpstr>일대목차</vt:lpstr>
      <vt:lpstr>일위대가</vt:lpstr>
      <vt:lpstr>일위노임</vt:lpstr>
      <vt:lpstr>합산자재</vt:lpstr>
      <vt:lpstr>단가조사</vt:lpstr>
      <vt:lpstr>한전불입금및사용전검사비</vt:lpstr>
      <vt:lpstr>옵션</vt:lpstr>
      <vt:lpstr>내역서!Print_Area</vt:lpstr>
      <vt:lpstr>원가!Print_Area</vt:lpstr>
      <vt:lpstr>일위노임!Print_Area</vt:lpstr>
      <vt:lpstr>일위대가!Print_Area</vt:lpstr>
      <vt:lpstr>총괄표!Print_Area</vt:lpstr>
      <vt:lpstr>한전불입금및사용전검사비!Print_Area</vt:lpstr>
      <vt:lpstr>내역서!Print_Titles</vt:lpstr>
      <vt:lpstr>단가조사!Print_Titles</vt:lpstr>
      <vt:lpstr>일대목차!Print_Titles</vt:lpstr>
      <vt:lpstr>일위노임!Print_Titles</vt:lpstr>
      <vt:lpstr>일위대가!Print_Titles</vt:lpstr>
      <vt:lpstr>총괄표!Print_Titles</vt:lpstr>
      <vt:lpstr>합산자재!Print_Titles</vt:lpstr>
    </vt:vector>
  </TitlesOfParts>
  <Company>이지테크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이지테크</dc:creator>
  <cp:lastModifiedBy>전기사업부</cp:lastModifiedBy>
  <cp:lastPrinted>2012-05-12T23:39:48Z</cp:lastPrinted>
  <dcterms:created xsi:type="dcterms:W3CDTF">2002-09-09T02:35:17Z</dcterms:created>
  <dcterms:modified xsi:type="dcterms:W3CDTF">2026-03-09T06:25:28Z</dcterms:modified>
</cp:coreProperties>
</file>